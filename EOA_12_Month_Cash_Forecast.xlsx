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4c208c88c240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2-Month Cash Forecast" sheetId="1" r:id="Rfd18c3cb44c84b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mmm yyyy"/>
    <x:numFmt numFmtId="201" formatCode="$#,##0;[Red]($#,##0);-"/>
    <x:numFmt numFmtId="202" formatCode="#,##0;[Red](#,##0);-"/>
    <x:numFmt numFmtId="203" formatCode="0"/>
    <x:numFmt numFmtId="204" formatCode="0.0%;[Red](0.0%);-"/>
  </x:numFmts>
  <x:fonts count="9">
    <x:font>
      <x:sz val="11"/>
      <x:name val="Carlito"/>
    </x:font>
    <x:font>
      <x:b/>
      <x:sz val="20"/>
      <x:color rgb="FFFFFFFF"/>
      <x:name val="Carlito"/>
    </x:font>
    <x:font>
      <x:b/>
      <x:sz val="11"/>
      <x:color rgb="FF303030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  <x:font>
      <x:sz val="11"/>
      <x:color rgb="FF0000FF"/>
      <x:name val="Carlito"/>
    </x:font>
    <x:font>
      <x:sz val="11"/>
      <x:color rgb="FF303030"/>
      <x:name val="Carlito"/>
    </x:font>
    <x:font>
      <x:b/>
      <x:sz val="10"/>
      <x:color rgb="FF303030"/>
      <x:name val="Carlito"/>
    </x:font>
    <x:font>
      <x:b/>
      <x:sz val="11"/>
      <x:color rgb="FF2E7F49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303030"/>
      </x:patternFill>
    </x:fill>
    <x:fill>
      <x:patternFill patternType="solid">
        <x:fgColor rgb="FFFFFFFF"/>
      </x:patternFill>
    </x:fill>
    <x:fill>
      <x:patternFill patternType="solid">
        <x:fgColor rgb="FFF7F7F4"/>
      </x:patternFill>
    </x:fill>
    <x:fill>
      <x:patternFill patternType="solid">
        <x:fgColor rgb="FFB7B7B2"/>
      </x:patternFill>
    </x:fill>
    <x:fill>
      <x:patternFill patternType="solid">
        <x:fgColor rgb="FF2E7F49"/>
      </x:patternFill>
    </x:fill>
    <x:fill>
      <x:patternFill patternType="solid">
        <x:fgColor rgb="FF326AB5"/>
      </x:patternFill>
    </x:fill>
    <x:fill>
      <x:patternFill patternType="solid">
        <x:fgColor rgb="FFEAF1FA"/>
      </x:patternFill>
    </x:fill>
    <x:fill>
      <x:patternFill patternType="solid">
        <x:fgColor rgb="FFF0F0ED"/>
      </x:patternFill>
    </x:fill>
    <x:fill>
      <x:patternFill patternType="solid">
        <x:fgColor rgb="FFEAF6ED"/>
      </x:patternFill>
    </x:fill>
  </x:fills>
  <x:borders count="7">
    <x:border/>
    <x:border>
      <x:bottom style="thin">
        <x:color rgb="FFD9D9D4"/>
      </x:bottom>
    </x:border>
    <x:border>
      <x:left style="thin">
        <x:color rgb="FFD9D9D4"/>
      </x:left>
      <x:right style="thin">
        <x:color rgb="FFD9D9D4"/>
      </x:right>
      <x:top style="thin">
        <x:color rgb="FFD9D9D4"/>
      </x:top>
    </x:border>
    <x:border>
      <x:left style="thin">
        <x:color rgb="FFD9D9D4"/>
      </x:left>
      <x:right style="thin">
        <x:color rgb="FFD9D9D4"/>
      </x:right>
    </x:border>
    <x:border>
      <x:left style="thin">
        <x:color rgb="FFD9D9D4"/>
      </x:left>
      <x:right style="thin">
        <x:color rgb="FFD9D9D4"/>
      </x:right>
      <x:bottom style="thin">
        <x:color rgb="FFD9D9D4"/>
      </x:bottom>
    </x:border>
    <x:border>
      <x:top style="thin">
        <x:color rgb="FF303030"/>
      </x:top>
    </x:border>
    <x:border>
      <x:top style="thin">
        <x:color rgb="FF303030"/>
      </x:top>
      <x:bottom style="thin">
        <x:color rgb="FFD9D9D4"/>
      </x:bottom>
    </x:border>
  </x:borders>
  <x:cellStyleXfs count="1">
    <x:xf numFmtId="0" fontId="0" fillId="0" borderId="0"/>
  </x:cellStyleXfs>
  <x:cellXfs count="1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/>
    <x:xf numFmtId="200" fontId="2" fillId="4" borderId="1" xfId="0" applyNumberFormat="1" applyFont="1" applyFill="1" applyBorder="1"/>
    <x:xf numFmtId="200" fontId="2" fillId="4" borderId="1" xfId="0" applyNumberFormat="1" applyFont="1" applyFill="1" applyBorder="1" applyAlignment="1">
      <x:alignment horizontal="center"/>
    </x:xf>
    <x:xf numFmtId="200" fontId="2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200" fontId="2" fillId="3" borderId="1" xfId="0" applyNumberFormat="1" applyFont="1" applyFill="1" applyBorder="1"/>
    <x:xf numFmtId="200" fontId="2" fillId="3" borderId="1" xfId="0" applyNumberFormat="1" applyFont="1" applyFill="1" applyBorder="1" applyAlignment="1">
      <x:alignment horizontal="center"/>
    </x:xf>
    <x:xf numFmtId="200" fontId="2" fillId="3" borderId="1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2" xfId="0" applyNumberFormat="1" applyFont="1" applyFill="1" applyBorder="1"/>
    <x:xf numFmtId="0" fontId="5" fillId="8" borderId="3" xfId="0" applyNumberFormat="1" applyFont="1" applyFill="1" applyBorder="1"/>
    <x:xf numFmtId="0" fontId="5" fillId="8" borderId="4" xfId="0" applyNumberFormat="1" applyFont="1" applyFill="1" applyBorder="1"/>
    <x:xf numFmtId="200" fontId="5" fillId="8" borderId="2" xfId="0" applyNumberFormat="1" applyFont="1" applyFill="1" applyBorder="1"/>
    <x:xf numFmtId="201" fontId="5" fillId="8" borderId="3" xfId="0" applyNumberFormat="1" applyFont="1" applyFill="1" applyBorder="1"/>
    <x:xf numFmtId="202" fontId="5" fillId="8" borderId="3" xfId="0" applyNumberFormat="1" applyFont="1" applyFill="1" applyBorder="1"/>
    <x:xf numFmtId="202" fontId="5" fillId="8" borderId="4" xfId="0" applyNumberFormat="1" applyFont="1" applyFill="1" applyBorder="1"/>
    <x:xf numFmtId="0" fontId="6" fillId="0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/>
    <x:xf numFmtId="0" fontId="2" fillId="0" borderId="0" xfId="0" applyNumberFormat="1" applyFont="1" applyFill="1" applyBorder="1"/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5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10" borderId="1" xfId="0" applyNumberFormat="1" applyFont="1" applyFill="1" applyBorder="1"/>
    <x:xf numFmtId="0" fontId="0" fillId="8" borderId="1" xfId="0" applyNumberFormat="1" applyFont="1" applyFill="1" applyBorder="1"/>
    <x:xf numFmtId="0" fontId="5" fillId="9" borderId="0" xfId="0" applyNumberFormat="1" applyFont="1" applyFill="1" applyBorder="1" applyAlignment="1">
      <x:alignment horizontal="right"/>
    </x:xf>
    <x:xf numFmtId="0" fontId="0" fillId="10" borderId="0" xfId="0" applyNumberFormat="1" applyFont="1" applyFill="1" applyBorder="1" applyAlignment="1">
      <x:alignment horizontal="right"/>
    </x:xf>
    <x:xf numFmtId="0" fontId="5" fillId="8" borderId="0" xfId="0" applyNumberFormat="1" applyFont="1" applyFill="1" applyBorder="1" applyAlignment="1">
      <x:alignment horizontal="right"/>
    </x:xf>
    <x:xf numFmtId="0" fontId="0" fillId="9" borderId="0" xfId="0" applyNumberFormat="1" applyFont="1" applyFill="1" applyBorder="1" applyAlignment="1">
      <x:alignment horizontal="right"/>
    </x:xf>
    <x:xf numFmtId="0" fontId="0" fillId="8" borderId="0" xfId="0" applyNumberFormat="1" applyFont="1" applyFill="1" applyBorder="1" applyAlignment="1">
      <x:alignment horizontal="right"/>
    </x:xf>
    <x:xf numFmtId="0" fontId="4" fillId="9" borderId="0" xfId="0" applyNumberFormat="1" applyFont="1" applyFill="1" applyBorder="1" applyAlignment="1">
      <x:alignment horizontal="right" vertical="center"/>
    </x:xf>
    <x:xf numFmtId="0" fontId="4" fillId="10" borderId="0" xfId="0" applyNumberFormat="1" applyFont="1" applyFill="1" applyBorder="1" applyAlignment="1">
      <x:alignment horizontal="right" vertical="center"/>
    </x:xf>
    <x:xf numFmtId="0" fontId="4" fillId="8" borderId="0" xfId="0" applyNumberFormat="1" applyFont="1" applyFill="1" applyBorder="1" applyAlignment="1">
      <x:alignment horizontal="right" vertical="center"/>
    </x:xf>
    <x:xf numFmtId="0" fontId="0" fillId="9" borderId="1" xfId="0" applyNumberFormat="1" applyFont="1" applyFill="1" applyBorder="1" applyAlignment="1">
      <x:alignment horizontal="right"/>
    </x:xf>
    <x:xf numFmtId="0" fontId="0" fillId="10" borderId="1" xfId="0" applyNumberFormat="1" applyFont="1" applyFill="1" applyBorder="1" applyAlignment="1">
      <x:alignment horizontal="right"/>
    </x:xf>
    <x:xf numFmtId="0" fontId="0" fillId="8" borderId="1" xfId="0" applyNumberFormat="1" applyFont="1" applyFill="1" applyBorder="1" applyAlignment="1">
      <x:alignment horizontal="right"/>
    </x:xf>
    <x:xf numFmtId="202" fontId="5" fillId="9" borderId="0" xfId="0" applyNumberFormat="1" applyFont="1" applyFill="1" applyBorder="1" applyAlignment="1">
      <x:alignment horizontal="right"/>
    </x:xf>
    <x:xf numFmtId="202" fontId="0" fillId="10" borderId="0" xfId="0" applyNumberFormat="1" applyFont="1" applyFill="1" applyBorder="1" applyAlignment="1">
      <x:alignment horizontal="right"/>
    </x:xf>
    <x:xf numFmtId="202" fontId="5" fillId="8" borderId="0" xfId="0" applyNumberFormat="1" applyFont="1" applyFill="1" applyBorder="1" applyAlignment="1">
      <x:alignment horizontal="right"/>
    </x:xf>
    <x:xf numFmtId="202" fontId="0" fillId="8" borderId="0" xfId="0" applyNumberFormat="1" applyFont="1" applyFill="1" applyBorder="1" applyAlignment="1">
      <x:alignment horizontal="right"/>
    </x:xf>
    <x:xf numFmtId="202" fontId="0" fillId="9" borderId="0" xfId="0" applyNumberFormat="1" applyFont="1" applyFill="1" applyBorder="1" applyAlignment="1">
      <x:alignment horizontal="right"/>
    </x:xf>
    <x:xf numFmtId="202" fontId="4" fillId="9" borderId="0" xfId="0" applyNumberFormat="1" applyFont="1" applyFill="1" applyBorder="1" applyAlignment="1">
      <x:alignment horizontal="right" vertical="center"/>
    </x:xf>
    <x:xf numFmtId="202" fontId="4" fillId="10" borderId="0" xfId="0" applyNumberFormat="1" applyFont="1" applyFill="1" applyBorder="1" applyAlignment="1">
      <x:alignment horizontal="right" vertical="center"/>
    </x:xf>
    <x:xf numFmtId="202" fontId="4" fillId="8" borderId="0" xfId="0" applyNumberFormat="1" applyFont="1" applyFill="1" applyBorder="1" applyAlignment="1">
      <x:alignment horizontal="right" vertical="center"/>
    </x:xf>
    <x:xf numFmtId="203" fontId="5" fillId="9" borderId="0" xfId="0" applyNumberFormat="1" applyFont="1" applyFill="1" applyBorder="1" applyAlignment="1">
      <x:alignment horizontal="right"/>
    </x:xf>
    <x:xf numFmtId="203" fontId="0" fillId="10" borderId="0" xfId="0" applyNumberFormat="1" applyFont="1" applyFill="1" applyBorder="1" applyAlignment="1">
      <x:alignment horizontal="right"/>
    </x:xf>
    <x:xf numFmtId="203" fontId="5" fillId="8" borderId="0" xfId="0" applyNumberFormat="1" applyFont="1" applyFill="1" applyBorder="1" applyAlignment="1">
      <x:alignment horizontal="right"/>
    </x:xf>
    <x:xf numFmtId="203" fontId="0" fillId="9" borderId="0" xfId="0" applyNumberFormat="1" applyFont="1" applyFill="1" applyBorder="1" applyAlignment="1">
      <x:alignment horizontal="right"/>
    </x:xf>
    <x:xf numFmtId="203" fontId="0" fillId="8" borderId="0" xfId="0" applyNumberFormat="1" applyFont="1" applyFill="1" applyBorder="1" applyAlignment="1">
      <x:alignment horizontal="right"/>
    </x:xf>
    <x:xf numFmtId="203" fontId="0" fillId="9" borderId="1" xfId="0" applyNumberFormat="1" applyFont="1" applyFill="1" applyBorder="1" applyAlignment="1">
      <x:alignment horizontal="right"/>
    </x:xf>
    <x:xf numFmtId="203" fontId="0" fillId="10" borderId="1" xfId="0" applyNumberFormat="1" applyFont="1" applyFill="1" applyBorder="1" applyAlignment="1">
      <x:alignment horizontal="right"/>
    </x:xf>
    <x:xf numFmtId="203" fontId="0" fillId="8" borderId="1" xfId="0" applyNumberFormat="1" applyFont="1" applyFill="1" applyBorder="1" applyAlignment="1">
      <x:alignment horizontal="right"/>
    </x:xf>
    <x:xf numFmtId="204" fontId="0" fillId="9" borderId="0" xfId="0" applyNumberFormat="1" applyFont="1" applyFill="1" applyBorder="1" applyAlignment="1">
      <x:alignment horizontal="right"/>
    </x:xf>
    <x:xf numFmtId="204" fontId="0" fillId="10" borderId="0" xfId="0" applyNumberFormat="1" applyFont="1" applyFill="1" applyBorder="1" applyAlignment="1">
      <x:alignment horizontal="right"/>
    </x:xf>
    <x:xf numFmtId="204" fontId="5" fillId="8" borderId="0" xfId="0" applyNumberFormat="1" applyFont="1" applyFill="1" applyBorder="1" applyAlignment="1">
      <x:alignment horizontal="right"/>
    </x:xf>
    <x:xf numFmtId="201" fontId="5" fillId="9" borderId="0" xfId="0" applyNumberFormat="1" applyFont="1" applyFill="1" applyBorder="1" applyAlignment="1">
      <x:alignment horizontal="right"/>
    </x:xf>
    <x:xf numFmtId="201" fontId="0" fillId="10" borderId="0" xfId="0" applyNumberFormat="1" applyFont="1" applyFill="1" applyBorder="1" applyAlignment="1">
      <x:alignment horizontal="right"/>
    </x:xf>
    <x:xf numFmtId="201" fontId="5" fillId="8" borderId="0" xfId="0" applyNumberFormat="1" applyFont="1" applyFill="1" applyBorder="1" applyAlignment="1">
      <x:alignment horizontal="right"/>
    </x:xf>
    <x:xf numFmtId="201" fontId="0" fillId="9" borderId="0" xfId="0" applyNumberFormat="1" applyFont="1" applyFill="1" applyBorder="1" applyAlignment="1">
      <x:alignment horizontal="right"/>
    </x:xf>
    <x:xf numFmtId="201" fontId="0" fillId="8" borderId="0" xfId="0" applyNumberFormat="1" applyFont="1" applyFill="1" applyBorder="1" applyAlignment="1">
      <x:alignment horizontal="right"/>
    </x:xf>
    <x:xf numFmtId="201" fontId="4" fillId="9" borderId="0" xfId="0" applyNumberFormat="1" applyFont="1" applyFill="1" applyBorder="1" applyAlignment="1">
      <x:alignment horizontal="right" vertical="center"/>
    </x:xf>
    <x:xf numFmtId="201" fontId="4" fillId="10" borderId="0" xfId="0" applyNumberFormat="1" applyFont="1" applyFill="1" applyBorder="1" applyAlignment="1">
      <x:alignment horizontal="right" vertical="center"/>
    </x:xf>
    <x:xf numFmtId="201" fontId="4" fillId="8" borderId="0" xfId="0" applyNumberFormat="1" applyFont="1" applyFill="1" applyBorder="1" applyAlignment="1">
      <x:alignment horizontal="right" vertical="center"/>
    </x:xf>
    <x:xf numFmtId="0" fontId="0" fillId="9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 applyAlignment="1">
      <x:alignment horizontal="center"/>
    </x:xf>
    <x:xf numFmtId="0" fontId="8" fillId="9" borderId="0" xfId="0" applyNumberFormat="1" applyFont="1" applyFill="1" applyBorder="1" applyAlignment="1">
      <x:alignment horizontal="center"/>
    </x:xf>
    <x:xf numFmtId="0" fontId="8" fillId="10" borderId="0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201" fontId="2" fillId="9" borderId="0" xfId="0" applyNumberFormat="1" applyFont="1" applyFill="1" applyBorder="1" applyAlignment="1">
      <x:alignment horizontal="right"/>
    </x:xf>
    <x:xf numFmtId="201" fontId="2" fillId="10" borderId="0" xfId="0" applyNumberFormat="1" applyFont="1" applyFill="1" applyBorder="1" applyAlignment="1">
      <x:alignment horizontal="right"/>
    </x:xf>
    <x:xf numFmtId="201" fontId="2" fillId="8" borderId="0" xfId="0" applyNumberFormat="1" applyFont="1" applyFill="1" applyBorder="1" applyAlignment="1">
      <x:alignment horizontal="right"/>
    </x:xf>
    <x:xf numFmtId="202" fontId="2" fillId="9" borderId="0" xfId="0" applyNumberFormat="1" applyFont="1" applyFill="1" applyBorder="1" applyAlignment="1">
      <x:alignment horizontal="right"/>
    </x:xf>
    <x:xf numFmtId="202" fontId="2" fillId="10" borderId="0" xfId="0" applyNumberFormat="1" applyFont="1" applyFill="1" applyBorder="1" applyAlignment="1">
      <x:alignment horizontal="right"/>
    </x:xf>
    <x:xf numFmtId="202" fontId="2" fillId="8" borderId="0" xfId="0" applyNumberFormat="1" applyFont="1" applyFill="1" applyBorder="1" applyAlignment="1">
      <x:alignment horizontal="right"/>
    </x:xf>
    <x:xf numFmtId="0" fontId="2" fillId="0" borderId="1" xfId="0" applyNumberFormat="1" applyFont="1" applyFill="1" applyBorder="1"/>
    <x:xf numFmtId="203" fontId="2" fillId="9" borderId="1" xfId="0" applyNumberFormat="1" applyFont="1" applyFill="1" applyBorder="1" applyAlignment="1">
      <x:alignment horizontal="right"/>
    </x:xf>
    <x:xf numFmtId="203" fontId="2" fillId="10" borderId="1" xfId="0" applyNumberFormat="1" applyFont="1" applyFill="1" applyBorder="1" applyAlignment="1">
      <x:alignment horizontal="right"/>
    </x:xf>
    <x:xf numFmtId="203" fontId="2" fillId="8" borderId="1" xfId="0" applyNumberFormat="1" applyFont="1" applyFill="1" applyBorder="1" applyAlignment="1">
      <x:alignment horizontal="right"/>
    </x:xf>
    <x:xf numFmtId="0" fontId="2" fillId="0" borderId="5" xfId="0" applyNumberFormat="1" applyFont="1" applyFill="1" applyBorder="1"/>
    <x:xf numFmtId="201" fontId="2" fillId="9" borderId="5" xfId="0" applyNumberFormat="1" applyFont="1" applyFill="1" applyBorder="1" applyAlignment="1">
      <x:alignment horizontal="right"/>
    </x:xf>
    <x:xf numFmtId="201" fontId="2" fillId="10" borderId="5" xfId="0" applyNumberFormat="1" applyFont="1" applyFill="1" applyBorder="1" applyAlignment="1">
      <x:alignment horizontal="right"/>
    </x:xf>
    <x:xf numFmtId="201" fontId="2" fillId="8" borderId="5" xfId="0" applyNumberFormat="1" applyFont="1" applyFill="1" applyBorder="1" applyAlignment="1">
      <x:alignment horizontal="right"/>
    </x:xf>
    <x:xf numFmtId="0" fontId="2" fillId="0" borderId="6" xfId="0" applyNumberFormat="1" applyFont="1" applyFill="1" applyBorder="1"/>
    <x:xf numFmtId="203" fontId="2" fillId="9" borderId="6" xfId="0" applyNumberFormat="1" applyFont="1" applyFill="1" applyBorder="1" applyAlignment="1">
      <x:alignment horizontal="right"/>
    </x:xf>
    <x:xf numFmtId="203" fontId="2" fillId="10" borderId="6" xfId="0" applyNumberFormat="1" applyFont="1" applyFill="1" applyBorder="1" applyAlignment="1">
      <x:alignment horizontal="right"/>
    </x:xf>
    <x:xf numFmtId="203" fontId="2" fillId="8" borderId="6" xfId="0" applyNumberFormat="1" applyFont="1" applyFill="1" applyBorder="1" applyAlignment="1">
      <x:alignment horizontal="right"/>
    </x:xf>
    <x:xf numFmtId="0" fontId="0" fillId="3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202" fontId="5" fillId="9" borderId="0" xfId="0" applyNumberFormat="1" applyFont="1" applyFill="1" applyBorder="1" applyAlignment="1">
      <x:alignment horizontal="right" vertical="center"/>
    </x:xf>
    <x:xf numFmtId="202" fontId="0" fillId="10" borderId="0" xfId="0" applyNumberFormat="1" applyFont="1" applyFill="1" applyBorder="1" applyAlignment="1">
      <x:alignment horizontal="right" vertical="center"/>
    </x:xf>
    <x:xf numFmtId="202" fontId="5" fillId="8" borderId="0" xfId="0" applyNumberFormat="1" applyFont="1" applyFill="1" applyBorder="1" applyAlignment="1">
      <x:alignment horizontal="right" vertical="center"/>
    </x:xf>
    <x:xf numFmtId="203" fontId="5" fillId="9" borderId="0" xfId="0" applyNumberFormat="1" applyFont="1" applyFill="1" applyBorder="1" applyAlignment="1">
      <x:alignment horizontal="right" vertical="center"/>
    </x:xf>
    <x:xf numFmtId="203" fontId="0" fillId="10" borderId="0" xfId="0" applyNumberFormat="1" applyFont="1" applyFill="1" applyBorder="1" applyAlignment="1">
      <x:alignment horizontal="right" vertical="center"/>
    </x:xf>
    <x:xf numFmtId="203" fontId="5" fillId="8" borderId="0" xfId="0" applyNumberFormat="1" applyFont="1" applyFill="1" applyBorder="1" applyAlignment="1">
      <x:alignment horizontal="right" vertical="center"/>
    </x:xf>
    <x:xf numFmtId="204" fontId="0" fillId="9" borderId="0" xfId="0" applyNumberFormat="1" applyFont="1" applyFill="1" applyBorder="1" applyAlignment="1">
      <x:alignment horizontal="right" vertical="center"/>
    </x:xf>
    <x:xf numFmtId="204" fontId="0" fillId="10" borderId="0" xfId="0" applyNumberFormat="1" applyFont="1" applyFill="1" applyBorder="1" applyAlignment="1">
      <x:alignment horizontal="right" vertical="center"/>
    </x:xf>
    <x:xf numFmtId="204" fontId="5" fillId="8" borderId="0" xfId="0" applyNumberFormat="1" applyFont="1" applyFill="1" applyBorder="1" applyAlignment="1">
      <x:alignment horizontal="right" vertical="center"/>
    </x:xf>
    <x:xf numFmtId="202" fontId="0" fillId="8" borderId="0" xfId="0" applyNumberFormat="1" applyFont="1" applyFill="1" applyBorder="1" applyAlignment="1">
      <x:alignment horizontal="right" vertical="center"/>
    </x:xf>
    <x:xf numFmtId="0" fontId="0" fillId="9" borderId="0" xfId="0" applyNumberFormat="1" applyFont="1" applyFill="1" applyBorder="1" applyAlignment="1">
      <x:alignment horizontal="right" vertical="center"/>
    </x:xf>
    <x:xf numFmtId="0" fontId="0" fillId="10" borderId="0" xfId="0" applyNumberFormat="1" applyFont="1" applyFill="1" applyBorder="1" applyAlignment="1">
      <x:alignment horizontal="right" vertical="center"/>
    </x:xf>
    <x:xf numFmtId="0" fontId="0" fillId="8" borderId="0" xfId="0" applyNumberFormat="1" applyFont="1" applyFill="1" applyBorder="1" applyAlignment="1">
      <x:alignment horizontal="right" vertical="center"/>
    </x:xf>
    <x:xf numFmtId="201" fontId="5" fillId="9" borderId="0" xfId="0" applyNumberFormat="1" applyFont="1" applyFill="1" applyBorder="1" applyAlignment="1">
      <x:alignment horizontal="right" vertical="center"/>
    </x:xf>
    <x:xf numFmtId="201" fontId="0" fillId="10" borderId="0" xfId="0" applyNumberFormat="1" applyFont="1" applyFill="1" applyBorder="1" applyAlignment="1">
      <x:alignment horizontal="right" vertical="center"/>
    </x:xf>
    <x:xf numFmtId="201" fontId="5" fillId="8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 applyAlignment="1">
      <x:alignment vertical="center"/>
    </x:xf>
    <x:xf numFmtId="201" fontId="2" fillId="9" borderId="0" xfId="0" applyNumberFormat="1" applyFont="1" applyFill="1" applyBorder="1" applyAlignment="1">
      <x:alignment horizontal="right" vertical="center"/>
    </x:xf>
    <x:xf numFmtId="201" fontId="2" fillId="10" borderId="0" xfId="0" applyNumberFormat="1" applyFont="1" applyFill="1" applyBorder="1" applyAlignment="1">
      <x:alignment horizontal="right" vertical="center"/>
    </x:xf>
    <x:xf numFmtId="201" fontId="2" fillId="8" borderId="0" xfId="0" applyNumberFormat="1" applyFont="1" applyFill="1" applyBorder="1" applyAlignment="1">
      <x:alignment horizontal="right" vertical="center"/>
    </x:xf>
    <x:xf numFmtId="202" fontId="2" fillId="9" borderId="0" xfId="0" applyNumberFormat="1" applyFont="1" applyFill="1" applyBorder="1" applyAlignment="1">
      <x:alignment horizontal="right" vertical="center"/>
    </x:xf>
    <x:xf numFmtId="202" fontId="2" fillId="10" borderId="0" xfId="0" applyNumberFormat="1" applyFont="1" applyFill="1" applyBorder="1" applyAlignment="1">
      <x:alignment horizontal="right" vertical="center"/>
    </x:xf>
    <x:xf numFmtId="202" fontId="2" fillId="8" borderId="0" xfId="0" applyNumberFormat="1" applyFont="1" applyFill="1" applyBorder="1" applyAlignment="1">
      <x:alignment horizontal="right" vertical="center"/>
    </x:xf>
    <x:xf numFmtId="202" fontId="0" fillId="9" borderId="0" xfId="0" applyNumberFormat="1" applyFont="1" applyFill="1" applyBorder="1" applyAlignment="1">
      <x:alignment horizontal="right" vertical="center"/>
    </x:xf>
    <x:xf numFmtId="201" fontId="0" fillId="9" borderId="0" xfId="0" applyNumberFormat="1" applyFont="1" applyFill="1" applyBorder="1" applyAlignment="1">
      <x:alignment horizontal="right" vertical="center"/>
    </x:xf>
    <x:xf numFmtId="201" fontId="0" fillId="8" borderId="0" xfId="0" applyNumberFormat="1" applyFont="1" applyFill="1" applyBorder="1" applyAlignment="1">
      <x:alignment horizontal="right" vertical="center"/>
    </x:xf>
    <x:xf numFmtId="0" fontId="2" fillId="0" borderId="5" xfId="0" applyNumberFormat="1" applyFont="1" applyFill="1" applyBorder="1" applyAlignment="1">
      <x:alignment vertical="center"/>
    </x:xf>
    <x:xf numFmtId="201" fontId="2" fillId="9" borderId="5" xfId="0" applyNumberFormat="1" applyFont="1" applyFill="1" applyBorder="1" applyAlignment="1">
      <x:alignment horizontal="right" vertical="center"/>
    </x:xf>
    <x:xf numFmtId="201" fontId="2" fillId="10" borderId="5" xfId="0" applyNumberFormat="1" applyFont="1" applyFill="1" applyBorder="1" applyAlignment="1">
      <x:alignment horizontal="right" vertical="center"/>
    </x:xf>
    <x:xf numFmtId="201" fontId="2" fillId="8" borderId="5" xfId="0" applyNumberFormat="1" applyFont="1" applyFill="1" applyBorder="1" applyAlignment="1">
      <x:alignment horizontal="right" vertical="center"/>
    </x:xf>
    <x:xf numFmtId="0" fontId="8" fillId="9" borderId="0" xfId="0" applyNumberFormat="1" applyFont="1" applyFill="1" applyBorder="1" applyAlignment="1">
      <x:alignment horizontal="center" vertical="center"/>
    </x:xf>
    <x:xf numFmtId="0" fontId="8" fillId="10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203" fontId="0" fillId="9" borderId="0" xfId="0" applyNumberFormat="1" applyFont="1" applyFill="1" applyBorder="1" applyAlignment="1">
      <x:alignment horizontal="right" vertical="center"/>
    </x:xf>
    <x:xf numFmtId="203" fontId="0" fillId="8" borderId="0" xfId="0" applyNumberFormat="1" applyFont="1" applyFill="1" applyBorder="1" applyAlignment="1">
      <x:alignment horizontal="right" vertical="center"/>
    </x:xf>
    <x:xf numFmtId="0" fontId="2" fillId="0" borderId="6" xfId="0" applyNumberFormat="1" applyFont="1" applyFill="1" applyBorder="1" applyAlignment="1">
      <x:alignment vertical="center"/>
    </x:xf>
    <x:xf numFmtId="203" fontId="2" fillId="9" borderId="6" xfId="0" applyNumberFormat="1" applyFont="1" applyFill="1" applyBorder="1" applyAlignment="1">
      <x:alignment horizontal="right" vertical="center"/>
    </x:xf>
    <x:xf numFmtId="203" fontId="2" fillId="10" borderId="6" xfId="0" applyNumberFormat="1" applyFont="1" applyFill="1" applyBorder="1" applyAlignment="1">
      <x:alignment horizontal="right" vertical="center"/>
    </x:xf>
    <x:xf numFmtId="203" fontId="2" fillId="8" borderId="6" xfId="0" applyNumberFormat="1" applyFont="1" applyFill="1" applyBorder="1" applyAlignment="1">
      <x:alignment horizontal="right" vertical="center"/>
    </x:xf>
    <x:xf numFmtId="0" fontId="0" fillId="0" borderId="0" xfId="0" applyNumberFormat="1" applyFont="1" applyFill="1" applyBorder="1" applyAlignment="1">
      <x:alignment vertical="center"/>
    </x:xf>
    <x:xf numFmtId="200" fontId="5" fillId="8" borderId="2" xfId="0" applyNumberFormat="1" applyFont="1" applyFill="1" applyBorder="1" applyAlignment="1">
      <x:alignment vertical="center"/>
    </x:xf>
    <x:xf numFmtId="201" fontId="5" fillId="8" borderId="3" xfId="0" applyNumberFormat="1" applyFont="1" applyFill="1" applyBorder="1" applyAlignment="1">
      <x:alignment vertical="center"/>
    </x:xf>
    <x:xf numFmtId="202" fontId="5" fillId="8" borderId="3" xfId="0" applyNumberFormat="1" applyFont="1" applyFill="1" applyBorder="1" applyAlignment="1">
      <x:alignment vertical="center"/>
    </x:xf>
    <x:xf numFmtId="202" fontId="5" fillId="8" borderId="4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4"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e5d8391e204195" /><Relationship Type="http://schemas.openxmlformats.org/officeDocument/2006/relationships/theme" Target="/xl/theme/theme1.xml" Id="Rfae52c5860844b25" /><Relationship Type="http://schemas.openxmlformats.org/officeDocument/2006/relationships/sharedStrings" Target="/xl/sharedStrings.xml" Id="R4ae98931d7de467a" /><Relationship Type="http://schemas.openxmlformats.org/officeDocument/2006/relationships/worksheet" Target="/xl/worksheets/sheet1.xml" Id="Rfd18c3cb44c84b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88999938964844" hidden="0" customWidth="1"/>
    <x:col min="2" max="2" width="9.109999656677246" hidden="0" customWidth="1"/>
    <x:col min="3" max="3" width="9.109999656677246" hidden="0" customWidth="1"/>
    <x:col min="4" max="4" width="9.109999656677246" hidden="0" customWidth="1"/>
    <x:col min="5" max="5" width="9.109999656677246" hidden="0" customWidth="1"/>
    <x:col min="6" max="6" width="9.109999656677246" hidden="0" customWidth="1"/>
    <x:col min="7" max="7" width="9.109999656677246" hidden="0" customWidth="1"/>
    <x:col min="8" max="8" width="9.109999656677246" hidden="0" customWidth="1"/>
    <x:col min="9" max="9" width="9.109999656677246" hidden="0" customWidth="1"/>
    <x:col min="10" max="10" width="9.109999656677246" hidden="0" customWidth="1"/>
    <x:col min="11" max="11" width="9.109999656677246" hidden="0" customWidth="1"/>
    <x:col min="12" max="12" width="9.109999656677246" hidden="0" customWidth="1"/>
    <x:col min="13" max="13" width="9.109999656677246" hidden="0" customWidth="1"/>
    <x:col min="14" max="14" width="9.109999656677246" hidden="0" customWidth="1"/>
    <x:col min="15" max="15" width="9.109999656677246" hidden="0" customWidth="1"/>
    <x:col min="16" max="16" width="9.109999656677246" hidden="0" customWidth="1"/>
    <x:col min="17" max="17" width="9.109999656677246" hidden="0" customWidth="1"/>
    <x:col min="18" max="18" width="9.109999656677246" hidden="0" customWidth="1"/>
    <x:col min="19" max="19" width="9.109999656677246" hidden="0" customWidth="1"/>
    <x:col min="20" max="20" width="9.109999656677246" hidden="0" customWidth="1"/>
    <x:col min="21" max="21" width="9.109999656677246" hidden="0" customWidth="1"/>
    <x:col min="22" max="22" width="9.109999656677246" hidden="0" customWidth="1"/>
    <x:col min="23" max="23" width="9.109999656677246" hidden="0" customWidth="1"/>
    <x:col min="24" max="24" width="9.109999656677246" hidden="0" customWidth="1"/>
    <x:col min="25" max="25" width="9.109999656677246" hidden="0" customWidth="1"/>
    <x:col min="26" max="26" width="9.109999656677246" hidden="0" customWidth="1"/>
    <x:col min="27" max="27" width="9.109999656677246" hidden="0" customWidth="1"/>
    <x:col min="28" max="28" width="9.109999656677246" hidden="0" customWidth="1"/>
    <x:col min="29" max="29" width="9.109999656677246" hidden="0" customWidth="1"/>
    <x:col min="30" max="30" width="9.109999656677246" hidden="0" customWidth="1"/>
    <x:col min="31" max="31" width="9.109999656677246" hidden="0" customWidth="1"/>
    <x:col min="32" max="32" width="9.109999656677246" hidden="0" customWidth="1"/>
    <x:col min="33" max="33" width="9.109999656677246" hidden="0" customWidth="1"/>
    <x:col min="34" max="34" width="9.109999656677246" hidden="0" customWidth="1"/>
    <x:col min="35" max="35" width="9.109999656677246" hidden="0" customWidth="1"/>
    <x:col min="36" max="36" width="9.109999656677246" hidden="0" customWidth="1"/>
    <x:col min="37" max="37" width="9.109999656677246" hidden="0" customWidth="1"/>
  </x:cols>
  <x:sheetData>
    <x:row r="1" ht="34" customHeight="1">
      <x:c r="A1" s="3" t="str">
        <x:v>EO Accelerator 12-Month Cash Forecast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</x:row>
    <x:row r="2" ht="8" customHeight="1">
      <x:c r="A2" s="114"/>
      <x:c r="B2" s="114"/>
      <x:c r="C2" s="114"/>
      <x:c r="D2" s="114"/>
      <x:c r="E2" s="114"/>
      <x:c r="F2" s="114"/>
      <x:c r="G2" s="114"/>
      <x:c r="H2" s="114"/>
      <x:c r="I2" s="114"/>
      <x:c r="J2" s="114"/>
      <x:c r="K2" s="114"/>
      <x:c r="L2" s="114"/>
      <x:c r="M2" s="114"/>
      <x:c r="N2" s="114"/>
      <x:c r="O2" s="114"/>
      <x:c r="P2" s="114"/>
      <x:c r="Q2" s="114"/>
      <x:c r="R2" s="114"/>
      <x:c r="S2" s="114"/>
      <x:c r="T2" s="114"/>
      <x:c r="U2" s="114"/>
      <x:c r="V2" s="114"/>
      <x:c r="W2" s="114"/>
      <x:c r="X2" s="114"/>
      <x:c r="Y2" s="114"/>
      <x:c r="Z2" s="114"/>
      <x:c r="AA2" s="114"/>
      <x:c r="AB2" s="114"/>
      <x:c r="AC2" s="114"/>
      <x:c r="AD2" s="114"/>
      <x:c r="AE2" s="114"/>
      <x:c r="AF2" s="114"/>
      <x:c r="AG2" s="114"/>
      <x:c r="AH2" s="114"/>
      <x:c r="AI2" s="114"/>
      <x:c r="AJ2" s="114"/>
      <x:c r="AK2" s="114"/>
    </x:row>
    <x:row r="3">
      <x:c r="A3" s="7" t="str">
        <x:v>Model row</x:v>
      </x:c>
      <x:c r="B3" s="25" t="n">
        <x:v>46722</x:v>
      </x:c>
      <x:c r="C3" s="25" t="n">
        <x:v>46722</x:v>
      </x:c>
      <x:c r="D3" s="25" t="n">
        <x:v>46722</x:v>
      </x:c>
      <x:c r="E3" s="11" t="n">
        <x:v>46692</x:v>
      </x:c>
      <x:c r="F3" s="11" t="n">
        <x:v>46692</x:v>
      </x:c>
      <x:c r="G3" s="11" t="n">
        <x:v>46692</x:v>
      </x:c>
      <x:c r="H3" s="25" t="n">
        <x:v>46661</x:v>
      </x:c>
      <x:c r="I3" s="25" t="n">
        <x:v>46661</x:v>
      </x:c>
      <x:c r="J3" s="25" t="n">
        <x:v>46661</x:v>
      </x:c>
      <x:c r="K3" s="11" t="n">
        <x:v>46631</x:v>
      </x:c>
      <x:c r="L3" s="11" t="n">
        <x:v>46631</x:v>
      </x:c>
      <x:c r="M3" s="11" t="n">
        <x:v>46631</x:v>
      </x:c>
      <x:c r="N3" s="25" t="n">
        <x:v>46600</x:v>
      </x:c>
      <x:c r="O3" s="25" t="n">
        <x:v>46600</x:v>
      </x:c>
      <x:c r="P3" s="25" t="n">
        <x:v>46600</x:v>
      </x:c>
      <x:c r="Q3" s="11" t="n">
        <x:v>46569</x:v>
      </x:c>
      <x:c r="R3" s="11" t="n">
        <x:v>46569</x:v>
      </x:c>
      <x:c r="S3" s="11" t="n">
        <x:v>46569</x:v>
      </x:c>
      <x:c r="T3" s="25" t="n">
        <x:v>46539</x:v>
      </x:c>
      <x:c r="U3" s="25" t="n">
        <x:v>46539</x:v>
      </x:c>
      <x:c r="V3" s="25" t="n">
        <x:v>46539</x:v>
      </x:c>
      <x:c r="W3" s="11" t="n">
        <x:v>46508</x:v>
      </x:c>
      <x:c r="X3" s="11" t="n">
        <x:v>46508</x:v>
      </x:c>
      <x:c r="Y3" s="11" t="n">
        <x:v>46508</x:v>
      </x:c>
      <x:c r="Z3" s="25" t="n">
        <x:v>46478</x:v>
      </x:c>
      <x:c r="AA3" s="25" t="n">
        <x:v>46478</x:v>
      </x:c>
      <x:c r="AB3" s="25" t="n">
        <x:v>46478</x:v>
      </x:c>
      <x:c r="AC3" s="11" t="n">
        <x:v>46447</x:v>
      </x:c>
      <x:c r="AD3" s="11" t="n">
        <x:v>46447</x:v>
      </x:c>
      <x:c r="AE3" s="11" t="n">
        <x:v>46447</x:v>
      </x:c>
      <x:c r="AF3" s="25" t="n">
        <x:v>46419</x:v>
      </x:c>
      <x:c r="AG3" s="25" t="n">
        <x:v>46419</x:v>
      </x:c>
      <x:c r="AH3" s="25" t="n">
        <x:v>46419</x:v>
      </x:c>
      <x:c r="AI3" s="11" t="n">
        <x:v>46388</x:v>
      </x:c>
      <x:c r="AJ3" s="11" t="n">
        <x:v>46388</x:v>
      </x:c>
      <x:c r="AK3" s="11" t="n">
        <x:v>46388</x:v>
      </x:c>
    </x:row>
    <x:row r="4">
      <x:c r="A4" s="7"/>
      <x:c r="B4" s="115" t="str">
        <x:v>Actual</x:v>
      </x:c>
      <x:c r="C4" s="116" t="str">
        <x:v>Rolling</x:v>
      </x:c>
      <x:c r="D4" s="117" t="str">
        <x:v>Approved</x:v>
      </x:c>
      <x:c r="E4" s="115" t="str">
        <x:v>Actual</x:v>
      </x:c>
      <x:c r="F4" s="116" t="str">
        <x:v>Rolling</x:v>
      </x:c>
      <x:c r="G4" s="117" t="str">
        <x:v>Approved</x:v>
      </x:c>
      <x:c r="H4" s="115" t="str">
        <x:v>Actual</x:v>
      </x:c>
      <x:c r="I4" s="116" t="str">
        <x:v>Rolling</x:v>
      </x:c>
      <x:c r="J4" s="117" t="str">
        <x:v>Approved</x:v>
      </x:c>
      <x:c r="K4" s="115" t="str">
        <x:v>Actual</x:v>
      </x:c>
      <x:c r="L4" s="116" t="str">
        <x:v>Rolling</x:v>
      </x:c>
      <x:c r="M4" s="117" t="str">
        <x:v>Approved</x:v>
      </x:c>
      <x:c r="N4" s="115" t="str">
        <x:v>Actual</x:v>
      </x:c>
      <x:c r="O4" s="116" t="str">
        <x:v>Rolling</x:v>
      </x:c>
      <x:c r="P4" s="117" t="str">
        <x:v>Approved</x:v>
      </x:c>
      <x:c r="Q4" s="115" t="str">
        <x:v>Actual</x:v>
      </x:c>
      <x:c r="R4" s="116" t="str">
        <x:v>Rolling</x:v>
      </x:c>
      <x:c r="S4" s="117" t="str">
        <x:v>Approved</x:v>
      </x:c>
      <x:c r="T4" s="115" t="str">
        <x:v>Actual</x:v>
      </x:c>
      <x:c r="U4" s="116" t="str">
        <x:v>Rolling</x:v>
      </x:c>
      <x:c r="V4" s="117" t="str">
        <x:v>Approved</x:v>
      </x:c>
      <x:c r="W4" s="115" t="str">
        <x:v>Actual</x:v>
      </x:c>
      <x:c r="X4" s="116" t="str">
        <x:v>Rolling</x:v>
      </x:c>
      <x:c r="Y4" s="117" t="str">
        <x:v>Approved</x:v>
      </x:c>
      <x:c r="Z4" s="115" t="str">
        <x:v>Actual</x:v>
      </x:c>
      <x:c r="AA4" s="116" t="str">
        <x:v>Rolling</x:v>
      </x:c>
      <x:c r="AB4" s="117" t="str">
        <x:v>Approved</x:v>
      </x:c>
      <x:c r="AC4" s="115" t="str">
        <x:v>Actual</x:v>
      </x:c>
      <x:c r="AD4" s="116" t="str">
        <x:v>Rolling</x:v>
      </x:c>
      <x:c r="AE4" s="117" t="str">
        <x:v>Approved</x:v>
      </x:c>
      <x:c r="AF4" s="115" t="str">
        <x:v>Actual</x:v>
      </x:c>
      <x:c r="AG4" s="116" t="str">
        <x:v>Rolling</x:v>
      </x:c>
      <x:c r="AH4" s="117" t="str">
        <x:v>Approved</x:v>
      </x:c>
      <x:c r="AI4" s="115" t="str">
        <x:v>Actual</x:v>
      </x:c>
      <x:c r="AJ4" s="116" t="str">
        <x:v>Rolling</x:v>
      </x:c>
      <x:c r="AK4" s="117" t="str">
        <x:v>Approved</x:v>
      </x:c>
    </x:row>
    <x:row r="5" ht="22" customHeight="1">
      <x:c r="A5" s="27" t="str">
        <x:v>MARKETING</x:v>
      </x:c>
      <x:c r="B5" s="27" t="str">
        <x:v>MARKETING</x:v>
      </x:c>
      <x:c r="C5" s="27" t="str">
        <x:v>MARKETING</x:v>
      </x:c>
      <x:c r="D5" s="27" t="str">
        <x:v>MARKETING</x:v>
      </x:c>
      <x:c r="E5" s="27" t="str">
        <x:v>MARKETING</x:v>
      </x:c>
      <x:c r="F5" s="27" t="str">
        <x:v>MARKETING</x:v>
      </x:c>
      <x:c r="G5" s="27" t="str">
        <x:v>MARKETING</x:v>
      </x:c>
      <x:c r="H5" s="27" t="str">
        <x:v>MARKETING</x:v>
      </x:c>
      <x:c r="I5" s="27" t="str">
        <x:v>MARKETING</x:v>
      </x:c>
      <x:c r="J5" s="27" t="str">
        <x:v>MARKETING</x:v>
      </x:c>
      <x:c r="K5" s="27" t="str">
        <x:v>MARKETING</x:v>
      </x:c>
      <x:c r="L5" s="27" t="str">
        <x:v>MARKETING</x:v>
      </x:c>
      <x:c r="M5" s="27" t="str">
        <x:v>MARKETING</x:v>
      </x:c>
      <x:c r="N5" s="27" t="str">
        <x:v>MARKETING</x:v>
      </x:c>
      <x:c r="O5" s="27" t="str">
        <x:v>MARKETING</x:v>
      </x:c>
      <x:c r="P5" s="27" t="str">
        <x:v>MARKETING</x:v>
      </x:c>
      <x:c r="Q5" s="27" t="str">
        <x:v>MARKETING</x:v>
      </x:c>
      <x:c r="R5" s="27" t="str">
        <x:v>MARKETING</x:v>
      </x:c>
      <x:c r="S5" s="27" t="str">
        <x:v>MARKETING</x:v>
      </x:c>
      <x:c r="T5" s="27" t="str">
        <x:v>MARKETING</x:v>
      </x:c>
      <x:c r="U5" s="27" t="str">
        <x:v>MARKETING</x:v>
      </x:c>
      <x:c r="V5" s="27" t="str">
        <x:v>MARKETING</x:v>
      </x:c>
      <x:c r="W5" s="27" t="str">
        <x:v>MARKETING</x:v>
      </x:c>
      <x:c r="X5" s="27" t="str">
        <x:v>MARKETING</x:v>
      </x:c>
      <x:c r="Y5" s="27" t="str">
        <x:v>MARKETING</x:v>
      </x:c>
      <x:c r="Z5" s="27" t="str">
        <x:v>MARKETING</x:v>
      </x:c>
      <x:c r="AA5" s="27" t="str">
        <x:v>MARKETING</x:v>
      </x:c>
      <x:c r="AB5" s="27" t="str">
        <x:v>MARKETING</x:v>
      </x:c>
      <x:c r="AC5" s="27" t="str">
        <x:v>MARKETING</x:v>
      </x:c>
      <x:c r="AD5" s="27" t="str">
        <x:v>MARKETING</x:v>
      </x:c>
      <x:c r="AE5" s="27" t="str">
        <x:v>MARKETING</x:v>
      </x:c>
      <x:c r="AF5" s="27" t="str">
        <x:v>MARKETING</x:v>
      </x:c>
      <x:c r="AG5" s="27" t="str">
        <x:v>MARKETING</x:v>
      </x:c>
      <x:c r="AH5" s="27" t="str">
        <x:v>MARKETING</x:v>
      </x:c>
      <x:c r="AI5" s="27" t="str">
        <x:v>MARKETING</x:v>
      </x:c>
      <x:c r="AJ5" s="27" t="str">
        <x:v>MARKETING</x:v>
      </x:c>
      <x:c r="AK5" s="27" t="str">
        <x:v>MARKETING</x:v>
      </x:c>
    </x:row>
    <x:row r="6" ht="22" customHeight="1">
      <x:c r="A6" s="118" t="str">
        <x:v>Prospect enquiries</x:v>
      </x:c>
      <x:c r="B6" s="119"/>
      <x:c r="C6" s="120" t="n">
        <x:f>IF(B6&lt;&gt;"",B6,D6)</x:f>
        <x:v>127</x:v>
      </x:c>
      <x:c r="D6" s="121" t="n">
        <x:v>127</x:v>
      </x:c>
      <x:c r="E6" s="119"/>
      <x:c r="F6" s="120" t="n">
        <x:f>IF(E6&lt;&gt;"",E6,G6)</x:f>
        <x:v>125</x:v>
      </x:c>
      <x:c r="G6" s="121" t="n">
        <x:v>125</x:v>
      </x:c>
      <x:c r="H6" s="119"/>
      <x:c r="I6" s="120" t="n">
        <x:f>IF(H6&lt;&gt;"",H6,J6)</x:f>
        <x:v>122</x:v>
      </x:c>
      <x:c r="J6" s="121" t="n">
        <x:v>122</x:v>
      </x:c>
      <x:c r="K6" s="119"/>
      <x:c r="L6" s="120" t="n">
        <x:f>IF(K6&lt;&gt;"",K6,M6)</x:f>
        <x:v>120</x:v>
      </x:c>
      <x:c r="M6" s="121" t="n">
        <x:v>120</x:v>
      </x:c>
      <x:c r="N6" s="119"/>
      <x:c r="O6" s="120" t="n">
        <x:f>IF(N6&lt;&gt;"",N6,P6)</x:f>
        <x:v>117</x:v>
      </x:c>
      <x:c r="P6" s="121" t="n">
        <x:v>117</x:v>
      </x:c>
      <x:c r="Q6" s="119"/>
      <x:c r="R6" s="120" t="n">
        <x:f>IF(Q6&lt;&gt;"",Q6,S6)</x:f>
        <x:v>115</x:v>
      </x:c>
      <x:c r="S6" s="121" t="n">
        <x:v>115</x:v>
      </x:c>
      <x:c r="T6" s="119"/>
      <x:c r="U6" s="120" t="n">
        <x:f>IF(T6&lt;&gt;"",T6,V6)</x:f>
        <x:v>112</x:v>
      </x:c>
      <x:c r="V6" s="121" t="n">
        <x:v>112</x:v>
      </x:c>
      <x:c r="W6" s="119"/>
      <x:c r="X6" s="120" t="n">
        <x:f>IF(W6&lt;&gt;"",W6,Y6)</x:f>
        <x:v>110</x:v>
      </x:c>
      <x:c r="Y6" s="121" t="n">
        <x:v>110</x:v>
      </x:c>
      <x:c r="Z6" s="119"/>
      <x:c r="AA6" s="120" t="n">
        <x:f>IF(Z6&lt;&gt;"",Z6,AB6)</x:f>
        <x:v>107</x:v>
      </x:c>
      <x:c r="AB6" s="121" t="n">
        <x:v>107</x:v>
      </x:c>
      <x:c r="AC6" s="119"/>
      <x:c r="AD6" s="120" t="n">
        <x:f>IF(AC6&lt;&gt;"",AC6,AE6)</x:f>
        <x:v>105</x:v>
      </x:c>
      <x:c r="AE6" s="121" t="n">
        <x:v>105</x:v>
      </x:c>
      <x:c r="AF6" s="119" t="n">
        <x:v>95</x:v>
      </x:c>
      <x:c r="AG6" s="120" t="n">
        <x:f>IF(AF6&lt;&gt;"",AF6,AH6)</x:f>
        <x:v>95</x:v>
      </x:c>
      <x:c r="AH6" s="121" t="n">
        <x:v>102</x:v>
      </x:c>
      <x:c r="AI6" s="119" t="n">
        <x:v>90</x:v>
      </x:c>
      <x:c r="AJ6" s="120" t="n">
        <x:f>IF(AI6&lt;&gt;"",AI6,AK6)</x:f>
        <x:v>90</x:v>
      </x:c>
      <x:c r="AK6" s="121" t="n">
        <x:v>100</x:v>
      </x:c>
    </x:row>
    <x:row r="7" ht="22" customHeight="1">
      <x:c r="A7" s="118" t="str">
        <x:v>Marketing timing in months</x:v>
      </x:c>
      <x:c r="B7" s="122"/>
      <x:c r="C7" s="123" t="n">
        <x:f>IF(B7&lt;&gt;"",B7,D7)</x:f>
        <x:v>0</x:v>
      </x:c>
      <x:c r="D7" s="124" t="n">
        <x:v>0</x:v>
      </x:c>
      <x:c r="E7" s="122"/>
      <x:c r="F7" s="123" t="n">
        <x:f>IF(E7&lt;&gt;"",E7,G7)</x:f>
        <x:v>0</x:v>
      </x:c>
      <x:c r="G7" s="124" t="n">
        <x:v>0</x:v>
      </x:c>
      <x:c r="H7" s="122"/>
      <x:c r="I7" s="123" t="n">
        <x:f>IF(H7&lt;&gt;"",H7,J7)</x:f>
        <x:v>0</x:v>
      </x:c>
      <x:c r="J7" s="124" t="n">
        <x:v>0</x:v>
      </x:c>
      <x:c r="K7" s="122"/>
      <x:c r="L7" s="123" t="n">
        <x:f>IF(K7&lt;&gt;"",K7,M7)</x:f>
        <x:v>0</x:v>
      </x:c>
      <x:c r="M7" s="124" t="n">
        <x:v>0</x:v>
      </x:c>
      <x:c r="N7" s="122"/>
      <x:c r="O7" s="123" t="n">
        <x:f>IF(N7&lt;&gt;"",N7,P7)</x:f>
        <x:v>0</x:v>
      </x:c>
      <x:c r="P7" s="124" t="n">
        <x:v>0</x:v>
      </x:c>
      <x:c r="Q7" s="122"/>
      <x:c r="R7" s="123" t="n">
        <x:f>IF(Q7&lt;&gt;"",Q7,S7)</x:f>
        <x:v>0</x:v>
      </x:c>
      <x:c r="S7" s="124" t="n">
        <x:v>0</x:v>
      </x:c>
      <x:c r="T7" s="122"/>
      <x:c r="U7" s="123" t="n">
        <x:f>IF(T7&lt;&gt;"",T7,V7)</x:f>
        <x:v>0</x:v>
      </x:c>
      <x:c r="V7" s="124" t="n">
        <x:v>0</x:v>
      </x:c>
      <x:c r="W7" s="122"/>
      <x:c r="X7" s="123" t="n">
        <x:f>IF(W7&lt;&gt;"",W7,Y7)</x:f>
        <x:v>0</x:v>
      </x:c>
      <x:c r="Y7" s="124" t="n">
        <x:v>0</x:v>
      </x:c>
      <x:c r="Z7" s="122"/>
      <x:c r="AA7" s="123" t="n">
        <x:f>IF(Z7&lt;&gt;"",Z7,AB7)</x:f>
        <x:v>0</x:v>
      </x:c>
      <x:c r="AB7" s="124" t="n">
        <x:v>0</x:v>
      </x:c>
      <x:c r="AC7" s="122"/>
      <x:c r="AD7" s="123" t="n">
        <x:f>IF(AC7&lt;&gt;"",AC7,AE7)</x:f>
        <x:v>0</x:v>
      </x:c>
      <x:c r="AE7" s="124" t="n">
        <x:v>0</x:v>
      </x:c>
      <x:c r="AF7" s="122" t="n">
        <x:v>0</x:v>
      </x:c>
      <x:c r="AG7" s="123" t="n">
        <x:f>IF(AF7&lt;&gt;"",AF7,AH7)</x:f>
        <x:v>0</x:v>
      </x:c>
      <x:c r="AH7" s="124" t="n">
        <x:v>0</x:v>
      </x:c>
      <x:c r="AI7" s="122" t="n">
        <x:v>0</x:v>
      </x:c>
      <x:c r="AJ7" s="123" t="n">
        <x:f>IF(AI7&lt;&gt;"",AI7,AK7)</x:f>
        <x:v>0</x:v>
      </x:c>
      <x:c r="AK7" s="124" t="n">
        <x:v>0</x:v>
      </x:c>
    </x:row>
    <x:row r="8" ht="22" customHeight="1">
      <x:c r="A8" s="118" t="str">
        <x:v>Qualification rate</x:v>
      </x:c>
      <x:c r="B8" s="125" t="str">
        <x:f>IFERROR(IF(B9="","",B9/IF(B$7&gt;=12,$B$58,INDEX($B$6:$AK$6,1,MIN(36,MAX(1,1+3*B$7+0))))),"")</x:f>
      </x:c>
      <x:c r="C8" s="126" t="n">
        <x:f>IF(B8&lt;&gt;"",B8,D8)</x:f>
        <x:v>0.4</x:v>
      </x:c>
      <x:c r="D8" s="127" t="n">
        <x:v>0.4</x:v>
      </x:c>
      <x:c r="E8" s="125" t="str">
        <x:f>IFERROR(IF(E9="","",E9/IF(E$7&gt;=11,$B$58,INDEX($B$6:$AK$6,1,MIN(36,MAX(1,4+3*E$7+0))))),"")</x:f>
      </x:c>
      <x:c r="F8" s="126" t="n">
        <x:f>IF(E8&lt;&gt;"",E8,G8)</x:f>
        <x:v>0.4</x:v>
      </x:c>
      <x:c r="G8" s="127" t="n">
        <x:v>0.4</x:v>
      </x:c>
      <x:c r="H8" s="125" t="str">
        <x:f>IFERROR(IF(H9="","",H9/IF(H$7&gt;=10,$B$58,INDEX($B$6:$AK$6,1,MIN(36,MAX(1,7+3*H$7+0))))),"")</x:f>
      </x:c>
      <x:c r="I8" s="126" t="n">
        <x:f>IF(H8&lt;&gt;"",H8,J8)</x:f>
        <x:v>0.4</x:v>
      </x:c>
      <x:c r="J8" s="127" t="n">
        <x:v>0.4</x:v>
      </x:c>
      <x:c r="K8" s="125" t="str">
        <x:f>IFERROR(IF(K9="","",K9/IF(K$7&gt;=9,$B$58,INDEX($B$6:$AK$6,1,MIN(36,MAX(1,10+3*K$7+0))))),"")</x:f>
      </x:c>
      <x:c r="L8" s="126" t="n">
        <x:f>IF(K8&lt;&gt;"",K8,M8)</x:f>
        <x:v>0.4</x:v>
      </x:c>
      <x:c r="M8" s="127" t="n">
        <x:v>0.4</x:v>
      </x:c>
      <x:c r="N8" s="125" t="str">
        <x:f>IFERROR(IF(N9="","",N9/IF(N$7&gt;=8,$B$58,INDEX($B$6:$AK$6,1,MIN(36,MAX(1,13+3*N$7+0))))),"")</x:f>
      </x:c>
      <x:c r="O8" s="126" t="n">
        <x:f>IF(N8&lt;&gt;"",N8,P8)</x:f>
        <x:v>0.4</x:v>
      </x:c>
      <x:c r="P8" s="127" t="n">
        <x:v>0.4</x:v>
      </x:c>
      <x:c r="Q8" s="125" t="str">
        <x:f>IFERROR(IF(Q9="","",Q9/IF(Q$7&gt;=7,$B$58,INDEX($B$6:$AK$6,1,MIN(36,MAX(1,16+3*Q$7+0))))),"")</x:f>
      </x:c>
      <x:c r="R8" s="126" t="n">
        <x:f>IF(Q8&lt;&gt;"",Q8,S8)</x:f>
        <x:v>0.4</x:v>
      </x:c>
      <x:c r="S8" s="127" t="n">
        <x:v>0.4</x:v>
      </x:c>
      <x:c r="T8" s="125" t="str">
        <x:f>IFERROR(IF(T9="","",T9/IF(T$7&gt;=6,$B$58,INDEX($B$6:$AK$6,1,MIN(36,MAX(1,19+3*T$7+0))))),"")</x:f>
      </x:c>
      <x:c r="U8" s="126" t="n">
        <x:f>IF(T8&lt;&gt;"",T8,V8)</x:f>
        <x:v>0.4</x:v>
      </x:c>
      <x:c r="V8" s="127" t="n">
        <x:v>0.4</x:v>
      </x:c>
      <x:c r="W8" s="125" t="str">
        <x:f>IFERROR(IF(W9="","",W9/IF(W$7&gt;=5,$B$58,INDEX($B$6:$AK$6,1,MIN(36,MAX(1,22+3*W$7+0))))),"")</x:f>
      </x:c>
      <x:c r="X8" s="126" t="n">
        <x:f>IF(W8&lt;&gt;"",W8,Y8)</x:f>
        <x:v>0.4</x:v>
      </x:c>
      <x:c r="Y8" s="127" t="n">
        <x:v>0.4</x:v>
      </x:c>
      <x:c r="Z8" s="125" t="str">
        <x:f>IFERROR(IF(Z9="","",Z9/IF(Z$7&gt;=4,$B$58,INDEX($B$6:$AK$6,1,MIN(36,MAX(1,25+3*Z$7+0))))),"")</x:f>
      </x:c>
      <x:c r="AA8" s="126" t="n">
        <x:f>IF(Z8&lt;&gt;"",Z8,AB8)</x:f>
        <x:v>0.4</x:v>
      </x:c>
      <x:c r="AB8" s="127" t="n">
        <x:v>0.4</x:v>
      </x:c>
      <x:c r="AC8" s="125" t="str">
        <x:f>IFERROR(IF(AC9="","",AC9/IF(AC$7&gt;=3,$B$58,INDEX($B$6:$AK$6,1,MIN(36,MAX(1,28+3*AC$7+0))))),"")</x:f>
      </x:c>
      <x:c r="AD8" s="126" t="n">
        <x:f>IF(AC8&lt;&gt;"",AC8,AE8)</x:f>
        <x:v>0.4</x:v>
      </x:c>
      <x:c r="AE8" s="127" t="n">
        <x:v>0.4</x:v>
      </x:c>
      <x:c r="AF8" s="125" t="n">
        <x:f>IFERROR(IF(AF9="","",AF9/IF(AF$7&gt;=2,$B$58,INDEX($B$6:$AK$6,1,MIN(36,MAX(1,31+3*AF$7+0))))),"")</x:f>
        <x:v>0.4</x:v>
      </x:c>
      <x:c r="AG8" s="126" t="n">
        <x:f>IF(AF8&lt;&gt;"",AF8,AH8)</x:f>
        <x:v>0.4</x:v>
      </x:c>
      <x:c r="AH8" s="127" t="n">
        <x:v>0.4</x:v>
      </x:c>
      <x:c r="AI8" s="125" t="n">
        <x:f>IFERROR(IF(AI9="","",AI9/IF(AI$7&gt;=1,$B$58,INDEX($B$6:$AK$6,1,MIN(36,MAX(1,34+3*AI$7+0))))),"")</x:f>
        <x:v>0.4</x:v>
      </x:c>
      <x:c r="AJ8" s="126" t="n">
        <x:f>IF(AI8&lt;&gt;"",AI8,AK8)</x:f>
        <x:v>0.4</x:v>
      </x:c>
      <x:c r="AK8" s="127" t="n">
        <x:v>0.4</x:v>
      </x:c>
    </x:row>
    <x:row r="9" ht="22" customHeight="1">
      <x:c r="A9" s="118" t="str">
        <x:v>Qualified leads</x:v>
      </x:c>
      <x:c r="B9" s="119"/>
      <x:c r="C9" s="120" t="n">
        <x:f>IF(B9&lt;&gt;"",B9,ROUND(IF(C$7&gt;=12,$B$58,IF(INDEX($B$6:$AK$6,1,MIN(36,MAX(1,1+3*C$7+0)))&lt;&gt;"",INDEX($B$6:$AK$6,1,MIN(36,MAX(1,1+3*C$7+0))),INDEX($B$6:$AK$6,1,MIN(36,MAX(1,1+3*C$7+1)))))*C8,0))</x:f>
        <x:v>51</x:v>
      </x:c>
      <x:c r="D9" s="128" t="n">
        <x:f>ROUND(IF(D$7&gt;=12,$B$58,INDEX($B$6:$AK$6,1,MIN(36,MAX(1,1+3*D$7+2))))*D8,0)</x:f>
        <x:v>51</x:v>
      </x:c>
      <x:c r="E9" s="119"/>
      <x:c r="F9" s="120" t="n">
        <x:f>IF(E9&lt;&gt;"",E9,ROUND(IF(F$7&gt;=11,$B$58,IF(INDEX($B$6:$AK$6,1,MIN(36,MAX(1,4+3*F$7+0)))&lt;&gt;"",INDEX($B$6:$AK$6,1,MIN(36,MAX(1,4+3*F$7+0))),INDEX($B$6:$AK$6,1,MIN(36,MAX(1,4+3*F$7+1)))))*F8,0))</x:f>
        <x:v>50</x:v>
      </x:c>
      <x:c r="G9" s="128" t="n">
        <x:f>ROUND(IF(G$7&gt;=11,$B$58,INDEX($B$6:$AK$6,1,MIN(36,MAX(1,4+3*G$7+2))))*G8,0)</x:f>
        <x:v>50</x:v>
      </x:c>
      <x:c r="H9" s="119"/>
      <x:c r="I9" s="120" t="n">
        <x:f>IF(H9&lt;&gt;"",H9,ROUND(IF(I$7&gt;=10,$B$58,IF(INDEX($B$6:$AK$6,1,MIN(36,MAX(1,7+3*I$7+0)))&lt;&gt;"",INDEX($B$6:$AK$6,1,MIN(36,MAX(1,7+3*I$7+0))),INDEX($B$6:$AK$6,1,MIN(36,MAX(1,7+3*I$7+1)))))*I8,0))</x:f>
        <x:v>49</x:v>
      </x:c>
      <x:c r="J9" s="128" t="n">
        <x:f>ROUND(IF(J$7&gt;=10,$B$58,INDEX($B$6:$AK$6,1,MIN(36,MAX(1,7+3*J$7+2))))*J8,0)</x:f>
        <x:v>49</x:v>
      </x:c>
      <x:c r="K9" s="119"/>
      <x:c r="L9" s="120" t="n">
        <x:f>IF(K9&lt;&gt;"",K9,ROUND(IF(L$7&gt;=9,$B$58,IF(INDEX($B$6:$AK$6,1,MIN(36,MAX(1,10+3*L$7+0)))&lt;&gt;"",INDEX($B$6:$AK$6,1,MIN(36,MAX(1,10+3*L$7+0))),INDEX($B$6:$AK$6,1,MIN(36,MAX(1,10+3*L$7+1)))))*L8,0))</x:f>
        <x:v>48</x:v>
      </x:c>
      <x:c r="M9" s="128" t="n">
        <x:f>ROUND(IF(M$7&gt;=9,$B$58,INDEX($B$6:$AK$6,1,MIN(36,MAX(1,10+3*M$7+2))))*M8,0)</x:f>
        <x:v>48</x:v>
      </x:c>
      <x:c r="N9" s="119"/>
      <x:c r="O9" s="120" t="n">
        <x:f>IF(N9&lt;&gt;"",N9,ROUND(IF(O$7&gt;=8,$B$58,IF(INDEX($B$6:$AK$6,1,MIN(36,MAX(1,13+3*O$7+0)))&lt;&gt;"",INDEX($B$6:$AK$6,1,MIN(36,MAX(1,13+3*O$7+0))),INDEX($B$6:$AK$6,1,MIN(36,MAX(1,13+3*O$7+1)))))*O8,0))</x:f>
        <x:v>47</x:v>
      </x:c>
      <x:c r="P9" s="128" t="n">
        <x:f>ROUND(IF(P$7&gt;=8,$B$58,INDEX($B$6:$AK$6,1,MIN(36,MAX(1,13+3*P$7+2))))*P8,0)</x:f>
        <x:v>47</x:v>
      </x:c>
      <x:c r="Q9" s="119"/>
      <x:c r="R9" s="120" t="n">
        <x:f>IF(Q9&lt;&gt;"",Q9,ROUND(IF(R$7&gt;=7,$B$58,IF(INDEX($B$6:$AK$6,1,MIN(36,MAX(1,16+3*R$7+0)))&lt;&gt;"",INDEX($B$6:$AK$6,1,MIN(36,MAX(1,16+3*R$7+0))),INDEX($B$6:$AK$6,1,MIN(36,MAX(1,16+3*R$7+1)))))*R8,0))</x:f>
        <x:v>46</x:v>
      </x:c>
      <x:c r="S9" s="128" t="n">
        <x:f>ROUND(IF(S$7&gt;=7,$B$58,INDEX($B$6:$AK$6,1,MIN(36,MAX(1,16+3*S$7+2))))*S8,0)</x:f>
        <x:v>46</x:v>
      </x:c>
      <x:c r="T9" s="119"/>
      <x:c r="U9" s="120" t="n">
        <x:f>IF(T9&lt;&gt;"",T9,ROUND(IF(U$7&gt;=6,$B$58,IF(INDEX($B$6:$AK$6,1,MIN(36,MAX(1,19+3*U$7+0)))&lt;&gt;"",INDEX($B$6:$AK$6,1,MIN(36,MAX(1,19+3*U$7+0))),INDEX($B$6:$AK$6,1,MIN(36,MAX(1,19+3*U$7+1)))))*U8,0))</x:f>
        <x:v>45</x:v>
      </x:c>
      <x:c r="V9" s="128" t="n">
        <x:f>ROUND(IF(V$7&gt;=6,$B$58,INDEX($B$6:$AK$6,1,MIN(36,MAX(1,19+3*V$7+2))))*V8,0)</x:f>
        <x:v>45</x:v>
      </x:c>
      <x:c r="W9" s="119"/>
      <x:c r="X9" s="120" t="n">
        <x:f>IF(W9&lt;&gt;"",W9,ROUND(IF(X$7&gt;=5,$B$58,IF(INDEX($B$6:$AK$6,1,MIN(36,MAX(1,22+3*X$7+0)))&lt;&gt;"",INDEX($B$6:$AK$6,1,MIN(36,MAX(1,22+3*X$7+0))),INDEX($B$6:$AK$6,1,MIN(36,MAX(1,22+3*X$7+1)))))*X8,0))</x:f>
        <x:v>44</x:v>
      </x:c>
      <x:c r="Y9" s="128" t="n">
        <x:f>ROUND(IF(Y$7&gt;=5,$B$58,INDEX($B$6:$AK$6,1,MIN(36,MAX(1,22+3*Y$7+2))))*Y8,0)</x:f>
        <x:v>44</x:v>
      </x:c>
      <x:c r="Z9" s="119"/>
      <x:c r="AA9" s="120" t="n">
        <x:f>IF(Z9&lt;&gt;"",Z9,ROUND(IF(AA$7&gt;=4,$B$58,IF(INDEX($B$6:$AK$6,1,MIN(36,MAX(1,25+3*AA$7+0)))&lt;&gt;"",INDEX($B$6:$AK$6,1,MIN(36,MAX(1,25+3*AA$7+0))),INDEX($B$6:$AK$6,1,MIN(36,MAX(1,25+3*AA$7+1)))))*AA8,0))</x:f>
        <x:v>43</x:v>
      </x:c>
      <x:c r="AB9" s="128" t="n">
        <x:f>ROUND(IF(AB$7&gt;=4,$B$58,INDEX($B$6:$AK$6,1,MIN(36,MAX(1,25+3*AB$7+2))))*AB8,0)</x:f>
        <x:v>43</x:v>
      </x:c>
      <x:c r="AC9" s="119"/>
      <x:c r="AD9" s="120" t="n">
        <x:f>IF(AC9&lt;&gt;"",AC9,ROUND(IF(AD$7&gt;=3,$B$58,IF(INDEX($B$6:$AK$6,1,MIN(36,MAX(1,28+3*AD$7+0)))&lt;&gt;"",INDEX($B$6:$AK$6,1,MIN(36,MAX(1,28+3*AD$7+0))),INDEX($B$6:$AK$6,1,MIN(36,MAX(1,28+3*AD$7+1)))))*AD8,0))</x:f>
        <x:v>42</x:v>
      </x:c>
      <x:c r="AE9" s="128" t="n">
        <x:f>ROUND(IF(AE$7&gt;=3,$B$58,INDEX($B$6:$AK$6,1,MIN(36,MAX(1,28+3*AE$7+2))))*AE8,0)</x:f>
        <x:v>42</x:v>
      </x:c>
      <x:c r="AF9" s="119" t="n">
        <x:v>38</x:v>
      </x:c>
      <x:c r="AG9" s="120" t="n">
        <x:f>IF(AF9&lt;&gt;"",AF9,ROUND(IF(AG$7&gt;=2,$B$58,IF(INDEX($B$6:$AK$6,1,MIN(36,MAX(1,31+3*AG$7+0)))&lt;&gt;"",INDEX($B$6:$AK$6,1,MIN(36,MAX(1,31+3*AG$7+0))),INDEX($B$6:$AK$6,1,MIN(36,MAX(1,31+3*AG$7+1)))))*AG8,0))</x:f>
        <x:v>38</x:v>
      </x:c>
      <x:c r="AH9" s="128" t="n">
        <x:f>ROUND(IF(AH$7&gt;=2,$B$58,INDEX($B$6:$AK$6,1,MIN(36,MAX(1,31+3*AH$7+2))))*AH8,0)</x:f>
        <x:v>41</x:v>
      </x:c>
      <x:c r="AI9" s="119" t="n">
        <x:v>36</x:v>
      </x:c>
      <x:c r="AJ9" s="120" t="n">
        <x:f>IF(AI9&lt;&gt;"",AI9,ROUND(IF(AJ$7&gt;=1,$B$58,IF(INDEX($B$6:$AK$6,1,MIN(36,MAX(1,34+3*AJ$7+0)))&lt;&gt;"",INDEX($B$6:$AK$6,1,MIN(36,MAX(1,34+3*AJ$7+0))),INDEX($B$6:$AK$6,1,MIN(36,MAX(1,34+3*AJ$7+1)))))*AJ8,0))</x:f>
        <x:v>36</x:v>
      </x:c>
      <x:c r="AK9" s="128" t="n">
        <x:f>ROUND(IF(AK$7&gt;=1,$B$58,INDEX($B$6:$AK$6,1,MIN(36,MAX(1,34+3*AK$7+2))))*AK8,0)</x:f>
        <x:v>40</x:v>
      </x:c>
    </x:row>
    <x:row r="10" ht="22" customHeight="1">
      <x:c r="A10" s="118"/>
      <x:c r="B10" s="129"/>
      <x:c r="C10" s="130"/>
      <x:c r="D10" s="131"/>
      <x:c r="E10" s="129"/>
      <x:c r="F10" s="130"/>
      <x:c r="G10" s="131"/>
      <x:c r="H10" s="129"/>
      <x:c r="I10" s="130"/>
      <x:c r="J10" s="131"/>
      <x:c r="K10" s="129"/>
      <x:c r="L10" s="130"/>
      <x:c r="M10" s="131"/>
      <x:c r="N10" s="129"/>
      <x:c r="O10" s="130"/>
      <x:c r="P10" s="131"/>
      <x:c r="Q10" s="129"/>
      <x:c r="R10" s="130"/>
      <x:c r="S10" s="131"/>
      <x:c r="T10" s="129"/>
      <x:c r="U10" s="130"/>
      <x:c r="V10" s="131"/>
      <x:c r="W10" s="129"/>
      <x:c r="X10" s="130"/>
      <x:c r="Y10" s="131"/>
      <x:c r="Z10" s="129"/>
      <x:c r="AA10" s="130"/>
      <x:c r="AB10" s="131"/>
      <x:c r="AC10" s="129"/>
      <x:c r="AD10" s="130"/>
      <x:c r="AE10" s="131"/>
      <x:c r="AF10" s="129"/>
      <x:c r="AG10" s="130"/>
      <x:c r="AH10" s="131"/>
      <x:c r="AI10" s="129"/>
      <x:c r="AJ10" s="130"/>
      <x:c r="AK10" s="131"/>
    </x:row>
    <x:row r="11" ht="22" customHeight="1">
      <x:c r="A11" s="38" t="str">
        <x:v>SALES</x:v>
      </x:c>
      <x:c r="B11" s="57" t="str">
        <x:v>SALES</x:v>
      </x:c>
      <x:c r="C11" s="58" t="str">
        <x:v>SALES</x:v>
      </x:c>
      <x:c r="D11" s="59" t="str">
        <x:v>SALES</x:v>
      </x:c>
      <x:c r="E11" s="57" t="str">
        <x:v>SALES</x:v>
      </x:c>
      <x:c r="F11" s="58" t="str">
        <x:v>SALES</x:v>
      </x:c>
      <x:c r="G11" s="59" t="str">
        <x:v>SALES</x:v>
      </x:c>
      <x:c r="H11" s="57" t="str">
        <x:v>SALES</x:v>
      </x:c>
      <x:c r="I11" s="58" t="str">
        <x:v>SALES</x:v>
      </x:c>
      <x:c r="J11" s="59" t="str">
        <x:v>SALES</x:v>
      </x:c>
      <x:c r="K11" s="57" t="str">
        <x:v>SALES</x:v>
      </x:c>
      <x:c r="L11" s="58" t="str">
        <x:v>SALES</x:v>
      </x:c>
      <x:c r="M11" s="59" t="str">
        <x:v>SALES</x:v>
      </x:c>
      <x:c r="N11" s="57" t="str">
        <x:v>SALES</x:v>
      </x:c>
      <x:c r="O11" s="58" t="str">
        <x:v>SALES</x:v>
      </x:c>
      <x:c r="P11" s="59" t="str">
        <x:v>SALES</x:v>
      </x:c>
      <x:c r="Q11" s="57" t="str">
        <x:v>SALES</x:v>
      </x:c>
      <x:c r="R11" s="58" t="str">
        <x:v>SALES</x:v>
      </x:c>
      <x:c r="S11" s="59" t="str">
        <x:v>SALES</x:v>
      </x:c>
      <x:c r="T11" s="57" t="str">
        <x:v>SALES</x:v>
      </x:c>
      <x:c r="U11" s="58" t="str">
        <x:v>SALES</x:v>
      </x:c>
      <x:c r="V11" s="59" t="str">
        <x:v>SALES</x:v>
      </x:c>
      <x:c r="W11" s="57" t="str">
        <x:v>SALES</x:v>
      </x:c>
      <x:c r="X11" s="58" t="str">
        <x:v>SALES</x:v>
      </x:c>
      <x:c r="Y11" s="59" t="str">
        <x:v>SALES</x:v>
      </x:c>
      <x:c r="Z11" s="57" t="str">
        <x:v>SALES</x:v>
      </x:c>
      <x:c r="AA11" s="58" t="str">
        <x:v>SALES</x:v>
      </x:c>
      <x:c r="AB11" s="59" t="str">
        <x:v>SALES</x:v>
      </x:c>
      <x:c r="AC11" s="57" t="str">
        <x:v>SALES</x:v>
      </x:c>
      <x:c r="AD11" s="58" t="str">
        <x:v>SALES</x:v>
      </x:c>
      <x:c r="AE11" s="59" t="str">
        <x:v>SALES</x:v>
      </x:c>
      <x:c r="AF11" s="57" t="str">
        <x:v>SALES</x:v>
      </x:c>
      <x:c r="AG11" s="58" t="str">
        <x:v>SALES</x:v>
      </x:c>
      <x:c r="AH11" s="59" t="str">
        <x:v>SALES</x:v>
      </x:c>
      <x:c r="AI11" s="57" t="str">
        <x:v>SALES</x:v>
      </x:c>
      <x:c r="AJ11" s="58" t="str">
        <x:v>SALES</x:v>
      </x:c>
      <x:c r="AK11" s="59" t="str">
        <x:v>SALES</x:v>
      </x:c>
    </x:row>
    <x:row r="12" ht="22" customHeight="1">
      <x:c r="A12" s="118" t="str">
        <x:v>Sales cycle in months</x:v>
      </x:c>
      <x:c r="B12" s="122"/>
      <x:c r="C12" s="123" t="n">
        <x:f>IF(B12&lt;&gt;"",B12,D12)</x:f>
        <x:v>1</x:v>
      </x:c>
      <x:c r="D12" s="124" t="n">
        <x:v>1</x:v>
      </x:c>
      <x:c r="E12" s="122"/>
      <x:c r="F12" s="123" t="n">
        <x:f>IF(E12&lt;&gt;"",E12,G12)</x:f>
        <x:v>1</x:v>
      </x:c>
      <x:c r="G12" s="124" t="n">
        <x:v>1</x:v>
      </x:c>
      <x:c r="H12" s="122"/>
      <x:c r="I12" s="123" t="n">
        <x:f>IF(H12&lt;&gt;"",H12,J12)</x:f>
        <x:v>1</x:v>
      </x:c>
      <x:c r="J12" s="124" t="n">
        <x:v>1</x:v>
      </x:c>
      <x:c r="K12" s="122"/>
      <x:c r="L12" s="123" t="n">
        <x:f>IF(K12&lt;&gt;"",K12,M12)</x:f>
        <x:v>1</x:v>
      </x:c>
      <x:c r="M12" s="124" t="n">
        <x:v>1</x:v>
      </x:c>
      <x:c r="N12" s="122"/>
      <x:c r="O12" s="123" t="n">
        <x:f>IF(N12&lt;&gt;"",N12,P12)</x:f>
        <x:v>1</x:v>
      </x:c>
      <x:c r="P12" s="124" t="n">
        <x:v>1</x:v>
      </x:c>
      <x:c r="Q12" s="122"/>
      <x:c r="R12" s="123" t="n">
        <x:f>IF(Q12&lt;&gt;"",Q12,S12)</x:f>
        <x:v>1</x:v>
      </x:c>
      <x:c r="S12" s="124" t="n">
        <x:v>1</x:v>
      </x:c>
      <x:c r="T12" s="122"/>
      <x:c r="U12" s="123" t="n">
        <x:f>IF(T12&lt;&gt;"",T12,V12)</x:f>
        <x:v>1</x:v>
      </x:c>
      <x:c r="V12" s="124" t="n">
        <x:v>1</x:v>
      </x:c>
      <x:c r="W12" s="122"/>
      <x:c r="X12" s="123" t="n">
        <x:f>IF(W12&lt;&gt;"",W12,Y12)</x:f>
        <x:v>1</x:v>
      </x:c>
      <x:c r="Y12" s="124" t="n">
        <x:v>1</x:v>
      </x:c>
      <x:c r="Z12" s="122"/>
      <x:c r="AA12" s="123" t="n">
        <x:f>IF(Z12&lt;&gt;"",Z12,AB12)</x:f>
        <x:v>1</x:v>
      </x:c>
      <x:c r="AB12" s="124" t="n">
        <x:v>1</x:v>
      </x:c>
      <x:c r="AC12" s="122"/>
      <x:c r="AD12" s="123" t="n">
        <x:f>IF(AC12&lt;&gt;"",AC12,AE12)</x:f>
        <x:v>1</x:v>
      </x:c>
      <x:c r="AE12" s="124" t="n">
        <x:v>1</x:v>
      </x:c>
      <x:c r="AF12" s="122" t="n">
        <x:v>1</x:v>
      </x:c>
      <x:c r="AG12" s="123" t="n">
        <x:f>IF(AF12&lt;&gt;"",AF12,AH12)</x:f>
        <x:v>1</x:v>
      </x:c>
      <x:c r="AH12" s="124" t="n">
        <x:v>1</x:v>
      </x:c>
      <x:c r="AI12" s="122" t="n">
        <x:v>1</x:v>
      </x:c>
      <x:c r="AJ12" s="123" t="n">
        <x:f>IF(AI12&lt;&gt;"",AI12,AK12)</x:f>
        <x:v>1</x:v>
      </x:c>
      <x:c r="AK12" s="124" t="n">
        <x:v>1</x:v>
      </x:c>
    </x:row>
    <x:row r="13" ht="22" customHeight="1">
      <x:c r="A13" s="118" t="str">
        <x:v>Close rate</x:v>
      </x:c>
      <x:c r="B13" s="125" t="str">
        <x:f>IFERROR(IF(B14="","",B14/IF(B$12&gt;=12,$B$59,INDEX($B$9:$AK$9,1,MIN(36,MAX(1,1+3*B$12+0))))),"")</x:f>
      </x:c>
      <x:c r="C13" s="126" t="n">
        <x:f>IF(B13&lt;&gt;"",B13,D13)</x:f>
        <x:v>0.25</x:v>
      </x:c>
      <x:c r="D13" s="127" t="n">
        <x:v>0.25</x:v>
      </x:c>
      <x:c r="E13" s="125" t="str">
        <x:f>IFERROR(IF(E14="","",E14/IF(E$12&gt;=11,$B$59,INDEX($B$9:$AK$9,1,MIN(36,MAX(1,4+3*E$12+0))))),"")</x:f>
      </x:c>
      <x:c r="F13" s="126" t="n">
        <x:f>IF(E13&lt;&gt;"",E13,G13)</x:f>
        <x:v>0.25</x:v>
      </x:c>
      <x:c r="G13" s="127" t="n">
        <x:v>0.25</x:v>
      </x:c>
      <x:c r="H13" s="125" t="str">
        <x:f>IFERROR(IF(H14="","",H14/IF(H$12&gt;=10,$B$59,INDEX($B$9:$AK$9,1,MIN(36,MAX(1,7+3*H$12+0))))),"")</x:f>
      </x:c>
      <x:c r="I13" s="126" t="n">
        <x:f>IF(H13&lt;&gt;"",H13,J13)</x:f>
        <x:v>0.25</x:v>
      </x:c>
      <x:c r="J13" s="127" t="n">
        <x:v>0.25</x:v>
      </x:c>
      <x:c r="K13" s="125" t="str">
        <x:f>IFERROR(IF(K14="","",K14/IF(K$12&gt;=9,$B$59,INDEX($B$9:$AK$9,1,MIN(36,MAX(1,10+3*K$12+0))))),"")</x:f>
      </x:c>
      <x:c r="L13" s="126" t="n">
        <x:f>IF(K13&lt;&gt;"",K13,M13)</x:f>
        <x:v>0.25</x:v>
      </x:c>
      <x:c r="M13" s="127" t="n">
        <x:v>0.25</x:v>
      </x:c>
      <x:c r="N13" s="125" t="str">
        <x:f>IFERROR(IF(N14="","",N14/IF(N$12&gt;=8,$B$59,INDEX($B$9:$AK$9,1,MIN(36,MAX(1,13+3*N$12+0))))),"")</x:f>
      </x:c>
      <x:c r="O13" s="126" t="n">
        <x:f>IF(N13&lt;&gt;"",N13,P13)</x:f>
        <x:v>0.25</x:v>
      </x:c>
      <x:c r="P13" s="127" t="n">
        <x:v>0.25</x:v>
      </x:c>
      <x:c r="Q13" s="125" t="str">
        <x:f>IFERROR(IF(Q14="","",Q14/IF(Q$12&gt;=7,$B$59,INDEX($B$9:$AK$9,1,MIN(36,MAX(1,16+3*Q$12+0))))),"")</x:f>
      </x:c>
      <x:c r="R13" s="126" t="n">
        <x:f>IF(Q13&lt;&gt;"",Q13,S13)</x:f>
        <x:v>0.25</x:v>
      </x:c>
      <x:c r="S13" s="127" t="n">
        <x:v>0.25</x:v>
      </x:c>
      <x:c r="T13" s="125" t="str">
        <x:f>IFERROR(IF(T14="","",T14/IF(T$12&gt;=6,$B$59,INDEX($B$9:$AK$9,1,MIN(36,MAX(1,19+3*T$12+0))))),"")</x:f>
      </x:c>
      <x:c r="U13" s="126" t="n">
        <x:f>IF(T13&lt;&gt;"",T13,V13)</x:f>
        <x:v>0.25</x:v>
      </x:c>
      <x:c r="V13" s="127" t="n">
        <x:v>0.25</x:v>
      </x:c>
      <x:c r="W13" s="125" t="str">
        <x:f>IFERROR(IF(W14="","",W14/IF(W$12&gt;=5,$B$59,INDEX($B$9:$AK$9,1,MIN(36,MAX(1,22+3*W$12+0))))),"")</x:f>
      </x:c>
      <x:c r="X13" s="126" t="n">
        <x:f>IF(W13&lt;&gt;"",W13,Y13)</x:f>
        <x:v>0.25</x:v>
      </x:c>
      <x:c r="Y13" s="127" t="n">
        <x:v>0.25</x:v>
      </x:c>
      <x:c r="Z13" s="125" t="str">
        <x:f>IFERROR(IF(Z14="","",Z14/IF(Z$12&gt;=4,$B$59,INDEX($B$9:$AK$9,1,MIN(36,MAX(1,25+3*Z$12+0))))),"")</x:f>
      </x:c>
      <x:c r="AA13" s="126" t="n">
        <x:f>IF(Z13&lt;&gt;"",Z13,AB13)</x:f>
        <x:v>0.25</x:v>
      </x:c>
      <x:c r="AB13" s="127" t="n">
        <x:v>0.25</x:v>
      </x:c>
      <x:c r="AC13" s="125" t="str">
        <x:f>IFERROR(IF(AC14="","",AC14/IF(AC$12&gt;=3,$B$59,INDEX($B$9:$AK$9,1,MIN(36,MAX(1,28+3*AC$12+0))))),"")</x:f>
      </x:c>
      <x:c r="AD13" s="126" t="n">
        <x:f>IF(AC13&lt;&gt;"",AC13,AE13)</x:f>
        <x:v>0.25</x:v>
      </x:c>
      <x:c r="AE13" s="127" t="n">
        <x:v>0.25</x:v>
      </x:c>
      <x:c r="AF13" s="125" t="n">
        <x:f>IFERROR(IF(AF14="","",AF14/IF(AF$12&gt;=2,$B$59,INDEX($B$9:$AK$9,1,MIN(36,MAX(1,31+3*AF$12+0))))),"")</x:f>
        <x:v>0.2222222222222222</x:v>
      </x:c>
      <x:c r="AG13" s="126" t="n">
        <x:f>IF(AF13&lt;&gt;"",AF13,AH13)</x:f>
        <x:v>0.2222222222222222</x:v>
      </x:c>
      <x:c r="AH13" s="127" t="n">
        <x:v>0.25</x:v>
      </x:c>
      <x:c r="AI13" s="125" t="n">
        <x:f>IFERROR(IF(AI14="","",AI14/IF(AI$12&gt;=1,$B$59,INDEX($B$9:$AK$9,1,MIN(36,MAX(1,34+3*AI$12+0))))),"")</x:f>
        <x:v>0.175</x:v>
      </x:c>
      <x:c r="AJ13" s="126" t="n">
        <x:f>IF(AI13&lt;&gt;"",AI13,AK13)</x:f>
        <x:v>0.175</x:v>
      </x:c>
      <x:c r="AK13" s="127" t="n">
        <x:v>0.25</x:v>
      </x:c>
    </x:row>
    <x:row r="14" ht="22" customHeight="1">
      <x:c r="A14" s="118" t="str">
        <x:v>Signed contracts</x:v>
      </x:c>
      <x:c r="B14" s="119"/>
      <x:c r="C14" s="120" t="n">
        <x:f>IF(B14&lt;&gt;"",B14,ROUND(IF(C$12&gt;=12,$B$59,IF(INDEX($B$9:$AK$9,1,MIN(36,MAX(1,1+3*C$12+0)))&lt;&gt;"",INDEX($B$9:$AK$9,1,MIN(36,MAX(1,1+3*C$12+0))),INDEX($B$9:$AK$9,1,MIN(36,MAX(1,1+3*C$12+1)))))*C13,0))</x:f>
        <x:v>13</x:v>
      </x:c>
      <x:c r="D14" s="128" t="n">
        <x:f>ROUND(IF(D$12&gt;=12,$B$59,INDEX($B$9:$AK$9,1,MIN(36,MAX(1,1+3*D$12+2))))*D13,0)</x:f>
        <x:v>13</x:v>
      </x:c>
      <x:c r="E14" s="119"/>
      <x:c r="F14" s="120" t="n">
        <x:f>IF(E14&lt;&gt;"",E14,ROUND(IF(F$12&gt;=11,$B$59,IF(INDEX($B$9:$AK$9,1,MIN(36,MAX(1,4+3*F$12+0)))&lt;&gt;"",INDEX($B$9:$AK$9,1,MIN(36,MAX(1,4+3*F$12+0))),INDEX($B$9:$AK$9,1,MIN(36,MAX(1,4+3*F$12+1)))))*F13,0))</x:f>
        <x:v>12</x:v>
      </x:c>
      <x:c r="G14" s="128" t="n">
        <x:f>ROUND(IF(G$12&gt;=11,$B$59,INDEX($B$9:$AK$9,1,MIN(36,MAX(1,4+3*G$12+2))))*G13,0)</x:f>
        <x:v>12</x:v>
      </x:c>
      <x:c r="H14" s="119"/>
      <x:c r="I14" s="120" t="n">
        <x:f>IF(H14&lt;&gt;"",H14,ROUND(IF(I$12&gt;=10,$B$59,IF(INDEX($B$9:$AK$9,1,MIN(36,MAX(1,7+3*I$12+0)))&lt;&gt;"",INDEX($B$9:$AK$9,1,MIN(36,MAX(1,7+3*I$12+0))),INDEX($B$9:$AK$9,1,MIN(36,MAX(1,7+3*I$12+1)))))*I13,0))</x:f>
        <x:v>12</x:v>
      </x:c>
      <x:c r="J14" s="128" t="n">
        <x:f>ROUND(IF(J$12&gt;=10,$B$59,INDEX($B$9:$AK$9,1,MIN(36,MAX(1,7+3*J$12+2))))*J13,0)</x:f>
        <x:v>12</x:v>
      </x:c>
      <x:c r="K14" s="119"/>
      <x:c r="L14" s="120" t="n">
        <x:f>IF(K14&lt;&gt;"",K14,ROUND(IF(L$12&gt;=9,$B$59,IF(INDEX($B$9:$AK$9,1,MIN(36,MAX(1,10+3*L$12+0)))&lt;&gt;"",INDEX($B$9:$AK$9,1,MIN(36,MAX(1,10+3*L$12+0))),INDEX($B$9:$AK$9,1,MIN(36,MAX(1,10+3*L$12+1)))))*L13,0))</x:f>
        <x:v>12</x:v>
      </x:c>
      <x:c r="M14" s="128" t="n">
        <x:f>ROUND(IF(M$12&gt;=9,$B$59,INDEX($B$9:$AK$9,1,MIN(36,MAX(1,10+3*M$12+2))))*M13,0)</x:f>
        <x:v>12</x:v>
      </x:c>
      <x:c r="N14" s="119"/>
      <x:c r="O14" s="120" t="n">
        <x:f>IF(N14&lt;&gt;"",N14,ROUND(IF(O$12&gt;=8,$B$59,IF(INDEX($B$9:$AK$9,1,MIN(36,MAX(1,13+3*O$12+0)))&lt;&gt;"",INDEX($B$9:$AK$9,1,MIN(36,MAX(1,13+3*O$12+0))),INDEX($B$9:$AK$9,1,MIN(36,MAX(1,13+3*O$12+1)))))*O13,0))</x:f>
        <x:v>12</x:v>
      </x:c>
      <x:c r="P14" s="128" t="n">
        <x:f>ROUND(IF(P$12&gt;=8,$B$59,INDEX($B$9:$AK$9,1,MIN(36,MAX(1,13+3*P$12+2))))*P13,0)</x:f>
        <x:v>12</x:v>
      </x:c>
      <x:c r="Q14" s="119"/>
      <x:c r="R14" s="120" t="n">
        <x:f>IF(Q14&lt;&gt;"",Q14,ROUND(IF(R$12&gt;=7,$B$59,IF(INDEX($B$9:$AK$9,1,MIN(36,MAX(1,16+3*R$12+0)))&lt;&gt;"",INDEX($B$9:$AK$9,1,MIN(36,MAX(1,16+3*R$12+0))),INDEX($B$9:$AK$9,1,MIN(36,MAX(1,16+3*R$12+1)))))*R13,0))</x:f>
        <x:v>11</x:v>
      </x:c>
      <x:c r="S14" s="128" t="n">
        <x:f>ROUND(IF(S$12&gt;=7,$B$59,INDEX($B$9:$AK$9,1,MIN(36,MAX(1,16+3*S$12+2))))*S13,0)</x:f>
        <x:v>11</x:v>
      </x:c>
      <x:c r="T14" s="119"/>
      <x:c r="U14" s="120" t="n">
        <x:f>IF(T14&lt;&gt;"",T14,ROUND(IF(U$12&gt;=6,$B$59,IF(INDEX($B$9:$AK$9,1,MIN(36,MAX(1,19+3*U$12+0)))&lt;&gt;"",INDEX($B$9:$AK$9,1,MIN(36,MAX(1,19+3*U$12+0))),INDEX($B$9:$AK$9,1,MIN(36,MAX(1,19+3*U$12+1)))))*U13,0))</x:f>
        <x:v>11</x:v>
      </x:c>
      <x:c r="V14" s="128" t="n">
        <x:f>ROUND(IF(V$12&gt;=6,$B$59,INDEX($B$9:$AK$9,1,MIN(36,MAX(1,19+3*V$12+2))))*V13,0)</x:f>
        <x:v>11</x:v>
      </x:c>
      <x:c r="W14" s="119"/>
      <x:c r="X14" s="120" t="n">
        <x:f>IF(W14&lt;&gt;"",W14,ROUND(IF(X$12&gt;=5,$B$59,IF(INDEX($B$9:$AK$9,1,MIN(36,MAX(1,22+3*X$12+0)))&lt;&gt;"",INDEX($B$9:$AK$9,1,MIN(36,MAX(1,22+3*X$12+0))),INDEX($B$9:$AK$9,1,MIN(36,MAX(1,22+3*X$12+1)))))*X13,0))</x:f>
        <x:v>11</x:v>
      </x:c>
      <x:c r="Y14" s="128" t="n">
        <x:f>ROUND(IF(Y$12&gt;=5,$B$59,INDEX($B$9:$AK$9,1,MIN(36,MAX(1,22+3*Y$12+2))))*Y13,0)</x:f>
        <x:v>11</x:v>
      </x:c>
      <x:c r="Z14" s="119"/>
      <x:c r="AA14" s="120" t="n">
        <x:f>IF(Z14&lt;&gt;"",Z14,ROUND(IF(AA$12&gt;=4,$B$59,IF(INDEX($B$9:$AK$9,1,MIN(36,MAX(1,25+3*AA$12+0)))&lt;&gt;"",INDEX($B$9:$AK$9,1,MIN(36,MAX(1,25+3*AA$12+0))),INDEX($B$9:$AK$9,1,MIN(36,MAX(1,25+3*AA$12+1)))))*AA13,0))</x:f>
        <x:v>11</x:v>
      </x:c>
      <x:c r="AB14" s="128" t="n">
        <x:f>ROUND(IF(AB$12&gt;=4,$B$59,INDEX($B$9:$AK$9,1,MIN(36,MAX(1,25+3*AB$12+2))))*AB13,0)</x:f>
        <x:v>11</x:v>
      </x:c>
      <x:c r="AC14" s="119"/>
      <x:c r="AD14" s="120" t="n">
        <x:f>IF(AC14&lt;&gt;"",AC14,ROUND(IF(AD$12&gt;=3,$B$59,IF(INDEX($B$9:$AK$9,1,MIN(36,MAX(1,28+3*AD$12+0)))&lt;&gt;"",INDEX($B$9:$AK$9,1,MIN(36,MAX(1,28+3*AD$12+0))),INDEX($B$9:$AK$9,1,MIN(36,MAX(1,28+3*AD$12+1)))))*AD13,0))</x:f>
        <x:v>10</x:v>
      </x:c>
      <x:c r="AE14" s="128" t="n">
        <x:f>ROUND(IF(AE$12&gt;=3,$B$59,INDEX($B$9:$AK$9,1,MIN(36,MAX(1,28+3*AE$12+2))))*AE13,0)</x:f>
        <x:v>10</x:v>
      </x:c>
      <x:c r="AF14" s="119" t="n">
        <x:v>8</x:v>
      </x:c>
      <x:c r="AG14" s="120" t="n">
        <x:f>IF(AF14&lt;&gt;"",AF14,ROUND(IF(AG$12&gt;=2,$B$59,IF(INDEX($B$9:$AK$9,1,MIN(36,MAX(1,31+3*AG$12+0)))&lt;&gt;"",INDEX($B$9:$AK$9,1,MIN(36,MAX(1,31+3*AG$12+0))),INDEX($B$9:$AK$9,1,MIN(36,MAX(1,31+3*AG$12+1)))))*AG13,0))</x:f>
        <x:v>8</x:v>
      </x:c>
      <x:c r="AH14" s="128" t="n">
        <x:f>ROUND(IF(AH$12&gt;=2,$B$59,INDEX($B$9:$AK$9,1,MIN(36,MAX(1,31+3*AH$12+2))))*AH13,0)</x:f>
        <x:v>10</x:v>
      </x:c>
      <x:c r="AI14" s="119" t="n">
        <x:v>7</x:v>
      </x:c>
      <x:c r="AJ14" s="120" t="n">
        <x:f>IF(AI14&lt;&gt;"",AI14,ROUND(IF(AJ$12&gt;=1,$B$59,IF(INDEX($B$9:$AK$9,1,MIN(36,MAX(1,34+3*AJ$12+0)))&lt;&gt;"",INDEX($B$9:$AK$9,1,MIN(36,MAX(1,34+3*AJ$12+0))),INDEX($B$9:$AK$9,1,MIN(36,MAX(1,34+3*AJ$12+1)))))*AJ13,0))</x:f>
        <x:v>7</x:v>
      </x:c>
      <x:c r="AK14" s="128" t="n">
        <x:f>ROUND(IF(AK$12&gt;=1,$B$59,INDEX($B$9:$AK$9,1,MIN(36,MAX(1,34+3*AK$12+2))))*AK13,0)</x:f>
        <x:v>10</x:v>
      </x:c>
    </x:row>
    <x:row r="15" ht="22" customHeight="1">
      <x:c r="A15" s="118" t="str">
        <x:v>Average contract value</x:v>
      </x:c>
      <x:c r="B15" s="132"/>
      <x:c r="C15" s="133" t="n">
        <x:f>IF(B15&lt;&gt;"",B15,D15)</x:f>
        <x:v>5000</x:v>
      </x:c>
      <x:c r="D15" s="134" t="n">
        <x:v>5000</x:v>
      </x:c>
      <x:c r="E15" s="132"/>
      <x:c r="F15" s="133" t="n">
        <x:f>IF(E15&lt;&gt;"",E15,G15)</x:f>
        <x:v>5000</x:v>
      </x:c>
      <x:c r="G15" s="134" t="n">
        <x:v>5000</x:v>
      </x:c>
      <x:c r="H15" s="132"/>
      <x:c r="I15" s="133" t="n">
        <x:f>IF(H15&lt;&gt;"",H15,J15)</x:f>
        <x:v>5000</x:v>
      </x:c>
      <x:c r="J15" s="134" t="n">
        <x:v>5000</x:v>
      </x:c>
      <x:c r="K15" s="132"/>
      <x:c r="L15" s="133" t="n">
        <x:f>IF(K15&lt;&gt;"",K15,M15)</x:f>
        <x:v>5000</x:v>
      </x:c>
      <x:c r="M15" s="134" t="n">
        <x:v>5000</x:v>
      </x:c>
      <x:c r="N15" s="132"/>
      <x:c r="O15" s="133" t="n">
        <x:f>IF(N15&lt;&gt;"",N15,P15)</x:f>
        <x:v>5000</x:v>
      </x:c>
      <x:c r="P15" s="134" t="n">
        <x:v>5000</x:v>
      </x:c>
      <x:c r="Q15" s="132"/>
      <x:c r="R15" s="133" t="n">
        <x:f>IF(Q15&lt;&gt;"",Q15,S15)</x:f>
        <x:v>5000</x:v>
      </x:c>
      <x:c r="S15" s="134" t="n">
        <x:v>5000</x:v>
      </x:c>
      <x:c r="T15" s="132"/>
      <x:c r="U15" s="133" t="n">
        <x:f>IF(T15&lt;&gt;"",T15,V15)</x:f>
        <x:v>5000</x:v>
      </x:c>
      <x:c r="V15" s="134" t="n">
        <x:v>5000</x:v>
      </x:c>
      <x:c r="W15" s="132"/>
      <x:c r="X15" s="133" t="n">
        <x:f>IF(W15&lt;&gt;"",W15,Y15)</x:f>
        <x:v>5000</x:v>
      </x:c>
      <x:c r="Y15" s="134" t="n">
        <x:v>5000</x:v>
      </x:c>
      <x:c r="Z15" s="132"/>
      <x:c r="AA15" s="133" t="n">
        <x:f>IF(Z15&lt;&gt;"",Z15,AB15)</x:f>
        <x:v>5000</x:v>
      </x:c>
      <x:c r="AB15" s="134" t="n">
        <x:v>5000</x:v>
      </x:c>
      <x:c r="AC15" s="132"/>
      <x:c r="AD15" s="133" t="n">
        <x:f>IF(AC15&lt;&gt;"",AC15,AE15)</x:f>
        <x:v>5000</x:v>
      </x:c>
      <x:c r="AE15" s="134" t="n">
        <x:v>5000</x:v>
      </x:c>
      <x:c r="AF15" s="132" t="n">
        <x:v>5000</x:v>
      </x:c>
      <x:c r="AG15" s="133" t="n">
        <x:f>IF(AF15&lt;&gt;"",AF15,AH15)</x:f>
        <x:v>5000</x:v>
      </x:c>
      <x:c r="AH15" s="134" t="n">
        <x:v>5000</x:v>
      </x:c>
      <x:c r="AI15" s="132" t="n">
        <x:v>5000</x:v>
      </x:c>
      <x:c r="AJ15" s="133" t="n">
        <x:f>IF(AI15&lt;&gt;"",AI15,AK15)</x:f>
        <x:v>5000</x:v>
      </x:c>
      <x:c r="AK15" s="134" t="n">
        <x:v>5000</x:v>
      </x:c>
    </x:row>
    <x:row r="16" ht="22" customHeight="1">
      <x:c r="A16" s="135" t="str">
        <x:v>Contract value signed</x:v>
      </x:c>
      <x:c r="B16" s="136" t="str">
        <x:f>IF(COUNT(B14,B15)=2,B14*B15,"")</x:f>
      </x:c>
      <x:c r="C16" s="137" t="n">
        <x:f>C14*C15</x:f>
        <x:v>65000</x:v>
      </x:c>
      <x:c r="D16" s="138" t="n">
        <x:f>D14*D15</x:f>
        <x:v>65000</x:v>
      </x:c>
      <x:c r="E16" s="136" t="str">
        <x:f>IF(COUNT(E14,E15)=2,E14*E15,"")</x:f>
      </x:c>
      <x:c r="F16" s="137" t="n">
        <x:f>F14*F15</x:f>
        <x:v>60000</x:v>
      </x:c>
      <x:c r="G16" s="138" t="n">
        <x:f>G14*G15</x:f>
        <x:v>60000</x:v>
      </x:c>
      <x:c r="H16" s="136" t="str">
        <x:f>IF(COUNT(H14,H15)=2,H14*H15,"")</x:f>
      </x:c>
      <x:c r="I16" s="137" t="n">
        <x:f>I14*I15</x:f>
        <x:v>60000</x:v>
      </x:c>
      <x:c r="J16" s="138" t="n">
        <x:f>J14*J15</x:f>
        <x:v>60000</x:v>
      </x:c>
      <x:c r="K16" s="136" t="str">
        <x:f>IF(COUNT(K14,K15)=2,K14*K15,"")</x:f>
      </x:c>
      <x:c r="L16" s="137" t="n">
        <x:f>L14*L15</x:f>
        <x:v>60000</x:v>
      </x:c>
      <x:c r="M16" s="138" t="n">
        <x:f>M14*M15</x:f>
        <x:v>60000</x:v>
      </x:c>
      <x:c r="N16" s="136" t="str">
        <x:f>IF(COUNT(N14,N15)=2,N14*N15,"")</x:f>
      </x:c>
      <x:c r="O16" s="137" t="n">
        <x:f>O14*O15</x:f>
        <x:v>60000</x:v>
      </x:c>
      <x:c r="P16" s="138" t="n">
        <x:f>P14*P15</x:f>
        <x:v>60000</x:v>
      </x:c>
      <x:c r="Q16" s="136" t="str">
        <x:f>IF(COUNT(Q14,Q15)=2,Q14*Q15,"")</x:f>
      </x:c>
      <x:c r="R16" s="137" t="n">
        <x:f>R14*R15</x:f>
        <x:v>55000</x:v>
      </x:c>
      <x:c r="S16" s="138" t="n">
        <x:f>S14*S15</x:f>
        <x:v>55000</x:v>
      </x:c>
      <x:c r="T16" s="136" t="str">
        <x:f>IF(COUNT(T14,T15)=2,T14*T15,"")</x:f>
      </x:c>
      <x:c r="U16" s="137" t="n">
        <x:f>U14*U15</x:f>
        <x:v>55000</x:v>
      </x:c>
      <x:c r="V16" s="138" t="n">
        <x:f>V14*V15</x:f>
        <x:v>55000</x:v>
      </x:c>
      <x:c r="W16" s="136" t="str">
        <x:f>IF(COUNT(W14,W15)=2,W14*W15,"")</x:f>
      </x:c>
      <x:c r="X16" s="137" t="n">
        <x:f>X14*X15</x:f>
        <x:v>55000</x:v>
      </x:c>
      <x:c r="Y16" s="138" t="n">
        <x:f>Y14*Y15</x:f>
        <x:v>55000</x:v>
      </x:c>
      <x:c r="Z16" s="136" t="str">
        <x:f>IF(COUNT(Z14,Z15)=2,Z14*Z15,"")</x:f>
      </x:c>
      <x:c r="AA16" s="137" t="n">
        <x:f>AA14*AA15</x:f>
        <x:v>55000</x:v>
      </x:c>
      <x:c r="AB16" s="138" t="n">
        <x:f>AB14*AB15</x:f>
        <x:v>55000</x:v>
      </x:c>
      <x:c r="AC16" s="136" t="str">
        <x:f>IF(COUNT(AC14,AC15)=2,AC14*AC15,"")</x:f>
      </x:c>
      <x:c r="AD16" s="137" t="n">
        <x:f>AD14*AD15</x:f>
        <x:v>50000</x:v>
      </x:c>
      <x:c r="AE16" s="138" t="n">
        <x:f>AE14*AE15</x:f>
        <x:v>50000</x:v>
      </x:c>
      <x:c r="AF16" s="136" t="n">
        <x:f>IF(COUNT(AF14,AF15)=2,AF14*AF15,"")</x:f>
        <x:v>40000</x:v>
      </x:c>
      <x:c r="AG16" s="137" t="n">
        <x:f>AG14*AG15</x:f>
        <x:v>40000</x:v>
      </x:c>
      <x:c r="AH16" s="138" t="n">
        <x:f>AH14*AH15</x:f>
        <x:v>50000</x:v>
      </x:c>
      <x:c r="AI16" s="136" t="n">
        <x:f>IF(COUNT(AI14,AI15)=2,AI14*AI15,"")</x:f>
        <x:v>35000</x:v>
      </x:c>
      <x:c r="AJ16" s="137" t="n">
        <x:f>AJ14*AJ15</x:f>
        <x:v>35000</x:v>
      </x:c>
      <x:c r="AK16" s="138" t="n">
        <x:f>AK14*AK15</x:f>
        <x:v>50000</x:v>
      </x:c>
    </x:row>
    <x:row r="17" ht="22" customHeight="1">
      <x:c r="A17" s="118"/>
      <x:c r="B17" s="129"/>
      <x:c r="C17" s="130"/>
      <x:c r="D17" s="131"/>
      <x:c r="E17" s="129"/>
      <x:c r="F17" s="130"/>
      <x:c r="G17" s="131"/>
      <x:c r="H17" s="129"/>
      <x:c r="I17" s="130"/>
      <x:c r="J17" s="131"/>
      <x:c r="K17" s="129"/>
      <x:c r="L17" s="130"/>
      <x:c r="M17" s="131"/>
      <x:c r="N17" s="129"/>
      <x:c r="O17" s="130"/>
      <x:c r="P17" s="131"/>
      <x:c r="Q17" s="129"/>
      <x:c r="R17" s="130"/>
      <x:c r="S17" s="131"/>
      <x:c r="T17" s="129"/>
      <x:c r="U17" s="130"/>
      <x:c r="V17" s="131"/>
      <x:c r="W17" s="129"/>
      <x:c r="X17" s="130"/>
      <x:c r="Y17" s="131"/>
      <x:c r="Z17" s="129"/>
      <x:c r="AA17" s="130"/>
      <x:c r="AB17" s="131"/>
      <x:c r="AC17" s="129"/>
      <x:c r="AD17" s="130"/>
      <x:c r="AE17" s="131"/>
      <x:c r="AF17" s="129"/>
      <x:c r="AG17" s="130"/>
      <x:c r="AH17" s="131"/>
      <x:c r="AI17" s="129"/>
      <x:c r="AJ17" s="130"/>
      <x:c r="AK17" s="131"/>
    </x:row>
    <x:row r="18" ht="22" customHeight="1">
      <x:c r="A18" s="38" t="str">
        <x:v>DELIVERY</x:v>
      </x:c>
      <x:c r="B18" s="57" t="str">
        <x:v>DELIVERY</x:v>
      </x:c>
      <x:c r="C18" s="58" t="str">
        <x:v>DELIVERY</x:v>
      </x:c>
      <x:c r="D18" s="59" t="str">
        <x:v>DELIVERY</x:v>
      </x:c>
      <x:c r="E18" s="57" t="str">
        <x:v>DELIVERY</x:v>
      </x:c>
      <x:c r="F18" s="58" t="str">
        <x:v>DELIVERY</x:v>
      </x:c>
      <x:c r="G18" s="59" t="str">
        <x:v>DELIVERY</x:v>
      </x:c>
      <x:c r="H18" s="57" t="str">
        <x:v>DELIVERY</x:v>
      </x:c>
      <x:c r="I18" s="58" t="str">
        <x:v>DELIVERY</x:v>
      </x:c>
      <x:c r="J18" s="59" t="str">
        <x:v>DELIVERY</x:v>
      </x:c>
      <x:c r="K18" s="57" t="str">
        <x:v>DELIVERY</x:v>
      </x:c>
      <x:c r="L18" s="58" t="str">
        <x:v>DELIVERY</x:v>
      </x:c>
      <x:c r="M18" s="59" t="str">
        <x:v>DELIVERY</x:v>
      </x:c>
      <x:c r="N18" s="57" t="str">
        <x:v>DELIVERY</x:v>
      </x:c>
      <x:c r="O18" s="58" t="str">
        <x:v>DELIVERY</x:v>
      </x:c>
      <x:c r="P18" s="59" t="str">
        <x:v>DELIVERY</x:v>
      </x:c>
      <x:c r="Q18" s="57" t="str">
        <x:v>DELIVERY</x:v>
      </x:c>
      <x:c r="R18" s="58" t="str">
        <x:v>DELIVERY</x:v>
      </x:c>
      <x:c r="S18" s="59" t="str">
        <x:v>DELIVERY</x:v>
      </x:c>
      <x:c r="T18" s="57" t="str">
        <x:v>DELIVERY</x:v>
      </x:c>
      <x:c r="U18" s="58" t="str">
        <x:v>DELIVERY</x:v>
      </x:c>
      <x:c r="V18" s="59" t="str">
        <x:v>DELIVERY</x:v>
      </x:c>
      <x:c r="W18" s="57" t="str">
        <x:v>DELIVERY</x:v>
      </x:c>
      <x:c r="X18" s="58" t="str">
        <x:v>DELIVERY</x:v>
      </x:c>
      <x:c r="Y18" s="59" t="str">
        <x:v>DELIVERY</x:v>
      </x:c>
      <x:c r="Z18" s="57" t="str">
        <x:v>DELIVERY</x:v>
      </x:c>
      <x:c r="AA18" s="58" t="str">
        <x:v>DELIVERY</x:v>
      </x:c>
      <x:c r="AB18" s="59" t="str">
        <x:v>DELIVERY</x:v>
      </x:c>
      <x:c r="AC18" s="57" t="str">
        <x:v>DELIVERY</x:v>
      </x:c>
      <x:c r="AD18" s="58" t="str">
        <x:v>DELIVERY</x:v>
      </x:c>
      <x:c r="AE18" s="59" t="str">
        <x:v>DELIVERY</x:v>
      </x:c>
      <x:c r="AF18" s="57" t="str">
        <x:v>DELIVERY</x:v>
      </x:c>
      <x:c r="AG18" s="58" t="str">
        <x:v>DELIVERY</x:v>
      </x:c>
      <x:c r="AH18" s="59" t="str">
        <x:v>DELIVERY</x:v>
      </x:c>
      <x:c r="AI18" s="57" t="str">
        <x:v>DELIVERY</x:v>
      </x:c>
      <x:c r="AJ18" s="58" t="str">
        <x:v>DELIVERY</x:v>
      </x:c>
      <x:c r="AK18" s="59" t="str">
        <x:v>DELIVERY</x:v>
      </x:c>
    </x:row>
    <x:row r="19" ht="22" customHeight="1">
      <x:c r="A19" s="118" t="str">
        <x:v>Delivery timing in months</x:v>
      </x:c>
      <x:c r="B19" s="122"/>
      <x:c r="C19" s="123" t="n">
        <x:f>IF(B19&lt;&gt;"",B19,D19)</x:f>
        <x:v>1</x:v>
      </x:c>
      <x:c r="D19" s="124" t="n">
        <x:v>1</x:v>
      </x:c>
      <x:c r="E19" s="122"/>
      <x:c r="F19" s="123" t="n">
        <x:f>IF(E19&lt;&gt;"",E19,G19)</x:f>
        <x:v>1</x:v>
      </x:c>
      <x:c r="G19" s="124" t="n">
        <x:v>1</x:v>
      </x:c>
      <x:c r="H19" s="122"/>
      <x:c r="I19" s="123" t="n">
        <x:f>IF(H19&lt;&gt;"",H19,J19)</x:f>
        <x:v>1</x:v>
      </x:c>
      <x:c r="J19" s="124" t="n">
        <x:v>1</x:v>
      </x:c>
      <x:c r="K19" s="122"/>
      <x:c r="L19" s="123" t="n">
        <x:f>IF(K19&lt;&gt;"",K19,M19)</x:f>
        <x:v>1</x:v>
      </x:c>
      <x:c r="M19" s="124" t="n">
        <x:v>1</x:v>
      </x:c>
      <x:c r="N19" s="122"/>
      <x:c r="O19" s="123" t="n">
        <x:f>IF(N19&lt;&gt;"",N19,P19)</x:f>
        <x:v>1</x:v>
      </x:c>
      <x:c r="P19" s="124" t="n">
        <x:v>1</x:v>
      </x:c>
      <x:c r="Q19" s="122"/>
      <x:c r="R19" s="123" t="n">
        <x:f>IF(Q19&lt;&gt;"",Q19,S19)</x:f>
        <x:v>1</x:v>
      </x:c>
      <x:c r="S19" s="124" t="n">
        <x:v>1</x:v>
      </x:c>
      <x:c r="T19" s="122"/>
      <x:c r="U19" s="123" t="n">
        <x:f>IF(T19&lt;&gt;"",T19,V19)</x:f>
        <x:v>1</x:v>
      </x:c>
      <x:c r="V19" s="124" t="n">
        <x:v>1</x:v>
      </x:c>
      <x:c r="W19" s="122"/>
      <x:c r="X19" s="123" t="n">
        <x:f>IF(W19&lt;&gt;"",W19,Y19)</x:f>
        <x:v>1</x:v>
      </x:c>
      <x:c r="Y19" s="124" t="n">
        <x:v>1</x:v>
      </x:c>
      <x:c r="Z19" s="122"/>
      <x:c r="AA19" s="123" t="n">
        <x:f>IF(Z19&lt;&gt;"",Z19,AB19)</x:f>
        <x:v>1</x:v>
      </x:c>
      <x:c r="AB19" s="124" t="n">
        <x:v>1</x:v>
      </x:c>
      <x:c r="AC19" s="122"/>
      <x:c r="AD19" s="123" t="n">
        <x:f>IF(AC19&lt;&gt;"",AC19,AE19)</x:f>
        <x:v>1</x:v>
      </x:c>
      <x:c r="AE19" s="124" t="n">
        <x:v>1</x:v>
      </x:c>
      <x:c r="AF19" s="122" t="n">
        <x:v>1</x:v>
      </x:c>
      <x:c r="AG19" s="123" t="n">
        <x:f>IF(AF19&lt;&gt;"",AF19,AH19)</x:f>
        <x:v>1</x:v>
      </x:c>
      <x:c r="AH19" s="124" t="n">
        <x:v>1</x:v>
      </x:c>
      <x:c r="AI19" s="122" t="n">
        <x:v>1</x:v>
      </x:c>
      <x:c r="AJ19" s="123" t="n">
        <x:f>IF(AI19&lt;&gt;"",AI19,AK19)</x:f>
        <x:v>1</x:v>
      </x:c>
      <x:c r="AK19" s="124" t="n">
        <x:v>1</x:v>
      </x:c>
    </x:row>
    <x:row r="20" ht="22" customHeight="1">
      <x:c r="A20" s="118" t="str">
        <x:v>Resources available</x:v>
      </x:c>
      <x:c r="B20" s="119"/>
      <x:c r="C20" s="120" t="n">
        <x:f>IF(B20&lt;&gt;"",B20,D20)</x:f>
        <x:v>3</x:v>
      </x:c>
      <x:c r="D20" s="121" t="n">
        <x:v>3</x:v>
      </x:c>
      <x:c r="E20" s="119"/>
      <x:c r="F20" s="120" t="n">
        <x:f>IF(E20&lt;&gt;"",E20,G20)</x:f>
        <x:v>3</x:v>
      </x:c>
      <x:c r="G20" s="121" t="n">
        <x:v>3</x:v>
      </x:c>
      <x:c r="H20" s="119"/>
      <x:c r="I20" s="120" t="n">
        <x:f>IF(H20&lt;&gt;"",H20,J20)</x:f>
        <x:v>3</x:v>
      </x:c>
      <x:c r="J20" s="121" t="n">
        <x:v>3</x:v>
      </x:c>
      <x:c r="K20" s="119"/>
      <x:c r="L20" s="120" t="n">
        <x:f>IF(K20&lt;&gt;"",K20,M20)</x:f>
        <x:v>3</x:v>
      </x:c>
      <x:c r="M20" s="121" t="n">
        <x:v>3</x:v>
      </x:c>
      <x:c r="N20" s="119"/>
      <x:c r="O20" s="120" t="n">
        <x:f>IF(N20&lt;&gt;"",N20,P20)</x:f>
        <x:v>3</x:v>
      </x:c>
      <x:c r="P20" s="121" t="n">
        <x:v>3</x:v>
      </x:c>
      <x:c r="Q20" s="119"/>
      <x:c r="R20" s="120" t="n">
        <x:f>IF(Q20&lt;&gt;"",Q20,S20)</x:f>
        <x:v>3</x:v>
      </x:c>
      <x:c r="S20" s="121" t="n">
        <x:v>3</x:v>
      </x:c>
      <x:c r="T20" s="119"/>
      <x:c r="U20" s="120" t="n">
        <x:f>IF(T20&lt;&gt;"",T20,V20)</x:f>
        <x:v>3</x:v>
      </x:c>
      <x:c r="V20" s="121" t="n">
        <x:v>3</x:v>
      </x:c>
      <x:c r="W20" s="119"/>
      <x:c r="X20" s="120" t="n">
        <x:f>IF(W20&lt;&gt;"",W20,Y20)</x:f>
        <x:v>3</x:v>
      </x:c>
      <x:c r="Y20" s="121" t="n">
        <x:v>3</x:v>
      </x:c>
      <x:c r="Z20" s="119"/>
      <x:c r="AA20" s="120" t="n">
        <x:f>IF(Z20&lt;&gt;"",Z20,AB20)</x:f>
        <x:v>3</x:v>
      </x:c>
      <x:c r="AB20" s="121" t="n">
        <x:v>3</x:v>
      </x:c>
      <x:c r="AC20" s="119"/>
      <x:c r="AD20" s="120" t="n">
        <x:f>IF(AC20&lt;&gt;"",AC20,AE20)</x:f>
        <x:v>3</x:v>
      </x:c>
      <x:c r="AE20" s="121" t="n">
        <x:v>3</x:v>
      </x:c>
      <x:c r="AF20" s="119" t="n">
        <x:v>3</x:v>
      </x:c>
      <x:c r="AG20" s="120" t="n">
        <x:f>IF(AF20&lt;&gt;"",AF20,AH20)</x:f>
        <x:v>3</x:v>
      </x:c>
      <x:c r="AH20" s="121" t="n">
        <x:v>3</x:v>
      </x:c>
      <x:c r="AI20" s="119" t="n">
        <x:v>3</x:v>
      </x:c>
      <x:c r="AJ20" s="120" t="n">
        <x:f>IF(AI20&lt;&gt;"",AI20,AK20)</x:f>
        <x:v>3</x:v>
      </x:c>
      <x:c r="AK20" s="121" t="n">
        <x:v>3</x:v>
      </x:c>
    </x:row>
    <x:row r="21" ht="22" customHeight="1">
      <x:c r="A21" s="118" t="str">
        <x:v>Completed work per resource</x:v>
      </x:c>
      <x:c r="B21" s="119"/>
      <x:c r="C21" s="120" t="n">
        <x:f>IF(B21&lt;&gt;"",B21,D21)</x:f>
        <x:v>8</x:v>
      </x:c>
      <x:c r="D21" s="121" t="n">
        <x:v>8</x:v>
      </x:c>
      <x:c r="E21" s="119"/>
      <x:c r="F21" s="120" t="n">
        <x:f>IF(E21&lt;&gt;"",E21,G21)</x:f>
        <x:v>8</x:v>
      </x:c>
      <x:c r="G21" s="121" t="n">
        <x:v>8</x:v>
      </x:c>
      <x:c r="H21" s="119"/>
      <x:c r="I21" s="120" t="n">
        <x:f>IF(H21&lt;&gt;"",H21,J21)</x:f>
        <x:v>8</x:v>
      </x:c>
      <x:c r="J21" s="121" t="n">
        <x:v>8</x:v>
      </x:c>
      <x:c r="K21" s="119"/>
      <x:c r="L21" s="120" t="n">
        <x:f>IF(K21&lt;&gt;"",K21,M21)</x:f>
        <x:v>8</x:v>
      </x:c>
      <x:c r="M21" s="121" t="n">
        <x:v>8</x:v>
      </x:c>
      <x:c r="N21" s="119"/>
      <x:c r="O21" s="120" t="n">
        <x:f>IF(N21&lt;&gt;"",N21,P21)</x:f>
        <x:v>8</x:v>
      </x:c>
      <x:c r="P21" s="121" t="n">
        <x:v>8</x:v>
      </x:c>
      <x:c r="Q21" s="119"/>
      <x:c r="R21" s="120" t="n">
        <x:f>IF(Q21&lt;&gt;"",Q21,S21)</x:f>
        <x:v>8</x:v>
      </x:c>
      <x:c r="S21" s="121" t="n">
        <x:v>8</x:v>
      </x:c>
      <x:c r="T21" s="119"/>
      <x:c r="U21" s="120" t="n">
        <x:f>IF(T21&lt;&gt;"",T21,V21)</x:f>
        <x:v>8</x:v>
      </x:c>
      <x:c r="V21" s="121" t="n">
        <x:v>8</x:v>
      </x:c>
      <x:c r="W21" s="119"/>
      <x:c r="X21" s="120" t="n">
        <x:f>IF(W21&lt;&gt;"",W21,Y21)</x:f>
        <x:v>8</x:v>
      </x:c>
      <x:c r="Y21" s="121" t="n">
        <x:v>8</x:v>
      </x:c>
      <x:c r="Z21" s="119"/>
      <x:c r="AA21" s="120" t="n">
        <x:f>IF(Z21&lt;&gt;"",Z21,AB21)</x:f>
        <x:v>8</x:v>
      </x:c>
      <x:c r="AB21" s="121" t="n">
        <x:v>8</x:v>
      </x:c>
      <x:c r="AC21" s="119"/>
      <x:c r="AD21" s="120" t="n">
        <x:f>IF(AC21&lt;&gt;"",AC21,AE21)</x:f>
        <x:v>8</x:v>
      </x:c>
      <x:c r="AE21" s="121" t="n">
        <x:v>8</x:v>
      </x:c>
      <x:c r="AF21" s="119" t="n">
        <x:v>8</x:v>
      </x:c>
      <x:c r="AG21" s="120" t="n">
        <x:f>IF(AF21&lt;&gt;"",AF21,AH21)</x:f>
        <x:v>8</x:v>
      </x:c>
      <x:c r="AH21" s="121" t="n">
        <x:v>8</x:v>
      </x:c>
      <x:c r="AI21" s="119" t="n">
        <x:v>8</x:v>
      </x:c>
      <x:c r="AJ21" s="120" t="n">
        <x:f>IF(AI21&lt;&gt;"",AI21,AK21)</x:f>
        <x:v>8</x:v>
      </x:c>
      <x:c r="AK21" s="121" t="n">
        <x:v>8</x:v>
      </x:c>
    </x:row>
    <x:row r="22" ht="22" customHeight="1">
      <x:c r="A22" s="118" t="str">
        <x:v>Resource cost per month</x:v>
      </x:c>
      <x:c r="B22" s="132"/>
      <x:c r="C22" s="133" t="n">
        <x:f>IF(B22&lt;&gt;"",B22,D22)</x:f>
        <x:v>12000</x:v>
      </x:c>
      <x:c r="D22" s="134" t="n">
        <x:v>12000</x:v>
      </x:c>
      <x:c r="E22" s="132"/>
      <x:c r="F22" s="133" t="n">
        <x:f>IF(E22&lt;&gt;"",E22,G22)</x:f>
        <x:v>12000</x:v>
      </x:c>
      <x:c r="G22" s="134" t="n">
        <x:v>12000</x:v>
      </x:c>
      <x:c r="H22" s="132"/>
      <x:c r="I22" s="133" t="n">
        <x:f>IF(H22&lt;&gt;"",H22,J22)</x:f>
        <x:v>12000</x:v>
      </x:c>
      <x:c r="J22" s="134" t="n">
        <x:v>12000</x:v>
      </x:c>
      <x:c r="K22" s="132"/>
      <x:c r="L22" s="133" t="n">
        <x:f>IF(K22&lt;&gt;"",K22,M22)</x:f>
        <x:v>12000</x:v>
      </x:c>
      <x:c r="M22" s="134" t="n">
        <x:v>12000</x:v>
      </x:c>
      <x:c r="N22" s="132"/>
      <x:c r="O22" s="133" t="n">
        <x:f>IF(N22&lt;&gt;"",N22,P22)</x:f>
        <x:v>12000</x:v>
      </x:c>
      <x:c r="P22" s="134" t="n">
        <x:v>12000</x:v>
      </x:c>
      <x:c r="Q22" s="132"/>
      <x:c r="R22" s="133" t="n">
        <x:f>IF(Q22&lt;&gt;"",Q22,S22)</x:f>
        <x:v>12000</x:v>
      </x:c>
      <x:c r="S22" s="134" t="n">
        <x:v>12000</x:v>
      </x:c>
      <x:c r="T22" s="132"/>
      <x:c r="U22" s="133" t="n">
        <x:f>IF(T22&lt;&gt;"",T22,V22)</x:f>
        <x:v>12000</x:v>
      </x:c>
      <x:c r="V22" s="134" t="n">
        <x:v>12000</x:v>
      </x:c>
      <x:c r="W22" s="132"/>
      <x:c r="X22" s="133" t="n">
        <x:f>IF(W22&lt;&gt;"",W22,Y22)</x:f>
        <x:v>12000</x:v>
      </x:c>
      <x:c r="Y22" s="134" t="n">
        <x:v>12000</x:v>
      </x:c>
      <x:c r="Z22" s="132"/>
      <x:c r="AA22" s="133" t="n">
        <x:f>IF(Z22&lt;&gt;"",Z22,AB22)</x:f>
        <x:v>12000</x:v>
      </x:c>
      <x:c r="AB22" s="134" t="n">
        <x:v>12000</x:v>
      </x:c>
      <x:c r="AC22" s="132"/>
      <x:c r="AD22" s="133" t="n">
        <x:f>IF(AC22&lt;&gt;"",AC22,AE22)</x:f>
        <x:v>12000</x:v>
      </x:c>
      <x:c r="AE22" s="134" t="n">
        <x:v>12000</x:v>
      </x:c>
      <x:c r="AF22" s="132" t="n">
        <x:v>12000</x:v>
      </x:c>
      <x:c r="AG22" s="133" t="n">
        <x:f>IF(AF22&lt;&gt;"",AF22,AH22)</x:f>
        <x:v>12000</x:v>
      </x:c>
      <x:c r="AH22" s="134" t="n">
        <x:v>12000</x:v>
      </x:c>
      <x:c r="AI22" s="132" t="n">
        <x:v>12000</x:v>
      </x:c>
      <x:c r="AJ22" s="133" t="n">
        <x:f>IF(AI22&lt;&gt;"",AI22,AK22)</x:f>
        <x:v>12000</x:v>
      </x:c>
      <x:c r="AK22" s="134" t="n">
        <x:v>12000</x:v>
      </x:c>
    </x:row>
    <x:row r="23" ht="22" customHeight="1">
      <x:c r="A23" s="118" t="str">
        <x:v>Variable cost per completed work</x:v>
      </x:c>
      <x:c r="B23" s="132"/>
      <x:c r="C23" s="133" t="n">
        <x:f>IF(B23&lt;&gt;"",B23,D23)</x:f>
        <x:v>1000</x:v>
      </x:c>
      <x:c r="D23" s="134" t="n">
        <x:v>1000</x:v>
      </x:c>
      <x:c r="E23" s="132"/>
      <x:c r="F23" s="133" t="n">
        <x:f>IF(E23&lt;&gt;"",E23,G23)</x:f>
        <x:v>1000</x:v>
      </x:c>
      <x:c r="G23" s="134" t="n">
        <x:v>1000</x:v>
      </x:c>
      <x:c r="H23" s="132"/>
      <x:c r="I23" s="133" t="n">
        <x:f>IF(H23&lt;&gt;"",H23,J23)</x:f>
        <x:v>1000</x:v>
      </x:c>
      <x:c r="J23" s="134" t="n">
        <x:v>1000</x:v>
      </x:c>
      <x:c r="K23" s="132"/>
      <x:c r="L23" s="133" t="n">
        <x:f>IF(K23&lt;&gt;"",K23,M23)</x:f>
        <x:v>1000</x:v>
      </x:c>
      <x:c r="M23" s="134" t="n">
        <x:v>1000</x:v>
      </x:c>
      <x:c r="N23" s="132"/>
      <x:c r="O23" s="133" t="n">
        <x:f>IF(N23&lt;&gt;"",N23,P23)</x:f>
        <x:v>1000</x:v>
      </x:c>
      <x:c r="P23" s="134" t="n">
        <x:v>1000</x:v>
      </x:c>
      <x:c r="Q23" s="132"/>
      <x:c r="R23" s="133" t="n">
        <x:f>IF(Q23&lt;&gt;"",Q23,S23)</x:f>
        <x:v>1000</x:v>
      </x:c>
      <x:c r="S23" s="134" t="n">
        <x:v>1000</x:v>
      </x:c>
      <x:c r="T23" s="132"/>
      <x:c r="U23" s="133" t="n">
        <x:f>IF(T23&lt;&gt;"",T23,V23)</x:f>
        <x:v>1000</x:v>
      </x:c>
      <x:c r="V23" s="134" t="n">
        <x:v>1000</x:v>
      </x:c>
      <x:c r="W23" s="132"/>
      <x:c r="X23" s="133" t="n">
        <x:f>IF(W23&lt;&gt;"",W23,Y23)</x:f>
        <x:v>1000</x:v>
      </x:c>
      <x:c r="Y23" s="134" t="n">
        <x:v>1000</x:v>
      </x:c>
      <x:c r="Z23" s="132"/>
      <x:c r="AA23" s="133" t="n">
        <x:f>IF(Z23&lt;&gt;"",Z23,AB23)</x:f>
        <x:v>1000</x:v>
      </x:c>
      <x:c r="AB23" s="134" t="n">
        <x:v>1000</x:v>
      </x:c>
      <x:c r="AC23" s="132"/>
      <x:c r="AD23" s="133" t="n">
        <x:f>IF(AC23&lt;&gt;"",AC23,AE23)</x:f>
        <x:v>1000</x:v>
      </x:c>
      <x:c r="AE23" s="134" t="n">
        <x:v>1000</x:v>
      </x:c>
      <x:c r="AF23" s="132" t="n">
        <x:v>1000</x:v>
      </x:c>
      <x:c r="AG23" s="133" t="n">
        <x:f>IF(AF23&lt;&gt;"",AF23,AH23)</x:f>
        <x:v>1000</x:v>
      </x:c>
      <x:c r="AH23" s="134" t="n">
        <x:v>1000</x:v>
      </x:c>
      <x:c r="AI23" s="132" t="n">
        <x:v>1000</x:v>
      </x:c>
      <x:c r="AJ23" s="133" t="n">
        <x:f>IF(AI23&lt;&gt;"",AI23,AK23)</x:f>
        <x:v>1000</x:v>
      </x:c>
      <x:c r="AK23" s="134" t="n">
        <x:v>1000</x:v>
      </x:c>
    </x:row>
    <x:row r="24" ht="22" customHeight="1">
      <x:c r="A24" s="135" t="str">
        <x:v>Delivery capacity</x:v>
      </x:c>
      <x:c r="B24" s="139" t="str">
        <x:f>IF(COUNT(B20,B21)=2,B20*B21,"")</x:f>
      </x:c>
      <x:c r="C24" s="140" t="n">
        <x:f>C20*C21</x:f>
        <x:v>24</x:v>
      </x:c>
      <x:c r="D24" s="141" t="n">
        <x:f>D20*D21</x:f>
        <x:v>24</x:v>
      </x:c>
      <x:c r="E24" s="139" t="str">
        <x:f>IF(COUNT(E20,E21)=2,E20*E21,"")</x:f>
      </x:c>
      <x:c r="F24" s="140" t="n">
        <x:f>F20*F21</x:f>
        <x:v>24</x:v>
      </x:c>
      <x:c r="G24" s="141" t="n">
        <x:f>G20*G21</x:f>
        <x:v>24</x:v>
      </x:c>
      <x:c r="H24" s="139" t="str">
        <x:f>IF(COUNT(H20,H21)=2,H20*H21,"")</x:f>
      </x:c>
      <x:c r="I24" s="140" t="n">
        <x:f>I20*I21</x:f>
        <x:v>24</x:v>
      </x:c>
      <x:c r="J24" s="141" t="n">
        <x:f>J20*J21</x:f>
        <x:v>24</x:v>
      </x:c>
      <x:c r="K24" s="139" t="str">
        <x:f>IF(COUNT(K20,K21)=2,K20*K21,"")</x:f>
      </x:c>
      <x:c r="L24" s="140" t="n">
        <x:f>L20*L21</x:f>
        <x:v>24</x:v>
      </x:c>
      <x:c r="M24" s="141" t="n">
        <x:f>M20*M21</x:f>
        <x:v>24</x:v>
      </x:c>
      <x:c r="N24" s="139" t="str">
        <x:f>IF(COUNT(N20,N21)=2,N20*N21,"")</x:f>
      </x:c>
      <x:c r="O24" s="140" t="n">
        <x:f>O20*O21</x:f>
        <x:v>24</x:v>
      </x:c>
      <x:c r="P24" s="141" t="n">
        <x:f>P20*P21</x:f>
        <x:v>24</x:v>
      </x:c>
      <x:c r="Q24" s="139" t="str">
        <x:f>IF(COUNT(Q20,Q21)=2,Q20*Q21,"")</x:f>
      </x:c>
      <x:c r="R24" s="140" t="n">
        <x:f>R20*R21</x:f>
        <x:v>24</x:v>
      </x:c>
      <x:c r="S24" s="141" t="n">
        <x:f>S20*S21</x:f>
        <x:v>24</x:v>
      </x:c>
      <x:c r="T24" s="139" t="str">
        <x:f>IF(COUNT(T20,T21)=2,T20*T21,"")</x:f>
      </x:c>
      <x:c r="U24" s="140" t="n">
        <x:f>U20*U21</x:f>
        <x:v>24</x:v>
      </x:c>
      <x:c r="V24" s="141" t="n">
        <x:f>V20*V21</x:f>
        <x:v>24</x:v>
      </x:c>
      <x:c r="W24" s="139" t="str">
        <x:f>IF(COUNT(W20,W21)=2,W20*W21,"")</x:f>
      </x:c>
      <x:c r="X24" s="140" t="n">
        <x:f>X20*X21</x:f>
        <x:v>24</x:v>
      </x:c>
      <x:c r="Y24" s="141" t="n">
        <x:f>Y20*Y21</x:f>
        <x:v>24</x:v>
      </x:c>
      <x:c r="Z24" s="139" t="str">
        <x:f>IF(COUNT(Z20,Z21)=2,Z20*Z21,"")</x:f>
      </x:c>
      <x:c r="AA24" s="140" t="n">
        <x:f>AA20*AA21</x:f>
        <x:v>24</x:v>
      </x:c>
      <x:c r="AB24" s="141" t="n">
        <x:f>AB20*AB21</x:f>
        <x:v>24</x:v>
      </x:c>
      <x:c r="AC24" s="139" t="str">
        <x:f>IF(COUNT(AC20,AC21)=2,AC20*AC21,"")</x:f>
      </x:c>
      <x:c r="AD24" s="140" t="n">
        <x:f>AD20*AD21</x:f>
        <x:v>24</x:v>
      </x:c>
      <x:c r="AE24" s="141" t="n">
        <x:f>AE20*AE21</x:f>
        <x:v>24</x:v>
      </x:c>
      <x:c r="AF24" s="139" t="n">
        <x:f>IF(COUNT(AF20,AF21)=2,AF20*AF21,"")</x:f>
        <x:v>24</x:v>
      </x:c>
      <x:c r="AG24" s="140" t="n">
        <x:f>AG20*AG21</x:f>
        <x:v>24</x:v>
      </x:c>
      <x:c r="AH24" s="141" t="n">
        <x:f>AH20*AH21</x:f>
        <x:v>24</x:v>
      </x:c>
      <x:c r="AI24" s="139" t="n">
        <x:f>IF(COUNT(AI20,AI21)=2,AI20*AI21,"")</x:f>
        <x:v>24</x:v>
      </x:c>
      <x:c r="AJ24" s="140" t="n">
        <x:f>AJ20*AJ21</x:f>
        <x:v>24</x:v>
      </x:c>
      <x:c r="AK24" s="141" t="n">
        <x:f>AK20*AK21</x:f>
        <x:v>24</x:v>
      </x:c>
    </x:row>
    <x:row r="25" ht="22" customHeight="1">
      <x:c r="A25" s="118" t="str">
        <x:v>Opening delivery backlog</x:v>
      </x:c>
      <x:c r="B25" s="142" t="str">
        <x:f>IF(E28&lt;&gt;"",E28,"")</x:f>
      </x:c>
      <x:c r="C25" s="120" t="n">
        <x:f>IF(E28&lt;&gt;"",E28,F28)</x:f>
        <x:v>0</x:v>
      </x:c>
      <x:c r="D25" s="128" t="n">
        <x:f>G28</x:f>
        <x:v>0</x:v>
      </x:c>
      <x:c r="E25" s="142" t="str">
        <x:f>IF(H28&lt;&gt;"",H28,"")</x:f>
      </x:c>
      <x:c r="F25" s="120" t="n">
        <x:f>IF(H28&lt;&gt;"",H28,I28)</x:f>
        <x:v>0</x:v>
      </x:c>
      <x:c r="G25" s="128" t="n">
        <x:f>J28</x:f>
        <x:v>0</x:v>
      </x:c>
      <x:c r="H25" s="142" t="str">
        <x:f>IF(K28&lt;&gt;"",K28,"")</x:f>
      </x:c>
      <x:c r="I25" s="120" t="n">
        <x:f>IF(K28&lt;&gt;"",K28,L28)</x:f>
        <x:v>0</x:v>
      </x:c>
      <x:c r="J25" s="128" t="n">
        <x:f>M28</x:f>
        <x:v>0</x:v>
      </x:c>
      <x:c r="K25" s="142" t="str">
        <x:f>IF(N28&lt;&gt;"",N28,"")</x:f>
      </x:c>
      <x:c r="L25" s="120" t="n">
        <x:f>IF(N28&lt;&gt;"",N28,O28)</x:f>
        <x:v>0</x:v>
      </x:c>
      <x:c r="M25" s="128" t="n">
        <x:f>P28</x:f>
        <x:v>0</x:v>
      </x:c>
      <x:c r="N25" s="142" t="str">
        <x:f>IF(Q28&lt;&gt;"",Q28,"")</x:f>
      </x:c>
      <x:c r="O25" s="120" t="n">
        <x:f>IF(Q28&lt;&gt;"",Q28,R28)</x:f>
        <x:v>0</x:v>
      </x:c>
      <x:c r="P25" s="128" t="n">
        <x:f>S28</x:f>
        <x:v>0</x:v>
      </x:c>
      <x:c r="Q25" s="142" t="str">
        <x:f>IF(T28&lt;&gt;"",T28,"")</x:f>
      </x:c>
      <x:c r="R25" s="120" t="n">
        <x:f>IF(T28&lt;&gt;"",T28,U28)</x:f>
        <x:v>0</x:v>
      </x:c>
      <x:c r="S25" s="128" t="n">
        <x:f>V28</x:f>
        <x:v>0</x:v>
      </x:c>
      <x:c r="T25" s="142" t="str">
        <x:f>IF(W28&lt;&gt;"",W28,"")</x:f>
      </x:c>
      <x:c r="U25" s="120" t="n">
        <x:f>IF(W28&lt;&gt;"",W28,X28)</x:f>
        <x:v>0</x:v>
      </x:c>
      <x:c r="V25" s="128" t="n">
        <x:f>Y28</x:f>
        <x:v>0</x:v>
      </x:c>
      <x:c r="W25" s="142" t="str">
        <x:f>IF(Z28&lt;&gt;"",Z28,"")</x:f>
      </x:c>
      <x:c r="X25" s="120" t="n">
        <x:f>IF(Z28&lt;&gt;"",Z28,AA28)</x:f>
        <x:v>0</x:v>
      </x:c>
      <x:c r="Y25" s="128" t="n">
        <x:f>AB28</x:f>
        <x:v>0</x:v>
      </x:c>
      <x:c r="Z25" s="142" t="str">
        <x:f>IF(AC28&lt;&gt;"",AC28,"")</x:f>
      </x:c>
      <x:c r="AA25" s="120" t="n">
        <x:f>IF(AC28&lt;&gt;"",AC28,AD28)</x:f>
        <x:v>0</x:v>
      </x:c>
      <x:c r="AB25" s="128" t="n">
        <x:f>AE28</x:f>
        <x:v>0</x:v>
      </x:c>
      <x:c r="AC25" s="142" t="str">
        <x:f>IF(AF28&lt;&gt;"",AF28,"")</x:f>
      </x:c>
      <x:c r="AD25" s="120" t="n">
        <x:f>IF(AF28&lt;&gt;"",AF28,AG28)</x:f>
        <x:v>0</x:v>
      </x:c>
      <x:c r="AE25" s="128" t="n">
        <x:f>AH28</x:f>
        <x:v>0</x:v>
      </x:c>
      <x:c r="AF25" s="142" t="n">
        <x:f>IF(AI28&lt;&gt;"",AI28,"")</x:f>
        <x:v>3</x:v>
      </x:c>
      <x:c r="AG25" s="120" t="n">
        <x:f>IF(AI28&lt;&gt;"",AI28,AJ28)</x:f>
        <x:v>3</x:v>
      </x:c>
      <x:c r="AH25" s="128" t="n">
        <x:f>AK28</x:f>
        <x:v>0</x:v>
      </x:c>
      <x:c r="AI25" s="142" t="n">
        <x:f>$B$62</x:f>
        <x:v>5</x:v>
      </x:c>
      <x:c r="AJ25" s="120" t="n">
        <x:f>$B$62</x:f>
        <x:v>5</x:v>
      </x:c>
      <x:c r="AK25" s="128" t="n">
        <x:f>$B$62</x:f>
        <x:v>5</x:v>
      </x:c>
    </x:row>
    <x:row r="26" ht="22" customHeight="1">
      <x:c r="A26" s="118" t="str">
        <x:v>Contracts ready for delivery</x:v>
      </x:c>
      <x:c r="B26" s="142" t="str">
        <x:f>IF(B$19&gt;=12,$B$60,IFERROR(INDEX($B$14:$AK$14,1,MIN(36,MAX(1,1+3*B$19+0))),""))</x:f>
      </x:c>
      <x:c r="C26" s="120" t="n">
        <x:f>IF(C$19&gt;=12,$B$60,IF(INDEX($B$14:$AK$14,1,MIN(36,MAX(1,1+3*C$19+0)))&lt;&gt;"",INDEX($B$14:$AK$14,1,MIN(36,MAX(1,1+3*C$19+0))),INDEX($B$14:$AK$14,1,MIN(36,MAX(1,1+3*C$19+1)))))</x:f>
        <x:v>12</x:v>
      </x:c>
      <x:c r="D26" s="128" t="n">
        <x:f>IF(D$19&gt;=12,$B$60,INDEX($B$14:$AK$14,1,MIN(36,MAX(1,1+3*D$19+2))))</x:f>
        <x:v>12</x:v>
      </x:c>
      <x:c r="E26" s="142" t="str">
        <x:f>IF(E$19&gt;=11,$B$60,IFERROR(INDEX($B$14:$AK$14,1,MIN(36,MAX(1,4+3*E$19+0))),""))</x:f>
      </x:c>
      <x:c r="F26" s="120" t="n">
        <x:f>IF(F$19&gt;=11,$B$60,IF(INDEX($B$14:$AK$14,1,MIN(36,MAX(1,4+3*F$19+0)))&lt;&gt;"",INDEX($B$14:$AK$14,1,MIN(36,MAX(1,4+3*F$19+0))),INDEX($B$14:$AK$14,1,MIN(36,MAX(1,4+3*F$19+1)))))</x:f>
        <x:v>12</x:v>
      </x:c>
      <x:c r="G26" s="128" t="n">
        <x:f>IF(G$19&gt;=11,$B$60,INDEX($B$14:$AK$14,1,MIN(36,MAX(1,4+3*G$19+2))))</x:f>
        <x:v>12</x:v>
      </x:c>
      <x:c r="H26" s="142" t="str">
        <x:f>IF(H$19&gt;=10,$B$60,IFERROR(INDEX($B$14:$AK$14,1,MIN(36,MAX(1,7+3*H$19+0))),""))</x:f>
      </x:c>
      <x:c r="I26" s="120" t="n">
        <x:f>IF(I$19&gt;=10,$B$60,IF(INDEX($B$14:$AK$14,1,MIN(36,MAX(1,7+3*I$19+0)))&lt;&gt;"",INDEX($B$14:$AK$14,1,MIN(36,MAX(1,7+3*I$19+0))),INDEX($B$14:$AK$14,1,MIN(36,MAX(1,7+3*I$19+1)))))</x:f>
        <x:v>12</x:v>
      </x:c>
      <x:c r="J26" s="128" t="n">
        <x:f>IF(J$19&gt;=10,$B$60,INDEX($B$14:$AK$14,1,MIN(36,MAX(1,7+3*J$19+2))))</x:f>
        <x:v>12</x:v>
      </x:c>
      <x:c r="K26" s="142" t="str">
        <x:f>IF(K$19&gt;=9,$B$60,IFERROR(INDEX($B$14:$AK$14,1,MIN(36,MAX(1,10+3*K$19+0))),""))</x:f>
      </x:c>
      <x:c r="L26" s="120" t="n">
        <x:f>IF(L$19&gt;=9,$B$60,IF(INDEX($B$14:$AK$14,1,MIN(36,MAX(1,10+3*L$19+0)))&lt;&gt;"",INDEX($B$14:$AK$14,1,MIN(36,MAX(1,10+3*L$19+0))),INDEX($B$14:$AK$14,1,MIN(36,MAX(1,10+3*L$19+1)))))</x:f>
        <x:v>12</x:v>
      </x:c>
      <x:c r="M26" s="128" t="n">
        <x:f>IF(M$19&gt;=9,$B$60,INDEX($B$14:$AK$14,1,MIN(36,MAX(1,10+3*M$19+2))))</x:f>
        <x:v>12</x:v>
      </x:c>
      <x:c r="N26" s="142" t="str">
        <x:f>IF(N$19&gt;=8,$B$60,IFERROR(INDEX($B$14:$AK$14,1,MIN(36,MAX(1,13+3*N$19+0))),""))</x:f>
      </x:c>
      <x:c r="O26" s="120" t="n">
        <x:f>IF(O$19&gt;=8,$B$60,IF(INDEX($B$14:$AK$14,1,MIN(36,MAX(1,13+3*O$19+0)))&lt;&gt;"",INDEX($B$14:$AK$14,1,MIN(36,MAX(1,13+3*O$19+0))),INDEX($B$14:$AK$14,1,MIN(36,MAX(1,13+3*O$19+1)))))</x:f>
        <x:v>11</x:v>
      </x:c>
      <x:c r="P26" s="128" t="n">
        <x:f>IF(P$19&gt;=8,$B$60,INDEX($B$14:$AK$14,1,MIN(36,MAX(1,13+3*P$19+2))))</x:f>
        <x:v>11</x:v>
      </x:c>
      <x:c r="Q26" s="142" t="str">
        <x:f>IF(Q$19&gt;=7,$B$60,IFERROR(INDEX($B$14:$AK$14,1,MIN(36,MAX(1,16+3*Q$19+0))),""))</x:f>
      </x:c>
      <x:c r="R26" s="120" t="n">
        <x:f>IF(R$19&gt;=7,$B$60,IF(INDEX($B$14:$AK$14,1,MIN(36,MAX(1,16+3*R$19+0)))&lt;&gt;"",INDEX($B$14:$AK$14,1,MIN(36,MAX(1,16+3*R$19+0))),INDEX($B$14:$AK$14,1,MIN(36,MAX(1,16+3*R$19+1)))))</x:f>
        <x:v>11</x:v>
      </x:c>
      <x:c r="S26" s="128" t="n">
        <x:f>IF(S$19&gt;=7,$B$60,INDEX($B$14:$AK$14,1,MIN(36,MAX(1,16+3*S$19+2))))</x:f>
        <x:v>11</x:v>
      </x:c>
      <x:c r="T26" s="142" t="str">
        <x:f>IF(T$19&gt;=6,$B$60,IFERROR(INDEX($B$14:$AK$14,1,MIN(36,MAX(1,19+3*T$19+0))),""))</x:f>
      </x:c>
      <x:c r="U26" s="120" t="n">
        <x:f>IF(U$19&gt;=6,$B$60,IF(INDEX($B$14:$AK$14,1,MIN(36,MAX(1,19+3*U$19+0)))&lt;&gt;"",INDEX($B$14:$AK$14,1,MIN(36,MAX(1,19+3*U$19+0))),INDEX($B$14:$AK$14,1,MIN(36,MAX(1,19+3*U$19+1)))))</x:f>
        <x:v>11</x:v>
      </x:c>
      <x:c r="V26" s="128" t="n">
        <x:f>IF(V$19&gt;=6,$B$60,INDEX($B$14:$AK$14,1,MIN(36,MAX(1,19+3*V$19+2))))</x:f>
        <x:v>11</x:v>
      </x:c>
      <x:c r="W26" s="142" t="str">
        <x:f>IF(W$19&gt;=5,$B$60,IFERROR(INDEX($B$14:$AK$14,1,MIN(36,MAX(1,22+3*W$19+0))),""))</x:f>
      </x:c>
      <x:c r="X26" s="120" t="n">
        <x:f>IF(X$19&gt;=5,$B$60,IF(INDEX($B$14:$AK$14,1,MIN(36,MAX(1,22+3*X$19+0)))&lt;&gt;"",INDEX($B$14:$AK$14,1,MIN(36,MAX(1,22+3*X$19+0))),INDEX($B$14:$AK$14,1,MIN(36,MAX(1,22+3*X$19+1)))))</x:f>
        <x:v>11</x:v>
      </x:c>
      <x:c r="Y26" s="128" t="n">
        <x:f>IF(Y$19&gt;=5,$B$60,INDEX($B$14:$AK$14,1,MIN(36,MAX(1,22+3*Y$19+2))))</x:f>
        <x:v>11</x:v>
      </x:c>
      <x:c r="Z26" s="142" t="str">
        <x:f>IF(Z$19&gt;=4,$B$60,IFERROR(INDEX($B$14:$AK$14,1,MIN(36,MAX(1,25+3*Z$19+0))),""))</x:f>
      </x:c>
      <x:c r="AA26" s="120" t="n">
        <x:f>IF(AA$19&gt;=4,$B$60,IF(INDEX($B$14:$AK$14,1,MIN(36,MAX(1,25+3*AA$19+0)))&lt;&gt;"",INDEX($B$14:$AK$14,1,MIN(36,MAX(1,25+3*AA$19+0))),INDEX($B$14:$AK$14,1,MIN(36,MAX(1,25+3*AA$19+1)))))</x:f>
        <x:v>10</x:v>
      </x:c>
      <x:c r="AB26" s="128" t="n">
        <x:f>IF(AB$19&gt;=4,$B$60,INDEX($B$14:$AK$14,1,MIN(36,MAX(1,25+3*AB$19+2))))</x:f>
        <x:v>10</x:v>
      </x:c>
      <x:c r="AC26" s="142" t="str">
        <x:f>IF(AC$19&gt;=3,$B$60,IFERROR(INDEX($B$14:$AK$14,1,MIN(36,MAX(1,28+3*AC$19+0))),""))</x:f>
      </x:c>
      <x:c r="AD26" s="120" t="n">
        <x:f>IF(AD$19&gt;=3,$B$60,IF(INDEX($B$14:$AK$14,1,MIN(36,MAX(1,28+3*AD$19+0)))&lt;&gt;"",INDEX($B$14:$AK$14,1,MIN(36,MAX(1,28+3*AD$19+0))),INDEX($B$14:$AK$14,1,MIN(36,MAX(1,28+3*AD$19+1)))))</x:f>
        <x:v>8</x:v>
      </x:c>
      <x:c r="AE26" s="128" t="n">
        <x:f>IF(AE$19&gt;=3,$B$60,INDEX($B$14:$AK$14,1,MIN(36,MAX(1,28+3*AE$19+2))))</x:f>
        <x:v>10</x:v>
      </x:c>
      <x:c r="AF26" s="142" t="n">
        <x:f>IF(AF$19&gt;=2,$B$60,IFERROR(INDEX($B$14:$AK$14,1,MIN(36,MAX(1,31+3*AF$19+0))),""))</x:f>
        <x:v>7</x:v>
      </x:c>
      <x:c r="AG26" s="120" t="n">
        <x:f>IF(AG$19&gt;=2,$B$60,IF(INDEX($B$14:$AK$14,1,MIN(36,MAX(1,31+3*AG$19+0)))&lt;&gt;"",INDEX($B$14:$AK$14,1,MIN(36,MAX(1,31+3*AG$19+0))),INDEX($B$14:$AK$14,1,MIN(36,MAX(1,31+3*AG$19+1)))))</x:f>
        <x:v>7</x:v>
      </x:c>
      <x:c r="AH26" s="128" t="n">
        <x:f>IF(AH$19&gt;=2,$B$60,INDEX($B$14:$AK$14,1,MIN(36,MAX(1,31+3*AH$19+2))))</x:f>
        <x:v>10</x:v>
      </x:c>
      <x:c r="AI26" s="142" t="n">
        <x:f>IF(AI$19&gt;=1,$B$60,IFERROR(INDEX($B$14:$AK$14,1,MIN(36,MAX(1,34+3*AI$19+0))),""))</x:f>
        <x:v>10</x:v>
      </x:c>
      <x:c r="AJ26" s="120" t="n">
        <x:f>IF(AJ$19&gt;=1,$B$60,IF(INDEX($B$14:$AK$14,1,MIN(36,MAX(1,34+3*AJ$19+0)))&lt;&gt;"",INDEX($B$14:$AK$14,1,MIN(36,MAX(1,34+3*AJ$19+0))),INDEX($B$14:$AK$14,1,MIN(36,MAX(1,34+3*AJ$19+1)))))</x:f>
        <x:v>10</x:v>
      </x:c>
      <x:c r="AK26" s="128" t="n">
        <x:f>IF(AK$19&gt;=1,$B$60,INDEX($B$14:$AK$14,1,MIN(36,MAX(1,34+3*AK$19+2))))</x:f>
        <x:v>10</x:v>
      </x:c>
    </x:row>
    <x:row r="27" ht="22" customHeight="1">
      <x:c r="A27" s="118" t="str">
        <x:v>Completed work</x:v>
      </x:c>
      <x:c r="B27" s="119"/>
      <x:c r="C27" s="120" t="n">
        <x:f>IF(B27&lt;&gt;"",B27,MIN(C25+C26,C24))</x:f>
        <x:v>12</x:v>
      </x:c>
      <x:c r="D27" s="128" t="n">
        <x:f>MIN(D25+D26,D24)</x:f>
        <x:v>12</x:v>
      </x:c>
      <x:c r="E27" s="119"/>
      <x:c r="F27" s="120" t="n">
        <x:f>IF(E27&lt;&gt;"",E27,MIN(F25+F26,F24))</x:f>
        <x:v>12</x:v>
      </x:c>
      <x:c r="G27" s="128" t="n">
        <x:f>MIN(G25+G26,G24)</x:f>
        <x:v>12</x:v>
      </x:c>
      <x:c r="H27" s="119"/>
      <x:c r="I27" s="120" t="n">
        <x:f>IF(H27&lt;&gt;"",H27,MIN(I25+I26,I24))</x:f>
        <x:v>12</x:v>
      </x:c>
      <x:c r="J27" s="128" t="n">
        <x:f>MIN(J25+J26,J24)</x:f>
        <x:v>12</x:v>
      </x:c>
      <x:c r="K27" s="119"/>
      <x:c r="L27" s="120" t="n">
        <x:f>IF(K27&lt;&gt;"",K27,MIN(L25+L26,L24))</x:f>
        <x:v>12</x:v>
      </x:c>
      <x:c r="M27" s="128" t="n">
        <x:f>MIN(M25+M26,M24)</x:f>
        <x:v>12</x:v>
      </x:c>
      <x:c r="N27" s="119"/>
      <x:c r="O27" s="120" t="n">
        <x:f>IF(N27&lt;&gt;"",N27,MIN(O25+O26,O24))</x:f>
        <x:v>11</x:v>
      </x:c>
      <x:c r="P27" s="128" t="n">
        <x:f>MIN(P25+P26,P24)</x:f>
        <x:v>11</x:v>
      </x:c>
      <x:c r="Q27" s="119"/>
      <x:c r="R27" s="120" t="n">
        <x:f>IF(Q27&lt;&gt;"",Q27,MIN(R25+R26,R24))</x:f>
        <x:v>11</x:v>
      </x:c>
      <x:c r="S27" s="128" t="n">
        <x:f>MIN(S25+S26,S24)</x:f>
        <x:v>11</x:v>
      </x:c>
      <x:c r="T27" s="119"/>
      <x:c r="U27" s="120" t="n">
        <x:f>IF(T27&lt;&gt;"",T27,MIN(U25+U26,U24))</x:f>
        <x:v>11</x:v>
      </x:c>
      <x:c r="V27" s="128" t="n">
        <x:f>MIN(V25+V26,V24)</x:f>
        <x:v>11</x:v>
      </x:c>
      <x:c r="W27" s="119"/>
      <x:c r="X27" s="120" t="n">
        <x:f>IF(W27&lt;&gt;"",W27,MIN(X25+X26,X24))</x:f>
        <x:v>11</x:v>
      </x:c>
      <x:c r="Y27" s="128" t="n">
        <x:f>MIN(Y25+Y26,Y24)</x:f>
        <x:v>11</x:v>
      </x:c>
      <x:c r="Z27" s="119"/>
      <x:c r="AA27" s="120" t="n">
        <x:f>IF(Z27&lt;&gt;"",Z27,MIN(AA25+AA26,AA24))</x:f>
        <x:v>10</x:v>
      </x:c>
      <x:c r="AB27" s="128" t="n">
        <x:f>MIN(AB25+AB26,AB24)</x:f>
        <x:v>10</x:v>
      </x:c>
      <x:c r="AC27" s="119"/>
      <x:c r="AD27" s="120" t="n">
        <x:f>IF(AC27&lt;&gt;"",AC27,MIN(AD25+AD26,AD24))</x:f>
        <x:v>8</x:v>
      </x:c>
      <x:c r="AE27" s="128" t="n">
        <x:f>MIN(AE25+AE26,AE24)</x:f>
        <x:v>10</x:v>
      </x:c>
      <x:c r="AF27" s="119" t="n">
        <x:v>10</x:v>
      </x:c>
      <x:c r="AG27" s="120" t="n">
        <x:f>IF(AF27&lt;&gt;"",AF27,MIN(AG25+AG26,AG24))</x:f>
        <x:v>10</x:v>
      </x:c>
      <x:c r="AH27" s="128" t="n">
        <x:f>MIN(AH25+AH26,AH24)</x:f>
        <x:v>10</x:v>
      </x:c>
      <x:c r="AI27" s="119" t="n">
        <x:v>12</x:v>
      </x:c>
      <x:c r="AJ27" s="120" t="n">
        <x:f>IF(AI27&lt;&gt;"",AI27,MIN(AJ25+AJ26,AJ24))</x:f>
        <x:v>12</x:v>
      </x:c>
      <x:c r="AK27" s="128" t="n">
        <x:f>MIN(AK25+AK26,AK24)</x:f>
        <x:v>15</x:v>
      </x:c>
    </x:row>
    <x:row r="28" ht="22" customHeight="1">
      <x:c r="A28" s="135" t="str">
        <x:v>Closing delivery backlog</x:v>
      </x:c>
      <x:c r="B28" s="139" t="str">
        <x:f>IF(COUNT(B25,B26,B27)=3,MAX(0,B25+B26-B27),"")</x:f>
      </x:c>
      <x:c r="C28" s="140" t="n">
        <x:f>MAX(0,C25+C26-C27)</x:f>
        <x:v>0</x:v>
      </x:c>
      <x:c r="D28" s="141" t="n">
        <x:f>MAX(0,D25+D26-D27)</x:f>
        <x:v>0</x:v>
      </x:c>
      <x:c r="E28" s="139" t="str">
        <x:f>IF(COUNT(E25,E26,E27)=3,MAX(0,E25+E26-E27),"")</x:f>
      </x:c>
      <x:c r="F28" s="140" t="n">
        <x:f>MAX(0,F25+F26-F27)</x:f>
        <x:v>0</x:v>
      </x:c>
      <x:c r="G28" s="141" t="n">
        <x:f>MAX(0,G25+G26-G27)</x:f>
        <x:v>0</x:v>
      </x:c>
      <x:c r="H28" s="139" t="str">
        <x:f>IF(COUNT(H25,H26,H27)=3,MAX(0,H25+H26-H27),"")</x:f>
      </x:c>
      <x:c r="I28" s="140" t="n">
        <x:f>MAX(0,I25+I26-I27)</x:f>
        <x:v>0</x:v>
      </x:c>
      <x:c r="J28" s="141" t="n">
        <x:f>MAX(0,J25+J26-J27)</x:f>
        <x:v>0</x:v>
      </x:c>
      <x:c r="K28" s="139" t="str">
        <x:f>IF(COUNT(K25,K26,K27)=3,MAX(0,K25+K26-K27),"")</x:f>
      </x:c>
      <x:c r="L28" s="140" t="n">
        <x:f>MAX(0,L25+L26-L27)</x:f>
        <x:v>0</x:v>
      </x:c>
      <x:c r="M28" s="141" t="n">
        <x:f>MAX(0,M25+M26-M27)</x:f>
        <x:v>0</x:v>
      </x:c>
      <x:c r="N28" s="139" t="str">
        <x:f>IF(COUNT(N25,N26,N27)=3,MAX(0,N25+N26-N27),"")</x:f>
      </x:c>
      <x:c r="O28" s="140" t="n">
        <x:f>MAX(0,O25+O26-O27)</x:f>
        <x:v>0</x:v>
      </x:c>
      <x:c r="P28" s="141" t="n">
        <x:f>MAX(0,P25+P26-P27)</x:f>
        <x:v>0</x:v>
      </x:c>
      <x:c r="Q28" s="139" t="str">
        <x:f>IF(COUNT(Q25,Q26,Q27)=3,MAX(0,Q25+Q26-Q27),"")</x:f>
      </x:c>
      <x:c r="R28" s="140" t="n">
        <x:f>MAX(0,R25+R26-R27)</x:f>
        <x:v>0</x:v>
      </x:c>
      <x:c r="S28" s="141" t="n">
        <x:f>MAX(0,S25+S26-S27)</x:f>
        <x:v>0</x:v>
      </x:c>
      <x:c r="T28" s="139" t="str">
        <x:f>IF(COUNT(T25,T26,T27)=3,MAX(0,T25+T26-T27),"")</x:f>
      </x:c>
      <x:c r="U28" s="140" t="n">
        <x:f>MAX(0,U25+U26-U27)</x:f>
        <x:v>0</x:v>
      </x:c>
      <x:c r="V28" s="141" t="n">
        <x:f>MAX(0,V25+V26-V27)</x:f>
        <x:v>0</x:v>
      </x:c>
      <x:c r="W28" s="139" t="str">
        <x:f>IF(COUNT(W25,W26,W27)=3,MAX(0,W25+W26-W27),"")</x:f>
      </x:c>
      <x:c r="X28" s="140" t="n">
        <x:f>MAX(0,X25+X26-X27)</x:f>
        <x:v>0</x:v>
      </x:c>
      <x:c r="Y28" s="141" t="n">
        <x:f>MAX(0,Y25+Y26-Y27)</x:f>
        <x:v>0</x:v>
      </x:c>
      <x:c r="Z28" s="139" t="str">
        <x:f>IF(COUNT(Z25,Z26,Z27)=3,MAX(0,Z25+Z26-Z27),"")</x:f>
      </x:c>
      <x:c r="AA28" s="140" t="n">
        <x:f>MAX(0,AA25+AA26-AA27)</x:f>
        <x:v>0</x:v>
      </x:c>
      <x:c r="AB28" s="141" t="n">
        <x:f>MAX(0,AB25+AB26-AB27)</x:f>
        <x:v>0</x:v>
      </x:c>
      <x:c r="AC28" s="139" t="str">
        <x:f>IF(COUNT(AC25,AC26,AC27)=3,MAX(0,AC25+AC26-AC27),"")</x:f>
      </x:c>
      <x:c r="AD28" s="140" t="n">
        <x:f>MAX(0,AD25+AD26-AD27)</x:f>
        <x:v>0</x:v>
      </x:c>
      <x:c r="AE28" s="141" t="n">
        <x:f>MAX(0,AE25+AE26-AE27)</x:f>
        <x:v>0</x:v>
      </x:c>
      <x:c r="AF28" s="139" t="n">
        <x:f>IF(COUNT(AF25,AF26,AF27)=3,MAX(0,AF25+AF26-AF27),"")</x:f>
        <x:v>0</x:v>
      </x:c>
      <x:c r="AG28" s="140" t="n">
        <x:f>MAX(0,AG25+AG26-AG27)</x:f>
        <x:v>0</x:v>
      </x:c>
      <x:c r="AH28" s="141" t="n">
        <x:f>MAX(0,AH25+AH26-AH27)</x:f>
        <x:v>0</x:v>
      </x:c>
      <x:c r="AI28" s="139" t="n">
        <x:f>IF(COUNT(AI25,AI26,AI27)=3,MAX(0,AI25+AI26-AI27),"")</x:f>
        <x:v>3</x:v>
      </x:c>
      <x:c r="AJ28" s="140" t="n">
        <x:f>MAX(0,AJ25+AJ26-AJ27)</x:f>
        <x:v>3</x:v>
      </x:c>
      <x:c r="AK28" s="141" t="n">
        <x:f>MAX(0,AK25+AK26-AK27)</x:f>
        <x:v>0</x:v>
      </x:c>
    </x:row>
    <x:row r="29" ht="22" customHeight="1">
      <x:c r="A29" s="118"/>
      <x:c r="B29" s="142"/>
      <x:c r="C29" s="120"/>
      <x:c r="D29" s="128"/>
      <x:c r="E29" s="142"/>
      <x:c r="F29" s="120"/>
      <x:c r="G29" s="128"/>
      <x:c r="H29" s="142"/>
      <x:c r="I29" s="120"/>
      <x:c r="J29" s="128"/>
      <x:c r="K29" s="142"/>
      <x:c r="L29" s="120"/>
      <x:c r="M29" s="128"/>
      <x:c r="N29" s="142"/>
      <x:c r="O29" s="120"/>
      <x:c r="P29" s="128"/>
      <x:c r="Q29" s="142"/>
      <x:c r="R29" s="120"/>
      <x:c r="S29" s="128"/>
      <x:c r="T29" s="142"/>
      <x:c r="U29" s="120"/>
      <x:c r="V29" s="128"/>
      <x:c r="W29" s="142"/>
      <x:c r="X29" s="120"/>
      <x:c r="Y29" s="128"/>
      <x:c r="Z29" s="142"/>
      <x:c r="AA29" s="120"/>
      <x:c r="AB29" s="128"/>
      <x:c r="AC29" s="142"/>
      <x:c r="AD29" s="120"/>
      <x:c r="AE29" s="128"/>
      <x:c r="AF29" s="142"/>
      <x:c r="AG29" s="120"/>
      <x:c r="AH29" s="128"/>
      <x:c r="AI29" s="142"/>
      <x:c r="AJ29" s="120"/>
      <x:c r="AK29" s="128"/>
    </x:row>
    <x:row r="30" ht="22" customHeight="1">
      <x:c r="A30" s="38" t="str">
        <x:v>BILLING AND COLLECTION</x:v>
      </x:c>
      <x:c r="B30" s="68" t="str">
        <x:v>BILLING AND COLLECTION</x:v>
      </x:c>
      <x:c r="C30" s="69" t="str">
        <x:v>BILLING AND COLLECTION</x:v>
      </x:c>
      <x:c r="D30" s="70" t="str">
        <x:v>BILLING AND COLLECTION</x:v>
      </x:c>
      <x:c r="E30" s="68" t="str">
        <x:v>BILLING AND COLLECTION</x:v>
      </x:c>
      <x:c r="F30" s="69" t="str">
        <x:v>BILLING AND COLLECTION</x:v>
      </x:c>
      <x:c r="G30" s="70" t="str">
        <x:v>BILLING AND COLLECTION</x:v>
      </x:c>
      <x:c r="H30" s="68" t="str">
        <x:v>BILLING AND COLLECTION</x:v>
      </x:c>
      <x:c r="I30" s="69" t="str">
        <x:v>BILLING AND COLLECTION</x:v>
      </x:c>
      <x:c r="J30" s="70" t="str">
        <x:v>BILLING AND COLLECTION</x:v>
      </x:c>
      <x:c r="K30" s="68" t="str">
        <x:v>BILLING AND COLLECTION</x:v>
      </x:c>
      <x:c r="L30" s="69" t="str">
        <x:v>BILLING AND COLLECTION</x:v>
      </x:c>
      <x:c r="M30" s="70" t="str">
        <x:v>BILLING AND COLLECTION</x:v>
      </x:c>
      <x:c r="N30" s="68" t="str">
        <x:v>BILLING AND COLLECTION</x:v>
      </x:c>
      <x:c r="O30" s="69" t="str">
        <x:v>BILLING AND COLLECTION</x:v>
      </x:c>
      <x:c r="P30" s="70" t="str">
        <x:v>BILLING AND COLLECTION</x:v>
      </x:c>
      <x:c r="Q30" s="68" t="str">
        <x:v>BILLING AND COLLECTION</x:v>
      </x:c>
      <x:c r="R30" s="69" t="str">
        <x:v>BILLING AND COLLECTION</x:v>
      </x:c>
      <x:c r="S30" s="70" t="str">
        <x:v>BILLING AND COLLECTION</x:v>
      </x:c>
      <x:c r="T30" s="68" t="str">
        <x:v>BILLING AND COLLECTION</x:v>
      </x:c>
      <x:c r="U30" s="69" t="str">
        <x:v>BILLING AND COLLECTION</x:v>
      </x:c>
      <x:c r="V30" s="70" t="str">
        <x:v>BILLING AND COLLECTION</x:v>
      </x:c>
      <x:c r="W30" s="68" t="str">
        <x:v>BILLING AND COLLECTION</x:v>
      </x:c>
      <x:c r="X30" s="69" t="str">
        <x:v>BILLING AND COLLECTION</x:v>
      </x:c>
      <x:c r="Y30" s="70" t="str">
        <x:v>BILLING AND COLLECTION</x:v>
      </x:c>
      <x:c r="Z30" s="68" t="str">
        <x:v>BILLING AND COLLECTION</x:v>
      </x:c>
      <x:c r="AA30" s="69" t="str">
        <x:v>BILLING AND COLLECTION</x:v>
      </x:c>
      <x:c r="AB30" s="70" t="str">
        <x:v>BILLING AND COLLECTION</x:v>
      </x:c>
      <x:c r="AC30" s="68" t="str">
        <x:v>BILLING AND COLLECTION</x:v>
      </x:c>
      <x:c r="AD30" s="69" t="str">
        <x:v>BILLING AND COLLECTION</x:v>
      </x:c>
      <x:c r="AE30" s="70" t="str">
        <x:v>BILLING AND COLLECTION</x:v>
      </x:c>
      <x:c r="AF30" s="68" t="str">
        <x:v>BILLING AND COLLECTION</x:v>
      </x:c>
      <x:c r="AG30" s="69" t="str">
        <x:v>BILLING AND COLLECTION</x:v>
      </x:c>
      <x:c r="AH30" s="70" t="str">
        <x:v>BILLING AND COLLECTION</x:v>
      </x:c>
      <x:c r="AI30" s="68" t="str">
        <x:v>BILLING AND COLLECTION</x:v>
      </x:c>
      <x:c r="AJ30" s="69" t="str">
        <x:v>BILLING AND COLLECTION</x:v>
      </x:c>
      <x:c r="AK30" s="70" t="str">
        <x:v>BILLING AND COLLECTION</x:v>
      </x:c>
    </x:row>
    <x:row r="31" ht="22" customHeight="1">
      <x:c r="A31" s="118" t="str">
        <x:v>Collection timing in months</x:v>
      </x:c>
      <x:c r="B31" s="122"/>
      <x:c r="C31" s="123" t="n">
        <x:f>IF(B31&lt;&gt;"",B31,D31)</x:f>
        <x:v>1</x:v>
      </x:c>
      <x:c r="D31" s="124" t="n">
        <x:v>1</x:v>
      </x:c>
      <x:c r="E31" s="122"/>
      <x:c r="F31" s="123" t="n">
        <x:f>IF(E31&lt;&gt;"",E31,G31)</x:f>
        <x:v>1</x:v>
      </x:c>
      <x:c r="G31" s="124" t="n">
        <x:v>1</x:v>
      </x:c>
      <x:c r="H31" s="122"/>
      <x:c r="I31" s="123" t="n">
        <x:f>IF(H31&lt;&gt;"",H31,J31)</x:f>
        <x:v>1</x:v>
      </x:c>
      <x:c r="J31" s="124" t="n">
        <x:v>1</x:v>
      </x:c>
      <x:c r="K31" s="122"/>
      <x:c r="L31" s="123" t="n">
        <x:f>IF(K31&lt;&gt;"",K31,M31)</x:f>
        <x:v>1</x:v>
      </x:c>
      <x:c r="M31" s="124" t="n">
        <x:v>1</x:v>
      </x:c>
      <x:c r="N31" s="122"/>
      <x:c r="O31" s="123" t="n">
        <x:f>IF(N31&lt;&gt;"",N31,P31)</x:f>
        <x:v>1</x:v>
      </x:c>
      <x:c r="P31" s="124" t="n">
        <x:v>1</x:v>
      </x:c>
      <x:c r="Q31" s="122"/>
      <x:c r="R31" s="123" t="n">
        <x:f>IF(Q31&lt;&gt;"",Q31,S31)</x:f>
        <x:v>1</x:v>
      </x:c>
      <x:c r="S31" s="124" t="n">
        <x:v>1</x:v>
      </x:c>
      <x:c r="T31" s="122"/>
      <x:c r="U31" s="123" t="n">
        <x:f>IF(T31&lt;&gt;"",T31,V31)</x:f>
        <x:v>1</x:v>
      </x:c>
      <x:c r="V31" s="124" t="n">
        <x:v>1</x:v>
      </x:c>
      <x:c r="W31" s="122"/>
      <x:c r="X31" s="123" t="n">
        <x:f>IF(W31&lt;&gt;"",W31,Y31)</x:f>
        <x:v>1</x:v>
      </x:c>
      <x:c r="Y31" s="124" t="n">
        <x:v>1</x:v>
      </x:c>
      <x:c r="Z31" s="122"/>
      <x:c r="AA31" s="123" t="n">
        <x:f>IF(Z31&lt;&gt;"",Z31,AB31)</x:f>
        <x:v>1</x:v>
      </x:c>
      <x:c r="AB31" s="124" t="n">
        <x:v>1</x:v>
      </x:c>
      <x:c r="AC31" s="122"/>
      <x:c r="AD31" s="123" t="n">
        <x:f>IF(AC31&lt;&gt;"",AC31,AE31)</x:f>
        <x:v>1</x:v>
      </x:c>
      <x:c r="AE31" s="124" t="n">
        <x:v>1</x:v>
      </x:c>
      <x:c r="AF31" s="122" t="n">
        <x:v>1</x:v>
      </x:c>
      <x:c r="AG31" s="123" t="n">
        <x:f>IF(AF31&lt;&gt;"",AF31,AH31)</x:f>
        <x:v>1</x:v>
      </x:c>
      <x:c r="AH31" s="124" t="n">
        <x:v>1</x:v>
      </x:c>
      <x:c r="AI31" s="122" t="n">
        <x:v>1</x:v>
      </x:c>
      <x:c r="AJ31" s="123" t="n">
        <x:f>IF(AI31&lt;&gt;"",AI31,AK31)</x:f>
        <x:v>1</x:v>
      </x:c>
      <x:c r="AK31" s="124" t="n">
        <x:v>1</x:v>
      </x:c>
    </x:row>
    <x:row r="32" ht="22" customHeight="1">
      <x:c r="A32" s="118" t="str">
        <x:v>Completed work ready to collect</x:v>
      </x:c>
      <x:c r="B32" s="142" t="str">
        <x:f>IF(B$31&gt;=12,$B$61,IFERROR(INDEX($B$27:$AK$27,1,MIN(36,MAX(1,1+3*B$31+0))),""))</x:f>
      </x:c>
      <x:c r="C32" s="120" t="n">
        <x:f>IF(C$31&gt;=12,$B$61,IF(INDEX($B$27:$AK$27,1,MIN(36,MAX(1,1+3*C$31+0)))&lt;&gt;"",INDEX($B$27:$AK$27,1,MIN(36,MAX(1,1+3*C$31+0))),INDEX($B$27:$AK$27,1,MIN(36,MAX(1,1+3*C$31+1)))))</x:f>
        <x:v>12</x:v>
      </x:c>
      <x:c r="D32" s="128" t="n">
        <x:f>IF(D$31&gt;=12,$B$61,INDEX($B$27:$AK$27,1,MIN(36,MAX(1,1+3*D$31+2))))</x:f>
        <x:v>12</x:v>
      </x:c>
      <x:c r="E32" s="142" t="str">
        <x:f>IF(E$31&gt;=11,$B$61,IFERROR(INDEX($B$27:$AK$27,1,MIN(36,MAX(1,4+3*E$31+0))),""))</x:f>
      </x:c>
      <x:c r="F32" s="120" t="n">
        <x:f>IF(F$31&gt;=11,$B$61,IF(INDEX($B$27:$AK$27,1,MIN(36,MAX(1,4+3*F$31+0)))&lt;&gt;"",INDEX($B$27:$AK$27,1,MIN(36,MAX(1,4+3*F$31+0))),INDEX($B$27:$AK$27,1,MIN(36,MAX(1,4+3*F$31+1)))))</x:f>
        <x:v>12</x:v>
      </x:c>
      <x:c r="G32" s="128" t="n">
        <x:f>IF(G$31&gt;=11,$B$61,INDEX($B$27:$AK$27,1,MIN(36,MAX(1,4+3*G$31+2))))</x:f>
        <x:v>12</x:v>
      </x:c>
      <x:c r="H32" s="142" t="str">
        <x:f>IF(H$31&gt;=10,$B$61,IFERROR(INDEX($B$27:$AK$27,1,MIN(36,MAX(1,7+3*H$31+0))),""))</x:f>
      </x:c>
      <x:c r="I32" s="120" t="n">
        <x:f>IF(I$31&gt;=10,$B$61,IF(INDEX($B$27:$AK$27,1,MIN(36,MAX(1,7+3*I$31+0)))&lt;&gt;"",INDEX($B$27:$AK$27,1,MIN(36,MAX(1,7+3*I$31+0))),INDEX($B$27:$AK$27,1,MIN(36,MAX(1,7+3*I$31+1)))))</x:f>
        <x:v>12</x:v>
      </x:c>
      <x:c r="J32" s="128" t="n">
        <x:f>IF(J$31&gt;=10,$B$61,INDEX($B$27:$AK$27,1,MIN(36,MAX(1,7+3*J$31+2))))</x:f>
        <x:v>12</x:v>
      </x:c>
      <x:c r="K32" s="142" t="str">
        <x:f>IF(K$31&gt;=9,$B$61,IFERROR(INDEX($B$27:$AK$27,1,MIN(36,MAX(1,10+3*K$31+0))),""))</x:f>
      </x:c>
      <x:c r="L32" s="120" t="n">
        <x:f>IF(L$31&gt;=9,$B$61,IF(INDEX($B$27:$AK$27,1,MIN(36,MAX(1,10+3*L$31+0)))&lt;&gt;"",INDEX($B$27:$AK$27,1,MIN(36,MAX(1,10+3*L$31+0))),INDEX($B$27:$AK$27,1,MIN(36,MAX(1,10+3*L$31+1)))))</x:f>
        <x:v>11</x:v>
      </x:c>
      <x:c r="M32" s="128" t="n">
        <x:f>IF(M$31&gt;=9,$B$61,INDEX($B$27:$AK$27,1,MIN(36,MAX(1,10+3*M$31+2))))</x:f>
        <x:v>11</x:v>
      </x:c>
      <x:c r="N32" s="142" t="str">
        <x:f>IF(N$31&gt;=8,$B$61,IFERROR(INDEX($B$27:$AK$27,1,MIN(36,MAX(1,13+3*N$31+0))),""))</x:f>
      </x:c>
      <x:c r="O32" s="120" t="n">
        <x:f>IF(O$31&gt;=8,$B$61,IF(INDEX($B$27:$AK$27,1,MIN(36,MAX(1,13+3*O$31+0)))&lt;&gt;"",INDEX($B$27:$AK$27,1,MIN(36,MAX(1,13+3*O$31+0))),INDEX($B$27:$AK$27,1,MIN(36,MAX(1,13+3*O$31+1)))))</x:f>
        <x:v>11</x:v>
      </x:c>
      <x:c r="P32" s="128" t="n">
        <x:f>IF(P$31&gt;=8,$B$61,INDEX($B$27:$AK$27,1,MIN(36,MAX(1,13+3*P$31+2))))</x:f>
        <x:v>11</x:v>
      </x:c>
      <x:c r="Q32" s="142" t="str">
        <x:f>IF(Q$31&gt;=7,$B$61,IFERROR(INDEX($B$27:$AK$27,1,MIN(36,MAX(1,16+3*Q$31+0))),""))</x:f>
      </x:c>
      <x:c r="R32" s="120" t="n">
        <x:f>IF(R$31&gt;=7,$B$61,IF(INDEX($B$27:$AK$27,1,MIN(36,MAX(1,16+3*R$31+0)))&lt;&gt;"",INDEX($B$27:$AK$27,1,MIN(36,MAX(1,16+3*R$31+0))),INDEX($B$27:$AK$27,1,MIN(36,MAX(1,16+3*R$31+1)))))</x:f>
        <x:v>11</x:v>
      </x:c>
      <x:c r="S32" s="128" t="n">
        <x:f>IF(S$31&gt;=7,$B$61,INDEX($B$27:$AK$27,1,MIN(36,MAX(1,16+3*S$31+2))))</x:f>
        <x:v>11</x:v>
      </x:c>
      <x:c r="T32" s="142" t="str">
        <x:f>IF(T$31&gt;=6,$B$61,IFERROR(INDEX($B$27:$AK$27,1,MIN(36,MAX(1,19+3*T$31+0))),""))</x:f>
      </x:c>
      <x:c r="U32" s="120" t="n">
        <x:f>IF(U$31&gt;=6,$B$61,IF(INDEX($B$27:$AK$27,1,MIN(36,MAX(1,19+3*U$31+0)))&lt;&gt;"",INDEX($B$27:$AK$27,1,MIN(36,MAX(1,19+3*U$31+0))),INDEX($B$27:$AK$27,1,MIN(36,MAX(1,19+3*U$31+1)))))</x:f>
        <x:v>11</x:v>
      </x:c>
      <x:c r="V32" s="128" t="n">
        <x:f>IF(V$31&gt;=6,$B$61,INDEX($B$27:$AK$27,1,MIN(36,MAX(1,19+3*V$31+2))))</x:f>
        <x:v>11</x:v>
      </x:c>
      <x:c r="W32" s="142" t="str">
        <x:f>IF(W$31&gt;=5,$B$61,IFERROR(INDEX($B$27:$AK$27,1,MIN(36,MAX(1,22+3*W$31+0))),""))</x:f>
      </x:c>
      <x:c r="X32" s="120" t="n">
        <x:f>IF(X$31&gt;=5,$B$61,IF(INDEX($B$27:$AK$27,1,MIN(36,MAX(1,22+3*X$31+0)))&lt;&gt;"",INDEX($B$27:$AK$27,1,MIN(36,MAX(1,22+3*X$31+0))),INDEX($B$27:$AK$27,1,MIN(36,MAX(1,22+3*X$31+1)))))</x:f>
        <x:v>10</x:v>
      </x:c>
      <x:c r="Y32" s="128" t="n">
        <x:f>IF(Y$31&gt;=5,$B$61,INDEX($B$27:$AK$27,1,MIN(36,MAX(1,22+3*Y$31+2))))</x:f>
        <x:v>10</x:v>
      </x:c>
      <x:c r="Z32" s="142" t="str">
        <x:f>IF(Z$31&gt;=4,$B$61,IFERROR(INDEX($B$27:$AK$27,1,MIN(36,MAX(1,25+3*Z$31+0))),""))</x:f>
      </x:c>
      <x:c r="AA32" s="120" t="n">
        <x:f>IF(AA$31&gt;=4,$B$61,IF(INDEX($B$27:$AK$27,1,MIN(36,MAX(1,25+3*AA$31+0)))&lt;&gt;"",INDEX($B$27:$AK$27,1,MIN(36,MAX(1,25+3*AA$31+0))),INDEX($B$27:$AK$27,1,MIN(36,MAX(1,25+3*AA$31+1)))))</x:f>
        <x:v>8</x:v>
      </x:c>
      <x:c r="AB32" s="128" t="n">
        <x:f>IF(AB$31&gt;=4,$B$61,INDEX($B$27:$AK$27,1,MIN(36,MAX(1,25+3*AB$31+2))))</x:f>
        <x:v>10</x:v>
      </x:c>
      <x:c r="AC32" s="142" t="str">
        <x:f>IF(AC$31&gt;=3,$B$61,IFERROR(INDEX($B$27:$AK$27,1,MIN(36,MAX(1,28+3*AC$31+0))),""))</x:f>
      </x:c>
      <x:c r="AD32" s="120" t="n">
        <x:f>IF(AD$31&gt;=3,$B$61,IF(INDEX($B$27:$AK$27,1,MIN(36,MAX(1,28+3*AD$31+0)))&lt;&gt;"",INDEX($B$27:$AK$27,1,MIN(36,MAX(1,28+3*AD$31+0))),INDEX($B$27:$AK$27,1,MIN(36,MAX(1,28+3*AD$31+1)))))</x:f>
        <x:v>10</x:v>
      </x:c>
      <x:c r="AE32" s="128" t="n">
        <x:f>IF(AE$31&gt;=3,$B$61,INDEX($B$27:$AK$27,1,MIN(36,MAX(1,28+3*AE$31+2))))</x:f>
        <x:v>10</x:v>
      </x:c>
      <x:c r="AF32" s="142" t="n">
        <x:f>IF(AF$31&gt;=2,$B$61,IFERROR(INDEX($B$27:$AK$27,1,MIN(36,MAX(1,31+3*AF$31+0))),""))</x:f>
        <x:v>12</x:v>
      </x:c>
      <x:c r="AG32" s="120" t="n">
        <x:f>IF(AG$31&gt;=2,$B$61,IF(INDEX($B$27:$AK$27,1,MIN(36,MAX(1,31+3*AG$31+0)))&lt;&gt;"",INDEX($B$27:$AK$27,1,MIN(36,MAX(1,31+3*AG$31+0))),INDEX($B$27:$AK$27,1,MIN(36,MAX(1,31+3*AG$31+1)))))</x:f>
        <x:v>12</x:v>
      </x:c>
      <x:c r="AH32" s="128" t="n">
        <x:f>IF(AH$31&gt;=2,$B$61,INDEX($B$27:$AK$27,1,MIN(36,MAX(1,31+3*AH$31+2))))</x:f>
        <x:v>15</x:v>
      </x:c>
      <x:c r="AI32" s="142" t="n">
        <x:f>IF(AI$31&gt;=1,$B$61,IFERROR(INDEX($B$27:$AK$27,1,MIN(36,MAX(1,34+3*AI$31+0))),""))</x:f>
        <x:v>10</x:v>
      </x:c>
      <x:c r="AJ32" s="120" t="n">
        <x:f>IF(AJ$31&gt;=1,$B$61,IF(INDEX($B$27:$AK$27,1,MIN(36,MAX(1,34+3*AJ$31+0)))&lt;&gt;"",INDEX($B$27:$AK$27,1,MIN(36,MAX(1,34+3*AJ$31+0))),INDEX($B$27:$AK$27,1,MIN(36,MAX(1,34+3*AJ$31+1)))))</x:f>
        <x:v>10</x:v>
      </x:c>
      <x:c r="AK32" s="128" t="n">
        <x:f>IF(AK$31&gt;=1,$B$61,INDEX($B$27:$AK$27,1,MIN(36,MAX(1,34+3*AK$31+2))))</x:f>
        <x:v>10</x:v>
      </x:c>
    </x:row>
    <x:row r="33" ht="22" customHeight="1">
      <x:c r="A33" s="118" t="str">
        <x:v>Collected invoices</x:v>
      </x:c>
      <x:c r="B33" s="119"/>
      <x:c r="C33" s="120" t="n">
        <x:f>IF(B33&lt;&gt;"",B33,C32)</x:f>
        <x:v>12</x:v>
      </x:c>
      <x:c r="D33" s="128" t="n">
        <x:f>D32</x:f>
        <x:v>12</x:v>
      </x:c>
      <x:c r="E33" s="119"/>
      <x:c r="F33" s="120" t="n">
        <x:f>IF(E33&lt;&gt;"",E33,F32)</x:f>
        <x:v>12</x:v>
      </x:c>
      <x:c r="G33" s="128" t="n">
        <x:f>G32</x:f>
        <x:v>12</x:v>
      </x:c>
      <x:c r="H33" s="119"/>
      <x:c r="I33" s="120" t="n">
        <x:f>IF(H33&lt;&gt;"",H33,I32)</x:f>
        <x:v>12</x:v>
      </x:c>
      <x:c r="J33" s="128" t="n">
        <x:f>J32</x:f>
        <x:v>12</x:v>
      </x:c>
      <x:c r="K33" s="119"/>
      <x:c r="L33" s="120" t="n">
        <x:f>IF(K33&lt;&gt;"",K33,L32)</x:f>
        <x:v>11</x:v>
      </x:c>
      <x:c r="M33" s="128" t="n">
        <x:f>M32</x:f>
        <x:v>11</x:v>
      </x:c>
      <x:c r="N33" s="119"/>
      <x:c r="O33" s="120" t="n">
        <x:f>IF(N33&lt;&gt;"",N33,O32)</x:f>
        <x:v>11</x:v>
      </x:c>
      <x:c r="P33" s="128" t="n">
        <x:f>P32</x:f>
        <x:v>11</x:v>
      </x:c>
      <x:c r="Q33" s="119"/>
      <x:c r="R33" s="120" t="n">
        <x:f>IF(Q33&lt;&gt;"",Q33,R32)</x:f>
        <x:v>11</x:v>
      </x:c>
      <x:c r="S33" s="128" t="n">
        <x:f>S32</x:f>
        <x:v>11</x:v>
      </x:c>
      <x:c r="T33" s="119"/>
      <x:c r="U33" s="120" t="n">
        <x:f>IF(T33&lt;&gt;"",T33,U32)</x:f>
        <x:v>11</x:v>
      </x:c>
      <x:c r="V33" s="128" t="n">
        <x:f>V32</x:f>
        <x:v>11</x:v>
      </x:c>
      <x:c r="W33" s="119"/>
      <x:c r="X33" s="120" t="n">
        <x:f>IF(W33&lt;&gt;"",W33,X32)</x:f>
        <x:v>10</x:v>
      </x:c>
      <x:c r="Y33" s="128" t="n">
        <x:f>Y32</x:f>
        <x:v>10</x:v>
      </x:c>
      <x:c r="Z33" s="119"/>
      <x:c r="AA33" s="120" t="n">
        <x:f>IF(Z33&lt;&gt;"",Z33,AA32)</x:f>
        <x:v>8</x:v>
      </x:c>
      <x:c r="AB33" s="128" t="n">
        <x:f>AB32</x:f>
        <x:v>10</x:v>
      </x:c>
      <x:c r="AC33" s="119"/>
      <x:c r="AD33" s="120" t="n">
        <x:f>IF(AC33&lt;&gt;"",AC33,AD32)</x:f>
        <x:v>10</x:v>
      </x:c>
      <x:c r="AE33" s="128" t="n">
        <x:f>AE32</x:f>
        <x:v>10</x:v>
      </x:c>
      <x:c r="AF33" s="119" t="n">
        <x:v>12</x:v>
      </x:c>
      <x:c r="AG33" s="120" t="n">
        <x:f>IF(AF33&lt;&gt;"",AF33,AG32)</x:f>
        <x:v>12</x:v>
      </x:c>
      <x:c r="AH33" s="128" t="n">
        <x:f>AH32</x:f>
        <x:v>15</x:v>
      </x:c>
      <x:c r="AI33" s="119" t="n">
        <x:v>10</x:v>
      </x:c>
      <x:c r="AJ33" s="120" t="n">
        <x:f>IF(AI33&lt;&gt;"",AI33,AJ32)</x:f>
        <x:v>10</x:v>
      </x:c>
      <x:c r="AK33" s="128" t="n">
        <x:f>AK32</x:f>
        <x:v>10</x:v>
      </x:c>
    </x:row>
    <x:row r="34" ht="22" customHeight="1">
      <x:c r="A34" s="135" t="str">
        <x:v>Cash in</x:v>
      </x:c>
      <x:c r="B34" s="136" t="str">
        <x:f>IF(COUNT(B33,B15)=2,B33*B15,"")</x:f>
      </x:c>
      <x:c r="C34" s="137" t="n">
        <x:f>C33*C15</x:f>
        <x:v>60000</x:v>
      </x:c>
      <x:c r="D34" s="138" t="n">
        <x:f>D33*D15</x:f>
        <x:v>60000</x:v>
      </x:c>
      <x:c r="E34" s="136" t="str">
        <x:f>IF(COUNT(E33,E15)=2,E33*E15,"")</x:f>
      </x:c>
      <x:c r="F34" s="137" t="n">
        <x:f>F33*F15</x:f>
        <x:v>60000</x:v>
      </x:c>
      <x:c r="G34" s="138" t="n">
        <x:f>G33*G15</x:f>
        <x:v>60000</x:v>
      </x:c>
      <x:c r="H34" s="136" t="str">
        <x:f>IF(COUNT(H33,H15)=2,H33*H15,"")</x:f>
      </x:c>
      <x:c r="I34" s="137" t="n">
        <x:f>I33*I15</x:f>
        <x:v>60000</x:v>
      </x:c>
      <x:c r="J34" s="138" t="n">
        <x:f>J33*J15</x:f>
        <x:v>60000</x:v>
      </x:c>
      <x:c r="K34" s="136" t="str">
        <x:f>IF(COUNT(K33,K15)=2,K33*K15,"")</x:f>
      </x:c>
      <x:c r="L34" s="137" t="n">
        <x:f>L33*L15</x:f>
        <x:v>55000</x:v>
      </x:c>
      <x:c r="M34" s="138" t="n">
        <x:f>M33*M15</x:f>
        <x:v>55000</x:v>
      </x:c>
      <x:c r="N34" s="136" t="str">
        <x:f>IF(COUNT(N33,N15)=2,N33*N15,"")</x:f>
      </x:c>
      <x:c r="O34" s="137" t="n">
        <x:f>O33*O15</x:f>
        <x:v>55000</x:v>
      </x:c>
      <x:c r="P34" s="138" t="n">
        <x:f>P33*P15</x:f>
        <x:v>55000</x:v>
      </x:c>
      <x:c r="Q34" s="136" t="str">
        <x:f>IF(COUNT(Q33,Q15)=2,Q33*Q15,"")</x:f>
      </x:c>
      <x:c r="R34" s="137" t="n">
        <x:f>R33*R15</x:f>
        <x:v>55000</x:v>
      </x:c>
      <x:c r="S34" s="138" t="n">
        <x:f>S33*S15</x:f>
        <x:v>55000</x:v>
      </x:c>
      <x:c r="T34" s="136" t="str">
        <x:f>IF(COUNT(T33,T15)=2,T33*T15,"")</x:f>
      </x:c>
      <x:c r="U34" s="137" t="n">
        <x:f>U33*U15</x:f>
        <x:v>55000</x:v>
      </x:c>
      <x:c r="V34" s="138" t="n">
        <x:f>V33*V15</x:f>
        <x:v>55000</x:v>
      </x:c>
      <x:c r="W34" s="136" t="str">
        <x:f>IF(COUNT(W33,W15)=2,W33*W15,"")</x:f>
      </x:c>
      <x:c r="X34" s="137" t="n">
        <x:f>X33*X15</x:f>
        <x:v>50000</x:v>
      </x:c>
      <x:c r="Y34" s="138" t="n">
        <x:f>Y33*Y15</x:f>
        <x:v>50000</x:v>
      </x:c>
      <x:c r="Z34" s="136" t="str">
        <x:f>IF(COUNT(Z33,Z15)=2,Z33*Z15,"")</x:f>
      </x:c>
      <x:c r="AA34" s="137" t="n">
        <x:f>AA33*AA15</x:f>
        <x:v>40000</x:v>
      </x:c>
      <x:c r="AB34" s="138" t="n">
        <x:f>AB33*AB15</x:f>
        <x:v>50000</x:v>
      </x:c>
      <x:c r="AC34" s="136" t="str">
        <x:f>IF(COUNT(AC33,AC15)=2,AC33*AC15,"")</x:f>
      </x:c>
      <x:c r="AD34" s="137" t="n">
        <x:f>AD33*AD15</x:f>
        <x:v>50000</x:v>
      </x:c>
      <x:c r="AE34" s="138" t="n">
        <x:f>AE33*AE15</x:f>
        <x:v>50000</x:v>
      </x:c>
      <x:c r="AF34" s="136" t="n">
        <x:f>IF(COUNT(AF33,AF15)=2,AF33*AF15,"")</x:f>
        <x:v>60000</x:v>
      </x:c>
      <x:c r="AG34" s="137" t="n">
        <x:f>AG33*AG15</x:f>
        <x:v>60000</x:v>
      </x:c>
      <x:c r="AH34" s="138" t="n">
        <x:f>AH33*AH15</x:f>
        <x:v>75000</x:v>
      </x:c>
      <x:c r="AI34" s="136" t="n">
        <x:f>IF(COUNT(AI33,AI15)=2,AI33*AI15,"")</x:f>
        <x:v>50000</x:v>
      </x:c>
      <x:c r="AJ34" s="137" t="n">
        <x:f>AJ33*AJ15</x:f>
        <x:v>50000</x:v>
      </x:c>
      <x:c r="AK34" s="138" t="n">
        <x:f>AK33*AK15</x:f>
        <x:v>50000</x:v>
      </x:c>
    </x:row>
    <x:row r="35" ht="22" customHeight="1">
      <x:c r="A35" s="118"/>
      <x:c r="B35" s="143"/>
      <x:c r="C35" s="133"/>
      <x:c r="D35" s="144"/>
      <x:c r="E35" s="143"/>
      <x:c r="F35" s="133"/>
      <x:c r="G35" s="144"/>
      <x:c r="H35" s="143"/>
      <x:c r="I35" s="133"/>
      <x:c r="J35" s="144"/>
      <x:c r="K35" s="143"/>
      <x:c r="L35" s="133"/>
      <x:c r="M35" s="144"/>
      <x:c r="N35" s="143"/>
      <x:c r="O35" s="133"/>
      <x:c r="P35" s="144"/>
      <x:c r="Q35" s="143"/>
      <x:c r="R35" s="133"/>
      <x:c r="S35" s="144"/>
      <x:c r="T35" s="143"/>
      <x:c r="U35" s="133"/>
      <x:c r="V35" s="144"/>
      <x:c r="W35" s="143"/>
      <x:c r="X35" s="133"/>
      <x:c r="Y35" s="144"/>
      <x:c r="Z35" s="143"/>
      <x:c r="AA35" s="133"/>
      <x:c r="AB35" s="144"/>
      <x:c r="AC35" s="143"/>
      <x:c r="AD35" s="133"/>
      <x:c r="AE35" s="144"/>
      <x:c r="AF35" s="143"/>
      <x:c r="AG35" s="133"/>
      <x:c r="AH35" s="144"/>
      <x:c r="AI35" s="143"/>
      <x:c r="AJ35" s="133"/>
      <x:c r="AK35" s="144"/>
    </x:row>
    <x:row r="36" ht="22" customHeight="1">
      <x:c r="A36" s="38" t="str">
        <x:v>CASH</x:v>
      </x:c>
      <x:c r="B36" s="87" t="str">
        <x:v>CASH</x:v>
      </x:c>
      <x:c r="C36" s="88" t="str">
        <x:v>CASH</x:v>
      </x:c>
      <x:c r="D36" s="89" t="str">
        <x:v>CASH</x:v>
      </x:c>
      <x:c r="E36" s="87" t="str">
        <x:v>CASH</x:v>
      </x:c>
      <x:c r="F36" s="88" t="str">
        <x:v>CASH</x:v>
      </x:c>
      <x:c r="G36" s="89" t="str">
        <x:v>CASH</x:v>
      </x:c>
      <x:c r="H36" s="87" t="str">
        <x:v>CASH</x:v>
      </x:c>
      <x:c r="I36" s="88" t="str">
        <x:v>CASH</x:v>
      </x:c>
      <x:c r="J36" s="89" t="str">
        <x:v>CASH</x:v>
      </x:c>
      <x:c r="K36" s="87" t="str">
        <x:v>CASH</x:v>
      </x:c>
      <x:c r="L36" s="88" t="str">
        <x:v>CASH</x:v>
      </x:c>
      <x:c r="M36" s="89" t="str">
        <x:v>CASH</x:v>
      </x:c>
      <x:c r="N36" s="87" t="str">
        <x:v>CASH</x:v>
      </x:c>
      <x:c r="O36" s="88" t="str">
        <x:v>CASH</x:v>
      </x:c>
      <x:c r="P36" s="89" t="str">
        <x:v>CASH</x:v>
      </x:c>
      <x:c r="Q36" s="87" t="str">
        <x:v>CASH</x:v>
      </x:c>
      <x:c r="R36" s="88" t="str">
        <x:v>CASH</x:v>
      </x:c>
      <x:c r="S36" s="89" t="str">
        <x:v>CASH</x:v>
      </x:c>
      <x:c r="T36" s="87" t="str">
        <x:v>CASH</x:v>
      </x:c>
      <x:c r="U36" s="88" t="str">
        <x:v>CASH</x:v>
      </x:c>
      <x:c r="V36" s="89" t="str">
        <x:v>CASH</x:v>
      </x:c>
      <x:c r="W36" s="87" t="str">
        <x:v>CASH</x:v>
      </x:c>
      <x:c r="X36" s="88" t="str">
        <x:v>CASH</x:v>
      </x:c>
      <x:c r="Y36" s="89" t="str">
        <x:v>CASH</x:v>
      </x:c>
      <x:c r="Z36" s="87" t="str">
        <x:v>CASH</x:v>
      </x:c>
      <x:c r="AA36" s="88" t="str">
        <x:v>CASH</x:v>
      </x:c>
      <x:c r="AB36" s="89" t="str">
        <x:v>CASH</x:v>
      </x:c>
      <x:c r="AC36" s="87" t="str">
        <x:v>CASH</x:v>
      </x:c>
      <x:c r="AD36" s="88" t="str">
        <x:v>CASH</x:v>
      </x:c>
      <x:c r="AE36" s="89" t="str">
        <x:v>CASH</x:v>
      </x:c>
      <x:c r="AF36" s="87" t="str">
        <x:v>CASH</x:v>
      </x:c>
      <x:c r="AG36" s="88" t="str">
        <x:v>CASH</x:v>
      </x:c>
      <x:c r="AH36" s="89" t="str">
        <x:v>CASH</x:v>
      </x:c>
      <x:c r="AI36" s="87" t="str">
        <x:v>CASH</x:v>
      </x:c>
      <x:c r="AJ36" s="88" t="str">
        <x:v>CASH</x:v>
      </x:c>
      <x:c r="AK36" s="89" t="str">
        <x:v>CASH</x:v>
      </x:c>
    </x:row>
    <x:row r="37" ht="22" customHeight="1">
      <x:c r="A37" s="118" t="str">
        <x:v>Resource cash out</x:v>
      </x:c>
      <x:c r="B37" s="143" t="str">
        <x:f>IF(COUNT(B20,B22)=2,B20*B22,"")</x:f>
      </x:c>
      <x:c r="C37" s="133" t="n">
        <x:f>C20*C22</x:f>
        <x:v>36000</x:v>
      </x:c>
      <x:c r="D37" s="144" t="n">
        <x:f>D20*D22</x:f>
        <x:v>36000</x:v>
      </x:c>
      <x:c r="E37" s="143" t="str">
        <x:f>IF(COUNT(E20,E22)=2,E20*E22,"")</x:f>
      </x:c>
      <x:c r="F37" s="133" t="n">
        <x:f>F20*F22</x:f>
        <x:v>36000</x:v>
      </x:c>
      <x:c r="G37" s="144" t="n">
        <x:f>G20*G22</x:f>
        <x:v>36000</x:v>
      </x:c>
      <x:c r="H37" s="143" t="str">
        <x:f>IF(COUNT(H20,H22)=2,H20*H22,"")</x:f>
      </x:c>
      <x:c r="I37" s="133" t="n">
        <x:f>I20*I22</x:f>
        <x:v>36000</x:v>
      </x:c>
      <x:c r="J37" s="144" t="n">
        <x:f>J20*J22</x:f>
        <x:v>36000</x:v>
      </x:c>
      <x:c r="K37" s="143" t="str">
        <x:f>IF(COUNT(K20,K22)=2,K20*K22,"")</x:f>
      </x:c>
      <x:c r="L37" s="133" t="n">
        <x:f>L20*L22</x:f>
        <x:v>36000</x:v>
      </x:c>
      <x:c r="M37" s="144" t="n">
        <x:f>M20*M22</x:f>
        <x:v>36000</x:v>
      </x:c>
      <x:c r="N37" s="143" t="str">
        <x:f>IF(COUNT(N20,N22)=2,N20*N22,"")</x:f>
      </x:c>
      <x:c r="O37" s="133" t="n">
        <x:f>O20*O22</x:f>
        <x:v>36000</x:v>
      </x:c>
      <x:c r="P37" s="144" t="n">
        <x:f>P20*P22</x:f>
        <x:v>36000</x:v>
      </x:c>
      <x:c r="Q37" s="143" t="str">
        <x:f>IF(COUNT(Q20,Q22)=2,Q20*Q22,"")</x:f>
      </x:c>
      <x:c r="R37" s="133" t="n">
        <x:f>R20*R22</x:f>
        <x:v>36000</x:v>
      </x:c>
      <x:c r="S37" s="144" t="n">
        <x:f>S20*S22</x:f>
        <x:v>36000</x:v>
      </x:c>
      <x:c r="T37" s="143" t="str">
        <x:f>IF(COUNT(T20,T22)=2,T20*T22,"")</x:f>
      </x:c>
      <x:c r="U37" s="133" t="n">
        <x:f>U20*U22</x:f>
        <x:v>36000</x:v>
      </x:c>
      <x:c r="V37" s="144" t="n">
        <x:f>V20*V22</x:f>
        <x:v>36000</x:v>
      </x:c>
      <x:c r="W37" s="143" t="str">
        <x:f>IF(COUNT(W20,W22)=2,W20*W22,"")</x:f>
      </x:c>
      <x:c r="X37" s="133" t="n">
        <x:f>X20*X22</x:f>
        <x:v>36000</x:v>
      </x:c>
      <x:c r="Y37" s="144" t="n">
        <x:f>Y20*Y22</x:f>
        <x:v>36000</x:v>
      </x:c>
      <x:c r="Z37" s="143" t="str">
        <x:f>IF(COUNT(Z20,Z22)=2,Z20*Z22,"")</x:f>
      </x:c>
      <x:c r="AA37" s="133" t="n">
        <x:f>AA20*AA22</x:f>
        <x:v>36000</x:v>
      </x:c>
      <x:c r="AB37" s="144" t="n">
        <x:f>AB20*AB22</x:f>
        <x:v>36000</x:v>
      </x:c>
      <x:c r="AC37" s="143" t="str">
        <x:f>IF(COUNT(AC20,AC22)=2,AC20*AC22,"")</x:f>
      </x:c>
      <x:c r="AD37" s="133" t="n">
        <x:f>AD20*AD22</x:f>
        <x:v>36000</x:v>
      </x:c>
      <x:c r="AE37" s="144" t="n">
        <x:f>AE20*AE22</x:f>
        <x:v>36000</x:v>
      </x:c>
      <x:c r="AF37" s="143" t="n">
        <x:f>IF(COUNT(AF20,AF22)=2,AF20*AF22,"")</x:f>
        <x:v>36000</x:v>
      </x:c>
      <x:c r="AG37" s="133" t="n">
        <x:f>AG20*AG22</x:f>
        <x:v>36000</x:v>
      </x:c>
      <x:c r="AH37" s="144" t="n">
        <x:f>AH20*AH22</x:f>
        <x:v>36000</x:v>
      </x:c>
      <x:c r="AI37" s="143" t="n">
        <x:f>IF(COUNT(AI20,AI22)=2,AI20*AI22,"")</x:f>
        <x:v>36000</x:v>
      </x:c>
      <x:c r="AJ37" s="133" t="n">
        <x:f>AJ20*AJ22</x:f>
        <x:v>36000</x:v>
      </x:c>
      <x:c r="AK37" s="144" t="n">
        <x:f>AK20*AK22</x:f>
        <x:v>36000</x:v>
      </x:c>
    </x:row>
    <x:row r="38" ht="22" customHeight="1">
      <x:c r="A38" s="118" t="str">
        <x:v>Variable delivery cash out</x:v>
      </x:c>
      <x:c r="B38" s="143" t="str">
        <x:f>IF(COUNT(B27,B23)=2,B27*B23,"")</x:f>
      </x:c>
      <x:c r="C38" s="133" t="n">
        <x:f>C27*C23</x:f>
        <x:v>12000</x:v>
      </x:c>
      <x:c r="D38" s="144" t="n">
        <x:f>D27*D23</x:f>
        <x:v>12000</x:v>
      </x:c>
      <x:c r="E38" s="143" t="str">
        <x:f>IF(COUNT(E27,E23)=2,E27*E23,"")</x:f>
      </x:c>
      <x:c r="F38" s="133" t="n">
        <x:f>F27*F23</x:f>
        <x:v>12000</x:v>
      </x:c>
      <x:c r="G38" s="144" t="n">
        <x:f>G27*G23</x:f>
        <x:v>12000</x:v>
      </x:c>
      <x:c r="H38" s="143" t="str">
        <x:f>IF(COUNT(H27,H23)=2,H27*H23,"")</x:f>
      </x:c>
      <x:c r="I38" s="133" t="n">
        <x:f>I27*I23</x:f>
        <x:v>12000</x:v>
      </x:c>
      <x:c r="J38" s="144" t="n">
        <x:f>J27*J23</x:f>
        <x:v>12000</x:v>
      </x:c>
      <x:c r="K38" s="143" t="str">
        <x:f>IF(COUNT(K27,K23)=2,K27*K23,"")</x:f>
      </x:c>
      <x:c r="L38" s="133" t="n">
        <x:f>L27*L23</x:f>
        <x:v>12000</x:v>
      </x:c>
      <x:c r="M38" s="144" t="n">
        <x:f>M27*M23</x:f>
        <x:v>12000</x:v>
      </x:c>
      <x:c r="N38" s="143" t="str">
        <x:f>IF(COUNT(N27,N23)=2,N27*N23,"")</x:f>
      </x:c>
      <x:c r="O38" s="133" t="n">
        <x:f>O27*O23</x:f>
        <x:v>11000</x:v>
      </x:c>
      <x:c r="P38" s="144" t="n">
        <x:f>P27*P23</x:f>
        <x:v>11000</x:v>
      </x:c>
      <x:c r="Q38" s="143" t="str">
        <x:f>IF(COUNT(Q27,Q23)=2,Q27*Q23,"")</x:f>
      </x:c>
      <x:c r="R38" s="133" t="n">
        <x:f>R27*R23</x:f>
        <x:v>11000</x:v>
      </x:c>
      <x:c r="S38" s="144" t="n">
        <x:f>S27*S23</x:f>
        <x:v>11000</x:v>
      </x:c>
      <x:c r="T38" s="143" t="str">
        <x:f>IF(COUNT(T27,T23)=2,T27*T23,"")</x:f>
      </x:c>
      <x:c r="U38" s="133" t="n">
        <x:f>U27*U23</x:f>
        <x:v>11000</x:v>
      </x:c>
      <x:c r="V38" s="144" t="n">
        <x:f>V27*V23</x:f>
        <x:v>11000</x:v>
      </x:c>
      <x:c r="W38" s="143" t="str">
        <x:f>IF(COUNT(W27,W23)=2,W27*W23,"")</x:f>
      </x:c>
      <x:c r="X38" s="133" t="n">
        <x:f>X27*X23</x:f>
        <x:v>11000</x:v>
      </x:c>
      <x:c r="Y38" s="144" t="n">
        <x:f>Y27*Y23</x:f>
        <x:v>11000</x:v>
      </x:c>
      <x:c r="Z38" s="143" t="str">
        <x:f>IF(COUNT(Z27,Z23)=2,Z27*Z23,"")</x:f>
      </x:c>
      <x:c r="AA38" s="133" t="n">
        <x:f>AA27*AA23</x:f>
        <x:v>10000</x:v>
      </x:c>
      <x:c r="AB38" s="144" t="n">
        <x:f>AB27*AB23</x:f>
        <x:v>10000</x:v>
      </x:c>
      <x:c r="AC38" s="143" t="str">
        <x:f>IF(COUNT(AC27,AC23)=2,AC27*AC23,"")</x:f>
      </x:c>
      <x:c r="AD38" s="133" t="n">
        <x:f>AD27*AD23</x:f>
        <x:v>8000</x:v>
      </x:c>
      <x:c r="AE38" s="144" t="n">
        <x:f>AE27*AE23</x:f>
        <x:v>10000</x:v>
      </x:c>
      <x:c r="AF38" s="143" t="n">
        <x:f>IF(COUNT(AF27,AF23)=2,AF27*AF23,"")</x:f>
        <x:v>10000</x:v>
      </x:c>
      <x:c r="AG38" s="133" t="n">
        <x:f>AG27*AG23</x:f>
        <x:v>10000</x:v>
      </x:c>
      <x:c r="AH38" s="144" t="n">
        <x:f>AH27*AH23</x:f>
        <x:v>10000</x:v>
      </x:c>
      <x:c r="AI38" s="143" t="n">
        <x:f>IF(COUNT(AI27,AI23)=2,AI27*AI23,"")</x:f>
        <x:v>12000</x:v>
      </x:c>
      <x:c r="AJ38" s="133" t="n">
        <x:f>AJ27*AJ23</x:f>
        <x:v>12000</x:v>
      </x:c>
      <x:c r="AK38" s="144" t="n">
        <x:f>AK27*AK23</x:f>
        <x:v>15000</x:v>
      </x:c>
    </x:row>
    <x:row r="39" ht="22" customHeight="1">
      <x:c r="A39" s="118" t="str">
        <x:v>Other committed cash out</x:v>
      </x:c>
      <x:c r="B39" s="132"/>
      <x:c r="C39" s="133" t="n">
        <x:f>IF(B39&lt;&gt;"",B39,D39)</x:f>
        <x:v>24000</x:v>
      </x:c>
      <x:c r="D39" s="134" t="n">
        <x:v>24000</x:v>
      </x:c>
      <x:c r="E39" s="132"/>
      <x:c r="F39" s="133" t="n">
        <x:f>IF(E39&lt;&gt;"",E39,G39)</x:f>
        <x:v>24000</x:v>
      </x:c>
      <x:c r="G39" s="134" t="n">
        <x:v>24000</x:v>
      </x:c>
      <x:c r="H39" s="132"/>
      <x:c r="I39" s="133" t="n">
        <x:f>IF(H39&lt;&gt;"",H39,J39)</x:f>
        <x:v>24000</x:v>
      </x:c>
      <x:c r="J39" s="134" t="n">
        <x:v>24000</x:v>
      </x:c>
      <x:c r="K39" s="132"/>
      <x:c r="L39" s="133" t="n">
        <x:f>IF(K39&lt;&gt;"",K39,M39)</x:f>
        <x:v>24000</x:v>
      </x:c>
      <x:c r="M39" s="134" t="n">
        <x:v>24000</x:v>
      </x:c>
      <x:c r="N39" s="132"/>
      <x:c r="O39" s="133" t="n">
        <x:f>IF(N39&lt;&gt;"",N39,P39)</x:f>
        <x:v>24000</x:v>
      </x:c>
      <x:c r="P39" s="134" t="n">
        <x:v>24000</x:v>
      </x:c>
      <x:c r="Q39" s="132"/>
      <x:c r="R39" s="133" t="n">
        <x:f>IF(Q39&lt;&gt;"",Q39,S39)</x:f>
        <x:v>24000</x:v>
      </x:c>
      <x:c r="S39" s="134" t="n">
        <x:v>24000</x:v>
      </x:c>
      <x:c r="T39" s="132"/>
      <x:c r="U39" s="133" t="n">
        <x:f>IF(T39&lt;&gt;"",T39,V39)</x:f>
        <x:v>24000</x:v>
      </x:c>
      <x:c r="V39" s="134" t="n">
        <x:v>24000</x:v>
      </x:c>
      <x:c r="W39" s="132"/>
      <x:c r="X39" s="133" t="n">
        <x:f>IF(W39&lt;&gt;"",W39,Y39)</x:f>
        <x:v>24000</x:v>
      </x:c>
      <x:c r="Y39" s="134" t="n">
        <x:v>24000</x:v>
      </x:c>
      <x:c r="Z39" s="132"/>
      <x:c r="AA39" s="133" t="n">
        <x:f>IF(Z39&lt;&gt;"",Z39,AB39)</x:f>
        <x:v>24000</x:v>
      </x:c>
      <x:c r="AB39" s="134" t="n">
        <x:v>24000</x:v>
      </x:c>
      <x:c r="AC39" s="132"/>
      <x:c r="AD39" s="133" t="n">
        <x:f>IF(AC39&lt;&gt;"",AC39,AE39)</x:f>
        <x:v>24000</x:v>
      </x:c>
      <x:c r="AE39" s="134" t="n">
        <x:v>24000</x:v>
      </x:c>
      <x:c r="AF39" s="132" t="n">
        <x:v>26000</x:v>
      </x:c>
      <x:c r="AG39" s="133" t="n">
        <x:f>IF(AF39&lt;&gt;"",AF39,AH39)</x:f>
        <x:v>26000</x:v>
      </x:c>
      <x:c r="AH39" s="134" t="n">
        <x:v>24000</x:v>
      </x:c>
      <x:c r="AI39" s="132" t="n">
        <x:v>30000</x:v>
      </x:c>
      <x:c r="AJ39" s="133" t="n">
        <x:f>IF(AI39&lt;&gt;"",AI39,AK39)</x:f>
        <x:v>30000</x:v>
      </x:c>
      <x:c r="AK39" s="134" t="n">
        <x:v>24000</x:v>
      </x:c>
    </x:row>
    <x:row r="40" ht="22" customHeight="1">
      <x:c r="A40" s="145" t="str">
        <x:v>Total cash out</x:v>
      </x:c>
      <x:c r="B40" s="146" t="str">
        <x:f>IF(COUNT(B37:B39)=3,SUM(B37:B39),"")</x:f>
      </x:c>
      <x:c r="C40" s="147" t="n">
        <x:f>SUM(C37:C39)</x:f>
        <x:v>72000</x:v>
      </x:c>
      <x:c r="D40" s="148" t="n">
        <x:f>SUM(D37:D39)</x:f>
        <x:v>72000</x:v>
      </x:c>
      <x:c r="E40" s="146" t="str">
        <x:f>IF(COUNT(E37:E39)=3,SUM(E37:E39),"")</x:f>
      </x:c>
      <x:c r="F40" s="147" t="n">
        <x:f>SUM(F37:F39)</x:f>
        <x:v>72000</x:v>
      </x:c>
      <x:c r="G40" s="148" t="n">
        <x:f>SUM(G37:G39)</x:f>
        <x:v>72000</x:v>
      </x:c>
      <x:c r="H40" s="146" t="str">
        <x:f>IF(COUNT(H37:H39)=3,SUM(H37:H39),"")</x:f>
      </x:c>
      <x:c r="I40" s="147" t="n">
        <x:f>SUM(I37:I39)</x:f>
        <x:v>72000</x:v>
      </x:c>
      <x:c r="J40" s="148" t="n">
        <x:f>SUM(J37:J39)</x:f>
        <x:v>72000</x:v>
      </x:c>
      <x:c r="K40" s="146" t="str">
        <x:f>IF(COUNT(K37:K39)=3,SUM(K37:K39),"")</x:f>
      </x:c>
      <x:c r="L40" s="147" t="n">
        <x:f>SUM(L37:L39)</x:f>
        <x:v>72000</x:v>
      </x:c>
      <x:c r="M40" s="148" t="n">
        <x:f>SUM(M37:M39)</x:f>
        <x:v>72000</x:v>
      </x:c>
      <x:c r="N40" s="146" t="str">
        <x:f>IF(COUNT(N37:N39)=3,SUM(N37:N39),"")</x:f>
      </x:c>
      <x:c r="O40" s="147" t="n">
        <x:f>SUM(O37:O39)</x:f>
        <x:v>71000</x:v>
      </x:c>
      <x:c r="P40" s="148" t="n">
        <x:f>SUM(P37:P39)</x:f>
        <x:v>71000</x:v>
      </x:c>
      <x:c r="Q40" s="146" t="str">
        <x:f>IF(COUNT(Q37:Q39)=3,SUM(Q37:Q39),"")</x:f>
      </x:c>
      <x:c r="R40" s="147" t="n">
        <x:f>SUM(R37:R39)</x:f>
        <x:v>71000</x:v>
      </x:c>
      <x:c r="S40" s="148" t="n">
        <x:f>SUM(S37:S39)</x:f>
        <x:v>71000</x:v>
      </x:c>
      <x:c r="T40" s="146" t="str">
        <x:f>IF(COUNT(T37:T39)=3,SUM(T37:T39),"")</x:f>
      </x:c>
      <x:c r="U40" s="147" t="n">
        <x:f>SUM(U37:U39)</x:f>
        <x:v>71000</x:v>
      </x:c>
      <x:c r="V40" s="148" t="n">
        <x:f>SUM(V37:V39)</x:f>
        <x:v>71000</x:v>
      </x:c>
      <x:c r="W40" s="146" t="str">
        <x:f>IF(COUNT(W37:W39)=3,SUM(W37:W39),"")</x:f>
      </x:c>
      <x:c r="X40" s="147" t="n">
        <x:f>SUM(X37:X39)</x:f>
        <x:v>71000</x:v>
      </x:c>
      <x:c r="Y40" s="148" t="n">
        <x:f>SUM(Y37:Y39)</x:f>
        <x:v>71000</x:v>
      </x:c>
      <x:c r="Z40" s="146" t="str">
        <x:f>IF(COUNT(Z37:Z39)=3,SUM(Z37:Z39),"")</x:f>
      </x:c>
      <x:c r="AA40" s="147" t="n">
        <x:f>SUM(AA37:AA39)</x:f>
        <x:v>70000</x:v>
      </x:c>
      <x:c r="AB40" s="148" t="n">
        <x:f>SUM(AB37:AB39)</x:f>
        <x:v>70000</x:v>
      </x:c>
      <x:c r="AC40" s="146" t="str">
        <x:f>IF(COUNT(AC37:AC39)=3,SUM(AC37:AC39),"")</x:f>
      </x:c>
      <x:c r="AD40" s="147" t="n">
        <x:f>SUM(AD37:AD39)</x:f>
        <x:v>68000</x:v>
      </x:c>
      <x:c r="AE40" s="148" t="n">
        <x:f>SUM(AE37:AE39)</x:f>
        <x:v>70000</x:v>
      </x:c>
      <x:c r="AF40" s="146" t="n">
        <x:f>IF(COUNT(AF37:AF39)=3,SUM(AF37:AF39),"")</x:f>
        <x:v>72000</x:v>
      </x:c>
      <x:c r="AG40" s="147" t="n">
        <x:f>SUM(AG37:AG39)</x:f>
        <x:v>72000</x:v>
      </x:c>
      <x:c r="AH40" s="148" t="n">
        <x:f>SUM(AH37:AH39)</x:f>
        <x:v>70000</x:v>
      </x:c>
      <x:c r="AI40" s="146" t="n">
        <x:f>IF(COUNT(AI37:AI39)=3,SUM(AI37:AI39),"")</x:f>
        <x:v>78000</x:v>
      </x:c>
      <x:c r="AJ40" s="147" t="n">
        <x:f>SUM(AJ37:AJ39)</x:f>
        <x:v>78000</x:v>
      </x:c>
      <x:c r="AK40" s="148" t="n">
        <x:f>SUM(AK37:AK39)</x:f>
        <x:v>75000</x:v>
      </x:c>
    </x:row>
    <x:row r="41" ht="22" customHeight="1">
      <x:c r="A41" s="118" t="str">
        <x:v>Net cash movement</x:v>
      </x:c>
      <x:c r="B41" s="143" t="str">
        <x:f>IF(COUNT(B34,B40)=2,B34-B40,"")</x:f>
      </x:c>
      <x:c r="C41" s="133" t="n">
        <x:f>C34-C40</x:f>
        <x:v>-12000</x:v>
      </x:c>
      <x:c r="D41" s="144" t="n">
        <x:f>D34-D40</x:f>
        <x:v>-12000</x:v>
      </x:c>
      <x:c r="E41" s="143" t="str">
        <x:f>IF(COUNT(E34,E40)=2,E34-E40,"")</x:f>
      </x:c>
      <x:c r="F41" s="133" t="n">
        <x:f>F34-F40</x:f>
        <x:v>-12000</x:v>
      </x:c>
      <x:c r="G41" s="144" t="n">
        <x:f>G34-G40</x:f>
        <x:v>-12000</x:v>
      </x:c>
      <x:c r="H41" s="143" t="str">
        <x:f>IF(COUNT(H34,H40)=2,H34-H40,"")</x:f>
      </x:c>
      <x:c r="I41" s="133" t="n">
        <x:f>I34-I40</x:f>
        <x:v>-12000</x:v>
      </x:c>
      <x:c r="J41" s="144" t="n">
        <x:f>J34-J40</x:f>
        <x:v>-12000</x:v>
      </x:c>
      <x:c r="K41" s="143" t="str">
        <x:f>IF(COUNT(K34,K40)=2,K34-K40,"")</x:f>
      </x:c>
      <x:c r="L41" s="133" t="n">
        <x:f>L34-L40</x:f>
        <x:v>-17000</x:v>
      </x:c>
      <x:c r="M41" s="144" t="n">
        <x:f>M34-M40</x:f>
        <x:v>-17000</x:v>
      </x:c>
      <x:c r="N41" s="143" t="str">
        <x:f>IF(COUNT(N34,N40)=2,N34-N40,"")</x:f>
      </x:c>
      <x:c r="O41" s="133" t="n">
        <x:f>O34-O40</x:f>
        <x:v>-16000</x:v>
      </x:c>
      <x:c r="P41" s="144" t="n">
        <x:f>P34-P40</x:f>
        <x:v>-16000</x:v>
      </x:c>
      <x:c r="Q41" s="143" t="str">
        <x:f>IF(COUNT(Q34,Q40)=2,Q34-Q40,"")</x:f>
      </x:c>
      <x:c r="R41" s="133" t="n">
        <x:f>R34-R40</x:f>
        <x:v>-16000</x:v>
      </x:c>
      <x:c r="S41" s="144" t="n">
        <x:f>S34-S40</x:f>
        <x:v>-16000</x:v>
      </x:c>
      <x:c r="T41" s="143" t="str">
        <x:f>IF(COUNT(T34,T40)=2,T34-T40,"")</x:f>
      </x:c>
      <x:c r="U41" s="133" t="n">
        <x:f>U34-U40</x:f>
        <x:v>-16000</x:v>
      </x:c>
      <x:c r="V41" s="144" t="n">
        <x:f>V34-V40</x:f>
        <x:v>-16000</x:v>
      </x:c>
      <x:c r="W41" s="143" t="str">
        <x:f>IF(COUNT(W34,W40)=2,W34-W40,"")</x:f>
      </x:c>
      <x:c r="X41" s="133" t="n">
        <x:f>X34-X40</x:f>
        <x:v>-21000</x:v>
      </x:c>
      <x:c r="Y41" s="144" t="n">
        <x:f>Y34-Y40</x:f>
        <x:v>-21000</x:v>
      </x:c>
      <x:c r="Z41" s="143" t="str">
        <x:f>IF(COUNT(Z34,Z40)=2,Z34-Z40,"")</x:f>
      </x:c>
      <x:c r="AA41" s="133" t="n">
        <x:f>AA34-AA40</x:f>
        <x:v>-30000</x:v>
      </x:c>
      <x:c r="AB41" s="144" t="n">
        <x:f>AB34-AB40</x:f>
        <x:v>-20000</x:v>
      </x:c>
      <x:c r="AC41" s="143" t="str">
        <x:f>IF(COUNT(AC34,AC40)=2,AC34-AC40,"")</x:f>
      </x:c>
      <x:c r="AD41" s="133" t="n">
        <x:f>AD34-AD40</x:f>
        <x:v>-18000</x:v>
      </x:c>
      <x:c r="AE41" s="144" t="n">
        <x:f>AE34-AE40</x:f>
        <x:v>-20000</x:v>
      </x:c>
      <x:c r="AF41" s="143" t="n">
        <x:f>IF(COUNT(AF34,AF40)=2,AF34-AF40,"")</x:f>
        <x:v>-12000</x:v>
      </x:c>
      <x:c r="AG41" s="133" t="n">
        <x:f>AG34-AG40</x:f>
        <x:v>-12000</x:v>
      </x:c>
      <x:c r="AH41" s="144" t="n">
        <x:f>AH34-AH40</x:f>
        <x:v>5000</x:v>
      </x:c>
      <x:c r="AI41" s="143" t="n">
        <x:f>IF(COUNT(AI34,AI40)=2,AI34-AI40,"")</x:f>
        <x:v>-28000</x:v>
      </x:c>
      <x:c r="AJ41" s="133" t="n">
        <x:f>AJ34-AJ40</x:f>
        <x:v>-28000</x:v>
      </x:c>
      <x:c r="AK41" s="144" t="n">
        <x:f>AK34-AK40</x:f>
        <x:v>-25000</x:v>
      </x:c>
    </x:row>
    <x:row r="42" ht="22" customHeight="1">
      <x:c r="A42" s="118" t="str">
        <x:v>Opening cash</x:v>
      </x:c>
      <x:c r="B42" s="143" t="str">
        <x:f>IF(E43&lt;&gt;"",E43,"")</x:f>
      </x:c>
      <x:c r="C42" s="133" t="n">
        <x:f>IF(E43&lt;&gt;"",E43,F43)</x:f>
        <x:v>52000</x:v>
      </x:c>
      <x:c r="D42" s="144" t="n">
        <x:f>G43</x:f>
        <x:v>80000</x:v>
      </x:c>
      <x:c r="E42" s="143" t="str">
        <x:f>IF(H43&lt;&gt;"",H43,"")</x:f>
      </x:c>
      <x:c r="F42" s="133" t="n">
        <x:f>IF(H43&lt;&gt;"",H43,I43)</x:f>
        <x:v>64000</x:v>
      </x:c>
      <x:c r="G42" s="144" t="n">
        <x:f>J43</x:f>
        <x:v>92000</x:v>
      </x:c>
      <x:c r="H42" s="143" t="str">
        <x:f>IF(K43&lt;&gt;"",K43,"")</x:f>
      </x:c>
      <x:c r="I42" s="133" t="n">
        <x:f>IF(K43&lt;&gt;"",K43,L43)</x:f>
        <x:v>76000</x:v>
      </x:c>
      <x:c r="J42" s="144" t="n">
        <x:f>M43</x:f>
        <x:v>104000</x:v>
      </x:c>
      <x:c r="K42" s="143" t="str">
        <x:f>IF(N43&lt;&gt;"",N43,"")</x:f>
      </x:c>
      <x:c r="L42" s="133" t="n">
        <x:f>IF(N43&lt;&gt;"",N43,O43)</x:f>
        <x:v>93000</x:v>
      </x:c>
      <x:c r="M42" s="144" t="n">
        <x:f>P43</x:f>
        <x:v>121000</x:v>
      </x:c>
      <x:c r="N42" s="143" t="str">
        <x:f>IF(Q43&lt;&gt;"",Q43,"")</x:f>
      </x:c>
      <x:c r="O42" s="133" t="n">
        <x:f>IF(Q43&lt;&gt;"",Q43,R43)</x:f>
        <x:v>109000</x:v>
      </x:c>
      <x:c r="P42" s="144" t="n">
        <x:f>S43</x:f>
        <x:v>137000</x:v>
      </x:c>
      <x:c r="Q42" s="143" t="str">
        <x:f>IF(T43&lt;&gt;"",T43,"")</x:f>
      </x:c>
      <x:c r="R42" s="133" t="n">
        <x:f>IF(T43&lt;&gt;"",T43,U43)</x:f>
        <x:v>125000</x:v>
      </x:c>
      <x:c r="S42" s="144" t="n">
        <x:f>V43</x:f>
        <x:v>153000</x:v>
      </x:c>
      <x:c r="T42" s="143" t="str">
        <x:f>IF(W43&lt;&gt;"",W43,"")</x:f>
      </x:c>
      <x:c r="U42" s="133" t="n">
        <x:f>IF(W43&lt;&gt;"",W43,X43)</x:f>
        <x:v>141000</x:v>
      </x:c>
      <x:c r="V42" s="144" t="n">
        <x:f>Y43</x:f>
        <x:v>169000</x:v>
      </x:c>
      <x:c r="W42" s="143" t="str">
        <x:f>IF(Z43&lt;&gt;"",Z43,"")</x:f>
      </x:c>
      <x:c r="X42" s="133" t="n">
        <x:f>IF(Z43&lt;&gt;"",Z43,AA43)</x:f>
        <x:v>162000</x:v>
      </x:c>
      <x:c r="Y42" s="144" t="n">
        <x:f>AB43</x:f>
        <x:v>190000</x:v>
      </x:c>
      <x:c r="Z42" s="143" t="str">
        <x:f>IF(AC43&lt;&gt;"",AC43,"")</x:f>
      </x:c>
      <x:c r="AA42" s="133" t="n">
        <x:f>IF(AC43&lt;&gt;"",AC43,AD43)</x:f>
        <x:v>192000</x:v>
      </x:c>
      <x:c r="AB42" s="144" t="n">
        <x:f>AE43</x:f>
        <x:v>210000</x:v>
      </x:c>
      <x:c r="AC42" s="143" t="n">
        <x:f>IF(AF43&lt;&gt;"",AF43,"")</x:f>
        <x:v>210000</x:v>
      </x:c>
      <x:c r="AD42" s="133" t="n">
        <x:f>IF(AF43&lt;&gt;"",AF43,AG43)</x:f>
        <x:v>210000</x:v>
      </x:c>
      <x:c r="AE42" s="144" t="n">
        <x:f>AH43</x:f>
        <x:v>230000</x:v>
      </x:c>
      <x:c r="AF42" s="143" t="n">
        <x:f>IF(AI43&lt;&gt;"",AI43,"")</x:f>
        <x:v>222000</x:v>
      </x:c>
      <x:c r="AG42" s="133" t="n">
        <x:f>IF(AI43&lt;&gt;"",AI43,AJ43)</x:f>
        <x:v>222000</x:v>
      </x:c>
      <x:c r="AH42" s="144" t="n">
        <x:f>AK43</x:f>
        <x:v>225000</x:v>
      </x:c>
      <x:c r="AI42" s="143" t="n">
        <x:f>$B$57</x:f>
        <x:v>250000</x:v>
      </x:c>
      <x:c r="AJ42" s="133" t="n">
        <x:f>$B$57</x:f>
        <x:v>250000</x:v>
      </x:c>
      <x:c r="AK42" s="144" t="n">
        <x:f>$B$57</x:f>
        <x:v>250000</x:v>
      </x:c>
    </x:row>
    <x:row r="43" ht="22" customHeight="1">
      <x:c r="A43" s="145" t="str">
        <x:v>Closing cash</x:v>
      </x:c>
      <x:c r="B43" s="146" t="str">
        <x:f>IF(COUNT(B42,B41)=2,B42+B41,"")</x:f>
      </x:c>
      <x:c r="C43" s="147" t="n">
        <x:f>C42+C41</x:f>
        <x:v>40000</x:v>
      </x:c>
      <x:c r="D43" s="148" t="n">
        <x:f>D42+D41</x:f>
        <x:v>68000</x:v>
      </x:c>
      <x:c r="E43" s="146" t="str">
        <x:f>IF(COUNT(E42,E41)=2,E42+E41,"")</x:f>
      </x:c>
      <x:c r="F43" s="147" t="n">
        <x:f>F42+F41</x:f>
        <x:v>52000</x:v>
      </x:c>
      <x:c r="G43" s="148" t="n">
        <x:f>G42+G41</x:f>
        <x:v>80000</x:v>
      </x:c>
      <x:c r="H43" s="146" t="str">
        <x:f>IF(COUNT(H42,H41)=2,H42+H41,"")</x:f>
      </x:c>
      <x:c r="I43" s="147" t="n">
        <x:f>I42+I41</x:f>
        <x:v>64000</x:v>
      </x:c>
      <x:c r="J43" s="148" t="n">
        <x:f>J42+J41</x:f>
        <x:v>92000</x:v>
      </x:c>
      <x:c r="K43" s="146" t="str">
        <x:f>IF(COUNT(K42,K41)=2,K42+K41,"")</x:f>
      </x:c>
      <x:c r="L43" s="147" t="n">
        <x:f>L42+L41</x:f>
        <x:v>76000</x:v>
      </x:c>
      <x:c r="M43" s="148" t="n">
        <x:f>M42+M41</x:f>
        <x:v>104000</x:v>
      </x:c>
      <x:c r="N43" s="146" t="str">
        <x:f>IF(COUNT(N42,N41)=2,N42+N41,"")</x:f>
      </x:c>
      <x:c r="O43" s="147" t="n">
        <x:f>O42+O41</x:f>
        <x:v>93000</x:v>
      </x:c>
      <x:c r="P43" s="148" t="n">
        <x:f>P42+P41</x:f>
        <x:v>121000</x:v>
      </x:c>
      <x:c r="Q43" s="146" t="str">
        <x:f>IF(COUNT(Q42,Q41)=2,Q42+Q41,"")</x:f>
      </x:c>
      <x:c r="R43" s="147" t="n">
        <x:f>R42+R41</x:f>
        <x:v>109000</x:v>
      </x:c>
      <x:c r="S43" s="148" t="n">
        <x:f>S42+S41</x:f>
        <x:v>137000</x:v>
      </x:c>
      <x:c r="T43" s="146" t="str">
        <x:f>IF(COUNT(T42,T41)=2,T42+T41,"")</x:f>
      </x:c>
      <x:c r="U43" s="147" t="n">
        <x:f>U42+U41</x:f>
        <x:v>125000</x:v>
      </x:c>
      <x:c r="V43" s="148" t="n">
        <x:f>V42+V41</x:f>
        <x:v>153000</x:v>
      </x:c>
      <x:c r="W43" s="146" t="str">
        <x:f>IF(COUNT(W42,W41)=2,W42+W41,"")</x:f>
      </x:c>
      <x:c r="X43" s="147" t="n">
        <x:f>X42+X41</x:f>
        <x:v>141000</x:v>
      </x:c>
      <x:c r="Y43" s="148" t="n">
        <x:f>Y42+Y41</x:f>
        <x:v>169000</x:v>
      </x:c>
      <x:c r="Z43" s="146" t="str">
        <x:f>IF(COUNT(Z42,Z41)=2,Z42+Z41,"")</x:f>
      </x:c>
      <x:c r="AA43" s="147" t="n">
        <x:f>AA42+AA41</x:f>
        <x:v>162000</x:v>
      </x:c>
      <x:c r="AB43" s="148" t="n">
        <x:f>AB42+AB41</x:f>
        <x:v>190000</x:v>
      </x:c>
      <x:c r="AC43" s="146" t="str">
        <x:f>IF(COUNT(AC42,AC41)=2,AC42+AC41,"")</x:f>
      </x:c>
      <x:c r="AD43" s="147" t="n">
        <x:f>AD42+AD41</x:f>
        <x:v>192000</x:v>
      </x:c>
      <x:c r="AE43" s="148" t="n">
        <x:f>AE42+AE41</x:f>
        <x:v>210000</x:v>
      </x:c>
      <x:c r="AF43" s="146" t="n">
        <x:f>IF(COUNT(AF42,AF41)=2,AF42+AF41,"")</x:f>
        <x:v>210000</x:v>
      </x:c>
      <x:c r="AG43" s="147" t="n">
        <x:f>AG42+AG41</x:f>
        <x:v>210000</x:v>
      </x:c>
      <x:c r="AH43" s="148" t="n">
        <x:f>AH42+AH41</x:f>
        <x:v>230000</x:v>
      </x:c>
      <x:c r="AI43" s="146" t="n">
        <x:f>IF(COUNT(AI42,AI41)=2,AI42+AI41,"")</x:f>
        <x:v>222000</x:v>
      </x:c>
      <x:c r="AJ43" s="147" t="n">
        <x:f>AJ42+AJ41</x:f>
        <x:v>222000</x:v>
      </x:c>
      <x:c r="AK43" s="148" t="n">
        <x:f>AK42+AK41</x:f>
        <x:v>225000</x:v>
      </x:c>
    </x:row>
    <x:row r="44" ht="22" customHeight="1">
      <x:c r="A44" s="118" t="str">
        <x:v>Minimum cash reserve</x:v>
      </x:c>
      <x:c r="B44" s="132"/>
      <x:c r="C44" s="133" t="n">
        <x:f>IF(B44&lt;&gt;"",B44,D44)</x:f>
        <x:v>100000</x:v>
      </x:c>
      <x:c r="D44" s="134" t="n">
        <x:v>100000</x:v>
      </x:c>
      <x:c r="E44" s="132"/>
      <x:c r="F44" s="133" t="n">
        <x:f>IF(E44&lt;&gt;"",E44,G44)</x:f>
        <x:v>100000</x:v>
      </x:c>
      <x:c r="G44" s="134" t="n">
        <x:v>100000</x:v>
      </x:c>
      <x:c r="H44" s="132"/>
      <x:c r="I44" s="133" t="n">
        <x:f>IF(H44&lt;&gt;"",H44,J44)</x:f>
        <x:v>100000</x:v>
      </x:c>
      <x:c r="J44" s="134" t="n">
        <x:v>100000</x:v>
      </x:c>
      <x:c r="K44" s="132"/>
      <x:c r="L44" s="133" t="n">
        <x:f>IF(K44&lt;&gt;"",K44,M44)</x:f>
        <x:v>100000</x:v>
      </x:c>
      <x:c r="M44" s="134" t="n">
        <x:v>100000</x:v>
      </x:c>
      <x:c r="N44" s="132"/>
      <x:c r="O44" s="133" t="n">
        <x:f>IF(N44&lt;&gt;"",N44,P44)</x:f>
        <x:v>100000</x:v>
      </x:c>
      <x:c r="P44" s="134" t="n">
        <x:v>100000</x:v>
      </x:c>
      <x:c r="Q44" s="132"/>
      <x:c r="R44" s="133" t="n">
        <x:f>IF(Q44&lt;&gt;"",Q44,S44)</x:f>
        <x:v>100000</x:v>
      </x:c>
      <x:c r="S44" s="134" t="n">
        <x:v>100000</x:v>
      </x:c>
      <x:c r="T44" s="132"/>
      <x:c r="U44" s="133" t="n">
        <x:f>IF(T44&lt;&gt;"",T44,V44)</x:f>
        <x:v>100000</x:v>
      </x:c>
      <x:c r="V44" s="134" t="n">
        <x:v>100000</x:v>
      </x:c>
      <x:c r="W44" s="132"/>
      <x:c r="X44" s="133" t="n">
        <x:f>IF(W44&lt;&gt;"",W44,Y44)</x:f>
        <x:v>100000</x:v>
      </x:c>
      <x:c r="Y44" s="134" t="n">
        <x:v>100000</x:v>
      </x:c>
      <x:c r="Z44" s="132"/>
      <x:c r="AA44" s="133" t="n">
        <x:f>IF(Z44&lt;&gt;"",Z44,AB44)</x:f>
        <x:v>100000</x:v>
      </x:c>
      <x:c r="AB44" s="134" t="n">
        <x:v>100000</x:v>
      </x:c>
      <x:c r="AC44" s="132"/>
      <x:c r="AD44" s="133" t="n">
        <x:f>IF(AC44&lt;&gt;"",AC44,AE44)</x:f>
        <x:v>100000</x:v>
      </x:c>
      <x:c r="AE44" s="134" t="n">
        <x:v>100000</x:v>
      </x:c>
      <x:c r="AF44" s="132" t="n">
        <x:v>100000</x:v>
      </x:c>
      <x:c r="AG44" s="133" t="n">
        <x:f>IF(AF44&lt;&gt;"",AF44,AH44)</x:f>
        <x:v>100000</x:v>
      </x:c>
      <x:c r="AH44" s="134" t="n">
        <x:v>100000</x:v>
      </x:c>
      <x:c r="AI44" s="132" t="n">
        <x:v>100000</x:v>
      </x:c>
      <x:c r="AJ44" s="133" t="n">
        <x:f>IF(AI44&lt;&gt;"",AI44,AK44)</x:f>
        <x:v>100000</x:v>
      </x:c>
      <x:c r="AK44" s="134" t="n">
        <x:v>100000</x:v>
      </x:c>
    </x:row>
    <x:row r="45" ht="22" customHeight="1">
      <x:c r="A45" s="135" t="str">
        <x:v>Cash above / (below) reserve</x:v>
      </x:c>
      <x:c r="B45" s="136" t="str">
        <x:f>IF(COUNT(B43,B44)=2,B43-B44,"")</x:f>
      </x:c>
      <x:c r="C45" s="137" t="n">
        <x:f>C43-C44</x:f>
        <x:v>-60000</x:v>
      </x:c>
      <x:c r="D45" s="138" t="n">
        <x:f>D43-D44</x:f>
        <x:v>-32000</x:v>
      </x:c>
      <x:c r="E45" s="136" t="str">
        <x:f>IF(COUNT(E43,E44)=2,E43-E44,"")</x:f>
      </x:c>
      <x:c r="F45" s="137" t="n">
        <x:f>F43-F44</x:f>
        <x:v>-48000</x:v>
      </x:c>
      <x:c r="G45" s="138" t="n">
        <x:f>G43-G44</x:f>
        <x:v>-20000</x:v>
      </x:c>
      <x:c r="H45" s="136" t="str">
        <x:f>IF(COUNT(H43,H44)=2,H43-H44,"")</x:f>
      </x:c>
      <x:c r="I45" s="137" t="n">
        <x:f>I43-I44</x:f>
        <x:v>-36000</x:v>
      </x:c>
      <x:c r="J45" s="138" t="n">
        <x:f>J43-J44</x:f>
        <x:v>-8000</x:v>
      </x:c>
      <x:c r="K45" s="136" t="str">
        <x:f>IF(COUNT(K43,K44)=2,K43-K44,"")</x:f>
      </x:c>
      <x:c r="L45" s="137" t="n">
        <x:f>L43-L44</x:f>
        <x:v>-24000</x:v>
      </x:c>
      <x:c r="M45" s="138" t="n">
        <x:f>M43-M44</x:f>
        <x:v>4000</x:v>
      </x:c>
      <x:c r="N45" s="136" t="str">
        <x:f>IF(COUNT(N43,N44)=2,N43-N44,"")</x:f>
      </x:c>
      <x:c r="O45" s="137" t="n">
        <x:f>O43-O44</x:f>
        <x:v>-7000</x:v>
      </x:c>
      <x:c r="P45" s="138" t="n">
        <x:f>P43-P44</x:f>
        <x:v>21000</x:v>
      </x:c>
      <x:c r="Q45" s="136" t="str">
        <x:f>IF(COUNT(Q43,Q44)=2,Q43-Q44,"")</x:f>
      </x:c>
      <x:c r="R45" s="137" t="n">
        <x:f>R43-R44</x:f>
        <x:v>9000</x:v>
      </x:c>
      <x:c r="S45" s="138" t="n">
        <x:f>S43-S44</x:f>
        <x:v>37000</x:v>
      </x:c>
      <x:c r="T45" s="136" t="str">
        <x:f>IF(COUNT(T43,T44)=2,T43-T44,"")</x:f>
      </x:c>
      <x:c r="U45" s="137" t="n">
        <x:f>U43-U44</x:f>
        <x:v>25000</x:v>
      </x:c>
      <x:c r="V45" s="138" t="n">
        <x:f>V43-V44</x:f>
        <x:v>53000</x:v>
      </x:c>
      <x:c r="W45" s="136" t="str">
        <x:f>IF(COUNT(W43,W44)=2,W43-W44,"")</x:f>
      </x:c>
      <x:c r="X45" s="137" t="n">
        <x:f>X43-X44</x:f>
        <x:v>41000</x:v>
      </x:c>
      <x:c r="Y45" s="138" t="n">
        <x:f>Y43-Y44</x:f>
        <x:v>69000</x:v>
      </x:c>
      <x:c r="Z45" s="136" t="str">
        <x:f>IF(COUNT(Z43,Z44)=2,Z43-Z44,"")</x:f>
      </x:c>
      <x:c r="AA45" s="137" t="n">
        <x:f>AA43-AA44</x:f>
        <x:v>62000</x:v>
      </x:c>
      <x:c r="AB45" s="138" t="n">
        <x:f>AB43-AB44</x:f>
        <x:v>90000</x:v>
      </x:c>
      <x:c r="AC45" s="136" t="str">
        <x:f>IF(COUNT(AC43,AC44)=2,AC43-AC44,"")</x:f>
      </x:c>
      <x:c r="AD45" s="137" t="n">
        <x:f>AD43-AD44</x:f>
        <x:v>92000</x:v>
      </x:c>
      <x:c r="AE45" s="138" t="n">
        <x:f>AE43-AE44</x:f>
        <x:v>110000</x:v>
      </x:c>
      <x:c r="AF45" s="136" t="n">
        <x:f>IF(COUNT(AF43,AF44)=2,AF43-AF44,"")</x:f>
        <x:v>110000</x:v>
      </x:c>
      <x:c r="AG45" s="137" t="n">
        <x:f>AG43-AG44</x:f>
        <x:v>110000</x:v>
      </x:c>
      <x:c r="AH45" s="138" t="n">
        <x:f>AH43-AH44</x:f>
        <x:v>130000</x:v>
      </x:c>
      <x:c r="AI45" s="136" t="n">
        <x:f>IF(COUNT(AI43,AI44)=2,AI43-AI44,"")</x:f>
        <x:v>122000</x:v>
      </x:c>
      <x:c r="AJ45" s="137" t="n">
        <x:f>AJ43-AJ44</x:f>
        <x:v>122000</x:v>
      </x:c>
      <x:c r="AK45" s="138" t="n">
        <x:f>AK43-AK44</x:f>
        <x:v>125000</x:v>
      </x:c>
    </x:row>
    <x:row r="46" ht="22" customHeight="1">
      <x:c r="A46" s="118" t="str">
        <x:v>Status</x:v>
      </x:c>
      <x:c r="B46" s="149" t="str">
        <x:f>IF(B45="","",IF(B45&lt;0,"ACTION","OK"))</x:f>
      </x:c>
      <x:c r="C46" s="150" t="str">
        <x:f>IF(C45&lt;0,"ACTION","OK")</x:f>
        <x:v>ACTION</x:v>
      </x:c>
      <x:c r="D46" s="151" t="str">
        <x:f>IF(D45&lt;0,"ACTION","OK")</x:f>
        <x:v>ACTION</x:v>
      </x:c>
      <x:c r="E46" s="149" t="str">
        <x:f>IF(E45="","",IF(E45&lt;0,"ACTION","OK"))</x:f>
      </x:c>
      <x:c r="F46" s="150" t="str">
        <x:f>IF(F45&lt;0,"ACTION","OK")</x:f>
        <x:v>ACTION</x:v>
      </x:c>
      <x:c r="G46" s="151" t="str">
        <x:f>IF(G45&lt;0,"ACTION","OK")</x:f>
        <x:v>ACTION</x:v>
      </x:c>
      <x:c r="H46" s="149" t="str">
        <x:f>IF(H45="","",IF(H45&lt;0,"ACTION","OK"))</x:f>
      </x:c>
      <x:c r="I46" s="150" t="str">
        <x:f>IF(I45&lt;0,"ACTION","OK")</x:f>
        <x:v>ACTION</x:v>
      </x:c>
      <x:c r="J46" s="151" t="str">
        <x:f>IF(J45&lt;0,"ACTION","OK")</x:f>
        <x:v>ACTION</x:v>
      </x:c>
      <x:c r="K46" s="149" t="str">
        <x:f>IF(K45="","",IF(K45&lt;0,"ACTION","OK"))</x:f>
      </x:c>
      <x:c r="L46" s="150" t="str">
        <x:f>IF(L45&lt;0,"ACTION","OK")</x:f>
        <x:v>ACTION</x:v>
      </x:c>
      <x:c r="M46" s="151" t="str">
        <x:f>IF(M45&lt;0,"ACTION","OK")</x:f>
        <x:v>OK</x:v>
      </x:c>
      <x:c r="N46" s="149" t="str">
        <x:f>IF(N45="","",IF(N45&lt;0,"ACTION","OK"))</x:f>
      </x:c>
      <x:c r="O46" s="150" t="str">
        <x:f>IF(O45&lt;0,"ACTION","OK")</x:f>
        <x:v>ACTION</x:v>
      </x:c>
      <x:c r="P46" s="151" t="str">
        <x:f>IF(P45&lt;0,"ACTION","OK")</x:f>
        <x:v>OK</x:v>
      </x:c>
      <x:c r="Q46" s="149" t="str">
        <x:f>IF(Q45="","",IF(Q45&lt;0,"ACTION","OK"))</x:f>
      </x:c>
      <x:c r="R46" s="150" t="str">
        <x:f>IF(R45&lt;0,"ACTION","OK")</x:f>
        <x:v>OK</x:v>
      </x:c>
      <x:c r="S46" s="151" t="str">
        <x:f>IF(S45&lt;0,"ACTION","OK")</x:f>
        <x:v>OK</x:v>
      </x:c>
      <x:c r="T46" s="149" t="str">
        <x:f>IF(T45="","",IF(T45&lt;0,"ACTION","OK"))</x:f>
      </x:c>
      <x:c r="U46" s="150" t="str">
        <x:f>IF(U45&lt;0,"ACTION","OK")</x:f>
        <x:v>OK</x:v>
      </x:c>
      <x:c r="V46" s="151" t="str">
        <x:f>IF(V45&lt;0,"ACTION","OK")</x:f>
        <x:v>OK</x:v>
      </x:c>
      <x:c r="W46" s="149" t="str">
        <x:f>IF(W45="","",IF(W45&lt;0,"ACTION","OK"))</x:f>
      </x:c>
      <x:c r="X46" s="150" t="str">
        <x:f>IF(X45&lt;0,"ACTION","OK")</x:f>
        <x:v>OK</x:v>
      </x:c>
      <x:c r="Y46" s="151" t="str">
        <x:f>IF(Y45&lt;0,"ACTION","OK")</x:f>
        <x:v>OK</x:v>
      </x:c>
      <x:c r="Z46" s="149" t="str">
        <x:f>IF(Z45="","",IF(Z45&lt;0,"ACTION","OK"))</x:f>
      </x:c>
      <x:c r="AA46" s="150" t="str">
        <x:f>IF(AA45&lt;0,"ACTION","OK")</x:f>
        <x:v>OK</x:v>
      </x:c>
      <x:c r="AB46" s="151" t="str">
        <x:f>IF(AB45&lt;0,"ACTION","OK")</x:f>
        <x:v>OK</x:v>
      </x:c>
      <x:c r="AC46" s="149" t="str">
        <x:f>IF(AC45="","",IF(AC45&lt;0,"ACTION","OK"))</x:f>
      </x:c>
      <x:c r="AD46" s="150" t="str">
        <x:f>IF(AD45&lt;0,"ACTION","OK")</x:f>
        <x:v>OK</x:v>
      </x:c>
      <x:c r="AE46" s="151" t="str">
        <x:f>IF(AE45&lt;0,"ACTION","OK")</x:f>
        <x:v>OK</x:v>
      </x:c>
      <x:c r="AF46" s="149" t="str">
        <x:f>IF(AF45="","",IF(AF45&lt;0,"ACTION","OK"))</x:f>
        <x:v>OK</x:v>
      </x:c>
      <x:c r="AG46" s="150" t="str">
        <x:f>IF(AG45&lt;0,"ACTION","OK")</x:f>
        <x:v>OK</x:v>
      </x:c>
      <x:c r="AH46" s="151" t="str">
        <x:f>IF(AH45&lt;0,"ACTION","OK")</x:f>
        <x:v>OK</x:v>
      </x:c>
      <x:c r="AI46" s="149" t="str">
        <x:f>IF(AI45="","",IF(AI45&lt;0,"ACTION","OK"))</x:f>
        <x:v>OK</x:v>
      </x:c>
      <x:c r="AJ46" s="150" t="str">
        <x:f>IF(AJ45&lt;0,"ACTION","OK")</x:f>
        <x:v>OK</x:v>
      </x:c>
      <x:c r="AK46" s="151" t="str">
        <x:f>IF(AK45&lt;0,"ACTION","OK")</x:f>
        <x:v>OK</x:v>
      </x:c>
    </x:row>
    <x:row r="47" ht="22" customHeight="1">
      <x:c r="A47" s="118"/>
      <x:c r="B47" s="129"/>
      <x:c r="C47" s="130"/>
      <x:c r="D47" s="131"/>
      <x:c r="E47" s="129"/>
      <x:c r="F47" s="130"/>
      <x:c r="G47" s="131"/>
      <x:c r="H47" s="129"/>
      <x:c r="I47" s="130"/>
      <x:c r="J47" s="131"/>
      <x:c r="K47" s="129"/>
      <x:c r="L47" s="130"/>
      <x:c r="M47" s="131"/>
      <x:c r="N47" s="129"/>
      <x:c r="O47" s="130"/>
      <x:c r="P47" s="131"/>
      <x:c r="Q47" s="129"/>
      <x:c r="R47" s="130"/>
      <x:c r="S47" s="131"/>
      <x:c r="T47" s="129"/>
      <x:c r="U47" s="130"/>
      <x:c r="V47" s="131"/>
      <x:c r="W47" s="129"/>
      <x:c r="X47" s="130"/>
      <x:c r="Y47" s="131"/>
      <x:c r="Z47" s="129"/>
      <x:c r="AA47" s="130"/>
      <x:c r="AB47" s="131"/>
      <x:c r="AC47" s="129"/>
      <x:c r="AD47" s="130"/>
      <x:c r="AE47" s="131"/>
      <x:c r="AF47" s="129"/>
      <x:c r="AG47" s="130"/>
      <x:c r="AH47" s="131"/>
      <x:c r="AI47" s="129"/>
      <x:c r="AJ47" s="130"/>
      <x:c r="AK47" s="131"/>
    </x:row>
    <x:row r="48" ht="22" customHeight="1">
      <x:c r="A48" s="38" t="str">
        <x:v>CASH TIMING</x:v>
      </x:c>
      <x:c r="B48" s="57" t="str">
        <x:v>CASH TIMING</x:v>
      </x:c>
      <x:c r="C48" s="58" t="str">
        <x:v>CASH TIMING</x:v>
      </x:c>
      <x:c r="D48" s="59" t="str">
        <x:v>CASH TIMING</x:v>
      </x:c>
      <x:c r="E48" s="57" t="str">
        <x:v>CASH TIMING</x:v>
      </x:c>
      <x:c r="F48" s="58" t="str">
        <x:v>CASH TIMING</x:v>
      </x:c>
      <x:c r="G48" s="59" t="str">
        <x:v>CASH TIMING</x:v>
      </x:c>
      <x:c r="H48" s="57" t="str">
        <x:v>CASH TIMING</x:v>
      </x:c>
      <x:c r="I48" s="58" t="str">
        <x:v>CASH TIMING</x:v>
      </x:c>
      <x:c r="J48" s="59" t="str">
        <x:v>CASH TIMING</x:v>
      </x:c>
      <x:c r="K48" s="57" t="str">
        <x:v>CASH TIMING</x:v>
      </x:c>
      <x:c r="L48" s="58" t="str">
        <x:v>CASH TIMING</x:v>
      </x:c>
      <x:c r="M48" s="59" t="str">
        <x:v>CASH TIMING</x:v>
      </x:c>
      <x:c r="N48" s="57" t="str">
        <x:v>CASH TIMING</x:v>
      </x:c>
      <x:c r="O48" s="58" t="str">
        <x:v>CASH TIMING</x:v>
      </x:c>
      <x:c r="P48" s="59" t="str">
        <x:v>CASH TIMING</x:v>
      </x:c>
      <x:c r="Q48" s="57" t="str">
        <x:v>CASH TIMING</x:v>
      </x:c>
      <x:c r="R48" s="58" t="str">
        <x:v>CASH TIMING</x:v>
      </x:c>
      <x:c r="S48" s="59" t="str">
        <x:v>CASH TIMING</x:v>
      </x:c>
      <x:c r="T48" s="57" t="str">
        <x:v>CASH TIMING</x:v>
      </x:c>
      <x:c r="U48" s="58" t="str">
        <x:v>CASH TIMING</x:v>
      </x:c>
      <x:c r="V48" s="59" t="str">
        <x:v>CASH TIMING</x:v>
      </x:c>
      <x:c r="W48" s="57" t="str">
        <x:v>CASH TIMING</x:v>
      </x:c>
      <x:c r="X48" s="58" t="str">
        <x:v>CASH TIMING</x:v>
      </x:c>
      <x:c r="Y48" s="59" t="str">
        <x:v>CASH TIMING</x:v>
      </x:c>
      <x:c r="Z48" s="57" t="str">
        <x:v>CASH TIMING</x:v>
      </x:c>
      <x:c r="AA48" s="58" t="str">
        <x:v>CASH TIMING</x:v>
      </x:c>
      <x:c r="AB48" s="59" t="str">
        <x:v>CASH TIMING</x:v>
      </x:c>
      <x:c r="AC48" s="57" t="str">
        <x:v>CASH TIMING</x:v>
      </x:c>
      <x:c r="AD48" s="58" t="str">
        <x:v>CASH TIMING</x:v>
      </x:c>
      <x:c r="AE48" s="59" t="str">
        <x:v>CASH TIMING</x:v>
      </x:c>
      <x:c r="AF48" s="57" t="str">
        <x:v>CASH TIMING</x:v>
      </x:c>
      <x:c r="AG48" s="58" t="str">
        <x:v>CASH TIMING</x:v>
      </x:c>
      <x:c r="AH48" s="59" t="str">
        <x:v>CASH TIMING</x:v>
      </x:c>
      <x:c r="AI48" s="57" t="str">
        <x:v>CASH TIMING</x:v>
      </x:c>
      <x:c r="AJ48" s="58" t="str">
        <x:v>CASH TIMING</x:v>
      </x:c>
      <x:c r="AK48" s="59" t="str">
        <x:v>CASH TIMING</x:v>
      </x:c>
    </x:row>
    <x:row r="49" ht="22" customHeight="1">
      <x:c r="A49" s="118" t="str">
        <x:v>Marketing timing (months)</x:v>
      </x:c>
      <x:c r="B49" s="152" t="str">
        <x:f>IF(B7="","",B7)</x:f>
      </x:c>
      <x:c r="C49" s="123" t="n">
        <x:f>C7</x:f>
        <x:v>0</x:v>
      </x:c>
      <x:c r="D49" s="153" t="n">
        <x:f>D7</x:f>
        <x:v>0</x:v>
      </x:c>
      <x:c r="E49" s="152" t="str">
        <x:f>IF(E7="","",E7)</x:f>
      </x:c>
      <x:c r="F49" s="123" t="n">
        <x:f>F7</x:f>
        <x:v>0</x:v>
      </x:c>
      <x:c r="G49" s="153" t="n">
        <x:f>G7</x:f>
        <x:v>0</x:v>
      </x:c>
      <x:c r="H49" s="152" t="str">
        <x:f>IF(H7="","",H7)</x:f>
      </x:c>
      <x:c r="I49" s="123" t="n">
        <x:f>I7</x:f>
        <x:v>0</x:v>
      </x:c>
      <x:c r="J49" s="153" t="n">
        <x:f>J7</x:f>
        <x:v>0</x:v>
      </x:c>
      <x:c r="K49" s="152" t="str">
        <x:f>IF(K7="","",K7)</x:f>
      </x:c>
      <x:c r="L49" s="123" t="n">
        <x:f>L7</x:f>
        <x:v>0</x:v>
      </x:c>
      <x:c r="M49" s="153" t="n">
        <x:f>M7</x:f>
        <x:v>0</x:v>
      </x:c>
      <x:c r="N49" s="152" t="str">
        <x:f>IF(N7="","",N7)</x:f>
      </x:c>
      <x:c r="O49" s="123" t="n">
        <x:f>O7</x:f>
        <x:v>0</x:v>
      </x:c>
      <x:c r="P49" s="153" t="n">
        <x:f>P7</x:f>
        <x:v>0</x:v>
      </x:c>
      <x:c r="Q49" s="152" t="str">
        <x:f>IF(Q7="","",Q7)</x:f>
      </x:c>
      <x:c r="R49" s="123" t="n">
        <x:f>R7</x:f>
        <x:v>0</x:v>
      </x:c>
      <x:c r="S49" s="153" t="n">
        <x:f>S7</x:f>
        <x:v>0</x:v>
      </x:c>
      <x:c r="T49" s="152" t="str">
        <x:f>IF(T7="","",T7)</x:f>
      </x:c>
      <x:c r="U49" s="123" t="n">
        <x:f>U7</x:f>
        <x:v>0</x:v>
      </x:c>
      <x:c r="V49" s="153" t="n">
        <x:f>V7</x:f>
        <x:v>0</x:v>
      </x:c>
      <x:c r="W49" s="152" t="str">
        <x:f>IF(W7="","",W7)</x:f>
      </x:c>
      <x:c r="X49" s="123" t="n">
        <x:f>X7</x:f>
        <x:v>0</x:v>
      </x:c>
      <x:c r="Y49" s="153" t="n">
        <x:f>Y7</x:f>
        <x:v>0</x:v>
      </x:c>
      <x:c r="Z49" s="152" t="str">
        <x:f>IF(Z7="","",Z7)</x:f>
      </x:c>
      <x:c r="AA49" s="123" t="n">
        <x:f>AA7</x:f>
        <x:v>0</x:v>
      </x:c>
      <x:c r="AB49" s="153" t="n">
        <x:f>AB7</x:f>
        <x:v>0</x:v>
      </x:c>
      <x:c r="AC49" s="152" t="str">
        <x:f>IF(AC7="","",AC7)</x:f>
      </x:c>
      <x:c r="AD49" s="123" t="n">
        <x:f>AD7</x:f>
        <x:v>0</x:v>
      </x:c>
      <x:c r="AE49" s="153" t="n">
        <x:f>AE7</x:f>
        <x:v>0</x:v>
      </x:c>
      <x:c r="AF49" s="152" t="str">
        <x:f>IF(AF7="","",AF7)</x:f>
      </x:c>
      <x:c r="AG49" s="123" t="n">
        <x:f>AG7</x:f>
        <x:v>0</x:v>
      </x:c>
      <x:c r="AH49" s="153" t="n">
        <x:f>AH7</x:f>
        <x:v>0</x:v>
      </x:c>
      <x:c r="AI49" s="152" t="str">
        <x:f>IF(AI7="","",AI7)</x:f>
      </x:c>
      <x:c r="AJ49" s="123" t="n">
        <x:f>AJ7</x:f>
        <x:v>0</x:v>
      </x:c>
      <x:c r="AK49" s="153" t="n">
        <x:f>AK7</x:f>
        <x:v>0</x:v>
      </x:c>
    </x:row>
    <x:row r="50" ht="22" customHeight="1">
      <x:c r="A50" s="118" t="str">
        <x:v>Sales timing (months)</x:v>
      </x:c>
      <x:c r="B50" s="152" t="str">
        <x:f>IF(B12="","",B12)</x:f>
      </x:c>
      <x:c r="C50" s="123" t="n">
        <x:f>C12</x:f>
        <x:v>1</x:v>
      </x:c>
      <x:c r="D50" s="153" t="n">
        <x:f>D12</x:f>
        <x:v>1</x:v>
      </x:c>
      <x:c r="E50" s="152" t="str">
        <x:f>IF(E12="","",E12)</x:f>
      </x:c>
      <x:c r="F50" s="123" t="n">
        <x:f>F12</x:f>
        <x:v>1</x:v>
      </x:c>
      <x:c r="G50" s="153" t="n">
        <x:f>G12</x:f>
        <x:v>1</x:v>
      </x:c>
      <x:c r="H50" s="152" t="str">
        <x:f>IF(H12="","",H12)</x:f>
      </x:c>
      <x:c r="I50" s="123" t="n">
        <x:f>I12</x:f>
        <x:v>1</x:v>
      </x:c>
      <x:c r="J50" s="153" t="n">
        <x:f>J12</x:f>
        <x:v>1</x:v>
      </x:c>
      <x:c r="K50" s="152" t="str">
        <x:f>IF(K12="","",K12)</x:f>
      </x:c>
      <x:c r="L50" s="123" t="n">
        <x:f>L12</x:f>
        <x:v>1</x:v>
      </x:c>
      <x:c r="M50" s="153" t="n">
        <x:f>M12</x:f>
        <x:v>1</x:v>
      </x:c>
      <x:c r="N50" s="152" t="str">
        <x:f>IF(N12="","",N12)</x:f>
      </x:c>
      <x:c r="O50" s="123" t="n">
        <x:f>O12</x:f>
        <x:v>1</x:v>
      </x:c>
      <x:c r="P50" s="153" t="n">
        <x:f>P12</x:f>
        <x:v>1</x:v>
      </x:c>
      <x:c r="Q50" s="152" t="str">
        <x:f>IF(Q12="","",Q12)</x:f>
      </x:c>
      <x:c r="R50" s="123" t="n">
        <x:f>R12</x:f>
        <x:v>1</x:v>
      </x:c>
      <x:c r="S50" s="153" t="n">
        <x:f>S12</x:f>
        <x:v>1</x:v>
      </x:c>
      <x:c r="T50" s="152" t="str">
        <x:f>IF(T12="","",T12)</x:f>
      </x:c>
      <x:c r="U50" s="123" t="n">
        <x:f>U12</x:f>
        <x:v>1</x:v>
      </x:c>
      <x:c r="V50" s="153" t="n">
        <x:f>V12</x:f>
        <x:v>1</x:v>
      </x:c>
      <x:c r="W50" s="152" t="str">
        <x:f>IF(W12="","",W12)</x:f>
      </x:c>
      <x:c r="X50" s="123" t="n">
        <x:f>X12</x:f>
        <x:v>1</x:v>
      </x:c>
      <x:c r="Y50" s="153" t="n">
        <x:f>Y12</x:f>
        <x:v>1</x:v>
      </x:c>
      <x:c r="Z50" s="152" t="str">
        <x:f>IF(Z12="","",Z12)</x:f>
      </x:c>
      <x:c r="AA50" s="123" t="n">
        <x:f>AA12</x:f>
        <x:v>1</x:v>
      </x:c>
      <x:c r="AB50" s="153" t="n">
        <x:f>AB12</x:f>
        <x:v>1</x:v>
      </x:c>
      <x:c r="AC50" s="152" t="str">
        <x:f>IF(AC12="","",AC12)</x:f>
      </x:c>
      <x:c r="AD50" s="123" t="n">
        <x:f>AD12</x:f>
        <x:v>1</x:v>
      </x:c>
      <x:c r="AE50" s="153" t="n">
        <x:f>AE12</x:f>
        <x:v>1</x:v>
      </x:c>
      <x:c r="AF50" s="152" t="n">
        <x:f>IF(AF12="","",AF12)</x:f>
        <x:v>1</x:v>
      </x:c>
      <x:c r="AG50" s="123" t="n">
        <x:f>AG12</x:f>
        <x:v>1</x:v>
      </x:c>
      <x:c r="AH50" s="153" t="n">
        <x:f>AH12</x:f>
        <x:v>1</x:v>
      </x:c>
      <x:c r="AI50" s="152" t="n">
        <x:f>IF(AI12="","",AI12)</x:f>
        <x:v>1</x:v>
      </x:c>
      <x:c r="AJ50" s="123" t="n">
        <x:f>AJ12</x:f>
        <x:v>1</x:v>
      </x:c>
      <x:c r="AK50" s="153" t="n">
        <x:f>AK12</x:f>
        <x:v>1</x:v>
      </x:c>
    </x:row>
    <x:row r="51" ht="22" customHeight="1">
      <x:c r="A51" s="118" t="str">
        <x:v>Delivery timing (months)</x:v>
      </x:c>
      <x:c r="B51" s="152" t="str">
        <x:f>IF(B19="","",B19)</x:f>
      </x:c>
      <x:c r="C51" s="123" t="n">
        <x:f>C19</x:f>
        <x:v>1</x:v>
      </x:c>
      <x:c r="D51" s="153" t="n">
        <x:f>D19</x:f>
        <x:v>1</x:v>
      </x:c>
      <x:c r="E51" s="152" t="str">
        <x:f>IF(E19="","",E19)</x:f>
      </x:c>
      <x:c r="F51" s="123" t="n">
        <x:f>F19</x:f>
        <x:v>1</x:v>
      </x:c>
      <x:c r="G51" s="153" t="n">
        <x:f>G19</x:f>
        <x:v>1</x:v>
      </x:c>
      <x:c r="H51" s="152" t="str">
        <x:f>IF(H19="","",H19)</x:f>
      </x:c>
      <x:c r="I51" s="123" t="n">
        <x:f>I19</x:f>
        <x:v>1</x:v>
      </x:c>
      <x:c r="J51" s="153" t="n">
        <x:f>J19</x:f>
        <x:v>1</x:v>
      </x:c>
      <x:c r="K51" s="152" t="str">
        <x:f>IF(K19="","",K19)</x:f>
      </x:c>
      <x:c r="L51" s="123" t="n">
        <x:f>L19</x:f>
        <x:v>1</x:v>
      </x:c>
      <x:c r="M51" s="153" t="n">
        <x:f>M19</x:f>
        <x:v>1</x:v>
      </x:c>
      <x:c r="N51" s="152" t="str">
        <x:f>IF(N19="","",N19)</x:f>
      </x:c>
      <x:c r="O51" s="123" t="n">
        <x:f>O19</x:f>
        <x:v>1</x:v>
      </x:c>
      <x:c r="P51" s="153" t="n">
        <x:f>P19</x:f>
        <x:v>1</x:v>
      </x:c>
      <x:c r="Q51" s="152" t="str">
        <x:f>IF(Q19="","",Q19)</x:f>
      </x:c>
      <x:c r="R51" s="123" t="n">
        <x:f>R19</x:f>
        <x:v>1</x:v>
      </x:c>
      <x:c r="S51" s="153" t="n">
        <x:f>S19</x:f>
        <x:v>1</x:v>
      </x:c>
      <x:c r="T51" s="152" t="str">
        <x:f>IF(T19="","",T19)</x:f>
      </x:c>
      <x:c r="U51" s="123" t="n">
        <x:f>U19</x:f>
        <x:v>1</x:v>
      </x:c>
      <x:c r="V51" s="153" t="n">
        <x:f>V19</x:f>
        <x:v>1</x:v>
      </x:c>
      <x:c r="W51" s="152" t="str">
        <x:f>IF(W19="","",W19)</x:f>
      </x:c>
      <x:c r="X51" s="123" t="n">
        <x:f>X19</x:f>
        <x:v>1</x:v>
      </x:c>
      <x:c r="Y51" s="153" t="n">
        <x:f>Y19</x:f>
        <x:v>1</x:v>
      </x:c>
      <x:c r="Z51" s="152" t="str">
        <x:f>IF(Z19="","",Z19)</x:f>
      </x:c>
      <x:c r="AA51" s="123" t="n">
        <x:f>AA19</x:f>
        <x:v>1</x:v>
      </x:c>
      <x:c r="AB51" s="153" t="n">
        <x:f>AB19</x:f>
        <x:v>1</x:v>
      </x:c>
      <x:c r="AC51" s="152" t="str">
        <x:f>IF(AC19="","",AC19)</x:f>
      </x:c>
      <x:c r="AD51" s="123" t="n">
        <x:f>AD19</x:f>
        <x:v>1</x:v>
      </x:c>
      <x:c r="AE51" s="153" t="n">
        <x:f>AE19</x:f>
        <x:v>1</x:v>
      </x:c>
      <x:c r="AF51" s="152" t="n">
        <x:f>IF(AF19="","",AF19)</x:f>
        <x:v>1</x:v>
      </x:c>
      <x:c r="AG51" s="123" t="n">
        <x:f>AG19</x:f>
        <x:v>1</x:v>
      </x:c>
      <x:c r="AH51" s="153" t="n">
        <x:f>AH19</x:f>
        <x:v>1</x:v>
      </x:c>
      <x:c r="AI51" s="152" t="n">
        <x:f>IF(AI19="","",AI19)</x:f>
        <x:v>1</x:v>
      </x:c>
      <x:c r="AJ51" s="123" t="n">
        <x:f>AJ19</x:f>
        <x:v>1</x:v>
      </x:c>
      <x:c r="AK51" s="153" t="n">
        <x:f>AK19</x:f>
        <x:v>1</x:v>
      </x:c>
    </x:row>
    <x:row r="52" ht="22" customHeight="1">
      <x:c r="A52" s="118" t="str">
        <x:v>Collection timing (months)</x:v>
      </x:c>
      <x:c r="B52" s="152" t="str">
        <x:f>IF(B31="","",B31)</x:f>
      </x:c>
      <x:c r="C52" s="123" t="n">
        <x:f>C31</x:f>
        <x:v>1</x:v>
      </x:c>
      <x:c r="D52" s="153" t="n">
        <x:f>D31</x:f>
        <x:v>1</x:v>
      </x:c>
      <x:c r="E52" s="152" t="str">
        <x:f>IF(E31="","",E31)</x:f>
      </x:c>
      <x:c r="F52" s="123" t="n">
        <x:f>F31</x:f>
        <x:v>1</x:v>
      </x:c>
      <x:c r="G52" s="153" t="n">
        <x:f>G31</x:f>
        <x:v>1</x:v>
      </x:c>
      <x:c r="H52" s="152" t="str">
        <x:f>IF(H31="","",H31)</x:f>
      </x:c>
      <x:c r="I52" s="123" t="n">
        <x:f>I31</x:f>
        <x:v>1</x:v>
      </x:c>
      <x:c r="J52" s="153" t="n">
        <x:f>J31</x:f>
        <x:v>1</x:v>
      </x:c>
      <x:c r="K52" s="152" t="str">
        <x:f>IF(K31="","",K31)</x:f>
      </x:c>
      <x:c r="L52" s="123" t="n">
        <x:f>L31</x:f>
        <x:v>1</x:v>
      </x:c>
      <x:c r="M52" s="153" t="n">
        <x:f>M31</x:f>
        <x:v>1</x:v>
      </x:c>
      <x:c r="N52" s="152" t="str">
        <x:f>IF(N31="","",N31)</x:f>
      </x:c>
      <x:c r="O52" s="123" t="n">
        <x:f>O31</x:f>
        <x:v>1</x:v>
      </x:c>
      <x:c r="P52" s="153" t="n">
        <x:f>P31</x:f>
        <x:v>1</x:v>
      </x:c>
      <x:c r="Q52" s="152" t="str">
        <x:f>IF(Q31="","",Q31)</x:f>
      </x:c>
      <x:c r="R52" s="123" t="n">
        <x:f>R31</x:f>
        <x:v>1</x:v>
      </x:c>
      <x:c r="S52" s="153" t="n">
        <x:f>S31</x:f>
        <x:v>1</x:v>
      </x:c>
      <x:c r="T52" s="152" t="str">
        <x:f>IF(T31="","",T31)</x:f>
      </x:c>
      <x:c r="U52" s="123" t="n">
        <x:f>U31</x:f>
        <x:v>1</x:v>
      </x:c>
      <x:c r="V52" s="153" t="n">
        <x:f>V31</x:f>
        <x:v>1</x:v>
      </x:c>
      <x:c r="W52" s="152" t="str">
        <x:f>IF(W31="","",W31)</x:f>
      </x:c>
      <x:c r="X52" s="123" t="n">
        <x:f>X31</x:f>
        <x:v>1</x:v>
      </x:c>
      <x:c r="Y52" s="153" t="n">
        <x:f>Y31</x:f>
        <x:v>1</x:v>
      </x:c>
      <x:c r="Z52" s="152" t="str">
        <x:f>IF(Z31="","",Z31)</x:f>
      </x:c>
      <x:c r="AA52" s="123" t="n">
        <x:f>AA31</x:f>
        <x:v>1</x:v>
      </x:c>
      <x:c r="AB52" s="153" t="n">
        <x:f>AB31</x:f>
        <x:v>1</x:v>
      </x:c>
      <x:c r="AC52" s="152" t="str">
        <x:f>IF(AC31="","",AC31)</x:f>
      </x:c>
      <x:c r="AD52" s="123" t="n">
        <x:f>AD31</x:f>
        <x:v>1</x:v>
      </x:c>
      <x:c r="AE52" s="153" t="n">
        <x:f>AE31</x:f>
        <x:v>1</x:v>
      </x:c>
      <x:c r="AF52" s="152" t="n">
        <x:f>IF(AF31="","",AF31)</x:f>
        <x:v>1</x:v>
      </x:c>
      <x:c r="AG52" s="123" t="n">
        <x:f>AG31</x:f>
        <x:v>1</x:v>
      </x:c>
      <x:c r="AH52" s="153" t="n">
        <x:f>AH31</x:f>
        <x:v>1</x:v>
      </x:c>
      <x:c r="AI52" s="152" t="n">
        <x:f>IF(AI31="","",AI31)</x:f>
        <x:v>1</x:v>
      </x:c>
      <x:c r="AJ52" s="123" t="n">
        <x:f>AJ31</x:f>
        <x:v>1</x:v>
      </x:c>
      <x:c r="AK52" s="153" t="n">
        <x:f>AK31</x:f>
        <x:v>1</x:v>
      </x:c>
    </x:row>
    <x:row r="53" ht="22" customHeight="1">
      <x:c r="A53" s="154" t="str">
        <x:v>Total time from prospect enquiry to Cash</x:v>
      </x:c>
      <x:c r="B53" s="155" t="str">
        <x:f>IF(COUNT(B49:B52)=4,SUM(B49:B52),"")</x:f>
      </x:c>
      <x:c r="C53" s="156" t="n">
        <x:f>SUM(C49:C52)</x:f>
        <x:v>3</x:v>
      </x:c>
      <x:c r="D53" s="157" t="n">
        <x:f>SUM(D49:D52)</x:f>
        <x:v>3</x:v>
      </x:c>
      <x:c r="E53" s="155" t="str">
        <x:f>IF(COUNT(E49:E52)=4,SUM(E49:E52),"")</x:f>
      </x:c>
      <x:c r="F53" s="156" t="n">
        <x:f>SUM(F49:F52)</x:f>
        <x:v>3</x:v>
      </x:c>
      <x:c r="G53" s="157" t="n">
        <x:f>SUM(G49:G52)</x:f>
        <x:v>3</x:v>
      </x:c>
      <x:c r="H53" s="155" t="str">
        <x:f>IF(COUNT(H49:H52)=4,SUM(H49:H52),"")</x:f>
      </x:c>
      <x:c r="I53" s="156" t="n">
        <x:f>SUM(I49:I52)</x:f>
        <x:v>3</x:v>
      </x:c>
      <x:c r="J53" s="157" t="n">
        <x:f>SUM(J49:J52)</x:f>
        <x:v>3</x:v>
      </x:c>
      <x:c r="K53" s="155" t="str">
        <x:f>IF(COUNT(K49:K52)=4,SUM(K49:K52),"")</x:f>
      </x:c>
      <x:c r="L53" s="156" t="n">
        <x:f>SUM(L49:L52)</x:f>
        <x:v>3</x:v>
      </x:c>
      <x:c r="M53" s="157" t="n">
        <x:f>SUM(M49:M52)</x:f>
        <x:v>3</x:v>
      </x:c>
      <x:c r="N53" s="155" t="str">
        <x:f>IF(COUNT(N49:N52)=4,SUM(N49:N52),"")</x:f>
      </x:c>
      <x:c r="O53" s="156" t="n">
        <x:f>SUM(O49:O52)</x:f>
        <x:v>3</x:v>
      </x:c>
      <x:c r="P53" s="157" t="n">
        <x:f>SUM(P49:P52)</x:f>
        <x:v>3</x:v>
      </x:c>
      <x:c r="Q53" s="155" t="str">
        <x:f>IF(COUNT(Q49:Q52)=4,SUM(Q49:Q52),"")</x:f>
      </x:c>
      <x:c r="R53" s="156" t="n">
        <x:f>SUM(R49:R52)</x:f>
        <x:v>3</x:v>
      </x:c>
      <x:c r="S53" s="157" t="n">
        <x:f>SUM(S49:S52)</x:f>
        <x:v>3</x:v>
      </x:c>
      <x:c r="T53" s="155" t="str">
        <x:f>IF(COUNT(T49:T52)=4,SUM(T49:T52),"")</x:f>
      </x:c>
      <x:c r="U53" s="156" t="n">
        <x:f>SUM(U49:U52)</x:f>
        <x:v>3</x:v>
      </x:c>
      <x:c r="V53" s="157" t="n">
        <x:f>SUM(V49:V52)</x:f>
        <x:v>3</x:v>
      </x:c>
      <x:c r="W53" s="155" t="str">
        <x:f>IF(COUNT(W49:W52)=4,SUM(W49:W52),"")</x:f>
      </x:c>
      <x:c r="X53" s="156" t="n">
        <x:f>SUM(X49:X52)</x:f>
        <x:v>3</x:v>
      </x:c>
      <x:c r="Y53" s="157" t="n">
        <x:f>SUM(Y49:Y52)</x:f>
        <x:v>3</x:v>
      </x:c>
      <x:c r="Z53" s="155" t="str">
        <x:f>IF(COUNT(Z49:Z52)=4,SUM(Z49:Z52),"")</x:f>
      </x:c>
      <x:c r="AA53" s="156" t="n">
        <x:f>SUM(AA49:AA52)</x:f>
        <x:v>3</x:v>
      </x:c>
      <x:c r="AB53" s="157" t="n">
        <x:f>SUM(AB49:AB52)</x:f>
        <x:v>3</x:v>
      </x:c>
      <x:c r="AC53" s="155" t="str">
        <x:f>IF(COUNT(AC49:AC52)=4,SUM(AC49:AC52),"")</x:f>
      </x:c>
      <x:c r="AD53" s="156" t="n">
        <x:f>SUM(AD49:AD52)</x:f>
        <x:v>3</x:v>
      </x:c>
      <x:c r="AE53" s="157" t="n">
        <x:f>SUM(AE49:AE52)</x:f>
        <x:v>3</x:v>
      </x:c>
      <x:c r="AF53" s="155" t="str">
        <x:f>IF(COUNT(AF49:AF52)=4,SUM(AF49:AF52),"")</x:f>
      </x:c>
      <x:c r="AG53" s="156" t="n">
        <x:f>SUM(AG49:AG52)</x:f>
        <x:v>3</x:v>
      </x:c>
      <x:c r="AH53" s="157" t="n">
        <x:f>SUM(AH49:AH52)</x:f>
        <x:v>3</x:v>
      </x:c>
      <x:c r="AI53" s="155" t="str">
        <x:f>IF(COUNT(AI49:AI52)=4,SUM(AI49:AI52),"")</x:f>
      </x:c>
      <x:c r="AJ53" s="156" t="n">
        <x:f>SUM(AJ49:AJ52)</x:f>
        <x:v>3</x:v>
      </x:c>
      <x:c r="AK53" s="157" t="n">
        <x:f>SUM(AK49:AK52)</x:f>
        <x:v>3</x:v>
      </x:c>
    </x:row>
    <x:row r="54" ht="22" customHeight="1">
      <x:c r="A54" s="118"/>
      <x:c r="B54" s="158"/>
      <x:c r="C54" s="158"/>
      <x:c r="D54" s="158"/>
      <x:c r="E54" s="158"/>
      <x:c r="F54" s="158"/>
      <x:c r="G54" s="158"/>
      <x:c r="H54" s="158"/>
      <x:c r="I54" s="158"/>
      <x:c r="J54" s="158"/>
      <x:c r="K54" s="158"/>
      <x:c r="L54" s="158"/>
      <x:c r="M54" s="158"/>
      <x:c r="N54" s="158"/>
      <x:c r="O54" s="158"/>
      <x:c r="P54" s="158"/>
      <x:c r="Q54" s="158"/>
      <x:c r="R54" s="158"/>
      <x:c r="S54" s="158"/>
      <x:c r="T54" s="158"/>
      <x:c r="U54" s="158"/>
      <x:c r="V54" s="158"/>
      <x:c r="W54" s="158"/>
      <x:c r="X54" s="158"/>
      <x:c r="Y54" s="158"/>
      <x:c r="Z54" s="158"/>
      <x:c r="AA54" s="158"/>
      <x:c r="AB54" s="158"/>
      <x:c r="AC54" s="158"/>
      <x:c r="AD54" s="158"/>
      <x:c r="AE54" s="158"/>
      <x:c r="AF54" s="158"/>
      <x:c r="AG54" s="158"/>
      <x:c r="AH54" s="158"/>
      <x:c r="AI54" s="158"/>
      <x:c r="AJ54" s="158"/>
      <x:c r="AK54" s="158"/>
    </x:row>
    <x:row r="55" ht="22" customHeight="1">
      <x:c r="A55" s="38" t="str">
        <x:v>OPENING POSITION</x:v>
      </x:c>
      <x:c r="B55" s="27" t="str">
        <x:v>OPENING POSITION</x:v>
      </x:c>
      <x:c r="C55" s="27" t="str">
        <x:v>OPENING POSITION</x:v>
      </x:c>
      <x:c r="D55" s="27" t="str">
        <x:v>OPENING POSITION</x:v>
      </x:c>
      <x:c r="E55" s="27" t="str">
        <x:v>OPENING POSITION</x:v>
      </x:c>
      <x:c r="F55" s="27" t="str">
        <x:v>OPENING POSITION</x:v>
      </x:c>
      <x:c r="G55" s="27" t="str">
        <x:v>OPENING POSITION</x:v>
      </x:c>
      <x:c r="H55" s="27" t="str">
        <x:v>OPENING POSITION</x:v>
      </x:c>
      <x:c r="I55" s="27" t="str">
        <x:v>OPENING POSITION</x:v>
      </x:c>
      <x:c r="J55" s="27" t="str">
        <x:v>OPENING POSITION</x:v>
      </x:c>
      <x:c r="K55" s="27" t="str">
        <x:v>OPENING POSITION</x:v>
      </x:c>
      <x:c r="L55" s="27" t="str">
        <x:v>OPENING POSITION</x:v>
      </x:c>
      <x:c r="M55" s="27" t="str">
        <x:v>OPENING POSITION</x:v>
      </x:c>
      <x:c r="N55" s="27" t="str">
        <x:v>OPENING POSITION</x:v>
      </x:c>
      <x:c r="O55" s="27" t="str">
        <x:v>OPENING POSITION</x:v>
      </x:c>
      <x:c r="P55" s="27" t="str">
        <x:v>OPENING POSITION</x:v>
      </x:c>
      <x:c r="Q55" s="27" t="str">
        <x:v>OPENING POSITION</x:v>
      </x:c>
      <x:c r="R55" s="27" t="str">
        <x:v>OPENING POSITION</x:v>
      </x:c>
      <x:c r="S55" s="27" t="str">
        <x:v>OPENING POSITION</x:v>
      </x:c>
      <x:c r="T55" s="27" t="str">
        <x:v>OPENING POSITION</x:v>
      </x:c>
      <x:c r="U55" s="27" t="str">
        <x:v>OPENING POSITION</x:v>
      </x:c>
      <x:c r="V55" s="27" t="str">
        <x:v>OPENING POSITION</x:v>
      </x:c>
      <x:c r="W55" s="27" t="str">
        <x:v>OPENING POSITION</x:v>
      </x:c>
      <x:c r="X55" s="27" t="str">
        <x:v>OPENING POSITION</x:v>
      </x:c>
      <x:c r="Y55" s="27" t="str">
        <x:v>OPENING POSITION</x:v>
      </x:c>
      <x:c r="Z55" s="27" t="str">
        <x:v>OPENING POSITION</x:v>
      </x:c>
      <x:c r="AA55" s="27" t="str">
        <x:v>OPENING POSITION</x:v>
      </x:c>
      <x:c r="AB55" s="27" t="str">
        <x:v>OPENING POSITION</x:v>
      </x:c>
      <x:c r="AC55" s="27" t="str">
        <x:v>OPENING POSITION</x:v>
      </x:c>
      <x:c r="AD55" s="27" t="str">
        <x:v>OPENING POSITION</x:v>
      </x:c>
      <x:c r="AE55" s="27" t="str">
        <x:v>OPENING POSITION</x:v>
      </x:c>
      <x:c r="AF55" s="27" t="str">
        <x:v>OPENING POSITION</x:v>
      </x:c>
      <x:c r="AG55" s="27" t="str">
        <x:v>OPENING POSITION</x:v>
      </x:c>
      <x:c r="AH55" s="27" t="str">
        <x:v>OPENING POSITION</x:v>
      </x:c>
      <x:c r="AI55" s="27" t="str">
        <x:v>OPENING POSITION</x:v>
      </x:c>
      <x:c r="AJ55" s="27" t="str">
        <x:v>OPENING POSITION</x:v>
      </x:c>
      <x:c r="AK55" s="27" t="str">
        <x:v>OPENING POSITION</x:v>
      </x:c>
    </x:row>
    <x:row r="56" ht="22" customHeight="1">
      <x:c r="A56" s="135" t="str">
        <x:v>First month of the model</x:v>
      </x:c>
      <x:c r="B56" s="159" t="n">
        <x:v>46388</x:v>
      </x:c>
      <x:c r="C56" s="158"/>
      <x:c r="D56" s="158"/>
      <x:c r="E56" s="158"/>
      <x:c r="F56" s="158"/>
      <x:c r="G56" s="158"/>
      <x:c r="H56" s="158"/>
      <x:c r="I56" s="158"/>
      <x:c r="J56" s="158"/>
      <x:c r="K56" s="158"/>
      <x:c r="L56" s="158"/>
      <x:c r="M56" s="158"/>
      <x:c r="N56" s="158"/>
      <x:c r="O56" s="158"/>
      <x:c r="P56" s="158"/>
      <x:c r="Q56" s="158"/>
      <x:c r="R56" s="158"/>
      <x:c r="S56" s="158"/>
      <x:c r="T56" s="158"/>
      <x:c r="U56" s="158"/>
      <x:c r="V56" s="158"/>
      <x:c r="W56" s="158"/>
      <x:c r="X56" s="158"/>
      <x:c r="Y56" s="158"/>
      <x:c r="Z56" s="158"/>
      <x:c r="AA56" s="158"/>
      <x:c r="AB56" s="158"/>
      <x:c r="AC56" s="158"/>
      <x:c r="AD56" s="158"/>
      <x:c r="AE56" s="158"/>
      <x:c r="AF56" s="158"/>
      <x:c r="AG56" s="158"/>
      <x:c r="AH56" s="158"/>
      <x:c r="AI56" s="158"/>
      <x:c r="AJ56" s="158"/>
      <x:c r="AK56" s="158"/>
    </x:row>
    <x:row r="57" ht="22" customHeight="1">
      <x:c r="A57" s="135" t="str">
        <x:v>Cash at start</x:v>
      </x:c>
      <x:c r="B57" s="160" t="n">
        <x:v>250000</x:v>
      </x:c>
      <x:c r="C57" s="158"/>
      <x:c r="D57" s="158"/>
      <x:c r="E57" s="158"/>
      <x:c r="F57" s="158"/>
      <x:c r="G57" s="158"/>
      <x:c r="H57" s="158"/>
      <x:c r="I57" s="158"/>
      <x:c r="J57" s="158"/>
      <x:c r="K57" s="158"/>
      <x:c r="L57" s="158"/>
      <x:c r="M57" s="158"/>
      <x:c r="N57" s="158"/>
      <x:c r="O57" s="158"/>
      <x:c r="P57" s="158"/>
      <x:c r="Q57" s="158"/>
      <x:c r="R57" s="158"/>
      <x:c r="S57" s="158"/>
      <x:c r="T57" s="158"/>
      <x:c r="U57" s="158"/>
      <x:c r="V57" s="158"/>
      <x:c r="W57" s="158"/>
      <x:c r="X57" s="158"/>
      <x:c r="Y57" s="158"/>
      <x:c r="Z57" s="158"/>
      <x:c r="AA57" s="158"/>
      <x:c r="AB57" s="158"/>
      <x:c r="AC57" s="158"/>
      <x:c r="AD57" s="158"/>
      <x:c r="AE57" s="158"/>
      <x:c r="AF57" s="158"/>
      <x:c r="AG57" s="158"/>
      <x:c r="AH57" s="158"/>
      <x:c r="AI57" s="158"/>
      <x:c r="AJ57" s="158"/>
      <x:c r="AK57" s="158"/>
    </x:row>
    <x:row r="58" ht="22" customHeight="1">
      <x:c r="A58" s="135" t="str">
        <x:v>Prospect enquiries before the model</x:v>
      </x:c>
      <x:c r="B58" s="161" t="n">
        <x:v>100</x:v>
      </x:c>
      <x:c r="C58" s="158"/>
      <x:c r="D58" s="158"/>
      <x:c r="E58" s="158"/>
      <x:c r="F58" s="158"/>
      <x:c r="G58" s="158"/>
      <x:c r="H58" s="158"/>
      <x:c r="I58" s="158"/>
      <x:c r="J58" s="158"/>
      <x:c r="K58" s="158"/>
      <x:c r="L58" s="158"/>
      <x:c r="M58" s="158"/>
      <x:c r="N58" s="158"/>
      <x:c r="O58" s="158"/>
      <x:c r="P58" s="158"/>
      <x:c r="Q58" s="158"/>
      <x:c r="R58" s="158"/>
      <x:c r="S58" s="158"/>
      <x:c r="T58" s="158"/>
      <x:c r="U58" s="158"/>
      <x:c r="V58" s="158"/>
      <x:c r="W58" s="158"/>
      <x:c r="X58" s="158"/>
      <x:c r="Y58" s="158"/>
      <x:c r="Z58" s="158"/>
      <x:c r="AA58" s="158"/>
      <x:c r="AB58" s="158"/>
      <x:c r="AC58" s="158"/>
      <x:c r="AD58" s="158"/>
      <x:c r="AE58" s="158"/>
      <x:c r="AF58" s="158"/>
      <x:c r="AG58" s="158"/>
      <x:c r="AH58" s="158"/>
      <x:c r="AI58" s="158"/>
      <x:c r="AJ58" s="158"/>
      <x:c r="AK58" s="158"/>
    </x:row>
    <x:row r="59" ht="22" customHeight="1">
      <x:c r="A59" s="135" t="str">
        <x:v>Qualified leads before the model</x:v>
      </x:c>
      <x:c r="B59" s="161" t="n">
        <x:v>40</x:v>
      </x:c>
      <x:c r="C59" s="158"/>
      <x:c r="D59" s="158"/>
      <x:c r="E59" s="158"/>
      <x:c r="F59" s="158"/>
      <x:c r="G59" s="158"/>
      <x:c r="H59" s="158"/>
      <x:c r="I59" s="158"/>
      <x:c r="J59" s="158"/>
      <x:c r="K59" s="158"/>
      <x:c r="L59" s="158"/>
      <x:c r="M59" s="158"/>
      <x:c r="N59" s="158"/>
      <x:c r="O59" s="158"/>
      <x:c r="P59" s="158"/>
      <x:c r="Q59" s="158"/>
      <x:c r="R59" s="158"/>
      <x:c r="S59" s="158"/>
      <x:c r="T59" s="158"/>
      <x:c r="U59" s="158"/>
      <x:c r="V59" s="158"/>
      <x:c r="W59" s="158"/>
      <x:c r="X59" s="158"/>
      <x:c r="Y59" s="158"/>
      <x:c r="Z59" s="158"/>
      <x:c r="AA59" s="158"/>
      <x:c r="AB59" s="158"/>
      <x:c r="AC59" s="158"/>
      <x:c r="AD59" s="158"/>
      <x:c r="AE59" s="158"/>
      <x:c r="AF59" s="158"/>
      <x:c r="AG59" s="158"/>
      <x:c r="AH59" s="158"/>
      <x:c r="AI59" s="158"/>
      <x:c r="AJ59" s="158"/>
      <x:c r="AK59" s="158"/>
    </x:row>
    <x:row r="60" ht="22" customHeight="1">
      <x:c r="A60" s="135" t="str">
        <x:v>Signed contracts ready before the model</x:v>
      </x:c>
      <x:c r="B60" s="161" t="n">
        <x:v>10</x:v>
      </x:c>
      <x:c r="C60" s="158"/>
      <x:c r="D60" s="158"/>
      <x:c r="E60" s="158"/>
      <x:c r="F60" s="158"/>
      <x:c r="G60" s="158"/>
      <x:c r="H60" s="158"/>
      <x:c r="I60" s="158"/>
      <x:c r="J60" s="158"/>
      <x:c r="K60" s="158"/>
      <x:c r="L60" s="158"/>
      <x:c r="M60" s="158"/>
      <x:c r="N60" s="158"/>
      <x:c r="O60" s="158"/>
      <x:c r="P60" s="158"/>
      <x:c r="Q60" s="158"/>
      <x:c r="R60" s="158"/>
      <x:c r="S60" s="158"/>
      <x:c r="T60" s="158"/>
      <x:c r="U60" s="158"/>
      <x:c r="V60" s="158"/>
      <x:c r="W60" s="158"/>
      <x:c r="X60" s="158"/>
      <x:c r="Y60" s="158"/>
      <x:c r="Z60" s="158"/>
      <x:c r="AA60" s="158"/>
      <x:c r="AB60" s="158"/>
      <x:c r="AC60" s="158"/>
      <x:c r="AD60" s="158"/>
      <x:c r="AE60" s="158"/>
      <x:c r="AF60" s="158"/>
      <x:c r="AG60" s="158"/>
      <x:c r="AH60" s="158"/>
      <x:c r="AI60" s="158"/>
      <x:c r="AJ60" s="158"/>
      <x:c r="AK60" s="158"/>
    </x:row>
    <x:row r="61" ht="22" customHeight="1">
      <x:c r="A61" s="135" t="str">
        <x:v>Completed work ready before the model</x:v>
      </x:c>
      <x:c r="B61" s="161" t="n">
        <x:v>10</x:v>
      </x:c>
      <x:c r="C61" s="158"/>
      <x:c r="D61" s="158"/>
      <x:c r="E61" s="158"/>
      <x:c r="F61" s="158"/>
      <x:c r="G61" s="158"/>
      <x:c r="H61" s="158"/>
      <x:c r="I61" s="158"/>
      <x:c r="J61" s="158"/>
      <x:c r="K61" s="158"/>
      <x:c r="L61" s="158"/>
      <x:c r="M61" s="158"/>
      <x:c r="N61" s="158"/>
      <x:c r="O61" s="158"/>
      <x:c r="P61" s="158"/>
      <x:c r="Q61" s="158"/>
      <x:c r="R61" s="158"/>
      <x:c r="S61" s="158"/>
      <x:c r="T61" s="158"/>
      <x:c r="U61" s="158"/>
      <x:c r="V61" s="158"/>
      <x:c r="W61" s="158"/>
      <x:c r="X61" s="158"/>
      <x:c r="Y61" s="158"/>
      <x:c r="Z61" s="158"/>
      <x:c r="AA61" s="158"/>
      <x:c r="AB61" s="158"/>
      <x:c r="AC61" s="158"/>
      <x:c r="AD61" s="158"/>
      <x:c r="AE61" s="158"/>
      <x:c r="AF61" s="158"/>
      <x:c r="AG61" s="158"/>
      <x:c r="AH61" s="158"/>
      <x:c r="AI61" s="158"/>
      <x:c r="AJ61" s="158"/>
      <x:c r="AK61" s="158"/>
    </x:row>
    <x:row r="62" ht="22" customHeight="1">
      <x:c r="A62" s="135" t="str">
        <x:v>Opening delivery backlog</x:v>
      </x:c>
      <x:c r="B62" s="162" t="n">
        <x:v>5</x:v>
      </x:c>
      <x:c r="C62" s="158"/>
      <x:c r="D62" s="158"/>
      <x:c r="E62" s="158"/>
      <x:c r="F62" s="158"/>
      <x:c r="G62" s="158"/>
      <x:c r="H62" s="158"/>
      <x:c r="I62" s="158"/>
      <x:c r="J62" s="158"/>
      <x:c r="K62" s="158"/>
      <x:c r="L62" s="158"/>
      <x:c r="M62" s="158"/>
      <x:c r="N62" s="158"/>
      <x:c r="O62" s="158"/>
      <x:c r="P62" s="158"/>
      <x:c r="Q62" s="158"/>
      <x:c r="R62" s="158"/>
      <x:c r="S62" s="158"/>
      <x:c r="T62" s="158"/>
      <x:c r="U62" s="158"/>
      <x:c r="V62" s="158"/>
      <x:c r="W62" s="158"/>
      <x:c r="X62" s="158"/>
      <x:c r="Y62" s="158"/>
      <x:c r="Z62" s="158"/>
      <x:c r="AA62" s="158"/>
      <x:c r="AB62" s="158"/>
      <x:c r="AC62" s="158"/>
      <x:c r="AD62" s="158"/>
      <x:c r="AE62" s="158"/>
      <x:c r="AF62" s="158"/>
      <x:c r="AG62" s="158"/>
      <x:c r="AH62" s="158"/>
      <x:c r="AI62" s="158"/>
      <x:c r="AJ62" s="158"/>
      <x:c r="AK62" s="158"/>
    </x:row>
    <x:row r="63" ht="22" customHeight="1">
      <x:c r="A63" s="118"/>
      <x:c r="B63" s="158"/>
      <x:c r="C63" s="158"/>
      <x:c r="D63" s="158"/>
      <x:c r="E63" s="158"/>
      <x:c r="F63" s="158"/>
      <x:c r="G63" s="158"/>
      <x:c r="H63" s="158"/>
      <x:c r="I63" s="158"/>
      <x:c r="J63" s="158"/>
      <x:c r="K63" s="158"/>
      <x:c r="L63" s="158"/>
      <x:c r="M63" s="158"/>
      <x:c r="N63" s="158"/>
      <x:c r="O63" s="158"/>
      <x:c r="P63" s="158"/>
      <x:c r="Q63" s="158"/>
      <x:c r="R63" s="158"/>
      <x:c r="S63" s="158"/>
      <x:c r="T63" s="158"/>
      <x:c r="U63" s="158"/>
      <x:c r="V63" s="158"/>
      <x:c r="W63" s="158"/>
      <x:c r="X63" s="158"/>
      <x:c r="Y63" s="158"/>
      <x:c r="Z63" s="158"/>
      <x:c r="AA63" s="158"/>
      <x:c r="AB63" s="158"/>
      <x:c r="AC63" s="158"/>
      <x:c r="AD63" s="158"/>
      <x:c r="AE63" s="158"/>
      <x:c r="AF63" s="158"/>
      <x:c r="AG63" s="158"/>
      <x:c r="AH63" s="158"/>
      <x:c r="AI63" s="158"/>
      <x:c r="AJ63" s="158"/>
      <x:c r="AK63" s="158"/>
    </x:row>
    <x:row r="64" ht="22" customHeight="1">
      <x:c r="A64" s="38" t="str">
        <x:v>MODEL CHECKS</x:v>
      </x:c>
      <x:c r="B64" s="27" t="str">
        <x:v>MODEL CHECKS</x:v>
      </x:c>
      <x:c r="C64" s="27" t="str">
        <x:v>MODEL CHECKS</x:v>
      </x:c>
      <x:c r="D64" s="27" t="str">
        <x:v>MODEL CHECKS</x:v>
      </x:c>
      <x:c r="E64" s="27" t="str">
        <x:v>MODEL CHECKS</x:v>
      </x:c>
      <x:c r="F64" s="27" t="str">
        <x:v>MODEL CHECKS</x:v>
      </x:c>
      <x:c r="G64" s="27" t="str">
        <x:v>MODEL CHECKS</x:v>
      </x:c>
      <x:c r="H64" s="27" t="str">
        <x:v>MODEL CHECKS</x:v>
      </x:c>
      <x:c r="I64" s="27" t="str">
        <x:v>MODEL CHECKS</x:v>
      </x:c>
      <x:c r="J64" s="27" t="str">
        <x:v>MODEL CHECKS</x:v>
      </x:c>
      <x:c r="K64" s="27" t="str">
        <x:v>MODEL CHECKS</x:v>
      </x:c>
      <x:c r="L64" s="27" t="str">
        <x:v>MODEL CHECKS</x:v>
      </x:c>
      <x:c r="M64" s="27" t="str">
        <x:v>MODEL CHECKS</x:v>
      </x:c>
      <x:c r="N64" s="27" t="str">
        <x:v>MODEL CHECKS</x:v>
      </x:c>
      <x:c r="O64" s="27" t="str">
        <x:v>MODEL CHECKS</x:v>
      </x:c>
      <x:c r="P64" s="27" t="str">
        <x:v>MODEL CHECKS</x:v>
      </x:c>
      <x:c r="Q64" s="27" t="str">
        <x:v>MODEL CHECKS</x:v>
      </x:c>
      <x:c r="R64" s="27" t="str">
        <x:v>MODEL CHECKS</x:v>
      </x:c>
      <x:c r="S64" s="27" t="str">
        <x:v>MODEL CHECKS</x:v>
      </x:c>
      <x:c r="T64" s="27" t="str">
        <x:v>MODEL CHECKS</x:v>
      </x:c>
      <x:c r="U64" s="27" t="str">
        <x:v>MODEL CHECKS</x:v>
      </x:c>
      <x:c r="V64" s="27" t="str">
        <x:v>MODEL CHECKS</x:v>
      </x:c>
      <x:c r="W64" s="27" t="str">
        <x:v>MODEL CHECKS</x:v>
      </x:c>
      <x:c r="X64" s="27" t="str">
        <x:v>MODEL CHECKS</x:v>
      </x:c>
      <x:c r="Y64" s="27" t="str">
        <x:v>MODEL CHECKS</x:v>
      </x:c>
      <x:c r="Z64" s="27" t="str">
        <x:v>MODEL CHECKS</x:v>
      </x:c>
      <x:c r="AA64" s="27" t="str">
        <x:v>MODEL CHECKS</x:v>
      </x:c>
      <x:c r="AB64" s="27" t="str">
        <x:v>MODEL CHECKS</x:v>
      </x:c>
      <x:c r="AC64" s="27" t="str">
        <x:v>MODEL CHECKS</x:v>
      </x:c>
      <x:c r="AD64" s="27" t="str">
        <x:v>MODEL CHECKS</x:v>
      </x:c>
      <x:c r="AE64" s="27" t="str">
        <x:v>MODEL CHECKS</x:v>
      </x:c>
      <x:c r="AF64" s="27" t="str">
        <x:v>MODEL CHECKS</x:v>
      </x:c>
      <x:c r="AG64" s="27" t="str">
        <x:v>MODEL CHECKS</x:v>
      </x:c>
      <x:c r="AH64" s="27" t="str">
        <x:v>MODEL CHECKS</x:v>
      </x:c>
      <x:c r="AI64" s="27" t="str">
        <x:v>MODEL CHECKS</x:v>
      </x:c>
      <x:c r="AJ64" s="27" t="str">
        <x:v>MODEL CHECKS</x:v>
      </x:c>
      <x:c r="AK64" s="27" t="str">
        <x:v>MODEL CHECKS</x:v>
      </x:c>
    </x:row>
    <x:row r="65" ht="22" customHeight="1">
      <x:c r="A65" s="135" t="str">
        <x:v>Closed months: Rolling cash equals Actual cash</x:v>
      </x:c>
      <x:c r="B65" s="163" t="str">
        <x:f>IF(AND(IF(AI43="",TRUE,ABS(AJ43-AI43)&lt;0.01),IF(AF43="",TRUE,ABS(AG43-AF43)&lt;0.01),IF(AC43="",TRUE,ABS(AD43-AC43)&lt;0.01),IF(Z43="",TRUE,ABS(AA43-Z43)&lt;0.01),IF(W43="",TRUE,ABS(X43-W43)&lt;0.01),IF(T43="",TRUE,ABS(U43-T43)&lt;0.01),IF(Q43="",TRUE,ABS(R43-Q43)&lt;0.01),IF(N43="",TRUE,ABS(O43-N43)&lt;0.01),IF(K43="",TRUE,ABS(L43-K43)&lt;0.01),IF(H43="",TRUE,ABS(I43-H43)&lt;0.01),IF(E43="",TRUE,ABS(F43-E43)&lt;0.01),IF(B43="",TRUE,ABS(C43-B43)&lt;0.01)),"OK","CHECK")</x:f>
        <x:v>OK</x:v>
      </x:c>
      <x:c r="C65" s="158"/>
      <x:c r="D65" s="158"/>
      <x:c r="E65" s="158"/>
      <x:c r="F65" s="158"/>
      <x:c r="G65" s="158"/>
      <x:c r="H65" s="158"/>
      <x:c r="I65" s="158"/>
      <x:c r="J65" s="158"/>
      <x:c r="K65" s="158"/>
      <x:c r="L65" s="158"/>
      <x:c r="M65" s="158"/>
      <x:c r="N65" s="158"/>
      <x:c r="O65" s="158"/>
      <x:c r="P65" s="158"/>
      <x:c r="Q65" s="158"/>
      <x:c r="R65" s="158"/>
      <x:c r="S65" s="158"/>
      <x:c r="T65" s="158"/>
      <x:c r="U65" s="158"/>
      <x:c r="V65" s="158"/>
      <x:c r="W65" s="158"/>
      <x:c r="X65" s="158"/>
      <x:c r="Y65" s="158"/>
      <x:c r="Z65" s="158"/>
      <x:c r="AA65" s="158"/>
      <x:c r="AB65" s="158"/>
      <x:c r="AC65" s="158"/>
      <x:c r="AD65" s="158"/>
      <x:c r="AE65" s="158"/>
      <x:c r="AF65" s="158"/>
      <x:c r="AG65" s="158"/>
      <x:c r="AH65" s="158"/>
      <x:c r="AI65" s="158"/>
      <x:c r="AJ65" s="158"/>
      <x:c r="AK65" s="158"/>
    </x:row>
    <x:row r="66" ht="22" customHeight="1">
      <x:c r="A66" s="135" t="str">
        <x:v>Rolling cash carries from the previous month</x:v>
      </x:c>
      <x:c r="B66" s="163" t="str">
        <x:f>IF(AND(ABS(AG42-IF(AI43&lt;&gt;"",AI43,AJ43))&lt;0.01,ABS(AD42-IF(AF43&lt;&gt;"",AF43,AG43))&lt;0.01,ABS(AA42-IF(AC43&lt;&gt;"",AC43,AD43))&lt;0.01,ABS(X42-IF(Z43&lt;&gt;"",Z43,AA43))&lt;0.01,ABS(U42-IF(W43&lt;&gt;"",W43,X43))&lt;0.01,ABS(R42-IF(T43&lt;&gt;"",T43,U43))&lt;0.01,ABS(O42-IF(Q43&lt;&gt;"",Q43,R43))&lt;0.01,ABS(L42-IF(N43&lt;&gt;"",N43,O43))&lt;0.01,ABS(I42-IF(K43&lt;&gt;"",K43,L43))&lt;0.01,ABS(F42-IF(H43&lt;&gt;"",H43,I43))&lt;0.01,ABS(C42-IF(E43&lt;&gt;"",E43,F43))&lt;0.01),"OK","CHECK")</x:f>
        <x:v>OK</x:v>
      </x:c>
      <x:c r="C66" s="158"/>
      <x:c r="D66" s="158"/>
      <x:c r="E66" s="158"/>
      <x:c r="F66" s="158"/>
      <x:c r="G66" s="158"/>
      <x:c r="H66" s="158"/>
      <x:c r="I66" s="158"/>
      <x:c r="J66" s="158"/>
      <x:c r="K66" s="158"/>
      <x:c r="L66" s="158"/>
      <x:c r="M66" s="158"/>
      <x:c r="N66" s="158"/>
      <x:c r="O66" s="158"/>
      <x:c r="P66" s="158"/>
      <x:c r="Q66" s="158"/>
      <x:c r="R66" s="158"/>
      <x:c r="S66" s="158"/>
      <x:c r="T66" s="158"/>
      <x:c r="U66" s="158"/>
      <x:c r="V66" s="158"/>
      <x:c r="W66" s="158"/>
      <x:c r="X66" s="158"/>
      <x:c r="Y66" s="158"/>
      <x:c r="Z66" s="158"/>
      <x:c r="AA66" s="158"/>
      <x:c r="AB66" s="158"/>
      <x:c r="AC66" s="158"/>
      <x:c r="AD66" s="158"/>
      <x:c r="AE66" s="158"/>
      <x:c r="AF66" s="158"/>
      <x:c r="AG66" s="158"/>
      <x:c r="AH66" s="158"/>
      <x:c r="AI66" s="158"/>
      <x:c r="AJ66" s="158"/>
      <x:c r="AK66" s="158"/>
    </x:row>
    <x:row r="67" ht="22" customHeight="1">
      <x:c r="A67" s="135" t="str">
        <x:v>Rolling delivery backlog carries forward</x:v>
      </x:c>
      <x:c r="B67" s="163" t="str">
        <x:f>IF(AND(ABS(AG25-IF(AI28&lt;&gt;"",AI28,AJ28))&lt;0.01,ABS(AD25-IF(AF28&lt;&gt;"",AF28,AG28))&lt;0.01,ABS(AA25-IF(AC28&lt;&gt;"",AC28,AD28))&lt;0.01,ABS(X25-IF(Z28&lt;&gt;"",Z28,AA28))&lt;0.01,ABS(U25-IF(W28&lt;&gt;"",W28,X28))&lt;0.01,ABS(R25-IF(T28&lt;&gt;"",T28,U28))&lt;0.01,ABS(O25-IF(Q28&lt;&gt;"",Q28,R28))&lt;0.01,ABS(L25-IF(N28&lt;&gt;"",N28,O28))&lt;0.01,ABS(I25-IF(K28&lt;&gt;"",K28,L28))&lt;0.01,ABS(F25-IF(H28&lt;&gt;"",H28,I28))&lt;0.01,ABS(C25-IF(E28&lt;&gt;"",E28,F28))&lt;0.01),"OK","CHECK")</x:f>
        <x:v>OK</x:v>
      </x:c>
      <x:c r="C67" s="158"/>
      <x:c r="D67" s="158"/>
      <x:c r="E67" s="158"/>
      <x:c r="F67" s="158"/>
      <x:c r="G67" s="158"/>
      <x:c r="H67" s="158"/>
      <x:c r="I67" s="158"/>
      <x:c r="J67" s="158"/>
      <x:c r="K67" s="158"/>
      <x:c r="L67" s="158"/>
      <x:c r="M67" s="158"/>
      <x:c r="N67" s="158"/>
      <x:c r="O67" s="158"/>
      <x:c r="P67" s="158"/>
      <x:c r="Q67" s="158"/>
      <x:c r="R67" s="158"/>
      <x:c r="S67" s="158"/>
      <x:c r="T67" s="158"/>
      <x:c r="U67" s="158"/>
      <x:c r="V67" s="158"/>
      <x:c r="W67" s="158"/>
      <x:c r="X67" s="158"/>
      <x:c r="Y67" s="158"/>
      <x:c r="Z67" s="158"/>
      <x:c r="AA67" s="158"/>
      <x:c r="AB67" s="158"/>
      <x:c r="AC67" s="158"/>
      <x:c r="AD67" s="158"/>
      <x:c r="AE67" s="158"/>
      <x:c r="AF67" s="158"/>
      <x:c r="AG67" s="158"/>
      <x:c r="AH67" s="158"/>
      <x:c r="AI67" s="158"/>
      <x:c r="AJ67" s="158"/>
      <x:c r="AK67" s="158"/>
    </x:row>
    <x:row r="68" ht="22" customHeight="1">
      <x:c r="A68" s="135" t="str">
        <x:v>Marketing timing moves enquiries into leads</x:v>
      </x:c>
      <x:c r="B68" s="163" t="str">
        <x:f>IF(AND(ABS(AJ9-IF(AI9&lt;&gt;"",AI9,ROUND(IF(AJ$7&gt;=1,$B$58,IF(INDEX($B$6:$AK$6,1,MIN(36,MAX(1,34+3*AJ$7+0)))&lt;&gt;"",INDEX($B$6:$AK$6,1,MIN(36,MAX(1,34+3*AJ$7+0))),INDEX($B$6:$AK$6,1,MIN(36,MAX(1,34+3*AJ$7+1)))))*AJ8,0)))&lt;0.01,ABS(AG9-IF(AF9&lt;&gt;"",AF9,ROUND(IF(AG$7&gt;=2,$B$58,IF(INDEX($B$6:$AK$6,1,MIN(36,MAX(1,31+3*AG$7+0)))&lt;&gt;"",INDEX($B$6:$AK$6,1,MIN(36,MAX(1,31+3*AG$7+0))),INDEX($B$6:$AK$6,1,MIN(36,MAX(1,31+3*AG$7+1)))))*AG8,0)))&lt;0.01,ABS(AD9-IF(AC9&lt;&gt;"",AC9,ROUND(IF(AD$7&gt;=3,$B$58,IF(INDEX($B$6:$AK$6,1,MIN(36,MAX(1,28+3*AD$7+0)))&lt;&gt;"",INDEX($B$6:$AK$6,1,MIN(36,MAX(1,28+3*AD$7+0))),INDEX($B$6:$AK$6,1,MIN(36,MAX(1,28+3*AD$7+1)))))*AD8,0)))&lt;0.01,ABS(AA9-IF(Z9&lt;&gt;"",Z9,ROUND(IF(AA$7&gt;=4,$B$58,IF(INDEX($B$6:$AK$6,1,MIN(36,MAX(1,25+3*AA$7+0)))&lt;&gt;"",INDEX($B$6:$AK$6,1,MIN(36,MAX(1,25+3*AA$7+0))),INDEX($B$6:$AK$6,1,MIN(36,MAX(1,25+3*AA$7+1)))))*AA8,0)))&lt;0.01,ABS(X9-IF(W9&lt;&gt;"",W9,ROUND(IF(X$7&gt;=5,$B$58,IF(INDEX($B$6:$AK$6,1,MIN(36,MAX(1,22+3*X$7+0)))&lt;&gt;"",INDEX($B$6:$AK$6,1,MIN(36,MAX(1,22+3*X$7+0))),INDEX($B$6:$AK$6,1,MIN(36,MAX(1,22+3*X$7+1)))))*X8,0)))&lt;0.01,ABS(U9-IF(T9&lt;&gt;"",T9,ROUND(IF(U$7&gt;=6,$B$58,IF(INDEX($B$6:$AK$6,1,MIN(36,MAX(1,19+3*U$7+0)))&lt;&gt;"",INDEX($B$6:$AK$6,1,MIN(36,MAX(1,19+3*U$7+0))),INDEX($B$6:$AK$6,1,MIN(36,MAX(1,19+3*U$7+1)))))*U8,0)))&lt;0.01,ABS(R9-IF(Q9&lt;&gt;"",Q9,ROUND(IF(R$7&gt;=7,$B$58,IF(INDEX($B$6:$AK$6,1,MIN(36,MAX(1,16+3*R$7+0)))&lt;&gt;"",INDEX($B$6:$AK$6,1,MIN(36,MAX(1,16+3*R$7+0))),INDEX($B$6:$AK$6,1,MIN(36,MAX(1,16+3*R$7+1)))))*R8,0)))&lt;0.01,ABS(O9-IF(N9&lt;&gt;"",N9,ROUND(IF(O$7&gt;=8,$B$58,IF(INDEX($B$6:$AK$6,1,MIN(36,MAX(1,13+3*O$7+0)))&lt;&gt;"",INDEX($B$6:$AK$6,1,MIN(36,MAX(1,13+3*O$7+0))),INDEX($B$6:$AK$6,1,MIN(36,MAX(1,13+3*O$7+1)))))*O8,0)))&lt;0.01,ABS(L9-IF(K9&lt;&gt;"",K9,ROUND(IF(L$7&gt;=9,$B$58,IF(INDEX($B$6:$AK$6,1,MIN(36,MAX(1,10+3*L$7+0)))&lt;&gt;"",INDEX($B$6:$AK$6,1,MIN(36,MAX(1,10+3*L$7+0))),INDEX($B$6:$AK$6,1,MIN(36,MAX(1,10+3*L$7+1)))))*L8,0)))&lt;0.01,ABS(I9-IF(H9&lt;&gt;"",H9,ROUND(IF(I$7&gt;=10,$B$58,IF(INDEX($B$6:$AK$6,1,MIN(36,MAX(1,7+3*I$7+0)))&lt;&gt;"",INDEX($B$6:$AK$6,1,MIN(36,MAX(1,7+3*I$7+0))),INDEX($B$6:$AK$6,1,MIN(36,MAX(1,7+3*I$7+1)))))*I8,0)))&lt;0.01,ABS(F9-IF(E9&lt;&gt;"",E9,ROUND(IF(F$7&gt;=11,$B$58,IF(INDEX($B$6:$AK$6,1,MIN(36,MAX(1,4+3*F$7+0)))&lt;&gt;"",INDEX($B$6:$AK$6,1,MIN(36,MAX(1,4+3*F$7+0))),INDEX($B$6:$AK$6,1,MIN(36,MAX(1,4+3*F$7+1)))))*F8,0)))&lt;0.01,ABS(C9-IF(B9&lt;&gt;"",B9,ROUND(IF(C$7&gt;=12,$B$58,IF(INDEX($B$6:$AK$6,1,MIN(36,MAX(1,1+3*C$7+0)))&lt;&gt;"",INDEX($B$6:$AK$6,1,MIN(36,MAX(1,1+3*C$7+0))),INDEX($B$6:$AK$6,1,MIN(36,MAX(1,1+3*C$7+1)))))*C8,0)))&lt;0.01),"OK","CHECK")</x:f>
        <x:v>OK</x:v>
      </x:c>
      <x:c r="C68" s="158"/>
      <x:c r="D68" s="158"/>
      <x:c r="E68" s="158"/>
      <x:c r="F68" s="158"/>
      <x:c r="G68" s="158"/>
      <x:c r="H68" s="158"/>
      <x:c r="I68" s="158"/>
      <x:c r="J68" s="158"/>
      <x:c r="K68" s="158"/>
      <x:c r="L68" s="158"/>
      <x:c r="M68" s="158"/>
      <x:c r="N68" s="158"/>
      <x:c r="O68" s="158"/>
      <x:c r="P68" s="158"/>
      <x:c r="Q68" s="158"/>
      <x:c r="R68" s="158"/>
      <x:c r="S68" s="158"/>
      <x:c r="T68" s="158"/>
      <x:c r="U68" s="158"/>
      <x:c r="V68" s="158"/>
      <x:c r="W68" s="158"/>
      <x:c r="X68" s="158"/>
      <x:c r="Y68" s="158"/>
      <x:c r="Z68" s="158"/>
      <x:c r="AA68" s="158"/>
      <x:c r="AB68" s="158"/>
      <x:c r="AC68" s="158"/>
      <x:c r="AD68" s="158"/>
      <x:c r="AE68" s="158"/>
      <x:c r="AF68" s="158"/>
      <x:c r="AG68" s="158"/>
      <x:c r="AH68" s="158"/>
      <x:c r="AI68" s="158"/>
      <x:c r="AJ68" s="158"/>
      <x:c r="AK68" s="158"/>
    </x:row>
    <x:row r="69" ht="22" customHeight="1">
      <x:c r="A69" s="135" t="str">
        <x:v>Sales timing moves leads into contracts</x:v>
      </x:c>
      <x:c r="B69" s="163" t="str">
        <x:f>IF(AND(ABS(AJ14-IF(AI14&lt;&gt;"",AI14,ROUND(IF(AJ$12&gt;=1,$B$59,IF(INDEX($B$9:$AK$9,1,MIN(36,MAX(1,34+3*AJ$12+0)))&lt;&gt;"",INDEX($B$9:$AK$9,1,MIN(36,MAX(1,34+3*AJ$12+0))),INDEX($B$9:$AK$9,1,MIN(36,MAX(1,34+3*AJ$12+1)))))*AJ13,0)))&lt;0.01,ABS(AG14-IF(AF14&lt;&gt;"",AF14,ROUND(IF(AG$12&gt;=2,$B$59,IF(INDEX($B$9:$AK$9,1,MIN(36,MAX(1,31+3*AG$12+0)))&lt;&gt;"",INDEX($B$9:$AK$9,1,MIN(36,MAX(1,31+3*AG$12+0))),INDEX($B$9:$AK$9,1,MIN(36,MAX(1,31+3*AG$12+1)))))*AG13,0)))&lt;0.01,ABS(AD14-IF(AC14&lt;&gt;"",AC14,ROUND(IF(AD$12&gt;=3,$B$59,IF(INDEX($B$9:$AK$9,1,MIN(36,MAX(1,28+3*AD$12+0)))&lt;&gt;"",INDEX($B$9:$AK$9,1,MIN(36,MAX(1,28+3*AD$12+0))),INDEX($B$9:$AK$9,1,MIN(36,MAX(1,28+3*AD$12+1)))))*AD13,0)))&lt;0.01,ABS(AA14-IF(Z14&lt;&gt;"",Z14,ROUND(IF(AA$12&gt;=4,$B$59,IF(INDEX($B$9:$AK$9,1,MIN(36,MAX(1,25+3*AA$12+0)))&lt;&gt;"",INDEX($B$9:$AK$9,1,MIN(36,MAX(1,25+3*AA$12+0))),INDEX($B$9:$AK$9,1,MIN(36,MAX(1,25+3*AA$12+1)))))*AA13,0)))&lt;0.01,ABS(X14-IF(W14&lt;&gt;"",W14,ROUND(IF(X$12&gt;=5,$B$59,IF(INDEX($B$9:$AK$9,1,MIN(36,MAX(1,22+3*X$12+0)))&lt;&gt;"",INDEX($B$9:$AK$9,1,MIN(36,MAX(1,22+3*X$12+0))),INDEX($B$9:$AK$9,1,MIN(36,MAX(1,22+3*X$12+1)))))*X13,0)))&lt;0.01,ABS(U14-IF(T14&lt;&gt;"",T14,ROUND(IF(U$12&gt;=6,$B$59,IF(INDEX($B$9:$AK$9,1,MIN(36,MAX(1,19+3*U$12+0)))&lt;&gt;"",INDEX($B$9:$AK$9,1,MIN(36,MAX(1,19+3*U$12+0))),INDEX($B$9:$AK$9,1,MIN(36,MAX(1,19+3*U$12+1)))))*U13,0)))&lt;0.01,ABS(R14-IF(Q14&lt;&gt;"",Q14,ROUND(IF(R$12&gt;=7,$B$59,IF(INDEX($B$9:$AK$9,1,MIN(36,MAX(1,16+3*R$12+0)))&lt;&gt;"",INDEX($B$9:$AK$9,1,MIN(36,MAX(1,16+3*R$12+0))),INDEX($B$9:$AK$9,1,MIN(36,MAX(1,16+3*R$12+1)))))*R13,0)))&lt;0.01,ABS(O14-IF(N14&lt;&gt;"",N14,ROUND(IF(O$12&gt;=8,$B$59,IF(INDEX($B$9:$AK$9,1,MIN(36,MAX(1,13+3*O$12+0)))&lt;&gt;"",INDEX($B$9:$AK$9,1,MIN(36,MAX(1,13+3*O$12+0))),INDEX($B$9:$AK$9,1,MIN(36,MAX(1,13+3*O$12+1)))))*O13,0)))&lt;0.01,ABS(L14-IF(K14&lt;&gt;"",K14,ROUND(IF(L$12&gt;=9,$B$59,IF(INDEX($B$9:$AK$9,1,MIN(36,MAX(1,10+3*L$12+0)))&lt;&gt;"",INDEX($B$9:$AK$9,1,MIN(36,MAX(1,10+3*L$12+0))),INDEX($B$9:$AK$9,1,MIN(36,MAX(1,10+3*L$12+1)))))*L13,0)))&lt;0.01,ABS(I14-IF(H14&lt;&gt;"",H14,ROUND(IF(I$12&gt;=10,$B$59,IF(INDEX($B$9:$AK$9,1,MIN(36,MAX(1,7+3*I$12+0)))&lt;&gt;"",INDEX($B$9:$AK$9,1,MIN(36,MAX(1,7+3*I$12+0))),INDEX($B$9:$AK$9,1,MIN(36,MAX(1,7+3*I$12+1)))))*I13,0)))&lt;0.01,ABS(F14-IF(E14&lt;&gt;"",E14,ROUND(IF(F$12&gt;=11,$B$59,IF(INDEX($B$9:$AK$9,1,MIN(36,MAX(1,4+3*F$12+0)))&lt;&gt;"",INDEX($B$9:$AK$9,1,MIN(36,MAX(1,4+3*F$12+0))),INDEX($B$9:$AK$9,1,MIN(36,MAX(1,4+3*F$12+1)))))*F13,0)))&lt;0.01,ABS(C14-IF(B14&lt;&gt;"",B14,ROUND(IF(C$12&gt;=12,$B$59,IF(INDEX($B$9:$AK$9,1,MIN(36,MAX(1,1+3*C$12+0)))&lt;&gt;"",INDEX($B$9:$AK$9,1,MIN(36,MAX(1,1+3*C$12+0))),INDEX($B$9:$AK$9,1,MIN(36,MAX(1,1+3*C$12+1)))))*C13,0)))&lt;0.01),"OK","CHECK")</x:f>
        <x:v>OK</x:v>
      </x:c>
      <x:c r="C69" s="158"/>
      <x:c r="D69" s="158"/>
      <x:c r="E69" s="158"/>
      <x:c r="F69" s="158"/>
      <x:c r="G69" s="158"/>
      <x:c r="H69" s="158"/>
      <x:c r="I69" s="158"/>
      <x:c r="J69" s="158"/>
      <x:c r="K69" s="158"/>
      <x:c r="L69" s="158"/>
      <x:c r="M69" s="158"/>
      <x:c r="N69" s="158"/>
      <x:c r="O69" s="158"/>
      <x:c r="P69" s="158"/>
      <x:c r="Q69" s="158"/>
      <x:c r="R69" s="158"/>
      <x:c r="S69" s="158"/>
      <x:c r="T69" s="158"/>
      <x:c r="U69" s="158"/>
      <x:c r="V69" s="158"/>
      <x:c r="W69" s="158"/>
      <x:c r="X69" s="158"/>
      <x:c r="Y69" s="158"/>
      <x:c r="Z69" s="158"/>
      <x:c r="AA69" s="158"/>
      <x:c r="AB69" s="158"/>
      <x:c r="AC69" s="158"/>
      <x:c r="AD69" s="158"/>
      <x:c r="AE69" s="158"/>
      <x:c r="AF69" s="158"/>
      <x:c r="AG69" s="158"/>
      <x:c r="AH69" s="158"/>
      <x:c r="AI69" s="158"/>
      <x:c r="AJ69" s="158"/>
      <x:c r="AK69" s="158"/>
    </x:row>
    <x:row r="70" ht="22" customHeight="1">
      <x:c r="A70" s="135" t="str">
        <x:v>Delivery timing moves contracts into work</x:v>
      </x:c>
      <x:c r="B70" s="163" t="str">
        <x:f>IF(AND(ABS(AJ26-IF(AJ$19&gt;=1,$B$60,IF(INDEX($B$14:$AK$14,1,MIN(36,MAX(1,34+3*AJ$19+0)))&lt;&gt;"",INDEX($B$14:$AK$14,1,MIN(36,MAX(1,34+3*AJ$19+0))),INDEX($B$14:$AK$14,1,MIN(36,MAX(1,34+3*AJ$19+1))))))&lt;0.01,ABS(AG26-IF(AG$19&gt;=2,$B$60,IF(INDEX($B$14:$AK$14,1,MIN(36,MAX(1,31+3*AG$19+0)))&lt;&gt;"",INDEX($B$14:$AK$14,1,MIN(36,MAX(1,31+3*AG$19+0))),INDEX($B$14:$AK$14,1,MIN(36,MAX(1,31+3*AG$19+1))))))&lt;0.01,ABS(AD26-IF(AD$19&gt;=3,$B$60,IF(INDEX($B$14:$AK$14,1,MIN(36,MAX(1,28+3*AD$19+0)))&lt;&gt;"",INDEX($B$14:$AK$14,1,MIN(36,MAX(1,28+3*AD$19+0))),INDEX($B$14:$AK$14,1,MIN(36,MAX(1,28+3*AD$19+1))))))&lt;0.01,ABS(AA26-IF(AA$19&gt;=4,$B$60,IF(INDEX($B$14:$AK$14,1,MIN(36,MAX(1,25+3*AA$19+0)))&lt;&gt;"",INDEX($B$14:$AK$14,1,MIN(36,MAX(1,25+3*AA$19+0))),INDEX($B$14:$AK$14,1,MIN(36,MAX(1,25+3*AA$19+1))))))&lt;0.01,ABS(X26-IF(X$19&gt;=5,$B$60,IF(INDEX($B$14:$AK$14,1,MIN(36,MAX(1,22+3*X$19+0)))&lt;&gt;"",INDEX($B$14:$AK$14,1,MIN(36,MAX(1,22+3*X$19+0))),INDEX($B$14:$AK$14,1,MIN(36,MAX(1,22+3*X$19+1))))))&lt;0.01,ABS(U26-IF(U$19&gt;=6,$B$60,IF(INDEX($B$14:$AK$14,1,MIN(36,MAX(1,19+3*U$19+0)))&lt;&gt;"",INDEX($B$14:$AK$14,1,MIN(36,MAX(1,19+3*U$19+0))),INDEX($B$14:$AK$14,1,MIN(36,MAX(1,19+3*U$19+1))))))&lt;0.01,ABS(R26-IF(R$19&gt;=7,$B$60,IF(INDEX($B$14:$AK$14,1,MIN(36,MAX(1,16+3*R$19+0)))&lt;&gt;"",INDEX($B$14:$AK$14,1,MIN(36,MAX(1,16+3*R$19+0))),INDEX($B$14:$AK$14,1,MIN(36,MAX(1,16+3*R$19+1))))))&lt;0.01,ABS(O26-IF(O$19&gt;=8,$B$60,IF(INDEX($B$14:$AK$14,1,MIN(36,MAX(1,13+3*O$19+0)))&lt;&gt;"",INDEX($B$14:$AK$14,1,MIN(36,MAX(1,13+3*O$19+0))),INDEX($B$14:$AK$14,1,MIN(36,MAX(1,13+3*O$19+1))))))&lt;0.01,ABS(L26-IF(L$19&gt;=9,$B$60,IF(INDEX($B$14:$AK$14,1,MIN(36,MAX(1,10+3*L$19+0)))&lt;&gt;"",INDEX($B$14:$AK$14,1,MIN(36,MAX(1,10+3*L$19+0))),INDEX($B$14:$AK$14,1,MIN(36,MAX(1,10+3*L$19+1))))))&lt;0.01,ABS(I26-IF(I$19&gt;=10,$B$60,IF(INDEX($B$14:$AK$14,1,MIN(36,MAX(1,7+3*I$19+0)))&lt;&gt;"",INDEX($B$14:$AK$14,1,MIN(36,MAX(1,7+3*I$19+0))),INDEX($B$14:$AK$14,1,MIN(36,MAX(1,7+3*I$19+1))))))&lt;0.01,ABS(F26-IF(F$19&gt;=11,$B$60,IF(INDEX($B$14:$AK$14,1,MIN(36,MAX(1,4+3*F$19+0)))&lt;&gt;"",INDEX($B$14:$AK$14,1,MIN(36,MAX(1,4+3*F$19+0))),INDEX($B$14:$AK$14,1,MIN(36,MAX(1,4+3*F$19+1))))))&lt;0.01,ABS(C26-IF(C$19&gt;=12,$B$60,IF(INDEX($B$14:$AK$14,1,MIN(36,MAX(1,1+3*C$19+0)))&lt;&gt;"",INDEX($B$14:$AK$14,1,MIN(36,MAX(1,1+3*C$19+0))),INDEX($B$14:$AK$14,1,MIN(36,MAX(1,1+3*C$19+1))))))&lt;0.01),"OK","CHECK")</x:f>
        <x:v>OK</x:v>
      </x:c>
      <x:c r="C70" s="158"/>
      <x:c r="D70" s="158"/>
      <x:c r="E70" s="158"/>
      <x:c r="F70" s="158"/>
      <x:c r="G70" s="158"/>
      <x:c r="H70" s="158"/>
      <x:c r="I70" s="158"/>
      <x:c r="J70" s="158"/>
      <x:c r="K70" s="158"/>
      <x:c r="L70" s="158"/>
      <x:c r="M70" s="158"/>
      <x:c r="N70" s="158"/>
      <x:c r="O70" s="158"/>
      <x:c r="P70" s="158"/>
      <x:c r="Q70" s="158"/>
      <x:c r="R70" s="158"/>
      <x:c r="S70" s="158"/>
      <x:c r="T70" s="158"/>
      <x:c r="U70" s="158"/>
      <x:c r="V70" s="158"/>
      <x:c r="W70" s="158"/>
      <x:c r="X70" s="158"/>
      <x:c r="Y70" s="158"/>
      <x:c r="Z70" s="158"/>
      <x:c r="AA70" s="158"/>
      <x:c r="AB70" s="158"/>
      <x:c r="AC70" s="158"/>
      <x:c r="AD70" s="158"/>
      <x:c r="AE70" s="158"/>
      <x:c r="AF70" s="158"/>
      <x:c r="AG70" s="158"/>
      <x:c r="AH70" s="158"/>
      <x:c r="AI70" s="158"/>
      <x:c r="AJ70" s="158"/>
      <x:c r="AK70" s="158"/>
    </x:row>
    <x:row r="71" ht="22" customHeight="1">
      <x:c r="A71" s="135" t="str">
        <x:v>Collection timing moves work into invoices</x:v>
      </x:c>
      <x:c r="B71" s="163" t="str">
        <x:f>IF(AND(ABS(AJ32-IF(AJ$31&gt;=1,$B$61,IF(INDEX($B$27:$AK$27,1,MIN(36,MAX(1,34+3*AJ$31+0)))&lt;&gt;"",INDEX($B$27:$AK$27,1,MIN(36,MAX(1,34+3*AJ$31+0))),INDEX($B$27:$AK$27,1,MIN(36,MAX(1,34+3*AJ$31+1))))))&lt;0.01,ABS(AG32-IF(AG$31&gt;=2,$B$61,IF(INDEX($B$27:$AK$27,1,MIN(36,MAX(1,31+3*AG$31+0)))&lt;&gt;"",INDEX($B$27:$AK$27,1,MIN(36,MAX(1,31+3*AG$31+0))),INDEX($B$27:$AK$27,1,MIN(36,MAX(1,31+3*AG$31+1))))))&lt;0.01,ABS(AD32-IF(AD$31&gt;=3,$B$61,IF(INDEX($B$27:$AK$27,1,MIN(36,MAX(1,28+3*AD$31+0)))&lt;&gt;"",INDEX($B$27:$AK$27,1,MIN(36,MAX(1,28+3*AD$31+0))),INDEX($B$27:$AK$27,1,MIN(36,MAX(1,28+3*AD$31+1))))))&lt;0.01,ABS(AA32-IF(AA$31&gt;=4,$B$61,IF(INDEX($B$27:$AK$27,1,MIN(36,MAX(1,25+3*AA$31+0)))&lt;&gt;"",INDEX($B$27:$AK$27,1,MIN(36,MAX(1,25+3*AA$31+0))),INDEX($B$27:$AK$27,1,MIN(36,MAX(1,25+3*AA$31+1))))))&lt;0.01,ABS(X32-IF(X$31&gt;=5,$B$61,IF(INDEX($B$27:$AK$27,1,MIN(36,MAX(1,22+3*X$31+0)))&lt;&gt;"",INDEX($B$27:$AK$27,1,MIN(36,MAX(1,22+3*X$31+0))),INDEX($B$27:$AK$27,1,MIN(36,MAX(1,22+3*X$31+1))))))&lt;0.01,ABS(U32-IF(U$31&gt;=6,$B$61,IF(INDEX($B$27:$AK$27,1,MIN(36,MAX(1,19+3*U$31+0)))&lt;&gt;"",INDEX($B$27:$AK$27,1,MIN(36,MAX(1,19+3*U$31+0))),INDEX($B$27:$AK$27,1,MIN(36,MAX(1,19+3*U$31+1))))))&lt;0.01,ABS(R32-IF(R$31&gt;=7,$B$61,IF(INDEX($B$27:$AK$27,1,MIN(36,MAX(1,16+3*R$31+0)))&lt;&gt;"",INDEX($B$27:$AK$27,1,MIN(36,MAX(1,16+3*R$31+0))),INDEX($B$27:$AK$27,1,MIN(36,MAX(1,16+3*R$31+1))))))&lt;0.01,ABS(O32-IF(O$31&gt;=8,$B$61,IF(INDEX($B$27:$AK$27,1,MIN(36,MAX(1,13+3*O$31+0)))&lt;&gt;"",INDEX($B$27:$AK$27,1,MIN(36,MAX(1,13+3*O$31+0))),INDEX($B$27:$AK$27,1,MIN(36,MAX(1,13+3*O$31+1))))))&lt;0.01,ABS(L32-IF(L$31&gt;=9,$B$61,IF(INDEX($B$27:$AK$27,1,MIN(36,MAX(1,10+3*L$31+0)))&lt;&gt;"",INDEX($B$27:$AK$27,1,MIN(36,MAX(1,10+3*L$31+0))),INDEX($B$27:$AK$27,1,MIN(36,MAX(1,10+3*L$31+1))))))&lt;0.01,ABS(I32-IF(I$31&gt;=10,$B$61,IF(INDEX($B$27:$AK$27,1,MIN(36,MAX(1,7+3*I$31+0)))&lt;&gt;"",INDEX($B$27:$AK$27,1,MIN(36,MAX(1,7+3*I$31+0))),INDEX($B$27:$AK$27,1,MIN(36,MAX(1,7+3*I$31+1))))))&lt;0.01,ABS(F32-IF(F$31&gt;=11,$B$61,IF(INDEX($B$27:$AK$27,1,MIN(36,MAX(1,4+3*F$31+0)))&lt;&gt;"",INDEX($B$27:$AK$27,1,MIN(36,MAX(1,4+3*F$31+0))),INDEX($B$27:$AK$27,1,MIN(36,MAX(1,4+3*F$31+1))))))&lt;0.01,ABS(C32-IF(C$31&gt;=12,$B$61,IF(INDEX($B$27:$AK$27,1,MIN(36,MAX(1,1+3*C$31+0)))&lt;&gt;"",INDEX($B$27:$AK$27,1,MIN(36,MAX(1,1+3*C$31+0))),INDEX($B$27:$AK$27,1,MIN(36,MAX(1,1+3*C$31+1))))))&lt;0.01),"OK","CHECK")</x:f>
        <x:v>OK</x:v>
      </x:c>
      <x:c r="C71" s="158"/>
      <x:c r="D71" s="158"/>
      <x:c r="E71" s="158"/>
      <x:c r="F71" s="158"/>
      <x:c r="G71" s="158"/>
      <x:c r="H71" s="158"/>
      <x:c r="I71" s="158"/>
      <x:c r="J71" s="158"/>
      <x:c r="K71" s="158"/>
      <x:c r="L71" s="158"/>
      <x:c r="M71" s="158"/>
      <x:c r="N71" s="158"/>
      <x:c r="O71" s="158"/>
      <x:c r="P71" s="158"/>
      <x:c r="Q71" s="158"/>
      <x:c r="R71" s="158"/>
      <x:c r="S71" s="158"/>
      <x:c r="T71" s="158"/>
      <x:c r="U71" s="158"/>
      <x:c r="V71" s="158"/>
      <x:c r="W71" s="158"/>
      <x:c r="X71" s="158"/>
      <x:c r="Y71" s="158"/>
      <x:c r="Z71" s="158"/>
      <x:c r="AA71" s="158"/>
      <x:c r="AB71" s="158"/>
      <x:c r="AC71" s="158"/>
      <x:c r="AD71" s="158"/>
      <x:c r="AE71" s="158"/>
      <x:c r="AF71" s="158"/>
      <x:c r="AG71" s="158"/>
      <x:c r="AH71" s="158"/>
      <x:c r="AI71" s="158"/>
      <x:c r="AJ71" s="158"/>
      <x:c r="AK71" s="158"/>
    </x:row>
    <x:row r="72" ht="22" customHeight="1">
      <x:c r="A72" s="135" t="str">
        <x:v>Total Cash timing equals all four function timings</x:v>
      </x:c>
      <x:c r="B72" s="163" t="str">
        <x:f>IF(AND(ABS(AJ53-SUM(AJ49:AJ52))&lt;0.01,ABS(AG53-SUM(AG49:AG52))&lt;0.01,ABS(AD53-SUM(AD49:AD52))&lt;0.01,ABS(AA53-SUM(AA49:AA52))&lt;0.01,ABS(X53-SUM(X49:X52))&lt;0.01,ABS(U53-SUM(U49:U52))&lt;0.01,ABS(R53-SUM(R49:R52))&lt;0.01,ABS(O53-SUM(O49:O52))&lt;0.01,ABS(L53-SUM(L49:L52))&lt;0.01,ABS(I53-SUM(I49:I52))&lt;0.01,ABS(F53-SUM(F49:F52))&lt;0.01,ABS(C53-SUM(C49:C52))&lt;0.01),"OK","CHECK")</x:f>
        <x:v>OK</x:v>
      </x:c>
      <x:c r="C72" s="158"/>
      <x:c r="D72" s="158"/>
      <x:c r="E72" s="158"/>
      <x:c r="F72" s="158"/>
      <x:c r="G72" s="158"/>
      <x:c r="H72" s="158"/>
      <x:c r="I72" s="158"/>
      <x:c r="J72" s="158"/>
      <x:c r="K72" s="158"/>
      <x:c r="L72" s="158"/>
      <x:c r="M72" s="158"/>
      <x:c r="N72" s="158"/>
      <x:c r="O72" s="158"/>
      <x:c r="P72" s="158"/>
      <x:c r="Q72" s="158"/>
      <x:c r="R72" s="158"/>
      <x:c r="S72" s="158"/>
      <x:c r="T72" s="158"/>
      <x:c r="U72" s="158"/>
      <x:c r="V72" s="158"/>
      <x:c r="W72" s="158"/>
      <x:c r="X72" s="158"/>
      <x:c r="Y72" s="158"/>
      <x:c r="Z72" s="158"/>
      <x:c r="AA72" s="158"/>
      <x:c r="AB72" s="158"/>
      <x:c r="AC72" s="158"/>
      <x:c r="AD72" s="158"/>
      <x:c r="AE72" s="158"/>
      <x:c r="AF72" s="158"/>
      <x:c r="AG72" s="158"/>
      <x:c r="AH72" s="158"/>
      <x:c r="AI72" s="158"/>
      <x:c r="AJ72" s="158"/>
      <x:c r="AK72" s="158"/>
    </x:row>
    <x:row r="73" ht="22" customHeight="1">
      <x:c r="A73" s="135" t="str">
        <x:v>Total Cash out equals its three operating drivers</x:v>
      </x:c>
      <x:c r="B73" s="163" t="str">
        <x:f>IF(AND(ABS(AJ40-SUM(AJ37:AJ39))&lt;0.01,ABS(AG40-SUM(AG37:AG39))&lt;0.01,ABS(AD40-SUM(AD37:AD39))&lt;0.01,ABS(AA40-SUM(AA37:AA39))&lt;0.01,ABS(X40-SUM(X37:X39))&lt;0.01,ABS(U40-SUM(U37:U39))&lt;0.01,ABS(R40-SUM(R37:R39))&lt;0.01,ABS(O40-SUM(O37:O39))&lt;0.01,ABS(L40-SUM(L37:L39))&lt;0.01,ABS(I40-SUM(I37:I39))&lt;0.01,ABS(F40-SUM(F37:F39))&lt;0.01,ABS(C40-SUM(C37:C39))&lt;0.01),"OK","CHECK")</x:f>
        <x:v>OK</x:v>
      </x:c>
      <x:c r="C73" s="158"/>
      <x:c r="D73" s="158"/>
      <x:c r="E73" s="158"/>
      <x:c r="F73" s="158"/>
      <x:c r="G73" s="158"/>
      <x:c r="H73" s="158"/>
      <x:c r="I73" s="158"/>
      <x:c r="J73" s="158"/>
      <x:c r="K73" s="158"/>
      <x:c r="L73" s="158"/>
      <x:c r="M73" s="158"/>
      <x:c r="N73" s="158"/>
      <x:c r="O73" s="158"/>
      <x:c r="P73" s="158"/>
      <x:c r="Q73" s="158"/>
      <x:c r="R73" s="158"/>
      <x:c r="S73" s="158"/>
      <x:c r="T73" s="158"/>
      <x:c r="U73" s="158"/>
      <x:c r="V73" s="158"/>
      <x:c r="W73" s="158"/>
      <x:c r="X73" s="158"/>
      <x:c r="Y73" s="158"/>
      <x:c r="Z73" s="158"/>
      <x:c r="AA73" s="158"/>
      <x:c r="AB73" s="158"/>
      <x:c r="AC73" s="158"/>
      <x:c r="AD73" s="158"/>
      <x:c r="AE73" s="158"/>
      <x:c r="AF73" s="158"/>
      <x:c r="AG73" s="158"/>
      <x:c r="AH73" s="158"/>
      <x:c r="AI73" s="158"/>
      <x:c r="AJ73" s="158"/>
      <x:c r="AK73" s="158"/>
    </x:row>
    <x:row r="74" ht="22" customHeight="1">
      <x:c r="A74" s="135" t="str">
        <x:v>Collected invoices translate into Cash in</x:v>
      </x:c>
      <x:c r="B74" s="163" t="str">
        <x:f>IF(AND(ABS(AJ34-AJ33*AJ15)&lt;0.01,ABS(AG34-AG33*AG15)&lt;0.01,ABS(AD34-AD33*AD15)&lt;0.01,ABS(AA34-AA33*AA15)&lt;0.01,ABS(X34-X33*X15)&lt;0.01,ABS(U34-U33*U15)&lt;0.01,ABS(R34-R33*R15)&lt;0.01,ABS(O34-O33*O15)&lt;0.01,ABS(L34-L33*L15)&lt;0.01,ABS(I34-I33*I15)&lt;0.01,ABS(F34-F33*F15)&lt;0.01,ABS(C34-C33*C15)&lt;0.01),"OK","CHECK")</x:f>
        <x:v>OK</x:v>
      </x:c>
      <x:c r="C74" s="158"/>
      <x:c r="D74" s="158"/>
      <x:c r="E74" s="158"/>
      <x:c r="F74" s="158"/>
      <x:c r="G74" s="158"/>
      <x:c r="H74" s="158"/>
      <x:c r="I74" s="158"/>
      <x:c r="J74" s="158"/>
      <x:c r="K74" s="158"/>
      <x:c r="L74" s="158"/>
      <x:c r="M74" s="158"/>
      <x:c r="N74" s="158"/>
      <x:c r="O74" s="158"/>
      <x:c r="P74" s="158"/>
      <x:c r="Q74" s="158"/>
      <x:c r="R74" s="158"/>
      <x:c r="S74" s="158"/>
      <x:c r="T74" s="158"/>
      <x:c r="U74" s="158"/>
      <x:c r="V74" s="158"/>
      <x:c r="W74" s="158"/>
      <x:c r="X74" s="158"/>
      <x:c r="Y74" s="158"/>
      <x:c r="Z74" s="158"/>
      <x:c r="AA74" s="158"/>
      <x:c r="AB74" s="158"/>
      <x:c r="AC74" s="158"/>
      <x:c r="AD74" s="158"/>
      <x:c r="AE74" s="158"/>
      <x:c r="AF74" s="158"/>
      <x:c r="AG74" s="158"/>
      <x:c r="AH74" s="158"/>
      <x:c r="AI74" s="158"/>
      <x:c r="AJ74" s="158"/>
      <x:c r="AK74" s="158"/>
    </x:row>
    <x:row r="75" ht="22" customHeight="1">
      <x:c r="A75" s="135" t="str">
        <x:v>Model status</x:v>
      </x:c>
      <x:c r="B75" s="163" t="str">
        <x:f>IF(COUNTIF(B65:B74,"OK")=10,"PASS","CHECK")</x:f>
        <x:v>PASS</x:v>
      </x:c>
      <x:c r="C75" s="158"/>
      <x:c r="D75" s="158"/>
      <x:c r="E75" s="158"/>
      <x:c r="F75" s="158"/>
      <x:c r="G75" s="158"/>
      <x:c r="H75" s="158"/>
      <x:c r="I75" s="158"/>
      <x:c r="J75" s="158"/>
      <x:c r="K75" s="158"/>
      <x:c r="L75" s="158"/>
      <x:c r="M75" s="158"/>
      <x:c r="N75" s="158"/>
      <x:c r="O75" s="158"/>
      <x:c r="P75" s="158"/>
      <x:c r="Q75" s="158"/>
      <x:c r="R75" s="158"/>
      <x:c r="S75" s="158"/>
      <x:c r="T75" s="158"/>
      <x:c r="U75" s="158"/>
      <x:c r="V75" s="158"/>
      <x:c r="W75" s="158"/>
      <x:c r="X75" s="158"/>
      <x:c r="Y75" s="158"/>
      <x:c r="Z75" s="158"/>
      <x:c r="AA75" s="158"/>
      <x:c r="AB75" s="158"/>
      <x:c r="AC75" s="158"/>
      <x:c r="AD75" s="158"/>
      <x:c r="AE75" s="158"/>
      <x:c r="AF75" s="158"/>
      <x:c r="AG75" s="158"/>
      <x:c r="AH75" s="158"/>
      <x:c r="AI75" s="158"/>
      <x:c r="AJ75" s="158"/>
      <x:c r="AK75" s="158"/>
    </x:row>
  </x:sheetData>
  <x:mergeCells>
    <x:mergeCell ref="A1:AK1"/>
    <x:mergeCell ref="A2:AK2"/>
    <x:mergeCell ref="A3:A4"/>
    <x:mergeCell ref="AI3:AK3"/>
    <x:mergeCell ref="AF3:AH3"/>
    <x:mergeCell ref="AC3:AE3"/>
    <x:mergeCell ref="Z3:AB3"/>
    <x:mergeCell ref="W3:Y3"/>
    <x:mergeCell ref="T3:V3"/>
    <x:mergeCell ref="Q3:S3"/>
    <x:mergeCell ref="N3:P3"/>
    <x:mergeCell ref="K3:M3"/>
    <x:mergeCell ref="H3:J3"/>
    <x:mergeCell ref="E3:G3"/>
    <x:mergeCell ref="B3:D3"/>
    <x:mergeCell ref="A5:AK5"/>
    <x:mergeCell ref="A11:AK11"/>
    <x:mergeCell ref="A18:AK18"/>
    <x:mergeCell ref="A30:AK30"/>
    <x:mergeCell ref="A36:AK36"/>
    <x:mergeCell ref="A48:AK48"/>
    <x:mergeCell ref="A55:AK55"/>
    <x:mergeCell ref="A64:AK64"/>
  </x:mergeCells>
  <x:conditionalFormatting sqref="AJ45:AJ45">
    <x:cfRule type="cellIs" dxfId="0" priority="1" operator="lessThan">
      <x:formula>0</x:formula>
    </x:cfRule>
  </x:conditionalFormatting>
  <x:conditionalFormatting sqref="AJ46:AJ46">
    <x:cfRule type="containsText" dxfId="1" priority="2" operator="containsText" text="ACTION"/>
  </x:conditionalFormatting>
  <x:conditionalFormatting sqref="AG45:AG45">
    <x:cfRule type="cellIs" dxfId="2" priority="3" operator="lessThan">
      <x:formula>0</x:formula>
    </x:cfRule>
  </x:conditionalFormatting>
  <x:conditionalFormatting sqref="AG46:AG46">
    <x:cfRule type="containsText" dxfId="3" priority="4" operator="containsText" text="ACTION"/>
  </x:conditionalFormatting>
  <x:conditionalFormatting sqref="AD45:AD45">
    <x:cfRule type="cellIs" dxfId="4" priority="5" operator="lessThan">
      <x:formula>0</x:formula>
    </x:cfRule>
  </x:conditionalFormatting>
  <x:conditionalFormatting sqref="AD46:AD46">
    <x:cfRule type="containsText" dxfId="5" priority="6" operator="containsText" text="ACTION"/>
  </x:conditionalFormatting>
  <x:conditionalFormatting sqref="AA45:AA45">
    <x:cfRule type="cellIs" dxfId="6" priority="7" operator="lessThan">
      <x:formula>0</x:formula>
    </x:cfRule>
  </x:conditionalFormatting>
  <x:conditionalFormatting sqref="AA46:AA46">
    <x:cfRule type="containsText" dxfId="7" priority="8" operator="containsText" text="ACTION"/>
  </x:conditionalFormatting>
  <x:conditionalFormatting sqref="X45:X45">
    <x:cfRule type="cellIs" dxfId="8" priority="9" operator="lessThan">
      <x:formula>0</x:formula>
    </x:cfRule>
  </x:conditionalFormatting>
  <x:conditionalFormatting sqref="X46:X46">
    <x:cfRule type="containsText" dxfId="9" priority="10" operator="containsText" text="ACTION"/>
  </x:conditionalFormatting>
  <x:conditionalFormatting sqref="U45:U45">
    <x:cfRule type="cellIs" dxfId="10" priority="11" operator="lessThan">
      <x:formula>0</x:formula>
    </x:cfRule>
  </x:conditionalFormatting>
  <x:conditionalFormatting sqref="U46:U46">
    <x:cfRule type="containsText" dxfId="11" priority="12" operator="containsText" text="ACTION"/>
  </x:conditionalFormatting>
  <x:conditionalFormatting sqref="R45:R45">
    <x:cfRule type="cellIs" dxfId="12" priority="13" operator="lessThan">
      <x:formula>0</x:formula>
    </x:cfRule>
  </x:conditionalFormatting>
  <x:conditionalFormatting sqref="R46:R46">
    <x:cfRule type="containsText" dxfId="13" priority="14" operator="containsText" text="ACTION"/>
  </x:conditionalFormatting>
  <x:conditionalFormatting sqref="O45:O45">
    <x:cfRule type="cellIs" dxfId="14" priority="15" operator="lessThan">
      <x:formula>0</x:formula>
    </x:cfRule>
  </x:conditionalFormatting>
  <x:conditionalFormatting sqref="O46:O46">
    <x:cfRule type="containsText" dxfId="15" priority="16" operator="containsText" text="ACTION"/>
  </x:conditionalFormatting>
  <x:conditionalFormatting sqref="L45:L45">
    <x:cfRule type="cellIs" dxfId="16" priority="17" operator="lessThan">
      <x:formula>0</x:formula>
    </x:cfRule>
  </x:conditionalFormatting>
  <x:conditionalFormatting sqref="L46:L46">
    <x:cfRule type="containsText" dxfId="17" priority="18" operator="containsText" text="ACTION"/>
  </x:conditionalFormatting>
  <x:conditionalFormatting sqref="I45:I45">
    <x:cfRule type="cellIs" dxfId="18" priority="19" operator="lessThan">
      <x:formula>0</x:formula>
    </x:cfRule>
  </x:conditionalFormatting>
  <x:conditionalFormatting sqref="I46:I46">
    <x:cfRule type="containsText" dxfId="19" priority="20" operator="containsText" text="ACTION"/>
  </x:conditionalFormatting>
  <x:conditionalFormatting sqref="F45:F45">
    <x:cfRule type="cellIs" dxfId="20" priority="21" operator="lessThan">
      <x:formula>0</x:formula>
    </x:cfRule>
  </x:conditionalFormatting>
  <x:conditionalFormatting sqref="F46:F46">
    <x:cfRule type="containsText" dxfId="21" priority="22" operator="containsText" text="ACTION"/>
  </x:conditionalFormatting>
  <x:conditionalFormatting sqref="C45:C45">
    <x:cfRule type="cellIs" dxfId="22" priority="23" operator="lessThan">
      <x:formula>0</x:formula>
    </x:cfRule>
  </x:conditionalFormatting>
  <x:conditionalFormatting sqref="C46:C46">
    <x:cfRule type="containsText" dxfId="23" priority="24" operator="containsText" text="ACTION"/>
  </x:conditionalFormatting>
  <x:pageMargins left="0.7" right="0.7" top="0.75" bottom="0.75" header="0.3" footer="0.3"/>
</x:worksheet>
</file>