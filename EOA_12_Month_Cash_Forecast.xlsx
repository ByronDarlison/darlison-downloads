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12-Month Cash Forecast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<sst xmlns="http://schemas.openxmlformats.org/spreadsheetml/2006/main" count="296" uniqueCount="46">
  <si>
    <t xml:space="preserve">EO Accelerator 12-Month Cash Forecast</t>
  </si>
  <si>
    <t xml:space="preserve">Newest month is on the left. Actual replaces Rolling when a month closes, and that change carries through every later month.</t>
  </si>
  <si>
    <t xml:space="preserve">Model row</t>
  </si>
  <si>
    <t xml:space="preserve">Actual</t>
  </si>
  <si>
    <t xml:space="preserve">Rolling</t>
  </si>
  <si>
    <t xml:space="preserve">Approved</t>
  </si>
  <si>
    <t xml:space="preserve">WIDGETS</t>
  </si>
  <si>
    <t xml:space="preserve">Qualified leads</t>
  </si>
  <si>
    <t xml:space="preserve">Sales cycle in months</t>
  </si>
  <si>
    <t xml:space="preserve">Close rate</t>
  </si>
  <si>
    <t xml:space="preserve">Signed contracts</t>
  </si>
  <si>
    <t xml:space="preserve">Average contract value</t>
  </si>
  <si>
    <t xml:space="preserve">Contract value signed</t>
  </si>
  <si>
    <t xml:space="preserve">DELIVERY</t>
  </si>
  <si>
    <t xml:space="preserve">Delivery timing in months</t>
  </si>
  <si>
    <t xml:space="preserve">Resources available</t>
  </si>
  <si>
    <t xml:space="preserve">Completed work per resource</t>
  </si>
  <si>
    <t xml:space="preserve">Delivery capacity</t>
  </si>
  <si>
    <t xml:space="preserve">Opening delivery backlog</t>
  </si>
  <si>
    <t xml:space="preserve">Contracts ready for delivery</t>
  </si>
  <si>
    <t xml:space="preserve">Completed work</t>
  </si>
  <si>
    <t xml:space="preserve">Closing delivery backlog</t>
  </si>
  <si>
    <t xml:space="preserve">COLLECTION</t>
  </si>
  <si>
    <t xml:space="preserve">Collection timing in months</t>
  </si>
  <si>
    <t xml:space="preserve">Completed work ready to collect</t>
  </si>
  <si>
    <t xml:space="preserve">Collected invoices</t>
  </si>
  <si>
    <t xml:space="preserve">Cash in</t>
  </si>
  <si>
    <t xml:space="preserve">CASH</t>
  </si>
  <si>
    <t xml:space="preserve">Cash out</t>
  </si>
  <si>
    <t xml:space="preserve">Net cash movement</t>
  </si>
  <si>
    <t xml:space="preserve">Opening cash</t>
  </si>
  <si>
    <t xml:space="preserve">Closing cash</t>
  </si>
  <si>
    <t xml:space="preserve">Minimum cash reserve</t>
  </si>
  <si>
    <t xml:space="preserve">Cash above / (below) reserve</t>
  </si>
  <si>
    <t xml:space="preserve">Status</t>
  </si>
  <si>
    <t xml:space="preserve">OPENING POSITION</t>
  </si>
  <si>
    <t xml:space="preserve">First month of the model</t>
  </si>
  <si>
    <t xml:space="preserve">Cash at start</t>
  </si>
  <si>
    <t xml:space="preserve">Qualified leads before the model opens</t>
  </si>
  <si>
    <t xml:space="preserve">Signed contracts ready before the model</t>
  </si>
  <si>
    <t xml:space="preserve">Completed work ready before the model</t>
  </si>
  <si>
    <t xml:space="preserve">MODEL CHECKS</t>
  </si>
  <si>
    <t xml:space="preserve">Closed months: Rolling cash equals Actual cash</t>
  </si>
  <si>
    <t xml:space="preserve">Rolling cash carries from the previous month</t>
  </si>
  <si>
    <t xml:space="preserve">Rolling delivery backlog carries from the previous month</t>
  </si>
  <si>
    <t xml:space="preserve">Model status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</si>
</sst>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mmm\ yyyy"/>
    <numFmt numFmtId="166" formatCode="#,##0;[RED]\(#,##0\);\-"/>
    <numFmt numFmtId="167" formatCode="0.0%;[RED]\(0.0%\);\-"/>
    <numFmt numFmtId="168" formatCode="\$#,##0;[RED]&quot;($&quot;#,##0\);\-"/>
  </numFmts>
  <fonts count="1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20"/>
      <color rgb="FFFFFFFF"/>
      <name val="Calibri"/>
      <family val="0"/>
      <charset val="1"/>
    </font>
    <font>
      <sz val="11"/>
      <color rgb="FF2E7F49"/>
      <name val="Calibri"/>
      <family val="0"/>
      <charset val="1"/>
    </font>
    <font>
      <b val="true"/>
      <sz val="11"/>
      <color rgb="FF303030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FFFFFF"/>
      <name val="Calibri"/>
      <family val="0"/>
      <charset val="1"/>
    </font>
    <font>
      <sz val="11"/>
      <color rgb="FF303030"/>
      <name val="Calibri"/>
      <family val="0"/>
      <charset val="1"/>
    </font>
    <font>
      <sz val="11"/>
      <color rgb="FF0000FF"/>
      <name val="Calibri"/>
      <family val="0"/>
      <charset val="1"/>
    </font>
    <font>
      <b val="true"/>
      <sz val="10"/>
      <color rgb="FF303030"/>
      <name val="Calibri"/>
      <family val="0"/>
      <charset val="1"/>
    </font>
    <font>
      <b val="true"/>
      <sz val="11"/>
      <color rgb="FF2E7F49"/>
      <name val="Calibri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303030"/>
        <bgColor rgb="FF333300"/>
      </patternFill>
    </fill>
    <fill>
      <patternFill patternType="solid">
        <fgColor rgb="FFEAF6ED"/>
        <bgColor rgb="FFF0F0ED"/>
      </patternFill>
    </fill>
    <fill>
      <patternFill patternType="solid">
        <fgColor rgb="FFF7F7F4"/>
        <bgColor rgb="FFF0F0ED"/>
      </patternFill>
    </fill>
    <fill>
      <patternFill patternType="solid">
        <fgColor rgb="FFFFFFFF"/>
        <bgColor rgb="FFF7F7F4"/>
      </patternFill>
    </fill>
    <fill>
      <patternFill patternType="solid">
        <fgColor rgb="FFB7B7B2"/>
        <bgColor rgb="FF969696"/>
      </patternFill>
    </fill>
    <fill>
      <patternFill patternType="solid">
        <fgColor rgb="FF2E7F49"/>
        <bgColor rgb="FF008080"/>
      </patternFill>
    </fill>
    <fill>
      <patternFill patternType="solid">
        <fgColor rgb="FF326AB5"/>
        <bgColor rgb="FF0066CC"/>
      </patternFill>
    </fill>
    <fill>
      <patternFill patternType="solid">
        <fgColor rgb="FFF0F0ED"/>
        <bgColor rgb="FFEAF1FA"/>
      </patternFill>
    </fill>
    <fill>
      <patternFill patternType="solid">
        <fgColor rgb="FFEAF1FA"/>
        <bgColor rgb="FFF0F0ED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9D4"/>
      </bottom>
      <diagonal/>
    </border>
    <border diagonalUp="false" diagonalDown="false">
      <left style="thin">
        <color rgb="FFD9D9D4"/>
      </left>
      <right style="thin">
        <color rgb="FFD9D9D4"/>
      </right>
      <top style="thin">
        <color rgb="FFD9D9D4"/>
      </top>
      <bottom/>
      <diagonal/>
    </border>
    <border diagonalUp="false" diagonalDown="false">
      <left style="thin">
        <color rgb="FFD9D9D4"/>
      </left>
      <right style="thin">
        <color rgb="FFD9D9D4"/>
      </right>
      <top/>
      <bottom/>
      <diagonal/>
    </border>
    <border diagonalUp="false" diagonalDown="false">
      <left style="thin">
        <color rgb="FFD9D9D4"/>
      </left>
      <right style="thin">
        <color rgb="FFD9D9D4"/>
      </right>
      <top/>
      <bottom style="thin">
        <color rgb="FFD9D9D4"/>
      </bottom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4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4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7" fillId="5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7" fillId="4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6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7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8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9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3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11" fillId="10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4" fillId="9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3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1" fillId="10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" fillId="3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6" fontId="4" fillId="10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9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3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10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4" fillId="9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4" fillId="3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4" fillId="10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9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3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4" fillId="10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2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4" fillId="9" borderId="0" xfId="2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0" fillId="0" borderId="1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9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3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10" borderId="1" xfId="2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10" borderId="2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1" fillId="10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10" borderId="3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1" fillId="10" borderId="4" xfId="2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3" fillId="0" borderId="0" xfId="2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" xfId="20"/>
  </cellStyles>
  <dxfs count="24"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  <dxf>
      <font>
        <b val="1"/>
        <color rgb="FFB64A4A"/>
      </font>
      <fill>
        <patternFill>
          <bgColor rgb="FFFAEEE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2"/>
      <rgbColor rgb="FF808080"/>
      <rgbColor rgb="FF9999FF"/>
      <rgbColor rgb="FFB64A4A"/>
      <rgbColor rgb="FFF7F7F4"/>
      <rgbColor rgb="FFEAF6ED"/>
      <rgbColor rgb="FF660066"/>
      <rgbColor rgb="FFFF8080"/>
      <rgbColor rgb="FF0066CC"/>
      <rgbColor rgb="FFD9D9D4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1FA"/>
      <rgbColor rgb="FFF0F0ED"/>
      <rgbColor rgb="FFFAEEEE"/>
      <rgbColor rgb="FF99CCFF"/>
      <rgbColor rgb="FFFF99CC"/>
      <rgbColor rgb="FFCC99FF"/>
      <rgbColor rgb="FFFFCC99"/>
      <rgbColor rgb="FF326AB5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E7F49"/>
      <rgbColor rgb="FF003300"/>
      <rgbColor rgb="FF333300"/>
      <rgbColor rgb="FF993300"/>
      <rgbColor rgb="FF993366"/>
      <rgbColor rgb="FF333399"/>
      <rgbColor rgb="FF30303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K5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3.33"/>
    <col collapsed="false" customWidth="true" hidden="false" outlineLevel="0" max="37" min="2" style="0" width="9.11"/>
  </cols>
  <sheetData>
    <row r="1" customFormat="false" ht="34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customFormat="false" ht="28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customFormat="false" ht="15" hidden="false" customHeight="false" outlineLevel="0" collapsed="false">
      <c r="A3" s="3" t="s">
        <v>2</v>
      </c>
      <c r="B3" s="4" t="n">
        <v>46722</v>
      </c>
      <c r="C3" s="4" t="n">
        <v>46722</v>
      </c>
      <c r="D3" s="4" t="n">
        <v>46722</v>
      </c>
      <c r="E3" s="5" t="n">
        <v>46692</v>
      </c>
      <c r="F3" s="5" t="n">
        <v>46692</v>
      </c>
      <c r="G3" s="5" t="n">
        <v>46692</v>
      </c>
      <c r="H3" s="4" t="n">
        <v>46661</v>
      </c>
      <c r="I3" s="4" t="n">
        <v>46661</v>
      </c>
      <c r="J3" s="4" t="n">
        <v>46661</v>
      </c>
      <c r="K3" s="5" t="n">
        <v>46631</v>
      </c>
      <c r="L3" s="5" t="n">
        <v>46631</v>
      </c>
      <c r="M3" s="5" t="n">
        <v>46631</v>
      </c>
      <c r="N3" s="4" t="n">
        <v>46600</v>
      </c>
      <c r="O3" s="4" t="n">
        <v>46600</v>
      </c>
      <c r="P3" s="4" t="n">
        <v>46600</v>
      </c>
      <c r="Q3" s="5" t="n">
        <v>46569</v>
      </c>
      <c r="R3" s="5" t="n">
        <v>46569</v>
      </c>
      <c r="S3" s="5" t="n">
        <v>46569</v>
      </c>
      <c r="T3" s="4" t="n">
        <v>46539</v>
      </c>
      <c r="U3" s="4" t="n">
        <v>46539</v>
      </c>
      <c r="V3" s="4" t="n">
        <v>46539</v>
      </c>
      <c r="W3" s="5" t="n">
        <v>46508</v>
      </c>
      <c r="X3" s="5" t="n">
        <v>46508</v>
      </c>
      <c r="Y3" s="5" t="n">
        <v>46508</v>
      </c>
      <c r="Z3" s="4" t="n">
        <v>46478</v>
      </c>
      <c r="AA3" s="4" t="n">
        <v>46478</v>
      </c>
      <c r="AB3" s="4" t="n">
        <v>46478</v>
      </c>
      <c r="AC3" s="5" t="n">
        <v>46447</v>
      </c>
      <c r="AD3" s="5" t="n">
        <v>46447</v>
      </c>
      <c r="AE3" s="5" t="n">
        <v>46447</v>
      </c>
      <c r="AF3" s="4" t="n">
        <v>46419</v>
      </c>
      <c r="AG3" s="4" t="n">
        <v>46419</v>
      </c>
      <c r="AH3" s="4" t="n">
        <v>46419</v>
      </c>
      <c r="AI3" s="5" t="n">
        <v>46388</v>
      </c>
      <c r="AJ3" s="5" t="n">
        <v>46388</v>
      </c>
      <c r="AK3" s="5" t="n">
        <v>46388</v>
      </c>
    </row>
    <row r="4" customFormat="false" ht="15" hidden="false" customHeight="false" outlineLevel="0" collapsed="false">
      <c r="A4" s="3"/>
      <c r="B4" s="6" t="s">
        <v>3</v>
      </c>
      <c r="C4" s="7" t="s">
        <v>4</v>
      </c>
      <c r="D4" s="8" t="s">
        <v>5</v>
      </c>
      <c r="E4" s="6" t="s">
        <v>3</v>
      </c>
      <c r="F4" s="7" t="s">
        <v>4</v>
      </c>
      <c r="G4" s="8" t="s">
        <v>5</v>
      </c>
      <c r="H4" s="6" t="s">
        <v>3</v>
      </c>
      <c r="I4" s="7" t="s">
        <v>4</v>
      </c>
      <c r="J4" s="8" t="s">
        <v>5</v>
      </c>
      <c r="K4" s="6" t="s">
        <v>3</v>
      </c>
      <c r="L4" s="7" t="s">
        <v>4</v>
      </c>
      <c r="M4" s="8" t="s">
        <v>5</v>
      </c>
      <c r="N4" s="6" t="s">
        <v>3</v>
      </c>
      <c r="O4" s="7" t="s">
        <v>4</v>
      </c>
      <c r="P4" s="8" t="s">
        <v>5</v>
      </c>
      <c r="Q4" s="6" t="s">
        <v>3</v>
      </c>
      <c r="R4" s="7" t="s">
        <v>4</v>
      </c>
      <c r="S4" s="8" t="s">
        <v>5</v>
      </c>
      <c r="T4" s="6" t="s">
        <v>3</v>
      </c>
      <c r="U4" s="7" t="s">
        <v>4</v>
      </c>
      <c r="V4" s="8" t="s">
        <v>5</v>
      </c>
      <c r="W4" s="6" t="s">
        <v>3</v>
      </c>
      <c r="X4" s="7" t="s">
        <v>4</v>
      </c>
      <c r="Y4" s="8" t="s">
        <v>5</v>
      </c>
      <c r="Z4" s="6" t="s">
        <v>3</v>
      </c>
      <c r="AA4" s="7" t="s">
        <v>4</v>
      </c>
      <c r="AB4" s="8" t="s">
        <v>5</v>
      </c>
      <c r="AC4" s="6" t="s">
        <v>3</v>
      </c>
      <c r="AD4" s="7" t="s">
        <v>4</v>
      </c>
      <c r="AE4" s="8" t="s">
        <v>5</v>
      </c>
      <c r="AF4" s="6" t="s">
        <v>3</v>
      </c>
      <c r="AG4" s="7" t="s">
        <v>4</v>
      </c>
      <c r="AH4" s="8" t="s">
        <v>5</v>
      </c>
      <c r="AI4" s="6" t="s">
        <v>3</v>
      </c>
      <c r="AJ4" s="7" t="s">
        <v>4</v>
      </c>
      <c r="AK4" s="8" t="s">
        <v>5</v>
      </c>
    </row>
    <row r="5" customFormat="false" ht="22" hidden="false" customHeight="true" outlineLevel="0" collapsed="false">
      <c r="A5" s="9" t="s">
        <v>6</v>
      </c>
      <c r="B5" s="9" t="s">
        <v>6</v>
      </c>
      <c r="C5" s="9" t="s">
        <v>6</v>
      </c>
      <c r="D5" s="9" t="s">
        <v>6</v>
      </c>
      <c r="E5" s="9" t="s">
        <v>6</v>
      </c>
      <c r="F5" s="9" t="s">
        <v>6</v>
      </c>
      <c r="G5" s="9" t="s">
        <v>6</v>
      </c>
      <c r="H5" s="9" t="s">
        <v>6</v>
      </c>
      <c r="I5" s="9" t="s">
        <v>6</v>
      </c>
      <c r="J5" s="9" t="s">
        <v>6</v>
      </c>
      <c r="K5" s="9" t="s">
        <v>6</v>
      </c>
      <c r="L5" s="9" t="s">
        <v>6</v>
      </c>
      <c r="M5" s="9" t="s">
        <v>6</v>
      </c>
      <c r="N5" s="9" t="s">
        <v>6</v>
      </c>
      <c r="O5" s="9" t="s">
        <v>6</v>
      </c>
      <c r="P5" s="9" t="s">
        <v>6</v>
      </c>
      <c r="Q5" s="9" t="s">
        <v>6</v>
      </c>
      <c r="R5" s="9" t="s">
        <v>6</v>
      </c>
      <c r="S5" s="9" t="s">
        <v>6</v>
      </c>
      <c r="T5" s="9" t="s">
        <v>6</v>
      </c>
      <c r="U5" s="9" t="s">
        <v>6</v>
      </c>
      <c r="V5" s="9" t="s">
        <v>6</v>
      </c>
      <c r="W5" s="9" t="s">
        <v>6</v>
      </c>
      <c r="X5" s="9" t="s">
        <v>6</v>
      </c>
      <c r="Y5" s="9" t="s">
        <v>6</v>
      </c>
      <c r="Z5" s="9" t="s">
        <v>6</v>
      </c>
      <c r="AA5" s="9" t="s">
        <v>6</v>
      </c>
      <c r="AB5" s="9" t="s">
        <v>6</v>
      </c>
      <c r="AC5" s="9" t="s">
        <v>6</v>
      </c>
      <c r="AD5" s="9" t="s">
        <v>6</v>
      </c>
      <c r="AE5" s="9" t="s">
        <v>6</v>
      </c>
      <c r="AF5" s="9" t="s">
        <v>6</v>
      </c>
      <c r="AG5" s="9" t="s">
        <v>6</v>
      </c>
      <c r="AH5" s="9" t="s">
        <v>6</v>
      </c>
      <c r="AI5" s="9" t="s">
        <v>6</v>
      </c>
      <c r="AJ5" s="9" t="s">
        <v>6</v>
      </c>
      <c r="AK5" s="9" t="s">
        <v>6</v>
      </c>
    </row>
    <row r="6" customFormat="false" ht="22" hidden="false" customHeight="true" outlineLevel="0" collapsed="false">
      <c r="A6" s="10" t="s">
        <v>7</v>
      </c>
      <c r="B6" s="11"/>
      <c r="C6" s="12" t="n">
        <v>51</v>
      </c>
      <c r="D6" s="13" t="n">
        <v>51</v>
      </c>
      <c r="E6" s="11"/>
      <c r="F6" s="12" t="n">
        <v>50</v>
      </c>
      <c r="G6" s="13" t="n">
        <v>50</v>
      </c>
      <c r="H6" s="11"/>
      <c r="I6" s="12" t="n">
        <v>49</v>
      </c>
      <c r="J6" s="13" t="n">
        <v>49</v>
      </c>
      <c r="K6" s="11"/>
      <c r="L6" s="12" t="n">
        <v>48</v>
      </c>
      <c r="M6" s="13" t="n">
        <v>48</v>
      </c>
      <c r="N6" s="11"/>
      <c r="O6" s="12" t="n">
        <v>47</v>
      </c>
      <c r="P6" s="13" t="n">
        <v>47</v>
      </c>
      <c r="Q6" s="11"/>
      <c r="R6" s="12" t="n">
        <v>46</v>
      </c>
      <c r="S6" s="13" t="n">
        <v>46</v>
      </c>
      <c r="T6" s="11"/>
      <c r="U6" s="12" t="n">
        <v>45</v>
      </c>
      <c r="V6" s="13" t="n">
        <v>45</v>
      </c>
      <c r="W6" s="11"/>
      <c r="X6" s="12" t="n">
        <v>44</v>
      </c>
      <c r="Y6" s="13" t="n">
        <v>44</v>
      </c>
      <c r="Z6" s="11"/>
      <c r="AA6" s="12" t="n">
        <v>43</v>
      </c>
      <c r="AB6" s="13" t="n">
        <v>43</v>
      </c>
      <c r="AC6" s="11"/>
      <c r="AD6" s="12" t="n">
        <v>42</v>
      </c>
      <c r="AE6" s="13" t="n">
        <v>42</v>
      </c>
      <c r="AF6" s="11" t="n">
        <v>38</v>
      </c>
      <c r="AG6" s="12" t="n">
        <v>41</v>
      </c>
      <c r="AH6" s="13" t="n">
        <v>41</v>
      </c>
      <c r="AI6" s="11" t="n">
        <v>36</v>
      </c>
      <c r="AJ6" s="12" t="n">
        <v>40</v>
      </c>
      <c r="AK6" s="13" t="n">
        <v>40</v>
      </c>
    </row>
    <row r="7" customFormat="false" ht="22" hidden="false" customHeight="true" outlineLevel="0" collapsed="false">
      <c r="A7" s="10" t="s">
        <v>8</v>
      </c>
      <c r="B7" s="11"/>
      <c r="C7" s="12" t="n">
        <v>1</v>
      </c>
      <c r="D7" s="13" t="n">
        <v>1</v>
      </c>
      <c r="E7" s="11"/>
      <c r="F7" s="12" t="n">
        <v>1</v>
      </c>
      <c r="G7" s="13" t="n">
        <v>1</v>
      </c>
      <c r="H7" s="11"/>
      <c r="I7" s="12" t="n">
        <v>1</v>
      </c>
      <c r="J7" s="13" t="n">
        <v>1</v>
      </c>
      <c r="K7" s="11"/>
      <c r="L7" s="12" t="n">
        <v>1</v>
      </c>
      <c r="M7" s="13" t="n">
        <v>1</v>
      </c>
      <c r="N7" s="11"/>
      <c r="O7" s="12" t="n">
        <v>1</v>
      </c>
      <c r="P7" s="13" t="n">
        <v>1</v>
      </c>
      <c r="Q7" s="11"/>
      <c r="R7" s="12" t="n">
        <v>1</v>
      </c>
      <c r="S7" s="13" t="n">
        <v>1</v>
      </c>
      <c r="T7" s="11"/>
      <c r="U7" s="12" t="n">
        <v>1</v>
      </c>
      <c r="V7" s="13" t="n">
        <v>1</v>
      </c>
      <c r="W7" s="11"/>
      <c r="X7" s="12" t="n">
        <v>1</v>
      </c>
      <c r="Y7" s="13" t="n">
        <v>1</v>
      </c>
      <c r="Z7" s="11"/>
      <c r="AA7" s="12" t="n">
        <v>1</v>
      </c>
      <c r="AB7" s="13" t="n">
        <v>1</v>
      </c>
      <c r="AC7" s="11"/>
      <c r="AD7" s="12" t="n">
        <v>1</v>
      </c>
      <c r="AE7" s="13" t="n">
        <v>1</v>
      </c>
      <c r="AF7" s="11" t="n">
        <v>1</v>
      </c>
      <c r="AG7" s="12" t="n">
        <v>1</v>
      </c>
      <c r="AH7" s="13" t="n">
        <v>1</v>
      </c>
      <c r="AI7" s="11" t="n">
        <v>1</v>
      </c>
      <c r="AJ7" s="12" t="n">
        <v>1</v>
      </c>
      <c r="AK7" s="13" t="n">
        <v>1</v>
      </c>
    </row>
    <row r="8" customFormat="false" ht="22" hidden="false" customHeight="true" outlineLevel="0" collapsed="false">
      <c r="A8" s="10" t="s">
        <v>9</v>
      </c>
      <c r="B8" s="14" t="str">
        <f aca="false">IFERROR(IF(B9="","",B9/IF(B7&gt;=12,$B$41,INDEX($B$6:$AK$6,1,MIN(36,MAX(1,1+3*B$7+0))))),"")</f>
        <v/>
      </c>
      <c r="C8" s="15" t="n">
        <v>0.25</v>
      </c>
      <c r="D8" s="16" t="n">
        <v>0.25</v>
      </c>
      <c r="E8" s="14" t="str">
        <f aca="false">IFERROR(IF(E9="","",E9/IF(E7&gt;=11,$B$41,INDEX($B$6:$AK$6,1,MIN(36,MAX(1,4+3*E$7+0))))),"")</f>
        <v/>
      </c>
      <c r="F8" s="15" t="n">
        <v>0.25</v>
      </c>
      <c r="G8" s="16" t="n">
        <v>0.25</v>
      </c>
      <c r="H8" s="14" t="str">
        <f aca="false">IFERROR(IF(H9="","",H9/IF(H7&gt;=10,$B$41,INDEX($B$6:$AK$6,1,MIN(36,MAX(1,7+3*H$7+0))))),"")</f>
        <v/>
      </c>
      <c r="I8" s="15" t="n">
        <v>0.25</v>
      </c>
      <c r="J8" s="16" t="n">
        <v>0.25</v>
      </c>
      <c r="K8" s="14" t="str">
        <f aca="false">IFERROR(IF(K9="","",K9/IF(K7&gt;=9,$B$41,INDEX($B$6:$AK$6,1,MIN(36,MAX(1,10+3*K$7+0))))),"")</f>
        <v/>
      </c>
      <c r="L8" s="15" t="n">
        <v>0.25</v>
      </c>
      <c r="M8" s="16" t="n">
        <v>0.25</v>
      </c>
      <c r="N8" s="14" t="str">
        <f aca="false">IFERROR(IF(N9="","",N9/IF(N7&gt;=8,$B$41,INDEX($B$6:$AK$6,1,MIN(36,MAX(1,13+3*N$7+0))))),"")</f>
        <v/>
      </c>
      <c r="O8" s="15" t="n">
        <v>0.25</v>
      </c>
      <c r="P8" s="16" t="n">
        <v>0.25</v>
      </c>
      <c r="Q8" s="14" t="str">
        <f aca="false">IFERROR(IF(Q9="","",Q9/IF(Q7&gt;=7,$B$41,INDEX($B$6:$AK$6,1,MIN(36,MAX(1,16+3*Q$7+0))))),"")</f>
        <v/>
      </c>
      <c r="R8" s="15" t="n">
        <v>0.25</v>
      </c>
      <c r="S8" s="16" t="n">
        <v>0.25</v>
      </c>
      <c r="T8" s="14" t="str">
        <f aca="false">IFERROR(IF(T9="","",T9/IF(T7&gt;=6,$B$41,INDEX($B$6:$AK$6,1,MIN(36,MAX(1,19+3*T$7+0))))),"")</f>
        <v/>
      </c>
      <c r="U8" s="15" t="n">
        <v>0.25</v>
      </c>
      <c r="V8" s="16" t="n">
        <v>0.25</v>
      </c>
      <c r="W8" s="14" t="str">
        <f aca="false">IFERROR(IF(W9="","",W9/IF(W7&gt;=5,$B$41,INDEX($B$6:$AK$6,1,MIN(36,MAX(1,22+3*W$7+0))))),"")</f>
        <v/>
      </c>
      <c r="X8" s="15" t="n">
        <v>0.25</v>
      </c>
      <c r="Y8" s="16" t="n">
        <v>0.25</v>
      </c>
      <c r="Z8" s="14" t="str">
        <f aca="false">IFERROR(IF(Z9="","",Z9/IF(Z7&gt;=4,$B$41,INDEX($B$6:$AK$6,1,MIN(36,MAX(1,25+3*Z$7+0))))),"")</f>
        <v/>
      </c>
      <c r="AA8" s="15" t="n">
        <v>0.25</v>
      </c>
      <c r="AB8" s="16" t="n">
        <v>0.25</v>
      </c>
      <c r="AC8" s="14" t="str">
        <f aca="false">IFERROR(IF(AC9="","",AC9/IF(AC7&gt;=3,$B$41,INDEX($B$6:$AK$6,1,MIN(36,MAX(1,28+3*AC$7+0))))),"")</f>
        <v/>
      </c>
      <c r="AD8" s="15" t="n">
        <v>0.25</v>
      </c>
      <c r="AE8" s="16" t="n">
        <v>0.25</v>
      </c>
      <c r="AF8" s="14" t="n">
        <f aca="false">IFERROR(IF(AF9="","",AF9/IF(AF7&gt;=2,$B$41,INDEX($B$6:$AK$6,1,MIN(36,MAX(1,31+3*AF$7+0))))),"")</f>
        <v>0.222222222222222</v>
      </c>
      <c r="AG8" s="15" t="n">
        <v>0.25</v>
      </c>
      <c r="AH8" s="16" t="n">
        <v>0.25</v>
      </c>
      <c r="AI8" s="14" t="n">
        <f aca="false">IFERROR(IF(AI9="","",AI9/IF(AI7&gt;=1,$B$41,INDEX($B$6:$AK$6,1,MIN(36,MAX(1,34+3*AI$7+0))))),"")</f>
        <v>0.175</v>
      </c>
      <c r="AJ8" s="15" t="n">
        <v>0.25</v>
      </c>
      <c r="AK8" s="16" t="n">
        <v>0.25</v>
      </c>
    </row>
    <row r="9" customFormat="false" ht="22" hidden="false" customHeight="true" outlineLevel="0" collapsed="false">
      <c r="A9" s="10" t="s">
        <v>10</v>
      </c>
      <c r="B9" s="11"/>
      <c r="C9" s="17" t="n">
        <f aca="false">IF(B9&lt;&gt;"",B9,ROUND(IF(C$7&gt;=12,$B$41,IF(INDEX($B$6:$AK$6,1,MIN(36,MAX(1,1+3*C$7+0)))&lt;&gt;"",INDEX($B$6:$AK$6,1,MIN(36,MAX(1,1+3*C$7+0))),INDEX($B$6:$AK$6,1,MIN(36,MAX(1,1+3*C$7+1)))))*C8,0))</f>
        <v>13</v>
      </c>
      <c r="D9" s="18" t="n">
        <f aca="false">ROUND(IF(D$7&gt;=12,$B$41,INDEX($B$6:$AK$6,1,MIN(36,MAX(1,1+3*D$7+2))))*D8,0)</f>
        <v>13</v>
      </c>
      <c r="E9" s="11"/>
      <c r="F9" s="17" t="n">
        <f aca="false">IF(E9&lt;&gt;"",E9,ROUND(IF(F$7&gt;=11,$B$41,IF(INDEX($B$6:$AK$6,1,MIN(36,MAX(1,4+3*F$7+0)))&lt;&gt;"",INDEX($B$6:$AK$6,1,MIN(36,MAX(1,4+3*F$7+0))),INDEX($B$6:$AK$6,1,MIN(36,MAX(1,4+3*F$7+1)))))*F8,0))</f>
        <v>12</v>
      </c>
      <c r="G9" s="18" t="n">
        <f aca="false">ROUND(IF(G$7&gt;=11,$B$41,INDEX($B$6:$AK$6,1,MIN(36,MAX(1,4+3*G$7+2))))*G8,0)</f>
        <v>12</v>
      </c>
      <c r="H9" s="11"/>
      <c r="I9" s="17" t="n">
        <f aca="false">IF(H9&lt;&gt;"",H9,ROUND(IF(I$7&gt;=10,$B$41,IF(INDEX($B$6:$AK$6,1,MIN(36,MAX(1,7+3*I$7+0)))&lt;&gt;"",INDEX($B$6:$AK$6,1,MIN(36,MAX(1,7+3*I$7+0))),INDEX($B$6:$AK$6,1,MIN(36,MAX(1,7+3*I$7+1)))))*I8,0))</f>
        <v>12</v>
      </c>
      <c r="J9" s="18" t="n">
        <f aca="false">ROUND(IF(J$7&gt;=10,$B$41,INDEX($B$6:$AK$6,1,MIN(36,MAX(1,7+3*J$7+2))))*J8,0)</f>
        <v>12</v>
      </c>
      <c r="K9" s="11"/>
      <c r="L9" s="17" t="n">
        <f aca="false">IF(K9&lt;&gt;"",K9,ROUND(IF(L$7&gt;=9,$B$41,IF(INDEX($B$6:$AK$6,1,MIN(36,MAX(1,10+3*L$7+0)))&lt;&gt;"",INDEX($B$6:$AK$6,1,MIN(36,MAX(1,10+3*L$7+0))),INDEX($B$6:$AK$6,1,MIN(36,MAX(1,10+3*L$7+1)))))*L8,0))</f>
        <v>12</v>
      </c>
      <c r="M9" s="18" t="n">
        <f aca="false">ROUND(IF(M$7&gt;=9,$B$41,INDEX($B$6:$AK$6,1,MIN(36,MAX(1,10+3*M$7+2))))*M8,0)</f>
        <v>12</v>
      </c>
      <c r="N9" s="11"/>
      <c r="O9" s="17" t="n">
        <f aca="false">IF(N9&lt;&gt;"",N9,ROUND(IF(O$7&gt;=8,$B$41,IF(INDEX($B$6:$AK$6,1,MIN(36,MAX(1,13+3*O$7+0)))&lt;&gt;"",INDEX($B$6:$AK$6,1,MIN(36,MAX(1,13+3*O$7+0))),INDEX($B$6:$AK$6,1,MIN(36,MAX(1,13+3*O$7+1)))))*O8,0))</f>
        <v>12</v>
      </c>
      <c r="P9" s="18" t="n">
        <f aca="false">ROUND(IF(P$7&gt;=8,$B$41,INDEX($B$6:$AK$6,1,MIN(36,MAX(1,13+3*P$7+2))))*P8,0)</f>
        <v>12</v>
      </c>
      <c r="Q9" s="11"/>
      <c r="R9" s="17" t="n">
        <f aca="false">IF(Q9&lt;&gt;"",Q9,ROUND(IF(R$7&gt;=7,$B$41,IF(INDEX($B$6:$AK$6,1,MIN(36,MAX(1,16+3*R$7+0)))&lt;&gt;"",INDEX($B$6:$AK$6,1,MIN(36,MAX(1,16+3*R$7+0))),INDEX($B$6:$AK$6,1,MIN(36,MAX(1,16+3*R$7+1)))))*R8,0))</f>
        <v>11</v>
      </c>
      <c r="S9" s="18" t="n">
        <f aca="false">ROUND(IF(S$7&gt;=7,$B$41,INDEX($B$6:$AK$6,1,MIN(36,MAX(1,16+3*S$7+2))))*S8,0)</f>
        <v>11</v>
      </c>
      <c r="T9" s="11"/>
      <c r="U9" s="17" t="n">
        <f aca="false">IF(T9&lt;&gt;"",T9,ROUND(IF(U$7&gt;=6,$B$41,IF(INDEX($B$6:$AK$6,1,MIN(36,MAX(1,19+3*U$7+0)))&lt;&gt;"",INDEX($B$6:$AK$6,1,MIN(36,MAX(1,19+3*U$7+0))),INDEX($B$6:$AK$6,1,MIN(36,MAX(1,19+3*U$7+1)))))*U8,0))</f>
        <v>11</v>
      </c>
      <c r="V9" s="18" t="n">
        <f aca="false">ROUND(IF(V$7&gt;=6,$B$41,INDEX($B$6:$AK$6,1,MIN(36,MAX(1,19+3*V$7+2))))*V8,0)</f>
        <v>11</v>
      </c>
      <c r="W9" s="11"/>
      <c r="X9" s="17" t="n">
        <f aca="false">IF(W9&lt;&gt;"",W9,ROUND(IF(X$7&gt;=5,$B$41,IF(INDEX($B$6:$AK$6,1,MIN(36,MAX(1,22+3*X$7+0)))&lt;&gt;"",INDEX($B$6:$AK$6,1,MIN(36,MAX(1,22+3*X$7+0))),INDEX($B$6:$AK$6,1,MIN(36,MAX(1,22+3*X$7+1)))))*X8,0))</f>
        <v>11</v>
      </c>
      <c r="Y9" s="18" t="n">
        <f aca="false">ROUND(IF(Y$7&gt;=5,$B$41,INDEX($B$6:$AK$6,1,MIN(36,MAX(1,22+3*Y$7+2))))*Y8,0)</f>
        <v>11</v>
      </c>
      <c r="Z9" s="11"/>
      <c r="AA9" s="17" t="n">
        <f aca="false">IF(Z9&lt;&gt;"",Z9,ROUND(IF(AA$7&gt;=4,$B$41,IF(INDEX($B$6:$AK$6,1,MIN(36,MAX(1,25+3*AA$7+0)))&lt;&gt;"",INDEX($B$6:$AK$6,1,MIN(36,MAX(1,25+3*AA$7+0))),INDEX($B$6:$AK$6,1,MIN(36,MAX(1,25+3*AA$7+1)))))*AA8,0))</f>
        <v>11</v>
      </c>
      <c r="AB9" s="18" t="n">
        <f aca="false">ROUND(IF(AB$7&gt;=4,$B$41,INDEX($B$6:$AK$6,1,MIN(36,MAX(1,25+3*AB$7+2))))*AB8,0)</f>
        <v>11</v>
      </c>
      <c r="AC9" s="11"/>
      <c r="AD9" s="17" t="n">
        <f aca="false">IF(AC9&lt;&gt;"",AC9,ROUND(IF(AD$7&gt;=3,$B$41,IF(INDEX($B$6:$AK$6,1,MIN(36,MAX(1,28+3*AD$7+0)))&lt;&gt;"",INDEX($B$6:$AK$6,1,MIN(36,MAX(1,28+3*AD$7+0))),INDEX($B$6:$AK$6,1,MIN(36,MAX(1,28+3*AD$7+1)))))*AD8,0))</f>
        <v>10</v>
      </c>
      <c r="AE9" s="18" t="n">
        <f aca="false">ROUND(IF(AE$7&gt;=3,$B$41,INDEX($B$6:$AK$6,1,MIN(36,MAX(1,28+3*AE$7+2))))*AE8,0)</f>
        <v>10</v>
      </c>
      <c r="AF9" s="11" t="n">
        <v>8</v>
      </c>
      <c r="AG9" s="17" t="n">
        <f aca="false">IF(AF9&lt;&gt;"",AF9,ROUND(IF(AG$7&gt;=2,$B$41,IF(INDEX($B$6:$AK$6,1,MIN(36,MAX(1,31+3*AG$7+0)))&lt;&gt;"",INDEX($B$6:$AK$6,1,MIN(36,MAX(1,31+3*AG$7+0))),INDEX($B$6:$AK$6,1,MIN(36,MAX(1,31+3*AG$7+1)))))*AG8,0))</f>
        <v>8</v>
      </c>
      <c r="AH9" s="18" t="n">
        <f aca="false">ROUND(IF(AH$7&gt;=2,$B$41,INDEX($B$6:$AK$6,1,MIN(36,MAX(1,31+3*AH$7+2))))*AH8,0)</f>
        <v>10</v>
      </c>
      <c r="AI9" s="11" t="n">
        <v>7</v>
      </c>
      <c r="AJ9" s="17" t="n">
        <f aca="false">IF(AI9&lt;&gt;"",AI9,ROUND(IF(AJ$7&gt;=1,$B$41,IF(INDEX($B$6:$AK$6,1,MIN(36,MAX(1,34+3*AJ$7+0)))&lt;&gt;"",INDEX($B$6:$AK$6,1,MIN(36,MAX(1,34+3*AJ$7+0))),INDEX($B$6:$AK$6,1,MIN(36,MAX(1,34+3*AJ$7+1)))))*AJ8,0))</f>
        <v>7</v>
      </c>
      <c r="AK9" s="18" t="n">
        <f aca="false">ROUND(IF(AK$7&gt;=1,$B$41,INDEX($B$6:$AK$6,1,MIN(36,MAX(1,34+3*AK$7+2))))*AK8,0)</f>
        <v>10</v>
      </c>
    </row>
    <row r="10" customFormat="false" ht="22" hidden="false" customHeight="true" outlineLevel="0" collapsed="false">
      <c r="A10" s="10" t="s">
        <v>11</v>
      </c>
      <c r="B10" s="19"/>
      <c r="C10" s="20" t="n">
        <v>5000</v>
      </c>
      <c r="D10" s="21" t="n">
        <v>5000</v>
      </c>
      <c r="E10" s="19"/>
      <c r="F10" s="20" t="n">
        <v>5000</v>
      </c>
      <c r="G10" s="21" t="n">
        <v>5000</v>
      </c>
      <c r="H10" s="19"/>
      <c r="I10" s="20" t="n">
        <v>5000</v>
      </c>
      <c r="J10" s="21" t="n">
        <v>5000</v>
      </c>
      <c r="K10" s="19"/>
      <c r="L10" s="20" t="n">
        <v>5000</v>
      </c>
      <c r="M10" s="21" t="n">
        <v>5000</v>
      </c>
      <c r="N10" s="19"/>
      <c r="O10" s="20" t="n">
        <v>5000</v>
      </c>
      <c r="P10" s="21" t="n">
        <v>5000</v>
      </c>
      <c r="Q10" s="19"/>
      <c r="R10" s="20" t="n">
        <v>5000</v>
      </c>
      <c r="S10" s="21" t="n">
        <v>5000</v>
      </c>
      <c r="T10" s="19"/>
      <c r="U10" s="20" t="n">
        <v>5000</v>
      </c>
      <c r="V10" s="21" t="n">
        <v>5000</v>
      </c>
      <c r="W10" s="19"/>
      <c r="X10" s="20" t="n">
        <v>5000</v>
      </c>
      <c r="Y10" s="21" t="n">
        <v>5000</v>
      </c>
      <c r="Z10" s="19"/>
      <c r="AA10" s="20" t="n">
        <v>5000</v>
      </c>
      <c r="AB10" s="21" t="n">
        <v>5000</v>
      </c>
      <c r="AC10" s="19"/>
      <c r="AD10" s="20" t="n">
        <v>5000</v>
      </c>
      <c r="AE10" s="21" t="n">
        <v>5000</v>
      </c>
      <c r="AF10" s="19" t="n">
        <v>5000</v>
      </c>
      <c r="AG10" s="20" t="n">
        <v>5000</v>
      </c>
      <c r="AH10" s="21" t="n">
        <v>5000</v>
      </c>
      <c r="AI10" s="19" t="n">
        <v>5000</v>
      </c>
      <c r="AJ10" s="20" t="n">
        <v>5000</v>
      </c>
      <c r="AK10" s="21" t="n">
        <v>5000</v>
      </c>
    </row>
    <row r="11" customFormat="false" ht="22" hidden="false" customHeight="true" outlineLevel="0" collapsed="false">
      <c r="A11" s="10" t="s">
        <v>12</v>
      </c>
      <c r="B11" s="22" t="str">
        <f aca="false">IF(COUNT(B9,B10)=2,B9*B10,"")</f>
        <v/>
      </c>
      <c r="C11" s="23" t="n">
        <f aca="false">C9*IF(B10&lt;&gt;"",B10,C10)</f>
        <v>65000</v>
      </c>
      <c r="D11" s="24" t="n">
        <f aca="false">D9*D10</f>
        <v>65000</v>
      </c>
      <c r="E11" s="22" t="str">
        <f aca="false">IF(COUNT(E9,E10)=2,E9*E10,"")</f>
        <v/>
      </c>
      <c r="F11" s="23" t="n">
        <f aca="false">F9*IF(E10&lt;&gt;"",E10,F10)</f>
        <v>60000</v>
      </c>
      <c r="G11" s="24" t="n">
        <f aca="false">G9*G10</f>
        <v>60000</v>
      </c>
      <c r="H11" s="22" t="str">
        <f aca="false">IF(COUNT(H9,H10)=2,H9*H10,"")</f>
        <v/>
      </c>
      <c r="I11" s="23" t="n">
        <f aca="false">I9*IF(H10&lt;&gt;"",H10,I10)</f>
        <v>60000</v>
      </c>
      <c r="J11" s="24" t="n">
        <f aca="false">J9*J10</f>
        <v>60000</v>
      </c>
      <c r="K11" s="22" t="str">
        <f aca="false">IF(COUNT(K9,K10)=2,K9*K10,"")</f>
        <v/>
      </c>
      <c r="L11" s="23" t="n">
        <f aca="false">L9*IF(K10&lt;&gt;"",K10,L10)</f>
        <v>60000</v>
      </c>
      <c r="M11" s="24" t="n">
        <f aca="false">M9*M10</f>
        <v>60000</v>
      </c>
      <c r="N11" s="22" t="str">
        <f aca="false">IF(COUNT(N9,N10)=2,N9*N10,"")</f>
        <v/>
      </c>
      <c r="O11" s="23" t="n">
        <f aca="false">O9*IF(N10&lt;&gt;"",N10,O10)</f>
        <v>60000</v>
      </c>
      <c r="P11" s="24" t="n">
        <f aca="false">P9*P10</f>
        <v>60000</v>
      </c>
      <c r="Q11" s="22" t="str">
        <f aca="false">IF(COUNT(Q9,Q10)=2,Q9*Q10,"")</f>
        <v/>
      </c>
      <c r="R11" s="23" t="n">
        <f aca="false">R9*IF(Q10&lt;&gt;"",Q10,R10)</f>
        <v>55000</v>
      </c>
      <c r="S11" s="24" t="n">
        <f aca="false">S9*S10</f>
        <v>55000</v>
      </c>
      <c r="T11" s="22" t="str">
        <f aca="false">IF(COUNT(T9,T10)=2,T9*T10,"")</f>
        <v/>
      </c>
      <c r="U11" s="23" t="n">
        <f aca="false">U9*IF(T10&lt;&gt;"",T10,U10)</f>
        <v>55000</v>
      </c>
      <c r="V11" s="24" t="n">
        <f aca="false">V9*V10</f>
        <v>55000</v>
      </c>
      <c r="W11" s="22" t="str">
        <f aca="false">IF(COUNT(W9,W10)=2,W9*W10,"")</f>
        <v/>
      </c>
      <c r="X11" s="23" t="n">
        <f aca="false">X9*IF(W10&lt;&gt;"",W10,X10)</f>
        <v>55000</v>
      </c>
      <c r="Y11" s="24" t="n">
        <f aca="false">Y9*Y10</f>
        <v>55000</v>
      </c>
      <c r="Z11" s="22" t="str">
        <f aca="false">IF(COUNT(Z9,Z10)=2,Z9*Z10,"")</f>
        <v/>
      </c>
      <c r="AA11" s="23" t="n">
        <f aca="false">AA9*IF(Z10&lt;&gt;"",Z10,AA10)</f>
        <v>55000</v>
      </c>
      <c r="AB11" s="24" t="n">
        <f aca="false">AB9*AB10</f>
        <v>55000</v>
      </c>
      <c r="AC11" s="22" t="str">
        <f aca="false">IF(COUNT(AC9,AC10)=2,AC9*AC10,"")</f>
        <v/>
      </c>
      <c r="AD11" s="23" t="n">
        <f aca="false">AD9*IF(AC10&lt;&gt;"",AC10,AD10)</f>
        <v>50000</v>
      </c>
      <c r="AE11" s="24" t="n">
        <f aca="false">AE9*AE10</f>
        <v>50000</v>
      </c>
      <c r="AF11" s="22" t="n">
        <f aca="false">IF(COUNT(AF9,AF10)=2,AF9*AF10,"")</f>
        <v>40000</v>
      </c>
      <c r="AG11" s="23" t="n">
        <f aca="false">AG9*IF(AF10&lt;&gt;"",AF10,AG10)</f>
        <v>40000</v>
      </c>
      <c r="AH11" s="24" t="n">
        <f aca="false">AH9*AH10</f>
        <v>50000</v>
      </c>
      <c r="AI11" s="22" t="n">
        <f aca="false">IF(COUNT(AI9,AI10)=2,AI9*AI10,"")</f>
        <v>35000</v>
      </c>
      <c r="AJ11" s="23" t="n">
        <f aca="false">AJ9*IF(AI10&lt;&gt;"",AI10,AJ10)</f>
        <v>35000</v>
      </c>
      <c r="AK11" s="24" t="n">
        <f aca="false">AK9*AK10</f>
        <v>50000</v>
      </c>
    </row>
    <row r="12" customFormat="false" ht="22" hidden="false" customHeight="true" outlineLevel="0" collapsed="false">
      <c r="A12" s="10"/>
      <c r="B12" s="25"/>
      <c r="C12" s="26"/>
      <c r="D12" s="27"/>
      <c r="E12" s="25"/>
      <c r="F12" s="26"/>
      <c r="G12" s="27"/>
      <c r="H12" s="25"/>
      <c r="I12" s="26"/>
      <c r="J12" s="27"/>
      <c r="K12" s="25"/>
      <c r="L12" s="26"/>
      <c r="M12" s="27"/>
      <c r="N12" s="25"/>
      <c r="O12" s="26"/>
      <c r="P12" s="27"/>
      <c r="Q12" s="25"/>
      <c r="R12" s="26"/>
      <c r="S12" s="27"/>
      <c r="T12" s="25"/>
      <c r="U12" s="26"/>
      <c r="V12" s="27"/>
      <c r="W12" s="25"/>
      <c r="X12" s="26"/>
      <c r="Y12" s="27"/>
      <c r="Z12" s="25"/>
      <c r="AA12" s="26"/>
      <c r="AB12" s="27"/>
      <c r="AC12" s="25"/>
      <c r="AD12" s="26"/>
      <c r="AE12" s="27"/>
      <c r="AF12" s="25"/>
      <c r="AG12" s="26"/>
      <c r="AH12" s="27"/>
      <c r="AI12" s="25"/>
      <c r="AJ12" s="26"/>
      <c r="AK12" s="27"/>
    </row>
    <row r="13" customFormat="false" ht="22" hidden="false" customHeight="true" outlineLevel="0" collapsed="false">
      <c r="A13" s="28" t="s">
        <v>13</v>
      </c>
      <c r="B13" s="28" t="s">
        <v>13</v>
      </c>
      <c r="C13" s="28" t="s">
        <v>13</v>
      </c>
      <c r="D13" s="28" t="s">
        <v>13</v>
      </c>
      <c r="E13" s="28" t="s">
        <v>13</v>
      </c>
      <c r="F13" s="28" t="s">
        <v>13</v>
      </c>
      <c r="G13" s="28" t="s">
        <v>13</v>
      </c>
      <c r="H13" s="28" t="s">
        <v>13</v>
      </c>
      <c r="I13" s="28" t="s">
        <v>13</v>
      </c>
      <c r="J13" s="28" t="s">
        <v>13</v>
      </c>
      <c r="K13" s="28" t="s">
        <v>13</v>
      </c>
      <c r="L13" s="28" t="s">
        <v>13</v>
      </c>
      <c r="M13" s="28" t="s">
        <v>13</v>
      </c>
      <c r="N13" s="28" t="s">
        <v>13</v>
      </c>
      <c r="O13" s="28" t="s">
        <v>13</v>
      </c>
      <c r="P13" s="28" t="s">
        <v>13</v>
      </c>
      <c r="Q13" s="28" t="s">
        <v>13</v>
      </c>
      <c r="R13" s="28" t="s">
        <v>13</v>
      </c>
      <c r="S13" s="28" t="s">
        <v>13</v>
      </c>
      <c r="T13" s="28" t="s">
        <v>13</v>
      </c>
      <c r="U13" s="28" t="s">
        <v>13</v>
      </c>
      <c r="V13" s="28" t="s">
        <v>13</v>
      </c>
      <c r="W13" s="28" t="s">
        <v>13</v>
      </c>
      <c r="X13" s="28" t="s">
        <v>13</v>
      </c>
      <c r="Y13" s="28" t="s">
        <v>13</v>
      </c>
      <c r="Z13" s="28" t="s">
        <v>13</v>
      </c>
      <c r="AA13" s="28" t="s">
        <v>13</v>
      </c>
      <c r="AB13" s="28" t="s">
        <v>13</v>
      </c>
      <c r="AC13" s="28" t="s">
        <v>13</v>
      </c>
      <c r="AD13" s="28" t="s">
        <v>13</v>
      </c>
      <c r="AE13" s="28" t="s">
        <v>13</v>
      </c>
      <c r="AF13" s="28" t="s">
        <v>13</v>
      </c>
      <c r="AG13" s="28" t="s">
        <v>13</v>
      </c>
      <c r="AH13" s="28" t="s">
        <v>13</v>
      </c>
      <c r="AI13" s="28" t="s">
        <v>13</v>
      </c>
      <c r="AJ13" s="28" t="s">
        <v>13</v>
      </c>
      <c r="AK13" s="28" t="s">
        <v>13</v>
      </c>
    </row>
    <row r="14" customFormat="false" ht="22" hidden="false" customHeight="true" outlineLevel="0" collapsed="false">
      <c r="A14" s="10" t="s">
        <v>14</v>
      </c>
      <c r="B14" s="11"/>
      <c r="C14" s="12" t="n">
        <v>1</v>
      </c>
      <c r="D14" s="13" t="n">
        <v>1</v>
      </c>
      <c r="E14" s="11"/>
      <c r="F14" s="12" t="n">
        <v>1</v>
      </c>
      <c r="G14" s="13" t="n">
        <v>1</v>
      </c>
      <c r="H14" s="11"/>
      <c r="I14" s="12" t="n">
        <v>1</v>
      </c>
      <c r="J14" s="13" t="n">
        <v>1</v>
      </c>
      <c r="K14" s="11"/>
      <c r="L14" s="12" t="n">
        <v>1</v>
      </c>
      <c r="M14" s="13" t="n">
        <v>1</v>
      </c>
      <c r="N14" s="11"/>
      <c r="O14" s="12" t="n">
        <v>1</v>
      </c>
      <c r="P14" s="13" t="n">
        <v>1</v>
      </c>
      <c r="Q14" s="11"/>
      <c r="R14" s="12" t="n">
        <v>1</v>
      </c>
      <c r="S14" s="13" t="n">
        <v>1</v>
      </c>
      <c r="T14" s="11"/>
      <c r="U14" s="12" t="n">
        <v>1</v>
      </c>
      <c r="V14" s="13" t="n">
        <v>1</v>
      </c>
      <c r="W14" s="11"/>
      <c r="X14" s="12" t="n">
        <v>1</v>
      </c>
      <c r="Y14" s="13" t="n">
        <v>1</v>
      </c>
      <c r="Z14" s="11"/>
      <c r="AA14" s="12" t="n">
        <v>1</v>
      </c>
      <c r="AB14" s="13" t="n">
        <v>1</v>
      </c>
      <c r="AC14" s="11"/>
      <c r="AD14" s="12" t="n">
        <v>1</v>
      </c>
      <c r="AE14" s="13" t="n">
        <v>1</v>
      </c>
      <c r="AF14" s="11" t="n">
        <v>1</v>
      </c>
      <c r="AG14" s="12" t="n">
        <v>1</v>
      </c>
      <c r="AH14" s="13" t="n">
        <v>1</v>
      </c>
      <c r="AI14" s="11" t="n">
        <v>1</v>
      </c>
      <c r="AJ14" s="12" t="n">
        <v>1</v>
      </c>
      <c r="AK14" s="13" t="n">
        <v>1</v>
      </c>
    </row>
    <row r="15" customFormat="false" ht="22" hidden="false" customHeight="true" outlineLevel="0" collapsed="false">
      <c r="A15" s="10" t="s">
        <v>15</v>
      </c>
      <c r="B15" s="11"/>
      <c r="C15" s="12" t="n">
        <v>3</v>
      </c>
      <c r="D15" s="13" t="n">
        <v>3</v>
      </c>
      <c r="E15" s="11"/>
      <c r="F15" s="12" t="n">
        <v>3</v>
      </c>
      <c r="G15" s="13" t="n">
        <v>3</v>
      </c>
      <c r="H15" s="11"/>
      <c r="I15" s="12" t="n">
        <v>3</v>
      </c>
      <c r="J15" s="13" t="n">
        <v>3</v>
      </c>
      <c r="K15" s="11"/>
      <c r="L15" s="12" t="n">
        <v>3</v>
      </c>
      <c r="M15" s="13" t="n">
        <v>3</v>
      </c>
      <c r="N15" s="11"/>
      <c r="O15" s="12" t="n">
        <v>3</v>
      </c>
      <c r="P15" s="13" t="n">
        <v>3</v>
      </c>
      <c r="Q15" s="11"/>
      <c r="R15" s="12" t="n">
        <v>3</v>
      </c>
      <c r="S15" s="13" t="n">
        <v>3</v>
      </c>
      <c r="T15" s="11"/>
      <c r="U15" s="12" t="n">
        <v>3</v>
      </c>
      <c r="V15" s="13" t="n">
        <v>3</v>
      </c>
      <c r="W15" s="11"/>
      <c r="X15" s="12" t="n">
        <v>3</v>
      </c>
      <c r="Y15" s="13" t="n">
        <v>3</v>
      </c>
      <c r="Z15" s="11"/>
      <c r="AA15" s="12" t="n">
        <v>3</v>
      </c>
      <c r="AB15" s="13" t="n">
        <v>3</v>
      </c>
      <c r="AC15" s="11"/>
      <c r="AD15" s="12" t="n">
        <v>3</v>
      </c>
      <c r="AE15" s="13" t="n">
        <v>3</v>
      </c>
      <c r="AF15" s="11" t="n">
        <v>3</v>
      </c>
      <c r="AG15" s="12" t="n">
        <v>3</v>
      </c>
      <c r="AH15" s="13" t="n">
        <v>3</v>
      </c>
      <c r="AI15" s="11" t="n">
        <v>3</v>
      </c>
      <c r="AJ15" s="12" t="n">
        <v>3</v>
      </c>
      <c r="AK15" s="13" t="n">
        <v>3</v>
      </c>
    </row>
    <row r="16" customFormat="false" ht="22" hidden="false" customHeight="true" outlineLevel="0" collapsed="false">
      <c r="A16" s="10" t="s">
        <v>16</v>
      </c>
      <c r="B16" s="11"/>
      <c r="C16" s="12" t="n">
        <v>8</v>
      </c>
      <c r="D16" s="13" t="n">
        <v>8</v>
      </c>
      <c r="E16" s="11"/>
      <c r="F16" s="12" t="n">
        <v>8</v>
      </c>
      <c r="G16" s="13" t="n">
        <v>8</v>
      </c>
      <c r="H16" s="11"/>
      <c r="I16" s="12" t="n">
        <v>8</v>
      </c>
      <c r="J16" s="13" t="n">
        <v>8</v>
      </c>
      <c r="K16" s="11"/>
      <c r="L16" s="12" t="n">
        <v>8</v>
      </c>
      <c r="M16" s="13" t="n">
        <v>8</v>
      </c>
      <c r="N16" s="11"/>
      <c r="O16" s="12" t="n">
        <v>8</v>
      </c>
      <c r="P16" s="13" t="n">
        <v>8</v>
      </c>
      <c r="Q16" s="11"/>
      <c r="R16" s="12" t="n">
        <v>8</v>
      </c>
      <c r="S16" s="13" t="n">
        <v>8</v>
      </c>
      <c r="T16" s="11"/>
      <c r="U16" s="12" t="n">
        <v>8</v>
      </c>
      <c r="V16" s="13" t="n">
        <v>8</v>
      </c>
      <c r="W16" s="11"/>
      <c r="X16" s="12" t="n">
        <v>8</v>
      </c>
      <c r="Y16" s="13" t="n">
        <v>8</v>
      </c>
      <c r="Z16" s="11"/>
      <c r="AA16" s="12" t="n">
        <v>8</v>
      </c>
      <c r="AB16" s="13" t="n">
        <v>8</v>
      </c>
      <c r="AC16" s="11"/>
      <c r="AD16" s="12" t="n">
        <v>8</v>
      </c>
      <c r="AE16" s="13" t="n">
        <v>8</v>
      </c>
      <c r="AF16" s="11" t="n">
        <v>8</v>
      </c>
      <c r="AG16" s="12" t="n">
        <v>8</v>
      </c>
      <c r="AH16" s="13" t="n">
        <v>8</v>
      </c>
      <c r="AI16" s="11" t="n">
        <v>8</v>
      </c>
      <c r="AJ16" s="12" t="n">
        <v>8</v>
      </c>
      <c r="AK16" s="13" t="n">
        <v>8</v>
      </c>
    </row>
    <row r="17" customFormat="false" ht="22" hidden="false" customHeight="true" outlineLevel="0" collapsed="false">
      <c r="A17" s="10" t="s">
        <v>17</v>
      </c>
      <c r="B17" s="29" t="str">
        <f aca="false">IF(COUNT(B15,B16)=2,B15*B16,"")</f>
        <v/>
      </c>
      <c r="C17" s="17" t="n">
        <f aca="false">IF(B15&lt;&gt;"",B15,C15)*IF(B16&lt;&gt;"",B16,C16)</f>
        <v>24</v>
      </c>
      <c r="D17" s="18" t="n">
        <f aca="false">D15*D16</f>
        <v>24</v>
      </c>
      <c r="E17" s="29" t="str">
        <f aca="false">IF(COUNT(E15,E16)=2,E15*E16,"")</f>
        <v/>
      </c>
      <c r="F17" s="17" t="n">
        <f aca="false">IF(E15&lt;&gt;"",E15,F15)*IF(E16&lt;&gt;"",E16,F16)</f>
        <v>24</v>
      </c>
      <c r="G17" s="18" t="n">
        <f aca="false">G15*G16</f>
        <v>24</v>
      </c>
      <c r="H17" s="29" t="str">
        <f aca="false">IF(COUNT(H15,H16)=2,H15*H16,"")</f>
        <v/>
      </c>
      <c r="I17" s="17" t="n">
        <f aca="false">IF(H15&lt;&gt;"",H15,I15)*IF(H16&lt;&gt;"",H16,I16)</f>
        <v>24</v>
      </c>
      <c r="J17" s="18" t="n">
        <f aca="false">J15*J16</f>
        <v>24</v>
      </c>
      <c r="K17" s="29" t="str">
        <f aca="false">IF(COUNT(K15,K16)=2,K15*K16,"")</f>
        <v/>
      </c>
      <c r="L17" s="17" t="n">
        <f aca="false">IF(K15&lt;&gt;"",K15,L15)*IF(K16&lt;&gt;"",K16,L16)</f>
        <v>24</v>
      </c>
      <c r="M17" s="18" t="n">
        <f aca="false">M15*M16</f>
        <v>24</v>
      </c>
      <c r="N17" s="29" t="str">
        <f aca="false">IF(COUNT(N15,N16)=2,N15*N16,"")</f>
        <v/>
      </c>
      <c r="O17" s="17" t="n">
        <f aca="false">IF(N15&lt;&gt;"",N15,O15)*IF(N16&lt;&gt;"",N16,O16)</f>
        <v>24</v>
      </c>
      <c r="P17" s="18" t="n">
        <f aca="false">P15*P16</f>
        <v>24</v>
      </c>
      <c r="Q17" s="29" t="str">
        <f aca="false">IF(COUNT(Q15,Q16)=2,Q15*Q16,"")</f>
        <v/>
      </c>
      <c r="R17" s="17" t="n">
        <f aca="false">IF(Q15&lt;&gt;"",Q15,R15)*IF(Q16&lt;&gt;"",Q16,R16)</f>
        <v>24</v>
      </c>
      <c r="S17" s="18" t="n">
        <f aca="false">S15*S16</f>
        <v>24</v>
      </c>
      <c r="T17" s="29" t="str">
        <f aca="false">IF(COUNT(T15,T16)=2,T15*T16,"")</f>
        <v/>
      </c>
      <c r="U17" s="17" t="n">
        <f aca="false">IF(T15&lt;&gt;"",T15,U15)*IF(T16&lt;&gt;"",T16,U16)</f>
        <v>24</v>
      </c>
      <c r="V17" s="18" t="n">
        <f aca="false">V15*V16</f>
        <v>24</v>
      </c>
      <c r="W17" s="29" t="str">
        <f aca="false">IF(COUNT(W15,W16)=2,W15*W16,"")</f>
        <v/>
      </c>
      <c r="X17" s="17" t="n">
        <f aca="false">IF(W15&lt;&gt;"",W15,X15)*IF(W16&lt;&gt;"",W16,X16)</f>
        <v>24</v>
      </c>
      <c r="Y17" s="18" t="n">
        <f aca="false">Y15*Y16</f>
        <v>24</v>
      </c>
      <c r="Z17" s="29" t="str">
        <f aca="false">IF(COUNT(Z15,Z16)=2,Z15*Z16,"")</f>
        <v/>
      </c>
      <c r="AA17" s="17" t="n">
        <f aca="false">IF(Z15&lt;&gt;"",Z15,AA15)*IF(Z16&lt;&gt;"",Z16,AA16)</f>
        <v>24</v>
      </c>
      <c r="AB17" s="18" t="n">
        <f aca="false">AB15*AB16</f>
        <v>24</v>
      </c>
      <c r="AC17" s="29" t="str">
        <f aca="false">IF(COUNT(AC15,AC16)=2,AC15*AC16,"")</f>
        <v/>
      </c>
      <c r="AD17" s="17" t="n">
        <f aca="false">IF(AC15&lt;&gt;"",AC15,AD15)*IF(AC16&lt;&gt;"",AC16,AD16)</f>
        <v>24</v>
      </c>
      <c r="AE17" s="18" t="n">
        <f aca="false">AE15*AE16</f>
        <v>24</v>
      </c>
      <c r="AF17" s="29" t="n">
        <f aca="false">IF(COUNT(AF15,AF16)=2,AF15*AF16,"")</f>
        <v>24</v>
      </c>
      <c r="AG17" s="17" t="n">
        <f aca="false">IF(AF15&lt;&gt;"",AF15,AG15)*IF(AF16&lt;&gt;"",AF16,AG16)</f>
        <v>24</v>
      </c>
      <c r="AH17" s="18" t="n">
        <f aca="false">AH15*AH16</f>
        <v>24</v>
      </c>
      <c r="AI17" s="29" t="n">
        <f aca="false">IF(COUNT(AI15,AI16)=2,AI15*AI16,"")</f>
        <v>24</v>
      </c>
      <c r="AJ17" s="17" t="n">
        <f aca="false">IF(AI15&lt;&gt;"",AI15,AJ15)*IF(AI16&lt;&gt;"",AI16,AJ16)</f>
        <v>24</v>
      </c>
      <c r="AK17" s="18" t="n">
        <f aca="false">AK15*AK16</f>
        <v>24</v>
      </c>
    </row>
    <row r="18" customFormat="false" ht="22" hidden="false" customHeight="true" outlineLevel="0" collapsed="false">
      <c r="A18" s="10" t="s">
        <v>18</v>
      </c>
      <c r="B18" s="29" t="str">
        <f aca="false">IF(E21&lt;&gt;"",E21,"")</f>
        <v/>
      </c>
      <c r="C18" s="17" t="n">
        <f aca="false">IF(E21&lt;&gt;"",E21,F21)</f>
        <v>0</v>
      </c>
      <c r="D18" s="18" t="n">
        <f aca="false">G21</f>
        <v>0</v>
      </c>
      <c r="E18" s="29" t="str">
        <f aca="false">IF(H21&lt;&gt;"",H21,"")</f>
        <v/>
      </c>
      <c r="F18" s="17" t="n">
        <f aca="false">IF(H21&lt;&gt;"",H21,I21)</f>
        <v>0</v>
      </c>
      <c r="G18" s="18" t="n">
        <f aca="false">J21</f>
        <v>0</v>
      </c>
      <c r="H18" s="29" t="str">
        <f aca="false">IF(K21&lt;&gt;"",K21,"")</f>
        <v/>
      </c>
      <c r="I18" s="17" t="n">
        <f aca="false">IF(K21&lt;&gt;"",K21,L21)</f>
        <v>0</v>
      </c>
      <c r="J18" s="18" t="n">
        <f aca="false">M21</f>
        <v>0</v>
      </c>
      <c r="K18" s="29" t="str">
        <f aca="false">IF(N21&lt;&gt;"",N21,"")</f>
        <v/>
      </c>
      <c r="L18" s="17" t="n">
        <f aca="false">IF(N21&lt;&gt;"",N21,O21)</f>
        <v>0</v>
      </c>
      <c r="M18" s="18" t="n">
        <f aca="false">P21</f>
        <v>0</v>
      </c>
      <c r="N18" s="29" t="str">
        <f aca="false">IF(Q21&lt;&gt;"",Q21,"")</f>
        <v/>
      </c>
      <c r="O18" s="17" t="n">
        <f aca="false">IF(Q21&lt;&gt;"",Q21,R21)</f>
        <v>0</v>
      </c>
      <c r="P18" s="18" t="n">
        <f aca="false">S21</f>
        <v>0</v>
      </c>
      <c r="Q18" s="29" t="str">
        <f aca="false">IF(T21&lt;&gt;"",T21,"")</f>
        <v/>
      </c>
      <c r="R18" s="17" t="n">
        <f aca="false">IF(T21&lt;&gt;"",T21,U21)</f>
        <v>0</v>
      </c>
      <c r="S18" s="18" t="n">
        <f aca="false">V21</f>
        <v>0</v>
      </c>
      <c r="T18" s="29" t="str">
        <f aca="false">IF(W21&lt;&gt;"",W21,"")</f>
        <v/>
      </c>
      <c r="U18" s="17" t="n">
        <f aca="false">IF(W21&lt;&gt;"",W21,X21)</f>
        <v>0</v>
      </c>
      <c r="V18" s="18" t="n">
        <f aca="false">Y21</f>
        <v>0</v>
      </c>
      <c r="W18" s="29" t="str">
        <f aca="false">IF(Z21&lt;&gt;"",Z21,"")</f>
        <v/>
      </c>
      <c r="X18" s="17" t="n">
        <f aca="false">IF(Z21&lt;&gt;"",Z21,AA21)</f>
        <v>0</v>
      </c>
      <c r="Y18" s="18" t="n">
        <f aca="false">AB21</f>
        <v>0</v>
      </c>
      <c r="Z18" s="29" t="str">
        <f aca="false">IF(AC21&lt;&gt;"",AC21,"")</f>
        <v/>
      </c>
      <c r="AA18" s="17" t="n">
        <f aca="false">IF(AC21&lt;&gt;"",AC21,AD21)</f>
        <v>0</v>
      </c>
      <c r="AB18" s="18" t="n">
        <f aca="false">AE21</f>
        <v>0</v>
      </c>
      <c r="AC18" s="29" t="n">
        <f aca="false">IF(AF21&lt;&gt;"",AF21,"")</f>
        <v>0</v>
      </c>
      <c r="AD18" s="17" t="n">
        <f aca="false">IF(AF21&lt;&gt;"",AF21,AG21)</f>
        <v>0</v>
      </c>
      <c r="AE18" s="18" t="n">
        <f aca="false">AH21</f>
        <v>0</v>
      </c>
      <c r="AF18" s="29" t="n">
        <f aca="false">IF(AI21&lt;&gt;"",AI21,"")</f>
        <v>3</v>
      </c>
      <c r="AG18" s="17" t="n">
        <f aca="false">IF(AI21&lt;&gt;"",AI21,AJ21)</f>
        <v>3</v>
      </c>
      <c r="AH18" s="18" t="n">
        <f aca="false">AK21</f>
        <v>0</v>
      </c>
      <c r="AI18" s="29" t="n">
        <f aca="false">$B$44</f>
        <v>5</v>
      </c>
      <c r="AJ18" s="17" t="n">
        <f aca="false">$B$44</f>
        <v>5</v>
      </c>
      <c r="AK18" s="18" t="n">
        <f aca="false">$B$44</f>
        <v>5</v>
      </c>
    </row>
    <row r="19" customFormat="false" ht="22" hidden="false" customHeight="true" outlineLevel="0" collapsed="false">
      <c r="A19" s="10" t="s">
        <v>19</v>
      </c>
      <c r="B19" s="29" t="n">
        <f aca="false">IF(B14&gt;=12,$B$42,IFERROR(INDEX($B$9:$AK$9,1,MIN(36,MAX(1,1+3*B$14+0))),""))</f>
        <v>0</v>
      </c>
      <c r="C19" s="17" t="n">
        <f aca="false">IF(C$14&gt;=12,$B$42,IF(INDEX($B$9:$AK$9,1,MIN(36,MAX(1,1+3*C$14+0)))&lt;&gt;"",INDEX($B$9:$AK$9,1,MIN(36,MAX(1,1+3*C$14+0))),INDEX($B$9:$AK$9,1,MIN(36,MAX(1,1+3*C$14+1)))))</f>
        <v>12</v>
      </c>
      <c r="D19" s="18" t="n">
        <f aca="false">IF(D$14&gt;=12,$B$42,INDEX($B$9:$AK$9,1,MIN(36,MAX(1,1+3*D$14+2))))</f>
        <v>12</v>
      </c>
      <c r="E19" s="29" t="n">
        <f aca="false">IF(E14&gt;=11,$B$42,IFERROR(INDEX($B$9:$AK$9,1,MIN(36,MAX(1,4+3*E$14+0))),""))</f>
        <v>0</v>
      </c>
      <c r="F19" s="17" t="n">
        <f aca="false">IF(F$14&gt;=11,$B$42,IF(INDEX($B$9:$AK$9,1,MIN(36,MAX(1,4+3*F$14+0)))&lt;&gt;"",INDEX($B$9:$AK$9,1,MIN(36,MAX(1,4+3*F$14+0))),INDEX($B$9:$AK$9,1,MIN(36,MAX(1,4+3*F$14+1)))))</f>
        <v>12</v>
      </c>
      <c r="G19" s="18" t="n">
        <f aca="false">IF(G$14&gt;=11,$B$42,INDEX($B$9:$AK$9,1,MIN(36,MAX(1,4+3*G$14+2))))</f>
        <v>12</v>
      </c>
      <c r="H19" s="29" t="n">
        <f aca="false">IF(H14&gt;=10,$B$42,IFERROR(INDEX($B$9:$AK$9,1,MIN(36,MAX(1,7+3*H$14+0))),""))</f>
        <v>0</v>
      </c>
      <c r="I19" s="17" t="n">
        <f aca="false">IF(I$14&gt;=10,$B$42,IF(INDEX($B$9:$AK$9,1,MIN(36,MAX(1,7+3*I$14+0)))&lt;&gt;"",INDEX($B$9:$AK$9,1,MIN(36,MAX(1,7+3*I$14+0))),INDEX($B$9:$AK$9,1,MIN(36,MAX(1,7+3*I$14+1)))))</f>
        <v>12</v>
      </c>
      <c r="J19" s="18" t="n">
        <f aca="false">IF(J$14&gt;=10,$B$42,INDEX($B$9:$AK$9,1,MIN(36,MAX(1,7+3*J$14+2))))</f>
        <v>12</v>
      </c>
      <c r="K19" s="29" t="n">
        <f aca="false">IF(K14&gt;=9,$B$42,IFERROR(INDEX($B$9:$AK$9,1,MIN(36,MAX(1,10+3*K$14+0))),""))</f>
        <v>0</v>
      </c>
      <c r="L19" s="17" t="n">
        <f aca="false">IF(L$14&gt;=9,$B$42,IF(INDEX($B$9:$AK$9,1,MIN(36,MAX(1,10+3*L$14+0)))&lt;&gt;"",INDEX($B$9:$AK$9,1,MIN(36,MAX(1,10+3*L$14+0))),INDEX($B$9:$AK$9,1,MIN(36,MAX(1,10+3*L$14+1)))))</f>
        <v>12</v>
      </c>
      <c r="M19" s="18" t="n">
        <f aca="false">IF(M$14&gt;=9,$B$42,INDEX($B$9:$AK$9,1,MIN(36,MAX(1,10+3*M$14+2))))</f>
        <v>12</v>
      </c>
      <c r="N19" s="29" t="n">
        <f aca="false">IF(N14&gt;=8,$B$42,IFERROR(INDEX($B$9:$AK$9,1,MIN(36,MAX(1,13+3*N$14+0))),""))</f>
        <v>0</v>
      </c>
      <c r="O19" s="17" t="n">
        <f aca="false">IF(O$14&gt;=8,$B$42,IF(INDEX($B$9:$AK$9,1,MIN(36,MAX(1,13+3*O$14+0)))&lt;&gt;"",INDEX($B$9:$AK$9,1,MIN(36,MAX(1,13+3*O$14+0))),INDEX($B$9:$AK$9,1,MIN(36,MAX(1,13+3*O$14+1)))))</f>
        <v>11</v>
      </c>
      <c r="P19" s="18" t="n">
        <f aca="false">IF(P$14&gt;=8,$B$42,INDEX($B$9:$AK$9,1,MIN(36,MAX(1,13+3*P$14+2))))</f>
        <v>11</v>
      </c>
      <c r="Q19" s="29" t="n">
        <f aca="false">IF(Q14&gt;=7,$B$42,IFERROR(INDEX($B$9:$AK$9,1,MIN(36,MAX(1,16+3*Q$14+0))),""))</f>
        <v>0</v>
      </c>
      <c r="R19" s="17" t="n">
        <f aca="false">IF(R$14&gt;=7,$B$42,IF(INDEX($B$9:$AK$9,1,MIN(36,MAX(1,16+3*R$14+0)))&lt;&gt;"",INDEX($B$9:$AK$9,1,MIN(36,MAX(1,16+3*R$14+0))),INDEX($B$9:$AK$9,1,MIN(36,MAX(1,16+3*R$14+1)))))</f>
        <v>11</v>
      </c>
      <c r="S19" s="18" t="n">
        <f aca="false">IF(S$14&gt;=7,$B$42,INDEX($B$9:$AK$9,1,MIN(36,MAX(1,16+3*S$14+2))))</f>
        <v>11</v>
      </c>
      <c r="T19" s="29" t="n">
        <f aca="false">IF(T14&gt;=6,$B$42,IFERROR(INDEX($B$9:$AK$9,1,MIN(36,MAX(1,19+3*T$14+0))),""))</f>
        <v>0</v>
      </c>
      <c r="U19" s="17" t="n">
        <f aca="false">IF(U$14&gt;=6,$B$42,IF(INDEX($B$9:$AK$9,1,MIN(36,MAX(1,19+3*U$14+0)))&lt;&gt;"",INDEX($B$9:$AK$9,1,MIN(36,MAX(1,19+3*U$14+0))),INDEX($B$9:$AK$9,1,MIN(36,MAX(1,19+3*U$14+1)))))</f>
        <v>11</v>
      </c>
      <c r="V19" s="18" t="n">
        <f aca="false">IF(V$14&gt;=6,$B$42,INDEX($B$9:$AK$9,1,MIN(36,MAX(1,19+3*V$14+2))))</f>
        <v>11</v>
      </c>
      <c r="W19" s="29" t="n">
        <f aca="false">IF(W14&gt;=5,$B$42,IFERROR(INDEX($B$9:$AK$9,1,MIN(36,MAX(1,22+3*W$14+0))),""))</f>
        <v>0</v>
      </c>
      <c r="X19" s="17" t="n">
        <f aca="false">IF(X$14&gt;=5,$B$42,IF(INDEX($B$9:$AK$9,1,MIN(36,MAX(1,22+3*X$14+0)))&lt;&gt;"",INDEX($B$9:$AK$9,1,MIN(36,MAX(1,22+3*X$14+0))),INDEX($B$9:$AK$9,1,MIN(36,MAX(1,22+3*X$14+1)))))</f>
        <v>11</v>
      </c>
      <c r="Y19" s="18" t="n">
        <f aca="false">IF(Y$14&gt;=5,$B$42,INDEX($B$9:$AK$9,1,MIN(36,MAX(1,22+3*Y$14+2))))</f>
        <v>11</v>
      </c>
      <c r="Z19" s="29" t="n">
        <f aca="false">IF(Z14&gt;=4,$B$42,IFERROR(INDEX($B$9:$AK$9,1,MIN(36,MAX(1,25+3*Z$14+0))),""))</f>
        <v>0</v>
      </c>
      <c r="AA19" s="17" t="n">
        <f aca="false">IF(AA$14&gt;=4,$B$42,IF(INDEX($B$9:$AK$9,1,MIN(36,MAX(1,25+3*AA$14+0)))&lt;&gt;"",INDEX($B$9:$AK$9,1,MIN(36,MAX(1,25+3*AA$14+0))),INDEX($B$9:$AK$9,1,MIN(36,MAX(1,25+3*AA$14+1)))))</f>
        <v>10</v>
      </c>
      <c r="AB19" s="18" t="n">
        <f aca="false">IF(AB$14&gt;=4,$B$42,INDEX($B$9:$AK$9,1,MIN(36,MAX(1,25+3*AB$14+2))))</f>
        <v>10</v>
      </c>
      <c r="AC19" s="29" t="n">
        <f aca="false">IF(AC14&gt;=3,$B$42,IFERROR(INDEX($B$9:$AK$9,1,MIN(36,MAX(1,28+3*AC$14+0))),""))</f>
        <v>0</v>
      </c>
      <c r="AD19" s="17" t="n">
        <f aca="false">IF(AD$14&gt;=3,$B$42,IF(INDEX($B$9:$AK$9,1,MIN(36,MAX(1,28+3*AD$14+0)))&lt;&gt;"",INDEX($B$9:$AK$9,1,MIN(36,MAX(1,28+3*AD$14+0))),INDEX($B$9:$AK$9,1,MIN(36,MAX(1,28+3*AD$14+1)))))</f>
        <v>8</v>
      </c>
      <c r="AE19" s="18" t="n">
        <f aca="false">IF(AE$14&gt;=3,$B$42,INDEX($B$9:$AK$9,1,MIN(36,MAX(1,28+3*AE$14+2))))</f>
        <v>10</v>
      </c>
      <c r="AF19" s="29" t="n">
        <f aca="false">IF(AF14&gt;=2,$B$42,IFERROR(INDEX($B$9:$AK$9,1,MIN(36,MAX(1,31+3*AF$14+0))),""))</f>
        <v>7</v>
      </c>
      <c r="AG19" s="17" t="n">
        <f aca="false">IF(AG$14&gt;=2,$B$42,IF(INDEX($B$9:$AK$9,1,MIN(36,MAX(1,31+3*AG$14+0)))&lt;&gt;"",INDEX($B$9:$AK$9,1,MIN(36,MAX(1,31+3*AG$14+0))),INDEX($B$9:$AK$9,1,MIN(36,MAX(1,31+3*AG$14+1)))))</f>
        <v>7</v>
      </c>
      <c r="AH19" s="18" t="n">
        <f aca="false">IF(AH$14&gt;=2,$B$42,INDEX($B$9:$AK$9,1,MIN(36,MAX(1,31+3*AH$14+2))))</f>
        <v>10</v>
      </c>
      <c r="AI19" s="29" t="n">
        <f aca="false">IF(AI14&gt;=1,$B$42,IFERROR(INDEX($B$9:$AK$9,1,MIN(36,MAX(1,34+3*AI$14+0))),""))</f>
        <v>10</v>
      </c>
      <c r="AJ19" s="17" t="n">
        <f aca="false">IF(AJ$14&gt;=1,$B$42,IF(INDEX($B$9:$AK$9,1,MIN(36,MAX(1,34+3*AJ$14+0)))&lt;&gt;"",INDEX($B$9:$AK$9,1,MIN(36,MAX(1,34+3*AJ$14+0))),INDEX($B$9:$AK$9,1,MIN(36,MAX(1,34+3*AJ$14+1)))))</f>
        <v>10</v>
      </c>
      <c r="AK19" s="18" t="n">
        <f aca="false">IF(AK$14&gt;=1,$B$42,INDEX($B$9:$AK$9,1,MIN(36,MAX(1,34+3*AK$14+2))))</f>
        <v>10</v>
      </c>
    </row>
    <row r="20" customFormat="false" ht="22" hidden="false" customHeight="true" outlineLevel="0" collapsed="false">
      <c r="A20" s="10" t="s">
        <v>20</v>
      </c>
      <c r="B20" s="11"/>
      <c r="C20" s="17" t="n">
        <f aca="false">IF(B20&lt;&gt;"",B20,MIN(C18+C19,C17))</f>
        <v>12</v>
      </c>
      <c r="D20" s="18" t="n">
        <f aca="false">MIN(D18+D19,D17)</f>
        <v>12</v>
      </c>
      <c r="E20" s="11"/>
      <c r="F20" s="17" t="n">
        <f aca="false">IF(E20&lt;&gt;"",E20,MIN(F18+F19,F17))</f>
        <v>12</v>
      </c>
      <c r="G20" s="18" t="n">
        <f aca="false">MIN(G18+G19,G17)</f>
        <v>12</v>
      </c>
      <c r="H20" s="11"/>
      <c r="I20" s="17" t="n">
        <f aca="false">IF(H20&lt;&gt;"",H20,MIN(I18+I19,I17))</f>
        <v>12</v>
      </c>
      <c r="J20" s="18" t="n">
        <f aca="false">MIN(J18+J19,J17)</f>
        <v>12</v>
      </c>
      <c r="K20" s="11"/>
      <c r="L20" s="17" t="n">
        <f aca="false">IF(K20&lt;&gt;"",K20,MIN(L18+L19,L17))</f>
        <v>12</v>
      </c>
      <c r="M20" s="18" t="n">
        <f aca="false">MIN(M18+M19,M17)</f>
        <v>12</v>
      </c>
      <c r="N20" s="11"/>
      <c r="O20" s="17" t="n">
        <f aca="false">IF(N20&lt;&gt;"",N20,MIN(O18+O19,O17))</f>
        <v>11</v>
      </c>
      <c r="P20" s="18" t="n">
        <f aca="false">MIN(P18+P19,P17)</f>
        <v>11</v>
      </c>
      <c r="Q20" s="11"/>
      <c r="R20" s="17" t="n">
        <f aca="false">IF(Q20&lt;&gt;"",Q20,MIN(R18+R19,R17))</f>
        <v>11</v>
      </c>
      <c r="S20" s="18" t="n">
        <f aca="false">MIN(S18+S19,S17)</f>
        <v>11</v>
      </c>
      <c r="T20" s="11"/>
      <c r="U20" s="17" t="n">
        <f aca="false">IF(T20&lt;&gt;"",T20,MIN(U18+U19,U17))</f>
        <v>11</v>
      </c>
      <c r="V20" s="18" t="n">
        <f aca="false">MIN(V18+V19,V17)</f>
        <v>11</v>
      </c>
      <c r="W20" s="11"/>
      <c r="X20" s="17" t="n">
        <f aca="false">IF(W20&lt;&gt;"",W20,MIN(X18+X19,X17))</f>
        <v>11</v>
      </c>
      <c r="Y20" s="18" t="n">
        <f aca="false">MIN(Y18+Y19,Y17)</f>
        <v>11</v>
      </c>
      <c r="Z20" s="11"/>
      <c r="AA20" s="17" t="n">
        <f aca="false">IF(Z20&lt;&gt;"",Z20,MIN(AA18+AA19,AA17))</f>
        <v>10</v>
      </c>
      <c r="AB20" s="18" t="n">
        <f aca="false">MIN(AB18+AB19,AB17)</f>
        <v>10</v>
      </c>
      <c r="AC20" s="11"/>
      <c r="AD20" s="17" t="n">
        <f aca="false">IF(AC20&lt;&gt;"",AC20,MIN(AD18+AD19,AD17))</f>
        <v>8</v>
      </c>
      <c r="AE20" s="18" t="n">
        <f aca="false">MIN(AE18+AE19,AE17)</f>
        <v>10</v>
      </c>
      <c r="AF20" s="11" t="n">
        <v>10</v>
      </c>
      <c r="AG20" s="17" t="n">
        <f aca="false">IF(AF20&lt;&gt;"",AF20,MIN(AG18+AG19,AG17))</f>
        <v>10</v>
      </c>
      <c r="AH20" s="18" t="n">
        <f aca="false">MIN(AH18+AH19,AH17)</f>
        <v>10</v>
      </c>
      <c r="AI20" s="11" t="n">
        <v>12</v>
      </c>
      <c r="AJ20" s="17" t="n">
        <f aca="false">IF(AI20&lt;&gt;"",AI20,MIN(AJ18+AJ19,AJ17))</f>
        <v>12</v>
      </c>
      <c r="AK20" s="18" t="n">
        <f aca="false">MIN(AK18+AK19,AK17)</f>
        <v>15</v>
      </c>
    </row>
    <row r="21" customFormat="false" ht="22" hidden="false" customHeight="true" outlineLevel="0" collapsed="false">
      <c r="A21" s="10" t="s">
        <v>21</v>
      </c>
      <c r="B21" s="29" t="str">
        <f aca="false">IF(COUNT(B18,B19,B20)=3,MAX(0,B18+B19-B20),"")</f>
        <v/>
      </c>
      <c r="C21" s="17" t="n">
        <f aca="false">MAX(0,C18+C19-C20)</f>
        <v>0</v>
      </c>
      <c r="D21" s="18" t="n">
        <f aca="false">MAX(0,D18+D19-D20)</f>
        <v>0</v>
      </c>
      <c r="E21" s="29" t="str">
        <f aca="false">IF(COUNT(E18,E19,E20)=3,MAX(0,E18+E19-E20),"")</f>
        <v/>
      </c>
      <c r="F21" s="17" t="n">
        <f aca="false">MAX(0,F18+F19-F20)</f>
        <v>0</v>
      </c>
      <c r="G21" s="18" t="n">
        <f aca="false">MAX(0,G18+G19-G20)</f>
        <v>0</v>
      </c>
      <c r="H21" s="29" t="str">
        <f aca="false">IF(COUNT(H18,H19,H20)=3,MAX(0,H18+H19-H20),"")</f>
        <v/>
      </c>
      <c r="I21" s="17" t="n">
        <f aca="false">MAX(0,I18+I19-I20)</f>
        <v>0</v>
      </c>
      <c r="J21" s="18" t="n">
        <f aca="false">MAX(0,J18+J19-J20)</f>
        <v>0</v>
      </c>
      <c r="K21" s="29" t="str">
        <f aca="false">IF(COUNT(K18,K19,K20)=3,MAX(0,K18+K19-K20),"")</f>
        <v/>
      </c>
      <c r="L21" s="17" t="n">
        <f aca="false">MAX(0,L18+L19-L20)</f>
        <v>0</v>
      </c>
      <c r="M21" s="18" t="n">
        <f aca="false">MAX(0,M18+M19-M20)</f>
        <v>0</v>
      </c>
      <c r="N21" s="29" t="str">
        <f aca="false">IF(COUNT(N18,N19,N20)=3,MAX(0,N18+N19-N20),"")</f>
        <v/>
      </c>
      <c r="O21" s="17" t="n">
        <f aca="false">MAX(0,O18+O19-O20)</f>
        <v>0</v>
      </c>
      <c r="P21" s="18" t="n">
        <f aca="false">MAX(0,P18+P19-P20)</f>
        <v>0</v>
      </c>
      <c r="Q21" s="29" t="str">
        <f aca="false">IF(COUNT(Q18,Q19,Q20)=3,MAX(0,Q18+Q19-Q20),"")</f>
        <v/>
      </c>
      <c r="R21" s="17" t="n">
        <f aca="false">MAX(0,R18+R19-R20)</f>
        <v>0</v>
      </c>
      <c r="S21" s="18" t="n">
        <f aca="false">MAX(0,S18+S19-S20)</f>
        <v>0</v>
      </c>
      <c r="T21" s="29" t="str">
        <f aca="false">IF(COUNT(T18,T19,T20)=3,MAX(0,T18+T19-T20),"")</f>
        <v/>
      </c>
      <c r="U21" s="17" t="n">
        <f aca="false">MAX(0,U18+U19-U20)</f>
        <v>0</v>
      </c>
      <c r="V21" s="18" t="n">
        <f aca="false">MAX(0,V18+V19-V20)</f>
        <v>0</v>
      </c>
      <c r="W21" s="29" t="str">
        <f aca="false">IF(COUNT(W18,W19,W20)=3,MAX(0,W18+W19-W20),"")</f>
        <v/>
      </c>
      <c r="X21" s="17" t="n">
        <f aca="false">MAX(0,X18+X19-X20)</f>
        <v>0</v>
      </c>
      <c r="Y21" s="18" t="n">
        <f aca="false">MAX(0,Y18+Y19-Y20)</f>
        <v>0</v>
      </c>
      <c r="Z21" s="29" t="str">
        <f aca="false">IF(COUNT(Z18,Z19,Z20)=3,MAX(0,Z18+Z19-Z20),"")</f>
        <v/>
      </c>
      <c r="AA21" s="17" t="n">
        <f aca="false">MAX(0,AA18+AA19-AA20)</f>
        <v>0</v>
      </c>
      <c r="AB21" s="18" t="n">
        <f aca="false">MAX(0,AB18+AB19-AB20)</f>
        <v>0</v>
      </c>
      <c r="AC21" s="29" t="str">
        <f aca="false">IF(COUNT(AC18,AC19,AC20)=3,MAX(0,AC18+AC19-AC20),"")</f>
        <v/>
      </c>
      <c r="AD21" s="17" t="n">
        <f aca="false">MAX(0,AD18+AD19-AD20)</f>
        <v>0</v>
      </c>
      <c r="AE21" s="18" t="n">
        <f aca="false">MAX(0,AE18+AE19-AE20)</f>
        <v>0</v>
      </c>
      <c r="AF21" s="29" t="n">
        <f aca="false">IF(COUNT(AF18,AF19,AF20)=3,MAX(0,AF18+AF19-AF20),"")</f>
        <v>0</v>
      </c>
      <c r="AG21" s="17" t="n">
        <f aca="false">MAX(0,AG18+AG19-AG20)</f>
        <v>0</v>
      </c>
      <c r="AH21" s="18" t="n">
        <f aca="false">MAX(0,AH18+AH19-AH20)</f>
        <v>0</v>
      </c>
      <c r="AI21" s="29" t="n">
        <f aca="false">IF(COUNT(AI18,AI19,AI20)=3,MAX(0,AI18+AI19-AI20),"")</f>
        <v>3</v>
      </c>
      <c r="AJ21" s="17" t="n">
        <f aca="false">MAX(0,AJ18+AJ19-AJ20)</f>
        <v>3</v>
      </c>
      <c r="AK21" s="18" t="n">
        <f aca="false">MAX(0,AK18+AK19-AK20)</f>
        <v>0</v>
      </c>
    </row>
    <row r="22" customFormat="false" ht="22" hidden="false" customHeight="true" outlineLevel="0" collapsed="false">
      <c r="A22" s="10"/>
      <c r="B22" s="29"/>
      <c r="C22" s="17"/>
      <c r="D22" s="18"/>
      <c r="E22" s="29"/>
      <c r="F22" s="17"/>
      <c r="G22" s="18"/>
      <c r="H22" s="29"/>
      <c r="I22" s="17"/>
      <c r="J22" s="18"/>
      <c r="K22" s="29"/>
      <c r="L22" s="17"/>
      <c r="M22" s="18"/>
      <c r="N22" s="29"/>
      <c r="O22" s="17"/>
      <c r="P22" s="18"/>
      <c r="Q22" s="29"/>
      <c r="R22" s="17"/>
      <c r="S22" s="18"/>
      <c r="T22" s="29"/>
      <c r="U22" s="17"/>
      <c r="V22" s="18"/>
      <c r="W22" s="29"/>
      <c r="X22" s="17"/>
      <c r="Y22" s="18"/>
      <c r="Z22" s="29"/>
      <c r="AA22" s="17"/>
      <c r="AB22" s="18"/>
      <c r="AC22" s="29"/>
      <c r="AD22" s="17"/>
      <c r="AE22" s="18"/>
      <c r="AF22" s="29"/>
      <c r="AG22" s="17"/>
      <c r="AH22" s="18"/>
      <c r="AI22" s="29"/>
      <c r="AJ22" s="17"/>
      <c r="AK22" s="18"/>
    </row>
    <row r="23" customFormat="false" ht="22" hidden="false" customHeight="true" outlineLevel="0" collapsed="false">
      <c r="A23" s="28" t="s">
        <v>22</v>
      </c>
      <c r="B23" s="28" t="s">
        <v>22</v>
      </c>
      <c r="C23" s="28" t="s">
        <v>22</v>
      </c>
      <c r="D23" s="28" t="s">
        <v>22</v>
      </c>
      <c r="E23" s="28" t="s">
        <v>22</v>
      </c>
      <c r="F23" s="28" t="s">
        <v>22</v>
      </c>
      <c r="G23" s="28" t="s">
        <v>22</v>
      </c>
      <c r="H23" s="28" t="s">
        <v>22</v>
      </c>
      <c r="I23" s="28" t="s">
        <v>22</v>
      </c>
      <c r="J23" s="28" t="s">
        <v>22</v>
      </c>
      <c r="K23" s="28" t="s">
        <v>22</v>
      </c>
      <c r="L23" s="28" t="s">
        <v>22</v>
      </c>
      <c r="M23" s="28" t="s">
        <v>22</v>
      </c>
      <c r="N23" s="28" t="s">
        <v>22</v>
      </c>
      <c r="O23" s="28" t="s">
        <v>22</v>
      </c>
      <c r="P23" s="28" t="s">
        <v>22</v>
      </c>
      <c r="Q23" s="28" t="s">
        <v>22</v>
      </c>
      <c r="R23" s="28" t="s">
        <v>22</v>
      </c>
      <c r="S23" s="28" t="s">
        <v>22</v>
      </c>
      <c r="T23" s="28" t="s">
        <v>22</v>
      </c>
      <c r="U23" s="28" t="s">
        <v>22</v>
      </c>
      <c r="V23" s="28" t="s">
        <v>22</v>
      </c>
      <c r="W23" s="28" t="s">
        <v>22</v>
      </c>
      <c r="X23" s="28" t="s">
        <v>22</v>
      </c>
      <c r="Y23" s="28" t="s">
        <v>22</v>
      </c>
      <c r="Z23" s="28" t="s">
        <v>22</v>
      </c>
      <c r="AA23" s="28" t="s">
        <v>22</v>
      </c>
      <c r="AB23" s="28" t="s">
        <v>22</v>
      </c>
      <c r="AC23" s="28" t="s">
        <v>22</v>
      </c>
      <c r="AD23" s="28" t="s">
        <v>22</v>
      </c>
      <c r="AE23" s="28" t="s">
        <v>22</v>
      </c>
      <c r="AF23" s="28" t="s">
        <v>22</v>
      </c>
      <c r="AG23" s="28" t="s">
        <v>22</v>
      </c>
      <c r="AH23" s="28" t="s">
        <v>22</v>
      </c>
      <c r="AI23" s="28" t="s">
        <v>22</v>
      </c>
      <c r="AJ23" s="28" t="s">
        <v>22</v>
      </c>
      <c r="AK23" s="28" t="s">
        <v>22</v>
      </c>
    </row>
    <row r="24" customFormat="false" ht="22" hidden="false" customHeight="true" outlineLevel="0" collapsed="false">
      <c r="A24" s="10" t="s">
        <v>23</v>
      </c>
      <c r="B24" s="11"/>
      <c r="C24" s="12" t="n">
        <v>1</v>
      </c>
      <c r="D24" s="13" t="n">
        <v>1</v>
      </c>
      <c r="E24" s="11"/>
      <c r="F24" s="12" t="n">
        <v>1</v>
      </c>
      <c r="G24" s="13" t="n">
        <v>1</v>
      </c>
      <c r="H24" s="11"/>
      <c r="I24" s="12" t="n">
        <v>1</v>
      </c>
      <c r="J24" s="13" t="n">
        <v>1</v>
      </c>
      <c r="K24" s="11"/>
      <c r="L24" s="12" t="n">
        <v>1</v>
      </c>
      <c r="M24" s="13" t="n">
        <v>1</v>
      </c>
      <c r="N24" s="11"/>
      <c r="O24" s="12" t="n">
        <v>1</v>
      </c>
      <c r="P24" s="13" t="n">
        <v>1</v>
      </c>
      <c r="Q24" s="11"/>
      <c r="R24" s="12" t="n">
        <v>1</v>
      </c>
      <c r="S24" s="13" t="n">
        <v>1</v>
      </c>
      <c r="T24" s="11"/>
      <c r="U24" s="12" t="n">
        <v>1</v>
      </c>
      <c r="V24" s="13" t="n">
        <v>1</v>
      </c>
      <c r="W24" s="11"/>
      <c r="X24" s="12" t="n">
        <v>1</v>
      </c>
      <c r="Y24" s="13" t="n">
        <v>1</v>
      </c>
      <c r="Z24" s="11"/>
      <c r="AA24" s="12" t="n">
        <v>1</v>
      </c>
      <c r="AB24" s="13" t="n">
        <v>1</v>
      </c>
      <c r="AC24" s="11"/>
      <c r="AD24" s="12" t="n">
        <v>1</v>
      </c>
      <c r="AE24" s="13" t="n">
        <v>1</v>
      </c>
      <c r="AF24" s="11" t="n">
        <v>1</v>
      </c>
      <c r="AG24" s="12" t="n">
        <v>1</v>
      </c>
      <c r="AH24" s="13" t="n">
        <v>1</v>
      </c>
      <c r="AI24" s="11" t="n">
        <v>1</v>
      </c>
      <c r="AJ24" s="12" t="n">
        <v>1</v>
      </c>
      <c r="AK24" s="13" t="n">
        <v>1</v>
      </c>
    </row>
    <row r="25" customFormat="false" ht="22" hidden="false" customHeight="true" outlineLevel="0" collapsed="false">
      <c r="A25" s="10" t="s">
        <v>24</v>
      </c>
      <c r="B25" s="29" t="n">
        <f aca="false">IF(B24&gt;=12,$B$43,IFERROR(INDEX($B$20:$AK$20,1,MIN(36,MAX(1,1+3*B$24+0))),""))</f>
        <v>0</v>
      </c>
      <c r="C25" s="17" t="n">
        <f aca="false">IF(C$24&gt;=12,$B$43,IF(INDEX($B$20:$AK$20,1,MIN(36,MAX(1,1+3*C$24+0)))&lt;&gt;"",INDEX($B$20:$AK$20,1,MIN(36,MAX(1,1+3*C$24+0))),INDEX($B$20:$AK$20,1,MIN(36,MAX(1,1+3*C$24+1)))))</f>
        <v>12</v>
      </c>
      <c r="D25" s="18" t="n">
        <f aca="false">IF(D$24&gt;=12,$B$43,INDEX($B$20:$AK$20,1,MIN(36,MAX(1,1+3*D$24+2))))</f>
        <v>12</v>
      </c>
      <c r="E25" s="29" t="n">
        <f aca="false">IF(E24&gt;=11,$B$43,IFERROR(INDEX($B$20:$AK$20,1,MIN(36,MAX(1,4+3*E$24+0))),""))</f>
        <v>0</v>
      </c>
      <c r="F25" s="17" t="n">
        <f aca="false">IF(F$24&gt;=11,$B$43,IF(INDEX($B$20:$AK$20,1,MIN(36,MAX(1,4+3*F$24+0)))&lt;&gt;"",INDEX($B$20:$AK$20,1,MIN(36,MAX(1,4+3*F$24+0))),INDEX($B$20:$AK$20,1,MIN(36,MAX(1,4+3*F$24+1)))))</f>
        <v>12</v>
      </c>
      <c r="G25" s="18" t="n">
        <f aca="false">IF(G$24&gt;=11,$B$43,INDEX($B$20:$AK$20,1,MIN(36,MAX(1,4+3*G$24+2))))</f>
        <v>12</v>
      </c>
      <c r="H25" s="29" t="n">
        <f aca="false">IF(H24&gt;=10,$B$43,IFERROR(INDEX($B$20:$AK$20,1,MIN(36,MAX(1,7+3*H$24+0))),""))</f>
        <v>0</v>
      </c>
      <c r="I25" s="17" t="n">
        <f aca="false">IF(I$24&gt;=10,$B$43,IF(INDEX($B$20:$AK$20,1,MIN(36,MAX(1,7+3*I$24+0)))&lt;&gt;"",INDEX($B$20:$AK$20,1,MIN(36,MAX(1,7+3*I$24+0))),INDEX($B$20:$AK$20,1,MIN(36,MAX(1,7+3*I$24+1)))))</f>
        <v>12</v>
      </c>
      <c r="J25" s="18" t="n">
        <f aca="false">IF(J$24&gt;=10,$B$43,INDEX($B$20:$AK$20,1,MIN(36,MAX(1,7+3*J$24+2))))</f>
        <v>12</v>
      </c>
      <c r="K25" s="29" t="n">
        <f aca="false">IF(K24&gt;=9,$B$43,IFERROR(INDEX($B$20:$AK$20,1,MIN(36,MAX(1,10+3*K$24+0))),""))</f>
        <v>0</v>
      </c>
      <c r="L25" s="17" t="n">
        <f aca="false">IF(L$24&gt;=9,$B$43,IF(INDEX($B$20:$AK$20,1,MIN(36,MAX(1,10+3*L$24+0)))&lt;&gt;"",INDEX($B$20:$AK$20,1,MIN(36,MAX(1,10+3*L$24+0))),INDEX($B$20:$AK$20,1,MIN(36,MAX(1,10+3*L$24+1)))))</f>
        <v>11</v>
      </c>
      <c r="M25" s="18" t="n">
        <f aca="false">IF(M$24&gt;=9,$B$43,INDEX($B$20:$AK$20,1,MIN(36,MAX(1,10+3*M$24+2))))</f>
        <v>11</v>
      </c>
      <c r="N25" s="29" t="n">
        <f aca="false">IF(N24&gt;=8,$B$43,IFERROR(INDEX($B$20:$AK$20,1,MIN(36,MAX(1,13+3*N$24+0))),""))</f>
        <v>0</v>
      </c>
      <c r="O25" s="17" t="n">
        <f aca="false">IF(O$24&gt;=8,$B$43,IF(INDEX($B$20:$AK$20,1,MIN(36,MAX(1,13+3*O$24+0)))&lt;&gt;"",INDEX($B$20:$AK$20,1,MIN(36,MAX(1,13+3*O$24+0))),INDEX($B$20:$AK$20,1,MIN(36,MAX(1,13+3*O$24+1)))))</f>
        <v>11</v>
      </c>
      <c r="P25" s="18" t="n">
        <f aca="false">IF(P$24&gt;=8,$B$43,INDEX($B$20:$AK$20,1,MIN(36,MAX(1,13+3*P$24+2))))</f>
        <v>11</v>
      </c>
      <c r="Q25" s="29" t="n">
        <f aca="false">IF(Q24&gt;=7,$B$43,IFERROR(INDEX($B$20:$AK$20,1,MIN(36,MAX(1,16+3*Q$24+0))),""))</f>
        <v>0</v>
      </c>
      <c r="R25" s="17" t="n">
        <f aca="false">IF(R$24&gt;=7,$B$43,IF(INDEX($B$20:$AK$20,1,MIN(36,MAX(1,16+3*R$24+0)))&lt;&gt;"",INDEX($B$20:$AK$20,1,MIN(36,MAX(1,16+3*R$24+0))),INDEX($B$20:$AK$20,1,MIN(36,MAX(1,16+3*R$24+1)))))</f>
        <v>11</v>
      </c>
      <c r="S25" s="18" t="n">
        <f aca="false">IF(S$24&gt;=7,$B$43,INDEX($B$20:$AK$20,1,MIN(36,MAX(1,16+3*S$24+2))))</f>
        <v>11</v>
      </c>
      <c r="T25" s="29" t="n">
        <f aca="false">IF(T24&gt;=6,$B$43,IFERROR(INDEX($B$20:$AK$20,1,MIN(36,MAX(1,19+3*T$24+0))),""))</f>
        <v>0</v>
      </c>
      <c r="U25" s="17" t="n">
        <f aca="false">IF(U$24&gt;=6,$B$43,IF(INDEX($B$20:$AK$20,1,MIN(36,MAX(1,19+3*U$24+0)))&lt;&gt;"",INDEX($B$20:$AK$20,1,MIN(36,MAX(1,19+3*U$24+0))),INDEX($B$20:$AK$20,1,MIN(36,MAX(1,19+3*U$24+1)))))</f>
        <v>11</v>
      </c>
      <c r="V25" s="18" t="n">
        <f aca="false">IF(V$24&gt;=6,$B$43,INDEX($B$20:$AK$20,1,MIN(36,MAX(1,19+3*V$24+2))))</f>
        <v>11</v>
      </c>
      <c r="W25" s="29" t="n">
        <f aca="false">IF(W24&gt;=5,$B$43,IFERROR(INDEX($B$20:$AK$20,1,MIN(36,MAX(1,22+3*W$24+0))),""))</f>
        <v>0</v>
      </c>
      <c r="X25" s="17" t="n">
        <f aca="false">IF(X$24&gt;=5,$B$43,IF(INDEX($B$20:$AK$20,1,MIN(36,MAX(1,22+3*X$24+0)))&lt;&gt;"",INDEX($B$20:$AK$20,1,MIN(36,MAX(1,22+3*X$24+0))),INDEX($B$20:$AK$20,1,MIN(36,MAX(1,22+3*X$24+1)))))</f>
        <v>10</v>
      </c>
      <c r="Y25" s="18" t="n">
        <f aca="false">IF(Y$24&gt;=5,$B$43,INDEX($B$20:$AK$20,1,MIN(36,MAX(1,22+3*Y$24+2))))</f>
        <v>10</v>
      </c>
      <c r="Z25" s="29" t="n">
        <f aca="false">IF(Z24&gt;=4,$B$43,IFERROR(INDEX($B$20:$AK$20,1,MIN(36,MAX(1,25+3*Z$24+0))),""))</f>
        <v>0</v>
      </c>
      <c r="AA25" s="17" t="n">
        <f aca="false">IF(AA$24&gt;=4,$B$43,IF(INDEX($B$20:$AK$20,1,MIN(36,MAX(1,25+3*AA$24+0)))&lt;&gt;"",INDEX($B$20:$AK$20,1,MIN(36,MAX(1,25+3*AA$24+0))),INDEX($B$20:$AK$20,1,MIN(36,MAX(1,25+3*AA$24+1)))))</f>
        <v>8</v>
      </c>
      <c r="AB25" s="18" t="n">
        <f aca="false">IF(AB$24&gt;=4,$B$43,INDEX($B$20:$AK$20,1,MIN(36,MAX(1,25+3*AB$24+2))))</f>
        <v>10</v>
      </c>
      <c r="AC25" s="29" t="n">
        <f aca="false">IF(AC24&gt;=3,$B$43,IFERROR(INDEX($B$20:$AK$20,1,MIN(36,MAX(1,28+3*AC$24+0))),""))</f>
        <v>0</v>
      </c>
      <c r="AD25" s="17" t="n">
        <f aca="false">IF(AD$24&gt;=3,$B$43,IF(INDEX($B$20:$AK$20,1,MIN(36,MAX(1,28+3*AD$24+0)))&lt;&gt;"",INDEX($B$20:$AK$20,1,MIN(36,MAX(1,28+3*AD$24+0))),INDEX($B$20:$AK$20,1,MIN(36,MAX(1,28+3*AD$24+1)))))</f>
        <v>10</v>
      </c>
      <c r="AE25" s="18" t="n">
        <f aca="false">IF(AE$24&gt;=3,$B$43,INDEX($B$20:$AK$20,1,MIN(36,MAX(1,28+3*AE$24+2))))</f>
        <v>10</v>
      </c>
      <c r="AF25" s="29" t="n">
        <f aca="false">IF(AF24&gt;=2,$B$43,IFERROR(INDEX($B$20:$AK$20,1,MIN(36,MAX(1,31+3*AF$24+0))),""))</f>
        <v>12</v>
      </c>
      <c r="AG25" s="17" t="n">
        <f aca="false">IF(AG$24&gt;=2,$B$43,IF(INDEX($B$20:$AK$20,1,MIN(36,MAX(1,31+3*AG$24+0)))&lt;&gt;"",INDEX($B$20:$AK$20,1,MIN(36,MAX(1,31+3*AG$24+0))),INDEX($B$20:$AK$20,1,MIN(36,MAX(1,31+3*AG$24+1)))))</f>
        <v>12</v>
      </c>
      <c r="AH25" s="18" t="n">
        <f aca="false">IF(AH$24&gt;=2,$B$43,INDEX($B$20:$AK$20,1,MIN(36,MAX(1,31+3*AH$24+2))))</f>
        <v>15</v>
      </c>
      <c r="AI25" s="29" t="n">
        <f aca="false">IF(AI24&gt;=1,$B$43,IFERROR(INDEX($B$20:$AK$20,1,MIN(36,MAX(1,34+3*AI$24+0))),""))</f>
        <v>10</v>
      </c>
      <c r="AJ25" s="17" t="n">
        <f aca="false">IF(AJ$24&gt;=1,$B$43,IF(INDEX($B$20:$AK$20,1,MIN(36,MAX(1,34+3*AJ$24+0)))&lt;&gt;"",INDEX($B$20:$AK$20,1,MIN(36,MAX(1,34+3*AJ$24+0))),INDEX($B$20:$AK$20,1,MIN(36,MAX(1,34+3*AJ$24+1)))))</f>
        <v>10</v>
      </c>
      <c r="AK25" s="18" t="n">
        <f aca="false">IF(AK$24&gt;=1,$B$43,INDEX($B$20:$AK$20,1,MIN(36,MAX(1,34+3*AK$24+2))))</f>
        <v>10</v>
      </c>
    </row>
    <row r="26" customFormat="false" ht="22" hidden="false" customHeight="true" outlineLevel="0" collapsed="false">
      <c r="A26" s="10" t="s">
        <v>25</v>
      </c>
      <c r="B26" s="11"/>
      <c r="C26" s="17" t="n">
        <f aca="false">IF(B26&lt;&gt;"",B26,C25)</f>
        <v>12</v>
      </c>
      <c r="D26" s="18" t="n">
        <f aca="false">D25</f>
        <v>12</v>
      </c>
      <c r="E26" s="11"/>
      <c r="F26" s="17" t="n">
        <f aca="false">IF(E26&lt;&gt;"",E26,F25)</f>
        <v>12</v>
      </c>
      <c r="G26" s="18" t="n">
        <f aca="false">G25</f>
        <v>12</v>
      </c>
      <c r="H26" s="11"/>
      <c r="I26" s="17" t="n">
        <f aca="false">IF(H26&lt;&gt;"",H26,I25)</f>
        <v>12</v>
      </c>
      <c r="J26" s="18" t="n">
        <f aca="false">J25</f>
        <v>12</v>
      </c>
      <c r="K26" s="11"/>
      <c r="L26" s="17" t="n">
        <f aca="false">IF(K26&lt;&gt;"",K26,L25)</f>
        <v>11</v>
      </c>
      <c r="M26" s="18" t="n">
        <f aca="false">M25</f>
        <v>11</v>
      </c>
      <c r="N26" s="11"/>
      <c r="O26" s="17" t="n">
        <f aca="false">IF(N26&lt;&gt;"",N26,O25)</f>
        <v>11</v>
      </c>
      <c r="P26" s="18" t="n">
        <f aca="false">P25</f>
        <v>11</v>
      </c>
      <c r="Q26" s="11"/>
      <c r="R26" s="17" t="n">
        <f aca="false">IF(Q26&lt;&gt;"",Q26,R25)</f>
        <v>11</v>
      </c>
      <c r="S26" s="18" t="n">
        <f aca="false">S25</f>
        <v>11</v>
      </c>
      <c r="T26" s="11"/>
      <c r="U26" s="17" t="n">
        <f aca="false">IF(T26&lt;&gt;"",T26,U25)</f>
        <v>11</v>
      </c>
      <c r="V26" s="18" t="n">
        <f aca="false">V25</f>
        <v>11</v>
      </c>
      <c r="W26" s="11"/>
      <c r="X26" s="17" t="n">
        <f aca="false">IF(W26&lt;&gt;"",W26,X25)</f>
        <v>10</v>
      </c>
      <c r="Y26" s="18" t="n">
        <f aca="false">Y25</f>
        <v>10</v>
      </c>
      <c r="Z26" s="11"/>
      <c r="AA26" s="17" t="n">
        <f aca="false">IF(Z26&lt;&gt;"",Z26,AA25)</f>
        <v>8</v>
      </c>
      <c r="AB26" s="18" t="n">
        <f aca="false">AB25</f>
        <v>10</v>
      </c>
      <c r="AC26" s="11"/>
      <c r="AD26" s="17" t="n">
        <f aca="false">IF(AC26&lt;&gt;"",AC26,AD25)</f>
        <v>10</v>
      </c>
      <c r="AE26" s="18" t="n">
        <f aca="false">AE25</f>
        <v>10</v>
      </c>
      <c r="AF26" s="11" t="n">
        <v>12</v>
      </c>
      <c r="AG26" s="17" t="n">
        <f aca="false">IF(AF26&lt;&gt;"",AF26,AG25)</f>
        <v>12</v>
      </c>
      <c r="AH26" s="18" t="n">
        <f aca="false">AH25</f>
        <v>15</v>
      </c>
      <c r="AI26" s="11" t="n">
        <v>10</v>
      </c>
      <c r="AJ26" s="17" t="n">
        <f aca="false">IF(AI26&lt;&gt;"",AI26,AJ25)</f>
        <v>10</v>
      </c>
      <c r="AK26" s="18" t="n">
        <f aca="false">AK25</f>
        <v>10</v>
      </c>
    </row>
    <row r="27" customFormat="false" ht="22" hidden="false" customHeight="true" outlineLevel="0" collapsed="false">
      <c r="A27" s="10" t="s">
        <v>26</v>
      </c>
      <c r="B27" s="19"/>
      <c r="C27" s="23" t="n">
        <f aca="false">IF(B27&lt;&gt;"",B27,C26*IF(B10&lt;&gt;"",B10,C10))</f>
        <v>60000</v>
      </c>
      <c r="D27" s="24" t="n">
        <f aca="false">D26*D10</f>
        <v>60000</v>
      </c>
      <c r="E27" s="19"/>
      <c r="F27" s="23" t="n">
        <f aca="false">IF(E27&lt;&gt;"",E27,F26*IF(E10&lt;&gt;"",E10,F10))</f>
        <v>60000</v>
      </c>
      <c r="G27" s="24" t="n">
        <f aca="false">G26*G10</f>
        <v>60000</v>
      </c>
      <c r="H27" s="19"/>
      <c r="I27" s="23" t="n">
        <f aca="false">IF(H27&lt;&gt;"",H27,I26*IF(H10&lt;&gt;"",H10,I10))</f>
        <v>60000</v>
      </c>
      <c r="J27" s="24" t="n">
        <f aca="false">J26*J10</f>
        <v>60000</v>
      </c>
      <c r="K27" s="19"/>
      <c r="L27" s="23" t="n">
        <f aca="false">IF(K27&lt;&gt;"",K27,L26*IF(K10&lt;&gt;"",K10,L10))</f>
        <v>55000</v>
      </c>
      <c r="M27" s="24" t="n">
        <f aca="false">M26*M10</f>
        <v>55000</v>
      </c>
      <c r="N27" s="19"/>
      <c r="O27" s="23" t="n">
        <f aca="false">IF(N27&lt;&gt;"",N27,O26*IF(N10&lt;&gt;"",N10,O10))</f>
        <v>55000</v>
      </c>
      <c r="P27" s="24" t="n">
        <f aca="false">P26*P10</f>
        <v>55000</v>
      </c>
      <c r="Q27" s="19"/>
      <c r="R27" s="23" t="n">
        <f aca="false">IF(Q27&lt;&gt;"",Q27,R26*IF(Q10&lt;&gt;"",Q10,R10))</f>
        <v>55000</v>
      </c>
      <c r="S27" s="24" t="n">
        <f aca="false">S26*S10</f>
        <v>55000</v>
      </c>
      <c r="T27" s="19"/>
      <c r="U27" s="23" t="n">
        <f aca="false">IF(T27&lt;&gt;"",T27,U26*IF(T10&lt;&gt;"",T10,U10))</f>
        <v>55000</v>
      </c>
      <c r="V27" s="24" t="n">
        <f aca="false">V26*V10</f>
        <v>55000</v>
      </c>
      <c r="W27" s="19"/>
      <c r="X27" s="23" t="n">
        <f aca="false">IF(W27&lt;&gt;"",W27,X26*IF(W10&lt;&gt;"",W10,X10))</f>
        <v>50000</v>
      </c>
      <c r="Y27" s="24" t="n">
        <f aca="false">Y26*Y10</f>
        <v>50000</v>
      </c>
      <c r="Z27" s="19"/>
      <c r="AA27" s="23" t="n">
        <f aca="false">IF(Z27&lt;&gt;"",Z27,AA26*IF(Z10&lt;&gt;"",Z10,AA10))</f>
        <v>40000</v>
      </c>
      <c r="AB27" s="24" t="n">
        <f aca="false">AB26*AB10</f>
        <v>50000</v>
      </c>
      <c r="AC27" s="19"/>
      <c r="AD27" s="23" t="n">
        <f aca="false">IF(AC27&lt;&gt;"",AC27,AD26*IF(AC10&lt;&gt;"",AC10,AD10))</f>
        <v>50000</v>
      </c>
      <c r="AE27" s="24" t="n">
        <f aca="false">AE26*AE10</f>
        <v>50000</v>
      </c>
      <c r="AF27" s="19" t="n">
        <v>60000</v>
      </c>
      <c r="AG27" s="23" t="n">
        <f aca="false">IF(AF27&lt;&gt;"",AF27,AG26*IF(AF10&lt;&gt;"",AF10,AG10))</f>
        <v>60000</v>
      </c>
      <c r="AH27" s="24" t="n">
        <f aca="false">AH26*AH10</f>
        <v>75000</v>
      </c>
      <c r="AI27" s="19" t="n">
        <v>50000</v>
      </c>
      <c r="AJ27" s="23" t="n">
        <f aca="false">IF(AI27&lt;&gt;"",AI27,AJ26*IF(AI10&lt;&gt;"",AI10,AJ10))</f>
        <v>50000</v>
      </c>
      <c r="AK27" s="24" t="n">
        <f aca="false">AK26*AK10</f>
        <v>50000</v>
      </c>
    </row>
    <row r="28" customFormat="false" ht="22" hidden="false" customHeight="true" outlineLevel="0" collapsed="false">
      <c r="A28" s="10"/>
      <c r="B28" s="22"/>
      <c r="C28" s="23"/>
      <c r="D28" s="24"/>
      <c r="E28" s="22"/>
      <c r="F28" s="23"/>
      <c r="G28" s="24"/>
      <c r="H28" s="22"/>
      <c r="I28" s="23"/>
      <c r="J28" s="24"/>
      <c r="K28" s="22"/>
      <c r="L28" s="23"/>
      <c r="M28" s="24"/>
      <c r="N28" s="22"/>
      <c r="O28" s="23"/>
      <c r="P28" s="24"/>
      <c r="Q28" s="22"/>
      <c r="R28" s="23"/>
      <c r="S28" s="24"/>
      <c r="T28" s="22"/>
      <c r="U28" s="23"/>
      <c r="V28" s="24"/>
      <c r="W28" s="22"/>
      <c r="X28" s="23"/>
      <c r="Y28" s="24"/>
      <c r="Z28" s="22"/>
      <c r="AA28" s="23"/>
      <c r="AB28" s="24"/>
      <c r="AC28" s="22"/>
      <c r="AD28" s="23"/>
      <c r="AE28" s="24"/>
      <c r="AF28" s="22"/>
      <c r="AG28" s="23"/>
      <c r="AH28" s="24"/>
      <c r="AI28" s="22"/>
      <c r="AJ28" s="23"/>
      <c r="AK28" s="24"/>
    </row>
    <row r="29" customFormat="false" ht="22" hidden="false" customHeight="true" outlineLevel="0" collapsed="false">
      <c r="A29" s="28" t="s">
        <v>27</v>
      </c>
      <c r="B29" s="28" t="s">
        <v>27</v>
      </c>
      <c r="C29" s="28" t="s">
        <v>27</v>
      </c>
      <c r="D29" s="28" t="s">
        <v>27</v>
      </c>
      <c r="E29" s="28" t="s">
        <v>27</v>
      </c>
      <c r="F29" s="28" t="s">
        <v>27</v>
      </c>
      <c r="G29" s="28" t="s">
        <v>27</v>
      </c>
      <c r="H29" s="28" t="s">
        <v>27</v>
      </c>
      <c r="I29" s="28" t="s">
        <v>27</v>
      </c>
      <c r="J29" s="28" t="s">
        <v>27</v>
      </c>
      <c r="K29" s="28" t="s">
        <v>27</v>
      </c>
      <c r="L29" s="28" t="s">
        <v>27</v>
      </c>
      <c r="M29" s="28" t="s">
        <v>27</v>
      </c>
      <c r="N29" s="28" t="s">
        <v>27</v>
      </c>
      <c r="O29" s="28" t="s">
        <v>27</v>
      </c>
      <c r="P29" s="28" t="s">
        <v>27</v>
      </c>
      <c r="Q29" s="28" t="s">
        <v>27</v>
      </c>
      <c r="R29" s="28" t="s">
        <v>27</v>
      </c>
      <c r="S29" s="28" t="s">
        <v>27</v>
      </c>
      <c r="T29" s="28" t="s">
        <v>27</v>
      </c>
      <c r="U29" s="28" t="s">
        <v>27</v>
      </c>
      <c r="V29" s="28" t="s">
        <v>27</v>
      </c>
      <c r="W29" s="28" t="s">
        <v>27</v>
      </c>
      <c r="X29" s="28" t="s">
        <v>27</v>
      </c>
      <c r="Y29" s="28" t="s">
        <v>27</v>
      </c>
      <c r="Z29" s="28" t="s">
        <v>27</v>
      </c>
      <c r="AA29" s="28" t="s">
        <v>27</v>
      </c>
      <c r="AB29" s="28" t="s">
        <v>27</v>
      </c>
      <c r="AC29" s="28" t="s">
        <v>27</v>
      </c>
      <c r="AD29" s="28" t="s">
        <v>27</v>
      </c>
      <c r="AE29" s="28" t="s">
        <v>27</v>
      </c>
      <c r="AF29" s="28" t="s">
        <v>27</v>
      </c>
      <c r="AG29" s="28" t="s">
        <v>27</v>
      </c>
      <c r="AH29" s="28" t="s">
        <v>27</v>
      </c>
      <c r="AI29" s="28" t="s">
        <v>27</v>
      </c>
      <c r="AJ29" s="28" t="s">
        <v>27</v>
      </c>
      <c r="AK29" s="28" t="s">
        <v>27</v>
      </c>
    </row>
    <row r="30" customFormat="false" ht="22" hidden="false" customHeight="true" outlineLevel="0" collapsed="false">
      <c r="A30" s="10" t="s">
        <v>28</v>
      </c>
      <c r="B30" s="19"/>
      <c r="C30" s="20" t="n">
        <v>70000</v>
      </c>
      <c r="D30" s="21" t="n">
        <v>70000</v>
      </c>
      <c r="E30" s="19"/>
      <c r="F30" s="20" t="n">
        <v>70000</v>
      </c>
      <c r="G30" s="21" t="n">
        <v>70000</v>
      </c>
      <c r="H30" s="19"/>
      <c r="I30" s="20" t="n">
        <v>70000</v>
      </c>
      <c r="J30" s="21" t="n">
        <v>70000</v>
      </c>
      <c r="K30" s="19"/>
      <c r="L30" s="20" t="n">
        <v>70000</v>
      </c>
      <c r="M30" s="21" t="n">
        <v>70000</v>
      </c>
      <c r="N30" s="19"/>
      <c r="O30" s="20" t="n">
        <v>70000</v>
      </c>
      <c r="P30" s="21" t="n">
        <v>70000</v>
      </c>
      <c r="Q30" s="19"/>
      <c r="R30" s="20" t="n">
        <v>70000</v>
      </c>
      <c r="S30" s="21" t="n">
        <v>70000</v>
      </c>
      <c r="T30" s="19"/>
      <c r="U30" s="20" t="n">
        <v>70000</v>
      </c>
      <c r="V30" s="21" t="n">
        <v>70000</v>
      </c>
      <c r="W30" s="19"/>
      <c r="X30" s="20" t="n">
        <v>70000</v>
      </c>
      <c r="Y30" s="21" t="n">
        <v>70000</v>
      </c>
      <c r="Z30" s="19"/>
      <c r="AA30" s="20" t="n">
        <v>70000</v>
      </c>
      <c r="AB30" s="21" t="n">
        <v>70000</v>
      </c>
      <c r="AC30" s="19"/>
      <c r="AD30" s="20" t="n">
        <v>70000</v>
      </c>
      <c r="AE30" s="21" t="n">
        <v>70000</v>
      </c>
      <c r="AF30" s="19" t="n">
        <v>72000</v>
      </c>
      <c r="AG30" s="20" t="n">
        <v>70000</v>
      </c>
      <c r="AH30" s="21" t="n">
        <v>70000</v>
      </c>
      <c r="AI30" s="19" t="n">
        <v>78000</v>
      </c>
      <c r="AJ30" s="20" t="n">
        <v>70000</v>
      </c>
      <c r="AK30" s="21" t="n">
        <v>70000</v>
      </c>
    </row>
    <row r="31" customFormat="false" ht="22" hidden="false" customHeight="true" outlineLevel="0" collapsed="false">
      <c r="A31" s="10" t="s">
        <v>29</v>
      </c>
      <c r="B31" s="22" t="str">
        <f aca="false">IF(COUNT(B27,B30)=2,B27-B30,"")</f>
        <v/>
      </c>
      <c r="C31" s="23" t="n">
        <f aca="false">C27-IF(B30&lt;&gt;"",B30,C30)</f>
        <v>-10000</v>
      </c>
      <c r="D31" s="24" t="n">
        <f aca="false">D27-D30</f>
        <v>-10000</v>
      </c>
      <c r="E31" s="22" t="str">
        <f aca="false">IF(COUNT(E27,E30)=2,E27-E30,"")</f>
        <v/>
      </c>
      <c r="F31" s="23" t="n">
        <f aca="false">F27-IF(E30&lt;&gt;"",E30,F30)</f>
        <v>-10000</v>
      </c>
      <c r="G31" s="24" t="n">
        <f aca="false">G27-G30</f>
        <v>-10000</v>
      </c>
      <c r="H31" s="22" t="str">
        <f aca="false">IF(COUNT(H27,H30)=2,H27-H30,"")</f>
        <v/>
      </c>
      <c r="I31" s="23" t="n">
        <f aca="false">I27-IF(H30&lt;&gt;"",H30,I30)</f>
        <v>-10000</v>
      </c>
      <c r="J31" s="24" t="n">
        <f aca="false">J27-J30</f>
        <v>-10000</v>
      </c>
      <c r="K31" s="22" t="str">
        <f aca="false">IF(COUNT(K27,K30)=2,K27-K30,"")</f>
        <v/>
      </c>
      <c r="L31" s="23" t="n">
        <f aca="false">L27-IF(K30&lt;&gt;"",K30,L30)</f>
        <v>-15000</v>
      </c>
      <c r="M31" s="24" t="n">
        <f aca="false">M27-M30</f>
        <v>-15000</v>
      </c>
      <c r="N31" s="22" t="str">
        <f aca="false">IF(COUNT(N27,N30)=2,N27-N30,"")</f>
        <v/>
      </c>
      <c r="O31" s="23" t="n">
        <f aca="false">O27-IF(N30&lt;&gt;"",N30,O30)</f>
        <v>-15000</v>
      </c>
      <c r="P31" s="24" t="n">
        <f aca="false">P27-P30</f>
        <v>-15000</v>
      </c>
      <c r="Q31" s="22" t="str">
        <f aca="false">IF(COUNT(Q27,Q30)=2,Q27-Q30,"")</f>
        <v/>
      </c>
      <c r="R31" s="23" t="n">
        <f aca="false">R27-IF(Q30&lt;&gt;"",Q30,R30)</f>
        <v>-15000</v>
      </c>
      <c r="S31" s="24" t="n">
        <f aca="false">S27-S30</f>
        <v>-15000</v>
      </c>
      <c r="T31" s="22" t="str">
        <f aca="false">IF(COUNT(T27,T30)=2,T27-T30,"")</f>
        <v/>
      </c>
      <c r="U31" s="23" t="n">
        <f aca="false">U27-IF(T30&lt;&gt;"",T30,U30)</f>
        <v>-15000</v>
      </c>
      <c r="V31" s="24" t="n">
        <f aca="false">V27-V30</f>
        <v>-15000</v>
      </c>
      <c r="W31" s="22" t="str">
        <f aca="false">IF(COUNT(W27,W30)=2,W27-W30,"")</f>
        <v/>
      </c>
      <c r="X31" s="23" t="n">
        <f aca="false">X27-IF(W30&lt;&gt;"",W30,X30)</f>
        <v>-20000</v>
      </c>
      <c r="Y31" s="24" t="n">
        <f aca="false">Y27-Y30</f>
        <v>-20000</v>
      </c>
      <c r="Z31" s="22" t="str">
        <f aca="false">IF(COUNT(Z27,Z30)=2,Z27-Z30,"")</f>
        <v/>
      </c>
      <c r="AA31" s="23" t="n">
        <f aca="false">AA27-IF(Z30&lt;&gt;"",Z30,AA30)</f>
        <v>-30000</v>
      </c>
      <c r="AB31" s="24" t="n">
        <f aca="false">AB27-AB30</f>
        <v>-20000</v>
      </c>
      <c r="AC31" s="22" t="str">
        <f aca="false">IF(COUNT(AC27,AC30)=2,AC27-AC30,"")</f>
        <v/>
      </c>
      <c r="AD31" s="23" t="n">
        <f aca="false">AD27-IF(AC30&lt;&gt;"",AC30,AD30)</f>
        <v>-20000</v>
      </c>
      <c r="AE31" s="24" t="n">
        <f aca="false">AE27-AE30</f>
        <v>-20000</v>
      </c>
      <c r="AF31" s="22" t="n">
        <f aca="false">IF(COUNT(AF27,AF30)=2,AF27-AF30,"")</f>
        <v>-12000</v>
      </c>
      <c r="AG31" s="23" t="n">
        <f aca="false">AG27-IF(AF30&lt;&gt;"",AF30,AG30)</f>
        <v>-12000</v>
      </c>
      <c r="AH31" s="24" t="n">
        <f aca="false">AH27-AH30</f>
        <v>5000</v>
      </c>
      <c r="AI31" s="22" t="n">
        <f aca="false">IF(COUNT(AI27,AI30)=2,AI27-AI30,"")</f>
        <v>-28000</v>
      </c>
      <c r="AJ31" s="23" t="n">
        <f aca="false">AJ27-IF(AI30&lt;&gt;"",AI30,AJ30)</f>
        <v>-28000</v>
      </c>
      <c r="AK31" s="24" t="n">
        <f aca="false">AK27-AK30</f>
        <v>-20000</v>
      </c>
    </row>
    <row r="32" customFormat="false" ht="22" hidden="false" customHeight="true" outlineLevel="0" collapsed="false">
      <c r="A32" s="10" t="s">
        <v>30</v>
      </c>
      <c r="B32" s="22" t="str">
        <f aca="false">IF(E33&lt;&gt;"",E33,"")</f>
        <v/>
      </c>
      <c r="C32" s="23" t="n">
        <f aca="false">IF(E33&lt;&gt;"",E33,F33)</f>
        <v>60000</v>
      </c>
      <c r="D32" s="24" t="n">
        <f aca="false">G33</f>
        <v>95000</v>
      </c>
      <c r="E32" s="22" t="str">
        <f aca="false">IF(H33&lt;&gt;"",H33,"")</f>
        <v/>
      </c>
      <c r="F32" s="23" t="n">
        <f aca="false">IF(H33&lt;&gt;"",H33,I33)</f>
        <v>70000</v>
      </c>
      <c r="G32" s="24" t="n">
        <f aca="false">J33</f>
        <v>105000</v>
      </c>
      <c r="H32" s="22" t="str">
        <f aca="false">IF(K33&lt;&gt;"",K33,"")</f>
        <v/>
      </c>
      <c r="I32" s="23" t="n">
        <f aca="false">IF(K33&lt;&gt;"",K33,L33)</f>
        <v>80000</v>
      </c>
      <c r="J32" s="24" t="n">
        <f aca="false">M33</f>
        <v>115000</v>
      </c>
      <c r="K32" s="22" t="str">
        <f aca="false">IF(N33&lt;&gt;"",N33,"")</f>
        <v/>
      </c>
      <c r="L32" s="23" t="n">
        <f aca="false">IF(N33&lt;&gt;"",N33,O33)</f>
        <v>95000</v>
      </c>
      <c r="M32" s="24" t="n">
        <f aca="false">P33</f>
        <v>130000</v>
      </c>
      <c r="N32" s="22" t="str">
        <f aca="false">IF(Q33&lt;&gt;"",Q33,"")</f>
        <v/>
      </c>
      <c r="O32" s="23" t="n">
        <f aca="false">IF(Q33&lt;&gt;"",Q33,R33)</f>
        <v>110000</v>
      </c>
      <c r="P32" s="24" t="n">
        <f aca="false">S33</f>
        <v>145000</v>
      </c>
      <c r="Q32" s="22" t="str">
        <f aca="false">IF(T33&lt;&gt;"",T33,"")</f>
        <v/>
      </c>
      <c r="R32" s="23" t="n">
        <f aca="false">IF(T33&lt;&gt;"",T33,U33)</f>
        <v>125000</v>
      </c>
      <c r="S32" s="24" t="n">
        <f aca="false">V33</f>
        <v>160000</v>
      </c>
      <c r="T32" s="22" t="str">
        <f aca="false">IF(W33&lt;&gt;"",W33,"")</f>
        <v/>
      </c>
      <c r="U32" s="23" t="n">
        <f aca="false">IF(W33&lt;&gt;"",W33,X33)</f>
        <v>140000</v>
      </c>
      <c r="V32" s="24" t="n">
        <f aca="false">Y33</f>
        <v>175000</v>
      </c>
      <c r="W32" s="22" t="str">
        <f aca="false">IF(Z33&lt;&gt;"",Z33,"")</f>
        <v/>
      </c>
      <c r="X32" s="23" t="n">
        <f aca="false">IF(Z33&lt;&gt;"",Z33,AA33)</f>
        <v>160000</v>
      </c>
      <c r="Y32" s="24" t="n">
        <f aca="false">AB33</f>
        <v>195000</v>
      </c>
      <c r="Z32" s="22" t="str">
        <f aca="false">IF(AC33&lt;&gt;"",AC33,"")</f>
        <v/>
      </c>
      <c r="AA32" s="23" t="n">
        <f aca="false">IF(AC33&lt;&gt;"",AC33,AD33)</f>
        <v>190000</v>
      </c>
      <c r="AB32" s="24" t="n">
        <f aca="false">AE33</f>
        <v>215000</v>
      </c>
      <c r="AC32" s="22" t="n">
        <f aca="false">IF(AF33&lt;&gt;"",AF33,"")</f>
        <v>210000</v>
      </c>
      <c r="AD32" s="23" t="n">
        <f aca="false">IF(AF33&lt;&gt;"",AF33,AG33)</f>
        <v>210000</v>
      </c>
      <c r="AE32" s="24" t="n">
        <f aca="false">AH33</f>
        <v>235000</v>
      </c>
      <c r="AF32" s="22" t="n">
        <f aca="false">IF(AI33&lt;&gt;"",AI33,"")</f>
        <v>222000</v>
      </c>
      <c r="AG32" s="23" t="n">
        <f aca="false">IF(AI33&lt;&gt;"",AI33,AJ33)</f>
        <v>222000</v>
      </c>
      <c r="AH32" s="24" t="n">
        <f aca="false">AK33</f>
        <v>230000</v>
      </c>
      <c r="AI32" s="22" t="n">
        <f aca="false">$B$40</f>
        <v>250000</v>
      </c>
      <c r="AJ32" s="23" t="n">
        <f aca="false">$B$40</f>
        <v>250000</v>
      </c>
      <c r="AK32" s="24" t="n">
        <f aca="false">$B$40</f>
        <v>250000</v>
      </c>
    </row>
    <row r="33" customFormat="false" ht="22" hidden="false" customHeight="true" outlineLevel="0" collapsed="false">
      <c r="A33" s="10" t="s">
        <v>31</v>
      </c>
      <c r="B33" s="22" t="str">
        <f aca="false">IF(COUNT(B32,B31)=2,B32+B31,"")</f>
        <v/>
      </c>
      <c r="C33" s="23" t="n">
        <f aca="false">C32+C31</f>
        <v>50000</v>
      </c>
      <c r="D33" s="24" t="n">
        <f aca="false">D32+D31</f>
        <v>85000</v>
      </c>
      <c r="E33" s="22" t="str">
        <f aca="false">IF(COUNT(E32,E31)=2,E32+E31,"")</f>
        <v/>
      </c>
      <c r="F33" s="23" t="n">
        <f aca="false">F32+F31</f>
        <v>60000</v>
      </c>
      <c r="G33" s="24" t="n">
        <f aca="false">G32+G31</f>
        <v>95000</v>
      </c>
      <c r="H33" s="22" t="str">
        <f aca="false">IF(COUNT(H32,H31)=2,H32+H31,"")</f>
        <v/>
      </c>
      <c r="I33" s="23" t="n">
        <f aca="false">I32+I31</f>
        <v>70000</v>
      </c>
      <c r="J33" s="24" t="n">
        <f aca="false">J32+J31</f>
        <v>105000</v>
      </c>
      <c r="K33" s="22" t="str">
        <f aca="false">IF(COUNT(K32,K31)=2,K32+K31,"")</f>
        <v/>
      </c>
      <c r="L33" s="23" t="n">
        <f aca="false">L32+L31</f>
        <v>80000</v>
      </c>
      <c r="M33" s="24" t="n">
        <f aca="false">M32+M31</f>
        <v>115000</v>
      </c>
      <c r="N33" s="22" t="str">
        <f aca="false">IF(COUNT(N32,N31)=2,N32+N31,"")</f>
        <v/>
      </c>
      <c r="O33" s="23" t="n">
        <f aca="false">O32+O31</f>
        <v>95000</v>
      </c>
      <c r="P33" s="24" t="n">
        <f aca="false">P32+P31</f>
        <v>130000</v>
      </c>
      <c r="Q33" s="22" t="str">
        <f aca="false">IF(COUNT(Q32,Q31)=2,Q32+Q31,"")</f>
        <v/>
      </c>
      <c r="R33" s="23" t="n">
        <f aca="false">R32+R31</f>
        <v>110000</v>
      </c>
      <c r="S33" s="24" t="n">
        <f aca="false">S32+S31</f>
        <v>145000</v>
      </c>
      <c r="T33" s="22" t="str">
        <f aca="false">IF(COUNT(T32,T31)=2,T32+T31,"")</f>
        <v/>
      </c>
      <c r="U33" s="23" t="n">
        <f aca="false">U32+U31</f>
        <v>125000</v>
      </c>
      <c r="V33" s="24" t="n">
        <f aca="false">V32+V31</f>
        <v>160000</v>
      </c>
      <c r="W33" s="22" t="str">
        <f aca="false">IF(COUNT(W32,W31)=2,W32+W31,"")</f>
        <v/>
      </c>
      <c r="X33" s="23" t="n">
        <f aca="false">X32+X31</f>
        <v>140000</v>
      </c>
      <c r="Y33" s="24" t="n">
        <f aca="false">Y32+Y31</f>
        <v>175000</v>
      </c>
      <c r="Z33" s="22" t="str">
        <f aca="false">IF(COUNT(Z32,Z31)=2,Z32+Z31,"")</f>
        <v/>
      </c>
      <c r="AA33" s="23" t="n">
        <f aca="false">AA32+AA31</f>
        <v>160000</v>
      </c>
      <c r="AB33" s="24" t="n">
        <f aca="false">AB32+AB31</f>
        <v>195000</v>
      </c>
      <c r="AC33" s="22" t="str">
        <f aca="false">IF(COUNT(AC32,AC31)=2,AC32+AC31,"")</f>
        <v/>
      </c>
      <c r="AD33" s="23" t="n">
        <f aca="false">AD32+AD31</f>
        <v>190000</v>
      </c>
      <c r="AE33" s="24" t="n">
        <f aca="false">AE32+AE31</f>
        <v>215000</v>
      </c>
      <c r="AF33" s="22" t="n">
        <f aca="false">IF(COUNT(AF32,AF31)=2,AF32+AF31,"")</f>
        <v>210000</v>
      </c>
      <c r="AG33" s="23" t="n">
        <f aca="false">AG32+AG31</f>
        <v>210000</v>
      </c>
      <c r="AH33" s="24" t="n">
        <f aca="false">AH32+AH31</f>
        <v>235000</v>
      </c>
      <c r="AI33" s="22" t="n">
        <f aca="false">IF(COUNT(AI32,AI31)=2,AI32+AI31,"")</f>
        <v>222000</v>
      </c>
      <c r="AJ33" s="23" t="n">
        <f aca="false">AJ32+AJ31</f>
        <v>222000</v>
      </c>
      <c r="AK33" s="24" t="n">
        <f aca="false">AK32+AK31</f>
        <v>230000</v>
      </c>
    </row>
    <row r="34" customFormat="false" ht="22" hidden="false" customHeight="true" outlineLevel="0" collapsed="false">
      <c r="A34" s="10" t="s">
        <v>32</v>
      </c>
      <c r="B34" s="19"/>
      <c r="C34" s="20" t="n">
        <v>100000</v>
      </c>
      <c r="D34" s="21" t="n">
        <v>100000</v>
      </c>
      <c r="E34" s="19"/>
      <c r="F34" s="20" t="n">
        <v>100000</v>
      </c>
      <c r="G34" s="21" t="n">
        <v>100000</v>
      </c>
      <c r="H34" s="19"/>
      <c r="I34" s="20" t="n">
        <v>100000</v>
      </c>
      <c r="J34" s="21" t="n">
        <v>100000</v>
      </c>
      <c r="K34" s="19"/>
      <c r="L34" s="20" t="n">
        <v>100000</v>
      </c>
      <c r="M34" s="21" t="n">
        <v>100000</v>
      </c>
      <c r="N34" s="19"/>
      <c r="O34" s="20" t="n">
        <v>100000</v>
      </c>
      <c r="P34" s="21" t="n">
        <v>100000</v>
      </c>
      <c r="Q34" s="19"/>
      <c r="R34" s="20" t="n">
        <v>100000</v>
      </c>
      <c r="S34" s="21" t="n">
        <v>100000</v>
      </c>
      <c r="T34" s="19"/>
      <c r="U34" s="20" t="n">
        <v>100000</v>
      </c>
      <c r="V34" s="21" t="n">
        <v>100000</v>
      </c>
      <c r="W34" s="19"/>
      <c r="X34" s="20" t="n">
        <v>100000</v>
      </c>
      <c r="Y34" s="21" t="n">
        <v>100000</v>
      </c>
      <c r="Z34" s="19"/>
      <c r="AA34" s="20" t="n">
        <v>100000</v>
      </c>
      <c r="AB34" s="21" t="n">
        <v>100000</v>
      </c>
      <c r="AC34" s="19"/>
      <c r="AD34" s="20" t="n">
        <v>100000</v>
      </c>
      <c r="AE34" s="21" t="n">
        <v>100000</v>
      </c>
      <c r="AF34" s="19" t="n">
        <v>100000</v>
      </c>
      <c r="AG34" s="20" t="n">
        <v>100000</v>
      </c>
      <c r="AH34" s="21" t="n">
        <v>100000</v>
      </c>
      <c r="AI34" s="19" t="n">
        <v>100000</v>
      </c>
      <c r="AJ34" s="20" t="n">
        <v>100000</v>
      </c>
      <c r="AK34" s="21" t="n">
        <v>100000</v>
      </c>
    </row>
    <row r="35" customFormat="false" ht="22" hidden="false" customHeight="true" outlineLevel="0" collapsed="false">
      <c r="A35" s="10" t="s">
        <v>33</v>
      </c>
      <c r="B35" s="22" t="str">
        <f aca="false">IF(COUNT(B33,B34)=2,B33-B34,"")</f>
        <v/>
      </c>
      <c r="C35" s="23" t="n">
        <f aca="false">C33-IF(B34&lt;&gt;"",B34,C34)</f>
        <v>-50000</v>
      </c>
      <c r="D35" s="24" t="n">
        <f aca="false">D33-D34</f>
        <v>-15000</v>
      </c>
      <c r="E35" s="22" t="str">
        <f aca="false">IF(COUNT(E33,E34)=2,E33-E34,"")</f>
        <v/>
      </c>
      <c r="F35" s="23" t="n">
        <f aca="false">F33-IF(E34&lt;&gt;"",E34,F34)</f>
        <v>-40000</v>
      </c>
      <c r="G35" s="24" t="n">
        <f aca="false">G33-G34</f>
        <v>-5000</v>
      </c>
      <c r="H35" s="22" t="str">
        <f aca="false">IF(COUNT(H33,H34)=2,H33-H34,"")</f>
        <v/>
      </c>
      <c r="I35" s="23" t="n">
        <f aca="false">I33-IF(H34&lt;&gt;"",H34,I34)</f>
        <v>-30000</v>
      </c>
      <c r="J35" s="24" t="n">
        <f aca="false">J33-J34</f>
        <v>5000</v>
      </c>
      <c r="K35" s="22" t="str">
        <f aca="false">IF(COUNT(K33,K34)=2,K33-K34,"")</f>
        <v/>
      </c>
      <c r="L35" s="23" t="n">
        <f aca="false">L33-IF(K34&lt;&gt;"",K34,L34)</f>
        <v>-20000</v>
      </c>
      <c r="M35" s="24" t="n">
        <f aca="false">M33-M34</f>
        <v>15000</v>
      </c>
      <c r="N35" s="22" t="str">
        <f aca="false">IF(COUNT(N33,N34)=2,N33-N34,"")</f>
        <v/>
      </c>
      <c r="O35" s="23" t="n">
        <f aca="false">O33-IF(N34&lt;&gt;"",N34,O34)</f>
        <v>-5000</v>
      </c>
      <c r="P35" s="24" t="n">
        <f aca="false">P33-P34</f>
        <v>30000</v>
      </c>
      <c r="Q35" s="22" t="str">
        <f aca="false">IF(COUNT(Q33,Q34)=2,Q33-Q34,"")</f>
        <v/>
      </c>
      <c r="R35" s="23" t="n">
        <f aca="false">R33-IF(Q34&lt;&gt;"",Q34,R34)</f>
        <v>10000</v>
      </c>
      <c r="S35" s="24" t="n">
        <f aca="false">S33-S34</f>
        <v>45000</v>
      </c>
      <c r="T35" s="22" t="str">
        <f aca="false">IF(COUNT(T33,T34)=2,T33-T34,"")</f>
        <v/>
      </c>
      <c r="U35" s="23" t="n">
        <f aca="false">U33-IF(T34&lt;&gt;"",T34,U34)</f>
        <v>25000</v>
      </c>
      <c r="V35" s="24" t="n">
        <f aca="false">V33-V34</f>
        <v>60000</v>
      </c>
      <c r="W35" s="22" t="str">
        <f aca="false">IF(COUNT(W33,W34)=2,W33-W34,"")</f>
        <v/>
      </c>
      <c r="X35" s="23" t="n">
        <f aca="false">X33-IF(W34&lt;&gt;"",W34,X34)</f>
        <v>40000</v>
      </c>
      <c r="Y35" s="24" t="n">
        <f aca="false">Y33-Y34</f>
        <v>75000</v>
      </c>
      <c r="Z35" s="22" t="str">
        <f aca="false">IF(COUNT(Z33,Z34)=2,Z33-Z34,"")</f>
        <v/>
      </c>
      <c r="AA35" s="23" t="n">
        <f aca="false">AA33-IF(Z34&lt;&gt;"",Z34,AA34)</f>
        <v>60000</v>
      </c>
      <c r="AB35" s="24" t="n">
        <f aca="false">AB33-AB34</f>
        <v>95000</v>
      </c>
      <c r="AC35" s="22" t="str">
        <f aca="false">IF(COUNT(AC33,AC34)=2,AC33-AC34,"")</f>
        <v/>
      </c>
      <c r="AD35" s="23" t="n">
        <f aca="false">AD33-IF(AC34&lt;&gt;"",AC34,AD34)</f>
        <v>90000</v>
      </c>
      <c r="AE35" s="24" t="n">
        <f aca="false">AE33-AE34</f>
        <v>115000</v>
      </c>
      <c r="AF35" s="22" t="n">
        <f aca="false">IF(COUNT(AF33,AF34)=2,AF33-AF34,"")</f>
        <v>110000</v>
      </c>
      <c r="AG35" s="23" t="n">
        <f aca="false">AG33-IF(AF34&lt;&gt;"",AF34,AG34)</f>
        <v>110000</v>
      </c>
      <c r="AH35" s="24" t="n">
        <f aca="false">AH33-AH34</f>
        <v>135000</v>
      </c>
      <c r="AI35" s="22" t="n">
        <f aca="false">IF(COUNT(AI33,AI34)=2,AI33-AI34,"")</f>
        <v>122000</v>
      </c>
      <c r="AJ35" s="23" t="n">
        <f aca="false">AJ33-IF(AI34&lt;&gt;"",AI34,AJ34)</f>
        <v>122000</v>
      </c>
      <c r="AK35" s="24" t="n">
        <f aca="false">AK33-AK34</f>
        <v>130000</v>
      </c>
    </row>
    <row r="36" customFormat="false" ht="22" hidden="false" customHeight="true" outlineLevel="0" collapsed="false">
      <c r="A36" s="30" t="s">
        <v>34</v>
      </c>
      <c r="B36" s="31" t="str">
        <f aca="false">IF(B35="","",IF(B35&lt;0,"ACTION","OK"))</f>
        <v/>
      </c>
      <c r="C36" s="32" t="str">
        <f aca="false">IF(C35&lt;0,"ACTION","OK")</f>
        <v>ACTION</v>
      </c>
      <c r="D36" s="33" t="str">
        <f aca="false">IF(D35&lt;0,"ACTION","OK")</f>
        <v>ACTION</v>
      </c>
      <c r="E36" s="31" t="str">
        <f aca="false">IF(E35="","",IF(E35&lt;0,"ACTION","OK"))</f>
        <v/>
      </c>
      <c r="F36" s="32" t="str">
        <f aca="false">IF(F35&lt;0,"ACTION","OK")</f>
        <v>ACTION</v>
      </c>
      <c r="G36" s="33" t="str">
        <f aca="false">IF(G35&lt;0,"ACTION","OK")</f>
        <v>ACTION</v>
      </c>
      <c r="H36" s="31" t="str">
        <f aca="false">IF(H35="","",IF(H35&lt;0,"ACTION","OK"))</f>
        <v/>
      </c>
      <c r="I36" s="32" t="str">
        <f aca="false">IF(I35&lt;0,"ACTION","OK")</f>
        <v>ACTION</v>
      </c>
      <c r="J36" s="33" t="str">
        <f aca="false">IF(J35&lt;0,"ACTION","OK")</f>
        <v>OK</v>
      </c>
      <c r="K36" s="31" t="str">
        <f aca="false">IF(K35="","",IF(K35&lt;0,"ACTION","OK"))</f>
        <v/>
      </c>
      <c r="L36" s="32" t="str">
        <f aca="false">IF(L35&lt;0,"ACTION","OK")</f>
        <v>ACTION</v>
      </c>
      <c r="M36" s="33" t="str">
        <f aca="false">IF(M35&lt;0,"ACTION","OK")</f>
        <v>OK</v>
      </c>
      <c r="N36" s="31" t="str">
        <f aca="false">IF(N35="","",IF(N35&lt;0,"ACTION","OK"))</f>
        <v/>
      </c>
      <c r="O36" s="32" t="str">
        <f aca="false">IF(O35&lt;0,"ACTION","OK")</f>
        <v>ACTION</v>
      </c>
      <c r="P36" s="33" t="str">
        <f aca="false">IF(P35&lt;0,"ACTION","OK")</f>
        <v>OK</v>
      </c>
      <c r="Q36" s="31" t="str">
        <f aca="false">IF(Q35="","",IF(Q35&lt;0,"ACTION","OK"))</f>
        <v/>
      </c>
      <c r="R36" s="32" t="str">
        <f aca="false">IF(R35&lt;0,"ACTION","OK")</f>
        <v>OK</v>
      </c>
      <c r="S36" s="33" t="str">
        <f aca="false">IF(S35&lt;0,"ACTION","OK")</f>
        <v>OK</v>
      </c>
      <c r="T36" s="31" t="str">
        <f aca="false">IF(T35="","",IF(T35&lt;0,"ACTION","OK"))</f>
        <v/>
      </c>
      <c r="U36" s="32" t="str">
        <f aca="false">IF(U35&lt;0,"ACTION","OK")</f>
        <v>OK</v>
      </c>
      <c r="V36" s="33" t="str">
        <f aca="false">IF(V35&lt;0,"ACTION","OK")</f>
        <v>OK</v>
      </c>
      <c r="W36" s="31" t="str">
        <f aca="false">IF(W35="","",IF(W35&lt;0,"ACTION","OK"))</f>
        <v/>
      </c>
      <c r="X36" s="32" t="str">
        <f aca="false">IF(X35&lt;0,"ACTION","OK")</f>
        <v>OK</v>
      </c>
      <c r="Y36" s="33" t="str">
        <f aca="false">IF(Y35&lt;0,"ACTION","OK")</f>
        <v>OK</v>
      </c>
      <c r="Z36" s="31" t="str">
        <f aca="false">IF(Z35="","",IF(Z35&lt;0,"ACTION","OK"))</f>
        <v/>
      </c>
      <c r="AA36" s="32" t="str">
        <f aca="false">IF(AA35&lt;0,"ACTION","OK")</f>
        <v>OK</v>
      </c>
      <c r="AB36" s="33" t="str">
        <f aca="false">IF(AB35&lt;0,"ACTION","OK")</f>
        <v>OK</v>
      </c>
      <c r="AC36" s="31" t="str">
        <f aca="false">IF(AC35="","",IF(AC35&lt;0,"ACTION","OK"))</f>
        <v/>
      </c>
      <c r="AD36" s="32" t="str">
        <f aca="false">IF(AD35&lt;0,"ACTION","OK")</f>
        <v>OK</v>
      </c>
      <c r="AE36" s="33" t="str">
        <f aca="false">IF(AE35&lt;0,"ACTION","OK")</f>
        <v>OK</v>
      </c>
      <c r="AF36" s="31" t="str">
        <f aca="false">IF(AF35="","",IF(AF35&lt;0,"ACTION","OK"))</f>
        <v>OK</v>
      </c>
      <c r="AG36" s="32" t="str">
        <f aca="false">IF(AG35&lt;0,"ACTION","OK")</f>
        <v>OK</v>
      </c>
      <c r="AH36" s="33" t="str">
        <f aca="false">IF(AH35&lt;0,"ACTION","OK")</f>
        <v>OK</v>
      </c>
      <c r="AI36" s="31" t="str">
        <f aca="false">IF(AI35="","",IF(AI35&lt;0,"ACTION","OK"))</f>
        <v>OK</v>
      </c>
      <c r="AJ36" s="32" t="str">
        <f aca="false">IF(AJ35&lt;0,"ACTION","OK")</f>
        <v>OK</v>
      </c>
      <c r="AK36" s="33" t="str">
        <f aca="false">IF(AK35&lt;0,"ACTION","OK")</f>
        <v>OK</v>
      </c>
    </row>
    <row r="37" customFormat="false" ht="22" hidden="false" customHeight="true" outlineLevel="0" collapsed="false">
      <c r="A37" s="10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 customFormat="false" ht="22" hidden="false" customHeight="true" outlineLevel="0" collapsed="false">
      <c r="A38" s="28" t="s">
        <v>35</v>
      </c>
      <c r="B38" s="28" t="s">
        <v>35</v>
      </c>
      <c r="C38" s="28" t="s">
        <v>35</v>
      </c>
      <c r="D38" s="28" t="s">
        <v>35</v>
      </c>
      <c r="E38" s="28" t="s">
        <v>35</v>
      </c>
      <c r="F38" s="28" t="s">
        <v>35</v>
      </c>
      <c r="G38" s="28" t="s">
        <v>35</v>
      </c>
      <c r="H38" s="28" t="s">
        <v>35</v>
      </c>
      <c r="I38" s="28" t="s">
        <v>35</v>
      </c>
      <c r="J38" s="28" t="s">
        <v>35</v>
      </c>
      <c r="K38" s="28" t="s">
        <v>35</v>
      </c>
      <c r="L38" s="28" t="s">
        <v>35</v>
      </c>
      <c r="M38" s="28" t="s">
        <v>35</v>
      </c>
      <c r="N38" s="28" t="s">
        <v>35</v>
      </c>
      <c r="O38" s="28" t="s">
        <v>35</v>
      </c>
      <c r="P38" s="28" t="s">
        <v>35</v>
      </c>
      <c r="Q38" s="28" t="s">
        <v>35</v>
      </c>
      <c r="R38" s="28" t="s">
        <v>35</v>
      </c>
      <c r="S38" s="28" t="s">
        <v>35</v>
      </c>
      <c r="T38" s="28" t="s">
        <v>35</v>
      </c>
      <c r="U38" s="28" t="s">
        <v>35</v>
      </c>
      <c r="V38" s="28" t="s">
        <v>35</v>
      </c>
      <c r="W38" s="28" t="s">
        <v>35</v>
      </c>
      <c r="X38" s="28" t="s">
        <v>35</v>
      </c>
      <c r="Y38" s="28" t="s">
        <v>35</v>
      </c>
      <c r="Z38" s="28" t="s">
        <v>35</v>
      </c>
      <c r="AA38" s="28" t="s">
        <v>35</v>
      </c>
      <c r="AB38" s="28" t="s">
        <v>35</v>
      </c>
      <c r="AC38" s="28" t="s">
        <v>35</v>
      </c>
      <c r="AD38" s="28" t="s">
        <v>35</v>
      </c>
      <c r="AE38" s="28" t="s">
        <v>35</v>
      </c>
      <c r="AF38" s="28" t="s">
        <v>35</v>
      </c>
      <c r="AG38" s="28" t="s">
        <v>35</v>
      </c>
      <c r="AH38" s="28" t="s">
        <v>35</v>
      </c>
      <c r="AI38" s="28" t="s">
        <v>35</v>
      </c>
      <c r="AJ38" s="28" t="s">
        <v>35</v>
      </c>
      <c r="AK38" s="28" t="s">
        <v>35</v>
      </c>
    </row>
    <row r="39" customFormat="false" ht="22" hidden="false" customHeight="true" outlineLevel="0" collapsed="false">
      <c r="A39" s="35" t="s">
        <v>36</v>
      </c>
      <c r="B39" s="36" t="n">
        <v>46388</v>
      </c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 customFormat="false" ht="22" hidden="false" customHeight="true" outlineLevel="0" collapsed="false">
      <c r="A40" s="35" t="s">
        <v>37</v>
      </c>
      <c r="B40" s="37" t="n">
        <v>250000</v>
      </c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 customFormat="false" ht="22" hidden="false" customHeight="true" outlineLevel="0" collapsed="false">
      <c r="A41" s="35" t="s">
        <v>38</v>
      </c>
      <c r="B41" s="38" t="n">
        <v>40</v>
      </c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 customFormat="false" ht="22" hidden="false" customHeight="true" outlineLevel="0" collapsed="false">
      <c r="A42" s="35" t="s">
        <v>39</v>
      </c>
      <c r="B42" s="38" t="n">
        <v>10</v>
      </c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 customFormat="false" ht="22" hidden="false" customHeight="true" outlineLevel="0" collapsed="false">
      <c r="A43" s="35" t="s">
        <v>40</v>
      </c>
      <c r="B43" s="38" t="n">
        <v>10</v>
      </c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 customFormat="false" ht="22" hidden="false" customHeight="true" outlineLevel="0" collapsed="false">
      <c r="A44" s="35" t="s">
        <v>18</v>
      </c>
      <c r="B44" s="39" t="n">
        <v>5</v>
      </c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 customFormat="false" ht="22" hidden="false" customHeight="true" outlineLevel="0" collapsed="false">
      <c r="A45" s="10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 customFormat="false" ht="22" hidden="false" customHeight="true" outlineLevel="0" collapsed="false">
      <c r="A46" s="28" t="s">
        <v>41</v>
      </c>
      <c r="B46" s="28" t="s">
        <v>41</v>
      </c>
      <c r="C46" s="28" t="s">
        <v>41</v>
      </c>
      <c r="D46" s="28" t="s">
        <v>41</v>
      </c>
      <c r="E46" s="28" t="s">
        <v>41</v>
      </c>
      <c r="F46" s="28" t="s">
        <v>41</v>
      </c>
      <c r="G46" s="28" t="s">
        <v>41</v>
      </c>
      <c r="H46" s="28" t="s">
        <v>41</v>
      </c>
      <c r="I46" s="28" t="s">
        <v>41</v>
      </c>
      <c r="J46" s="28" t="s">
        <v>41</v>
      </c>
      <c r="K46" s="28" t="s">
        <v>41</v>
      </c>
      <c r="L46" s="28" t="s">
        <v>41</v>
      </c>
      <c r="M46" s="28" t="s">
        <v>41</v>
      </c>
      <c r="N46" s="28" t="s">
        <v>41</v>
      </c>
      <c r="O46" s="28" t="s">
        <v>41</v>
      </c>
      <c r="P46" s="28" t="s">
        <v>41</v>
      </c>
      <c r="Q46" s="28" t="s">
        <v>41</v>
      </c>
      <c r="R46" s="28" t="s">
        <v>41</v>
      </c>
      <c r="S46" s="28" t="s">
        <v>41</v>
      </c>
      <c r="T46" s="28" t="s">
        <v>41</v>
      </c>
      <c r="U46" s="28" t="s">
        <v>41</v>
      </c>
      <c r="V46" s="28" t="s">
        <v>41</v>
      </c>
      <c r="W46" s="28" t="s">
        <v>41</v>
      </c>
      <c r="X46" s="28" t="s">
        <v>41</v>
      </c>
      <c r="Y46" s="28" t="s">
        <v>41</v>
      </c>
      <c r="Z46" s="28" t="s">
        <v>41</v>
      </c>
      <c r="AA46" s="28" t="s">
        <v>41</v>
      </c>
      <c r="AB46" s="28" t="s">
        <v>41</v>
      </c>
      <c r="AC46" s="28" t="s">
        <v>41</v>
      </c>
      <c r="AD46" s="28" t="s">
        <v>41</v>
      </c>
      <c r="AE46" s="28" t="s">
        <v>41</v>
      </c>
      <c r="AF46" s="28" t="s">
        <v>41</v>
      </c>
      <c r="AG46" s="28" t="s">
        <v>41</v>
      </c>
      <c r="AH46" s="28" t="s">
        <v>41</v>
      </c>
      <c r="AI46" s="28" t="s">
        <v>41</v>
      </c>
      <c r="AJ46" s="28" t="s">
        <v>41</v>
      </c>
      <c r="AK46" s="28" t="s">
        <v>41</v>
      </c>
    </row>
    <row r="47" customFormat="false" ht="22" hidden="false" customHeight="true" outlineLevel="0" collapsed="false">
      <c r="A47" s="35" t="s">
        <v>42</v>
      </c>
      <c r="B47" s="40" t="str">
        <f aca="false">IF(AND(IF(AI33="",TRUE(),ABS(AJ33-AI33)&lt;0.01),IF(AF33="",TRUE(),ABS(AG33-AF33)&lt;0.01),IF(AC33="",TRUE(),ABS(AD33-AC33)&lt;0.01),IF(Z33="",TRUE(),ABS(AA33-Z33)&lt;0.01),IF(W33="",TRUE(),ABS(X33-W33)&lt;0.01),IF(T33="",TRUE(),ABS(U33-T33)&lt;0.01),IF(Q33="",TRUE(),ABS(R33-Q33)&lt;0.01),IF(N33="",TRUE(),ABS(O33-N33)&lt;0.01),IF(K33="",TRUE(),ABS(L33-K33)&lt;0.01),IF(H33="",TRUE(),ABS(I33-H33)&lt;0.01),IF(E33="",TRUE(),ABS(F33-E33)&lt;0.01),IF(B33="",TRUE(),ABS(C33-B33)&lt;0.01)),"OK","CHECK")</f>
        <v>OK</v>
      </c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 customFormat="false" ht="22" hidden="false" customHeight="true" outlineLevel="0" collapsed="false">
      <c r="A48" s="35" t="s">
        <v>43</v>
      </c>
      <c r="B48" s="40" t="str">
        <f aca="false">IF(AND(ABS(AG32-IF(AI33&lt;&gt;"",AI33,AJ33))&lt;0.01,ABS(AD32-IF(AF33&lt;&gt;"",AF33,AG33))&lt;0.01,ABS(AA32-IF(AC33&lt;&gt;"",AC33,AD33))&lt;0.01,ABS(X32-IF(Z33&lt;&gt;"",Z33,AA33))&lt;0.01,ABS(U32-IF(W33&lt;&gt;"",W33,X33))&lt;0.01,ABS(R32-IF(T33&lt;&gt;"",T33,U33))&lt;0.01,ABS(O32-IF(Q33&lt;&gt;"",Q33,R33))&lt;0.01,ABS(L32-IF(N33&lt;&gt;"",N33,O33))&lt;0.01,ABS(I32-IF(K33&lt;&gt;"",K33,L33))&lt;0.01,ABS(F32-IF(H33&lt;&gt;"",H33,I33))&lt;0.01,ABS(C32-IF(E33&lt;&gt;"",E33,F33))&lt;0.01),"OK","CHECK")</f>
        <v>OK</v>
      </c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 customFormat="false" ht="22" hidden="false" customHeight="true" outlineLevel="0" collapsed="false">
      <c r="A49" s="35" t="s">
        <v>44</v>
      </c>
      <c r="B49" s="40" t="str">
        <f aca="false">IF(AND(ABS(AG18-IF(AI21&lt;&gt;"",AI21,AJ21))&lt;0.01,ABS(AD18-IF(AF21&lt;&gt;"",AF21,AG21))&lt;0.01,ABS(AA18-IF(AC21&lt;&gt;"",AC21,AD21))&lt;0.01,ABS(X18-IF(Z21&lt;&gt;"",Z21,AA21))&lt;0.01,ABS(U18-IF(W21&lt;&gt;"",W21,X21))&lt;0.01,ABS(R18-IF(T21&lt;&gt;"",T21,U21))&lt;0.01,ABS(O18-IF(Q21&lt;&gt;"",Q21,R21))&lt;0.01,ABS(L18-IF(N21&lt;&gt;"",N21,O21))&lt;0.01,ABS(I18-IF(K21&lt;&gt;"",K21,L21))&lt;0.01,ABS(F18-IF(H21&lt;&gt;"",H21,I21))&lt;0.01,ABS(C18-IF(E21&lt;&gt;"",E21,F21))&lt;0.01),"OK","CHECK")</f>
        <v>OK</v>
      </c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 customFormat="false" ht="22" hidden="false" customHeight="true" outlineLevel="0" collapsed="false">
      <c r="A50" s="35" t="s">
        <v>45</v>
      </c>
      <c r="B50" s="40" t="str">
        <f aca="false">IF(COUNTIF(B47:B49,"OK")=3,"PASS","CHECK")</f>
        <v>PASS</v>
      </c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</sheetData>
  <mergeCells count="21">
    <mergeCell ref="A1:AK1"/>
    <mergeCell ref="A2:AK2"/>
    <mergeCell ref="A3:A4"/>
    <mergeCell ref="B3:D3"/>
    <mergeCell ref="E3:G3"/>
    <mergeCell ref="H3:J3"/>
    <mergeCell ref="K3:M3"/>
    <mergeCell ref="N3:P3"/>
    <mergeCell ref="Q3:S3"/>
    <mergeCell ref="T3:V3"/>
    <mergeCell ref="W3:Y3"/>
    <mergeCell ref="Z3:AB3"/>
    <mergeCell ref="AC3:AE3"/>
    <mergeCell ref="AF3:AH3"/>
    <mergeCell ref="AI3:AK3"/>
    <mergeCell ref="A5:AK5"/>
    <mergeCell ref="A13:AK13"/>
    <mergeCell ref="A23:AK23"/>
    <mergeCell ref="A29:AK29"/>
    <mergeCell ref="A38:AK38"/>
    <mergeCell ref="A46:AK46"/>
  </mergeCells>
  <conditionalFormatting sqref="AJ35">
    <cfRule type="cellIs" priority="2" operator="lessThan" aboveAverage="0" equalAverage="0" bottom="0" percent="0" rank="0" text="" dxfId="0">
      <formula>0</formula>
    </cfRule>
  </conditionalFormatting>
  <conditionalFormatting sqref="AJ36">
    <cfRule type="containsText" priority="3" operator="containsText" aboveAverage="0" equalAverage="0" bottom="0" percent="0" rank="0" text="ACTION" dxfId="1">
      <formula>NOT(ISERROR(SEARCH("ACTION",AJ36)))</formula>
    </cfRule>
  </conditionalFormatting>
  <conditionalFormatting sqref="AG35">
    <cfRule type="cellIs" priority="4" operator="lessThan" aboveAverage="0" equalAverage="0" bottom="0" percent="0" rank="0" text="" dxfId="2">
      <formula>0</formula>
    </cfRule>
  </conditionalFormatting>
  <conditionalFormatting sqref="AG36">
    <cfRule type="containsText" priority="5" operator="containsText" aboveAverage="0" equalAverage="0" bottom="0" percent="0" rank="0" text="ACTION" dxfId="3">
      <formula>NOT(ISERROR(SEARCH("ACTION",AG36)))</formula>
    </cfRule>
  </conditionalFormatting>
  <conditionalFormatting sqref="AD35">
    <cfRule type="cellIs" priority="6" operator="lessThan" aboveAverage="0" equalAverage="0" bottom="0" percent="0" rank="0" text="" dxfId="4">
      <formula>0</formula>
    </cfRule>
  </conditionalFormatting>
  <conditionalFormatting sqref="AD36">
    <cfRule type="containsText" priority="7" operator="containsText" aboveAverage="0" equalAverage="0" bottom="0" percent="0" rank="0" text="ACTION" dxfId="5">
      <formula>NOT(ISERROR(SEARCH("ACTION",AD36)))</formula>
    </cfRule>
  </conditionalFormatting>
  <conditionalFormatting sqref="AA35">
    <cfRule type="cellIs" priority="8" operator="lessThan" aboveAverage="0" equalAverage="0" bottom="0" percent="0" rank="0" text="" dxfId="6">
      <formula>0</formula>
    </cfRule>
  </conditionalFormatting>
  <conditionalFormatting sqref="AA36">
    <cfRule type="containsText" priority="9" operator="containsText" aboveAverage="0" equalAverage="0" bottom="0" percent="0" rank="0" text="ACTION" dxfId="7">
      <formula>NOT(ISERROR(SEARCH("ACTION",AA36)))</formula>
    </cfRule>
  </conditionalFormatting>
  <conditionalFormatting sqref="X35">
    <cfRule type="cellIs" priority="10" operator="lessThan" aboveAverage="0" equalAverage="0" bottom="0" percent="0" rank="0" text="" dxfId="8">
      <formula>0</formula>
    </cfRule>
  </conditionalFormatting>
  <conditionalFormatting sqref="X36">
    <cfRule type="containsText" priority="11" operator="containsText" aboveAverage="0" equalAverage="0" bottom="0" percent="0" rank="0" text="ACTION" dxfId="9">
      <formula>NOT(ISERROR(SEARCH("ACTION",X36)))</formula>
    </cfRule>
  </conditionalFormatting>
  <conditionalFormatting sqref="U35">
    <cfRule type="cellIs" priority="12" operator="lessThan" aboveAverage="0" equalAverage="0" bottom="0" percent="0" rank="0" text="" dxfId="10">
      <formula>0</formula>
    </cfRule>
  </conditionalFormatting>
  <conditionalFormatting sqref="U36">
    <cfRule type="containsText" priority="13" operator="containsText" aboveAverage="0" equalAverage="0" bottom="0" percent="0" rank="0" text="ACTION" dxfId="11">
      <formula>NOT(ISERROR(SEARCH("ACTION",U36)))</formula>
    </cfRule>
  </conditionalFormatting>
  <conditionalFormatting sqref="R35">
    <cfRule type="cellIs" priority="14" operator="lessThan" aboveAverage="0" equalAverage="0" bottom="0" percent="0" rank="0" text="" dxfId="12">
      <formula>0</formula>
    </cfRule>
  </conditionalFormatting>
  <conditionalFormatting sqref="R36">
    <cfRule type="containsText" priority="15" operator="containsText" aboveAverage="0" equalAverage="0" bottom="0" percent="0" rank="0" text="ACTION" dxfId="13">
      <formula>NOT(ISERROR(SEARCH("ACTION",R36)))</formula>
    </cfRule>
  </conditionalFormatting>
  <conditionalFormatting sqref="O35">
    <cfRule type="cellIs" priority="16" operator="lessThan" aboveAverage="0" equalAverage="0" bottom="0" percent="0" rank="0" text="" dxfId="14">
      <formula>0</formula>
    </cfRule>
  </conditionalFormatting>
  <conditionalFormatting sqref="O36">
    <cfRule type="containsText" priority="17" operator="containsText" aboveAverage="0" equalAverage="0" bottom="0" percent="0" rank="0" text="ACTION" dxfId="15">
      <formula>NOT(ISERROR(SEARCH("ACTION",O36)))</formula>
    </cfRule>
  </conditionalFormatting>
  <conditionalFormatting sqref="L35">
    <cfRule type="cellIs" priority="18" operator="lessThan" aboveAverage="0" equalAverage="0" bottom="0" percent="0" rank="0" text="" dxfId="16">
      <formula>0</formula>
    </cfRule>
  </conditionalFormatting>
  <conditionalFormatting sqref="L36">
    <cfRule type="containsText" priority="19" operator="containsText" aboveAverage="0" equalAverage="0" bottom="0" percent="0" rank="0" text="ACTION" dxfId="17">
      <formula>NOT(ISERROR(SEARCH("ACTION",L36)))</formula>
    </cfRule>
  </conditionalFormatting>
  <conditionalFormatting sqref="I35">
    <cfRule type="cellIs" priority="20" operator="lessThan" aboveAverage="0" equalAverage="0" bottom="0" percent="0" rank="0" text="" dxfId="18">
      <formula>0</formula>
    </cfRule>
  </conditionalFormatting>
  <conditionalFormatting sqref="I36">
    <cfRule type="containsText" priority="21" operator="containsText" aboveAverage="0" equalAverage="0" bottom="0" percent="0" rank="0" text="ACTION" dxfId="19">
      <formula>NOT(ISERROR(SEARCH("ACTION",I36)))</formula>
    </cfRule>
  </conditionalFormatting>
  <conditionalFormatting sqref="F35">
    <cfRule type="cellIs" priority="22" operator="lessThan" aboveAverage="0" equalAverage="0" bottom="0" percent="0" rank="0" text="" dxfId="20">
      <formula>0</formula>
    </cfRule>
  </conditionalFormatting>
  <conditionalFormatting sqref="F36">
    <cfRule type="containsText" priority="23" operator="containsText" aboveAverage="0" equalAverage="0" bottom="0" percent="0" rank="0" text="ACTION" dxfId="21">
      <formula>NOT(ISERROR(SEARCH("ACTION",F36)))</formula>
    </cfRule>
  </conditionalFormatting>
  <conditionalFormatting sqref="C35">
    <cfRule type="cellIs" priority="24" operator="lessThan" aboveAverage="0" equalAverage="0" bottom="0" percent="0" rank="0" text="" dxfId="22">
      <formula>0</formula>
    </cfRule>
  </conditionalFormatting>
  <conditionalFormatting sqref="C36">
    <cfRule type="containsText" priority="25" operator="containsText" aboveAverage="0" equalAverage="0" bottom="0" percent="0" rank="0" text="ACTION" dxfId="23">
      <formula>NOT(ISERROR(SEARCH("ACTION",C36)))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LibreOffice/26.2.3.2$MacOSX_AARCH64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en-CA</dc:language>
  <cp:lastModifiedBy/>
  <cp:revision>0</cp:revision>
  <dc:subject/>
  <dc:title/>
</cp:coreProperties>
</file>