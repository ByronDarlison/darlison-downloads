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a54016c38d43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2-Month Cash Forecast" sheetId="1" r:id="Rc9a35f96d71e4b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mmm yyyy"/>
    <x:numFmt numFmtId="201" formatCode="0.0%;[Red](0.0%);-"/>
    <x:numFmt numFmtId="202" formatCode="#,##0;[Red](#,##0);-"/>
    <x:numFmt numFmtId="203" formatCode="0"/>
    <x:numFmt numFmtId="204" formatCode="$#,##0;[Red]($#,##0);-"/>
  </x:numFmts>
  <x:fonts count="8">
    <x:font>
      <x:sz val="11"/>
      <x:name val="Carlito"/>
    </x:font>
    <x:font>
      <x:sz val="11"/>
      <x:color rgb="FF303030"/>
      <x:name val="Carlito"/>
    </x:font>
    <x:font>
      <x:b/>
      <x:sz val="20"/>
      <x:color rgb="FFFFFFFF"/>
      <x:name val="Carlito"/>
    </x:font>
    <x:font>
      <x:b/>
      <x:sz val="11"/>
      <x:color rgb="FF303030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b/>
      <x:sz val="10"/>
      <x:color rgb="FFFFFFFF"/>
      <x:name val="Carlito"/>
    </x:font>
    <x:font>
      <x:b/>
      <x:sz val="11"/>
      <x:color rgb="FF2E7F49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303030"/>
      </x:patternFill>
    </x:fill>
    <x:fill>
      <x:patternFill patternType="solid">
        <x:fgColor rgb="FFF7F7F4"/>
      </x:patternFill>
    </x:fill>
    <x:fill>
      <x:patternFill patternType="solid">
        <x:fgColor rgb="FFB7B7B2"/>
      </x:patternFill>
    </x:fill>
    <x:fill>
      <x:patternFill patternType="solid">
        <x:fgColor rgb="FF2E7F49"/>
      </x:patternFill>
    </x:fill>
    <x:fill>
      <x:patternFill patternType="solid">
        <x:fgColor rgb="FF326AB5"/>
      </x:patternFill>
    </x:fill>
    <x:fill>
      <x:patternFill patternType="solid">
        <x:fgColor rgb="FFF0F0ED"/>
      </x:patternFill>
    </x:fill>
    <x:fill>
      <x:patternFill patternType="solid">
        <x:fgColor rgb="FFEAF6ED"/>
      </x:patternFill>
    </x:fill>
    <x:fill>
      <x:patternFill patternType="solid">
        <x:fgColor rgb="FFEAF1FA"/>
      </x:patternFill>
    </x:fill>
  </x:fills>
  <x:borders count="10">
    <x:border/>
    <x:border>
      <x:bottom style="thin">
        <x:color rgb="FFD9D9D4"/>
      </x:bottom>
    </x:border>
    <x:border>
      <x:top style="thin">
        <x:color rgb="FF303030"/>
      </x:top>
    </x:border>
    <x:border>
      <x:left style="thin">
        <x:color rgb="FFD9D9D4"/>
      </x:left>
      <x:top style="thin">
        <x:color rgb="FFD9D9D4"/>
      </x:top>
    </x:border>
    <x:border>
      <x:top style="thin">
        <x:color rgb="FFD9D9D4"/>
      </x:top>
    </x:border>
    <x:border>
      <x:right style="thin">
        <x:color rgb="FFD9D9D4"/>
      </x:right>
      <x:top style="thin">
        <x:color rgb="FFD9D9D4"/>
      </x:top>
    </x:border>
    <x:border>
      <x:left style="thin">
        <x:color rgb="FFD9D9D4"/>
      </x:left>
    </x:border>
    <x:border>
      <x:right style="thin">
        <x:color rgb="FFD9D9D4"/>
      </x:right>
    </x:border>
    <x:border>
      <x:left style="thin">
        <x:color rgb="FFD9D9D4"/>
      </x:left>
      <x:bottom style="thin">
        <x:color rgb="FFD9D9D4"/>
      </x:bottom>
    </x:border>
    <x:border>
      <x:right style="thin">
        <x:color rgb="FFD9D9D4"/>
      </x:right>
      <x:bottom style="thin">
        <x:color rgb="FFD9D9D4"/>
      </x:bottom>
    </x:border>
  </x:borders>
  <x:cellStyleXfs count="1">
    <x:xf numFmtId="0" fontId="0" fillId="0" borderId="0"/>
  </x:cellStyleXfs>
  <x:cellXfs count="10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horizontal="center" vertical="center"/>
    </x:xf>
    <x:xf numFmtId="0" fontId="1" fillId="8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horizontal="right" vertical="center"/>
    </x:xf>
    <x:xf numFmtId="0" fontId="1" fillId="9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right"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horizontal="right" vertical="center"/>
    </x:xf>
    <x:xf numFmtId="200" fontId="3" fillId="4" borderId="1" xfId="0" applyNumberFormat="1" applyFont="1" applyFill="1" applyBorder="1" applyAlignment="1">
      <x:alignment vertical="center"/>
    </x:xf>
    <x:xf numFmtId="200" fontId="3" fillId="4" borderId="1" xfId="0" applyNumberFormat="1" applyFont="1" applyFill="1" applyBorder="1" applyAlignment="1">
      <x:alignment horizontal="center" vertical="center"/>
    </x:xf>
    <x:xf numFmtId="0" fontId="5" fillId="8" borderId="0" xfId="0" applyNumberFormat="1" applyFont="1" applyFill="1" applyBorder="1" applyAlignment="1">
      <x:alignment horizontal="right" vertical="center"/>
    </x:xf>
    <x:xf numFmtId="0" fontId="5" fillId="10" borderId="0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200" fontId="3" fillId="2" borderId="1" xfId="0" applyNumberFormat="1" applyFont="1" applyFill="1" applyBorder="1" applyAlignment="1">
      <x:alignment vertical="center"/>
    </x:xf>
    <x:xf numFmtId="200" fontId="3" fillId="2" borderId="1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horizontal="right" vertical="center"/>
    </x:xf>
    <x:xf numFmtId="0" fontId="6" fillId="3" borderId="0" xfId="0" applyNumberFormat="1" applyFont="1" applyFill="1" applyBorder="1" applyAlignment="1">
      <x:alignment horizontal="right" vertical="center"/>
    </x:xf>
    <x:xf numFmtId="0" fontId="3" fillId="8" borderId="0" xfId="0" applyNumberFormat="1" applyFont="1" applyFill="1" applyBorder="1" applyAlignment="1">
      <x:alignment horizontal="right" vertical="center"/>
    </x:xf>
    <x:xf numFmtId="0" fontId="3" fillId="9" borderId="0" xfId="0" applyNumberFormat="1" applyFont="1" applyFill="1" applyBorder="1" applyAlignment="1">
      <x:alignment horizontal="right" vertical="center"/>
    </x:xf>
    <x:xf numFmtId="0" fontId="3" fillId="10" borderId="0" xfId="0" applyNumberFormat="1" applyFont="1" applyFill="1" applyBorder="1" applyAlignment="1">
      <x:alignment horizontal="right" vertical="center"/>
    </x:xf>
    <x:xf numFmtId="0" fontId="3" fillId="2" borderId="2" xfId="0" applyNumberFormat="1" applyFont="1" applyFill="1" applyBorder="1" applyAlignment="1">
      <x:alignment vertical="center"/>
    </x:xf>
    <x:xf numFmtId="0" fontId="3" fillId="8" borderId="2" xfId="0" applyNumberFormat="1" applyFont="1" applyFill="1" applyBorder="1" applyAlignment="1">
      <x:alignment horizontal="right" vertical="center"/>
    </x:xf>
    <x:xf numFmtId="0" fontId="3" fillId="9" borderId="2" xfId="0" applyNumberFormat="1" applyFont="1" applyFill="1" applyBorder="1" applyAlignment="1">
      <x:alignment horizontal="right" vertical="center"/>
    </x:xf>
    <x:xf numFmtId="0" fontId="3" fillId="10" borderId="2" xfId="0" applyNumberFormat="1" applyFont="1" applyFill="1" applyBorder="1" applyAlignment="1">
      <x:alignment horizontal="right" vertical="center"/>
    </x:xf>
    <x:xf numFmtId="201" fontId="1" fillId="8" borderId="0" xfId="0" applyNumberFormat="1" applyFont="1" applyFill="1" applyBorder="1" applyAlignment="1">
      <x:alignment horizontal="right" vertical="center"/>
    </x:xf>
    <x:xf numFmtId="201" fontId="1" fillId="9" borderId="0" xfId="0" applyNumberFormat="1" applyFont="1" applyFill="1" applyBorder="1" applyAlignment="1">
      <x:alignment horizontal="right" vertical="center"/>
    </x:xf>
    <x:xf numFmtId="201" fontId="1" fillId="10" borderId="0" xfId="0" applyNumberFormat="1" applyFont="1" applyFill="1" applyBorder="1" applyAlignment="1">
      <x:alignment horizontal="right" vertical="center"/>
    </x:xf>
    <x:xf numFmtId="201" fontId="5" fillId="10" borderId="0" xfId="0" applyNumberFormat="1" applyFont="1" applyFill="1" applyBorder="1" applyAlignment="1">
      <x:alignment horizontal="right" vertical="center"/>
    </x:xf>
    <x:xf numFmtId="202" fontId="1" fillId="8" borderId="0" xfId="0" applyNumberFormat="1" applyFont="1" applyFill="1" applyBorder="1" applyAlignment="1">
      <x:alignment horizontal="right" vertical="center"/>
    </x:xf>
    <x:xf numFmtId="202" fontId="1" fillId="9" borderId="0" xfId="0" applyNumberFormat="1" applyFont="1" applyFill="1" applyBorder="1" applyAlignment="1">
      <x:alignment horizontal="right" vertical="center"/>
    </x:xf>
    <x:xf numFmtId="202" fontId="1" fillId="10" borderId="0" xfId="0" applyNumberFormat="1" applyFont="1" applyFill="1" applyBorder="1" applyAlignment="1">
      <x:alignment horizontal="right" vertical="center"/>
    </x:xf>
    <x:xf numFmtId="202" fontId="5" fillId="8" borderId="0" xfId="0" applyNumberFormat="1" applyFont="1" applyFill="1" applyBorder="1" applyAlignment="1">
      <x:alignment horizontal="right" vertical="center"/>
    </x:xf>
    <x:xf numFmtId="202" fontId="5" fillId="10" borderId="0" xfId="0" applyNumberFormat="1" applyFont="1" applyFill="1" applyBorder="1" applyAlignment="1">
      <x:alignment horizontal="right" vertical="center"/>
    </x:xf>
    <x:xf numFmtId="202" fontId="1" fillId="2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horizontal="right" vertical="center"/>
    </x:xf>
    <x:xf numFmtId="203" fontId="1" fillId="9" borderId="0" xfId="0" applyNumberFormat="1" applyFont="1" applyFill="1" applyBorder="1" applyAlignment="1">
      <x:alignment horizontal="right" vertical="center"/>
    </x:xf>
    <x:xf numFmtId="203" fontId="1" fillId="10" borderId="0" xfId="0" applyNumberFormat="1" applyFont="1" applyFill="1" applyBorder="1" applyAlignment="1">
      <x:alignment horizontal="right" vertical="center"/>
    </x:xf>
    <x:xf numFmtId="203" fontId="5" fillId="8" borderId="0" xfId="0" applyNumberFormat="1" applyFont="1" applyFill="1" applyBorder="1" applyAlignment="1">
      <x:alignment horizontal="right" vertical="center"/>
    </x:xf>
    <x:xf numFmtId="203" fontId="5" fillId="10" borderId="0" xfId="0" applyNumberFormat="1" applyFont="1" applyFill="1" applyBorder="1" applyAlignment="1">
      <x:alignment horizontal="right" vertical="center"/>
    </x:xf>
    <x:xf numFmtId="203" fontId="3" fillId="8" borderId="2" xfId="0" applyNumberFormat="1" applyFont="1" applyFill="1" applyBorder="1" applyAlignment="1">
      <x:alignment horizontal="right" vertical="center"/>
    </x:xf>
    <x:xf numFmtId="203" fontId="3" fillId="9" borderId="2" xfId="0" applyNumberFormat="1" applyFont="1" applyFill="1" applyBorder="1" applyAlignment="1">
      <x:alignment horizontal="right" vertical="center"/>
    </x:xf>
    <x:xf numFmtId="203" fontId="3" fillId="10" borderId="2" xfId="0" applyNumberFormat="1" applyFont="1" applyFill="1" applyBorder="1" applyAlignment="1">
      <x:alignment horizontal="right" vertical="center"/>
    </x:xf>
    <x:xf numFmtId="204" fontId="1" fillId="8" borderId="0" xfId="0" applyNumberFormat="1" applyFont="1" applyFill="1" applyBorder="1" applyAlignment="1">
      <x:alignment horizontal="right" vertical="center"/>
    </x:xf>
    <x:xf numFmtId="204" fontId="1" fillId="9" borderId="0" xfId="0" applyNumberFormat="1" applyFont="1" applyFill="1" applyBorder="1" applyAlignment="1">
      <x:alignment horizontal="right" vertical="center"/>
    </x:xf>
    <x:xf numFmtId="204" fontId="1" fillId="10" borderId="0" xfId="0" applyNumberFormat="1" applyFont="1" applyFill="1" applyBorder="1" applyAlignment="1">
      <x:alignment horizontal="right" vertical="center"/>
    </x:xf>
    <x:xf numFmtId="204" fontId="5" fillId="8" borderId="0" xfId="0" applyNumberFormat="1" applyFont="1" applyFill="1" applyBorder="1" applyAlignment="1">
      <x:alignment horizontal="right" vertical="center"/>
    </x:xf>
    <x:xf numFmtId="204" fontId="5" fillId="10" borderId="0" xfId="0" applyNumberFormat="1" applyFont="1" applyFill="1" applyBorder="1" applyAlignment="1">
      <x:alignment horizontal="right" vertical="center"/>
    </x:xf>
    <x:xf numFmtId="204" fontId="6" fillId="3" borderId="0" xfId="0" applyNumberFormat="1" applyFont="1" applyFill="1" applyBorder="1" applyAlignment="1">
      <x:alignment horizontal="right" vertical="center"/>
    </x:xf>
    <x:xf numFmtId="204" fontId="3" fillId="8" borderId="2" xfId="0" applyNumberFormat="1" applyFont="1" applyFill="1" applyBorder="1" applyAlignment="1">
      <x:alignment horizontal="right" vertical="center"/>
    </x:xf>
    <x:xf numFmtId="204" fontId="3" fillId="9" borderId="2" xfId="0" applyNumberFormat="1" applyFont="1" applyFill="1" applyBorder="1" applyAlignment="1">
      <x:alignment horizontal="right" vertical="center"/>
    </x:xf>
    <x:xf numFmtId="204" fontId="3" fillId="10" borderId="2" xfId="0" applyNumberFormat="1" applyFont="1" applyFill="1" applyBorder="1" applyAlignment="1">
      <x:alignment horizontal="right" vertical="center"/>
    </x:xf>
    <x:xf numFmtId="204" fontId="1" fillId="2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202" fontId="5" fillId="4" borderId="0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5" xfId="0" applyNumberFormat="1" applyFont="1" applyFill="1" applyBorder="1" applyAlignment="1">
      <x:alignment vertical="center"/>
    </x:xf>
    <x:xf numFmtId="202" fontId="5" fillId="4" borderId="6" xfId="0" applyNumberFormat="1" applyFont="1" applyFill="1" applyBorder="1" applyAlignment="1">
      <x:alignment vertical="center"/>
    </x:xf>
    <x:xf numFmtId="202" fontId="5" fillId="4" borderId="7" xfId="0" applyNumberFormat="1" applyFont="1" applyFill="1" applyBorder="1" applyAlignment="1">
      <x:alignment vertical="center"/>
    </x:xf>
    <x:xf numFmtId="202" fontId="5" fillId="4" borderId="8" xfId="0" applyNumberFormat="1" applyFont="1" applyFill="1" applyBorder="1" applyAlignment="1">
      <x:alignment vertical="center"/>
    </x:xf>
    <x:xf numFmtId="202" fontId="5" fillId="4" borderId="1" xfId="0" applyNumberFormat="1" applyFont="1" applyFill="1" applyBorder="1" applyAlignment="1">
      <x:alignment vertical="center"/>
    </x:xf>
    <x:xf numFmtId="202" fontId="5" fillId="4" borderId="9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horizontal="center" vertical="center"/>
    </x:xf>
    <x:xf numFmtId="0" fontId="5" fillId="4" borderId="4" xfId="0" applyNumberFormat="1" applyFont="1" applyFill="1" applyBorder="1" applyAlignment="1">
      <x:alignment horizontal="center" vertical="center"/>
    </x:xf>
    <x:xf numFmtId="0" fontId="5" fillId="4" borderId="5" xfId="0" applyNumberFormat="1" applyFont="1" applyFill="1" applyBorder="1" applyAlignment="1">
      <x:alignment horizontal="center" vertical="center"/>
    </x:xf>
    <x:xf numFmtId="202" fontId="5" fillId="4" borderId="6" xfId="0" applyNumberFormat="1" applyFont="1" applyFill="1" applyBorder="1" applyAlignment="1">
      <x:alignment horizontal="center" vertical="center"/>
    </x:xf>
    <x:xf numFmtId="202" fontId="5" fillId="4" borderId="0" xfId="0" applyNumberFormat="1" applyFont="1" applyFill="1" applyBorder="1" applyAlignment="1">
      <x:alignment horizontal="center" vertical="center"/>
    </x:xf>
    <x:xf numFmtId="202" fontId="5" fillId="4" borderId="7" xfId="0" applyNumberFormat="1" applyFont="1" applyFill="1" applyBorder="1" applyAlignment="1">
      <x:alignment horizontal="center" vertical="center"/>
    </x:xf>
    <x:xf numFmtId="202" fontId="5" fillId="4" borderId="8" xfId="0" applyNumberFormat="1" applyFont="1" applyFill="1" applyBorder="1" applyAlignment="1">
      <x:alignment horizontal="center" vertical="center"/>
    </x:xf>
    <x:xf numFmtId="202" fontId="5" fillId="4" borderId="1" xfId="0" applyNumberFormat="1" applyFont="1" applyFill="1" applyBorder="1" applyAlignment="1">
      <x:alignment horizontal="center" vertical="center"/>
    </x:xf>
    <x:xf numFmtId="202" fontId="5" fillId="4" borderId="9" xfId="0" applyNumberFormat="1" applyFont="1" applyFill="1" applyBorder="1" applyAlignment="1">
      <x:alignment horizontal="center" vertical="center"/>
    </x:xf>
    <x:xf numFmtId="200" fontId="5" fillId="4" borderId="3" xfId="0" applyNumberFormat="1" applyFont="1" applyFill="1" applyBorder="1" applyAlignment="1">
      <x:alignment horizontal="center" vertical="center"/>
    </x:xf>
    <x:xf numFmtId="200" fontId="5" fillId="4" borderId="4" xfId="0" applyNumberFormat="1" applyFont="1" applyFill="1" applyBorder="1" applyAlignment="1">
      <x:alignment horizontal="center" vertical="center"/>
    </x:xf>
    <x:xf numFmtId="200" fontId="5" fillId="4" borderId="5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2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2" xfId="0" applyNumberFormat="1" applyFont="1" applyFill="1" applyBorder="1" applyAlignment="1">
      <x:alignment horizontal="center" vertical="center"/>
    </x:xf>
    <x:xf numFmtId="0" fontId="7" fillId="8" borderId="0" xfId="0" applyNumberFormat="1" applyFont="1" applyFill="1" applyBorder="1" applyAlignment="1">
      <x:alignment horizontal="right" vertical="center"/>
    </x:xf>
    <x:xf numFmtId="0" fontId="7" fillId="9" borderId="0" xfId="0" applyNumberFormat="1" applyFont="1" applyFill="1" applyBorder="1" applyAlignment="1">
      <x:alignment horizontal="right" vertical="center"/>
    </x:xf>
    <x:xf numFmtId="0" fontId="7" fillId="10" borderId="0" xfId="0" applyNumberFormat="1" applyFont="1" applyFill="1" applyBorder="1" applyAlignment="1">
      <x:alignment horizontal="right" vertical="center"/>
    </x:xf>
    <x:xf numFmtId="0" fontId="7" fillId="8" borderId="0" xfId="0" applyNumberFormat="1" applyFont="1" applyFill="1" applyBorder="1" applyAlignment="1">
      <x:alignment horizontal="center" vertical="center"/>
    </x:xf>
    <x:xf numFmtId="0" fontId="7" fillId="9" borderId="0" xfId="0" applyNumberFormat="1" applyFont="1" applyFill="1" applyBorder="1" applyAlignment="1">
      <x:alignment horizontal="center" vertical="center"/>
    </x:xf>
    <x:xf numFmtId="0" fontId="7" fillId="1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6"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9fbe15491b4a6e" /><Relationship Type="http://schemas.openxmlformats.org/officeDocument/2006/relationships/theme" Target="/xl/theme/theme1.xml" Id="Re53926cc307e4a7d" /><Relationship Type="http://schemas.openxmlformats.org/officeDocument/2006/relationships/sharedStrings" Target="/xl/sharedStrings.xml" Id="R6b295edea11048d2" /><Relationship Type="http://schemas.openxmlformats.org/officeDocument/2006/relationships/worksheet" Target="/xl/worksheets/sheet1.xml" Id="Rc9a35f96d71e4b9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.439998626708984" hidden="0" customWidth="1"/>
    <x:col min="2" max="2" width="10.220000267028809" hidden="0" customWidth="1"/>
    <x:col min="3" max="3" width="10.220000267028809" hidden="0" customWidth="1"/>
    <x:col min="4" max="4" width="10.220000267028809" hidden="0" customWidth="1"/>
    <x:col min="5" max="5" width="9.109999656677246" hidden="0" customWidth="1"/>
    <x:col min="6" max="6" width="9.109999656677246" hidden="0" customWidth="1"/>
    <x:col min="7" max="7" width="9.109999656677246" hidden="0" customWidth="1"/>
    <x:col min="8" max="8" width="9.109999656677246" hidden="0" customWidth="1"/>
    <x:col min="9" max="9" width="9.109999656677246" hidden="0" customWidth="1"/>
    <x:col min="10" max="10" width="9.109999656677246" hidden="0" customWidth="1"/>
    <x:col min="11" max="11" width="9.109999656677246" hidden="0" customWidth="1"/>
    <x:col min="12" max="12" width="9.109999656677246" hidden="0" customWidth="1"/>
    <x:col min="13" max="13" width="9.109999656677246" hidden="0" customWidth="1"/>
    <x:col min="14" max="14" width="9.109999656677246" hidden="0" customWidth="1"/>
    <x:col min="15" max="15" width="9.109999656677246" hidden="0" customWidth="1"/>
    <x:col min="16" max="16" width="9.109999656677246" hidden="0" customWidth="1"/>
    <x:col min="17" max="17" width="9.109999656677246" hidden="0" customWidth="1"/>
    <x:col min="18" max="18" width="9.109999656677246" hidden="0" customWidth="1"/>
    <x:col min="19" max="19" width="9.109999656677246" hidden="0" customWidth="1"/>
    <x:col min="20" max="20" width="9.109999656677246" hidden="0" customWidth="1"/>
    <x:col min="21" max="21" width="9.109999656677246" hidden="0" customWidth="1"/>
    <x:col min="22" max="22" width="9.109999656677246" hidden="0" customWidth="1"/>
    <x:col min="23" max="23" width="9.109999656677246" hidden="0" customWidth="1"/>
    <x:col min="24" max="24" width="9.109999656677246" hidden="0" customWidth="1"/>
    <x:col min="25" max="25" width="9.109999656677246" hidden="0" customWidth="1"/>
    <x:col min="26" max="26" width="9.109999656677246" hidden="0" customWidth="1"/>
    <x:col min="27" max="27" width="9.109999656677246" hidden="0" customWidth="1"/>
    <x:col min="28" max="28" width="9.109999656677246" hidden="0" customWidth="1"/>
    <x:col min="29" max="29" width="9.109999656677246" hidden="0" customWidth="1"/>
    <x:col min="30" max="30" width="9.109999656677246" hidden="0" customWidth="1"/>
    <x:col min="31" max="31" width="9.109999656677246" hidden="0" customWidth="1"/>
    <x:col min="32" max="32" width="9.109999656677246" hidden="0" customWidth="1"/>
    <x:col min="33" max="33" width="9.109999656677246" hidden="0" customWidth="1"/>
    <x:col min="34" max="34" width="9.109999656677246" hidden="0" customWidth="1"/>
    <x:col min="35" max="35" width="9.109999656677246" hidden="0" customWidth="1"/>
    <x:col min="36" max="36" width="9.109999656677246" hidden="0" customWidth="1"/>
    <x:col min="37" max="37" width="9.109999656677246" hidden="0" customWidth="1"/>
    <x:col min="38" max="38" width="9.109999656677246" hidden="0" customWidth="1"/>
    <x:col min="39" max="39" width="9.109999656677246" hidden="0" customWidth="1"/>
    <x:col min="40" max="40" width="9.109999656677246" hidden="0" customWidth="1"/>
  </x:cols>
  <x:sheetData>
    <x:row r="1" ht="38" customHeight="1">
      <x:c r="A1" s="5" t="str">
        <x:v>EO Accelerator 12-Month Cash Forecast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</x:row>
    <x:row r="2" ht="8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</x:row>
    <x:row r="3" ht="24" customHeight="1">
      <x:c r="A3" s="7" t="str">
        <x:v>Model row</x:v>
      </x:c>
      <x:c r="B3" s="9" t="str">
        <x:v>12-Month Total</x:v>
      </x:c>
      <x:c r="C3" s="9"/>
      <x:c r="D3" s="9"/>
      <x:c r="E3" s="32" t="n">
        <x:f>EDATE(H$3,1)</x:f>
        <x:v>46722</x:v>
      </x:c>
      <x:c r="F3" s="32"/>
      <x:c r="G3" s="32"/>
      <x:c r="H3" s="26" t="n">
        <x:f>EDATE(K$3,1)</x:f>
        <x:v>46692</x:v>
      </x:c>
      <x:c r="I3" s="26"/>
      <x:c r="J3" s="26"/>
      <x:c r="K3" s="32" t="n">
        <x:f>EDATE(N$3,1)</x:f>
        <x:v>46661</x:v>
      </x:c>
      <x:c r="L3" s="32"/>
      <x:c r="M3" s="32"/>
      <x:c r="N3" s="26" t="n">
        <x:f>EDATE(Q$3,1)</x:f>
        <x:v>46631</x:v>
      </x:c>
      <x:c r="O3" s="26"/>
      <x:c r="P3" s="26"/>
      <x:c r="Q3" s="32" t="n">
        <x:f>EDATE(T$3,1)</x:f>
        <x:v>46600</x:v>
      </x:c>
      <x:c r="R3" s="32"/>
      <x:c r="S3" s="32"/>
      <x:c r="T3" s="26" t="n">
        <x:f>EDATE(W$3,1)</x:f>
        <x:v>46569</x:v>
      </x:c>
      <x:c r="U3" s="26"/>
      <x:c r="V3" s="26"/>
      <x:c r="W3" s="32" t="n">
        <x:f>EDATE(Z$3,1)</x:f>
        <x:v>46539</x:v>
      </x:c>
      <x:c r="X3" s="32"/>
      <x:c r="Y3" s="32"/>
      <x:c r="Z3" s="26" t="n">
        <x:f>EDATE(AC$3,1)</x:f>
        <x:v>46508</x:v>
      </x:c>
      <x:c r="AA3" s="26"/>
      <x:c r="AB3" s="26"/>
      <x:c r="AC3" s="32" t="n">
        <x:f>EDATE(AF$3,1)</x:f>
        <x:v>46478</x:v>
      </x:c>
      <x:c r="AD3" s="32"/>
      <x:c r="AE3" s="32"/>
      <x:c r="AF3" s="26" t="n">
        <x:f>EDATE(AI$3,1)</x:f>
        <x:v>46447</x:v>
      </x:c>
      <x:c r="AG3" s="26"/>
      <x:c r="AH3" s="26"/>
      <x:c r="AI3" s="32" t="n">
        <x:f>EDATE(AL$3,1)</x:f>
        <x:v>46419</x:v>
      </x:c>
      <x:c r="AJ3" s="32"/>
      <x:c r="AK3" s="32"/>
      <x:c r="AL3" s="26" t="n">
        <x:f>$AL$75</x:f>
        <x:v>46388</x:v>
      </x:c>
      <x:c r="AM3" s="26"/>
      <x:c r="AN3" s="26"/>
    </x:row>
    <x:row r="4" ht="24" customHeight="1">
      <x:c r="A4" s="7"/>
      <x:c r="B4" s="12" t="str">
        <x:v>Actual</x:v>
      </x:c>
      <x:c r="C4" s="15" t="str">
        <x:v>Rolling</x:v>
      </x:c>
      <x:c r="D4" s="18" t="str">
        <x:v>Approved</x:v>
      </x:c>
      <x:c r="E4" s="12" t="str">
        <x:v>Actual</x:v>
      </x:c>
      <x:c r="F4" s="15" t="str">
        <x:v>Rolling</x:v>
      </x:c>
      <x:c r="G4" s="18" t="str">
        <x:v>Approved</x:v>
      </x:c>
      <x:c r="H4" s="12" t="str">
        <x:v>Actual</x:v>
      </x:c>
      <x:c r="I4" s="15" t="str">
        <x:v>Rolling</x:v>
      </x:c>
      <x:c r="J4" s="18" t="str">
        <x:v>Approved</x:v>
      </x:c>
      <x:c r="K4" s="12" t="str">
        <x:v>Actual</x:v>
      </x:c>
      <x:c r="L4" s="15" t="str">
        <x:v>Rolling</x:v>
      </x:c>
      <x:c r="M4" s="18" t="str">
        <x:v>Approved</x:v>
      </x:c>
      <x:c r="N4" s="12" t="str">
        <x:v>Actual</x:v>
      </x:c>
      <x:c r="O4" s="15" t="str">
        <x:v>Rolling</x:v>
      </x:c>
      <x:c r="P4" s="18" t="str">
        <x:v>Approved</x:v>
      </x:c>
      <x:c r="Q4" s="12" t="str">
        <x:v>Actual</x:v>
      </x:c>
      <x:c r="R4" s="15" t="str">
        <x:v>Rolling</x:v>
      </x:c>
      <x:c r="S4" s="18" t="str">
        <x:v>Approved</x:v>
      </x:c>
      <x:c r="T4" s="12" t="str">
        <x:v>Actual</x:v>
      </x:c>
      <x:c r="U4" s="15" t="str">
        <x:v>Rolling</x:v>
      </x:c>
      <x:c r="V4" s="18" t="str">
        <x:v>Approved</x:v>
      </x:c>
      <x:c r="W4" s="12" t="str">
        <x:v>Actual</x:v>
      </x:c>
      <x:c r="X4" s="15" t="str">
        <x:v>Rolling</x:v>
      </x:c>
      <x:c r="Y4" s="18" t="str">
        <x:v>Approved</x:v>
      </x:c>
      <x:c r="Z4" s="12" t="str">
        <x:v>Actual</x:v>
      </x:c>
      <x:c r="AA4" s="15" t="str">
        <x:v>Rolling</x:v>
      </x:c>
      <x:c r="AB4" s="18" t="str">
        <x:v>Approved</x:v>
      </x:c>
      <x:c r="AC4" s="12" t="str">
        <x:v>Actual</x:v>
      </x:c>
      <x:c r="AD4" s="15" t="str">
        <x:v>Rolling</x:v>
      </x:c>
      <x:c r="AE4" s="18" t="str">
        <x:v>Approved</x:v>
      </x:c>
      <x:c r="AF4" s="12" t="str">
        <x:v>Actual</x:v>
      </x:c>
      <x:c r="AG4" s="15" t="str">
        <x:v>Rolling</x:v>
      </x:c>
      <x:c r="AH4" s="18" t="str">
        <x:v>Approved</x:v>
      </x:c>
      <x:c r="AI4" s="12" t="str">
        <x:v>Actual</x:v>
      </x:c>
      <x:c r="AJ4" s="15" t="str">
        <x:v>Rolling</x:v>
      </x:c>
      <x:c r="AK4" s="18" t="str">
        <x:v>Approved</x:v>
      </x:c>
      <x:c r="AL4" s="12" t="str">
        <x:v>Actual</x:v>
      </x:c>
      <x:c r="AM4" s="15" t="str">
        <x:v>Rolling</x:v>
      </x:c>
      <x:c r="AN4" s="18" t="str">
        <x:v>Approved</x:v>
      </x:c>
    </x:row>
    <x:row r="5" ht="24" customHeight="1">
      <x:c r="A5" s="33" t="str">
        <x:v>KFFM CASH DRIVERS</x:v>
      </x:c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  <x:c r="AA5" s="33"/>
      <x:c r="AB5" s="33"/>
      <x:c r="AC5" s="33"/>
      <x:c r="AD5" s="33"/>
      <x:c r="AE5" s="33"/>
      <x:c r="AF5" s="33"/>
      <x:c r="AG5" s="33"/>
      <x:c r="AH5" s="33"/>
      <x:c r="AI5" s="33"/>
      <x:c r="AJ5" s="33"/>
      <x:c r="AK5" s="33"/>
      <x:c r="AL5" s="33"/>
      <x:c r="AM5" s="33"/>
      <x:c r="AN5" s="33"/>
    </x:row>
    <x:row r="6" ht="24" customHeight="1">
      <x:c r="A6" s="3" t="str">
        <x:v>Prospect enquiries [count]</x:v>
      </x:c>
      <x:c r="B6" s="47" t="n">
        <x:f>SUM(AL6,AI6,AF6,AC6,Z6,W6,T6,Q6,N6,K6,H6,E6)</x:f>
        <x:v>185</x:v>
      </x:c>
      <x:c r="C6" s="48" t="n">
        <x:f>SUM(AM6,AJ6,AG6,AD6,AA6,X6,U6,R6,O6,L6,I6,F6)</x:f>
        <x:v>1345</x:v>
      </x:c>
      <x:c r="D6" s="49" t="n">
        <x:f>SUM(AN6,AK6,AH6,AE6,AB6,Y6,V6,S6,P6,M6,J6,G6)</x:f>
        <x:v>1362</x:v>
      </x:c>
      <x:c r="E6" s="50"/>
      <x:c r="F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6,G6)</x:f>
        <x:v>127</x:v>
      </x:c>
      <x:c r="G6" s="51" t="n">
        <x:v>127</x:v>
      </x:c>
      <x:c r="H6" s="50"/>
      <x:c r="I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6,J6)</x:f>
        <x:v>125</x:v>
      </x:c>
      <x:c r="J6" s="51" t="n">
        <x:v>125</x:v>
      </x:c>
      <x:c r="K6" s="50"/>
      <x:c r="L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6,M6)</x:f>
        <x:v>122</x:v>
      </x:c>
      <x:c r="M6" s="51" t="n">
        <x:v>122</x:v>
      </x:c>
      <x:c r="N6" s="50"/>
      <x:c r="O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6,P6)</x:f>
        <x:v>120</x:v>
      </x:c>
      <x:c r="P6" s="51" t="n">
        <x:v>120</x:v>
      </x:c>
      <x:c r="Q6" s="50"/>
      <x:c r="R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6,S6)</x:f>
        <x:v>117</x:v>
      </x:c>
      <x:c r="S6" s="51" t="n">
        <x:v>117</x:v>
      </x:c>
      <x:c r="T6" s="50"/>
      <x:c r="U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6,V6)</x:f>
        <x:v>115</x:v>
      </x:c>
      <x:c r="V6" s="51" t="n">
        <x:v>115</x:v>
      </x:c>
      <x:c r="W6" s="50"/>
      <x:c r="X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6,Y6)</x:f>
        <x:v>112</x:v>
      </x:c>
      <x:c r="Y6" s="51" t="n">
        <x:v>112</x:v>
      </x:c>
      <x:c r="Z6" s="50"/>
      <x:c r="AA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6,AB6)</x:f>
        <x:v>110</x:v>
      </x:c>
      <x:c r="AB6" s="51" t="n">
        <x:v>110</x:v>
      </x:c>
      <x:c r="AC6" s="50"/>
      <x:c r="AD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6,AE6)</x:f>
        <x:v>107</x:v>
      </x:c>
      <x:c r="AE6" s="51" t="n">
        <x:v>107</x:v>
      </x:c>
      <x:c r="AF6" s="50"/>
      <x:c r="AG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6,AH6)</x:f>
        <x:v>105</x:v>
      </x:c>
      <x:c r="AH6" s="51" t="n">
        <x:v>105</x:v>
      </x:c>
      <x:c r="AI6" s="50" t="n">
        <x:v>95</x:v>
      </x:c>
      <x:c r="AJ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6,AK6)</x:f>
        <x:v>95</x:v>
      </x:c>
      <x:c r="AK6" s="51" t="n">
        <x:v>102</x:v>
      </x:c>
      <x:c r="AL6" s="50" t="n">
        <x:v>90</x:v>
      </x:c>
      <x:c r="AM6" s="48" t="n">
        <x:f>IF(AND(AND(AL$57&lt;&gt;"",COUNT(AL6,AL8,AL9,AL11,AL12,AL13,AL14,AL15,AL16,AL18,AL21,AL23,AL28,AL30,AL31,AL32,AL33,AL38,AL39,AL40,AL41,AL42,AL43,AL44,AL45,AL46,AL47,AL48,AL49,AL50,AL51,AL52,AL57,AL60,AL61,AL62,AL63,AL64,AL69)=39)),AL6,AN6)</x:f>
        <x:v>90</x:v>
      </x:c>
      <x:c r="AN6" s="51" t="n">
        <x:v>100</x:v>
      </x:c>
    </x:row>
    <x:row r="7" ht="24" customHeight="1">
      <x:c r="A7" s="3" t="str">
        <x:v>Enquiry-to-qualified-lead conversion [%]</x:v>
      </x:c>
      <x:c r="B7" s="43" t="n">
        <x:f>IFERROR(B9/B6,"")</x:f>
        <x:v>0.4</x:v>
      </x:c>
      <x:c r="C7" s="44" t="n">
        <x:f>IFERROR(C9/C6,"")</x:f>
        <x:v>0.4007434944237918</x:v>
      </x:c>
      <x:c r="D7" s="45" t="n">
        <x:f>IFERROR(D9/D6,"")</x:f>
        <x:v>0.4008810572687225</x:v>
      </x:c>
      <x:c r="E7" s="43" t="str">
        <x:f>IFERROR(IF(E9="","",E9/E6),"")</x:f>
      </x:c>
      <x:c r="F7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7,G7)</x:f>
        <x:v>0.4</x:v>
      </x:c>
      <x:c r="G7" s="46" t="n">
        <x:v>0.4</x:v>
      </x:c>
      <x:c r="H7" s="43" t="str">
        <x:f>IFERROR(IF(H9="","",H9/H6),"")</x:f>
      </x:c>
      <x:c r="I7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7,J7)</x:f>
        <x:v>0.4</x:v>
      </x:c>
      <x:c r="J7" s="46" t="n">
        <x:v>0.4</x:v>
      </x:c>
      <x:c r="K7" s="43" t="str">
        <x:f>IFERROR(IF(K9="","",K9/K6),"")</x:f>
      </x:c>
      <x:c r="L7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7,M7)</x:f>
        <x:v>0.4</x:v>
      </x:c>
      <x:c r="M7" s="46" t="n">
        <x:v>0.4</x:v>
      </x:c>
      <x:c r="N7" s="43" t="str">
        <x:f>IFERROR(IF(N9="","",N9/N6),"")</x:f>
      </x:c>
      <x:c r="O7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7,P7)</x:f>
        <x:v>0.4</x:v>
      </x:c>
      <x:c r="P7" s="46" t="n">
        <x:v>0.4</x:v>
      </x:c>
      <x:c r="Q7" s="43" t="str">
        <x:f>IFERROR(IF(Q9="","",Q9/Q6),"")</x:f>
      </x:c>
      <x:c r="R7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7,S7)</x:f>
        <x:v>0.4</x:v>
      </x:c>
      <x:c r="S7" s="46" t="n">
        <x:v>0.4</x:v>
      </x:c>
      <x:c r="T7" s="43" t="str">
        <x:f>IFERROR(IF(T9="","",T9/T6),"")</x:f>
      </x:c>
      <x:c r="U7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7,V7)</x:f>
        <x:v>0.4</x:v>
      </x:c>
      <x:c r="V7" s="46" t="n">
        <x:v>0.4</x:v>
      </x:c>
      <x:c r="W7" s="43" t="str">
        <x:f>IFERROR(IF(W9="","",W9/W6),"")</x:f>
      </x:c>
      <x:c r="X7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7,Y7)</x:f>
        <x:v>0.4</x:v>
      </x:c>
      <x:c r="Y7" s="46" t="n">
        <x:v>0.4</x:v>
      </x:c>
      <x:c r="Z7" s="43" t="str">
        <x:f>IFERROR(IF(Z9="","",Z9/Z6),"")</x:f>
      </x:c>
      <x:c r="AA7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7,AB7)</x:f>
        <x:v>0.4</x:v>
      </x:c>
      <x:c r="AB7" s="46" t="n">
        <x:v>0.4</x:v>
      </x:c>
      <x:c r="AC7" s="43" t="str">
        <x:f>IFERROR(IF(AC9="","",AC9/AC6),"")</x:f>
      </x:c>
      <x:c r="AD7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7,AE7)</x:f>
        <x:v>0.4</x:v>
      </x:c>
      <x:c r="AE7" s="46" t="n">
        <x:v>0.4</x:v>
      </x:c>
      <x:c r="AF7" s="43" t="str">
        <x:f>IFERROR(IF(AF9="","",AF9/AF6),"")</x:f>
      </x:c>
      <x:c r="AG7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7,AH7)</x:f>
        <x:v>0.4</x:v>
      </x:c>
      <x:c r="AH7" s="46" t="n">
        <x:v>0.4</x:v>
      </x:c>
      <x:c r="AI7" s="43" t="n">
        <x:f>IFERROR(IF(AI9="","",AI9/AI6),"")</x:f>
        <x:v>0.4</x:v>
      </x:c>
      <x:c r="AJ7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7,AK7)</x:f>
        <x:v>0.4</x:v>
      </x:c>
      <x:c r="AK7" s="46" t="n">
        <x:v>0.4</x:v>
      </x:c>
      <x:c r="AL7" s="43" t="n">
        <x:f>IFERROR(IF(AL9="","",AL9/AL6),"")</x:f>
        <x:v>0.4</x:v>
      </x:c>
      <x:c r="AM7" s="44" t="n">
        <x:f>IF(AND(AND(AL$57&lt;&gt;"",COUNT(AL6,AL8,AL9,AL11,AL12,AL13,AL14,AL15,AL16,AL18,AL21,AL23,AL28,AL30,AL31,AL32,AL33,AL38,AL39,AL40,AL41,AL42,AL43,AL44,AL45,AL46,AL47,AL48,AL49,AL50,AL51,AL52,AL57,AL60,AL61,AL62,AL63,AL64,AL69)=39)),AL7,AN7)</x:f>
        <x:v>0.4</x:v>
      </x:c>
      <x:c r="AN7" s="46" t="n">
        <x:v>0.4</x:v>
      </x:c>
    </x:row>
    <x:row r="8" ht="24" customHeight="1">
      <x:c r="A8" s="3" t="str">
        <x:v>Average lead qualification time [days]</x:v>
      </x:c>
      <x:c r="B8" s="53" t="n">
        <x:f>IFERROR(SUM(AL8*AL6,AI8*AI6,AF8*AF6,AC8*AC6,Z8*Z6,W8*W6,T8*T6,Q8*Q6,N8*N6,K8*K6,H8*H6,E8*E6)/SUM(AL6,AI6,AF6,AC6,Z6,W6,T6,Q6,N6,K6,H6,E6),"")</x:f>
        <x:v>14</x:v>
      </x:c>
      <x:c r="C8" s="54" t="n">
        <x:f>IFERROR(SUM(AM8*AM6,AJ8*AJ6,AG8*AG6,AD8*AD6,AA8*AA6,X8*X6,U8*U6,R8*R6,O8*O6,L8*L6,I8*I6,F8*F6)/SUM(AM6,AJ6,AG6,AD6,AA6,X6,U6,R6,O6,L6,I6,F6),"")</x:f>
        <x:v>14</x:v>
      </x:c>
      <x:c r="D8" s="55" t="n">
        <x:f>IFERROR(SUM(AN8*AN6,AK8*AK6,AH8*AH6,AE8*AE6,AB8*AB6,Y8*Y6,V8*V6,S8*S6,P8*P6,M8*M6,J8*J6,G8*G6)/SUM(AN6,AK6,AH6,AE6,AB6,Y6,V6,S6,P6,M6,J6,G6),"")</x:f>
        <x:v>14</x:v>
      </x:c>
      <x:c r="E8" s="56"/>
      <x:c r="F8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8,G8)</x:f>
        <x:v>14</x:v>
      </x:c>
      <x:c r="G8" s="57" t="n">
        <x:v>14</x:v>
      </x:c>
      <x:c r="H8" s="56"/>
      <x:c r="I8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8,J8)</x:f>
        <x:v>14</x:v>
      </x:c>
      <x:c r="J8" s="57" t="n">
        <x:v>14</x:v>
      </x:c>
      <x:c r="K8" s="56"/>
      <x:c r="L8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8,M8)</x:f>
        <x:v>14</x:v>
      </x:c>
      <x:c r="M8" s="57" t="n">
        <x:v>14</x:v>
      </x:c>
      <x:c r="N8" s="56"/>
      <x:c r="O8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8,P8)</x:f>
        <x:v>14</x:v>
      </x:c>
      <x:c r="P8" s="57" t="n">
        <x:v>14</x:v>
      </x:c>
      <x:c r="Q8" s="56"/>
      <x:c r="R8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8,S8)</x:f>
        <x:v>14</x:v>
      </x:c>
      <x:c r="S8" s="57" t="n">
        <x:v>14</x:v>
      </x:c>
      <x:c r="T8" s="56"/>
      <x:c r="U8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8,V8)</x:f>
        <x:v>14</x:v>
      </x:c>
      <x:c r="V8" s="57" t="n">
        <x:v>14</x:v>
      </x:c>
      <x:c r="W8" s="56"/>
      <x:c r="X8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8,Y8)</x:f>
        <x:v>14</x:v>
      </x:c>
      <x:c r="Y8" s="57" t="n">
        <x:v>14</x:v>
      </x:c>
      <x:c r="Z8" s="56"/>
      <x:c r="AA8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8,AB8)</x:f>
        <x:v>14</x:v>
      </x:c>
      <x:c r="AB8" s="57" t="n">
        <x:v>14</x:v>
      </x:c>
      <x:c r="AC8" s="56"/>
      <x:c r="AD8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8,AE8)</x:f>
        <x:v>14</x:v>
      </x:c>
      <x:c r="AE8" s="57" t="n">
        <x:v>14</x:v>
      </x:c>
      <x:c r="AF8" s="56"/>
      <x:c r="AG8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8,AH8)</x:f>
        <x:v>14</x:v>
      </x:c>
      <x:c r="AH8" s="57" t="n">
        <x:v>14</x:v>
      </x:c>
      <x:c r="AI8" s="56" t="n">
        <x:v>14</x:v>
      </x:c>
      <x:c r="AJ8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8,AK8)</x:f>
        <x:v>14</x:v>
      </x:c>
      <x:c r="AK8" s="57" t="n">
        <x:v>14</x:v>
      </x:c>
      <x:c r="AL8" s="56" t="n">
        <x:v>14</x:v>
      </x:c>
      <x:c r="AM8" s="54" t="n">
        <x:f>IF(AND(AND(AL$57&lt;&gt;"",COUNT(AL6,AL8,AL9,AL11,AL12,AL13,AL14,AL15,AL16,AL18,AL21,AL23,AL28,AL30,AL31,AL32,AL33,AL38,AL39,AL40,AL41,AL42,AL43,AL44,AL45,AL46,AL47,AL48,AL49,AL50,AL51,AL52,AL57,AL60,AL61,AL62,AL63,AL64,AL69)=39)),AL8,AN8)</x:f>
        <x:v>14</x:v>
      </x:c>
      <x:c r="AN8" s="57" t="n">
        <x:v>14</x:v>
      </x:c>
    </x:row>
    <x:row r="9" ht="24" customHeight="1">
      <x:c r="A9" s="3" t="str">
        <x:v>Qualified leads [count]</x:v>
      </x:c>
      <x:c r="B9" s="47" t="n">
        <x:f>SUM(AL9,AI9,AF9,AC9,Z9,W9,T9,Q9,N9,K9,H9,E9)</x:f>
        <x:v>74</x:v>
      </x:c>
      <x:c r="C9" s="48" t="n">
        <x:f>SUM(AM9,AJ9,AG9,AD9,AA9,X9,U9,R9,O9,L9,I9,F9)</x:f>
        <x:v>539</x:v>
      </x:c>
      <x:c r="D9" s="49" t="n">
        <x:f>SUM(AN9,AK9,AH9,AE9,AB9,Y9,V9,S9,P9,M9,J9,G9)</x:f>
        <x:v>546</x:v>
      </x:c>
      <x:c r="E9" s="50"/>
      <x:c r="F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9,ROUND(SUM(IF(AND(AM$6&lt;&gt;"",AM$8&lt;&gt;""),IF(EOMONTH($AL$3+INT((DAY(EOMONTH($AL$3,0))-1)/2)+AM$8,0)=EOMONTH($E$3,0),AM$6*AM$7,0),0),IF(AND(AJ$6&lt;&gt;"",AJ$8&lt;&gt;""),IF(EOMONTH($AI$3+INT((DAY(EOMONTH($AI$3,0))-1)/2)+AJ$8,0)=EOMONTH($E$3,0),AJ$6*AJ$7,0),0),IF(AND(AG$6&lt;&gt;"",AG$8&lt;&gt;""),IF(EOMONTH($AF$3+INT((DAY(EOMONTH($AF$3,0))-1)/2)+AG$8,0)=EOMONTH($E$3,0),AG$6*AG$7,0),0),IF(AND(AD$6&lt;&gt;"",AD$8&lt;&gt;""),IF(EOMONTH($AC$3+INT((DAY(EOMONTH($AC$3,0))-1)/2)+AD$8,0)=EOMONTH($E$3,0),AD$6*AD$7,0),0),IF(AND(AA$6&lt;&gt;"",AA$8&lt;&gt;""),IF(EOMONTH($Z$3+INT((DAY(EOMONTH($Z$3,0))-1)/2)+AA$8,0)=EOMONTH($E$3,0),AA$6*AA$7,0),0),IF(AND(X$6&lt;&gt;"",X$8&lt;&gt;""),IF(EOMONTH($W$3+INT((DAY(EOMONTH($W$3,0))-1)/2)+X$8,0)=EOMONTH($E$3,0),X$6*X$7,0),0),IF(AND(U$6&lt;&gt;"",U$8&lt;&gt;""),IF(EOMONTH($T$3+INT((DAY(EOMONTH($T$3,0))-1)/2)+U$8,0)=EOMONTH($E$3,0),U$6*U$7,0),0),IF(AND(R$6&lt;&gt;"",R$8&lt;&gt;""),IF(EOMONTH($Q$3+INT((DAY(EOMONTH($Q$3,0))-1)/2)+R$8,0)=EOMONTH($E$3,0),R$6*R$7,0),0),IF(AND(O$6&lt;&gt;"",O$8&lt;&gt;""),IF(EOMONTH($N$3+INT((DAY(EOMONTH($N$3,0))-1)/2)+O$8,0)=EOMONTH($E$3,0),O$6*O$7,0),0),IF(AND(L$6&lt;&gt;"",L$8&lt;&gt;""),IF(EOMONTH($K$3+INT((DAY(EOMONTH($K$3,0))-1)/2)+L$8,0)=EOMONTH($E$3,0),L$6*L$7,0),0),IF(AND(I$6&lt;&gt;"",I$8&lt;&gt;""),IF(EOMONTH($H$3+INT((DAY(EOMONTH($H$3,0))-1)/2)+I$8,0)=EOMONTH($E$3,0),I$6*I$7,0),0),IF(AND(F$6&lt;&gt;"",F$8&lt;&gt;""),IF(EOMONTH($E$3+INT((DAY(EOMONTH($E$3,0))-1)/2)+F$8,0)=EOMONTH($E$3,0),F$6*F$7,0),0)),0))</x:f>
        <x:v>51</x:v>
      </x:c>
      <x:c r="G9" s="49" t="n">
        <x:f>ROUND(SUM(IF(AND(AN$6&lt;&gt;"",AN$8&lt;&gt;""),IF(EOMONTH($AL$3+INT((DAY(EOMONTH($AL$3,0))-1)/2)+AN$8,0)=EOMONTH($E$3,0),AN$6*AN$7,0),0),IF(AND(AK$6&lt;&gt;"",AK$8&lt;&gt;""),IF(EOMONTH($AI$3+INT((DAY(EOMONTH($AI$3,0))-1)/2)+AK$8,0)=EOMONTH($E$3,0),AK$6*AK$7,0),0),IF(AND(AH$6&lt;&gt;"",AH$8&lt;&gt;""),IF(EOMONTH($AF$3+INT((DAY(EOMONTH($AF$3,0))-1)/2)+AH$8,0)=EOMONTH($E$3,0),AH$6*AH$7,0),0),IF(AND(AE$6&lt;&gt;"",AE$8&lt;&gt;""),IF(EOMONTH($AC$3+INT((DAY(EOMONTH($AC$3,0))-1)/2)+AE$8,0)=EOMONTH($E$3,0),AE$6*AE$7,0),0),IF(AND(AB$6&lt;&gt;"",AB$8&lt;&gt;""),IF(EOMONTH($Z$3+INT((DAY(EOMONTH($Z$3,0))-1)/2)+AB$8,0)=EOMONTH($E$3,0),AB$6*AB$7,0),0),IF(AND(Y$6&lt;&gt;"",Y$8&lt;&gt;""),IF(EOMONTH($W$3+INT((DAY(EOMONTH($W$3,0))-1)/2)+Y$8,0)=EOMONTH($E$3,0),Y$6*Y$7,0),0),IF(AND(V$6&lt;&gt;"",V$8&lt;&gt;""),IF(EOMONTH($T$3+INT((DAY(EOMONTH($T$3,0))-1)/2)+V$8,0)=EOMONTH($E$3,0),V$6*V$7,0),0),IF(AND(S$6&lt;&gt;"",S$8&lt;&gt;""),IF(EOMONTH($Q$3+INT((DAY(EOMONTH($Q$3,0))-1)/2)+S$8,0)=EOMONTH($E$3,0),S$6*S$7,0),0),IF(AND(P$6&lt;&gt;"",P$8&lt;&gt;""),IF(EOMONTH($N$3+INT((DAY(EOMONTH($N$3,0))-1)/2)+P$8,0)=EOMONTH($E$3,0),P$6*P$7,0),0),IF(AND(M$6&lt;&gt;"",M$8&lt;&gt;""),IF(EOMONTH($K$3+INT((DAY(EOMONTH($K$3,0))-1)/2)+M$8,0)=EOMONTH($E$3,0),M$6*M$7,0),0),IF(AND(J$6&lt;&gt;"",J$8&lt;&gt;""),IF(EOMONTH($H$3+INT((DAY(EOMONTH($H$3,0))-1)/2)+J$8,0)=EOMONTH($E$3,0),J$6*J$7,0),0),IF(AND(G$6&lt;&gt;"",G$8&lt;&gt;""),IF(EOMONTH($E$3+INT((DAY(EOMONTH($E$3,0))-1)/2)+G$8,0)=EOMONTH($E$3,0),G$6*G$7,0),0)),0)</x:f>
        <x:v>51</x:v>
      </x:c>
      <x:c r="H9" s="50"/>
      <x:c r="I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9,ROUND(SUM(IF(AND(AM$6&lt;&gt;"",AM$8&lt;&gt;""),IF(EOMONTH($AL$3+INT((DAY(EOMONTH($AL$3,0))-1)/2)+AM$8,0)=EOMONTH($H$3,0),AM$6*AM$7,0),0),IF(AND(AJ$6&lt;&gt;"",AJ$8&lt;&gt;""),IF(EOMONTH($AI$3+INT((DAY(EOMONTH($AI$3,0))-1)/2)+AJ$8,0)=EOMONTH($H$3,0),AJ$6*AJ$7,0),0),IF(AND(AG$6&lt;&gt;"",AG$8&lt;&gt;""),IF(EOMONTH($AF$3+INT((DAY(EOMONTH($AF$3,0))-1)/2)+AG$8,0)=EOMONTH($H$3,0),AG$6*AG$7,0),0),IF(AND(AD$6&lt;&gt;"",AD$8&lt;&gt;""),IF(EOMONTH($AC$3+INT((DAY(EOMONTH($AC$3,0))-1)/2)+AD$8,0)=EOMONTH($H$3,0),AD$6*AD$7,0),0),IF(AND(AA$6&lt;&gt;"",AA$8&lt;&gt;""),IF(EOMONTH($Z$3+INT((DAY(EOMONTH($Z$3,0))-1)/2)+AA$8,0)=EOMONTH($H$3,0),AA$6*AA$7,0),0),IF(AND(X$6&lt;&gt;"",X$8&lt;&gt;""),IF(EOMONTH($W$3+INT((DAY(EOMONTH($W$3,0))-1)/2)+X$8,0)=EOMONTH($H$3,0),X$6*X$7,0),0),IF(AND(U$6&lt;&gt;"",U$8&lt;&gt;""),IF(EOMONTH($T$3+INT((DAY(EOMONTH($T$3,0))-1)/2)+U$8,0)=EOMONTH($H$3,0),U$6*U$7,0),0),IF(AND(R$6&lt;&gt;"",R$8&lt;&gt;""),IF(EOMONTH($Q$3+INT((DAY(EOMONTH($Q$3,0))-1)/2)+R$8,0)=EOMONTH($H$3,0),R$6*R$7,0),0),IF(AND(O$6&lt;&gt;"",O$8&lt;&gt;""),IF(EOMONTH($N$3+INT((DAY(EOMONTH($N$3,0))-1)/2)+O$8,0)=EOMONTH($H$3,0),O$6*O$7,0),0),IF(AND(L$6&lt;&gt;"",L$8&lt;&gt;""),IF(EOMONTH($K$3+INT((DAY(EOMONTH($K$3,0))-1)/2)+L$8,0)=EOMONTH($H$3,0),L$6*L$7,0),0),IF(AND(I$6&lt;&gt;"",I$8&lt;&gt;""),IF(EOMONTH($H$3+INT((DAY(EOMONTH($H$3,0))-1)/2)+I$8,0)=EOMONTH($H$3,0),I$6*I$7,0),0),IF(AND(F$6&lt;&gt;"",F$8&lt;&gt;""),IF(EOMONTH($E$3+INT((DAY(EOMONTH($E$3,0))-1)/2)+F$8,0)=EOMONTH($H$3,0),F$6*F$7,0),0)),0))</x:f>
        <x:v>50</x:v>
      </x:c>
      <x:c r="J9" s="49" t="n">
        <x:f>ROUND(SUM(IF(AND(AN$6&lt;&gt;"",AN$8&lt;&gt;""),IF(EOMONTH($AL$3+INT((DAY(EOMONTH($AL$3,0))-1)/2)+AN$8,0)=EOMONTH($H$3,0),AN$6*AN$7,0),0),IF(AND(AK$6&lt;&gt;"",AK$8&lt;&gt;""),IF(EOMONTH($AI$3+INT((DAY(EOMONTH($AI$3,0))-1)/2)+AK$8,0)=EOMONTH($H$3,0),AK$6*AK$7,0),0),IF(AND(AH$6&lt;&gt;"",AH$8&lt;&gt;""),IF(EOMONTH($AF$3+INT((DAY(EOMONTH($AF$3,0))-1)/2)+AH$8,0)=EOMONTH($H$3,0),AH$6*AH$7,0),0),IF(AND(AE$6&lt;&gt;"",AE$8&lt;&gt;""),IF(EOMONTH($AC$3+INT((DAY(EOMONTH($AC$3,0))-1)/2)+AE$8,0)=EOMONTH($H$3,0),AE$6*AE$7,0),0),IF(AND(AB$6&lt;&gt;"",AB$8&lt;&gt;""),IF(EOMONTH($Z$3+INT((DAY(EOMONTH($Z$3,0))-1)/2)+AB$8,0)=EOMONTH($H$3,0),AB$6*AB$7,0),0),IF(AND(Y$6&lt;&gt;"",Y$8&lt;&gt;""),IF(EOMONTH($W$3+INT((DAY(EOMONTH($W$3,0))-1)/2)+Y$8,0)=EOMONTH($H$3,0),Y$6*Y$7,0),0),IF(AND(V$6&lt;&gt;"",V$8&lt;&gt;""),IF(EOMONTH($T$3+INT((DAY(EOMONTH($T$3,0))-1)/2)+V$8,0)=EOMONTH($H$3,0),V$6*V$7,0),0),IF(AND(S$6&lt;&gt;"",S$8&lt;&gt;""),IF(EOMONTH($Q$3+INT((DAY(EOMONTH($Q$3,0))-1)/2)+S$8,0)=EOMONTH($H$3,0),S$6*S$7,0),0),IF(AND(P$6&lt;&gt;"",P$8&lt;&gt;""),IF(EOMONTH($N$3+INT((DAY(EOMONTH($N$3,0))-1)/2)+P$8,0)=EOMONTH($H$3,0),P$6*P$7,0),0),IF(AND(M$6&lt;&gt;"",M$8&lt;&gt;""),IF(EOMONTH($K$3+INT((DAY(EOMONTH($K$3,0))-1)/2)+M$8,0)=EOMONTH($H$3,0),M$6*M$7,0),0),IF(AND(J$6&lt;&gt;"",J$8&lt;&gt;""),IF(EOMONTH($H$3+INT((DAY(EOMONTH($H$3,0))-1)/2)+J$8,0)=EOMONTH($H$3,0),J$6*J$7,0),0),IF(AND(G$6&lt;&gt;"",G$8&lt;&gt;""),IF(EOMONTH($E$3+INT((DAY(EOMONTH($E$3,0))-1)/2)+G$8,0)=EOMONTH($H$3,0),G$6*G$7,0),0)),0)</x:f>
        <x:v>50</x:v>
      </x:c>
      <x:c r="K9" s="50"/>
      <x:c r="L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9,ROUND(SUM(IF(AND(AM$6&lt;&gt;"",AM$8&lt;&gt;""),IF(EOMONTH($AL$3+INT((DAY(EOMONTH($AL$3,0))-1)/2)+AM$8,0)=EOMONTH($K$3,0),AM$6*AM$7,0),0),IF(AND(AJ$6&lt;&gt;"",AJ$8&lt;&gt;""),IF(EOMONTH($AI$3+INT((DAY(EOMONTH($AI$3,0))-1)/2)+AJ$8,0)=EOMONTH($K$3,0),AJ$6*AJ$7,0),0),IF(AND(AG$6&lt;&gt;"",AG$8&lt;&gt;""),IF(EOMONTH($AF$3+INT((DAY(EOMONTH($AF$3,0))-1)/2)+AG$8,0)=EOMONTH($K$3,0),AG$6*AG$7,0),0),IF(AND(AD$6&lt;&gt;"",AD$8&lt;&gt;""),IF(EOMONTH($AC$3+INT((DAY(EOMONTH($AC$3,0))-1)/2)+AD$8,0)=EOMONTH($K$3,0),AD$6*AD$7,0),0),IF(AND(AA$6&lt;&gt;"",AA$8&lt;&gt;""),IF(EOMONTH($Z$3+INT((DAY(EOMONTH($Z$3,0))-1)/2)+AA$8,0)=EOMONTH($K$3,0),AA$6*AA$7,0),0),IF(AND(X$6&lt;&gt;"",X$8&lt;&gt;""),IF(EOMONTH($W$3+INT((DAY(EOMONTH($W$3,0))-1)/2)+X$8,0)=EOMONTH($K$3,0),X$6*X$7,0),0),IF(AND(U$6&lt;&gt;"",U$8&lt;&gt;""),IF(EOMONTH($T$3+INT((DAY(EOMONTH($T$3,0))-1)/2)+U$8,0)=EOMONTH($K$3,0),U$6*U$7,0),0),IF(AND(R$6&lt;&gt;"",R$8&lt;&gt;""),IF(EOMONTH($Q$3+INT((DAY(EOMONTH($Q$3,0))-1)/2)+R$8,0)=EOMONTH($K$3,0),R$6*R$7,0),0),IF(AND(O$6&lt;&gt;"",O$8&lt;&gt;""),IF(EOMONTH($N$3+INT((DAY(EOMONTH($N$3,0))-1)/2)+O$8,0)=EOMONTH($K$3,0),O$6*O$7,0),0),IF(AND(L$6&lt;&gt;"",L$8&lt;&gt;""),IF(EOMONTH($K$3+INT((DAY(EOMONTH($K$3,0))-1)/2)+L$8,0)=EOMONTH($K$3,0),L$6*L$7,0),0),IF(AND(I$6&lt;&gt;"",I$8&lt;&gt;""),IF(EOMONTH($H$3+INT((DAY(EOMONTH($H$3,0))-1)/2)+I$8,0)=EOMONTH($K$3,0),I$6*I$7,0),0),IF(AND(F$6&lt;&gt;"",F$8&lt;&gt;""),IF(EOMONTH($E$3+INT((DAY(EOMONTH($E$3,0))-1)/2)+F$8,0)=EOMONTH($K$3,0),F$6*F$7,0),0)),0))</x:f>
        <x:v>49</x:v>
      </x:c>
      <x:c r="M9" s="49" t="n">
        <x:f>ROUND(SUM(IF(AND(AN$6&lt;&gt;"",AN$8&lt;&gt;""),IF(EOMONTH($AL$3+INT((DAY(EOMONTH($AL$3,0))-1)/2)+AN$8,0)=EOMONTH($K$3,0),AN$6*AN$7,0),0),IF(AND(AK$6&lt;&gt;"",AK$8&lt;&gt;""),IF(EOMONTH($AI$3+INT((DAY(EOMONTH($AI$3,0))-1)/2)+AK$8,0)=EOMONTH($K$3,0),AK$6*AK$7,0),0),IF(AND(AH$6&lt;&gt;"",AH$8&lt;&gt;""),IF(EOMONTH($AF$3+INT((DAY(EOMONTH($AF$3,0))-1)/2)+AH$8,0)=EOMONTH($K$3,0),AH$6*AH$7,0),0),IF(AND(AE$6&lt;&gt;"",AE$8&lt;&gt;""),IF(EOMONTH($AC$3+INT((DAY(EOMONTH($AC$3,0))-1)/2)+AE$8,0)=EOMONTH($K$3,0),AE$6*AE$7,0),0),IF(AND(AB$6&lt;&gt;"",AB$8&lt;&gt;""),IF(EOMONTH($Z$3+INT((DAY(EOMONTH($Z$3,0))-1)/2)+AB$8,0)=EOMONTH($K$3,0),AB$6*AB$7,0),0),IF(AND(Y$6&lt;&gt;"",Y$8&lt;&gt;""),IF(EOMONTH($W$3+INT((DAY(EOMONTH($W$3,0))-1)/2)+Y$8,0)=EOMONTH($K$3,0),Y$6*Y$7,0),0),IF(AND(V$6&lt;&gt;"",V$8&lt;&gt;""),IF(EOMONTH($T$3+INT((DAY(EOMONTH($T$3,0))-1)/2)+V$8,0)=EOMONTH($K$3,0),V$6*V$7,0),0),IF(AND(S$6&lt;&gt;"",S$8&lt;&gt;""),IF(EOMONTH($Q$3+INT((DAY(EOMONTH($Q$3,0))-1)/2)+S$8,0)=EOMONTH($K$3,0),S$6*S$7,0),0),IF(AND(P$6&lt;&gt;"",P$8&lt;&gt;""),IF(EOMONTH($N$3+INT((DAY(EOMONTH($N$3,0))-1)/2)+P$8,0)=EOMONTH($K$3,0),P$6*P$7,0),0),IF(AND(M$6&lt;&gt;"",M$8&lt;&gt;""),IF(EOMONTH($K$3+INT((DAY(EOMONTH($K$3,0))-1)/2)+M$8,0)=EOMONTH($K$3,0),M$6*M$7,0),0),IF(AND(J$6&lt;&gt;"",J$8&lt;&gt;""),IF(EOMONTH($H$3+INT((DAY(EOMONTH($H$3,0))-1)/2)+J$8,0)=EOMONTH($K$3,0),J$6*J$7,0),0),IF(AND(G$6&lt;&gt;"",G$8&lt;&gt;""),IF(EOMONTH($E$3+INT((DAY(EOMONTH($E$3,0))-1)/2)+G$8,0)=EOMONTH($K$3,0),G$6*G$7,0),0)),0)</x:f>
        <x:v>49</x:v>
      </x:c>
      <x:c r="N9" s="50"/>
      <x:c r="O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9,ROUND(SUM(IF(AND(AM$6&lt;&gt;"",AM$8&lt;&gt;""),IF(EOMONTH($AL$3+INT((DAY(EOMONTH($AL$3,0))-1)/2)+AM$8,0)=EOMONTH($N$3,0),AM$6*AM$7,0),0),IF(AND(AJ$6&lt;&gt;"",AJ$8&lt;&gt;""),IF(EOMONTH($AI$3+INT((DAY(EOMONTH($AI$3,0))-1)/2)+AJ$8,0)=EOMONTH($N$3,0),AJ$6*AJ$7,0),0),IF(AND(AG$6&lt;&gt;"",AG$8&lt;&gt;""),IF(EOMONTH($AF$3+INT((DAY(EOMONTH($AF$3,0))-1)/2)+AG$8,0)=EOMONTH($N$3,0),AG$6*AG$7,0),0),IF(AND(AD$6&lt;&gt;"",AD$8&lt;&gt;""),IF(EOMONTH($AC$3+INT((DAY(EOMONTH($AC$3,0))-1)/2)+AD$8,0)=EOMONTH($N$3,0),AD$6*AD$7,0),0),IF(AND(AA$6&lt;&gt;"",AA$8&lt;&gt;""),IF(EOMONTH($Z$3+INT((DAY(EOMONTH($Z$3,0))-1)/2)+AA$8,0)=EOMONTH($N$3,0),AA$6*AA$7,0),0),IF(AND(X$6&lt;&gt;"",X$8&lt;&gt;""),IF(EOMONTH($W$3+INT((DAY(EOMONTH($W$3,0))-1)/2)+X$8,0)=EOMONTH($N$3,0),X$6*X$7,0),0),IF(AND(U$6&lt;&gt;"",U$8&lt;&gt;""),IF(EOMONTH($T$3+INT((DAY(EOMONTH($T$3,0))-1)/2)+U$8,0)=EOMONTH($N$3,0),U$6*U$7,0),0),IF(AND(R$6&lt;&gt;"",R$8&lt;&gt;""),IF(EOMONTH($Q$3+INT((DAY(EOMONTH($Q$3,0))-1)/2)+R$8,0)=EOMONTH($N$3,0),R$6*R$7,0),0),IF(AND(O$6&lt;&gt;"",O$8&lt;&gt;""),IF(EOMONTH($N$3+INT((DAY(EOMONTH($N$3,0))-1)/2)+O$8,0)=EOMONTH($N$3,0),O$6*O$7,0),0),IF(AND(L$6&lt;&gt;"",L$8&lt;&gt;""),IF(EOMONTH($K$3+INT((DAY(EOMONTH($K$3,0))-1)/2)+L$8,0)=EOMONTH($N$3,0),L$6*L$7,0),0),IF(AND(I$6&lt;&gt;"",I$8&lt;&gt;""),IF(EOMONTH($H$3+INT((DAY(EOMONTH($H$3,0))-1)/2)+I$8,0)=EOMONTH($N$3,0),I$6*I$7,0),0),IF(AND(F$6&lt;&gt;"",F$8&lt;&gt;""),IF(EOMONTH($E$3+INT((DAY(EOMONTH($E$3,0))-1)/2)+F$8,0)=EOMONTH($N$3,0),F$6*F$7,0),0)),0))</x:f>
        <x:v>48</x:v>
      </x:c>
      <x:c r="P9" s="49" t="n">
        <x:f>ROUND(SUM(IF(AND(AN$6&lt;&gt;"",AN$8&lt;&gt;""),IF(EOMONTH($AL$3+INT((DAY(EOMONTH($AL$3,0))-1)/2)+AN$8,0)=EOMONTH($N$3,0),AN$6*AN$7,0),0),IF(AND(AK$6&lt;&gt;"",AK$8&lt;&gt;""),IF(EOMONTH($AI$3+INT((DAY(EOMONTH($AI$3,0))-1)/2)+AK$8,0)=EOMONTH($N$3,0),AK$6*AK$7,0),0),IF(AND(AH$6&lt;&gt;"",AH$8&lt;&gt;""),IF(EOMONTH($AF$3+INT((DAY(EOMONTH($AF$3,0))-1)/2)+AH$8,0)=EOMONTH($N$3,0),AH$6*AH$7,0),0),IF(AND(AE$6&lt;&gt;"",AE$8&lt;&gt;""),IF(EOMONTH($AC$3+INT((DAY(EOMONTH($AC$3,0))-1)/2)+AE$8,0)=EOMONTH($N$3,0),AE$6*AE$7,0),0),IF(AND(AB$6&lt;&gt;"",AB$8&lt;&gt;""),IF(EOMONTH($Z$3+INT((DAY(EOMONTH($Z$3,0))-1)/2)+AB$8,0)=EOMONTH($N$3,0),AB$6*AB$7,0),0),IF(AND(Y$6&lt;&gt;"",Y$8&lt;&gt;""),IF(EOMONTH($W$3+INT((DAY(EOMONTH($W$3,0))-1)/2)+Y$8,0)=EOMONTH($N$3,0),Y$6*Y$7,0),0),IF(AND(V$6&lt;&gt;"",V$8&lt;&gt;""),IF(EOMONTH($T$3+INT((DAY(EOMONTH($T$3,0))-1)/2)+V$8,0)=EOMONTH($N$3,0),V$6*V$7,0),0),IF(AND(S$6&lt;&gt;"",S$8&lt;&gt;""),IF(EOMONTH($Q$3+INT((DAY(EOMONTH($Q$3,0))-1)/2)+S$8,0)=EOMONTH($N$3,0),S$6*S$7,0),0),IF(AND(P$6&lt;&gt;"",P$8&lt;&gt;""),IF(EOMONTH($N$3+INT((DAY(EOMONTH($N$3,0))-1)/2)+P$8,0)=EOMONTH($N$3,0),P$6*P$7,0),0),IF(AND(M$6&lt;&gt;"",M$8&lt;&gt;""),IF(EOMONTH($K$3+INT((DAY(EOMONTH($K$3,0))-1)/2)+M$8,0)=EOMONTH($N$3,0),M$6*M$7,0),0),IF(AND(J$6&lt;&gt;"",J$8&lt;&gt;""),IF(EOMONTH($H$3+INT((DAY(EOMONTH($H$3,0))-1)/2)+J$8,0)=EOMONTH($N$3,0),J$6*J$7,0),0),IF(AND(G$6&lt;&gt;"",G$8&lt;&gt;""),IF(EOMONTH($E$3+INT((DAY(EOMONTH($E$3,0))-1)/2)+G$8,0)=EOMONTH($N$3,0),G$6*G$7,0),0)),0)</x:f>
        <x:v>48</x:v>
      </x:c>
      <x:c r="Q9" s="50"/>
      <x:c r="R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9,ROUND(SUM(IF(AND(AM$6&lt;&gt;"",AM$8&lt;&gt;""),IF(EOMONTH($AL$3+INT((DAY(EOMONTH($AL$3,0))-1)/2)+AM$8,0)=EOMONTH($Q$3,0),AM$6*AM$7,0),0),IF(AND(AJ$6&lt;&gt;"",AJ$8&lt;&gt;""),IF(EOMONTH($AI$3+INT((DAY(EOMONTH($AI$3,0))-1)/2)+AJ$8,0)=EOMONTH($Q$3,0),AJ$6*AJ$7,0),0),IF(AND(AG$6&lt;&gt;"",AG$8&lt;&gt;""),IF(EOMONTH($AF$3+INT((DAY(EOMONTH($AF$3,0))-1)/2)+AG$8,0)=EOMONTH($Q$3,0),AG$6*AG$7,0),0),IF(AND(AD$6&lt;&gt;"",AD$8&lt;&gt;""),IF(EOMONTH($AC$3+INT((DAY(EOMONTH($AC$3,0))-1)/2)+AD$8,0)=EOMONTH($Q$3,0),AD$6*AD$7,0),0),IF(AND(AA$6&lt;&gt;"",AA$8&lt;&gt;""),IF(EOMONTH($Z$3+INT((DAY(EOMONTH($Z$3,0))-1)/2)+AA$8,0)=EOMONTH($Q$3,0),AA$6*AA$7,0),0),IF(AND(X$6&lt;&gt;"",X$8&lt;&gt;""),IF(EOMONTH($W$3+INT((DAY(EOMONTH($W$3,0))-1)/2)+X$8,0)=EOMONTH($Q$3,0),X$6*X$7,0),0),IF(AND(U$6&lt;&gt;"",U$8&lt;&gt;""),IF(EOMONTH($T$3+INT((DAY(EOMONTH($T$3,0))-1)/2)+U$8,0)=EOMONTH($Q$3,0),U$6*U$7,0),0),IF(AND(R$6&lt;&gt;"",R$8&lt;&gt;""),IF(EOMONTH($Q$3+INT((DAY(EOMONTH($Q$3,0))-1)/2)+R$8,0)=EOMONTH($Q$3,0),R$6*R$7,0),0),IF(AND(O$6&lt;&gt;"",O$8&lt;&gt;""),IF(EOMONTH($N$3+INT((DAY(EOMONTH($N$3,0))-1)/2)+O$8,0)=EOMONTH($Q$3,0),O$6*O$7,0),0),IF(AND(L$6&lt;&gt;"",L$8&lt;&gt;""),IF(EOMONTH($K$3+INT((DAY(EOMONTH($K$3,0))-1)/2)+L$8,0)=EOMONTH($Q$3,0),L$6*L$7,0),0),IF(AND(I$6&lt;&gt;"",I$8&lt;&gt;""),IF(EOMONTH($H$3+INT((DAY(EOMONTH($H$3,0))-1)/2)+I$8,0)=EOMONTH($Q$3,0),I$6*I$7,0),0),IF(AND(F$6&lt;&gt;"",F$8&lt;&gt;""),IF(EOMONTH($E$3+INT((DAY(EOMONTH($E$3,0))-1)/2)+F$8,0)=EOMONTH($Q$3,0),F$6*F$7,0),0)),0))</x:f>
        <x:v>47</x:v>
      </x:c>
      <x:c r="S9" s="49" t="n">
        <x:f>ROUND(SUM(IF(AND(AN$6&lt;&gt;"",AN$8&lt;&gt;""),IF(EOMONTH($AL$3+INT((DAY(EOMONTH($AL$3,0))-1)/2)+AN$8,0)=EOMONTH($Q$3,0),AN$6*AN$7,0),0),IF(AND(AK$6&lt;&gt;"",AK$8&lt;&gt;""),IF(EOMONTH($AI$3+INT((DAY(EOMONTH($AI$3,0))-1)/2)+AK$8,0)=EOMONTH($Q$3,0),AK$6*AK$7,0),0),IF(AND(AH$6&lt;&gt;"",AH$8&lt;&gt;""),IF(EOMONTH($AF$3+INT((DAY(EOMONTH($AF$3,0))-1)/2)+AH$8,0)=EOMONTH($Q$3,0),AH$6*AH$7,0),0),IF(AND(AE$6&lt;&gt;"",AE$8&lt;&gt;""),IF(EOMONTH($AC$3+INT((DAY(EOMONTH($AC$3,0))-1)/2)+AE$8,0)=EOMONTH($Q$3,0),AE$6*AE$7,0),0),IF(AND(AB$6&lt;&gt;"",AB$8&lt;&gt;""),IF(EOMONTH($Z$3+INT((DAY(EOMONTH($Z$3,0))-1)/2)+AB$8,0)=EOMONTH($Q$3,0),AB$6*AB$7,0),0),IF(AND(Y$6&lt;&gt;"",Y$8&lt;&gt;""),IF(EOMONTH($W$3+INT((DAY(EOMONTH($W$3,0))-1)/2)+Y$8,0)=EOMONTH($Q$3,0),Y$6*Y$7,0),0),IF(AND(V$6&lt;&gt;"",V$8&lt;&gt;""),IF(EOMONTH($T$3+INT((DAY(EOMONTH($T$3,0))-1)/2)+V$8,0)=EOMONTH($Q$3,0),V$6*V$7,0),0),IF(AND(S$6&lt;&gt;"",S$8&lt;&gt;""),IF(EOMONTH($Q$3+INT((DAY(EOMONTH($Q$3,0))-1)/2)+S$8,0)=EOMONTH($Q$3,0),S$6*S$7,0),0),IF(AND(P$6&lt;&gt;"",P$8&lt;&gt;""),IF(EOMONTH($N$3+INT((DAY(EOMONTH($N$3,0))-1)/2)+P$8,0)=EOMONTH($Q$3,0),P$6*P$7,0),0),IF(AND(M$6&lt;&gt;"",M$8&lt;&gt;""),IF(EOMONTH($K$3+INT((DAY(EOMONTH($K$3,0))-1)/2)+M$8,0)=EOMONTH($Q$3,0),M$6*M$7,0),0),IF(AND(J$6&lt;&gt;"",J$8&lt;&gt;""),IF(EOMONTH($H$3+INT((DAY(EOMONTH($H$3,0))-1)/2)+J$8,0)=EOMONTH($Q$3,0),J$6*J$7,0),0),IF(AND(G$6&lt;&gt;"",G$8&lt;&gt;""),IF(EOMONTH($E$3+INT((DAY(EOMONTH($E$3,0))-1)/2)+G$8,0)=EOMONTH($Q$3,0),G$6*G$7,0),0)),0)</x:f>
        <x:v>47</x:v>
      </x:c>
      <x:c r="T9" s="50"/>
      <x:c r="U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9,ROUND(SUM(IF(AND(AM$6&lt;&gt;"",AM$8&lt;&gt;""),IF(EOMONTH($AL$3+INT((DAY(EOMONTH($AL$3,0))-1)/2)+AM$8,0)=EOMONTH($T$3,0),AM$6*AM$7,0),0),IF(AND(AJ$6&lt;&gt;"",AJ$8&lt;&gt;""),IF(EOMONTH($AI$3+INT((DAY(EOMONTH($AI$3,0))-1)/2)+AJ$8,0)=EOMONTH($T$3,0),AJ$6*AJ$7,0),0),IF(AND(AG$6&lt;&gt;"",AG$8&lt;&gt;""),IF(EOMONTH($AF$3+INT((DAY(EOMONTH($AF$3,0))-1)/2)+AG$8,0)=EOMONTH($T$3,0),AG$6*AG$7,0),0),IF(AND(AD$6&lt;&gt;"",AD$8&lt;&gt;""),IF(EOMONTH($AC$3+INT((DAY(EOMONTH($AC$3,0))-1)/2)+AD$8,0)=EOMONTH($T$3,0),AD$6*AD$7,0),0),IF(AND(AA$6&lt;&gt;"",AA$8&lt;&gt;""),IF(EOMONTH($Z$3+INT((DAY(EOMONTH($Z$3,0))-1)/2)+AA$8,0)=EOMONTH($T$3,0),AA$6*AA$7,0),0),IF(AND(X$6&lt;&gt;"",X$8&lt;&gt;""),IF(EOMONTH($W$3+INT((DAY(EOMONTH($W$3,0))-1)/2)+X$8,0)=EOMONTH($T$3,0),X$6*X$7,0),0),IF(AND(U$6&lt;&gt;"",U$8&lt;&gt;""),IF(EOMONTH($T$3+INT((DAY(EOMONTH($T$3,0))-1)/2)+U$8,0)=EOMONTH($T$3,0),U$6*U$7,0),0),IF(AND(R$6&lt;&gt;"",R$8&lt;&gt;""),IF(EOMONTH($Q$3+INT((DAY(EOMONTH($Q$3,0))-1)/2)+R$8,0)=EOMONTH($T$3,0),R$6*R$7,0),0),IF(AND(O$6&lt;&gt;"",O$8&lt;&gt;""),IF(EOMONTH($N$3+INT((DAY(EOMONTH($N$3,0))-1)/2)+O$8,0)=EOMONTH($T$3,0),O$6*O$7,0),0),IF(AND(L$6&lt;&gt;"",L$8&lt;&gt;""),IF(EOMONTH($K$3+INT((DAY(EOMONTH($K$3,0))-1)/2)+L$8,0)=EOMONTH($T$3,0),L$6*L$7,0),0),IF(AND(I$6&lt;&gt;"",I$8&lt;&gt;""),IF(EOMONTH($H$3+INT((DAY(EOMONTH($H$3,0))-1)/2)+I$8,0)=EOMONTH($T$3,0),I$6*I$7,0),0),IF(AND(F$6&lt;&gt;"",F$8&lt;&gt;""),IF(EOMONTH($E$3+INT((DAY(EOMONTH($E$3,0))-1)/2)+F$8,0)=EOMONTH($T$3,0),F$6*F$7,0),0)),0))</x:f>
        <x:v>46</x:v>
      </x:c>
      <x:c r="V9" s="49" t="n">
        <x:f>ROUND(SUM(IF(AND(AN$6&lt;&gt;"",AN$8&lt;&gt;""),IF(EOMONTH($AL$3+INT((DAY(EOMONTH($AL$3,0))-1)/2)+AN$8,0)=EOMONTH($T$3,0),AN$6*AN$7,0),0),IF(AND(AK$6&lt;&gt;"",AK$8&lt;&gt;""),IF(EOMONTH($AI$3+INT((DAY(EOMONTH($AI$3,0))-1)/2)+AK$8,0)=EOMONTH($T$3,0),AK$6*AK$7,0),0),IF(AND(AH$6&lt;&gt;"",AH$8&lt;&gt;""),IF(EOMONTH($AF$3+INT((DAY(EOMONTH($AF$3,0))-1)/2)+AH$8,0)=EOMONTH($T$3,0),AH$6*AH$7,0),0),IF(AND(AE$6&lt;&gt;"",AE$8&lt;&gt;""),IF(EOMONTH($AC$3+INT((DAY(EOMONTH($AC$3,0))-1)/2)+AE$8,0)=EOMONTH($T$3,0),AE$6*AE$7,0),0),IF(AND(AB$6&lt;&gt;"",AB$8&lt;&gt;""),IF(EOMONTH($Z$3+INT((DAY(EOMONTH($Z$3,0))-1)/2)+AB$8,0)=EOMONTH($T$3,0),AB$6*AB$7,0),0),IF(AND(Y$6&lt;&gt;"",Y$8&lt;&gt;""),IF(EOMONTH($W$3+INT((DAY(EOMONTH($W$3,0))-1)/2)+Y$8,0)=EOMONTH($T$3,0),Y$6*Y$7,0),0),IF(AND(V$6&lt;&gt;"",V$8&lt;&gt;""),IF(EOMONTH($T$3+INT((DAY(EOMONTH($T$3,0))-1)/2)+V$8,0)=EOMONTH($T$3,0),V$6*V$7,0),0),IF(AND(S$6&lt;&gt;"",S$8&lt;&gt;""),IF(EOMONTH($Q$3+INT((DAY(EOMONTH($Q$3,0))-1)/2)+S$8,0)=EOMONTH($T$3,0),S$6*S$7,0),0),IF(AND(P$6&lt;&gt;"",P$8&lt;&gt;""),IF(EOMONTH($N$3+INT((DAY(EOMONTH($N$3,0))-1)/2)+P$8,0)=EOMONTH($T$3,0),P$6*P$7,0),0),IF(AND(M$6&lt;&gt;"",M$8&lt;&gt;""),IF(EOMONTH($K$3+INT((DAY(EOMONTH($K$3,0))-1)/2)+M$8,0)=EOMONTH($T$3,0),M$6*M$7,0),0),IF(AND(J$6&lt;&gt;"",J$8&lt;&gt;""),IF(EOMONTH($H$3+INT((DAY(EOMONTH($H$3,0))-1)/2)+J$8,0)=EOMONTH($T$3,0),J$6*J$7,0),0),IF(AND(G$6&lt;&gt;"",G$8&lt;&gt;""),IF(EOMONTH($E$3+INT((DAY(EOMONTH($E$3,0))-1)/2)+G$8,0)=EOMONTH($T$3,0),G$6*G$7,0),0)),0)</x:f>
        <x:v>46</x:v>
      </x:c>
      <x:c r="W9" s="50"/>
      <x:c r="X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9,ROUND(SUM(IF(AND(AM$6&lt;&gt;"",AM$8&lt;&gt;""),IF(EOMONTH($AL$3+INT((DAY(EOMONTH($AL$3,0))-1)/2)+AM$8,0)=EOMONTH($W$3,0),AM$6*AM$7,0),0),IF(AND(AJ$6&lt;&gt;"",AJ$8&lt;&gt;""),IF(EOMONTH($AI$3+INT((DAY(EOMONTH($AI$3,0))-1)/2)+AJ$8,0)=EOMONTH($W$3,0),AJ$6*AJ$7,0),0),IF(AND(AG$6&lt;&gt;"",AG$8&lt;&gt;""),IF(EOMONTH($AF$3+INT((DAY(EOMONTH($AF$3,0))-1)/2)+AG$8,0)=EOMONTH($W$3,0),AG$6*AG$7,0),0),IF(AND(AD$6&lt;&gt;"",AD$8&lt;&gt;""),IF(EOMONTH($AC$3+INT((DAY(EOMONTH($AC$3,0))-1)/2)+AD$8,0)=EOMONTH($W$3,0),AD$6*AD$7,0),0),IF(AND(AA$6&lt;&gt;"",AA$8&lt;&gt;""),IF(EOMONTH($Z$3+INT((DAY(EOMONTH($Z$3,0))-1)/2)+AA$8,0)=EOMONTH($W$3,0),AA$6*AA$7,0),0),IF(AND(X$6&lt;&gt;"",X$8&lt;&gt;""),IF(EOMONTH($W$3+INT((DAY(EOMONTH($W$3,0))-1)/2)+X$8,0)=EOMONTH($W$3,0),X$6*X$7,0),0),IF(AND(U$6&lt;&gt;"",U$8&lt;&gt;""),IF(EOMONTH($T$3+INT((DAY(EOMONTH($T$3,0))-1)/2)+U$8,0)=EOMONTH($W$3,0),U$6*U$7,0),0),IF(AND(R$6&lt;&gt;"",R$8&lt;&gt;""),IF(EOMONTH($Q$3+INT((DAY(EOMONTH($Q$3,0))-1)/2)+R$8,0)=EOMONTH($W$3,0),R$6*R$7,0),0),IF(AND(O$6&lt;&gt;"",O$8&lt;&gt;""),IF(EOMONTH($N$3+INT((DAY(EOMONTH($N$3,0))-1)/2)+O$8,0)=EOMONTH($W$3,0),O$6*O$7,0),0),IF(AND(L$6&lt;&gt;"",L$8&lt;&gt;""),IF(EOMONTH($K$3+INT((DAY(EOMONTH($K$3,0))-1)/2)+L$8,0)=EOMONTH($W$3,0),L$6*L$7,0),0),IF(AND(I$6&lt;&gt;"",I$8&lt;&gt;""),IF(EOMONTH($H$3+INT((DAY(EOMONTH($H$3,0))-1)/2)+I$8,0)=EOMONTH($W$3,0),I$6*I$7,0),0),IF(AND(F$6&lt;&gt;"",F$8&lt;&gt;""),IF(EOMONTH($E$3+INT((DAY(EOMONTH($E$3,0))-1)/2)+F$8,0)=EOMONTH($W$3,0),F$6*F$7,0),0)),0))</x:f>
        <x:v>45</x:v>
      </x:c>
      <x:c r="Y9" s="49" t="n">
        <x:f>ROUND(SUM(IF(AND(AN$6&lt;&gt;"",AN$8&lt;&gt;""),IF(EOMONTH($AL$3+INT((DAY(EOMONTH($AL$3,0))-1)/2)+AN$8,0)=EOMONTH($W$3,0),AN$6*AN$7,0),0),IF(AND(AK$6&lt;&gt;"",AK$8&lt;&gt;""),IF(EOMONTH($AI$3+INT((DAY(EOMONTH($AI$3,0))-1)/2)+AK$8,0)=EOMONTH($W$3,0),AK$6*AK$7,0),0),IF(AND(AH$6&lt;&gt;"",AH$8&lt;&gt;""),IF(EOMONTH($AF$3+INT((DAY(EOMONTH($AF$3,0))-1)/2)+AH$8,0)=EOMONTH($W$3,0),AH$6*AH$7,0),0),IF(AND(AE$6&lt;&gt;"",AE$8&lt;&gt;""),IF(EOMONTH($AC$3+INT((DAY(EOMONTH($AC$3,0))-1)/2)+AE$8,0)=EOMONTH($W$3,0),AE$6*AE$7,0),0),IF(AND(AB$6&lt;&gt;"",AB$8&lt;&gt;""),IF(EOMONTH($Z$3+INT((DAY(EOMONTH($Z$3,0))-1)/2)+AB$8,0)=EOMONTH($W$3,0),AB$6*AB$7,0),0),IF(AND(Y$6&lt;&gt;"",Y$8&lt;&gt;""),IF(EOMONTH($W$3+INT((DAY(EOMONTH($W$3,0))-1)/2)+Y$8,0)=EOMONTH($W$3,0),Y$6*Y$7,0),0),IF(AND(V$6&lt;&gt;"",V$8&lt;&gt;""),IF(EOMONTH($T$3+INT((DAY(EOMONTH($T$3,0))-1)/2)+V$8,0)=EOMONTH($W$3,0),V$6*V$7,0),0),IF(AND(S$6&lt;&gt;"",S$8&lt;&gt;""),IF(EOMONTH($Q$3+INT((DAY(EOMONTH($Q$3,0))-1)/2)+S$8,0)=EOMONTH($W$3,0),S$6*S$7,0),0),IF(AND(P$6&lt;&gt;"",P$8&lt;&gt;""),IF(EOMONTH($N$3+INT((DAY(EOMONTH($N$3,0))-1)/2)+P$8,0)=EOMONTH($W$3,0),P$6*P$7,0),0),IF(AND(M$6&lt;&gt;"",M$8&lt;&gt;""),IF(EOMONTH($K$3+INT((DAY(EOMONTH($K$3,0))-1)/2)+M$8,0)=EOMONTH($W$3,0),M$6*M$7,0),0),IF(AND(J$6&lt;&gt;"",J$8&lt;&gt;""),IF(EOMONTH($H$3+INT((DAY(EOMONTH($H$3,0))-1)/2)+J$8,0)=EOMONTH($W$3,0),J$6*J$7,0),0),IF(AND(G$6&lt;&gt;"",G$8&lt;&gt;""),IF(EOMONTH($E$3+INT((DAY(EOMONTH($E$3,0))-1)/2)+G$8,0)=EOMONTH($W$3,0),G$6*G$7,0),0)),0)</x:f>
        <x:v>45</x:v>
      </x:c>
      <x:c r="Z9" s="50"/>
      <x:c r="AA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9,ROUND(SUM(IF(AND(AM$6&lt;&gt;"",AM$8&lt;&gt;""),IF(EOMONTH($AL$3+INT((DAY(EOMONTH($AL$3,0))-1)/2)+AM$8,0)=EOMONTH($Z$3,0),AM$6*AM$7,0),0),IF(AND(AJ$6&lt;&gt;"",AJ$8&lt;&gt;""),IF(EOMONTH($AI$3+INT((DAY(EOMONTH($AI$3,0))-1)/2)+AJ$8,0)=EOMONTH($Z$3,0),AJ$6*AJ$7,0),0),IF(AND(AG$6&lt;&gt;"",AG$8&lt;&gt;""),IF(EOMONTH($AF$3+INT((DAY(EOMONTH($AF$3,0))-1)/2)+AG$8,0)=EOMONTH($Z$3,0),AG$6*AG$7,0),0),IF(AND(AD$6&lt;&gt;"",AD$8&lt;&gt;""),IF(EOMONTH($AC$3+INT((DAY(EOMONTH($AC$3,0))-1)/2)+AD$8,0)=EOMONTH($Z$3,0),AD$6*AD$7,0),0),IF(AND(AA$6&lt;&gt;"",AA$8&lt;&gt;""),IF(EOMONTH($Z$3+INT((DAY(EOMONTH($Z$3,0))-1)/2)+AA$8,0)=EOMONTH($Z$3,0),AA$6*AA$7,0),0),IF(AND(X$6&lt;&gt;"",X$8&lt;&gt;""),IF(EOMONTH($W$3+INT((DAY(EOMONTH($W$3,0))-1)/2)+X$8,0)=EOMONTH($Z$3,0),X$6*X$7,0),0),IF(AND(U$6&lt;&gt;"",U$8&lt;&gt;""),IF(EOMONTH($T$3+INT((DAY(EOMONTH($T$3,0))-1)/2)+U$8,0)=EOMONTH($Z$3,0),U$6*U$7,0),0),IF(AND(R$6&lt;&gt;"",R$8&lt;&gt;""),IF(EOMONTH($Q$3+INT((DAY(EOMONTH($Q$3,0))-1)/2)+R$8,0)=EOMONTH($Z$3,0),R$6*R$7,0),0),IF(AND(O$6&lt;&gt;"",O$8&lt;&gt;""),IF(EOMONTH($N$3+INT((DAY(EOMONTH($N$3,0))-1)/2)+O$8,0)=EOMONTH($Z$3,0),O$6*O$7,0),0),IF(AND(L$6&lt;&gt;"",L$8&lt;&gt;""),IF(EOMONTH($K$3+INT((DAY(EOMONTH($K$3,0))-1)/2)+L$8,0)=EOMONTH($Z$3,0),L$6*L$7,0),0),IF(AND(I$6&lt;&gt;"",I$8&lt;&gt;""),IF(EOMONTH($H$3+INT((DAY(EOMONTH($H$3,0))-1)/2)+I$8,0)=EOMONTH($Z$3,0),I$6*I$7,0),0),IF(AND(F$6&lt;&gt;"",F$8&lt;&gt;""),IF(EOMONTH($E$3+INT((DAY(EOMONTH($E$3,0))-1)/2)+F$8,0)=EOMONTH($Z$3,0),F$6*F$7,0),0)),0))</x:f>
        <x:v>44</x:v>
      </x:c>
      <x:c r="AB9" s="49" t="n">
        <x:f>ROUND(SUM(IF(AND(AN$6&lt;&gt;"",AN$8&lt;&gt;""),IF(EOMONTH($AL$3+INT((DAY(EOMONTH($AL$3,0))-1)/2)+AN$8,0)=EOMONTH($Z$3,0),AN$6*AN$7,0),0),IF(AND(AK$6&lt;&gt;"",AK$8&lt;&gt;""),IF(EOMONTH($AI$3+INT((DAY(EOMONTH($AI$3,0))-1)/2)+AK$8,0)=EOMONTH($Z$3,0),AK$6*AK$7,0),0),IF(AND(AH$6&lt;&gt;"",AH$8&lt;&gt;""),IF(EOMONTH($AF$3+INT((DAY(EOMONTH($AF$3,0))-1)/2)+AH$8,0)=EOMONTH($Z$3,0),AH$6*AH$7,0),0),IF(AND(AE$6&lt;&gt;"",AE$8&lt;&gt;""),IF(EOMONTH($AC$3+INT((DAY(EOMONTH($AC$3,0))-1)/2)+AE$8,0)=EOMONTH($Z$3,0),AE$6*AE$7,0),0),IF(AND(AB$6&lt;&gt;"",AB$8&lt;&gt;""),IF(EOMONTH($Z$3+INT((DAY(EOMONTH($Z$3,0))-1)/2)+AB$8,0)=EOMONTH($Z$3,0),AB$6*AB$7,0),0),IF(AND(Y$6&lt;&gt;"",Y$8&lt;&gt;""),IF(EOMONTH($W$3+INT((DAY(EOMONTH($W$3,0))-1)/2)+Y$8,0)=EOMONTH($Z$3,0),Y$6*Y$7,0),0),IF(AND(V$6&lt;&gt;"",V$8&lt;&gt;""),IF(EOMONTH($T$3+INT((DAY(EOMONTH($T$3,0))-1)/2)+V$8,0)=EOMONTH($Z$3,0),V$6*V$7,0),0),IF(AND(S$6&lt;&gt;"",S$8&lt;&gt;""),IF(EOMONTH($Q$3+INT((DAY(EOMONTH($Q$3,0))-1)/2)+S$8,0)=EOMONTH($Z$3,0),S$6*S$7,0),0),IF(AND(P$6&lt;&gt;"",P$8&lt;&gt;""),IF(EOMONTH($N$3+INT((DAY(EOMONTH($N$3,0))-1)/2)+P$8,0)=EOMONTH($Z$3,0),P$6*P$7,0),0),IF(AND(M$6&lt;&gt;"",M$8&lt;&gt;""),IF(EOMONTH($K$3+INT((DAY(EOMONTH($K$3,0))-1)/2)+M$8,0)=EOMONTH($Z$3,0),M$6*M$7,0),0),IF(AND(J$6&lt;&gt;"",J$8&lt;&gt;""),IF(EOMONTH($H$3+INT((DAY(EOMONTH($H$3,0))-1)/2)+J$8,0)=EOMONTH($Z$3,0),J$6*J$7,0),0),IF(AND(G$6&lt;&gt;"",G$8&lt;&gt;""),IF(EOMONTH($E$3+INT((DAY(EOMONTH($E$3,0))-1)/2)+G$8,0)=EOMONTH($Z$3,0),G$6*G$7,0),0)),0)</x:f>
        <x:v>44</x:v>
      </x:c>
      <x:c r="AC9" s="50"/>
      <x:c r="AD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9,ROUND(SUM(IF(AND(AM$6&lt;&gt;"",AM$8&lt;&gt;""),IF(EOMONTH($AL$3+INT((DAY(EOMONTH($AL$3,0))-1)/2)+AM$8,0)=EOMONTH($AC$3,0),AM$6*AM$7,0),0),IF(AND(AJ$6&lt;&gt;"",AJ$8&lt;&gt;""),IF(EOMONTH($AI$3+INT((DAY(EOMONTH($AI$3,0))-1)/2)+AJ$8,0)=EOMONTH($AC$3,0),AJ$6*AJ$7,0),0),IF(AND(AG$6&lt;&gt;"",AG$8&lt;&gt;""),IF(EOMONTH($AF$3+INT((DAY(EOMONTH($AF$3,0))-1)/2)+AG$8,0)=EOMONTH($AC$3,0),AG$6*AG$7,0),0),IF(AND(AD$6&lt;&gt;"",AD$8&lt;&gt;""),IF(EOMONTH($AC$3+INT((DAY(EOMONTH($AC$3,0))-1)/2)+AD$8,0)=EOMONTH($AC$3,0),AD$6*AD$7,0),0),IF(AND(AA$6&lt;&gt;"",AA$8&lt;&gt;""),IF(EOMONTH($Z$3+INT((DAY(EOMONTH($Z$3,0))-1)/2)+AA$8,0)=EOMONTH($AC$3,0),AA$6*AA$7,0),0),IF(AND(X$6&lt;&gt;"",X$8&lt;&gt;""),IF(EOMONTH($W$3+INT((DAY(EOMONTH($W$3,0))-1)/2)+X$8,0)=EOMONTH($AC$3,0),X$6*X$7,0),0),IF(AND(U$6&lt;&gt;"",U$8&lt;&gt;""),IF(EOMONTH($T$3+INT((DAY(EOMONTH($T$3,0))-1)/2)+U$8,0)=EOMONTH($AC$3,0),U$6*U$7,0),0),IF(AND(R$6&lt;&gt;"",R$8&lt;&gt;""),IF(EOMONTH($Q$3+INT((DAY(EOMONTH($Q$3,0))-1)/2)+R$8,0)=EOMONTH($AC$3,0),R$6*R$7,0),0),IF(AND(O$6&lt;&gt;"",O$8&lt;&gt;""),IF(EOMONTH($N$3+INT((DAY(EOMONTH($N$3,0))-1)/2)+O$8,0)=EOMONTH($AC$3,0),O$6*O$7,0),0),IF(AND(L$6&lt;&gt;"",L$8&lt;&gt;""),IF(EOMONTH($K$3+INT((DAY(EOMONTH($K$3,0))-1)/2)+L$8,0)=EOMONTH($AC$3,0),L$6*L$7,0),0),IF(AND(I$6&lt;&gt;"",I$8&lt;&gt;""),IF(EOMONTH($H$3+INT((DAY(EOMONTH($H$3,0))-1)/2)+I$8,0)=EOMONTH($AC$3,0),I$6*I$7,0),0),IF(AND(F$6&lt;&gt;"",F$8&lt;&gt;""),IF(EOMONTH($E$3+INT((DAY(EOMONTH($E$3,0))-1)/2)+F$8,0)=EOMONTH($AC$3,0),F$6*F$7,0),0)),0))</x:f>
        <x:v>43</x:v>
      </x:c>
      <x:c r="AE9" s="49" t="n">
        <x:f>ROUND(SUM(IF(AND(AN$6&lt;&gt;"",AN$8&lt;&gt;""),IF(EOMONTH($AL$3+INT((DAY(EOMONTH($AL$3,0))-1)/2)+AN$8,0)=EOMONTH($AC$3,0),AN$6*AN$7,0),0),IF(AND(AK$6&lt;&gt;"",AK$8&lt;&gt;""),IF(EOMONTH($AI$3+INT((DAY(EOMONTH($AI$3,0))-1)/2)+AK$8,0)=EOMONTH($AC$3,0),AK$6*AK$7,0),0),IF(AND(AH$6&lt;&gt;"",AH$8&lt;&gt;""),IF(EOMONTH($AF$3+INT((DAY(EOMONTH($AF$3,0))-1)/2)+AH$8,0)=EOMONTH($AC$3,0),AH$6*AH$7,0),0),IF(AND(AE$6&lt;&gt;"",AE$8&lt;&gt;""),IF(EOMONTH($AC$3+INT((DAY(EOMONTH($AC$3,0))-1)/2)+AE$8,0)=EOMONTH($AC$3,0),AE$6*AE$7,0),0),IF(AND(AB$6&lt;&gt;"",AB$8&lt;&gt;""),IF(EOMONTH($Z$3+INT((DAY(EOMONTH($Z$3,0))-1)/2)+AB$8,0)=EOMONTH($AC$3,0),AB$6*AB$7,0),0),IF(AND(Y$6&lt;&gt;"",Y$8&lt;&gt;""),IF(EOMONTH($W$3+INT((DAY(EOMONTH($W$3,0))-1)/2)+Y$8,0)=EOMONTH($AC$3,0),Y$6*Y$7,0),0),IF(AND(V$6&lt;&gt;"",V$8&lt;&gt;""),IF(EOMONTH($T$3+INT((DAY(EOMONTH($T$3,0))-1)/2)+V$8,0)=EOMONTH($AC$3,0),V$6*V$7,0),0),IF(AND(S$6&lt;&gt;"",S$8&lt;&gt;""),IF(EOMONTH($Q$3+INT((DAY(EOMONTH($Q$3,0))-1)/2)+S$8,0)=EOMONTH($AC$3,0),S$6*S$7,0),0),IF(AND(P$6&lt;&gt;"",P$8&lt;&gt;""),IF(EOMONTH($N$3+INT((DAY(EOMONTH($N$3,0))-1)/2)+P$8,0)=EOMONTH($AC$3,0),P$6*P$7,0),0),IF(AND(M$6&lt;&gt;"",M$8&lt;&gt;""),IF(EOMONTH($K$3+INT((DAY(EOMONTH($K$3,0))-1)/2)+M$8,0)=EOMONTH($AC$3,0),M$6*M$7,0),0),IF(AND(J$6&lt;&gt;"",J$8&lt;&gt;""),IF(EOMONTH($H$3+INT((DAY(EOMONTH($H$3,0))-1)/2)+J$8,0)=EOMONTH($AC$3,0),J$6*J$7,0),0),IF(AND(G$6&lt;&gt;"",G$8&lt;&gt;""),IF(EOMONTH($E$3+INT((DAY(EOMONTH($E$3,0))-1)/2)+G$8,0)=EOMONTH($AC$3,0),G$6*G$7,0),0)),0)</x:f>
        <x:v>43</x:v>
      </x:c>
      <x:c r="AF9" s="50"/>
      <x:c r="AG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9,ROUND(SUM(IF(AND(AM$6&lt;&gt;"",AM$8&lt;&gt;""),IF(EOMONTH($AL$3+INT((DAY(EOMONTH($AL$3,0))-1)/2)+AM$8,0)=EOMONTH($AF$3,0),AM$6*AM$7,0),0),IF(AND(AJ$6&lt;&gt;"",AJ$8&lt;&gt;""),IF(EOMONTH($AI$3+INT((DAY(EOMONTH($AI$3,0))-1)/2)+AJ$8,0)=EOMONTH($AF$3,0),AJ$6*AJ$7,0),0),IF(AND(AG$6&lt;&gt;"",AG$8&lt;&gt;""),IF(EOMONTH($AF$3+INT((DAY(EOMONTH($AF$3,0))-1)/2)+AG$8,0)=EOMONTH($AF$3,0),AG$6*AG$7,0),0),IF(AND(AD$6&lt;&gt;"",AD$8&lt;&gt;""),IF(EOMONTH($AC$3+INT((DAY(EOMONTH($AC$3,0))-1)/2)+AD$8,0)=EOMONTH($AF$3,0),AD$6*AD$7,0),0),IF(AND(AA$6&lt;&gt;"",AA$8&lt;&gt;""),IF(EOMONTH($Z$3+INT((DAY(EOMONTH($Z$3,0))-1)/2)+AA$8,0)=EOMONTH($AF$3,0),AA$6*AA$7,0),0),IF(AND(X$6&lt;&gt;"",X$8&lt;&gt;""),IF(EOMONTH($W$3+INT((DAY(EOMONTH($W$3,0))-1)/2)+X$8,0)=EOMONTH($AF$3,0),X$6*X$7,0),0),IF(AND(U$6&lt;&gt;"",U$8&lt;&gt;""),IF(EOMONTH($T$3+INT((DAY(EOMONTH($T$3,0))-1)/2)+U$8,0)=EOMONTH($AF$3,0),U$6*U$7,0),0),IF(AND(R$6&lt;&gt;"",R$8&lt;&gt;""),IF(EOMONTH($Q$3+INT((DAY(EOMONTH($Q$3,0))-1)/2)+R$8,0)=EOMONTH($AF$3,0),R$6*R$7,0),0),IF(AND(O$6&lt;&gt;"",O$8&lt;&gt;""),IF(EOMONTH($N$3+INT((DAY(EOMONTH($N$3,0))-1)/2)+O$8,0)=EOMONTH($AF$3,0),O$6*O$7,0),0),IF(AND(L$6&lt;&gt;"",L$8&lt;&gt;""),IF(EOMONTH($K$3+INT((DAY(EOMONTH($K$3,0))-1)/2)+L$8,0)=EOMONTH($AF$3,0),L$6*L$7,0),0),IF(AND(I$6&lt;&gt;"",I$8&lt;&gt;""),IF(EOMONTH($H$3+INT((DAY(EOMONTH($H$3,0))-1)/2)+I$8,0)=EOMONTH($AF$3,0),I$6*I$7,0),0),IF(AND(F$6&lt;&gt;"",F$8&lt;&gt;""),IF(EOMONTH($E$3+INT((DAY(EOMONTH($E$3,0))-1)/2)+F$8,0)=EOMONTH($AF$3,0),F$6*F$7,0),0)),0))</x:f>
        <x:v>42</x:v>
      </x:c>
      <x:c r="AH9" s="49" t="n">
        <x:f>ROUND(SUM(IF(AND(AN$6&lt;&gt;"",AN$8&lt;&gt;""),IF(EOMONTH($AL$3+INT((DAY(EOMONTH($AL$3,0))-1)/2)+AN$8,0)=EOMONTH($AF$3,0),AN$6*AN$7,0),0),IF(AND(AK$6&lt;&gt;"",AK$8&lt;&gt;""),IF(EOMONTH($AI$3+INT((DAY(EOMONTH($AI$3,0))-1)/2)+AK$8,0)=EOMONTH($AF$3,0),AK$6*AK$7,0),0),IF(AND(AH$6&lt;&gt;"",AH$8&lt;&gt;""),IF(EOMONTH($AF$3+INT((DAY(EOMONTH($AF$3,0))-1)/2)+AH$8,0)=EOMONTH($AF$3,0),AH$6*AH$7,0),0),IF(AND(AE$6&lt;&gt;"",AE$8&lt;&gt;""),IF(EOMONTH($AC$3+INT((DAY(EOMONTH($AC$3,0))-1)/2)+AE$8,0)=EOMONTH($AF$3,0),AE$6*AE$7,0),0),IF(AND(AB$6&lt;&gt;"",AB$8&lt;&gt;""),IF(EOMONTH($Z$3+INT((DAY(EOMONTH($Z$3,0))-1)/2)+AB$8,0)=EOMONTH($AF$3,0),AB$6*AB$7,0),0),IF(AND(Y$6&lt;&gt;"",Y$8&lt;&gt;""),IF(EOMONTH($W$3+INT((DAY(EOMONTH($W$3,0))-1)/2)+Y$8,0)=EOMONTH($AF$3,0),Y$6*Y$7,0),0),IF(AND(V$6&lt;&gt;"",V$8&lt;&gt;""),IF(EOMONTH($T$3+INT((DAY(EOMONTH($T$3,0))-1)/2)+V$8,0)=EOMONTH($AF$3,0),V$6*V$7,0),0),IF(AND(S$6&lt;&gt;"",S$8&lt;&gt;""),IF(EOMONTH($Q$3+INT((DAY(EOMONTH($Q$3,0))-1)/2)+S$8,0)=EOMONTH($AF$3,0),S$6*S$7,0),0),IF(AND(P$6&lt;&gt;"",P$8&lt;&gt;""),IF(EOMONTH($N$3+INT((DAY(EOMONTH($N$3,0))-1)/2)+P$8,0)=EOMONTH($AF$3,0),P$6*P$7,0),0),IF(AND(M$6&lt;&gt;"",M$8&lt;&gt;""),IF(EOMONTH($K$3+INT((DAY(EOMONTH($K$3,0))-1)/2)+M$8,0)=EOMONTH($AF$3,0),M$6*M$7,0),0),IF(AND(J$6&lt;&gt;"",J$8&lt;&gt;""),IF(EOMONTH($H$3+INT((DAY(EOMONTH($H$3,0))-1)/2)+J$8,0)=EOMONTH($AF$3,0),J$6*J$7,0),0),IF(AND(G$6&lt;&gt;"",G$8&lt;&gt;""),IF(EOMONTH($E$3+INT((DAY(EOMONTH($E$3,0))-1)/2)+G$8,0)=EOMONTH($AF$3,0),G$6*G$7,0),0)),0)</x:f>
        <x:v>42</x:v>
      </x:c>
      <x:c r="AI9" s="50" t="n">
        <x:v>38</x:v>
      </x:c>
      <x:c r="AJ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9,ROUND(SUM(IF(AND(AM$6&lt;&gt;"",AM$8&lt;&gt;""),IF(EOMONTH($AL$3+INT((DAY(EOMONTH($AL$3,0))-1)/2)+AM$8,0)=EOMONTH($AI$3,0),AM$6*AM$7,0),0),IF(AND(AJ$6&lt;&gt;"",AJ$8&lt;&gt;""),IF(EOMONTH($AI$3+INT((DAY(EOMONTH($AI$3,0))-1)/2)+AJ$8,0)=EOMONTH($AI$3,0),AJ$6*AJ$7,0),0),IF(AND(AG$6&lt;&gt;"",AG$8&lt;&gt;""),IF(EOMONTH($AF$3+INT((DAY(EOMONTH($AF$3,0))-1)/2)+AG$8,0)=EOMONTH($AI$3,0),AG$6*AG$7,0),0),IF(AND(AD$6&lt;&gt;"",AD$8&lt;&gt;""),IF(EOMONTH($AC$3+INT((DAY(EOMONTH($AC$3,0))-1)/2)+AD$8,0)=EOMONTH($AI$3,0),AD$6*AD$7,0),0),IF(AND(AA$6&lt;&gt;"",AA$8&lt;&gt;""),IF(EOMONTH($Z$3+INT((DAY(EOMONTH($Z$3,0))-1)/2)+AA$8,0)=EOMONTH($AI$3,0),AA$6*AA$7,0),0),IF(AND(X$6&lt;&gt;"",X$8&lt;&gt;""),IF(EOMONTH($W$3+INT((DAY(EOMONTH($W$3,0))-1)/2)+X$8,0)=EOMONTH($AI$3,0),X$6*X$7,0),0),IF(AND(U$6&lt;&gt;"",U$8&lt;&gt;""),IF(EOMONTH($T$3+INT((DAY(EOMONTH($T$3,0))-1)/2)+U$8,0)=EOMONTH($AI$3,0),U$6*U$7,0),0),IF(AND(R$6&lt;&gt;"",R$8&lt;&gt;""),IF(EOMONTH($Q$3+INT((DAY(EOMONTH($Q$3,0))-1)/2)+R$8,0)=EOMONTH($AI$3,0),R$6*R$7,0),0),IF(AND(O$6&lt;&gt;"",O$8&lt;&gt;""),IF(EOMONTH($N$3+INT((DAY(EOMONTH($N$3,0))-1)/2)+O$8,0)=EOMONTH($AI$3,0),O$6*O$7,0),0),IF(AND(L$6&lt;&gt;"",L$8&lt;&gt;""),IF(EOMONTH($K$3+INT((DAY(EOMONTH($K$3,0))-1)/2)+L$8,0)=EOMONTH($AI$3,0),L$6*L$7,0),0),IF(AND(I$6&lt;&gt;"",I$8&lt;&gt;""),IF(EOMONTH($H$3+INT((DAY(EOMONTH($H$3,0))-1)/2)+I$8,0)=EOMONTH($AI$3,0),I$6*I$7,0),0),IF(AND(F$6&lt;&gt;"",F$8&lt;&gt;""),IF(EOMONTH($E$3+INT((DAY(EOMONTH($E$3,0))-1)/2)+F$8,0)=EOMONTH($AI$3,0),F$6*F$7,0),0)),0))</x:f>
        <x:v>38</x:v>
      </x:c>
      <x:c r="AK9" s="49" t="n">
        <x:f>ROUND(SUM(IF(AND(AN$6&lt;&gt;"",AN$8&lt;&gt;""),IF(EOMONTH($AL$3+INT((DAY(EOMONTH($AL$3,0))-1)/2)+AN$8,0)=EOMONTH($AI$3,0),AN$6*AN$7,0),0),IF(AND(AK$6&lt;&gt;"",AK$8&lt;&gt;""),IF(EOMONTH($AI$3+INT((DAY(EOMONTH($AI$3,0))-1)/2)+AK$8,0)=EOMONTH($AI$3,0),AK$6*AK$7,0),0),IF(AND(AH$6&lt;&gt;"",AH$8&lt;&gt;""),IF(EOMONTH($AF$3+INT((DAY(EOMONTH($AF$3,0))-1)/2)+AH$8,0)=EOMONTH($AI$3,0),AH$6*AH$7,0),0),IF(AND(AE$6&lt;&gt;"",AE$8&lt;&gt;""),IF(EOMONTH($AC$3+INT((DAY(EOMONTH($AC$3,0))-1)/2)+AE$8,0)=EOMONTH($AI$3,0),AE$6*AE$7,0),0),IF(AND(AB$6&lt;&gt;"",AB$8&lt;&gt;""),IF(EOMONTH($Z$3+INT((DAY(EOMONTH($Z$3,0))-1)/2)+AB$8,0)=EOMONTH($AI$3,0),AB$6*AB$7,0),0),IF(AND(Y$6&lt;&gt;"",Y$8&lt;&gt;""),IF(EOMONTH($W$3+INT((DAY(EOMONTH($W$3,0))-1)/2)+Y$8,0)=EOMONTH($AI$3,0),Y$6*Y$7,0),0),IF(AND(V$6&lt;&gt;"",V$8&lt;&gt;""),IF(EOMONTH($T$3+INT((DAY(EOMONTH($T$3,0))-1)/2)+V$8,0)=EOMONTH($AI$3,0),V$6*V$7,0),0),IF(AND(S$6&lt;&gt;"",S$8&lt;&gt;""),IF(EOMONTH($Q$3+INT((DAY(EOMONTH($Q$3,0))-1)/2)+S$8,0)=EOMONTH($AI$3,0),S$6*S$7,0),0),IF(AND(P$6&lt;&gt;"",P$8&lt;&gt;""),IF(EOMONTH($N$3+INT((DAY(EOMONTH($N$3,0))-1)/2)+P$8,0)=EOMONTH($AI$3,0),P$6*P$7,0),0),IF(AND(M$6&lt;&gt;"",M$8&lt;&gt;""),IF(EOMONTH($K$3+INT((DAY(EOMONTH($K$3,0))-1)/2)+M$8,0)=EOMONTH($AI$3,0),M$6*M$7,0),0),IF(AND(J$6&lt;&gt;"",J$8&lt;&gt;""),IF(EOMONTH($H$3+INT((DAY(EOMONTH($H$3,0))-1)/2)+J$8,0)=EOMONTH($AI$3,0),J$6*J$7,0),0),IF(AND(G$6&lt;&gt;"",G$8&lt;&gt;""),IF(EOMONTH($E$3+INT((DAY(EOMONTH($E$3,0))-1)/2)+G$8,0)=EOMONTH($AI$3,0),G$6*G$7,0),0)),0)</x:f>
        <x:v>41</x:v>
      </x:c>
      <x:c r="AL9" s="50" t="n">
        <x:v>36</x:v>
      </x:c>
      <x:c r="AM9" s="48" t="n">
        <x:f>IF(AND(AND(AL$57&lt;&gt;"",COUNT(AL6,AL8,AL9,AL11,AL12,AL13,AL14,AL15,AL16,AL18,AL21,AL23,AL28,AL30,AL31,AL32,AL33,AL38,AL39,AL40,AL41,AL42,AL43,AL44,AL45,AL46,AL47,AL48,AL49,AL50,AL51,AL52,AL57,AL60,AL61,AL62,AL63,AL64,AL69)=39)),AL9,ROUND(SUM(IF(AND(AM$6&lt;&gt;"",AM$8&lt;&gt;""),IF(EOMONTH($AL$3+INT((DAY(EOMONTH($AL$3,0))-1)/2)+AM$8,0)=EOMONTH($AL$3,0),AM$6*AM$7,0),0),IF(AND(AJ$6&lt;&gt;"",AJ$8&lt;&gt;""),IF(EOMONTH($AI$3+INT((DAY(EOMONTH($AI$3,0))-1)/2)+AJ$8,0)=EOMONTH($AL$3,0),AJ$6*AJ$7,0),0),IF(AND(AG$6&lt;&gt;"",AG$8&lt;&gt;""),IF(EOMONTH($AF$3+INT((DAY(EOMONTH($AF$3,0))-1)/2)+AG$8,0)=EOMONTH($AL$3,0),AG$6*AG$7,0),0),IF(AND(AD$6&lt;&gt;"",AD$8&lt;&gt;""),IF(EOMONTH($AC$3+INT((DAY(EOMONTH($AC$3,0))-1)/2)+AD$8,0)=EOMONTH($AL$3,0),AD$6*AD$7,0),0),IF(AND(AA$6&lt;&gt;"",AA$8&lt;&gt;""),IF(EOMONTH($Z$3+INT((DAY(EOMONTH($Z$3,0))-1)/2)+AA$8,0)=EOMONTH($AL$3,0),AA$6*AA$7,0),0),IF(AND(X$6&lt;&gt;"",X$8&lt;&gt;""),IF(EOMONTH($W$3+INT((DAY(EOMONTH($W$3,0))-1)/2)+X$8,0)=EOMONTH($AL$3,0),X$6*X$7,0),0),IF(AND(U$6&lt;&gt;"",U$8&lt;&gt;""),IF(EOMONTH($T$3+INT((DAY(EOMONTH($T$3,0))-1)/2)+U$8,0)=EOMONTH($AL$3,0),U$6*U$7,0),0),IF(AND(R$6&lt;&gt;"",R$8&lt;&gt;""),IF(EOMONTH($Q$3+INT((DAY(EOMONTH($Q$3,0))-1)/2)+R$8,0)=EOMONTH($AL$3,0),R$6*R$7,0),0),IF(AND(O$6&lt;&gt;"",O$8&lt;&gt;""),IF(EOMONTH($N$3+INT((DAY(EOMONTH($N$3,0))-1)/2)+O$8,0)=EOMONTH($AL$3,0),O$6*O$7,0),0),IF(AND(L$6&lt;&gt;"",L$8&lt;&gt;""),IF(EOMONTH($K$3+INT((DAY(EOMONTH($K$3,0))-1)/2)+L$8,0)=EOMONTH($AL$3,0),L$6*L$7,0),0),IF(AND(I$6&lt;&gt;"",I$8&lt;&gt;""),IF(EOMONTH($H$3+INT((DAY(EOMONTH($H$3,0))-1)/2)+I$8,0)=EOMONTH($AL$3,0),I$6*I$7,0),0),IF(AND(F$6&lt;&gt;"",F$8&lt;&gt;""),IF(EOMONTH($E$3+INT((DAY(EOMONTH($E$3,0))-1)/2)+F$8,0)=EOMONTH($AL$3,0),F$6*F$7,0),0)),0))</x:f>
        <x:v>36</x:v>
      </x:c>
      <x:c r="AN9" s="49" t="n">
        <x:f>ROUND(SUM(IF(AND(AN$6&lt;&gt;"",AN$8&lt;&gt;""),IF(EOMONTH($AL$3+INT((DAY(EOMONTH($AL$3,0))-1)/2)+AN$8,0)=EOMONTH($AL$3,0),AN$6*AN$7,0),0),IF(AND(AK$6&lt;&gt;"",AK$8&lt;&gt;""),IF(EOMONTH($AI$3+INT((DAY(EOMONTH($AI$3,0))-1)/2)+AK$8,0)=EOMONTH($AL$3,0),AK$6*AK$7,0),0),IF(AND(AH$6&lt;&gt;"",AH$8&lt;&gt;""),IF(EOMONTH($AF$3+INT((DAY(EOMONTH($AF$3,0))-1)/2)+AH$8,0)=EOMONTH($AL$3,0),AH$6*AH$7,0),0),IF(AND(AE$6&lt;&gt;"",AE$8&lt;&gt;""),IF(EOMONTH($AC$3+INT((DAY(EOMONTH($AC$3,0))-1)/2)+AE$8,0)=EOMONTH($AL$3,0),AE$6*AE$7,0),0),IF(AND(AB$6&lt;&gt;"",AB$8&lt;&gt;""),IF(EOMONTH($Z$3+INT((DAY(EOMONTH($Z$3,0))-1)/2)+AB$8,0)=EOMONTH($AL$3,0),AB$6*AB$7,0),0),IF(AND(Y$6&lt;&gt;"",Y$8&lt;&gt;""),IF(EOMONTH($W$3+INT((DAY(EOMONTH($W$3,0))-1)/2)+Y$8,0)=EOMONTH($AL$3,0),Y$6*Y$7,0),0),IF(AND(V$6&lt;&gt;"",V$8&lt;&gt;""),IF(EOMONTH($T$3+INT((DAY(EOMONTH($T$3,0))-1)/2)+V$8,0)=EOMONTH($AL$3,0),V$6*V$7,0),0),IF(AND(S$6&lt;&gt;"",S$8&lt;&gt;""),IF(EOMONTH($Q$3+INT((DAY(EOMONTH($Q$3,0))-1)/2)+S$8,0)=EOMONTH($AL$3,0),S$6*S$7,0),0),IF(AND(P$6&lt;&gt;"",P$8&lt;&gt;""),IF(EOMONTH($N$3+INT((DAY(EOMONTH($N$3,0))-1)/2)+P$8,0)=EOMONTH($AL$3,0),P$6*P$7,0),0),IF(AND(M$6&lt;&gt;"",M$8&lt;&gt;""),IF(EOMONTH($K$3+INT((DAY(EOMONTH($K$3,0))-1)/2)+M$8,0)=EOMONTH($AL$3,0),M$6*M$7,0),0),IF(AND(J$6&lt;&gt;"",J$8&lt;&gt;""),IF(EOMONTH($H$3+INT((DAY(EOMONTH($H$3,0))-1)/2)+J$8,0)=EOMONTH($AL$3,0),J$6*J$7,0),0),IF(AND(G$6&lt;&gt;"",G$8&lt;&gt;""),IF(EOMONTH($E$3+INT((DAY(EOMONTH($E$3,0))-1)/2)+G$8,0)=EOMONTH($AL$3,0),G$6*G$7,0),0)),0)</x:f>
        <x:v>40</x:v>
      </x:c>
    </x:row>
    <x:row r="10" ht="24" customHeight="1">
      <x:c r="A10" s="3" t="str">
        <x:v>Qualified-lead-to-contract conversion [%]</x:v>
      </x:c>
      <x:c r="B10" s="43" t="n">
        <x:f>IFERROR(B12/B9,"")</x:f>
        <x:v>0.20270270270270271</x:v>
      </x:c>
      <x:c r="C10" s="44" t="n">
        <x:f>IFERROR(C12/C9,"")</x:f>
        <x:v>0.23747680890538034</x:v>
      </x:c>
      <x:c r="D10" s="45" t="n">
        <x:f>IFERROR(D12/D9,"")</x:f>
        <x:v>0.24725274725274726</x:v>
      </x:c>
      <x:c r="E10" s="43" t="str">
        <x:f>IFERROR(IF(OR(E12="",E9=""),"",E12/E9),"")</x:f>
      </x:c>
      <x:c r="F10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10,G10)</x:f>
        <x:v>0.25</x:v>
      </x:c>
      <x:c r="G10" s="46" t="n">
        <x:v>0.25</x:v>
      </x:c>
      <x:c r="H10" s="43" t="str">
        <x:f>IFERROR(IF(OR(H12="",H9=""),"",H12/H9),"")</x:f>
      </x:c>
      <x:c r="I10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10,J10)</x:f>
        <x:v>0.25</x:v>
      </x:c>
      <x:c r="J10" s="46" t="n">
        <x:v>0.25</x:v>
      </x:c>
      <x:c r="K10" s="43" t="str">
        <x:f>IFERROR(IF(OR(K12="",K9=""),"",K12/K9),"")</x:f>
      </x:c>
      <x:c r="L10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10,M10)</x:f>
        <x:v>0.25</x:v>
      </x:c>
      <x:c r="M10" s="46" t="n">
        <x:v>0.25</x:v>
      </x:c>
      <x:c r="N10" s="43" t="str">
        <x:f>IFERROR(IF(OR(N12="",N9=""),"",N12/N9),"")</x:f>
      </x:c>
      <x:c r="O10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10,P10)</x:f>
        <x:v>0.25</x:v>
      </x:c>
      <x:c r="P10" s="46" t="n">
        <x:v>0.25</x:v>
      </x:c>
      <x:c r="Q10" s="43" t="str">
        <x:f>IFERROR(IF(OR(Q12="",Q9=""),"",Q12/Q9),"")</x:f>
      </x:c>
      <x:c r="R10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10,S10)</x:f>
        <x:v>0.25</x:v>
      </x:c>
      <x:c r="S10" s="46" t="n">
        <x:v>0.25</x:v>
      </x:c>
      <x:c r="T10" s="43" t="str">
        <x:f>IFERROR(IF(OR(T12="",T9=""),"",T12/T9),"")</x:f>
      </x:c>
      <x:c r="U10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10,V10)</x:f>
        <x:v>0.25</x:v>
      </x:c>
      <x:c r="V10" s="46" t="n">
        <x:v>0.25</x:v>
      </x:c>
      <x:c r="W10" s="43" t="str">
        <x:f>IFERROR(IF(OR(W12="",W9=""),"",W12/W9),"")</x:f>
      </x:c>
      <x:c r="X10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10,Y10)</x:f>
        <x:v>0.25</x:v>
      </x:c>
      <x:c r="Y10" s="46" t="n">
        <x:v>0.25</x:v>
      </x:c>
      <x:c r="Z10" s="43" t="str">
        <x:f>IFERROR(IF(OR(Z12="",Z9=""),"",Z12/Z9),"")</x:f>
      </x:c>
      <x:c r="AA10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10,AB10)</x:f>
        <x:v>0.25</x:v>
      </x:c>
      <x:c r="AB10" s="46" t="n">
        <x:v>0.25</x:v>
      </x:c>
      <x:c r="AC10" s="43" t="str">
        <x:f>IFERROR(IF(OR(AC12="",AC9=""),"",AC12/AC9),"")</x:f>
      </x:c>
      <x:c r="AD10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10,AE10)</x:f>
        <x:v>0.25</x:v>
      </x:c>
      <x:c r="AE10" s="46" t="n">
        <x:v>0.25</x:v>
      </x:c>
      <x:c r="AF10" s="43" t="str">
        <x:f>IFERROR(IF(OR(AF12="",AF9=""),"",AF12/AF9),"")</x:f>
      </x:c>
      <x:c r="AG10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10,AH10)</x:f>
        <x:v>0.25</x:v>
      </x:c>
      <x:c r="AH10" s="46" t="n">
        <x:v>0.25</x:v>
      </x:c>
      <x:c r="AI10" s="43" t="n">
        <x:f>IFERROR(IF(OR(AI12="",AI9=""),"",AI12/AI9),"")</x:f>
        <x:v>0.21052631578947367</x:v>
      </x:c>
      <x:c r="AJ10" s="4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10,AK10)</x:f>
        <x:v>0.21052631578947367</x:v>
      </x:c>
      <x:c r="AK10" s="46" t="n">
        <x:v>0.25</x:v>
      </x:c>
      <x:c r="AL10" s="43" t="n">
        <x:f>IFERROR(IF(OR(AL12="",AL9=""),"",AL12/AL9),"")</x:f>
        <x:v>0.19444444444444445</x:v>
      </x:c>
      <x:c r="AM10" s="44" t="n">
        <x:f>IF(AND(AND(AL$57&lt;&gt;"",COUNT(AL6,AL8,AL9,AL11,AL12,AL13,AL14,AL15,AL16,AL18,AL21,AL23,AL28,AL30,AL31,AL32,AL33,AL38,AL39,AL40,AL41,AL42,AL43,AL44,AL45,AL46,AL47,AL48,AL49,AL50,AL51,AL52,AL57,AL60,AL61,AL62,AL63,AL64,AL69)=39)),AL10,AN10)</x:f>
        <x:v>0.19444444444444445</x:v>
      </x:c>
      <x:c r="AN10" s="46" t="n">
        <x:v>0.25</x:v>
      </x:c>
    </x:row>
    <x:row r="11" ht="24" customHeight="1">
      <x:c r="A11" s="3" t="str">
        <x:v>Average sales close time [days]</x:v>
      </x:c>
      <x:c r="B11" s="53" t="n">
        <x:f>IFERROR(SUM(AL11*AL9,AI11*AI9,AF11*AF9,AC11*AC9,Z11*Z9,W11*W9,T11*T9,Q11*Q9,N11*N9,K11*K9,H11*H9,E11*E9)/SUM(AL9,AI9,AF9,AC9,Z9,W9,T9,Q9,N9,K9,H9,E9),"")</x:f>
        <x:v>30</x:v>
      </x:c>
      <x:c r="C11" s="54" t="n">
        <x:f>IFERROR(SUM(AM11*AM9,AJ11*AJ9,AG11*AG9,AD11*AD9,AA11*AA9,X11*X9,U11*U9,R11*R9,O11*O9,L11*L9,I11*I9,F11*F9)/SUM(AM9,AJ9,AG9,AD9,AA9,X9,U9,R9,O9,L9,I9,F9),"")</x:f>
        <x:v>30</x:v>
      </x:c>
      <x:c r="D11" s="55" t="n">
        <x:f>IFERROR(SUM(AN11*AN9,AK11*AK9,AH11*AH9,AE11*AE9,AB11*AB9,Y11*Y9,V11*V9,S11*S9,P11*P9,M11*M9,J11*J9,G11*G9)/SUM(AN9,AK9,AH9,AE9,AB9,Y9,V9,S9,P9,M9,J9,G9),"")</x:f>
        <x:v>30</x:v>
      </x:c>
      <x:c r="E11" s="56"/>
      <x:c r="F11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11,G11)</x:f>
        <x:v>30</x:v>
      </x:c>
      <x:c r="G11" s="57" t="n">
        <x:v>30</x:v>
      </x:c>
      <x:c r="H11" s="56"/>
      <x:c r="I11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11,J11)</x:f>
        <x:v>30</x:v>
      </x:c>
      <x:c r="J11" s="57" t="n">
        <x:v>30</x:v>
      </x:c>
      <x:c r="K11" s="56"/>
      <x:c r="L11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11,M11)</x:f>
        <x:v>30</x:v>
      </x:c>
      <x:c r="M11" s="57" t="n">
        <x:v>30</x:v>
      </x:c>
      <x:c r="N11" s="56"/>
      <x:c r="O11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11,P11)</x:f>
        <x:v>30</x:v>
      </x:c>
      <x:c r="P11" s="57" t="n">
        <x:v>30</x:v>
      </x:c>
      <x:c r="Q11" s="56"/>
      <x:c r="R11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11,S11)</x:f>
        <x:v>30</x:v>
      </x:c>
      <x:c r="S11" s="57" t="n">
        <x:v>30</x:v>
      </x:c>
      <x:c r="T11" s="56"/>
      <x:c r="U11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11,V11)</x:f>
        <x:v>30</x:v>
      </x:c>
      <x:c r="V11" s="57" t="n">
        <x:v>30</x:v>
      </x:c>
      <x:c r="W11" s="56"/>
      <x:c r="X11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11,Y11)</x:f>
        <x:v>30</x:v>
      </x:c>
      <x:c r="Y11" s="57" t="n">
        <x:v>30</x:v>
      </x:c>
      <x:c r="Z11" s="56"/>
      <x:c r="AA11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11,AB11)</x:f>
        <x:v>30</x:v>
      </x:c>
      <x:c r="AB11" s="57" t="n">
        <x:v>30</x:v>
      </x:c>
      <x:c r="AC11" s="56"/>
      <x:c r="AD11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11,AE11)</x:f>
        <x:v>30</x:v>
      </x:c>
      <x:c r="AE11" s="57" t="n">
        <x:v>30</x:v>
      </x:c>
      <x:c r="AF11" s="56"/>
      <x:c r="AG11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11,AH11)</x:f>
        <x:v>30</x:v>
      </x:c>
      <x:c r="AH11" s="57" t="n">
        <x:v>30</x:v>
      </x:c>
      <x:c r="AI11" s="56" t="n">
        <x:v>30</x:v>
      </x:c>
      <x:c r="AJ11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11,AK11)</x:f>
        <x:v>30</x:v>
      </x:c>
      <x:c r="AK11" s="57" t="n">
        <x:v>30</x:v>
      </x:c>
      <x:c r="AL11" s="56" t="n">
        <x:v>30</x:v>
      </x:c>
      <x:c r="AM11" s="54" t="n">
        <x:f>IF(AND(AND(AL$57&lt;&gt;"",COUNT(AL6,AL8,AL9,AL11,AL12,AL13,AL14,AL15,AL16,AL18,AL21,AL23,AL28,AL30,AL31,AL32,AL33,AL38,AL39,AL40,AL41,AL42,AL43,AL44,AL45,AL46,AL47,AL48,AL49,AL50,AL51,AL52,AL57,AL60,AL61,AL62,AL63,AL64,AL69)=39)),AL11,AN11)</x:f>
        <x:v>30</x:v>
      </x:c>
      <x:c r="AN11" s="57" t="n">
        <x:v>30</x:v>
      </x:c>
    </x:row>
    <x:row r="12" ht="24" customHeight="1">
      <x:c r="A12" s="3" t="str">
        <x:v>Signed contracts [count]</x:v>
      </x:c>
      <x:c r="B12" s="47" t="n">
        <x:f>SUM(AL12,AI12,AF12,AC12,Z12,W12,T12,Q12,N12,K12,H12,E12)</x:f>
        <x:v>15</x:v>
      </x:c>
      <x:c r="C12" s="48" t="n">
        <x:f>SUM(AM12,AJ12,AG12,AD12,AA12,X12,U12,R12,O12,L12,I12,F12)</x:f>
        <x:v>128</x:v>
      </x:c>
      <x:c r="D12" s="49" t="n">
        <x:f>SUM(AN12,AK12,AH12,AE12,AB12,Y12,V12,S12,P12,M12,J12,G12)</x:f>
        <x:v>135</x:v>
      </x:c>
      <x:c r="E12" s="50"/>
      <x:c r="F12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12,ROUND(SUM(IF(AND(AM$9&lt;&gt;"",AM$11&lt;&gt;""),IF(EOMONTH($AL$3+INT((DAY(EOMONTH($AL$3,0))-1)/2)+AM$11,0)=EOMONTH($E$3,0),AM$9*AM$10,0),0),IF(AND(AJ$9&lt;&gt;"",AJ$11&lt;&gt;""),IF(EOMONTH($AI$3+INT((DAY(EOMONTH($AI$3,0))-1)/2)+AJ$11,0)=EOMONTH($E$3,0),AJ$9*AJ$10,0),0),IF(AND(AG$9&lt;&gt;"",AG$11&lt;&gt;""),IF(EOMONTH($AF$3+INT((DAY(EOMONTH($AF$3,0))-1)/2)+AG$11,0)=EOMONTH($E$3,0),AG$9*AG$10,0),0),IF(AND(AD$9&lt;&gt;"",AD$11&lt;&gt;""),IF(EOMONTH($AC$3+INT((DAY(EOMONTH($AC$3,0))-1)/2)+AD$11,0)=EOMONTH($E$3,0),AD$9*AD$10,0),0),IF(AND(AA$9&lt;&gt;"",AA$11&lt;&gt;""),IF(EOMONTH($Z$3+INT((DAY(EOMONTH($Z$3,0))-1)/2)+AA$11,0)=EOMONTH($E$3,0),AA$9*AA$10,0),0),IF(AND(X$9&lt;&gt;"",X$11&lt;&gt;""),IF(EOMONTH($W$3+INT((DAY(EOMONTH($W$3,0))-1)/2)+X$11,0)=EOMONTH($E$3,0),X$9*X$10,0),0),IF(AND(U$9&lt;&gt;"",U$11&lt;&gt;""),IF(EOMONTH($T$3+INT((DAY(EOMONTH($T$3,0))-1)/2)+U$11,0)=EOMONTH($E$3,0),U$9*U$10,0),0),IF(AND(R$9&lt;&gt;"",R$11&lt;&gt;""),IF(EOMONTH($Q$3+INT((DAY(EOMONTH($Q$3,0))-1)/2)+R$11,0)=EOMONTH($E$3,0),R$9*R$10,0),0),IF(AND(O$9&lt;&gt;"",O$11&lt;&gt;""),IF(EOMONTH($N$3+INT((DAY(EOMONTH($N$3,0))-1)/2)+O$11,0)=EOMONTH($E$3,0),O$9*O$10,0),0),IF(AND(L$9&lt;&gt;"",L$11&lt;&gt;""),IF(EOMONTH($K$3+INT((DAY(EOMONTH($K$3,0))-1)/2)+L$11,0)=EOMONTH($E$3,0),L$9*L$10,0),0),IF(AND(I$9&lt;&gt;"",I$11&lt;&gt;""),IF(EOMONTH($H$3+INT((DAY(EOMONTH($H$3,0))-1)/2)+I$11,0)=EOMONTH($E$3,0),I$9*I$10,0),0),IF(AND(F$9&lt;&gt;"",F$11&lt;&gt;""),IF(EOMONTH($E$3+INT((DAY(EOMONTH($E$3,0))-1)/2)+F$11,0)=EOMONTH($E$3,0),F$9*F$10,0),0),IF(EOMONTH($AL$75+AM$11,0)=EOMONTH($E$3,0),$AL$76*AM$10,0)),0))</x:f>
        <x:v>13</x:v>
      </x:c>
      <x:c r="G12" s="49" t="n">
        <x:f>ROUND(SUM(IF(AND(AN$9&lt;&gt;"",AN$11&lt;&gt;""),IF(EOMONTH($AL$3+INT((DAY(EOMONTH($AL$3,0))-1)/2)+AN$11,0)=EOMONTH($E$3,0),AN$9*AN$10,0),0),IF(AND(AK$9&lt;&gt;"",AK$11&lt;&gt;""),IF(EOMONTH($AI$3+INT((DAY(EOMONTH($AI$3,0))-1)/2)+AK$11,0)=EOMONTH($E$3,0),AK$9*AK$10,0),0),IF(AND(AH$9&lt;&gt;"",AH$11&lt;&gt;""),IF(EOMONTH($AF$3+INT((DAY(EOMONTH($AF$3,0))-1)/2)+AH$11,0)=EOMONTH($E$3,0),AH$9*AH$10,0),0),IF(AND(AE$9&lt;&gt;"",AE$11&lt;&gt;""),IF(EOMONTH($AC$3+INT((DAY(EOMONTH($AC$3,0))-1)/2)+AE$11,0)=EOMONTH($E$3,0),AE$9*AE$10,0),0),IF(AND(AB$9&lt;&gt;"",AB$11&lt;&gt;""),IF(EOMONTH($Z$3+INT((DAY(EOMONTH($Z$3,0))-1)/2)+AB$11,0)=EOMONTH($E$3,0),AB$9*AB$10,0),0),IF(AND(Y$9&lt;&gt;"",Y$11&lt;&gt;""),IF(EOMONTH($W$3+INT((DAY(EOMONTH($W$3,0))-1)/2)+Y$11,0)=EOMONTH($E$3,0),Y$9*Y$10,0),0),IF(AND(V$9&lt;&gt;"",V$11&lt;&gt;""),IF(EOMONTH($T$3+INT((DAY(EOMONTH($T$3,0))-1)/2)+V$11,0)=EOMONTH($E$3,0),V$9*V$10,0),0),IF(AND(S$9&lt;&gt;"",S$11&lt;&gt;""),IF(EOMONTH($Q$3+INT((DAY(EOMONTH($Q$3,0))-1)/2)+S$11,0)=EOMONTH($E$3,0),S$9*S$10,0),0),IF(AND(P$9&lt;&gt;"",P$11&lt;&gt;""),IF(EOMONTH($N$3+INT((DAY(EOMONTH($N$3,0))-1)/2)+P$11,0)=EOMONTH($E$3,0),P$9*P$10,0),0),IF(AND(M$9&lt;&gt;"",M$11&lt;&gt;""),IF(EOMONTH($K$3+INT((DAY(EOMONTH($K$3,0))-1)/2)+M$11,0)=EOMONTH($E$3,0),M$9*M$10,0),0),IF(AND(J$9&lt;&gt;"",J$11&lt;&gt;""),IF(EOMONTH($H$3+INT((DAY(EOMONTH($H$3,0))-1)/2)+J$11,0)=EOMONTH($E$3,0),J$9*J$10,0),0),IF(AND(G$9&lt;&gt;"",G$11&lt;&gt;""),IF(EOMONTH($E$3+INT((DAY(EOMONTH($E$3,0))-1)/2)+G$11,0)=EOMONTH($E$3,0),G$9*G$10,0),0),IF(EOMONTH($AL$75+AN$11,0)=EOMONTH($E$3,0),$AL$76*AN$10,0)),0)</x:f>
        <x:v>13</x:v>
      </x:c>
      <x:c r="H12" s="50"/>
      <x:c r="I12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12,ROUND(SUM(IF(AND(AM$9&lt;&gt;"",AM$11&lt;&gt;""),IF(EOMONTH($AL$3+INT((DAY(EOMONTH($AL$3,0))-1)/2)+AM$11,0)=EOMONTH($H$3,0),AM$9*AM$10,0),0),IF(AND(AJ$9&lt;&gt;"",AJ$11&lt;&gt;""),IF(EOMONTH($AI$3+INT((DAY(EOMONTH($AI$3,0))-1)/2)+AJ$11,0)=EOMONTH($H$3,0),AJ$9*AJ$10,0),0),IF(AND(AG$9&lt;&gt;"",AG$11&lt;&gt;""),IF(EOMONTH($AF$3+INT((DAY(EOMONTH($AF$3,0))-1)/2)+AG$11,0)=EOMONTH($H$3,0),AG$9*AG$10,0),0),IF(AND(AD$9&lt;&gt;"",AD$11&lt;&gt;""),IF(EOMONTH($AC$3+INT((DAY(EOMONTH($AC$3,0))-1)/2)+AD$11,0)=EOMONTH($H$3,0),AD$9*AD$10,0),0),IF(AND(AA$9&lt;&gt;"",AA$11&lt;&gt;""),IF(EOMONTH($Z$3+INT((DAY(EOMONTH($Z$3,0))-1)/2)+AA$11,0)=EOMONTH($H$3,0),AA$9*AA$10,0),0),IF(AND(X$9&lt;&gt;"",X$11&lt;&gt;""),IF(EOMONTH($W$3+INT((DAY(EOMONTH($W$3,0))-1)/2)+X$11,0)=EOMONTH($H$3,0),X$9*X$10,0),0),IF(AND(U$9&lt;&gt;"",U$11&lt;&gt;""),IF(EOMONTH($T$3+INT((DAY(EOMONTH($T$3,0))-1)/2)+U$11,0)=EOMONTH($H$3,0),U$9*U$10,0),0),IF(AND(R$9&lt;&gt;"",R$11&lt;&gt;""),IF(EOMONTH($Q$3+INT((DAY(EOMONTH($Q$3,0))-1)/2)+R$11,0)=EOMONTH($H$3,0),R$9*R$10,0),0),IF(AND(O$9&lt;&gt;"",O$11&lt;&gt;""),IF(EOMONTH($N$3+INT((DAY(EOMONTH($N$3,0))-1)/2)+O$11,0)=EOMONTH($H$3,0),O$9*O$10,0),0),IF(AND(L$9&lt;&gt;"",L$11&lt;&gt;""),IF(EOMONTH($K$3+INT((DAY(EOMONTH($K$3,0))-1)/2)+L$11,0)=EOMONTH($H$3,0),L$9*L$10,0),0),IF(AND(I$9&lt;&gt;"",I$11&lt;&gt;""),IF(EOMONTH($H$3+INT((DAY(EOMONTH($H$3,0))-1)/2)+I$11,0)=EOMONTH($H$3,0),I$9*I$10,0),0),IF(AND(F$9&lt;&gt;"",F$11&lt;&gt;""),IF(EOMONTH($E$3+INT((DAY(EOMONTH($E$3,0))-1)/2)+F$11,0)=EOMONTH($H$3,0),F$9*F$10,0),0),IF(EOMONTH($AL$75+AM$11,0)=EOMONTH($H$3,0),$AL$76*AM$10,0)),0))</x:f>
        <x:v>12</x:v>
      </x:c>
      <x:c r="J12" s="49" t="n">
        <x:f>ROUND(SUM(IF(AND(AN$9&lt;&gt;"",AN$11&lt;&gt;""),IF(EOMONTH($AL$3+INT((DAY(EOMONTH($AL$3,0))-1)/2)+AN$11,0)=EOMONTH($H$3,0),AN$9*AN$10,0),0),IF(AND(AK$9&lt;&gt;"",AK$11&lt;&gt;""),IF(EOMONTH($AI$3+INT((DAY(EOMONTH($AI$3,0))-1)/2)+AK$11,0)=EOMONTH($H$3,0),AK$9*AK$10,0),0),IF(AND(AH$9&lt;&gt;"",AH$11&lt;&gt;""),IF(EOMONTH($AF$3+INT((DAY(EOMONTH($AF$3,0))-1)/2)+AH$11,0)=EOMONTH($H$3,0),AH$9*AH$10,0),0),IF(AND(AE$9&lt;&gt;"",AE$11&lt;&gt;""),IF(EOMONTH($AC$3+INT((DAY(EOMONTH($AC$3,0))-1)/2)+AE$11,0)=EOMONTH($H$3,0),AE$9*AE$10,0),0),IF(AND(AB$9&lt;&gt;"",AB$11&lt;&gt;""),IF(EOMONTH($Z$3+INT((DAY(EOMONTH($Z$3,0))-1)/2)+AB$11,0)=EOMONTH($H$3,0),AB$9*AB$10,0),0),IF(AND(Y$9&lt;&gt;"",Y$11&lt;&gt;""),IF(EOMONTH($W$3+INT((DAY(EOMONTH($W$3,0))-1)/2)+Y$11,0)=EOMONTH($H$3,0),Y$9*Y$10,0),0),IF(AND(V$9&lt;&gt;"",V$11&lt;&gt;""),IF(EOMONTH($T$3+INT((DAY(EOMONTH($T$3,0))-1)/2)+V$11,0)=EOMONTH($H$3,0),V$9*V$10,0),0),IF(AND(S$9&lt;&gt;"",S$11&lt;&gt;""),IF(EOMONTH($Q$3+INT((DAY(EOMONTH($Q$3,0))-1)/2)+S$11,0)=EOMONTH($H$3,0),S$9*S$10,0),0),IF(AND(P$9&lt;&gt;"",P$11&lt;&gt;""),IF(EOMONTH($N$3+INT((DAY(EOMONTH($N$3,0))-1)/2)+P$11,0)=EOMONTH($H$3,0),P$9*P$10,0),0),IF(AND(M$9&lt;&gt;"",M$11&lt;&gt;""),IF(EOMONTH($K$3+INT((DAY(EOMONTH($K$3,0))-1)/2)+M$11,0)=EOMONTH($H$3,0),M$9*M$10,0),0),IF(AND(J$9&lt;&gt;"",J$11&lt;&gt;""),IF(EOMONTH($H$3+INT((DAY(EOMONTH($H$3,0))-1)/2)+J$11,0)=EOMONTH($H$3,0),J$9*J$10,0),0),IF(AND(G$9&lt;&gt;"",G$11&lt;&gt;""),IF(EOMONTH($E$3+INT((DAY(EOMONTH($E$3,0))-1)/2)+G$11,0)=EOMONTH($H$3,0),G$9*G$10,0),0),IF(EOMONTH($AL$75+AN$11,0)=EOMONTH($H$3,0),$AL$76*AN$10,0)),0)</x:f>
        <x:v>12</x:v>
      </x:c>
      <x:c r="K12" s="50"/>
      <x:c r="L12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12,ROUND(SUM(IF(AND(AM$9&lt;&gt;"",AM$11&lt;&gt;""),IF(EOMONTH($AL$3+INT((DAY(EOMONTH($AL$3,0))-1)/2)+AM$11,0)=EOMONTH($K$3,0),AM$9*AM$10,0),0),IF(AND(AJ$9&lt;&gt;"",AJ$11&lt;&gt;""),IF(EOMONTH($AI$3+INT((DAY(EOMONTH($AI$3,0))-1)/2)+AJ$11,0)=EOMONTH($K$3,0),AJ$9*AJ$10,0),0),IF(AND(AG$9&lt;&gt;"",AG$11&lt;&gt;""),IF(EOMONTH($AF$3+INT((DAY(EOMONTH($AF$3,0))-1)/2)+AG$11,0)=EOMONTH($K$3,0),AG$9*AG$10,0),0),IF(AND(AD$9&lt;&gt;"",AD$11&lt;&gt;""),IF(EOMONTH($AC$3+INT((DAY(EOMONTH($AC$3,0))-1)/2)+AD$11,0)=EOMONTH($K$3,0),AD$9*AD$10,0),0),IF(AND(AA$9&lt;&gt;"",AA$11&lt;&gt;""),IF(EOMONTH($Z$3+INT((DAY(EOMONTH($Z$3,0))-1)/2)+AA$11,0)=EOMONTH($K$3,0),AA$9*AA$10,0),0),IF(AND(X$9&lt;&gt;"",X$11&lt;&gt;""),IF(EOMONTH($W$3+INT((DAY(EOMONTH($W$3,0))-1)/2)+X$11,0)=EOMONTH($K$3,0),X$9*X$10,0),0),IF(AND(U$9&lt;&gt;"",U$11&lt;&gt;""),IF(EOMONTH($T$3+INT((DAY(EOMONTH($T$3,0))-1)/2)+U$11,0)=EOMONTH($K$3,0),U$9*U$10,0),0),IF(AND(R$9&lt;&gt;"",R$11&lt;&gt;""),IF(EOMONTH($Q$3+INT((DAY(EOMONTH($Q$3,0))-1)/2)+R$11,0)=EOMONTH($K$3,0),R$9*R$10,0),0),IF(AND(O$9&lt;&gt;"",O$11&lt;&gt;""),IF(EOMONTH($N$3+INT((DAY(EOMONTH($N$3,0))-1)/2)+O$11,0)=EOMONTH($K$3,0),O$9*O$10,0),0),IF(AND(L$9&lt;&gt;"",L$11&lt;&gt;""),IF(EOMONTH($K$3+INT((DAY(EOMONTH($K$3,0))-1)/2)+L$11,0)=EOMONTH($K$3,0),L$9*L$10,0),0),IF(AND(I$9&lt;&gt;"",I$11&lt;&gt;""),IF(EOMONTH($H$3+INT((DAY(EOMONTH($H$3,0))-1)/2)+I$11,0)=EOMONTH($K$3,0),I$9*I$10,0),0),IF(AND(F$9&lt;&gt;"",F$11&lt;&gt;""),IF(EOMONTH($E$3+INT((DAY(EOMONTH($E$3,0))-1)/2)+F$11,0)=EOMONTH($K$3,0),F$9*F$10,0),0),IF(EOMONTH($AL$75+AM$11,0)=EOMONTH($K$3,0),$AL$76*AM$10,0)),0))</x:f>
        <x:v>12</x:v>
      </x:c>
      <x:c r="M12" s="49" t="n">
        <x:f>ROUND(SUM(IF(AND(AN$9&lt;&gt;"",AN$11&lt;&gt;""),IF(EOMONTH($AL$3+INT((DAY(EOMONTH($AL$3,0))-1)/2)+AN$11,0)=EOMONTH($K$3,0),AN$9*AN$10,0),0),IF(AND(AK$9&lt;&gt;"",AK$11&lt;&gt;""),IF(EOMONTH($AI$3+INT((DAY(EOMONTH($AI$3,0))-1)/2)+AK$11,0)=EOMONTH($K$3,0),AK$9*AK$10,0),0),IF(AND(AH$9&lt;&gt;"",AH$11&lt;&gt;""),IF(EOMONTH($AF$3+INT((DAY(EOMONTH($AF$3,0))-1)/2)+AH$11,0)=EOMONTH($K$3,0),AH$9*AH$10,0),0),IF(AND(AE$9&lt;&gt;"",AE$11&lt;&gt;""),IF(EOMONTH($AC$3+INT((DAY(EOMONTH($AC$3,0))-1)/2)+AE$11,0)=EOMONTH($K$3,0),AE$9*AE$10,0),0),IF(AND(AB$9&lt;&gt;"",AB$11&lt;&gt;""),IF(EOMONTH($Z$3+INT((DAY(EOMONTH($Z$3,0))-1)/2)+AB$11,0)=EOMONTH($K$3,0),AB$9*AB$10,0),0),IF(AND(Y$9&lt;&gt;"",Y$11&lt;&gt;""),IF(EOMONTH($W$3+INT((DAY(EOMONTH($W$3,0))-1)/2)+Y$11,0)=EOMONTH($K$3,0),Y$9*Y$10,0),0),IF(AND(V$9&lt;&gt;"",V$11&lt;&gt;""),IF(EOMONTH($T$3+INT((DAY(EOMONTH($T$3,0))-1)/2)+V$11,0)=EOMONTH($K$3,0),V$9*V$10,0),0),IF(AND(S$9&lt;&gt;"",S$11&lt;&gt;""),IF(EOMONTH($Q$3+INT((DAY(EOMONTH($Q$3,0))-1)/2)+S$11,0)=EOMONTH($K$3,0),S$9*S$10,0),0),IF(AND(P$9&lt;&gt;"",P$11&lt;&gt;""),IF(EOMONTH($N$3+INT((DAY(EOMONTH($N$3,0))-1)/2)+P$11,0)=EOMONTH($K$3,0),P$9*P$10,0),0),IF(AND(M$9&lt;&gt;"",M$11&lt;&gt;""),IF(EOMONTH($K$3+INT((DAY(EOMONTH($K$3,0))-1)/2)+M$11,0)=EOMONTH($K$3,0),M$9*M$10,0),0),IF(AND(J$9&lt;&gt;"",J$11&lt;&gt;""),IF(EOMONTH($H$3+INT((DAY(EOMONTH($H$3,0))-1)/2)+J$11,0)=EOMONTH($K$3,0),J$9*J$10,0),0),IF(AND(G$9&lt;&gt;"",G$11&lt;&gt;""),IF(EOMONTH($E$3+INT((DAY(EOMONTH($E$3,0))-1)/2)+G$11,0)=EOMONTH($K$3,0),G$9*G$10,0),0),IF(EOMONTH($AL$75+AN$11,0)=EOMONTH($K$3,0),$AL$76*AN$10,0)),0)</x:f>
        <x:v>12</x:v>
      </x:c>
      <x:c r="N12" s="50"/>
      <x:c r="O12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12,ROUND(SUM(IF(AND(AM$9&lt;&gt;"",AM$11&lt;&gt;""),IF(EOMONTH($AL$3+INT((DAY(EOMONTH($AL$3,0))-1)/2)+AM$11,0)=EOMONTH($N$3,0),AM$9*AM$10,0),0),IF(AND(AJ$9&lt;&gt;"",AJ$11&lt;&gt;""),IF(EOMONTH($AI$3+INT((DAY(EOMONTH($AI$3,0))-1)/2)+AJ$11,0)=EOMONTH($N$3,0),AJ$9*AJ$10,0),0),IF(AND(AG$9&lt;&gt;"",AG$11&lt;&gt;""),IF(EOMONTH($AF$3+INT((DAY(EOMONTH($AF$3,0))-1)/2)+AG$11,0)=EOMONTH($N$3,0),AG$9*AG$10,0),0),IF(AND(AD$9&lt;&gt;"",AD$11&lt;&gt;""),IF(EOMONTH($AC$3+INT((DAY(EOMONTH($AC$3,0))-1)/2)+AD$11,0)=EOMONTH($N$3,0),AD$9*AD$10,0),0),IF(AND(AA$9&lt;&gt;"",AA$11&lt;&gt;""),IF(EOMONTH($Z$3+INT((DAY(EOMONTH($Z$3,0))-1)/2)+AA$11,0)=EOMONTH($N$3,0),AA$9*AA$10,0),0),IF(AND(X$9&lt;&gt;"",X$11&lt;&gt;""),IF(EOMONTH($W$3+INT((DAY(EOMONTH($W$3,0))-1)/2)+X$11,0)=EOMONTH($N$3,0),X$9*X$10,0),0),IF(AND(U$9&lt;&gt;"",U$11&lt;&gt;""),IF(EOMONTH($T$3+INT((DAY(EOMONTH($T$3,0))-1)/2)+U$11,0)=EOMONTH($N$3,0),U$9*U$10,0),0),IF(AND(R$9&lt;&gt;"",R$11&lt;&gt;""),IF(EOMONTH($Q$3+INT((DAY(EOMONTH($Q$3,0))-1)/2)+R$11,0)=EOMONTH($N$3,0),R$9*R$10,0),0),IF(AND(O$9&lt;&gt;"",O$11&lt;&gt;""),IF(EOMONTH($N$3+INT((DAY(EOMONTH($N$3,0))-1)/2)+O$11,0)=EOMONTH($N$3,0),O$9*O$10,0),0),IF(AND(L$9&lt;&gt;"",L$11&lt;&gt;""),IF(EOMONTH($K$3+INT((DAY(EOMONTH($K$3,0))-1)/2)+L$11,0)=EOMONTH($N$3,0),L$9*L$10,0),0),IF(AND(I$9&lt;&gt;"",I$11&lt;&gt;""),IF(EOMONTH($H$3+INT((DAY(EOMONTH($H$3,0))-1)/2)+I$11,0)=EOMONTH($N$3,0),I$9*I$10,0),0),IF(AND(F$9&lt;&gt;"",F$11&lt;&gt;""),IF(EOMONTH($E$3+INT((DAY(EOMONTH($E$3,0))-1)/2)+F$11,0)=EOMONTH($N$3,0),F$9*F$10,0),0),IF(EOMONTH($AL$75+AM$11,0)=EOMONTH($N$3,0),$AL$76*AM$10,0)),0))</x:f>
        <x:v>12</x:v>
      </x:c>
      <x:c r="P12" s="49" t="n">
        <x:f>ROUND(SUM(IF(AND(AN$9&lt;&gt;"",AN$11&lt;&gt;""),IF(EOMONTH($AL$3+INT((DAY(EOMONTH($AL$3,0))-1)/2)+AN$11,0)=EOMONTH($N$3,0),AN$9*AN$10,0),0),IF(AND(AK$9&lt;&gt;"",AK$11&lt;&gt;""),IF(EOMONTH($AI$3+INT((DAY(EOMONTH($AI$3,0))-1)/2)+AK$11,0)=EOMONTH($N$3,0),AK$9*AK$10,0),0),IF(AND(AH$9&lt;&gt;"",AH$11&lt;&gt;""),IF(EOMONTH($AF$3+INT((DAY(EOMONTH($AF$3,0))-1)/2)+AH$11,0)=EOMONTH($N$3,0),AH$9*AH$10,0),0),IF(AND(AE$9&lt;&gt;"",AE$11&lt;&gt;""),IF(EOMONTH($AC$3+INT((DAY(EOMONTH($AC$3,0))-1)/2)+AE$11,0)=EOMONTH($N$3,0),AE$9*AE$10,0),0),IF(AND(AB$9&lt;&gt;"",AB$11&lt;&gt;""),IF(EOMONTH($Z$3+INT((DAY(EOMONTH($Z$3,0))-1)/2)+AB$11,0)=EOMONTH($N$3,0),AB$9*AB$10,0),0),IF(AND(Y$9&lt;&gt;"",Y$11&lt;&gt;""),IF(EOMONTH($W$3+INT((DAY(EOMONTH($W$3,0))-1)/2)+Y$11,0)=EOMONTH($N$3,0),Y$9*Y$10,0),0),IF(AND(V$9&lt;&gt;"",V$11&lt;&gt;""),IF(EOMONTH($T$3+INT((DAY(EOMONTH($T$3,0))-1)/2)+V$11,0)=EOMONTH($N$3,0),V$9*V$10,0),0),IF(AND(S$9&lt;&gt;"",S$11&lt;&gt;""),IF(EOMONTH($Q$3+INT((DAY(EOMONTH($Q$3,0))-1)/2)+S$11,0)=EOMONTH($N$3,0),S$9*S$10,0),0),IF(AND(P$9&lt;&gt;"",P$11&lt;&gt;""),IF(EOMONTH($N$3+INT((DAY(EOMONTH($N$3,0))-1)/2)+P$11,0)=EOMONTH($N$3,0),P$9*P$10,0),0),IF(AND(M$9&lt;&gt;"",M$11&lt;&gt;""),IF(EOMONTH($K$3+INT((DAY(EOMONTH($K$3,0))-1)/2)+M$11,0)=EOMONTH($N$3,0),M$9*M$10,0),0),IF(AND(J$9&lt;&gt;"",J$11&lt;&gt;""),IF(EOMONTH($H$3+INT((DAY(EOMONTH($H$3,0))-1)/2)+J$11,0)=EOMONTH($N$3,0),J$9*J$10,0),0),IF(AND(G$9&lt;&gt;"",G$11&lt;&gt;""),IF(EOMONTH($E$3+INT((DAY(EOMONTH($E$3,0))-1)/2)+G$11,0)=EOMONTH($N$3,0),G$9*G$10,0),0),IF(EOMONTH($AL$75+AN$11,0)=EOMONTH($N$3,0),$AL$76*AN$10,0)),0)</x:f>
        <x:v>12</x:v>
      </x:c>
      <x:c r="Q12" s="50"/>
      <x:c r="R12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12,ROUND(SUM(IF(AND(AM$9&lt;&gt;"",AM$11&lt;&gt;""),IF(EOMONTH($AL$3+INT((DAY(EOMONTH($AL$3,0))-1)/2)+AM$11,0)=EOMONTH($Q$3,0),AM$9*AM$10,0),0),IF(AND(AJ$9&lt;&gt;"",AJ$11&lt;&gt;""),IF(EOMONTH($AI$3+INT((DAY(EOMONTH($AI$3,0))-1)/2)+AJ$11,0)=EOMONTH($Q$3,0),AJ$9*AJ$10,0),0),IF(AND(AG$9&lt;&gt;"",AG$11&lt;&gt;""),IF(EOMONTH($AF$3+INT((DAY(EOMONTH($AF$3,0))-1)/2)+AG$11,0)=EOMONTH($Q$3,0),AG$9*AG$10,0),0),IF(AND(AD$9&lt;&gt;"",AD$11&lt;&gt;""),IF(EOMONTH($AC$3+INT((DAY(EOMONTH($AC$3,0))-1)/2)+AD$11,0)=EOMONTH($Q$3,0),AD$9*AD$10,0),0),IF(AND(AA$9&lt;&gt;"",AA$11&lt;&gt;""),IF(EOMONTH($Z$3+INT((DAY(EOMONTH($Z$3,0))-1)/2)+AA$11,0)=EOMONTH($Q$3,0),AA$9*AA$10,0),0),IF(AND(X$9&lt;&gt;"",X$11&lt;&gt;""),IF(EOMONTH($W$3+INT((DAY(EOMONTH($W$3,0))-1)/2)+X$11,0)=EOMONTH($Q$3,0),X$9*X$10,0),0),IF(AND(U$9&lt;&gt;"",U$11&lt;&gt;""),IF(EOMONTH($T$3+INT((DAY(EOMONTH($T$3,0))-1)/2)+U$11,0)=EOMONTH($Q$3,0),U$9*U$10,0),0),IF(AND(R$9&lt;&gt;"",R$11&lt;&gt;""),IF(EOMONTH($Q$3+INT((DAY(EOMONTH($Q$3,0))-1)/2)+R$11,0)=EOMONTH($Q$3,0),R$9*R$10,0),0),IF(AND(O$9&lt;&gt;"",O$11&lt;&gt;""),IF(EOMONTH($N$3+INT((DAY(EOMONTH($N$3,0))-1)/2)+O$11,0)=EOMONTH($Q$3,0),O$9*O$10,0),0),IF(AND(L$9&lt;&gt;"",L$11&lt;&gt;""),IF(EOMONTH($K$3+INT((DAY(EOMONTH($K$3,0))-1)/2)+L$11,0)=EOMONTH($Q$3,0),L$9*L$10,0),0),IF(AND(I$9&lt;&gt;"",I$11&lt;&gt;""),IF(EOMONTH($H$3+INT((DAY(EOMONTH($H$3,0))-1)/2)+I$11,0)=EOMONTH($Q$3,0),I$9*I$10,0),0),IF(AND(F$9&lt;&gt;"",F$11&lt;&gt;""),IF(EOMONTH($E$3+INT((DAY(EOMONTH($E$3,0))-1)/2)+F$11,0)=EOMONTH($Q$3,0),F$9*F$10,0),0),IF(EOMONTH($AL$75+AM$11,0)=EOMONTH($Q$3,0),$AL$76*AM$10,0)),0))</x:f>
        <x:v>12</x:v>
      </x:c>
      <x:c r="S12" s="49" t="n">
        <x:f>ROUND(SUM(IF(AND(AN$9&lt;&gt;"",AN$11&lt;&gt;""),IF(EOMONTH($AL$3+INT((DAY(EOMONTH($AL$3,0))-1)/2)+AN$11,0)=EOMONTH($Q$3,0),AN$9*AN$10,0),0),IF(AND(AK$9&lt;&gt;"",AK$11&lt;&gt;""),IF(EOMONTH($AI$3+INT((DAY(EOMONTH($AI$3,0))-1)/2)+AK$11,0)=EOMONTH($Q$3,0),AK$9*AK$10,0),0),IF(AND(AH$9&lt;&gt;"",AH$11&lt;&gt;""),IF(EOMONTH($AF$3+INT((DAY(EOMONTH($AF$3,0))-1)/2)+AH$11,0)=EOMONTH($Q$3,0),AH$9*AH$10,0),0),IF(AND(AE$9&lt;&gt;"",AE$11&lt;&gt;""),IF(EOMONTH($AC$3+INT((DAY(EOMONTH($AC$3,0))-1)/2)+AE$11,0)=EOMONTH($Q$3,0),AE$9*AE$10,0),0),IF(AND(AB$9&lt;&gt;"",AB$11&lt;&gt;""),IF(EOMONTH($Z$3+INT((DAY(EOMONTH($Z$3,0))-1)/2)+AB$11,0)=EOMONTH($Q$3,0),AB$9*AB$10,0),0),IF(AND(Y$9&lt;&gt;"",Y$11&lt;&gt;""),IF(EOMONTH($W$3+INT((DAY(EOMONTH($W$3,0))-1)/2)+Y$11,0)=EOMONTH($Q$3,0),Y$9*Y$10,0),0),IF(AND(V$9&lt;&gt;"",V$11&lt;&gt;""),IF(EOMONTH($T$3+INT((DAY(EOMONTH($T$3,0))-1)/2)+V$11,0)=EOMONTH($Q$3,0),V$9*V$10,0),0),IF(AND(S$9&lt;&gt;"",S$11&lt;&gt;""),IF(EOMONTH($Q$3+INT((DAY(EOMONTH($Q$3,0))-1)/2)+S$11,0)=EOMONTH($Q$3,0),S$9*S$10,0),0),IF(AND(P$9&lt;&gt;"",P$11&lt;&gt;""),IF(EOMONTH($N$3+INT((DAY(EOMONTH($N$3,0))-1)/2)+P$11,0)=EOMONTH($Q$3,0),P$9*P$10,0),0),IF(AND(M$9&lt;&gt;"",M$11&lt;&gt;""),IF(EOMONTH($K$3+INT((DAY(EOMONTH($K$3,0))-1)/2)+M$11,0)=EOMONTH($Q$3,0),M$9*M$10,0),0),IF(AND(J$9&lt;&gt;"",J$11&lt;&gt;""),IF(EOMONTH($H$3+INT((DAY(EOMONTH($H$3,0))-1)/2)+J$11,0)=EOMONTH($Q$3,0),J$9*J$10,0),0),IF(AND(G$9&lt;&gt;"",G$11&lt;&gt;""),IF(EOMONTH($E$3+INT((DAY(EOMONTH($E$3,0))-1)/2)+G$11,0)=EOMONTH($Q$3,0),G$9*G$10,0),0),IF(EOMONTH($AL$75+AN$11,0)=EOMONTH($Q$3,0),$AL$76*AN$10,0)),0)</x:f>
        <x:v>12</x:v>
      </x:c>
      <x:c r="T12" s="50"/>
      <x:c r="U12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12,ROUND(SUM(IF(AND(AM$9&lt;&gt;"",AM$11&lt;&gt;""),IF(EOMONTH($AL$3+INT((DAY(EOMONTH($AL$3,0))-1)/2)+AM$11,0)=EOMONTH($T$3,0),AM$9*AM$10,0),0),IF(AND(AJ$9&lt;&gt;"",AJ$11&lt;&gt;""),IF(EOMONTH($AI$3+INT((DAY(EOMONTH($AI$3,0))-1)/2)+AJ$11,0)=EOMONTH($T$3,0),AJ$9*AJ$10,0),0),IF(AND(AG$9&lt;&gt;"",AG$11&lt;&gt;""),IF(EOMONTH($AF$3+INT((DAY(EOMONTH($AF$3,0))-1)/2)+AG$11,0)=EOMONTH($T$3,0),AG$9*AG$10,0),0),IF(AND(AD$9&lt;&gt;"",AD$11&lt;&gt;""),IF(EOMONTH($AC$3+INT((DAY(EOMONTH($AC$3,0))-1)/2)+AD$11,0)=EOMONTH($T$3,0),AD$9*AD$10,0),0),IF(AND(AA$9&lt;&gt;"",AA$11&lt;&gt;""),IF(EOMONTH($Z$3+INT((DAY(EOMONTH($Z$3,0))-1)/2)+AA$11,0)=EOMONTH($T$3,0),AA$9*AA$10,0),0),IF(AND(X$9&lt;&gt;"",X$11&lt;&gt;""),IF(EOMONTH($W$3+INT((DAY(EOMONTH($W$3,0))-1)/2)+X$11,0)=EOMONTH($T$3,0),X$9*X$10,0),0),IF(AND(U$9&lt;&gt;"",U$11&lt;&gt;""),IF(EOMONTH($T$3+INT((DAY(EOMONTH($T$3,0))-1)/2)+U$11,0)=EOMONTH($T$3,0),U$9*U$10,0),0),IF(AND(R$9&lt;&gt;"",R$11&lt;&gt;""),IF(EOMONTH($Q$3+INT((DAY(EOMONTH($Q$3,0))-1)/2)+R$11,0)=EOMONTH($T$3,0),R$9*R$10,0),0),IF(AND(O$9&lt;&gt;"",O$11&lt;&gt;""),IF(EOMONTH($N$3+INT((DAY(EOMONTH($N$3,0))-1)/2)+O$11,0)=EOMONTH($T$3,0),O$9*O$10,0),0),IF(AND(L$9&lt;&gt;"",L$11&lt;&gt;""),IF(EOMONTH($K$3+INT((DAY(EOMONTH($K$3,0))-1)/2)+L$11,0)=EOMONTH($T$3,0),L$9*L$10,0),0),IF(AND(I$9&lt;&gt;"",I$11&lt;&gt;""),IF(EOMONTH($H$3+INT((DAY(EOMONTH($H$3,0))-1)/2)+I$11,0)=EOMONTH($T$3,0),I$9*I$10,0),0),IF(AND(F$9&lt;&gt;"",F$11&lt;&gt;""),IF(EOMONTH($E$3+INT((DAY(EOMONTH($E$3,0))-1)/2)+F$11,0)=EOMONTH($T$3,0),F$9*F$10,0),0),IF(EOMONTH($AL$75+AM$11,0)=EOMONTH($T$3,0),$AL$76*AM$10,0)),0))</x:f>
        <x:v>11</x:v>
      </x:c>
      <x:c r="V12" s="49" t="n">
        <x:f>ROUND(SUM(IF(AND(AN$9&lt;&gt;"",AN$11&lt;&gt;""),IF(EOMONTH($AL$3+INT((DAY(EOMONTH($AL$3,0))-1)/2)+AN$11,0)=EOMONTH($T$3,0),AN$9*AN$10,0),0),IF(AND(AK$9&lt;&gt;"",AK$11&lt;&gt;""),IF(EOMONTH($AI$3+INT((DAY(EOMONTH($AI$3,0))-1)/2)+AK$11,0)=EOMONTH($T$3,0),AK$9*AK$10,0),0),IF(AND(AH$9&lt;&gt;"",AH$11&lt;&gt;""),IF(EOMONTH($AF$3+INT((DAY(EOMONTH($AF$3,0))-1)/2)+AH$11,0)=EOMONTH($T$3,0),AH$9*AH$10,0),0),IF(AND(AE$9&lt;&gt;"",AE$11&lt;&gt;""),IF(EOMONTH($AC$3+INT((DAY(EOMONTH($AC$3,0))-1)/2)+AE$11,0)=EOMONTH($T$3,0),AE$9*AE$10,0),0),IF(AND(AB$9&lt;&gt;"",AB$11&lt;&gt;""),IF(EOMONTH($Z$3+INT((DAY(EOMONTH($Z$3,0))-1)/2)+AB$11,0)=EOMONTH($T$3,0),AB$9*AB$10,0),0),IF(AND(Y$9&lt;&gt;"",Y$11&lt;&gt;""),IF(EOMONTH($W$3+INT((DAY(EOMONTH($W$3,0))-1)/2)+Y$11,0)=EOMONTH($T$3,0),Y$9*Y$10,0),0),IF(AND(V$9&lt;&gt;"",V$11&lt;&gt;""),IF(EOMONTH($T$3+INT((DAY(EOMONTH($T$3,0))-1)/2)+V$11,0)=EOMONTH($T$3,0),V$9*V$10,0),0),IF(AND(S$9&lt;&gt;"",S$11&lt;&gt;""),IF(EOMONTH($Q$3+INT((DAY(EOMONTH($Q$3,0))-1)/2)+S$11,0)=EOMONTH($T$3,0),S$9*S$10,0),0),IF(AND(P$9&lt;&gt;"",P$11&lt;&gt;""),IF(EOMONTH($N$3+INT((DAY(EOMONTH($N$3,0))-1)/2)+P$11,0)=EOMONTH($T$3,0),P$9*P$10,0),0),IF(AND(M$9&lt;&gt;"",M$11&lt;&gt;""),IF(EOMONTH($K$3+INT((DAY(EOMONTH($K$3,0))-1)/2)+M$11,0)=EOMONTH($T$3,0),M$9*M$10,0),0),IF(AND(J$9&lt;&gt;"",J$11&lt;&gt;""),IF(EOMONTH($H$3+INT((DAY(EOMONTH($H$3,0))-1)/2)+J$11,0)=EOMONTH($T$3,0),J$9*J$10,0),0),IF(AND(G$9&lt;&gt;"",G$11&lt;&gt;""),IF(EOMONTH($E$3+INT((DAY(EOMONTH($E$3,0))-1)/2)+G$11,0)=EOMONTH($T$3,0),G$9*G$10,0),0),IF(EOMONTH($AL$75+AN$11,0)=EOMONTH($T$3,0),$AL$76*AN$10,0)),0)</x:f>
        <x:v>11</x:v>
      </x:c>
      <x:c r="W12" s="50"/>
      <x:c r="X12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12,ROUND(SUM(IF(AND(AM$9&lt;&gt;"",AM$11&lt;&gt;""),IF(EOMONTH($AL$3+INT((DAY(EOMONTH($AL$3,0))-1)/2)+AM$11,0)=EOMONTH($W$3,0),AM$9*AM$10,0),0),IF(AND(AJ$9&lt;&gt;"",AJ$11&lt;&gt;""),IF(EOMONTH($AI$3+INT((DAY(EOMONTH($AI$3,0))-1)/2)+AJ$11,0)=EOMONTH($W$3,0),AJ$9*AJ$10,0),0),IF(AND(AG$9&lt;&gt;"",AG$11&lt;&gt;""),IF(EOMONTH($AF$3+INT((DAY(EOMONTH($AF$3,0))-1)/2)+AG$11,0)=EOMONTH($W$3,0),AG$9*AG$10,0),0),IF(AND(AD$9&lt;&gt;"",AD$11&lt;&gt;""),IF(EOMONTH($AC$3+INT((DAY(EOMONTH($AC$3,0))-1)/2)+AD$11,0)=EOMONTH($W$3,0),AD$9*AD$10,0),0),IF(AND(AA$9&lt;&gt;"",AA$11&lt;&gt;""),IF(EOMONTH($Z$3+INT((DAY(EOMONTH($Z$3,0))-1)/2)+AA$11,0)=EOMONTH($W$3,0),AA$9*AA$10,0),0),IF(AND(X$9&lt;&gt;"",X$11&lt;&gt;""),IF(EOMONTH($W$3+INT((DAY(EOMONTH($W$3,0))-1)/2)+X$11,0)=EOMONTH($W$3,0),X$9*X$10,0),0),IF(AND(U$9&lt;&gt;"",U$11&lt;&gt;""),IF(EOMONTH($T$3+INT((DAY(EOMONTH($T$3,0))-1)/2)+U$11,0)=EOMONTH($W$3,0),U$9*U$10,0),0),IF(AND(R$9&lt;&gt;"",R$11&lt;&gt;""),IF(EOMONTH($Q$3+INT((DAY(EOMONTH($Q$3,0))-1)/2)+R$11,0)=EOMONTH($W$3,0),R$9*R$10,0),0),IF(AND(O$9&lt;&gt;"",O$11&lt;&gt;""),IF(EOMONTH($N$3+INT((DAY(EOMONTH($N$3,0))-1)/2)+O$11,0)=EOMONTH($W$3,0),O$9*O$10,0),0),IF(AND(L$9&lt;&gt;"",L$11&lt;&gt;""),IF(EOMONTH($K$3+INT((DAY(EOMONTH($K$3,0))-1)/2)+L$11,0)=EOMONTH($W$3,0),L$9*L$10,0),0),IF(AND(I$9&lt;&gt;"",I$11&lt;&gt;""),IF(EOMONTH($H$3+INT((DAY(EOMONTH($H$3,0))-1)/2)+I$11,0)=EOMONTH($W$3,0),I$9*I$10,0),0),IF(AND(F$9&lt;&gt;"",F$11&lt;&gt;""),IF(EOMONTH($E$3+INT((DAY(EOMONTH($E$3,0))-1)/2)+F$11,0)=EOMONTH($W$3,0),F$9*F$10,0),0),IF(EOMONTH($AL$75+AM$11,0)=EOMONTH($W$3,0),$AL$76*AM$10,0)),0))</x:f>
        <x:v>11</x:v>
      </x:c>
      <x:c r="Y12" s="49" t="n">
        <x:f>ROUND(SUM(IF(AND(AN$9&lt;&gt;"",AN$11&lt;&gt;""),IF(EOMONTH($AL$3+INT((DAY(EOMONTH($AL$3,0))-1)/2)+AN$11,0)=EOMONTH($W$3,0),AN$9*AN$10,0),0),IF(AND(AK$9&lt;&gt;"",AK$11&lt;&gt;""),IF(EOMONTH($AI$3+INT((DAY(EOMONTH($AI$3,0))-1)/2)+AK$11,0)=EOMONTH($W$3,0),AK$9*AK$10,0),0),IF(AND(AH$9&lt;&gt;"",AH$11&lt;&gt;""),IF(EOMONTH($AF$3+INT((DAY(EOMONTH($AF$3,0))-1)/2)+AH$11,0)=EOMONTH($W$3,0),AH$9*AH$10,0),0),IF(AND(AE$9&lt;&gt;"",AE$11&lt;&gt;""),IF(EOMONTH($AC$3+INT((DAY(EOMONTH($AC$3,0))-1)/2)+AE$11,0)=EOMONTH($W$3,0),AE$9*AE$10,0),0),IF(AND(AB$9&lt;&gt;"",AB$11&lt;&gt;""),IF(EOMONTH($Z$3+INT((DAY(EOMONTH($Z$3,0))-1)/2)+AB$11,0)=EOMONTH($W$3,0),AB$9*AB$10,0),0),IF(AND(Y$9&lt;&gt;"",Y$11&lt;&gt;""),IF(EOMONTH($W$3+INT((DAY(EOMONTH($W$3,0))-1)/2)+Y$11,0)=EOMONTH($W$3,0),Y$9*Y$10,0),0),IF(AND(V$9&lt;&gt;"",V$11&lt;&gt;""),IF(EOMONTH($T$3+INT((DAY(EOMONTH($T$3,0))-1)/2)+V$11,0)=EOMONTH($W$3,0),V$9*V$10,0),0),IF(AND(S$9&lt;&gt;"",S$11&lt;&gt;""),IF(EOMONTH($Q$3+INT((DAY(EOMONTH($Q$3,0))-1)/2)+S$11,0)=EOMONTH($W$3,0),S$9*S$10,0),0),IF(AND(P$9&lt;&gt;"",P$11&lt;&gt;""),IF(EOMONTH($N$3+INT((DAY(EOMONTH($N$3,0))-1)/2)+P$11,0)=EOMONTH($W$3,0),P$9*P$10,0),0),IF(AND(M$9&lt;&gt;"",M$11&lt;&gt;""),IF(EOMONTH($K$3+INT((DAY(EOMONTH($K$3,0))-1)/2)+M$11,0)=EOMONTH($W$3,0),M$9*M$10,0),0),IF(AND(J$9&lt;&gt;"",J$11&lt;&gt;""),IF(EOMONTH($H$3+INT((DAY(EOMONTH($H$3,0))-1)/2)+J$11,0)=EOMONTH($W$3,0),J$9*J$10,0),0),IF(AND(G$9&lt;&gt;"",G$11&lt;&gt;""),IF(EOMONTH($E$3+INT((DAY(EOMONTH($E$3,0))-1)/2)+G$11,0)=EOMONTH($W$3,0),G$9*G$10,0),0),IF(EOMONTH($AL$75+AN$11,0)=EOMONTH($W$3,0),$AL$76*AN$10,0)),0)</x:f>
        <x:v>11</x:v>
      </x:c>
      <x:c r="Z12" s="50"/>
      <x:c r="AA12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12,ROUND(SUM(IF(AND(AM$9&lt;&gt;"",AM$11&lt;&gt;""),IF(EOMONTH($AL$3+INT((DAY(EOMONTH($AL$3,0))-1)/2)+AM$11,0)=EOMONTH($Z$3,0),AM$9*AM$10,0),0),IF(AND(AJ$9&lt;&gt;"",AJ$11&lt;&gt;""),IF(EOMONTH($AI$3+INT((DAY(EOMONTH($AI$3,0))-1)/2)+AJ$11,0)=EOMONTH($Z$3,0),AJ$9*AJ$10,0),0),IF(AND(AG$9&lt;&gt;"",AG$11&lt;&gt;""),IF(EOMONTH($AF$3+INT((DAY(EOMONTH($AF$3,0))-1)/2)+AG$11,0)=EOMONTH($Z$3,0),AG$9*AG$10,0),0),IF(AND(AD$9&lt;&gt;"",AD$11&lt;&gt;""),IF(EOMONTH($AC$3+INT((DAY(EOMONTH($AC$3,0))-1)/2)+AD$11,0)=EOMONTH($Z$3,0),AD$9*AD$10,0),0),IF(AND(AA$9&lt;&gt;"",AA$11&lt;&gt;""),IF(EOMONTH($Z$3+INT((DAY(EOMONTH($Z$3,0))-1)/2)+AA$11,0)=EOMONTH($Z$3,0),AA$9*AA$10,0),0),IF(AND(X$9&lt;&gt;"",X$11&lt;&gt;""),IF(EOMONTH($W$3+INT((DAY(EOMONTH($W$3,0))-1)/2)+X$11,0)=EOMONTH($Z$3,0),X$9*X$10,0),0),IF(AND(U$9&lt;&gt;"",U$11&lt;&gt;""),IF(EOMONTH($T$3+INT((DAY(EOMONTH($T$3,0))-1)/2)+U$11,0)=EOMONTH($Z$3,0),U$9*U$10,0),0),IF(AND(R$9&lt;&gt;"",R$11&lt;&gt;""),IF(EOMONTH($Q$3+INT((DAY(EOMONTH($Q$3,0))-1)/2)+R$11,0)=EOMONTH($Z$3,0),R$9*R$10,0),0),IF(AND(O$9&lt;&gt;"",O$11&lt;&gt;""),IF(EOMONTH($N$3+INT((DAY(EOMONTH($N$3,0))-1)/2)+O$11,0)=EOMONTH($Z$3,0),O$9*O$10,0),0),IF(AND(L$9&lt;&gt;"",L$11&lt;&gt;""),IF(EOMONTH($K$3+INT((DAY(EOMONTH($K$3,0))-1)/2)+L$11,0)=EOMONTH($Z$3,0),L$9*L$10,0),0),IF(AND(I$9&lt;&gt;"",I$11&lt;&gt;""),IF(EOMONTH($H$3+INT((DAY(EOMONTH($H$3,0))-1)/2)+I$11,0)=EOMONTH($Z$3,0),I$9*I$10,0),0),IF(AND(F$9&lt;&gt;"",F$11&lt;&gt;""),IF(EOMONTH($E$3+INT((DAY(EOMONTH($E$3,0))-1)/2)+F$11,0)=EOMONTH($Z$3,0),F$9*F$10,0),0),IF(EOMONTH($AL$75+AM$11,0)=EOMONTH($Z$3,0),$AL$76*AM$10,0)),0))</x:f>
        <x:v>11</x:v>
      </x:c>
      <x:c r="AB12" s="49" t="n">
        <x:f>ROUND(SUM(IF(AND(AN$9&lt;&gt;"",AN$11&lt;&gt;""),IF(EOMONTH($AL$3+INT((DAY(EOMONTH($AL$3,0))-1)/2)+AN$11,0)=EOMONTH($Z$3,0),AN$9*AN$10,0),0),IF(AND(AK$9&lt;&gt;"",AK$11&lt;&gt;""),IF(EOMONTH($AI$3+INT((DAY(EOMONTH($AI$3,0))-1)/2)+AK$11,0)=EOMONTH($Z$3,0),AK$9*AK$10,0),0),IF(AND(AH$9&lt;&gt;"",AH$11&lt;&gt;""),IF(EOMONTH($AF$3+INT((DAY(EOMONTH($AF$3,0))-1)/2)+AH$11,0)=EOMONTH($Z$3,0),AH$9*AH$10,0),0),IF(AND(AE$9&lt;&gt;"",AE$11&lt;&gt;""),IF(EOMONTH($AC$3+INT((DAY(EOMONTH($AC$3,0))-1)/2)+AE$11,0)=EOMONTH($Z$3,0),AE$9*AE$10,0),0),IF(AND(AB$9&lt;&gt;"",AB$11&lt;&gt;""),IF(EOMONTH($Z$3+INT((DAY(EOMONTH($Z$3,0))-1)/2)+AB$11,0)=EOMONTH($Z$3,0),AB$9*AB$10,0),0),IF(AND(Y$9&lt;&gt;"",Y$11&lt;&gt;""),IF(EOMONTH($W$3+INT((DAY(EOMONTH($W$3,0))-1)/2)+Y$11,0)=EOMONTH($Z$3,0),Y$9*Y$10,0),0),IF(AND(V$9&lt;&gt;"",V$11&lt;&gt;""),IF(EOMONTH($T$3+INT((DAY(EOMONTH($T$3,0))-1)/2)+V$11,0)=EOMONTH($Z$3,0),V$9*V$10,0),0),IF(AND(S$9&lt;&gt;"",S$11&lt;&gt;""),IF(EOMONTH($Q$3+INT((DAY(EOMONTH($Q$3,0))-1)/2)+S$11,0)=EOMONTH($Z$3,0),S$9*S$10,0),0),IF(AND(P$9&lt;&gt;"",P$11&lt;&gt;""),IF(EOMONTH($N$3+INT((DAY(EOMONTH($N$3,0))-1)/2)+P$11,0)=EOMONTH($Z$3,0),P$9*P$10,0),0),IF(AND(M$9&lt;&gt;"",M$11&lt;&gt;""),IF(EOMONTH($K$3+INT((DAY(EOMONTH($K$3,0))-1)/2)+M$11,0)=EOMONTH($Z$3,0),M$9*M$10,0),0),IF(AND(J$9&lt;&gt;"",J$11&lt;&gt;""),IF(EOMONTH($H$3+INT((DAY(EOMONTH($H$3,0))-1)/2)+J$11,0)=EOMONTH($Z$3,0),J$9*J$10,0),0),IF(AND(G$9&lt;&gt;"",G$11&lt;&gt;""),IF(EOMONTH($E$3+INT((DAY(EOMONTH($E$3,0))-1)/2)+G$11,0)=EOMONTH($Z$3,0),G$9*G$10,0),0),IF(EOMONTH($AL$75+AN$11,0)=EOMONTH($Z$3,0),$AL$76*AN$10,0)),0)</x:f>
        <x:v>11</x:v>
      </x:c>
      <x:c r="AC12" s="50"/>
      <x:c r="AD12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12,ROUND(SUM(IF(AND(AM$9&lt;&gt;"",AM$11&lt;&gt;""),IF(EOMONTH($AL$3+INT((DAY(EOMONTH($AL$3,0))-1)/2)+AM$11,0)=EOMONTH($AC$3,0),AM$9*AM$10,0),0),IF(AND(AJ$9&lt;&gt;"",AJ$11&lt;&gt;""),IF(EOMONTH($AI$3+INT((DAY(EOMONTH($AI$3,0))-1)/2)+AJ$11,0)=EOMONTH($AC$3,0),AJ$9*AJ$10,0),0),IF(AND(AG$9&lt;&gt;"",AG$11&lt;&gt;""),IF(EOMONTH($AF$3+INT((DAY(EOMONTH($AF$3,0))-1)/2)+AG$11,0)=EOMONTH($AC$3,0),AG$9*AG$10,0),0),IF(AND(AD$9&lt;&gt;"",AD$11&lt;&gt;""),IF(EOMONTH($AC$3+INT((DAY(EOMONTH($AC$3,0))-1)/2)+AD$11,0)=EOMONTH($AC$3,0),AD$9*AD$10,0),0),IF(AND(AA$9&lt;&gt;"",AA$11&lt;&gt;""),IF(EOMONTH($Z$3+INT((DAY(EOMONTH($Z$3,0))-1)/2)+AA$11,0)=EOMONTH($AC$3,0),AA$9*AA$10,0),0),IF(AND(X$9&lt;&gt;"",X$11&lt;&gt;""),IF(EOMONTH($W$3+INT((DAY(EOMONTH($W$3,0))-1)/2)+X$11,0)=EOMONTH($AC$3,0),X$9*X$10,0),0),IF(AND(U$9&lt;&gt;"",U$11&lt;&gt;""),IF(EOMONTH($T$3+INT((DAY(EOMONTH($T$3,0))-1)/2)+U$11,0)=EOMONTH($AC$3,0),U$9*U$10,0),0),IF(AND(R$9&lt;&gt;"",R$11&lt;&gt;""),IF(EOMONTH($Q$3+INT((DAY(EOMONTH($Q$3,0))-1)/2)+R$11,0)=EOMONTH($AC$3,0),R$9*R$10,0),0),IF(AND(O$9&lt;&gt;"",O$11&lt;&gt;""),IF(EOMONTH($N$3+INT((DAY(EOMONTH($N$3,0))-1)/2)+O$11,0)=EOMONTH($AC$3,0),O$9*O$10,0),0),IF(AND(L$9&lt;&gt;"",L$11&lt;&gt;""),IF(EOMONTH($K$3+INT((DAY(EOMONTH($K$3,0))-1)/2)+L$11,0)=EOMONTH($AC$3,0),L$9*L$10,0),0),IF(AND(I$9&lt;&gt;"",I$11&lt;&gt;""),IF(EOMONTH($H$3+INT((DAY(EOMONTH($H$3,0))-1)/2)+I$11,0)=EOMONTH($AC$3,0),I$9*I$10,0),0),IF(AND(F$9&lt;&gt;"",F$11&lt;&gt;""),IF(EOMONTH($E$3+INT((DAY(EOMONTH($E$3,0))-1)/2)+F$11,0)=EOMONTH($AC$3,0),F$9*F$10,0),0),IF(EOMONTH($AL$75+AM$11,0)=EOMONTH($AC$3,0),$AL$76*AM$10,0)),0))</x:f>
        <x:v>11</x:v>
      </x:c>
      <x:c r="AE12" s="49" t="n">
        <x:f>ROUND(SUM(IF(AND(AN$9&lt;&gt;"",AN$11&lt;&gt;""),IF(EOMONTH($AL$3+INT((DAY(EOMONTH($AL$3,0))-1)/2)+AN$11,0)=EOMONTH($AC$3,0),AN$9*AN$10,0),0),IF(AND(AK$9&lt;&gt;"",AK$11&lt;&gt;""),IF(EOMONTH($AI$3+INT((DAY(EOMONTH($AI$3,0))-1)/2)+AK$11,0)=EOMONTH($AC$3,0),AK$9*AK$10,0),0),IF(AND(AH$9&lt;&gt;"",AH$11&lt;&gt;""),IF(EOMONTH($AF$3+INT((DAY(EOMONTH($AF$3,0))-1)/2)+AH$11,0)=EOMONTH($AC$3,0),AH$9*AH$10,0),0),IF(AND(AE$9&lt;&gt;"",AE$11&lt;&gt;""),IF(EOMONTH($AC$3+INT((DAY(EOMONTH($AC$3,0))-1)/2)+AE$11,0)=EOMONTH($AC$3,0),AE$9*AE$10,0),0),IF(AND(AB$9&lt;&gt;"",AB$11&lt;&gt;""),IF(EOMONTH($Z$3+INT((DAY(EOMONTH($Z$3,0))-1)/2)+AB$11,0)=EOMONTH($AC$3,0),AB$9*AB$10,0),0),IF(AND(Y$9&lt;&gt;"",Y$11&lt;&gt;""),IF(EOMONTH($W$3+INT((DAY(EOMONTH($W$3,0))-1)/2)+Y$11,0)=EOMONTH($AC$3,0),Y$9*Y$10,0),0),IF(AND(V$9&lt;&gt;"",V$11&lt;&gt;""),IF(EOMONTH($T$3+INT((DAY(EOMONTH($T$3,0))-1)/2)+V$11,0)=EOMONTH($AC$3,0),V$9*V$10,0),0),IF(AND(S$9&lt;&gt;"",S$11&lt;&gt;""),IF(EOMONTH($Q$3+INT((DAY(EOMONTH($Q$3,0))-1)/2)+S$11,0)=EOMONTH($AC$3,0),S$9*S$10,0),0),IF(AND(P$9&lt;&gt;"",P$11&lt;&gt;""),IF(EOMONTH($N$3+INT((DAY(EOMONTH($N$3,0))-1)/2)+P$11,0)=EOMONTH($AC$3,0),P$9*P$10,0),0),IF(AND(M$9&lt;&gt;"",M$11&lt;&gt;""),IF(EOMONTH($K$3+INT((DAY(EOMONTH($K$3,0))-1)/2)+M$11,0)=EOMONTH($AC$3,0),M$9*M$10,0),0),IF(AND(J$9&lt;&gt;"",J$11&lt;&gt;""),IF(EOMONTH($H$3+INT((DAY(EOMONTH($H$3,0))-1)/2)+J$11,0)=EOMONTH($AC$3,0),J$9*J$10,0),0),IF(AND(G$9&lt;&gt;"",G$11&lt;&gt;""),IF(EOMONTH($E$3+INT((DAY(EOMONTH($E$3,0))-1)/2)+G$11,0)=EOMONTH($AC$3,0),G$9*G$10,0),0),IF(EOMONTH($AL$75+AN$11,0)=EOMONTH($AC$3,0),$AL$76*AN$10,0)),0)</x:f>
        <x:v>11</x:v>
      </x:c>
      <x:c r="AF12" s="50"/>
      <x:c r="AG12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12,ROUND(SUM(IF(AND(AM$9&lt;&gt;"",AM$11&lt;&gt;""),IF(EOMONTH($AL$3+INT((DAY(EOMONTH($AL$3,0))-1)/2)+AM$11,0)=EOMONTH($AF$3,0),AM$9*AM$10,0),0),IF(AND(AJ$9&lt;&gt;"",AJ$11&lt;&gt;""),IF(EOMONTH($AI$3+INT((DAY(EOMONTH($AI$3,0))-1)/2)+AJ$11,0)=EOMONTH($AF$3,0),AJ$9*AJ$10,0),0),IF(AND(AG$9&lt;&gt;"",AG$11&lt;&gt;""),IF(EOMONTH($AF$3+INT((DAY(EOMONTH($AF$3,0))-1)/2)+AG$11,0)=EOMONTH($AF$3,0),AG$9*AG$10,0),0),IF(AND(AD$9&lt;&gt;"",AD$11&lt;&gt;""),IF(EOMONTH($AC$3+INT((DAY(EOMONTH($AC$3,0))-1)/2)+AD$11,0)=EOMONTH($AF$3,0),AD$9*AD$10,0),0),IF(AND(AA$9&lt;&gt;"",AA$11&lt;&gt;""),IF(EOMONTH($Z$3+INT((DAY(EOMONTH($Z$3,0))-1)/2)+AA$11,0)=EOMONTH($AF$3,0),AA$9*AA$10,0),0),IF(AND(X$9&lt;&gt;"",X$11&lt;&gt;""),IF(EOMONTH($W$3+INT((DAY(EOMONTH($W$3,0))-1)/2)+X$11,0)=EOMONTH($AF$3,0),X$9*X$10,0),0),IF(AND(U$9&lt;&gt;"",U$11&lt;&gt;""),IF(EOMONTH($T$3+INT((DAY(EOMONTH($T$3,0))-1)/2)+U$11,0)=EOMONTH($AF$3,0),U$9*U$10,0),0),IF(AND(R$9&lt;&gt;"",R$11&lt;&gt;""),IF(EOMONTH($Q$3+INT((DAY(EOMONTH($Q$3,0))-1)/2)+R$11,0)=EOMONTH($AF$3,0),R$9*R$10,0),0),IF(AND(O$9&lt;&gt;"",O$11&lt;&gt;""),IF(EOMONTH($N$3+INT((DAY(EOMONTH($N$3,0))-1)/2)+O$11,0)=EOMONTH($AF$3,0),O$9*O$10,0),0),IF(AND(L$9&lt;&gt;"",L$11&lt;&gt;""),IF(EOMONTH($K$3+INT((DAY(EOMONTH($K$3,0))-1)/2)+L$11,0)=EOMONTH($AF$3,0),L$9*L$10,0),0),IF(AND(I$9&lt;&gt;"",I$11&lt;&gt;""),IF(EOMONTH($H$3+INT((DAY(EOMONTH($H$3,0))-1)/2)+I$11,0)=EOMONTH($AF$3,0),I$9*I$10,0),0),IF(AND(F$9&lt;&gt;"",F$11&lt;&gt;""),IF(EOMONTH($E$3+INT((DAY(EOMONTH($E$3,0))-1)/2)+F$11,0)=EOMONTH($AF$3,0),F$9*F$10,0),0),IF(EOMONTH($AL$75+AM$11,0)=EOMONTH($AF$3,0),$AL$76*AM$10,0)),0))</x:f>
        <x:v>8</x:v>
      </x:c>
      <x:c r="AH12" s="49" t="n">
        <x:f>ROUND(SUM(IF(AND(AN$9&lt;&gt;"",AN$11&lt;&gt;""),IF(EOMONTH($AL$3+INT((DAY(EOMONTH($AL$3,0))-1)/2)+AN$11,0)=EOMONTH($AF$3,0),AN$9*AN$10,0),0),IF(AND(AK$9&lt;&gt;"",AK$11&lt;&gt;""),IF(EOMONTH($AI$3+INT((DAY(EOMONTH($AI$3,0))-1)/2)+AK$11,0)=EOMONTH($AF$3,0),AK$9*AK$10,0),0),IF(AND(AH$9&lt;&gt;"",AH$11&lt;&gt;""),IF(EOMONTH($AF$3+INT((DAY(EOMONTH($AF$3,0))-1)/2)+AH$11,0)=EOMONTH($AF$3,0),AH$9*AH$10,0),0),IF(AND(AE$9&lt;&gt;"",AE$11&lt;&gt;""),IF(EOMONTH($AC$3+INT((DAY(EOMONTH($AC$3,0))-1)/2)+AE$11,0)=EOMONTH($AF$3,0),AE$9*AE$10,0),0),IF(AND(AB$9&lt;&gt;"",AB$11&lt;&gt;""),IF(EOMONTH($Z$3+INT((DAY(EOMONTH($Z$3,0))-1)/2)+AB$11,0)=EOMONTH($AF$3,0),AB$9*AB$10,0),0),IF(AND(Y$9&lt;&gt;"",Y$11&lt;&gt;""),IF(EOMONTH($W$3+INT((DAY(EOMONTH($W$3,0))-1)/2)+Y$11,0)=EOMONTH($AF$3,0),Y$9*Y$10,0),0),IF(AND(V$9&lt;&gt;"",V$11&lt;&gt;""),IF(EOMONTH($T$3+INT((DAY(EOMONTH($T$3,0))-1)/2)+V$11,0)=EOMONTH($AF$3,0),V$9*V$10,0),0),IF(AND(S$9&lt;&gt;"",S$11&lt;&gt;""),IF(EOMONTH($Q$3+INT((DAY(EOMONTH($Q$3,0))-1)/2)+S$11,0)=EOMONTH($AF$3,0),S$9*S$10,0),0),IF(AND(P$9&lt;&gt;"",P$11&lt;&gt;""),IF(EOMONTH($N$3+INT((DAY(EOMONTH($N$3,0))-1)/2)+P$11,0)=EOMONTH($AF$3,0),P$9*P$10,0),0),IF(AND(M$9&lt;&gt;"",M$11&lt;&gt;""),IF(EOMONTH($K$3+INT((DAY(EOMONTH($K$3,0))-1)/2)+M$11,0)=EOMONTH($AF$3,0),M$9*M$10,0),0),IF(AND(J$9&lt;&gt;"",J$11&lt;&gt;""),IF(EOMONTH($H$3+INT((DAY(EOMONTH($H$3,0))-1)/2)+J$11,0)=EOMONTH($AF$3,0),J$9*J$10,0),0),IF(AND(G$9&lt;&gt;"",G$11&lt;&gt;""),IF(EOMONTH($E$3+INT((DAY(EOMONTH($E$3,0))-1)/2)+G$11,0)=EOMONTH($AF$3,0),G$9*G$10,0),0),IF(EOMONTH($AL$75+AN$11,0)=EOMONTH($AF$3,0),$AL$76*AN$10,0)),0)</x:f>
        <x:v>10</x:v>
      </x:c>
      <x:c r="AI12" s="50" t="n">
        <x:v>8</x:v>
      </x:c>
      <x:c r="AJ12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12,ROUND(SUM(IF(AND(AM$9&lt;&gt;"",AM$11&lt;&gt;""),IF(EOMONTH($AL$3+INT((DAY(EOMONTH($AL$3,0))-1)/2)+AM$11,0)=EOMONTH($AI$3,0),AM$9*AM$10,0),0),IF(AND(AJ$9&lt;&gt;"",AJ$11&lt;&gt;""),IF(EOMONTH($AI$3+INT((DAY(EOMONTH($AI$3,0))-1)/2)+AJ$11,0)=EOMONTH($AI$3,0),AJ$9*AJ$10,0),0),IF(AND(AG$9&lt;&gt;"",AG$11&lt;&gt;""),IF(EOMONTH($AF$3+INT((DAY(EOMONTH($AF$3,0))-1)/2)+AG$11,0)=EOMONTH($AI$3,0),AG$9*AG$10,0),0),IF(AND(AD$9&lt;&gt;"",AD$11&lt;&gt;""),IF(EOMONTH($AC$3+INT((DAY(EOMONTH($AC$3,0))-1)/2)+AD$11,0)=EOMONTH($AI$3,0),AD$9*AD$10,0),0),IF(AND(AA$9&lt;&gt;"",AA$11&lt;&gt;""),IF(EOMONTH($Z$3+INT((DAY(EOMONTH($Z$3,0))-1)/2)+AA$11,0)=EOMONTH($AI$3,0),AA$9*AA$10,0),0),IF(AND(X$9&lt;&gt;"",X$11&lt;&gt;""),IF(EOMONTH($W$3+INT((DAY(EOMONTH($W$3,0))-1)/2)+X$11,0)=EOMONTH($AI$3,0),X$9*X$10,0),0),IF(AND(U$9&lt;&gt;"",U$11&lt;&gt;""),IF(EOMONTH($T$3+INT((DAY(EOMONTH($T$3,0))-1)/2)+U$11,0)=EOMONTH($AI$3,0),U$9*U$10,0),0),IF(AND(R$9&lt;&gt;"",R$11&lt;&gt;""),IF(EOMONTH($Q$3+INT((DAY(EOMONTH($Q$3,0))-1)/2)+R$11,0)=EOMONTH($AI$3,0),R$9*R$10,0),0),IF(AND(O$9&lt;&gt;"",O$11&lt;&gt;""),IF(EOMONTH($N$3+INT((DAY(EOMONTH($N$3,0))-1)/2)+O$11,0)=EOMONTH($AI$3,0),O$9*O$10,0),0),IF(AND(L$9&lt;&gt;"",L$11&lt;&gt;""),IF(EOMONTH($K$3+INT((DAY(EOMONTH($K$3,0))-1)/2)+L$11,0)=EOMONTH($AI$3,0),L$9*L$10,0),0),IF(AND(I$9&lt;&gt;"",I$11&lt;&gt;""),IF(EOMONTH($H$3+INT((DAY(EOMONTH($H$3,0))-1)/2)+I$11,0)=EOMONTH($AI$3,0),I$9*I$10,0),0),IF(AND(F$9&lt;&gt;"",F$11&lt;&gt;""),IF(EOMONTH($E$3+INT((DAY(EOMONTH($E$3,0))-1)/2)+F$11,0)=EOMONTH($AI$3,0),F$9*F$10,0),0),IF(EOMONTH($AL$75+AM$11,0)=EOMONTH($AI$3,0),$AL$76*AM$10,0)),0))</x:f>
        <x:v>8</x:v>
      </x:c>
      <x:c r="AK12" s="49" t="n">
        <x:f>ROUND(SUM(IF(AND(AN$9&lt;&gt;"",AN$11&lt;&gt;""),IF(EOMONTH($AL$3+INT((DAY(EOMONTH($AL$3,0))-1)/2)+AN$11,0)=EOMONTH($AI$3,0),AN$9*AN$10,0),0),IF(AND(AK$9&lt;&gt;"",AK$11&lt;&gt;""),IF(EOMONTH($AI$3+INT((DAY(EOMONTH($AI$3,0))-1)/2)+AK$11,0)=EOMONTH($AI$3,0),AK$9*AK$10,0),0),IF(AND(AH$9&lt;&gt;"",AH$11&lt;&gt;""),IF(EOMONTH($AF$3+INT((DAY(EOMONTH($AF$3,0))-1)/2)+AH$11,0)=EOMONTH($AI$3,0),AH$9*AH$10,0),0),IF(AND(AE$9&lt;&gt;"",AE$11&lt;&gt;""),IF(EOMONTH($AC$3+INT((DAY(EOMONTH($AC$3,0))-1)/2)+AE$11,0)=EOMONTH($AI$3,0),AE$9*AE$10,0),0),IF(AND(AB$9&lt;&gt;"",AB$11&lt;&gt;""),IF(EOMONTH($Z$3+INT((DAY(EOMONTH($Z$3,0))-1)/2)+AB$11,0)=EOMONTH($AI$3,0),AB$9*AB$10,0),0),IF(AND(Y$9&lt;&gt;"",Y$11&lt;&gt;""),IF(EOMONTH($W$3+INT((DAY(EOMONTH($W$3,0))-1)/2)+Y$11,0)=EOMONTH($AI$3,0),Y$9*Y$10,0),0),IF(AND(V$9&lt;&gt;"",V$11&lt;&gt;""),IF(EOMONTH($T$3+INT((DAY(EOMONTH($T$3,0))-1)/2)+V$11,0)=EOMONTH($AI$3,0),V$9*V$10,0),0),IF(AND(S$9&lt;&gt;"",S$11&lt;&gt;""),IF(EOMONTH($Q$3+INT((DAY(EOMONTH($Q$3,0))-1)/2)+S$11,0)=EOMONTH($AI$3,0),S$9*S$10,0),0),IF(AND(P$9&lt;&gt;"",P$11&lt;&gt;""),IF(EOMONTH($N$3+INT((DAY(EOMONTH($N$3,0))-1)/2)+P$11,0)=EOMONTH($AI$3,0),P$9*P$10,0),0),IF(AND(M$9&lt;&gt;"",M$11&lt;&gt;""),IF(EOMONTH($K$3+INT((DAY(EOMONTH($K$3,0))-1)/2)+M$11,0)=EOMONTH($AI$3,0),M$9*M$10,0),0),IF(AND(J$9&lt;&gt;"",J$11&lt;&gt;""),IF(EOMONTH($H$3+INT((DAY(EOMONTH($H$3,0))-1)/2)+J$11,0)=EOMONTH($AI$3,0),J$9*J$10,0),0),IF(AND(G$9&lt;&gt;"",G$11&lt;&gt;""),IF(EOMONTH($E$3+INT((DAY(EOMONTH($E$3,0))-1)/2)+G$11,0)=EOMONTH($AI$3,0),G$9*G$10,0),0),IF(EOMONTH($AL$75+AN$11,0)=EOMONTH($AI$3,0),$AL$76*AN$10,0)),0)</x:f>
        <x:v>10</x:v>
      </x:c>
      <x:c r="AL12" s="50" t="n">
        <x:v>7</x:v>
      </x:c>
      <x:c r="AM12" s="48" t="n">
        <x:f>IF(AND(AND(AL$57&lt;&gt;"",COUNT(AL6,AL8,AL9,AL11,AL12,AL13,AL14,AL15,AL16,AL18,AL21,AL23,AL28,AL30,AL31,AL32,AL33,AL38,AL39,AL40,AL41,AL42,AL43,AL44,AL45,AL46,AL47,AL48,AL49,AL50,AL51,AL52,AL57,AL60,AL61,AL62,AL63,AL64,AL69)=39)),AL12,ROUND(SUM(IF(AND(AM$9&lt;&gt;"",AM$11&lt;&gt;""),IF(EOMONTH($AL$3+INT((DAY(EOMONTH($AL$3,0))-1)/2)+AM$11,0)=EOMONTH($AL$3,0),AM$9*AM$10,0),0),IF(AND(AJ$9&lt;&gt;"",AJ$11&lt;&gt;""),IF(EOMONTH($AI$3+INT((DAY(EOMONTH($AI$3,0))-1)/2)+AJ$11,0)=EOMONTH($AL$3,0),AJ$9*AJ$10,0),0),IF(AND(AG$9&lt;&gt;"",AG$11&lt;&gt;""),IF(EOMONTH($AF$3+INT((DAY(EOMONTH($AF$3,0))-1)/2)+AG$11,0)=EOMONTH($AL$3,0),AG$9*AG$10,0),0),IF(AND(AD$9&lt;&gt;"",AD$11&lt;&gt;""),IF(EOMONTH($AC$3+INT((DAY(EOMONTH($AC$3,0))-1)/2)+AD$11,0)=EOMONTH($AL$3,0),AD$9*AD$10,0),0),IF(AND(AA$9&lt;&gt;"",AA$11&lt;&gt;""),IF(EOMONTH($Z$3+INT((DAY(EOMONTH($Z$3,0))-1)/2)+AA$11,0)=EOMONTH($AL$3,0),AA$9*AA$10,0),0),IF(AND(X$9&lt;&gt;"",X$11&lt;&gt;""),IF(EOMONTH($W$3+INT((DAY(EOMONTH($W$3,0))-1)/2)+X$11,0)=EOMONTH($AL$3,0),X$9*X$10,0),0),IF(AND(U$9&lt;&gt;"",U$11&lt;&gt;""),IF(EOMONTH($T$3+INT((DAY(EOMONTH($T$3,0))-1)/2)+U$11,0)=EOMONTH($AL$3,0),U$9*U$10,0),0),IF(AND(R$9&lt;&gt;"",R$11&lt;&gt;""),IF(EOMONTH($Q$3+INT((DAY(EOMONTH($Q$3,0))-1)/2)+R$11,0)=EOMONTH($AL$3,0),R$9*R$10,0),0),IF(AND(O$9&lt;&gt;"",O$11&lt;&gt;""),IF(EOMONTH($N$3+INT((DAY(EOMONTH($N$3,0))-1)/2)+O$11,0)=EOMONTH($AL$3,0),O$9*O$10,0),0),IF(AND(L$9&lt;&gt;"",L$11&lt;&gt;""),IF(EOMONTH($K$3+INT((DAY(EOMONTH($K$3,0))-1)/2)+L$11,0)=EOMONTH($AL$3,0),L$9*L$10,0),0),IF(AND(I$9&lt;&gt;"",I$11&lt;&gt;""),IF(EOMONTH($H$3+INT((DAY(EOMONTH($H$3,0))-1)/2)+I$11,0)=EOMONTH($AL$3,0),I$9*I$10,0),0),IF(AND(F$9&lt;&gt;"",F$11&lt;&gt;""),IF(EOMONTH($E$3+INT((DAY(EOMONTH($E$3,0))-1)/2)+F$11,0)=EOMONTH($AL$3,0),F$9*F$10,0),0),IF(EOMONTH($AL$75+AM$11,0)=EOMONTH($AL$3,0),$AL$76*AM$10,0)),0))</x:f>
        <x:v>7</x:v>
      </x:c>
      <x:c r="AN12" s="49" t="n">
        <x:f>ROUND(SUM(IF(AND(AN$9&lt;&gt;"",AN$11&lt;&gt;""),IF(EOMONTH($AL$3+INT((DAY(EOMONTH($AL$3,0))-1)/2)+AN$11,0)=EOMONTH($AL$3,0),AN$9*AN$10,0),0),IF(AND(AK$9&lt;&gt;"",AK$11&lt;&gt;""),IF(EOMONTH($AI$3+INT((DAY(EOMONTH($AI$3,0))-1)/2)+AK$11,0)=EOMONTH($AL$3,0),AK$9*AK$10,0),0),IF(AND(AH$9&lt;&gt;"",AH$11&lt;&gt;""),IF(EOMONTH($AF$3+INT((DAY(EOMONTH($AF$3,0))-1)/2)+AH$11,0)=EOMONTH($AL$3,0),AH$9*AH$10,0),0),IF(AND(AE$9&lt;&gt;"",AE$11&lt;&gt;""),IF(EOMONTH($AC$3+INT((DAY(EOMONTH($AC$3,0))-1)/2)+AE$11,0)=EOMONTH($AL$3,0),AE$9*AE$10,0),0),IF(AND(AB$9&lt;&gt;"",AB$11&lt;&gt;""),IF(EOMONTH($Z$3+INT((DAY(EOMONTH($Z$3,0))-1)/2)+AB$11,0)=EOMONTH($AL$3,0),AB$9*AB$10,0),0),IF(AND(Y$9&lt;&gt;"",Y$11&lt;&gt;""),IF(EOMONTH($W$3+INT((DAY(EOMONTH($W$3,0))-1)/2)+Y$11,0)=EOMONTH($AL$3,0),Y$9*Y$10,0),0),IF(AND(V$9&lt;&gt;"",V$11&lt;&gt;""),IF(EOMONTH($T$3+INT((DAY(EOMONTH($T$3,0))-1)/2)+V$11,0)=EOMONTH($AL$3,0),V$9*V$10,0),0),IF(AND(S$9&lt;&gt;"",S$11&lt;&gt;""),IF(EOMONTH($Q$3+INT((DAY(EOMONTH($Q$3,0))-1)/2)+S$11,0)=EOMONTH($AL$3,0),S$9*S$10,0),0),IF(AND(P$9&lt;&gt;"",P$11&lt;&gt;""),IF(EOMONTH($N$3+INT((DAY(EOMONTH($N$3,0))-1)/2)+P$11,0)=EOMONTH($AL$3,0),P$9*P$10,0),0),IF(AND(M$9&lt;&gt;"",M$11&lt;&gt;""),IF(EOMONTH($K$3+INT((DAY(EOMONTH($K$3,0))-1)/2)+M$11,0)=EOMONTH($AL$3,0),M$9*M$10,0),0),IF(AND(J$9&lt;&gt;"",J$11&lt;&gt;""),IF(EOMONTH($H$3+INT((DAY(EOMONTH($H$3,0))-1)/2)+J$11,0)=EOMONTH($AL$3,0),J$9*J$10,0),0),IF(AND(G$9&lt;&gt;"",G$11&lt;&gt;""),IF(EOMONTH($E$3+INT((DAY(EOMONTH($E$3,0))-1)/2)+G$11,0)=EOMONTH($AL$3,0),G$9*G$10,0),0),IF(EOMONTH($AL$75+AN$11,0)=EOMONTH($AL$3,0),$AL$76*AN$10,0)),0)</x:f>
        <x:v>10</x:v>
      </x:c>
    </x:row>
    <x:row r="13" ht="24" customHeight="1">
      <x:c r="A13" s="3" t="str">
        <x:v>Average revenue per signed contract [$]</x:v>
      </x:c>
      <x:c r="B13" s="61" t="n">
        <x:f>IFERROR(SUM(AL13*AL12,AI13*AI12,AF13*AF12,AC13*AC12,Z13*Z12,W13*W12,T13*T12,Q13*Q12,N13*N12,K13*K12,H13*H12,E13*E12)/SUM(AL12,AI12,AF12,AC12,Z12,W12,T12,Q12,N12,K12,H12,E12),"")</x:f>
        <x:v>5000</x:v>
      </x:c>
      <x:c r="C13" s="62" t="n">
        <x:f>IFERROR(SUM(AM13*AM12,AJ13*AJ12,AG13*AG12,AD13*AD12,AA13*AA12,X13*X12,U13*U12,R13*R12,O13*O12,L13*L12,I13*I12,F13*F12)/SUM(AM12,AJ12,AG12,AD12,AA12,X12,U12,R12,O12,L12,I12,F12),"")</x:f>
        <x:v>7648.4375</x:v>
      </x:c>
      <x:c r="D13" s="63" t="n">
        <x:f>IFERROR(SUM(AN13*AN12,AK13*AK12,AH13*AH12,AE13*AE12,AB13*AB12,Y13*Y12,V13*V12,S13*S12,P13*P12,M13*M12,J13*J12,G13*G12)/SUM(AN12,AK12,AH12,AE12,AB12,Y12,V12,S12,P12,M12,J12,G12),"")</x:f>
        <x:v>8000</x:v>
      </x:c>
      <x:c r="E13" s="64"/>
      <x:c r="F1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13,G13)</x:f>
        <x:v>8000</x:v>
      </x:c>
      <x:c r="G13" s="65" t="n">
        <x:v>8000</x:v>
      </x:c>
      <x:c r="H13" s="64"/>
      <x:c r="I1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13,J13)</x:f>
        <x:v>8000</x:v>
      </x:c>
      <x:c r="J13" s="65" t="n">
        <x:v>8000</x:v>
      </x:c>
      <x:c r="K13" s="64"/>
      <x:c r="L1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13,M13)</x:f>
        <x:v>8000</x:v>
      </x:c>
      <x:c r="M13" s="65" t="n">
        <x:v>8000</x:v>
      </x:c>
      <x:c r="N13" s="64"/>
      <x:c r="O1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13,P13)</x:f>
        <x:v>8000</x:v>
      </x:c>
      <x:c r="P13" s="65" t="n">
        <x:v>8000</x:v>
      </x:c>
      <x:c r="Q13" s="64"/>
      <x:c r="R1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13,S13)</x:f>
        <x:v>8000</x:v>
      </x:c>
      <x:c r="S13" s="65" t="n">
        <x:v>8000</x:v>
      </x:c>
      <x:c r="T13" s="64"/>
      <x:c r="U1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13,V13)</x:f>
        <x:v>8000</x:v>
      </x:c>
      <x:c r="V13" s="65" t="n">
        <x:v>8000</x:v>
      </x:c>
      <x:c r="W13" s="64"/>
      <x:c r="X1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13,Y13)</x:f>
        <x:v>8000</x:v>
      </x:c>
      <x:c r="Y13" s="65" t="n">
        <x:v>8000</x:v>
      </x:c>
      <x:c r="Z13" s="64"/>
      <x:c r="AA1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13,AB13)</x:f>
        <x:v>8000</x:v>
      </x:c>
      <x:c r="AB13" s="65" t="n">
        <x:v>8000</x:v>
      </x:c>
      <x:c r="AC13" s="64"/>
      <x:c r="AD1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13,AE13)</x:f>
        <x:v>8000</x:v>
      </x:c>
      <x:c r="AE13" s="65" t="n">
        <x:v>8000</x:v>
      </x:c>
      <x:c r="AF13" s="64"/>
      <x:c r="AG1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13,AH13)</x:f>
        <x:v>8000</x:v>
      </x:c>
      <x:c r="AH13" s="65" t="n">
        <x:v>8000</x:v>
      </x:c>
      <x:c r="AI13" s="64" t="n">
        <x:v>5000</x:v>
      </x:c>
      <x:c r="AJ1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13,AK13)</x:f>
        <x:v>5000</x:v>
      </x:c>
      <x:c r="AK13" s="65" t="n">
        <x:v>8000</x:v>
      </x:c>
      <x:c r="AL13" s="64" t="n">
        <x:v>5000</x:v>
      </x:c>
      <x:c r="AM13" s="62" t="n">
        <x:f>IF(AND(AND(AL$57&lt;&gt;"",COUNT(AL6,AL8,AL9,AL11,AL12,AL13,AL14,AL15,AL16,AL18,AL21,AL23,AL28,AL30,AL31,AL32,AL33,AL38,AL39,AL40,AL41,AL42,AL43,AL44,AL45,AL46,AL47,AL48,AL49,AL50,AL51,AL52,AL57,AL60,AL61,AL62,AL63,AL64,AL69)=39)),AL13,AN13)</x:f>
        <x:v>5000</x:v>
      </x:c>
      <x:c r="AN13" s="65" t="n">
        <x:v>8000</x:v>
      </x:c>
    </x:row>
    <x:row r="14" ht="24" customHeight="1">
      <x:c r="A14" s="3" t="str">
        <x:v>Average delivery completion time [days]</x:v>
      </x:c>
      <x:c r="B14" s="53" t="n">
        <x:f>IFERROR(SUM(AL14*AL12,AI14*AI12,AF14*AF12,AC14*AC12,Z14*Z12,W14*W12,T14*T12,Q14*Q12,N14*N12,K14*K12,H14*H12,E14*E12)/SUM(AL12,AI12,AF12,AC12,Z12,W12,T12,Q12,N12,K12,H12,E12),"")</x:f>
        <x:v>30</x:v>
      </x:c>
      <x:c r="C14" s="54" t="n">
        <x:f>IFERROR(SUM(AM14*AM12,AJ14*AJ12,AG14*AG12,AD14*AD12,AA14*AA12,X14*X12,U14*U12,R14*R12,O14*O12,L14*L12,I14*I12,F14*F12)/SUM(AM12,AJ12,AG12,AD12,AA12,X12,U12,R12,O12,L12,I12,F12),"")</x:f>
        <x:v>30</x:v>
      </x:c>
      <x:c r="D14" s="55" t="n">
        <x:f>IFERROR(SUM(AN14*AN12,AK14*AK12,AH14*AH12,AE14*AE12,AB14*AB12,Y14*Y12,V14*V12,S14*S12,P14*P12,M14*M12,J14*J12,G14*G12)/SUM(AN12,AK12,AH12,AE12,AB12,Y12,V12,S12,P12,M12,J12,G12),"")</x:f>
        <x:v>30</x:v>
      </x:c>
      <x:c r="E14" s="56"/>
      <x:c r="F14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14,G14)</x:f>
        <x:v>30</x:v>
      </x:c>
      <x:c r="G14" s="57" t="n">
        <x:v>30</x:v>
      </x:c>
      <x:c r="H14" s="56"/>
      <x:c r="I14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14,J14)</x:f>
        <x:v>30</x:v>
      </x:c>
      <x:c r="J14" s="57" t="n">
        <x:v>30</x:v>
      </x:c>
      <x:c r="K14" s="56"/>
      <x:c r="L14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14,M14)</x:f>
        <x:v>30</x:v>
      </x:c>
      <x:c r="M14" s="57" t="n">
        <x:v>30</x:v>
      </x:c>
      <x:c r="N14" s="56"/>
      <x:c r="O14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14,P14)</x:f>
        <x:v>30</x:v>
      </x:c>
      <x:c r="P14" s="57" t="n">
        <x:v>30</x:v>
      </x:c>
      <x:c r="Q14" s="56"/>
      <x:c r="R14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14,S14)</x:f>
        <x:v>30</x:v>
      </x:c>
      <x:c r="S14" s="57" t="n">
        <x:v>30</x:v>
      </x:c>
      <x:c r="T14" s="56"/>
      <x:c r="U14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14,V14)</x:f>
        <x:v>30</x:v>
      </x:c>
      <x:c r="V14" s="57" t="n">
        <x:v>30</x:v>
      </x:c>
      <x:c r="W14" s="56"/>
      <x:c r="X14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14,Y14)</x:f>
        <x:v>30</x:v>
      </x:c>
      <x:c r="Y14" s="57" t="n">
        <x:v>30</x:v>
      </x:c>
      <x:c r="Z14" s="56"/>
      <x:c r="AA14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14,AB14)</x:f>
        <x:v>30</x:v>
      </x:c>
      <x:c r="AB14" s="57" t="n">
        <x:v>30</x:v>
      </x:c>
      <x:c r="AC14" s="56"/>
      <x:c r="AD14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14,AE14)</x:f>
        <x:v>30</x:v>
      </x:c>
      <x:c r="AE14" s="57" t="n">
        <x:v>30</x:v>
      </x:c>
      <x:c r="AF14" s="56"/>
      <x:c r="AG14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14,AH14)</x:f>
        <x:v>30</x:v>
      </x:c>
      <x:c r="AH14" s="57" t="n">
        <x:v>30</x:v>
      </x:c>
      <x:c r="AI14" s="56" t="n">
        <x:v>30</x:v>
      </x:c>
      <x:c r="AJ14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14,AK14)</x:f>
        <x:v>30</x:v>
      </x:c>
      <x:c r="AK14" s="57" t="n">
        <x:v>30</x:v>
      </x:c>
      <x:c r="AL14" s="56" t="n">
        <x:v>30</x:v>
      </x:c>
      <x:c r="AM14" s="54" t="n">
        <x:f>IF(AND(AND(AL$57&lt;&gt;"",COUNT(AL6,AL8,AL9,AL11,AL12,AL13,AL14,AL15,AL16,AL18,AL21,AL23,AL28,AL30,AL31,AL32,AL33,AL38,AL39,AL40,AL41,AL42,AL43,AL44,AL45,AL46,AL47,AL48,AL49,AL50,AL51,AL52,AL57,AL60,AL61,AL62,AL63,AL64,AL69)=39)),AL14,AN14)</x:f>
        <x:v>30</x:v>
      </x:c>
      <x:c r="AN14" s="57" t="n">
        <x:v>30</x:v>
      </x:c>
    </x:row>
    <x:row r="15" ht="24" customHeight="1">
      <x:c r="A15" s="3" t="str">
        <x:v>Delivery resources available [count]</x:v>
      </x:c>
      <x:c r="B15" s="47" t="n">
        <x:f>IFERROR(SUM(AL15,AI15,AF15,AC15,Z15,W15,T15,Q15,N15,K15,H15,E15)/COUNT(AL15,AI15,AF15,AC15,Z15,W15,T15,Q15,N15,K15,H15,E15),"")</x:f>
        <x:v>3</x:v>
      </x:c>
      <x:c r="C15" s="48" t="n">
        <x:f>IFERROR(SUM(AM15,AJ15,AG15,AD15,AA15,X15,U15,R15,O15,L15,I15,F15)/COUNT(AM15,AJ15,AG15,AD15,AA15,X15,U15,R15,O15,L15,I15,F15),"")</x:f>
        <x:v>3</x:v>
      </x:c>
      <x:c r="D15" s="49" t="n">
        <x:f>IFERROR(SUM(AN15,AK15,AH15,AE15,AB15,Y15,V15,S15,P15,M15,J15,G15)/COUNT(AN15,AK15,AH15,AE15,AB15,Y15,V15,S15,P15,M15,J15,G15),"")</x:f>
        <x:v>3</x:v>
      </x:c>
      <x:c r="E15" s="50"/>
      <x:c r="F15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15,G15)</x:f>
        <x:v>3</x:v>
      </x:c>
      <x:c r="G15" s="51" t="n">
        <x:v>3</x:v>
      </x:c>
      <x:c r="H15" s="50"/>
      <x:c r="I15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15,J15)</x:f>
        <x:v>3</x:v>
      </x:c>
      <x:c r="J15" s="51" t="n">
        <x:v>3</x:v>
      </x:c>
      <x:c r="K15" s="50"/>
      <x:c r="L15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15,M15)</x:f>
        <x:v>3</x:v>
      </x:c>
      <x:c r="M15" s="51" t="n">
        <x:v>3</x:v>
      </x:c>
      <x:c r="N15" s="50"/>
      <x:c r="O15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15,P15)</x:f>
        <x:v>3</x:v>
      </x:c>
      <x:c r="P15" s="51" t="n">
        <x:v>3</x:v>
      </x:c>
      <x:c r="Q15" s="50"/>
      <x:c r="R15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15,S15)</x:f>
        <x:v>3</x:v>
      </x:c>
      <x:c r="S15" s="51" t="n">
        <x:v>3</x:v>
      </x:c>
      <x:c r="T15" s="50"/>
      <x:c r="U15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15,V15)</x:f>
        <x:v>3</x:v>
      </x:c>
      <x:c r="V15" s="51" t="n">
        <x:v>3</x:v>
      </x:c>
      <x:c r="W15" s="50"/>
      <x:c r="X15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15,Y15)</x:f>
        <x:v>3</x:v>
      </x:c>
      <x:c r="Y15" s="51" t="n">
        <x:v>3</x:v>
      </x:c>
      <x:c r="Z15" s="50"/>
      <x:c r="AA15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15,AB15)</x:f>
        <x:v>3</x:v>
      </x:c>
      <x:c r="AB15" s="51" t="n">
        <x:v>3</x:v>
      </x:c>
      <x:c r="AC15" s="50"/>
      <x:c r="AD15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15,AE15)</x:f>
        <x:v>3</x:v>
      </x:c>
      <x:c r="AE15" s="51" t="n">
        <x:v>3</x:v>
      </x:c>
      <x:c r="AF15" s="50"/>
      <x:c r="AG15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15,AH15)</x:f>
        <x:v>3</x:v>
      </x:c>
      <x:c r="AH15" s="51" t="n">
        <x:v>3</x:v>
      </x:c>
      <x:c r="AI15" s="50" t="n">
        <x:v>3</x:v>
      </x:c>
      <x:c r="AJ15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15,AK15)</x:f>
        <x:v>3</x:v>
      </x:c>
      <x:c r="AK15" s="51" t="n">
        <x:v>3</x:v>
      </x:c>
      <x:c r="AL15" s="50" t="n">
        <x:v>3</x:v>
      </x:c>
      <x:c r="AM15" s="48" t="n">
        <x:f>IF(AND(AND(AL$57&lt;&gt;"",COUNT(AL6,AL8,AL9,AL11,AL12,AL13,AL14,AL15,AL16,AL18,AL21,AL23,AL28,AL30,AL31,AL32,AL33,AL38,AL39,AL40,AL41,AL42,AL43,AL44,AL45,AL46,AL47,AL48,AL49,AL50,AL51,AL52,AL57,AL60,AL61,AL62,AL63,AL64,AL69)=39)),AL15,AN15)</x:f>
        <x:v>3</x:v>
      </x:c>
      <x:c r="AN15" s="51" t="n">
        <x:v>3</x:v>
      </x:c>
    </x:row>
    <x:row r="16" ht="24" customHeight="1">
      <x:c r="A16" s="3" t="str">
        <x:v>Delivery capacity per resource [contracts/month]</x:v>
      </x:c>
      <x:c r="B16" s="47" t="n">
        <x:f>IFERROR(SUM(AL16*AL15,AI16*AI15,AF16*AF15,AC16*AC15,Z16*Z15,W16*W15,T16*T15,Q16*Q15,N16*N15,K16*K15,H16*H15,E16*E15)/SUM(AL15,AI15,AF15,AC15,Z15,W15,T15,Q15,N15,K15,H15,E15),"")</x:f>
        <x:v>8</x:v>
      </x:c>
      <x:c r="C16" s="48" t="n">
        <x:f>IFERROR(SUM(AM16*AM15,AJ16*AJ15,AG16*AG15,AD16*AD15,AA16*AA15,X16*X15,U16*U15,R16*R15,O16*O15,L16*L15,I16*I15,F16*F15)/SUM(AM15,AJ15,AG15,AD15,AA15,X15,U15,R15,O15,L15,I15,F15),"")</x:f>
        <x:v>8</x:v>
      </x:c>
      <x:c r="D16" s="49" t="n">
        <x:f>IFERROR(SUM(AN16*AN15,AK16*AK15,AH16*AH15,AE16*AE15,AB16*AB15,Y16*Y15,V16*V15,S16*S15,P16*P15,M16*M15,J16*J15,G16*G15)/SUM(AN15,AK15,AH15,AE15,AB15,Y15,V15,S15,P15,M15,J15,G15),"")</x:f>
        <x:v>8</x:v>
      </x:c>
      <x:c r="E16" s="50"/>
      <x:c r="F1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16,G16)</x:f>
        <x:v>8</x:v>
      </x:c>
      <x:c r="G16" s="51" t="n">
        <x:v>8</x:v>
      </x:c>
      <x:c r="H16" s="50"/>
      <x:c r="I1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16,J16)</x:f>
        <x:v>8</x:v>
      </x:c>
      <x:c r="J16" s="51" t="n">
        <x:v>8</x:v>
      </x:c>
      <x:c r="K16" s="50"/>
      <x:c r="L1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16,M16)</x:f>
        <x:v>8</x:v>
      </x:c>
      <x:c r="M16" s="51" t="n">
        <x:v>8</x:v>
      </x:c>
      <x:c r="N16" s="50"/>
      <x:c r="O1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16,P16)</x:f>
        <x:v>8</x:v>
      </x:c>
      <x:c r="P16" s="51" t="n">
        <x:v>8</x:v>
      </x:c>
      <x:c r="Q16" s="50"/>
      <x:c r="R1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16,S16)</x:f>
        <x:v>8</x:v>
      </x:c>
      <x:c r="S16" s="51" t="n">
        <x:v>8</x:v>
      </x:c>
      <x:c r="T16" s="50"/>
      <x:c r="U1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16,V16)</x:f>
        <x:v>8</x:v>
      </x:c>
      <x:c r="V16" s="51" t="n">
        <x:v>8</x:v>
      </x:c>
      <x:c r="W16" s="50"/>
      <x:c r="X1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16,Y16)</x:f>
        <x:v>8</x:v>
      </x:c>
      <x:c r="Y16" s="51" t="n">
        <x:v>8</x:v>
      </x:c>
      <x:c r="Z16" s="50"/>
      <x:c r="AA1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16,AB16)</x:f>
        <x:v>8</x:v>
      </x:c>
      <x:c r="AB16" s="51" t="n">
        <x:v>8</x:v>
      </x:c>
      <x:c r="AC16" s="50"/>
      <x:c r="AD1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16,AE16)</x:f>
        <x:v>8</x:v>
      </x:c>
      <x:c r="AE16" s="51" t="n">
        <x:v>8</x:v>
      </x:c>
      <x:c r="AF16" s="50"/>
      <x:c r="AG1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16,AH16)</x:f>
        <x:v>8</x:v>
      </x:c>
      <x:c r="AH16" s="51" t="n">
        <x:v>8</x:v>
      </x:c>
      <x:c r="AI16" s="50" t="n">
        <x:v>8</x:v>
      </x:c>
      <x:c r="AJ16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16,AK16)</x:f>
        <x:v>8</x:v>
      </x:c>
      <x:c r="AK16" s="51" t="n">
        <x:v>8</x:v>
      </x:c>
      <x:c r="AL16" s="50" t="n">
        <x:v>8</x:v>
      </x:c>
      <x:c r="AM16" s="48" t="n">
        <x:f>IF(AND(AND(AL$57&lt;&gt;"",COUNT(AL6,AL8,AL9,AL11,AL12,AL13,AL14,AL15,AL16,AL18,AL21,AL23,AL28,AL30,AL31,AL32,AL33,AL38,AL39,AL40,AL41,AL42,AL43,AL44,AL45,AL46,AL47,AL48,AL49,AL50,AL51,AL52,AL57,AL60,AL61,AL62,AL63,AL64,AL69)=39)),AL16,AN16)</x:f>
        <x:v>8</x:v>
      </x:c>
      <x:c r="AN16" s="51" t="n">
        <x:v>8</x:v>
      </x:c>
    </x:row>
    <x:row r="17" ht="24" customHeight="1">
      <x:c r="A17" s="3" t="str">
        <x:v>Total delivery capacity [contracts/month]</x:v>
      </x:c>
      <x:c r="B17" s="47" t="n">
        <x:f>SUM(AL17,AI17,AF17,AC17,Z17,W17,T17,Q17,N17,K17,H17,E17)</x:f>
        <x:v>48</x:v>
      </x:c>
      <x:c r="C17" s="48" t="n">
        <x:f>SUM(AM17,AJ17,AG17,AD17,AA17,X17,U17,R17,O17,L17,I17,F17)</x:f>
        <x:v>288</x:v>
      </x:c>
      <x:c r="D17" s="49" t="n">
        <x:f>SUM(AN17,AK17,AH17,AE17,AB17,Y17,V17,S17,P17,M17,J17,G17)</x:f>
        <x:v>288</x:v>
      </x:c>
      <x:c r="E17" s="47" t="str">
        <x:f>IF(COUNT(E15,E16)=2,E15*E16,"")</x:f>
      </x:c>
      <x:c r="F17" s="48" t="n">
        <x:f>F15*F16</x:f>
        <x:v>24</x:v>
      </x:c>
      <x:c r="G17" s="49" t="n">
        <x:f>G15*G16</x:f>
        <x:v>24</x:v>
      </x:c>
      <x:c r="H17" s="47" t="str">
        <x:f>IF(COUNT(H15,H16)=2,H15*H16,"")</x:f>
      </x:c>
      <x:c r="I17" s="48" t="n">
        <x:f>I15*I16</x:f>
        <x:v>24</x:v>
      </x:c>
      <x:c r="J17" s="49" t="n">
        <x:f>J15*J16</x:f>
        <x:v>24</x:v>
      </x:c>
      <x:c r="K17" s="47" t="str">
        <x:f>IF(COUNT(K15,K16)=2,K15*K16,"")</x:f>
      </x:c>
      <x:c r="L17" s="48" t="n">
        <x:f>L15*L16</x:f>
        <x:v>24</x:v>
      </x:c>
      <x:c r="M17" s="49" t="n">
        <x:f>M15*M16</x:f>
        <x:v>24</x:v>
      </x:c>
      <x:c r="N17" s="47" t="str">
        <x:f>IF(COUNT(N15,N16)=2,N15*N16,"")</x:f>
      </x:c>
      <x:c r="O17" s="48" t="n">
        <x:f>O15*O16</x:f>
        <x:v>24</x:v>
      </x:c>
      <x:c r="P17" s="49" t="n">
        <x:f>P15*P16</x:f>
        <x:v>24</x:v>
      </x:c>
      <x:c r="Q17" s="47" t="str">
        <x:f>IF(COUNT(Q15,Q16)=2,Q15*Q16,"")</x:f>
      </x:c>
      <x:c r="R17" s="48" t="n">
        <x:f>R15*R16</x:f>
        <x:v>24</x:v>
      </x:c>
      <x:c r="S17" s="49" t="n">
        <x:f>S15*S16</x:f>
        <x:v>24</x:v>
      </x:c>
      <x:c r="T17" s="47" t="str">
        <x:f>IF(COUNT(T15,T16)=2,T15*T16,"")</x:f>
      </x:c>
      <x:c r="U17" s="48" t="n">
        <x:f>U15*U16</x:f>
        <x:v>24</x:v>
      </x:c>
      <x:c r="V17" s="49" t="n">
        <x:f>V15*V16</x:f>
        <x:v>24</x:v>
      </x:c>
      <x:c r="W17" s="47" t="str">
        <x:f>IF(COUNT(W15,W16)=2,W15*W16,"")</x:f>
      </x:c>
      <x:c r="X17" s="48" t="n">
        <x:f>X15*X16</x:f>
        <x:v>24</x:v>
      </x:c>
      <x:c r="Y17" s="49" t="n">
        <x:f>Y15*Y16</x:f>
        <x:v>24</x:v>
      </x:c>
      <x:c r="Z17" s="47" t="str">
        <x:f>IF(COUNT(Z15,Z16)=2,Z15*Z16,"")</x:f>
      </x:c>
      <x:c r="AA17" s="48" t="n">
        <x:f>AA15*AA16</x:f>
        <x:v>24</x:v>
      </x:c>
      <x:c r="AB17" s="49" t="n">
        <x:f>AB15*AB16</x:f>
        <x:v>24</x:v>
      </x:c>
      <x:c r="AC17" s="47" t="str">
        <x:f>IF(COUNT(AC15,AC16)=2,AC15*AC16,"")</x:f>
      </x:c>
      <x:c r="AD17" s="48" t="n">
        <x:f>AD15*AD16</x:f>
        <x:v>24</x:v>
      </x:c>
      <x:c r="AE17" s="49" t="n">
        <x:f>AE15*AE16</x:f>
        <x:v>24</x:v>
      </x:c>
      <x:c r="AF17" s="47" t="str">
        <x:f>IF(COUNT(AF15,AF16)=2,AF15*AF16,"")</x:f>
      </x:c>
      <x:c r="AG17" s="48" t="n">
        <x:f>AG15*AG16</x:f>
        <x:v>24</x:v>
      </x:c>
      <x:c r="AH17" s="49" t="n">
        <x:f>AH15*AH16</x:f>
        <x:v>24</x:v>
      </x:c>
      <x:c r="AI17" s="47" t="n">
        <x:f>IF(COUNT(AI15,AI16)=2,AI15*AI16,"")</x:f>
        <x:v>24</x:v>
      </x:c>
      <x:c r="AJ17" s="48" t="n">
        <x:f>AJ15*AJ16</x:f>
        <x:v>24</x:v>
      </x:c>
      <x:c r="AK17" s="49" t="n">
        <x:f>AK15*AK16</x:f>
        <x:v>24</x:v>
      </x:c>
      <x:c r="AL17" s="47" t="n">
        <x:f>IF(COUNT(AL15,AL16)=2,AL15*AL16,"")</x:f>
        <x:v>24</x:v>
      </x:c>
      <x:c r="AM17" s="48" t="n">
        <x:f>AM15*AM16</x:f>
        <x:v>24</x:v>
      </x:c>
      <x:c r="AN17" s="49" t="n">
        <x:f>AN15*AN16</x:f>
        <x:v>24</x:v>
      </x:c>
    </x:row>
    <x:row r="18" ht="24" customHeight="1">
      <x:c r="A18" s="3" t="str">
        <x:v>Variable cost per completed contract [$]</x:v>
      </x:c>
      <x:c r="B18" s="61" t="n">
        <x:f>IFERROR(SUM(AL18*AL21,AI18*AI21,AF18*AF21,AC18*AC21,Z18*Z21,W18*W21,T18*T21,Q18*Q21,N18*N21,K18*K21,H18*H21,E18*E21)/SUM(AL21,AI21,AF21,AC21,Z21,W21,T21,Q21,N21,K21,H21,E21),"")</x:f>
        <x:v>1000</x:v>
      </x:c>
      <x:c r="C18" s="62" t="n">
        <x:f>IFERROR(SUM(AM18*AM21,AJ18*AJ21,AG18*AG21,AD18*AD21,AA18*AA21,X18*X21,U18*U21,R18*R21,O18*O21,L18*L21,I18*I21,F18*F21)/SUM(AM21,AJ21,AG21,AD21,AA21,X21,U21,R21,O21,L21,I21,F21),"")</x:f>
        <x:v>1000</x:v>
      </x:c>
      <x:c r="D18" s="63" t="n">
        <x:f>IFERROR(SUM(AN18*AN21,AK18*AK21,AH18*AH21,AE18*AE21,AB18*AB21,Y18*Y21,V18*V21,S18*S21,P18*P21,M18*M21,J18*J21,G18*G21)/SUM(AN21,AK21,AH21,AE21,AB21,Y21,V21,S21,P21,M21,J21,G21),"")</x:f>
        <x:v>1000</x:v>
      </x:c>
      <x:c r="E18" s="64"/>
      <x:c r="F1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18,G18)</x:f>
        <x:v>1000</x:v>
      </x:c>
      <x:c r="G18" s="65" t="n">
        <x:v>1000</x:v>
      </x:c>
      <x:c r="H18" s="64"/>
      <x:c r="I1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18,J18)</x:f>
        <x:v>1000</x:v>
      </x:c>
      <x:c r="J18" s="65" t="n">
        <x:v>1000</x:v>
      </x:c>
      <x:c r="K18" s="64"/>
      <x:c r="L1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18,M18)</x:f>
        <x:v>1000</x:v>
      </x:c>
      <x:c r="M18" s="65" t="n">
        <x:v>1000</x:v>
      </x:c>
      <x:c r="N18" s="64"/>
      <x:c r="O1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18,P18)</x:f>
        <x:v>1000</x:v>
      </x:c>
      <x:c r="P18" s="65" t="n">
        <x:v>1000</x:v>
      </x:c>
      <x:c r="Q18" s="64"/>
      <x:c r="R1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18,S18)</x:f>
        <x:v>1000</x:v>
      </x:c>
      <x:c r="S18" s="65" t="n">
        <x:v>1000</x:v>
      </x:c>
      <x:c r="T18" s="64"/>
      <x:c r="U1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18,V18)</x:f>
        <x:v>1000</x:v>
      </x:c>
      <x:c r="V18" s="65" t="n">
        <x:v>1000</x:v>
      </x:c>
      <x:c r="W18" s="64"/>
      <x:c r="X1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18,Y18)</x:f>
        <x:v>1000</x:v>
      </x:c>
      <x:c r="Y18" s="65" t="n">
        <x:v>1000</x:v>
      </x:c>
      <x:c r="Z18" s="64"/>
      <x:c r="AA1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18,AB18)</x:f>
        <x:v>1000</x:v>
      </x:c>
      <x:c r="AB18" s="65" t="n">
        <x:v>1000</x:v>
      </x:c>
      <x:c r="AC18" s="64"/>
      <x:c r="AD1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18,AE18)</x:f>
        <x:v>1000</x:v>
      </x:c>
      <x:c r="AE18" s="65" t="n">
        <x:v>1000</x:v>
      </x:c>
      <x:c r="AF18" s="64"/>
      <x:c r="AG1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18,AH18)</x:f>
        <x:v>1000</x:v>
      </x:c>
      <x:c r="AH18" s="65" t="n">
        <x:v>1000</x:v>
      </x:c>
      <x:c r="AI18" s="64" t="n">
        <x:v>1000</x:v>
      </x:c>
      <x:c r="AJ1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18,AK18)</x:f>
        <x:v>1000</x:v>
      </x:c>
      <x:c r="AK18" s="65" t="n">
        <x:v>1000</x:v>
      </x:c>
      <x:c r="AL18" s="64" t="n">
        <x:v>1000</x:v>
      </x:c>
      <x:c r="AM18" s="62" t="n">
        <x:f>IF(AND(AND(AL$57&lt;&gt;"",COUNT(AL6,AL8,AL9,AL11,AL12,AL13,AL14,AL15,AL16,AL18,AL21,AL23,AL28,AL30,AL31,AL32,AL33,AL38,AL39,AL40,AL41,AL42,AL43,AL44,AL45,AL46,AL47,AL48,AL49,AL50,AL51,AL52,AL57,AL60,AL61,AL62,AL63,AL64,AL69)=39)),AL18,AN18)</x:f>
        <x:v>1000</x:v>
      </x:c>
      <x:c r="AN18" s="65" t="n">
        <x:v>1000</x:v>
      </x:c>
    </x:row>
    <x:row r="19" ht="24" customHeight="1">
      <x:c r="A19" s="3" t="str">
        <x:v>Opening delivery backlog [contracts]</x:v>
      </x:c>
      <x:c r="B19" s="47" t="n">
        <x:f>AL19</x:f>
        <x:v>5</x:v>
      </x:c>
      <x:c r="C19" s="48" t="n">
        <x:f>AM19</x:f>
        <x:v>5</x:v>
      </x:c>
      <x:c r="D19" s="49" t="n">
        <x:f>AN19</x:f>
        <x:v>5</x:v>
      </x:c>
      <x:c r="E19" s="47" t="str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22,"")</x:f>
      </x:c>
      <x:c r="F1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22,I22)</x:f>
        <x:v>0</x:v>
      </x:c>
      <x:c r="G19" s="49" t="n">
        <x:f>J22</x:f>
        <x:v>0</x:v>
      </x:c>
      <x:c r="H19" s="47" t="str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22,"")</x:f>
      </x:c>
      <x:c r="I1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22,L22)</x:f>
        <x:v>0</x:v>
      </x:c>
      <x:c r="J19" s="49" t="n">
        <x:f>M22</x:f>
        <x:v>0</x:v>
      </x:c>
      <x:c r="K19" s="47" t="str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22,"")</x:f>
      </x:c>
      <x:c r="L1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22,O22)</x:f>
        <x:v>0</x:v>
      </x:c>
      <x:c r="M19" s="49" t="n">
        <x:f>P22</x:f>
        <x:v>0</x:v>
      </x:c>
      <x:c r="N19" s="47" t="str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22,"")</x:f>
      </x:c>
      <x:c r="O1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22,R22)</x:f>
        <x:v>0</x:v>
      </x:c>
      <x:c r="P19" s="49" t="n">
        <x:f>S22</x:f>
        <x:v>0</x:v>
      </x:c>
      <x:c r="Q19" s="47" t="str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22,"")</x:f>
      </x:c>
      <x:c r="R1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22,U22)</x:f>
        <x:v>0</x:v>
      </x:c>
      <x:c r="S19" s="49" t="n">
        <x:f>V22</x:f>
        <x:v>0</x:v>
      </x:c>
      <x:c r="T19" s="47" t="str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22,"")</x:f>
      </x:c>
      <x:c r="U1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22,X22)</x:f>
        <x:v>0</x:v>
      </x:c>
      <x:c r="V19" s="49" t="n">
        <x:f>Y22</x:f>
        <x:v>0</x:v>
      </x:c>
      <x:c r="W19" s="47" t="str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22,"")</x:f>
      </x:c>
      <x:c r="X1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22,AA22)</x:f>
        <x:v>0</x:v>
      </x:c>
      <x:c r="Y19" s="49" t="n">
        <x:f>AB22</x:f>
        <x:v>0</x:v>
      </x:c>
      <x:c r="Z19" s="47" t="str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22,"")</x:f>
      </x:c>
      <x:c r="AA1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22,AD22)</x:f>
        <x:v>0</x:v>
      </x:c>
      <x:c r="AB19" s="49" t="n">
        <x:f>AE22</x:f>
        <x:v>0</x:v>
      </x:c>
      <x:c r="AC19" s="47" t="str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22,"")</x:f>
      </x:c>
      <x:c r="AD1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22,AG22)</x:f>
        <x:v>0</x:v>
      </x:c>
      <x:c r="AE19" s="49" t="n">
        <x:f>AH22</x:f>
        <x:v>0</x:v>
      </x:c>
      <x:c r="AF19" s="47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22,"")</x:f>
        <x:v>0</x:v>
      </x:c>
      <x:c r="AG19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22,AJ22)</x:f>
        <x:v>0</x:v>
      </x:c>
      <x:c r="AH19" s="49" t="n">
        <x:f>AK22</x:f>
        <x:v>0</x:v>
      </x:c>
      <x:c r="AI19" s="47" t="n">
        <x:f>IF(AND(AND(AL$57&lt;&gt;"",COUNT(AL6,AL8,AL9,AL11,AL12,AL13,AL14,AL15,AL16,AL18,AL21,AL23,AL28,AL30,AL31,AL32,AL33,AL38,AL39,AL40,AL41,AL42,AL43,AL44,AL45,AL46,AL47,AL48,AL49,AL50,AL51,AL52,AL57,AL60,AL61,AL62,AL63,AL64,AL69)=39)),AL22,"")</x:f>
        <x:v>3</x:v>
      </x:c>
      <x:c r="AJ19" s="48" t="n">
        <x:f>IF(AND(AND(AL$57&lt;&gt;"",COUNT(AL6,AL8,AL9,AL11,AL12,AL13,AL14,AL15,AL16,AL18,AL21,AL23,AL28,AL30,AL31,AL32,AL33,AL38,AL39,AL40,AL41,AL42,AL43,AL44,AL45,AL46,AL47,AL48,AL49,AL50,AL51,AL52,AL57,AL60,AL61,AL62,AL63,AL64,AL69)=39)),AL22,AM22)</x:f>
        <x:v>3</x:v>
      </x:c>
      <x:c r="AK19" s="49" t="n">
        <x:f>AN22</x:f>
        <x:v>0</x:v>
      </x:c>
      <x:c r="AL19" s="47" t="n">
        <x:f>$AL$79</x:f>
        <x:v>5</x:v>
      </x:c>
      <x:c r="AM19" s="48" t="n">
        <x:f>$AL$79</x:f>
        <x:v>5</x:v>
      </x:c>
      <x:c r="AN19" s="49" t="n">
        <x:f>$AL$79</x:f>
        <x:v>5</x:v>
      </x:c>
    </x:row>
    <x:row r="20" ht="24" customHeight="1">
      <x:c r="A20" s="3" t="str">
        <x:v>Contracts scheduled for completion [count]</x:v>
      </x:c>
      <x:c r="B20" s="47" t="n">
        <x:f>SUM(AL20,AI20,AF20,AC20,Z20,W20,T20,Q20,N20,K20,H20,E20)</x:f>
        <x:v>25</x:v>
      </x:c>
      <x:c r="C20" s="48" t="n">
        <x:f>SUM(AM20,AJ20,AG20,AD20,AA20,X20,U20,R20,O20,L20,I20,F20)</x:f>
        <x:v>125</x:v>
      </x:c>
      <x:c r="D20" s="49" t="n">
        <x:f>SUM(AN20,AK20,AH20,AE20,AB20,Y20,V20,S20,P20,M20,J20,G20)</x:f>
        <x:v>132</x:v>
      </x:c>
      <x:c r="E20" s="47" t="n">
        <x:f>ROUND(SUM(IF(AND(AL$12&lt;&gt;"",AL$14&lt;&gt;""),IF(EOMONTH($AL$3+INT((DAY(EOMONTH($AL$3,0))-1)/2)+AL$14,0)=EOMONTH($E$3,0),AL$12,0),0),IF(AND(AI$12&lt;&gt;"",AI$14&lt;&gt;""),IF(EOMONTH($AI$3+INT((DAY(EOMONTH($AI$3,0))-1)/2)+AI$14,0)=EOMONTH($E$3,0),AI$12,0),0),IF(AND(AF$12&lt;&gt;"",AF$14&lt;&gt;""),IF(EOMONTH($AF$3+INT((DAY(EOMONTH($AF$3,0))-1)/2)+AF$14,0)=EOMONTH($E$3,0),AF$12,0),0),IF(AND(AC$12&lt;&gt;"",AC$14&lt;&gt;""),IF(EOMONTH($AC$3+INT((DAY(EOMONTH($AC$3,0))-1)/2)+AC$14,0)=EOMONTH($E$3,0),AC$12,0),0),IF(AND(Z$12&lt;&gt;"",Z$14&lt;&gt;""),IF(EOMONTH($Z$3+INT((DAY(EOMONTH($Z$3,0))-1)/2)+Z$14,0)=EOMONTH($E$3,0),Z$12,0),0),IF(AND(W$12&lt;&gt;"",W$14&lt;&gt;""),IF(EOMONTH($W$3+INT((DAY(EOMONTH($W$3,0))-1)/2)+W$14,0)=EOMONTH($E$3,0),W$12,0),0),IF(AND(T$12&lt;&gt;"",T$14&lt;&gt;""),IF(EOMONTH($T$3+INT((DAY(EOMONTH($T$3,0))-1)/2)+T$14,0)=EOMONTH($E$3,0),T$12,0),0),IF(AND(Q$12&lt;&gt;"",Q$14&lt;&gt;""),IF(EOMONTH($Q$3+INT((DAY(EOMONTH($Q$3,0))-1)/2)+Q$14,0)=EOMONTH($E$3,0),Q$12,0),0),IF(AND(N$12&lt;&gt;"",N$14&lt;&gt;""),IF(EOMONTH($N$3+INT((DAY(EOMONTH($N$3,0))-1)/2)+N$14,0)=EOMONTH($E$3,0),N$12,0),0),IF(AND(K$12&lt;&gt;"",K$14&lt;&gt;""),IF(EOMONTH($K$3+INT((DAY(EOMONTH($K$3,0))-1)/2)+K$14,0)=EOMONTH($E$3,0),K$12,0),0),IF(AND(H$12&lt;&gt;"",H$14&lt;&gt;""),IF(EOMONTH($H$3+INT((DAY(EOMONTH($H$3,0))-1)/2)+H$14,0)=EOMONTH($E$3,0),H$12,0),0),IF(AND(E$12&lt;&gt;"",E$14&lt;&gt;""),IF(EOMONTH($E$3+INT((DAY(EOMONTH($E$3,0))-1)/2)+E$14,0)=EOMONTH($E$3,0),E$12,0),0),IF(EOMONTH($AL$75+AL$14,0)=EOMONTH($E$3,0),$AL$77,0)),0)</x:f>
        <x:v>0</x:v>
      </x:c>
      <x:c r="F20" s="48" t="n">
        <x:f>ROUND(SUM(IF(AND(AM$12&lt;&gt;"",AM$14&lt;&gt;""),IF(EOMONTH($AL$3+INT((DAY(EOMONTH($AL$3,0))-1)/2)+AM$14,0)=EOMONTH($E$3,0),AM$12,0),0),IF(AND(AJ$12&lt;&gt;"",AJ$14&lt;&gt;""),IF(EOMONTH($AI$3+INT((DAY(EOMONTH($AI$3,0))-1)/2)+AJ$14,0)=EOMONTH($E$3,0),AJ$12,0),0),IF(AND(AG$12&lt;&gt;"",AG$14&lt;&gt;""),IF(EOMONTH($AF$3+INT((DAY(EOMONTH($AF$3,0))-1)/2)+AG$14,0)=EOMONTH($E$3,0),AG$12,0),0),IF(AND(AD$12&lt;&gt;"",AD$14&lt;&gt;""),IF(EOMONTH($AC$3+INT((DAY(EOMONTH($AC$3,0))-1)/2)+AD$14,0)=EOMONTH($E$3,0),AD$12,0),0),IF(AND(AA$12&lt;&gt;"",AA$14&lt;&gt;""),IF(EOMONTH($Z$3+INT((DAY(EOMONTH($Z$3,0))-1)/2)+AA$14,0)=EOMONTH($E$3,0),AA$12,0),0),IF(AND(X$12&lt;&gt;"",X$14&lt;&gt;""),IF(EOMONTH($W$3+INT((DAY(EOMONTH($W$3,0))-1)/2)+X$14,0)=EOMONTH($E$3,0),X$12,0),0),IF(AND(U$12&lt;&gt;"",U$14&lt;&gt;""),IF(EOMONTH($T$3+INT((DAY(EOMONTH($T$3,0))-1)/2)+U$14,0)=EOMONTH($E$3,0),U$12,0),0),IF(AND(R$12&lt;&gt;"",R$14&lt;&gt;""),IF(EOMONTH($Q$3+INT((DAY(EOMONTH($Q$3,0))-1)/2)+R$14,0)=EOMONTH($E$3,0),R$12,0),0),IF(AND(O$12&lt;&gt;"",O$14&lt;&gt;""),IF(EOMONTH($N$3+INT((DAY(EOMONTH($N$3,0))-1)/2)+O$14,0)=EOMONTH($E$3,0),O$12,0),0),IF(AND(L$12&lt;&gt;"",L$14&lt;&gt;""),IF(EOMONTH($K$3+INT((DAY(EOMONTH($K$3,0))-1)/2)+L$14,0)=EOMONTH($E$3,0),L$12,0),0),IF(AND(I$12&lt;&gt;"",I$14&lt;&gt;""),IF(EOMONTH($H$3+INT((DAY(EOMONTH($H$3,0))-1)/2)+I$14,0)=EOMONTH($E$3,0),I$12,0),0),IF(AND(F$12&lt;&gt;"",F$14&lt;&gt;""),IF(EOMONTH($E$3+INT((DAY(EOMONTH($E$3,0))-1)/2)+F$14,0)=EOMONTH($E$3,0),F$12,0),0),IF(EOMONTH($AL$75+AM$14,0)=EOMONTH($E$3,0),$AL$77,0)),0)</x:f>
        <x:v>12</x:v>
      </x:c>
      <x:c r="G20" s="49" t="n">
        <x:f>ROUND(SUM(IF(AND(AN$12&lt;&gt;"",AN$14&lt;&gt;""),IF(EOMONTH($AL$3+INT((DAY(EOMONTH($AL$3,0))-1)/2)+AN$14,0)=EOMONTH($E$3,0),AN$12,0),0),IF(AND(AK$12&lt;&gt;"",AK$14&lt;&gt;""),IF(EOMONTH($AI$3+INT((DAY(EOMONTH($AI$3,0))-1)/2)+AK$14,0)=EOMONTH($E$3,0),AK$12,0),0),IF(AND(AH$12&lt;&gt;"",AH$14&lt;&gt;""),IF(EOMONTH($AF$3+INT((DAY(EOMONTH($AF$3,0))-1)/2)+AH$14,0)=EOMONTH($E$3,0),AH$12,0),0),IF(AND(AE$12&lt;&gt;"",AE$14&lt;&gt;""),IF(EOMONTH($AC$3+INT((DAY(EOMONTH($AC$3,0))-1)/2)+AE$14,0)=EOMONTH($E$3,0),AE$12,0),0),IF(AND(AB$12&lt;&gt;"",AB$14&lt;&gt;""),IF(EOMONTH($Z$3+INT((DAY(EOMONTH($Z$3,0))-1)/2)+AB$14,0)=EOMONTH($E$3,0),AB$12,0),0),IF(AND(Y$12&lt;&gt;"",Y$14&lt;&gt;""),IF(EOMONTH($W$3+INT((DAY(EOMONTH($W$3,0))-1)/2)+Y$14,0)=EOMONTH($E$3,0),Y$12,0),0),IF(AND(V$12&lt;&gt;"",V$14&lt;&gt;""),IF(EOMONTH($T$3+INT((DAY(EOMONTH($T$3,0))-1)/2)+V$14,0)=EOMONTH($E$3,0),V$12,0),0),IF(AND(S$12&lt;&gt;"",S$14&lt;&gt;""),IF(EOMONTH($Q$3+INT((DAY(EOMONTH($Q$3,0))-1)/2)+S$14,0)=EOMONTH($E$3,0),S$12,0),0),IF(AND(P$12&lt;&gt;"",P$14&lt;&gt;""),IF(EOMONTH($N$3+INT((DAY(EOMONTH($N$3,0))-1)/2)+P$14,0)=EOMONTH($E$3,0),P$12,0),0),IF(AND(M$12&lt;&gt;"",M$14&lt;&gt;""),IF(EOMONTH($K$3+INT((DAY(EOMONTH($K$3,0))-1)/2)+M$14,0)=EOMONTH($E$3,0),M$12,0),0),IF(AND(J$12&lt;&gt;"",J$14&lt;&gt;""),IF(EOMONTH($H$3+INT((DAY(EOMONTH($H$3,0))-1)/2)+J$14,0)=EOMONTH($E$3,0),J$12,0),0),IF(AND(G$12&lt;&gt;"",G$14&lt;&gt;""),IF(EOMONTH($E$3+INT((DAY(EOMONTH($E$3,0))-1)/2)+G$14,0)=EOMONTH($E$3,0),G$12,0),0),IF(EOMONTH($AL$75+AN$14,0)=EOMONTH($E$3,0),$AL$77,0)),0)</x:f>
        <x:v>12</x:v>
      </x:c>
      <x:c r="H20" s="47" t="n">
        <x:f>ROUND(SUM(IF(AND(AL$12&lt;&gt;"",AL$14&lt;&gt;""),IF(EOMONTH($AL$3+INT((DAY(EOMONTH($AL$3,0))-1)/2)+AL$14,0)=EOMONTH($H$3,0),AL$12,0),0),IF(AND(AI$12&lt;&gt;"",AI$14&lt;&gt;""),IF(EOMONTH($AI$3+INT((DAY(EOMONTH($AI$3,0))-1)/2)+AI$14,0)=EOMONTH($H$3,0),AI$12,0),0),IF(AND(AF$12&lt;&gt;"",AF$14&lt;&gt;""),IF(EOMONTH($AF$3+INT((DAY(EOMONTH($AF$3,0))-1)/2)+AF$14,0)=EOMONTH($H$3,0),AF$12,0),0),IF(AND(AC$12&lt;&gt;"",AC$14&lt;&gt;""),IF(EOMONTH($AC$3+INT((DAY(EOMONTH($AC$3,0))-1)/2)+AC$14,0)=EOMONTH($H$3,0),AC$12,0),0),IF(AND(Z$12&lt;&gt;"",Z$14&lt;&gt;""),IF(EOMONTH($Z$3+INT((DAY(EOMONTH($Z$3,0))-1)/2)+Z$14,0)=EOMONTH($H$3,0),Z$12,0),0),IF(AND(W$12&lt;&gt;"",W$14&lt;&gt;""),IF(EOMONTH($W$3+INT((DAY(EOMONTH($W$3,0))-1)/2)+W$14,0)=EOMONTH($H$3,0),W$12,0),0),IF(AND(T$12&lt;&gt;"",T$14&lt;&gt;""),IF(EOMONTH($T$3+INT((DAY(EOMONTH($T$3,0))-1)/2)+T$14,0)=EOMONTH($H$3,0),T$12,0),0),IF(AND(Q$12&lt;&gt;"",Q$14&lt;&gt;""),IF(EOMONTH($Q$3+INT((DAY(EOMONTH($Q$3,0))-1)/2)+Q$14,0)=EOMONTH($H$3,0),Q$12,0),0),IF(AND(N$12&lt;&gt;"",N$14&lt;&gt;""),IF(EOMONTH($N$3+INT((DAY(EOMONTH($N$3,0))-1)/2)+N$14,0)=EOMONTH($H$3,0),N$12,0),0),IF(AND(K$12&lt;&gt;"",K$14&lt;&gt;""),IF(EOMONTH($K$3+INT((DAY(EOMONTH($K$3,0))-1)/2)+K$14,0)=EOMONTH($H$3,0),K$12,0),0),IF(AND(H$12&lt;&gt;"",H$14&lt;&gt;""),IF(EOMONTH($H$3+INT((DAY(EOMONTH($H$3,0))-1)/2)+H$14,0)=EOMONTH($H$3,0),H$12,0),0),IF(AND(E$12&lt;&gt;"",E$14&lt;&gt;""),IF(EOMONTH($E$3+INT((DAY(EOMONTH($E$3,0))-1)/2)+E$14,0)=EOMONTH($H$3,0),E$12,0),0),IF(EOMONTH($AL$75+AL$14,0)=EOMONTH($H$3,0),$AL$77,0)),0)</x:f>
        <x:v>0</x:v>
      </x:c>
      <x:c r="I20" s="48" t="n">
        <x:f>ROUND(SUM(IF(AND(AM$12&lt;&gt;"",AM$14&lt;&gt;""),IF(EOMONTH($AL$3+INT((DAY(EOMONTH($AL$3,0))-1)/2)+AM$14,0)=EOMONTH($H$3,0),AM$12,0),0),IF(AND(AJ$12&lt;&gt;"",AJ$14&lt;&gt;""),IF(EOMONTH($AI$3+INT((DAY(EOMONTH($AI$3,0))-1)/2)+AJ$14,0)=EOMONTH($H$3,0),AJ$12,0),0),IF(AND(AG$12&lt;&gt;"",AG$14&lt;&gt;""),IF(EOMONTH($AF$3+INT((DAY(EOMONTH($AF$3,0))-1)/2)+AG$14,0)=EOMONTH($H$3,0),AG$12,0),0),IF(AND(AD$12&lt;&gt;"",AD$14&lt;&gt;""),IF(EOMONTH($AC$3+INT((DAY(EOMONTH($AC$3,0))-1)/2)+AD$14,0)=EOMONTH($H$3,0),AD$12,0),0),IF(AND(AA$12&lt;&gt;"",AA$14&lt;&gt;""),IF(EOMONTH($Z$3+INT((DAY(EOMONTH($Z$3,0))-1)/2)+AA$14,0)=EOMONTH($H$3,0),AA$12,0),0),IF(AND(X$12&lt;&gt;"",X$14&lt;&gt;""),IF(EOMONTH($W$3+INT((DAY(EOMONTH($W$3,0))-1)/2)+X$14,0)=EOMONTH($H$3,0),X$12,0),0),IF(AND(U$12&lt;&gt;"",U$14&lt;&gt;""),IF(EOMONTH($T$3+INT((DAY(EOMONTH($T$3,0))-1)/2)+U$14,0)=EOMONTH($H$3,0),U$12,0),0),IF(AND(R$12&lt;&gt;"",R$14&lt;&gt;""),IF(EOMONTH($Q$3+INT((DAY(EOMONTH($Q$3,0))-1)/2)+R$14,0)=EOMONTH($H$3,0),R$12,0),0),IF(AND(O$12&lt;&gt;"",O$14&lt;&gt;""),IF(EOMONTH($N$3+INT((DAY(EOMONTH($N$3,0))-1)/2)+O$14,0)=EOMONTH($H$3,0),O$12,0),0),IF(AND(L$12&lt;&gt;"",L$14&lt;&gt;""),IF(EOMONTH($K$3+INT((DAY(EOMONTH($K$3,0))-1)/2)+L$14,0)=EOMONTH($H$3,0),L$12,0),0),IF(AND(I$12&lt;&gt;"",I$14&lt;&gt;""),IF(EOMONTH($H$3+INT((DAY(EOMONTH($H$3,0))-1)/2)+I$14,0)=EOMONTH($H$3,0),I$12,0),0),IF(AND(F$12&lt;&gt;"",F$14&lt;&gt;""),IF(EOMONTH($E$3+INT((DAY(EOMONTH($E$3,0))-1)/2)+F$14,0)=EOMONTH($H$3,0),F$12,0),0),IF(EOMONTH($AL$75+AM$14,0)=EOMONTH($H$3,0),$AL$77,0)),0)</x:f>
        <x:v>12</x:v>
      </x:c>
      <x:c r="J20" s="49" t="n">
        <x:f>ROUND(SUM(IF(AND(AN$12&lt;&gt;"",AN$14&lt;&gt;""),IF(EOMONTH($AL$3+INT((DAY(EOMONTH($AL$3,0))-1)/2)+AN$14,0)=EOMONTH($H$3,0),AN$12,0),0),IF(AND(AK$12&lt;&gt;"",AK$14&lt;&gt;""),IF(EOMONTH($AI$3+INT((DAY(EOMONTH($AI$3,0))-1)/2)+AK$14,0)=EOMONTH($H$3,0),AK$12,0),0),IF(AND(AH$12&lt;&gt;"",AH$14&lt;&gt;""),IF(EOMONTH($AF$3+INT((DAY(EOMONTH($AF$3,0))-1)/2)+AH$14,0)=EOMONTH($H$3,0),AH$12,0),0),IF(AND(AE$12&lt;&gt;"",AE$14&lt;&gt;""),IF(EOMONTH($AC$3+INT((DAY(EOMONTH($AC$3,0))-1)/2)+AE$14,0)=EOMONTH($H$3,0),AE$12,0),0),IF(AND(AB$12&lt;&gt;"",AB$14&lt;&gt;""),IF(EOMONTH($Z$3+INT((DAY(EOMONTH($Z$3,0))-1)/2)+AB$14,0)=EOMONTH($H$3,0),AB$12,0),0),IF(AND(Y$12&lt;&gt;"",Y$14&lt;&gt;""),IF(EOMONTH($W$3+INT((DAY(EOMONTH($W$3,0))-1)/2)+Y$14,0)=EOMONTH($H$3,0),Y$12,0),0),IF(AND(V$12&lt;&gt;"",V$14&lt;&gt;""),IF(EOMONTH($T$3+INT((DAY(EOMONTH($T$3,0))-1)/2)+V$14,0)=EOMONTH($H$3,0),V$12,0),0),IF(AND(S$12&lt;&gt;"",S$14&lt;&gt;""),IF(EOMONTH($Q$3+INT((DAY(EOMONTH($Q$3,0))-1)/2)+S$14,0)=EOMONTH($H$3,0),S$12,0),0),IF(AND(P$12&lt;&gt;"",P$14&lt;&gt;""),IF(EOMONTH($N$3+INT((DAY(EOMONTH($N$3,0))-1)/2)+P$14,0)=EOMONTH($H$3,0),P$12,0),0),IF(AND(M$12&lt;&gt;"",M$14&lt;&gt;""),IF(EOMONTH($K$3+INT((DAY(EOMONTH($K$3,0))-1)/2)+M$14,0)=EOMONTH($H$3,0),M$12,0),0),IF(AND(J$12&lt;&gt;"",J$14&lt;&gt;""),IF(EOMONTH($H$3+INT((DAY(EOMONTH($H$3,0))-1)/2)+J$14,0)=EOMONTH($H$3,0),J$12,0),0),IF(AND(G$12&lt;&gt;"",G$14&lt;&gt;""),IF(EOMONTH($E$3+INT((DAY(EOMONTH($E$3,0))-1)/2)+G$14,0)=EOMONTH($H$3,0),G$12,0),0),IF(EOMONTH($AL$75+AN$14,0)=EOMONTH($H$3,0),$AL$77,0)),0)</x:f>
        <x:v>12</x:v>
      </x:c>
      <x:c r="K20" s="47" t="n">
        <x:f>ROUND(SUM(IF(AND(AL$12&lt;&gt;"",AL$14&lt;&gt;""),IF(EOMONTH($AL$3+INT((DAY(EOMONTH($AL$3,0))-1)/2)+AL$14,0)=EOMONTH($K$3,0),AL$12,0),0),IF(AND(AI$12&lt;&gt;"",AI$14&lt;&gt;""),IF(EOMONTH($AI$3+INT((DAY(EOMONTH($AI$3,0))-1)/2)+AI$14,0)=EOMONTH($K$3,0),AI$12,0),0),IF(AND(AF$12&lt;&gt;"",AF$14&lt;&gt;""),IF(EOMONTH($AF$3+INT((DAY(EOMONTH($AF$3,0))-1)/2)+AF$14,0)=EOMONTH($K$3,0),AF$12,0),0),IF(AND(AC$12&lt;&gt;"",AC$14&lt;&gt;""),IF(EOMONTH($AC$3+INT((DAY(EOMONTH($AC$3,0))-1)/2)+AC$14,0)=EOMONTH($K$3,0),AC$12,0),0),IF(AND(Z$12&lt;&gt;"",Z$14&lt;&gt;""),IF(EOMONTH($Z$3+INT((DAY(EOMONTH($Z$3,0))-1)/2)+Z$14,0)=EOMONTH($K$3,0),Z$12,0),0),IF(AND(W$12&lt;&gt;"",W$14&lt;&gt;""),IF(EOMONTH($W$3+INT((DAY(EOMONTH($W$3,0))-1)/2)+W$14,0)=EOMONTH($K$3,0),W$12,0),0),IF(AND(T$12&lt;&gt;"",T$14&lt;&gt;""),IF(EOMONTH($T$3+INT((DAY(EOMONTH($T$3,0))-1)/2)+T$14,0)=EOMONTH($K$3,0),T$12,0),0),IF(AND(Q$12&lt;&gt;"",Q$14&lt;&gt;""),IF(EOMONTH($Q$3+INT((DAY(EOMONTH($Q$3,0))-1)/2)+Q$14,0)=EOMONTH($K$3,0),Q$12,0),0),IF(AND(N$12&lt;&gt;"",N$14&lt;&gt;""),IF(EOMONTH($N$3+INT((DAY(EOMONTH($N$3,0))-1)/2)+N$14,0)=EOMONTH($K$3,0),N$12,0),0),IF(AND(K$12&lt;&gt;"",K$14&lt;&gt;""),IF(EOMONTH($K$3+INT((DAY(EOMONTH($K$3,0))-1)/2)+K$14,0)=EOMONTH($K$3,0),K$12,0),0),IF(AND(H$12&lt;&gt;"",H$14&lt;&gt;""),IF(EOMONTH($H$3+INT((DAY(EOMONTH($H$3,0))-1)/2)+H$14,0)=EOMONTH($K$3,0),H$12,0),0),IF(AND(E$12&lt;&gt;"",E$14&lt;&gt;""),IF(EOMONTH($E$3+INT((DAY(EOMONTH($E$3,0))-1)/2)+E$14,0)=EOMONTH($K$3,0),E$12,0),0),IF(EOMONTH($AL$75+AL$14,0)=EOMONTH($K$3,0),$AL$77,0)),0)</x:f>
        <x:v>0</x:v>
      </x:c>
      <x:c r="L20" s="48" t="n">
        <x:f>ROUND(SUM(IF(AND(AM$12&lt;&gt;"",AM$14&lt;&gt;""),IF(EOMONTH($AL$3+INT((DAY(EOMONTH($AL$3,0))-1)/2)+AM$14,0)=EOMONTH($K$3,0),AM$12,0),0),IF(AND(AJ$12&lt;&gt;"",AJ$14&lt;&gt;""),IF(EOMONTH($AI$3+INT((DAY(EOMONTH($AI$3,0))-1)/2)+AJ$14,0)=EOMONTH($K$3,0),AJ$12,0),0),IF(AND(AG$12&lt;&gt;"",AG$14&lt;&gt;""),IF(EOMONTH($AF$3+INT((DAY(EOMONTH($AF$3,0))-1)/2)+AG$14,0)=EOMONTH($K$3,0),AG$12,0),0),IF(AND(AD$12&lt;&gt;"",AD$14&lt;&gt;""),IF(EOMONTH($AC$3+INT((DAY(EOMONTH($AC$3,0))-1)/2)+AD$14,0)=EOMONTH($K$3,0),AD$12,0),0),IF(AND(AA$12&lt;&gt;"",AA$14&lt;&gt;""),IF(EOMONTH($Z$3+INT((DAY(EOMONTH($Z$3,0))-1)/2)+AA$14,0)=EOMONTH($K$3,0),AA$12,0),0),IF(AND(X$12&lt;&gt;"",X$14&lt;&gt;""),IF(EOMONTH($W$3+INT((DAY(EOMONTH($W$3,0))-1)/2)+X$14,0)=EOMONTH($K$3,0),X$12,0),0),IF(AND(U$12&lt;&gt;"",U$14&lt;&gt;""),IF(EOMONTH($T$3+INT((DAY(EOMONTH($T$3,0))-1)/2)+U$14,0)=EOMONTH($K$3,0),U$12,0),0),IF(AND(R$12&lt;&gt;"",R$14&lt;&gt;""),IF(EOMONTH($Q$3+INT((DAY(EOMONTH($Q$3,0))-1)/2)+R$14,0)=EOMONTH($K$3,0),R$12,0),0),IF(AND(O$12&lt;&gt;"",O$14&lt;&gt;""),IF(EOMONTH($N$3+INT((DAY(EOMONTH($N$3,0))-1)/2)+O$14,0)=EOMONTH($K$3,0),O$12,0),0),IF(AND(L$12&lt;&gt;"",L$14&lt;&gt;""),IF(EOMONTH($K$3+INT((DAY(EOMONTH($K$3,0))-1)/2)+L$14,0)=EOMONTH($K$3,0),L$12,0),0),IF(AND(I$12&lt;&gt;"",I$14&lt;&gt;""),IF(EOMONTH($H$3+INT((DAY(EOMONTH($H$3,0))-1)/2)+I$14,0)=EOMONTH($K$3,0),I$12,0),0),IF(AND(F$12&lt;&gt;"",F$14&lt;&gt;""),IF(EOMONTH($E$3+INT((DAY(EOMONTH($E$3,0))-1)/2)+F$14,0)=EOMONTH($K$3,0),F$12,0),0),IF(EOMONTH($AL$75+AM$14,0)=EOMONTH($K$3,0),$AL$77,0)),0)</x:f>
        <x:v>12</x:v>
      </x:c>
      <x:c r="M20" s="49" t="n">
        <x:f>ROUND(SUM(IF(AND(AN$12&lt;&gt;"",AN$14&lt;&gt;""),IF(EOMONTH($AL$3+INT((DAY(EOMONTH($AL$3,0))-1)/2)+AN$14,0)=EOMONTH($K$3,0),AN$12,0),0),IF(AND(AK$12&lt;&gt;"",AK$14&lt;&gt;""),IF(EOMONTH($AI$3+INT((DAY(EOMONTH($AI$3,0))-1)/2)+AK$14,0)=EOMONTH($K$3,0),AK$12,0),0),IF(AND(AH$12&lt;&gt;"",AH$14&lt;&gt;""),IF(EOMONTH($AF$3+INT((DAY(EOMONTH($AF$3,0))-1)/2)+AH$14,0)=EOMONTH($K$3,0),AH$12,0),0),IF(AND(AE$12&lt;&gt;"",AE$14&lt;&gt;""),IF(EOMONTH($AC$3+INT((DAY(EOMONTH($AC$3,0))-1)/2)+AE$14,0)=EOMONTH($K$3,0),AE$12,0),0),IF(AND(AB$12&lt;&gt;"",AB$14&lt;&gt;""),IF(EOMONTH($Z$3+INT((DAY(EOMONTH($Z$3,0))-1)/2)+AB$14,0)=EOMONTH($K$3,0),AB$12,0),0),IF(AND(Y$12&lt;&gt;"",Y$14&lt;&gt;""),IF(EOMONTH($W$3+INT((DAY(EOMONTH($W$3,0))-1)/2)+Y$14,0)=EOMONTH($K$3,0),Y$12,0),0),IF(AND(V$12&lt;&gt;"",V$14&lt;&gt;""),IF(EOMONTH($T$3+INT((DAY(EOMONTH($T$3,0))-1)/2)+V$14,0)=EOMONTH($K$3,0),V$12,0),0),IF(AND(S$12&lt;&gt;"",S$14&lt;&gt;""),IF(EOMONTH($Q$3+INT((DAY(EOMONTH($Q$3,0))-1)/2)+S$14,0)=EOMONTH($K$3,0),S$12,0),0),IF(AND(P$12&lt;&gt;"",P$14&lt;&gt;""),IF(EOMONTH($N$3+INT((DAY(EOMONTH($N$3,0))-1)/2)+P$14,0)=EOMONTH($K$3,0),P$12,0),0),IF(AND(M$12&lt;&gt;"",M$14&lt;&gt;""),IF(EOMONTH($K$3+INT((DAY(EOMONTH($K$3,0))-1)/2)+M$14,0)=EOMONTH($K$3,0),M$12,0),0),IF(AND(J$12&lt;&gt;"",J$14&lt;&gt;""),IF(EOMONTH($H$3+INT((DAY(EOMONTH($H$3,0))-1)/2)+J$14,0)=EOMONTH($K$3,0),J$12,0),0),IF(AND(G$12&lt;&gt;"",G$14&lt;&gt;""),IF(EOMONTH($E$3+INT((DAY(EOMONTH($E$3,0))-1)/2)+G$14,0)=EOMONTH($K$3,0),G$12,0),0),IF(EOMONTH($AL$75+AN$14,0)=EOMONTH($K$3,0),$AL$77,0)),0)</x:f>
        <x:v>12</x:v>
      </x:c>
      <x:c r="N20" s="47" t="n">
        <x:f>ROUND(SUM(IF(AND(AL$12&lt;&gt;"",AL$14&lt;&gt;""),IF(EOMONTH($AL$3+INT((DAY(EOMONTH($AL$3,0))-1)/2)+AL$14,0)=EOMONTH($N$3,0),AL$12,0),0),IF(AND(AI$12&lt;&gt;"",AI$14&lt;&gt;""),IF(EOMONTH($AI$3+INT((DAY(EOMONTH($AI$3,0))-1)/2)+AI$14,0)=EOMONTH($N$3,0),AI$12,0),0),IF(AND(AF$12&lt;&gt;"",AF$14&lt;&gt;""),IF(EOMONTH($AF$3+INT((DAY(EOMONTH($AF$3,0))-1)/2)+AF$14,0)=EOMONTH($N$3,0),AF$12,0),0),IF(AND(AC$12&lt;&gt;"",AC$14&lt;&gt;""),IF(EOMONTH($AC$3+INT((DAY(EOMONTH($AC$3,0))-1)/2)+AC$14,0)=EOMONTH($N$3,0),AC$12,0),0),IF(AND(Z$12&lt;&gt;"",Z$14&lt;&gt;""),IF(EOMONTH($Z$3+INT((DAY(EOMONTH($Z$3,0))-1)/2)+Z$14,0)=EOMONTH($N$3,0),Z$12,0),0),IF(AND(W$12&lt;&gt;"",W$14&lt;&gt;""),IF(EOMONTH($W$3+INT((DAY(EOMONTH($W$3,0))-1)/2)+W$14,0)=EOMONTH($N$3,0),W$12,0),0),IF(AND(T$12&lt;&gt;"",T$14&lt;&gt;""),IF(EOMONTH($T$3+INT((DAY(EOMONTH($T$3,0))-1)/2)+T$14,0)=EOMONTH($N$3,0),T$12,0),0),IF(AND(Q$12&lt;&gt;"",Q$14&lt;&gt;""),IF(EOMONTH($Q$3+INT((DAY(EOMONTH($Q$3,0))-1)/2)+Q$14,0)=EOMONTH($N$3,0),Q$12,0),0),IF(AND(N$12&lt;&gt;"",N$14&lt;&gt;""),IF(EOMONTH($N$3+INT((DAY(EOMONTH($N$3,0))-1)/2)+N$14,0)=EOMONTH($N$3,0),N$12,0),0),IF(AND(K$12&lt;&gt;"",K$14&lt;&gt;""),IF(EOMONTH($K$3+INT((DAY(EOMONTH($K$3,0))-1)/2)+K$14,0)=EOMONTH($N$3,0),K$12,0),0),IF(AND(H$12&lt;&gt;"",H$14&lt;&gt;""),IF(EOMONTH($H$3+INT((DAY(EOMONTH($H$3,0))-1)/2)+H$14,0)=EOMONTH($N$3,0),H$12,0),0),IF(AND(E$12&lt;&gt;"",E$14&lt;&gt;""),IF(EOMONTH($E$3+INT((DAY(EOMONTH($E$3,0))-1)/2)+E$14,0)=EOMONTH($N$3,0),E$12,0),0),IF(EOMONTH($AL$75+AL$14,0)=EOMONTH($N$3,0),$AL$77,0)),0)</x:f>
        <x:v>0</x:v>
      </x:c>
      <x:c r="O20" s="48" t="n">
        <x:f>ROUND(SUM(IF(AND(AM$12&lt;&gt;"",AM$14&lt;&gt;""),IF(EOMONTH($AL$3+INT((DAY(EOMONTH($AL$3,0))-1)/2)+AM$14,0)=EOMONTH($N$3,0),AM$12,0),0),IF(AND(AJ$12&lt;&gt;"",AJ$14&lt;&gt;""),IF(EOMONTH($AI$3+INT((DAY(EOMONTH($AI$3,0))-1)/2)+AJ$14,0)=EOMONTH($N$3,0),AJ$12,0),0),IF(AND(AG$12&lt;&gt;"",AG$14&lt;&gt;""),IF(EOMONTH($AF$3+INT((DAY(EOMONTH($AF$3,0))-1)/2)+AG$14,0)=EOMONTH($N$3,0),AG$12,0),0),IF(AND(AD$12&lt;&gt;"",AD$14&lt;&gt;""),IF(EOMONTH($AC$3+INT((DAY(EOMONTH($AC$3,0))-1)/2)+AD$14,0)=EOMONTH($N$3,0),AD$12,0),0),IF(AND(AA$12&lt;&gt;"",AA$14&lt;&gt;""),IF(EOMONTH($Z$3+INT((DAY(EOMONTH($Z$3,0))-1)/2)+AA$14,0)=EOMONTH($N$3,0),AA$12,0),0),IF(AND(X$12&lt;&gt;"",X$14&lt;&gt;""),IF(EOMONTH($W$3+INT((DAY(EOMONTH($W$3,0))-1)/2)+X$14,0)=EOMONTH($N$3,0),X$12,0),0),IF(AND(U$12&lt;&gt;"",U$14&lt;&gt;""),IF(EOMONTH($T$3+INT((DAY(EOMONTH($T$3,0))-1)/2)+U$14,0)=EOMONTH($N$3,0),U$12,0),0),IF(AND(R$12&lt;&gt;"",R$14&lt;&gt;""),IF(EOMONTH($Q$3+INT((DAY(EOMONTH($Q$3,0))-1)/2)+R$14,0)=EOMONTH($N$3,0),R$12,0),0),IF(AND(O$12&lt;&gt;"",O$14&lt;&gt;""),IF(EOMONTH($N$3+INT((DAY(EOMONTH($N$3,0))-1)/2)+O$14,0)=EOMONTH($N$3,0),O$12,0),0),IF(AND(L$12&lt;&gt;"",L$14&lt;&gt;""),IF(EOMONTH($K$3+INT((DAY(EOMONTH($K$3,0))-1)/2)+L$14,0)=EOMONTH($N$3,0),L$12,0),0),IF(AND(I$12&lt;&gt;"",I$14&lt;&gt;""),IF(EOMONTH($H$3+INT((DAY(EOMONTH($H$3,0))-1)/2)+I$14,0)=EOMONTH($N$3,0),I$12,0),0),IF(AND(F$12&lt;&gt;"",F$14&lt;&gt;""),IF(EOMONTH($E$3+INT((DAY(EOMONTH($E$3,0))-1)/2)+F$14,0)=EOMONTH($N$3,0),F$12,0),0),IF(EOMONTH($AL$75+AM$14,0)=EOMONTH($N$3,0),$AL$77,0)),0)</x:f>
        <x:v>12</x:v>
      </x:c>
      <x:c r="P20" s="49" t="n">
        <x:f>ROUND(SUM(IF(AND(AN$12&lt;&gt;"",AN$14&lt;&gt;""),IF(EOMONTH($AL$3+INT((DAY(EOMONTH($AL$3,0))-1)/2)+AN$14,0)=EOMONTH($N$3,0),AN$12,0),0),IF(AND(AK$12&lt;&gt;"",AK$14&lt;&gt;""),IF(EOMONTH($AI$3+INT((DAY(EOMONTH($AI$3,0))-1)/2)+AK$14,0)=EOMONTH($N$3,0),AK$12,0),0),IF(AND(AH$12&lt;&gt;"",AH$14&lt;&gt;""),IF(EOMONTH($AF$3+INT((DAY(EOMONTH($AF$3,0))-1)/2)+AH$14,0)=EOMONTH($N$3,0),AH$12,0),0),IF(AND(AE$12&lt;&gt;"",AE$14&lt;&gt;""),IF(EOMONTH($AC$3+INT((DAY(EOMONTH($AC$3,0))-1)/2)+AE$14,0)=EOMONTH($N$3,0),AE$12,0),0),IF(AND(AB$12&lt;&gt;"",AB$14&lt;&gt;""),IF(EOMONTH($Z$3+INT((DAY(EOMONTH($Z$3,0))-1)/2)+AB$14,0)=EOMONTH($N$3,0),AB$12,0),0),IF(AND(Y$12&lt;&gt;"",Y$14&lt;&gt;""),IF(EOMONTH($W$3+INT((DAY(EOMONTH($W$3,0))-1)/2)+Y$14,0)=EOMONTH($N$3,0),Y$12,0),0),IF(AND(V$12&lt;&gt;"",V$14&lt;&gt;""),IF(EOMONTH($T$3+INT((DAY(EOMONTH($T$3,0))-1)/2)+V$14,0)=EOMONTH($N$3,0),V$12,0),0),IF(AND(S$12&lt;&gt;"",S$14&lt;&gt;""),IF(EOMONTH($Q$3+INT((DAY(EOMONTH($Q$3,0))-1)/2)+S$14,0)=EOMONTH($N$3,0),S$12,0),0),IF(AND(P$12&lt;&gt;"",P$14&lt;&gt;""),IF(EOMONTH($N$3+INT((DAY(EOMONTH($N$3,0))-1)/2)+P$14,0)=EOMONTH($N$3,0),P$12,0),0),IF(AND(M$12&lt;&gt;"",M$14&lt;&gt;""),IF(EOMONTH($K$3+INT((DAY(EOMONTH($K$3,0))-1)/2)+M$14,0)=EOMONTH($N$3,0),M$12,0),0),IF(AND(J$12&lt;&gt;"",J$14&lt;&gt;""),IF(EOMONTH($H$3+INT((DAY(EOMONTH($H$3,0))-1)/2)+J$14,0)=EOMONTH($N$3,0),J$12,0),0),IF(AND(G$12&lt;&gt;"",G$14&lt;&gt;""),IF(EOMONTH($E$3+INT((DAY(EOMONTH($E$3,0))-1)/2)+G$14,0)=EOMONTH($N$3,0),G$12,0),0),IF(EOMONTH($AL$75+AN$14,0)=EOMONTH($N$3,0),$AL$77,0)),0)</x:f>
        <x:v>12</x:v>
      </x:c>
      <x:c r="Q20" s="47" t="n">
        <x:f>ROUND(SUM(IF(AND(AL$12&lt;&gt;"",AL$14&lt;&gt;""),IF(EOMONTH($AL$3+INT((DAY(EOMONTH($AL$3,0))-1)/2)+AL$14,0)=EOMONTH($Q$3,0),AL$12,0),0),IF(AND(AI$12&lt;&gt;"",AI$14&lt;&gt;""),IF(EOMONTH($AI$3+INT((DAY(EOMONTH($AI$3,0))-1)/2)+AI$14,0)=EOMONTH($Q$3,0),AI$12,0),0),IF(AND(AF$12&lt;&gt;"",AF$14&lt;&gt;""),IF(EOMONTH($AF$3+INT((DAY(EOMONTH($AF$3,0))-1)/2)+AF$14,0)=EOMONTH($Q$3,0),AF$12,0),0),IF(AND(AC$12&lt;&gt;"",AC$14&lt;&gt;""),IF(EOMONTH($AC$3+INT((DAY(EOMONTH($AC$3,0))-1)/2)+AC$14,0)=EOMONTH($Q$3,0),AC$12,0),0),IF(AND(Z$12&lt;&gt;"",Z$14&lt;&gt;""),IF(EOMONTH($Z$3+INT((DAY(EOMONTH($Z$3,0))-1)/2)+Z$14,0)=EOMONTH($Q$3,0),Z$12,0),0),IF(AND(W$12&lt;&gt;"",W$14&lt;&gt;""),IF(EOMONTH($W$3+INT((DAY(EOMONTH($W$3,0))-1)/2)+W$14,0)=EOMONTH($Q$3,0),W$12,0),0),IF(AND(T$12&lt;&gt;"",T$14&lt;&gt;""),IF(EOMONTH($T$3+INT((DAY(EOMONTH($T$3,0))-1)/2)+T$14,0)=EOMONTH($Q$3,0),T$12,0),0),IF(AND(Q$12&lt;&gt;"",Q$14&lt;&gt;""),IF(EOMONTH($Q$3+INT((DAY(EOMONTH($Q$3,0))-1)/2)+Q$14,0)=EOMONTH($Q$3,0),Q$12,0),0),IF(AND(N$12&lt;&gt;"",N$14&lt;&gt;""),IF(EOMONTH($N$3+INT((DAY(EOMONTH($N$3,0))-1)/2)+N$14,0)=EOMONTH($Q$3,0),N$12,0),0),IF(AND(K$12&lt;&gt;"",K$14&lt;&gt;""),IF(EOMONTH($K$3+INT((DAY(EOMONTH($K$3,0))-1)/2)+K$14,0)=EOMONTH($Q$3,0),K$12,0),0),IF(AND(H$12&lt;&gt;"",H$14&lt;&gt;""),IF(EOMONTH($H$3+INT((DAY(EOMONTH($H$3,0))-1)/2)+H$14,0)=EOMONTH($Q$3,0),H$12,0),0),IF(AND(E$12&lt;&gt;"",E$14&lt;&gt;""),IF(EOMONTH($E$3+INT((DAY(EOMONTH($E$3,0))-1)/2)+E$14,0)=EOMONTH($Q$3,0),E$12,0),0),IF(EOMONTH($AL$75+AL$14,0)=EOMONTH($Q$3,0),$AL$77,0)),0)</x:f>
        <x:v>0</x:v>
      </x:c>
      <x:c r="R20" s="48" t="n">
        <x:f>ROUND(SUM(IF(AND(AM$12&lt;&gt;"",AM$14&lt;&gt;""),IF(EOMONTH($AL$3+INT((DAY(EOMONTH($AL$3,0))-1)/2)+AM$14,0)=EOMONTH($Q$3,0),AM$12,0),0),IF(AND(AJ$12&lt;&gt;"",AJ$14&lt;&gt;""),IF(EOMONTH($AI$3+INT((DAY(EOMONTH($AI$3,0))-1)/2)+AJ$14,0)=EOMONTH($Q$3,0),AJ$12,0),0),IF(AND(AG$12&lt;&gt;"",AG$14&lt;&gt;""),IF(EOMONTH($AF$3+INT((DAY(EOMONTH($AF$3,0))-1)/2)+AG$14,0)=EOMONTH($Q$3,0),AG$12,0),0),IF(AND(AD$12&lt;&gt;"",AD$14&lt;&gt;""),IF(EOMONTH($AC$3+INT((DAY(EOMONTH($AC$3,0))-1)/2)+AD$14,0)=EOMONTH($Q$3,0),AD$12,0),0),IF(AND(AA$12&lt;&gt;"",AA$14&lt;&gt;""),IF(EOMONTH($Z$3+INT((DAY(EOMONTH($Z$3,0))-1)/2)+AA$14,0)=EOMONTH($Q$3,0),AA$12,0),0),IF(AND(X$12&lt;&gt;"",X$14&lt;&gt;""),IF(EOMONTH($W$3+INT((DAY(EOMONTH($W$3,0))-1)/2)+X$14,0)=EOMONTH($Q$3,0),X$12,0),0),IF(AND(U$12&lt;&gt;"",U$14&lt;&gt;""),IF(EOMONTH($T$3+INT((DAY(EOMONTH($T$3,0))-1)/2)+U$14,0)=EOMONTH($Q$3,0),U$12,0),0),IF(AND(R$12&lt;&gt;"",R$14&lt;&gt;""),IF(EOMONTH($Q$3+INT((DAY(EOMONTH($Q$3,0))-1)/2)+R$14,0)=EOMONTH($Q$3,0),R$12,0),0),IF(AND(O$12&lt;&gt;"",O$14&lt;&gt;""),IF(EOMONTH($N$3+INT((DAY(EOMONTH($N$3,0))-1)/2)+O$14,0)=EOMONTH($Q$3,0),O$12,0),0),IF(AND(L$12&lt;&gt;"",L$14&lt;&gt;""),IF(EOMONTH($K$3+INT((DAY(EOMONTH($K$3,0))-1)/2)+L$14,0)=EOMONTH($Q$3,0),L$12,0),0),IF(AND(I$12&lt;&gt;"",I$14&lt;&gt;""),IF(EOMONTH($H$3+INT((DAY(EOMONTH($H$3,0))-1)/2)+I$14,0)=EOMONTH($Q$3,0),I$12,0),0),IF(AND(F$12&lt;&gt;"",F$14&lt;&gt;""),IF(EOMONTH($E$3+INT((DAY(EOMONTH($E$3,0))-1)/2)+F$14,0)=EOMONTH($Q$3,0),F$12,0),0),IF(EOMONTH($AL$75+AM$14,0)=EOMONTH($Q$3,0),$AL$77,0)),0)</x:f>
        <x:v>11</x:v>
      </x:c>
      <x:c r="S20" s="49" t="n">
        <x:f>ROUND(SUM(IF(AND(AN$12&lt;&gt;"",AN$14&lt;&gt;""),IF(EOMONTH($AL$3+INT((DAY(EOMONTH($AL$3,0))-1)/2)+AN$14,0)=EOMONTH($Q$3,0),AN$12,0),0),IF(AND(AK$12&lt;&gt;"",AK$14&lt;&gt;""),IF(EOMONTH($AI$3+INT((DAY(EOMONTH($AI$3,0))-1)/2)+AK$14,0)=EOMONTH($Q$3,0),AK$12,0),0),IF(AND(AH$12&lt;&gt;"",AH$14&lt;&gt;""),IF(EOMONTH($AF$3+INT((DAY(EOMONTH($AF$3,0))-1)/2)+AH$14,0)=EOMONTH($Q$3,0),AH$12,0),0),IF(AND(AE$12&lt;&gt;"",AE$14&lt;&gt;""),IF(EOMONTH($AC$3+INT((DAY(EOMONTH($AC$3,0))-1)/2)+AE$14,0)=EOMONTH($Q$3,0),AE$12,0),0),IF(AND(AB$12&lt;&gt;"",AB$14&lt;&gt;""),IF(EOMONTH($Z$3+INT((DAY(EOMONTH($Z$3,0))-1)/2)+AB$14,0)=EOMONTH($Q$3,0),AB$12,0),0),IF(AND(Y$12&lt;&gt;"",Y$14&lt;&gt;""),IF(EOMONTH($W$3+INT((DAY(EOMONTH($W$3,0))-1)/2)+Y$14,0)=EOMONTH($Q$3,0),Y$12,0),0),IF(AND(V$12&lt;&gt;"",V$14&lt;&gt;""),IF(EOMONTH($T$3+INT((DAY(EOMONTH($T$3,0))-1)/2)+V$14,0)=EOMONTH($Q$3,0),V$12,0),0),IF(AND(S$12&lt;&gt;"",S$14&lt;&gt;""),IF(EOMONTH($Q$3+INT((DAY(EOMONTH($Q$3,0))-1)/2)+S$14,0)=EOMONTH($Q$3,0),S$12,0),0),IF(AND(P$12&lt;&gt;"",P$14&lt;&gt;""),IF(EOMONTH($N$3+INT((DAY(EOMONTH($N$3,0))-1)/2)+P$14,0)=EOMONTH($Q$3,0),P$12,0),0),IF(AND(M$12&lt;&gt;"",M$14&lt;&gt;""),IF(EOMONTH($K$3+INT((DAY(EOMONTH($K$3,0))-1)/2)+M$14,0)=EOMONTH($Q$3,0),M$12,0),0),IF(AND(J$12&lt;&gt;"",J$14&lt;&gt;""),IF(EOMONTH($H$3+INT((DAY(EOMONTH($H$3,0))-1)/2)+J$14,0)=EOMONTH($Q$3,0),J$12,0),0),IF(AND(G$12&lt;&gt;"",G$14&lt;&gt;""),IF(EOMONTH($E$3+INT((DAY(EOMONTH($E$3,0))-1)/2)+G$14,0)=EOMONTH($Q$3,0),G$12,0),0),IF(EOMONTH($AL$75+AN$14,0)=EOMONTH($Q$3,0),$AL$77,0)),0)</x:f>
        <x:v>11</x:v>
      </x:c>
      <x:c r="T20" s="47" t="n">
        <x:f>ROUND(SUM(IF(AND(AL$12&lt;&gt;"",AL$14&lt;&gt;""),IF(EOMONTH($AL$3+INT((DAY(EOMONTH($AL$3,0))-1)/2)+AL$14,0)=EOMONTH($T$3,0),AL$12,0),0),IF(AND(AI$12&lt;&gt;"",AI$14&lt;&gt;""),IF(EOMONTH($AI$3+INT((DAY(EOMONTH($AI$3,0))-1)/2)+AI$14,0)=EOMONTH($T$3,0),AI$12,0),0),IF(AND(AF$12&lt;&gt;"",AF$14&lt;&gt;""),IF(EOMONTH($AF$3+INT((DAY(EOMONTH($AF$3,0))-1)/2)+AF$14,0)=EOMONTH($T$3,0),AF$12,0),0),IF(AND(AC$12&lt;&gt;"",AC$14&lt;&gt;""),IF(EOMONTH($AC$3+INT((DAY(EOMONTH($AC$3,0))-1)/2)+AC$14,0)=EOMONTH($T$3,0),AC$12,0),0),IF(AND(Z$12&lt;&gt;"",Z$14&lt;&gt;""),IF(EOMONTH($Z$3+INT((DAY(EOMONTH($Z$3,0))-1)/2)+Z$14,0)=EOMONTH($T$3,0),Z$12,0),0),IF(AND(W$12&lt;&gt;"",W$14&lt;&gt;""),IF(EOMONTH($W$3+INT((DAY(EOMONTH($W$3,0))-1)/2)+W$14,0)=EOMONTH($T$3,0),W$12,0),0),IF(AND(T$12&lt;&gt;"",T$14&lt;&gt;""),IF(EOMONTH($T$3+INT((DAY(EOMONTH($T$3,0))-1)/2)+T$14,0)=EOMONTH($T$3,0),T$12,0),0),IF(AND(Q$12&lt;&gt;"",Q$14&lt;&gt;""),IF(EOMONTH($Q$3+INT((DAY(EOMONTH($Q$3,0))-1)/2)+Q$14,0)=EOMONTH($T$3,0),Q$12,0),0),IF(AND(N$12&lt;&gt;"",N$14&lt;&gt;""),IF(EOMONTH($N$3+INT((DAY(EOMONTH($N$3,0))-1)/2)+N$14,0)=EOMONTH($T$3,0),N$12,0),0),IF(AND(K$12&lt;&gt;"",K$14&lt;&gt;""),IF(EOMONTH($K$3+INT((DAY(EOMONTH($K$3,0))-1)/2)+K$14,0)=EOMONTH($T$3,0),K$12,0),0),IF(AND(H$12&lt;&gt;"",H$14&lt;&gt;""),IF(EOMONTH($H$3+INT((DAY(EOMONTH($H$3,0))-1)/2)+H$14,0)=EOMONTH($T$3,0),H$12,0),0),IF(AND(E$12&lt;&gt;"",E$14&lt;&gt;""),IF(EOMONTH($E$3+INT((DAY(EOMONTH($E$3,0))-1)/2)+E$14,0)=EOMONTH($T$3,0),E$12,0),0),IF(EOMONTH($AL$75+AL$14,0)=EOMONTH($T$3,0),$AL$77,0)),0)</x:f>
        <x:v>0</x:v>
      </x:c>
      <x:c r="U20" s="48" t="n">
        <x:f>ROUND(SUM(IF(AND(AM$12&lt;&gt;"",AM$14&lt;&gt;""),IF(EOMONTH($AL$3+INT((DAY(EOMONTH($AL$3,0))-1)/2)+AM$14,0)=EOMONTH($T$3,0),AM$12,0),0),IF(AND(AJ$12&lt;&gt;"",AJ$14&lt;&gt;""),IF(EOMONTH($AI$3+INT((DAY(EOMONTH($AI$3,0))-1)/2)+AJ$14,0)=EOMONTH($T$3,0),AJ$12,0),0),IF(AND(AG$12&lt;&gt;"",AG$14&lt;&gt;""),IF(EOMONTH($AF$3+INT((DAY(EOMONTH($AF$3,0))-1)/2)+AG$14,0)=EOMONTH($T$3,0),AG$12,0),0),IF(AND(AD$12&lt;&gt;"",AD$14&lt;&gt;""),IF(EOMONTH($AC$3+INT((DAY(EOMONTH($AC$3,0))-1)/2)+AD$14,0)=EOMONTH($T$3,0),AD$12,0),0),IF(AND(AA$12&lt;&gt;"",AA$14&lt;&gt;""),IF(EOMONTH($Z$3+INT((DAY(EOMONTH($Z$3,0))-1)/2)+AA$14,0)=EOMONTH($T$3,0),AA$12,0),0),IF(AND(X$12&lt;&gt;"",X$14&lt;&gt;""),IF(EOMONTH($W$3+INT((DAY(EOMONTH($W$3,0))-1)/2)+X$14,0)=EOMONTH($T$3,0),X$12,0),0),IF(AND(U$12&lt;&gt;"",U$14&lt;&gt;""),IF(EOMONTH($T$3+INT((DAY(EOMONTH($T$3,0))-1)/2)+U$14,0)=EOMONTH($T$3,0),U$12,0),0),IF(AND(R$12&lt;&gt;"",R$14&lt;&gt;""),IF(EOMONTH($Q$3+INT((DAY(EOMONTH($Q$3,0))-1)/2)+R$14,0)=EOMONTH($T$3,0),R$12,0),0),IF(AND(O$12&lt;&gt;"",O$14&lt;&gt;""),IF(EOMONTH($N$3+INT((DAY(EOMONTH($N$3,0))-1)/2)+O$14,0)=EOMONTH($T$3,0),O$12,0),0),IF(AND(L$12&lt;&gt;"",L$14&lt;&gt;""),IF(EOMONTH($K$3+INT((DAY(EOMONTH($K$3,0))-1)/2)+L$14,0)=EOMONTH($T$3,0),L$12,0),0),IF(AND(I$12&lt;&gt;"",I$14&lt;&gt;""),IF(EOMONTH($H$3+INT((DAY(EOMONTH($H$3,0))-1)/2)+I$14,0)=EOMONTH($T$3,0),I$12,0),0),IF(AND(F$12&lt;&gt;"",F$14&lt;&gt;""),IF(EOMONTH($E$3+INT((DAY(EOMONTH($E$3,0))-1)/2)+F$14,0)=EOMONTH($T$3,0),F$12,0),0),IF(EOMONTH($AL$75+AM$14,0)=EOMONTH($T$3,0),$AL$77,0)),0)</x:f>
        <x:v>11</x:v>
      </x:c>
      <x:c r="V20" s="49" t="n">
        <x:f>ROUND(SUM(IF(AND(AN$12&lt;&gt;"",AN$14&lt;&gt;""),IF(EOMONTH($AL$3+INT((DAY(EOMONTH($AL$3,0))-1)/2)+AN$14,0)=EOMONTH($T$3,0),AN$12,0),0),IF(AND(AK$12&lt;&gt;"",AK$14&lt;&gt;""),IF(EOMONTH($AI$3+INT((DAY(EOMONTH($AI$3,0))-1)/2)+AK$14,0)=EOMONTH($T$3,0),AK$12,0),0),IF(AND(AH$12&lt;&gt;"",AH$14&lt;&gt;""),IF(EOMONTH($AF$3+INT((DAY(EOMONTH($AF$3,0))-1)/2)+AH$14,0)=EOMONTH($T$3,0),AH$12,0),0),IF(AND(AE$12&lt;&gt;"",AE$14&lt;&gt;""),IF(EOMONTH($AC$3+INT((DAY(EOMONTH($AC$3,0))-1)/2)+AE$14,0)=EOMONTH($T$3,0),AE$12,0),0),IF(AND(AB$12&lt;&gt;"",AB$14&lt;&gt;""),IF(EOMONTH($Z$3+INT((DAY(EOMONTH($Z$3,0))-1)/2)+AB$14,0)=EOMONTH($T$3,0),AB$12,0),0),IF(AND(Y$12&lt;&gt;"",Y$14&lt;&gt;""),IF(EOMONTH($W$3+INT((DAY(EOMONTH($W$3,0))-1)/2)+Y$14,0)=EOMONTH($T$3,0),Y$12,0),0),IF(AND(V$12&lt;&gt;"",V$14&lt;&gt;""),IF(EOMONTH($T$3+INT((DAY(EOMONTH($T$3,0))-1)/2)+V$14,0)=EOMONTH($T$3,0),V$12,0),0),IF(AND(S$12&lt;&gt;"",S$14&lt;&gt;""),IF(EOMONTH($Q$3+INT((DAY(EOMONTH($Q$3,0))-1)/2)+S$14,0)=EOMONTH($T$3,0),S$12,0),0),IF(AND(P$12&lt;&gt;"",P$14&lt;&gt;""),IF(EOMONTH($N$3+INT((DAY(EOMONTH($N$3,0))-1)/2)+P$14,0)=EOMONTH($T$3,0),P$12,0),0),IF(AND(M$12&lt;&gt;"",M$14&lt;&gt;""),IF(EOMONTH($K$3+INT((DAY(EOMONTH($K$3,0))-1)/2)+M$14,0)=EOMONTH($T$3,0),M$12,0),0),IF(AND(J$12&lt;&gt;"",J$14&lt;&gt;""),IF(EOMONTH($H$3+INT((DAY(EOMONTH($H$3,0))-1)/2)+J$14,0)=EOMONTH($T$3,0),J$12,0),0),IF(AND(G$12&lt;&gt;"",G$14&lt;&gt;""),IF(EOMONTH($E$3+INT((DAY(EOMONTH($E$3,0))-1)/2)+G$14,0)=EOMONTH($T$3,0),G$12,0),0),IF(EOMONTH($AL$75+AN$14,0)=EOMONTH($T$3,0),$AL$77,0)),0)</x:f>
        <x:v>11</x:v>
      </x:c>
      <x:c r="W20" s="47" t="n">
        <x:f>ROUND(SUM(IF(AND(AL$12&lt;&gt;"",AL$14&lt;&gt;""),IF(EOMONTH($AL$3+INT((DAY(EOMONTH($AL$3,0))-1)/2)+AL$14,0)=EOMONTH($W$3,0),AL$12,0),0),IF(AND(AI$12&lt;&gt;"",AI$14&lt;&gt;""),IF(EOMONTH($AI$3+INT((DAY(EOMONTH($AI$3,0))-1)/2)+AI$14,0)=EOMONTH($W$3,0),AI$12,0),0),IF(AND(AF$12&lt;&gt;"",AF$14&lt;&gt;""),IF(EOMONTH($AF$3+INT((DAY(EOMONTH($AF$3,0))-1)/2)+AF$14,0)=EOMONTH($W$3,0),AF$12,0),0),IF(AND(AC$12&lt;&gt;"",AC$14&lt;&gt;""),IF(EOMONTH($AC$3+INT((DAY(EOMONTH($AC$3,0))-1)/2)+AC$14,0)=EOMONTH($W$3,0),AC$12,0),0),IF(AND(Z$12&lt;&gt;"",Z$14&lt;&gt;""),IF(EOMONTH($Z$3+INT((DAY(EOMONTH($Z$3,0))-1)/2)+Z$14,0)=EOMONTH($W$3,0),Z$12,0),0),IF(AND(W$12&lt;&gt;"",W$14&lt;&gt;""),IF(EOMONTH($W$3+INT((DAY(EOMONTH($W$3,0))-1)/2)+W$14,0)=EOMONTH($W$3,0),W$12,0),0),IF(AND(T$12&lt;&gt;"",T$14&lt;&gt;""),IF(EOMONTH($T$3+INT((DAY(EOMONTH($T$3,0))-1)/2)+T$14,0)=EOMONTH($W$3,0),T$12,0),0),IF(AND(Q$12&lt;&gt;"",Q$14&lt;&gt;""),IF(EOMONTH($Q$3+INT((DAY(EOMONTH($Q$3,0))-1)/2)+Q$14,0)=EOMONTH($W$3,0),Q$12,0),0),IF(AND(N$12&lt;&gt;"",N$14&lt;&gt;""),IF(EOMONTH($N$3+INT((DAY(EOMONTH($N$3,0))-1)/2)+N$14,0)=EOMONTH($W$3,0),N$12,0),0),IF(AND(K$12&lt;&gt;"",K$14&lt;&gt;""),IF(EOMONTH($K$3+INT((DAY(EOMONTH($K$3,0))-1)/2)+K$14,0)=EOMONTH($W$3,0),K$12,0),0),IF(AND(H$12&lt;&gt;"",H$14&lt;&gt;""),IF(EOMONTH($H$3+INT((DAY(EOMONTH($H$3,0))-1)/2)+H$14,0)=EOMONTH($W$3,0),H$12,0),0),IF(AND(E$12&lt;&gt;"",E$14&lt;&gt;""),IF(EOMONTH($E$3+INT((DAY(EOMONTH($E$3,0))-1)/2)+E$14,0)=EOMONTH($W$3,0),E$12,0),0),IF(EOMONTH($AL$75+AL$14,0)=EOMONTH($W$3,0),$AL$77,0)),0)</x:f>
        <x:v>0</x:v>
      </x:c>
      <x:c r="X20" s="48" t="n">
        <x:f>ROUND(SUM(IF(AND(AM$12&lt;&gt;"",AM$14&lt;&gt;""),IF(EOMONTH($AL$3+INT((DAY(EOMONTH($AL$3,0))-1)/2)+AM$14,0)=EOMONTH($W$3,0),AM$12,0),0),IF(AND(AJ$12&lt;&gt;"",AJ$14&lt;&gt;""),IF(EOMONTH($AI$3+INT((DAY(EOMONTH($AI$3,0))-1)/2)+AJ$14,0)=EOMONTH($W$3,0),AJ$12,0),0),IF(AND(AG$12&lt;&gt;"",AG$14&lt;&gt;""),IF(EOMONTH($AF$3+INT((DAY(EOMONTH($AF$3,0))-1)/2)+AG$14,0)=EOMONTH($W$3,0),AG$12,0),0),IF(AND(AD$12&lt;&gt;"",AD$14&lt;&gt;""),IF(EOMONTH($AC$3+INT((DAY(EOMONTH($AC$3,0))-1)/2)+AD$14,0)=EOMONTH($W$3,0),AD$12,0),0),IF(AND(AA$12&lt;&gt;"",AA$14&lt;&gt;""),IF(EOMONTH($Z$3+INT((DAY(EOMONTH($Z$3,0))-1)/2)+AA$14,0)=EOMONTH($W$3,0),AA$12,0),0),IF(AND(X$12&lt;&gt;"",X$14&lt;&gt;""),IF(EOMONTH($W$3+INT((DAY(EOMONTH($W$3,0))-1)/2)+X$14,0)=EOMONTH($W$3,0),X$12,0),0),IF(AND(U$12&lt;&gt;"",U$14&lt;&gt;""),IF(EOMONTH($T$3+INT((DAY(EOMONTH($T$3,0))-1)/2)+U$14,0)=EOMONTH($W$3,0),U$12,0),0),IF(AND(R$12&lt;&gt;"",R$14&lt;&gt;""),IF(EOMONTH($Q$3+INT((DAY(EOMONTH($Q$3,0))-1)/2)+R$14,0)=EOMONTH($W$3,0),R$12,0),0),IF(AND(O$12&lt;&gt;"",O$14&lt;&gt;""),IF(EOMONTH($N$3+INT((DAY(EOMONTH($N$3,0))-1)/2)+O$14,0)=EOMONTH($W$3,0),O$12,0),0),IF(AND(L$12&lt;&gt;"",L$14&lt;&gt;""),IF(EOMONTH($K$3+INT((DAY(EOMONTH($K$3,0))-1)/2)+L$14,0)=EOMONTH($W$3,0),L$12,0),0),IF(AND(I$12&lt;&gt;"",I$14&lt;&gt;""),IF(EOMONTH($H$3+INT((DAY(EOMONTH($H$3,0))-1)/2)+I$14,0)=EOMONTH($W$3,0),I$12,0),0),IF(AND(F$12&lt;&gt;"",F$14&lt;&gt;""),IF(EOMONTH($E$3+INT((DAY(EOMONTH($E$3,0))-1)/2)+F$14,0)=EOMONTH($W$3,0),F$12,0),0),IF(EOMONTH($AL$75+AM$14,0)=EOMONTH($W$3,0),$AL$77,0)),0)</x:f>
        <x:v>11</x:v>
      </x:c>
      <x:c r="Y20" s="49" t="n">
        <x:f>ROUND(SUM(IF(AND(AN$12&lt;&gt;"",AN$14&lt;&gt;""),IF(EOMONTH($AL$3+INT((DAY(EOMONTH($AL$3,0))-1)/2)+AN$14,0)=EOMONTH($W$3,0),AN$12,0),0),IF(AND(AK$12&lt;&gt;"",AK$14&lt;&gt;""),IF(EOMONTH($AI$3+INT((DAY(EOMONTH($AI$3,0))-1)/2)+AK$14,0)=EOMONTH($W$3,0),AK$12,0),0),IF(AND(AH$12&lt;&gt;"",AH$14&lt;&gt;""),IF(EOMONTH($AF$3+INT((DAY(EOMONTH($AF$3,0))-1)/2)+AH$14,0)=EOMONTH($W$3,0),AH$12,0),0),IF(AND(AE$12&lt;&gt;"",AE$14&lt;&gt;""),IF(EOMONTH($AC$3+INT((DAY(EOMONTH($AC$3,0))-1)/2)+AE$14,0)=EOMONTH($W$3,0),AE$12,0),0),IF(AND(AB$12&lt;&gt;"",AB$14&lt;&gt;""),IF(EOMONTH($Z$3+INT((DAY(EOMONTH($Z$3,0))-1)/2)+AB$14,0)=EOMONTH($W$3,0),AB$12,0),0),IF(AND(Y$12&lt;&gt;"",Y$14&lt;&gt;""),IF(EOMONTH($W$3+INT((DAY(EOMONTH($W$3,0))-1)/2)+Y$14,0)=EOMONTH($W$3,0),Y$12,0),0),IF(AND(V$12&lt;&gt;"",V$14&lt;&gt;""),IF(EOMONTH($T$3+INT((DAY(EOMONTH($T$3,0))-1)/2)+V$14,0)=EOMONTH($W$3,0),V$12,0),0),IF(AND(S$12&lt;&gt;"",S$14&lt;&gt;""),IF(EOMONTH($Q$3+INT((DAY(EOMONTH($Q$3,0))-1)/2)+S$14,0)=EOMONTH($W$3,0),S$12,0),0),IF(AND(P$12&lt;&gt;"",P$14&lt;&gt;""),IF(EOMONTH($N$3+INT((DAY(EOMONTH($N$3,0))-1)/2)+P$14,0)=EOMONTH($W$3,0),P$12,0),0),IF(AND(M$12&lt;&gt;"",M$14&lt;&gt;""),IF(EOMONTH($K$3+INT((DAY(EOMONTH($K$3,0))-1)/2)+M$14,0)=EOMONTH($W$3,0),M$12,0),0),IF(AND(J$12&lt;&gt;"",J$14&lt;&gt;""),IF(EOMONTH($H$3+INT((DAY(EOMONTH($H$3,0))-1)/2)+J$14,0)=EOMONTH($W$3,0),J$12,0),0),IF(AND(G$12&lt;&gt;"",G$14&lt;&gt;""),IF(EOMONTH($E$3+INT((DAY(EOMONTH($E$3,0))-1)/2)+G$14,0)=EOMONTH($W$3,0),G$12,0),0),IF(EOMONTH($AL$75+AN$14,0)=EOMONTH($W$3,0),$AL$77,0)),0)</x:f>
        <x:v>11</x:v>
      </x:c>
      <x:c r="Z20" s="47" t="n">
        <x:f>ROUND(SUM(IF(AND(AL$12&lt;&gt;"",AL$14&lt;&gt;""),IF(EOMONTH($AL$3+INT((DAY(EOMONTH($AL$3,0))-1)/2)+AL$14,0)=EOMONTH($Z$3,0),AL$12,0),0),IF(AND(AI$12&lt;&gt;"",AI$14&lt;&gt;""),IF(EOMONTH($AI$3+INT((DAY(EOMONTH($AI$3,0))-1)/2)+AI$14,0)=EOMONTH($Z$3,0),AI$12,0),0),IF(AND(AF$12&lt;&gt;"",AF$14&lt;&gt;""),IF(EOMONTH($AF$3+INT((DAY(EOMONTH($AF$3,0))-1)/2)+AF$14,0)=EOMONTH($Z$3,0),AF$12,0),0),IF(AND(AC$12&lt;&gt;"",AC$14&lt;&gt;""),IF(EOMONTH($AC$3+INT((DAY(EOMONTH($AC$3,0))-1)/2)+AC$14,0)=EOMONTH($Z$3,0),AC$12,0),0),IF(AND(Z$12&lt;&gt;"",Z$14&lt;&gt;""),IF(EOMONTH($Z$3+INT((DAY(EOMONTH($Z$3,0))-1)/2)+Z$14,0)=EOMONTH($Z$3,0),Z$12,0),0),IF(AND(W$12&lt;&gt;"",W$14&lt;&gt;""),IF(EOMONTH($W$3+INT((DAY(EOMONTH($W$3,0))-1)/2)+W$14,0)=EOMONTH($Z$3,0),W$12,0),0),IF(AND(T$12&lt;&gt;"",T$14&lt;&gt;""),IF(EOMONTH($T$3+INT((DAY(EOMONTH($T$3,0))-1)/2)+T$14,0)=EOMONTH($Z$3,0),T$12,0),0),IF(AND(Q$12&lt;&gt;"",Q$14&lt;&gt;""),IF(EOMONTH($Q$3+INT((DAY(EOMONTH($Q$3,0))-1)/2)+Q$14,0)=EOMONTH($Z$3,0),Q$12,0),0),IF(AND(N$12&lt;&gt;"",N$14&lt;&gt;""),IF(EOMONTH($N$3+INT((DAY(EOMONTH($N$3,0))-1)/2)+N$14,0)=EOMONTH($Z$3,0),N$12,0),0),IF(AND(K$12&lt;&gt;"",K$14&lt;&gt;""),IF(EOMONTH($K$3+INT((DAY(EOMONTH($K$3,0))-1)/2)+K$14,0)=EOMONTH($Z$3,0),K$12,0),0),IF(AND(H$12&lt;&gt;"",H$14&lt;&gt;""),IF(EOMONTH($H$3+INT((DAY(EOMONTH($H$3,0))-1)/2)+H$14,0)=EOMONTH($Z$3,0),H$12,0),0),IF(AND(E$12&lt;&gt;"",E$14&lt;&gt;""),IF(EOMONTH($E$3+INT((DAY(EOMONTH($E$3,0))-1)/2)+E$14,0)=EOMONTH($Z$3,0),E$12,0),0),IF(EOMONTH($AL$75+AL$14,0)=EOMONTH($Z$3,0),$AL$77,0)),0)</x:f>
        <x:v>0</x:v>
      </x:c>
      <x:c r="AA20" s="48" t="n">
        <x:f>ROUND(SUM(IF(AND(AM$12&lt;&gt;"",AM$14&lt;&gt;""),IF(EOMONTH($AL$3+INT((DAY(EOMONTH($AL$3,0))-1)/2)+AM$14,0)=EOMONTH($Z$3,0),AM$12,0),0),IF(AND(AJ$12&lt;&gt;"",AJ$14&lt;&gt;""),IF(EOMONTH($AI$3+INT((DAY(EOMONTH($AI$3,0))-1)/2)+AJ$14,0)=EOMONTH($Z$3,0),AJ$12,0),0),IF(AND(AG$12&lt;&gt;"",AG$14&lt;&gt;""),IF(EOMONTH($AF$3+INT((DAY(EOMONTH($AF$3,0))-1)/2)+AG$14,0)=EOMONTH($Z$3,0),AG$12,0),0),IF(AND(AD$12&lt;&gt;"",AD$14&lt;&gt;""),IF(EOMONTH($AC$3+INT((DAY(EOMONTH($AC$3,0))-1)/2)+AD$14,0)=EOMONTH($Z$3,0),AD$12,0),0),IF(AND(AA$12&lt;&gt;"",AA$14&lt;&gt;""),IF(EOMONTH($Z$3+INT((DAY(EOMONTH($Z$3,0))-1)/2)+AA$14,0)=EOMONTH($Z$3,0),AA$12,0),0),IF(AND(X$12&lt;&gt;"",X$14&lt;&gt;""),IF(EOMONTH($W$3+INT((DAY(EOMONTH($W$3,0))-1)/2)+X$14,0)=EOMONTH($Z$3,0),X$12,0),0),IF(AND(U$12&lt;&gt;"",U$14&lt;&gt;""),IF(EOMONTH($T$3+INT((DAY(EOMONTH($T$3,0))-1)/2)+U$14,0)=EOMONTH($Z$3,0),U$12,0),0),IF(AND(R$12&lt;&gt;"",R$14&lt;&gt;""),IF(EOMONTH($Q$3+INT((DAY(EOMONTH($Q$3,0))-1)/2)+R$14,0)=EOMONTH($Z$3,0),R$12,0),0),IF(AND(O$12&lt;&gt;"",O$14&lt;&gt;""),IF(EOMONTH($N$3+INT((DAY(EOMONTH($N$3,0))-1)/2)+O$14,0)=EOMONTH($Z$3,0),O$12,0),0),IF(AND(L$12&lt;&gt;"",L$14&lt;&gt;""),IF(EOMONTH($K$3+INT((DAY(EOMONTH($K$3,0))-1)/2)+L$14,0)=EOMONTH($Z$3,0),L$12,0),0),IF(AND(I$12&lt;&gt;"",I$14&lt;&gt;""),IF(EOMONTH($H$3+INT((DAY(EOMONTH($H$3,0))-1)/2)+I$14,0)=EOMONTH($Z$3,0),I$12,0),0),IF(AND(F$12&lt;&gt;"",F$14&lt;&gt;""),IF(EOMONTH($E$3+INT((DAY(EOMONTH($E$3,0))-1)/2)+F$14,0)=EOMONTH($Z$3,0),F$12,0),0),IF(EOMONTH($AL$75+AM$14,0)=EOMONTH($Z$3,0),$AL$77,0)),0)</x:f>
        <x:v>11</x:v>
      </x:c>
      <x:c r="AB20" s="49" t="n">
        <x:f>ROUND(SUM(IF(AND(AN$12&lt;&gt;"",AN$14&lt;&gt;""),IF(EOMONTH($AL$3+INT((DAY(EOMONTH($AL$3,0))-1)/2)+AN$14,0)=EOMONTH($Z$3,0),AN$12,0),0),IF(AND(AK$12&lt;&gt;"",AK$14&lt;&gt;""),IF(EOMONTH($AI$3+INT((DAY(EOMONTH($AI$3,0))-1)/2)+AK$14,0)=EOMONTH($Z$3,0),AK$12,0),0),IF(AND(AH$12&lt;&gt;"",AH$14&lt;&gt;""),IF(EOMONTH($AF$3+INT((DAY(EOMONTH($AF$3,0))-1)/2)+AH$14,0)=EOMONTH($Z$3,0),AH$12,0),0),IF(AND(AE$12&lt;&gt;"",AE$14&lt;&gt;""),IF(EOMONTH($AC$3+INT((DAY(EOMONTH($AC$3,0))-1)/2)+AE$14,0)=EOMONTH($Z$3,0),AE$12,0),0),IF(AND(AB$12&lt;&gt;"",AB$14&lt;&gt;""),IF(EOMONTH($Z$3+INT((DAY(EOMONTH($Z$3,0))-1)/2)+AB$14,0)=EOMONTH($Z$3,0),AB$12,0),0),IF(AND(Y$12&lt;&gt;"",Y$14&lt;&gt;""),IF(EOMONTH($W$3+INT((DAY(EOMONTH($W$3,0))-1)/2)+Y$14,0)=EOMONTH($Z$3,0),Y$12,0),0),IF(AND(V$12&lt;&gt;"",V$14&lt;&gt;""),IF(EOMONTH($T$3+INT((DAY(EOMONTH($T$3,0))-1)/2)+V$14,0)=EOMONTH($Z$3,0),V$12,0),0),IF(AND(S$12&lt;&gt;"",S$14&lt;&gt;""),IF(EOMONTH($Q$3+INT((DAY(EOMONTH($Q$3,0))-1)/2)+S$14,0)=EOMONTH($Z$3,0),S$12,0),0),IF(AND(P$12&lt;&gt;"",P$14&lt;&gt;""),IF(EOMONTH($N$3+INT((DAY(EOMONTH($N$3,0))-1)/2)+P$14,0)=EOMONTH($Z$3,0),P$12,0),0),IF(AND(M$12&lt;&gt;"",M$14&lt;&gt;""),IF(EOMONTH($K$3+INT((DAY(EOMONTH($K$3,0))-1)/2)+M$14,0)=EOMONTH($Z$3,0),M$12,0),0),IF(AND(J$12&lt;&gt;"",J$14&lt;&gt;""),IF(EOMONTH($H$3+INT((DAY(EOMONTH($H$3,0))-1)/2)+J$14,0)=EOMONTH($Z$3,0),J$12,0),0),IF(AND(G$12&lt;&gt;"",G$14&lt;&gt;""),IF(EOMONTH($E$3+INT((DAY(EOMONTH($E$3,0))-1)/2)+G$14,0)=EOMONTH($Z$3,0),G$12,0),0),IF(EOMONTH($AL$75+AN$14,0)=EOMONTH($Z$3,0),$AL$77,0)),0)</x:f>
        <x:v>11</x:v>
      </x:c>
      <x:c r="AC20" s="47" t="n">
        <x:f>ROUND(SUM(IF(AND(AL$12&lt;&gt;"",AL$14&lt;&gt;""),IF(EOMONTH($AL$3+INT((DAY(EOMONTH($AL$3,0))-1)/2)+AL$14,0)=EOMONTH($AC$3,0),AL$12,0),0),IF(AND(AI$12&lt;&gt;"",AI$14&lt;&gt;""),IF(EOMONTH($AI$3+INT((DAY(EOMONTH($AI$3,0))-1)/2)+AI$14,0)=EOMONTH($AC$3,0),AI$12,0),0),IF(AND(AF$12&lt;&gt;"",AF$14&lt;&gt;""),IF(EOMONTH($AF$3+INT((DAY(EOMONTH($AF$3,0))-1)/2)+AF$14,0)=EOMONTH($AC$3,0),AF$12,0),0),IF(AND(AC$12&lt;&gt;"",AC$14&lt;&gt;""),IF(EOMONTH($AC$3+INT((DAY(EOMONTH($AC$3,0))-1)/2)+AC$14,0)=EOMONTH($AC$3,0),AC$12,0),0),IF(AND(Z$12&lt;&gt;"",Z$14&lt;&gt;""),IF(EOMONTH($Z$3+INT((DAY(EOMONTH($Z$3,0))-1)/2)+Z$14,0)=EOMONTH($AC$3,0),Z$12,0),0),IF(AND(W$12&lt;&gt;"",W$14&lt;&gt;""),IF(EOMONTH($W$3+INT((DAY(EOMONTH($W$3,0))-1)/2)+W$14,0)=EOMONTH($AC$3,0),W$12,0),0),IF(AND(T$12&lt;&gt;"",T$14&lt;&gt;""),IF(EOMONTH($T$3+INT((DAY(EOMONTH($T$3,0))-1)/2)+T$14,0)=EOMONTH($AC$3,0),T$12,0),0),IF(AND(Q$12&lt;&gt;"",Q$14&lt;&gt;""),IF(EOMONTH($Q$3+INT((DAY(EOMONTH($Q$3,0))-1)/2)+Q$14,0)=EOMONTH($AC$3,0),Q$12,0),0),IF(AND(N$12&lt;&gt;"",N$14&lt;&gt;""),IF(EOMONTH($N$3+INT((DAY(EOMONTH($N$3,0))-1)/2)+N$14,0)=EOMONTH($AC$3,0),N$12,0),0),IF(AND(K$12&lt;&gt;"",K$14&lt;&gt;""),IF(EOMONTH($K$3+INT((DAY(EOMONTH($K$3,0))-1)/2)+K$14,0)=EOMONTH($AC$3,0),K$12,0),0),IF(AND(H$12&lt;&gt;"",H$14&lt;&gt;""),IF(EOMONTH($H$3+INT((DAY(EOMONTH($H$3,0))-1)/2)+H$14,0)=EOMONTH($AC$3,0),H$12,0),0),IF(AND(E$12&lt;&gt;"",E$14&lt;&gt;""),IF(EOMONTH($E$3+INT((DAY(EOMONTH($E$3,0))-1)/2)+E$14,0)=EOMONTH($AC$3,0),E$12,0),0),IF(EOMONTH($AL$75+AL$14,0)=EOMONTH($AC$3,0),$AL$77,0)),0)</x:f>
        <x:v>0</x:v>
      </x:c>
      <x:c r="AD20" s="48" t="n">
        <x:f>ROUND(SUM(IF(AND(AM$12&lt;&gt;"",AM$14&lt;&gt;""),IF(EOMONTH($AL$3+INT((DAY(EOMONTH($AL$3,0))-1)/2)+AM$14,0)=EOMONTH($AC$3,0),AM$12,0),0),IF(AND(AJ$12&lt;&gt;"",AJ$14&lt;&gt;""),IF(EOMONTH($AI$3+INT((DAY(EOMONTH($AI$3,0))-1)/2)+AJ$14,0)=EOMONTH($AC$3,0),AJ$12,0),0),IF(AND(AG$12&lt;&gt;"",AG$14&lt;&gt;""),IF(EOMONTH($AF$3+INT((DAY(EOMONTH($AF$3,0))-1)/2)+AG$14,0)=EOMONTH($AC$3,0),AG$12,0),0),IF(AND(AD$12&lt;&gt;"",AD$14&lt;&gt;""),IF(EOMONTH($AC$3+INT((DAY(EOMONTH($AC$3,0))-1)/2)+AD$14,0)=EOMONTH($AC$3,0),AD$12,0),0),IF(AND(AA$12&lt;&gt;"",AA$14&lt;&gt;""),IF(EOMONTH($Z$3+INT((DAY(EOMONTH($Z$3,0))-1)/2)+AA$14,0)=EOMONTH($AC$3,0),AA$12,0),0),IF(AND(X$12&lt;&gt;"",X$14&lt;&gt;""),IF(EOMONTH($W$3+INT((DAY(EOMONTH($W$3,0))-1)/2)+X$14,0)=EOMONTH($AC$3,0),X$12,0),0),IF(AND(U$12&lt;&gt;"",U$14&lt;&gt;""),IF(EOMONTH($T$3+INT((DAY(EOMONTH($T$3,0))-1)/2)+U$14,0)=EOMONTH($AC$3,0),U$12,0),0),IF(AND(R$12&lt;&gt;"",R$14&lt;&gt;""),IF(EOMONTH($Q$3+INT((DAY(EOMONTH($Q$3,0))-1)/2)+R$14,0)=EOMONTH($AC$3,0),R$12,0),0),IF(AND(O$12&lt;&gt;"",O$14&lt;&gt;""),IF(EOMONTH($N$3+INT((DAY(EOMONTH($N$3,0))-1)/2)+O$14,0)=EOMONTH($AC$3,0),O$12,0),0),IF(AND(L$12&lt;&gt;"",L$14&lt;&gt;""),IF(EOMONTH($K$3+INT((DAY(EOMONTH($K$3,0))-1)/2)+L$14,0)=EOMONTH($AC$3,0),L$12,0),0),IF(AND(I$12&lt;&gt;"",I$14&lt;&gt;""),IF(EOMONTH($H$3+INT((DAY(EOMONTH($H$3,0))-1)/2)+I$14,0)=EOMONTH($AC$3,0),I$12,0),0),IF(AND(F$12&lt;&gt;"",F$14&lt;&gt;""),IF(EOMONTH($E$3+INT((DAY(EOMONTH($E$3,0))-1)/2)+F$14,0)=EOMONTH($AC$3,0),F$12,0),0),IF(EOMONTH($AL$75+AM$14,0)=EOMONTH($AC$3,0),$AL$77,0)),0)</x:f>
        <x:v>8</x:v>
      </x:c>
      <x:c r="AE20" s="49" t="n">
        <x:f>ROUND(SUM(IF(AND(AN$12&lt;&gt;"",AN$14&lt;&gt;""),IF(EOMONTH($AL$3+INT((DAY(EOMONTH($AL$3,0))-1)/2)+AN$14,0)=EOMONTH($AC$3,0),AN$12,0),0),IF(AND(AK$12&lt;&gt;"",AK$14&lt;&gt;""),IF(EOMONTH($AI$3+INT((DAY(EOMONTH($AI$3,0))-1)/2)+AK$14,0)=EOMONTH($AC$3,0),AK$12,0),0),IF(AND(AH$12&lt;&gt;"",AH$14&lt;&gt;""),IF(EOMONTH($AF$3+INT((DAY(EOMONTH($AF$3,0))-1)/2)+AH$14,0)=EOMONTH($AC$3,0),AH$12,0),0),IF(AND(AE$12&lt;&gt;"",AE$14&lt;&gt;""),IF(EOMONTH($AC$3+INT((DAY(EOMONTH($AC$3,0))-1)/2)+AE$14,0)=EOMONTH($AC$3,0),AE$12,0),0),IF(AND(AB$12&lt;&gt;"",AB$14&lt;&gt;""),IF(EOMONTH($Z$3+INT((DAY(EOMONTH($Z$3,0))-1)/2)+AB$14,0)=EOMONTH($AC$3,0),AB$12,0),0),IF(AND(Y$12&lt;&gt;"",Y$14&lt;&gt;""),IF(EOMONTH($W$3+INT((DAY(EOMONTH($W$3,0))-1)/2)+Y$14,0)=EOMONTH($AC$3,0),Y$12,0),0),IF(AND(V$12&lt;&gt;"",V$14&lt;&gt;""),IF(EOMONTH($T$3+INT((DAY(EOMONTH($T$3,0))-1)/2)+V$14,0)=EOMONTH($AC$3,0),V$12,0),0),IF(AND(S$12&lt;&gt;"",S$14&lt;&gt;""),IF(EOMONTH($Q$3+INT((DAY(EOMONTH($Q$3,0))-1)/2)+S$14,0)=EOMONTH($AC$3,0),S$12,0),0),IF(AND(P$12&lt;&gt;"",P$14&lt;&gt;""),IF(EOMONTH($N$3+INT((DAY(EOMONTH($N$3,0))-1)/2)+P$14,0)=EOMONTH($AC$3,0),P$12,0),0),IF(AND(M$12&lt;&gt;"",M$14&lt;&gt;""),IF(EOMONTH($K$3+INT((DAY(EOMONTH($K$3,0))-1)/2)+M$14,0)=EOMONTH($AC$3,0),M$12,0),0),IF(AND(J$12&lt;&gt;"",J$14&lt;&gt;""),IF(EOMONTH($H$3+INT((DAY(EOMONTH($H$3,0))-1)/2)+J$14,0)=EOMONTH($AC$3,0),J$12,0),0),IF(AND(G$12&lt;&gt;"",G$14&lt;&gt;""),IF(EOMONTH($E$3+INT((DAY(EOMONTH($E$3,0))-1)/2)+G$14,0)=EOMONTH($AC$3,0),G$12,0),0),IF(EOMONTH($AL$75+AN$14,0)=EOMONTH($AC$3,0),$AL$77,0)),0)</x:f>
        <x:v>10</x:v>
      </x:c>
      <x:c r="AF20" s="47" t="n">
        <x:f>ROUND(SUM(IF(AND(AL$12&lt;&gt;"",AL$14&lt;&gt;""),IF(EOMONTH($AL$3+INT((DAY(EOMONTH($AL$3,0))-1)/2)+AL$14,0)=EOMONTH($AF$3,0),AL$12,0),0),IF(AND(AI$12&lt;&gt;"",AI$14&lt;&gt;""),IF(EOMONTH($AI$3+INT((DAY(EOMONTH($AI$3,0))-1)/2)+AI$14,0)=EOMONTH($AF$3,0),AI$12,0),0),IF(AND(AF$12&lt;&gt;"",AF$14&lt;&gt;""),IF(EOMONTH($AF$3+INT((DAY(EOMONTH($AF$3,0))-1)/2)+AF$14,0)=EOMONTH($AF$3,0),AF$12,0),0),IF(AND(AC$12&lt;&gt;"",AC$14&lt;&gt;""),IF(EOMONTH($AC$3+INT((DAY(EOMONTH($AC$3,0))-1)/2)+AC$14,0)=EOMONTH($AF$3,0),AC$12,0),0),IF(AND(Z$12&lt;&gt;"",Z$14&lt;&gt;""),IF(EOMONTH($Z$3+INT((DAY(EOMONTH($Z$3,0))-1)/2)+Z$14,0)=EOMONTH($AF$3,0),Z$12,0),0),IF(AND(W$12&lt;&gt;"",W$14&lt;&gt;""),IF(EOMONTH($W$3+INT((DAY(EOMONTH($W$3,0))-1)/2)+W$14,0)=EOMONTH($AF$3,0),W$12,0),0),IF(AND(T$12&lt;&gt;"",T$14&lt;&gt;""),IF(EOMONTH($T$3+INT((DAY(EOMONTH($T$3,0))-1)/2)+T$14,0)=EOMONTH($AF$3,0),T$12,0),0),IF(AND(Q$12&lt;&gt;"",Q$14&lt;&gt;""),IF(EOMONTH($Q$3+INT((DAY(EOMONTH($Q$3,0))-1)/2)+Q$14,0)=EOMONTH($AF$3,0),Q$12,0),0),IF(AND(N$12&lt;&gt;"",N$14&lt;&gt;""),IF(EOMONTH($N$3+INT((DAY(EOMONTH($N$3,0))-1)/2)+N$14,0)=EOMONTH($AF$3,0),N$12,0),0),IF(AND(K$12&lt;&gt;"",K$14&lt;&gt;""),IF(EOMONTH($K$3+INT((DAY(EOMONTH($K$3,0))-1)/2)+K$14,0)=EOMONTH($AF$3,0),K$12,0),0),IF(AND(H$12&lt;&gt;"",H$14&lt;&gt;""),IF(EOMONTH($H$3+INT((DAY(EOMONTH($H$3,0))-1)/2)+H$14,0)=EOMONTH($AF$3,0),H$12,0),0),IF(AND(E$12&lt;&gt;"",E$14&lt;&gt;""),IF(EOMONTH($E$3+INT((DAY(EOMONTH($E$3,0))-1)/2)+E$14,0)=EOMONTH($AF$3,0),E$12,0),0),IF(EOMONTH($AL$75+AL$14,0)=EOMONTH($AF$3,0),$AL$77,0)),0)</x:f>
        <x:v>8</x:v>
      </x:c>
      <x:c r="AG20" s="48" t="n">
        <x:f>ROUND(SUM(IF(AND(AM$12&lt;&gt;"",AM$14&lt;&gt;""),IF(EOMONTH($AL$3+INT((DAY(EOMONTH($AL$3,0))-1)/2)+AM$14,0)=EOMONTH($AF$3,0),AM$12,0),0),IF(AND(AJ$12&lt;&gt;"",AJ$14&lt;&gt;""),IF(EOMONTH($AI$3+INT((DAY(EOMONTH($AI$3,0))-1)/2)+AJ$14,0)=EOMONTH($AF$3,0),AJ$12,0),0),IF(AND(AG$12&lt;&gt;"",AG$14&lt;&gt;""),IF(EOMONTH($AF$3+INT((DAY(EOMONTH($AF$3,0))-1)/2)+AG$14,0)=EOMONTH($AF$3,0),AG$12,0),0),IF(AND(AD$12&lt;&gt;"",AD$14&lt;&gt;""),IF(EOMONTH($AC$3+INT((DAY(EOMONTH($AC$3,0))-1)/2)+AD$14,0)=EOMONTH($AF$3,0),AD$12,0),0),IF(AND(AA$12&lt;&gt;"",AA$14&lt;&gt;""),IF(EOMONTH($Z$3+INT((DAY(EOMONTH($Z$3,0))-1)/2)+AA$14,0)=EOMONTH($AF$3,0),AA$12,0),0),IF(AND(X$12&lt;&gt;"",X$14&lt;&gt;""),IF(EOMONTH($W$3+INT((DAY(EOMONTH($W$3,0))-1)/2)+X$14,0)=EOMONTH($AF$3,0),X$12,0),0),IF(AND(U$12&lt;&gt;"",U$14&lt;&gt;""),IF(EOMONTH($T$3+INT((DAY(EOMONTH($T$3,0))-1)/2)+U$14,0)=EOMONTH($AF$3,0),U$12,0),0),IF(AND(R$12&lt;&gt;"",R$14&lt;&gt;""),IF(EOMONTH($Q$3+INT((DAY(EOMONTH($Q$3,0))-1)/2)+R$14,0)=EOMONTH($AF$3,0),R$12,0),0),IF(AND(O$12&lt;&gt;"",O$14&lt;&gt;""),IF(EOMONTH($N$3+INT((DAY(EOMONTH($N$3,0))-1)/2)+O$14,0)=EOMONTH($AF$3,0),O$12,0),0),IF(AND(L$12&lt;&gt;"",L$14&lt;&gt;""),IF(EOMONTH($K$3+INT((DAY(EOMONTH($K$3,0))-1)/2)+L$14,0)=EOMONTH($AF$3,0),L$12,0),0),IF(AND(I$12&lt;&gt;"",I$14&lt;&gt;""),IF(EOMONTH($H$3+INT((DAY(EOMONTH($H$3,0))-1)/2)+I$14,0)=EOMONTH($AF$3,0),I$12,0),0),IF(AND(F$12&lt;&gt;"",F$14&lt;&gt;""),IF(EOMONTH($E$3+INT((DAY(EOMONTH($E$3,0))-1)/2)+F$14,0)=EOMONTH($AF$3,0),F$12,0),0),IF(EOMONTH($AL$75+AM$14,0)=EOMONTH($AF$3,0),$AL$77,0)),0)</x:f>
        <x:v>8</x:v>
      </x:c>
      <x:c r="AH20" s="49" t="n">
        <x:f>ROUND(SUM(IF(AND(AN$12&lt;&gt;"",AN$14&lt;&gt;""),IF(EOMONTH($AL$3+INT((DAY(EOMONTH($AL$3,0))-1)/2)+AN$14,0)=EOMONTH($AF$3,0),AN$12,0),0),IF(AND(AK$12&lt;&gt;"",AK$14&lt;&gt;""),IF(EOMONTH($AI$3+INT((DAY(EOMONTH($AI$3,0))-1)/2)+AK$14,0)=EOMONTH($AF$3,0),AK$12,0),0),IF(AND(AH$12&lt;&gt;"",AH$14&lt;&gt;""),IF(EOMONTH($AF$3+INT((DAY(EOMONTH($AF$3,0))-1)/2)+AH$14,0)=EOMONTH($AF$3,0),AH$12,0),0),IF(AND(AE$12&lt;&gt;"",AE$14&lt;&gt;""),IF(EOMONTH($AC$3+INT((DAY(EOMONTH($AC$3,0))-1)/2)+AE$14,0)=EOMONTH($AF$3,0),AE$12,0),0),IF(AND(AB$12&lt;&gt;"",AB$14&lt;&gt;""),IF(EOMONTH($Z$3+INT((DAY(EOMONTH($Z$3,0))-1)/2)+AB$14,0)=EOMONTH($AF$3,0),AB$12,0),0),IF(AND(Y$12&lt;&gt;"",Y$14&lt;&gt;""),IF(EOMONTH($W$3+INT((DAY(EOMONTH($W$3,0))-1)/2)+Y$14,0)=EOMONTH($AF$3,0),Y$12,0),0),IF(AND(V$12&lt;&gt;"",V$14&lt;&gt;""),IF(EOMONTH($T$3+INT((DAY(EOMONTH($T$3,0))-1)/2)+V$14,0)=EOMONTH($AF$3,0),V$12,0),0),IF(AND(S$12&lt;&gt;"",S$14&lt;&gt;""),IF(EOMONTH($Q$3+INT((DAY(EOMONTH($Q$3,0))-1)/2)+S$14,0)=EOMONTH($AF$3,0),S$12,0),0),IF(AND(P$12&lt;&gt;"",P$14&lt;&gt;""),IF(EOMONTH($N$3+INT((DAY(EOMONTH($N$3,0))-1)/2)+P$14,0)=EOMONTH($AF$3,0),P$12,0),0),IF(AND(M$12&lt;&gt;"",M$14&lt;&gt;""),IF(EOMONTH($K$3+INT((DAY(EOMONTH($K$3,0))-1)/2)+M$14,0)=EOMONTH($AF$3,0),M$12,0),0),IF(AND(J$12&lt;&gt;"",J$14&lt;&gt;""),IF(EOMONTH($H$3+INT((DAY(EOMONTH($H$3,0))-1)/2)+J$14,0)=EOMONTH($AF$3,0),J$12,0),0),IF(AND(G$12&lt;&gt;"",G$14&lt;&gt;""),IF(EOMONTH($E$3+INT((DAY(EOMONTH($E$3,0))-1)/2)+G$14,0)=EOMONTH($AF$3,0),G$12,0),0),IF(EOMONTH($AL$75+AN$14,0)=EOMONTH($AF$3,0),$AL$77,0)),0)</x:f>
        <x:v>10</x:v>
      </x:c>
      <x:c r="AI20" s="47" t="n">
        <x:f>ROUND(SUM(IF(AND(AL$12&lt;&gt;"",AL$14&lt;&gt;""),IF(EOMONTH($AL$3+INT((DAY(EOMONTH($AL$3,0))-1)/2)+AL$14,0)=EOMONTH($AI$3,0),AL$12,0),0),IF(AND(AI$12&lt;&gt;"",AI$14&lt;&gt;""),IF(EOMONTH($AI$3+INT((DAY(EOMONTH($AI$3,0))-1)/2)+AI$14,0)=EOMONTH($AI$3,0),AI$12,0),0),IF(AND(AF$12&lt;&gt;"",AF$14&lt;&gt;""),IF(EOMONTH($AF$3+INT((DAY(EOMONTH($AF$3,0))-1)/2)+AF$14,0)=EOMONTH($AI$3,0),AF$12,0),0),IF(AND(AC$12&lt;&gt;"",AC$14&lt;&gt;""),IF(EOMONTH($AC$3+INT((DAY(EOMONTH($AC$3,0))-1)/2)+AC$14,0)=EOMONTH($AI$3,0),AC$12,0),0),IF(AND(Z$12&lt;&gt;"",Z$14&lt;&gt;""),IF(EOMONTH($Z$3+INT((DAY(EOMONTH($Z$3,0))-1)/2)+Z$14,0)=EOMONTH($AI$3,0),Z$12,0),0),IF(AND(W$12&lt;&gt;"",W$14&lt;&gt;""),IF(EOMONTH($W$3+INT((DAY(EOMONTH($W$3,0))-1)/2)+W$14,0)=EOMONTH($AI$3,0),W$12,0),0),IF(AND(T$12&lt;&gt;"",T$14&lt;&gt;""),IF(EOMONTH($T$3+INT((DAY(EOMONTH($T$3,0))-1)/2)+T$14,0)=EOMONTH($AI$3,0),T$12,0),0),IF(AND(Q$12&lt;&gt;"",Q$14&lt;&gt;""),IF(EOMONTH($Q$3+INT((DAY(EOMONTH($Q$3,0))-1)/2)+Q$14,0)=EOMONTH($AI$3,0),Q$12,0),0),IF(AND(N$12&lt;&gt;"",N$14&lt;&gt;""),IF(EOMONTH($N$3+INT((DAY(EOMONTH($N$3,0))-1)/2)+N$14,0)=EOMONTH($AI$3,0),N$12,0),0),IF(AND(K$12&lt;&gt;"",K$14&lt;&gt;""),IF(EOMONTH($K$3+INT((DAY(EOMONTH($K$3,0))-1)/2)+K$14,0)=EOMONTH($AI$3,0),K$12,0),0),IF(AND(H$12&lt;&gt;"",H$14&lt;&gt;""),IF(EOMONTH($H$3+INT((DAY(EOMONTH($H$3,0))-1)/2)+H$14,0)=EOMONTH($AI$3,0),H$12,0),0),IF(AND(E$12&lt;&gt;"",E$14&lt;&gt;""),IF(EOMONTH($E$3+INT((DAY(EOMONTH($E$3,0))-1)/2)+E$14,0)=EOMONTH($AI$3,0),E$12,0),0),IF(EOMONTH($AL$75+AL$14,0)=EOMONTH($AI$3,0),$AL$77,0)),0)</x:f>
        <x:v>7</x:v>
      </x:c>
      <x:c r="AJ20" s="48" t="n">
        <x:f>ROUND(SUM(IF(AND(AM$12&lt;&gt;"",AM$14&lt;&gt;""),IF(EOMONTH($AL$3+INT((DAY(EOMONTH($AL$3,0))-1)/2)+AM$14,0)=EOMONTH($AI$3,0),AM$12,0),0),IF(AND(AJ$12&lt;&gt;"",AJ$14&lt;&gt;""),IF(EOMONTH($AI$3+INT((DAY(EOMONTH($AI$3,0))-1)/2)+AJ$14,0)=EOMONTH($AI$3,0),AJ$12,0),0),IF(AND(AG$12&lt;&gt;"",AG$14&lt;&gt;""),IF(EOMONTH($AF$3+INT((DAY(EOMONTH($AF$3,0))-1)/2)+AG$14,0)=EOMONTH($AI$3,0),AG$12,0),0),IF(AND(AD$12&lt;&gt;"",AD$14&lt;&gt;""),IF(EOMONTH($AC$3+INT((DAY(EOMONTH($AC$3,0))-1)/2)+AD$14,0)=EOMONTH($AI$3,0),AD$12,0),0),IF(AND(AA$12&lt;&gt;"",AA$14&lt;&gt;""),IF(EOMONTH($Z$3+INT((DAY(EOMONTH($Z$3,0))-1)/2)+AA$14,0)=EOMONTH($AI$3,0),AA$12,0),0),IF(AND(X$12&lt;&gt;"",X$14&lt;&gt;""),IF(EOMONTH($W$3+INT((DAY(EOMONTH($W$3,0))-1)/2)+X$14,0)=EOMONTH($AI$3,0),X$12,0),0),IF(AND(U$12&lt;&gt;"",U$14&lt;&gt;""),IF(EOMONTH($T$3+INT((DAY(EOMONTH($T$3,0))-1)/2)+U$14,0)=EOMONTH($AI$3,0),U$12,0),0),IF(AND(R$12&lt;&gt;"",R$14&lt;&gt;""),IF(EOMONTH($Q$3+INT((DAY(EOMONTH($Q$3,0))-1)/2)+R$14,0)=EOMONTH($AI$3,0),R$12,0),0),IF(AND(O$12&lt;&gt;"",O$14&lt;&gt;""),IF(EOMONTH($N$3+INT((DAY(EOMONTH($N$3,0))-1)/2)+O$14,0)=EOMONTH($AI$3,0),O$12,0),0),IF(AND(L$12&lt;&gt;"",L$14&lt;&gt;""),IF(EOMONTH($K$3+INT((DAY(EOMONTH($K$3,0))-1)/2)+L$14,0)=EOMONTH($AI$3,0),L$12,0),0),IF(AND(I$12&lt;&gt;"",I$14&lt;&gt;""),IF(EOMONTH($H$3+INT((DAY(EOMONTH($H$3,0))-1)/2)+I$14,0)=EOMONTH($AI$3,0),I$12,0),0),IF(AND(F$12&lt;&gt;"",F$14&lt;&gt;""),IF(EOMONTH($E$3+INT((DAY(EOMONTH($E$3,0))-1)/2)+F$14,0)=EOMONTH($AI$3,0),F$12,0),0),IF(EOMONTH($AL$75+AM$14,0)=EOMONTH($AI$3,0),$AL$77,0)),0)</x:f>
        <x:v>7</x:v>
      </x:c>
      <x:c r="AK20" s="49" t="n">
        <x:f>ROUND(SUM(IF(AND(AN$12&lt;&gt;"",AN$14&lt;&gt;""),IF(EOMONTH($AL$3+INT((DAY(EOMONTH($AL$3,0))-1)/2)+AN$14,0)=EOMONTH($AI$3,0),AN$12,0),0),IF(AND(AK$12&lt;&gt;"",AK$14&lt;&gt;""),IF(EOMONTH($AI$3+INT((DAY(EOMONTH($AI$3,0))-1)/2)+AK$14,0)=EOMONTH($AI$3,0),AK$12,0),0),IF(AND(AH$12&lt;&gt;"",AH$14&lt;&gt;""),IF(EOMONTH($AF$3+INT((DAY(EOMONTH($AF$3,0))-1)/2)+AH$14,0)=EOMONTH($AI$3,0),AH$12,0),0),IF(AND(AE$12&lt;&gt;"",AE$14&lt;&gt;""),IF(EOMONTH($AC$3+INT((DAY(EOMONTH($AC$3,0))-1)/2)+AE$14,0)=EOMONTH($AI$3,0),AE$12,0),0),IF(AND(AB$12&lt;&gt;"",AB$14&lt;&gt;""),IF(EOMONTH($Z$3+INT((DAY(EOMONTH($Z$3,0))-1)/2)+AB$14,0)=EOMONTH($AI$3,0),AB$12,0),0),IF(AND(Y$12&lt;&gt;"",Y$14&lt;&gt;""),IF(EOMONTH($W$3+INT((DAY(EOMONTH($W$3,0))-1)/2)+Y$14,0)=EOMONTH($AI$3,0),Y$12,0),0),IF(AND(V$12&lt;&gt;"",V$14&lt;&gt;""),IF(EOMONTH($T$3+INT((DAY(EOMONTH($T$3,0))-1)/2)+V$14,0)=EOMONTH($AI$3,0),V$12,0),0),IF(AND(S$12&lt;&gt;"",S$14&lt;&gt;""),IF(EOMONTH($Q$3+INT((DAY(EOMONTH($Q$3,0))-1)/2)+S$14,0)=EOMONTH($AI$3,0),S$12,0),0),IF(AND(P$12&lt;&gt;"",P$14&lt;&gt;""),IF(EOMONTH($N$3+INT((DAY(EOMONTH($N$3,0))-1)/2)+P$14,0)=EOMONTH($AI$3,0),P$12,0),0),IF(AND(M$12&lt;&gt;"",M$14&lt;&gt;""),IF(EOMONTH($K$3+INT((DAY(EOMONTH($K$3,0))-1)/2)+M$14,0)=EOMONTH($AI$3,0),M$12,0),0),IF(AND(J$12&lt;&gt;"",J$14&lt;&gt;""),IF(EOMONTH($H$3+INT((DAY(EOMONTH($H$3,0))-1)/2)+J$14,0)=EOMONTH($AI$3,0),J$12,0),0),IF(AND(G$12&lt;&gt;"",G$14&lt;&gt;""),IF(EOMONTH($E$3+INT((DAY(EOMONTH($E$3,0))-1)/2)+G$14,0)=EOMONTH($AI$3,0),G$12,0),0),IF(EOMONTH($AL$75+AN$14,0)=EOMONTH($AI$3,0),$AL$77,0)),0)</x:f>
        <x:v>10</x:v>
      </x:c>
      <x:c r="AL20" s="47" t="n">
        <x:f>ROUND(SUM(IF(AND(AL$12&lt;&gt;"",AL$14&lt;&gt;""),IF(EOMONTH($AL$3+INT((DAY(EOMONTH($AL$3,0))-1)/2)+AL$14,0)=EOMONTH($AL$3,0),AL$12,0),0),IF(AND(AI$12&lt;&gt;"",AI$14&lt;&gt;""),IF(EOMONTH($AI$3+INT((DAY(EOMONTH($AI$3,0))-1)/2)+AI$14,0)=EOMONTH($AL$3,0),AI$12,0),0),IF(AND(AF$12&lt;&gt;"",AF$14&lt;&gt;""),IF(EOMONTH($AF$3+INT((DAY(EOMONTH($AF$3,0))-1)/2)+AF$14,0)=EOMONTH($AL$3,0),AF$12,0),0),IF(AND(AC$12&lt;&gt;"",AC$14&lt;&gt;""),IF(EOMONTH($AC$3+INT((DAY(EOMONTH($AC$3,0))-1)/2)+AC$14,0)=EOMONTH($AL$3,0),AC$12,0),0),IF(AND(Z$12&lt;&gt;"",Z$14&lt;&gt;""),IF(EOMONTH($Z$3+INT((DAY(EOMONTH($Z$3,0))-1)/2)+Z$14,0)=EOMONTH($AL$3,0),Z$12,0),0),IF(AND(W$12&lt;&gt;"",W$14&lt;&gt;""),IF(EOMONTH($W$3+INT((DAY(EOMONTH($W$3,0))-1)/2)+W$14,0)=EOMONTH($AL$3,0),W$12,0),0),IF(AND(T$12&lt;&gt;"",T$14&lt;&gt;""),IF(EOMONTH($T$3+INT((DAY(EOMONTH($T$3,0))-1)/2)+T$14,0)=EOMONTH($AL$3,0),T$12,0),0),IF(AND(Q$12&lt;&gt;"",Q$14&lt;&gt;""),IF(EOMONTH($Q$3+INT((DAY(EOMONTH($Q$3,0))-1)/2)+Q$14,0)=EOMONTH($AL$3,0),Q$12,0),0),IF(AND(N$12&lt;&gt;"",N$14&lt;&gt;""),IF(EOMONTH($N$3+INT((DAY(EOMONTH($N$3,0))-1)/2)+N$14,0)=EOMONTH($AL$3,0),N$12,0),0),IF(AND(K$12&lt;&gt;"",K$14&lt;&gt;""),IF(EOMONTH($K$3+INT((DAY(EOMONTH($K$3,0))-1)/2)+K$14,0)=EOMONTH($AL$3,0),K$12,0),0),IF(AND(H$12&lt;&gt;"",H$14&lt;&gt;""),IF(EOMONTH($H$3+INT((DAY(EOMONTH($H$3,0))-1)/2)+H$14,0)=EOMONTH($AL$3,0),H$12,0),0),IF(AND(E$12&lt;&gt;"",E$14&lt;&gt;""),IF(EOMONTH($E$3+INT((DAY(EOMONTH($E$3,0))-1)/2)+E$14,0)=EOMONTH($AL$3,0),E$12,0),0),IF(EOMONTH($AL$75+AL$14,0)=EOMONTH($AL$3,0),$AL$77,0)),0)</x:f>
        <x:v>10</x:v>
      </x:c>
      <x:c r="AM20" s="48" t="n">
        <x:f>ROUND(SUM(IF(AND(AM$12&lt;&gt;"",AM$14&lt;&gt;""),IF(EOMONTH($AL$3+INT((DAY(EOMONTH($AL$3,0))-1)/2)+AM$14,0)=EOMONTH($AL$3,0),AM$12,0),0),IF(AND(AJ$12&lt;&gt;"",AJ$14&lt;&gt;""),IF(EOMONTH($AI$3+INT((DAY(EOMONTH($AI$3,0))-1)/2)+AJ$14,0)=EOMONTH($AL$3,0),AJ$12,0),0),IF(AND(AG$12&lt;&gt;"",AG$14&lt;&gt;""),IF(EOMONTH($AF$3+INT((DAY(EOMONTH($AF$3,0))-1)/2)+AG$14,0)=EOMONTH($AL$3,0),AG$12,0),0),IF(AND(AD$12&lt;&gt;"",AD$14&lt;&gt;""),IF(EOMONTH($AC$3+INT((DAY(EOMONTH($AC$3,0))-1)/2)+AD$14,0)=EOMONTH($AL$3,0),AD$12,0),0),IF(AND(AA$12&lt;&gt;"",AA$14&lt;&gt;""),IF(EOMONTH($Z$3+INT((DAY(EOMONTH($Z$3,0))-1)/2)+AA$14,0)=EOMONTH($AL$3,0),AA$12,0),0),IF(AND(X$12&lt;&gt;"",X$14&lt;&gt;""),IF(EOMONTH($W$3+INT((DAY(EOMONTH($W$3,0))-1)/2)+X$14,0)=EOMONTH($AL$3,0),X$12,0),0),IF(AND(U$12&lt;&gt;"",U$14&lt;&gt;""),IF(EOMONTH($T$3+INT((DAY(EOMONTH($T$3,0))-1)/2)+U$14,0)=EOMONTH($AL$3,0),U$12,0),0),IF(AND(R$12&lt;&gt;"",R$14&lt;&gt;""),IF(EOMONTH($Q$3+INT((DAY(EOMONTH($Q$3,0))-1)/2)+R$14,0)=EOMONTH($AL$3,0),R$12,0),0),IF(AND(O$12&lt;&gt;"",O$14&lt;&gt;""),IF(EOMONTH($N$3+INT((DAY(EOMONTH($N$3,0))-1)/2)+O$14,0)=EOMONTH($AL$3,0),O$12,0),0),IF(AND(L$12&lt;&gt;"",L$14&lt;&gt;""),IF(EOMONTH($K$3+INT((DAY(EOMONTH($K$3,0))-1)/2)+L$14,0)=EOMONTH($AL$3,0),L$12,0),0),IF(AND(I$12&lt;&gt;"",I$14&lt;&gt;""),IF(EOMONTH($H$3+INT((DAY(EOMONTH($H$3,0))-1)/2)+I$14,0)=EOMONTH($AL$3,0),I$12,0),0),IF(AND(F$12&lt;&gt;"",F$14&lt;&gt;""),IF(EOMONTH($E$3+INT((DAY(EOMONTH($E$3,0))-1)/2)+F$14,0)=EOMONTH($AL$3,0),F$12,0),0),IF(EOMONTH($AL$75+AM$14,0)=EOMONTH($AL$3,0),$AL$77,0)),0)</x:f>
        <x:v>10</x:v>
      </x:c>
      <x:c r="AN20" s="49" t="n">
        <x:f>ROUND(SUM(IF(AND(AN$12&lt;&gt;"",AN$14&lt;&gt;""),IF(EOMONTH($AL$3+INT((DAY(EOMONTH($AL$3,0))-1)/2)+AN$14,0)=EOMONTH($AL$3,0),AN$12,0),0),IF(AND(AK$12&lt;&gt;"",AK$14&lt;&gt;""),IF(EOMONTH($AI$3+INT((DAY(EOMONTH($AI$3,0))-1)/2)+AK$14,0)=EOMONTH($AL$3,0),AK$12,0),0),IF(AND(AH$12&lt;&gt;"",AH$14&lt;&gt;""),IF(EOMONTH($AF$3+INT((DAY(EOMONTH($AF$3,0))-1)/2)+AH$14,0)=EOMONTH($AL$3,0),AH$12,0),0),IF(AND(AE$12&lt;&gt;"",AE$14&lt;&gt;""),IF(EOMONTH($AC$3+INT((DAY(EOMONTH($AC$3,0))-1)/2)+AE$14,0)=EOMONTH($AL$3,0),AE$12,0),0),IF(AND(AB$12&lt;&gt;"",AB$14&lt;&gt;""),IF(EOMONTH($Z$3+INT((DAY(EOMONTH($Z$3,0))-1)/2)+AB$14,0)=EOMONTH($AL$3,0),AB$12,0),0),IF(AND(Y$12&lt;&gt;"",Y$14&lt;&gt;""),IF(EOMONTH($W$3+INT((DAY(EOMONTH($W$3,0))-1)/2)+Y$14,0)=EOMONTH($AL$3,0),Y$12,0),0),IF(AND(V$12&lt;&gt;"",V$14&lt;&gt;""),IF(EOMONTH($T$3+INT((DAY(EOMONTH($T$3,0))-1)/2)+V$14,0)=EOMONTH($AL$3,0),V$12,0),0),IF(AND(S$12&lt;&gt;"",S$14&lt;&gt;""),IF(EOMONTH($Q$3+INT((DAY(EOMONTH($Q$3,0))-1)/2)+S$14,0)=EOMONTH($AL$3,0),S$12,0),0),IF(AND(P$12&lt;&gt;"",P$14&lt;&gt;""),IF(EOMONTH($N$3+INT((DAY(EOMONTH($N$3,0))-1)/2)+P$14,0)=EOMONTH($AL$3,0),P$12,0),0),IF(AND(M$12&lt;&gt;"",M$14&lt;&gt;""),IF(EOMONTH($K$3+INT((DAY(EOMONTH($K$3,0))-1)/2)+M$14,0)=EOMONTH($AL$3,0),M$12,0),0),IF(AND(J$12&lt;&gt;"",J$14&lt;&gt;""),IF(EOMONTH($H$3+INT((DAY(EOMONTH($H$3,0))-1)/2)+J$14,0)=EOMONTH($AL$3,0),J$12,0),0),IF(AND(G$12&lt;&gt;"",G$14&lt;&gt;""),IF(EOMONTH($E$3+INT((DAY(EOMONTH($E$3,0))-1)/2)+G$14,0)=EOMONTH($AL$3,0),G$12,0),0),IF(EOMONTH($AL$75+AN$14,0)=EOMONTH($AL$3,0),$AL$77,0)),0)</x:f>
        <x:v>10</x:v>
      </x:c>
    </x:row>
    <x:row r="21" ht="24" customHeight="1">
      <x:c r="A21" s="3" t="str">
        <x:v>Contracts completed [count]</x:v>
      </x:c>
      <x:c r="B21" s="47" t="n">
        <x:f>SUM(AL21,AI21,AF21,AC21,Z21,W21,T21,Q21,N21,K21,H21,E21)</x:f>
        <x:v>22</x:v>
      </x:c>
      <x:c r="C21" s="48" t="n">
        <x:f>SUM(AM21,AJ21,AG21,AD21,AA21,X21,U21,R21,O21,L21,I21,F21)</x:f>
        <x:v>130</x:v>
      </x:c>
      <x:c r="D21" s="49" t="n">
        <x:f>SUM(AN21,AK21,AH21,AE21,AB21,Y21,V21,S21,P21,M21,J21,G21)</x:f>
        <x:v>137</x:v>
      </x:c>
      <x:c r="E21" s="50"/>
      <x:c r="F21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21,MIN(F19+F20,F17))</x:f>
        <x:v>12</x:v>
      </x:c>
      <x:c r="G21" s="49" t="n">
        <x:f>MIN(G19+G20,G17)</x:f>
        <x:v>12</x:v>
      </x:c>
      <x:c r="H21" s="50"/>
      <x:c r="I21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21,MIN(I19+I20,I17))</x:f>
        <x:v>12</x:v>
      </x:c>
      <x:c r="J21" s="49" t="n">
        <x:f>MIN(J19+J20,J17)</x:f>
        <x:v>12</x:v>
      </x:c>
      <x:c r="K21" s="50"/>
      <x:c r="L21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21,MIN(L19+L20,L17))</x:f>
        <x:v>12</x:v>
      </x:c>
      <x:c r="M21" s="49" t="n">
        <x:f>MIN(M19+M20,M17)</x:f>
        <x:v>12</x:v>
      </x:c>
      <x:c r="N21" s="50"/>
      <x:c r="O21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21,MIN(O19+O20,O17))</x:f>
        <x:v>12</x:v>
      </x:c>
      <x:c r="P21" s="49" t="n">
        <x:f>MIN(P19+P20,P17)</x:f>
        <x:v>12</x:v>
      </x:c>
      <x:c r="Q21" s="50"/>
      <x:c r="R21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21,MIN(R19+R20,R17))</x:f>
        <x:v>11</x:v>
      </x:c>
      <x:c r="S21" s="49" t="n">
        <x:f>MIN(S19+S20,S17)</x:f>
        <x:v>11</x:v>
      </x:c>
      <x:c r="T21" s="50"/>
      <x:c r="U21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21,MIN(U19+U20,U17))</x:f>
        <x:v>11</x:v>
      </x:c>
      <x:c r="V21" s="49" t="n">
        <x:f>MIN(V19+V20,V17)</x:f>
        <x:v>11</x:v>
      </x:c>
      <x:c r="W21" s="50"/>
      <x:c r="X21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21,MIN(X19+X20,X17))</x:f>
        <x:v>11</x:v>
      </x:c>
      <x:c r="Y21" s="49" t="n">
        <x:f>MIN(Y19+Y20,Y17)</x:f>
        <x:v>11</x:v>
      </x:c>
      <x:c r="Z21" s="50"/>
      <x:c r="AA21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21,MIN(AA19+AA20,AA17))</x:f>
        <x:v>11</x:v>
      </x:c>
      <x:c r="AB21" s="49" t="n">
        <x:f>MIN(AB19+AB20,AB17)</x:f>
        <x:v>11</x:v>
      </x:c>
      <x:c r="AC21" s="50"/>
      <x:c r="AD21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21,MIN(AD19+AD20,AD17))</x:f>
        <x:v>8</x:v>
      </x:c>
      <x:c r="AE21" s="49" t="n">
        <x:f>MIN(AE19+AE20,AE17)</x:f>
        <x:v>10</x:v>
      </x:c>
      <x:c r="AF21" s="50"/>
      <x:c r="AG21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21,MIN(AG19+AG20,AG17))</x:f>
        <x:v>8</x:v>
      </x:c>
      <x:c r="AH21" s="49" t="n">
        <x:f>MIN(AH19+AH20,AH17)</x:f>
        <x:v>10</x:v>
      </x:c>
      <x:c r="AI21" s="50" t="n">
        <x:v>10</x:v>
      </x:c>
      <x:c r="AJ21" s="48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21,MIN(AJ19+AJ20,AJ17))</x:f>
        <x:v>10</x:v>
      </x:c>
      <x:c r="AK21" s="49" t="n">
        <x:f>MIN(AK19+AK20,AK17)</x:f>
        <x:v>10</x:v>
      </x:c>
      <x:c r="AL21" s="50" t="n">
        <x:v>12</x:v>
      </x:c>
      <x:c r="AM21" s="48" t="n">
        <x:f>IF(AND(AND(AL$57&lt;&gt;"",COUNT(AL6,AL8,AL9,AL11,AL12,AL13,AL14,AL15,AL16,AL18,AL21,AL23,AL28,AL30,AL31,AL32,AL33,AL38,AL39,AL40,AL41,AL42,AL43,AL44,AL45,AL46,AL47,AL48,AL49,AL50,AL51,AL52,AL57,AL60,AL61,AL62,AL63,AL64,AL69)=39)),AL21,MIN(AM19+AM20,AM17))</x:f>
        <x:v>12</x:v>
      </x:c>
      <x:c r="AN21" s="49" t="n">
        <x:f>MIN(AN19+AN20,AN17)</x:f>
        <x:v>15</x:v>
      </x:c>
    </x:row>
    <x:row r="22" ht="24" customHeight="1">
      <x:c r="A22" s="3" t="str">
        <x:v>Closing delivery backlog [contracts]</x:v>
      </x:c>
      <x:c r="B22" s="47" t="n">
        <x:f>E22</x:f>
        <x:v>0</x:v>
      </x:c>
      <x:c r="C22" s="48" t="n">
        <x:f>F22</x:f>
        <x:v>0</x:v>
      </x:c>
      <x:c r="D22" s="49" t="n">
        <x:f>G22</x:f>
        <x:v>0</x:v>
      </x:c>
      <x:c r="E22" s="47" t="str">
        <x:f>IF(COUNT(E19,E20,E21)=3,MAX(0,E19+E20-E21),"")</x:f>
      </x:c>
      <x:c r="F22" s="48" t="n">
        <x:f>MAX(0,F19+F20-F21)</x:f>
        <x:v>0</x:v>
      </x:c>
      <x:c r="G22" s="49" t="n">
        <x:f>MAX(0,G19+G20-G21)</x:f>
        <x:v>0</x:v>
      </x:c>
      <x:c r="H22" s="47" t="str">
        <x:f>IF(COUNT(H19,H20,H21)=3,MAX(0,H19+H20-H21),"")</x:f>
      </x:c>
      <x:c r="I22" s="48" t="n">
        <x:f>MAX(0,I19+I20-I21)</x:f>
        <x:v>0</x:v>
      </x:c>
      <x:c r="J22" s="49" t="n">
        <x:f>MAX(0,J19+J20-J21)</x:f>
        <x:v>0</x:v>
      </x:c>
      <x:c r="K22" s="47" t="str">
        <x:f>IF(COUNT(K19,K20,K21)=3,MAX(0,K19+K20-K21),"")</x:f>
      </x:c>
      <x:c r="L22" s="48" t="n">
        <x:f>MAX(0,L19+L20-L21)</x:f>
        <x:v>0</x:v>
      </x:c>
      <x:c r="M22" s="49" t="n">
        <x:f>MAX(0,M19+M20-M21)</x:f>
        <x:v>0</x:v>
      </x:c>
      <x:c r="N22" s="47" t="str">
        <x:f>IF(COUNT(N19,N20,N21)=3,MAX(0,N19+N20-N21),"")</x:f>
      </x:c>
      <x:c r="O22" s="48" t="n">
        <x:f>MAX(0,O19+O20-O21)</x:f>
        <x:v>0</x:v>
      </x:c>
      <x:c r="P22" s="49" t="n">
        <x:f>MAX(0,P19+P20-P21)</x:f>
        <x:v>0</x:v>
      </x:c>
      <x:c r="Q22" s="47" t="str">
        <x:f>IF(COUNT(Q19,Q20,Q21)=3,MAX(0,Q19+Q20-Q21),"")</x:f>
      </x:c>
      <x:c r="R22" s="48" t="n">
        <x:f>MAX(0,R19+R20-R21)</x:f>
        <x:v>0</x:v>
      </x:c>
      <x:c r="S22" s="49" t="n">
        <x:f>MAX(0,S19+S20-S21)</x:f>
        <x:v>0</x:v>
      </x:c>
      <x:c r="T22" s="47" t="str">
        <x:f>IF(COUNT(T19,T20,T21)=3,MAX(0,T19+T20-T21),"")</x:f>
      </x:c>
      <x:c r="U22" s="48" t="n">
        <x:f>MAX(0,U19+U20-U21)</x:f>
        <x:v>0</x:v>
      </x:c>
      <x:c r="V22" s="49" t="n">
        <x:f>MAX(0,V19+V20-V21)</x:f>
        <x:v>0</x:v>
      </x:c>
      <x:c r="W22" s="47" t="str">
        <x:f>IF(COUNT(W19,W20,W21)=3,MAX(0,W19+W20-W21),"")</x:f>
      </x:c>
      <x:c r="X22" s="48" t="n">
        <x:f>MAX(0,X19+X20-X21)</x:f>
        <x:v>0</x:v>
      </x:c>
      <x:c r="Y22" s="49" t="n">
        <x:f>MAX(0,Y19+Y20-Y21)</x:f>
        <x:v>0</x:v>
      </x:c>
      <x:c r="Z22" s="47" t="str">
        <x:f>IF(COUNT(Z19,Z20,Z21)=3,MAX(0,Z19+Z20-Z21),"")</x:f>
      </x:c>
      <x:c r="AA22" s="48" t="n">
        <x:f>MAX(0,AA19+AA20-AA21)</x:f>
        <x:v>0</x:v>
      </x:c>
      <x:c r="AB22" s="49" t="n">
        <x:f>MAX(0,AB19+AB20-AB21)</x:f>
        <x:v>0</x:v>
      </x:c>
      <x:c r="AC22" s="47" t="str">
        <x:f>IF(COUNT(AC19,AC20,AC21)=3,MAX(0,AC19+AC20-AC21),"")</x:f>
      </x:c>
      <x:c r="AD22" s="48" t="n">
        <x:f>MAX(0,AD19+AD20-AD21)</x:f>
        <x:v>0</x:v>
      </x:c>
      <x:c r="AE22" s="49" t="n">
        <x:f>MAX(0,AE19+AE20-AE21)</x:f>
        <x:v>0</x:v>
      </x:c>
      <x:c r="AF22" s="47" t="str">
        <x:f>IF(COUNT(AF19,AF20,AF21)=3,MAX(0,AF19+AF20-AF21),"")</x:f>
      </x:c>
      <x:c r="AG22" s="48" t="n">
        <x:f>MAX(0,AG19+AG20-AG21)</x:f>
        <x:v>0</x:v>
      </x:c>
      <x:c r="AH22" s="49" t="n">
        <x:f>MAX(0,AH19+AH20-AH21)</x:f>
        <x:v>0</x:v>
      </x:c>
      <x:c r="AI22" s="47" t="n">
        <x:f>IF(COUNT(AI19,AI20,AI21)=3,MAX(0,AI19+AI20-AI21),"")</x:f>
        <x:v>0</x:v>
      </x:c>
      <x:c r="AJ22" s="48" t="n">
        <x:f>MAX(0,AJ19+AJ20-AJ21)</x:f>
        <x:v>0</x:v>
      </x:c>
      <x:c r="AK22" s="49" t="n">
        <x:f>MAX(0,AK19+AK20-AK21)</x:f>
        <x:v>0</x:v>
      </x:c>
      <x:c r="AL22" s="47" t="n">
        <x:f>IF(COUNT(AL19,AL20,AL21)=3,MAX(0,AL19+AL20-AL21),"")</x:f>
        <x:v>3</x:v>
      </x:c>
      <x:c r="AM22" s="48" t="n">
        <x:f>MAX(0,AM19+AM20-AM21)</x:f>
        <x:v>3</x:v>
      </x:c>
      <x:c r="AN22" s="49" t="n">
        <x:f>MAX(0,AN19+AN20-AN21)</x:f>
        <x:v>0</x:v>
      </x:c>
    </x:row>
    <x:row r="23" ht="24" customHeight="1">
      <x:c r="A23" s="3" t="str">
        <x:v>Average customer payment time [days]</x:v>
      </x:c>
      <x:c r="B23" s="53" t="n">
        <x:f>IFERROR(SUM(AL23*AL26,AI23*AI26,AF23*AF26,AC23*AC26,Z23*Z26,W23*W26,T23*T26,Q23*Q26,N23*N26,K23*K26,H23*H26,E23*E26)/SUM(AL26,AI26,AF26,AC26,Z26,W26,T26,Q26,N26,K26,H26,E26),"")</x:f>
        <x:v>30</x:v>
      </x:c>
      <x:c r="C23" s="54" t="n">
        <x:f>IFERROR(SUM(AM23*AM26,AJ23*AJ26,AG23*AG26,AD23*AD26,AA23*AA26,X23*X26,U23*U26,R23*R26,O23*O26,L23*L26,I23*I26,F23*F26)/SUM(AM26,AJ26,AG26,AD26,AA26,X26,U26,R26,O26,L26,I26,F26),"")</x:f>
        <x:v>30</x:v>
      </x:c>
      <x:c r="D23" s="55" t="n">
        <x:f>IFERROR(SUM(AN23*AN26,AK23*AK26,AH23*AH26,AE23*AE26,AB23*AB26,Y23*Y26,V23*V26,S23*S26,P23*P26,M23*M26,J23*J26,G23*G26)/SUM(AN26,AK26,AH26,AE26,AB26,Y26,V26,S26,P26,M26,J26,G26),"")</x:f>
        <x:v>30</x:v>
      </x:c>
      <x:c r="E23" s="56"/>
      <x:c r="F23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23,G23)</x:f>
        <x:v>30</x:v>
      </x:c>
      <x:c r="G23" s="57" t="n">
        <x:v>30</x:v>
      </x:c>
      <x:c r="H23" s="56"/>
      <x:c r="I23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23,J23)</x:f>
        <x:v>30</x:v>
      </x:c>
      <x:c r="J23" s="57" t="n">
        <x:v>30</x:v>
      </x:c>
      <x:c r="K23" s="56"/>
      <x:c r="L23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23,M23)</x:f>
        <x:v>30</x:v>
      </x:c>
      <x:c r="M23" s="57" t="n">
        <x:v>30</x:v>
      </x:c>
      <x:c r="N23" s="56"/>
      <x:c r="O23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23,P23)</x:f>
        <x:v>30</x:v>
      </x:c>
      <x:c r="P23" s="57" t="n">
        <x:v>30</x:v>
      </x:c>
      <x:c r="Q23" s="56"/>
      <x:c r="R23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23,S23)</x:f>
        <x:v>30</x:v>
      </x:c>
      <x:c r="S23" s="57" t="n">
        <x:v>30</x:v>
      </x:c>
      <x:c r="T23" s="56"/>
      <x:c r="U23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23,V23)</x:f>
        <x:v>30</x:v>
      </x:c>
      <x:c r="V23" s="57" t="n">
        <x:v>30</x:v>
      </x:c>
      <x:c r="W23" s="56"/>
      <x:c r="X23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23,Y23)</x:f>
        <x:v>30</x:v>
      </x:c>
      <x:c r="Y23" s="57" t="n">
        <x:v>30</x:v>
      </x:c>
      <x:c r="Z23" s="56"/>
      <x:c r="AA23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23,AB23)</x:f>
        <x:v>30</x:v>
      </x:c>
      <x:c r="AB23" s="57" t="n">
        <x:v>30</x:v>
      </x:c>
      <x:c r="AC23" s="56"/>
      <x:c r="AD23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23,AE23)</x:f>
        <x:v>30</x:v>
      </x:c>
      <x:c r="AE23" s="57" t="n">
        <x:v>30</x:v>
      </x:c>
      <x:c r="AF23" s="56"/>
      <x:c r="AG23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23,AH23)</x:f>
        <x:v>30</x:v>
      </x:c>
      <x:c r="AH23" s="57" t="n">
        <x:v>30</x:v>
      </x:c>
      <x:c r="AI23" s="56" t="n">
        <x:v>30</x:v>
      </x:c>
      <x:c r="AJ23" s="54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23,AK23)</x:f>
        <x:v>30</x:v>
      </x:c>
      <x:c r="AK23" s="57" t="n">
        <x:v>30</x:v>
      </x:c>
      <x:c r="AL23" s="56" t="n">
        <x:v>30</x:v>
      </x:c>
      <x:c r="AM23" s="54" t="n">
        <x:f>IF(AND(AND(AL$57&lt;&gt;"",COUNT(AL6,AL8,AL9,AL11,AL12,AL13,AL14,AL15,AL16,AL18,AL21,AL23,AL28,AL30,AL31,AL32,AL33,AL38,AL39,AL40,AL41,AL42,AL43,AL44,AL45,AL46,AL47,AL48,AL49,AL50,AL51,AL52,AL57,AL60,AL61,AL62,AL63,AL64,AL69)=39)),AL23,AN23)</x:f>
        <x:v>30</x:v>
      </x:c>
      <x:c r="AN23" s="57" t="n">
        <x:v>30</x:v>
      </x:c>
    </x:row>
    <x:row r="24" ht="24" customHeight="1">
      <x:c r="A24" s="39" t="str">
        <x:v>Total time from prospect enquiry to Cash [days]</x:v>
      </x:c>
      <x:c r="B24" s="58" t="n">
        <x:f>SUM(B8,B11,B14,B23)</x:f>
        <x:v>104</x:v>
      </x:c>
      <x:c r="C24" s="59" t="n">
        <x:f>SUM(C8,C11,C14,C23)</x:f>
        <x:v>104</x:v>
      </x:c>
      <x:c r="D24" s="60" t="n">
        <x:f>SUM(D8,D11,D14,D23)</x:f>
        <x:v>104</x:v>
      </x:c>
      <x:c r="E24" s="58" t="str">
        <x:f>IF(COUNT(E8,E11,E14,E23)=0,"",SUM(E8,E11,E14,E23))</x:f>
      </x:c>
      <x:c r="F24" s="59" t="n">
        <x:f>SUM(F8,F11,F14,F23)</x:f>
        <x:v>104</x:v>
      </x:c>
      <x:c r="G24" s="60" t="n">
        <x:f>SUM(G8,G11,G14,G23)</x:f>
        <x:v>104</x:v>
      </x:c>
      <x:c r="H24" s="58" t="str">
        <x:f>IF(COUNT(H8,H11,H14,H23)=0,"",SUM(H8,H11,H14,H23))</x:f>
      </x:c>
      <x:c r="I24" s="59" t="n">
        <x:f>SUM(I8,I11,I14,I23)</x:f>
        <x:v>104</x:v>
      </x:c>
      <x:c r="J24" s="60" t="n">
        <x:f>SUM(J8,J11,J14,J23)</x:f>
        <x:v>104</x:v>
      </x:c>
      <x:c r="K24" s="58" t="str">
        <x:f>IF(COUNT(K8,K11,K14,K23)=0,"",SUM(K8,K11,K14,K23))</x:f>
      </x:c>
      <x:c r="L24" s="59" t="n">
        <x:f>SUM(L8,L11,L14,L23)</x:f>
        <x:v>104</x:v>
      </x:c>
      <x:c r="M24" s="60" t="n">
        <x:f>SUM(M8,M11,M14,M23)</x:f>
        <x:v>104</x:v>
      </x:c>
      <x:c r="N24" s="58" t="str">
        <x:f>IF(COUNT(N8,N11,N14,N23)=0,"",SUM(N8,N11,N14,N23))</x:f>
      </x:c>
      <x:c r="O24" s="59" t="n">
        <x:f>SUM(O8,O11,O14,O23)</x:f>
        <x:v>104</x:v>
      </x:c>
      <x:c r="P24" s="60" t="n">
        <x:f>SUM(P8,P11,P14,P23)</x:f>
        <x:v>104</x:v>
      </x:c>
      <x:c r="Q24" s="58" t="str">
        <x:f>IF(COUNT(Q8,Q11,Q14,Q23)=0,"",SUM(Q8,Q11,Q14,Q23))</x:f>
      </x:c>
      <x:c r="R24" s="59" t="n">
        <x:f>SUM(R8,R11,R14,R23)</x:f>
        <x:v>104</x:v>
      </x:c>
      <x:c r="S24" s="60" t="n">
        <x:f>SUM(S8,S11,S14,S23)</x:f>
        <x:v>104</x:v>
      </x:c>
      <x:c r="T24" s="58" t="str">
        <x:f>IF(COUNT(T8,T11,T14,T23)=0,"",SUM(T8,T11,T14,T23))</x:f>
      </x:c>
      <x:c r="U24" s="59" t="n">
        <x:f>SUM(U8,U11,U14,U23)</x:f>
        <x:v>104</x:v>
      </x:c>
      <x:c r="V24" s="60" t="n">
        <x:f>SUM(V8,V11,V14,V23)</x:f>
        <x:v>104</x:v>
      </x:c>
      <x:c r="W24" s="58" t="str">
        <x:f>IF(COUNT(W8,W11,W14,W23)=0,"",SUM(W8,W11,W14,W23))</x:f>
      </x:c>
      <x:c r="X24" s="59" t="n">
        <x:f>SUM(X8,X11,X14,X23)</x:f>
        <x:v>104</x:v>
      </x:c>
      <x:c r="Y24" s="60" t="n">
        <x:f>SUM(Y8,Y11,Y14,Y23)</x:f>
        <x:v>104</x:v>
      </x:c>
      <x:c r="Z24" s="58" t="str">
        <x:f>IF(COUNT(Z8,Z11,Z14,Z23)=0,"",SUM(Z8,Z11,Z14,Z23))</x:f>
      </x:c>
      <x:c r="AA24" s="59" t="n">
        <x:f>SUM(AA8,AA11,AA14,AA23)</x:f>
        <x:v>104</x:v>
      </x:c>
      <x:c r="AB24" s="60" t="n">
        <x:f>SUM(AB8,AB11,AB14,AB23)</x:f>
        <x:v>104</x:v>
      </x:c>
      <x:c r="AC24" s="58" t="str">
        <x:f>IF(COUNT(AC8,AC11,AC14,AC23)=0,"",SUM(AC8,AC11,AC14,AC23))</x:f>
      </x:c>
      <x:c r="AD24" s="59" t="n">
        <x:f>SUM(AD8,AD11,AD14,AD23)</x:f>
        <x:v>104</x:v>
      </x:c>
      <x:c r="AE24" s="60" t="n">
        <x:f>SUM(AE8,AE11,AE14,AE23)</x:f>
        <x:v>104</x:v>
      </x:c>
      <x:c r="AF24" s="58" t="str">
        <x:f>IF(COUNT(AF8,AF11,AF14,AF23)=0,"",SUM(AF8,AF11,AF14,AF23))</x:f>
      </x:c>
      <x:c r="AG24" s="59" t="n">
        <x:f>SUM(AG8,AG11,AG14,AG23)</x:f>
        <x:v>104</x:v>
      </x:c>
      <x:c r="AH24" s="60" t="n">
        <x:f>SUM(AH8,AH11,AH14,AH23)</x:f>
        <x:v>104</x:v>
      </x:c>
      <x:c r="AI24" s="58" t="n">
        <x:f>IF(COUNT(AI8,AI11,AI14,AI23)=0,"",SUM(AI8,AI11,AI14,AI23))</x:f>
        <x:v>104</x:v>
      </x:c>
      <x:c r="AJ24" s="59" t="n">
        <x:f>SUM(AJ8,AJ11,AJ14,AJ23)</x:f>
        <x:v>104</x:v>
      </x:c>
      <x:c r="AK24" s="60" t="n">
        <x:f>SUM(AK8,AK11,AK14,AK23)</x:f>
        <x:v>104</x:v>
      </x:c>
      <x:c r="AL24" s="58" t="n">
        <x:f>IF(COUNT(AL8,AL11,AL14,AL23)=0,"",SUM(AL8,AL11,AL14,AL23))</x:f>
        <x:v>104</x:v>
      </x:c>
      <x:c r="AM24" s="59" t="n">
        <x:f>SUM(AM8,AM11,AM14,AM23)</x:f>
        <x:v>104</x:v>
      </x:c>
      <x:c r="AN24" s="60" t="n">
        <x:f>SUM(AN8,AN11,AN14,AN23)</x:f>
        <x:v>104</x:v>
      </x:c>
    </x:row>
    <x:row r="25" ht="24" customHeight="1">
      <x:c r="A25" s="33" t="str">
        <x:v>REVENUE</x:v>
      </x:c>
      <x:c r="B25" s="35"/>
      <x:c r="C25" s="35"/>
      <x:c r="D25" s="35"/>
      <x:c r="E25" s="35"/>
      <x:c r="F25" s="35"/>
      <x:c r="G25" s="35"/>
      <x:c r="H25" s="35"/>
      <x:c r="I25" s="35"/>
      <x:c r="J25" s="35"/>
      <x:c r="K25" s="35"/>
      <x:c r="L25" s="35"/>
      <x:c r="M25" s="35"/>
      <x:c r="N25" s="35"/>
      <x:c r="O25" s="35"/>
      <x:c r="P25" s="35"/>
      <x:c r="Q25" s="35"/>
      <x:c r="R25" s="35"/>
      <x:c r="S25" s="35"/>
      <x:c r="T25" s="35"/>
      <x:c r="U25" s="35"/>
      <x:c r="V25" s="35"/>
      <x:c r="W25" s="35"/>
      <x:c r="X25" s="35"/>
      <x:c r="Y25" s="35"/>
      <x:c r="Z25" s="35"/>
      <x:c r="AA25" s="35"/>
      <x:c r="AB25" s="35"/>
      <x:c r="AC25" s="35"/>
      <x:c r="AD25" s="35"/>
      <x:c r="AE25" s="35"/>
      <x:c r="AF25" s="35"/>
      <x:c r="AG25" s="35"/>
      <x:c r="AH25" s="35"/>
      <x:c r="AI25" s="35"/>
      <x:c r="AJ25" s="35"/>
      <x:c r="AK25" s="35"/>
      <x:c r="AL25" s="35"/>
      <x:c r="AM25" s="35"/>
      <x:c r="AN25" s="35"/>
    </x:row>
    <x:row r="26" ht="24" customHeight="1">
      <x:c r="A26" s="3" t="str">
        <x:v>Revenue from completed contracts</x:v>
      </x:c>
      <x:c r="B26" s="61" t="n">
        <x:f>SUM(AL26,AI26,AF26,AC26,Z26,W26,T26,Q26,N26,K26,H26,E26)</x:f>
        <x:v>110000</x:v>
      </x:c>
      <x:c r="C26" s="62" t="n">
        <x:f>SUM(AM26,AJ26,AG26,AD26,AA26,X26,U26,R26,O26,L26,I26,F26)</x:f>
        <x:v>950000</x:v>
      </x:c>
      <x:c r="D26" s="63" t="n">
        <x:f>SUM(AN26,AK26,AH26,AE26,AB26,Y26,V26,S26,P26,M26,J26,G26)</x:f>
        <x:v>1096000</x:v>
      </x:c>
      <x:c r="E26" s="61" t="str">
        <x:f>IF(COUNT(E19:E21,E72)=4,IF((E19+E20)=0,0,ROUND(E21*(E72+E73)/(E19+E20),0)),"")</x:f>
      </x:c>
      <x:c r="F26" s="62" t="n">
        <x:f>IF((F19+F20)=0,0,ROUND(F21*(F72+F73)/(F19+F20),0))</x:f>
        <x:v>96000</x:v>
      </x:c>
      <x:c r="G26" s="63" t="n">
        <x:f>IF((G19+G20)=0,0,ROUND(G21*(G72+G73)/(G19+G20),0))</x:f>
        <x:v>96000</x:v>
      </x:c>
      <x:c r="H26" s="61" t="str">
        <x:f>IF(COUNT(H19:H21,H72)=4,IF((H19+H20)=0,0,ROUND(H21*(H72+H73)/(H19+H20),0)),"")</x:f>
      </x:c>
      <x:c r="I26" s="62" t="n">
        <x:f>IF((I19+I20)=0,0,ROUND(I21*(I72+I73)/(I19+I20),0))</x:f>
        <x:v>96000</x:v>
      </x:c>
      <x:c r="J26" s="63" t="n">
        <x:f>IF((J19+J20)=0,0,ROUND(J21*(J72+J73)/(J19+J20),0))</x:f>
        <x:v>96000</x:v>
      </x:c>
      <x:c r="K26" s="61" t="str">
        <x:f>IF(COUNT(K19:K21,K72)=4,IF((K19+K20)=0,0,ROUND(K21*(K72+K73)/(K19+K20),0)),"")</x:f>
      </x:c>
      <x:c r="L26" s="62" t="n">
        <x:f>IF((L19+L20)=0,0,ROUND(L21*(L72+L73)/(L19+L20),0))</x:f>
        <x:v>96000</x:v>
      </x:c>
      <x:c r="M26" s="63" t="n">
        <x:f>IF((M19+M20)=0,0,ROUND(M21*(M72+M73)/(M19+M20),0))</x:f>
        <x:v>96000</x:v>
      </x:c>
      <x:c r="N26" s="61" t="str">
        <x:f>IF(COUNT(N19:N21,N72)=4,IF((N19+N20)=0,0,ROUND(N21*(N72+N73)/(N19+N20),0)),"")</x:f>
      </x:c>
      <x:c r="O26" s="62" t="n">
        <x:f>IF((O19+O20)=0,0,ROUND(O21*(O72+O73)/(O19+O20),0))</x:f>
        <x:v>96000</x:v>
      </x:c>
      <x:c r="P26" s="63" t="n">
        <x:f>IF((P19+P20)=0,0,ROUND(P21*(P72+P73)/(P19+P20),0))</x:f>
        <x:v>96000</x:v>
      </x:c>
      <x:c r="Q26" s="61" t="str">
        <x:f>IF(COUNT(Q19:Q21,Q72)=4,IF((Q19+Q20)=0,0,ROUND(Q21*(Q72+Q73)/(Q19+Q20),0)),"")</x:f>
      </x:c>
      <x:c r="R26" s="62" t="n">
        <x:f>IF((R19+R20)=0,0,ROUND(R21*(R72+R73)/(R19+R20),0))</x:f>
        <x:v>88000</x:v>
      </x:c>
      <x:c r="S26" s="63" t="n">
        <x:f>IF((S19+S20)=0,0,ROUND(S21*(S72+S73)/(S19+S20),0))</x:f>
        <x:v>88000</x:v>
      </x:c>
      <x:c r="T26" s="61" t="str">
        <x:f>IF(COUNT(T19:T21,T72)=4,IF((T19+T20)=0,0,ROUND(T21*(T72+T73)/(T19+T20),0)),"")</x:f>
      </x:c>
      <x:c r="U26" s="62" t="n">
        <x:f>IF((U19+U20)=0,0,ROUND(U21*(U72+U73)/(U19+U20),0))</x:f>
        <x:v>88000</x:v>
      </x:c>
      <x:c r="V26" s="63" t="n">
        <x:f>IF((V19+V20)=0,0,ROUND(V21*(V72+V73)/(V19+V20),0))</x:f>
        <x:v>88000</x:v>
      </x:c>
      <x:c r="W26" s="61" t="str">
        <x:f>IF(COUNT(W19:W21,W72)=4,IF((W19+W20)=0,0,ROUND(W21*(W72+W73)/(W19+W20),0)),"")</x:f>
      </x:c>
      <x:c r="X26" s="62" t="n">
        <x:f>IF((X19+X20)=0,0,ROUND(X21*(X72+X73)/(X19+X20),0))</x:f>
        <x:v>88000</x:v>
      </x:c>
      <x:c r="Y26" s="63" t="n">
        <x:f>IF((Y19+Y20)=0,0,ROUND(Y21*(Y72+Y73)/(Y19+Y20),0))</x:f>
        <x:v>88000</x:v>
      </x:c>
      <x:c r="Z26" s="61" t="str">
        <x:f>IF(COUNT(Z19:Z21,Z72)=4,IF((Z19+Z20)=0,0,ROUND(Z21*(Z72+Z73)/(Z19+Z20),0)),"")</x:f>
      </x:c>
      <x:c r="AA26" s="62" t="n">
        <x:f>IF((AA19+AA20)=0,0,ROUND(AA21*(AA72+AA73)/(AA19+AA20),0))</x:f>
        <x:v>88000</x:v>
      </x:c>
      <x:c r="AB26" s="63" t="n">
        <x:f>IF((AB19+AB20)=0,0,ROUND(AB21*(AB72+AB73)/(AB19+AB20),0))</x:f>
        <x:v>88000</x:v>
      </x:c>
      <x:c r="AC26" s="61" t="str">
        <x:f>IF(COUNT(AC19:AC21,AC72)=4,IF((AC19+AC20)=0,0,ROUND(AC21*(AC72+AC73)/(AC19+AC20),0)),"")</x:f>
      </x:c>
      <x:c r="AD26" s="62" t="n">
        <x:f>IF((AD19+AD20)=0,0,ROUND(AD21*(AD72+AD73)/(AD19+AD20),0))</x:f>
        <x:v>64000</x:v>
      </x:c>
      <x:c r="AE26" s="63" t="n">
        <x:f>IF((AE19+AE20)=0,0,ROUND(AE21*(AE72+AE73)/(AE19+AE20),0))</x:f>
        <x:v>80000</x:v>
      </x:c>
      <x:c r="AF26" s="61" t="str">
        <x:f>IF(COUNT(AF19:AF21,AF72)=4,IF((AF19+AF20)=0,0,ROUND(AF21*(AF72+AF73)/(AF19+AF20),0)),"")</x:f>
      </x:c>
      <x:c r="AG26" s="62" t="n">
        <x:f>IF((AG19+AG20)=0,0,ROUND(AG21*(AG72+AG73)/(AG19+AG20),0))</x:f>
        <x:v>40000</x:v>
      </x:c>
      <x:c r="AH26" s="63" t="n">
        <x:f>IF((AH19+AH20)=0,0,ROUND(AH21*(AH72+AH73)/(AH19+AH20),0))</x:f>
        <x:v>80000</x:v>
      </x:c>
      <x:c r="AI26" s="61" t="n">
        <x:f>IF(COUNT(AI19:AI21,AI72)=4,IF((AI19+AI20)=0,0,ROUND(AI21*(AI72+AI73)/(AI19+AI20),0)),"")</x:f>
        <x:v>50000</x:v>
      </x:c>
      <x:c r="AJ26" s="62" t="n">
        <x:f>IF((AJ19+AJ20)=0,0,ROUND(AJ21*(AJ72+AJ73)/(AJ19+AJ20),0))</x:f>
        <x:v>50000</x:v>
      </x:c>
      <x:c r="AK26" s="63" t="n">
        <x:f>IF((AK19+AK20)=0,0,ROUND(AK21*(AK72+AK73)/(AK19+AK20),0))</x:f>
        <x:v>80000</x:v>
      </x:c>
      <x:c r="AL26" s="61" t="n">
        <x:f>IF(COUNT(AL19:AL21,AL72)=4,IF((AL19+AL20)=0,0,ROUND(AL21*(AL72+AL73)/(AL19+AL20),0)),"")</x:f>
        <x:v>60000</x:v>
      </x:c>
      <x:c r="AM26" s="62" t="n">
        <x:f>IF((AM19+AM20)=0,0,ROUND(AM21*(AM72+AM73)/(AM19+AM20),0))</x:f>
        <x:v>60000</x:v>
      </x:c>
      <x:c r="AN26" s="63" t="n">
        <x:f>IF((AN19+AN20)=0,0,ROUND(AN21*(AN72+AN73)/(AN19+AN20),0))</x:f>
        <x:v>120000</x:v>
      </x:c>
    </x:row>
    <x:row r="27" ht="24" customHeight="1">
      <x:c r="A27" s="33" t="str">
        <x:v>COST OF GOODS SOLD</x:v>
      </x:c>
      <x:c r="B27" s="66"/>
      <x:c r="C27" s="66"/>
      <x:c r="D27" s="66"/>
      <x:c r="E27" s="66"/>
      <x:c r="F27" s="66"/>
      <x:c r="G27" s="66"/>
      <x:c r="H27" s="66"/>
      <x:c r="I27" s="66"/>
      <x:c r="J27" s="66"/>
      <x:c r="K27" s="66"/>
      <x:c r="L27" s="66"/>
      <x:c r="M27" s="66"/>
      <x:c r="N27" s="66"/>
      <x:c r="O27" s="66"/>
      <x:c r="P27" s="66"/>
      <x:c r="Q27" s="66"/>
      <x:c r="R27" s="66"/>
      <x:c r="S27" s="66"/>
      <x:c r="T27" s="66"/>
      <x:c r="U27" s="66"/>
      <x:c r="V27" s="66"/>
      <x:c r="W27" s="66"/>
      <x:c r="X27" s="66"/>
      <x:c r="Y27" s="66"/>
      <x:c r="Z27" s="66"/>
      <x:c r="AA27" s="66"/>
      <x:c r="AB27" s="66"/>
      <x:c r="AC27" s="66"/>
      <x:c r="AD27" s="66"/>
      <x:c r="AE27" s="66"/>
      <x:c r="AF27" s="66"/>
      <x:c r="AG27" s="66"/>
      <x:c r="AH27" s="66"/>
      <x:c r="AI27" s="66"/>
      <x:c r="AJ27" s="66"/>
      <x:c r="AK27" s="66"/>
      <x:c r="AL27" s="66"/>
      <x:c r="AM27" s="66"/>
      <x:c r="AN27" s="66"/>
    </x:row>
    <x:row r="28" ht="24" customHeight="1">
      <x:c r="A28" s="3" t="str">
        <x:v>Direct Delivery Contractors and Freelancers</x:v>
      </x:c>
      <x:c r="B28" s="61" t="n">
        <x:f>SUM(AL28,AI28,AF28,AC28,Z28,W28,T28,Q28,N28,K28,H28,E28)</x:f>
        <x:v>4060</x:v>
      </x:c>
      <x:c r="C28" s="62" t="n">
        <x:f>SUM(AM28,AJ28,AG28,AD28,AA28,X28,U28,R28,O28,L28,I28,F28)</x:f>
        <x:v>24060</x:v>
      </x:c>
      <x:c r="D28" s="63" t="n">
        <x:f>SUM(AN28,AK28,AH28,AE28,AB28,Y28,V28,S28,P28,M28,J28,G28)</x:f>
        <x:v>24000</x:v>
      </x:c>
      <x:c r="E28" s="64"/>
      <x:c r="F2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28,G28)</x:f>
        <x:v>2000</x:v>
      </x:c>
      <x:c r="G28" s="65" t="n">
        <x:v>2000</x:v>
      </x:c>
      <x:c r="H28" s="64"/>
      <x:c r="I2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28,J28)</x:f>
        <x:v>2000</x:v>
      </x:c>
      <x:c r="J28" s="65" t="n">
        <x:v>2000</x:v>
      </x:c>
      <x:c r="K28" s="64"/>
      <x:c r="L2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28,M28)</x:f>
        <x:v>2000</x:v>
      </x:c>
      <x:c r="M28" s="65" t="n">
        <x:v>2000</x:v>
      </x:c>
      <x:c r="N28" s="64"/>
      <x:c r="O2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28,P28)</x:f>
        <x:v>2000</x:v>
      </x:c>
      <x:c r="P28" s="65" t="n">
        <x:v>2000</x:v>
      </x:c>
      <x:c r="Q28" s="64"/>
      <x:c r="R2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28,S28)</x:f>
        <x:v>2000</x:v>
      </x:c>
      <x:c r="S28" s="65" t="n">
        <x:v>2000</x:v>
      </x:c>
      <x:c r="T28" s="64"/>
      <x:c r="U2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28,V28)</x:f>
        <x:v>2000</x:v>
      </x:c>
      <x:c r="V28" s="65" t="n">
        <x:v>2000</x:v>
      </x:c>
      <x:c r="W28" s="64"/>
      <x:c r="X2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28,Y28)</x:f>
        <x:v>2000</x:v>
      </x:c>
      <x:c r="Y28" s="65" t="n">
        <x:v>2000</x:v>
      </x:c>
      <x:c r="Z28" s="64"/>
      <x:c r="AA2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28,AB28)</x:f>
        <x:v>2000</x:v>
      </x:c>
      <x:c r="AB28" s="65" t="n">
        <x:v>2000</x:v>
      </x:c>
      <x:c r="AC28" s="64"/>
      <x:c r="AD2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28,AE28)</x:f>
        <x:v>2000</x:v>
      </x:c>
      <x:c r="AE28" s="65" t="n">
        <x:v>2000</x:v>
      </x:c>
      <x:c r="AF28" s="64"/>
      <x:c r="AG2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28,AH28)</x:f>
        <x:v>2000</x:v>
      </x:c>
      <x:c r="AH28" s="65" t="n">
        <x:v>2000</x:v>
      </x:c>
      <x:c r="AI28" s="64" t="n">
        <x:v>1960</x:v>
      </x:c>
      <x:c r="AJ2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28,AK28)</x:f>
        <x:v>1960</x:v>
      </x:c>
      <x:c r="AK28" s="65" t="n">
        <x:v>2000</x:v>
      </x:c>
      <x:c r="AL28" s="64" t="n">
        <x:v>2100</x:v>
      </x:c>
      <x:c r="AM28" s="62" t="n">
        <x:f>IF(AND(AND(AL$57&lt;&gt;"",COUNT(AL6,AL8,AL9,AL11,AL12,AL13,AL14,AL15,AL16,AL18,AL21,AL23,AL28,AL30,AL31,AL32,AL33,AL38,AL39,AL40,AL41,AL42,AL43,AL44,AL45,AL46,AL47,AL48,AL49,AL50,AL51,AL52,AL57,AL60,AL61,AL62,AL63,AL64,AL69)=39)),AL28,AN28)</x:f>
        <x:v>2100</x:v>
      </x:c>
      <x:c r="AN28" s="65" t="n">
        <x:v>2000</x:v>
      </x:c>
    </x:row>
    <x:row r="29" ht="24" customHeight="1">
      <x:c r="A29" s="3" t="str">
        <x:v>Materials and Direct Inputs</x:v>
      </x:c>
      <x:c r="B29" s="61" t="n">
        <x:f>SUM(AL29,AI29,AF29,AC29,Z29,W29,T29,Q29,N29,K29,H29,E29)</x:f>
        <x:v>22000</x:v>
      </x:c>
      <x:c r="C29" s="62" t="n">
        <x:f>SUM(AM29,AJ29,AG29,AD29,AA29,X29,U29,R29,O29,L29,I29,F29)</x:f>
        <x:v>130000</x:v>
      </x:c>
      <x:c r="D29" s="63" t="n">
        <x:f>SUM(AN29,AK29,AH29,AE29,AB29,Y29,V29,S29,P29,M29,J29,G29)</x:f>
        <x:v>137000</x:v>
      </x:c>
      <x:c r="E29" s="61" t="str">
        <x:f>IF(COUNT(E21,E18)=2,E21*E18,"")</x:f>
      </x:c>
      <x:c r="F29" s="62" t="n">
        <x:f>IF(COUNT(F21,F18)=2,F21*F18,"")</x:f>
        <x:v>12000</x:v>
      </x:c>
      <x:c r="G29" s="63" t="n">
        <x:f>IF(COUNT(G21,G18)=2,G21*G18,"")</x:f>
        <x:v>12000</x:v>
      </x:c>
      <x:c r="H29" s="61" t="str">
        <x:f>IF(COUNT(H21,H18)=2,H21*H18,"")</x:f>
      </x:c>
      <x:c r="I29" s="62" t="n">
        <x:f>IF(COUNT(I21,I18)=2,I21*I18,"")</x:f>
        <x:v>12000</x:v>
      </x:c>
      <x:c r="J29" s="63" t="n">
        <x:f>IF(COUNT(J21,J18)=2,J21*J18,"")</x:f>
        <x:v>12000</x:v>
      </x:c>
      <x:c r="K29" s="61" t="str">
        <x:f>IF(COUNT(K21,K18)=2,K21*K18,"")</x:f>
      </x:c>
      <x:c r="L29" s="62" t="n">
        <x:f>IF(COUNT(L21,L18)=2,L21*L18,"")</x:f>
        <x:v>12000</x:v>
      </x:c>
      <x:c r="M29" s="63" t="n">
        <x:f>IF(COUNT(M21,M18)=2,M21*M18,"")</x:f>
        <x:v>12000</x:v>
      </x:c>
      <x:c r="N29" s="61" t="str">
        <x:f>IF(COUNT(N21,N18)=2,N21*N18,"")</x:f>
      </x:c>
      <x:c r="O29" s="62" t="n">
        <x:f>IF(COUNT(O21,O18)=2,O21*O18,"")</x:f>
        <x:v>12000</x:v>
      </x:c>
      <x:c r="P29" s="63" t="n">
        <x:f>IF(COUNT(P21,P18)=2,P21*P18,"")</x:f>
        <x:v>12000</x:v>
      </x:c>
      <x:c r="Q29" s="61" t="str">
        <x:f>IF(COUNT(Q21,Q18)=2,Q21*Q18,"")</x:f>
      </x:c>
      <x:c r="R29" s="62" t="n">
        <x:f>IF(COUNT(R21,R18)=2,R21*R18,"")</x:f>
        <x:v>11000</x:v>
      </x:c>
      <x:c r="S29" s="63" t="n">
        <x:f>IF(COUNT(S21,S18)=2,S21*S18,"")</x:f>
        <x:v>11000</x:v>
      </x:c>
      <x:c r="T29" s="61" t="str">
        <x:f>IF(COUNT(T21,T18)=2,T21*T18,"")</x:f>
      </x:c>
      <x:c r="U29" s="62" t="n">
        <x:f>IF(COUNT(U21,U18)=2,U21*U18,"")</x:f>
        <x:v>11000</x:v>
      </x:c>
      <x:c r="V29" s="63" t="n">
        <x:f>IF(COUNT(V21,V18)=2,V21*V18,"")</x:f>
        <x:v>11000</x:v>
      </x:c>
      <x:c r="W29" s="61" t="str">
        <x:f>IF(COUNT(W21,W18)=2,W21*W18,"")</x:f>
      </x:c>
      <x:c r="X29" s="62" t="n">
        <x:f>IF(COUNT(X21,X18)=2,X21*X18,"")</x:f>
        <x:v>11000</x:v>
      </x:c>
      <x:c r="Y29" s="63" t="n">
        <x:f>IF(COUNT(Y21,Y18)=2,Y21*Y18,"")</x:f>
        <x:v>11000</x:v>
      </x:c>
      <x:c r="Z29" s="61" t="str">
        <x:f>IF(COUNT(Z21,Z18)=2,Z21*Z18,"")</x:f>
      </x:c>
      <x:c r="AA29" s="62" t="n">
        <x:f>IF(COUNT(AA21,AA18)=2,AA21*AA18,"")</x:f>
        <x:v>11000</x:v>
      </x:c>
      <x:c r="AB29" s="63" t="n">
        <x:f>IF(COUNT(AB21,AB18)=2,AB21*AB18,"")</x:f>
        <x:v>11000</x:v>
      </x:c>
      <x:c r="AC29" s="61" t="str">
        <x:f>IF(COUNT(AC21,AC18)=2,AC21*AC18,"")</x:f>
      </x:c>
      <x:c r="AD29" s="62" t="n">
        <x:f>IF(COUNT(AD21,AD18)=2,AD21*AD18,"")</x:f>
        <x:v>8000</x:v>
      </x:c>
      <x:c r="AE29" s="63" t="n">
        <x:f>IF(COUNT(AE21,AE18)=2,AE21*AE18,"")</x:f>
        <x:v>10000</x:v>
      </x:c>
      <x:c r="AF29" s="61" t="str">
        <x:f>IF(COUNT(AF21,AF18)=2,AF21*AF18,"")</x:f>
      </x:c>
      <x:c r="AG29" s="62" t="n">
        <x:f>IF(COUNT(AG21,AG18)=2,AG21*AG18,"")</x:f>
        <x:v>8000</x:v>
      </x:c>
      <x:c r="AH29" s="63" t="n">
        <x:f>IF(COUNT(AH21,AH18)=2,AH21*AH18,"")</x:f>
        <x:v>10000</x:v>
      </x:c>
      <x:c r="AI29" s="61" t="n">
        <x:f>IF(COUNT(AI21,AI18)=2,AI21*AI18,"")</x:f>
        <x:v>10000</x:v>
      </x:c>
      <x:c r="AJ29" s="62" t="n">
        <x:f>IF(COUNT(AJ21,AJ18)=2,AJ21*AJ18,"")</x:f>
        <x:v>10000</x:v>
      </x:c>
      <x:c r="AK29" s="63" t="n">
        <x:f>IF(COUNT(AK21,AK18)=2,AK21*AK18,"")</x:f>
        <x:v>10000</x:v>
      </x:c>
      <x:c r="AL29" s="61" t="n">
        <x:f>IF(COUNT(AL21,AL18)=2,AL21*AL18,"")</x:f>
        <x:v>12000</x:v>
      </x:c>
      <x:c r="AM29" s="62" t="n">
        <x:f>IF(COUNT(AM21,AM18)=2,AM21*AM18,"")</x:f>
        <x:v>12000</x:v>
      </x:c>
      <x:c r="AN29" s="63" t="n">
        <x:f>IF(COUNT(AN21,AN18)=2,AN21*AN18,"")</x:f>
        <x:v>15000</x:v>
      </x:c>
    </x:row>
    <x:row r="30" ht="24" customHeight="1">
      <x:c r="A30" s="3" t="str">
        <x:v>Freight, Fulfilment and Shipping</x:v>
      </x:c>
      <x:c r="B30" s="61" t="n">
        <x:f>SUM(AL30,AI30,AF30,AC30,Z30,W30,T30,Q30,N30,K30,H30,E30)</x:f>
        <x:v>1015</x:v>
      </x:c>
      <x:c r="C30" s="62" t="n">
        <x:f>SUM(AM30,AJ30,AG30,AD30,AA30,X30,U30,R30,O30,L30,I30,F30)</x:f>
        <x:v>6015</x:v>
      </x:c>
      <x:c r="D30" s="63" t="n">
        <x:f>SUM(AN30,AK30,AH30,AE30,AB30,Y30,V30,S30,P30,M30,J30,G30)</x:f>
        <x:v>6000</x:v>
      </x:c>
      <x:c r="E30" s="64"/>
      <x:c r="F3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30,G30)</x:f>
        <x:v>500</x:v>
      </x:c>
      <x:c r="G30" s="65" t="n">
        <x:v>500</x:v>
      </x:c>
      <x:c r="H30" s="64"/>
      <x:c r="I3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30,J30)</x:f>
        <x:v>500</x:v>
      </x:c>
      <x:c r="J30" s="65" t="n">
        <x:v>500</x:v>
      </x:c>
      <x:c r="K30" s="64"/>
      <x:c r="L3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30,M30)</x:f>
        <x:v>500</x:v>
      </x:c>
      <x:c r="M30" s="65" t="n">
        <x:v>500</x:v>
      </x:c>
      <x:c r="N30" s="64"/>
      <x:c r="O3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30,P30)</x:f>
        <x:v>500</x:v>
      </x:c>
      <x:c r="P30" s="65" t="n">
        <x:v>500</x:v>
      </x:c>
      <x:c r="Q30" s="64"/>
      <x:c r="R3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30,S30)</x:f>
        <x:v>500</x:v>
      </x:c>
      <x:c r="S30" s="65" t="n">
        <x:v>500</x:v>
      </x:c>
      <x:c r="T30" s="64"/>
      <x:c r="U3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30,V30)</x:f>
        <x:v>500</x:v>
      </x:c>
      <x:c r="V30" s="65" t="n">
        <x:v>500</x:v>
      </x:c>
      <x:c r="W30" s="64"/>
      <x:c r="X3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30,Y30)</x:f>
        <x:v>500</x:v>
      </x:c>
      <x:c r="Y30" s="65" t="n">
        <x:v>500</x:v>
      </x:c>
      <x:c r="Z30" s="64"/>
      <x:c r="AA3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30,AB30)</x:f>
        <x:v>500</x:v>
      </x:c>
      <x:c r="AB30" s="65" t="n">
        <x:v>500</x:v>
      </x:c>
      <x:c r="AC30" s="64"/>
      <x:c r="AD3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30,AE30)</x:f>
        <x:v>500</x:v>
      </x:c>
      <x:c r="AE30" s="65" t="n">
        <x:v>500</x:v>
      </x:c>
      <x:c r="AF30" s="64"/>
      <x:c r="AG3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30,AH30)</x:f>
        <x:v>500</x:v>
      </x:c>
      <x:c r="AH30" s="65" t="n">
        <x:v>500</x:v>
      </x:c>
      <x:c r="AI30" s="64" t="n">
        <x:v>490</x:v>
      </x:c>
      <x:c r="AJ3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30,AK30)</x:f>
        <x:v>490</x:v>
      </x:c>
      <x:c r="AK30" s="65" t="n">
        <x:v>500</x:v>
      </x:c>
      <x:c r="AL30" s="64" t="n">
        <x:v>525</x:v>
      </x:c>
      <x:c r="AM30" s="62" t="n">
        <x:f>IF(AND(AND(AL$57&lt;&gt;"",COUNT(AL6,AL8,AL9,AL11,AL12,AL13,AL14,AL15,AL16,AL18,AL21,AL23,AL28,AL30,AL31,AL32,AL33,AL38,AL39,AL40,AL41,AL42,AL43,AL44,AL45,AL46,AL47,AL48,AL49,AL50,AL51,AL52,AL57,AL60,AL61,AL62,AL63,AL64,AL69)=39)),AL30,AN30)</x:f>
        <x:v>525</x:v>
      </x:c>
      <x:c r="AN30" s="65" t="n">
        <x:v>500</x:v>
      </x:c>
    </x:row>
    <x:row r="31" ht="24" customHeight="1">
      <x:c r="A31" s="3" t="str">
        <x:v>Direct Hosting and Transaction Fees</x:v>
      </x:c>
      <x:c r="B31" s="61" t="n">
        <x:f>SUM(AL31,AI31,AF31,AC31,Z31,W31,T31,Q31,N31,K31,H31,E31)</x:f>
        <x:v>2030</x:v>
      </x:c>
      <x:c r="C31" s="62" t="n">
        <x:f>SUM(AM31,AJ31,AG31,AD31,AA31,X31,U31,R31,O31,L31,I31,F31)</x:f>
        <x:v>12030</x:v>
      </x:c>
      <x:c r="D31" s="63" t="n">
        <x:f>SUM(AN31,AK31,AH31,AE31,AB31,Y31,V31,S31,P31,M31,J31,G31)</x:f>
        <x:v>12000</x:v>
      </x:c>
      <x:c r="E31" s="64"/>
      <x:c r="F3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31,G31)</x:f>
        <x:v>1000</x:v>
      </x:c>
      <x:c r="G31" s="65" t="n">
        <x:v>1000</x:v>
      </x:c>
      <x:c r="H31" s="64"/>
      <x:c r="I3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31,J31)</x:f>
        <x:v>1000</x:v>
      </x:c>
      <x:c r="J31" s="65" t="n">
        <x:v>1000</x:v>
      </x:c>
      <x:c r="K31" s="64"/>
      <x:c r="L3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31,M31)</x:f>
        <x:v>1000</x:v>
      </x:c>
      <x:c r="M31" s="65" t="n">
        <x:v>1000</x:v>
      </x:c>
      <x:c r="N31" s="64"/>
      <x:c r="O3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31,P31)</x:f>
        <x:v>1000</x:v>
      </x:c>
      <x:c r="P31" s="65" t="n">
        <x:v>1000</x:v>
      </x:c>
      <x:c r="Q31" s="64"/>
      <x:c r="R3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31,S31)</x:f>
        <x:v>1000</x:v>
      </x:c>
      <x:c r="S31" s="65" t="n">
        <x:v>1000</x:v>
      </x:c>
      <x:c r="T31" s="64"/>
      <x:c r="U3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31,V31)</x:f>
        <x:v>1000</x:v>
      </x:c>
      <x:c r="V31" s="65" t="n">
        <x:v>1000</x:v>
      </x:c>
      <x:c r="W31" s="64"/>
      <x:c r="X3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31,Y31)</x:f>
        <x:v>1000</x:v>
      </x:c>
      <x:c r="Y31" s="65" t="n">
        <x:v>1000</x:v>
      </x:c>
      <x:c r="Z31" s="64"/>
      <x:c r="AA3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31,AB31)</x:f>
        <x:v>1000</x:v>
      </x:c>
      <x:c r="AB31" s="65" t="n">
        <x:v>1000</x:v>
      </x:c>
      <x:c r="AC31" s="64"/>
      <x:c r="AD3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31,AE31)</x:f>
        <x:v>1000</x:v>
      </x:c>
      <x:c r="AE31" s="65" t="n">
        <x:v>1000</x:v>
      </x:c>
      <x:c r="AF31" s="64"/>
      <x:c r="AG3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31,AH31)</x:f>
        <x:v>1000</x:v>
      </x:c>
      <x:c r="AH31" s="65" t="n">
        <x:v>1000</x:v>
      </x:c>
      <x:c r="AI31" s="64" t="n">
        <x:v>980</x:v>
      </x:c>
      <x:c r="AJ3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31,AK31)</x:f>
        <x:v>980</x:v>
      </x:c>
      <x:c r="AK31" s="65" t="n">
        <x:v>1000</x:v>
      </x:c>
      <x:c r="AL31" s="64" t="n">
        <x:v>1050</x:v>
      </x:c>
      <x:c r="AM31" s="62" t="n">
        <x:f>IF(AND(AND(AL$57&lt;&gt;"",COUNT(AL6,AL8,AL9,AL11,AL12,AL13,AL14,AL15,AL16,AL18,AL21,AL23,AL28,AL30,AL31,AL32,AL33,AL38,AL39,AL40,AL41,AL42,AL43,AL44,AL45,AL46,AL47,AL48,AL49,AL50,AL51,AL52,AL57,AL60,AL61,AL62,AL63,AL64,AL69)=39)),AL31,AN31)</x:f>
        <x:v>1050</x:v>
      </x:c>
      <x:c r="AN31" s="65" t="n">
        <x:v>1000</x:v>
      </x:c>
    </x:row>
    <x:row r="32" ht="24" customHeight="1">
      <x:c r="A32" s="3" t="str">
        <x:v>Direct Equipment Rental</x:v>
      </x:c>
      <x:c r="B32" s="61" t="n">
        <x:f>SUM(AL32,AI32,AF32,AC32,Z32,W32,T32,Q32,N32,K32,H32,E32)</x:f>
        <x:v>1015</x:v>
      </x:c>
      <x:c r="C32" s="62" t="n">
        <x:f>SUM(AM32,AJ32,AG32,AD32,AA32,X32,U32,R32,O32,L32,I32,F32)</x:f>
        <x:v>6015</x:v>
      </x:c>
      <x:c r="D32" s="63" t="n">
        <x:f>SUM(AN32,AK32,AH32,AE32,AB32,Y32,V32,S32,P32,M32,J32,G32)</x:f>
        <x:v>6000</x:v>
      </x:c>
      <x:c r="E32" s="64"/>
      <x:c r="F3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32,G32)</x:f>
        <x:v>500</x:v>
      </x:c>
      <x:c r="G32" s="65" t="n">
        <x:v>500</x:v>
      </x:c>
      <x:c r="H32" s="64"/>
      <x:c r="I3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32,J32)</x:f>
        <x:v>500</x:v>
      </x:c>
      <x:c r="J32" s="65" t="n">
        <x:v>500</x:v>
      </x:c>
      <x:c r="K32" s="64"/>
      <x:c r="L3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32,M32)</x:f>
        <x:v>500</x:v>
      </x:c>
      <x:c r="M32" s="65" t="n">
        <x:v>500</x:v>
      </x:c>
      <x:c r="N32" s="64"/>
      <x:c r="O3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32,P32)</x:f>
        <x:v>500</x:v>
      </x:c>
      <x:c r="P32" s="65" t="n">
        <x:v>500</x:v>
      </x:c>
      <x:c r="Q32" s="64"/>
      <x:c r="R3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32,S32)</x:f>
        <x:v>500</x:v>
      </x:c>
      <x:c r="S32" s="65" t="n">
        <x:v>500</x:v>
      </x:c>
      <x:c r="T32" s="64"/>
      <x:c r="U3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32,V32)</x:f>
        <x:v>500</x:v>
      </x:c>
      <x:c r="V32" s="65" t="n">
        <x:v>500</x:v>
      </x:c>
      <x:c r="W32" s="64"/>
      <x:c r="X3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32,Y32)</x:f>
        <x:v>500</x:v>
      </x:c>
      <x:c r="Y32" s="65" t="n">
        <x:v>500</x:v>
      </x:c>
      <x:c r="Z32" s="64"/>
      <x:c r="AA3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32,AB32)</x:f>
        <x:v>500</x:v>
      </x:c>
      <x:c r="AB32" s="65" t="n">
        <x:v>500</x:v>
      </x:c>
      <x:c r="AC32" s="64"/>
      <x:c r="AD3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32,AE32)</x:f>
        <x:v>500</x:v>
      </x:c>
      <x:c r="AE32" s="65" t="n">
        <x:v>500</x:v>
      </x:c>
      <x:c r="AF32" s="64"/>
      <x:c r="AG3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32,AH32)</x:f>
        <x:v>500</x:v>
      </x:c>
      <x:c r="AH32" s="65" t="n">
        <x:v>500</x:v>
      </x:c>
      <x:c r="AI32" s="64" t="n">
        <x:v>490</x:v>
      </x:c>
      <x:c r="AJ3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32,AK32)</x:f>
        <x:v>490</x:v>
      </x:c>
      <x:c r="AK32" s="65" t="n">
        <x:v>500</x:v>
      </x:c>
      <x:c r="AL32" s="64" t="n">
        <x:v>525</x:v>
      </x:c>
      <x:c r="AM32" s="62" t="n">
        <x:f>IF(AND(AND(AL$57&lt;&gt;"",COUNT(AL6,AL8,AL9,AL11,AL12,AL13,AL14,AL15,AL16,AL18,AL21,AL23,AL28,AL30,AL31,AL32,AL33,AL38,AL39,AL40,AL41,AL42,AL43,AL44,AL45,AL46,AL47,AL48,AL49,AL50,AL51,AL52,AL57,AL60,AL61,AL62,AL63,AL64,AL69)=39)),AL32,AN32)</x:f>
        <x:v>525</x:v>
      </x:c>
      <x:c r="AN32" s="65" t="n">
        <x:v>500</x:v>
      </x:c>
    </x:row>
    <x:row r="33" ht="24" customHeight="1">
      <x:c r="A33" s="3" t="str">
        <x:v>Sales Commissions</x:v>
      </x:c>
      <x:c r="B33" s="61" t="n">
        <x:f>SUM(AL33,AI33,AF33,AC33,Z33,W33,T33,Q33,N33,K33,H33,E33)</x:f>
        <x:v>4060</x:v>
      </x:c>
      <x:c r="C33" s="62" t="n">
        <x:f>SUM(AM33,AJ33,AG33,AD33,AA33,X33,U33,R33,O33,L33,I33,F33)</x:f>
        <x:v>24060</x:v>
      </x:c>
      <x:c r="D33" s="63" t="n">
        <x:f>SUM(AN33,AK33,AH33,AE33,AB33,Y33,V33,S33,P33,M33,J33,G33)</x:f>
        <x:v>24000</x:v>
      </x:c>
      <x:c r="E33" s="64"/>
      <x:c r="F3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33,G33)</x:f>
        <x:v>2000</x:v>
      </x:c>
      <x:c r="G33" s="65" t="n">
        <x:v>2000</x:v>
      </x:c>
      <x:c r="H33" s="64"/>
      <x:c r="I3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33,J33)</x:f>
        <x:v>2000</x:v>
      </x:c>
      <x:c r="J33" s="65" t="n">
        <x:v>2000</x:v>
      </x:c>
      <x:c r="K33" s="64"/>
      <x:c r="L3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33,M33)</x:f>
        <x:v>2000</x:v>
      </x:c>
      <x:c r="M33" s="65" t="n">
        <x:v>2000</x:v>
      </x:c>
      <x:c r="N33" s="64"/>
      <x:c r="O3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33,P33)</x:f>
        <x:v>2000</x:v>
      </x:c>
      <x:c r="P33" s="65" t="n">
        <x:v>2000</x:v>
      </x:c>
      <x:c r="Q33" s="64"/>
      <x:c r="R3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33,S33)</x:f>
        <x:v>2000</x:v>
      </x:c>
      <x:c r="S33" s="65" t="n">
        <x:v>2000</x:v>
      </x:c>
      <x:c r="T33" s="64"/>
      <x:c r="U3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33,V33)</x:f>
        <x:v>2000</x:v>
      </x:c>
      <x:c r="V33" s="65" t="n">
        <x:v>2000</x:v>
      </x:c>
      <x:c r="W33" s="64"/>
      <x:c r="X3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33,Y33)</x:f>
        <x:v>2000</x:v>
      </x:c>
      <x:c r="Y33" s="65" t="n">
        <x:v>2000</x:v>
      </x:c>
      <x:c r="Z33" s="64"/>
      <x:c r="AA3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33,AB33)</x:f>
        <x:v>2000</x:v>
      </x:c>
      <x:c r="AB33" s="65" t="n">
        <x:v>2000</x:v>
      </x:c>
      <x:c r="AC33" s="64"/>
      <x:c r="AD3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33,AE33)</x:f>
        <x:v>2000</x:v>
      </x:c>
      <x:c r="AE33" s="65" t="n">
        <x:v>2000</x:v>
      </x:c>
      <x:c r="AF33" s="64"/>
      <x:c r="AG3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33,AH33)</x:f>
        <x:v>2000</x:v>
      </x:c>
      <x:c r="AH33" s="65" t="n">
        <x:v>2000</x:v>
      </x:c>
      <x:c r="AI33" s="64" t="n">
        <x:v>1960</x:v>
      </x:c>
      <x:c r="AJ3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33,AK33)</x:f>
        <x:v>1960</x:v>
      </x:c>
      <x:c r="AK33" s="65" t="n">
        <x:v>2000</x:v>
      </x:c>
      <x:c r="AL33" s="64" t="n">
        <x:v>2100</x:v>
      </x:c>
      <x:c r="AM33" s="62" t="n">
        <x:f>IF(AND(AND(AL$57&lt;&gt;"",COUNT(AL6,AL8,AL9,AL11,AL12,AL13,AL14,AL15,AL16,AL18,AL21,AL23,AL28,AL30,AL31,AL32,AL33,AL38,AL39,AL40,AL41,AL42,AL43,AL44,AL45,AL46,AL47,AL48,AL49,AL50,AL51,AL52,AL57,AL60,AL61,AL62,AL63,AL64,AL69)=39)),AL33,AN33)</x:f>
        <x:v>2100</x:v>
      </x:c>
      <x:c r="AN33" s="65" t="n">
        <x:v>2000</x:v>
      </x:c>
    </x:row>
    <x:row r="34" ht="24" customHeight="1">
      <x:c r="A34" s="39" t="str">
        <x:v>Total Cost of Goods Sold</x:v>
      </x:c>
      <x:c r="B34" s="67" t="n">
        <x:f>SUM(AL34,AI34,AF34,AC34,Z34,W34,T34,Q34,N34,K34,H34,E34)</x:f>
        <x:v>34180</x:v>
      </x:c>
      <x:c r="C34" s="68" t="n">
        <x:f>SUM(AM34,AJ34,AG34,AD34,AA34,X34,U34,R34,O34,L34,I34,F34)</x:f>
        <x:v>202180</x:v>
      </x:c>
      <x:c r="D34" s="69" t="n">
        <x:f>SUM(AN34,AK34,AH34,AE34,AB34,Y34,V34,S34,P34,M34,J34,G34)</x:f>
        <x:v>209000</x:v>
      </x:c>
      <x:c r="E34" s="67" t="str">
        <x:f>IF(COUNT(E28:E33)&gt;0,SUM(E28:E33),"")</x:f>
      </x:c>
      <x:c r="F34" s="68" t="n">
        <x:f>IF(COUNT(F28:F33)&gt;0,SUM(F28:F33),"")</x:f>
        <x:v>18000</x:v>
      </x:c>
      <x:c r="G34" s="69" t="n">
        <x:f>IF(COUNT(G28:G33)&gt;0,SUM(G28:G33),"")</x:f>
        <x:v>18000</x:v>
      </x:c>
      <x:c r="H34" s="67" t="str">
        <x:f>IF(COUNT(H28:H33)&gt;0,SUM(H28:H33),"")</x:f>
      </x:c>
      <x:c r="I34" s="68" t="n">
        <x:f>IF(COUNT(I28:I33)&gt;0,SUM(I28:I33),"")</x:f>
        <x:v>18000</x:v>
      </x:c>
      <x:c r="J34" s="69" t="n">
        <x:f>IF(COUNT(J28:J33)&gt;0,SUM(J28:J33),"")</x:f>
        <x:v>18000</x:v>
      </x:c>
      <x:c r="K34" s="67" t="str">
        <x:f>IF(COUNT(K28:K33)&gt;0,SUM(K28:K33),"")</x:f>
      </x:c>
      <x:c r="L34" s="68" t="n">
        <x:f>IF(COUNT(L28:L33)&gt;0,SUM(L28:L33),"")</x:f>
        <x:v>18000</x:v>
      </x:c>
      <x:c r="M34" s="69" t="n">
        <x:f>IF(COUNT(M28:M33)&gt;0,SUM(M28:M33),"")</x:f>
        <x:v>18000</x:v>
      </x:c>
      <x:c r="N34" s="67" t="str">
        <x:f>IF(COUNT(N28:N33)&gt;0,SUM(N28:N33),"")</x:f>
      </x:c>
      <x:c r="O34" s="68" t="n">
        <x:f>IF(COUNT(O28:O33)&gt;0,SUM(O28:O33),"")</x:f>
        <x:v>18000</x:v>
      </x:c>
      <x:c r="P34" s="69" t="n">
        <x:f>IF(COUNT(P28:P33)&gt;0,SUM(P28:P33),"")</x:f>
        <x:v>18000</x:v>
      </x:c>
      <x:c r="Q34" s="67" t="str">
        <x:f>IF(COUNT(Q28:Q33)&gt;0,SUM(Q28:Q33),"")</x:f>
      </x:c>
      <x:c r="R34" s="68" t="n">
        <x:f>IF(COUNT(R28:R33)&gt;0,SUM(R28:R33),"")</x:f>
        <x:v>17000</x:v>
      </x:c>
      <x:c r="S34" s="69" t="n">
        <x:f>IF(COUNT(S28:S33)&gt;0,SUM(S28:S33),"")</x:f>
        <x:v>17000</x:v>
      </x:c>
      <x:c r="T34" s="67" t="str">
        <x:f>IF(COUNT(T28:T33)&gt;0,SUM(T28:T33),"")</x:f>
      </x:c>
      <x:c r="U34" s="68" t="n">
        <x:f>IF(COUNT(U28:U33)&gt;0,SUM(U28:U33),"")</x:f>
        <x:v>17000</x:v>
      </x:c>
      <x:c r="V34" s="69" t="n">
        <x:f>IF(COUNT(V28:V33)&gt;0,SUM(V28:V33),"")</x:f>
        <x:v>17000</x:v>
      </x:c>
      <x:c r="W34" s="67" t="str">
        <x:f>IF(COUNT(W28:W33)&gt;0,SUM(W28:W33),"")</x:f>
      </x:c>
      <x:c r="X34" s="68" t="n">
        <x:f>IF(COUNT(X28:X33)&gt;0,SUM(X28:X33),"")</x:f>
        <x:v>17000</x:v>
      </x:c>
      <x:c r="Y34" s="69" t="n">
        <x:f>IF(COUNT(Y28:Y33)&gt;0,SUM(Y28:Y33),"")</x:f>
        <x:v>17000</x:v>
      </x:c>
      <x:c r="Z34" s="67" t="str">
        <x:f>IF(COUNT(Z28:Z33)&gt;0,SUM(Z28:Z33),"")</x:f>
      </x:c>
      <x:c r="AA34" s="68" t="n">
        <x:f>IF(COUNT(AA28:AA33)&gt;0,SUM(AA28:AA33),"")</x:f>
        <x:v>17000</x:v>
      </x:c>
      <x:c r="AB34" s="69" t="n">
        <x:f>IF(COUNT(AB28:AB33)&gt;0,SUM(AB28:AB33),"")</x:f>
        <x:v>17000</x:v>
      </x:c>
      <x:c r="AC34" s="67" t="str">
        <x:f>IF(COUNT(AC28:AC33)&gt;0,SUM(AC28:AC33),"")</x:f>
      </x:c>
      <x:c r="AD34" s="68" t="n">
        <x:f>IF(COUNT(AD28:AD33)&gt;0,SUM(AD28:AD33),"")</x:f>
        <x:v>14000</x:v>
      </x:c>
      <x:c r="AE34" s="69" t="n">
        <x:f>IF(COUNT(AE28:AE33)&gt;0,SUM(AE28:AE33),"")</x:f>
        <x:v>16000</x:v>
      </x:c>
      <x:c r="AF34" s="67" t="str">
        <x:f>IF(COUNT(AF28:AF33)&gt;0,SUM(AF28:AF33),"")</x:f>
      </x:c>
      <x:c r="AG34" s="68" t="n">
        <x:f>IF(COUNT(AG28:AG33)&gt;0,SUM(AG28:AG33),"")</x:f>
        <x:v>14000</x:v>
      </x:c>
      <x:c r="AH34" s="69" t="n">
        <x:f>IF(COUNT(AH28:AH33)&gt;0,SUM(AH28:AH33),"")</x:f>
        <x:v>16000</x:v>
      </x:c>
      <x:c r="AI34" s="67" t="n">
        <x:f>IF(COUNT(AI28:AI33)&gt;0,SUM(AI28:AI33),"")</x:f>
        <x:v>15880</x:v>
      </x:c>
      <x:c r="AJ34" s="68" t="n">
        <x:f>IF(COUNT(AJ28:AJ33)&gt;0,SUM(AJ28:AJ33),"")</x:f>
        <x:v>15880</x:v>
      </x:c>
      <x:c r="AK34" s="69" t="n">
        <x:f>IF(COUNT(AK28:AK33)&gt;0,SUM(AK28:AK33),"")</x:f>
        <x:v>16000</x:v>
      </x:c>
      <x:c r="AL34" s="67" t="n">
        <x:f>IF(COUNT(AL28:AL33)&gt;0,SUM(AL28:AL33),"")</x:f>
        <x:v>18300</x:v>
      </x:c>
      <x:c r="AM34" s="68" t="n">
        <x:f>IF(COUNT(AM28:AM33)&gt;0,SUM(AM28:AM33),"")</x:f>
        <x:v>18300</x:v>
      </x:c>
      <x:c r="AN34" s="69" t="n">
        <x:f>IF(COUNT(AN28:AN33)&gt;0,SUM(AN28:AN33),"")</x:f>
        <x:v>21000</x:v>
      </x:c>
    </x:row>
    <x:row r="35" ht="24" customHeight="1">
      <x:c r="A35" s="33" t="str">
        <x:v>GROSS PROFIT</x:v>
      </x:c>
      <x:c r="B35" s="66"/>
      <x:c r="C35" s="66"/>
      <x:c r="D35" s="66"/>
      <x:c r="E35" s="66"/>
      <x:c r="F35" s="66"/>
      <x:c r="G35" s="66"/>
      <x:c r="H35" s="66"/>
      <x:c r="I35" s="66"/>
      <x:c r="J35" s="66"/>
      <x:c r="K35" s="66"/>
      <x:c r="L35" s="66"/>
      <x:c r="M35" s="66"/>
      <x:c r="N35" s="66"/>
      <x:c r="O35" s="66"/>
      <x:c r="P35" s="66"/>
      <x:c r="Q35" s="66"/>
      <x:c r="R35" s="66"/>
      <x:c r="S35" s="66"/>
      <x:c r="T35" s="66"/>
      <x:c r="U35" s="66"/>
      <x:c r="V35" s="66"/>
      <x:c r="W35" s="66"/>
      <x:c r="X35" s="66"/>
      <x:c r="Y35" s="66"/>
      <x:c r="Z35" s="66"/>
      <x:c r="AA35" s="66"/>
      <x:c r="AB35" s="66"/>
      <x:c r="AC35" s="66"/>
      <x:c r="AD35" s="66"/>
      <x:c r="AE35" s="66"/>
      <x:c r="AF35" s="66"/>
      <x:c r="AG35" s="66"/>
      <x:c r="AH35" s="66"/>
      <x:c r="AI35" s="66"/>
      <x:c r="AJ35" s="66"/>
      <x:c r="AK35" s="66"/>
      <x:c r="AL35" s="66"/>
      <x:c r="AM35" s="66"/>
      <x:c r="AN35" s="66"/>
    </x:row>
    <x:row r="36" ht="24" customHeight="1">
      <x:c r="A36" s="39" t="str">
        <x:v>Gross Profit</x:v>
      </x:c>
      <x:c r="B36" s="67" t="n">
        <x:f>SUM(AL36,AI36,AF36,AC36,Z36,W36,T36,Q36,N36,K36,H36,E36)</x:f>
        <x:v>75820</x:v>
      </x:c>
      <x:c r="C36" s="68" t="n">
        <x:f>SUM(AM36,AJ36,AG36,AD36,AA36,X36,U36,R36,O36,L36,I36,F36)</x:f>
        <x:v>747820</x:v>
      </x:c>
      <x:c r="D36" s="69" t="n">
        <x:f>SUM(AN36,AK36,AH36,AE36,AB36,Y36,V36,S36,P36,M36,J36,G36)</x:f>
        <x:v>887000</x:v>
      </x:c>
      <x:c r="E36" s="67" t="str">
        <x:f>IF(COUNT(E26,E34)=2,E26-E34,"")</x:f>
      </x:c>
      <x:c r="F36" s="68" t="n">
        <x:f>IF(COUNT(F26,F34)=2,F26-F34,"")</x:f>
        <x:v>78000</x:v>
      </x:c>
      <x:c r="G36" s="69" t="n">
        <x:f>IF(COUNT(G26,G34)=2,G26-G34,"")</x:f>
        <x:v>78000</x:v>
      </x:c>
      <x:c r="H36" s="67" t="str">
        <x:f>IF(COUNT(H26,H34)=2,H26-H34,"")</x:f>
      </x:c>
      <x:c r="I36" s="68" t="n">
        <x:f>IF(COUNT(I26,I34)=2,I26-I34,"")</x:f>
        <x:v>78000</x:v>
      </x:c>
      <x:c r="J36" s="69" t="n">
        <x:f>IF(COUNT(J26,J34)=2,J26-J34,"")</x:f>
        <x:v>78000</x:v>
      </x:c>
      <x:c r="K36" s="67" t="str">
        <x:f>IF(COUNT(K26,K34)=2,K26-K34,"")</x:f>
      </x:c>
      <x:c r="L36" s="68" t="n">
        <x:f>IF(COUNT(L26,L34)=2,L26-L34,"")</x:f>
        <x:v>78000</x:v>
      </x:c>
      <x:c r="M36" s="69" t="n">
        <x:f>IF(COUNT(M26,M34)=2,M26-M34,"")</x:f>
        <x:v>78000</x:v>
      </x:c>
      <x:c r="N36" s="67" t="str">
        <x:f>IF(COUNT(N26,N34)=2,N26-N34,"")</x:f>
      </x:c>
      <x:c r="O36" s="68" t="n">
        <x:f>IF(COUNT(O26,O34)=2,O26-O34,"")</x:f>
        <x:v>78000</x:v>
      </x:c>
      <x:c r="P36" s="69" t="n">
        <x:f>IF(COUNT(P26,P34)=2,P26-P34,"")</x:f>
        <x:v>78000</x:v>
      </x:c>
      <x:c r="Q36" s="67" t="str">
        <x:f>IF(COUNT(Q26,Q34)=2,Q26-Q34,"")</x:f>
      </x:c>
      <x:c r="R36" s="68" t="n">
        <x:f>IF(COUNT(R26,R34)=2,R26-R34,"")</x:f>
        <x:v>71000</x:v>
      </x:c>
      <x:c r="S36" s="69" t="n">
        <x:f>IF(COUNT(S26,S34)=2,S26-S34,"")</x:f>
        <x:v>71000</x:v>
      </x:c>
      <x:c r="T36" s="67" t="str">
        <x:f>IF(COUNT(T26,T34)=2,T26-T34,"")</x:f>
      </x:c>
      <x:c r="U36" s="68" t="n">
        <x:f>IF(COUNT(U26,U34)=2,U26-U34,"")</x:f>
        <x:v>71000</x:v>
      </x:c>
      <x:c r="V36" s="69" t="n">
        <x:f>IF(COUNT(V26,V34)=2,V26-V34,"")</x:f>
        <x:v>71000</x:v>
      </x:c>
      <x:c r="W36" s="67" t="str">
        <x:f>IF(COUNT(W26,W34)=2,W26-W34,"")</x:f>
      </x:c>
      <x:c r="X36" s="68" t="n">
        <x:f>IF(COUNT(X26,X34)=2,X26-X34,"")</x:f>
        <x:v>71000</x:v>
      </x:c>
      <x:c r="Y36" s="69" t="n">
        <x:f>IF(COUNT(Y26,Y34)=2,Y26-Y34,"")</x:f>
        <x:v>71000</x:v>
      </x:c>
      <x:c r="Z36" s="67" t="str">
        <x:f>IF(COUNT(Z26,Z34)=2,Z26-Z34,"")</x:f>
      </x:c>
      <x:c r="AA36" s="68" t="n">
        <x:f>IF(COUNT(AA26,AA34)=2,AA26-AA34,"")</x:f>
        <x:v>71000</x:v>
      </x:c>
      <x:c r="AB36" s="69" t="n">
        <x:f>IF(COUNT(AB26,AB34)=2,AB26-AB34,"")</x:f>
        <x:v>71000</x:v>
      </x:c>
      <x:c r="AC36" s="67" t="str">
        <x:f>IF(COUNT(AC26,AC34)=2,AC26-AC34,"")</x:f>
      </x:c>
      <x:c r="AD36" s="68" t="n">
        <x:f>IF(COUNT(AD26,AD34)=2,AD26-AD34,"")</x:f>
        <x:v>50000</x:v>
      </x:c>
      <x:c r="AE36" s="69" t="n">
        <x:f>IF(COUNT(AE26,AE34)=2,AE26-AE34,"")</x:f>
        <x:v>64000</x:v>
      </x:c>
      <x:c r="AF36" s="67" t="str">
        <x:f>IF(COUNT(AF26,AF34)=2,AF26-AF34,"")</x:f>
      </x:c>
      <x:c r="AG36" s="68" t="n">
        <x:f>IF(COUNT(AG26,AG34)=2,AG26-AG34,"")</x:f>
        <x:v>26000</x:v>
      </x:c>
      <x:c r="AH36" s="69" t="n">
        <x:f>IF(COUNT(AH26,AH34)=2,AH26-AH34,"")</x:f>
        <x:v>64000</x:v>
      </x:c>
      <x:c r="AI36" s="67" t="n">
        <x:f>IF(COUNT(AI26,AI34)=2,AI26-AI34,"")</x:f>
        <x:v>34120</x:v>
      </x:c>
      <x:c r="AJ36" s="68" t="n">
        <x:f>IF(COUNT(AJ26,AJ34)=2,AJ26-AJ34,"")</x:f>
        <x:v>34120</x:v>
      </x:c>
      <x:c r="AK36" s="69" t="n">
        <x:f>IF(COUNT(AK26,AK34)=2,AK26-AK34,"")</x:f>
        <x:v>64000</x:v>
      </x:c>
      <x:c r="AL36" s="67" t="n">
        <x:f>IF(COUNT(AL26,AL34)=2,AL26-AL34,"")</x:f>
        <x:v>41700</x:v>
      </x:c>
      <x:c r="AM36" s="68" t="n">
        <x:f>IF(COUNT(AM26,AM34)=2,AM26-AM34,"")</x:f>
        <x:v>41700</x:v>
      </x:c>
      <x:c r="AN36" s="69" t="n">
        <x:f>IF(COUNT(AN26,AN34)=2,AN26-AN34,"")</x:f>
        <x:v>99000</x:v>
      </x:c>
    </x:row>
    <x:row r="37" ht="24" customHeight="1">
      <x:c r="A37" s="33" t="str">
        <x:v>EXPENSES</x:v>
      </x:c>
      <x:c r="B37" s="35"/>
      <x:c r="C37" s="35"/>
      <x:c r="D37" s="35"/>
      <x:c r="E37" s="35"/>
      <x:c r="F37" s="35"/>
      <x:c r="G37" s="35"/>
      <x:c r="H37" s="35"/>
      <x:c r="I37" s="35"/>
      <x:c r="J37" s="35"/>
      <x:c r="K37" s="35"/>
      <x:c r="L37" s="35"/>
      <x:c r="M37" s="35"/>
      <x:c r="N37" s="35"/>
      <x:c r="O37" s="35"/>
      <x:c r="P37" s="35"/>
      <x:c r="Q37" s="35"/>
      <x:c r="R37" s="35"/>
      <x:c r="S37" s="35"/>
      <x:c r="T37" s="35"/>
      <x:c r="U37" s="35"/>
      <x:c r="V37" s="35"/>
      <x:c r="W37" s="35"/>
      <x:c r="X37" s="35"/>
      <x:c r="Y37" s="35"/>
      <x:c r="Z37" s="35"/>
      <x:c r="AA37" s="35"/>
      <x:c r="AB37" s="35"/>
      <x:c r="AC37" s="35"/>
      <x:c r="AD37" s="35"/>
      <x:c r="AE37" s="35"/>
      <x:c r="AF37" s="35"/>
      <x:c r="AG37" s="35"/>
      <x:c r="AH37" s="35"/>
      <x:c r="AI37" s="35"/>
      <x:c r="AJ37" s="35"/>
      <x:c r="AK37" s="35"/>
      <x:c r="AL37" s="35"/>
      <x:c r="AM37" s="35"/>
      <x:c r="AN37" s="35"/>
    </x:row>
    <x:row r="38" ht="24" customHeight="1">
      <x:c r="A38" s="3" t="str">
        <x:v>Salaries and Wages</x:v>
      </x:c>
      <x:c r="B38" s="61" t="n">
        <x:f>SUM(AL38,AI38,AF38,AC38,Z38,W38,T38,Q38,N38,K38,H38,E38)</x:f>
        <x:v>86275</x:v>
      </x:c>
      <x:c r="C38" s="62" t="n">
        <x:f>SUM(AM38,AJ38,AG38,AD38,AA38,X38,U38,R38,O38,L38,I38,F38)</x:f>
        <x:v>511275</x:v>
      </x:c>
      <x:c r="D38" s="63" t="n">
        <x:f>SUM(AN38,AK38,AH38,AE38,AB38,Y38,V38,S38,P38,M38,J38,G38)</x:f>
        <x:v>510000</x:v>
      </x:c>
      <x:c r="E38" s="64"/>
      <x:c r="F3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38,G38)</x:f>
        <x:v>42500</x:v>
      </x:c>
      <x:c r="G38" s="65" t="n">
        <x:v>42500</x:v>
      </x:c>
      <x:c r="H38" s="64"/>
      <x:c r="I3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38,J38)</x:f>
        <x:v>42500</x:v>
      </x:c>
      <x:c r="J38" s="65" t="n">
        <x:v>42500</x:v>
      </x:c>
      <x:c r="K38" s="64"/>
      <x:c r="L3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38,M38)</x:f>
        <x:v>42500</x:v>
      </x:c>
      <x:c r="M38" s="65" t="n">
        <x:v>42500</x:v>
      </x:c>
      <x:c r="N38" s="64"/>
      <x:c r="O3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38,P38)</x:f>
        <x:v>42500</x:v>
      </x:c>
      <x:c r="P38" s="65" t="n">
        <x:v>42500</x:v>
      </x:c>
      <x:c r="Q38" s="64"/>
      <x:c r="R3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38,S38)</x:f>
        <x:v>42500</x:v>
      </x:c>
      <x:c r="S38" s="65" t="n">
        <x:v>42500</x:v>
      </x:c>
      <x:c r="T38" s="64"/>
      <x:c r="U3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38,V38)</x:f>
        <x:v>42500</x:v>
      </x:c>
      <x:c r="V38" s="65" t="n">
        <x:v>42500</x:v>
      </x:c>
      <x:c r="W38" s="64"/>
      <x:c r="X3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38,Y38)</x:f>
        <x:v>42500</x:v>
      </x:c>
      <x:c r="Y38" s="65" t="n">
        <x:v>42500</x:v>
      </x:c>
      <x:c r="Z38" s="64"/>
      <x:c r="AA3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38,AB38)</x:f>
        <x:v>42500</x:v>
      </x:c>
      <x:c r="AB38" s="65" t="n">
        <x:v>42500</x:v>
      </x:c>
      <x:c r="AC38" s="64"/>
      <x:c r="AD3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38,AE38)</x:f>
        <x:v>42500</x:v>
      </x:c>
      <x:c r="AE38" s="65" t="n">
        <x:v>42500</x:v>
      </x:c>
      <x:c r="AF38" s="64"/>
      <x:c r="AG3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38,AH38)</x:f>
        <x:v>42500</x:v>
      </x:c>
      <x:c r="AH38" s="65" t="n">
        <x:v>42500</x:v>
      </x:c>
      <x:c r="AI38" s="64" t="n">
        <x:v>41650</x:v>
      </x:c>
      <x:c r="AJ3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38,AK38)</x:f>
        <x:v>41650</x:v>
      </x:c>
      <x:c r="AK38" s="65" t="n">
        <x:v>42500</x:v>
      </x:c>
      <x:c r="AL38" s="64" t="n">
        <x:v>44625</x:v>
      </x:c>
      <x:c r="AM38" s="62" t="n">
        <x:f>IF(AND(AND(AL$57&lt;&gt;"",COUNT(AL6,AL8,AL9,AL11,AL12,AL13,AL14,AL15,AL16,AL18,AL21,AL23,AL28,AL30,AL31,AL32,AL33,AL38,AL39,AL40,AL41,AL42,AL43,AL44,AL45,AL46,AL47,AL48,AL49,AL50,AL51,AL52,AL57,AL60,AL61,AL62,AL63,AL64,AL69)=39)),AL38,AN38)</x:f>
        <x:v>44625</x:v>
      </x:c>
      <x:c r="AN38" s="65" t="n">
        <x:v>42500</x:v>
      </x:c>
    </x:row>
    <x:row r="39" ht="24" customHeight="1">
      <x:c r="A39" s="3" t="str">
        <x:v>Contractors and Freelancers</x:v>
      </x:c>
      <x:c r="B39" s="61" t="n">
        <x:f>SUM(AL39,AI39,AF39,AC39,Z39,W39,T39,Q39,N39,K39,H39,E39)</x:f>
        <x:v>7105</x:v>
      </x:c>
      <x:c r="C39" s="62" t="n">
        <x:f>SUM(AM39,AJ39,AG39,AD39,AA39,X39,U39,R39,O39,L39,I39,F39)</x:f>
        <x:v>42105</x:v>
      </x:c>
      <x:c r="D39" s="63" t="n">
        <x:f>SUM(AN39,AK39,AH39,AE39,AB39,Y39,V39,S39,P39,M39,J39,G39)</x:f>
        <x:v>42000</x:v>
      </x:c>
      <x:c r="E39" s="64"/>
      <x:c r="F3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39,G39)</x:f>
        <x:v>3500</x:v>
      </x:c>
      <x:c r="G39" s="65" t="n">
        <x:v>3500</x:v>
      </x:c>
      <x:c r="H39" s="64"/>
      <x:c r="I3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39,J39)</x:f>
        <x:v>3500</x:v>
      </x:c>
      <x:c r="J39" s="65" t="n">
        <x:v>3500</x:v>
      </x:c>
      <x:c r="K39" s="64"/>
      <x:c r="L3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39,M39)</x:f>
        <x:v>3500</x:v>
      </x:c>
      <x:c r="M39" s="65" t="n">
        <x:v>3500</x:v>
      </x:c>
      <x:c r="N39" s="64"/>
      <x:c r="O3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39,P39)</x:f>
        <x:v>3500</x:v>
      </x:c>
      <x:c r="P39" s="65" t="n">
        <x:v>3500</x:v>
      </x:c>
      <x:c r="Q39" s="64"/>
      <x:c r="R3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39,S39)</x:f>
        <x:v>3500</x:v>
      </x:c>
      <x:c r="S39" s="65" t="n">
        <x:v>3500</x:v>
      </x:c>
      <x:c r="T39" s="64"/>
      <x:c r="U3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39,V39)</x:f>
        <x:v>3500</x:v>
      </x:c>
      <x:c r="V39" s="65" t="n">
        <x:v>3500</x:v>
      </x:c>
      <x:c r="W39" s="64"/>
      <x:c r="X3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39,Y39)</x:f>
        <x:v>3500</x:v>
      </x:c>
      <x:c r="Y39" s="65" t="n">
        <x:v>3500</x:v>
      </x:c>
      <x:c r="Z39" s="64"/>
      <x:c r="AA3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39,AB39)</x:f>
        <x:v>3500</x:v>
      </x:c>
      <x:c r="AB39" s="65" t="n">
        <x:v>3500</x:v>
      </x:c>
      <x:c r="AC39" s="64"/>
      <x:c r="AD3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39,AE39)</x:f>
        <x:v>3500</x:v>
      </x:c>
      <x:c r="AE39" s="65" t="n">
        <x:v>3500</x:v>
      </x:c>
      <x:c r="AF39" s="64"/>
      <x:c r="AG3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39,AH39)</x:f>
        <x:v>3500</x:v>
      </x:c>
      <x:c r="AH39" s="65" t="n">
        <x:v>3500</x:v>
      </x:c>
      <x:c r="AI39" s="64" t="n">
        <x:v>3430</x:v>
      </x:c>
      <x:c r="AJ3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39,AK39)</x:f>
        <x:v>3430</x:v>
      </x:c>
      <x:c r="AK39" s="65" t="n">
        <x:v>3500</x:v>
      </x:c>
      <x:c r="AL39" s="64" t="n">
        <x:v>3675</x:v>
      </x:c>
      <x:c r="AM39" s="62" t="n">
        <x:f>IF(AND(AND(AL$57&lt;&gt;"",COUNT(AL6,AL8,AL9,AL11,AL12,AL13,AL14,AL15,AL16,AL18,AL21,AL23,AL28,AL30,AL31,AL32,AL33,AL38,AL39,AL40,AL41,AL42,AL43,AL44,AL45,AL46,AL47,AL48,AL49,AL50,AL51,AL52,AL57,AL60,AL61,AL62,AL63,AL64,AL69)=39)),AL39,AN39)</x:f>
        <x:v>3675</x:v>
      </x:c>
      <x:c r="AN39" s="65" t="n">
        <x:v>3500</x:v>
      </x:c>
    </x:row>
    <x:row r="40" ht="24" customHeight="1">
      <x:c r="A40" s="3" t="str">
        <x:v>Recruiting</x:v>
      </x:c>
      <x:c r="B40" s="61" t="n">
        <x:f>SUM(AL40,AI40,AF40,AC40,Z40,W40,T40,Q40,N40,K40,H40,E40)</x:f>
        <x:v>0</x:v>
      </x:c>
      <x:c r="C40" s="62" t="n">
        <x:f>SUM(AM40,AJ40,AG40,AD40,AA40,X40,U40,R40,O40,L40,I40,F40)</x:f>
        <x:v>0</x:v>
      </x:c>
      <x:c r="D40" s="63" t="n">
        <x:f>SUM(AN40,AK40,AH40,AE40,AB40,Y40,V40,S40,P40,M40,J40,G40)</x:f>
        <x:v>0</x:v>
      </x:c>
      <x:c r="E40" s="64"/>
      <x:c r="F4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40,G40)</x:f>
        <x:v>0</x:v>
      </x:c>
      <x:c r="G40" s="65" t="n">
        <x:v>0</x:v>
      </x:c>
      <x:c r="H40" s="64"/>
      <x:c r="I4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40,J40)</x:f>
        <x:v>0</x:v>
      </x:c>
      <x:c r="J40" s="65" t="n">
        <x:v>0</x:v>
      </x:c>
      <x:c r="K40" s="64"/>
      <x:c r="L4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40,M40)</x:f>
        <x:v>0</x:v>
      </x:c>
      <x:c r="M40" s="65" t="n">
        <x:v>0</x:v>
      </x:c>
      <x:c r="N40" s="64"/>
      <x:c r="O4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40,P40)</x:f>
        <x:v>0</x:v>
      </x:c>
      <x:c r="P40" s="65" t="n">
        <x:v>0</x:v>
      </x:c>
      <x:c r="Q40" s="64"/>
      <x:c r="R4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40,S40)</x:f>
        <x:v>0</x:v>
      </x:c>
      <x:c r="S40" s="65" t="n">
        <x:v>0</x:v>
      </x:c>
      <x:c r="T40" s="64"/>
      <x:c r="U4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40,V40)</x:f>
        <x:v>0</x:v>
      </x:c>
      <x:c r="V40" s="65" t="n">
        <x:v>0</x:v>
      </x:c>
      <x:c r="W40" s="64"/>
      <x:c r="X4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40,Y40)</x:f>
        <x:v>0</x:v>
      </x:c>
      <x:c r="Y40" s="65" t="n">
        <x:v>0</x:v>
      </x:c>
      <x:c r="Z40" s="64"/>
      <x:c r="AA4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40,AB40)</x:f>
        <x:v>0</x:v>
      </x:c>
      <x:c r="AB40" s="65" t="n">
        <x:v>0</x:v>
      </x:c>
      <x:c r="AC40" s="64"/>
      <x:c r="AD4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40,AE40)</x:f>
        <x:v>0</x:v>
      </x:c>
      <x:c r="AE40" s="65" t="n">
        <x:v>0</x:v>
      </x:c>
      <x:c r="AF40" s="64"/>
      <x:c r="AG4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40,AH40)</x:f>
        <x:v>0</x:v>
      </x:c>
      <x:c r="AH40" s="65" t="n">
        <x:v>0</x:v>
      </x:c>
      <x:c r="AI40" s="64" t="n">
        <x:v>0</x:v>
      </x:c>
      <x:c r="AJ4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40,AK40)</x:f>
        <x:v>0</x:v>
      </x:c>
      <x:c r="AK40" s="65" t="n">
        <x:v>0</x:v>
      </x:c>
      <x:c r="AL40" s="64" t="n">
        <x:v>0</x:v>
      </x:c>
      <x:c r="AM40" s="62" t="n">
        <x:f>IF(AND(AND(AL$57&lt;&gt;"",COUNT(AL6,AL8,AL9,AL11,AL12,AL13,AL14,AL15,AL16,AL18,AL21,AL23,AL28,AL30,AL31,AL32,AL33,AL38,AL39,AL40,AL41,AL42,AL43,AL44,AL45,AL46,AL47,AL48,AL49,AL50,AL51,AL52,AL57,AL60,AL61,AL62,AL63,AL64,AL69)=39)),AL40,AN40)</x:f>
        <x:v>0</x:v>
      </x:c>
      <x:c r="AN40" s="65" t="n">
        <x:v>0</x:v>
      </x:c>
    </x:row>
    <x:row r="41" ht="24" customHeight="1">
      <x:c r="A41" s="3" t="str">
        <x:v>Training and Development</x:v>
      </x:c>
      <x:c r="B41" s="61" t="n">
        <x:f>SUM(AL41,AI41,AF41,AC41,Z41,W41,T41,Q41,N41,K41,H41,E41)</x:f>
        <x:v>2538</x:v>
      </x:c>
      <x:c r="C41" s="62" t="n">
        <x:f>SUM(AM41,AJ41,AG41,AD41,AA41,X41,U41,R41,O41,L41,I41,F41)</x:f>
        <x:v>15038</x:v>
      </x:c>
      <x:c r="D41" s="63" t="n">
        <x:f>SUM(AN41,AK41,AH41,AE41,AB41,Y41,V41,S41,P41,M41,J41,G41)</x:f>
        <x:v>15000</x:v>
      </x:c>
      <x:c r="E41" s="64"/>
      <x:c r="F4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41,G41)</x:f>
        <x:v>1250</x:v>
      </x:c>
      <x:c r="G41" s="65" t="n">
        <x:v>1250</x:v>
      </x:c>
      <x:c r="H41" s="64"/>
      <x:c r="I4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41,J41)</x:f>
        <x:v>1250</x:v>
      </x:c>
      <x:c r="J41" s="65" t="n">
        <x:v>1250</x:v>
      </x:c>
      <x:c r="K41" s="64"/>
      <x:c r="L4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41,M41)</x:f>
        <x:v>1250</x:v>
      </x:c>
      <x:c r="M41" s="65" t="n">
        <x:v>1250</x:v>
      </x:c>
      <x:c r="N41" s="64"/>
      <x:c r="O4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41,P41)</x:f>
        <x:v>1250</x:v>
      </x:c>
      <x:c r="P41" s="65" t="n">
        <x:v>1250</x:v>
      </x:c>
      <x:c r="Q41" s="64"/>
      <x:c r="R4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41,S41)</x:f>
        <x:v>1250</x:v>
      </x:c>
      <x:c r="S41" s="65" t="n">
        <x:v>1250</x:v>
      </x:c>
      <x:c r="T41" s="64"/>
      <x:c r="U4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41,V41)</x:f>
        <x:v>1250</x:v>
      </x:c>
      <x:c r="V41" s="65" t="n">
        <x:v>1250</x:v>
      </x:c>
      <x:c r="W41" s="64"/>
      <x:c r="X4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41,Y41)</x:f>
        <x:v>1250</x:v>
      </x:c>
      <x:c r="Y41" s="65" t="n">
        <x:v>1250</x:v>
      </x:c>
      <x:c r="Z41" s="64"/>
      <x:c r="AA4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41,AB41)</x:f>
        <x:v>1250</x:v>
      </x:c>
      <x:c r="AB41" s="65" t="n">
        <x:v>1250</x:v>
      </x:c>
      <x:c r="AC41" s="64"/>
      <x:c r="AD4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41,AE41)</x:f>
        <x:v>1250</x:v>
      </x:c>
      <x:c r="AE41" s="65" t="n">
        <x:v>1250</x:v>
      </x:c>
      <x:c r="AF41" s="64"/>
      <x:c r="AG4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41,AH41)</x:f>
        <x:v>1250</x:v>
      </x:c>
      <x:c r="AH41" s="65" t="n">
        <x:v>1250</x:v>
      </x:c>
      <x:c r="AI41" s="64" t="n">
        <x:v>1225</x:v>
      </x:c>
      <x:c r="AJ4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41,AK41)</x:f>
        <x:v>1225</x:v>
      </x:c>
      <x:c r="AK41" s="65" t="n">
        <x:v>1250</x:v>
      </x:c>
      <x:c r="AL41" s="64" t="n">
        <x:v>1313</x:v>
      </x:c>
      <x:c r="AM41" s="62" t="n">
        <x:f>IF(AND(AND(AL$57&lt;&gt;"",COUNT(AL6,AL8,AL9,AL11,AL12,AL13,AL14,AL15,AL16,AL18,AL21,AL23,AL28,AL30,AL31,AL32,AL33,AL38,AL39,AL40,AL41,AL42,AL43,AL44,AL45,AL46,AL47,AL48,AL49,AL50,AL51,AL52,AL57,AL60,AL61,AL62,AL63,AL64,AL69)=39)),AL41,AN41)</x:f>
        <x:v>1313</x:v>
      </x:c>
      <x:c r="AN41" s="65" t="n">
        <x:v>1250</x:v>
      </x:c>
    </x:row>
    <x:row r="42" ht="24" customHeight="1">
      <x:c r="A42" s="3" t="str">
        <x:v>Software Subscriptions</x:v>
      </x:c>
      <x:c r="B42" s="61" t="n">
        <x:f>SUM(AL42,AI42,AF42,AC42,Z42,W42,T42,Q42,N42,K42,H42,E42)</x:f>
        <x:v>10252</x:v>
      </x:c>
      <x:c r="C42" s="62" t="n">
        <x:f>SUM(AM42,AJ42,AG42,AD42,AA42,X42,U42,R42,O42,L42,I42,F42)</x:f>
        <x:v>60752</x:v>
      </x:c>
      <x:c r="D42" s="63" t="n">
        <x:f>SUM(AN42,AK42,AH42,AE42,AB42,Y42,V42,S42,P42,M42,J42,G42)</x:f>
        <x:v>60600</x:v>
      </x:c>
      <x:c r="E42" s="64"/>
      <x:c r="F4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42,G42)</x:f>
        <x:v>5050</x:v>
      </x:c>
      <x:c r="G42" s="65" t="n">
        <x:v>5050</x:v>
      </x:c>
      <x:c r="H42" s="64"/>
      <x:c r="I4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42,J42)</x:f>
        <x:v>5050</x:v>
      </x:c>
      <x:c r="J42" s="65" t="n">
        <x:v>5050</x:v>
      </x:c>
      <x:c r="K42" s="64"/>
      <x:c r="L4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42,M42)</x:f>
        <x:v>5050</x:v>
      </x:c>
      <x:c r="M42" s="65" t="n">
        <x:v>5050</x:v>
      </x:c>
      <x:c r="N42" s="64"/>
      <x:c r="O4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42,P42)</x:f>
        <x:v>5050</x:v>
      </x:c>
      <x:c r="P42" s="65" t="n">
        <x:v>5050</x:v>
      </x:c>
      <x:c r="Q42" s="64"/>
      <x:c r="R4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42,S42)</x:f>
        <x:v>5050</x:v>
      </x:c>
      <x:c r="S42" s="65" t="n">
        <x:v>5050</x:v>
      </x:c>
      <x:c r="T42" s="64"/>
      <x:c r="U4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42,V42)</x:f>
        <x:v>5050</x:v>
      </x:c>
      <x:c r="V42" s="65" t="n">
        <x:v>5050</x:v>
      </x:c>
      <x:c r="W42" s="64"/>
      <x:c r="X4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42,Y42)</x:f>
        <x:v>5050</x:v>
      </x:c>
      <x:c r="Y42" s="65" t="n">
        <x:v>5050</x:v>
      </x:c>
      <x:c r="Z42" s="64"/>
      <x:c r="AA4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42,AB42)</x:f>
        <x:v>5050</x:v>
      </x:c>
      <x:c r="AB42" s="65" t="n">
        <x:v>5050</x:v>
      </x:c>
      <x:c r="AC42" s="64"/>
      <x:c r="AD4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42,AE42)</x:f>
        <x:v>5050</x:v>
      </x:c>
      <x:c r="AE42" s="65" t="n">
        <x:v>5050</x:v>
      </x:c>
      <x:c r="AF42" s="64"/>
      <x:c r="AG4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42,AH42)</x:f>
        <x:v>5050</x:v>
      </x:c>
      <x:c r="AH42" s="65" t="n">
        <x:v>5050</x:v>
      </x:c>
      <x:c r="AI42" s="64" t="n">
        <x:v>4949</x:v>
      </x:c>
      <x:c r="AJ4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42,AK42)</x:f>
        <x:v>4949</x:v>
      </x:c>
      <x:c r="AK42" s="65" t="n">
        <x:v>5050</x:v>
      </x:c>
      <x:c r="AL42" s="64" t="n">
        <x:v>5303</x:v>
      </x:c>
      <x:c r="AM42" s="62" t="n">
        <x:f>IF(AND(AND(AL$57&lt;&gt;"",COUNT(AL6,AL8,AL9,AL11,AL12,AL13,AL14,AL15,AL16,AL18,AL21,AL23,AL28,AL30,AL31,AL32,AL33,AL38,AL39,AL40,AL41,AL42,AL43,AL44,AL45,AL46,AL47,AL48,AL49,AL50,AL51,AL52,AL57,AL60,AL61,AL62,AL63,AL64,AL69)=39)),AL42,AN42)</x:f>
        <x:v>5303</x:v>
      </x:c>
      <x:c r="AN42" s="65" t="n">
        <x:v>5050</x:v>
      </x:c>
    </x:row>
    <x:row r="43" ht="24" customHeight="1">
      <x:c r="A43" s="3" t="str">
        <x:v>Dues and Subscriptions</x:v>
      </x:c>
      <x:c r="B43" s="61" t="n">
        <x:f>SUM(AL43,AI43,AF43,AC43,Z43,W43,T43,Q43,N43,K43,H43,E43)</x:f>
        <x:v>609</x:v>
      </x:c>
      <x:c r="C43" s="62" t="n">
        <x:f>SUM(AM43,AJ43,AG43,AD43,AA43,X43,U43,R43,O43,L43,I43,F43)</x:f>
        <x:v>3609</x:v>
      </x:c>
      <x:c r="D43" s="63" t="n">
        <x:f>SUM(AN43,AK43,AH43,AE43,AB43,Y43,V43,S43,P43,M43,J43,G43)</x:f>
        <x:v>3600</x:v>
      </x:c>
      <x:c r="E43" s="64"/>
      <x:c r="F4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43,G43)</x:f>
        <x:v>300</x:v>
      </x:c>
      <x:c r="G43" s="65" t="n">
        <x:v>300</x:v>
      </x:c>
      <x:c r="H43" s="64"/>
      <x:c r="I4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43,J43)</x:f>
        <x:v>300</x:v>
      </x:c>
      <x:c r="J43" s="65" t="n">
        <x:v>300</x:v>
      </x:c>
      <x:c r="K43" s="64"/>
      <x:c r="L4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43,M43)</x:f>
        <x:v>300</x:v>
      </x:c>
      <x:c r="M43" s="65" t="n">
        <x:v>300</x:v>
      </x:c>
      <x:c r="N43" s="64"/>
      <x:c r="O4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43,P43)</x:f>
        <x:v>300</x:v>
      </x:c>
      <x:c r="P43" s="65" t="n">
        <x:v>300</x:v>
      </x:c>
      <x:c r="Q43" s="64"/>
      <x:c r="R4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43,S43)</x:f>
        <x:v>300</x:v>
      </x:c>
      <x:c r="S43" s="65" t="n">
        <x:v>300</x:v>
      </x:c>
      <x:c r="T43" s="64"/>
      <x:c r="U4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43,V43)</x:f>
        <x:v>300</x:v>
      </x:c>
      <x:c r="V43" s="65" t="n">
        <x:v>300</x:v>
      </x:c>
      <x:c r="W43" s="64"/>
      <x:c r="X4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43,Y43)</x:f>
        <x:v>300</x:v>
      </x:c>
      <x:c r="Y43" s="65" t="n">
        <x:v>300</x:v>
      </x:c>
      <x:c r="Z43" s="64"/>
      <x:c r="AA4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43,AB43)</x:f>
        <x:v>300</x:v>
      </x:c>
      <x:c r="AB43" s="65" t="n">
        <x:v>300</x:v>
      </x:c>
      <x:c r="AC43" s="64"/>
      <x:c r="AD4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43,AE43)</x:f>
        <x:v>300</x:v>
      </x:c>
      <x:c r="AE43" s="65" t="n">
        <x:v>300</x:v>
      </x:c>
      <x:c r="AF43" s="64"/>
      <x:c r="AG4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43,AH43)</x:f>
        <x:v>300</x:v>
      </x:c>
      <x:c r="AH43" s="65" t="n">
        <x:v>300</x:v>
      </x:c>
      <x:c r="AI43" s="64" t="n">
        <x:v>294</x:v>
      </x:c>
      <x:c r="AJ4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43,AK43)</x:f>
        <x:v>294</x:v>
      </x:c>
      <x:c r="AK43" s="65" t="n">
        <x:v>300</x:v>
      </x:c>
      <x:c r="AL43" s="64" t="n">
        <x:v>315</x:v>
      </x:c>
      <x:c r="AM43" s="62" t="n">
        <x:f>IF(AND(AND(AL$57&lt;&gt;"",COUNT(AL6,AL8,AL9,AL11,AL12,AL13,AL14,AL15,AL16,AL18,AL21,AL23,AL28,AL30,AL31,AL32,AL33,AL38,AL39,AL40,AL41,AL42,AL43,AL44,AL45,AL46,AL47,AL48,AL49,AL50,AL51,AL52,AL57,AL60,AL61,AL62,AL63,AL64,AL69)=39)),AL43,AN43)</x:f>
        <x:v>315</x:v>
      </x:c>
      <x:c r="AN43" s="65" t="n">
        <x:v>300</x:v>
      </x:c>
    </x:row>
    <x:row r="44" ht="24" customHeight="1">
      <x:c r="A44" s="3" t="str">
        <x:v>Travel, Meals and Entertainment</x:v>
      </x:c>
      <x:c r="B44" s="61" t="n">
        <x:f>SUM(AL44,AI44,AF44,AC44,Z44,W44,T44,Q44,N44,K44,H44,E44)</x:f>
        <x:v>2233</x:v>
      </x:c>
      <x:c r="C44" s="62" t="n">
        <x:f>SUM(AM44,AJ44,AG44,AD44,AA44,X44,U44,R44,O44,L44,I44,F44)</x:f>
        <x:v>13233</x:v>
      </x:c>
      <x:c r="D44" s="63" t="n">
        <x:f>SUM(AN44,AK44,AH44,AE44,AB44,Y44,V44,S44,P44,M44,J44,G44)</x:f>
        <x:v>13200</x:v>
      </x:c>
      <x:c r="E44" s="64"/>
      <x:c r="F4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44,G44)</x:f>
        <x:v>1100</x:v>
      </x:c>
      <x:c r="G44" s="65" t="n">
        <x:v>1100</x:v>
      </x:c>
      <x:c r="H44" s="64"/>
      <x:c r="I4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44,J44)</x:f>
        <x:v>1100</x:v>
      </x:c>
      <x:c r="J44" s="65" t="n">
        <x:v>1100</x:v>
      </x:c>
      <x:c r="K44" s="64"/>
      <x:c r="L4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44,M44)</x:f>
        <x:v>1100</x:v>
      </x:c>
      <x:c r="M44" s="65" t="n">
        <x:v>1100</x:v>
      </x:c>
      <x:c r="N44" s="64"/>
      <x:c r="O4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44,P44)</x:f>
        <x:v>1100</x:v>
      </x:c>
      <x:c r="P44" s="65" t="n">
        <x:v>1100</x:v>
      </x:c>
      <x:c r="Q44" s="64"/>
      <x:c r="R4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44,S44)</x:f>
        <x:v>1100</x:v>
      </x:c>
      <x:c r="S44" s="65" t="n">
        <x:v>1100</x:v>
      </x:c>
      <x:c r="T44" s="64"/>
      <x:c r="U4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44,V44)</x:f>
        <x:v>1100</x:v>
      </x:c>
      <x:c r="V44" s="65" t="n">
        <x:v>1100</x:v>
      </x:c>
      <x:c r="W44" s="64"/>
      <x:c r="X4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44,Y44)</x:f>
        <x:v>1100</x:v>
      </x:c>
      <x:c r="Y44" s="65" t="n">
        <x:v>1100</x:v>
      </x:c>
      <x:c r="Z44" s="64"/>
      <x:c r="AA4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44,AB44)</x:f>
        <x:v>1100</x:v>
      </x:c>
      <x:c r="AB44" s="65" t="n">
        <x:v>1100</x:v>
      </x:c>
      <x:c r="AC44" s="64"/>
      <x:c r="AD4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44,AE44)</x:f>
        <x:v>1100</x:v>
      </x:c>
      <x:c r="AE44" s="65" t="n">
        <x:v>1100</x:v>
      </x:c>
      <x:c r="AF44" s="64"/>
      <x:c r="AG4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44,AH44)</x:f>
        <x:v>1100</x:v>
      </x:c>
      <x:c r="AH44" s="65" t="n">
        <x:v>1100</x:v>
      </x:c>
      <x:c r="AI44" s="64" t="n">
        <x:v>1078</x:v>
      </x:c>
      <x:c r="AJ4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44,AK44)</x:f>
        <x:v>1078</x:v>
      </x:c>
      <x:c r="AK44" s="65" t="n">
        <x:v>1100</x:v>
      </x:c>
      <x:c r="AL44" s="64" t="n">
        <x:v>1155</x:v>
      </x:c>
      <x:c r="AM44" s="62" t="n">
        <x:f>IF(AND(AND(AL$57&lt;&gt;"",COUNT(AL6,AL8,AL9,AL11,AL12,AL13,AL14,AL15,AL16,AL18,AL21,AL23,AL28,AL30,AL31,AL32,AL33,AL38,AL39,AL40,AL41,AL42,AL43,AL44,AL45,AL46,AL47,AL48,AL49,AL50,AL51,AL52,AL57,AL60,AL61,AL62,AL63,AL64,AL69)=39)),AL44,AN44)</x:f>
        <x:v>1155</x:v>
      </x:c>
      <x:c r="AN44" s="65" t="n">
        <x:v>1100</x:v>
      </x:c>
    </x:row>
    <x:row r="45" ht="24" customHeight="1">
      <x:c r="A45" s="3" t="str">
        <x:v>Advertising and Paid Media</x:v>
      </x:c>
      <x:c r="B45" s="61" t="n">
        <x:f>SUM(AL45,AI45,AF45,AC45,Z45,W45,T45,Q45,N45,K45,H45,E45)</x:f>
        <x:v>10150</x:v>
      </x:c>
      <x:c r="C45" s="62" t="n">
        <x:f>SUM(AM45,AJ45,AG45,AD45,AA45,X45,U45,R45,O45,L45,I45,F45)</x:f>
        <x:v>60150</x:v>
      </x:c>
      <x:c r="D45" s="63" t="n">
        <x:f>SUM(AN45,AK45,AH45,AE45,AB45,Y45,V45,S45,P45,M45,J45,G45)</x:f>
        <x:v>60000</x:v>
      </x:c>
      <x:c r="E45" s="64"/>
      <x:c r="F45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45,G45)</x:f>
        <x:v>5000</x:v>
      </x:c>
      <x:c r="G45" s="65" t="n">
        <x:v>5000</x:v>
      </x:c>
      <x:c r="H45" s="64"/>
      <x:c r="I45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45,J45)</x:f>
        <x:v>5000</x:v>
      </x:c>
      <x:c r="J45" s="65" t="n">
        <x:v>5000</x:v>
      </x:c>
      <x:c r="K45" s="64"/>
      <x:c r="L45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45,M45)</x:f>
        <x:v>5000</x:v>
      </x:c>
      <x:c r="M45" s="65" t="n">
        <x:v>5000</x:v>
      </x:c>
      <x:c r="N45" s="64"/>
      <x:c r="O45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45,P45)</x:f>
        <x:v>5000</x:v>
      </x:c>
      <x:c r="P45" s="65" t="n">
        <x:v>5000</x:v>
      </x:c>
      <x:c r="Q45" s="64"/>
      <x:c r="R45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45,S45)</x:f>
        <x:v>5000</x:v>
      </x:c>
      <x:c r="S45" s="65" t="n">
        <x:v>5000</x:v>
      </x:c>
      <x:c r="T45" s="64"/>
      <x:c r="U45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45,V45)</x:f>
        <x:v>5000</x:v>
      </x:c>
      <x:c r="V45" s="65" t="n">
        <x:v>5000</x:v>
      </x:c>
      <x:c r="W45" s="64"/>
      <x:c r="X45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45,Y45)</x:f>
        <x:v>5000</x:v>
      </x:c>
      <x:c r="Y45" s="65" t="n">
        <x:v>5000</x:v>
      </x:c>
      <x:c r="Z45" s="64"/>
      <x:c r="AA45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45,AB45)</x:f>
        <x:v>5000</x:v>
      </x:c>
      <x:c r="AB45" s="65" t="n">
        <x:v>5000</x:v>
      </x:c>
      <x:c r="AC45" s="64"/>
      <x:c r="AD45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45,AE45)</x:f>
        <x:v>5000</x:v>
      </x:c>
      <x:c r="AE45" s="65" t="n">
        <x:v>5000</x:v>
      </x:c>
      <x:c r="AF45" s="64"/>
      <x:c r="AG45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45,AH45)</x:f>
        <x:v>5000</x:v>
      </x:c>
      <x:c r="AH45" s="65" t="n">
        <x:v>5000</x:v>
      </x:c>
      <x:c r="AI45" s="64" t="n">
        <x:v>4900</x:v>
      </x:c>
      <x:c r="AJ45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45,AK45)</x:f>
        <x:v>4900</x:v>
      </x:c>
      <x:c r="AK45" s="65" t="n">
        <x:v>5000</x:v>
      </x:c>
      <x:c r="AL45" s="64" t="n">
        <x:v>5250</x:v>
      </x:c>
      <x:c r="AM45" s="62" t="n">
        <x:f>IF(AND(AND(AL$57&lt;&gt;"",COUNT(AL6,AL8,AL9,AL11,AL12,AL13,AL14,AL15,AL16,AL18,AL21,AL23,AL28,AL30,AL31,AL32,AL33,AL38,AL39,AL40,AL41,AL42,AL43,AL44,AL45,AL46,AL47,AL48,AL49,AL50,AL51,AL52,AL57,AL60,AL61,AL62,AL63,AL64,AL69)=39)),AL45,AN45)</x:f>
        <x:v>5250</x:v>
      </x:c>
      <x:c r="AN45" s="65" t="n">
        <x:v>5000</x:v>
      </x:c>
    </x:row>
    <x:row r="46" ht="24" customHeight="1">
      <x:c r="A46" s="3" t="str">
        <x:v>Content and Creative Production</x:v>
      </x:c>
      <x:c r="B46" s="61" t="n">
        <x:f>SUM(AL46,AI46,AF46,AC46,Z46,W46,T46,Q46,N46,K46,H46,E46)</x:f>
        <x:v>2030</x:v>
      </x:c>
      <x:c r="C46" s="62" t="n">
        <x:f>SUM(AM46,AJ46,AG46,AD46,AA46,X46,U46,R46,O46,L46,I46,F46)</x:f>
        <x:v>12030</x:v>
      </x:c>
      <x:c r="D46" s="63" t="n">
        <x:f>SUM(AN46,AK46,AH46,AE46,AB46,Y46,V46,S46,P46,M46,J46,G46)</x:f>
        <x:v>12000</x:v>
      </x:c>
      <x:c r="E46" s="64"/>
      <x:c r="F46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46,G46)</x:f>
        <x:v>1000</x:v>
      </x:c>
      <x:c r="G46" s="65" t="n">
        <x:v>1000</x:v>
      </x:c>
      <x:c r="H46" s="64"/>
      <x:c r="I46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46,J46)</x:f>
        <x:v>1000</x:v>
      </x:c>
      <x:c r="J46" s="65" t="n">
        <x:v>1000</x:v>
      </x:c>
      <x:c r="K46" s="64"/>
      <x:c r="L46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46,M46)</x:f>
        <x:v>1000</x:v>
      </x:c>
      <x:c r="M46" s="65" t="n">
        <x:v>1000</x:v>
      </x:c>
      <x:c r="N46" s="64"/>
      <x:c r="O46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46,P46)</x:f>
        <x:v>1000</x:v>
      </x:c>
      <x:c r="P46" s="65" t="n">
        <x:v>1000</x:v>
      </x:c>
      <x:c r="Q46" s="64"/>
      <x:c r="R46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46,S46)</x:f>
        <x:v>1000</x:v>
      </x:c>
      <x:c r="S46" s="65" t="n">
        <x:v>1000</x:v>
      </x:c>
      <x:c r="T46" s="64"/>
      <x:c r="U46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46,V46)</x:f>
        <x:v>1000</x:v>
      </x:c>
      <x:c r="V46" s="65" t="n">
        <x:v>1000</x:v>
      </x:c>
      <x:c r="W46" s="64"/>
      <x:c r="X46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46,Y46)</x:f>
        <x:v>1000</x:v>
      </x:c>
      <x:c r="Y46" s="65" t="n">
        <x:v>1000</x:v>
      </x:c>
      <x:c r="Z46" s="64"/>
      <x:c r="AA46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46,AB46)</x:f>
        <x:v>1000</x:v>
      </x:c>
      <x:c r="AB46" s="65" t="n">
        <x:v>1000</x:v>
      </x:c>
      <x:c r="AC46" s="64"/>
      <x:c r="AD46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46,AE46)</x:f>
        <x:v>1000</x:v>
      </x:c>
      <x:c r="AE46" s="65" t="n">
        <x:v>1000</x:v>
      </x:c>
      <x:c r="AF46" s="64"/>
      <x:c r="AG46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46,AH46)</x:f>
        <x:v>1000</x:v>
      </x:c>
      <x:c r="AH46" s="65" t="n">
        <x:v>1000</x:v>
      </x:c>
      <x:c r="AI46" s="64" t="n">
        <x:v>980</x:v>
      </x:c>
      <x:c r="AJ46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46,AK46)</x:f>
        <x:v>980</x:v>
      </x:c>
      <x:c r="AK46" s="65" t="n">
        <x:v>1000</x:v>
      </x:c>
      <x:c r="AL46" s="64" t="n">
        <x:v>1050</x:v>
      </x:c>
      <x:c r="AM46" s="62" t="n">
        <x:f>IF(AND(AND(AL$57&lt;&gt;"",COUNT(AL6,AL8,AL9,AL11,AL12,AL13,AL14,AL15,AL16,AL18,AL21,AL23,AL28,AL30,AL31,AL32,AL33,AL38,AL39,AL40,AL41,AL42,AL43,AL44,AL45,AL46,AL47,AL48,AL49,AL50,AL51,AL52,AL57,AL60,AL61,AL62,AL63,AL64,AL69)=39)),AL46,AN46)</x:f>
        <x:v>1050</x:v>
      </x:c>
      <x:c r="AN46" s="65" t="n">
        <x:v>1000</x:v>
      </x:c>
    </x:row>
    <x:row r="47" ht="24" customHeight="1">
      <x:c r="A47" s="3" t="str">
        <x:v>Website and SEO</x:v>
      </x:c>
      <x:c r="B47" s="61" t="n">
        <x:f>SUM(AL47,AI47,AF47,AC47,Z47,W47,T47,Q47,N47,K47,H47,E47)</x:f>
        <x:v>1015</x:v>
      </x:c>
      <x:c r="C47" s="62" t="n">
        <x:f>SUM(AM47,AJ47,AG47,AD47,AA47,X47,U47,R47,O47,L47,I47,F47)</x:f>
        <x:v>6015</x:v>
      </x:c>
      <x:c r="D47" s="63" t="n">
        <x:f>SUM(AN47,AK47,AH47,AE47,AB47,Y47,V47,S47,P47,M47,J47,G47)</x:f>
        <x:v>6000</x:v>
      </x:c>
      <x:c r="E47" s="64"/>
      <x:c r="F4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47,G47)</x:f>
        <x:v>500</x:v>
      </x:c>
      <x:c r="G47" s="65" t="n">
        <x:v>500</x:v>
      </x:c>
      <x:c r="H47" s="64"/>
      <x:c r="I4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47,J47)</x:f>
        <x:v>500</x:v>
      </x:c>
      <x:c r="J47" s="65" t="n">
        <x:v>500</x:v>
      </x:c>
      <x:c r="K47" s="64"/>
      <x:c r="L4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47,M47)</x:f>
        <x:v>500</x:v>
      </x:c>
      <x:c r="M47" s="65" t="n">
        <x:v>500</x:v>
      </x:c>
      <x:c r="N47" s="64"/>
      <x:c r="O4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47,P47)</x:f>
        <x:v>500</x:v>
      </x:c>
      <x:c r="P47" s="65" t="n">
        <x:v>500</x:v>
      </x:c>
      <x:c r="Q47" s="64"/>
      <x:c r="R4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47,S47)</x:f>
        <x:v>500</x:v>
      </x:c>
      <x:c r="S47" s="65" t="n">
        <x:v>500</x:v>
      </x:c>
      <x:c r="T47" s="64"/>
      <x:c r="U4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47,V47)</x:f>
        <x:v>500</x:v>
      </x:c>
      <x:c r="V47" s="65" t="n">
        <x:v>500</x:v>
      </x:c>
      <x:c r="W47" s="64"/>
      <x:c r="X4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47,Y47)</x:f>
        <x:v>500</x:v>
      </x:c>
      <x:c r="Y47" s="65" t="n">
        <x:v>500</x:v>
      </x:c>
      <x:c r="Z47" s="64"/>
      <x:c r="AA4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47,AB47)</x:f>
        <x:v>500</x:v>
      </x:c>
      <x:c r="AB47" s="65" t="n">
        <x:v>500</x:v>
      </x:c>
      <x:c r="AC47" s="64"/>
      <x:c r="AD4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47,AE47)</x:f>
        <x:v>500</x:v>
      </x:c>
      <x:c r="AE47" s="65" t="n">
        <x:v>500</x:v>
      </x:c>
      <x:c r="AF47" s="64"/>
      <x:c r="AG4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47,AH47)</x:f>
        <x:v>500</x:v>
      </x:c>
      <x:c r="AH47" s="65" t="n">
        <x:v>500</x:v>
      </x:c>
      <x:c r="AI47" s="64" t="n">
        <x:v>490</x:v>
      </x:c>
      <x:c r="AJ4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47,AK47)</x:f>
        <x:v>490</x:v>
      </x:c>
      <x:c r="AK47" s="65" t="n">
        <x:v>500</x:v>
      </x:c>
      <x:c r="AL47" s="64" t="n">
        <x:v>525</x:v>
      </x:c>
      <x:c r="AM47" s="62" t="n">
        <x:f>IF(AND(AND(AL$57&lt;&gt;"",COUNT(AL6,AL8,AL9,AL11,AL12,AL13,AL14,AL15,AL16,AL18,AL21,AL23,AL28,AL30,AL31,AL32,AL33,AL38,AL39,AL40,AL41,AL42,AL43,AL44,AL45,AL46,AL47,AL48,AL49,AL50,AL51,AL52,AL57,AL60,AL61,AL62,AL63,AL64,AL69)=39)),AL47,AN47)</x:f>
        <x:v>525</x:v>
      </x:c>
      <x:c r="AN47" s="65" t="n">
        <x:v>500</x:v>
      </x:c>
    </x:row>
    <x:row r="48" ht="24" customHeight="1">
      <x:c r="A48" s="3" t="str">
        <x:v>Events and Trade Shows</x:v>
      </x:c>
      <x:c r="B48" s="61" t="n">
        <x:f>SUM(AL48,AI48,AF48,AC48,Z48,W48,T48,Q48,N48,K48,H48,E48)</x:f>
        <x:v>609</x:v>
      </x:c>
      <x:c r="C48" s="62" t="n">
        <x:f>SUM(AM48,AJ48,AG48,AD48,AA48,X48,U48,R48,O48,L48,I48,F48)</x:f>
        <x:v>3609</x:v>
      </x:c>
      <x:c r="D48" s="63" t="n">
        <x:f>SUM(AN48,AK48,AH48,AE48,AB48,Y48,V48,S48,P48,M48,J48,G48)</x:f>
        <x:v>3600</x:v>
      </x:c>
      <x:c r="E48" s="64"/>
      <x:c r="F4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48,G48)</x:f>
        <x:v>300</x:v>
      </x:c>
      <x:c r="G48" s="65" t="n">
        <x:v>300</x:v>
      </x:c>
      <x:c r="H48" s="64"/>
      <x:c r="I4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48,J48)</x:f>
        <x:v>300</x:v>
      </x:c>
      <x:c r="J48" s="65" t="n">
        <x:v>300</x:v>
      </x:c>
      <x:c r="K48" s="64"/>
      <x:c r="L4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48,M48)</x:f>
        <x:v>300</x:v>
      </x:c>
      <x:c r="M48" s="65" t="n">
        <x:v>300</x:v>
      </x:c>
      <x:c r="N48" s="64"/>
      <x:c r="O4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48,P48)</x:f>
        <x:v>300</x:v>
      </x:c>
      <x:c r="P48" s="65" t="n">
        <x:v>300</x:v>
      </x:c>
      <x:c r="Q48" s="64"/>
      <x:c r="R4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48,S48)</x:f>
        <x:v>300</x:v>
      </x:c>
      <x:c r="S48" s="65" t="n">
        <x:v>300</x:v>
      </x:c>
      <x:c r="T48" s="64"/>
      <x:c r="U4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48,V48)</x:f>
        <x:v>300</x:v>
      </x:c>
      <x:c r="V48" s="65" t="n">
        <x:v>300</x:v>
      </x:c>
      <x:c r="W48" s="64"/>
      <x:c r="X4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48,Y48)</x:f>
        <x:v>300</x:v>
      </x:c>
      <x:c r="Y48" s="65" t="n">
        <x:v>300</x:v>
      </x:c>
      <x:c r="Z48" s="64"/>
      <x:c r="AA4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48,AB48)</x:f>
        <x:v>300</x:v>
      </x:c>
      <x:c r="AB48" s="65" t="n">
        <x:v>300</x:v>
      </x:c>
      <x:c r="AC48" s="64"/>
      <x:c r="AD4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48,AE48)</x:f>
        <x:v>300</x:v>
      </x:c>
      <x:c r="AE48" s="65" t="n">
        <x:v>300</x:v>
      </x:c>
      <x:c r="AF48" s="64"/>
      <x:c r="AG4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48,AH48)</x:f>
        <x:v>300</x:v>
      </x:c>
      <x:c r="AH48" s="65" t="n">
        <x:v>300</x:v>
      </x:c>
      <x:c r="AI48" s="64" t="n">
        <x:v>294</x:v>
      </x:c>
      <x:c r="AJ48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48,AK48)</x:f>
        <x:v>294</x:v>
      </x:c>
      <x:c r="AK48" s="65" t="n">
        <x:v>300</x:v>
      </x:c>
      <x:c r="AL48" s="64" t="n">
        <x:v>315</x:v>
      </x:c>
      <x:c r="AM48" s="62" t="n">
        <x:f>IF(AND(AND(AL$57&lt;&gt;"",COUNT(AL6,AL8,AL9,AL11,AL12,AL13,AL14,AL15,AL16,AL18,AL21,AL23,AL28,AL30,AL31,AL32,AL33,AL38,AL39,AL40,AL41,AL42,AL43,AL44,AL45,AL46,AL47,AL48,AL49,AL50,AL51,AL52,AL57,AL60,AL61,AL62,AL63,AL64,AL69)=39)),AL48,AN48)</x:f>
        <x:v>315</x:v>
      </x:c>
      <x:c r="AN48" s="65" t="n">
        <x:v>300</x:v>
      </x:c>
    </x:row>
    <x:row r="49" ht="24" customHeight="1">
      <x:c r="A49" s="3" t="str">
        <x:v>Facilities and Rent</x:v>
      </x:c>
      <x:c r="B49" s="61" t="n">
        <x:f>SUM(AL49,AI49,AF49,AC49,Z49,W49,T49,Q49,N49,K49,H49,E49)</x:f>
        <x:v>5075</x:v>
      </x:c>
      <x:c r="C49" s="62" t="n">
        <x:f>SUM(AM49,AJ49,AG49,AD49,AA49,X49,U49,R49,O49,L49,I49,F49)</x:f>
        <x:v>30075</x:v>
      </x:c>
      <x:c r="D49" s="63" t="n">
        <x:f>SUM(AN49,AK49,AH49,AE49,AB49,Y49,V49,S49,P49,M49,J49,G49)</x:f>
        <x:v>30000</x:v>
      </x:c>
      <x:c r="E49" s="64"/>
      <x:c r="F4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49,G49)</x:f>
        <x:v>2500</x:v>
      </x:c>
      <x:c r="G49" s="65" t="n">
        <x:v>2500</x:v>
      </x:c>
      <x:c r="H49" s="64"/>
      <x:c r="I4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49,J49)</x:f>
        <x:v>2500</x:v>
      </x:c>
      <x:c r="J49" s="65" t="n">
        <x:v>2500</x:v>
      </x:c>
      <x:c r="K49" s="64"/>
      <x:c r="L4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49,M49)</x:f>
        <x:v>2500</x:v>
      </x:c>
      <x:c r="M49" s="65" t="n">
        <x:v>2500</x:v>
      </x:c>
      <x:c r="N49" s="64"/>
      <x:c r="O4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49,P49)</x:f>
        <x:v>2500</x:v>
      </x:c>
      <x:c r="P49" s="65" t="n">
        <x:v>2500</x:v>
      </x:c>
      <x:c r="Q49" s="64"/>
      <x:c r="R4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49,S49)</x:f>
        <x:v>2500</x:v>
      </x:c>
      <x:c r="S49" s="65" t="n">
        <x:v>2500</x:v>
      </x:c>
      <x:c r="T49" s="64"/>
      <x:c r="U4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49,V49)</x:f>
        <x:v>2500</x:v>
      </x:c>
      <x:c r="V49" s="65" t="n">
        <x:v>2500</x:v>
      </x:c>
      <x:c r="W49" s="64"/>
      <x:c r="X4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49,Y49)</x:f>
        <x:v>2500</x:v>
      </x:c>
      <x:c r="Y49" s="65" t="n">
        <x:v>2500</x:v>
      </x:c>
      <x:c r="Z49" s="64"/>
      <x:c r="AA4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49,AB49)</x:f>
        <x:v>2500</x:v>
      </x:c>
      <x:c r="AB49" s="65" t="n">
        <x:v>2500</x:v>
      </x:c>
      <x:c r="AC49" s="64"/>
      <x:c r="AD4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49,AE49)</x:f>
        <x:v>2500</x:v>
      </x:c>
      <x:c r="AE49" s="65" t="n">
        <x:v>2500</x:v>
      </x:c>
      <x:c r="AF49" s="64"/>
      <x:c r="AG4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49,AH49)</x:f>
        <x:v>2500</x:v>
      </x:c>
      <x:c r="AH49" s="65" t="n">
        <x:v>2500</x:v>
      </x:c>
      <x:c r="AI49" s="64" t="n">
        <x:v>2450</x:v>
      </x:c>
      <x:c r="AJ4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49,AK49)</x:f>
        <x:v>2450</x:v>
      </x:c>
      <x:c r="AK49" s="65" t="n">
        <x:v>2500</x:v>
      </x:c>
      <x:c r="AL49" s="64" t="n">
        <x:v>2625</x:v>
      </x:c>
      <x:c r="AM49" s="62" t="n">
        <x:f>IF(AND(AND(AL$57&lt;&gt;"",COUNT(AL6,AL8,AL9,AL11,AL12,AL13,AL14,AL15,AL16,AL18,AL21,AL23,AL28,AL30,AL31,AL32,AL33,AL38,AL39,AL40,AL41,AL42,AL43,AL44,AL45,AL46,AL47,AL48,AL49,AL50,AL51,AL52,AL57,AL60,AL61,AL62,AL63,AL64,AL69)=39)),AL49,AN49)</x:f>
        <x:v>2625</x:v>
      </x:c>
      <x:c r="AN49" s="65" t="n">
        <x:v>2500</x:v>
      </x:c>
    </x:row>
    <x:row r="50" ht="24" customHeight="1">
      <x:c r="A50" s="3" t="str">
        <x:v>Banking and Merchant Fees</x:v>
      </x:c>
      <x:c r="B50" s="61" t="n">
        <x:f>SUM(AL50,AI50,AF50,AC50,Z50,W50,T50,Q50,N50,K50,H50,E50)</x:f>
        <x:v>609</x:v>
      </x:c>
      <x:c r="C50" s="62" t="n">
        <x:f>SUM(AM50,AJ50,AG50,AD50,AA50,X50,U50,R50,O50,L50,I50,F50)</x:f>
        <x:v>3609</x:v>
      </x:c>
      <x:c r="D50" s="63" t="n">
        <x:f>SUM(AN50,AK50,AH50,AE50,AB50,Y50,V50,S50,P50,M50,J50,G50)</x:f>
        <x:v>3600</x:v>
      </x:c>
      <x:c r="E50" s="64"/>
      <x:c r="F5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50,G50)</x:f>
        <x:v>300</x:v>
      </x:c>
      <x:c r="G50" s="65" t="n">
        <x:v>300</x:v>
      </x:c>
      <x:c r="H50" s="64"/>
      <x:c r="I5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50,J50)</x:f>
        <x:v>300</x:v>
      </x:c>
      <x:c r="J50" s="65" t="n">
        <x:v>300</x:v>
      </x:c>
      <x:c r="K50" s="64"/>
      <x:c r="L5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50,M50)</x:f>
        <x:v>300</x:v>
      </x:c>
      <x:c r="M50" s="65" t="n">
        <x:v>300</x:v>
      </x:c>
      <x:c r="N50" s="64"/>
      <x:c r="O5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50,P50)</x:f>
        <x:v>300</x:v>
      </x:c>
      <x:c r="P50" s="65" t="n">
        <x:v>300</x:v>
      </x:c>
      <x:c r="Q50" s="64"/>
      <x:c r="R5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50,S50)</x:f>
        <x:v>300</x:v>
      </x:c>
      <x:c r="S50" s="65" t="n">
        <x:v>300</x:v>
      </x:c>
      <x:c r="T50" s="64"/>
      <x:c r="U5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50,V50)</x:f>
        <x:v>300</x:v>
      </x:c>
      <x:c r="V50" s="65" t="n">
        <x:v>300</x:v>
      </x:c>
      <x:c r="W50" s="64"/>
      <x:c r="X5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50,Y50)</x:f>
        <x:v>300</x:v>
      </x:c>
      <x:c r="Y50" s="65" t="n">
        <x:v>300</x:v>
      </x:c>
      <x:c r="Z50" s="64"/>
      <x:c r="AA5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50,AB50)</x:f>
        <x:v>300</x:v>
      </x:c>
      <x:c r="AB50" s="65" t="n">
        <x:v>300</x:v>
      </x:c>
      <x:c r="AC50" s="64"/>
      <x:c r="AD5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50,AE50)</x:f>
        <x:v>300</x:v>
      </x:c>
      <x:c r="AE50" s="65" t="n">
        <x:v>300</x:v>
      </x:c>
      <x:c r="AF50" s="64"/>
      <x:c r="AG5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50,AH50)</x:f>
        <x:v>300</x:v>
      </x:c>
      <x:c r="AH50" s="65" t="n">
        <x:v>300</x:v>
      </x:c>
      <x:c r="AI50" s="64" t="n">
        <x:v>294</x:v>
      </x:c>
      <x:c r="AJ5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50,AK50)</x:f>
        <x:v>294</x:v>
      </x:c>
      <x:c r="AK50" s="65" t="n">
        <x:v>300</x:v>
      </x:c>
      <x:c r="AL50" s="64" t="n">
        <x:v>315</x:v>
      </x:c>
      <x:c r="AM50" s="62" t="n">
        <x:f>IF(AND(AND(AL$57&lt;&gt;"",COUNT(AL6,AL8,AL9,AL11,AL12,AL13,AL14,AL15,AL16,AL18,AL21,AL23,AL28,AL30,AL31,AL32,AL33,AL38,AL39,AL40,AL41,AL42,AL43,AL44,AL45,AL46,AL47,AL48,AL49,AL50,AL51,AL52,AL57,AL60,AL61,AL62,AL63,AL64,AL69)=39)),AL50,AN50)</x:f>
        <x:v>315</x:v>
      </x:c>
      <x:c r="AN50" s="65" t="n">
        <x:v>300</x:v>
      </x:c>
    </x:row>
    <x:row r="51" ht="24" customHeight="1">
      <x:c r="A51" s="3" t="str">
        <x:v>Insurance</x:v>
      </x:c>
      <x:c r="B51" s="61" t="n">
        <x:f>SUM(AL51,AI51,AF51,AC51,Z51,W51,T51,Q51,N51,K51,H51,E51)</x:f>
        <x:v>1015</x:v>
      </x:c>
      <x:c r="C51" s="62" t="n">
        <x:f>SUM(AM51,AJ51,AG51,AD51,AA51,X51,U51,R51,O51,L51,I51,F51)</x:f>
        <x:v>6015</x:v>
      </x:c>
      <x:c r="D51" s="63" t="n">
        <x:f>SUM(AN51,AK51,AH51,AE51,AB51,Y51,V51,S51,P51,M51,J51,G51)</x:f>
        <x:v>6000</x:v>
      </x:c>
      <x:c r="E51" s="64"/>
      <x:c r="F5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51,G51)</x:f>
        <x:v>500</x:v>
      </x:c>
      <x:c r="G51" s="65" t="n">
        <x:v>500</x:v>
      </x:c>
      <x:c r="H51" s="64"/>
      <x:c r="I5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51,J51)</x:f>
        <x:v>500</x:v>
      </x:c>
      <x:c r="J51" s="65" t="n">
        <x:v>500</x:v>
      </x:c>
      <x:c r="K51" s="64"/>
      <x:c r="L5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51,M51)</x:f>
        <x:v>500</x:v>
      </x:c>
      <x:c r="M51" s="65" t="n">
        <x:v>500</x:v>
      </x:c>
      <x:c r="N51" s="64"/>
      <x:c r="O5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51,P51)</x:f>
        <x:v>500</x:v>
      </x:c>
      <x:c r="P51" s="65" t="n">
        <x:v>500</x:v>
      </x:c>
      <x:c r="Q51" s="64"/>
      <x:c r="R5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51,S51)</x:f>
        <x:v>500</x:v>
      </x:c>
      <x:c r="S51" s="65" t="n">
        <x:v>500</x:v>
      </x:c>
      <x:c r="T51" s="64"/>
      <x:c r="U5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51,V51)</x:f>
        <x:v>500</x:v>
      </x:c>
      <x:c r="V51" s="65" t="n">
        <x:v>500</x:v>
      </x:c>
      <x:c r="W51" s="64"/>
      <x:c r="X5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51,Y51)</x:f>
        <x:v>500</x:v>
      </x:c>
      <x:c r="Y51" s="65" t="n">
        <x:v>500</x:v>
      </x:c>
      <x:c r="Z51" s="64"/>
      <x:c r="AA5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51,AB51)</x:f>
        <x:v>500</x:v>
      </x:c>
      <x:c r="AB51" s="65" t="n">
        <x:v>500</x:v>
      </x:c>
      <x:c r="AC51" s="64"/>
      <x:c r="AD5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51,AE51)</x:f>
        <x:v>500</x:v>
      </x:c>
      <x:c r="AE51" s="65" t="n">
        <x:v>500</x:v>
      </x:c>
      <x:c r="AF51" s="64"/>
      <x:c r="AG5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51,AH51)</x:f>
        <x:v>500</x:v>
      </x:c>
      <x:c r="AH51" s="65" t="n">
        <x:v>500</x:v>
      </x:c>
      <x:c r="AI51" s="64" t="n">
        <x:v>490</x:v>
      </x:c>
      <x:c r="AJ5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51,AK51)</x:f>
        <x:v>490</x:v>
      </x:c>
      <x:c r="AK51" s="65" t="n">
        <x:v>500</x:v>
      </x:c>
      <x:c r="AL51" s="64" t="n">
        <x:v>525</x:v>
      </x:c>
      <x:c r="AM51" s="62" t="n">
        <x:f>IF(AND(AND(AL$57&lt;&gt;"",COUNT(AL6,AL8,AL9,AL11,AL12,AL13,AL14,AL15,AL16,AL18,AL21,AL23,AL28,AL30,AL31,AL32,AL33,AL38,AL39,AL40,AL41,AL42,AL43,AL44,AL45,AL46,AL47,AL48,AL49,AL50,AL51,AL52,AL57,AL60,AL61,AL62,AL63,AL64,AL69)=39)),AL51,AN51)</x:f>
        <x:v>525</x:v>
      </x:c>
      <x:c r="AN51" s="65" t="n">
        <x:v>500</x:v>
      </x:c>
    </x:row>
    <x:row r="52" ht="24" customHeight="1">
      <x:c r="A52" s="3" t="str">
        <x:v>Legal and Professional Services</x:v>
      </x:c>
      <x:c r="B52" s="61" t="n">
        <x:f>SUM(AL52,AI52,AF52,AC52,Z52,W52,T52,Q52,N52,K52,H52,E52)</x:f>
        <x:v>2030</x:v>
      </x:c>
      <x:c r="C52" s="62" t="n">
        <x:f>SUM(AM52,AJ52,AG52,AD52,AA52,X52,U52,R52,O52,L52,I52,F52)</x:f>
        <x:v>12030</x:v>
      </x:c>
      <x:c r="D52" s="63" t="n">
        <x:f>SUM(AN52,AK52,AH52,AE52,AB52,Y52,V52,S52,P52,M52,J52,G52)</x:f>
        <x:v>12000</x:v>
      </x:c>
      <x:c r="E52" s="64"/>
      <x:c r="F5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52,G52)</x:f>
        <x:v>1000</x:v>
      </x:c>
      <x:c r="G52" s="65" t="n">
        <x:v>1000</x:v>
      </x:c>
      <x:c r="H52" s="64"/>
      <x:c r="I5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52,J52)</x:f>
        <x:v>1000</x:v>
      </x:c>
      <x:c r="J52" s="65" t="n">
        <x:v>1000</x:v>
      </x:c>
      <x:c r="K52" s="64"/>
      <x:c r="L5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52,M52)</x:f>
        <x:v>1000</x:v>
      </x:c>
      <x:c r="M52" s="65" t="n">
        <x:v>1000</x:v>
      </x:c>
      <x:c r="N52" s="64"/>
      <x:c r="O5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52,P52)</x:f>
        <x:v>1000</x:v>
      </x:c>
      <x:c r="P52" s="65" t="n">
        <x:v>1000</x:v>
      </x:c>
      <x:c r="Q52" s="64"/>
      <x:c r="R5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52,S52)</x:f>
        <x:v>1000</x:v>
      </x:c>
      <x:c r="S52" s="65" t="n">
        <x:v>1000</x:v>
      </x:c>
      <x:c r="T52" s="64"/>
      <x:c r="U5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52,V52)</x:f>
        <x:v>1000</x:v>
      </x:c>
      <x:c r="V52" s="65" t="n">
        <x:v>1000</x:v>
      </x:c>
      <x:c r="W52" s="64"/>
      <x:c r="X5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52,Y52)</x:f>
        <x:v>1000</x:v>
      </x:c>
      <x:c r="Y52" s="65" t="n">
        <x:v>1000</x:v>
      </x:c>
      <x:c r="Z52" s="64"/>
      <x:c r="AA5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52,AB52)</x:f>
        <x:v>1000</x:v>
      </x:c>
      <x:c r="AB52" s="65" t="n">
        <x:v>1000</x:v>
      </x:c>
      <x:c r="AC52" s="64"/>
      <x:c r="AD5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52,AE52)</x:f>
        <x:v>1000</x:v>
      </x:c>
      <x:c r="AE52" s="65" t="n">
        <x:v>1000</x:v>
      </x:c>
      <x:c r="AF52" s="64"/>
      <x:c r="AG5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52,AH52)</x:f>
        <x:v>1000</x:v>
      </x:c>
      <x:c r="AH52" s="65" t="n">
        <x:v>1000</x:v>
      </x:c>
      <x:c r="AI52" s="64" t="n">
        <x:v>980</x:v>
      </x:c>
      <x:c r="AJ5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52,AK52)</x:f>
        <x:v>980</x:v>
      </x:c>
      <x:c r="AK52" s="65" t="n">
        <x:v>1000</x:v>
      </x:c>
      <x:c r="AL52" s="64" t="n">
        <x:v>1050</x:v>
      </x:c>
      <x:c r="AM52" s="62" t="n">
        <x:f>IF(AND(AND(AL$57&lt;&gt;"",COUNT(AL6,AL8,AL9,AL11,AL12,AL13,AL14,AL15,AL16,AL18,AL21,AL23,AL28,AL30,AL31,AL32,AL33,AL38,AL39,AL40,AL41,AL42,AL43,AL44,AL45,AL46,AL47,AL48,AL49,AL50,AL51,AL52,AL57,AL60,AL61,AL62,AL63,AL64,AL69)=39)),AL52,AN52)</x:f>
        <x:v>1050</x:v>
      </x:c>
      <x:c r="AN52" s="65" t="n">
        <x:v>1000</x:v>
      </x:c>
    </x:row>
    <x:row r="53" ht="24" customHeight="1">
      <x:c r="A53" s="39" t="str">
        <x:v>Total Expenses</x:v>
      </x:c>
      <x:c r="B53" s="67" t="n">
        <x:f>SUM(AL53,AI53,AF53,AC53,Z53,W53,T53,Q53,N53,K53,H53,E53)</x:f>
        <x:v>131545</x:v>
      </x:c>
      <x:c r="C53" s="68" t="n">
        <x:f>SUM(AM53,AJ53,AG53,AD53,AA53,X53,U53,R53,O53,L53,I53,F53)</x:f>
        <x:v>779545</x:v>
      </x:c>
      <x:c r="D53" s="69" t="n">
        <x:f>SUM(AN53,AK53,AH53,AE53,AB53,Y53,V53,S53,P53,M53,J53,G53)</x:f>
        <x:v>777600</x:v>
      </x:c>
      <x:c r="E53" s="67" t="str">
        <x:f>IF(COUNT(E38:E52)&gt;0,SUM(E38:E52),"")</x:f>
      </x:c>
      <x:c r="F53" s="68" t="n">
        <x:f>IF(COUNT(F38:F52)&gt;0,SUM(F38:F52),"")</x:f>
        <x:v>64800</x:v>
      </x:c>
      <x:c r="G53" s="69" t="n">
        <x:f>IF(COUNT(G38:G52)&gt;0,SUM(G38:G52),"")</x:f>
        <x:v>64800</x:v>
      </x:c>
      <x:c r="H53" s="67" t="str">
        <x:f>IF(COUNT(H38:H52)&gt;0,SUM(H38:H52),"")</x:f>
      </x:c>
      <x:c r="I53" s="68" t="n">
        <x:f>IF(COUNT(I38:I52)&gt;0,SUM(I38:I52),"")</x:f>
        <x:v>64800</x:v>
      </x:c>
      <x:c r="J53" s="69" t="n">
        <x:f>IF(COUNT(J38:J52)&gt;0,SUM(J38:J52),"")</x:f>
        <x:v>64800</x:v>
      </x:c>
      <x:c r="K53" s="67" t="str">
        <x:f>IF(COUNT(K38:K52)&gt;0,SUM(K38:K52),"")</x:f>
      </x:c>
      <x:c r="L53" s="68" t="n">
        <x:f>IF(COUNT(L38:L52)&gt;0,SUM(L38:L52),"")</x:f>
        <x:v>64800</x:v>
      </x:c>
      <x:c r="M53" s="69" t="n">
        <x:f>IF(COUNT(M38:M52)&gt;0,SUM(M38:M52),"")</x:f>
        <x:v>64800</x:v>
      </x:c>
      <x:c r="N53" s="67" t="str">
        <x:f>IF(COUNT(N38:N52)&gt;0,SUM(N38:N52),"")</x:f>
      </x:c>
      <x:c r="O53" s="68" t="n">
        <x:f>IF(COUNT(O38:O52)&gt;0,SUM(O38:O52),"")</x:f>
        <x:v>64800</x:v>
      </x:c>
      <x:c r="P53" s="69" t="n">
        <x:f>IF(COUNT(P38:P52)&gt;0,SUM(P38:P52),"")</x:f>
        <x:v>64800</x:v>
      </x:c>
      <x:c r="Q53" s="67" t="str">
        <x:f>IF(COUNT(Q38:Q52)&gt;0,SUM(Q38:Q52),"")</x:f>
      </x:c>
      <x:c r="R53" s="68" t="n">
        <x:f>IF(COUNT(R38:R52)&gt;0,SUM(R38:R52),"")</x:f>
        <x:v>64800</x:v>
      </x:c>
      <x:c r="S53" s="69" t="n">
        <x:f>IF(COUNT(S38:S52)&gt;0,SUM(S38:S52),"")</x:f>
        <x:v>64800</x:v>
      </x:c>
      <x:c r="T53" s="67" t="str">
        <x:f>IF(COUNT(T38:T52)&gt;0,SUM(T38:T52),"")</x:f>
      </x:c>
      <x:c r="U53" s="68" t="n">
        <x:f>IF(COUNT(U38:U52)&gt;0,SUM(U38:U52),"")</x:f>
        <x:v>64800</x:v>
      </x:c>
      <x:c r="V53" s="69" t="n">
        <x:f>IF(COUNT(V38:V52)&gt;0,SUM(V38:V52),"")</x:f>
        <x:v>64800</x:v>
      </x:c>
      <x:c r="W53" s="67" t="str">
        <x:f>IF(COUNT(W38:W52)&gt;0,SUM(W38:W52),"")</x:f>
      </x:c>
      <x:c r="X53" s="68" t="n">
        <x:f>IF(COUNT(X38:X52)&gt;0,SUM(X38:X52),"")</x:f>
        <x:v>64800</x:v>
      </x:c>
      <x:c r="Y53" s="69" t="n">
        <x:f>IF(COUNT(Y38:Y52)&gt;0,SUM(Y38:Y52),"")</x:f>
        <x:v>64800</x:v>
      </x:c>
      <x:c r="Z53" s="67" t="str">
        <x:f>IF(COUNT(Z38:Z52)&gt;0,SUM(Z38:Z52),"")</x:f>
      </x:c>
      <x:c r="AA53" s="68" t="n">
        <x:f>IF(COUNT(AA38:AA52)&gt;0,SUM(AA38:AA52),"")</x:f>
        <x:v>64800</x:v>
      </x:c>
      <x:c r="AB53" s="69" t="n">
        <x:f>IF(COUNT(AB38:AB52)&gt;0,SUM(AB38:AB52),"")</x:f>
        <x:v>64800</x:v>
      </x:c>
      <x:c r="AC53" s="67" t="str">
        <x:f>IF(COUNT(AC38:AC52)&gt;0,SUM(AC38:AC52),"")</x:f>
      </x:c>
      <x:c r="AD53" s="68" t="n">
        <x:f>IF(COUNT(AD38:AD52)&gt;0,SUM(AD38:AD52),"")</x:f>
        <x:v>64800</x:v>
      </x:c>
      <x:c r="AE53" s="69" t="n">
        <x:f>IF(COUNT(AE38:AE52)&gt;0,SUM(AE38:AE52),"")</x:f>
        <x:v>64800</x:v>
      </x:c>
      <x:c r="AF53" s="67" t="str">
        <x:f>IF(COUNT(AF38:AF52)&gt;0,SUM(AF38:AF52),"")</x:f>
      </x:c>
      <x:c r="AG53" s="68" t="n">
        <x:f>IF(COUNT(AG38:AG52)&gt;0,SUM(AG38:AG52),"")</x:f>
        <x:v>64800</x:v>
      </x:c>
      <x:c r="AH53" s="69" t="n">
        <x:f>IF(COUNT(AH38:AH52)&gt;0,SUM(AH38:AH52),"")</x:f>
        <x:v>64800</x:v>
      </x:c>
      <x:c r="AI53" s="67" t="n">
        <x:f>IF(COUNT(AI38:AI52)&gt;0,SUM(AI38:AI52),"")</x:f>
        <x:v>63504</x:v>
      </x:c>
      <x:c r="AJ53" s="68" t="n">
        <x:f>IF(COUNT(AJ38:AJ52)&gt;0,SUM(AJ38:AJ52),"")</x:f>
        <x:v>63504</x:v>
      </x:c>
      <x:c r="AK53" s="69" t="n">
        <x:f>IF(COUNT(AK38:AK52)&gt;0,SUM(AK38:AK52),"")</x:f>
        <x:v>64800</x:v>
      </x:c>
      <x:c r="AL53" s="67" t="n">
        <x:f>IF(COUNT(AL38:AL52)&gt;0,SUM(AL38:AL52),"")</x:f>
        <x:v>68041</x:v>
      </x:c>
      <x:c r="AM53" s="68" t="n">
        <x:f>IF(COUNT(AM38:AM52)&gt;0,SUM(AM38:AM52),"")</x:f>
        <x:v>68041</x:v>
      </x:c>
      <x:c r="AN53" s="69" t="n">
        <x:f>IF(COUNT(AN38:AN52)&gt;0,SUM(AN38:AN52),"")</x:f>
        <x:v>64800</x:v>
      </x:c>
    </x:row>
    <x:row r="54" ht="24" customHeight="1">
      <x:c r="A54" s="33" t="str">
        <x:v>OPERATING RESULT</x:v>
      </x:c>
      <x:c r="B54" s="66"/>
      <x:c r="C54" s="66"/>
      <x:c r="D54" s="66"/>
      <x:c r="E54" s="66"/>
      <x:c r="F54" s="66"/>
      <x:c r="G54" s="66"/>
      <x:c r="H54" s="66"/>
      <x:c r="I54" s="66"/>
      <x:c r="J54" s="66"/>
      <x:c r="K54" s="66"/>
      <x:c r="L54" s="66"/>
      <x:c r="M54" s="66"/>
      <x:c r="N54" s="66"/>
      <x:c r="O54" s="66"/>
      <x:c r="P54" s="66"/>
      <x:c r="Q54" s="66"/>
      <x:c r="R54" s="66"/>
      <x:c r="S54" s="66"/>
      <x:c r="T54" s="66"/>
      <x:c r="U54" s="66"/>
      <x:c r="V54" s="66"/>
      <x:c r="W54" s="66"/>
      <x:c r="X54" s="66"/>
      <x:c r="Y54" s="66"/>
      <x:c r="Z54" s="66"/>
      <x:c r="AA54" s="66"/>
      <x:c r="AB54" s="66"/>
      <x:c r="AC54" s="66"/>
      <x:c r="AD54" s="66"/>
      <x:c r="AE54" s="66"/>
      <x:c r="AF54" s="66"/>
      <x:c r="AG54" s="66"/>
      <x:c r="AH54" s="66"/>
      <x:c r="AI54" s="66"/>
      <x:c r="AJ54" s="66"/>
      <x:c r="AK54" s="66"/>
      <x:c r="AL54" s="66"/>
      <x:c r="AM54" s="66"/>
      <x:c r="AN54" s="66"/>
    </x:row>
    <x:row r="55" ht="24" customHeight="1">
      <x:c r="A55" s="39" t="str">
        <x:v>Operating Profit / (Loss)</x:v>
      </x:c>
      <x:c r="B55" s="67" t="n">
        <x:f>SUM(AL55,AI55,AF55,AC55,Z55,W55,T55,Q55,N55,K55,H55,E55)</x:f>
        <x:v>-55725</x:v>
      </x:c>
      <x:c r="C55" s="68" t="n">
        <x:f>SUM(AM55,AJ55,AG55,AD55,AA55,X55,U55,R55,O55,L55,I55,F55)</x:f>
        <x:v>-31725</x:v>
      </x:c>
      <x:c r="D55" s="69" t="n">
        <x:f>SUM(AN55,AK55,AH55,AE55,AB55,Y55,V55,S55,P55,M55,J55,G55)</x:f>
        <x:v>109400</x:v>
      </x:c>
      <x:c r="E55" s="67" t="str">
        <x:f>IF(COUNT(E36,E53)=2,E36-E53,"")</x:f>
      </x:c>
      <x:c r="F55" s="68" t="n">
        <x:f>IF(COUNT(F36,F53)=2,F36-F53,"")</x:f>
        <x:v>13200</x:v>
      </x:c>
      <x:c r="G55" s="69" t="n">
        <x:f>IF(COUNT(G36,G53)=2,G36-G53,"")</x:f>
        <x:v>13200</x:v>
      </x:c>
      <x:c r="H55" s="67" t="str">
        <x:f>IF(COUNT(H36,H53)=2,H36-H53,"")</x:f>
      </x:c>
      <x:c r="I55" s="68" t="n">
        <x:f>IF(COUNT(I36,I53)=2,I36-I53,"")</x:f>
        <x:v>13200</x:v>
      </x:c>
      <x:c r="J55" s="69" t="n">
        <x:f>IF(COUNT(J36,J53)=2,J36-J53,"")</x:f>
        <x:v>13200</x:v>
      </x:c>
      <x:c r="K55" s="67" t="str">
        <x:f>IF(COUNT(K36,K53)=2,K36-K53,"")</x:f>
      </x:c>
      <x:c r="L55" s="68" t="n">
        <x:f>IF(COUNT(L36,L53)=2,L36-L53,"")</x:f>
        <x:v>13200</x:v>
      </x:c>
      <x:c r="M55" s="69" t="n">
        <x:f>IF(COUNT(M36,M53)=2,M36-M53,"")</x:f>
        <x:v>13200</x:v>
      </x:c>
      <x:c r="N55" s="67" t="str">
        <x:f>IF(COUNT(N36,N53)=2,N36-N53,"")</x:f>
      </x:c>
      <x:c r="O55" s="68" t="n">
        <x:f>IF(COUNT(O36,O53)=2,O36-O53,"")</x:f>
        <x:v>13200</x:v>
      </x:c>
      <x:c r="P55" s="69" t="n">
        <x:f>IF(COUNT(P36,P53)=2,P36-P53,"")</x:f>
        <x:v>13200</x:v>
      </x:c>
      <x:c r="Q55" s="67" t="str">
        <x:f>IF(COUNT(Q36,Q53)=2,Q36-Q53,"")</x:f>
      </x:c>
      <x:c r="R55" s="68" t="n">
        <x:f>IF(COUNT(R36,R53)=2,R36-R53,"")</x:f>
        <x:v>6200</x:v>
      </x:c>
      <x:c r="S55" s="69" t="n">
        <x:f>IF(COUNT(S36,S53)=2,S36-S53,"")</x:f>
        <x:v>6200</x:v>
      </x:c>
      <x:c r="T55" s="67" t="str">
        <x:f>IF(COUNT(T36,T53)=2,T36-T53,"")</x:f>
      </x:c>
      <x:c r="U55" s="68" t="n">
        <x:f>IF(COUNT(U36,U53)=2,U36-U53,"")</x:f>
        <x:v>6200</x:v>
      </x:c>
      <x:c r="V55" s="69" t="n">
        <x:f>IF(COUNT(V36,V53)=2,V36-V53,"")</x:f>
        <x:v>6200</x:v>
      </x:c>
      <x:c r="W55" s="67" t="str">
        <x:f>IF(COUNT(W36,W53)=2,W36-W53,"")</x:f>
      </x:c>
      <x:c r="X55" s="68" t="n">
        <x:f>IF(COUNT(X36,X53)=2,X36-X53,"")</x:f>
        <x:v>6200</x:v>
      </x:c>
      <x:c r="Y55" s="69" t="n">
        <x:f>IF(COUNT(Y36,Y53)=2,Y36-Y53,"")</x:f>
        <x:v>6200</x:v>
      </x:c>
      <x:c r="Z55" s="67" t="str">
        <x:f>IF(COUNT(Z36,Z53)=2,Z36-Z53,"")</x:f>
      </x:c>
      <x:c r="AA55" s="68" t="n">
        <x:f>IF(COUNT(AA36,AA53)=2,AA36-AA53,"")</x:f>
        <x:v>6200</x:v>
      </x:c>
      <x:c r="AB55" s="69" t="n">
        <x:f>IF(COUNT(AB36,AB53)=2,AB36-AB53,"")</x:f>
        <x:v>6200</x:v>
      </x:c>
      <x:c r="AC55" s="67" t="str">
        <x:f>IF(COUNT(AC36,AC53)=2,AC36-AC53,"")</x:f>
      </x:c>
      <x:c r="AD55" s="68" t="n">
        <x:f>IF(COUNT(AD36,AD53)=2,AD36-AD53,"")</x:f>
        <x:v>-14800</x:v>
      </x:c>
      <x:c r="AE55" s="69" t="n">
        <x:f>IF(COUNT(AE36,AE53)=2,AE36-AE53,"")</x:f>
        <x:v>-800</x:v>
      </x:c>
      <x:c r="AF55" s="67" t="str">
        <x:f>IF(COUNT(AF36,AF53)=2,AF36-AF53,"")</x:f>
      </x:c>
      <x:c r="AG55" s="68" t="n">
        <x:f>IF(COUNT(AG36,AG53)=2,AG36-AG53,"")</x:f>
        <x:v>-38800</x:v>
      </x:c>
      <x:c r="AH55" s="69" t="n">
        <x:f>IF(COUNT(AH36,AH53)=2,AH36-AH53,"")</x:f>
        <x:v>-800</x:v>
      </x:c>
      <x:c r="AI55" s="67" t="n">
        <x:f>IF(COUNT(AI36,AI53)=2,AI36-AI53,"")</x:f>
        <x:v>-29384</x:v>
      </x:c>
      <x:c r="AJ55" s="68" t="n">
        <x:f>IF(COUNT(AJ36,AJ53)=2,AJ36-AJ53,"")</x:f>
        <x:v>-29384</x:v>
      </x:c>
      <x:c r="AK55" s="69" t="n">
        <x:f>IF(COUNT(AK36,AK53)=2,AK36-AK53,"")</x:f>
        <x:v>-800</x:v>
      </x:c>
      <x:c r="AL55" s="67" t="n">
        <x:f>IF(COUNT(AL36,AL53)=2,AL36-AL53,"")</x:f>
        <x:v>-26341</x:v>
      </x:c>
      <x:c r="AM55" s="68" t="n">
        <x:f>IF(COUNT(AM36,AM53)=2,AM36-AM53,"")</x:f>
        <x:v>-26341</x:v>
      </x:c>
      <x:c r="AN55" s="69" t="n">
        <x:f>IF(COUNT(AN36,AN53)=2,AN36-AN53,"")</x:f>
        <x:v>34200</x:v>
      </x:c>
    </x:row>
    <x:row r="56" ht="24" customHeight="1">
      <x:c r="A56" s="33" t="str">
        <x:v>CASH FORECAST</x:v>
      </x:c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  <x:c r="M56" s="66"/>
      <x:c r="N56" s="66"/>
      <x:c r="O56" s="66"/>
      <x:c r="P56" s="66"/>
      <x:c r="Q56" s="66"/>
      <x:c r="R56" s="66"/>
      <x:c r="S56" s="66"/>
      <x:c r="T56" s="66"/>
      <x:c r="U56" s="66"/>
      <x:c r="V56" s="66"/>
      <x:c r="W56" s="66"/>
      <x:c r="X56" s="66"/>
      <x:c r="Y56" s="66"/>
      <x:c r="Z56" s="66"/>
      <x:c r="AA56" s="66"/>
      <x:c r="AB56" s="66"/>
      <x:c r="AC56" s="66"/>
      <x:c r="AD56" s="66"/>
      <x:c r="AE56" s="66"/>
      <x:c r="AF56" s="66"/>
      <x:c r="AG56" s="66"/>
      <x:c r="AH56" s="66"/>
      <x:c r="AI56" s="66"/>
      <x:c r="AJ56" s="66"/>
      <x:c r="AK56" s="66"/>
      <x:c r="AL56" s="66"/>
      <x:c r="AM56" s="66"/>
      <x:c r="AN56" s="66"/>
    </x:row>
    <x:row r="57" ht="24" customHeight="1">
      <x:c r="A57" s="3" t="str">
        <x:v>Cash collected</x:v>
      </x:c>
      <x:c r="B57" s="61" t="n">
        <x:f>SUM(AL57,AI57,AF57,AC57,Z57,W57,T57,Q57,N57,K57,H57,E57)</x:f>
        <x:v>110000</x:v>
      </x:c>
      <x:c r="C57" s="62" t="n">
        <x:f>SUM(AM57,AJ57,AG57,AD57,AA57,X57,U57,R57,O57,L57,I57,F57)</x:f>
        <x:v>904000</x:v>
      </x:c>
      <x:c r="D57" s="63" t="n">
        <x:f>SUM(AN57,AK57,AH57,AE57,AB57,Y57,V57,S57,P57,M57,J57,G57)</x:f>
        <x:v>1080000</x:v>
      </x:c>
      <x:c r="E57" s="64"/>
      <x:c r="F5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57,ROUND(SUM(IF(AND(AM$26&lt;&gt;"",AM$23&lt;&gt;""),IF(EOMONTH($AL$3+INT((DAY(EOMONTH($AL$3,0))-1)/2)+AM$23,0)=EOMONTH($E$3,0),AM$26,0),0),IF(AND(AJ$26&lt;&gt;"",AJ$23&lt;&gt;""),IF(EOMONTH($AI$3+INT((DAY(EOMONTH($AI$3,0))-1)/2)+AJ$23,0)=EOMONTH($E$3,0),AJ$26,0),0),IF(AND(AG$26&lt;&gt;"",AG$23&lt;&gt;""),IF(EOMONTH($AF$3+INT((DAY(EOMONTH($AF$3,0))-1)/2)+AG$23,0)=EOMONTH($E$3,0),AG$26,0),0),IF(AND(AD$26&lt;&gt;"",AD$23&lt;&gt;""),IF(EOMONTH($AC$3+INT((DAY(EOMONTH($AC$3,0))-1)/2)+AD$23,0)=EOMONTH($E$3,0),AD$26,0),0),IF(AND(AA$26&lt;&gt;"",AA$23&lt;&gt;""),IF(EOMONTH($Z$3+INT((DAY(EOMONTH($Z$3,0))-1)/2)+AA$23,0)=EOMONTH($E$3,0),AA$26,0),0),IF(AND(X$26&lt;&gt;"",X$23&lt;&gt;""),IF(EOMONTH($W$3+INT((DAY(EOMONTH($W$3,0))-1)/2)+X$23,0)=EOMONTH($E$3,0),X$26,0),0),IF(AND(U$26&lt;&gt;"",U$23&lt;&gt;""),IF(EOMONTH($T$3+INT((DAY(EOMONTH($T$3,0))-1)/2)+U$23,0)=EOMONTH($E$3,0),U$26,0),0),IF(AND(R$26&lt;&gt;"",R$23&lt;&gt;""),IF(EOMONTH($Q$3+INT((DAY(EOMONTH($Q$3,0))-1)/2)+R$23,0)=EOMONTH($E$3,0),R$26,0),0),IF(AND(O$26&lt;&gt;"",O$23&lt;&gt;""),IF(EOMONTH($N$3+INT((DAY(EOMONTH($N$3,0))-1)/2)+O$23,0)=EOMONTH($E$3,0),O$26,0),0),IF(AND(L$26&lt;&gt;"",L$23&lt;&gt;""),IF(EOMONTH($K$3+INT((DAY(EOMONTH($K$3,0))-1)/2)+L$23,0)=EOMONTH($E$3,0),L$26,0),0),IF(AND(I$26&lt;&gt;"",I$23&lt;&gt;""),IF(EOMONTH($H$3+INT((DAY(EOMONTH($H$3,0))-1)/2)+I$23,0)=EOMONTH($E$3,0),I$26,0),0),IF(AND(F$26&lt;&gt;"",F$23&lt;&gt;""),IF(EOMONTH($E$3+INT((DAY(EOMONTH($E$3,0))-1)/2)+F$23,0)=EOMONTH($E$3,0),F$26,0),0),IF(EOMONTH($AL$75+AM$23,0)=EOMONTH($E$3,0),$AL$78*AM$13,0)),0))</x:f>
        <x:v>96000</x:v>
      </x:c>
      <x:c r="G57" s="63" t="n">
        <x:f>ROUND(SUM(IF(AND(AN$26&lt;&gt;"",AN$23&lt;&gt;""),IF(EOMONTH($AL$3+INT((DAY(EOMONTH($AL$3,0))-1)/2)+AN$23,0)=EOMONTH($E$3,0),AN$26,0),0),IF(AND(AK$26&lt;&gt;"",AK$23&lt;&gt;""),IF(EOMONTH($AI$3+INT((DAY(EOMONTH($AI$3,0))-1)/2)+AK$23,0)=EOMONTH($E$3,0),AK$26,0),0),IF(AND(AH$26&lt;&gt;"",AH$23&lt;&gt;""),IF(EOMONTH($AF$3+INT((DAY(EOMONTH($AF$3,0))-1)/2)+AH$23,0)=EOMONTH($E$3,0),AH$26,0),0),IF(AND(AE$26&lt;&gt;"",AE$23&lt;&gt;""),IF(EOMONTH($AC$3+INT((DAY(EOMONTH($AC$3,0))-1)/2)+AE$23,0)=EOMONTH($E$3,0),AE$26,0),0),IF(AND(AB$26&lt;&gt;"",AB$23&lt;&gt;""),IF(EOMONTH($Z$3+INT((DAY(EOMONTH($Z$3,0))-1)/2)+AB$23,0)=EOMONTH($E$3,0),AB$26,0),0),IF(AND(Y$26&lt;&gt;"",Y$23&lt;&gt;""),IF(EOMONTH($W$3+INT((DAY(EOMONTH($W$3,0))-1)/2)+Y$23,0)=EOMONTH($E$3,0),Y$26,0),0),IF(AND(V$26&lt;&gt;"",V$23&lt;&gt;""),IF(EOMONTH($T$3+INT((DAY(EOMONTH($T$3,0))-1)/2)+V$23,0)=EOMONTH($E$3,0),V$26,0),0),IF(AND(S$26&lt;&gt;"",S$23&lt;&gt;""),IF(EOMONTH($Q$3+INT((DAY(EOMONTH($Q$3,0))-1)/2)+S$23,0)=EOMONTH($E$3,0),S$26,0),0),IF(AND(P$26&lt;&gt;"",P$23&lt;&gt;""),IF(EOMONTH($N$3+INT((DAY(EOMONTH($N$3,0))-1)/2)+P$23,0)=EOMONTH($E$3,0),P$26,0),0),IF(AND(M$26&lt;&gt;"",M$23&lt;&gt;""),IF(EOMONTH($K$3+INT((DAY(EOMONTH($K$3,0))-1)/2)+M$23,0)=EOMONTH($E$3,0),M$26,0),0),IF(AND(J$26&lt;&gt;"",J$23&lt;&gt;""),IF(EOMONTH($H$3+INT((DAY(EOMONTH($H$3,0))-1)/2)+J$23,0)=EOMONTH($E$3,0),J$26,0),0),IF(AND(G$26&lt;&gt;"",G$23&lt;&gt;""),IF(EOMONTH($E$3+INT((DAY(EOMONTH($E$3,0))-1)/2)+G$23,0)=EOMONTH($E$3,0),G$26,0),0),IF(EOMONTH($AL$75+AN$23,0)=EOMONTH($E$3,0),$AL$78*AN$13,0)),0)</x:f>
        <x:v>96000</x:v>
      </x:c>
      <x:c r="H57" s="64"/>
      <x:c r="I5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57,ROUND(SUM(IF(AND(AM$26&lt;&gt;"",AM$23&lt;&gt;""),IF(EOMONTH($AL$3+INT((DAY(EOMONTH($AL$3,0))-1)/2)+AM$23,0)=EOMONTH($H$3,0),AM$26,0),0),IF(AND(AJ$26&lt;&gt;"",AJ$23&lt;&gt;""),IF(EOMONTH($AI$3+INT((DAY(EOMONTH($AI$3,0))-1)/2)+AJ$23,0)=EOMONTH($H$3,0),AJ$26,0),0),IF(AND(AG$26&lt;&gt;"",AG$23&lt;&gt;""),IF(EOMONTH($AF$3+INT((DAY(EOMONTH($AF$3,0))-1)/2)+AG$23,0)=EOMONTH($H$3,0),AG$26,0),0),IF(AND(AD$26&lt;&gt;"",AD$23&lt;&gt;""),IF(EOMONTH($AC$3+INT((DAY(EOMONTH($AC$3,0))-1)/2)+AD$23,0)=EOMONTH($H$3,0),AD$26,0),0),IF(AND(AA$26&lt;&gt;"",AA$23&lt;&gt;""),IF(EOMONTH($Z$3+INT((DAY(EOMONTH($Z$3,0))-1)/2)+AA$23,0)=EOMONTH($H$3,0),AA$26,0),0),IF(AND(X$26&lt;&gt;"",X$23&lt;&gt;""),IF(EOMONTH($W$3+INT((DAY(EOMONTH($W$3,0))-1)/2)+X$23,0)=EOMONTH($H$3,0),X$26,0),0),IF(AND(U$26&lt;&gt;"",U$23&lt;&gt;""),IF(EOMONTH($T$3+INT((DAY(EOMONTH($T$3,0))-1)/2)+U$23,0)=EOMONTH($H$3,0),U$26,0),0),IF(AND(R$26&lt;&gt;"",R$23&lt;&gt;""),IF(EOMONTH($Q$3+INT((DAY(EOMONTH($Q$3,0))-1)/2)+R$23,0)=EOMONTH($H$3,0),R$26,0),0),IF(AND(O$26&lt;&gt;"",O$23&lt;&gt;""),IF(EOMONTH($N$3+INT((DAY(EOMONTH($N$3,0))-1)/2)+O$23,0)=EOMONTH($H$3,0),O$26,0),0),IF(AND(L$26&lt;&gt;"",L$23&lt;&gt;""),IF(EOMONTH($K$3+INT((DAY(EOMONTH($K$3,0))-1)/2)+L$23,0)=EOMONTH($H$3,0),L$26,0),0),IF(AND(I$26&lt;&gt;"",I$23&lt;&gt;""),IF(EOMONTH($H$3+INT((DAY(EOMONTH($H$3,0))-1)/2)+I$23,0)=EOMONTH($H$3,0),I$26,0),0),IF(AND(F$26&lt;&gt;"",F$23&lt;&gt;""),IF(EOMONTH($E$3+INT((DAY(EOMONTH($E$3,0))-1)/2)+F$23,0)=EOMONTH($H$3,0),F$26,0),0),IF(EOMONTH($AL$75+AM$23,0)=EOMONTH($H$3,0),$AL$78*AM$13,0)),0))</x:f>
        <x:v>96000</x:v>
      </x:c>
      <x:c r="J57" s="63" t="n">
        <x:f>ROUND(SUM(IF(AND(AN$26&lt;&gt;"",AN$23&lt;&gt;""),IF(EOMONTH($AL$3+INT((DAY(EOMONTH($AL$3,0))-1)/2)+AN$23,0)=EOMONTH($H$3,0),AN$26,0),0),IF(AND(AK$26&lt;&gt;"",AK$23&lt;&gt;""),IF(EOMONTH($AI$3+INT((DAY(EOMONTH($AI$3,0))-1)/2)+AK$23,0)=EOMONTH($H$3,0),AK$26,0),0),IF(AND(AH$26&lt;&gt;"",AH$23&lt;&gt;""),IF(EOMONTH($AF$3+INT((DAY(EOMONTH($AF$3,0))-1)/2)+AH$23,0)=EOMONTH($H$3,0),AH$26,0),0),IF(AND(AE$26&lt;&gt;"",AE$23&lt;&gt;""),IF(EOMONTH($AC$3+INT((DAY(EOMONTH($AC$3,0))-1)/2)+AE$23,0)=EOMONTH($H$3,0),AE$26,0),0),IF(AND(AB$26&lt;&gt;"",AB$23&lt;&gt;""),IF(EOMONTH($Z$3+INT((DAY(EOMONTH($Z$3,0))-1)/2)+AB$23,0)=EOMONTH($H$3,0),AB$26,0),0),IF(AND(Y$26&lt;&gt;"",Y$23&lt;&gt;""),IF(EOMONTH($W$3+INT((DAY(EOMONTH($W$3,0))-1)/2)+Y$23,0)=EOMONTH($H$3,0),Y$26,0),0),IF(AND(V$26&lt;&gt;"",V$23&lt;&gt;""),IF(EOMONTH($T$3+INT((DAY(EOMONTH($T$3,0))-1)/2)+V$23,0)=EOMONTH($H$3,0),V$26,0),0),IF(AND(S$26&lt;&gt;"",S$23&lt;&gt;""),IF(EOMONTH($Q$3+INT((DAY(EOMONTH($Q$3,0))-1)/2)+S$23,0)=EOMONTH($H$3,0),S$26,0),0),IF(AND(P$26&lt;&gt;"",P$23&lt;&gt;""),IF(EOMONTH($N$3+INT((DAY(EOMONTH($N$3,0))-1)/2)+P$23,0)=EOMONTH($H$3,0),P$26,0),0),IF(AND(M$26&lt;&gt;"",M$23&lt;&gt;""),IF(EOMONTH($K$3+INT((DAY(EOMONTH($K$3,0))-1)/2)+M$23,0)=EOMONTH($H$3,0),M$26,0),0),IF(AND(J$26&lt;&gt;"",J$23&lt;&gt;""),IF(EOMONTH($H$3+INT((DAY(EOMONTH($H$3,0))-1)/2)+J$23,0)=EOMONTH($H$3,0),J$26,0),0),IF(AND(G$26&lt;&gt;"",G$23&lt;&gt;""),IF(EOMONTH($E$3+INT((DAY(EOMONTH($E$3,0))-1)/2)+G$23,0)=EOMONTH($H$3,0),G$26,0),0),IF(EOMONTH($AL$75+AN$23,0)=EOMONTH($H$3,0),$AL$78*AN$13,0)),0)</x:f>
        <x:v>96000</x:v>
      </x:c>
      <x:c r="K57" s="64"/>
      <x:c r="L5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57,ROUND(SUM(IF(AND(AM$26&lt;&gt;"",AM$23&lt;&gt;""),IF(EOMONTH($AL$3+INT((DAY(EOMONTH($AL$3,0))-1)/2)+AM$23,0)=EOMONTH($K$3,0),AM$26,0),0),IF(AND(AJ$26&lt;&gt;"",AJ$23&lt;&gt;""),IF(EOMONTH($AI$3+INT((DAY(EOMONTH($AI$3,0))-1)/2)+AJ$23,0)=EOMONTH($K$3,0),AJ$26,0),0),IF(AND(AG$26&lt;&gt;"",AG$23&lt;&gt;""),IF(EOMONTH($AF$3+INT((DAY(EOMONTH($AF$3,0))-1)/2)+AG$23,0)=EOMONTH($K$3,0),AG$26,0),0),IF(AND(AD$26&lt;&gt;"",AD$23&lt;&gt;""),IF(EOMONTH($AC$3+INT((DAY(EOMONTH($AC$3,0))-1)/2)+AD$23,0)=EOMONTH($K$3,0),AD$26,0),0),IF(AND(AA$26&lt;&gt;"",AA$23&lt;&gt;""),IF(EOMONTH($Z$3+INT((DAY(EOMONTH($Z$3,0))-1)/2)+AA$23,0)=EOMONTH($K$3,0),AA$26,0),0),IF(AND(X$26&lt;&gt;"",X$23&lt;&gt;""),IF(EOMONTH($W$3+INT((DAY(EOMONTH($W$3,0))-1)/2)+X$23,0)=EOMONTH($K$3,0),X$26,0),0),IF(AND(U$26&lt;&gt;"",U$23&lt;&gt;""),IF(EOMONTH($T$3+INT((DAY(EOMONTH($T$3,0))-1)/2)+U$23,0)=EOMONTH($K$3,0),U$26,0),0),IF(AND(R$26&lt;&gt;"",R$23&lt;&gt;""),IF(EOMONTH($Q$3+INT((DAY(EOMONTH($Q$3,0))-1)/2)+R$23,0)=EOMONTH($K$3,0),R$26,0),0),IF(AND(O$26&lt;&gt;"",O$23&lt;&gt;""),IF(EOMONTH($N$3+INT((DAY(EOMONTH($N$3,0))-1)/2)+O$23,0)=EOMONTH($K$3,0),O$26,0),0),IF(AND(L$26&lt;&gt;"",L$23&lt;&gt;""),IF(EOMONTH($K$3+INT((DAY(EOMONTH($K$3,0))-1)/2)+L$23,0)=EOMONTH($K$3,0),L$26,0),0),IF(AND(I$26&lt;&gt;"",I$23&lt;&gt;""),IF(EOMONTH($H$3+INT((DAY(EOMONTH($H$3,0))-1)/2)+I$23,0)=EOMONTH($K$3,0),I$26,0),0),IF(AND(F$26&lt;&gt;"",F$23&lt;&gt;""),IF(EOMONTH($E$3+INT((DAY(EOMONTH($E$3,0))-1)/2)+F$23,0)=EOMONTH($K$3,0),F$26,0),0),IF(EOMONTH($AL$75+AM$23,0)=EOMONTH($K$3,0),$AL$78*AM$13,0)),0))</x:f>
        <x:v>96000</x:v>
      </x:c>
      <x:c r="M57" s="63" t="n">
        <x:f>ROUND(SUM(IF(AND(AN$26&lt;&gt;"",AN$23&lt;&gt;""),IF(EOMONTH($AL$3+INT((DAY(EOMONTH($AL$3,0))-1)/2)+AN$23,0)=EOMONTH($K$3,0),AN$26,0),0),IF(AND(AK$26&lt;&gt;"",AK$23&lt;&gt;""),IF(EOMONTH($AI$3+INT((DAY(EOMONTH($AI$3,0))-1)/2)+AK$23,0)=EOMONTH($K$3,0),AK$26,0),0),IF(AND(AH$26&lt;&gt;"",AH$23&lt;&gt;""),IF(EOMONTH($AF$3+INT((DAY(EOMONTH($AF$3,0))-1)/2)+AH$23,0)=EOMONTH($K$3,0),AH$26,0),0),IF(AND(AE$26&lt;&gt;"",AE$23&lt;&gt;""),IF(EOMONTH($AC$3+INT((DAY(EOMONTH($AC$3,0))-1)/2)+AE$23,0)=EOMONTH($K$3,0),AE$26,0),0),IF(AND(AB$26&lt;&gt;"",AB$23&lt;&gt;""),IF(EOMONTH($Z$3+INT((DAY(EOMONTH($Z$3,0))-1)/2)+AB$23,0)=EOMONTH($K$3,0),AB$26,0),0),IF(AND(Y$26&lt;&gt;"",Y$23&lt;&gt;""),IF(EOMONTH($W$3+INT((DAY(EOMONTH($W$3,0))-1)/2)+Y$23,0)=EOMONTH($K$3,0),Y$26,0),0),IF(AND(V$26&lt;&gt;"",V$23&lt;&gt;""),IF(EOMONTH($T$3+INT((DAY(EOMONTH($T$3,0))-1)/2)+V$23,0)=EOMONTH($K$3,0),V$26,0),0),IF(AND(S$26&lt;&gt;"",S$23&lt;&gt;""),IF(EOMONTH($Q$3+INT((DAY(EOMONTH($Q$3,0))-1)/2)+S$23,0)=EOMONTH($K$3,0),S$26,0),0),IF(AND(P$26&lt;&gt;"",P$23&lt;&gt;""),IF(EOMONTH($N$3+INT((DAY(EOMONTH($N$3,0))-1)/2)+P$23,0)=EOMONTH($K$3,0),P$26,0),0),IF(AND(M$26&lt;&gt;"",M$23&lt;&gt;""),IF(EOMONTH($K$3+INT((DAY(EOMONTH($K$3,0))-1)/2)+M$23,0)=EOMONTH($K$3,0),M$26,0),0),IF(AND(J$26&lt;&gt;"",J$23&lt;&gt;""),IF(EOMONTH($H$3+INT((DAY(EOMONTH($H$3,0))-1)/2)+J$23,0)=EOMONTH($K$3,0),J$26,0),0),IF(AND(G$26&lt;&gt;"",G$23&lt;&gt;""),IF(EOMONTH($E$3+INT((DAY(EOMONTH($E$3,0))-1)/2)+G$23,0)=EOMONTH($K$3,0),G$26,0),0),IF(EOMONTH($AL$75+AN$23,0)=EOMONTH($K$3,0),$AL$78*AN$13,0)),0)</x:f>
        <x:v>96000</x:v>
      </x:c>
      <x:c r="N57" s="64"/>
      <x:c r="O5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57,ROUND(SUM(IF(AND(AM$26&lt;&gt;"",AM$23&lt;&gt;""),IF(EOMONTH($AL$3+INT((DAY(EOMONTH($AL$3,0))-1)/2)+AM$23,0)=EOMONTH($N$3,0),AM$26,0),0),IF(AND(AJ$26&lt;&gt;"",AJ$23&lt;&gt;""),IF(EOMONTH($AI$3+INT((DAY(EOMONTH($AI$3,0))-1)/2)+AJ$23,0)=EOMONTH($N$3,0),AJ$26,0),0),IF(AND(AG$26&lt;&gt;"",AG$23&lt;&gt;""),IF(EOMONTH($AF$3+INT((DAY(EOMONTH($AF$3,0))-1)/2)+AG$23,0)=EOMONTH($N$3,0),AG$26,0),0),IF(AND(AD$26&lt;&gt;"",AD$23&lt;&gt;""),IF(EOMONTH($AC$3+INT((DAY(EOMONTH($AC$3,0))-1)/2)+AD$23,0)=EOMONTH($N$3,0),AD$26,0),0),IF(AND(AA$26&lt;&gt;"",AA$23&lt;&gt;""),IF(EOMONTH($Z$3+INT((DAY(EOMONTH($Z$3,0))-1)/2)+AA$23,0)=EOMONTH($N$3,0),AA$26,0),0),IF(AND(X$26&lt;&gt;"",X$23&lt;&gt;""),IF(EOMONTH($W$3+INT((DAY(EOMONTH($W$3,0))-1)/2)+X$23,0)=EOMONTH($N$3,0),X$26,0),0),IF(AND(U$26&lt;&gt;"",U$23&lt;&gt;""),IF(EOMONTH($T$3+INT((DAY(EOMONTH($T$3,0))-1)/2)+U$23,0)=EOMONTH($N$3,0),U$26,0),0),IF(AND(R$26&lt;&gt;"",R$23&lt;&gt;""),IF(EOMONTH($Q$3+INT((DAY(EOMONTH($Q$3,0))-1)/2)+R$23,0)=EOMONTH($N$3,0),R$26,0),0),IF(AND(O$26&lt;&gt;"",O$23&lt;&gt;""),IF(EOMONTH($N$3+INT((DAY(EOMONTH($N$3,0))-1)/2)+O$23,0)=EOMONTH($N$3,0),O$26,0),0),IF(AND(L$26&lt;&gt;"",L$23&lt;&gt;""),IF(EOMONTH($K$3+INT((DAY(EOMONTH($K$3,0))-1)/2)+L$23,0)=EOMONTH($N$3,0),L$26,0),0),IF(AND(I$26&lt;&gt;"",I$23&lt;&gt;""),IF(EOMONTH($H$3+INT((DAY(EOMONTH($H$3,0))-1)/2)+I$23,0)=EOMONTH($N$3,0),I$26,0),0),IF(AND(F$26&lt;&gt;"",F$23&lt;&gt;""),IF(EOMONTH($E$3+INT((DAY(EOMONTH($E$3,0))-1)/2)+F$23,0)=EOMONTH($N$3,0),F$26,0),0),IF(EOMONTH($AL$75+AM$23,0)=EOMONTH($N$3,0),$AL$78*AM$13,0)),0))</x:f>
        <x:v>88000</x:v>
      </x:c>
      <x:c r="P57" s="63" t="n">
        <x:f>ROUND(SUM(IF(AND(AN$26&lt;&gt;"",AN$23&lt;&gt;""),IF(EOMONTH($AL$3+INT((DAY(EOMONTH($AL$3,0))-1)/2)+AN$23,0)=EOMONTH($N$3,0),AN$26,0),0),IF(AND(AK$26&lt;&gt;"",AK$23&lt;&gt;""),IF(EOMONTH($AI$3+INT((DAY(EOMONTH($AI$3,0))-1)/2)+AK$23,0)=EOMONTH($N$3,0),AK$26,0),0),IF(AND(AH$26&lt;&gt;"",AH$23&lt;&gt;""),IF(EOMONTH($AF$3+INT((DAY(EOMONTH($AF$3,0))-1)/2)+AH$23,0)=EOMONTH($N$3,0),AH$26,0),0),IF(AND(AE$26&lt;&gt;"",AE$23&lt;&gt;""),IF(EOMONTH($AC$3+INT((DAY(EOMONTH($AC$3,0))-1)/2)+AE$23,0)=EOMONTH($N$3,0),AE$26,0),0),IF(AND(AB$26&lt;&gt;"",AB$23&lt;&gt;""),IF(EOMONTH($Z$3+INT((DAY(EOMONTH($Z$3,0))-1)/2)+AB$23,0)=EOMONTH($N$3,0),AB$26,0),0),IF(AND(Y$26&lt;&gt;"",Y$23&lt;&gt;""),IF(EOMONTH($W$3+INT((DAY(EOMONTH($W$3,0))-1)/2)+Y$23,0)=EOMONTH($N$3,0),Y$26,0),0),IF(AND(V$26&lt;&gt;"",V$23&lt;&gt;""),IF(EOMONTH($T$3+INT((DAY(EOMONTH($T$3,0))-1)/2)+V$23,0)=EOMONTH($N$3,0),V$26,0),0),IF(AND(S$26&lt;&gt;"",S$23&lt;&gt;""),IF(EOMONTH($Q$3+INT((DAY(EOMONTH($Q$3,0))-1)/2)+S$23,0)=EOMONTH($N$3,0),S$26,0),0),IF(AND(P$26&lt;&gt;"",P$23&lt;&gt;""),IF(EOMONTH($N$3+INT((DAY(EOMONTH($N$3,0))-1)/2)+P$23,0)=EOMONTH($N$3,0),P$26,0),0),IF(AND(M$26&lt;&gt;"",M$23&lt;&gt;""),IF(EOMONTH($K$3+INT((DAY(EOMONTH($K$3,0))-1)/2)+M$23,0)=EOMONTH($N$3,0),M$26,0),0),IF(AND(J$26&lt;&gt;"",J$23&lt;&gt;""),IF(EOMONTH($H$3+INT((DAY(EOMONTH($H$3,0))-1)/2)+J$23,0)=EOMONTH($N$3,0),J$26,0),0),IF(AND(G$26&lt;&gt;"",G$23&lt;&gt;""),IF(EOMONTH($E$3+INT((DAY(EOMONTH($E$3,0))-1)/2)+G$23,0)=EOMONTH($N$3,0),G$26,0),0),IF(EOMONTH($AL$75+AN$23,0)=EOMONTH($N$3,0),$AL$78*AN$13,0)),0)</x:f>
        <x:v>88000</x:v>
      </x:c>
      <x:c r="Q57" s="64"/>
      <x:c r="R5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57,ROUND(SUM(IF(AND(AM$26&lt;&gt;"",AM$23&lt;&gt;""),IF(EOMONTH($AL$3+INT((DAY(EOMONTH($AL$3,0))-1)/2)+AM$23,0)=EOMONTH($Q$3,0),AM$26,0),0),IF(AND(AJ$26&lt;&gt;"",AJ$23&lt;&gt;""),IF(EOMONTH($AI$3+INT((DAY(EOMONTH($AI$3,0))-1)/2)+AJ$23,0)=EOMONTH($Q$3,0),AJ$26,0),0),IF(AND(AG$26&lt;&gt;"",AG$23&lt;&gt;""),IF(EOMONTH($AF$3+INT((DAY(EOMONTH($AF$3,0))-1)/2)+AG$23,0)=EOMONTH($Q$3,0),AG$26,0),0),IF(AND(AD$26&lt;&gt;"",AD$23&lt;&gt;""),IF(EOMONTH($AC$3+INT((DAY(EOMONTH($AC$3,0))-1)/2)+AD$23,0)=EOMONTH($Q$3,0),AD$26,0),0),IF(AND(AA$26&lt;&gt;"",AA$23&lt;&gt;""),IF(EOMONTH($Z$3+INT((DAY(EOMONTH($Z$3,0))-1)/2)+AA$23,0)=EOMONTH($Q$3,0),AA$26,0),0),IF(AND(X$26&lt;&gt;"",X$23&lt;&gt;""),IF(EOMONTH($W$3+INT((DAY(EOMONTH($W$3,0))-1)/2)+X$23,0)=EOMONTH($Q$3,0),X$26,0),0),IF(AND(U$26&lt;&gt;"",U$23&lt;&gt;""),IF(EOMONTH($T$3+INT((DAY(EOMONTH($T$3,0))-1)/2)+U$23,0)=EOMONTH($Q$3,0),U$26,0),0),IF(AND(R$26&lt;&gt;"",R$23&lt;&gt;""),IF(EOMONTH($Q$3+INT((DAY(EOMONTH($Q$3,0))-1)/2)+R$23,0)=EOMONTH($Q$3,0),R$26,0),0),IF(AND(O$26&lt;&gt;"",O$23&lt;&gt;""),IF(EOMONTH($N$3+INT((DAY(EOMONTH($N$3,0))-1)/2)+O$23,0)=EOMONTH($Q$3,0),O$26,0),0),IF(AND(L$26&lt;&gt;"",L$23&lt;&gt;""),IF(EOMONTH($K$3+INT((DAY(EOMONTH($K$3,0))-1)/2)+L$23,0)=EOMONTH($Q$3,0),L$26,0),0),IF(AND(I$26&lt;&gt;"",I$23&lt;&gt;""),IF(EOMONTH($H$3+INT((DAY(EOMONTH($H$3,0))-1)/2)+I$23,0)=EOMONTH($Q$3,0),I$26,0),0),IF(AND(F$26&lt;&gt;"",F$23&lt;&gt;""),IF(EOMONTH($E$3+INT((DAY(EOMONTH($E$3,0))-1)/2)+F$23,0)=EOMONTH($Q$3,0),F$26,0),0),IF(EOMONTH($AL$75+AM$23,0)=EOMONTH($Q$3,0),$AL$78*AM$13,0)),0))</x:f>
        <x:v>88000</x:v>
      </x:c>
      <x:c r="S57" s="63" t="n">
        <x:f>ROUND(SUM(IF(AND(AN$26&lt;&gt;"",AN$23&lt;&gt;""),IF(EOMONTH($AL$3+INT((DAY(EOMONTH($AL$3,0))-1)/2)+AN$23,0)=EOMONTH($Q$3,0),AN$26,0),0),IF(AND(AK$26&lt;&gt;"",AK$23&lt;&gt;""),IF(EOMONTH($AI$3+INT((DAY(EOMONTH($AI$3,0))-1)/2)+AK$23,0)=EOMONTH($Q$3,0),AK$26,0),0),IF(AND(AH$26&lt;&gt;"",AH$23&lt;&gt;""),IF(EOMONTH($AF$3+INT((DAY(EOMONTH($AF$3,0))-1)/2)+AH$23,0)=EOMONTH($Q$3,0),AH$26,0),0),IF(AND(AE$26&lt;&gt;"",AE$23&lt;&gt;""),IF(EOMONTH($AC$3+INT((DAY(EOMONTH($AC$3,0))-1)/2)+AE$23,0)=EOMONTH($Q$3,0),AE$26,0),0),IF(AND(AB$26&lt;&gt;"",AB$23&lt;&gt;""),IF(EOMONTH($Z$3+INT((DAY(EOMONTH($Z$3,0))-1)/2)+AB$23,0)=EOMONTH($Q$3,0),AB$26,0),0),IF(AND(Y$26&lt;&gt;"",Y$23&lt;&gt;""),IF(EOMONTH($W$3+INT((DAY(EOMONTH($W$3,0))-1)/2)+Y$23,0)=EOMONTH($Q$3,0),Y$26,0),0),IF(AND(V$26&lt;&gt;"",V$23&lt;&gt;""),IF(EOMONTH($T$3+INT((DAY(EOMONTH($T$3,0))-1)/2)+V$23,0)=EOMONTH($Q$3,0),V$26,0),0),IF(AND(S$26&lt;&gt;"",S$23&lt;&gt;""),IF(EOMONTH($Q$3+INT((DAY(EOMONTH($Q$3,0))-1)/2)+S$23,0)=EOMONTH($Q$3,0),S$26,0),0),IF(AND(P$26&lt;&gt;"",P$23&lt;&gt;""),IF(EOMONTH($N$3+INT((DAY(EOMONTH($N$3,0))-1)/2)+P$23,0)=EOMONTH($Q$3,0),P$26,0),0),IF(AND(M$26&lt;&gt;"",M$23&lt;&gt;""),IF(EOMONTH($K$3+INT((DAY(EOMONTH($K$3,0))-1)/2)+M$23,0)=EOMONTH($Q$3,0),M$26,0),0),IF(AND(J$26&lt;&gt;"",J$23&lt;&gt;""),IF(EOMONTH($H$3+INT((DAY(EOMONTH($H$3,0))-1)/2)+J$23,0)=EOMONTH($Q$3,0),J$26,0),0),IF(AND(G$26&lt;&gt;"",G$23&lt;&gt;""),IF(EOMONTH($E$3+INT((DAY(EOMONTH($E$3,0))-1)/2)+G$23,0)=EOMONTH($Q$3,0),G$26,0),0),IF(EOMONTH($AL$75+AN$23,0)=EOMONTH($Q$3,0),$AL$78*AN$13,0)),0)</x:f>
        <x:v>88000</x:v>
      </x:c>
      <x:c r="T57" s="64"/>
      <x:c r="U5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57,ROUND(SUM(IF(AND(AM$26&lt;&gt;"",AM$23&lt;&gt;""),IF(EOMONTH($AL$3+INT((DAY(EOMONTH($AL$3,0))-1)/2)+AM$23,0)=EOMONTH($T$3,0),AM$26,0),0),IF(AND(AJ$26&lt;&gt;"",AJ$23&lt;&gt;""),IF(EOMONTH($AI$3+INT((DAY(EOMONTH($AI$3,0))-1)/2)+AJ$23,0)=EOMONTH($T$3,0),AJ$26,0),0),IF(AND(AG$26&lt;&gt;"",AG$23&lt;&gt;""),IF(EOMONTH($AF$3+INT((DAY(EOMONTH($AF$3,0))-1)/2)+AG$23,0)=EOMONTH($T$3,0),AG$26,0),0),IF(AND(AD$26&lt;&gt;"",AD$23&lt;&gt;""),IF(EOMONTH($AC$3+INT((DAY(EOMONTH($AC$3,0))-1)/2)+AD$23,0)=EOMONTH($T$3,0),AD$26,0),0),IF(AND(AA$26&lt;&gt;"",AA$23&lt;&gt;""),IF(EOMONTH($Z$3+INT((DAY(EOMONTH($Z$3,0))-1)/2)+AA$23,0)=EOMONTH($T$3,0),AA$26,0),0),IF(AND(X$26&lt;&gt;"",X$23&lt;&gt;""),IF(EOMONTH($W$3+INT((DAY(EOMONTH($W$3,0))-1)/2)+X$23,0)=EOMONTH($T$3,0),X$26,0),0),IF(AND(U$26&lt;&gt;"",U$23&lt;&gt;""),IF(EOMONTH($T$3+INT((DAY(EOMONTH($T$3,0))-1)/2)+U$23,0)=EOMONTH($T$3,0),U$26,0),0),IF(AND(R$26&lt;&gt;"",R$23&lt;&gt;""),IF(EOMONTH($Q$3+INT((DAY(EOMONTH($Q$3,0))-1)/2)+R$23,0)=EOMONTH($T$3,0),R$26,0),0),IF(AND(O$26&lt;&gt;"",O$23&lt;&gt;""),IF(EOMONTH($N$3+INT((DAY(EOMONTH($N$3,0))-1)/2)+O$23,0)=EOMONTH($T$3,0),O$26,0),0),IF(AND(L$26&lt;&gt;"",L$23&lt;&gt;""),IF(EOMONTH($K$3+INT((DAY(EOMONTH($K$3,0))-1)/2)+L$23,0)=EOMONTH($T$3,0),L$26,0),0),IF(AND(I$26&lt;&gt;"",I$23&lt;&gt;""),IF(EOMONTH($H$3+INT((DAY(EOMONTH($H$3,0))-1)/2)+I$23,0)=EOMONTH($T$3,0),I$26,0),0),IF(AND(F$26&lt;&gt;"",F$23&lt;&gt;""),IF(EOMONTH($E$3+INT((DAY(EOMONTH($E$3,0))-1)/2)+F$23,0)=EOMONTH($T$3,0),F$26,0),0),IF(EOMONTH($AL$75+AM$23,0)=EOMONTH($T$3,0),$AL$78*AM$13,0)),0))</x:f>
        <x:v>88000</x:v>
      </x:c>
      <x:c r="V57" s="63" t="n">
        <x:f>ROUND(SUM(IF(AND(AN$26&lt;&gt;"",AN$23&lt;&gt;""),IF(EOMONTH($AL$3+INT((DAY(EOMONTH($AL$3,0))-1)/2)+AN$23,0)=EOMONTH($T$3,0),AN$26,0),0),IF(AND(AK$26&lt;&gt;"",AK$23&lt;&gt;""),IF(EOMONTH($AI$3+INT((DAY(EOMONTH($AI$3,0))-1)/2)+AK$23,0)=EOMONTH($T$3,0),AK$26,0),0),IF(AND(AH$26&lt;&gt;"",AH$23&lt;&gt;""),IF(EOMONTH($AF$3+INT((DAY(EOMONTH($AF$3,0))-1)/2)+AH$23,0)=EOMONTH($T$3,0),AH$26,0),0),IF(AND(AE$26&lt;&gt;"",AE$23&lt;&gt;""),IF(EOMONTH($AC$3+INT((DAY(EOMONTH($AC$3,0))-1)/2)+AE$23,0)=EOMONTH($T$3,0),AE$26,0),0),IF(AND(AB$26&lt;&gt;"",AB$23&lt;&gt;""),IF(EOMONTH($Z$3+INT((DAY(EOMONTH($Z$3,0))-1)/2)+AB$23,0)=EOMONTH($T$3,0),AB$26,0),0),IF(AND(Y$26&lt;&gt;"",Y$23&lt;&gt;""),IF(EOMONTH($W$3+INT((DAY(EOMONTH($W$3,0))-1)/2)+Y$23,0)=EOMONTH($T$3,0),Y$26,0),0),IF(AND(V$26&lt;&gt;"",V$23&lt;&gt;""),IF(EOMONTH($T$3+INT((DAY(EOMONTH($T$3,0))-1)/2)+V$23,0)=EOMONTH($T$3,0),V$26,0),0),IF(AND(S$26&lt;&gt;"",S$23&lt;&gt;""),IF(EOMONTH($Q$3+INT((DAY(EOMONTH($Q$3,0))-1)/2)+S$23,0)=EOMONTH($T$3,0),S$26,0),0),IF(AND(P$26&lt;&gt;"",P$23&lt;&gt;""),IF(EOMONTH($N$3+INT((DAY(EOMONTH($N$3,0))-1)/2)+P$23,0)=EOMONTH($T$3,0),P$26,0),0),IF(AND(M$26&lt;&gt;"",M$23&lt;&gt;""),IF(EOMONTH($K$3+INT((DAY(EOMONTH($K$3,0))-1)/2)+M$23,0)=EOMONTH($T$3,0),M$26,0),0),IF(AND(J$26&lt;&gt;"",J$23&lt;&gt;""),IF(EOMONTH($H$3+INT((DAY(EOMONTH($H$3,0))-1)/2)+J$23,0)=EOMONTH($T$3,0),J$26,0),0),IF(AND(G$26&lt;&gt;"",G$23&lt;&gt;""),IF(EOMONTH($E$3+INT((DAY(EOMONTH($E$3,0))-1)/2)+G$23,0)=EOMONTH($T$3,0),G$26,0),0),IF(EOMONTH($AL$75+AN$23,0)=EOMONTH($T$3,0),$AL$78*AN$13,0)),0)</x:f>
        <x:v>88000</x:v>
      </x:c>
      <x:c r="W57" s="64"/>
      <x:c r="X5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57,ROUND(SUM(IF(AND(AM$26&lt;&gt;"",AM$23&lt;&gt;""),IF(EOMONTH($AL$3+INT((DAY(EOMONTH($AL$3,0))-1)/2)+AM$23,0)=EOMONTH($W$3,0),AM$26,0),0),IF(AND(AJ$26&lt;&gt;"",AJ$23&lt;&gt;""),IF(EOMONTH($AI$3+INT((DAY(EOMONTH($AI$3,0))-1)/2)+AJ$23,0)=EOMONTH($W$3,0),AJ$26,0),0),IF(AND(AG$26&lt;&gt;"",AG$23&lt;&gt;""),IF(EOMONTH($AF$3+INT((DAY(EOMONTH($AF$3,0))-1)/2)+AG$23,0)=EOMONTH($W$3,0),AG$26,0),0),IF(AND(AD$26&lt;&gt;"",AD$23&lt;&gt;""),IF(EOMONTH($AC$3+INT((DAY(EOMONTH($AC$3,0))-1)/2)+AD$23,0)=EOMONTH($W$3,0),AD$26,0),0),IF(AND(AA$26&lt;&gt;"",AA$23&lt;&gt;""),IF(EOMONTH($Z$3+INT((DAY(EOMONTH($Z$3,0))-1)/2)+AA$23,0)=EOMONTH($W$3,0),AA$26,0),0),IF(AND(X$26&lt;&gt;"",X$23&lt;&gt;""),IF(EOMONTH($W$3+INT((DAY(EOMONTH($W$3,0))-1)/2)+X$23,0)=EOMONTH($W$3,0),X$26,0),0),IF(AND(U$26&lt;&gt;"",U$23&lt;&gt;""),IF(EOMONTH($T$3+INT((DAY(EOMONTH($T$3,0))-1)/2)+U$23,0)=EOMONTH($W$3,0),U$26,0),0),IF(AND(R$26&lt;&gt;"",R$23&lt;&gt;""),IF(EOMONTH($Q$3+INT((DAY(EOMONTH($Q$3,0))-1)/2)+R$23,0)=EOMONTH($W$3,0),R$26,0),0),IF(AND(O$26&lt;&gt;"",O$23&lt;&gt;""),IF(EOMONTH($N$3+INT((DAY(EOMONTH($N$3,0))-1)/2)+O$23,0)=EOMONTH($W$3,0),O$26,0),0),IF(AND(L$26&lt;&gt;"",L$23&lt;&gt;""),IF(EOMONTH($K$3+INT((DAY(EOMONTH($K$3,0))-1)/2)+L$23,0)=EOMONTH($W$3,0),L$26,0),0),IF(AND(I$26&lt;&gt;"",I$23&lt;&gt;""),IF(EOMONTH($H$3+INT((DAY(EOMONTH($H$3,0))-1)/2)+I$23,0)=EOMONTH($W$3,0),I$26,0),0),IF(AND(F$26&lt;&gt;"",F$23&lt;&gt;""),IF(EOMONTH($E$3+INT((DAY(EOMONTH($E$3,0))-1)/2)+F$23,0)=EOMONTH($W$3,0),F$26,0),0),IF(EOMONTH($AL$75+AM$23,0)=EOMONTH($W$3,0),$AL$78*AM$13,0)),0))</x:f>
        <x:v>88000</x:v>
      </x:c>
      <x:c r="Y57" s="63" t="n">
        <x:f>ROUND(SUM(IF(AND(AN$26&lt;&gt;"",AN$23&lt;&gt;""),IF(EOMONTH($AL$3+INT((DAY(EOMONTH($AL$3,0))-1)/2)+AN$23,0)=EOMONTH($W$3,0),AN$26,0),0),IF(AND(AK$26&lt;&gt;"",AK$23&lt;&gt;""),IF(EOMONTH($AI$3+INT((DAY(EOMONTH($AI$3,0))-1)/2)+AK$23,0)=EOMONTH($W$3,0),AK$26,0),0),IF(AND(AH$26&lt;&gt;"",AH$23&lt;&gt;""),IF(EOMONTH($AF$3+INT((DAY(EOMONTH($AF$3,0))-1)/2)+AH$23,0)=EOMONTH($W$3,0),AH$26,0),0),IF(AND(AE$26&lt;&gt;"",AE$23&lt;&gt;""),IF(EOMONTH($AC$3+INT((DAY(EOMONTH($AC$3,0))-1)/2)+AE$23,0)=EOMONTH($W$3,0),AE$26,0),0),IF(AND(AB$26&lt;&gt;"",AB$23&lt;&gt;""),IF(EOMONTH($Z$3+INT((DAY(EOMONTH($Z$3,0))-1)/2)+AB$23,0)=EOMONTH($W$3,0),AB$26,0),0),IF(AND(Y$26&lt;&gt;"",Y$23&lt;&gt;""),IF(EOMONTH($W$3+INT((DAY(EOMONTH($W$3,0))-1)/2)+Y$23,0)=EOMONTH($W$3,0),Y$26,0),0),IF(AND(V$26&lt;&gt;"",V$23&lt;&gt;""),IF(EOMONTH($T$3+INT((DAY(EOMONTH($T$3,0))-1)/2)+V$23,0)=EOMONTH($W$3,0),V$26,0),0),IF(AND(S$26&lt;&gt;"",S$23&lt;&gt;""),IF(EOMONTH($Q$3+INT((DAY(EOMONTH($Q$3,0))-1)/2)+S$23,0)=EOMONTH($W$3,0),S$26,0),0),IF(AND(P$26&lt;&gt;"",P$23&lt;&gt;""),IF(EOMONTH($N$3+INT((DAY(EOMONTH($N$3,0))-1)/2)+P$23,0)=EOMONTH($W$3,0),P$26,0),0),IF(AND(M$26&lt;&gt;"",M$23&lt;&gt;""),IF(EOMONTH($K$3+INT((DAY(EOMONTH($K$3,0))-1)/2)+M$23,0)=EOMONTH($W$3,0),M$26,0),0),IF(AND(J$26&lt;&gt;"",J$23&lt;&gt;""),IF(EOMONTH($H$3+INT((DAY(EOMONTH($H$3,0))-1)/2)+J$23,0)=EOMONTH($W$3,0),J$26,0),0),IF(AND(G$26&lt;&gt;"",G$23&lt;&gt;""),IF(EOMONTH($E$3+INT((DAY(EOMONTH($E$3,0))-1)/2)+G$23,0)=EOMONTH($W$3,0),G$26,0),0),IF(EOMONTH($AL$75+AN$23,0)=EOMONTH($W$3,0),$AL$78*AN$13,0)),0)</x:f>
        <x:v>88000</x:v>
      </x:c>
      <x:c r="Z57" s="64"/>
      <x:c r="AA5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57,ROUND(SUM(IF(AND(AM$26&lt;&gt;"",AM$23&lt;&gt;""),IF(EOMONTH($AL$3+INT((DAY(EOMONTH($AL$3,0))-1)/2)+AM$23,0)=EOMONTH($Z$3,0),AM$26,0),0),IF(AND(AJ$26&lt;&gt;"",AJ$23&lt;&gt;""),IF(EOMONTH($AI$3+INT((DAY(EOMONTH($AI$3,0))-1)/2)+AJ$23,0)=EOMONTH($Z$3,0),AJ$26,0),0),IF(AND(AG$26&lt;&gt;"",AG$23&lt;&gt;""),IF(EOMONTH($AF$3+INT((DAY(EOMONTH($AF$3,0))-1)/2)+AG$23,0)=EOMONTH($Z$3,0),AG$26,0),0),IF(AND(AD$26&lt;&gt;"",AD$23&lt;&gt;""),IF(EOMONTH($AC$3+INT((DAY(EOMONTH($AC$3,0))-1)/2)+AD$23,0)=EOMONTH($Z$3,0),AD$26,0),0),IF(AND(AA$26&lt;&gt;"",AA$23&lt;&gt;""),IF(EOMONTH($Z$3+INT((DAY(EOMONTH($Z$3,0))-1)/2)+AA$23,0)=EOMONTH($Z$3,0),AA$26,0),0),IF(AND(X$26&lt;&gt;"",X$23&lt;&gt;""),IF(EOMONTH($W$3+INT((DAY(EOMONTH($W$3,0))-1)/2)+X$23,0)=EOMONTH($Z$3,0),X$26,0),0),IF(AND(U$26&lt;&gt;"",U$23&lt;&gt;""),IF(EOMONTH($T$3+INT((DAY(EOMONTH($T$3,0))-1)/2)+U$23,0)=EOMONTH($Z$3,0),U$26,0),0),IF(AND(R$26&lt;&gt;"",R$23&lt;&gt;""),IF(EOMONTH($Q$3+INT((DAY(EOMONTH($Q$3,0))-1)/2)+R$23,0)=EOMONTH($Z$3,0),R$26,0),0),IF(AND(O$26&lt;&gt;"",O$23&lt;&gt;""),IF(EOMONTH($N$3+INT((DAY(EOMONTH($N$3,0))-1)/2)+O$23,0)=EOMONTH($Z$3,0),O$26,0),0),IF(AND(L$26&lt;&gt;"",L$23&lt;&gt;""),IF(EOMONTH($K$3+INT((DAY(EOMONTH($K$3,0))-1)/2)+L$23,0)=EOMONTH($Z$3,0),L$26,0),0),IF(AND(I$26&lt;&gt;"",I$23&lt;&gt;""),IF(EOMONTH($H$3+INT((DAY(EOMONTH($H$3,0))-1)/2)+I$23,0)=EOMONTH($Z$3,0),I$26,0),0),IF(AND(F$26&lt;&gt;"",F$23&lt;&gt;""),IF(EOMONTH($E$3+INT((DAY(EOMONTH($E$3,0))-1)/2)+F$23,0)=EOMONTH($Z$3,0),F$26,0),0),IF(EOMONTH($AL$75+AM$23,0)=EOMONTH($Z$3,0),$AL$78*AM$13,0)),0))</x:f>
        <x:v>64000</x:v>
      </x:c>
      <x:c r="AB57" s="63" t="n">
        <x:f>ROUND(SUM(IF(AND(AN$26&lt;&gt;"",AN$23&lt;&gt;""),IF(EOMONTH($AL$3+INT((DAY(EOMONTH($AL$3,0))-1)/2)+AN$23,0)=EOMONTH($Z$3,0),AN$26,0),0),IF(AND(AK$26&lt;&gt;"",AK$23&lt;&gt;""),IF(EOMONTH($AI$3+INT((DAY(EOMONTH($AI$3,0))-1)/2)+AK$23,0)=EOMONTH($Z$3,0),AK$26,0),0),IF(AND(AH$26&lt;&gt;"",AH$23&lt;&gt;""),IF(EOMONTH($AF$3+INT((DAY(EOMONTH($AF$3,0))-1)/2)+AH$23,0)=EOMONTH($Z$3,0),AH$26,0),0),IF(AND(AE$26&lt;&gt;"",AE$23&lt;&gt;""),IF(EOMONTH($AC$3+INT((DAY(EOMONTH($AC$3,0))-1)/2)+AE$23,0)=EOMONTH($Z$3,0),AE$26,0),0),IF(AND(AB$26&lt;&gt;"",AB$23&lt;&gt;""),IF(EOMONTH($Z$3+INT((DAY(EOMONTH($Z$3,0))-1)/2)+AB$23,0)=EOMONTH($Z$3,0),AB$26,0),0),IF(AND(Y$26&lt;&gt;"",Y$23&lt;&gt;""),IF(EOMONTH($W$3+INT((DAY(EOMONTH($W$3,0))-1)/2)+Y$23,0)=EOMONTH($Z$3,0),Y$26,0),0),IF(AND(V$26&lt;&gt;"",V$23&lt;&gt;""),IF(EOMONTH($T$3+INT((DAY(EOMONTH($T$3,0))-1)/2)+V$23,0)=EOMONTH($Z$3,0),V$26,0),0),IF(AND(S$26&lt;&gt;"",S$23&lt;&gt;""),IF(EOMONTH($Q$3+INT((DAY(EOMONTH($Q$3,0))-1)/2)+S$23,0)=EOMONTH($Z$3,0),S$26,0),0),IF(AND(P$26&lt;&gt;"",P$23&lt;&gt;""),IF(EOMONTH($N$3+INT((DAY(EOMONTH($N$3,0))-1)/2)+P$23,0)=EOMONTH($Z$3,0),P$26,0),0),IF(AND(M$26&lt;&gt;"",M$23&lt;&gt;""),IF(EOMONTH($K$3+INT((DAY(EOMONTH($K$3,0))-1)/2)+M$23,0)=EOMONTH($Z$3,0),M$26,0),0),IF(AND(J$26&lt;&gt;"",J$23&lt;&gt;""),IF(EOMONTH($H$3+INT((DAY(EOMONTH($H$3,0))-1)/2)+J$23,0)=EOMONTH($Z$3,0),J$26,0),0),IF(AND(G$26&lt;&gt;"",G$23&lt;&gt;""),IF(EOMONTH($E$3+INT((DAY(EOMONTH($E$3,0))-1)/2)+G$23,0)=EOMONTH($Z$3,0),G$26,0),0),IF(EOMONTH($AL$75+AN$23,0)=EOMONTH($Z$3,0),$AL$78*AN$13,0)),0)</x:f>
        <x:v>80000</x:v>
      </x:c>
      <x:c r="AC57" s="64"/>
      <x:c r="AD5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57,ROUND(SUM(IF(AND(AM$26&lt;&gt;"",AM$23&lt;&gt;""),IF(EOMONTH($AL$3+INT((DAY(EOMONTH($AL$3,0))-1)/2)+AM$23,0)=EOMONTH($AC$3,0),AM$26,0),0),IF(AND(AJ$26&lt;&gt;"",AJ$23&lt;&gt;""),IF(EOMONTH($AI$3+INT((DAY(EOMONTH($AI$3,0))-1)/2)+AJ$23,0)=EOMONTH($AC$3,0),AJ$26,0),0),IF(AND(AG$26&lt;&gt;"",AG$23&lt;&gt;""),IF(EOMONTH($AF$3+INT((DAY(EOMONTH($AF$3,0))-1)/2)+AG$23,0)=EOMONTH($AC$3,0),AG$26,0),0),IF(AND(AD$26&lt;&gt;"",AD$23&lt;&gt;""),IF(EOMONTH($AC$3+INT((DAY(EOMONTH($AC$3,0))-1)/2)+AD$23,0)=EOMONTH($AC$3,0),AD$26,0),0),IF(AND(AA$26&lt;&gt;"",AA$23&lt;&gt;""),IF(EOMONTH($Z$3+INT((DAY(EOMONTH($Z$3,0))-1)/2)+AA$23,0)=EOMONTH($AC$3,0),AA$26,0),0),IF(AND(X$26&lt;&gt;"",X$23&lt;&gt;""),IF(EOMONTH($W$3+INT((DAY(EOMONTH($W$3,0))-1)/2)+X$23,0)=EOMONTH($AC$3,0),X$26,0),0),IF(AND(U$26&lt;&gt;"",U$23&lt;&gt;""),IF(EOMONTH($T$3+INT((DAY(EOMONTH($T$3,0))-1)/2)+U$23,0)=EOMONTH($AC$3,0),U$26,0),0),IF(AND(R$26&lt;&gt;"",R$23&lt;&gt;""),IF(EOMONTH($Q$3+INT((DAY(EOMONTH($Q$3,0))-1)/2)+R$23,0)=EOMONTH($AC$3,0),R$26,0),0),IF(AND(O$26&lt;&gt;"",O$23&lt;&gt;""),IF(EOMONTH($N$3+INT((DAY(EOMONTH($N$3,0))-1)/2)+O$23,0)=EOMONTH($AC$3,0),O$26,0),0),IF(AND(L$26&lt;&gt;"",L$23&lt;&gt;""),IF(EOMONTH($K$3+INT((DAY(EOMONTH($K$3,0))-1)/2)+L$23,0)=EOMONTH($AC$3,0),L$26,0),0),IF(AND(I$26&lt;&gt;"",I$23&lt;&gt;""),IF(EOMONTH($H$3+INT((DAY(EOMONTH($H$3,0))-1)/2)+I$23,0)=EOMONTH($AC$3,0),I$26,0),0),IF(AND(F$26&lt;&gt;"",F$23&lt;&gt;""),IF(EOMONTH($E$3+INT((DAY(EOMONTH($E$3,0))-1)/2)+F$23,0)=EOMONTH($AC$3,0),F$26,0),0),IF(EOMONTH($AL$75+AM$23,0)=EOMONTH($AC$3,0),$AL$78*AM$13,0)),0))</x:f>
        <x:v>40000</x:v>
      </x:c>
      <x:c r="AE57" s="63" t="n">
        <x:f>ROUND(SUM(IF(AND(AN$26&lt;&gt;"",AN$23&lt;&gt;""),IF(EOMONTH($AL$3+INT((DAY(EOMONTH($AL$3,0))-1)/2)+AN$23,0)=EOMONTH($AC$3,0),AN$26,0),0),IF(AND(AK$26&lt;&gt;"",AK$23&lt;&gt;""),IF(EOMONTH($AI$3+INT((DAY(EOMONTH($AI$3,0))-1)/2)+AK$23,0)=EOMONTH($AC$3,0),AK$26,0),0),IF(AND(AH$26&lt;&gt;"",AH$23&lt;&gt;""),IF(EOMONTH($AF$3+INT((DAY(EOMONTH($AF$3,0))-1)/2)+AH$23,0)=EOMONTH($AC$3,0),AH$26,0),0),IF(AND(AE$26&lt;&gt;"",AE$23&lt;&gt;""),IF(EOMONTH($AC$3+INT((DAY(EOMONTH($AC$3,0))-1)/2)+AE$23,0)=EOMONTH($AC$3,0),AE$26,0),0),IF(AND(AB$26&lt;&gt;"",AB$23&lt;&gt;""),IF(EOMONTH($Z$3+INT((DAY(EOMONTH($Z$3,0))-1)/2)+AB$23,0)=EOMONTH($AC$3,0),AB$26,0),0),IF(AND(Y$26&lt;&gt;"",Y$23&lt;&gt;""),IF(EOMONTH($W$3+INT((DAY(EOMONTH($W$3,0))-1)/2)+Y$23,0)=EOMONTH($AC$3,0),Y$26,0),0),IF(AND(V$26&lt;&gt;"",V$23&lt;&gt;""),IF(EOMONTH($T$3+INT((DAY(EOMONTH($T$3,0))-1)/2)+V$23,0)=EOMONTH($AC$3,0),V$26,0),0),IF(AND(S$26&lt;&gt;"",S$23&lt;&gt;""),IF(EOMONTH($Q$3+INT((DAY(EOMONTH($Q$3,0))-1)/2)+S$23,0)=EOMONTH($AC$3,0),S$26,0),0),IF(AND(P$26&lt;&gt;"",P$23&lt;&gt;""),IF(EOMONTH($N$3+INT((DAY(EOMONTH($N$3,0))-1)/2)+P$23,0)=EOMONTH($AC$3,0),P$26,0),0),IF(AND(M$26&lt;&gt;"",M$23&lt;&gt;""),IF(EOMONTH($K$3+INT((DAY(EOMONTH($K$3,0))-1)/2)+M$23,0)=EOMONTH($AC$3,0),M$26,0),0),IF(AND(J$26&lt;&gt;"",J$23&lt;&gt;""),IF(EOMONTH($H$3+INT((DAY(EOMONTH($H$3,0))-1)/2)+J$23,0)=EOMONTH($AC$3,0),J$26,0),0),IF(AND(G$26&lt;&gt;"",G$23&lt;&gt;""),IF(EOMONTH($E$3+INT((DAY(EOMONTH($E$3,0))-1)/2)+G$23,0)=EOMONTH($AC$3,0),G$26,0),0),IF(EOMONTH($AL$75+AN$23,0)=EOMONTH($AC$3,0),$AL$78*AN$13,0)),0)</x:f>
        <x:v>80000</x:v>
      </x:c>
      <x:c r="AF57" s="64"/>
      <x:c r="AG5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57,ROUND(SUM(IF(AND(AM$26&lt;&gt;"",AM$23&lt;&gt;""),IF(EOMONTH($AL$3+INT((DAY(EOMONTH($AL$3,0))-1)/2)+AM$23,0)=EOMONTH($AF$3,0),AM$26,0),0),IF(AND(AJ$26&lt;&gt;"",AJ$23&lt;&gt;""),IF(EOMONTH($AI$3+INT((DAY(EOMONTH($AI$3,0))-1)/2)+AJ$23,0)=EOMONTH($AF$3,0),AJ$26,0),0),IF(AND(AG$26&lt;&gt;"",AG$23&lt;&gt;""),IF(EOMONTH($AF$3+INT((DAY(EOMONTH($AF$3,0))-1)/2)+AG$23,0)=EOMONTH($AF$3,0),AG$26,0),0),IF(AND(AD$26&lt;&gt;"",AD$23&lt;&gt;""),IF(EOMONTH($AC$3+INT((DAY(EOMONTH($AC$3,0))-1)/2)+AD$23,0)=EOMONTH($AF$3,0),AD$26,0),0),IF(AND(AA$26&lt;&gt;"",AA$23&lt;&gt;""),IF(EOMONTH($Z$3+INT((DAY(EOMONTH($Z$3,0))-1)/2)+AA$23,0)=EOMONTH($AF$3,0),AA$26,0),0),IF(AND(X$26&lt;&gt;"",X$23&lt;&gt;""),IF(EOMONTH($W$3+INT((DAY(EOMONTH($W$3,0))-1)/2)+X$23,0)=EOMONTH($AF$3,0),X$26,0),0),IF(AND(U$26&lt;&gt;"",U$23&lt;&gt;""),IF(EOMONTH($T$3+INT((DAY(EOMONTH($T$3,0))-1)/2)+U$23,0)=EOMONTH($AF$3,0),U$26,0),0),IF(AND(R$26&lt;&gt;"",R$23&lt;&gt;""),IF(EOMONTH($Q$3+INT((DAY(EOMONTH($Q$3,0))-1)/2)+R$23,0)=EOMONTH($AF$3,0),R$26,0),0),IF(AND(O$26&lt;&gt;"",O$23&lt;&gt;""),IF(EOMONTH($N$3+INT((DAY(EOMONTH($N$3,0))-1)/2)+O$23,0)=EOMONTH($AF$3,0),O$26,0),0),IF(AND(L$26&lt;&gt;"",L$23&lt;&gt;""),IF(EOMONTH($K$3+INT((DAY(EOMONTH($K$3,0))-1)/2)+L$23,0)=EOMONTH($AF$3,0),L$26,0),0),IF(AND(I$26&lt;&gt;"",I$23&lt;&gt;""),IF(EOMONTH($H$3+INT((DAY(EOMONTH($H$3,0))-1)/2)+I$23,0)=EOMONTH($AF$3,0),I$26,0),0),IF(AND(F$26&lt;&gt;"",F$23&lt;&gt;""),IF(EOMONTH($E$3+INT((DAY(EOMONTH($E$3,0))-1)/2)+F$23,0)=EOMONTH($AF$3,0),F$26,0),0),IF(EOMONTH($AL$75+AM$23,0)=EOMONTH($AF$3,0),$AL$78*AM$13,0)),0))</x:f>
        <x:v>50000</x:v>
      </x:c>
      <x:c r="AH57" s="63" t="n">
        <x:f>ROUND(SUM(IF(AND(AN$26&lt;&gt;"",AN$23&lt;&gt;""),IF(EOMONTH($AL$3+INT((DAY(EOMONTH($AL$3,0))-1)/2)+AN$23,0)=EOMONTH($AF$3,0),AN$26,0),0),IF(AND(AK$26&lt;&gt;"",AK$23&lt;&gt;""),IF(EOMONTH($AI$3+INT((DAY(EOMONTH($AI$3,0))-1)/2)+AK$23,0)=EOMONTH($AF$3,0),AK$26,0),0),IF(AND(AH$26&lt;&gt;"",AH$23&lt;&gt;""),IF(EOMONTH($AF$3+INT((DAY(EOMONTH($AF$3,0))-1)/2)+AH$23,0)=EOMONTH($AF$3,0),AH$26,0),0),IF(AND(AE$26&lt;&gt;"",AE$23&lt;&gt;""),IF(EOMONTH($AC$3+INT((DAY(EOMONTH($AC$3,0))-1)/2)+AE$23,0)=EOMONTH($AF$3,0),AE$26,0),0),IF(AND(AB$26&lt;&gt;"",AB$23&lt;&gt;""),IF(EOMONTH($Z$3+INT((DAY(EOMONTH($Z$3,0))-1)/2)+AB$23,0)=EOMONTH($AF$3,0),AB$26,0),0),IF(AND(Y$26&lt;&gt;"",Y$23&lt;&gt;""),IF(EOMONTH($W$3+INT((DAY(EOMONTH($W$3,0))-1)/2)+Y$23,0)=EOMONTH($AF$3,0),Y$26,0),0),IF(AND(V$26&lt;&gt;"",V$23&lt;&gt;""),IF(EOMONTH($T$3+INT((DAY(EOMONTH($T$3,0))-1)/2)+V$23,0)=EOMONTH($AF$3,0),V$26,0),0),IF(AND(S$26&lt;&gt;"",S$23&lt;&gt;""),IF(EOMONTH($Q$3+INT((DAY(EOMONTH($Q$3,0))-1)/2)+S$23,0)=EOMONTH($AF$3,0),S$26,0),0),IF(AND(P$26&lt;&gt;"",P$23&lt;&gt;""),IF(EOMONTH($N$3+INT((DAY(EOMONTH($N$3,0))-1)/2)+P$23,0)=EOMONTH($AF$3,0),P$26,0),0),IF(AND(M$26&lt;&gt;"",M$23&lt;&gt;""),IF(EOMONTH($K$3+INT((DAY(EOMONTH($K$3,0))-1)/2)+M$23,0)=EOMONTH($AF$3,0),M$26,0),0),IF(AND(J$26&lt;&gt;"",J$23&lt;&gt;""),IF(EOMONTH($H$3+INT((DAY(EOMONTH($H$3,0))-1)/2)+J$23,0)=EOMONTH($AF$3,0),J$26,0),0),IF(AND(G$26&lt;&gt;"",G$23&lt;&gt;""),IF(EOMONTH($E$3+INT((DAY(EOMONTH($E$3,0))-1)/2)+G$23,0)=EOMONTH($AF$3,0),G$26,0),0),IF(EOMONTH($AL$75+AN$23,0)=EOMONTH($AF$3,0),$AL$78*AN$13,0)),0)</x:f>
        <x:v>80000</x:v>
      </x:c>
      <x:c r="AI57" s="64" t="n">
        <x:v>60000</x:v>
      </x:c>
      <x:c r="AJ5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57,ROUND(SUM(IF(AND(AM$26&lt;&gt;"",AM$23&lt;&gt;""),IF(EOMONTH($AL$3+INT((DAY(EOMONTH($AL$3,0))-1)/2)+AM$23,0)=EOMONTH($AI$3,0),AM$26,0),0),IF(AND(AJ$26&lt;&gt;"",AJ$23&lt;&gt;""),IF(EOMONTH($AI$3+INT((DAY(EOMONTH($AI$3,0))-1)/2)+AJ$23,0)=EOMONTH($AI$3,0),AJ$26,0),0),IF(AND(AG$26&lt;&gt;"",AG$23&lt;&gt;""),IF(EOMONTH($AF$3+INT((DAY(EOMONTH($AF$3,0))-1)/2)+AG$23,0)=EOMONTH($AI$3,0),AG$26,0),0),IF(AND(AD$26&lt;&gt;"",AD$23&lt;&gt;""),IF(EOMONTH($AC$3+INT((DAY(EOMONTH($AC$3,0))-1)/2)+AD$23,0)=EOMONTH($AI$3,0),AD$26,0),0),IF(AND(AA$26&lt;&gt;"",AA$23&lt;&gt;""),IF(EOMONTH($Z$3+INT((DAY(EOMONTH($Z$3,0))-1)/2)+AA$23,0)=EOMONTH($AI$3,0),AA$26,0),0),IF(AND(X$26&lt;&gt;"",X$23&lt;&gt;""),IF(EOMONTH($W$3+INT((DAY(EOMONTH($W$3,0))-1)/2)+X$23,0)=EOMONTH($AI$3,0),X$26,0),0),IF(AND(U$26&lt;&gt;"",U$23&lt;&gt;""),IF(EOMONTH($T$3+INT((DAY(EOMONTH($T$3,0))-1)/2)+U$23,0)=EOMONTH($AI$3,0),U$26,0),0),IF(AND(R$26&lt;&gt;"",R$23&lt;&gt;""),IF(EOMONTH($Q$3+INT((DAY(EOMONTH($Q$3,0))-1)/2)+R$23,0)=EOMONTH($AI$3,0),R$26,0),0),IF(AND(O$26&lt;&gt;"",O$23&lt;&gt;""),IF(EOMONTH($N$3+INT((DAY(EOMONTH($N$3,0))-1)/2)+O$23,0)=EOMONTH($AI$3,0),O$26,0),0),IF(AND(L$26&lt;&gt;"",L$23&lt;&gt;""),IF(EOMONTH($K$3+INT((DAY(EOMONTH($K$3,0))-1)/2)+L$23,0)=EOMONTH($AI$3,0),L$26,0),0),IF(AND(I$26&lt;&gt;"",I$23&lt;&gt;""),IF(EOMONTH($H$3+INT((DAY(EOMONTH($H$3,0))-1)/2)+I$23,0)=EOMONTH($AI$3,0),I$26,0),0),IF(AND(F$26&lt;&gt;"",F$23&lt;&gt;""),IF(EOMONTH($E$3+INT((DAY(EOMONTH($E$3,0))-1)/2)+F$23,0)=EOMONTH($AI$3,0),F$26,0),0),IF(EOMONTH($AL$75+AM$23,0)=EOMONTH($AI$3,0),$AL$78*AM$13,0)),0))</x:f>
        <x:v>60000</x:v>
      </x:c>
      <x:c r="AK57" s="63" t="n">
        <x:f>ROUND(SUM(IF(AND(AN$26&lt;&gt;"",AN$23&lt;&gt;""),IF(EOMONTH($AL$3+INT((DAY(EOMONTH($AL$3,0))-1)/2)+AN$23,0)=EOMONTH($AI$3,0),AN$26,0),0),IF(AND(AK$26&lt;&gt;"",AK$23&lt;&gt;""),IF(EOMONTH($AI$3+INT((DAY(EOMONTH($AI$3,0))-1)/2)+AK$23,0)=EOMONTH($AI$3,0),AK$26,0),0),IF(AND(AH$26&lt;&gt;"",AH$23&lt;&gt;""),IF(EOMONTH($AF$3+INT((DAY(EOMONTH($AF$3,0))-1)/2)+AH$23,0)=EOMONTH($AI$3,0),AH$26,0),0),IF(AND(AE$26&lt;&gt;"",AE$23&lt;&gt;""),IF(EOMONTH($AC$3+INT((DAY(EOMONTH($AC$3,0))-1)/2)+AE$23,0)=EOMONTH($AI$3,0),AE$26,0),0),IF(AND(AB$26&lt;&gt;"",AB$23&lt;&gt;""),IF(EOMONTH($Z$3+INT((DAY(EOMONTH($Z$3,0))-1)/2)+AB$23,0)=EOMONTH($AI$3,0),AB$26,0),0),IF(AND(Y$26&lt;&gt;"",Y$23&lt;&gt;""),IF(EOMONTH($W$3+INT((DAY(EOMONTH($W$3,0))-1)/2)+Y$23,0)=EOMONTH($AI$3,0),Y$26,0),0),IF(AND(V$26&lt;&gt;"",V$23&lt;&gt;""),IF(EOMONTH($T$3+INT((DAY(EOMONTH($T$3,0))-1)/2)+V$23,0)=EOMONTH($AI$3,0),V$26,0),0),IF(AND(S$26&lt;&gt;"",S$23&lt;&gt;""),IF(EOMONTH($Q$3+INT((DAY(EOMONTH($Q$3,0))-1)/2)+S$23,0)=EOMONTH($AI$3,0),S$26,0),0),IF(AND(P$26&lt;&gt;"",P$23&lt;&gt;""),IF(EOMONTH($N$3+INT((DAY(EOMONTH($N$3,0))-1)/2)+P$23,0)=EOMONTH($AI$3,0),P$26,0),0),IF(AND(M$26&lt;&gt;"",M$23&lt;&gt;""),IF(EOMONTH($K$3+INT((DAY(EOMONTH($K$3,0))-1)/2)+M$23,0)=EOMONTH($AI$3,0),M$26,0),0),IF(AND(J$26&lt;&gt;"",J$23&lt;&gt;""),IF(EOMONTH($H$3+INT((DAY(EOMONTH($H$3,0))-1)/2)+J$23,0)=EOMONTH($AI$3,0),J$26,0),0),IF(AND(G$26&lt;&gt;"",G$23&lt;&gt;""),IF(EOMONTH($E$3+INT((DAY(EOMONTH($E$3,0))-1)/2)+G$23,0)=EOMONTH($AI$3,0),G$26,0),0),IF(EOMONTH($AL$75+AN$23,0)=EOMONTH($AI$3,0),$AL$78*AN$13,0)),0)</x:f>
        <x:v>120000</x:v>
      </x:c>
      <x:c r="AL57" s="64" t="n">
        <x:v>50000</x:v>
      </x:c>
      <x:c r="AM57" s="62" t="n">
        <x:f>IF(AND(AND(AL$57&lt;&gt;"",COUNT(AL6,AL8,AL9,AL11,AL12,AL13,AL14,AL15,AL16,AL18,AL21,AL23,AL28,AL30,AL31,AL32,AL33,AL38,AL39,AL40,AL41,AL42,AL43,AL44,AL45,AL46,AL47,AL48,AL49,AL50,AL51,AL52,AL57,AL60,AL61,AL62,AL63,AL64,AL69)=39)),AL57,ROUND(SUM(IF(AND(AM$26&lt;&gt;"",AM$23&lt;&gt;""),IF(EOMONTH($AL$3+INT((DAY(EOMONTH($AL$3,0))-1)/2)+AM$23,0)=EOMONTH($AL$3,0),AM$26,0),0),IF(AND(AJ$26&lt;&gt;"",AJ$23&lt;&gt;""),IF(EOMONTH($AI$3+INT((DAY(EOMONTH($AI$3,0))-1)/2)+AJ$23,0)=EOMONTH($AL$3,0),AJ$26,0),0),IF(AND(AG$26&lt;&gt;"",AG$23&lt;&gt;""),IF(EOMONTH($AF$3+INT((DAY(EOMONTH($AF$3,0))-1)/2)+AG$23,0)=EOMONTH($AL$3,0),AG$26,0),0),IF(AND(AD$26&lt;&gt;"",AD$23&lt;&gt;""),IF(EOMONTH($AC$3+INT((DAY(EOMONTH($AC$3,0))-1)/2)+AD$23,0)=EOMONTH($AL$3,0),AD$26,0),0),IF(AND(AA$26&lt;&gt;"",AA$23&lt;&gt;""),IF(EOMONTH($Z$3+INT((DAY(EOMONTH($Z$3,0))-1)/2)+AA$23,0)=EOMONTH($AL$3,0),AA$26,0),0),IF(AND(X$26&lt;&gt;"",X$23&lt;&gt;""),IF(EOMONTH($W$3+INT((DAY(EOMONTH($W$3,0))-1)/2)+X$23,0)=EOMONTH($AL$3,0),X$26,0),0),IF(AND(U$26&lt;&gt;"",U$23&lt;&gt;""),IF(EOMONTH($T$3+INT((DAY(EOMONTH($T$3,0))-1)/2)+U$23,0)=EOMONTH($AL$3,0),U$26,0),0),IF(AND(R$26&lt;&gt;"",R$23&lt;&gt;""),IF(EOMONTH($Q$3+INT((DAY(EOMONTH($Q$3,0))-1)/2)+R$23,0)=EOMONTH($AL$3,0),R$26,0),0),IF(AND(O$26&lt;&gt;"",O$23&lt;&gt;""),IF(EOMONTH($N$3+INT((DAY(EOMONTH($N$3,0))-1)/2)+O$23,0)=EOMONTH($AL$3,0),O$26,0),0),IF(AND(L$26&lt;&gt;"",L$23&lt;&gt;""),IF(EOMONTH($K$3+INT((DAY(EOMONTH($K$3,0))-1)/2)+L$23,0)=EOMONTH($AL$3,0),L$26,0),0),IF(AND(I$26&lt;&gt;"",I$23&lt;&gt;""),IF(EOMONTH($H$3+INT((DAY(EOMONTH($H$3,0))-1)/2)+I$23,0)=EOMONTH($AL$3,0),I$26,0),0),IF(AND(F$26&lt;&gt;"",F$23&lt;&gt;""),IF(EOMONTH($E$3+INT((DAY(EOMONTH($E$3,0))-1)/2)+F$23,0)=EOMONTH($AL$3,0),F$26,0),0),IF(EOMONTH($AL$75+AM$23,0)=EOMONTH($AL$3,0),$AL$78*AM$13,0)),0))</x:f>
        <x:v>50000</x:v>
      </x:c>
      <x:c r="AN57" s="63" t="n">
        <x:f>ROUND(SUM(IF(AND(AN$26&lt;&gt;"",AN$23&lt;&gt;""),IF(EOMONTH($AL$3+INT((DAY(EOMONTH($AL$3,0))-1)/2)+AN$23,0)=EOMONTH($AL$3,0),AN$26,0),0),IF(AND(AK$26&lt;&gt;"",AK$23&lt;&gt;""),IF(EOMONTH($AI$3+INT((DAY(EOMONTH($AI$3,0))-1)/2)+AK$23,0)=EOMONTH($AL$3,0),AK$26,0),0),IF(AND(AH$26&lt;&gt;"",AH$23&lt;&gt;""),IF(EOMONTH($AF$3+INT((DAY(EOMONTH($AF$3,0))-1)/2)+AH$23,0)=EOMONTH($AL$3,0),AH$26,0),0),IF(AND(AE$26&lt;&gt;"",AE$23&lt;&gt;""),IF(EOMONTH($AC$3+INT((DAY(EOMONTH($AC$3,0))-1)/2)+AE$23,0)=EOMONTH($AL$3,0),AE$26,0),0),IF(AND(AB$26&lt;&gt;"",AB$23&lt;&gt;""),IF(EOMONTH($Z$3+INT((DAY(EOMONTH($Z$3,0))-1)/2)+AB$23,0)=EOMONTH($AL$3,0),AB$26,0),0),IF(AND(Y$26&lt;&gt;"",Y$23&lt;&gt;""),IF(EOMONTH($W$3+INT((DAY(EOMONTH($W$3,0))-1)/2)+Y$23,0)=EOMONTH($AL$3,0),Y$26,0),0),IF(AND(V$26&lt;&gt;"",V$23&lt;&gt;""),IF(EOMONTH($T$3+INT((DAY(EOMONTH($T$3,0))-1)/2)+V$23,0)=EOMONTH($AL$3,0),V$26,0),0),IF(AND(S$26&lt;&gt;"",S$23&lt;&gt;""),IF(EOMONTH($Q$3+INT((DAY(EOMONTH($Q$3,0))-1)/2)+S$23,0)=EOMONTH($AL$3,0),S$26,0),0),IF(AND(P$26&lt;&gt;"",P$23&lt;&gt;""),IF(EOMONTH($N$3+INT((DAY(EOMONTH($N$3,0))-1)/2)+P$23,0)=EOMONTH($AL$3,0),P$26,0),0),IF(AND(M$26&lt;&gt;"",M$23&lt;&gt;""),IF(EOMONTH($K$3+INT((DAY(EOMONTH($K$3,0))-1)/2)+M$23,0)=EOMONTH($AL$3,0),M$26,0),0),IF(AND(J$26&lt;&gt;"",J$23&lt;&gt;""),IF(EOMONTH($H$3+INT((DAY(EOMONTH($H$3,0))-1)/2)+J$23,0)=EOMONTH($AL$3,0),J$26,0),0),IF(AND(G$26&lt;&gt;"",G$23&lt;&gt;""),IF(EOMONTH($E$3+INT((DAY(EOMONTH($E$3,0))-1)/2)+G$23,0)=EOMONTH($AL$3,0),G$26,0),0),IF(EOMONTH($AL$75+AN$23,0)=EOMONTH($AL$3,0),$AL$78*AN$13,0)),0)</x:f>
        <x:v>80000</x:v>
      </x:c>
    </x:row>
    <x:row r="58" ht="24" customHeight="1">
      <x:c r="A58" s="3" t="str">
        <x:v>Cost of Goods Sold paid</x:v>
      </x:c>
      <x:c r="B58" s="61" t="n">
        <x:f>SUM(AL58,AI58,AF58,AC58,Z58,W58,T58,Q58,N58,K58,H58,E58)</x:f>
        <x:v>34180</x:v>
      </x:c>
      <x:c r="C58" s="62" t="n">
        <x:f>SUM(AM58,AJ58,AG58,AD58,AA58,X58,U58,R58,O58,L58,I58,F58)</x:f>
        <x:v>202180</x:v>
      </x:c>
      <x:c r="D58" s="63" t="n">
        <x:f>SUM(AN58,AK58,AH58,AE58,AB58,Y58,V58,S58,P58,M58,J58,G58)</x:f>
        <x:v>209000</x:v>
      </x:c>
      <x:c r="E58" s="61" t="str">
        <x:f>IF(E34="","",E34)</x:f>
      </x:c>
      <x:c r="F58" s="62" t="n">
        <x:f>F34</x:f>
        <x:v>18000</x:v>
      </x:c>
      <x:c r="G58" s="63" t="n">
        <x:f>G34</x:f>
        <x:v>18000</x:v>
      </x:c>
      <x:c r="H58" s="61" t="str">
        <x:f>IF(H34="","",H34)</x:f>
      </x:c>
      <x:c r="I58" s="62" t="n">
        <x:f>I34</x:f>
        <x:v>18000</x:v>
      </x:c>
      <x:c r="J58" s="63" t="n">
        <x:f>J34</x:f>
        <x:v>18000</x:v>
      </x:c>
      <x:c r="K58" s="61" t="str">
        <x:f>IF(K34="","",K34)</x:f>
      </x:c>
      <x:c r="L58" s="62" t="n">
        <x:f>L34</x:f>
        <x:v>18000</x:v>
      </x:c>
      <x:c r="M58" s="63" t="n">
        <x:f>M34</x:f>
        <x:v>18000</x:v>
      </x:c>
      <x:c r="N58" s="61" t="str">
        <x:f>IF(N34="","",N34)</x:f>
      </x:c>
      <x:c r="O58" s="62" t="n">
        <x:f>O34</x:f>
        <x:v>18000</x:v>
      </x:c>
      <x:c r="P58" s="63" t="n">
        <x:f>P34</x:f>
        <x:v>18000</x:v>
      </x:c>
      <x:c r="Q58" s="61" t="str">
        <x:f>IF(Q34="","",Q34)</x:f>
      </x:c>
      <x:c r="R58" s="62" t="n">
        <x:f>R34</x:f>
        <x:v>17000</x:v>
      </x:c>
      <x:c r="S58" s="63" t="n">
        <x:f>S34</x:f>
        <x:v>17000</x:v>
      </x:c>
      <x:c r="T58" s="61" t="str">
        <x:f>IF(T34="","",T34)</x:f>
      </x:c>
      <x:c r="U58" s="62" t="n">
        <x:f>U34</x:f>
        <x:v>17000</x:v>
      </x:c>
      <x:c r="V58" s="63" t="n">
        <x:f>V34</x:f>
        <x:v>17000</x:v>
      </x:c>
      <x:c r="W58" s="61" t="str">
        <x:f>IF(W34="","",W34)</x:f>
      </x:c>
      <x:c r="X58" s="62" t="n">
        <x:f>X34</x:f>
        <x:v>17000</x:v>
      </x:c>
      <x:c r="Y58" s="63" t="n">
        <x:f>Y34</x:f>
        <x:v>17000</x:v>
      </x:c>
      <x:c r="Z58" s="61" t="str">
        <x:f>IF(Z34="","",Z34)</x:f>
      </x:c>
      <x:c r="AA58" s="62" t="n">
        <x:f>AA34</x:f>
        <x:v>17000</x:v>
      </x:c>
      <x:c r="AB58" s="63" t="n">
        <x:f>AB34</x:f>
        <x:v>17000</x:v>
      </x:c>
      <x:c r="AC58" s="61" t="str">
        <x:f>IF(AC34="","",AC34)</x:f>
      </x:c>
      <x:c r="AD58" s="62" t="n">
        <x:f>AD34</x:f>
        <x:v>14000</x:v>
      </x:c>
      <x:c r="AE58" s="63" t="n">
        <x:f>AE34</x:f>
        <x:v>16000</x:v>
      </x:c>
      <x:c r="AF58" s="61" t="str">
        <x:f>IF(AF34="","",AF34)</x:f>
      </x:c>
      <x:c r="AG58" s="62" t="n">
        <x:f>AG34</x:f>
        <x:v>14000</x:v>
      </x:c>
      <x:c r="AH58" s="63" t="n">
        <x:f>AH34</x:f>
        <x:v>16000</x:v>
      </x:c>
      <x:c r="AI58" s="61" t="n">
        <x:f>IF(AI34="","",AI34)</x:f>
        <x:v>15880</x:v>
      </x:c>
      <x:c r="AJ58" s="62" t="n">
        <x:f>AJ34</x:f>
        <x:v>15880</x:v>
      </x:c>
      <x:c r="AK58" s="63" t="n">
        <x:f>AK34</x:f>
        <x:v>16000</x:v>
      </x:c>
      <x:c r="AL58" s="61" t="n">
        <x:f>IF(AL34="","",AL34)</x:f>
        <x:v>18300</x:v>
      </x:c>
      <x:c r="AM58" s="62" t="n">
        <x:f>AM34</x:f>
        <x:v>18300</x:v>
      </x:c>
      <x:c r="AN58" s="63" t="n">
        <x:f>AN34</x:f>
        <x:v>21000</x:v>
      </x:c>
    </x:row>
    <x:row r="59" ht="24" customHeight="1">
      <x:c r="A59" s="3" t="str">
        <x:v>Expenses paid</x:v>
      </x:c>
      <x:c r="B59" s="61" t="n">
        <x:f>SUM(AL59,AI59,AF59,AC59,Z59,W59,T59,Q59,N59,K59,H59,E59)</x:f>
        <x:v>131545</x:v>
      </x:c>
      <x:c r="C59" s="62" t="n">
        <x:f>SUM(AM59,AJ59,AG59,AD59,AA59,X59,U59,R59,O59,L59,I59,F59)</x:f>
        <x:v>779545</x:v>
      </x:c>
      <x:c r="D59" s="63" t="n">
        <x:f>SUM(AN59,AK59,AH59,AE59,AB59,Y59,V59,S59,P59,M59,J59,G59)</x:f>
        <x:v>777600</x:v>
      </x:c>
      <x:c r="E59" s="61" t="str">
        <x:f>IF(E53="","",E53)</x:f>
      </x:c>
      <x:c r="F59" s="62" t="n">
        <x:f>F53</x:f>
        <x:v>64800</x:v>
      </x:c>
      <x:c r="G59" s="63" t="n">
        <x:f>G53</x:f>
        <x:v>64800</x:v>
      </x:c>
      <x:c r="H59" s="61" t="str">
        <x:f>IF(H53="","",H53)</x:f>
      </x:c>
      <x:c r="I59" s="62" t="n">
        <x:f>I53</x:f>
        <x:v>64800</x:v>
      </x:c>
      <x:c r="J59" s="63" t="n">
        <x:f>J53</x:f>
        <x:v>64800</x:v>
      </x:c>
      <x:c r="K59" s="61" t="str">
        <x:f>IF(K53="","",K53)</x:f>
      </x:c>
      <x:c r="L59" s="62" t="n">
        <x:f>L53</x:f>
        <x:v>64800</x:v>
      </x:c>
      <x:c r="M59" s="63" t="n">
        <x:f>M53</x:f>
        <x:v>64800</x:v>
      </x:c>
      <x:c r="N59" s="61" t="str">
        <x:f>IF(N53="","",N53)</x:f>
      </x:c>
      <x:c r="O59" s="62" t="n">
        <x:f>O53</x:f>
        <x:v>64800</x:v>
      </x:c>
      <x:c r="P59" s="63" t="n">
        <x:f>P53</x:f>
        <x:v>64800</x:v>
      </x:c>
      <x:c r="Q59" s="61" t="str">
        <x:f>IF(Q53="","",Q53)</x:f>
      </x:c>
      <x:c r="R59" s="62" t="n">
        <x:f>R53</x:f>
        <x:v>64800</x:v>
      </x:c>
      <x:c r="S59" s="63" t="n">
        <x:f>S53</x:f>
        <x:v>64800</x:v>
      </x:c>
      <x:c r="T59" s="61" t="str">
        <x:f>IF(T53="","",T53)</x:f>
      </x:c>
      <x:c r="U59" s="62" t="n">
        <x:f>U53</x:f>
        <x:v>64800</x:v>
      </x:c>
      <x:c r="V59" s="63" t="n">
        <x:f>V53</x:f>
        <x:v>64800</x:v>
      </x:c>
      <x:c r="W59" s="61" t="str">
        <x:f>IF(W53="","",W53)</x:f>
      </x:c>
      <x:c r="X59" s="62" t="n">
        <x:f>X53</x:f>
        <x:v>64800</x:v>
      </x:c>
      <x:c r="Y59" s="63" t="n">
        <x:f>Y53</x:f>
        <x:v>64800</x:v>
      </x:c>
      <x:c r="Z59" s="61" t="str">
        <x:f>IF(Z53="","",Z53)</x:f>
      </x:c>
      <x:c r="AA59" s="62" t="n">
        <x:f>AA53</x:f>
        <x:v>64800</x:v>
      </x:c>
      <x:c r="AB59" s="63" t="n">
        <x:f>AB53</x:f>
        <x:v>64800</x:v>
      </x:c>
      <x:c r="AC59" s="61" t="str">
        <x:f>IF(AC53="","",AC53)</x:f>
      </x:c>
      <x:c r="AD59" s="62" t="n">
        <x:f>AD53</x:f>
        <x:v>64800</x:v>
      </x:c>
      <x:c r="AE59" s="63" t="n">
        <x:f>AE53</x:f>
        <x:v>64800</x:v>
      </x:c>
      <x:c r="AF59" s="61" t="str">
        <x:f>IF(AF53="","",AF53)</x:f>
      </x:c>
      <x:c r="AG59" s="62" t="n">
        <x:f>AG53</x:f>
        <x:v>64800</x:v>
      </x:c>
      <x:c r="AH59" s="63" t="n">
        <x:f>AH53</x:f>
        <x:v>64800</x:v>
      </x:c>
      <x:c r="AI59" s="61" t="n">
        <x:f>IF(AI53="","",AI53)</x:f>
        <x:v>63504</x:v>
      </x:c>
      <x:c r="AJ59" s="62" t="n">
        <x:f>AJ53</x:f>
        <x:v>63504</x:v>
      </x:c>
      <x:c r="AK59" s="63" t="n">
        <x:f>AK53</x:f>
        <x:v>64800</x:v>
      </x:c>
      <x:c r="AL59" s="61" t="n">
        <x:f>IF(AL53="","",AL53)</x:f>
        <x:v>68041</x:v>
      </x:c>
      <x:c r="AM59" s="62" t="n">
        <x:f>AM53</x:f>
        <x:v>68041</x:v>
      </x:c>
      <x:c r="AN59" s="63" t="n">
        <x:f>AN53</x:f>
        <x:v>64800</x:v>
      </x:c>
    </x:row>
    <x:row r="60" ht="24" customHeight="1">
      <x:c r="A60" s="3" t="str">
        <x:v>Other Cash in</x:v>
      </x:c>
      <x:c r="B60" s="61" t="n">
        <x:f>SUM(AL60,AI60,AF60,AC60,Z60,W60,T60,Q60,N60,K60,H60,E60)</x:f>
        <x:v>0</x:v>
      </x:c>
      <x:c r="C60" s="62" t="n">
        <x:f>SUM(AM60,AJ60,AG60,AD60,AA60,X60,U60,R60,O60,L60,I60,F60)</x:f>
        <x:v>50000</x:v>
      </x:c>
      <x:c r="D60" s="63" t="n">
        <x:f>SUM(AN60,AK60,AH60,AE60,AB60,Y60,V60,S60,P60,M60,J60,G60)</x:f>
        <x:v>50000</x:v>
      </x:c>
      <x:c r="E60" s="64"/>
      <x:c r="F6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60,G60)</x:f>
        <x:v>0</x:v>
      </x:c>
      <x:c r="G60" s="65" t="n">
        <x:v>0</x:v>
      </x:c>
      <x:c r="H60" s="64"/>
      <x:c r="I6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60,J60)</x:f>
        <x:v>0</x:v>
      </x:c>
      <x:c r="J60" s="65" t="n">
        <x:v>0</x:v>
      </x:c>
      <x:c r="K60" s="64"/>
      <x:c r="L6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60,M60)</x:f>
        <x:v>0</x:v>
      </x:c>
      <x:c r="M60" s="65" t="n">
        <x:v>0</x:v>
      </x:c>
      <x:c r="N60" s="64"/>
      <x:c r="O6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60,P60)</x:f>
        <x:v>0</x:v>
      </x:c>
      <x:c r="P60" s="65" t="n">
        <x:v>0</x:v>
      </x:c>
      <x:c r="Q60" s="64"/>
      <x:c r="R6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60,S60)</x:f>
        <x:v>0</x:v>
      </x:c>
      <x:c r="S60" s="65" t="n">
        <x:v>0</x:v>
      </x:c>
      <x:c r="T60" s="64"/>
      <x:c r="U6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60,V60)</x:f>
        <x:v>0</x:v>
      </x:c>
      <x:c r="V60" s="65" t="n">
        <x:v>0</x:v>
      </x:c>
      <x:c r="W60" s="64"/>
      <x:c r="X6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60,Y60)</x:f>
        <x:v>0</x:v>
      </x:c>
      <x:c r="Y60" s="65" t="n">
        <x:v>0</x:v>
      </x:c>
      <x:c r="Z60" s="64"/>
      <x:c r="AA6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60,AB60)</x:f>
        <x:v>0</x:v>
      </x:c>
      <x:c r="AB60" s="65" t="n">
        <x:v>0</x:v>
      </x:c>
      <x:c r="AC60" s="64"/>
      <x:c r="AD6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60,AE60)</x:f>
        <x:v>0</x:v>
      </x:c>
      <x:c r="AE60" s="65" t="n">
        <x:v>0</x:v>
      </x:c>
      <x:c r="AF60" s="64"/>
      <x:c r="AG6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60,AH60)</x:f>
        <x:v>50000</x:v>
      </x:c>
      <x:c r="AH60" s="65" t="n">
        <x:v>50000</x:v>
      </x:c>
      <x:c r="AI60" s="64" t="n">
        <x:v>0</x:v>
      </x:c>
      <x:c r="AJ60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60,AK60)</x:f>
        <x:v>0</x:v>
      </x:c>
      <x:c r="AK60" s="65" t="n">
        <x:v>0</x:v>
      </x:c>
      <x:c r="AL60" s="64" t="n">
        <x:v>0</x:v>
      </x:c>
      <x:c r="AM60" s="62" t="n">
        <x:f>IF(AND(AND(AL$57&lt;&gt;"",COUNT(AL6,AL8,AL9,AL11,AL12,AL13,AL14,AL15,AL16,AL18,AL21,AL23,AL28,AL30,AL31,AL32,AL33,AL38,AL39,AL40,AL41,AL42,AL43,AL44,AL45,AL46,AL47,AL48,AL49,AL50,AL51,AL52,AL57,AL60,AL61,AL62,AL63,AL64,AL69)=39)),AL60,AN60)</x:f>
        <x:v>0</x:v>
      </x:c>
      <x:c r="AN60" s="65" t="n">
        <x:v>0</x:v>
      </x:c>
    </x:row>
    <x:row r="61" ht="24" customHeight="1">
      <x:c r="A61" s="3" t="str">
        <x:v>Income Tax Paid</x:v>
      </x:c>
      <x:c r="B61" s="61" t="n">
        <x:f>SUM(AL61,AI61,AF61,AC61,Z61,W61,T61,Q61,N61,K61,H61,E61)</x:f>
        <x:v>0</x:v>
      </x:c>
      <x:c r="C61" s="62" t="n">
        <x:f>SUM(AM61,AJ61,AG61,AD61,AA61,X61,U61,R61,O61,L61,I61,F61)</x:f>
        <x:v>15000</x:v>
      </x:c>
      <x:c r="D61" s="63" t="n">
        <x:f>SUM(AN61,AK61,AH61,AE61,AB61,Y61,V61,S61,P61,M61,J61,G61)</x:f>
        <x:v>15000</x:v>
      </x:c>
      <x:c r="E61" s="64"/>
      <x:c r="F6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61,G61)</x:f>
        <x:v>5000</x:v>
      </x:c>
      <x:c r="G61" s="65" t="n">
        <x:v>5000</x:v>
      </x:c>
      <x:c r="H61" s="64"/>
      <x:c r="I6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61,J61)</x:f>
        <x:v>0</x:v>
      </x:c>
      <x:c r="J61" s="65" t="n">
        <x:v>0</x:v>
      </x:c>
      <x:c r="K61" s="64"/>
      <x:c r="L6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61,M61)</x:f>
        <x:v>0</x:v>
      </x:c>
      <x:c r="M61" s="65" t="n">
        <x:v>0</x:v>
      </x:c>
      <x:c r="N61" s="64"/>
      <x:c r="O6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61,P61)</x:f>
        <x:v>5000</x:v>
      </x:c>
      <x:c r="P61" s="65" t="n">
        <x:v>5000</x:v>
      </x:c>
      <x:c r="Q61" s="64"/>
      <x:c r="R6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61,S61)</x:f>
        <x:v>0</x:v>
      </x:c>
      <x:c r="S61" s="65" t="n">
        <x:v>0</x:v>
      </x:c>
      <x:c r="T61" s="64"/>
      <x:c r="U6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61,V61)</x:f>
        <x:v>0</x:v>
      </x:c>
      <x:c r="V61" s="65" t="n">
        <x:v>0</x:v>
      </x:c>
      <x:c r="W61" s="64"/>
      <x:c r="X6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61,Y61)</x:f>
        <x:v>5000</x:v>
      </x:c>
      <x:c r="Y61" s="65" t="n">
        <x:v>5000</x:v>
      </x:c>
      <x:c r="Z61" s="64"/>
      <x:c r="AA6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61,AB61)</x:f>
        <x:v>0</x:v>
      </x:c>
      <x:c r="AB61" s="65" t="n">
        <x:v>0</x:v>
      </x:c>
      <x:c r="AC61" s="64"/>
      <x:c r="AD6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61,AE61)</x:f>
        <x:v>0</x:v>
      </x:c>
      <x:c r="AE61" s="65" t="n">
        <x:v>0</x:v>
      </x:c>
      <x:c r="AF61" s="64"/>
      <x:c r="AG6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61,AH61)</x:f>
        <x:v>0</x:v>
      </x:c>
      <x:c r="AH61" s="65" t="n">
        <x:v>0</x:v>
      </x:c>
      <x:c r="AI61" s="64" t="n">
        <x:v>0</x:v>
      </x:c>
      <x:c r="AJ61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61,AK61)</x:f>
        <x:v>0</x:v>
      </x:c>
      <x:c r="AK61" s="65" t="n">
        <x:v>0</x:v>
      </x:c>
      <x:c r="AL61" s="64" t="n">
        <x:v>0</x:v>
      </x:c>
      <x:c r="AM61" s="62" t="n">
        <x:f>IF(AND(AND(AL$57&lt;&gt;"",COUNT(AL6,AL8,AL9,AL11,AL12,AL13,AL14,AL15,AL16,AL18,AL21,AL23,AL28,AL30,AL31,AL32,AL33,AL38,AL39,AL40,AL41,AL42,AL43,AL44,AL45,AL46,AL47,AL48,AL49,AL50,AL51,AL52,AL57,AL60,AL61,AL62,AL63,AL64,AL69)=39)),AL61,AN61)</x:f>
        <x:v>0</x:v>
      </x:c>
      <x:c r="AN61" s="65" t="n">
        <x:v>0</x:v>
      </x:c>
    </x:row>
    <x:row r="62" ht="24" customHeight="1">
      <x:c r="A62" s="3" t="str">
        <x:v>Equipment Purchases</x:v>
      </x:c>
      <x:c r="B62" s="61" t="n">
        <x:f>SUM(AL62,AI62,AF62,AC62,Z62,W62,T62,Q62,N62,K62,H62,E62)</x:f>
        <x:v>5000</x:v>
      </x:c>
      <x:c r="C62" s="62" t="n">
        <x:f>SUM(AM62,AJ62,AG62,AD62,AA62,X62,U62,R62,O62,L62,I62,F62)</x:f>
        <x:v>30000</x:v>
      </x:c>
      <x:c r="D62" s="63" t="n">
        <x:f>SUM(AN62,AK62,AH62,AE62,AB62,Y62,V62,S62,P62,M62,J62,G62)</x:f>
        <x:v>25000</x:v>
      </x:c>
      <x:c r="E62" s="64"/>
      <x:c r="F6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62,G62)</x:f>
        <x:v>0</x:v>
      </x:c>
      <x:c r="G62" s="65" t="n">
        <x:v>0</x:v>
      </x:c>
      <x:c r="H62" s="64"/>
      <x:c r="I6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62,J62)</x:f>
        <x:v>0</x:v>
      </x:c>
      <x:c r="J62" s="65" t="n">
        <x:v>0</x:v>
      </x:c>
      <x:c r="K62" s="64"/>
      <x:c r="L6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62,M62)</x:f>
        <x:v>0</x:v>
      </x:c>
      <x:c r="M62" s="65" t="n">
        <x:v>0</x:v>
      </x:c>
      <x:c r="N62" s="64"/>
      <x:c r="O6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62,P62)</x:f>
        <x:v>10000</x:v>
      </x:c>
      <x:c r="P62" s="65" t="n">
        <x:v>10000</x:v>
      </x:c>
      <x:c r="Q62" s="64"/>
      <x:c r="R6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62,S62)</x:f>
        <x:v>0</x:v>
      </x:c>
      <x:c r="S62" s="65" t="n">
        <x:v>0</x:v>
      </x:c>
      <x:c r="T62" s="64"/>
      <x:c r="U6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62,V62)</x:f>
        <x:v>0</x:v>
      </x:c>
      <x:c r="V62" s="65" t="n">
        <x:v>0</x:v>
      </x:c>
      <x:c r="W62" s="64"/>
      <x:c r="X6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62,Y62)</x:f>
        <x:v>0</x:v>
      </x:c>
      <x:c r="Y62" s="65" t="n">
        <x:v>0</x:v>
      </x:c>
      <x:c r="Z62" s="64"/>
      <x:c r="AA6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62,AB62)</x:f>
        <x:v>0</x:v>
      </x:c>
      <x:c r="AB62" s="65" t="n">
        <x:v>0</x:v>
      </x:c>
      <x:c r="AC62" s="64"/>
      <x:c r="AD6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62,AE62)</x:f>
        <x:v>15000</x:v>
      </x:c>
      <x:c r="AE62" s="65" t="n">
        <x:v>15000</x:v>
      </x:c>
      <x:c r="AF62" s="64"/>
      <x:c r="AG6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62,AH62)</x:f>
        <x:v>0</x:v>
      </x:c>
      <x:c r="AH62" s="65" t="n">
        <x:v>0</x:v>
      </x:c>
      <x:c r="AI62" s="64" t="n">
        <x:v>0</x:v>
      </x:c>
      <x:c r="AJ62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62,AK62)</x:f>
        <x:v>0</x:v>
      </x:c>
      <x:c r="AK62" s="65" t="n">
        <x:v>0</x:v>
      </x:c>
      <x:c r="AL62" s="64" t="n">
        <x:v>5000</x:v>
      </x:c>
      <x:c r="AM62" s="62" t="n">
        <x:f>IF(AND(AND(AL$57&lt;&gt;"",COUNT(AL6,AL8,AL9,AL11,AL12,AL13,AL14,AL15,AL16,AL18,AL21,AL23,AL28,AL30,AL31,AL32,AL33,AL38,AL39,AL40,AL41,AL42,AL43,AL44,AL45,AL46,AL47,AL48,AL49,AL50,AL51,AL52,AL57,AL60,AL61,AL62,AL63,AL64,AL69)=39)),AL62,AN62)</x:f>
        <x:v>5000</x:v>
      </x:c>
      <x:c r="AN62" s="65" t="n">
        <x:v>0</x:v>
      </x:c>
    </x:row>
    <x:row r="63" ht="24" customHeight="1">
      <x:c r="A63" s="3" t="str">
        <x:v>Debt Principal and Interest</x:v>
      </x:c>
      <x:c r="B63" s="61" t="n">
        <x:f>SUM(AL63,AI63,AF63,AC63,Z63,W63,T63,Q63,N63,K63,H63,E63)</x:f>
        <x:v>2000</x:v>
      </x:c>
      <x:c r="C63" s="62" t="n">
        <x:f>SUM(AM63,AJ63,AG63,AD63,AA63,X63,U63,R63,O63,L63,I63,F63)</x:f>
        <x:v>12000</x:v>
      </x:c>
      <x:c r="D63" s="63" t="n">
        <x:f>SUM(AN63,AK63,AH63,AE63,AB63,Y63,V63,S63,P63,M63,J63,G63)</x:f>
        <x:v>12000</x:v>
      </x:c>
      <x:c r="E63" s="64"/>
      <x:c r="F6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63,G63)</x:f>
        <x:v>1000</x:v>
      </x:c>
      <x:c r="G63" s="65" t="n">
        <x:v>1000</x:v>
      </x:c>
      <x:c r="H63" s="64"/>
      <x:c r="I6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63,J63)</x:f>
        <x:v>1000</x:v>
      </x:c>
      <x:c r="J63" s="65" t="n">
        <x:v>1000</x:v>
      </x:c>
      <x:c r="K63" s="64"/>
      <x:c r="L6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63,M63)</x:f>
        <x:v>1000</x:v>
      </x:c>
      <x:c r="M63" s="65" t="n">
        <x:v>1000</x:v>
      </x:c>
      <x:c r="N63" s="64"/>
      <x:c r="O6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63,P63)</x:f>
        <x:v>1000</x:v>
      </x:c>
      <x:c r="P63" s="65" t="n">
        <x:v>1000</x:v>
      </x:c>
      <x:c r="Q63" s="64"/>
      <x:c r="R6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63,S63)</x:f>
        <x:v>1000</x:v>
      </x:c>
      <x:c r="S63" s="65" t="n">
        <x:v>1000</x:v>
      </x:c>
      <x:c r="T63" s="64"/>
      <x:c r="U6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63,V63)</x:f>
        <x:v>1000</x:v>
      </x:c>
      <x:c r="V63" s="65" t="n">
        <x:v>1000</x:v>
      </x:c>
      <x:c r="W63" s="64"/>
      <x:c r="X6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63,Y63)</x:f>
        <x:v>1000</x:v>
      </x:c>
      <x:c r="Y63" s="65" t="n">
        <x:v>1000</x:v>
      </x:c>
      <x:c r="Z63" s="64"/>
      <x:c r="AA6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63,AB63)</x:f>
        <x:v>1000</x:v>
      </x:c>
      <x:c r="AB63" s="65" t="n">
        <x:v>1000</x:v>
      </x:c>
      <x:c r="AC63" s="64"/>
      <x:c r="AD6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63,AE63)</x:f>
        <x:v>1000</x:v>
      </x:c>
      <x:c r="AE63" s="65" t="n">
        <x:v>1000</x:v>
      </x:c>
      <x:c r="AF63" s="64"/>
      <x:c r="AG6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63,AH63)</x:f>
        <x:v>1000</x:v>
      </x:c>
      <x:c r="AH63" s="65" t="n">
        <x:v>1000</x:v>
      </x:c>
      <x:c r="AI63" s="64" t="n">
        <x:v>1000</x:v>
      </x:c>
      <x:c r="AJ63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63,AK63)</x:f>
        <x:v>1000</x:v>
      </x:c>
      <x:c r="AK63" s="65" t="n">
        <x:v>1000</x:v>
      </x:c>
      <x:c r="AL63" s="64" t="n">
        <x:v>1000</x:v>
      </x:c>
      <x:c r="AM63" s="62" t="n">
        <x:f>IF(AND(AND(AL$57&lt;&gt;"",COUNT(AL6,AL8,AL9,AL11,AL12,AL13,AL14,AL15,AL16,AL18,AL21,AL23,AL28,AL30,AL31,AL32,AL33,AL38,AL39,AL40,AL41,AL42,AL43,AL44,AL45,AL46,AL47,AL48,AL49,AL50,AL51,AL52,AL57,AL60,AL61,AL62,AL63,AL64,AL69)=39)),AL63,AN63)</x:f>
        <x:v>1000</x:v>
      </x:c>
      <x:c r="AN63" s="65" t="n">
        <x:v>1000</x:v>
      </x:c>
    </x:row>
    <x:row r="64" ht="24" customHeight="1">
      <x:c r="A64" s="3" t="str">
        <x:v>Owner Distributions</x:v>
      </x:c>
      <x:c r="B64" s="61" t="n">
        <x:f>SUM(AL64,AI64,AF64,AC64,Z64,W64,T64,Q64,N64,K64,H64,E64)</x:f>
        <x:v>5000</x:v>
      </x:c>
      <x:c r="C64" s="62" t="n">
        <x:f>SUM(AM64,AJ64,AG64,AD64,AA64,X64,U64,R64,O64,L64,I64,F64)</x:f>
        <x:v>25000</x:v>
      </x:c>
      <x:c r="D64" s="63" t="n">
        <x:f>SUM(AN64,AK64,AH64,AE64,AB64,Y64,V64,S64,P64,M64,J64,G64)</x:f>
        <x:v>20000</x:v>
      </x:c>
      <x:c r="E64" s="64"/>
      <x:c r="F6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64,G64)</x:f>
        <x:v>5000</x:v>
      </x:c>
      <x:c r="G64" s="65" t="n">
        <x:v>5000</x:v>
      </x:c>
      <x:c r="H64" s="64"/>
      <x:c r="I6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64,J64)</x:f>
        <x:v>0</x:v>
      </x:c>
      <x:c r="J64" s="65" t="n">
        <x:v>0</x:v>
      </x:c>
      <x:c r="K64" s="64"/>
      <x:c r="L6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64,M64)</x:f>
        <x:v>0</x:v>
      </x:c>
      <x:c r="M64" s="65" t="n">
        <x:v>0</x:v>
      </x:c>
      <x:c r="N64" s="64"/>
      <x:c r="O6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64,P64)</x:f>
        <x:v>5000</x:v>
      </x:c>
      <x:c r="P64" s="65" t="n">
        <x:v>5000</x:v>
      </x:c>
      <x:c r="Q64" s="64"/>
      <x:c r="R6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64,S64)</x:f>
        <x:v>0</x:v>
      </x:c>
      <x:c r="S64" s="65" t="n">
        <x:v>0</x:v>
      </x:c>
      <x:c r="T64" s="64"/>
      <x:c r="U6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64,V64)</x:f>
        <x:v>0</x:v>
      </x:c>
      <x:c r="V64" s="65" t="n">
        <x:v>0</x:v>
      </x:c>
      <x:c r="W64" s="64"/>
      <x:c r="X6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64,Y64)</x:f>
        <x:v>5000</x:v>
      </x:c>
      <x:c r="Y64" s="65" t="n">
        <x:v>5000</x:v>
      </x:c>
      <x:c r="Z64" s="64"/>
      <x:c r="AA6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64,AB64)</x:f>
        <x:v>0</x:v>
      </x:c>
      <x:c r="AB64" s="65" t="n">
        <x:v>0</x:v>
      </x:c>
      <x:c r="AC64" s="64"/>
      <x:c r="AD6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64,AE64)</x:f>
        <x:v>0</x:v>
      </x:c>
      <x:c r="AE64" s="65" t="n">
        <x:v>0</x:v>
      </x:c>
      <x:c r="AF64" s="64"/>
      <x:c r="AG6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64,AH64)</x:f>
        <x:v>5000</x:v>
      </x:c>
      <x:c r="AH64" s="65" t="n">
        <x:v>5000</x:v>
      </x:c>
      <x:c r="AI64" s="64" t="n">
        <x:v>5000</x:v>
      </x:c>
      <x:c r="AJ64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64,AK64)</x:f>
        <x:v>5000</x:v>
      </x:c>
      <x:c r="AK64" s="65" t="n">
        <x:v>0</x:v>
      </x:c>
      <x:c r="AL64" s="64" t="n">
        <x:v>0</x:v>
      </x:c>
      <x:c r="AM64" s="62" t="n">
        <x:f>IF(AND(AND(AL$57&lt;&gt;"",COUNT(AL6,AL8,AL9,AL11,AL12,AL13,AL14,AL15,AL16,AL18,AL21,AL23,AL28,AL30,AL31,AL32,AL33,AL38,AL39,AL40,AL41,AL42,AL43,AL44,AL45,AL46,AL47,AL48,AL49,AL50,AL51,AL52,AL57,AL60,AL61,AL62,AL63,AL64,AL69)=39)),AL64,AN64)</x:f>
        <x:v>0</x:v>
      </x:c>
      <x:c r="AN64" s="65" t="n">
        <x:v>0</x:v>
      </x:c>
    </x:row>
    <x:row r="65" ht="24" customHeight="1">
      <x:c r="A65" s="39" t="str">
        <x:v>Total Other Cash Out</x:v>
      </x:c>
      <x:c r="B65" s="67" t="n">
        <x:f>SUM(AL65,AI65,AF65,AC65,Z65,W65,T65,Q65,N65,K65,H65,E65)</x:f>
        <x:v>12000</x:v>
      </x:c>
      <x:c r="C65" s="68" t="n">
        <x:f>SUM(AM65,AJ65,AG65,AD65,AA65,X65,U65,R65,O65,L65,I65,F65)</x:f>
        <x:v>82000</x:v>
      </x:c>
      <x:c r="D65" s="69" t="n">
        <x:f>SUM(AN65,AK65,AH65,AE65,AB65,Y65,V65,S65,P65,M65,J65,G65)</x:f>
        <x:v>72000</x:v>
      </x:c>
      <x:c r="E65" s="67" t="str">
        <x:f>IF(COUNT(E61:E64)&gt;0,SUM(E61:E64),"")</x:f>
      </x:c>
      <x:c r="F65" s="68" t="n">
        <x:f>IF(COUNT(F61:F64)&gt;0,SUM(F61:F64),"")</x:f>
        <x:v>11000</x:v>
      </x:c>
      <x:c r="G65" s="69" t="n">
        <x:f>IF(COUNT(G61:G64)&gt;0,SUM(G61:G64),"")</x:f>
        <x:v>11000</x:v>
      </x:c>
      <x:c r="H65" s="67" t="str">
        <x:f>IF(COUNT(H61:H64)&gt;0,SUM(H61:H64),"")</x:f>
      </x:c>
      <x:c r="I65" s="68" t="n">
        <x:f>IF(COUNT(I61:I64)&gt;0,SUM(I61:I64),"")</x:f>
        <x:v>1000</x:v>
      </x:c>
      <x:c r="J65" s="69" t="n">
        <x:f>IF(COUNT(J61:J64)&gt;0,SUM(J61:J64),"")</x:f>
        <x:v>1000</x:v>
      </x:c>
      <x:c r="K65" s="67" t="str">
        <x:f>IF(COUNT(K61:K64)&gt;0,SUM(K61:K64),"")</x:f>
      </x:c>
      <x:c r="L65" s="68" t="n">
        <x:f>IF(COUNT(L61:L64)&gt;0,SUM(L61:L64),"")</x:f>
        <x:v>1000</x:v>
      </x:c>
      <x:c r="M65" s="69" t="n">
        <x:f>IF(COUNT(M61:M64)&gt;0,SUM(M61:M64),"")</x:f>
        <x:v>1000</x:v>
      </x:c>
      <x:c r="N65" s="67" t="str">
        <x:f>IF(COUNT(N61:N64)&gt;0,SUM(N61:N64),"")</x:f>
      </x:c>
      <x:c r="O65" s="68" t="n">
        <x:f>IF(COUNT(O61:O64)&gt;0,SUM(O61:O64),"")</x:f>
        <x:v>21000</x:v>
      </x:c>
      <x:c r="P65" s="69" t="n">
        <x:f>IF(COUNT(P61:P64)&gt;0,SUM(P61:P64),"")</x:f>
        <x:v>21000</x:v>
      </x:c>
      <x:c r="Q65" s="67" t="str">
        <x:f>IF(COUNT(Q61:Q64)&gt;0,SUM(Q61:Q64),"")</x:f>
      </x:c>
      <x:c r="R65" s="68" t="n">
        <x:f>IF(COUNT(R61:R64)&gt;0,SUM(R61:R64),"")</x:f>
        <x:v>1000</x:v>
      </x:c>
      <x:c r="S65" s="69" t="n">
        <x:f>IF(COUNT(S61:S64)&gt;0,SUM(S61:S64),"")</x:f>
        <x:v>1000</x:v>
      </x:c>
      <x:c r="T65" s="67" t="str">
        <x:f>IF(COUNT(T61:T64)&gt;0,SUM(T61:T64),"")</x:f>
      </x:c>
      <x:c r="U65" s="68" t="n">
        <x:f>IF(COUNT(U61:U64)&gt;0,SUM(U61:U64),"")</x:f>
        <x:v>1000</x:v>
      </x:c>
      <x:c r="V65" s="69" t="n">
        <x:f>IF(COUNT(V61:V64)&gt;0,SUM(V61:V64),"")</x:f>
        <x:v>1000</x:v>
      </x:c>
      <x:c r="W65" s="67" t="str">
        <x:f>IF(COUNT(W61:W64)&gt;0,SUM(W61:W64),"")</x:f>
      </x:c>
      <x:c r="X65" s="68" t="n">
        <x:f>IF(COUNT(X61:X64)&gt;0,SUM(X61:X64),"")</x:f>
        <x:v>11000</x:v>
      </x:c>
      <x:c r="Y65" s="69" t="n">
        <x:f>IF(COUNT(Y61:Y64)&gt;0,SUM(Y61:Y64),"")</x:f>
        <x:v>11000</x:v>
      </x:c>
      <x:c r="Z65" s="67" t="str">
        <x:f>IF(COUNT(Z61:Z64)&gt;0,SUM(Z61:Z64),"")</x:f>
      </x:c>
      <x:c r="AA65" s="68" t="n">
        <x:f>IF(COUNT(AA61:AA64)&gt;0,SUM(AA61:AA64),"")</x:f>
        <x:v>1000</x:v>
      </x:c>
      <x:c r="AB65" s="69" t="n">
        <x:f>IF(COUNT(AB61:AB64)&gt;0,SUM(AB61:AB64),"")</x:f>
        <x:v>1000</x:v>
      </x:c>
      <x:c r="AC65" s="67" t="str">
        <x:f>IF(COUNT(AC61:AC64)&gt;0,SUM(AC61:AC64),"")</x:f>
      </x:c>
      <x:c r="AD65" s="68" t="n">
        <x:f>IF(COUNT(AD61:AD64)&gt;0,SUM(AD61:AD64),"")</x:f>
        <x:v>16000</x:v>
      </x:c>
      <x:c r="AE65" s="69" t="n">
        <x:f>IF(COUNT(AE61:AE64)&gt;0,SUM(AE61:AE64),"")</x:f>
        <x:v>16000</x:v>
      </x:c>
      <x:c r="AF65" s="67" t="str">
        <x:f>IF(COUNT(AF61:AF64)&gt;0,SUM(AF61:AF64),"")</x:f>
      </x:c>
      <x:c r="AG65" s="68" t="n">
        <x:f>IF(COUNT(AG61:AG64)&gt;0,SUM(AG61:AG64),"")</x:f>
        <x:v>6000</x:v>
      </x:c>
      <x:c r="AH65" s="69" t="n">
        <x:f>IF(COUNT(AH61:AH64)&gt;0,SUM(AH61:AH64),"")</x:f>
        <x:v>6000</x:v>
      </x:c>
      <x:c r="AI65" s="67" t="n">
        <x:f>IF(COUNT(AI61:AI64)&gt;0,SUM(AI61:AI64),"")</x:f>
        <x:v>6000</x:v>
      </x:c>
      <x:c r="AJ65" s="68" t="n">
        <x:f>IF(COUNT(AJ61:AJ64)&gt;0,SUM(AJ61:AJ64),"")</x:f>
        <x:v>6000</x:v>
      </x:c>
      <x:c r="AK65" s="69" t="n">
        <x:f>IF(COUNT(AK61:AK64)&gt;0,SUM(AK61:AK64),"")</x:f>
        <x:v>1000</x:v>
      </x:c>
      <x:c r="AL65" s="67" t="n">
        <x:f>IF(COUNT(AL61:AL64)&gt;0,SUM(AL61:AL64),"")</x:f>
        <x:v>6000</x:v>
      </x:c>
      <x:c r="AM65" s="68" t="n">
        <x:f>IF(COUNT(AM61:AM64)&gt;0,SUM(AM61:AM64),"")</x:f>
        <x:v>6000</x:v>
      </x:c>
      <x:c r="AN65" s="69" t="n">
        <x:f>IF(COUNT(AN61:AN64)&gt;0,SUM(AN61:AN64),"")</x:f>
        <x:v>1000</x:v>
      </x:c>
    </x:row>
    <x:row r="66" ht="24" customHeight="1">
      <x:c r="A66" s="39" t="str">
        <x:v>Net Change in Cash</x:v>
      </x:c>
      <x:c r="B66" s="67" t="n">
        <x:f>SUM(AL66,AI66,AF66,AC66,Z66,W66,T66,Q66,N66,K66,H66,E66)</x:f>
        <x:v>-67725</x:v>
      </x:c>
      <x:c r="C66" s="68" t="n">
        <x:f>SUM(AM66,AJ66,AG66,AD66,AA66,X66,U66,R66,O66,L66,I66,F66)</x:f>
        <x:v>-109725</x:v>
      </x:c>
      <x:c r="D66" s="69" t="n">
        <x:f>SUM(AN66,AK66,AH66,AE66,AB66,Y66,V66,S66,P66,M66,J66,G66)</x:f>
        <x:v>71400</x:v>
      </x:c>
      <x:c r="E66" s="67" t="str">
        <x:f>IF(COUNT(E57:E64)&gt;0,SUM(E57,E60)-SUM(E58,E59,E65),"")</x:f>
      </x:c>
      <x:c r="F66" s="68" t="n">
        <x:f>SUM(F57,F60)-SUM(F58,F59,F65)</x:f>
        <x:v>2200</x:v>
      </x:c>
      <x:c r="G66" s="69" t="n">
        <x:f>SUM(G57,G60)-SUM(G58,G59,G65)</x:f>
        <x:v>2200</x:v>
      </x:c>
      <x:c r="H66" s="67" t="str">
        <x:f>IF(COUNT(H57:H64)&gt;0,SUM(H57,H60)-SUM(H58,H59,H65),"")</x:f>
      </x:c>
      <x:c r="I66" s="68" t="n">
        <x:f>SUM(I57,I60)-SUM(I58,I59,I65)</x:f>
        <x:v>12200</x:v>
      </x:c>
      <x:c r="J66" s="69" t="n">
        <x:f>SUM(J57,J60)-SUM(J58,J59,J65)</x:f>
        <x:v>12200</x:v>
      </x:c>
      <x:c r="K66" s="67" t="str">
        <x:f>IF(COUNT(K57:K64)&gt;0,SUM(K57,K60)-SUM(K58,K59,K65),"")</x:f>
      </x:c>
      <x:c r="L66" s="68" t="n">
        <x:f>SUM(L57,L60)-SUM(L58,L59,L65)</x:f>
        <x:v>12200</x:v>
      </x:c>
      <x:c r="M66" s="69" t="n">
        <x:f>SUM(M57,M60)-SUM(M58,M59,M65)</x:f>
        <x:v>12200</x:v>
      </x:c>
      <x:c r="N66" s="67" t="str">
        <x:f>IF(COUNT(N57:N64)&gt;0,SUM(N57,N60)-SUM(N58,N59,N65),"")</x:f>
      </x:c>
      <x:c r="O66" s="68" t="n">
        <x:f>SUM(O57,O60)-SUM(O58,O59,O65)</x:f>
        <x:v>-15800</x:v>
      </x:c>
      <x:c r="P66" s="69" t="n">
        <x:f>SUM(P57,P60)-SUM(P58,P59,P65)</x:f>
        <x:v>-15800</x:v>
      </x:c>
      <x:c r="Q66" s="67" t="str">
        <x:f>IF(COUNT(Q57:Q64)&gt;0,SUM(Q57,Q60)-SUM(Q58,Q59,Q65),"")</x:f>
      </x:c>
      <x:c r="R66" s="68" t="n">
        <x:f>SUM(R57,R60)-SUM(R58,R59,R65)</x:f>
        <x:v>5200</x:v>
      </x:c>
      <x:c r="S66" s="69" t="n">
        <x:f>SUM(S57,S60)-SUM(S58,S59,S65)</x:f>
        <x:v>5200</x:v>
      </x:c>
      <x:c r="T66" s="67" t="str">
        <x:f>IF(COUNT(T57:T64)&gt;0,SUM(T57,T60)-SUM(T58,T59,T65),"")</x:f>
      </x:c>
      <x:c r="U66" s="68" t="n">
        <x:f>SUM(U57,U60)-SUM(U58,U59,U65)</x:f>
        <x:v>5200</x:v>
      </x:c>
      <x:c r="V66" s="69" t="n">
        <x:f>SUM(V57,V60)-SUM(V58,V59,V65)</x:f>
        <x:v>5200</x:v>
      </x:c>
      <x:c r="W66" s="67" t="str">
        <x:f>IF(COUNT(W57:W64)&gt;0,SUM(W57,W60)-SUM(W58,W59,W65),"")</x:f>
      </x:c>
      <x:c r="X66" s="68" t="n">
        <x:f>SUM(X57,X60)-SUM(X58,X59,X65)</x:f>
        <x:v>-4800</x:v>
      </x:c>
      <x:c r="Y66" s="69" t="n">
        <x:f>SUM(Y57,Y60)-SUM(Y58,Y59,Y65)</x:f>
        <x:v>-4800</x:v>
      </x:c>
      <x:c r="Z66" s="67" t="str">
        <x:f>IF(COUNT(Z57:Z64)&gt;0,SUM(Z57,Z60)-SUM(Z58,Z59,Z65),"")</x:f>
      </x:c>
      <x:c r="AA66" s="68" t="n">
        <x:f>SUM(AA57,AA60)-SUM(AA58,AA59,AA65)</x:f>
        <x:v>-18800</x:v>
      </x:c>
      <x:c r="AB66" s="69" t="n">
        <x:f>SUM(AB57,AB60)-SUM(AB58,AB59,AB65)</x:f>
        <x:v>-2800</x:v>
      </x:c>
      <x:c r="AC66" s="67" t="str">
        <x:f>IF(COUNT(AC57:AC64)&gt;0,SUM(AC57,AC60)-SUM(AC58,AC59,AC65),"")</x:f>
      </x:c>
      <x:c r="AD66" s="68" t="n">
        <x:f>SUM(AD57,AD60)-SUM(AD58,AD59,AD65)</x:f>
        <x:v>-54800</x:v>
      </x:c>
      <x:c r="AE66" s="69" t="n">
        <x:f>SUM(AE57,AE60)-SUM(AE58,AE59,AE65)</x:f>
        <x:v>-16800</x:v>
      </x:c>
      <x:c r="AF66" s="67" t="str">
        <x:f>IF(COUNT(AF57:AF64)&gt;0,SUM(AF57,AF60)-SUM(AF58,AF59,AF65),"")</x:f>
      </x:c>
      <x:c r="AG66" s="68" t="n">
        <x:f>SUM(AG57,AG60)-SUM(AG58,AG59,AG65)</x:f>
        <x:v>15200</x:v>
      </x:c>
      <x:c r="AH66" s="69" t="n">
        <x:f>SUM(AH57,AH60)-SUM(AH58,AH59,AH65)</x:f>
        <x:v>43200</x:v>
      </x:c>
      <x:c r="AI66" s="67" t="n">
        <x:f>IF(COUNT(AI57:AI64)&gt;0,SUM(AI57,AI60)-SUM(AI58,AI59,AI65),"")</x:f>
        <x:v>-25384</x:v>
      </x:c>
      <x:c r="AJ66" s="68" t="n">
        <x:f>SUM(AJ57,AJ60)-SUM(AJ58,AJ59,AJ65)</x:f>
        <x:v>-25384</x:v>
      </x:c>
      <x:c r="AK66" s="69" t="n">
        <x:f>SUM(AK57,AK60)-SUM(AK58,AK59,AK65)</x:f>
        <x:v>38200</x:v>
      </x:c>
      <x:c r="AL66" s="67" t="n">
        <x:f>IF(COUNT(AL57:AL64)&gt;0,SUM(AL57,AL60)-SUM(AL58,AL59,AL65),"")</x:f>
        <x:v>-42341</x:v>
      </x:c>
      <x:c r="AM66" s="68" t="n">
        <x:f>SUM(AM57,AM60)-SUM(AM58,AM59,AM65)</x:f>
        <x:v>-42341</x:v>
      </x:c>
      <x:c r="AN66" s="69" t="n">
        <x:f>SUM(AN57,AN60)-SUM(AN58,AN59,AN65)</x:f>
        <x:v>-6800</x:v>
      </x:c>
    </x:row>
    <x:row r="67" ht="24" customHeight="1">
      <x:c r="A67" s="3" t="str">
        <x:v>Opening Cash</x:v>
      </x:c>
      <x:c r="B67" s="61" t="n">
        <x:f>AL67</x:f>
        <x:v>250000</x:v>
      </x:c>
      <x:c r="C67" s="62" t="n">
        <x:f>AM67</x:f>
        <x:v>250000</x:v>
      </x:c>
      <x:c r="D67" s="63" t="n">
        <x:f>AN67</x:f>
        <x:v>250000</x:v>
      </x:c>
      <x:c r="E67" s="61" t="str">
        <x:f>IF(E66="",""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68,I68))</x:f>
      </x:c>
      <x:c r="F6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68,I68)</x:f>
        <x:v>138075</x:v>
      </x:c>
      <x:c r="G67" s="63" t="n">
        <x:f>J68</x:f>
        <x:v>319200</x:v>
      </x:c>
      <x:c r="H67" s="61" t="str">
        <x:f>IF(H66="",""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68,L68))</x:f>
      </x:c>
      <x:c r="I6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68,L68)</x:f>
        <x:v>125875</x:v>
      </x:c>
      <x:c r="J67" s="63" t="n">
        <x:f>M68</x:f>
        <x:v>307000</x:v>
      </x:c>
      <x:c r="K67" s="61" t="str">
        <x:f>IF(K66="",""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68,O68))</x:f>
      </x:c>
      <x:c r="L6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68,O68)</x:f>
        <x:v>113675</x:v>
      </x:c>
      <x:c r="M67" s="63" t="n">
        <x:f>P68</x:f>
        <x:v>294800</x:v>
      </x:c>
      <x:c r="N67" s="61" t="str">
        <x:f>IF(N66="",""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68,R68))</x:f>
      </x:c>
      <x:c r="O6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68,R68)</x:f>
        <x:v>129475</x:v>
      </x:c>
      <x:c r="P67" s="63" t="n">
        <x:f>S68</x:f>
        <x:v>310600</x:v>
      </x:c>
      <x:c r="Q67" s="61" t="str">
        <x:f>IF(Q66="",""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68,U68))</x:f>
      </x:c>
      <x:c r="R6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68,U68)</x:f>
        <x:v>124275</x:v>
      </x:c>
      <x:c r="S67" s="63" t="n">
        <x:f>V68</x:f>
        <x:v>305400</x:v>
      </x:c>
      <x:c r="T67" s="61" t="str">
        <x:f>IF(T66="",""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68,X68))</x:f>
      </x:c>
      <x:c r="U6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68,X68)</x:f>
        <x:v>119075</x:v>
      </x:c>
      <x:c r="V67" s="63" t="n">
        <x:f>Y68</x:f>
        <x:v>300200</x:v>
      </x:c>
      <x:c r="W67" s="61" t="str">
        <x:f>IF(W66="",""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68,AA68))</x:f>
      </x:c>
      <x:c r="X6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68,AA68)</x:f>
        <x:v>123875</x:v>
      </x:c>
      <x:c r="Y67" s="63" t="n">
        <x:f>AB68</x:f>
        <x:v>305000</x:v>
      </x:c>
      <x:c r="Z67" s="61" t="str">
        <x:f>IF(Z66="",""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68,AD68))</x:f>
      </x:c>
      <x:c r="AA6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68,AD68)</x:f>
        <x:v>142675</x:v>
      </x:c>
      <x:c r="AB67" s="63" t="n">
        <x:f>AE68</x:f>
        <x:v>307800</x:v>
      </x:c>
      <x:c r="AC67" s="61" t="str">
        <x:f>IF(AC66="",""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68,AG68))</x:f>
      </x:c>
      <x:c r="AD6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68,AG68)</x:f>
        <x:v>197475</x:v>
      </x:c>
      <x:c r="AE67" s="63" t="n">
        <x:f>AH68</x:f>
        <x:v>324600</x:v>
      </x:c>
      <x:c r="AF67" s="61" t="str">
        <x:f>IF(AF66="",""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68,AJ68))</x:f>
      </x:c>
      <x:c r="AG67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68,AJ68)</x:f>
        <x:v>182275</x:v>
      </x:c>
      <x:c r="AH67" s="63" t="n">
        <x:f>AK68</x:f>
        <x:v>281400</x:v>
      </x:c>
      <x:c r="AI67" s="61" t="n">
        <x:f>IF(AI66="","",IF(AND(AND(AL$57&lt;&gt;"",COUNT(AL6,AL8,AL9,AL11,AL12,AL13,AL14,AL15,AL16,AL18,AL21,AL23,AL28,AL30,AL31,AL32,AL33,AL38,AL39,AL40,AL41,AL42,AL43,AL44,AL45,AL46,AL47,AL48,AL49,AL50,AL51,AL52,AL57,AL60,AL61,AL62,AL63,AL64,AL69)=39)),AL68,AM68))</x:f>
        <x:v>207659</x:v>
      </x:c>
      <x:c r="AJ67" s="62" t="n">
        <x:f>IF(AND(AND(AL$57&lt;&gt;"",COUNT(AL6,AL8,AL9,AL11,AL12,AL13,AL14,AL15,AL16,AL18,AL21,AL23,AL28,AL30,AL31,AL32,AL33,AL38,AL39,AL40,AL41,AL42,AL43,AL44,AL45,AL46,AL47,AL48,AL49,AL50,AL51,AL52,AL57,AL60,AL61,AL62,AL63,AL64,AL69)=39)),AL68,AM68)</x:f>
        <x:v>207659</x:v>
      </x:c>
      <x:c r="AK67" s="63" t="n">
        <x:f>AN68</x:f>
        <x:v>243200</x:v>
      </x:c>
      <x:c r="AL67" s="64" t="n">
        <x:v>250000</x:v>
      </x:c>
      <x:c r="AM67" s="62" t="n">
        <x:f>AL67</x:f>
        <x:v>250000</x:v>
      </x:c>
      <x:c r="AN67" s="63" t="n">
        <x:f>AL67</x:f>
        <x:v>250000</x:v>
      </x:c>
    </x:row>
    <x:row r="68" ht="24" customHeight="1">
      <x:c r="A68" s="39" t="str">
        <x:v>Closing Cash</x:v>
      </x:c>
      <x:c r="B68" s="67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68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68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68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68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68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68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68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68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68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68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68,IF(AND(AND(AL$57&lt;&gt;"",COUNT(AL6,AL8,AL9,AL11,AL12,AL13,AL14,AL15,AL16,AL18,AL21,AL23,AL28,AL30,AL31,AL32,AL33,AL38,AL39,AL40,AL41,AL42,AL43,AL44,AL45,AL46,AL47,AL48,AL49,AL50,AL51,AL52,AL57,AL60,AL61,AL62,AL63,AL64,AL69)=39)),AL68,""))))))))))))</x:f>
        <x:v>182275</x:v>
      </x:c>
      <x:c r="C68" s="68" t="n">
        <x:f>F68</x:f>
        <x:v>140275</x:v>
      </x:c>
      <x:c r="D68" s="69" t="n">
        <x:f>G68</x:f>
        <x:v>321400</x:v>
      </x:c>
      <x:c r="E68" s="67" t="str">
        <x:f>IF(E66="","",E67+E66)</x:f>
      </x:c>
      <x:c r="F68" s="68" t="n">
        <x:f>F67+F66</x:f>
        <x:v>140275</x:v>
      </x:c>
      <x:c r="G68" s="69" t="n">
        <x:f>G67+G66</x:f>
        <x:v>321400</x:v>
      </x:c>
      <x:c r="H68" s="67" t="str">
        <x:f>IF(H66="","",H67+H66)</x:f>
      </x:c>
      <x:c r="I68" s="68" t="n">
        <x:f>I67+I66</x:f>
        <x:v>138075</x:v>
      </x:c>
      <x:c r="J68" s="69" t="n">
        <x:f>J67+J66</x:f>
        <x:v>319200</x:v>
      </x:c>
      <x:c r="K68" s="67" t="str">
        <x:f>IF(K66="","",K67+K66)</x:f>
      </x:c>
      <x:c r="L68" s="68" t="n">
        <x:f>L67+L66</x:f>
        <x:v>125875</x:v>
      </x:c>
      <x:c r="M68" s="69" t="n">
        <x:f>M67+M66</x:f>
        <x:v>307000</x:v>
      </x:c>
      <x:c r="N68" s="67" t="str">
        <x:f>IF(N66="","",N67+N66)</x:f>
      </x:c>
      <x:c r="O68" s="68" t="n">
        <x:f>O67+O66</x:f>
        <x:v>113675</x:v>
      </x:c>
      <x:c r="P68" s="69" t="n">
        <x:f>P67+P66</x:f>
        <x:v>294800</x:v>
      </x:c>
      <x:c r="Q68" s="67" t="str">
        <x:f>IF(Q66="","",Q67+Q66)</x:f>
      </x:c>
      <x:c r="R68" s="68" t="n">
        <x:f>R67+R66</x:f>
        <x:v>129475</x:v>
      </x:c>
      <x:c r="S68" s="69" t="n">
        <x:f>S67+S66</x:f>
        <x:v>310600</x:v>
      </x:c>
      <x:c r="T68" s="67" t="str">
        <x:f>IF(T66="","",T67+T66)</x:f>
      </x:c>
      <x:c r="U68" s="68" t="n">
        <x:f>U67+U66</x:f>
        <x:v>124275</x:v>
      </x:c>
      <x:c r="V68" s="69" t="n">
        <x:f>V67+V66</x:f>
        <x:v>305400</x:v>
      </x:c>
      <x:c r="W68" s="67" t="str">
        <x:f>IF(W66="","",W67+W66)</x:f>
      </x:c>
      <x:c r="X68" s="68" t="n">
        <x:f>X67+X66</x:f>
        <x:v>119075</x:v>
      </x:c>
      <x:c r="Y68" s="69" t="n">
        <x:f>Y67+Y66</x:f>
        <x:v>300200</x:v>
      </x:c>
      <x:c r="Z68" s="67" t="str">
        <x:f>IF(Z66="","",Z67+Z66)</x:f>
      </x:c>
      <x:c r="AA68" s="68" t="n">
        <x:f>AA67+AA66</x:f>
        <x:v>123875</x:v>
      </x:c>
      <x:c r="AB68" s="69" t="n">
        <x:f>AB67+AB66</x:f>
        <x:v>305000</x:v>
      </x:c>
      <x:c r="AC68" s="67" t="str">
        <x:f>IF(AC66="","",AC67+AC66)</x:f>
      </x:c>
      <x:c r="AD68" s="68" t="n">
        <x:f>AD67+AD66</x:f>
        <x:v>142675</x:v>
      </x:c>
      <x:c r="AE68" s="69" t="n">
        <x:f>AE67+AE66</x:f>
        <x:v>307800</x:v>
      </x:c>
      <x:c r="AF68" s="67" t="str">
        <x:f>IF(AF66="","",AF67+AF66)</x:f>
      </x:c>
      <x:c r="AG68" s="68" t="n">
        <x:f>AG67+AG66</x:f>
        <x:v>197475</x:v>
      </x:c>
      <x:c r="AH68" s="69" t="n">
        <x:f>AH67+AH66</x:f>
        <x:v>324600</x:v>
      </x:c>
      <x:c r="AI68" s="67" t="n">
        <x:f>IF(AI66="","",AI67+AI66)</x:f>
        <x:v>182275</x:v>
      </x:c>
      <x:c r="AJ68" s="68" t="n">
        <x:f>AJ67+AJ66</x:f>
        <x:v>182275</x:v>
      </x:c>
      <x:c r="AK68" s="69" t="n">
        <x:f>AK67+AK66</x:f>
        <x:v>281400</x:v>
      </x:c>
      <x:c r="AL68" s="67" t="n">
        <x:f>IF(AL66="","",AL67+AL66)</x:f>
        <x:v>207659</x:v>
      </x:c>
      <x:c r="AM68" s="68" t="n">
        <x:f>AM67+AM66</x:f>
        <x:v>207659</x:v>
      </x:c>
      <x:c r="AN68" s="69" t="n">
        <x:f>AN67+AN66</x:f>
        <x:v>243200</x:v>
      </x:c>
    </x:row>
    <x:row r="69" ht="24" customHeight="1">
      <x:c r="A69" s="3" t="str">
        <x:v>Minimum Cash Reserve</x:v>
      </x:c>
      <x:c r="B69" s="61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69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69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69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69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69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69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69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69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69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69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69,IF(AND(AND(AL$57&lt;&gt;"",COUNT(AL6,AL8,AL9,AL11,AL12,AL13,AL14,AL15,AL16,AL18,AL21,AL23,AL28,AL30,AL31,AL32,AL33,AL38,AL39,AL40,AL41,AL42,AL43,AL44,AL45,AL46,AL47,AL48,AL49,AL50,AL51,AL52,AL57,AL60,AL61,AL62,AL63,AL64,AL69)=39)),AL69,""))))))))))))</x:f>
        <x:v>50000</x:v>
      </x:c>
      <x:c r="C69" s="62" t="n">
        <x:f>F69</x:f>
        <x:v>50000</x:v>
      </x:c>
      <x:c r="D69" s="63" t="n">
        <x:f>G69</x:f>
        <x:v>50000</x:v>
      </x:c>
      <x:c r="E69" s="64"/>
      <x:c r="F6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69,G69)</x:f>
        <x:v>50000</x:v>
      </x:c>
      <x:c r="G69" s="65" t="n">
        <x:v>50000</x:v>
      </x:c>
      <x:c r="H69" s="64"/>
      <x:c r="I6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69,J69)</x:f>
        <x:v>50000</x:v>
      </x:c>
      <x:c r="J69" s="65" t="n">
        <x:v>50000</x:v>
      </x:c>
      <x:c r="K69" s="64"/>
      <x:c r="L6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69,M69)</x:f>
        <x:v>50000</x:v>
      </x:c>
      <x:c r="M69" s="65" t="n">
        <x:v>50000</x:v>
      </x:c>
      <x:c r="N69" s="64"/>
      <x:c r="O6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69,P69)</x:f>
        <x:v>50000</x:v>
      </x:c>
      <x:c r="P69" s="65" t="n">
        <x:v>50000</x:v>
      </x:c>
      <x:c r="Q69" s="64"/>
      <x:c r="R6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69,S69)</x:f>
        <x:v>50000</x:v>
      </x:c>
      <x:c r="S69" s="65" t="n">
        <x:v>50000</x:v>
      </x:c>
      <x:c r="T69" s="64"/>
      <x:c r="U6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69,V69)</x:f>
        <x:v>50000</x:v>
      </x:c>
      <x:c r="V69" s="65" t="n">
        <x:v>50000</x:v>
      </x:c>
      <x:c r="W69" s="64"/>
      <x:c r="X6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69,Y69)</x:f>
        <x:v>50000</x:v>
      </x:c>
      <x:c r="Y69" s="65" t="n">
        <x:v>50000</x:v>
      </x:c>
      <x:c r="Z69" s="64"/>
      <x:c r="AA6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69,AB69)</x:f>
        <x:v>50000</x:v>
      </x:c>
      <x:c r="AB69" s="65" t="n">
        <x:v>50000</x:v>
      </x:c>
      <x:c r="AC69" s="64"/>
      <x:c r="AD6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69,AE69)</x:f>
        <x:v>50000</x:v>
      </x:c>
      <x:c r="AE69" s="65" t="n">
        <x:v>50000</x:v>
      </x:c>
      <x:c r="AF69" s="64"/>
      <x:c r="AG6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69,AH69)</x:f>
        <x:v>50000</x:v>
      </x:c>
      <x:c r="AH69" s="65" t="n">
        <x:v>50000</x:v>
      </x:c>
      <x:c r="AI69" s="64" t="n">
        <x:v>50000</x:v>
      </x:c>
      <x:c r="AJ69" s="62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69,AK69)</x:f>
        <x:v>50000</x:v>
      </x:c>
      <x:c r="AK69" s="65" t="n">
        <x:v>50000</x:v>
      </x:c>
      <x:c r="AL69" s="64" t="n">
        <x:v>50000</x:v>
      </x:c>
      <x:c r="AM69" s="62" t="n">
        <x:f>IF(AND(AND(AL$57&lt;&gt;"",COUNT(AL6,AL8,AL9,AL11,AL12,AL13,AL14,AL15,AL16,AL18,AL21,AL23,AL28,AL30,AL31,AL32,AL33,AL38,AL39,AL40,AL41,AL42,AL43,AL44,AL45,AL46,AL47,AL48,AL49,AL50,AL51,AL52,AL57,AL60,AL61,AL62,AL63,AL64,AL69)=39)),AL69,AN69)</x:f>
        <x:v>50000</x:v>
      </x:c>
      <x:c r="AN69" s="65" t="n">
        <x:v>50000</x:v>
      </x:c>
    </x:row>
    <x:row r="70" ht="24" customHeight="1">
      <x:c r="A70" s="39" t="str">
        <x:v>Cash Above / (Below) Reserve</x:v>
      </x:c>
      <x:c r="B70" s="67" t="n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70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70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70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70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70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70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70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70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70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70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70,IF(AND(AND(AL$57&lt;&gt;"",COUNT(AL6,AL8,AL9,AL11,AL12,AL13,AL14,AL15,AL16,AL18,AL21,AL23,AL28,AL30,AL31,AL32,AL33,AL38,AL39,AL40,AL41,AL42,AL43,AL44,AL45,AL46,AL47,AL48,AL49,AL50,AL51,AL52,AL57,AL60,AL61,AL62,AL63,AL64,AL69)=39)),AL70,""))))))))))))</x:f>
        <x:v>132275</x:v>
      </x:c>
      <x:c r="C70" s="68" t="n">
        <x:f>F70</x:f>
        <x:v>90275</x:v>
      </x:c>
      <x:c r="D70" s="69" t="n">
        <x:f>G70</x:f>
        <x:v>271400</x:v>
      </x:c>
      <x:c r="E70" s="67" t="str">
        <x:f>IF(E68="","",E68-E69)</x:f>
      </x:c>
      <x:c r="F70" s="68" t="n">
        <x:f>IF(F68="","",F68-F69)</x:f>
        <x:v>90275</x:v>
      </x:c>
      <x:c r="G70" s="69" t="n">
        <x:f>IF(G68="","",G68-G69)</x:f>
        <x:v>271400</x:v>
      </x:c>
      <x:c r="H70" s="67" t="str">
        <x:f>IF(H68="","",H68-H69)</x:f>
      </x:c>
      <x:c r="I70" s="68" t="n">
        <x:f>IF(I68="","",I68-I69)</x:f>
        <x:v>88075</x:v>
      </x:c>
      <x:c r="J70" s="69" t="n">
        <x:f>IF(J68="","",J68-J69)</x:f>
        <x:v>269200</x:v>
      </x:c>
      <x:c r="K70" s="67" t="str">
        <x:f>IF(K68="","",K68-K69)</x:f>
      </x:c>
      <x:c r="L70" s="68" t="n">
        <x:f>IF(L68="","",L68-L69)</x:f>
        <x:v>75875</x:v>
      </x:c>
      <x:c r="M70" s="69" t="n">
        <x:f>IF(M68="","",M68-M69)</x:f>
        <x:v>257000</x:v>
      </x:c>
      <x:c r="N70" s="67" t="str">
        <x:f>IF(N68="","",N68-N69)</x:f>
      </x:c>
      <x:c r="O70" s="68" t="n">
        <x:f>IF(O68="","",O68-O69)</x:f>
        <x:v>63675</x:v>
      </x:c>
      <x:c r="P70" s="69" t="n">
        <x:f>IF(P68="","",P68-P69)</x:f>
        <x:v>244800</x:v>
      </x:c>
      <x:c r="Q70" s="67" t="str">
        <x:f>IF(Q68="","",Q68-Q69)</x:f>
      </x:c>
      <x:c r="R70" s="68" t="n">
        <x:f>IF(R68="","",R68-R69)</x:f>
        <x:v>79475</x:v>
      </x:c>
      <x:c r="S70" s="69" t="n">
        <x:f>IF(S68="","",S68-S69)</x:f>
        <x:v>260600</x:v>
      </x:c>
      <x:c r="T70" s="67" t="str">
        <x:f>IF(T68="","",T68-T69)</x:f>
      </x:c>
      <x:c r="U70" s="68" t="n">
        <x:f>IF(U68="","",U68-U69)</x:f>
        <x:v>74275</x:v>
      </x:c>
      <x:c r="V70" s="69" t="n">
        <x:f>IF(V68="","",V68-V69)</x:f>
        <x:v>255400</x:v>
      </x:c>
      <x:c r="W70" s="67" t="str">
        <x:f>IF(W68="","",W68-W69)</x:f>
      </x:c>
      <x:c r="X70" s="68" t="n">
        <x:f>IF(X68="","",X68-X69)</x:f>
        <x:v>69075</x:v>
      </x:c>
      <x:c r="Y70" s="69" t="n">
        <x:f>IF(Y68="","",Y68-Y69)</x:f>
        <x:v>250200</x:v>
      </x:c>
      <x:c r="Z70" s="67" t="str">
        <x:f>IF(Z68="","",Z68-Z69)</x:f>
      </x:c>
      <x:c r="AA70" s="68" t="n">
        <x:f>IF(AA68="","",AA68-AA69)</x:f>
        <x:v>73875</x:v>
      </x:c>
      <x:c r="AB70" s="69" t="n">
        <x:f>IF(AB68="","",AB68-AB69)</x:f>
        <x:v>255000</x:v>
      </x:c>
      <x:c r="AC70" s="67" t="str">
        <x:f>IF(AC68="","",AC68-AC69)</x:f>
      </x:c>
      <x:c r="AD70" s="68" t="n">
        <x:f>IF(AD68="","",AD68-AD69)</x:f>
        <x:v>92675</x:v>
      </x:c>
      <x:c r="AE70" s="69" t="n">
        <x:f>IF(AE68="","",AE68-AE69)</x:f>
        <x:v>257800</x:v>
      </x:c>
      <x:c r="AF70" s="67" t="str">
        <x:f>IF(AF68="","",AF68-AF69)</x:f>
      </x:c>
      <x:c r="AG70" s="68" t="n">
        <x:f>IF(AG68="","",AG68-AG69)</x:f>
        <x:v>147475</x:v>
      </x:c>
      <x:c r="AH70" s="69" t="n">
        <x:f>IF(AH68="","",AH68-AH69)</x:f>
        <x:v>274600</x:v>
      </x:c>
      <x:c r="AI70" s="67" t="n">
        <x:f>IF(AI68="","",AI68-AI69)</x:f>
        <x:v>132275</x:v>
      </x:c>
      <x:c r="AJ70" s="68" t="n">
        <x:f>IF(AJ68="","",AJ68-AJ69)</x:f>
        <x:v>132275</x:v>
      </x:c>
      <x:c r="AK70" s="69" t="n">
        <x:f>IF(AK68="","",AK68-AK69)</x:f>
        <x:v>231400</x:v>
      </x:c>
      <x:c r="AL70" s="67" t="n">
        <x:f>IF(AL68="","",AL68-AL69)</x:f>
        <x:v>157659</x:v>
      </x:c>
      <x:c r="AM70" s="68" t="n">
        <x:f>IF(AM68="","",AM68-AM69)</x:f>
        <x:v>157659</x:v>
      </x:c>
      <x:c r="AN70" s="69" t="n">
        <x:f>IF(AN68="","",AN68-AN69)</x:f>
        <x:v>193200</x:v>
      </x:c>
    </x:row>
    <x:row r="71" ht="24" customHeight="1">
      <x:c r="A71" s="3" t="str">
        <x:v>Status</x:v>
      </x:c>
      <x:c r="B71" s="101" t="str">
        <x:f>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,AND(E$57&lt;&gt;"",COUNT(E6,E8,E9,E11,E12,E13,E14,E15,E16,E18,E21,E23,E28,E30,E31,E32,E33,E38,E39,E40,E41,E42,E43,E44,E45,E46,E47,E48,E49,E50,E51,E52,E57,E60,E61,E62,E63,E64,E69)=39)),E71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,AND(H$57&lt;&gt;"",COUNT(H6,H8,H9,H11,H12,H13,H14,H15,H16,H18,H21,H23,H28,H30,H31,H32,H33,H38,H39,H40,H41,H42,H43,H44,H45,H46,H47,H48,H49,H50,H51,H52,H57,H60,H61,H62,H63,H64,H69)=39)),H71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,AND(K$57&lt;&gt;"",COUNT(K6,K8,K9,K11,K12,K13,K14,K15,K16,K18,K21,K23,K28,K30,K31,K32,K33,K38,K39,K40,K41,K42,K43,K44,K45,K46,K47,K48,K49,K50,K51,K52,K57,K60,K61,K62,K63,K64,K69)=39)),K71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,AND(N$57&lt;&gt;"",COUNT(N6,N8,N9,N11,N12,N13,N14,N15,N16,N18,N21,N23,N28,N30,N31,N32,N33,N38,N39,N40,N41,N42,N43,N44,N45,N46,N47,N48,N49,N50,N51,N52,N57,N60,N61,N62,N63,N64,N69)=39)),N71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,AND(Q$57&lt;&gt;"",COUNT(Q6,Q8,Q9,Q11,Q12,Q13,Q14,Q15,Q16,Q18,Q21,Q23,Q28,Q30,Q31,Q32,Q33,Q38,Q39,Q40,Q41,Q42,Q43,Q44,Q45,Q46,Q47,Q48,Q49,Q50,Q51,Q52,Q57,Q60,Q61,Q62,Q63,Q64,Q69)=39)),Q71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,AND(T$57&lt;&gt;"",COUNT(T6,T8,T9,T11,T12,T13,T14,T15,T16,T18,T21,T23,T28,T30,T31,T32,T33,T38,T39,T40,T41,T42,T43,T44,T45,T46,T47,T48,T49,T50,T51,T52,T57,T60,T61,T62,T63,T64,T69)=39)),T71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,AND(W$57&lt;&gt;"",COUNT(W6,W8,W9,W11,W12,W13,W14,W15,W16,W18,W21,W23,W28,W30,W31,W32,W33,W38,W39,W40,W41,W42,W43,W44,W45,W46,W47,W48,W49,W50,W51,W52,W57,W60,W61,W62,W63,W64,W69)=39)),W71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,AND(Z$57&lt;&gt;"",COUNT(Z6,Z8,Z9,Z11,Z12,Z13,Z14,Z15,Z16,Z18,Z21,Z23,Z28,Z30,Z31,Z32,Z33,Z38,Z39,Z40,Z41,Z42,Z43,Z44,Z45,Z46,Z47,Z48,Z49,Z50,Z51,Z52,Z57,Z60,Z61,Z62,Z63,Z64,Z69)=39)),Z71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,AND(AC$57&lt;&gt;"",COUNT(AC6,AC8,AC9,AC11,AC12,AC13,AC14,AC15,AC16,AC18,AC21,AC23,AC28,AC30,AC31,AC32,AC33,AC38,AC39,AC40,AC41,AC42,AC43,AC44,AC45,AC46,AC47,AC48,AC49,AC50,AC51,AC52,AC57,AC60,AC61,AC62,AC63,AC64,AC69)=39)),AC71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,AND(AF$57&lt;&gt;"",COUNT(AF6,AF8,AF9,AF11,AF12,AF13,AF14,AF15,AF16,AF18,AF21,AF23,AF28,AF30,AF31,AF32,AF33,AF38,AF39,AF40,AF41,AF42,AF43,AF44,AF45,AF46,AF47,AF48,AF49,AF50,AF51,AF52,AF57,AF60,AF61,AF62,AF63,AF64,AF69)=39)),AF71,IF(AND(AND(AL$57&lt;&gt;"",COUNT(AL6,AL8,AL9,AL11,AL12,AL13,AL14,AL15,AL16,AL18,AL21,AL23,AL28,AL30,AL31,AL32,AL33,AL38,AL39,AL40,AL41,AL42,AL43,AL44,AL45,AL46,AL47,AL48,AL49,AL50,AL51,AL52,AL57,AL60,AL61,AL62,AL63,AL64,AL69)=39),AND(AI$57&lt;&gt;"",COUNT(AI6,AI8,AI9,AI11,AI12,AI13,AI14,AI15,AI16,AI18,AI21,AI23,AI28,AI30,AI31,AI32,AI33,AI38,AI39,AI40,AI41,AI42,AI43,AI44,AI45,AI46,AI47,AI48,AI49,AI50,AI51,AI52,AI57,AI60,AI61,AI62,AI63,AI64,AI69)=39)),AI71,IF(AND(AND(AL$57&lt;&gt;"",COUNT(AL6,AL8,AL9,AL11,AL12,AL13,AL14,AL15,AL16,AL18,AL21,AL23,AL28,AL30,AL31,AL32,AL33,AL38,AL39,AL40,AL41,AL42,AL43,AL44,AL45,AL46,AL47,AL48,AL49,AL50,AL51,AL52,AL57,AL60,AL61,AL62,AL63,AL64,AL69)=39)),AL71,""))))))))))))</x:f>
        <x:v>OK</x:v>
      </x:c>
      <x:c r="C71" s="102" t="str">
        <x:f>F71</x:f>
        <x:v>OK</x:v>
      </x:c>
      <x:c r="D71" s="103" t="str">
        <x:f>G71</x:f>
        <x:v>OK</x:v>
      </x:c>
      <x:c r="E71" s="101" t="str">
        <x:f>IF(E70="","",IF(E70&lt;0,"ACTION","OK"))</x:f>
      </x:c>
      <x:c r="F71" s="102" t="str">
        <x:f>IF(F70="","",IF(F70&lt;0,"ACTION","OK"))</x:f>
        <x:v>OK</x:v>
      </x:c>
      <x:c r="G71" s="103" t="str">
        <x:f>IF(G70="","",IF(G70&lt;0,"ACTION","OK"))</x:f>
        <x:v>OK</x:v>
      </x:c>
      <x:c r="H71" s="101" t="str">
        <x:f>IF(H70="","",IF(H70&lt;0,"ACTION","OK"))</x:f>
      </x:c>
      <x:c r="I71" s="102" t="str">
        <x:f>IF(I70="","",IF(I70&lt;0,"ACTION","OK"))</x:f>
        <x:v>OK</x:v>
      </x:c>
      <x:c r="J71" s="103" t="str">
        <x:f>IF(J70="","",IF(J70&lt;0,"ACTION","OK"))</x:f>
        <x:v>OK</x:v>
      </x:c>
      <x:c r="K71" s="101" t="str">
        <x:f>IF(K70="","",IF(K70&lt;0,"ACTION","OK"))</x:f>
      </x:c>
      <x:c r="L71" s="102" t="str">
        <x:f>IF(L70="","",IF(L70&lt;0,"ACTION","OK"))</x:f>
        <x:v>OK</x:v>
      </x:c>
      <x:c r="M71" s="103" t="str">
        <x:f>IF(M70="","",IF(M70&lt;0,"ACTION","OK"))</x:f>
        <x:v>OK</x:v>
      </x:c>
      <x:c r="N71" s="101" t="str">
        <x:f>IF(N70="","",IF(N70&lt;0,"ACTION","OK"))</x:f>
      </x:c>
      <x:c r="O71" s="102" t="str">
        <x:f>IF(O70="","",IF(O70&lt;0,"ACTION","OK"))</x:f>
        <x:v>OK</x:v>
      </x:c>
      <x:c r="P71" s="103" t="str">
        <x:f>IF(P70="","",IF(P70&lt;0,"ACTION","OK"))</x:f>
        <x:v>OK</x:v>
      </x:c>
      <x:c r="Q71" s="101" t="str">
        <x:f>IF(Q70="","",IF(Q70&lt;0,"ACTION","OK"))</x:f>
      </x:c>
      <x:c r="R71" s="102" t="str">
        <x:f>IF(R70="","",IF(R70&lt;0,"ACTION","OK"))</x:f>
        <x:v>OK</x:v>
      </x:c>
      <x:c r="S71" s="103" t="str">
        <x:f>IF(S70="","",IF(S70&lt;0,"ACTION","OK"))</x:f>
        <x:v>OK</x:v>
      </x:c>
      <x:c r="T71" s="101" t="str">
        <x:f>IF(T70="","",IF(T70&lt;0,"ACTION","OK"))</x:f>
      </x:c>
      <x:c r="U71" s="102" t="str">
        <x:f>IF(U70="","",IF(U70&lt;0,"ACTION","OK"))</x:f>
        <x:v>OK</x:v>
      </x:c>
      <x:c r="V71" s="103" t="str">
        <x:f>IF(V70="","",IF(V70&lt;0,"ACTION","OK"))</x:f>
        <x:v>OK</x:v>
      </x:c>
      <x:c r="W71" s="101" t="str">
        <x:f>IF(W70="","",IF(W70&lt;0,"ACTION","OK"))</x:f>
      </x:c>
      <x:c r="X71" s="102" t="str">
        <x:f>IF(X70="","",IF(X70&lt;0,"ACTION","OK"))</x:f>
        <x:v>OK</x:v>
      </x:c>
      <x:c r="Y71" s="103" t="str">
        <x:f>IF(Y70="","",IF(Y70&lt;0,"ACTION","OK"))</x:f>
        <x:v>OK</x:v>
      </x:c>
      <x:c r="Z71" s="101" t="str">
        <x:f>IF(Z70="","",IF(Z70&lt;0,"ACTION","OK"))</x:f>
      </x:c>
      <x:c r="AA71" s="102" t="str">
        <x:f>IF(AA70="","",IF(AA70&lt;0,"ACTION","OK"))</x:f>
        <x:v>OK</x:v>
      </x:c>
      <x:c r="AB71" s="103" t="str">
        <x:f>IF(AB70="","",IF(AB70&lt;0,"ACTION","OK"))</x:f>
        <x:v>OK</x:v>
      </x:c>
      <x:c r="AC71" s="101" t="str">
        <x:f>IF(AC70="","",IF(AC70&lt;0,"ACTION","OK"))</x:f>
      </x:c>
      <x:c r="AD71" s="102" t="str">
        <x:f>IF(AD70="","",IF(AD70&lt;0,"ACTION","OK"))</x:f>
        <x:v>OK</x:v>
      </x:c>
      <x:c r="AE71" s="103" t="str">
        <x:f>IF(AE70="","",IF(AE70&lt;0,"ACTION","OK"))</x:f>
        <x:v>OK</x:v>
      </x:c>
      <x:c r="AF71" s="101" t="str">
        <x:f>IF(AF70="","",IF(AF70&lt;0,"ACTION","OK"))</x:f>
      </x:c>
      <x:c r="AG71" s="102" t="str">
        <x:f>IF(AG70="","",IF(AG70&lt;0,"ACTION","OK"))</x:f>
        <x:v>OK</x:v>
      </x:c>
      <x:c r="AH71" s="103" t="str">
        <x:f>IF(AH70="","",IF(AH70&lt;0,"ACTION","OK"))</x:f>
        <x:v>OK</x:v>
      </x:c>
      <x:c r="AI71" s="101" t="str">
        <x:f>IF(AI70="","",IF(AI70&lt;0,"ACTION","OK"))</x:f>
        <x:v>OK</x:v>
      </x:c>
      <x:c r="AJ71" s="102" t="str">
        <x:f>IF(AJ70="","",IF(AJ70&lt;0,"ACTION","OK"))</x:f>
        <x:v>OK</x:v>
      </x:c>
      <x:c r="AK71" s="103" t="str">
        <x:f>IF(AK70="","",IF(AK70&lt;0,"ACTION","OK"))</x:f>
        <x:v>OK</x:v>
      </x:c>
      <x:c r="AL71" s="101" t="str">
        <x:f>IF(AL70="","",IF(AL70&lt;0,"ACTION","OK"))</x:f>
        <x:v>OK</x:v>
      </x:c>
      <x:c r="AM71" s="102" t="str">
        <x:f>IF(AM70="","",IF(AM70&lt;0,"ACTION","OK"))</x:f>
        <x:v>OK</x:v>
      </x:c>
      <x:c r="AN71" s="103" t="str">
        <x:f>IF(AN70="","",IF(AN70&lt;0,"ACTION","OK"))</x:f>
        <x:v>OK</x:v>
      </x:c>
    </x:row>
    <x:row r="72" ht="24" customHeight="1">
      <x:c r="A72" s="3" t="str">
        <x:v>Opening delivery backlog value</x:v>
      </x:c>
      <x:c r="B72" s="70"/>
      <x:c r="C72" s="70"/>
      <x:c r="D72" s="70"/>
      <x:c r="E72" s="70" t="str">
        <x:f>IF(E21="","",MAX(0,H72+H73-H26))</x:f>
      </x:c>
      <x:c r="F72" s="70" t="n">
        <x:f>MAX(0,I72+I73-I26)</x:f>
        <x:v>0</x:v>
      </x:c>
      <x:c r="G72" s="70" t="n">
        <x:f>MAX(0,J72+J73-J26)</x:f>
        <x:v>0</x:v>
      </x:c>
      <x:c r="H72" s="70" t="str">
        <x:f>IF(H21="","",MAX(0,K72+K73-K26))</x:f>
      </x:c>
      <x:c r="I72" s="70" t="n">
        <x:f>MAX(0,L72+L73-L26)</x:f>
        <x:v>0</x:v>
      </x:c>
      <x:c r="J72" s="70" t="n">
        <x:f>MAX(0,M72+M73-M26)</x:f>
        <x:v>0</x:v>
      </x:c>
      <x:c r="K72" s="70" t="str">
        <x:f>IF(K21="","",MAX(0,N72+N73-N26))</x:f>
      </x:c>
      <x:c r="L72" s="70" t="n">
        <x:f>MAX(0,O72+O73-O26)</x:f>
        <x:v>0</x:v>
      </x:c>
      <x:c r="M72" s="70" t="n">
        <x:f>MAX(0,P72+P73-P26)</x:f>
        <x:v>0</x:v>
      </x:c>
      <x:c r="N72" s="70" t="str">
        <x:f>IF(N21="","",MAX(0,Q72+Q73-Q26))</x:f>
      </x:c>
      <x:c r="O72" s="70" t="n">
        <x:f>MAX(0,R72+R73-R26)</x:f>
        <x:v>0</x:v>
      </x:c>
      <x:c r="P72" s="70" t="n">
        <x:f>MAX(0,S72+S73-S26)</x:f>
        <x:v>0</x:v>
      </x:c>
      <x:c r="Q72" s="70" t="str">
        <x:f>IF(Q21="","",MAX(0,T72+T73-T26))</x:f>
      </x:c>
      <x:c r="R72" s="70" t="n">
        <x:f>MAX(0,U72+U73-U26)</x:f>
        <x:v>0</x:v>
      </x:c>
      <x:c r="S72" s="70" t="n">
        <x:f>MAX(0,V72+V73-V26)</x:f>
        <x:v>0</x:v>
      </x:c>
      <x:c r="T72" s="70" t="str">
        <x:f>IF(T21="","",MAX(0,W72+W73-W26))</x:f>
      </x:c>
      <x:c r="U72" s="70" t="n">
        <x:f>MAX(0,X72+X73-X26)</x:f>
        <x:v>0</x:v>
      </x:c>
      <x:c r="V72" s="70" t="n">
        <x:f>MAX(0,Y72+Y73-Y26)</x:f>
        <x:v>0</x:v>
      </x:c>
      <x:c r="W72" s="70" t="str">
        <x:f>IF(W21="","",MAX(0,Z72+Z73-Z26))</x:f>
      </x:c>
      <x:c r="X72" s="70" t="n">
        <x:f>MAX(0,AA72+AA73-AA26)</x:f>
        <x:v>0</x:v>
      </x:c>
      <x:c r="Y72" s="70" t="n">
        <x:f>MAX(0,AB72+AB73-AB26)</x:f>
        <x:v>0</x:v>
      </x:c>
      <x:c r="Z72" s="70" t="str">
        <x:f>IF(Z21="","",MAX(0,AC72+AC73-AC26))</x:f>
      </x:c>
      <x:c r="AA72" s="70" t="n">
        <x:f>MAX(0,AD72+AD73-AD26)</x:f>
        <x:v>0</x:v>
      </x:c>
      <x:c r="AB72" s="70" t="n">
        <x:f>MAX(0,AE72+AE73-AE26)</x:f>
        <x:v>0</x:v>
      </x:c>
      <x:c r="AC72" s="70" t="str">
        <x:f>IF(AC21="","",MAX(0,AF72+AF73-AF26))</x:f>
      </x:c>
      <x:c r="AD72" s="70" t="n">
        <x:f>MAX(0,AG72+AG73-AG26)</x:f>
        <x:v>0</x:v>
      </x:c>
      <x:c r="AE72" s="70" t="n">
        <x:f>MAX(0,AH72+AH73-AH26)</x:f>
        <x:v>0</x:v>
      </x:c>
      <x:c r="AF72" s="70" t="str">
        <x:f>IF(AF21="","",MAX(0,AI72+AI73-AI26))</x:f>
      </x:c>
      <x:c r="AG72" s="70" t="n">
        <x:f>MAX(0,AJ72+AJ73-AJ26)</x:f>
        <x:v>0</x:v>
      </x:c>
      <x:c r="AH72" s="70" t="n">
        <x:f>MAX(0,AK72+AK73-AK26)</x:f>
        <x:v>0</x:v>
      </x:c>
      <x:c r="AI72" s="70" t="n">
        <x:f>IF(AI21="","",MAX(0,AL72+AL73-AL26))</x:f>
        <x:v>15000</x:v>
      </x:c>
      <x:c r="AJ72" s="70" t="n">
        <x:f>MAX(0,AM72+AM73-AM26)</x:f>
        <x:v>15000</x:v>
      </x:c>
      <x:c r="AK72" s="70" t="n">
        <x:f>MAX(0,AN72+AN73-AN26)</x:f>
        <x:v>0</x:v>
      </x:c>
      <x:c r="AL72" s="70" t="n">
        <x:f>$AL$79*AL13</x:f>
        <x:v>25000</x:v>
      </x:c>
      <x:c r="AM72" s="70" t="n">
        <x:f>$AL$79*AM13</x:f>
        <x:v>25000</x:v>
      </x:c>
      <x:c r="AN72" s="70" t="n">
        <x:f>$AL$79*AN13</x:f>
        <x:v>40000</x:v>
      </x:c>
    </x:row>
    <x:row r="73" ht="24" customHeight="1">
      <x:c r="A73" s="3" t="str">
        <x:v>Contracts scheduled value</x:v>
      </x:c>
      <x:c r="B73" s="70"/>
      <x:c r="C73" s="70"/>
      <x:c r="D73" s="70"/>
      <x:c r="E73" s="70" t="n">
        <x:f>ROUND(SUM(IF(AND(AL$12&lt;&gt;"",AL$14&lt;&gt;""),IF(EOMONTH($AL$3+INT((DAY(EOMONTH($AL$3,0))-1)/2)+AL$14,0)=EOMONTH($E$3,0),AL$12*AL$13,0),0),IF(AND(AI$12&lt;&gt;"",AI$14&lt;&gt;""),IF(EOMONTH($AI$3+INT((DAY(EOMONTH($AI$3,0))-1)/2)+AI$14,0)=EOMONTH($E$3,0),AI$12*AI$13,0),0),IF(AND(AF$12&lt;&gt;"",AF$14&lt;&gt;""),IF(EOMONTH($AF$3+INT((DAY(EOMONTH($AF$3,0))-1)/2)+AF$14,0)=EOMONTH($E$3,0),AF$12*AF$13,0),0),IF(AND(AC$12&lt;&gt;"",AC$14&lt;&gt;""),IF(EOMONTH($AC$3+INT((DAY(EOMONTH($AC$3,0))-1)/2)+AC$14,0)=EOMONTH($E$3,0),AC$12*AC$13,0),0),IF(AND(Z$12&lt;&gt;"",Z$14&lt;&gt;""),IF(EOMONTH($Z$3+INT((DAY(EOMONTH($Z$3,0))-1)/2)+Z$14,0)=EOMONTH($E$3,0),Z$12*Z$13,0),0),IF(AND(W$12&lt;&gt;"",W$14&lt;&gt;""),IF(EOMONTH($W$3+INT((DAY(EOMONTH($W$3,0))-1)/2)+W$14,0)=EOMONTH($E$3,0),W$12*W$13,0),0),IF(AND(T$12&lt;&gt;"",T$14&lt;&gt;""),IF(EOMONTH($T$3+INT((DAY(EOMONTH($T$3,0))-1)/2)+T$14,0)=EOMONTH($E$3,0),T$12*T$13,0),0),IF(AND(Q$12&lt;&gt;"",Q$14&lt;&gt;""),IF(EOMONTH($Q$3+INT((DAY(EOMONTH($Q$3,0))-1)/2)+Q$14,0)=EOMONTH($E$3,0),Q$12*Q$13,0),0),IF(AND(N$12&lt;&gt;"",N$14&lt;&gt;""),IF(EOMONTH($N$3+INT((DAY(EOMONTH($N$3,0))-1)/2)+N$14,0)=EOMONTH($E$3,0),N$12*N$13,0),0),IF(AND(K$12&lt;&gt;"",K$14&lt;&gt;""),IF(EOMONTH($K$3+INT((DAY(EOMONTH($K$3,0))-1)/2)+K$14,0)=EOMONTH($E$3,0),K$12*K$13,0),0),IF(AND(H$12&lt;&gt;"",H$14&lt;&gt;""),IF(EOMONTH($H$3+INT((DAY(EOMONTH($H$3,0))-1)/2)+H$14,0)=EOMONTH($E$3,0),H$12*H$13,0),0),IF(AND(E$12&lt;&gt;"",E$14&lt;&gt;""),IF(EOMONTH($E$3+INT((DAY(EOMONTH($E$3,0))-1)/2)+E$14,0)=EOMONTH($E$3,0),E$12*E$13,0),0),IF(EOMONTH($AL$75+AL$14,0)=EOMONTH($E$3,0),$AL$77*AL$13,0)),0)</x:f>
        <x:v>0</x:v>
      </x:c>
      <x:c r="F73" s="70" t="n">
        <x:f>ROUND(SUM(IF(AND(AM$12&lt;&gt;"",AM$14&lt;&gt;""),IF(EOMONTH($AL$3+INT((DAY(EOMONTH($AL$3,0))-1)/2)+AM$14,0)=EOMONTH($E$3,0),AM$12*AM$13,0),0),IF(AND(AJ$12&lt;&gt;"",AJ$14&lt;&gt;""),IF(EOMONTH($AI$3+INT((DAY(EOMONTH($AI$3,0))-1)/2)+AJ$14,0)=EOMONTH($E$3,0),AJ$12*AJ$13,0),0),IF(AND(AG$12&lt;&gt;"",AG$14&lt;&gt;""),IF(EOMONTH($AF$3+INT((DAY(EOMONTH($AF$3,0))-1)/2)+AG$14,0)=EOMONTH($E$3,0),AG$12*AG$13,0),0),IF(AND(AD$12&lt;&gt;"",AD$14&lt;&gt;""),IF(EOMONTH($AC$3+INT((DAY(EOMONTH($AC$3,0))-1)/2)+AD$14,0)=EOMONTH($E$3,0),AD$12*AD$13,0),0),IF(AND(AA$12&lt;&gt;"",AA$14&lt;&gt;""),IF(EOMONTH($Z$3+INT((DAY(EOMONTH($Z$3,0))-1)/2)+AA$14,0)=EOMONTH($E$3,0),AA$12*AA$13,0),0),IF(AND(X$12&lt;&gt;"",X$14&lt;&gt;""),IF(EOMONTH($W$3+INT((DAY(EOMONTH($W$3,0))-1)/2)+X$14,0)=EOMONTH($E$3,0),X$12*X$13,0),0),IF(AND(U$12&lt;&gt;"",U$14&lt;&gt;""),IF(EOMONTH($T$3+INT((DAY(EOMONTH($T$3,0))-1)/2)+U$14,0)=EOMONTH($E$3,0),U$12*U$13,0),0),IF(AND(R$12&lt;&gt;"",R$14&lt;&gt;""),IF(EOMONTH($Q$3+INT((DAY(EOMONTH($Q$3,0))-1)/2)+R$14,0)=EOMONTH($E$3,0),R$12*R$13,0),0),IF(AND(O$12&lt;&gt;"",O$14&lt;&gt;""),IF(EOMONTH($N$3+INT((DAY(EOMONTH($N$3,0))-1)/2)+O$14,0)=EOMONTH($E$3,0),O$12*O$13,0),0),IF(AND(L$12&lt;&gt;"",L$14&lt;&gt;""),IF(EOMONTH($K$3+INT((DAY(EOMONTH($K$3,0))-1)/2)+L$14,0)=EOMONTH($E$3,0),L$12*L$13,0),0),IF(AND(I$12&lt;&gt;"",I$14&lt;&gt;""),IF(EOMONTH($H$3+INT((DAY(EOMONTH($H$3,0))-1)/2)+I$14,0)=EOMONTH($E$3,0),I$12*I$13,0),0),IF(AND(F$12&lt;&gt;"",F$14&lt;&gt;""),IF(EOMONTH($E$3+INT((DAY(EOMONTH($E$3,0))-1)/2)+F$14,0)=EOMONTH($E$3,0),F$12*F$13,0),0),IF(EOMONTH($AL$75+AM$14,0)=EOMONTH($E$3,0),$AL$77*AM$13,0)),0)</x:f>
        <x:v>96000</x:v>
      </x:c>
      <x:c r="G73" s="70" t="n">
        <x:f>ROUND(SUM(IF(AND(AN$12&lt;&gt;"",AN$14&lt;&gt;""),IF(EOMONTH($AL$3+INT((DAY(EOMONTH($AL$3,0))-1)/2)+AN$14,0)=EOMONTH($E$3,0),AN$12*AN$13,0),0),IF(AND(AK$12&lt;&gt;"",AK$14&lt;&gt;""),IF(EOMONTH($AI$3+INT((DAY(EOMONTH($AI$3,0))-1)/2)+AK$14,0)=EOMONTH($E$3,0),AK$12*AK$13,0),0),IF(AND(AH$12&lt;&gt;"",AH$14&lt;&gt;""),IF(EOMONTH($AF$3+INT((DAY(EOMONTH($AF$3,0))-1)/2)+AH$14,0)=EOMONTH($E$3,0),AH$12*AH$13,0),0),IF(AND(AE$12&lt;&gt;"",AE$14&lt;&gt;""),IF(EOMONTH($AC$3+INT((DAY(EOMONTH($AC$3,0))-1)/2)+AE$14,0)=EOMONTH($E$3,0),AE$12*AE$13,0),0),IF(AND(AB$12&lt;&gt;"",AB$14&lt;&gt;""),IF(EOMONTH($Z$3+INT((DAY(EOMONTH($Z$3,0))-1)/2)+AB$14,0)=EOMONTH($E$3,0),AB$12*AB$13,0),0),IF(AND(Y$12&lt;&gt;"",Y$14&lt;&gt;""),IF(EOMONTH($W$3+INT((DAY(EOMONTH($W$3,0))-1)/2)+Y$14,0)=EOMONTH($E$3,0),Y$12*Y$13,0),0),IF(AND(V$12&lt;&gt;"",V$14&lt;&gt;""),IF(EOMONTH($T$3+INT((DAY(EOMONTH($T$3,0))-1)/2)+V$14,0)=EOMONTH($E$3,0),V$12*V$13,0),0),IF(AND(S$12&lt;&gt;"",S$14&lt;&gt;""),IF(EOMONTH($Q$3+INT((DAY(EOMONTH($Q$3,0))-1)/2)+S$14,0)=EOMONTH($E$3,0),S$12*S$13,0),0),IF(AND(P$12&lt;&gt;"",P$14&lt;&gt;""),IF(EOMONTH($N$3+INT((DAY(EOMONTH($N$3,0))-1)/2)+P$14,0)=EOMONTH($E$3,0),P$12*P$13,0),0),IF(AND(M$12&lt;&gt;"",M$14&lt;&gt;""),IF(EOMONTH($K$3+INT((DAY(EOMONTH($K$3,0))-1)/2)+M$14,0)=EOMONTH($E$3,0),M$12*M$13,0),0),IF(AND(J$12&lt;&gt;"",J$14&lt;&gt;""),IF(EOMONTH($H$3+INT((DAY(EOMONTH($H$3,0))-1)/2)+J$14,0)=EOMONTH($E$3,0),J$12*J$13,0),0),IF(AND(G$12&lt;&gt;"",G$14&lt;&gt;""),IF(EOMONTH($E$3+INT((DAY(EOMONTH($E$3,0))-1)/2)+G$14,0)=EOMONTH($E$3,0),G$12*G$13,0),0),IF(EOMONTH($AL$75+AN$14,0)=EOMONTH($E$3,0),$AL$77*AN$13,0)),0)</x:f>
        <x:v>96000</x:v>
      </x:c>
      <x:c r="H73" s="70" t="n">
        <x:f>ROUND(SUM(IF(AND(AL$12&lt;&gt;"",AL$14&lt;&gt;""),IF(EOMONTH($AL$3+INT((DAY(EOMONTH($AL$3,0))-1)/2)+AL$14,0)=EOMONTH($H$3,0),AL$12*AL$13,0),0),IF(AND(AI$12&lt;&gt;"",AI$14&lt;&gt;""),IF(EOMONTH($AI$3+INT((DAY(EOMONTH($AI$3,0))-1)/2)+AI$14,0)=EOMONTH($H$3,0),AI$12*AI$13,0),0),IF(AND(AF$12&lt;&gt;"",AF$14&lt;&gt;""),IF(EOMONTH($AF$3+INT((DAY(EOMONTH($AF$3,0))-1)/2)+AF$14,0)=EOMONTH($H$3,0),AF$12*AF$13,0),0),IF(AND(AC$12&lt;&gt;"",AC$14&lt;&gt;""),IF(EOMONTH($AC$3+INT((DAY(EOMONTH($AC$3,0))-1)/2)+AC$14,0)=EOMONTH($H$3,0),AC$12*AC$13,0),0),IF(AND(Z$12&lt;&gt;"",Z$14&lt;&gt;""),IF(EOMONTH($Z$3+INT((DAY(EOMONTH($Z$3,0))-1)/2)+Z$14,0)=EOMONTH($H$3,0),Z$12*Z$13,0),0),IF(AND(W$12&lt;&gt;"",W$14&lt;&gt;""),IF(EOMONTH($W$3+INT((DAY(EOMONTH($W$3,0))-1)/2)+W$14,0)=EOMONTH($H$3,0),W$12*W$13,0),0),IF(AND(T$12&lt;&gt;"",T$14&lt;&gt;""),IF(EOMONTH($T$3+INT((DAY(EOMONTH($T$3,0))-1)/2)+T$14,0)=EOMONTH($H$3,0),T$12*T$13,0),0),IF(AND(Q$12&lt;&gt;"",Q$14&lt;&gt;""),IF(EOMONTH($Q$3+INT((DAY(EOMONTH($Q$3,0))-1)/2)+Q$14,0)=EOMONTH($H$3,0),Q$12*Q$13,0),0),IF(AND(N$12&lt;&gt;"",N$14&lt;&gt;""),IF(EOMONTH($N$3+INT((DAY(EOMONTH($N$3,0))-1)/2)+N$14,0)=EOMONTH($H$3,0),N$12*N$13,0),0),IF(AND(K$12&lt;&gt;"",K$14&lt;&gt;""),IF(EOMONTH($K$3+INT((DAY(EOMONTH($K$3,0))-1)/2)+K$14,0)=EOMONTH($H$3,0),K$12*K$13,0),0),IF(AND(H$12&lt;&gt;"",H$14&lt;&gt;""),IF(EOMONTH($H$3+INT((DAY(EOMONTH($H$3,0))-1)/2)+H$14,0)=EOMONTH($H$3,0),H$12*H$13,0),0),IF(AND(E$12&lt;&gt;"",E$14&lt;&gt;""),IF(EOMONTH($E$3+INT((DAY(EOMONTH($E$3,0))-1)/2)+E$14,0)=EOMONTH($H$3,0),E$12*E$13,0),0),IF(EOMONTH($AL$75+AL$14,0)=EOMONTH($H$3,0),$AL$77*AL$13,0)),0)</x:f>
        <x:v>0</x:v>
      </x:c>
      <x:c r="I73" s="70" t="n">
        <x:f>ROUND(SUM(IF(AND(AM$12&lt;&gt;"",AM$14&lt;&gt;""),IF(EOMONTH($AL$3+INT((DAY(EOMONTH($AL$3,0))-1)/2)+AM$14,0)=EOMONTH($H$3,0),AM$12*AM$13,0),0),IF(AND(AJ$12&lt;&gt;"",AJ$14&lt;&gt;""),IF(EOMONTH($AI$3+INT((DAY(EOMONTH($AI$3,0))-1)/2)+AJ$14,0)=EOMONTH($H$3,0),AJ$12*AJ$13,0),0),IF(AND(AG$12&lt;&gt;"",AG$14&lt;&gt;""),IF(EOMONTH($AF$3+INT((DAY(EOMONTH($AF$3,0))-1)/2)+AG$14,0)=EOMONTH($H$3,0),AG$12*AG$13,0),0),IF(AND(AD$12&lt;&gt;"",AD$14&lt;&gt;""),IF(EOMONTH($AC$3+INT((DAY(EOMONTH($AC$3,0))-1)/2)+AD$14,0)=EOMONTH($H$3,0),AD$12*AD$13,0),0),IF(AND(AA$12&lt;&gt;"",AA$14&lt;&gt;""),IF(EOMONTH($Z$3+INT((DAY(EOMONTH($Z$3,0))-1)/2)+AA$14,0)=EOMONTH($H$3,0),AA$12*AA$13,0),0),IF(AND(X$12&lt;&gt;"",X$14&lt;&gt;""),IF(EOMONTH($W$3+INT((DAY(EOMONTH($W$3,0))-1)/2)+X$14,0)=EOMONTH($H$3,0),X$12*X$13,0),0),IF(AND(U$12&lt;&gt;"",U$14&lt;&gt;""),IF(EOMONTH($T$3+INT((DAY(EOMONTH($T$3,0))-1)/2)+U$14,0)=EOMONTH($H$3,0),U$12*U$13,0),0),IF(AND(R$12&lt;&gt;"",R$14&lt;&gt;""),IF(EOMONTH($Q$3+INT((DAY(EOMONTH($Q$3,0))-1)/2)+R$14,0)=EOMONTH($H$3,0),R$12*R$13,0),0),IF(AND(O$12&lt;&gt;"",O$14&lt;&gt;""),IF(EOMONTH($N$3+INT((DAY(EOMONTH($N$3,0))-1)/2)+O$14,0)=EOMONTH($H$3,0),O$12*O$13,0),0),IF(AND(L$12&lt;&gt;"",L$14&lt;&gt;""),IF(EOMONTH($K$3+INT((DAY(EOMONTH($K$3,0))-1)/2)+L$14,0)=EOMONTH($H$3,0),L$12*L$13,0),0),IF(AND(I$12&lt;&gt;"",I$14&lt;&gt;""),IF(EOMONTH($H$3+INT((DAY(EOMONTH($H$3,0))-1)/2)+I$14,0)=EOMONTH($H$3,0),I$12*I$13,0),0),IF(AND(F$12&lt;&gt;"",F$14&lt;&gt;""),IF(EOMONTH($E$3+INT((DAY(EOMONTH($E$3,0))-1)/2)+F$14,0)=EOMONTH($H$3,0),F$12*F$13,0),0),IF(EOMONTH($AL$75+AM$14,0)=EOMONTH($H$3,0),$AL$77*AM$13,0)),0)</x:f>
        <x:v>96000</x:v>
      </x:c>
      <x:c r="J73" s="70" t="n">
        <x:f>ROUND(SUM(IF(AND(AN$12&lt;&gt;"",AN$14&lt;&gt;""),IF(EOMONTH($AL$3+INT((DAY(EOMONTH($AL$3,0))-1)/2)+AN$14,0)=EOMONTH($H$3,0),AN$12*AN$13,0),0),IF(AND(AK$12&lt;&gt;"",AK$14&lt;&gt;""),IF(EOMONTH($AI$3+INT((DAY(EOMONTH($AI$3,0))-1)/2)+AK$14,0)=EOMONTH($H$3,0),AK$12*AK$13,0),0),IF(AND(AH$12&lt;&gt;"",AH$14&lt;&gt;""),IF(EOMONTH($AF$3+INT((DAY(EOMONTH($AF$3,0))-1)/2)+AH$14,0)=EOMONTH($H$3,0),AH$12*AH$13,0),0),IF(AND(AE$12&lt;&gt;"",AE$14&lt;&gt;""),IF(EOMONTH($AC$3+INT((DAY(EOMONTH($AC$3,0))-1)/2)+AE$14,0)=EOMONTH($H$3,0),AE$12*AE$13,0),0),IF(AND(AB$12&lt;&gt;"",AB$14&lt;&gt;""),IF(EOMONTH($Z$3+INT((DAY(EOMONTH($Z$3,0))-1)/2)+AB$14,0)=EOMONTH($H$3,0),AB$12*AB$13,0),0),IF(AND(Y$12&lt;&gt;"",Y$14&lt;&gt;""),IF(EOMONTH($W$3+INT((DAY(EOMONTH($W$3,0))-1)/2)+Y$14,0)=EOMONTH($H$3,0),Y$12*Y$13,0),0),IF(AND(V$12&lt;&gt;"",V$14&lt;&gt;""),IF(EOMONTH($T$3+INT((DAY(EOMONTH($T$3,0))-1)/2)+V$14,0)=EOMONTH($H$3,0),V$12*V$13,0),0),IF(AND(S$12&lt;&gt;"",S$14&lt;&gt;""),IF(EOMONTH($Q$3+INT((DAY(EOMONTH($Q$3,0))-1)/2)+S$14,0)=EOMONTH($H$3,0),S$12*S$13,0),0),IF(AND(P$12&lt;&gt;"",P$14&lt;&gt;""),IF(EOMONTH($N$3+INT((DAY(EOMONTH($N$3,0))-1)/2)+P$14,0)=EOMONTH($H$3,0),P$12*P$13,0),0),IF(AND(M$12&lt;&gt;"",M$14&lt;&gt;""),IF(EOMONTH($K$3+INT((DAY(EOMONTH($K$3,0))-1)/2)+M$14,0)=EOMONTH($H$3,0),M$12*M$13,0),0),IF(AND(J$12&lt;&gt;"",J$14&lt;&gt;""),IF(EOMONTH($H$3+INT((DAY(EOMONTH($H$3,0))-1)/2)+J$14,0)=EOMONTH($H$3,0),J$12*J$13,0),0),IF(AND(G$12&lt;&gt;"",G$14&lt;&gt;""),IF(EOMONTH($E$3+INT((DAY(EOMONTH($E$3,0))-1)/2)+G$14,0)=EOMONTH($H$3,0),G$12*G$13,0),0),IF(EOMONTH($AL$75+AN$14,0)=EOMONTH($H$3,0),$AL$77*AN$13,0)),0)</x:f>
        <x:v>96000</x:v>
      </x:c>
      <x:c r="K73" s="70" t="n">
        <x:f>ROUND(SUM(IF(AND(AL$12&lt;&gt;"",AL$14&lt;&gt;""),IF(EOMONTH($AL$3+INT((DAY(EOMONTH($AL$3,0))-1)/2)+AL$14,0)=EOMONTH($K$3,0),AL$12*AL$13,0),0),IF(AND(AI$12&lt;&gt;"",AI$14&lt;&gt;""),IF(EOMONTH($AI$3+INT((DAY(EOMONTH($AI$3,0))-1)/2)+AI$14,0)=EOMONTH($K$3,0),AI$12*AI$13,0),0),IF(AND(AF$12&lt;&gt;"",AF$14&lt;&gt;""),IF(EOMONTH($AF$3+INT((DAY(EOMONTH($AF$3,0))-1)/2)+AF$14,0)=EOMONTH($K$3,0),AF$12*AF$13,0),0),IF(AND(AC$12&lt;&gt;"",AC$14&lt;&gt;""),IF(EOMONTH($AC$3+INT((DAY(EOMONTH($AC$3,0))-1)/2)+AC$14,0)=EOMONTH($K$3,0),AC$12*AC$13,0),0),IF(AND(Z$12&lt;&gt;"",Z$14&lt;&gt;""),IF(EOMONTH($Z$3+INT((DAY(EOMONTH($Z$3,0))-1)/2)+Z$14,0)=EOMONTH($K$3,0),Z$12*Z$13,0),0),IF(AND(W$12&lt;&gt;"",W$14&lt;&gt;""),IF(EOMONTH($W$3+INT((DAY(EOMONTH($W$3,0))-1)/2)+W$14,0)=EOMONTH($K$3,0),W$12*W$13,0),0),IF(AND(T$12&lt;&gt;"",T$14&lt;&gt;""),IF(EOMONTH($T$3+INT((DAY(EOMONTH($T$3,0))-1)/2)+T$14,0)=EOMONTH($K$3,0),T$12*T$13,0),0),IF(AND(Q$12&lt;&gt;"",Q$14&lt;&gt;""),IF(EOMONTH($Q$3+INT((DAY(EOMONTH($Q$3,0))-1)/2)+Q$14,0)=EOMONTH($K$3,0),Q$12*Q$13,0),0),IF(AND(N$12&lt;&gt;"",N$14&lt;&gt;""),IF(EOMONTH($N$3+INT((DAY(EOMONTH($N$3,0))-1)/2)+N$14,0)=EOMONTH($K$3,0),N$12*N$13,0),0),IF(AND(K$12&lt;&gt;"",K$14&lt;&gt;""),IF(EOMONTH($K$3+INT((DAY(EOMONTH($K$3,0))-1)/2)+K$14,0)=EOMONTH($K$3,0),K$12*K$13,0),0),IF(AND(H$12&lt;&gt;"",H$14&lt;&gt;""),IF(EOMONTH($H$3+INT((DAY(EOMONTH($H$3,0))-1)/2)+H$14,0)=EOMONTH($K$3,0),H$12*H$13,0),0),IF(AND(E$12&lt;&gt;"",E$14&lt;&gt;""),IF(EOMONTH($E$3+INT((DAY(EOMONTH($E$3,0))-1)/2)+E$14,0)=EOMONTH($K$3,0),E$12*E$13,0),0),IF(EOMONTH($AL$75+AL$14,0)=EOMONTH($K$3,0),$AL$77*AL$13,0)),0)</x:f>
        <x:v>0</x:v>
      </x:c>
      <x:c r="L73" s="70" t="n">
        <x:f>ROUND(SUM(IF(AND(AM$12&lt;&gt;"",AM$14&lt;&gt;""),IF(EOMONTH($AL$3+INT((DAY(EOMONTH($AL$3,0))-1)/2)+AM$14,0)=EOMONTH($K$3,0),AM$12*AM$13,0),0),IF(AND(AJ$12&lt;&gt;"",AJ$14&lt;&gt;""),IF(EOMONTH($AI$3+INT((DAY(EOMONTH($AI$3,0))-1)/2)+AJ$14,0)=EOMONTH($K$3,0),AJ$12*AJ$13,0),0),IF(AND(AG$12&lt;&gt;"",AG$14&lt;&gt;""),IF(EOMONTH($AF$3+INT((DAY(EOMONTH($AF$3,0))-1)/2)+AG$14,0)=EOMONTH($K$3,0),AG$12*AG$13,0),0),IF(AND(AD$12&lt;&gt;"",AD$14&lt;&gt;""),IF(EOMONTH($AC$3+INT((DAY(EOMONTH($AC$3,0))-1)/2)+AD$14,0)=EOMONTH($K$3,0),AD$12*AD$13,0),0),IF(AND(AA$12&lt;&gt;"",AA$14&lt;&gt;""),IF(EOMONTH($Z$3+INT((DAY(EOMONTH($Z$3,0))-1)/2)+AA$14,0)=EOMONTH($K$3,0),AA$12*AA$13,0),0),IF(AND(X$12&lt;&gt;"",X$14&lt;&gt;""),IF(EOMONTH($W$3+INT((DAY(EOMONTH($W$3,0))-1)/2)+X$14,0)=EOMONTH($K$3,0),X$12*X$13,0),0),IF(AND(U$12&lt;&gt;"",U$14&lt;&gt;""),IF(EOMONTH($T$3+INT((DAY(EOMONTH($T$3,0))-1)/2)+U$14,0)=EOMONTH($K$3,0),U$12*U$13,0),0),IF(AND(R$12&lt;&gt;"",R$14&lt;&gt;""),IF(EOMONTH($Q$3+INT((DAY(EOMONTH($Q$3,0))-1)/2)+R$14,0)=EOMONTH($K$3,0),R$12*R$13,0),0),IF(AND(O$12&lt;&gt;"",O$14&lt;&gt;""),IF(EOMONTH($N$3+INT((DAY(EOMONTH($N$3,0))-1)/2)+O$14,0)=EOMONTH($K$3,0),O$12*O$13,0),0),IF(AND(L$12&lt;&gt;"",L$14&lt;&gt;""),IF(EOMONTH($K$3+INT((DAY(EOMONTH($K$3,0))-1)/2)+L$14,0)=EOMONTH($K$3,0),L$12*L$13,0),0),IF(AND(I$12&lt;&gt;"",I$14&lt;&gt;""),IF(EOMONTH($H$3+INT((DAY(EOMONTH($H$3,0))-1)/2)+I$14,0)=EOMONTH($K$3,0),I$12*I$13,0),0),IF(AND(F$12&lt;&gt;"",F$14&lt;&gt;""),IF(EOMONTH($E$3+INT((DAY(EOMONTH($E$3,0))-1)/2)+F$14,0)=EOMONTH($K$3,0),F$12*F$13,0),0),IF(EOMONTH($AL$75+AM$14,0)=EOMONTH($K$3,0),$AL$77*AM$13,0)),0)</x:f>
        <x:v>96000</x:v>
      </x:c>
      <x:c r="M73" s="70" t="n">
        <x:f>ROUND(SUM(IF(AND(AN$12&lt;&gt;"",AN$14&lt;&gt;""),IF(EOMONTH($AL$3+INT((DAY(EOMONTH($AL$3,0))-1)/2)+AN$14,0)=EOMONTH($K$3,0),AN$12*AN$13,0),0),IF(AND(AK$12&lt;&gt;"",AK$14&lt;&gt;""),IF(EOMONTH($AI$3+INT((DAY(EOMONTH($AI$3,0))-1)/2)+AK$14,0)=EOMONTH($K$3,0),AK$12*AK$13,0),0),IF(AND(AH$12&lt;&gt;"",AH$14&lt;&gt;""),IF(EOMONTH($AF$3+INT((DAY(EOMONTH($AF$3,0))-1)/2)+AH$14,0)=EOMONTH($K$3,0),AH$12*AH$13,0),0),IF(AND(AE$12&lt;&gt;"",AE$14&lt;&gt;""),IF(EOMONTH($AC$3+INT((DAY(EOMONTH($AC$3,0))-1)/2)+AE$14,0)=EOMONTH($K$3,0),AE$12*AE$13,0),0),IF(AND(AB$12&lt;&gt;"",AB$14&lt;&gt;""),IF(EOMONTH($Z$3+INT((DAY(EOMONTH($Z$3,0))-1)/2)+AB$14,0)=EOMONTH($K$3,0),AB$12*AB$13,0),0),IF(AND(Y$12&lt;&gt;"",Y$14&lt;&gt;""),IF(EOMONTH($W$3+INT((DAY(EOMONTH($W$3,0))-1)/2)+Y$14,0)=EOMONTH($K$3,0),Y$12*Y$13,0),0),IF(AND(V$12&lt;&gt;"",V$14&lt;&gt;""),IF(EOMONTH($T$3+INT((DAY(EOMONTH($T$3,0))-1)/2)+V$14,0)=EOMONTH($K$3,0),V$12*V$13,0),0),IF(AND(S$12&lt;&gt;"",S$14&lt;&gt;""),IF(EOMONTH($Q$3+INT((DAY(EOMONTH($Q$3,0))-1)/2)+S$14,0)=EOMONTH($K$3,0),S$12*S$13,0),0),IF(AND(P$12&lt;&gt;"",P$14&lt;&gt;""),IF(EOMONTH($N$3+INT((DAY(EOMONTH($N$3,0))-1)/2)+P$14,0)=EOMONTH($K$3,0),P$12*P$13,0),0),IF(AND(M$12&lt;&gt;"",M$14&lt;&gt;""),IF(EOMONTH($K$3+INT((DAY(EOMONTH($K$3,0))-1)/2)+M$14,0)=EOMONTH($K$3,0),M$12*M$13,0),0),IF(AND(J$12&lt;&gt;"",J$14&lt;&gt;""),IF(EOMONTH($H$3+INT((DAY(EOMONTH($H$3,0))-1)/2)+J$14,0)=EOMONTH($K$3,0),J$12*J$13,0),0),IF(AND(G$12&lt;&gt;"",G$14&lt;&gt;""),IF(EOMONTH($E$3+INT((DAY(EOMONTH($E$3,0))-1)/2)+G$14,0)=EOMONTH($K$3,0),G$12*G$13,0),0),IF(EOMONTH($AL$75+AN$14,0)=EOMONTH($K$3,0),$AL$77*AN$13,0)),0)</x:f>
        <x:v>96000</x:v>
      </x:c>
      <x:c r="N73" s="70" t="n">
        <x:f>ROUND(SUM(IF(AND(AL$12&lt;&gt;"",AL$14&lt;&gt;""),IF(EOMONTH($AL$3+INT((DAY(EOMONTH($AL$3,0))-1)/2)+AL$14,0)=EOMONTH($N$3,0),AL$12*AL$13,0),0),IF(AND(AI$12&lt;&gt;"",AI$14&lt;&gt;""),IF(EOMONTH($AI$3+INT((DAY(EOMONTH($AI$3,0))-1)/2)+AI$14,0)=EOMONTH($N$3,0),AI$12*AI$13,0),0),IF(AND(AF$12&lt;&gt;"",AF$14&lt;&gt;""),IF(EOMONTH($AF$3+INT((DAY(EOMONTH($AF$3,0))-1)/2)+AF$14,0)=EOMONTH($N$3,0),AF$12*AF$13,0),0),IF(AND(AC$12&lt;&gt;"",AC$14&lt;&gt;""),IF(EOMONTH($AC$3+INT((DAY(EOMONTH($AC$3,0))-1)/2)+AC$14,0)=EOMONTH($N$3,0),AC$12*AC$13,0),0),IF(AND(Z$12&lt;&gt;"",Z$14&lt;&gt;""),IF(EOMONTH($Z$3+INT((DAY(EOMONTH($Z$3,0))-1)/2)+Z$14,0)=EOMONTH($N$3,0),Z$12*Z$13,0),0),IF(AND(W$12&lt;&gt;"",W$14&lt;&gt;""),IF(EOMONTH($W$3+INT((DAY(EOMONTH($W$3,0))-1)/2)+W$14,0)=EOMONTH($N$3,0),W$12*W$13,0),0),IF(AND(T$12&lt;&gt;"",T$14&lt;&gt;""),IF(EOMONTH($T$3+INT((DAY(EOMONTH($T$3,0))-1)/2)+T$14,0)=EOMONTH($N$3,0),T$12*T$13,0),0),IF(AND(Q$12&lt;&gt;"",Q$14&lt;&gt;""),IF(EOMONTH($Q$3+INT((DAY(EOMONTH($Q$3,0))-1)/2)+Q$14,0)=EOMONTH($N$3,0),Q$12*Q$13,0),0),IF(AND(N$12&lt;&gt;"",N$14&lt;&gt;""),IF(EOMONTH($N$3+INT((DAY(EOMONTH($N$3,0))-1)/2)+N$14,0)=EOMONTH($N$3,0),N$12*N$13,0),0),IF(AND(K$12&lt;&gt;"",K$14&lt;&gt;""),IF(EOMONTH($K$3+INT((DAY(EOMONTH($K$3,0))-1)/2)+K$14,0)=EOMONTH($N$3,0),K$12*K$13,0),0),IF(AND(H$12&lt;&gt;"",H$14&lt;&gt;""),IF(EOMONTH($H$3+INT((DAY(EOMONTH($H$3,0))-1)/2)+H$14,0)=EOMONTH($N$3,0),H$12*H$13,0),0),IF(AND(E$12&lt;&gt;"",E$14&lt;&gt;""),IF(EOMONTH($E$3+INT((DAY(EOMONTH($E$3,0))-1)/2)+E$14,0)=EOMONTH($N$3,0),E$12*E$13,0),0),IF(EOMONTH($AL$75+AL$14,0)=EOMONTH($N$3,0),$AL$77*AL$13,0)),0)</x:f>
        <x:v>0</x:v>
      </x:c>
      <x:c r="O73" s="70" t="n">
        <x:f>ROUND(SUM(IF(AND(AM$12&lt;&gt;"",AM$14&lt;&gt;""),IF(EOMONTH($AL$3+INT((DAY(EOMONTH($AL$3,0))-1)/2)+AM$14,0)=EOMONTH($N$3,0),AM$12*AM$13,0),0),IF(AND(AJ$12&lt;&gt;"",AJ$14&lt;&gt;""),IF(EOMONTH($AI$3+INT((DAY(EOMONTH($AI$3,0))-1)/2)+AJ$14,0)=EOMONTH($N$3,0),AJ$12*AJ$13,0),0),IF(AND(AG$12&lt;&gt;"",AG$14&lt;&gt;""),IF(EOMONTH($AF$3+INT((DAY(EOMONTH($AF$3,0))-1)/2)+AG$14,0)=EOMONTH($N$3,0),AG$12*AG$13,0),0),IF(AND(AD$12&lt;&gt;"",AD$14&lt;&gt;""),IF(EOMONTH($AC$3+INT((DAY(EOMONTH($AC$3,0))-1)/2)+AD$14,0)=EOMONTH($N$3,0),AD$12*AD$13,0),0),IF(AND(AA$12&lt;&gt;"",AA$14&lt;&gt;""),IF(EOMONTH($Z$3+INT((DAY(EOMONTH($Z$3,0))-1)/2)+AA$14,0)=EOMONTH($N$3,0),AA$12*AA$13,0),0),IF(AND(X$12&lt;&gt;"",X$14&lt;&gt;""),IF(EOMONTH($W$3+INT((DAY(EOMONTH($W$3,0))-1)/2)+X$14,0)=EOMONTH($N$3,0),X$12*X$13,0),0),IF(AND(U$12&lt;&gt;"",U$14&lt;&gt;""),IF(EOMONTH($T$3+INT((DAY(EOMONTH($T$3,0))-1)/2)+U$14,0)=EOMONTH($N$3,0),U$12*U$13,0),0),IF(AND(R$12&lt;&gt;"",R$14&lt;&gt;""),IF(EOMONTH($Q$3+INT((DAY(EOMONTH($Q$3,0))-1)/2)+R$14,0)=EOMONTH($N$3,0),R$12*R$13,0),0),IF(AND(O$12&lt;&gt;"",O$14&lt;&gt;""),IF(EOMONTH($N$3+INT((DAY(EOMONTH($N$3,0))-1)/2)+O$14,0)=EOMONTH($N$3,0),O$12*O$13,0),0),IF(AND(L$12&lt;&gt;"",L$14&lt;&gt;""),IF(EOMONTH($K$3+INT((DAY(EOMONTH($K$3,0))-1)/2)+L$14,0)=EOMONTH($N$3,0),L$12*L$13,0),0),IF(AND(I$12&lt;&gt;"",I$14&lt;&gt;""),IF(EOMONTH($H$3+INT((DAY(EOMONTH($H$3,0))-1)/2)+I$14,0)=EOMONTH($N$3,0),I$12*I$13,0),0),IF(AND(F$12&lt;&gt;"",F$14&lt;&gt;""),IF(EOMONTH($E$3+INT((DAY(EOMONTH($E$3,0))-1)/2)+F$14,0)=EOMONTH($N$3,0),F$12*F$13,0),0),IF(EOMONTH($AL$75+AM$14,0)=EOMONTH($N$3,0),$AL$77*AM$13,0)),0)</x:f>
        <x:v>96000</x:v>
      </x:c>
      <x:c r="P73" s="70" t="n">
        <x:f>ROUND(SUM(IF(AND(AN$12&lt;&gt;"",AN$14&lt;&gt;""),IF(EOMONTH($AL$3+INT((DAY(EOMONTH($AL$3,0))-1)/2)+AN$14,0)=EOMONTH($N$3,0),AN$12*AN$13,0),0),IF(AND(AK$12&lt;&gt;"",AK$14&lt;&gt;""),IF(EOMONTH($AI$3+INT((DAY(EOMONTH($AI$3,0))-1)/2)+AK$14,0)=EOMONTH($N$3,0),AK$12*AK$13,0),0),IF(AND(AH$12&lt;&gt;"",AH$14&lt;&gt;""),IF(EOMONTH($AF$3+INT((DAY(EOMONTH($AF$3,0))-1)/2)+AH$14,0)=EOMONTH($N$3,0),AH$12*AH$13,0),0),IF(AND(AE$12&lt;&gt;"",AE$14&lt;&gt;""),IF(EOMONTH($AC$3+INT((DAY(EOMONTH($AC$3,0))-1)/2)+AE$14,0)=EOMONTH($N$3,0),AE$12*AE$13,0),0),IF(AND(AB$12&lt;&gt;"",AB$14&lt;&gt;""),IF(EOMONTH($Z$3+INT((DAY(EOMONTH($Z$3,0))-1)/2)+AB$14,0)=EOMONTH($N$3,0),AB$12*AB$13,0),0),IF(AND(Y$12&lt;&gt;"",Y$14&lt;&gt;""),IF(EOMONTH($W$3+INT((DAY(EOMONTH($W$3,0))-1)/2)+Y$14,0)=EOMONTH($N$3,0),Y$12*Y$13,0),0),IF(AND(V$12&lt;&gt;"",V$14&lt;&gt;""),IF(EOMONTH($T$3+INT((DAY(EOMONTH($T$3,0))-1)/2)+V$14,0)=EOMONTH($N$3,0),V$12*V$13,0),0),IF(AND(S$12&lt;&gt;"",S$14&lt;&gt;""),IF(EOMONTH($Q$3+INT((DAY(EOMONTH($Q$3,0))-1)/2)+S$14,0)=EOMONTH($N$3,0),S$12*S$13,0),0),IF(AND(P$12&lt;&gt;"",P$14&lt;&gt;""),IF(EOMONTH($N$3+INT((DAY(EOMONTH($N$3,0))-1)/2)+P$14,0)=EOMONTH($N$3,0),P$12*P$13,0),0),IF(AND(M$12&lt;&gt;"",M$14&lt;&gt;""),IF(EOMONTH($K$3+INT((DAY(EOMONTH($K$3,0))-1)/2)+M$14,0)=EOMONTH($N$3,0),M$12*M$13,0),0),IF(AND(J$12&lt;&gt;"",J$14&lt;&gt;""),IF(EOMONTH($H$3+INT((DAY(EOMONTH($H$3,0))-1)/2)+J$14,0)=EOMONTH($N$3,0),J$12*J$13,0),0),IF(AND(G$12&lt;&gt;"",G$14&lt;&gt;""),IF(EOMONTH($E$3+INT((DAY(EOMONTH($E$3,0))-1)/2)+G$14,0)=EOMONTH($N$3,0),G$12*G$13,0),0),IF(EOMONTH($AL$75+AN$14,0)=EOMONTH($N$3,0),$AL$77*AN$13,0)),0)</x:f>
        <x:v>96000</x:v>
      </x:c>
      <x:c r="Q73" s="70" t="n">
        <x:f>ROUND(SUM(IF(AND(AL$12&lt;&gt;"",AL$14&lt;&gt;""),IF(EOMONTH($AL$3+INT((DAY(EOMONTH($AL$3,0))-1)/2)+AL$14,0)=EOMONTH($Q$3,0),AL$12*AL$13,0),0),IF(AND(AI$12&lt;&gt;"",AI$14&lt;&gt;""),IF(EOMONTH($AI$3+INT((DAY(EOMONTH($AI$3,0))-1)/2)+AI$14,0)=EOMONTH($Q$3,0),AI$12*AI$13,0),0),IF(AND(AF$12&lt;&gt;"",AF$14&lt;&gt;""),IF(EOMONTH($AF$3+INT((DAY(EOMONTH($AF$3,0))-1)/2)+AF$14,0)=EOMONTH($Q$3,0),AF$12*AF$13,0),0),IF(AND(AC$12&lt;&gt;"",AC$14&lt;&gt;""),IF(EOMONTH($AC$3+INT((DAY(EOMONTH($AC$3,0))-1)/2)+AC$14,0)=EOMONTH($Q$3,0),AC$12*AC$13,0),0),IF(AND(Z$12&lt;&gt;"",Z$14&lt;&gt;""),IF(EOMONTH($Z$3+INT((DAY(EOMONTH($Z$3,0))-1)/2)+Z$14,0)=EOMONTH($Q$3,0),Z$12*Z$13,0),0),IF(AND(W$12&lt;&gt;"",W$14&lt;&gt;""),IF(EOMONTH($W$3+INT((DAY(EOMONTH($W$3,0))-1)/2)+W$14,0)=EOMONTH($Q$3,0),W$12*W$13,0),0),IF(AND(T$12&lt;&gt;"",T$14&lt;&gt;""),IF(EOMONTH($T$3+INT((DAY(EOMONTH($T$3,0))-1)/2)+T$14,0)=EOMONTH($Q$3,0),T$12*T$13,0),0),IF(AND(Q$12&lt;&gt;"",Q$14&lt;&gt;""),IF(EOMONTH($Q$3+INT((DAY(EOMONTH($Q$3,0))-1)/2)+Q$14,0)=EOMONTH($Q$3,0),Q$12*Q$13,0),0),IF(AND(N$12&lt;&gt;"",N$14&lt;&gt;""),IF(EOMONTH($N$3+INT((DAY(EOMONTH($N$3,0))-1)/2)+N$14,0)=EOMONTH($Q$3,0),N$12*N$13,0),0),IF(AND(K$12&lt;&gt;"",K$14&lt;&gt;""),IF(EOMONTH($K$3+INT((DAY(EOMONTH($K$3,0))-1)/2)+K$14,0)=EOMONTH($Q$3,0),K$12*K$13,0),0),IF(AND(H$12&lt;&gt;"",H$14&lt;&gt;""),IF(EOMONTH($H$3+INT((DAY(EOMONTH($H$3,0))-1)/2)+H$14,0)=EOMONTH($Q$3,0),H$12*H$13,0),0),IF(AND(E$12&lt;&gt;"",E$14&lt;&gt;""),IF(EOMONTH($E$3+INT((DAY(EOMONTH($E$3,0))-1)/2)+E$14,0)=EOMONTH($Q$3,0),E$12*E$13,0),0),IF(EOMONTH($AL$75+AL$14,0)=EOMONTH($Q$3,0),$AL$77*AL$13,0)),0)</x:f>
        <x:v>0</x:v>
      </x:c>
      <x:c r="R73" s="70" t="n">
        <x:f>ROUND(SUM(IF(AND(AM$12&lt;&gt;"",AM$14&lt;&gt;""),IF(EOMONTH($AL$3+INT((DAY(EOMONTH($AL$3,0))-1)/2)+AM$14,0)=EOMONTH($Q$3,0),AM$12*AM$13,0),0),IF(AND(AJ$12&lt;&gt;"",AJ$14&lt;&gt;""),IF(EOMONTH($AI$3+INT((DAY(EOMONTH($AI$3,0))-1)/2)+AJ$14,0)=EOMONTH($Q$3,0),AJ$12*AJ$13,0),0),IF(AND(AG$12&lt;&gt;"",AG$14&lt;&gt;""),IF(EOMONTH($AF$3+INT((DAY(EOMONTH($AF$3,0))-1)/2)+AG$14,0)=EOMONTH($Q$3,0),AG$12*AG$13,0),0),IF(AND(AD$12&lt;&gt;"",AD$14&lt;&gt;""),IF(EOMONTH($AC$3+INT((DAY(EOMONTH($AC$3,0))-1)/2)+AD$14,0)=EOMONTH($Q$3,0),AD$12*AD$13,0),0),IF(AND(AA$12&lt;&gt;"",AA$14&lt;&gt;""),IF(EOMONTH($Z$3+INT((DAY(EOMONTH($Z$3,0))-1)/2)+AA$14,0)=EOMONTH($Q$3,0),AA$12*AA$13,0),0),IF(AND(X$12&lt;&gt;"",X$14&lt;&gt;""),IF(EOMONTH($W$3+INT((DAY(EOMONTH($W$3,0))-1)/2)+X$14,0)=EOMONTH($Q$3,0),X$12*X$13,0),0),IF(AND(U$12&lt;&gt;"",U$14&lt;&gt;""),IF(EOMONTH($T$3+INT((DAY(EOMONTH($T$3,0))-1)/2)+U$14,0)=EOMONTH($Q$3,0),U$12*U$13,0),0),IF(AND(R$12&lt;&gt;"",R$14&lt;&gt;""),IF(EOMONTH($Q$3+INT((DAY(EOMONTH($Q$3,0))-1)/2)+R$14,0)=EOMONTH($Q$3,0),R$12*R$13,0),0),IF(AND(O$12&lt;&gt;"",O$14&lt;&gt;""),IF(EOMONTH($N$3+INT((DAY(EOMONTH($N$3,0))-1)/2)+O$14,0)=EOMONTH($Q$3,0),O$12*O$13,0),0),IF(AND(L$12&lt;&gt;"",L$14&lt;&gt;""),IF(EOMONTH($K$3+INT((DAY(EOMONTH($K$3,0))-1)/2)+L$14,0)=EOMONTH($Q$3,0),L$12*L$13,0),0),IF(AND(I$12&lt;&gt;"",I$14&lt;&gt;""),IF(EOMONTH($H$3+INT((DAY(EOMONTH($H$3,0))-1)/2)+I$14,0)=EOMONTH($Q$3,0),I$12*I$13,0),0),IF(AND(F$12&lt;&gt;"",F$14&lt;&gt;""),IF(EOMONTH($E$3+INT((DAY(EOMONTH($E$3,0))-1)/2)+F$14,0)=EOMONTH($Q$3,0),F$12*F$13,0),0),IF(EOMONTH($AL$75+AM$14,0)=EOMONTH($Q$3,0),$AL$77*AM$13,0)),0)</x:f>
        <x:v>88000</x:v>
      </x:c>
      <x:c r="S73" s="70" t="n">
        <x:f>ROUND(SUM(IF(AND(AN$12&lt;&gt;"",AN$14&lt;&gt;""),IF(EOMONTH($AL$3+INT((DAY(EOMONTH($AL$3,0))-1)/2)+AN$14,0)=EOMONTH($Q$3,0),AN$12*AN$13,0),0),IF(AND(AK$12&lt;&gt;"",AK$14&lt;&gt;""),IF(EOMONTH($AI$3+INT((DAY(EOMONTH($AI$3,0))-1)/2)+AK$14,0)=EOMONTH($Q$3,0),AK$12*AK$13,0),0),IF(AND(AH$12&lt;&gt;"",AH$14&lt;&gt;""),IF(EOMONTH($AF$3+INT((DAY(EOMONTH($AF$3,0))-1)/2)+AH$14,0)=EOMONTH($Q$3,0),AH$12*AH$13,0),0),IF(AND(AE$12&lt;&gt;"",AE$14&lt;&gt;""),IF(EOMONTH($AC$3+INT((DAY(EOMONTH($AC$3,0))-1)/2)+AE$14,0)=EOMONTH($Q$3,0),AE$12*AE$13,0),0),IF(AND(AB$12&lt;&gt;"",AB$14&lt;&gt;""),IF(EOMONTH($Z$3+INT((DAY(EOMONTH($Z$3,0))-1)/2)+AB$14,0)=EOMONTH($Q$3,0),AB$12*AB$13,0),0),IF(AND(Y$12&lt;&gt;"",Y$14&lt;&gt;""),IF(EOMONTH($W$3+INT((DAY(EOMONTH($W$3,0))-1)/2)+Y$14,0)=EOMONTH($Q$3,0),Y$12*Y$13,0),0),IF(AND(V$12&lt;&gt;"",V$14&lt;&gt;""),IF(EOMONTH($T$3+INT((DAY(EOMONTH($T$3,0))-1)/2)+V$14,0)=EOMONTH($Q$3,0),V$12*V$13,0),0),IF(AND(S$12&lt;&gt;"",S$14&lt;&gt;""),IF(EOMONTH($Q$3+INT((DAY(EOMONTH($Q$3,0))-1)/2)+S$14,0)=EOMONTH($Q$3,0),S$12*S$13,0),0),IF(AND(P$12&lt;&gt;"",P$14&lt;&gt;""),IF(EOMONTH($N$3+INT((DAY(EOMONTH($N$3,0))-1)/2)+P$14,0)=EOMONTH($Q$3,0),P$12*P$13,0),0),IF(AND(M$12&lt;&gt;"",M$14&lt;&gt;""),IF(EOMONTH($K$3+INT((DAY(EOMONTH($K$3,0))-1)/2)+M$14,0)=EOMONTH($Q$3,0),M$12*M$13,0),0),IF(AND(J$12&lt;&gt;"",J$14&lt;&gt;""),IF(EOMONTH($H$3+INT((DAY(EOMONTH($H$3,0))-1)/2)+J$14,0)=EOMONTH($Q$3,0),J$12*J$13,0),0),IF(AND(G$12&lt;&gt;"",G$14&lt;&gt;""),IF(EOMONTH($E$3+INT((DAY(EOMONTH($E$3,0))-1)/2)+G$14,0)=EOMONTH($Q$3,0),G$12*G$13,0),0),IF(EOMONTH($AL$75+AN$14,0)=EOMONTH($Q$3,0),$AL$77*AN$13,0)),0)</x:f>
        <x:v>88000</x:v>
      </x:c>
      <x:c r="T73" s="70" t="n">
        <x:f>ROUND(SUM(IF(AND(AL$12&lt;&gt;"",AL$14&lt;&gt;""),IF(EOMONTH($AL$3+INT((DAY(EOMONTH($AL$3,0))-1)/2)+AL$14,0)=EOMONTH($T$3,0),AL$12*AL$13,0),0),IF(AND(AI$12&lt;&gt;"",AI$14&lt;&gt;""),IF(EOMONTH($AI$3+INT((DAY(EOMONTH($AI$3,0))-1)/2)+AI$14,0)=EOMONTH($T$3,0),AI$12*AI$13,0),0),IF(AND(AF$12&lt;&gt;"",AF$14&lt;&gt;""),IF(EOMONTH($AF$3+INT((DAY(EOMONTH($AF$3,0))-1)/2)+AF$14,0)=EOMONTH($T$3,0),AF$12*AF$13,0),0),IF(AND(AC$12&lt;&gt;"",AC$14&lt;&gt;""),IF(EOMONTH($AC$3+INT((DAY(EOMONTH($AC$3,0))-1)/2)+AC$14,0)=EOMONTH($T$3,0),AC$12*AC$13,0),0),IF(AND(Z$12&lt;&gt;"",Z$14&lt;&gt;""),IF(EOMONTH($Z$3+INT((DAY(EOMONTH($Z$3,0))-1)/2)+Z$14,0)=EOMONTH($T$3,0),Z$12*Z$13,0),0),IF(AND(W$12&lt;&gt;"",W$14&lt;&gt;""),IF(EOMONTH($W$3+INT((DAY(EOMONTH($W$3,0))-1)/2)+W$14,0)=EOMONTH($T$3,0),W$12*W$13,0),0),IF(AND(T$12&lt;&gt;"",T$14&lt;&gt;""),IF(EOMONTH($T$3+INT((DAY(EOMONTH($T$3,0))-1)/2)+T$14,0)=EOMONTH($T$3,0),T$12*T$13,0),0),IF(AND(Q$12&lt;&gt;"",Q$14&lt;&gt;""),IF(EOMONTH($Q$3+INT((DAY(EOMONTH($Q$3,0))-1)/2)+Q$14,0)=EOMONTH($T$3,0),Q$12*Q$13,0),0),IF(AND(N$12&lt;&gt;"",N$14&lt;&gt;""),IF(EOMONTH($N$3+INT((DAY(EOMONTH($N$3,0))-1)/2)+N$14,0)=EOMONTH($T$3,0),N$12*N$13,0),0),IF(AND(K$12&lt;&gt;"",K$14&lt;&gt;""),IF(EOMONTH($K$3+INT((DAY(EOMONTH($K$3,0))-1)/2)+K$14,0)=EOMONTH($T$3,0),K$12*K$13,0),0),IF(AND(H$12&lt;&gt;"",H$14&lt;&gt;""),IF(EOMONTH($H$3+INT((DAY(EOMONTH($H$3,0))-1)/2)+H$14,0)=EOMONTH($T$3,0),H$12*H$13,0),0),IF(AND(E$12&lt;&gt;"",E$14&lt;&gt;""),IF(EOMONTH($E$3+INT((DAY(EOMONTH($E$3,0))-1)/2)+E$14,0)=EOMONTH($T$3,0),E$12*E$13,0),0),IF(EOMONTH($AL$75+AL$14,0)=EOMONTH($T$3,0),$AL$77*AL$13,0)),0)</x:f>
        <x:v>0</x:v>
      </x:c>
      <x:c r="U73" s="70" t="n">
        <x:f>ROUND(SUM(IF(AND(AM$12&lt;&gt;"",AM$14&lt;&gt;""),IF(EOMONTH($AL$3+INT((DAY(EOMONTH($AL$3,0))-1)/2)+AM$14,0)=EOMONTH($T$3,0),AM$12*AM$13,0),0),IF(AND(AJ$12&lt;&gt;"",AJ$14&lt;&gt;""),IF(EOMONTH($AI$3+INT((DAY(EOMONTH($AI$3,0))-1)/2)+AJ$14,0)=EOMONTH($T$3,0),AJ$12*AJ$13,0),0),IF(AND(AG$12&lt;&gt;"",AG$14&lt;&gt;""),IF(EOMONTH($AF$3+INT((DAY(EOMONTH($AF$3,0))-1)/2)+AG$14,0)=EOMONTH($T$3,0),AG$12*AG$13,0),0),IF(AND(AD$12&lt;&gt;"",AD$14&lt;&gt;""),IF(EOMONTH($AC$3+INT((DAY(EOMONTH($AC$3,0))-1)/2)+AD$14,0)=EOMONTH($T$3,0),AD$12*AD$13,0),0),IF(AND(AA$12&lt;&gt;"",AA$14&lt;&gt;""),IF(EOMONTH($Z$3+INT((DAY(EOMONTH($Z$3,0))-1)/2)+AA$14,0)=EOMONTH($T$3,0),AA$12*AA$13,0),0),IF(AND(X$12&lt;&gt;"",X$14&lt;&gt;""),IF(EOMONTH($W$3+INT((DAY(EOMONTH($W$3,0))-1)/2)+X$14,0)=EOMONTH($T$3,0),X$12*X$13,0),0),IF(AND(U$12&lt;&gt;"",U$14&lt;&gt;""),IF(EOMONTH($T$3+INT((DAY(EOMONTH($T$3,0))-1)/2)+U$14,0)=EOMONTH($T$3,0),U$12*U$13,0),0),IF(AND(R$12&lt;&gt;"",R$14&lt;&gt;""),IF(EOMONTH($Q$3+INT((DAY(EOMONTH($Q$3,0))-1)/2)+R$14,0)=EOMONTH($T$3,0),R$12*R$13,0),0),IF(AND(O$12&lt;&gt;"",O$14&lt;&gt;""),IF(EOMONTH($N$3+INT((DAY(EOMONTH($N$3,0))-1)/2)+O$14,0)=EOMONTH($T$3,0),O$12*O$13,0),0),IF(AND(L$12&lt;&gt;"",L$14&lt;&gt;""),IF(EOMONTH($K$3+INT((DAY(EOMONTH($K$3,0))-1)/2)+L$14,0)=EOMONTH($T$3,0),L$12*L$13,0),0),IF(AND(I$12&lt;&gt;"",I$14&lt;&gt;""),IF(EOMONTH($H$3+INT((DAY(EOMONTH($H$3,0))-1)/2)+I$14,0)=EOMONTH($T$3,0),I$12*I$13,0),0),IF(AND(F$12&lt;&gt;"",F$14&lt;&gt;""),IF(EOMONTH($E$3+INT((DAY(EOMONTH($E$3,0))-1)/2)+F$14,0)=EOMONTH($T$3,0),F$12*F$13,0),0),IF(EOMONTH($AL$75+AM$14,0)=EOMONTH($T$3,0),$AL$77*AM$13,0)),0)</x:f>
        <x:v>88000</x:v>
      </x:c>
      <x:c r="V73" s="70" t="n">
        <x:f>ROUND(SUM(IF(AND(AN$12&lt;&gt;"",AN$14&lt;&gt;""),IF(EOMONTH($AL$3+INT((DAY(EOMONTH($AL$3,0))-1)/2)+AN$14,0)=EOMONTH($T$3,0),AN$12*AN$13,0),0),IF(AND(AK$12&lt;&gt;"",AK$14&lt;&gt;""),IF(EOMONTH($AI$3+INT((DAY(EOMONTH($AI$3,0))-1)/2)+AK$14,0)=EOMONTH($T$3,0),AK$12*AK$13,0),0),IF(AND(AH$12&lt;&gt;"",AH$14&lt;&gt;""),IF(EOMONTH($AF$3+INT((DAY(EOMONTH($AF$3,0))-1)/2)+AH$14,0)=EOMONTH($T$3,0),AH$12*AH$13,0),0),IF(AND(AE$12&lt;&gt;"",AE$14&lt;&gt;""),IF(EOMONTH($AC$3+INT((DAY(EOMONTH($AC$3,0))-1)/2)+AE$14,0)=EOMONTH($T$3,0),AE$12*AE$13,0),0),IF(AND(AB$12&lt;&gt;"",AB$14&lt;&gt;""),IF(EOMONTH($Z$3+INT((DAY(EOMONTH($Z$3,0))-1)/2)+AB$14,0)=EOMONTH($T$3,0),AB$12*AB$13,0),0),IF(AND(Y$12&lt;&gt;"",Y$14&lt;&gt;""),IF(EOMONTH($W$3+INT((DAY(EOMONTH($W$3,0))-1)/2)+Y$14,0)=EOMONTH($T$3,0),Y$12*Y$13,0),0),IF(AND(V$12&lt;&gt;"",V$14&lt;&gt;""),IF(EOMONTH($T$3+INT((DAY(EOMONTH($T$3,0))-1)/2)+V$14,0)=EOMONTH($T$3,0),V$12*V$13,0),0),IF(AND(S$12&lt;&gt;"",S$14&lt;&gt;""),IF(EOMONTH($Q$3+INT((DAY(EOMONTH($Q$3,0))-1)/2)+S$14,0)=EOMONTH($T$3,0),S$12*S$13,0),0),IF(AND(P$12&lt;&gt;"",P$14&lt;&gt;""),IF(EOMONTH($N$3+INT((DAY(EOMONTH($N$3,0))-1)/2)+P$14,0)=EOMONTH($T$3,0),P$12*P$13,0),0),IF(AND(M$12&lt;&gt;"",M$14&lt;&gt;""),IF(EOMONTH($K$3+INT((DAY(EOMONTH($K$3,0))-1)/2)+M$14,0)=EOMONTH($T$3,0),M$12*M$13,0),0),IF(AND(J$12&lt;&gt;"",J$14&lt;&gt;""),IF(EOMONTH($H$3+INT((DAY(EOMONTH($H$3,0))-1)/2)+J$14,0)=EOMONTH($T$3,0),J$12*J$13,0),0),IF(AND(G$12&lt;&gt;"",G$14&lt;&gt;""),IF(EOMONTH($E$3+INT((DAY(EOMONTH($E$3,0))-1)/2)+G$14,0)=EOMONTH($T$3,0),G$12*G$13,0),0),IF(EOMONTH($AL$75+AN$14,0)=EOMONTH($T$3,0),$AL$77*AN$13,0)),0)</x:f>
        <x:v>88000</x:v>
      </x:c>
      <x:c r="W73" s="70" t="n">
        <x:f>ROUND(SUM(IF(AND(AL$12&lt;&gt;"",AL$14&lt;&gt;""),IF(EOMONTH($AL$3+INT((DAY(EOMONTH($AL$3,0))-1)/2)+AL$14,0)=EOMONTH($W$3,0),AL$12*AL$13,0),0),IF(AND(AI$12&lt;&gt;"",AI$14&lt;&gt;""),IF(EOMONTH($AI$3+INT((DAY(EOMONTH($AI$3,0))-1)/2)+AI$14,0)=EOMONTH($W$3,0),AI$12*AI$13,0),0),IF(AND(AF$12&lt;&gt;"",AF$14&lt;&gt;""),IF(EOMONTH($AF$3+INT((DAY(EOMONTH($AF$3,0))-1)/2)+AF$14,0)=EOMONTH($W$3,0),AF$12*AF$13,0),0),IF(AND(AC$12&lt;&gt;"",AC$14&lt;&gt;""),IF(EOMONTH($AC$3+INT((DAY(EOMONTH($AC$3,0))-1)/2)+AC$14,0)=EOMONTH($W$3,0),AC$12*AC$13,0),0),IF(AND(Z$12&lt;&gt;"",Z$14&lt;&gt;""),IF(EOMONTH($Z$3+INT((DAY(EOMONTH($Z$3,0))-1)/2)+Z$14,0)=EOMONTH($W$3,0),Z$12*Z$13,0),0),IF(AND(W$12&lt;&gt;"",W$14&lt;&gt;""),IF(EOMONTH($W$3+INT((DAY(EOMONTH($W$3,0))-1)/2)+W$14,0)=EOMONTH($W$3,0),W$12*W$13,0),0),IF(AND(T$12&lt;&gt;"",T$14&lt;&gt;""),IF(EOMONTH($T$3+INT((DAY(EOMONTH($T$3,0))-1)/2)+T$14,0)=EOMONTH($W$3,0),T$12*T$13,0),0),IF(AND(Q$12&lt;&gt;"",Q$14&lt;&gt;""),IF(EOMONTH($Q$3+INT((DAY(EOMONTH($Q$3,0))-1)/2)+Q$14,0)=EOMONTH($W$3,0),Q$12*Q$13,0),0),IF(AND(N$12&lt;&gt;"",N$14&lt;&gt;""),IF(EOMONTH($N$3+INT((DAY(EOMONTH($N$3,0))-1)/2)+N$14,0)=EOMONTH($W$3,0),N$12*N$13,0),0),IF(AND(K$12&lt;&gt;"",K$14&lt;&gt;""),IF(EOMONTH($K$3+INT((DAY(EOMONTH($K$3,0))-1)/2)+K$14,0)=EOMONTH($W$3,0),K$12*K$13,0),0),IF(AND(H$12&lt;&gt;"",H$14&lt;&gt;""),IF(EOMONTH($H$3+INT((DAY(EOMONTH($H$3,0))-1)/2)+H$14,0)=EOMONTH($W$3,0),H$12*H$13,0),0),IF(AND(E$12&lt;&gt;"",E$14&lt;&gt;""),IF(EOMONTH($E$3+INT((DAY(EOMONTH($E$3,0))-1)/2)+E$14,0)=EOMONTH($W$3,0),E$12*E$13,0),0),IF(EOMONTH($AL$75+AL$14,0)=EOMONTH($W$3,0),$AL$77*AL$13,0)),0)</x:f>
        <x:v>0</x:v>
      </x:c>
      <x:c r="X73" s="70" t="n">
        <x:f>ROUND(SUM(IF(AND(AM$12&lt;&gt;"",AM$14&lt;&gt;""),IF(EOMONTH($AL$3+INT((DAY(EOMONTH($AL$3,0))-1)/2)+AM$14,0)=EOMONTH($W$3,0),AM$12*AM$13,0),0),IF(AND(AJ$12&lt;&gt;"",AJ$14&lt;&gt;""),IF(EOMONTH($AI$3+INT((DAY(EOMONTH($AI$3,0))-1)/2)+AJ$14,0)=EOMONTH($W$3,0),AJ$12*AJ$13,0),0),IF(AND(AG$12&lt;&gt;"",AG$14&lt;&gt;""),IF(EOMONTH($AF$3+INT((DAY(EOMONTH($AF$3,0))-1)/2)+AG$14,0)=EOMONTH($W$3,0),AG$12*AG$13,0),0),IF(AND(AD$12&lt;&gt;"",AD$14&lt;&gt;""),IF(EOMONTH($AC$3+INT((DAY(EOMONTH($AC$3,0))-1)/2)+AD$14,0)=EOMONTH($W$3,0),AD$12*AD$13,0),0),IF(AND(AA$12&lt;&gt;"",AA$14&lt;&gt;""),IF(EOMONTH($Z$3+INT((DAY(EOMONTH($Z$3,0))-1)/2)+AA$14,0)=EOMONTH($W$3,0),AA$12*AA$13,0),0),IF(AND(X$12&lt;&gt;"",X$14&lt;&gt;""),IF(EOMONTH($W$3+INT((DAY(EOMONTH($W$3,0))-1)/2)+X$14,0)=EOMONTH($W$3,0),X$12*X$13,0),0),IF(AND(U$12&lt;&gt;"",U$14&lt;&gt;""),IF(EOMONTH($T$3+INT((DAY(EOMONTH($T$3,0))-1)/2)+U$14,0)=EOMONTH($W$3,0),U$12*U$13,0),0),IF(AND(R$12&lt;&gt;"",R$14&lt;&gt;""),IF(EOMONTH($Q$3+INT((DAY(EOMONTH($Q$3,0))-1)/2)+R$14,0)=EOMONTH($W$3,0),R$12*R$13,0),0),IF(AND(O$12&lt;&gt;"",O$14&lt;&gt;""),IF(EOMONTH($N$3+INT((DAY(EOMONTH($N$3,0))-1)/2)+O$14,0)=EOMONTH($W$3,0),O$12*O$13,0),0),IF(AND(L$12&lt;&gt;"",L$14&lt;&gt;""),IF(EOMONTH($K$3+INT((DAY(EOMONTH($K$3,0))-1)/2)+L$14,0)=EOMONTH($W$3,0),L$12*L$13,0),0),IF(AND(I$12&lt;&gt;"",I$14&lt;&gt;""),IF(EOMONTH($H$3+INT((DAY(EOMONTH($H$3,0))-1)/2)+I$14,0)=EOMONTH($W$3,0),I$12*I$13,0),0),IF(AND(F$12&lt;&gt;"",F$14&lt;&gt;""),IF(EOMONTH($E$3+INT((DAY(EOMONTH($E$3,0))-1)/2)+F$14,0)=EOMONTH($W$3,0),F$12*F$13,0),0),IF(EOMONTH($AL$75+AM$14,0)=EOMONTH($W$3,0),$AL$77*AM$13,0)),0)</x:f>
        <x:v>88000</x:v>
      </x:c>
      <x:c r="Y73" s="70" t="n">
        <x:f>ROUND(SUM(IF(AND(AN$12&lt;&gt;"",AN$14&lt;&gt;""),IF(EOMONTH($AL$3+INT((DAY(EOMONTH($AL$3,0))-1)/2)+AN$14,0)=EOMONTH($W$3,0),AN$12*AN$13,0),0),IF(AND(AK$12&lt;&gt;"",AK$14&lt;&gt;""),IF(EOMONTH($AI$3+INT((DAY(EOMONTH($AI$3,0))-1)/2)+AK$14,0)=EOMONTH($W$3,0),AK$12*AK$13,0),0),IF(AND(AH$12&lt;&gt;"",AH$14&lt;&gt;""),IF(EOMONTH($AF$3+INT((DAY(EOMONTH($AF$3,0))-1)/2)+AH$14,0)=EOMONTH($W$3,0),AH$12*AH$13,0),0),IF(AND(AE$12&lt;&gt;"",AE$14&lt;&gt;""),IF(EOMONTH($AC$3+INT((DAY(EOMONTH($AC$3,0))-1)/2)+AE$14,0)=EOMONTH($W$3,0),AE$12*AE$13,0),0),IF(AND(AB$12&lt;&gt;"",AB$14&lt;&gt;""),IF(EOMONTH($Z$3+INT((DAY(EOMONTH($Z$3,0))-1)/2)+AB$14,0)=EOMONTH($W$3,0),AB$12*AB$13,0),0),IF(AND(Y$12&lt;&gt;"",Y$14&lt;&gt;""),IF(EOMONTH($W$3+INT((DAY(EOMONTH($W$3,0))-1)/2)+Y$14,0)=EOMONTH($W$3,0),Y$12*Y$13,0),0),IF(AND(V$12&lt;&gt;"",V$14&lt;&gt;""),IF(EOMONTH($T$3+INT((DAY(EOMONTH($T$3,0))-1)/2)+V$14,0)=EOMONTH($W$3,0),V$12*V$13,0),0),IF(AND(S$12&lt;&gt;"",S$14&lt;&gt;""),IF(EOMONTH($Q$3+INT((DAY(EOMONTH($Q$3,0))-1)/2)+S$14,0)=EOMONTH($W$3,0),S$12*S$13,0),0),IF(AND(P$12&lt;&gt;"",P$14&lt;&gt;""),IF(EOMONTH($N$3+INT((DAY(EOMONTH($N$3,0))-1)/2)+P$14,0)=EOMONTH($W$3,0),P$12*P$13,0),0),IF(AND(M$12&lt;&gt;"",M$14&lt;&gt;""),IF(EOMONTH($K$3+INT((DAY(EOMONTH($K$3,0))-1)/2)+M$14,0)=EOMONTH($W$3,0),M$12*M$13,0),0),IF(AND(J$12&lt;&gt;"",J$14&lt;&gt;""),IF(EOMONTH($H$3+INT((DAY(EOMONTH($H$3,0))-1)/2)+J$14,0)=EOMONTH($W$3,0),J$12*J$13,0),0),IF(AND(G$12&lt;&gt;"",G$14&lt;&gt;""),IF(EOMONTH($E$3+INT((DAY(EOMONTH($E$3,0))-1)/2)+G$14,0)=EOMONTH($W$3,0),G$12*G$13,0),0),IF(EOMONTH($AL$75+AN$14,0)=EOMONTH($W$3,0),$AL$77*AN$13,0)),0)</x:f>
        <x:v>88000</x:v>
      </x:c>
      <x:c r="Z73" s="70" t="n">
        <x:f>ROUND(SUM(IF(AND(AL$12&lt;&gt;"",AL$14&lt;&gt;""),IF(EOMONTH($AL$3+INT((DAY(EOMONTH($AL$3,0))-1)/2)+AL$14,0)=EOMONTH($Z$3,0),AL$12*AL$13,0),0),IF(AND(AI$12&lt;&gt;"",AI$14&lt;&gt;""),IF(EOMONTH($AI$3+INT((DAY(EOMONTH($AI$3,0))-1)/2)+AI$14,0)=EOMONTH($Z$3,0),AI$12*AI$13,0),0),IF(AND(AF$12&lt;&gt;"",AF$14&lt;&gt;""),IF(EOMONTH($AF$3+INT((DAY(EOMONTH($AF$3,0))-1)/2)+AF$14,0)=EOMONTH($Z$3,0),AF$12*AF$13,0),0),IF(AND(AC$12&lt;&gt;"",AC$14&lt;&gt;""),IF(EOMONTH($AC$3+INT((DAY(EOMONTH($AC$3,0))-1)/2)+AC$14,0)=EOMONTH($Z$3,0),AC$12*AC$13,0),0),IF(AND(Z$12&lt;&gt;"",Z$14&lt;&gt;""),IF(EOMONTH($Z$3+INT((DAY(EOMONTH($Z$3,0))-1)/2)+Z$14,0)=EOMONTH($Z$3,0),Z$12*Z$13,0),0),IF(AND(W$12&lt;&gt;"",W$14&lt;&gt;""),IF(EOMONTH($W$3+INT((DAY(EOMONTH($W$3,0))-1)/2)+W$14,0)=EOMONTH($Z$3,0),W$12*W$13,0),0),IF(AND(T$12&lt;&gt;"",T$14&lt;&gt;""),IF(EOMONTH($T$3+INT((DAY(EOMONTH($T$3,0))-1)/2)+T$14,0)=EOMONTH($Z$3,0),T$12*T$13,0),0),IF(AND(Q$12&lt;&gt;"",Q$14&lt;&gt;""),IF(EOMONTH($Q$3+INT((DAY(EOMONTH($Q$3,0))-1)/2)+Q$14,0)=EOMONTH($Z$3,0),Q$12*Q$13,0),0),IF(AND(N$12&lt;&gt;"",N$14&lt;&gt;""),IF(EOMONTH($N$3+INT((DAY(EOMONTH($N$3,0))-1)/2)+N$14,0)=EOMONTH($Z$3,0),N$12*N$13,0),0),IF(AND(K$12&lt;&gt;"",K$14&lt;&gt;""),IF(EOMONTH($K$3+INT((DAY(EOMONTH($K$3,0))-1)/2)+K$14,0)=EOMONTH($Z$3,0),K$12*K$13,0),0),IF(AND(H$12&lt;&gt;"",H$14&lt;&gt;""),IF(EOMONTH($H$3+INT((DAY(EOMONTH($H$3,0))-1)/2)+H$14,0)=EOMONTH($Z$3,0),H$12*H$13,0),0),IF(AND(E$12&lt;&gt;"",E$14&lt;&gt;""),IF(EOMONTH($E$3+INT((DAY(EOMONTH($E$3,0))-1)/2)+E$14,0)=EOMONTH($Z$3,0),E$12*E$13,0),0),IF(EOMONTH($AL$75+AL$14,0)=EOMONTH($Z$3,0),$AL$77*AL$13,0)),0)</x:f>
        <x:v>0</x:v>
      </x:c>
      <x:c r="AA73" s="70" t="n">
        <x:f>ROUND(SUM(IF(AND(AM$12&lt;&gt;"",AM$14&lt;&gt;""),IF(EOMONTH($AL$3+INT((DAY(EOMONTH($AL$3,0))-1)/2)+AM$14,0)=EOMONTH($Z$3,0),AM$12*AM$13,0),0),IF(AND(AJ$12&lt;&gt;"",AJ$14&lt;&gt;""),IF(EOMONTH($AI$3+INT((DAY(EOMONTH($AI$3,0))-1)/2)+AJ$14,0)=EOMONTH($Z$3,0),AJ$12*AJ$13,0),0),IF(AND(AG$12&lt;&gt;"",AG$14&lt;&gt;""),IF(EOMONTH($AF$3+INT((DAY(EOMONTH($AF$3,0))-1)/2)+AG$14,0)=EOMONTH($Z$3,0),AG$12*AG$13,0),0),IF(AND(AD$12&lt;&gt;"",AD$14&lt;&gt;""),IF(EOMONTH($AC$3+INT((DAY(EOMONTH($AC$3,0))-1)/2)+AD$14,0)=EOMONTH($Z$3,0),AD$12*AD$13,0),0),IF(AND(AA$12&lt;&gt;"",AA$14&lt;&gt;""),IF(EOMONTH($Z$3+INT((DAY(EOMONTH($Z$3,0))-1)/2)+AA$14,0)=EOMONTH($Z$3,0),AA$12*AA$13,0),0),IF(AND(X$12&lt;&gt;"",X$14&lt;&gt;""),IF(EOMONTH($W$3+INT((DAY(EOMONTH($W$3,0))-1)/2)+X$14,0)=EOMONTH($Z$3,0),X$12*X$13,0),0),IF(AND(U$12&lt;&gt;"",U$14&lt;&gt;""),IF(EOMONTH($T$3+INT((DAY(EOMONTH($T$3,0))-1)/2)+U$14,0)=EOMONTH($Z$3,0),U$12*U$13,0),0),IF(AND(R$12&lt;&gt;"",R$14&lt;&gt;""),IF(EOMONTH($Q$3+INT((DAY(EOMONTH($Q$3,0))-1)/2)+R$14,0)=EOMONTH($Z$3,0),R$12*R$13,0),0),IF(AND(O$12&lt;&gt;"",O$14&lt;&gt;""),IF(EOMONTH($N$3+INT((DAY(EOMONTH($N$3,0))-1)/2)+O$14,0)=EOMONTH($Z$3,0),O$12*O$13,0),0),IF(AND(L$12&lt;&gt;"",L$14&lt;&gt;""),IF(EOMONTH($K$3+INT((DAY(EOMONTH($K$3,0))-1)/2)+L$14,0)=EOMONTH($Z$3,0),L$12*L$13,0),0),IF(AND(I$12&lt;&gt;"",I$14&lt;&gt;""),IF(EOMONTH($H$3+INT((DAY(EOMONTH($H$3,0))-1)/2)+I$14,0)=EOMONTH($Z$3,0),I$12*I$13,0),0),IF(AND(F$12&lt;&gt;"",F$14&lt;&gt;""),IF(EOMONTH($E$3+INT((DAY(EOMONTH($E$3,0))-1)/2)+F$14,0)=EOMONTH($Z$3,0),F$12*F$13,0),0),IF(EOMONTH($AL$75+AM$14,0)=EOMONTH($Z$3,0),$AL$77*AM$13,0)),0)</x:f>
        <x:v>88000</x:v>
      </x:c>
      <x:c r="AB73" s="70" t="n">
        <x:f>ROUND(SUM(IF(AND(AN$12&lt;&gt;"",AN$14&lt;&gt;""),IF(EOMONTH($AL$3+INT((DAY(EOMONTH($AL$3,0))-1)/2)+AN$14,0)=EOMONTH($Z$3,0),AN$12*AN$13,0),0),IF(AND(AK$12&lt;&gt;"",AK$14&lt;&gt;""),IF(EOMONTH($AI$3+INT((DAY(EOMONTH($AI$3,0))-1)/2)+AK$14,0)=EOMONTH($Z$3,0),AK$12*AK$13,0),0),IF(AND(AH$12&lt;&gt;"",AH$14&lt;&gt;""),IF(EOMONTH($AF$3+INT((DAY(EOMONTH($AF$3,0))-1)/2)+AH$14,0)=EOMONTH($Z$3,0),AH$12*AH$13,0),0),IF(AND(AE$12&lt;&gt;"",AE$14&lt;&gt;""),IF(EOMONTH($AC$3+INT((DAY(EOMONTH($AC$3,0))-1)/2)+AE$14,0)=EOMONTH($Z$3,0),AE$12*AE$13,0),0),IF(AND(AB$12&lt;&gt;"",AB$14&lt;&gt;""),IF(EOMONTH($Z$3+INT((DAY(EOMONTH($Z$3,0))-1)/2)+AB$14,0)=EOMONTH($Z$3,0),AB$12*AB$13,0),0),IF(AND(Y$12&lt;&gt;"",Y$14&lt;&gt;""),IF(EOMONTH($W$3+INT((DAY(EOMONTH($W$3,0))-1)/2)+Y$14,0)=EOMONTH($Z$3,0),Y$12*Y$13,0),0),IF(AND(V$12&lt;&gt;"",V$14&lt;&gt;""),IF(EOMONTH($T$3+INT((DAY(EOMONTH($T$3,0))-1)/2)+V$14,0)=EOMONTH($Z$3,0),V$12*V$13,0),0),IF(AND(S$12&lt;&gt;"",S$14&lt;&gt;""),IF(EOMONTH($Q$3+INT((DAY(EOMONTH($Q$3,0))-1)/2)+S$14,0)=EOMONTH($Z$3,0),S$12*S$13,0),0),IF(AND(P$12&lt;&gt;"",P$14&lt;&gt;""),IF(EOMONTH($N$3+INT((DAY(EOMONTH($N$3,0))-1)/2)+P$14,0)=EOMONTH($Z$3,0),P$12*P$13,0),0),IF(AND(M$12&lt;&gt;"",M$14&lt;&gt;""),IF(EOMONTH($K$3+INT((DAY(EOMONTH($K$3,0))-1)/2)+M$14,0)=EOMONTH($Z$3,0),M$12*M$13,0),0),IF(AND(J$12&lt;&gt;"",J$14&lt;&gt;""),IF(EOMONTH($H$3+INT((DAY(EOMONTH($H$3,0))-1)/2)+J$14,0)=EOMONTH($Z$3,0),J$12*J$13,0),0),IF(AND(G$12&lt;&gt;"",G$14&lt;&gt;""),IF(EOMONTH($E$3+INT((DAY(EOMONTH($E$3,0))-1)/2)+G$14,0)=EOMONTH($Z$3,0),G$12*G$13,0),0),IF(EOMONTH($AL$75+AN$14,0)=EOMONTH($Z$3,0),$AL$77*AN$13,0)),0)</x:f>
        <x:v>88000</x:v>
      </x:c>
      <x:c r="AC73" s="70" t="n">
        <x:f>ROUND(SUM(IF(AND(AL$12&lt;&gt;"",AL$14&lt;&gt;""),IF(EOMONTH($AL$3+INT((DAY(EOMONTH($AL$3,0))-1)/2)+AL$14,0)=EOMONTH($AC$3,0),AL$12*AL$13,0),0),IF(AND(AI$12&lt;&gt;"",AI$14&lt;&gt;""),IF(EOMONTH($AI$3+INT((DAY(EOMONTH($AI$3,0))-1)/2)+AI$14,0)=EOMONTH($AC$3,0),AI$12*AI$13,0),0),IF(AND(AF$12&lt;&gt;"",AF$14&lt;&gt;""),IF(EOMONTH($AF$3+INT((DAY(EOMONTH($AF$3,0))-1)/2)+AF$14,0)=EOMONTH($AC$3,0),AF$12*AF$13,0),0),IF(AND(AC$12&lt;&gt;"",AC$14&lt;&gt;""),IF(EOMONTH($AC$3+INT((DAY(EOMONTH($AC$3,0))-1)/2)+AC$14,0)=EOMONTH($AC$3,0),AC$12*AC$13,0),0),IF(AND(Z$12&lt;&gt;"",Z$14&lt;&gt;""),IF(EOMONTH($Z$3+INT((DAY(EOMONTH($Z$3,0))-1)/2)+Z$14,0)=EOMONTH($AC$3,0),Z$12*Z$13,0),0),IF(AND(W$12&lt;&gt;"",W$14&lt;&gt;""),IF(EOMONTH($W$3+INT((DAY(EOMONTH($W$3,0))-1)/2)+W$14,0)=EOMONTH($AC$3,0),W$12*W$13,0),0),IF(AND(T$12&lt;&gt;"",T$14&lt;&gt;""),IF(EOMONTH($T$3+INT((DAY(EOMONTH($T$3,0))-1)/2)+T$14,0)=EOMONTH($AC$3,0),T$12*T$13,0),0),IF(AND(Q$12&lt;&gt;"",Q$14&lt;&gt;""),IF(EOMONTH($Q$3+INT((DAY(EOMONTH($Q$3,0))-1)/2)+Q$14,0)=EOMONTH($AC$3,0),Q$12*Q$13,0),0),IF(AND(N$12&lt;&gt;"",N$14&lt;&gt;""),IF(EOMONTH($N$3+INT((DAY(EOMONTH($N$3,0))-1)/2)+N$14,0)=EOMONTH($AC$3,0),N$12*N$13,0),0),IF(AND(K$12&lt;&gt;"",K$14&lt;&gt;""),IF(EOMONTH($K$3+INT((DAY(EOMONTH($K$3,0))-1)/2)+K$14,0)=EOMONTH($AC$3,0),K$12*K$13,0),0),IF(AND(H$12&lt;&gt;"",H$14&lt;&gt;""),IF(EOMONTH($H$3+INT((DAY(EOMONTH($H$3,0))-1)/2)+H$14,0)=EOMONTH($AC$3,0),H$12*H$13,0),0),IF(AND(E$12&lt;&gt;"",E$14&lt;&gt;""),IF(EOMONTH($E$3+INT((DAY(EOMONTH($E$3,0))-1)/2)+E$14,0)=EOMONTH($AC$3,0),E$12*E$13,0),0),IF(EOMONTH($AL$75+AL$14,0)=EOMONTH($AC$3,0),$AL$77*AL$13,0)),0)</x:f>
        <x:v>0</x:v>
      </x:c>
      <x:c r="AD73" s="70" t="n">
        <x:f>ROUND(SUM(IF(AND(AM$12&lt;&gt;"",AM$14&lt;&gt;""),IF(EOMONTH($AL$3+INT((DAY(EOMONTH($AL$3,0))-1)/2)+AM$14,0)=EOMONTH($AC$3,0),AM$12*AM$13,0),0),IF(AND(AJ$12&lt;&gt;"",AJ$14&lt;&gt;""),IF(EOMONTH($AI$3+INT((DAY(EOMONTH($AI$3,0))-1)/2)+AJ$14,0)=EOMONTH($AC$3,0),AJ$12*AJ$13,0),0),IF(AND(AG$12&lt;&gt;"",AG$14&lt;&gt;""),IF(EOMONTH($AF$3+INT((DAY(EOMONTH($AF$3,0))-1)/2)+AG$14,0)=EOMONTH($AC$3,0),AG$12*AG$13,0),0),IF(AND(AD$12&lt;&gt;"",AD$14&lt;&gt;""),IF(EOMONTH($AC$3+INT((DAY(EOMONTH($AC$3,0))-1)/2)+AD$14,0)=EOMONTH($AC$3,0),AD$12*AD$13,0),0),IF(AND(AA$12&lt;&gt;"",AA$14&lt;&gt;""),IF(EOMONTH($Z$3+INT((DAY(EOMONTH($Z$3,0))-1)/2)+AA$14,0)=EOMONTH($AC$3,0),AA$12*AA$13,0),0),IF(AND(X$12&lt;&gt;"",X$14&lt;&gt;""),IF(EOMONTH($W$3+INT((DAY(EOMONTH($W$3,0))-1)/2)+X$14,0)=EOMONTH($AC$3,0),X$12*X$13,0),0),IF(AND(U$12&lt;&gt;"",U$14&lt;&gt;""),IF(EOMONTH($T$3+INT((DAY(EOMONTH($T$3,0))-1)/2)+U$14,0)=EOMONTH($AC$3,0),U$12*U$13,0),0),IF(AND(R$12&lt;&gt;"",R$14&lt;&gt;""),IF(EOMONTH($Q$3+INT((DAY(EOMONTH($Q$3,0))-1)/2)+R$14,0)=EOMONTH($AC$3,0),R$12*R$13,0),0),IF(AND(O$12&lt;&gt;"",O$14&lt;&gt;""),IF(EOMONTH($N$3+INT((DAY(EOMONTH($N$3,0))-1)/2)+O$14,0)=EOMONTH($AC$3,0),O$12*O$13,0),0),IF(AND(L$12&lt;&gt;"",L$14&lt;&gt;""),IF(EOMONTH($K$3+INT((DAY(EOMONTH($K$3,0))-1)/2)+L$14,0)=EOMONTH($AC$3,0),L$12*L$13,0),0),IF(AND(I$12&lt;&gt;"",I$14&lt;&gt;""),IF(EOMONTH($H$3+INT((DAY(EOMONTH($H$3,0))-1)/2)+I$14,0)=EOMONTH($AC$3,0),I$12*I$13,0),0),IF(AND(F$12&lt;&gt;"",F$14&lt;&gt;""),IF(EOMONTH($E$3+INT((DAY(EOMONTH($E$3,0))-1)/2)+F$14,0)=EOMONTH($AC$3,0),F$12*F$13,0),0),IF(EOMONTH($AL$75+AM$14,0)=EOMONTH($AC$3,0),$AL$77*AM$13,0)),0)</x:f>
        <x:v>64000</x:v>
      </x:c>
      <x:c r="AE73" s="70" t="n">
        <x:f>ROUND(SUM(IF(AND(AN$12&lt;&gt;"",AN$14&lt;&gt;""),IF(EOMONTH($AL$3+INT((DAY(EOMONTH($AL$3,0))-1)/2)+AN$14,0)=EOMONTH($AC$3,0),AN$12*AN$13,0),0),IF(AND(AK$12&lt;&gt;"",AK$14&lt;&gt;""),IF(EOMONTH($AI$3+INT((DAY(EOMONTH($AI$3,0))-1)/2)+AK$14,0)=EOMONTH($AC$3,0),AK$12*AK$13,0),0),IF(AND(AH$12&lt;&gt;"",AH$14&lt;&gt;""),IF(EOMONTH($AF$3+INT((DAY(EOMONTH($AF$3,0))-1)/2)+AH$14,0)=EOMONTH($AC$3,0),AH$12*AH$13,0),0),IF(AND(AE$12&lt;&gt;"",AE$14&lt;&gt;""),IF(EOMONTH($AC$3+INT((DAY(EOMONTH($AC$3,0))-1)/2)+AE$14,0)=EOMONTH($AC$3,0),AE$12*AE$13,0),0),IF(AND(AB$12&lt;&gt;"",AB$14&lt;&gt;""),IF(EOMONTH($Z$3+INT((DAY(EOMONTH($Z$3,0))-1)/2)+AB$14,0)=EOMONTH($AC$3,0),AB$12*AB$13,0),0),IF(AND(Y$12&lt;&gt;"",Y$14&lt;&gt;""),IF(EOMONTH($W$3+INT((DAY(EOMONTH($W$3,0))-1)/2)+Y$14,0)=EOMONTH($AC$3,0),Y$12*Y$13,0),0),IF(AND(V$12&lt;&gt;"",V$14&lt;&gt;""),IF(EOMONTH($T$3+INT((DAY(EOMONTH($T$3,0))-1)/2)+V$14,0)=EOMONTH($AC$3,0),V$12*V$13,0),0),IF(AND(S$12&lt;&gt;"",S$14&lt;&gt;""),IF(EOMONTH($Q$3+INT((DAY(EOMONTH($Q$3,0))-1)/2)+S$14,0)=EOMONTH($AC$3,0),S$12*S$13,0),0),IF(AND(P$12&lt;&gt;"",P$14&lt;&gt;""),IF(EOMONTH($N$3+INT((DAY(EOMONTH($N$3,0))-1)/2)+P$14,0)=EOMONTH($AC$3,0),P$12*P$13,0),0),IF(AND(M$12&lt;&gt;"",M$14&lt;&gt;""),IF(EOMONTH($K$3+INT((DAY(EOMONTH($K$3,0))-1)/2)+M$14,0)=EOMONTH($AC$3,0),M$12*M$13,0),0),IF(AND(J$12&lt;&gt;"",J$14&lt;&gt;""),IF(EOMONTH($H$3+INT((DAY(EOMONTH($H$3,0))-1)/2)+J$14,0)=EOMONTH($AC$3,0),J$12*J$13,0),0),IF(AND(G$12&lt;&gt;"",G$14&lt;&gt;""),IF(EOMONTH($E$3+INT((DAY(EOMONTH($E$3,0))-1)/2)+G$14,0)=EOMONTH($AC$3,0),G$12*G$13,0),0),IF(EOMONTH($AL$75+AN$14,0)=EOMONTH($AC$3,0),$AL$77*AN$13,0)),0)</x:f>
        <x:v>80000</x:v>
      </x:c>
      <x:c r="AF73" s="70" t="n">
        <x:f>ROUND(SUM(IF(AND(AL$12&lt;&gt;"",AL$14&lt;&gt;""),IF(EOMONTH($AL$3+INT((DAY(EOMONTH($AL$3,0))-1)/2)+AL$14,0)=EOMONTH($AF$3,0),AL$12*AL$13,0),0),IF(AND(AI$12&lt;&gt;"",AI$14&lt;&gt;""),IF(EOMONTH($AI$3+INT((DAY(EOMONTH($AI$3,0))-1)/2)+AI$14,0)=EOMONTH($AF$3,0),AI$12*AI$13,0),0),IF(AND(AF$12&lt;&gt;"",AF$14&lt;&gt;""),IF(EOMONTH($AF$3+INT((DAY(EOMONTH($AF$3,0))-1)/2)+AF$14,0)=EOMONTH($AF$3,0),AF$12*AF$13,0),0),IF(AND(AC$12&lt;&gt;"",AC$14&lt;&gt;""),IF(EOMONTH($AC$3+INT((DAY(EOMONTH($AC$3,0))-1)/2)+AC$14,0)=EOMONTH($AF$3,0),AC$12*AC$13,0),0),IF(AND(Z$12&lt;&gt;"",Z$14&lt;&gt;""),IF(EOMONTH($Z$3+INT((DAY(EOMONTH($Z$3,0))-1)/2)+Z$14,0)=EOMONTH($AF$3,0),Z$12*Z$13,0),0),IF(AND(W$12&lt;&gt;"",W$14&lt;&gt;""),IF(EOMONTH($W$3+INT((DAY(EOMONTH($W$3,0))-1)/2)+W$14,0)=EOMONTH($AF$3,0),W$12*W$13,0),0),IF(AND(T$12&lt;&gt;"",T$14&lt;&gt;""),IF(EOMONTH($T$3+INT((DAY(EOMONTH($T$3,0))-1)/2)+T$14,0)=EOMONTH($AF$3,0),T$12*T$13,0),0),IF(AND(Q$12&lt;&gt;"",Q$14&lt;&gt;""),IF(EOMONTH($Q$3+INT((DAY(EOMONTH($Q$3,0))-1)/2)+Q$14,0)=EOMONTH($AF$3,0),Q$12*Q$13,0),0),IF(AND(N$12&lt;&gt;"",N$14&lt;&gt;""),IF(EOMONTH($N$3+INT((DAY(EOMONTH($N$3,0))-1)/2)+N$14,0)=EOMONTH($AF$3,0),N$12*N$13,0),0),IF(AND(K$12&lt;&gt;"",K$14&lt;&gt;""),IF(EOMONTH($K$3+INT((DAY(EOMONTH($K$3,0))-1)/2)+K$14,0)=EOMONTH($AF$3,0),K$12*K$13,0),0),IF(AND(H$12&lt;&gt;"",H$14&lt;&gt;""),IF(EOMONTH($H$3+INT((DAY(EOMONTH($H$3,0))-1)/2)+H$14,0)=EOMONTH($AF$3,0),H$12*H$13,0),0),IF(AND(E$12&lt;&gt;"",E$14&lt;&gt;""),IF(EOMONTH($E$3+INT((DAY(EOMONTH($E$3,0))-1)/2)+E$14,0)=EOMONTH($AF$3,0),E$12*E$13,0),0),IF(EOMONTH($AL$75+AL$14,0)=EOMONTH($AF$3,0),$AL$77*AL$13,0)),0)</x:f>
        <x:v>40000</x:v>
      </x:c>
      <x:c r="AG73" s="70" t="n">
        <x:f>ROUND(SUM(IF(AND(AM$12&lt;&gt;"",AM$14&lt;&gt;""),IF(EOMONTH($AL$3+INT((DAY(EOMONTH($AL$3,0))-1)/2)+AM$14,0)=EOMONTH($AF$3,0),AM$12*AM$13,0),0),IF(AND(AJ$12&lt;&gt;"",AJ$14&lt;&gt;""),IF(EOMONTH($AI$3+INT((DAY(EOMONTH($AI$3,0))-1)/2)+AJ$14,0)=EOMONTH($AF$3,0),AJ$12*AJ$13,0),0),IF(AND(AG$12&lt;&gt;"",AG$14&lt;&gt;""),IF(EOMONTH($AF$3+INT((DAY(EOMONTH($AF$3,0))-1)/2)+AG$14,0)=EOMONTH($AF$3,0),AG$12*AG$13,0),0),IF(AND(AD$12&lt;&gt;"",AD$14&lt;&gt;""),IF(EOMONTH($AC$3+INT((DAY(EOMONTH($AC$3,0))-1)/2)+AD$14,0)=EOMONTH($AF$3,0),AD$12*AD$13,0),0),IF(AND(AA$12&lt;&gt;"",AA$14&lt;&gt;""),IF(EOMONTH($Z$3+INT((DAY(EOMONTH($Z$3,0))-1)/2)+AA$14,0)=EOMONTH($AF$3,0),AA$12*AA$13,0),0),IF(AND(X$12&lt;&gt;"",X$14&lt;&gt;""),IF(EOMONTH($W$3+INT((DAY(EOMONTH($W$3,0))-1)/2)+X$14,0)=EOMONTH($AF$3,0),X$12*X$13,0),0),IF(AND(U$12&lt;&gt;"",U$14&lt;&gt;""),IF(EOMONTH($T$3+INT((DAY(EOMONTH($T$3,0))-1)/2)+U$14,0)=EOMONTH($AF$3,0),U$12*U$13,0),0),IF(AND(R$12&lt;&gt;"",R$14&lt;&gt;""),IF(EOMONTH($Q$3+INT((DAY(EOMONTH($Q$3,0))-1)/2)+R$14,0)=EOMONTH($AF$3,0),R$12*R$13,0),0),IF(AND(O$12&lt;&gt;"",O$14&lt;&gt;""),IF(EOMONTH($N$3+INT((DAY(EOMONTH($N$3,0))-1)/2)+O$14,0)=EOMONTH($AF$3,0),O$12*O$13,0),0),IF(AND(L$12&lt;&gt;"",L$14&lt;&gt;""),IF(EOMONTH($K$3+INT((DAY(EOMONTH($K$3,0))-1)/2)+L$14,0)=EOMONTH($AF$3,0),L$12*L$13,0),0),IF(AND(I$12&lt;&gt;"",I$14&lt;&gt;""),IF(EOMONTH($H$3+INT((DAY(EOMONTH($H$3,0))-1)/2)+I$14,0)=EOMONTH($AF$3,0),I$12*I$13,0),0),IF(AND(F$12&lt;&gt;"",F$14&lt;&gt;""),IF(EOMONTH($E$3+INT((DAY(EOMONTH($E$3,0))-1)/2)+F$14,0)=EOMONTH($AF$3,0),F$12*F$13,0),0),IF(EOMONTH($AL$75+AM$14,0)=EOMONTH($AF$3,0),$AL$77*AM$13,0)),0)</x:f>
        <x:v>40000</x:v>
      </x:c>
      <x:c r="AH73" s="70" t="n">
        <x:f>ROUND(SUM(IF(AND(AN$12&lt;&gt;"",AN$14&lt;&gt;""),IF(EOMONTH($AL$3+INT((DAY(EOMONTH($AL$3,0))-1)/2)+AN$14,0)=EOMONTH($AF$3,0),AN$12*AN$13,0),0),IF(AND(AK$12&lt;&gt;"",AK$14&lt;&gt;""),IF(EOMONTH($AI$3+INT((DAY(EOMONTH($AI$3,0))-1)/2)+AK$14,0)=EOMONTH($AF$3,0),AK$12*AK$13,0),0),IF(AND(AH$12&lt;&gt;"",AH$14&lt;&gt;""),IF(EOMONTH($AF$3+INT((DAY(EOMONTH($AF$3,0))-1)/2)+AH$14,0)=EOMONTH($AF$3,0),AH$12*AH$13,0),0),IF(AND(AE$12&lt;&gt;"",AE$14&lt;&gt;""),IF(EOMONTH($AC$3+INT((DAY(EOMONTH($AC$3,0))-1)/2)+AE$14,0)=EOMONTH($AF$3,0),AE$12*AE$13,0),0),IF(AND(AB$12&lt;&gt;"",AB$14&lt;&gt;""),IF(EOMONTH($Z$3+INT((DAY(EOMONTH($Z$3,0))-1)/2)+AB$14,0)=EOMONTH($AF$3,0),AB$12*AB$13,0),0),IF(AND(Y$12&lt;&gt;"",Y$14&lt;&gt;""),IF(EOMONTH($W$3+INT((DAY(EOMONTH($W$3,0))-1)/2)+Y$14,0)=EOMONTH($AF$3,0),Y$12*Y$13,0),0),IF(AND(V$12&lt;&gt;"",V$14&lt;&gt;""),IF(EOMONTH($T$3+INT((DAY(EOMONTH($T$3,0))-1)/2)+V$14,0)=EOMONTH($AF$3,0),V$12*V$13,0),0),IF(AND(S$12&lt;&gt;"",S$14&lt;&gt;""),IF(EOMONTH($Q$3+INT((DAY(EOMONTH($Q$3,0))-1)/2)+S$14,0)=EOMONTH($AF$3,0),S$12*S$13,0),0),IF(AND(P$12&lt;&gt;"",P$14&lt;&gt;""),IF(EOMONTH($N$3+INT((DAY(EOMONTH($N$3,0))-1)/2)+P$14,0)=EOMONTH($AF$3,0),P$12*P$13,0),0),IF(AND(M$12&lt;&gt;"",M$14&lt;&gt;""),IF(EOMONTH($K$3+INT((DAY(EOMONTH($K$3,0))-1)/2)+M$14,0)=EOMONTH($AF$3,0),M$12*M$13,0),0),IF(AND(J$12&lt;&gt;"",J$14&lt;&gt;""),IF(EOMONTH($H$3+INT((DAY(EOMONTH($H$3,0))-1)/2)+J$14,0)=EOMONTH($AF$3,0),J$12*J$13,0),0),IF(AND(G$12&lt;&gt;"",G$14&lt;&gt;""),IF(EOMONTH($E$3+INT((DAY(EOMONTH($E$3,0))-1)/2)+G$14,0)=EOMONTH($AF$3,0),G$12*G$13,0),0),IF(EOMONTH($AL$75+AN$14,0)=EOMONTH($AF$3,0),$AL$77*AN$13,0)),0)</x:f>
        <x:v>80000</x:v>
      </x:c>
      <x:c r="AI73" s="70" t="n">
        <x:f>ROUND(SUM(IF(AND(AL$12&lt;&gt;"",AL$14&lt;&gt;""),IF(EOMONTH($AL$3+INT((DAY(EOMONTH($AL$3,0))-1)/2)+AL$14,0)=EOMONTH($AI$3,0),AL$12*AL$13,0),0),IF(AND(AI$12&lt;&gt;"",AI$14&lt;&gt;""),IF(EOMONTH($AI$3+INT((DAY(EOMONTH($AI$3,0))-1)/2)+AI$14,0)=EOMONTH($AI$3,0),AI$12*AI$13,0),0),IF(AND(AF$12&lt;&gt;"",AF$14&lt;&gt;""),IF(EOMONTH($AF$3+INT((DAY(EOMONTH($AF$3,0))-1)/2)+AF$14,0)=EOMONTH($AI$3,0),AF$12*AF$13,0),0),IF(AND(AC$12&lt;&gt;"",AC$14&lt;&gt;""),IF(EOMONTH($AC$3+INT((DAY(EOMONTH($AC$3,0))-1)/2)+AC$14,0)=EOMONTH($AI$3,0),AC$12*AC$13,0),0),IF(AND(Z$12&lt;&gt;"",Z$14&lt;&gt;""),IF(EOMONTH($Z$3+INT((DAY(EOMONTH($Z$3,0))-1)/2)+Z$14,0)=EOMONTH($AI$3,0),Z$12*Z$13,0),0),IF(AND(W$12&lt;&gt;"",W$14&lt;&gt;""),IF(EOMONTH($W$3+INT((DAY(EOMONTH($W$3,0))-1)/2)+W$14,0)=EOMONTH($AI$3,0),W$12*W$13,0),0),IF(AND(T$12&lt;&gt;"",T$14&lt;&gt;""),IF(EOMONTH($T$3+INT((DAY(EOMONTH($T$3,0))-1)/2)+T$14,0)=EOMONTH($AI$3,0),T$12*T$13,0),0),IF(AND(Q$12&lt;&gt;"",Q$14&lt;&gt;""),IF(EOMONTH($Q$3+INT((DAY(EOMONTH($Q$3,0))-1)/2)+Q$14,0)=EOMONTH($AI$3,0),Q$12*Q$13,0),0),IF(AND(N$12&lt;&gt;"",N$14&lt;&gt;""),IF(EOMONTH($N$3+INT((DAY(EOMONTH($N$3,0))-1)/2)+N$14,0)=EOMONTH($AI$3,0),N$12*N$13,0),0),IF(AND(K$12&lt;&gt;"",K$14&lt;&gt;""),IF(EOMONTH($K$3+INT((DAY(EOMONTH($K$3,0))-1)/2)+K$14,0)=EOMONTH($AI$3,0),K$12*K$13,0),0),IF(AND(H$12&lt;&gt;"",H$14&lt;&gt;""),IF(EOMONTH($H$3+INT((DAY(EOMONTH($H$3,0))-1)/2)+H$14,0)=EOMONTH($AI$3,0),H$12*H$13,0),0),IF(AND(E$12&lt;&gt;"",E$14&lt;&gt;""),IF(EOMONTH($E$3+INT((DAY(EOMONTH($E$3,0))-1)/2)+E$14,0)=EOMONTH($AI$3,0),E$12*E$13,0),0),IF(EOMONTH($AL$75+AL$14,0)=EOMONTH($AI$3,0),$AL$77*AL$13,0)),0)</x:f>
        <x:v>35000</x:v>
      </x:c>
      <x:c r="AJ73" s="70" t="n">
        <x:f>ROUND(SUM(IF(AND(AM$12&lt;&gt;"",AM$14&lt;&gt;""),IF(EOMONTH($AL$3+INT((DAY(EOMONTH($AL$3,0))-1)/2)+AM$14,0)=EOMONTH($AI$3,0),AM$12*AM$13,0),0),IF(AND(AJ$12&lt;&gt;"",AJ$14&lt;&gt;""),IF(EOMONTH($AI$3+INT((DAY(EOMONTH($AI$3,0))-1)/2)+AJ$14,0)=EOMONTH($AI$3,0),AJ$12*AJ$13,0),0),IF(AND(AG$12&lt;&gt;"",AG$14&lt;&gt;""),IF(EOMONTH($AF$3+INT((DAY(EOMONTH($AF$3,0))-1)/2)+AG$14,0)=EOMONTH($AI$3,0),AG$12*AG$13,0),0),IF(AND(AD$12&lt;&gt;"",AD$14&lt;&gt;""),IF(EOMONTH($AC$3+INT((DAY(EOMONTH($AC$3,0))-1)/2)+AD$14,0)=EOMONTH($AI$3,0),AD$12*AD$13,0),0),IF(AND(AA$12&lt;&gt;"",AA$14&lt;&gt;""),IF(EOMONTH($Z$3+INT((DAY(EOMONTH($Z$3,0))-1)/2)+AA$14,0)=EOMONTH($AI$3,0),AA$12*AA$13,0),0),IF(AND(X$12&lt;&gt;"",X$14&lt;&gt;""),IF(EOMONTH($W$3+INT((DAY(EOMONTH($W$3,0))-1)/2)+X$14,0)=EOMONTH($AI$3,0),X$12*X$13,0),0),IF(AND(U$12&lt;&gt;"",U$14&lt;&gt;""),IF(EOMONTH($T$3+INT((DAY(EOMONTH($T$3,0))-1)/2)+U$14,0)=EOMONTH($AI$3,0),U$12*U$13,0),0),IF(AND(R$12&lt;&gt;"",R$14&lt;&gt;""),IF(EOMONTH($Q$3+INT((DAY(EOMONTH($Q$3,0))-1)/2)+R$14,0)=EOMONTH($AI$3,0),R$12*R$13,0),0),IF(AND(O$12&lt;&gt;"",O$14&lt;&gt;""),IF(EOMONTH($N$3+INT((DAY(EOMONTH($N$3,0))-1)/2)+O$14,0)=EOMONTH($AI$3,0),O$12*O$13,0),0),IF(AND(L$12&lt;&gt;"",L$14&lt;&gt;""),IF(EOMONTH($K$3+INT((DAY(EOMONTH($K$3,0))-1)/2)+L$14,0)=EOMONTH($AI$3,0),L$12*L$13,0),0),IF(AND(I$12&lt;&gt;"",I$14&lt;&gt;""),IF(EOMONTH($H$3+INT((DAY(EOMONTH($H$3,0))-1)/2)+I$14,0)=EOMONTH($AI$3,0),I$12*I$13,0),0),IF(AND(F$12&lt;&gt;"",F$14&lt;&gt;""),IF(EOMONTH($E$3+INT((DAY(EOMONTH($E$3,0))-1)/2)+F$14,0)=EOMONTH($AI$3,0),F$12*F$13,0),0),IF(EOMONTH($AL$75+AM$14,0)=EOMONTH($AI$3,0),$AL$77*AM$13,0)),0)</x:f>
        <x:v>35000</x:v>
      </x:c>
      <x:c r="AK73" s="70" t="n">
        <x:f>ROUND(SUM(IF(AND(AN$12&lt;&gt;"",AN$14&lt;&gt;""),IF(EOMONTH($AL$3+INT((DAY(EOMONTH($AL$3,0))-1)/2)+AN$14,0)=EOMONTH($AI$3,0),AN$12*AN$13,0),0),IF(AND(AK$12&lt;&gt;"",AK$14&lt;&gt;""),IF(EOMONTH($AI$3+INT((DAY(EOMONTH($AI$3,0))-1)/2)+AK$14,0)=EOMONTH($AI$3,0),AK$12*AK$13,0),0),IF(AND(AH$12&lt;&gt;"",AH$14&lt;&gt;""),IF(EOMONTH($AF$3+INT((DAY(EOMONTH($AF$3,0))-1)/2)+AH$14,0)=EOMONTH($AI$3,0),AH$12*AH$13,0),0),IF(AND(AE$12&lt;&gt;"",AE$14&lt;&gt;""),IF(EOMONTH($AC$3+INT((DAY(EOMONTH($AC$3,0))-1)/2)+AE$14,0)=EOMONTH($AI$3,0),AE$12*AE$13,0),0),IF(AND(AB$12&lt;&gt;"",AB$14&lt;&gt;""),IF(EOMONTH($Z$3+INT((DAY(EOMONTH($Z$3,0))-1)/2)+AB$14,0)=EOMONTH($AI$3,0),AB$12*AB$13,0),0),IF(AND(Y$12&lt;&gt;"",Y$14&lt;&gt;""),IF(EOMONTH($W$3+INT((DAY(EOMONTH($W$3,0))-1)/2)+Y$14,0)=EOMONTH($AI$3,0),Y$12*Y$13,0),0),IF(AND(V$12&lt;&gt;"",V$14&lt;&gt;""),IF(EOMONTH($T$3+INT((DAY(EOMONTH($T$3,0))-1)/2)+V$14,0)=EOMONTH($AI$3,0),V$12*V$13,0),0),IF(AND(S$12&lt;&gt;"",S$14&lt;&gt;""),IF(EOMONTH($Q$3+INT((DAY(EOMONTH($Q$3,0))-1)/2)+S$14,0)=EOMONTH($AI$3,0),S$12*S$13,0),0),IF(AND(P$12&lt;&gt;"",P$14&lt;&gt;""),IF(EOMONTH($N$3+INT((DAY(EOMONTH($N$3,0))-1)/2)+P$14,0)=EOMONTH($AI$3,0),P$12*P$13,0),0),IF(AND(M$12&lt;&gt;"",M$14&lt;&gt;""),IF(EOMONTH($K$3+INT((DAY(EOMONTH($K$3,0))-1)/2)+M$14,0)=EOMONTH($AI$3,0),M$12*M$13,0),0),IF(AND(J$12&lt;&gt;"",J$14&lt;&gt;""),IF(EOMONTH($H$3+INT((DAY(EOMONTH($H$3,0))-1)/2)+J$14,0)=EOMONTH($AI$3,0),J$12*J$13,0),0),IF(AND(G$12&lt;&gt;"",G$14&lt;&gt;""),IF(EOMONTH($E$3+INT((DAY(EOMONTH($E$3,0))-1)/2)+G$14,0)=EOMONTH($AI$3,0),G$12*G$13,0),0),IF(EOMONTH($AL$75+AN$14,0)=EOMONTH($AI$3,0),$AL$77*AN$13,0)),0)</x:f>
        <x:v>80000</x:v>
      </x:c>
      <x:c r="AL73" s="70" t="n">
        <x:f>ROUND(SUM(IF(AND(AL$12&lt;&gt;"",AL$14&lt;&gt;""),IF(EOMONTH($AL$3+INT((DAY(EOMONTH($AL$3,0))-1)/2)+AL$14,0)=EOMONTH($AL$3,0),AL$12*AL$13,0),0),IF(AND(AI$12&lt;&gt;"",AI$14&lt;&gt;""),IF(EOMONTH($AI$3+INT((DAY(EOMONTH($AI$3,0))-1)/2)+AI$14,0)=EOMONTH($AL$3,0),AI$12*AI$13,0),0),IF(AND(AF$12&lt;&gt;"",AF$14&lt;&gt;""),IF(EOMONTH($AF$3+INT((DAY(EOMONTH($AF$3,0))-1)/2)+AF$14,0)=EOMONTH($AL$3,0),AF$12*AF$13,0),0),IF(AND(AC$12&lt;&gt;"",AC$14&lt;&gt;""),IF(EOMONTH($AC$3+INT((DAY(EOMONTH($AC$3,0))-1)/2)+AC$14,0)=EOMONTH($AL$3,0),AC$12*AC$13,0),0),IF(AND(Z$12&lt;&gt;"",Z$14&lt;&gt;""),IF(EOMONTH($Z$3+INT((DAY(EOMONTH($Z$3,0))-1)/2)+Z$14,0)=EOMONTH($AL$3,0),Z$12*Z$13,0),0),IF(AND(W$12&lt;&gt;"",W$14&lt;&gt;""),IF(EOMONTH($W$3+INT((DAY(EOMONTH($W$3,0))-1)/2)+W$14,0)=EOMONTH($AL$3,0),W$12*W$13,0),0),IF(AND(T$12&lt;&gt;"",T$14&lt;&gt;""),IF(EOMONTH($T$3+INT((DAY(EOMONTH($T$3,0))-1)/2)+T$14,0)=EOMONTH($AL$3,0),T$12*T$13,0),0),IF(AND(Q$12&lt;&gt;"",Q$14&lt;&gt;""),IF(EOMONTH($Q$3+INT((DAY(EOMONTH($Q$3,0))-1)/2)+Q$14,0)=EOMONTH($AL$3,0),Q$12*Q$13,0),0),IF(AND(N$12&lt;&gt;"",N$14&lt;&gt;""),IF(EOMONTH($N$3+INT((DAY(EOMONTH($N$3,0))-1)/2)+N$14,0)=EOMONTH($AL$3,0),N$12*N$13,0),0),IF(AND(K$12&lt;&gt;"",K$14&lt;&gt;""),IF(EOMONTH($K$3+INT((DAY(EOMONTH($K$3,0))-1)/2)+K$14,0)=EOMONTH($AL$3,0),K$12*K$13,0),0),IF(AND(H$12&lt;&gt;"",H$14&lt;&gt;""),IF(EOMONTH($H$3+INT((DAY(EOMONTH($H$3,0))-1)/2)+H$14,0)=EOMONTH($AL$3,0),H$12*H$13,0),0),IF(AND(E$12&lt;&gt;"",E$14&lt;&gt;""),IF(EOMONTH($E$3+INT((DAY(EOMONTH($E$3,0))-1)/2)+E$14,0)=EOMONTH($AL$3,0),E$12*E$13,0),0),IF(EOMONTH($AL$75+AL$14,0)=EOMONTH($AL$3,0),$AL$77*AL$13,0)),0)</x:f>
        <x:v>50000</x:v>
      </x:c>
      <x:c r="AM73" s="70" t="n">
        <x:f>ROUND(SUM(IF(AND(AM$12&lt;&gt;"",AM$14&lt;&gt;""),IF(EOMONTH($AL$3+INT((DAY(EOMONTH($AL$3,0))-1)/2)+AM$14,0)=EOMONTH($AL$3,0),AM$12*AM$13,0),0),IF(AND(AJ$12&lt;&gt;"",AJ$14&lt;&gt;""),IF(EOMONTH($AI$3+INT((DAY(EOMONTH($AI$3,0))-1)/2)+AJ$14,0)=EOMONTH($AL$3,0),AJ$12*AJ$13,0),0),IF(AND(AG$12&lt;&gt;"",AG$14&lt;&gt;""),IF(EOMONTH($AF$3+INT((DAY(EOMONTH($AF$3,0))-1)/2)+AG$14,0)=EOMONTH($AL$3,0),AG$12*AG$13,0),0),IF(AND(AD$12&lt;&gt;"",AD$14&lt;&gt;""),IF(EOMONTH($AC$3+INT((DAY(EOMONTH($AC$3,0))-1)/2)+AD$14,0)=EOMONTH($AL$3,0),AD$12*AD$13,0),0),IF(AND(AA$12&lt;&gt;"",AA$14&lt;&gt;""),IF(EOMONTH($Z$3+INT((DAY(EOMONTH($Z$3,0))-1)/2)+AA$14,0)=EOMONTH($AL$3,0),AA$12*AA$13,0),0),IF(AND(X$12&lt;&gt;"",X$14&lt;&gt;""),IF(EOMONTH($W$3+INT((DAY(EOMONTH($W$3,0))-1)/2)+X$14,0)=EOMONTH($AL$3,0),X$12*X$13,0),0),IF(AND(U$12&lt;&gt;"",U$14&lt;&gt;""),IF(EOMONTH($T$3+INT((DAY(EOMONTH($T$3,0))-1)/2)+U$14,0)=EOMONTH($AL$3,0),U$12*U$13,0),0),IF(AND(R$12&lt;&gt;"",R$14&lt;&gt;""),IF(EOMONTH($Q$3+INT((DAY(EOMONTH($Q$3,0))-1)/2)+R$14,0)=EOMONTH($AL$3,0),R$12*R$13,0),0),IF(AND(O$12&lt;&gt;"",O$14&lt;&gt;""),IF(EOMONTH($N$3+INT((DAY(EOMONTH($N$3,0))-1)/2)+O$14,0)=EOMONTH($AL$3,0),O$12*O$13,0),0),IF(AND(L$12&lt;&gt;"",L$14&lt;&gt;""),IF(EOMONTH($K$3+INT((DAY(EOMONTH($K$3,0))-1)/2)+L$14,0)=EOMONTH($AL$3,0),L$12*L$13,0),0),IF(AND(I$12&lt;&gt;"",I$14&lt;&gt;""),IF(EOMONTH($H$3+INT((DAY(EOMONTH($H$3,0))-1)/2)+I$14,0)=EOMONTH($AL$3,0),I$12*I$13,0),0),IF(AND(F$12&lt;&gt;"",F$14&lt;&gt;""),IF(EOMONTH($E$3+INT((DAY(EOMONTH($E$3,0))-1)/2)+F$14,0)=EOMONTH($AL$3,0),F$12*F$13,0),0),IF(EOMONTH($AL$75+AM$14,0)=EOMONTH($AL$3,0),$AL$77*AM$13,0)),0)</x:f>
        <x:v>50000</x:v>
      </x:c>
      <x:c r="AN73" s="70" t="n">
        <x:f>ROUND(SUM(IF(AND(AN$12&lt;&gt;"",AN$14&lt;&gt;""),IF(EOMONTH($AL$3+INT((DAY(EOMONTH($AL$3,0))-1)/2)+AN$14,0)=EOMONTH($AL$3,0),AN$12*AN$13,0),0),IF(AND(AK$12&lt;&gt;"",AK$14&lt;&gt;""),IF(EOMONTH($AI$3+INT((DAY(EOMONTH($AI$3,0))-1)/2)+AK$14,0)=EOMONTH($AL$3,0),AK$12*AK$13,0),0),IF(AND(AH$12&lt;&gt;"",AH$14&lt;&gt;""),IF(EOMONTH($AF$3+INT((DAY(EOMONTH($AF$3,0))-1)/2)+AH$14,0)=EOMONTH($AL$3,0),AH$12*AH$13,0),0),IF(AND(AE$12&lt;&gt;"",AE$14&lt;&gt;""),IF(EOMONTH($AC$3+INT((DAY(EOMONTH($AC$3,0))-1)/2)+AE$14,0)=EOMONTH($AL$3,0),AE$12*AE$13,0),0),IF(AND(AB$12&lt;&gt;"",AB$14&lt;&gt;""),IF(EOMONTH($Z$3+INT((DAY(EOMONTH($Z$3,0))-1)/2)+AB$14,0)=EOMONTH($AL$3,0),AB$12*AB$13,0),0),IF(AND(Y$12&lt;&gt;"",Y$14&lt;&gt;""),IF(EOMONTH($W$3+INT((DAY(EOMONTH($W$3,0))-1)/2)+Y$14,0)=EOMONTH($AL$3,0),Y$12*Y$13,0),0),IF(AND(V$12&lt;&gt;"",V$14&lt;&gt;""),IF(EOMONTH($T$3+INT((DAY(EOMONTH($T$3,0))-1)/2)+V$14,0)=EOMONTH($AL$3,0),V$12*V$13,0),0),IF(AND(S$12&lt;&gt;"",S$14&lt;&gt;""),IF(EOMONTH($Q$3+INT((DAY(EOMONTH($Q$3,0))-1)/2)+S$14,0)=EOMONTH($AL$3,0),S$12*S$13,0),0),IF(AND(P$12&lt;&gt;"",P$14&lt;&gt;""),IF(EOMONTH($N$3+INT((DAY(EOMONTH($N$3,0))-1)/2)+P$14,0)=EOMONTH($AL$3,0),P$12*P$13,0),0),IF(AND(M$12&lt;&gt;"",M$14&lt;&gt;""),IF(EOMONTH($K$3+INT((DAY(EOMONTH($K$3,0))-1)/2)+M$14,0)=EOMONTH($AL$3,0),M$12*M$13,0),0),IF(AND(J$12&lt;&gt;"",J$14&lt;&gt;""),IF(EOMONTH($H$3+INT((DAY(EOMONTH($H$3,0))-1)/2)+J$14,0)=EOMONTH($AL$3,0),J$12*J$13,0),0),IF(AND(G$12&lt;&gt;"",G$14&lt;&gt;""),IF(EOMONTH($E$3+INT((DAY(EOMONTH($E$3,0))-1)/2)+G$14,0)=EOMONTH($AL$3,0),G$12*G$13,0),0),IF(EOMONTH($AL$75+AN$14,0)=EOMONTH($AL$3,0),$AL$77*AN$13,0)),0)</x:f>
        <x:v>80000</x:v>
      </x:c>
    </x:row>
    <x:row r="74" ht="24" customHeight="1">
      <x:c r="A74" s="33" t="str">
        <x:v>OPENING POSITION</x:v>
      </x:c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  <x:c r="AA74" s="33"/>
      <x:c r="AB74" s="33"/>
      <x:c r="AC74" s="33"/>
      <x:c r="AD74" s="33"/>
      <x:c r="AE74" s="33"/>
      <x:c r="AF74" s="33"/>
      <x:c r="AG74" s="33"/>
      <x:c r="AH74" s="33"/>
      <x:c r="AI74" s="33"/>
      <x:c r="AJ74" s="33"/>
      <x:c r="AK74" s="33"/>
      <x:c r="AL74" s="33"/>
      <x:c r="AM74" s="33"/>
      <x:c r="AN74" s="33"/>
    </x:row>
    <x:row r="75" ht="24" customHeight="1">
      <x:c r="A75" s="29" t="str">
        <x:v>Forecast start month</x:v>
      </x:c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  <x:c r="V75" s="3"/>
      <x:c r="W75" s="3"/>
      <x:c r="X75" s="3"/>
      <x:c r="Y75" s="3"/>
      <x:c r="Z75" s="3"/>
      <x:c r="AA75" s="3"/>
      <x:c r="AB75" s="3"/>
      <x:c r="AC75" s="3"/>
      <x:c r="AD75" s="3"/>
      <x:c r="AE75" s="3"/>
      <x:c r="AF75" s="3"/>
      <x:c r="AG75" s="3"/>
      <x:c r="AH75" s="3"/>
      <x:c r="AI75" s="3"/>
      <x:c r="AJ75" s="3"/>
      <x:c r="AK75" s="3"/>
      <x:c r="AL75" s="91" t="n">
        <x:v>46388</x:v>
      </x:c>
      <x:c r="AM75" s="92"/>
      <x:c r="AN75" s="93"/>
    </x:row>
    <x:row r="76" ht="24" customHeight="1">
      <x:c r="A76" s="29" t="str">
        <x:v>Qualified leads at model start [count]</x:v>
      </x:c>
      <x:c r="B76" s="52"/>
      <x:c r="C76" s="52"/>
      <x:c r="D76" s="52"/>
      <x:c r="E76" s="52"/>
      <x:c r="F76" s="52"/>
      <x:c r="G76" s="52"/>
      <x:c r="H76" s="52"/>
      <x:c r="I76" s="52"/>
      <x:c r="J76" s="52"/>
      <x:c r="K76" s="52"/>
      <x:c r="L76" s="52"/>
      <x:c r="M76" s="52"/>
      <x:c r="N76" s="52"/>
      <x:c r="O76" s="52"/>
      <x:c r="P76" s="52"/>
      <x:c r="Q76" s="52"/>
      <x:c r="R76" s="52"/>
      <x:c r="S76" s="52"/>
      <x:c r="T76" s="52"/>
      <x:c r="U76" s="52"/>
      <x:c r="V76" s="52"/>
      <x:c r="W76" s="52"/>
      <x:c r="X76" s="52"/>
      <x:c r="Y76" s="52"/>
      <x:c r="Z76" s="52"/>
      <x:c r="AA76" s="52"/>
      <x:c r="AB76" s="52"/>
      <x:c r="AC76" s="52"/>
      <x:c r="AD76" s="52"/>
      <x:c r="AE76" s="52"/>
      <x:c r="AF76" s="52"/>
      <x:c r="AG76" s="52"/>
      <x:c r="AH76" s="52"/>
      <x:c r="AI76" s="52"/>
      <x:c r="AJ76" s="52"/>
      <x:c r="AK76" s="52"/>
      <x:c r="AL76" s="85" t="n">
        <x:v>40</x:v>
      </x:c>
      <x:c r="AM76" s="86"/>
      <x:c r="AN76" s="87"/>
    </x:row>
    <x:row r="77" ht="24" customHeight="1">
      <x:c r="A77" s="29" t="str">
        <x:v>Signed contracts at model start [count]</x:v>
      </x:c>
      <x:c r="B77" s="52"/>
      <x:c r="C77" s="52"/>
      <x:c r="D77" s="52"/>
      <x:c r="E77" s="52"/>
      <x:c r="F77" s="52"/>
      <x:c r="G77" s="52"/>
      <x:c r="H77" s="52"/>
      <x:c r="I77" s="52"/>
      <x:c r="J77" s="52"/>
      <x:c r="K77" s="52"/>
      <x:c r="L77" s="52"/>
      <x:c r="M77" s="52"/>
      <x:c r="N77" s="52"/>
      <x:c r="O77" s="52"/>
      <x:c r="P77" s="52"/>
      <x:c r="Q77" s="52"/>
      <x:c r="R77" s="52"/>
      <x:c r="S77" s="52"/>
      <x:c r="T77" s="52"/>
      <x:c r="U77" s="52"/>
      <x:c r="V77" s="52"/>
      <x:c r="W77" s="52"/>
      <x:c r="X77" s="52"/>
      <x:c r="Y77" s="52"/>
      <x:c r="Z77" s="52"/>
      <x:c r="AA77" s="52"/>
      <x:c r="AB77" s="52"/>
      <x:c r="AC77" s="52"/>
      <x:c r="AD77" s="52"/>
      <x:c r="AE77" s="52"/>
      <x:c r="AF77" s="52"/>
      <x:c r="AG77" s="52"/>
      <x:c r="AH77" s="52"/>
      <x:c r="AI77" s="52"/>
      <x:c r="AJ77" s="52"/>
      <x:c r="AK77" s="52"/>
      <x:c r="AL77" s="85" t="n">
        <x:v>10</x:v>
      </x:c>
      <x:c r="AM77" s="86"/>
      <x:c r="AN77" s="87"/>
    </x:row>
    <x:row r="78" ht="24" customHeight="1">
      <x:c r="A78" s="29" t="str">
        <x:v>Completed contracts awaiting collection [count]</x:v>
      </x:c>
      <x:c r="B78" s="52"/>
      <x:c r="C78" s="52"/>
      <x:c r="D78" s="52"/>
      <x:c r="E78" s="52"/>
      <x:c r="F78" s="52"/>
      <x:c r="G78" s="52"/>
      <x:c r="H78" s="52"/>
      <x:c r="I78" s="52"/>
      <x:c r="J78" s="52"/>
      <x:c r="K78" s="52"/>
      <x:c r="L78" s="52"/>
      <x:c r="M78" s="52"/>
      <x:c r="N78" s="52"/>
      <x:c r="O78" s="52"/>
      <x:c r="P78" s="52"/>
      <x:c r="Q78" s="52"/>
      <x:c r="R78" s="52"/>
      <x:c r="S78" s="52"/>
      <x:c r="T78" s="52"/>
      <x:c r="U78" s="52"/>
      <x:c r="V78" s="52"/>
      <x:c r="W78" s="52"/>
      <x:c r="X78" s="52"/>
      <x:c r="Y78" s="52"/>
      <x:c r="Z78" s="52"/>
      <x:c r="AA78" s="52"/>
      <x:c r="AB78" s="52"/>
      <x:c r="AC78" s="52"/>
      <x:c r="AD78" s="52"/>
      <x:c r="AE78" s="52"/>
      <x:c r="AF78" s="52"/>
      <x:c r="AG78" s="52"/>
      <x:c r="AH78" s="52"/>
      <x:c r="AI78" s="52"/>
      <x:c r="AJ78" s="52"/>
      <x:c r="AK78" s="52"/>
      <x:c r="AL78" s="85" t="n">
        <x:v>10</x:v>
      </x:c>
      <x:c r="AM78" s="86"/>
      <x:c r="AN78" s="87"/>
    </x:row>
    <x:row r="79" ht="24" customHeight="1">
      <x:c r="A79" s="29" t="str">
        <x:v>Opening delivery backlog [contracts]</x:v>
      </x:c>
      <x:c r="B79" s="52"/>
      <x:c r="C79" s="52"/>
      <x:c r="D79" s="52"/>
      <x:c r="E79" s="52"/>
      <x:c r="F79" s="52"/>
      <x:c r="G79" s="52"/>
      <x:c r="H79" s="52"/>
      <x:c r="I79" s="52"/>
      <x:c r="J79" s="52"/>
      <x:c r="K79" s="52"/>
      <x:c r="L79" s="52"/>
      <x:c r="M79" s="52"/>
      <x:c r="N79" s="52"/>
      <x:c r="O79" s="52"/>
      <x:c r="P79" s="52"/>
      <x:c r="Q79" s="52"/>
      <x:c r="R79" s="52"/>
      <x:c r="S79" s="52"/>
      <x:c r="T79" s="52"/>
      <x:c r="U79" s="52"/>
      <x:c r="V79" s="52"/>
      <x:c r="W79" s="52"/>
      <x:c r="X79" s="52"/>
      <x:c r="Y79" s="52"/>
      <x:c r="Z79" s="52"/>
      <x:c r="AA79" s="52"/>
      <x:c r="AB79" s="52"/>
      <x:c r="AC79" s="52"/>
      <x:c r="AD79" s="52"/>
      <x:c r="AE79" s="52"/>
      <x:c r="AF79" s="52"/>
      <x:c r="AG79" s="52"/>
      <x:c r="AH79" s="52"/>
      <x:c r="AI79" s="52"/>
      <x:c r="AJ79" s="52"/>
      <x:c r="AK79" s="52"/>
      <x:c r="AL79" s="88" t="n">
        <x:v>5</x:v>
      </x:c>
      <x:c r="AM79" s="89"/>
      <x:c r="AN79" s="90"/>
    </x:row>
    <x:row r="80" ht="24" customHeight="1">
      <x:c r="A80" s="33" t="str">
        <x:v>MODEL CHECKS</x:v>
      </x:c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  <x:c r="AA80" s="33"/>
      <x:c r="AB80" s="33"/>
      <x:c r="AC80" s="33"/>
      <x:c r="AD80" s="33"/>
      <x:c r="AE80" s="33"/>
      <x:c r="AF80" s="33"/>
      <x:c r="AG80" s="33"/>
      <x:c r="AH80" s="33"/>
      <x:c r="AI80" s="33"/>
      <x:c r="AJ80" s="33"/>
      <x:c r="AK80" s="33"/>
      <x:c r="AL80" s="33"/>
      <x:c r="AM80" s="33"/>
      <x:c r="AN80" s="33"/>
    </x:row>
    <x:row r="81" ht="24" customHeight="1">
      <x:c r="A81" s="29" t="str">
        <x:v>Timing inputs are non-negative days</x:v>
      </x:c>
      <x:c r="B81" s="96" t="str">
        <x:f>IF(AND(AND(AM8&gt;=0,AM11&gt;=0,AM14&gt;=0,AM23&gt;=0),AND(AN8&gt;=0,AN11&gt;=0,AN14&gt;=0,AN23&gt;=0),AND(AJ8&gt;=0,AJ11&gt;=0,AJ14&gt;=0,AJ23&gt;=0),AND(AK8&gt;=0,AK11&gt;=0,AK14&gt;=0,AK23&gt;=0),AND(AG8&gt;=0,AG11&gt;=0,AG14&gt;=0,AG23&gt;=0),AND(AH8&gt;=0,AH11&gt;=0,AH14&gt;=0,AH23&gt;=0),AND(AD8&gt;=0,AD11&gt;=0,AD14&gt;=0,AD23&gt;=0),AND(AE8&gt;=0,AE11&gt;=0,AE14&gt;=0,AE23&gt;=0),AND(AA8&gt;=0,AA11&gt;=0,AA14&gt;=0,AA23&gt;=0),AND(AB8&gt;=0,AB11&gt;=0,AB14&gt;=0,AB23&gt;=0),AND(X8&gt;=0,X11&gt;=0,X14&gt;=0,X23&gt;=0),AND(Y8&gt;=0,Y11&gt;=0,Y14&gt;=0,Y23&gt;=0),AND(U8&gt;=0,U11&gt;=0,U14&gt;=0,U23&gt;=0),AND(V8&gt;=0,V11&gt;=0,V14&gt;=0,V23&gt;=0),AND(R8&gt;=0,R11&gt;=0,R14&gt;=0,R23&gt;=0),AND(S8&gt;=0,S11&gt;=0,S14&gt;=0,S23&gt;=0),AND(O8&gt;=0,O11&gt;=0,O14&gt;=0,O23&gt;=0),AND(P8&gt;=0,P11&gt;=0,P14&gt;=0,P23&gt;=0),AND(L8&gt;=0,L11&gt;=0,L14&gt;=0,L23&gt;=0),AND(M8&gt;=0,M11&gt;=0,M14&gt;=0,M23&gt;=0),AND(I8&gt;=0,I11&gt;=0,I14&gt;=0,I23&gt;=0),AND(J8&gt;=0,J11&gt;=0,J14&gt;=0,J23&gt;=0),AND(F8&gt;=0,F11&gt;=0,F14&gt;=0,F23&gt;=0),AND(G8&gt;=0,G11&gt;=0,G14&gt;=0,G23&gt;=0)),"OK","CHECK")</x:f>
        <x:v>OK</x:v>
      </x:c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  <x:c r="V81" s="3"/>
      <x:c r="W81" s="3"/>
      <x:c r="X81" s="3"/>
      <x:c r="Y81" s="3"/>
      <x:c r="Z81" s="3"/>
      <x:c r="AA81" s="3"/>
      <x:c r="AB81" s="3"/>
      <x:c r="AC81" s="3"/>
      <x:c r="AD81" s="3"/>
      <x:c r="AE81" s="3"/>
      <x:c r="AF81" s="3"/>
      <x:c r="AG81" s="3"/>
      <x:c r="AH81" s="3"/>
      <x:c r="AI81" s="3"/>
      <x:c r="AJ81" s="3"/>
      <x:c r="AK81" s="3"/>
      <x:c r="AL81" s="3"/>
      <x:c r="AM81" s="3"/>
      <x:c r="AN81" s="3"/>
    </x:row>
    <x:row r="82" ht="24" customHeight="1">
      <x:c r="A82" s="29" t="str">
        <x:v>Conversion inputs are between 0% and 100%</x:v>
      </x:c>
      <x:c r="B82" s="96" t="str">
        <x:f>IF(AND(AND(AM7&gt;=0,AM7&lt;=1,AM10&gt;=0,AM10&lt;=1),AND(AN7&gt;=0,AN7&lt;=1,AN10&gt;=0,AN10&lt;=1),AND(AJ7&gt;=0,AJ7&lt;=1,AJ10&gt;=0,AJ10&lt;=1),AND(AK7&gt;=0,AK7&lt;=1,AK10&gt;=0,AK10&lt;=1),AND(AG7&gt;=0,AG7&lt;=1,AG10&gt;=0,AG10&lt;=1),AND(AH7&gt;=0,AH7&lt;=1,AH10&gt;=0,AH10&lt;=1),AND(AD7&gt;=0,AD7&lt;=1,AD10&gt;=0,AD10&lt;=1),AND(AE7&gt;=0,AE7&lt;=1,AE10&gt;=0,AE10&lt;=1),AND(AA7&gt;=0,AA7&lt;=1,AA10&gt;=0,AA10&lt;=1),AND(AB7&gt;=0,AB7&lt;=1,AB10&gt;=0,AB10&lt;=1),AND(X7&gt;=0,X7&lt;=1,X10&gt;=0,X10&lt;=1),AND(Y7&gt;=0,Y7&lt;=1,Y10&gt;=0,Y10&lt;=1),AND(U7&gt;=0,U7&lt;=1,U10&gt;=0,U10&lt;=1),AND(V7&gt;=0,V7&lt;=1,V10&gt;=0,V10&lt;=1),AND(R7&gt;=0,R7&lt;=1,R10&gt;=0,R10&lt;=1),AND(S7&gt;=0,S7&lt;=1,S10&gt;=0,S10&lt;=1),AND(O7&gt;=0,O7&lt;=1,O10&gt;=0,O10&lt;=1),AND(P7&gt;=0,P7&lt;=1,P10&gt;=0,P10&lt;=1),AND(L7&gt;=0,L7&lt;=1,L10&gt;=0,L10&lt;=1),AND(M7&gt;=0,M7&lt;=1,M10&gt;=0,M10&lt;=1),AND(I7&gt;=0,I7&lt;=1,I10&gt;=0,I10&lt;=1),AND(J7&gt;=0,J7&lt;=1,J10&gt;=0,J10&lt;=1),AND(F7&gt;=0,F7&lt;=1,F10&gt;=0,F10&lt;=1),AND(G7&gt;=0,G7&lt;=1,G10&gt;=0,G10&lt;=1)),"OK","CHECK")</x:f>
        <x:v>OK</x:v>
      </x:c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  <x:c r="V82" s="3"/>
      <x:c r="W82" s="3"/>
      <x:c r="X82" s="3"/>
      <x:c r="Y82" s="3"/>
      <x:c r="Z82" s="3"/>
      <x:c r="AA82" s="3"/>
      <x:c r="AB82" s="3"/>
      <x:c r="AC82" s="3"/>
      <x:c r="AD82" s="3"/>
      <x:c r="AE82" s="3"/>
      <x:c r="AF82" s="3"/>
      <x:c r="AG82" s="3"/>
      <x:c r="AH82" s="3"/>
      <x:c r="AI82" s="3"/>
      <x:c r="AJ82" s="3"/>
      <x:c r="AK82" s="3"/>
      <x:c r="AL82" s="3"/>
      <x:c r="AM82" s="3"/>
      <x:c r="AN82" s="3"/>
    </x:row>
    <x:row r="83" ht="24" customHeight="1">
      <x:c r="A83" s="29" t="str">
        <x:v>Operating and opening inputs are non-negative</x:v>
      </x:c>
      <x:c r="B83" s="96" t="str">
        <x:f>IF(AND(ISNUMBER($AL$75),COUNT($AL$76:$AL$79)=4,MIN($AL$76:$AL$79)&gt;=0,MIN(AM6,AM13,AM15,AM16,AM18,AM28,AM30,AM31,AM32,AM33,AM38,AM39,AM40,AM41,AM42,AM43,AM44,AM45,AM46,AM47,AM48,AM49,AM50,AM51,AM52,AM60,AM61,AM62,AM63,AM64,AM69)&gt;=0,MIN(AN6,AN13,AN15,AN16,AN18,AN28,AN30,AN31,AN32,AN33,AN38,AN39,AN40,AN41,AN42,AN43,AN44,AN45,AN46,AN47,AN48,AN49,AN50,AN51,AN52,AN60,AN61,AN62,AN63,AN64,AN69)&gt;=0,MIN(AJ6,AJ13,AJ15,AJ16,AJ18,AJ28,AJ30,AJ31,AJ32,AJ33,AJ38,AJ39,AJ40,AJ41,AJ42,AJ43,AJ44,AJ45,AJ46,AJ47,AJ48,AJ49,AJ50,AJ51,AJ52,AJ60,AJ61,AJ62,AJ63,AJ64,AJ69)&gt;=0,MIN(AK6,AK13,AK15,AK16,AK18,AK28,AK30,AK31,AK32,AK33,AK38,AK39,AK40,AK41,AK42,AK43,AK44,AK45,AK46,AK47,AK48,AK49,AK50,AK51,AK52,AK60,AK61,AK62,AK63,AK64,AK69)&gt;=0,MIN(AG6,AG13,AG15,AG16,AG18,AG28,AG30,AG31,AG32,AG33,AG38,AG39,AG40,AG41,AG42,AG43,AG44,AG45,AG46,AG47,AG48,AG49,AG50,AG51,AG52,AG60,AG61,AG62,AG63,AG64,AG69)&gt;=0,MIN(AH6,AH13,AH15,AH16,AH18,AH28,AH30,AH31,AH32,AH33,AH38,AH39,AH40,AH41,AH42,AH43,AH44,AH45,AH46,AH47,AH48,AH49,AH50,AH51,AH52,AH60,AH61,AH62,AH63,AH64,AH69)&gt;=0,MIN(AD6,AD13,AD15,AD16,AD18,AD28,AD30,AD31,AD32,AD33,AD38,AD39,AD40,AD41,AD42,AD43,AD44,AD45,AD46,AD47,AD48,AD49,AD50,AD51,AD52,AD60,AD61,AD62,AD63,AD64,AD69)&gt;=0,MIN(AE6,AE13,AE15,AE16,AE18,AE28,AE30,AE31,AE32,AE33,AE38,AE39,AE40,AE41,AE42,AE43,AE44,AE45,AE46,AE47,AE48,AE49,AE50,AE51,AE52,AE60,AE61,AE62,AE63,AE64,AE69)&gt;=0,MIN(AA6,AA13,AA15,AA16,AA18,AA28,AA30,AA31,AA32,AA33,AA38,AA39,AA40,AA41,AA42,AA43,AA44,AA45,AA46,AA47,AA48,AA49,AA50,AA51,AA52,AA60,AA61,AA62,AA63,AA64,AA69)&gt;=0,MIN(AB6,AB13,AB15,AB16,AB18,AB28,AB30,AB31,AB32,AB33,AB38,AB39,AB40,AB41,AB42,AB43,AB44,AB45,AB46,AB47,AB48,AB49,AB50,AB51,AB52,AB60,AB61,AB62,AB63,AB64,AB69)&gt;=0,MIN(X6,X13,X15,X16,X18,X28,X30,X31,X32,X33,X38,X39,X40,X41,X42,X43,X44,X45,X46,X47,X48,X49,X50,X51,X52,X60,X61,X62,X63,X64,X69)&gt;=0,MIN(Y6,Y13,Y15,Y16,Y18,Y28,Y30,Y31,Y32,Y33,Y38,Y39,Y40,Y41,Y42,Y43,Y44,Y45,Y46,Y47,Y48,Y49,Y50,Y51,Y52,Y60,Y61,Y62,Y63,Y64,Y69)&gt;=0,MIN(U6,U13,U15,U16,U18,U28,U30,U31,U32,U33,U38,U39,U40,U41,U42,U43,U44,U45,U46,U47,U48,U49,U50,U51,U52,U60,U61,U62,U63,U64,U69)&gt;=0,MIN(V6,V13,V15,V16,V18,V28,V30,V31,V32,V33,V38,V39,V40,V41,V42,V43,V44,V45,V46,V47,V48,V49,V50,V51,V52,V60,V61,V62,V63,V64,V69)&gt;=0,MIN(R6,R13,R15,R16,R18,R28,R30,R31,R32,R33,R38,R39,R40,R41,R42,R43,R44,R45,R46,R47,R48,R49,R50,R51,R52,R60,R61,R62,R63,R64,R69)&gt;=0,MIN(S6,S13,S15,S16,S18,S28,S30,S31,S32,S33,S38,S39,S40,S41,S42,S43,S44,S45,S46,S47,S48,S49,S50,S51,S52,S60,S61,S62,S63,S64,S69)&gt;=0,MIN(O6,O13,O15,O16,O18,O28,O30,O31,O32,O33,O38,O39,O40,O41,O42,O43,O44,O45,O46,O47,O48,O49,O50,O51,O52,O60,O61,O62,O63,O64,O69)&gt;=0,MIN(P6,P13,P15,P16,P18,P28,P30,P31,P32,P33,P38,P39,P40,P41,P42,P43,P44,P45,P46,P47,P48,P49,P50,P51,P52,P60,P61,P62,P63,P64,P69)&gt;=0,MIN(L6,L13,L15,L16,L18,L28,L30,L31,L32,L33,L38,L39,L40,L41,L42,L43,L44,L45,L46,L47,L48,L49,L50,L51,L52,L60,L61,L62,L63,L64,L69)&gt;=0,MIN(M6,M13,M15,M16,M18,M28,M30,M31,M32,M33,M38,M39,M40,M41,M42,M43,M44,M45,M46,M47,M48,M49,M50,M51,M52,M60,M61,M62,M63,M64,M69)&gt;=0,MIN(I6,I13,I15,I16,I18,I28,I30,I31,I32,I33,I38,I39,I40,I41,I42,I43,I44,I45,I46,I47,I48,I49,I50,I51,I52,I60,I61,I62,I63,I64,I69)&gt;=0,MIN(J6,J13,J15,J16,J18,J28,J30,J31,J32,J33,J38,J39,J40,J41,J42,J43,J44,J45,J46,J47,J48,J49,J50,J51,J52,J60,J61,J62,J63,J64,J69)&gt;=0,MIN(F6,F13,F15,F16,F18,F28,F30,F31,F32,F33,F38,F39,F40,F41,F42,F43,F44,F45,F46,F47,F48,F49,F50,F51,F52,F60,F61,F62,F63,F64,F69)&gt;=0,MIN(G6,G13,G15,G16,G18,G28,G30,G31,G32,G33,G38,G39,G40,G41,G42,G43,G44,G45,G46,G47,G48,G49,G50,G51,G52,G60,G61,G62,G63,G64,G69)&gt;=0),"OK","CHECK")</x:f>
        <x:v>OK</x:v>
      </x:c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  <x:c r="V83" s="3"/>
      <x:c r="W83" s="3"/>
      <x:c r="X83" s="3"/>
      <x:c r="Y83" s="3"/>
      <x:c r="Z83" s="3"/>
      <x:c r="AA83" s="3"/>
      <x:c r="AB83" s="3"/>
      <x:c r="AC83" s="3"/>
      <x:c r="AD83" s="3"/>
      <x:c r="AE83" s="3"/>
      <x:c r="AF83" s="3"/>
      <x:c r="AG83" s="3"/>
      <x:c r="AH83" s="3"/>
      <x:c r="AI83" s="3"/>
      <x:c r="AJ83" s="3"/>
      <x:c r="AK83" s="3"/>
      <x:c r="AL83" s="3"/>
      <x:c r="AM83" s="3"/>
      <x:c r="AN83" s="3"/>
    </x:row>
    <x:row r="84" ht="24" customHeight="1">
      <x:c r="A84" s="29" t="str">
        <x:v>Actual months are complete, empty, and consecutive</x:v>
      </x:c>
      <x:c r="B84" s="96" t="str">
        <x:f>IF(AND(OR(AND(AL$57="",COUNT(AL6,AL8,AL9,AL11,AL12,AL13,AL14,AL15,AL16,AL18,AL21,AL23,AL28,AL30,AL31,AL32,AL33,AL38,AL39,AL40,AL41,AL42,AL43,AL44,AL45,AL46,AL47,AL48,AL49,AL50,AL51,AL52,AL57,AL60,AL61,AL62,AL63,AL64,AL69)=0),AND(AL$57&lt;&gt;"",COUNT(AL6,AL8,AL9,AL11,AL12,AL13,AL14,AL15,AL16,AL18,AL21,AL23,AL28,AL30,AL31,AL32,AL33,AL38,AL39,AL40,AL41,AL42,AL43,AL44,AL45,AL46,AL47,AL48,AL49,AL50,AL51,AL52,AL57,AL60,AL61,AL62,AL63,AL64,AL69)=39)),OR(AND(AI$57="",COUNT(AI6,AI8,AI9,AI11,AI12,AI13,AI14,AI15,AI16,AI18,AI21,AI23,AI28,AI30,AI31,AI32,AI33,AI38,AI39,AI40,AI41,AI42,AI43,AI44,AI45,AI46,AI47,AI48,AI49,AI50,AI51,AI52,AI57,AI60,AI61,AI62,AI63,AI64,AI69)=0),AND(AI$57&lt;&gt;"",COUNT(AI6,AI8,AI9,AI11,AI12,AI13,AI14,AI15,AI16,AI18,AI21,AI23,AI28,AI30,AI31,AI32,AI33,AI38,AI39,AI40,AI41,AI42,AI43,AI44,AI45,AI46,AI47,AI48,AI49,AI50,AI51,AI52,AI57,AI60,AI61,AI62,AI63,AI64,AI69)=39)),OR(AND(AF$57="",COUNT(AF6,AF8,AF9,AF11,AF12,AF13,AF14,AF15,AF16,AF18,AF21,AF23,AF28,AF30,AF31,AF32,AF33,AF38,AF39,AF40,AF41,AF42,AF43,AF44,AF45,AF46,AF47,AF48,AF49,AF50,AF51,AF52,AF57,AF60,AF61,AF62,AF63,AF64,AF69)=0),AND(AF$57&lt;&gt;"",COUNT(AF6,AF8,AF9,AF11,AF12,AF13,AF14,AF15,AF16,AF18,AF21,AF23,AF28,AF30,AF31,AF32,AF33,AF38,AF39,AF40,AF41,AF42,AF43,AF44,AF45,AF46,AF47,AF48,AF49,AF50,AF51,AF52,AF57,AF60,AF61,AF62,AF63,AF64,AF69)=39)),OR(AND(AC$57="",COUNT(AC6,AC8,AC9,AC11,AC12,AC13,AC14,AC15,AC16,AC18,AC21,AC23,AC28,AC30,AC31,AC32,AC33,AC38,AC39,AC40,AC41,AC42,AC43,AC44,AC45,AC46,AC47,AC48,AC49,AC50,AC51,AC52,AC57,AC60,AC61,AC62,AC63,AC64,AC69)=0),AND(AC$57&lt;&gt;"",COUNT(AC6,AC8,AC9,AC11,AC12,AC13,AC14,AC15,AC16,AC18,AC21,AC23,AC28,AC30,AC31,AC32,AC33,AC38,AC39,AC40,AC41,AC42,AC43,AC44,AC45,AC46,AC47,AC48,AC49,AC50,AC51,AC52,AC57,AC60,AC61,AC62,AC63,AC64,AC69)=39)),OR(AND(Z$57="",COUNT(Z6,Z8,Z9,Z11,Z12,Z13,Z14,Z15,Z16,Z18,Z21,Z23,Z28,Z30,Z31,Z32,Z33,Z38,Z39,Z40,Z41,Z42,Z43,Z44,Z45,Z46,Z47,Z48,Z49,Z50,Z51,Z52,Z57,Z60,Z61,Z62,Z63,Z64,Z69)=0),AND(Z$57&lt;&gt;"",COUNT(Z6,Z8,Z9,Z11,Z12,Z13,Z14,Z15,Z16,Z18,Z21,Z23,Z28,Z30,Z31,Z32,Z33,Z38,Z39,Z40,Z41,Z42,Z43,Z44,Z45,Z46,Z47,Z48,Z49,Z50,Z51,Z52,Z57,Z60,Z61,Z62,Z63,Z64,Z69)=39)),OR(AND(W$57="",COUNT(W6,W8,W9,W11,W12,W13,W14,W15,W16,W18,W21,W23,W28,W30,W31,W32,W33,W38,W39,W40,W41,W42,W43,W44,W45,W46,W47,W48,W49,W50,W51,W52,W57,W60,W61,W62,W63,W64,W69)=0),AND(W$57&lt;&gt;"",COUNT(W6,W8,W9,W11,W12,W13,W14,W15,W16,W18,W21,W23,W28,W30,W31,W32,W33,W38,W39,W40,W41,W42,W43,W44,W45,W46,W47,W48,W49,W50,W51,W52,W57,W60,W61,W62,W63,W64,W69)=39)),OR(AND(T$57="",COUNT(T6,T8,T9,T11,T12,T13,T14,T15,T16,T18,T21,T23,T28,T30,T31,T32,T33,T38,T39,T40,T41,T42,T43,T44,T45,T46,T47,T48,T49,T50,T51,T52,T57,T60,T61,T62,T63,T64,T69)=0),AND(T$57&lt;&gt;"",COUNT(T6,T8,T9,T11,T12,T13,T14,T15,T16,T18,T21,T23,T28,T30,T31,T32,T33,T38,T39,T40,T41,T42,T43,T44,T45,T46,T47,T48,T49,T50,T51,T52,T57,T60,T61,T62,T63,T64,T69)=39)),OR(AND(Q$57="",COUNT(Q6,Q8,Q9,Q11,Q12,Q13,Q14,Q15,Q16,Q18,Q21,Q23,Q28,Q30,Q31,Q32,Q33,Q38,Q39,Q40,Q41,Q42,Q43,Q44,Q45,Q46,Q47,Q48,Q49,Q50,Q51,Q52,Q57,Q60,Q61,Q62,Q63,Q64,Q69)=0),AND(Q$57&lt;&gt;"",COUNT(Q6,Q8,Q9,Q11,Q12,Q13,Q14,Q15,Q16,Q18,Q21,Q23,Q28,Q30,Q31,Q32,Q33,Q38,Q39,Q40,Q41,Q42,Q43,Q44,Q45,Q46,Q47,Q48,Q49,Q50,Q51,Q52,Q57,Q60,Q61,Q62,Q63,Q64,Q69)=39)),OR(AND(N$57="",COUNT(N6,N8,N9,N11,N12,N13,N14,N15,N16,N18,N21,N23,N28,N30,N31,N32,N33,N38,N39,N40,N41,N42,N43,N44,N45,N46,N47,N48,N49,N50,N51,N52,N57,N60,N61,N62,N63,N64,N69)=0),AND(N$57&lt;&gt;"",COUNT(N6,N8,N9,N11,N12,N13,N14,N15,N16,N18,N21,N23,N28,N30,N31,N32,N33,N38,N39,N40,N41,N42,N43,N44,N45,N46,N47,N48,N49,N50,N51,N52,N57,N60,N61,N62,N63,N64,N69)=39)),OR(AND(K$57="",COUNT(K6,K8,K9,K11,K12,K13,K14,K15,K16,K18,K21,K23,K28,K30,K31,K32,K33,K38,K39,K40,K41,K42,K43,K44,K45,K46,K47,K48,K49,K50,K51,K52,K57,K60,K61,K62,K63,K64,K69)=0),AND(K$57&lt;&gt;"",COUNT(K6,K8,K9,K11,K12,K13,K14,K15,K16,K18,K21,K23,K28,K30,K31,K32,K33,K38,K39,K40,K41,K42,K43,K44,K45,K46,K47,K48,K49,K50,K51,K52,K57,K60,K61,K62,K63,K64,K69)=39)),OR(AND(H$57="",COUNT(H6,H8,H9,H11,H12,H13,H14,H15,H16,H18,H21,H23,H28,H30,H31,H32,H33,H38,H39,H40,H41,H42,H43,H44,H45,H46,H47,H48,H49,H50,H51,H52,H57,H60,H61,H62,H63,H64,H69)=0),AND(H$57&lt;&gt;"",COUNT(H6,H8,H9,H11,H12,H13,H14,H15,H16,H18,H21,H23,H28,H30,H31,H32,H33,H38,H39,H40,H41,H42,H43,H44,H45,H46,H47,H48,H49,H50,H51,H52,H57,H60,H61,H62,H63,H64,H69)=39)),OR(AND(E$57="",COUNT(E6,E8,E9,E11,E12,E13,E14,E15,E16,E18,E21,E23,E28,E30,E31,E32,E33,E38,E39,E40,E41,E42,E43,E44,E45,E46,E47,E48,E49,E50,E51,E52,E57,E60,E61,E62,E63,E64,E69)=0),AND(E$57&lt;&gt;"",COUNT(E6,E8,E9,E11,E12,E13,E14,E15,E16,E18,E21,E23,E28,E30,E31,E32,E33,E38,E39,E40,E41,E42,E43,E44,E45,E46,E47,E48,E49,E50,E51,E52,E57,E60,E61,E62,E63,E64,E69)=39)),OR(NOT(AND(AI$57&lt;&gt;"",COUNT(AI6,AI8,AI9,AI11,AI12,AI13,AI14,AI15,AI16,AI18,AI21,AI23,AI28,AI30,AI31,AI32,AI33,AI38,AI39,AI40,AI41,AI42,AI43,AI44,AI45,AI46,AI47,AI48,AI49,AI50,AI51,AI52,AI57,AI60,AI61,AI62,AI63,AI64,AI69)=39)),AND(AL$57&lt;&gt;"",COUNT(AL6,AL8,AL9,AL11,AL12,AL13,AL14,AL15,AL16,AL18,AL21,AL23,AL28,AL30,AL31,AL32,AL33,AL38,AL39,AL40,AL41,AL42,AL43,AL44,AL45,AL46,AL47,AL48,AL49,AL50,AL51,AL52,AL57,AL60,AL61,AL62,AL63,AL64,AL69)=39)),OR(NOT(AND(AF$57&lt;&gt;"",COUNT(AF6,AF8,AF9,AF11,AF12,AF13,AF14,AF15,AF16,AF18,AF21,AF23,AF28,AF30,AF31,AF32,AF33,AF38,AF39,AF40,AF41,AF42,AF43,AF44,AF45,AF46,AF47,AF48,AF49,AF50,AF51,AF52,AF57,AF60,AF61,AF62,AF63,AF64,AF69)=39)),AND(AI$57&lt;&gt;"",COUNT(AI6,AI8,AI9,AI11,AI12,AI13,AI14,AI15,AI16,AI18,AI21,AI23,AI28,AI30,AI31,AI32,AI33,AI38,AI39,AI40,AI41,AI42,AI43,AI44,AI45,AI46,AI47,AI48,AI49,AI50,AI51,AI52,AI57,AI60,AI61,AI62,AI63,AI64,AI69)=39)),OR(NOT(AND(AC$57&lt;&gt;"",COUNT(AC6,AC8,AC9,AC11,AC12,AC13,AC14,AC15,AC16,AC18,AC21,AC23,AC28,AC30,AC31,AC32,AC33,AC38,AC39,AC40,AC41,AC42,AC43,AC44,AC45,AC46,AC47,AC48,AC49,AC50,AC51,AC52,AC57,AC60,AC61,AC62,AC63,AC64,AC69)=39)),AND(AF$57&lt;&gt;"",COUNT(AF6,AF8,AF9,AF11,AF12,AF13,AF14,AF15,AF16,AF18,AF21,AF23,AF28,AF30,AF31,AF32,AF33,AF38,AF39,AF40,AF41,AF42,AF43,AF44,AF45,AF46,AF47,AF48,AF49,AF50,AF51,AF52,AF57,AF60,AF61,AF62,AF63,AF64,AF69)=39)),OR(NOT(AND(Z$57&lt;&gt;"",COUNT(Z6,Z8,Z9,Z11,Z12,Z13,Z14,Z15,Z16,Z18,Z21,Z23,Z28,Z30,Z31,Z32,Z33,Z38,Z39,Z40,Z41,Z42,Z43,Z44,Z45,Z46,Z47,Z48,Z49,Z50,Z51,Z52,Z57,Z60,Z61,Z62,Z63,Z64,Z69)=39)),AND(AC$57&lt;&gt;"",COUNT(AC6,AC8,AC9,AC11,AC12,AC13,AC14,AC15,AC16,AC18,AC21,AC23,AC28,AC30,AC31,AC32,AC33,AC38,AC39,AC40,AC41,AC42,AC43,AC44,AC45,AC46,AC47,AC48,AC49,AC50,AC51,AC52,AC57,AC60,AC61,AC62,AC63,AC64,AC69)=39)),OR(NOT(AND(W$57&lt;&gt;"",COUNT(W6,W8,W9,W11,W12,W13,W14,W15,W16,W18,W21,W23,W28,W30,W31,W32,W33,W38,W39,W40,W41,W42,W43,W44,W45,W46,W47,W48,W49,W50,W51,W52,W57,W60,W61,W62,W63,W64,W69)=39)),AND(Z$57&lt;&gt;"",COUNT(Z6,Z8,Z9,Z11,Z12,Z13,Z14,Z15,Z16,Z18,Z21,Z23,Z28,Z30,Z31,Z32,Z33,Z38,Z39,Z40,Z41,Z42,Z43,Z44,Z45,Z46,Z47,Z48,Z49,Z50,Z51,Z52,Z57,Z60,Z61,Z62,Z63,Z64,Z69)=39)),OR(NOT(AND(T$57&lt;&gt;"",COUNT(T6,T8,T9,T11,T12,T13,T14,T15,T16,T18,T21,T23,T28,T30,T31,T32,T33,T38,T39,T40,T41,T42,T43,T44,T45,T46,T47,T48,T49,T50,T51,T52,T57,T60,T61,T62,T63,T64,T69)=39)),AND(W$57&lt;&gt;"",COUNT(W6,W8,W9,W11,W12,W13,W14,W15,W16,W18,W21,W23,W28,W30,W31,W32,W33,W38,W39,W40,W41,W42,W43,W44,W45,W46,W47,W48,W49,W50,W51,W52,W57,W60,W61,W62,W63,W64,W69)=39)),OR(NOT(AND(Q$57&lt;&gt;"",COUNT(Q6,Q8,Q9,Q11,Q12,Q13,Q14,Q15,Q16,Q18,Q21,Q23,Q28,Q30,Q31,Q32,Q33,Q38,Q39,Q40,Q41,Q42,Q43,Q44,Q45,Q46,Q47,Q48,Q49,Q50,Q51,Q52,Q57,Q60,Q61,Q62,Q63,Q64,Q69)=39)),AND(T$57&lt;&gt;"",COUNT(T6,T8,T9,T11,T12,T13,T14,T15,T16,T18,T21,T23,T28,T30,T31,T32,T33,T38,T39,T40,T41,T42,T43,T44,T45,T46,T47,T48,T49,T50,T51,T52,T57,T60,T61,T62,T63,T64,T69)=39)),OR(NOT(AND(N$57&lt;&gt;"",COUNT(N6,N8,N9,N11,N12,N13,N14,N15,N16,N18,N21,N23,N28,N30,N31,N32,N33,N38,N39,N40,N41,N42,N43,N44,N45,N46,N47,N48,N49,N50,N51,N52,N57,N60,N61,N62,N63,N64,N69)=39)),AND(Q$57&lt;&gt;"",COUNT(Q6,Q8,Q9,Q11,Q12,Q13,Q14,Q15,Q16,Q18,Q21,Q23,Q28,Q30,Q31,Q32,Q33,Q38,Q39,Q40,Q41,Q42,Q43,Q44,Q45,Q46,Q47,Q48,Q49,Q50,Q51,Q52,Q57,Q60,Q61,Q62,Q63,Q64,Q69)=39)),OR(NOT(AND(K$57&lt;&gt;"",COUNT(K6,K8,K9,K11,K12,K13,K14,K15,K16,K18,K21,K23,K28,K30,K31,K32,K33,K38,K39,K40,K41,K42,K43,K44,K45,K46,K47,K48,K49,K50,K51,K52,K57,K60,K61,K62,K63,K64,K69)=39)),AND(N$57&lt;&gt;"",COUNT(N6,N8,N9,N11,N12,N13,N14,N15,N16,N18,N21,N23,N28,N30,N31,N32,N33,N38,N39,N40,N41,N42,N43,N44,N45,N46,N47,N48,N49,N50,N51,N52,N57,N60,N61,N62,N63,N64,N69)=39)),OR(NOT(AND(H$57&lt;&gt;"",COUNT(H6,H8,H9,H11,H12,H13,H14,H15,H16,H18,H21,H23,H28,H30,H31,H32,H33,H38,H39,H40,H41,H42,H43,H44,H45,H46,H47,H48,H49,H50,H51,H52,H57,H60,H61,H62,H63,H64,H69)=39)),AND(K$57&lt;&gt;"",COUNT(K6,K8,K9,K11,K12,K13,K14,K15,K16,K18,K21,K23,K28,K30,K31,K32,K33,K38,K39,K40,K41,K42,K43,K44,K45,K46,K47,K48,K49,K50,K51,K52,K57,K60,K61,K62,K63,K64,K69)=39)),OR(NOT(AND(E$57&lt;&gt;"",COUNT(E6,E8,E9,E11,E12,E13,E14,E15,E16,E18,E21,E23,E28,E30,E31,E32,E33,E38,E39,E40,E41,E42,E43,E44,E45,E46,E47,E48,E49,E50,E51,E52,E57,E60,E61,E62,E63,E64,E69)=39)),AND(H$57&lt;&gt;"",COUNT(H6,H8,H9,H11,H12,H13,H14,H15,H16,H18,H21,H23,H28,H30,H31,H32,H33,H38,H39,H40,H41,H42,H43,H44,H45,H46,H47,H48,H49,H50,H51,H52,H57,H60,H61,H62,H63,H64,H69)=39))),"OK","CHECK")</x:f>
        <x:v>OK</x:v>
      </x:c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  <x:c r="V84" s="3"/>
      <x:c r="W84" s="3"/>
      <x:c r="X84" s="3"/>
      <x:c r="Y84" s="3"/>
      <x:c r="Z84" s="3"/>
      <x:c r="AA84" s="3"/>
      <x:c r="AB84" s="3"/>
      <x:c r="AC84" s="3"/>
      <x:c r="AD84" s="3"/>
      <x:c r="AE84" s="3"/>
      <x:c r="AF84" s="3"/>
      <x:c r="AG84" s="3"/>
      <x:c r="AH84" s="3"/>
      <x:c r="AI84" s="3"/>
      <x:c r="AJ84" s="3"/>
      <x:c r="AK84" s="3"/>
      <x:c r="AL84" s="3"/>
      <x:c r="AM84" s="3"/>
      <x:c r="AN84" s="3"/>
    </x:row>
    <x:row r="85" ht="24" customHeight="1">
      <x:c r="A85" s="29" t="str">
        <x:v>Delivery capacity equals resources times capacity</x:v>
      </x:c>
      <x:c r="B85" s="96" t="str">
        <x:f>IF(AND(ABS(AM17-AM15*AM16)&lt;0.01,ABS(AN17-AN15*AN16)&lt;0.01,ABS(AJ17-AJ15*AJ16)&lt;0.01,ABS(AK17-AK15*AK16)&lt;0.01,ABS(AG17-AG15*AG16)&lt;0.01,ABS(AH17-AH15*AH16)&lt;0.01,ABS(AD17-AD15*AD16)&lt;0.01,ABS(AE17-AE15*AE16)&lt;0.01,ABS(AA17-AA15*AA16)&lt;0.01,ABS(AB17-AB15*AB16)&lt;0.01,ABS(X17-X15*X16)&lt;0.01,ABS(Y17-Y15*Y16)&lt;0.01,ABS(U17-U15*U16)&lt;0.01,ABS(V17-V15*V16)&lt;0.01,ABS(R17-R15*R16)&lt;0.01,ABS(S17-S15*S16)&lt;0.01,ABS(O17-O15*O16)&lt;0.01,ABS(P17-P15*P16)&lt;0.01,ABS(L17-L15*L16)&lt;0.01,ABS(M17-M15*M16)&lt;0.01,ABS(I17-I15*I16)&lt;0.01,ABS(J17-J15*J16)&lt;0.01,ABS(F17-F15*F16)&lt;0.01,ABS(G17-G15*G16)&lt;0.01),"OK","CHECK")</x:f>
        <x:v>OK</x:v>
      </x:c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  <x:c r="V85" s="3"/>
      <x:c r="W85" s="3"/>
      <x:c r="X85" s="3"/>
      <x:c r="Y85" s="3"/>
      <x:c r="Z85" s="3"/>
      <x:c r="AA85" s="3"/>
      <x:c r="AB85" s="3"/>
      <x:c r="AC85" s="3"/>
      <x:c r="AD85" s="3"/>
      <x:c r="AE85" s="3"/>
      <x:c r="AF85" s="3"/>
      <x:c r="AG85" s="3"/>
      <x:c r="AH85" s="3"/>
      <x:c r="AI85" s="3"/>
      <x:c r="AJ85" s="3"/>
      <x:c r="AK85" s="3"/>
      <x:c r="AL85" s="3"/>
      <x:c r="AM85" s="3"/>
      <x:c r="AN85" s="3"/>
    </x:row>
    <x:row r="86" ht="24" customHeight="1">
      <x:c r="A86" s="29" t="str">
        <x:v>Completed contracts do not exceed capacity</x:v>
      </x:c>
      <x:c r="B86" s="96" t="str">
        <x:f>IF(AND(AM21&lt;=AM17,AN21&lt;=AN17,AJ21&lt;=AJ17,AK21&lt;=AK17,AG21&lt;=AG17,AH21&lt;=AH17,AD21&lt;=AD17,AE21&lt;=AE17,AA21&lt;=AA17,AB21&lt;=AB17,X21&lt;=X17,Y21&lt;=Y17,U21&lt;=U17,V21&lt;=V17,R21&lt;=R17,S21&lt;=S17,O21&lt;=O17,P21&lt;=P17,L21&lt;=L17,M21&lt;=M17,I21&lt;=I17,J21&lt;=J17,F21&lt;=F17,G21&lt;=G17),"OK","CHECK")</x:f>
        <x:v>OK</x:v>
      </x:c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  <x:c r="V86" s="3"/>
      <x:c r="W86" s="3"/>
      <x:c r="X86" s="3"/>
      <x:c r="Y86" s="3"/>
      <x:c r="Z86" s="3"/>
      <x:c r="AA86" s="3"/>
      <x:c r="AB86" s="3"/>
      <x:c r="AC86" s="3"/>
      <x:c r="AD86" s="3"/>
      <x:c r="AE86" s="3"/>
      <x:c r="AF86" s="3"/>
      <x:c r="AG86" s="3"/>
      <x:c r="AH86" s="3"/>
      <x:c r="AI86" s="3"/>
      <x:c r="AJ86" s="3"/>
      <x:c r="AK86" s="3"/>
      <x:c r="AL86" s="3"/>
      <x:c r="AM86" s="3"/>
      <x:c r="AN86" s="3"/>
    </x:row>
    <x:row r="87" ht="24" customHeight="1">
      <x:c r="A87" s="29" t="str">
        <x:v>Delivery backlog carries forward</x:v>
      </x:c>
      <x:c r="B87" s="96" t="str">
        <x:f>IF(AND(ABS(AM22-MAX(0,AM19+AM20-AM21))&lt;0.01,ABS(AN22-MAX(0,AN19+AN20-AN21))&lt;0.01,ABS(AJ22-MAX(0,AJ19+AJ20-AJ21))&lt;0.01,ABS(AK22-MAX(0,AK19+AK20-AK21))&lt;0.01,ABS(AG22-MAX(0,AG19+AG20-AG21))&lt;0.01,ABS(AH22-MAX(0,AH19+AH20-AH21))&lt;0.01,ABS(AD22-MAX(0,AD19+AD20-AD21))&lt;0.01,ABS(AE22-MAX(0,AE19+AE20-AE21))&lt;0.01,ABS(AA22-MAX(0,AA19+AA20-AA21))&lt;0.01,ABS(AB22-MAX(0,AB19+AB20-AB21))&lt;0.01,ABS(X22-MAX(0,X19+X20-X21))&lt;0.01,ABS(Y22-MAX(0,Y19+Y20-Y21))&lt;0.01,ABS(U22-MAX(0,U19+U20-U21))&lt;0.01,ABS(V22-MAX(0,V19+V20-V21))&lt;0.01,ABS(R22-MAX(0,R19+R20-R21))&lt;0.01,ABS(S22-MAX(0,S19+S20-S21))&lt;0.01,ABS(O22-MAX(0,O19+O20-O21))&lt;0.01,ABS(P22-MAX(0,P19+P20-P21))&lt;0.01,ABS(L22-MAX(0,L19+L20-L21))&lt;0.01,ABS(M22-MAX(0,M19+M20-M21))&lt;0.01,ABS(I22-MAX(0,I19+I20-I21))&lt;0.01,ABS(J22-MAX(0,J19+J20-J21))&lt;0.01,ABS(F22-MAX(0,F19+F20-F21))&lt;0.01,ABS(G22-MAX(0,G19+G20-G21))&lt;0.01),"OK","CHECK")</x:f>
        <x:v>OK</x:v>
      </x:c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  <x:c r="V87" s="3"/>
      <x:c r="W87" s="3"/>
      <x:c r="X87" s="3"/>
      <x:c r="Y87" s="3"/>
      <x:c r="Z87" s="3"/>
      <x:c r="AA87" s="3"/>
      <x:c r="AB87" s="3"/>
      <x:c r="AC87" s="3"/>
      <x:c r="AD87" s="3"/>
      <x:c r="AE87" s="3"/>
      <x:c r="AF87" s="3"/>
      <x:c r="AG87" s="3"/>
      <x:c r="AH87" s="3"/>
      <x:c r="AI87" s="3"/>
      <x:c r="AJ87" s="3"/>
      <x:c r="AK87" s="3"/>
      <x:c r="AL87" s="3"/>
      <x:c r="AM87" s="3"/>
      <x:c r="AN87" s="3"/>
    </x:row>
    <x:row r="88" ht="24" customHeight="1">
      <x:c r="A88" s="29" t="str">
        <x:v>Signed-contract value follows delivery</x:v>
      </x:c>
      <x:c r="B88" s="96" t="str">
        <x:f>IF(AND(ABS(AM26-IF((AM19+AM20)=0,0,ROUND(AM21*(AM72+AM73)/(AM19+AM20),0)))&lt;0.01,ABS(AN26-IF((AN19+AN20)=0,0,ROUND(AN21*(AN72+AN73)/(AN19+AN20),0)))&lt;0.01,ABS(AJ26-IF((AJ19+AJ20)=0,0,ROUND(AJ21*(AJ72+AJ73)/(AJ19+AJ20),0)))&lt;0.01,ABS(AJ72-MAX(0,AM72+AM73-AM26))&lt;0.01,ABS(AK26-IF((AK19+AK20)=0,0,ROUND(AK21*(AK72+AK73)/(AK19+AK20),0)))&lt;0.01,ABS(AK72-MAX(0,AN72+AN73-AN26))&lt;0.01,ABS(AG26-IF((AG19+AG20)=0,0,ROUND(AG21*(AG72+AG73)/(AG19+AG20),0)))&lt;0.01,ABS(AG72-MAX(0,AJ72+AJ73-AJ26))&lt;0.01,ABS(AH26-IF((AH19+AH20)=0,0,ROUND(AH21*(AH72+AH73)/(AH19+AH20),0)))&lt;0.01,ABS(AH72-MAX(0,AK72+AK73-AK26))&lt;0.01,ABS(AD26-IF((AD19+AD20)=0,0,ROUND(AD21*(AD72+AD73)/(AD19+AD20),0)))&lt;0.01,ABS(AD72-MAX(0,AG72+AG73-AG26))&lt;0.01,ABS(AE26-IF((AE19+AE20)=0,0,ROUND(AE21*(AE72+AE73)/(AE19+AE20),0)))&lt;0.01,ABS(AE72-MAX(0,AH72+AH73-AH26))&lt;0.01,ABS(AA26-IF((AA19+AA20)=0,0,ROUND(AA21*(AA72+AA73)/(AA19+AA20),0)))&lt;0.01,ABS(AA72-MAX(0,AD72+AD73-AD26))&lt;0.01,ABS(AB26-IF((AB19+AB20)=0,0,ROUND(AB21*(AB72+AB73)/(AB19+AB20),0)))&lt;0.01,ABS(AB72-MAX(0,AE72+AE73-AE26))&lt;0.01,ABS(X26-IF((X19+X20)=0,0,ROUND(X21*(X72+X73)/(X19+X20),0)))&lt;0.01,ABS(X72-MAX(0,AA72+AA73-AA26))&lt;0.01,ABS(Y26-IF((Y19+Y20)=0,0,ROUND(Y21*(Y72+Y73)/(Y19+Y20),0)))&lt;0.01,ABS(Y72-MAX(0,AB72+AB73-AB26))&lt;0.01,ABS(U26-IF((U19+U20)=0,0,ROUND(U21*(U72+U73)/(U19+U20),0)))&lt;0.01,ABS(U72-MAX(0,X72+X73-X26))&lt;0.01,ABS(V26-IF((V19+V20)=0,0,ROUND(V21*(V72+V73)/(V19+V20),0)))&lt;0.01,ABS(V72-MAX(0,Y72+Y73-Y26))&lt;0.01,ABS(R26-IF((R19+R20)=0,0,ROUND(R21*(R72+R73)/(R19+R20),0)))&lt;0.01,ABS(R72-MAX(0,U72+U73-U26))&lt;0.01,ABS(S26-IF((S19+S20)=0,0,ROUND(S21*(S72+S73)/(S19+S20),0)))&lt;0.01,ABS(S72-MAX(0,V72+V73-V26))&lt;0.01,ABS(O26-IF((O19+O20)=0,0,ROUND(O21*(O72+O73)/(O19+O20),0)))&lt;0.01,ABS(O72-MAX(0,R72+R73-R26))&lt;0.01,ABS(P26-IF((P19+P20)=0,0,ROUND(P21*(P72+P73)/(P19+P20),0)))&lt;0.01,ABS(P72-MAX(0,S72+S73-S26))&lt;0.01,ABS(L26-IF((L19+L20)=0,0,ROUND(L21*(L72+L73)/(L19+L20),0)))&lt;0.01,ABS(L72-MAX(0,O72+O73-O26))&lt;0.01,ABS(M26-IF((M19+M20)=0,0,ROUND(M21*(M72+M73)/(M19+M20),0)))&lt;0.01,ABS(M72-MAX(0,P72+P73-P26))&lt;0.01,ABS(I26-IF((I19+I20)=0,0,ROUND(I21*(I72+I73)/(I19+I20),0)))&lt;0.01,ABS(I72-MAX(0,L72+L73-L26))&lt;0.01,ABS(J26-IF((J19+J20)=0,0,ROUND(J21*(J72+J73)/(J19+J20),0)))&lt;0.01,ABS(J72-MAX(0,M72+M73-M26))&lt;0.01,ABS(F26-IF((F19+F20)=0,0,ROUND(F21*(F72+F73)/(F19+F20),0)))&lt;0.01,ABS(F72-MAX(0,I72+I73-I26))&lt;0.01,ABS(G26-IF((G19+G20)=0,0,ROUND(G21*(G72+G73)/(G19+G20),0)))&lt;0.01,ABS(G72-MAX(0,J72+J73-J26))&lt;0.01),"OK","CHECK")</x:f>
        <x:v>OK</x:v>
      </x:c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  <x:c r="V88" s="3"/>
      <x:c r="W88" s="3"/>
      <x:c r="X88" s="3"/>
      <x:c r="Y88" s="3"/>
      <x:c r="Z88" s="3"/>
      <x:c r="AA88" s="3"/>
      <x:c r="AB88" s="3"/>
      <x:c r="AC88" s="3"/>
      <x:c r="AD88" s="3"/>
      <x:c r="AE88" s="3"/>
      <x:c r="AF88" s="3"/>
      <x:c r="AG88" s="3"/>
      <x:c r="AH88" s="3"/>
      <x:c r="AI88" s="3"/>
      <x:c r="AJ88" s="3"/>
      <x:c r="AK88" s="3"/>
      <x:c r="AL88" s="3"/>
      <x:c r="AM88" s="3"/>
      <x:c r="AN88" s="3"/>
    </x:row>
    <x:row r="89" ht="24" customHeight="1">
      <x:c r="A89" s="29" t="str">
        <x:v>COGS equals detailed accounts</x:v>
      </x:c>
      <x:c r="B89" s="96" t="str">
        <x:f>IF(AND(ABS(AM34-SUM(AM28:AM33))&lt;0.01,ABS(AN34-SUM(AN28:AN33))&lt;0.01,ABS(AJ34-SUM(AJ28:AJ33))&lt;0.01,ABS(AK34-SUM(AK28:AK33))&lt;0.01,ABS(AG34-SUM(AG28:AG33))&lt;0.01,ABS(AH34-SUM(AH28:AH33))&lt;0.01,ABS(AD34-SUM(AD28:AD33))&lt;0.01,ABS(AE34-SUM(AE28:AE33))&lt;0.01,ABS(AA34-SUM(AA28:AA33))&lt;0.01,ABS(AB34-SUM(AB28:AB33))&lt;0.01,ABS(X34-SUM(X28:X33))&lt;0.01,ABS(Y34-SUM(Y28:Y33))&lt;0.01,ABS(U34-SUM(U28:U33))&lt;0.01,ABS(V34-SUM(V28:V33))&lt;0.01,ABS(R34-SUM(R28:R33))&lt;0.01,ABS(S34-SUM(S28:S33))&lt;0.01,ABS(O34-SUM(O28:O33))&lt;0.01,ABS(P34-SUM(P28:P33))&lt;0.01,ABS(L34-SUM(L28:L33))&lt;0.01,ABS(M34-SUM(M28:M33))&lt;0.01,ABS(I34-SUM(I28:I33))&lt;0.01,ABS(J34-SUM(J28:J33))&lt;0.01,ABS(F34-SUM(F28:F33))&lt;0.01,ABS(G34-SUM(G28:G33))&lt;0.01),"OK","CHECK")</x:f>
        <x:v>OK</x:v>
      </x:c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  <x:c r="V89" s="3"/>
      <x:c r="W89" s="3"/>
      <x:c r="X89" s="3"/>
      <x:c r="Y89" s="3"/>
      <x:c r="Z89" s="3"/>
      <x:c r="AA89" s="3"/>
      <x:c r="AB89" s="3"/>
      <x:c r="AC89" s="3"/>
      <x:c r="AD89" s="3"/>
      <x:c r="AE89" s="3"/>
      <x:c r="AF89" s="3"/>
      <x:c r="AG89" s="3"/>
      <x:c r="AH89" s="3"/>
      <x:c r="AI89" s="3"/>
      <x:c r="AJ89" s="3"/>
      <x:c r="AK89" s="3"/>
      <x:c r="AL89" s="3"/>
      <x:c r="AM89" s="3"/>
      <x:c r="AN89" s="3"/>
    </x:row>
    <x:row r="90" ht="24" customHeight="1">
      <x:c r="A90" s="29" t="str">
        <x:v>Expenses equal detailed accounts</x:v>
      </x:c>
      <x:c r="B90" s="96" t="str">
        <x:f>IF(AND(ABS(AM53-SUM(AM38:AM52))&lt;0.01,ABS(AN53-SUM(AN38:AN52))&lt;0.01,ABS(AJ53-SUM(AJ38:AJ52))&lt;0.01,ABS(AK53-SUM(AK38:AK52))&lt;0.01,ABS(AG53-SUM(AG38:AG52))&lt;0.01,ABS(AH53-SUM(AH38:AH52))&lt;0.01,ABS(AD53-SUM(AD38:AD52))&lt;0.01,ABS(AE53-SUM(AE38:AE52))&lt;0.01,ABS(AA53-SUM(AA38:AA52))&lt;0.01,ABS(AB53-SUM(AB38:AB52))&lt;0.01,ABS(X53-SUM(X38:X52))&lt;0.01,ABS(Y53-SUM(Y38:Y52))&lt;0.01,ABS(U53-SUM(U38:U52))&lt;0.01,ABS(V53-SUM(V38:V52))&lt;0.01,ABS(R53-SUM(R38:R52))&lt;0.01,ABS(S53-SUM(S38:S52))&lt;0.01,ABS(O53-SUM(O38:O52))&lt;0.01,ABS(P53-SUM(P38:P52))&lt;0.01,ABS(L53-SUM(L38:L52))&lt;0.01,ABS(M53-SUM(M38:M52))&lt;0.01,ABS(I53-SUM(I38:I52))&lt;0.01,ABS(J53-SUM(J38:J52))&lt;0.01,ABS(F53-SUM(F38:F52))&lt;0.01,ABS(G53-SUM(G38:G52))&lt;0.01),"OK","CHECK")</x:f>
        <x:v>OK</x:v>
      </x:c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  <x:c r="V90" s="3"/>
      <x:c r="W90" s="3"/>
      <x:c r="X90" s="3"/>
      <x:c r="Y90" s="3"/>
      <x:c r="Z90" s="3"/>
      <x:c r="AA90" s="3"/>
      <x:c r="AB90" s="3"/>
      <x:c r="AC90" s="3"/>
      <x:c r="AD90" s="3"/>
      <x:c r="AE90" s="3"/>
      <x:c r="AF90" s="3"/>
      <x:c r="AG90" s="3"/>
      <x:c r="AH90" s="3"/>
      <x:c r="AI90" s="3"/>
      <x:c r="AJ90" s="3"/>
      <x:c r="AK90" s="3"/>
      <x:c r="AL90" s="3"/>
      <x:c r="AM90" s="3"/>
      <x:c r="AN90" s="3"/>
    </x:row>
    <x:row r="91" ht="24" customHeight="1">
      <x:c r="A91" s="29" t="str">
        <x:v>Operating result equals Gross Profit less Expenses</x:v>
      </x:c>
      <x:c r="B91" s="96" t="str">
        <x:f>IF(AND(ABS(AM55-(AM36-AM53))&lt;0.01,ABS(AN55-(AN36-AN53))&lt;0.01,ABS(AJ55-(AJ36-AJ53))&lt;0.01,ABS(AK55-(AK36-AK53))&lt;0.01,ABS(AG55-(AG36-AG53))&lt;0.01,ABS(AH55-(AH36-AH53))&lt;0.01,ABS(AD55-(AD36-AD53))&lt;0.01,ABS(AE55-(AE36-AE53))&lt;0.01,ABS(AA55-(AA36-AA53))&lt;0.01,ABS(AB55-(AB36-AB53))&lt;0.01,ABS(X55-(X36-X53))&lt;0.01,ABS(Y55-(Y36-Y53))&lt;0.01,ABS(U55-(U36-U53))&lt;0.01,ABS(V55-(V36-V53))&lt;0.01,ABS(R55-(R36-R53))&lt;0.01,ABS(S55-(S36-S53))&lt;0.01,ABS(O55-(O36-O53))&lt;0.01,ABS(P55-(P36-P53))&lt;0.01,ABS(L55-(L36-L53))&lt;0.01,ABS(M55-(M36-M53))&lt;0.01,ABS(I55-(I36-I53))&lt;0.01,ABS(J55-(J36-J53))&lt;0.01,ABS(F55-(F36-F53))&lt;0.01,ABS(G55-(G36-G53))&lt;0.01),"OK","CHECK")</x:f>
        <x:v>OK</x:v>
      </x:c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  <x:c r="V91" s="3"/>
      <x:c r="W91" s="3"/>
      <x:c r="X91" s="3"/>
      <x:c r="Y91" s="3"/>
      <x:c r="Z91" s="3"/>
      <x:c r="AA91" s="3"/>
      <x:c r="AB91" s="3"/>
      <x:c r="AC91" s="3"/>
      <x:c r="AD91" s="3"/>
      <x:c r="AE91" s="3"/>
      <x:c r="AF91" s="3"/>
      <x:c r="AG91" s="3"/>
      <x:c r="AH91" s="3"/>
      <x:c r="AI91" s="3"/>
      <x:c r="AJ91" s="3"/>
      <x:c r="AK91" s="3"/>
      <x:c r="AL91" s="3"/>
      <x:c r="AM91" s="3"/>
      <x:c r="AN91" s="3"/>
    </x:row>
    <x:row r="92" ht="24" customHeight="1">
      <x:c r="A92" s="29" t="str">
        <x:v>Net Cash change reconciles</x:v>
      </x:c>
      <x:c r="B92" s="96" t="str">
        <x:f>IF(AND(ABS(AM66-(SUM(AM57,AM60)-SUM(AM58,AM59,AM65)))&lt;0.01,ABS(AN66-(SUM(AN57,AN60)-SUM(AN58,AN59,AN65)))&lt;0.01,ABS(AJ66-(SUM(AJ57,AJ60)-SUM(AJ58,AJ59,AJ65)))&lt;0.01,ABS(AK66-(SUM(AK57,AK60)-SUM(AK58,AK59,AK65)))&lt;0.01,ABS(AG66-(SUM(AG57,AG60)-SUM(AG58,AG59,AG65)))&lt;0.01,ABS(AH66-(SUM(AH57,AH60)-SUM(AH58,AH59,AH65)))&lt;0.01,ABS(AD66-(SUM(AD57,AD60)-SUM(AD58,AD59,AD65)))&lt;0.01,ABS(AE66-(SUM(AE57,AE60)-SUM(AE58,AE59,AE65)))&lt;0.01,ABS(AA66-(SUM(AA57,AA60)-SUM(AA58,AA59,AA65)))&lt;0.01,ABS(AB66-(SUM(AB57,AB60)-SUM(AB58,AB59,AB65)))&lt;0.01,ABS(X66-(SUM(X57,X60)-SUM(X58,X59,X65)))&lt;0.01,ABS(Y66-(SUM(Y57,Y60)-SUM(Y58,Y59,Y65)))&lt;0.01,ABS(U66-(SUM(U57,U60)-SUM(U58,U59,U65)))&lt;0.01,ABS(V66-(SUM(V57,V60)-SUM(V58,V59,V65)))&lt;0.01,ABS(R66-(SUM(R57,R60)-SUM(R58,R59,R65)))&lt;0.01,ABS(S66-(SUM(S57,S60)-SUM(S58,S59,S65)))&lt;0.01,ABS(O66-(SUM(O57,O60)-SUM(O58,O59,O65)))&lt;0.01,ABS(P66-(SUM(P57,P60)-SUM(P58,P59,P65)))&lt;0.01,ABS(L66-(SUM(L57,L60)-SUM(L58,L59,L65)))&lt;0.01,ABS(M66-(SUM(M57,M60)-SUM(M58,M59,M65)))&lt;0.01,ABS(I66-(SUM(I57,I60)-SUM(I58,I59,I65)))&lt;0.01,ABS(J66-(SUM(J57,J60)-SUM(J58,J59,J65)))&lt;0.01,ABS(F66-(SUM(F57,F60)-SUM(F58,F59,F65)))&lt;0.01,ABS(G66-(SUM(G57,G60)-SUM(G58,G59,G65)))&lt;0.01),"OK","CHECK")</x:f>
        <x:v>OK</x:v>
      </x:c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  <x:c r="V92" s="3"/>
      <x:c r="W92" s="3"/>
      <x:c r="X92" s="3"/>
      <x:c r="Y92" s="3"/>
      <x:c r="Z92" s="3"/>
      <x:c r="AA92" s="3"/>
      <x:c r="AB92" s="3"/>
      <x:c r="AC92" s="3"/>
      <x:c r="AD92" s="3"/>
      <x:c r="AE92" s="3"/>
      <x:c r="AF92" s="3"/>
      <x:c r="AG92" s="3"/>
      <x:c r="AH92" s="3"/>
      <x:c r="AI92" s="3"/>
      <x:c r="AJ92" s="3"/>
      <x:c r="AK92" s="3"/>
      <x:c r="AL92" s="3"/>
      <x:c r="AM92" s="3"/>
      <x:c r="AN92" s="3"/>
    </x:row>
    <x:row r="93" ht="24" customHeight="1">
      <x:c r="A93" s="29" t="str">
        <x:v>Closing Cash carries forward</x:v>
      </x:c>
      <x:c r="B93" s="96" t="str">
        <x:f>IF(AND(ABS(AM68-(AM67+AM66))&lt;0.01,ABS(AN68-(AN67+AN66))&lt;0.01,ABS(AJ68-(AJ67+AJ66))&lt;0.01,ABS(AK68-(AK67+AK66))&lt;0.01,ABS(AG68-(AG67+AG66))&lt;0.01,ABS(AH68-(AH67+AH66))&lt;0.01,ABS(AD68-(AD67+AD66))&lt;0.01,ABS(AE68-(AE67+AE66))&lt;0.01,ABS(AA68-(AA67+AA66))&lt;0.01,ABS(AB68-(AB67+AB66))&lt;0.01,ABS(X68-(X67+X66))&lt;0.01,ABS(Y68-(Y67+Y66))&lt;0.01,ABS(U68-(U67+U66))&lt;0.01,ABS(V68-(V67+V66))&lt;0.01,ABS(R68-(R67+R66))&lt;0.01,ABS(S68-(S67+S66))&lt;0.01,ABS(O68-(O67+O66))&lt;0.01,ABS(P68-(P67+P66))&lt;0.01,ABS(L68-(L67+L66))&lt;0.01,ABS(M68-(M67+M66))&lt;0.01,ABS(I68-(I67+I66))&lt;0.01,ABS(J68-(J67+J66))&lt;0.01,ABS(F68-(F67+F66))&lt;0.01,ABS(G68-(G67+G66))&lt;0.01),"OK","CHECK")</x:f>
        <x:v>OK</x:v>
      </x:c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  <x:c r="V93" s="3"/>
      <x:c r="W93" s="3"/>
      <x:c r="X93" s="3"/>
      <x:c r="Y93" s="3"/>
      <x:c r="Z93" s="3"/>
      <x:c r="AA93" s="3"/>
      <x:c r="AB93" s="3"/>
      <x:c r="AC93" s="3"/>
      <x:c r="AD93" s="3"/>
      <x:c r="AE93" s="3"/>
      <x:c r="AF93" s="3"/>
      <x:c r="AG93" s="3"/>
      <x:c r="AH93" s="3"/>
      <x:c r="AI93" s="3"/>
      <x:c r="AJ93" s="3"/>
      <x:c r="AK93" s="3"/>
      <x:c r="AL93" s="3"/>
      <x:c r="AM93" s="3"/>
      <x:c r="AN93" s="3"/>
    </x:row>
    <x:row r="94" ht="24" customHeight="1">
      <x:c r="A94" s="29" t="str">
        <x:v>Total Cash timing equals four timing inputs</x:v>
      </x:c>
      <x:c r="B94" s="96" t="str">
        <x:f>IF(AND(ABS(AM24-SUM(AM8,AM11,AM14,AM23))&lt;0.01,ABS(AN24-SUM(AN8,AN11,AN14,AN23))&lt;0.01,ABS(AJ24-SUM(AJ8,AJ11,AJ14,AJ23))&lt;0.01,ABS(AK24-SUM(AK8,AK11,AK14,AK23))&lt;0.01,ABS(AG24-SUM(AG8,AG11,AG14,AG23))&lt;0.01,ABS(AH24-SUM(AH8,AH11,AH14,AH23))&lt;0.01,ABS(AD24-SUM(AD8,AD11,AD14,AD23))&lt;0.01,ABS(AE24-SUM(AE8,AE11,AE14,AE23))&lt;0.01,ABS(AA24-SUM(AA8,AA11,AA14,AA23))&lt;0.01,ABS(AB24-SUM(AB8,AB11,AB14,AB23))&lt;0.01,ABS(X24-SUM(X8,X11,X14,X23))&lt;0.01,ABS(Y24-SUM(Y8,Y11,Y14,Y23))&lt;0.01,ABS(U24-SUM(U8,U11,U14,U23))&lt;0.01,ABS(V24-SUM(V8,V11,V14,V23))&lt;0.01,ABS(R24-SUM(R8,R11,R14,R23))&lt;0.01,ABS(S24-SUM(S8,S11,S14,S23))&lt;0.01,ABS(O24-SUM(O8,O11,O14,O23))&lt;0.01,ABS(P24-SUM(P8,P11,P14,P23))&lt;0.01,ABS(L24-SUM(L8,L11,L14,L23))&lt;0.01,ABS(M24-SUM(M8,M11,M14,M23))&lt;0.01,ABS(I24-SUM(I8,I11,I14,I23))&lt;0.01,ABS(J24-SUM(J8,J11,J14,J23))&lt;0.01,ABS(F24-SUM(F8,F11,F14,F23))&lt;0.01,ABS(G24-SUM(G8,G11,G14,G23))&lt;0.01),"OK","CHECK")</x:f>
        <x:v>OK</x:v>
      </x:c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  <x:c r="V94" s="3"/>
      <x:c r="W94" s="3"/>
      <x:c r="X94" s="3"/>
      <x:c r="Y94" s="3"/>
      <x:c r="Z94" s="3"/>
      <x:c r="AA94" s="3"/>
      <x:c r="AB94" s="3"/>
      <x:c r="AC94" s="3"/>
      <x:c r="AD94" s="3"/>
      <x:c r="AE94" s="3"/>
      <x:c r="AF94" s="3"/>
      <x:c r="AG94" s="3"/>
      <x:c r="AH94" s="3"/>
      <x:c r="AI94" s="3"/>
      <x:c r="AJ94" s="3"/>
      <x:c r="AK94" s="3"/>
      <x:c r="AL94" s="3"/>
      <x:c r="AM94" s="3"/>
      <x:c r="AN94" s="3"/>
    </x:row>
    <x:row r="95" ht="24" customHeight="1">
      <x:c r="A95" s="29" t="str">
        <x:v>No visible formula errors</x:v>
      </x:c>
      <x:c r="B95" s="96" t="str">
        <x:f>IF(SUM(COUNTIF(B6:AN73,"#REF!"),COUNTIF(B6:AN73,"#VALUE!"),COUNTIF(B6:AN73,"#DIV/0!"),COUNTIF(B6:AN73,"#N/A"),COUNTIF(B6:AN73,"#NAME?"),COUNTIF(B6:AN73,"#NUM!"))=0,"OK","CHECK")</x:f>
        <x:v>OK</x:v>
      </x:c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  <x:c r="V95" s="3"/>
      <x:c r="W95" s="3"/>
      <x:c r="X95" s="3"/>
      <x:c r="Y95" s="3"/>
      <x:c r="Z95" s="3"/>
      <x:c r="AA95" s="3"/>
      <x:c r="AB95" s="3"/>
      <x:c r="AC95" s="3"/>
      <x:c r="AD95" s="3"/>
      <x:c r="AE95" s="3"/>
      <x:c r="AF95" s="3"/>
      <x:c r="AG95" s="3"/>
      <x:c r="AH95" s="3"/>
      <x:c r="AI95" s="3"/>
      <x:c r="AJ95" s="3"/>
      <x:c r="AK95" s="3"/>
      <x:c r="AL95" s="3"/>
      <x:c r="AM95" s="3"/>
      <x:c r="AN95" s="3"/>
    </x:row>
    <x:row r="96" ht="24" customHeight="1">
      <x:c r="A96" s="39" t="str">
        <x:v>Model status</x:v>
      </x:c>
      <x:c r="B96" s="97" t="str">
        <x:f>IF(COUNTIF(B81:B95,"OK")=15,"PASS","CHECK")</x:f>
        <x:v>PASS</x:v>
      </x:c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  <x:c r="AA96" s="39"/>
      <x:c r="AB96" s="39"/>
      <x:c r="AC96" s="39"/>
      <x:c r="AD96" s="39"/>
      <x:c r="AE96" s="39"/>
      <x:c r="AF96" s="39"/>
      <x:c r="AG96" s="39"/>
      <x:c r="AH96" s="39"/>
      <x:c r="AI96" s="39"/>
      <x:c r="AJ96" s="39"/>
      <x:c r="AK96" s="39"/>
      <x:c r="AL96" s="39"/>
      <x:c r="AM96" s="39"/>
      <x:c r="AN96" s="39"/>
    </x:row>
  </x:sheetData>
  <x:mergeCells>
    <x:mergeCell ref="A3:A4"/>
    <x:mergeCell ref="B3:D3"/>
    <x:mergeCell ref="AL3:AN3"/>
    <x:mergeCell ref="AI3:AK3"/>
    <x:mergeCell ref="AF3:AH3"/>
    <x:mergeCell ref="AC3:AE3"/>
    <x:mergeCell ref="Z3:AB3"/>
    <x:mergeCell ref="W3:Y3"/>
    <x:mergeCell ref="T3:V3"/>
    <x:mergeCell ref="Q3:S3"/>
    <x:mergeCell ref="N3:P3"/>
    <x:mergeCell ref="K3:M3"/>
    <x:mergeCell ref="H3:J3"/>
    <x:mergeCell ref="E3:G3"/>
    <x:mergeCell ref="AL75:AN75"/>
    <x:mergeCell ref="AL76:AN76"/>
    <x:mergeCell ref="AL77:AN77"/>
    <x:mergeCell ref="AL78:AN78"/>
    <x:mergeCell ref="AL79:AN79"/>
  </x:mergeCells>
  <x:conditionalFormatting sqref="C70:C70">
    <x:cfRule type="cellIs" dxfId="0" priority="1" operator="lessThan">
      <x:formula>0</x:formula>
    </x:cfRule>
  </x:conditionalFormatting>
  <x:conditionalFormatting sqref="C71:C71">
    <x:cfRule type="containsText" dxfId="1" priority="2" operator="containsText" text="ACTION"/>
  </x:conditionalFormatting>
  <x:conditionalFormatting sqref="AM70:AM70">
    <x:cfRule type="cellIs" dxfId="2" priority="3" operator="lessThan">
      <x:formula>0</x:formula>
    </x:cfRule>
  </x:conditionalFormatting>
  <x:conditionalFormatting sqref="AM71:AM71">
    <x:cfRule type="containsText" dxfId="3" priority="4" operator="containsText" text="ACTION"/>
  </x:conditionalFormatting>
  <x:conditionalFormatting sqref="AJ70:AJ70">
    <x:cfRule type="cellIs" dxfId="4" priority="5" operator="lessThan">
      <x:formula>0</x:formula>
    </x:cfRule>
  </x:conditionalFormatting>
  <x:conditionalFormatting sqref="AJ71:AJ71">
    <x:cfRule type="containsText" dxfId="5" priority="6" operator="containsText" text="ACTION"/>
  </x:conditionalFormatting>
  <x:conditionalFormatting sqref="AG70:AG70">
    <x:cfRule type="cellIs" dxfId="6" priority="7" operator="lessThan">
      <x:formula>0</x:formula>
    </x:cfRule>
  </x:conditionalFormatting>
  <x:conditionalFormatting sqref="AG71:AG71">
    <x:cfRule type="containsText" dxfId="7" priority="8" operator="containsText" text="ACTION"/>
  </x:conditionalFormatting>
  <x:conditionalFormatting sqref="AD70:AD70">
    <x:cfRule type="cellIs" dxfId="8" priority="9" operator="lessThan">
      <x:formula>0</x:formula>
    </x:cfRule>
  </x:conditionalFormatting>
  <x:conditionalFormatting sqref="AD71:AD71">
    <x:cfRule type="containsText" dxfId="9" priority="10" operator="containsText" text="ACTION"/>
  </x:conditionalFormatting>
  <x:conditionalFormatting sqref="AA70:AA70">
    <x:cfRule type="cellIs" dxfId="10" priority="11" operator="lessThan">
      <x:formula>0</x:formula>
    </x:cfRule>
  </x:conditionalFormatting>
  <x:conditionalFormatting sqref="AA71:AA71">
    <x:cfRule type="containsText" dxfId="11" priority="12" operator="containsText" text="ACTION"/>
  </x:conditionalFormatting>
  <x:conditionalFormatting sqref="X70:X70">
    <x:cfRule type="cellIs" dxfId="12" priority="13" operator="lessThan">
      <x:formula>0</x:formula>
    </x:cfRule>
  </x:conditionalFormatting>
  <x:conditionalFormatting sqref="X71:X71">
    <x:cfRule type="containsText" dxfId="13" priority="14" operator="containsText" text="ACTION"/>
  </x:conditionalFormatting>
  <x:conditionalFormatting sqref="U70:U70">
    <x:cfRule type="cellIs" dxfId="14" priority="15" operator="lessThan">
      <x:formula>0</x:formula>
    </x:cfRule>
  </x:conditionalFormatting>
  <x:conditionalFormatting sqref="U71:U71">
    <x:cfRule type="containsText" dxfId="15" priority="16" operator="containsText" text="ACTION"/>
  </x:conditionalFormatting>
  <x:conditionalFormatting sqref="R70:R70">
    <x:cfRule type="cellIs" dxfId="16" priority="17" operator="lessThan">
      <x:formula>0</x:formula>
    </x:cfRule>
  </x:conditionalFormatting>
  <x:conditionalFormatting sqref="R71:R71">
    <x:cfRule type="containsText" dxfId="17" priority="18" operator="containsText" text="ACTION"/>
  </x:conditionalFormatting>
  <x:conditionalFormatting sqref="O70:O70">
    <x:cfRule type="cellIs" dxfId="18" priority="19" operator="lessThan">
      <x:formula>0</x:formula>
    </x:cfRule>
  </x:conditionalFormatting>
  <x:conditionalFormatting sqref="O71:O71">
    <x:cfRule type="containsText" dxfId="19" priority="20" operator="containsText" text="ACTION"/>
  </x:conditionalFormatting>
  <x:conditionalFormatting sqref="L70:L70">
    <x:cfRule type="cellIs" dxfId="20" priority="21" operator="lessThan">
      <x:formula>0</x:formula>
    </x:cfRule>
  </x:conditionalFormatting>
  <x:conditionalFormatting sqref="L71:L71">
    <x:cfRule type="containsText" dxfId="21" priority="22" operator="containsText" text="ACTION"/>
  </x:conditionalFormatting>
  <x:conditionalFormatting sqref="I70:I70">
    <x:cfRule type="cellIs" dxfId="22" priority="23" operator="lessThan">
      <x:formula>0</x:formula>
    </x:cfRule>
  </x:conditionalFormatting>
  <x:conditionalFormatting sqref="I71:I71">
    <x:cfRule type="containsText" dxfId="23" priority="24" operator="containsText" text="ACTION"/>
  </x:conditionalFormatting>
  <x:conditionalFormatting sqref="F70:F70">
    <x:cfRule type="cellIs" dxfId="24" priority="25" operator="lessThan">
      <x:formula>0</x:formula>
    </x:cfRule>
  </x:conditionalFormatting>
  <x:conditionalFormatting sqref="F71:F71">
    <x:cfRule type="containsText" dxfId="25" priority="26" operator="containsText" text="ACTION"/>
  </x:conditionalFormatting>
  <x:pageMargins left="0.7" right="0.7" top="0.75" bottom="0.75" header="0.3" footer="0.3"/>
</x:worksheet>
</file>