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5a240f130d4d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2-Month Cash Forecast" sheetId="1" r:id="Ra5a64c9da04f44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yyyy"/>
    <x:numFmt numFmtId="201" formatCode="$#,##0;[Red]($#,##0);-"/>
    <x:numFmt numFmtId="202" formatCode="#,##0;[Red](#,##0);-"/>
    <x:numFmt numFmtId="203" formatCode="0"/>
    <x:numFmt numFmtId="204" formatCode="0.0%;[Red](0.0%);-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303030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1"/>
      <x:color rgb="FF0000FF"/>
      <x:name val="Carlito"/>
    </x:font>
    <x:font>
      <x:sz val="11"/>
      <x:color rgb="FF303030"/>
      <x:name val="Carlito"/>
    </x:font>
    <x:font>
      <x:b/>
      <x:sz val="10"/>
      <x:color rgb="FF303030"/>
      <x:name val="Carlito"/>
    </x:font>
    <x:font>
      <x:b/>
      <x:sz val="11"/>
      <x:color rgb="FF2E7F4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03030"/>
      </x:patternFill>
    </x:fill>
    <x:fill>
      <x:patternFill patternType="solid">
        <x:fgColor rgb="FFFFFFFF"/>
      </x:patternFill>
    </x:fill>
    <x:fill>
      <x:patternFill patternType="solid">
        <x:fgColor rgb="FFF7F7F4"/>
      </x:patternFill>
    </x:fill>
    <x:fill>
      <x:patternFill patternType="solid">
        <x:fgColor rgb="FFB7B7B2"/>
      </x:patternFill>
    </x:fill>
    <x:fill>
      <x:patternFill patternType="solid">
        <x:fgColor rgb="FF2E7F49"/>
      </x:patternFill>
    </x:fill>
    <x:fill>
      <x:patternFill patternType="solid">
        <x:fgColor rgb="FF326AB5"/>
      </x:patternFill>
    </x:fill>
    <x:fill>
      <x:patternFill patternType="solid">
        <x:fgColor rgb="FFEAF1FA"/>
      </x:patternFill>
    </x:fill>
    <x:fill>
      <x:patternFill patternType="solid">
        <x:fgColor rgb="FFF0F0ED"/>
      </x:patternFill>
    </x:fill>
    <x:fill>
      <x:patternFill patternType="solid">
        <x:fgColor rgb="FFEAF6ED"/>
      </x:patternFill>
    </x:fill>
  </x:fills>
  <x:borders count="8">
    <x:border/>
    <x:border>
      <x:bottom style="thin">
        <x:color rgb="FFD9D9D4"/>
      </x:bottom>
    </x:border>
    <x:border>
      <x:left style="thin">
        <x:color rgb="FFD9D9D4"/>
      </x:left>
      <x:right style="thin">
        <x:color rgb="FFD9D9D4"/>
      </x:right>
      <x:top style="thin">
        <x:color rgb="FFD9D9D4"/>
      </x:top>
    </x:border>
    <x:border>
      <x:left style="thin">
        <x:color rgb="FFD9D9D4"/>
      </x:left>
      <x:right style="thin">
        <x:color rgb="FFD9D9D4"/>
      </x:right>
    </x:border>
    <x:border>
      <x:left style="thin">
        <x:color rgb="FFD9D9D4"/>
      </x:left>
      <x:right style="thin">
        <x:color rgb="FFD9D9D4"/>
      </x:right>
      <x:bottom style="thin">
        <x:color rgb="FFD9D9D4"/>
      </x:bottom>
    </x:border>
    <x:border>
      <x:top style="thin">
        <x:color rgb="FFD9D9D4"/>
      </x:top>
    </x:border>
    <x:border>
      <x:top style="thin">
        <x:color rgb="FF303030"/>
      </x:top>
    </x:border>
    <x:border>
      <x:top style="thin">
        <x:color rgb="FF303030"/>
      </x:top>
      <x:bottom style="thin">
        <x:color rgb="FFD9D9D4"/>
      </x:bottom>
    </x:border>
  </x:borders>
  <x:cellStyleXfs count="1">
    <x:xf numFmtId="0" fontId="0" fillId="0" borderId="0"/>
  </x:cellStyleXfs>
  <x:cellXfs count="1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/>
    <x:xf numFmtId="200" fontId="2" fillId="4" borderId="1" xfId="0" applyNumberFormat="1" applyFont="1" applyFill="1" applyBorder="1"/>
    <x:xf numFmtId="200" fontId="2" fillId="4" borderId="1" xfId="0" applyNumberFormat="1" applyFont="1" applyFill="1" applyBorder="1" applyAlignment="1">
      <x:alignment horizont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200" fontId="2" fillId="3" borderId="1" xfId="0" applyNumberFormat="1" applyFont="1" applyFill="1" applyBorder="1"/>
    <x:xf numFmtId="200" fontId="2" fillId="3" borderId="1" xfId="0" applyNumberFormat="1" applyFont="1" applyFill="1" applyBorder="1" applyAlignment="1">
      <x:alignment horizontal="center"/>
    </x:xf>
    <x:xf numFmtId="200" fontId="2" fillId="3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200" fontId="5" fillId="8" borderId="2" xfId="0" applyNumberFormat="1" applyFont="1" applyFill="1" applyBorder="1"/>
    <x:xf numFmtId="201" fontId="5" fillId="8" borderId="3" xfId="0" applyNumberFormat="1" applyFont="1" applyFill="1" applyBorder="1"/>
    <x:xf numFmtId="202" fontId="5" fillId="8" borderId="3" xfId="0" applyNumberFormat="1" applyFont="1" applyFill="1" applyBorder="1"/>
    <x:xf numFmtId="202" fontId="5" fillId="8" borderId="4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0" fontId="2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1" xfId="0" applyNumberFormat="1" applyFont="1" applyFill="1" applyBorder="1"/>
    <x:xf numFmtId="0" fontId="0" fillId="8" borderId="1" xfId="0" applyNumberFormat="1" applyFont="1" applyFill="1" applyBorder="1"/>
    <x:xf numFmtId="0" fontId="5" fillId="9" borderId="0" xfId="0" applyNumberFormat="1" applyFont="1" applyFill="1" applyBorder="1" applyAlignment="1">
      <x:alignment horizontal="right"/>
    </x:xf>
    <x:xf numFmtId="0" fontId="0" fillId="10" borderId="0" xfId="0" applyNumberFormat="1" applyFont="1" applyFill="1" applyBorder="1" applyAlignment="1">
      <x:alignment horizontal="right"/>
    </x:xf>
    <x:xf numFmtId="0" fontId="5" fillId="8" borderId="0" xfId="0" applyNumberFormat="1" applyFont="1" applyFill="1" applyBorder="1" applyAlignment="1">
      <x:alignment horizontal="right"/>
    </x:xf>
    <x:xf numFmtId="0" fontId="0" fillId="9" borderId="0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 applyAlignment="1">
      <x:alignment horizontal="right"/>
    </x:xf>
    <x:xf numFmtId="0" fontId="4" fillId="9" borderId="0" xfId="0" applyNumberFormat="1" applyFont="1" applyFill="1" applyBorder="1" applyAlignment="1">
      <x:alignment horizontal="right" vertical="center"/>
    </x:xf>
    <x:xf numFmtId="0" fontId="4" fillId="10" borderId="0" xfId="0" applyNumberFormat="1" applyFont="1" applyFill="1" applyBorder="1" applyAlignment="1">
      <x:alignment horizontal="right" vertical="center"/>
    </x:xf>
    <x:xf numFmtId="0" fontId="4" fillId="8" borderId="0" xfId="0" applyNumberFormat="1" applyFont="1" applyFill="1" applyBorder="1" applyAlignment="1">
      <x:alignment horizontal="right" vertical="center"/>
    </x:xf>
    <x:xf numFmtId="0" fontId="0" fillId="9" borderId="1" xfId="0" applyNumberFormat="1" applyFont="1" applyFill="1" applyBorder="1" applyAlignment="1">
      <x:alignment horizontal="right"/>
    </x:xf>
    <x:xf numFmtId="0" fontId="0" fillId="10" borderId="1" xfId="0" applyNumberFormat="1" applyFont="1" applyFill="1" applyBorder="1" applyAlignment="1">
      <x:alignment horizontal="right"/>
    </x:xf>
    <x:xf numFmtId="0" fontId="0" fillId="8" borderId="1" xfId="0" applyNumberFormat="1" applyFont="1" applyFill="1" applyBorder="1" applyAlignment="1">
      <x:alignment horizontal="right"/>
    </x:xf>
    <x:xf numFmtId="202" fontId="5" fillId="9" borderId="0" xfId="0" applyNumberFormat="1" applyFont="1" applyFill="1" applyBorder="1" applyAlignment="1">
      <x:alignment horizontal="right"/>
    </x:xf>
    <x:xf numFmtId="202" fontId="0" fillId="10" borderId="0" xfId="0" applyNumberFormat="1" applyFont="1" applyFill="1" applyBorder="1" applyAlignment="1">
      <x:alignment horizontal="right"/>
    </x:xf>
    <x:xf numFmtId="202" fontId="5" fillId="8" borderId="0" xfId="0" applyNumberFormat="1" applyFont="1" applyFill="1" applyBorder="1" applyAlignment="1">
      <x:alignment horizontal="right"/>
    </x:xf>
    <x:xf numFmtId="202" fontId="0" fillId="8" borderId="0" xfId="0" applyNumberFormat="1" applyFont="1" applyFill="1" applyBorder="1" applyAlignment="1">
      <x:alignment horizontal="right"/>
    </x:xf>
    <x:xf numFmtId="202" fontId="0" fillId="9" borderId="0" xfId="0" applyNumberFormat="1" applyFont="1" applyFill="1" applyBorder="1" applyAlignment="1">
      <x:alignment horizontal="right"/>
    </x:xf>
    <x:xf numFmtId="203" fontId="5" fillId="9" borderId="0" xfId="0" applyNumberFormat="1" applyFont="1" applyFill="1" applyBorder="1" applyAlignment="1">
      <x:alignment horizontal="right"/>
    </x:xf>
    <x:xf numFmtId="203" fontId="0" fillId="10" borderId="0" xfId="0" applyNumberFormat="1" applyFont="1" applyFill="1" applyBorder="1" applyAlignment="1">
      <x:alignment horizontal="right"/>
    </x:xf>
    <x:xf numFmtId="203" fontId="5" fillId="8" borderId="0" xfId="0" applyNumberFormat="1" applyFont="1" applyFill="1" applyBorder="1" applyAlignment="1">
      <x:alignment horizontal="right"/>
    </x:xf>
    <x:xf numFmtId="203" fontId="0" fillId="9" borderId="0" xfId="0" applyNumberFormat="1" applyFont="1" applyFill="1" applyBorder="1" applyAlignment="1">
      <x:alignment horizontal="right"/>
    </x:xf>
    <x:xf numFmtId="203" fontId="0" fillId="8" borderId="0" xfId="0" applyNumberFormat="1" applyFont="1" applyFill="1" applyBorder="1" applyAlignment="1">
      <x:alignment horizontal="right"/>
    </x:xf>
    <x:xf numFmtId="203" fontId="0" fillId="9" borderId="1" xfId="0" applyNumberFormat="1" applyFont="1" applyFill="1" applyBorder="1" applyAlignment="1">
      <x:alignment horizontal="right"/>
    </x:xf>
    <x:xf numFmtId="203" fontId="0" fillId="10" borderId="1" xfId="0" applyNumberFormat="1" applyFont="1" applyFill="1" applyBorder="1" applyAlignment="1">
      <x:alignment horizontal="right"/>
    </x:xf>
    <x:xf numFmtId="203" fontId="0" fillId="8" borderId="1" xfId="0" applyNumberFormat="1" applyFont="1" applyFill="1" applyBorder="1" applyAlignment="1">
      <x:alignment horizontal="right"/>
    </x:xf>
    <x:xf numFmtId="204" fontId="0" fillId="9" borderId="0" xfId="0" applyNumberFormat="1" applyFont="1" applyFill="1" applyBorder="1" applyAlignment="1">
      <x:alignment horizontal="right"/>
    </x:xf>
    <x:xf numFmtId="204" fontId="0" fillId="10" borderId="0" xfId="0" applyNumberFormat="1" applyFont="1" applyFill="1" applyBorder="1" applyAlignment="1">
      <x:alignment horizontal="right"/>
    </x:xf>
    <x:xf numFmtId="204" fontId="5" fillId="8" borderId="0" xfId="0" applyNumberFormat="1" applyFont="1" applyFill="1" applyBorder="1" applyAlignment="1">
      <x:alignment horizontal="right"/>
    </x:xf>
    <x:xf numFmtId="201" fontId="5" fillId="9" borderId="0" xfId="0" applyNumberFormat="1" applyFont="1" applyFill="1" applyBorder="1" applyAlignment="1">
      <x:alignment horizontal="right"/>
    </x:xf>
    <x:xf numFmtId="201" fontId="0" fillId="10" borderId="0" xfId="0" applyNumberFormat="1" applyFont="1" applyFill="1" applyBorder="1" applyAlignment="1">
      <x:alignment horizontal="right"/>
    </x:xf>
    <x:xf numFmtId="201" fontId="5" fillId="8" borderId="0" xfId="0" applyNumberFormat="1" applyFont="1" applyFill="1" applyBorder="1" applyAlignment="1">
      <x:alignment horizontal="right"/>
    </x:xf>
    <x:xf numFmtId="201" fontId="0" fillId="9" borderId="0" xfId="0" applyNumberFormat="1" applyFont="1" applyFill="1" applyBorder="1" applyAlignment="1">
      <x:alignment horizontal="right"/>
    </x:xf>
    <x:xf numFmtId="201" fontId="0" fillId="8" borderId="0" xfId="0" applyNumberFormat="1" applyFont="1" applyFill="1" applyBorder="1" applyAlignment="1">
      <x:alignment horizontal="right"/>
    </x:xf>
    <x:xf numFmtId="201" fontId="4" fillId="9" borderId="0" xfId="0" applyNumberFormat="1" applyFont="1" applyFill="1" applyBorder="1" applyAlignment="1">
      <x:alignment horizontal="right" vertical="center"/>
    </x:xf>
    <x:xf numFmtId="201" fontId="4" fillId="10" borderId="0" xfId="0" applyNumberFormat="1" applyFont="1" applyFill="1" applyBorder="1" applyAlignment="1">
      <x:alignment horizontal="right" vertical="center"/>
    </x:xf>
    <x:xf numFmtId="201" fontId="4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 applyAlignment="1">
      <x:alignment horizontal="center"/>
    </x:xf>
    <x:xf numFmtId="0" fontId="8" fillId="9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201" fontId="2" fillId="9" borderId="0" xfId="0" applyNumberFormat="1" applyFont="1" applyFill="1" applyBorder="1" applyAlignment="1">
      <x:alignment horizontal="right"/>
    </x:xf>
    <x:xf numFmtId="201" fontId="2" fillId="10" borderId="0" xfId="0" applyNumberFormat="1" applyFont="1" applyFill="1" applyBorder="1" applyAlignment="1">
      <x:alignment horizontal="right"/>
    </x:xf>
    <x:xf numFmtId="201" fontId="2" fillId="8" borderId="0" xfId="0" applyNumberFormat="1" applyFont="1" applyFill="1" applyBorder="1" applyAlignment="1">
      <x:alignment horizontal="right"/>
    </x:xf>
    <x:xf numFmtId="0" fontId="2" fillId="0" borderId="1" xfId="0" applyNumberFormat="1" applyFont="1" applyFill="1" applyBorder="1"/>
    <x:xf numFmtId="203" fontId="2" fillId="9" borderId="1" xfId="0" applyNumberFormat="1" applyFont="1" applyFill="1" applyBorder="1" applyAlignment="1">
      <x:alignment horizontal="right"/>
    </x:xf>
    <x:xf numFmtId="203" fontId="2" fillId="10" borderId="1" xfId="0" applyNumberFormat="1" applyFont="1" applyFill="1" applyBorder="1" applyAlignment="1">
      <x:alignment horizontal="right"/>
    </x:xf>
    <x:xf numFmtId="203" fontId="2" fillId="8" borderId="1" xfId="0" applyNumberFormat="1" applyFont="1" applyFill="1" applyBorder="1" applyAlignment="1">
      <x:alignment horizontal="right"/>
    </x:xf>
    <x:xf numFmtId="0" fontId="2" fillId="0" borderId="5" xfId="0" applyNumberFormat="1" applyFont="1" applyFill="1" applyBorder="1"/>
    <x:xf numFmtId="201" fontId="2" fillId="9" borderId="5" xfId="0" applyNumberFormat="1" applyFont="1" applyFill="1" applyBorder="1" applyAlignment="1">
      <x:alignment horizontal="right"/>
    </x:xf>
    <x:xf numFmtId="201" fontId="2" fillId="10" borderId="5" xfId="0" applyNumberFormat="1" applyFont="1" applyFill="1" applyBorder="1" applyAlignment="1">
      <x:alignment horizontal="right"/>
    </x:xf>
    <x:xf numFmtId="201" fontId="2" fillId="8" borderId="5" xfId="0" applyNumberFormat="1" applyFont="1" applyFill="1" applyBorder="1" applyAlignment="1">
      <x:alignment horizontal="right"/>
    </x:xf>
    <x:xf numFmtId="0" fontId="2" fillId="0" borderId="6" xfId="0" applyNumberFormat="1" applyFont="1" applyFill="1" applyBorder="1"/>
    <x:xf numFmtId="201" fontId="2" fillId="9" borderId="6" xfId="0" applyNumberFormat="1" applyFont="1" applyFill="1" applyBorder="1" applyAlignment="1">
      <x:alignment horizontal="right"/>
    </x:xf>
    <x:xf numFmtId="201" fontId="2" fillId="10" borderId="6" xfId="0" applyNumberFormat="1" applyFont="1" applyFill="1" applyBorder="1" applyAlignment="1">
      <x:alignment horizontal="right"/>
    </x:xf>
    <x:xf numFmtId="201" fontId="2" fillId="8" borderId="6" xfId="0" applyNumberFormat="1" applyFont="1" applyFill="1" applyBorder="1" applyAlignment="1">
      <x:alignment horizontal="right"/>
    </x:xf>
    <x:xf numFmtId="0" fontId="2" fillId="0" borderId="7" xfId="0" applyNumberFormat="1" applyFont="1" applyFill="1" applyBorder="1"/>
    <x:xf numFmtId="203" fontId="2" fillId="9" borderId="7" xfId="0" applyNumberFormat="1" applyFont="1" applyFill="1" applyBorder="1" applyAlignment="1">
      <x:alignment horizontal="right"/>
    </x:xf>
    <x:xf numFmtId="203" fontId="2" fillId="10" borderId="7" xfId="0" applyNumberFormat="1" applyFont="1" applyFill="1" applyBorder="1" applyAlignment="1">
      <x:alignment horizontal="right"/>
    </x:xf>
    <x:xf numFmtId="203" fontId="2" fillId="8" borderId="7" xfId="0" applyNumberFormat="1" applyFont="1" applyFill="1" applyBorder="1" applyAlignment="1">
      <x:alignment horizontal="right"/>
    </x:xf>
    <x:xf numFmtId="0" fontId="0" fillId="3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horizontal="right" vertical="center"/>
    </x:xf>
    <x:xf numFmtId="202" fontId="0" fillId="10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3" fontId="5" fillId="9" borderId="0" xfId="0" applyNumberFormat="1" applyFont="1" applyFill="1" applyBorder="1" applyAlignment="1">
      <x:alignment horizontal="right" vertical="center"/>
    </x:xf>
    <x:xf numFmtId="203" fontId="0" fillId="10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4" fontId="0" fillId="9" borderId="0" xfId="0" applyNumberFormat="1" applyFont="1" applyFill="1" applyBorder="1" applyAlignment="1">
      <x:alignment horizontal="right" vertical="center"/>
    </x:xf>
    <x:xf numFmtId="204" fontId="0" fillId="10" borderId="0" xfId="0" applyNumberFormat="1" applyFont="1" applyFill="1" applyBorder="1" applyAlignment="1">
      <x:alignment horizontal="right" vertical="center"/>
    </x:xf>
    <x:xf numFmtId="204" fontId="5" fillId="8" borderId="0" xfId="0" applyNumberFormat="1" applyFont="1" applyFill="1" applyBorder="1" applyAlignment="1">
      <x:alignment horizontal="right" vertical="center"/>
    </x:xf>
    <x:xf numFmtId="202" fontId="0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right" vertical="center"/>
    </x:xf>
    <x:xf numFmtId="0" fontId="0" fillId="10" borderId="0" xfId="0" applyNumberFormat="1" applyFont="1" applyFill="1" applyBorder="1" applyAlignment="1">
      <x:alignment horizontal="right" vertical="center"/>
    </x:xf>
    <x:xf numFmtId="0" fontId="0" fillId="8" borderId="0" xfId="0" applyNumberFormat="1" applyFont="1" applyFill="1" applyBorder="1" applyAlignment="1">
      <x:alignment horizontal="right" vertical="center"/>
    </x:xf>
    <x:xf numFmtId="201" fontId="5" fillId="9" borderId="0" xfId="0" applyNumberFormat="1" applyFont="1" applyFill="1" applyBorder="1" applyAlignment="1">
      <x:alignment horizontal="right" vertical="center"/>
    </x:xf>
    <x:xf numFmtId="201" fontId="0" fillId="10" borderId="0" xfId="0" applyNumberFormat="1" applyFont="1" applyFill="1" applyBorder="1" applyAlignment="1">
      <x:alignment horizontal="right" vertical="center"/>
    </x:xf>
    <x:xf numFmtId="201" fontId="5" fillId="8" borderId="0" xfId="0" applyNumberFormat="1" applyFont="1" applyFill="1" applyBorder="1" applyAlignment="1">
      <x:alignment horizontal="right" vertical="center"/>
    </x:xf>
    <x:xf numFmtId="201" fontId="0" fillId="9" borderId="0" xfId="0" applyNumberFormat="1" applyFont="1" applyFill="1" applyBorder="1" applyAlignment="1">
      <x:alignment horizontal="right" vertical="center"/>
    </x:xf>
    <x:xf numFmtId="201" fontId="0" fillId="8" borderId="0" xfId="0" applyNumberFormat="1" applyFont="1" applyFill="1" applyBorder="1" applyAlignment="1">
      <x:alignment horizontal="right" vertical="center"/>
    </x:xf>
    <x:xf numFmtId="202" fontId="0" fillId="9" borderId="0" xfId="0" applyNumberFormat="1" applyFont="1" applyFill="1" applyBorder="1" applyAlignment="1">
      <x:alignment horizontal="right" vertical="center"/>
    </x:xf>
    <x:xf numFmtId="0" fontId="2" fillId="0" borderId="5" xfId="0" applyNumberFormat="1" applyFont="1" applyFill="1" applyBorder="1" applyAlignment="1">
      <x:alignment vertical="center"/>
    </x:xf>
    <x:xf numFmtId="201" fontId="2" fillId="9" borderId="5" xfId="0" applyNumberFormat="1" applyFont="1" applyFill="1" applyBorder="1" applyAlignment="1">
      <x:alignment horizontal="right" vertical="center"/>
    </x:xf>
    <x:xf numFmtId="201" fontId="2" fillId="10" borderId="5" xfId="0" applyNumberFormat="1" applyFont="1" applyFill="1" applyBorder="1" applyAlignment="1">
      <x:alignment horizontal="right" vertical="center"/>
    </x:xf>
    <x:xf numFmtId="201" fontId="2" fillId="8" borderId="5" xfId="0" applyNumberFormat="1" applyFont="1" applyFill="1" applyBorder="1" applyAlignment="1">
      <x:alignment horizontal="right" vertical="center"/>
    </x:xf>
    <x:xf numFmtId="0" fontId="2" fillId="0" borderId="6" xfId="0" applyNumberFormat="1" applyFont="1" applyFill="1" applyBorder="1" applyAlignment="1">
      <x:alignment vertical="center"/>
    </x:xf>
    <x:xf numFmtId="201" fontId="2" fillId="9" borderId="6" xfId="0" applyNumberFormat="1" applyFont="1" applyFill="1" applyBorder="1" applyAlignment="1">
      <x:alignment horizontal="right" vertical="center"/>
    </x:xf>
    <x:xf numFmtId="201" fontId="2" fillId="10" borderId="6" xfId="0" applyNumberFormat="1" applyFont="1" applyFill="1" applyBorder="1" applyAlignment="1">
      <x:alignment horizontal="right" vertical="center"/>
    </x:xf>
    <x:xf numFmtId="201" fontId="2" fillId="8" borderId="6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201" fontId="2" fillId="9" borderId="0" xfId="0" applyNumberFormat="1" applyFont="1" applyFill="1" applyBorder="1" applyAlignment="1">
      <x:alignment horizontal="right" vertical="center"/>
    </x:xf>
    <x:xf numFmtId="201" fontId="2" fillId="10" borderId="0" xfId="0" applyNumberFormat="1" applyFont="1" applyFill="1" applyBorder="1" applyAlignment="1">
      <x:alignment horizontal="right" vertical="center"/>
    </x:xf>
    <x:xf numFmtId="201" fontId="2" fillId="8" borderId="0" xfId="0" applyNumberFormat="1" applyFont="1" applyFill="1" applyBorder="1" applyAlignment="1">
      <x:alignment horizontal="right" vertical="center"/>
    </x:xf>
    <x:xf numFmtId="0" fontId="8" fillId="9" borderId="0" xfId="0" applyNumberFormat="1" applyFont="1" applyFill="1" applyBorder="1" applyAlignment="1">
      <x:alignment horizontal="center"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203" fontId="0" fillId="9" borderId="0" xfId="0" applyNumberFormat="1" applyFont="1" applyFill="1" applyBorder="1" applyAlignment="1">
      <x:alignment horizontal="right" vertical="center"/>
    </x:xf>
    <x:xf numFmtId="203" fontId="0" fillId="8" borderId="0" xfId="0" applyNumberFormat="1" applyFont="1" applyFill="1" applyBorder="1" applyAlignment="1">
      <x:alignment horizontal="right" vertical="center"/>
    </x:xf>
    <x:xf numFmtId="0" fontId="2" fillId="0" borderId="7" xfId="0" applyNumberFormat="1" applyFont="1" applyFill="1" applyBorder="1" applyAlignment="1">
      <x:alignment vertical="center"/>
    </x:xf>
    <x:xf numFmtId="203" fontId="2" fillId="9" borderId="7" xfId="0" applyNumberFormat="1" applyFont="1" applyFill="1" applyBorder="1" applyAlignment="1">
      <x:alignment horizontal="right" vertical="center"/>
    </x:xf>
    <x:xf numFmtId="203" fontId="2" fillId="10" borderId="7" xfId="0" applyNumberFormat="1" applyFont="1" applyFill="1" applyBorder="1" applyAlignment="1">
      <x:alignment horizontal="right" vertical="center"/>
    </x:xf>
    <x:xf numFmtId="203" fontId="2" fillId="8" borderId="7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200" fontId="5" fillId="8" borderId="2" xfId="0" applyNumberFormat="1" applyFont="1" applyFill="1" applyBorder="1" applyAlignment="1">
      <x:alignment vertical="center"/>
    </x:xf>
    <x:xf numFmtId="201" fontId="5" fillId="8" borderId="3" xfId="0" applyNumberFormat="1" applyFont="1" applyFill="1" applyBorder="1" applyAlignment="1">
      <x:alignment vertical="center"/>
    </x:xf>
    <x:xf numFmtId="202" fontId="5" fillId="8" borderId="3" xfId="0" applyNumberFormat="1" applyFont="1" applyFill="1" applyBorder="1" applyAlignment="1">
      <x:alignment vertical="center"/>
    </x:xf>
    <x:xf numFmtId="202" fontId="5" fillId="8" borderId="4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4"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c51a11f3b442df" /><Relationship Type="http://schemas.openxmlformats.org/officeDocument/2006/relationships/theme" Target="/xl/theme/theme1.xml" Id="Rd9213e9a83164187" /><Relationship Type="http://schemas.openxmlformats.org/officeDocument/2006/relationships/sharedStrings" Target="/xl/sharedStrings.xml" Id="R030500268d2749b9" /><Relationship Type="http://schemas.openxmlformats.org/officeDocument/2006/relationships/worksheet" Target="/xl/worksheets/sheet1.xml" Id="Ra5a64c9da04f44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88999938964844" hidden="0" customWidth="1"/>
    <x:col min="2" max="2" width="9.109999656677246" hidden="0" customWidth="1"/>
    <x:col min="3" max="3" width="9.109999656677246" hidden="0" customWidth="1"/>
    <x:col min="4" max="4" width="9.109999656677246" hidden="0" customWidth="1"/>
    <x:col min="5" max="5" width="9.109999656677246" hidden="0" customWidth="1"/>
    <x:col min="6" max="6" width="9.109999656677246" hidden="0" customWidth="1"/>
    <x:col min="7" max="7" width="9.109999656677246" hidden="0" customWidth="1"/>
    <x:col min="8" max="8" width="9.109999656677246" hidden="0" customWidth="1"/>
    <x:col min="9" max="9" width="9.109999656677246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  <x:col min="18" max="18" width="9.109999656677246" hidden="0" customWidth="1"/>
    <x:col min="19" max="19" width="9.109999656677246" hidden="0" customWidth="1"/>
    <x:col min="20" max="20" width="9.109999656677246" hidden="0" customWidth="1"/>
    <x:col min="21" max="21" width="9.109999656677246" hidden="0" customWidth="1"/>
    <x:col min="22" max="22" width="9.109999656677246" hidden="0" customWidth="1"/>
    <x:col min="23" max="23" width="9.109999656677246" hidden="0" customWidth="1"/>
    <x:col min="24" max="24" width="9.109999656677246" hidden="0" customWidth="1"/>
    <x:col min="25" max="25" width="9.109999656677246" hidden="0" customWidth="1"/>
    <x:col min="26" max="26" width="9.109999656677246" hidden="0" customWidth="1"/>
    <x:col min="27" max="27" width="9.109999656677246" hidden="0" customWidth="1"/>
    <x:col min="28" max="28" width="9.109999656677246" hidden="0" customWidth="1"/>
    <x:col min="29" max="29" width="9.109999656677246" hidden="0" customWidth="1"/>
    <x:col min="30" max="30" width="9.109999656677246" hidden="0" customWidth="1"/>
    <x:col min="31" max="31" width="9.109999656677246" hidden="0" customWidth="1"/>
    <x:col min="32" max="32" width="9.109999656677246" hidden="0" customWidth="1"/>
    <x:col min="33" max="33" width="9.109999656677246" hidden="0" customWidth="1"/>
    <x:col min="34" max="34" width="9.109999656677246" hidden="0" customWidth="1"/>
    <x:col min="35" max="35" width="9.109999656677246" hidden="0" customWidth="1"/>
    <x:col min="36" max="36" width="9.109999656677246" hidden="0" customWidth="1"/>
    <x:col min="37" max="37" width="9.109999656677246" hidden="0" customWidth="1"/>
  </x:cols>
  <x:sheetData>
    <x:row r="1" ht="34" customHeight="1">
      <x:c r="A1" s="3" t="str">
        <x:v>EO Accelerator 12-Month Cash Forecast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</x:row>
    <x:row r="2" ht="8" customHeight="1">
      <x:c r="A2" s="112"/>
      <x:c r="B2" s="112"/>
      <x:c r="C2" s="112"/>
      <x:c r="D2" s="112"/>
      <x:c r="E2" s="112"/>
      <x:c r="F2" s="112"/>
      <x:c r="G2" s="112"/>
      <x:c r="H2" s="112"/>
      <x:c r="I2" s="112"/>
      <x:c r="J2" s="112"/>
      <x:c r="K2" s="112"/>
      <x:c r="L2" s="112"/>
      <x:c r="M2" s="112"/>
      <x:c r="N2" s="112"/>
      <x:c r="O2" s="112"/>
      <x:c r="P2" s="112"/>
      <x:c r="Q2" s="112"/>
      <x:c r="R2" s="112"/>
      <x:c r="S2" s="112"/>
      <x:c r="T2" s="112"/>
      <x:c r="U2" s="112"/>
      <x:c r="V2" s="112"/>
      <x:c r="W2" s="112"/>
      <x:c r="X2" s="112"/>
      <x:c r="Y2" s="112"/>
      <x:c r="Z2" s="112"/>
      <x:c r="AA2" s="112"/>
      <x:c r="AB2" s="112"/>
      <x:c r="AC2" s="112"/>
      <x:c r="AD2" s="112"/>
      <x:c r="AE2" s="112"/>
      <x:c r="AF2" s="112"/>
      <x:c r="AG2" s="112"/>
      <x:c r="AH2" s="112"/>
      <x:c r="AI2" s="112"/>
      <x:c r="AJ2" s="112"/>
      <x:c r="AK2" s="112"/>
    </x:row>
    <x:row r="3">
      <x:c r="A3" s="7" t="str">
        <x:v>Model row</x:v>
      </x:c>
      <x:c r="B3" s="25" t="n">
        <x:v>46722</x:v>
      </x:c>
      <x:c r="C3" s="25" t="n">
        <x:v>46722</x:v>
      </x:c>
      <x:c r="D3" s="25" t="n">
        <x:v>46722</x:v>
      </x:c>
      <x:c r="E3" s="11" t="n">
        <x:v>46692</x:v>
      </x:c>
      <x:c r="F3" s="11" t="n">
        <x:v>46692</x:v>
      </x:c>
      <x:c r="G3" s="11" t="n">
        <x:v>46692</x:v>
      </x:c>
      <x:c r="H3" s="25" t="n">
        <x:v>46661</x:v>
      </x:c>
      <x:c r="I3" s="25" t="n">
        <x:v>46661</x:v>
      </x:c>
      <x:c r="J3" s="25" t="n">
        <x:v>46661</x:v>
      </x:c>
      <x:c r="K3" s="11" t="n">
        <x:v>46631</x:v>
      </x:c>
      <x:c r="L3" s="11" t="n">
        <x:v>46631</x:v>
      </x:c>
      <x:c r="M3" s="11" t="n">
        <x:v>46631</x:v>
      </x:c>
      <x:c r="N3" s="25" t="n">
        <x:v>46600</x:v>
      </x:c>
      <x:c r="O3" s="25" t="n">
        <x:v>46600</x:v>
      </x:c>
      <x:c r="P3" s="25" t="n">
        <x:v>46600</x:v>
      </x:c>
      <x:c r="Q3" s="11" t="n">
        <x:v>46569</x:v>
      </x:c>
      <x:c r="R3" s="11" t="n">
        <x:v>46569</x:v>
      </x:c>
      <x:c r="S3" s="11" t="n">
        <x:v>46569</x:v>
      </x:c>
      <x:c r="T3" s="25" t="n">
        <x:v>46539</x:v>
      </x:c>
      <x:c r="U3" s="25" t="n">
        <x:v>46539</x:v>
      </x:c>
      <x:c r="V3" s="25" t="n">
        <x:v>46539</x:v>
      </x:c>
      <x:c r="W3" s="11" t="n">
        <x:v>46508</x:v>
      </x:c>
      <x:c r="X3" s="11" t="n">
        <x:v>46508</x:v>
      </x:c>
      <x:c r="Y3" s="11" t="n">
        <x:v>46508</x:v>
      </x:c>
      <x:c r="Z3" s="25" t="n">
        <x:v>46478</x:v>
      </x:c>
      <x:c r="AA3" s="25" t="n">
        <x:v>46478</x:v>
      </x:c>
      <x:c r="AB3" s="25" t="n">
        <x:v>46478</x:v>
      </x:c>
      <x:c r="AC3" s="11" t="n">
        <x:v>46447</x:v>
      </x:c>
      <x:c r="AD3" s="11" t="n">
        <x:v>46447</x:v>
      </x:c>
      <x:c r="AE3" s="11" t="n">
        <x:v>46447</x:v>
      </x:c>
      <x:c r="AF3" s="25" t="n">
        <x:v>46419</x:v>
      </x:c>
      <x:c r="AG3" s="25" t="n">
        <x:v>46419</x:v>
      </x:c>
      <x:c r="AH3" s="25" t="n">
        <x:v>46419</x:v>
      </x:c>
      <x:c r="AI3" s="11" t="n">
        <x:v>46388</x:v>
      </x:c>
      <x:c r="AJ3" s="11" t="n">
        <x:v>46388</x:v>
      </x:c>
      <x:c r="AK3" s="11" t="n">
        <x:v>46388</x:v>
      </x:c>
    </x:row>
    <x:row r="4">
      <x:c r="A4" s="7"/>
      <x:c r="B4" s="113" t="str">
        <x:v>Actual</x:v>
      </x:c>
      <x:c r="C4" s="114" t="str">
        <x:v>Rolling</x:v>
      </x:c>
      <x:c r="D4" s="115" t="str">
        <x:v>Approved</x:v>
      </x:c>
      <x:c r="E4" s="113" t="str">
        <x:v>Actual</x:v>
      </x:c>
      <x:c r="F4" s="114" t="str">
        <x:v>Rolling</x:v>
      </x:c>
      <x:c r="G4" s="115" t="str">
        <x:v>Approved</x:v>
      </x:c>
      <x:c r="H4" s="113" t="str">
        <x:v>Actual</x:v>
      </x:c>
      <x:c r="I4" s="114" t="str">
        <x:v>Rolling</x:v>
      </x:c>
      <x:c r="J4" s="115" t="str">
        <x:v>Approved</x:v>
      </x:c>
      <x:c r="K4" s="113" t="str">
        <x:v>Actual</x:v>
      </x:c>
      <x:c r="L4" s="114" t="str">
        <x:v>Rolling</x:v>
      </x:c>
      <x:c r="M4" s="115" t="str">
        <x:v>Approved</x:v>
      </x:c>
      <x:c r="N4" s="113" t="str">
        <x:v>Actual</x:v>
      </x:c>
      <x:c r="O4" s="114" t="str">
        <x:v>Rolling</x:v>
      </x:c>
      <x:c r="P4" s="115" t="str">
        <x:v>Approved</x:v>
      </x:c>
      <x:c r="Q4" s="113" t="str">
        <x:v>Actual</x:v>
      </x:c>
      <x:c r="R4" s="114" t="str">
        <x:v>Rolling</x:v>
      </x:c>
      <x:c r="S4" s="115" t="str">
        <x:v>Approved</x:v>
      </x:c>
      <x:c r="T4" s="113" t="str">
        <x:v>Actual</x:v>
      </x:c>
      <x:c r="U4" s="114" t="str">
        <x:v>Rolling</x:v>
      </x:c>
      <x:c r="V4" s="115" t="str">
        <x:v>Approved</x:v>
      </x:c>
      <x:c r="W4" s="113" t="str">
        <x:v>Actual</x:v>
      </x:c>
      <x:c r="X4" s="114" t="str">
        <x:v>Rolling</x:v>
      </x:c>
      <x:c r="Y4" s="115" t="str">
        <x:v>Approved</x:v>
      </x:c>
      <x:c r="Z4" s="113" t="str">
        <x:v>Actual</x:v>
      </x:c>
      <x:c r="AA4" s="114" t="str">
        <x:v>Rolling</x:v>
      </x:c>
      <x:c r="AB4" s="115" t="str">
        <x:v>Approved</x:v>
      </x:c>
      <x:c r="AC4" s="113" t="str">
        <x:v>Actual</x:v>
      </x:c>
      <x:c r="AD4" s="114" t="str">
        <x:v>Rolling</x:v>
      </x:c>
      <x:c r="AE4" s="115" t="str">
        <x:v>Approved</x:v>
      </x:c>
      <x:c r="AF4" s="113" t="str">
        <x:v>Actual</x:v>
      </x:c>
      <x:c r="AG4" s="114" t="str">
        <x:v>Rolling</x:v>
      </x:c>
      <x:c r="AH4" s="115" t="str">
        <x:v>Approved</x:v>
      </x:c>
      <x:c r="AI4" s="113" t="str">
        <x:v>Actual</x:v>
      </x:c>
      <x:c r="AJ4" s="114" t="str">
        <x:v>Rolling</x:v>
      </x:c>
      <x:c r="AK4" s="115" t="str">
        <x:v>Approved</x:v>
      </x:c>
    </x:row>
    <x:row r="5" ht="22" customHeight="1">
      <x:c r="A5" s="27" t="str">
        <x:v>MARKETING FLOW</x:v>
      </x:c>
      <x:c r="B5" s="27" t="str">
        <x:v>MARKETING FLOW</x:v>
      </x:c>
      <x:c r="C5" s="27" t="str">
        <x:v>MARKETING FLOW</x:v>
      </x:c>
      <x:c r="D5" s="27" t="str">
        <x:v>MARKETING FLOW</x:v>
      </x:c>
      <x:c r="E5" s="27" t="str">
        <x:v>MARKETING FLOW</x:v>
      </x:c>
      <x:c r="F5" s="27" t="str">
        <x:v>MARKETING FLOW</x:v>
      </x:c>
      <x:c r="G5" s="27" t="str">
        <x:v>MARKETING FLOW</x:v>
      </x:c>
      <x:c r="H5" s="27" t="str">
        <x:v>MARKETING FLOW</x:v>
      </x:c>
      <x:c r="I5" s="27" t="str">
        <x:v>MARKETING FLOW</x:v>
      </x:c>
      <x:c r="J5" s="27" t="str">
        <x:v>MARKETING FLOW</x:v>
      </x:c>
      <x:c r="K5" s="27" t="str">
        <x:v>MARKETING FLOW</x:v>
      </x:c>
      <x:c r="L5" s="27" t="str">
        <x:v>MARKETING FLOW</x:v>
      </x:c>
      <x:c r="M5" s="27" t="str">
        <x:v>MARKETING FLOW</x:v>
      </x:c>
      <x:c r="N5" s="27" t="str">
        <x:v>MARKETING FLOW</x:v>
      </x:c>
      <x:c r="O5" s="27" t="str">
        <x:v>MARKETING FLOW</x:v>
      </x:c>
      <x:c r="P5" s="27" t="str">
        <x:v>MARKETING FLOW</x:v>
      </x:c>
      <x:c r="Q5" s="27" t="str">
        <x:v>MARKETING FLOW</x:v>
      </x:c>
      <x:c r="R5" s="27" t="str">
        <x:v>MARKETING FLOW</x:v>
      </x:c>
      <x:c r="S5" s="27" t="str">
        <x:v>MARKETING FLOW</x:v>
      </x:c>
      <x:c r="T5" s="27" t="str">
        <x:v>MARKETING FLOW</x:v>
      </x:c>
      <x:c r="U5" s="27" t="str">
        <x:v>MARKETING FLOW</x:v>
      </x:c>
      <x:c r="V5" s="27" t="str">
        <x:v>MARKETING FLOW</x:v>
      </x:c>
      <x:c r="W5" s="27" t="str">
        <x:v>MARKETING FLOW</x:v>
      </x:c>
      <x:c r="X5" s="27" t="str">
        <x:v>MARKETING FLOW</x:v>
      </x:c>
      <x:c r="Y5" s="27" t="str">
        <x:v>MARKETING FLOW</x:v>
      </x:c>
      <x:c r="Z5" s="27" t="str">
        <x:v>MARKETING FLOW</x:v>
      </x:c>
      <x:c r="AA5" s="27" t="str">
        <x:v>MARKETING FLOW</x:v>
      </x:c>
      <x:c r="AB5" s="27" t="str">
        <x:v>MARKETING FLOW</x:v>
      </x:c>
      <x:c r="AC5" s="27" t="str">
        <x:v>MARKETING FLOW</x:v>
      </x:c>
      <x:c r="AD5" s="27" t="str">
        <x:v>MARKETING FLOW</x:v>
      </x:c>
      <x:c r="AE5" s="27" t="str">
        <x:v>MARKETING FLOW</x:v>
      </x:c>
      <x:c r="AF5" s="27" t="str">
        <x:v>MARKETING FLOW</x:v>
      </x:c>
      <x:c r="AG5" s="27" t="str">
        <x:v>MARKETING FLOW</x:v>
      </x:c>
      <x:c r="AH5" s="27" t="str">
        <x:v>MARKETING FLOW</x:v>
      </x:c>
      <x:c r="AI5" s="27" t="str">
        <x:v>MARKETING FLOW</x:v>
      </x:c>
      <x:c r="AJ5" s="27" t="str">
        <x:v>MARKETING FLOW</x:v>
      </x:c>
      <x:c r="AK5" s="27" t="str">
        <x:v>MARKETING FLOW</x:v>
      </x:c>
    </x:row>
    <x:row r="6" ht="22" customHeight="1">
      <x:c r="A6" s="116" t="str">
        <x:v>Prospect enquiries</x:v>
      </x:c>
      <x:c r="B6" s="117"/>
      <x:c r="C6" s="118" t="n">
        <x:f>IF(B6&lt;&gt;"",B6,D6)</x:f>
        <x:v>127</x:v>
      </x:c>
      <x:c r="D6" s="119" t="n">
        <x:v>127</x:v>
      </x:c>
      <x:c r="E6" s="117"/>
      <x:c r="F6" s="118" t="n">
        <x:f>IF(E6&lt;&gt;"",E6,G6)</x:f>
        <x:v>125</x:v>
      </x:c>
      <x:c r="G6" s="119" t="n">
        <x:v>125</x:v>
      </x:c>
      <x:c r="H6" s="117"/>
      <x:c r="I6" s="118" t="n">
        <x:f>IF(H6&lt;&gt;"",H6,J6)</x:f>
        <x:v>122</x:v>
      </x:c>
      <x:c r="J6" s="119" t="n">
        <x:v>122</x:v>
      </x:c>
      <x:c r="K6" s="117"/>
      <x:c r="L6" s="118" t="n">
        <x:f>IF(K6&lt;&gt;"",K6,M6)</x:f>
        <x:v>120</x:v>
      </x:c>
      <x:c r="M6" s="119" t="n">
        <x:v>120</x:v>
      </x:c>
      <x:c r="N6" s="117"/>
      <x:c r="O6" s="118" t="n">
        <x:f>IF(N6&lt;&gt;"",N6,P6)</x:f>
        <x:v>117</x:v>
      </x:c>
      <x:c r="P6" s="119" t="n">
        <x:v>117</x:v>
      </x:c>
      <x:c r="Q6" s="117"/>
      <x:c r="R6" s="118" t="n">
        <x:f>IF(Q6&lt;&gt;"",Q6,S6)</x:f>
        <x:v>115</x:v>
      </x:c>
      <x:c r="S6" s="119" t="n">
        <x:v>115</x:v>
      </x:c>
      <x:c r="T6" s="117"/>
      <x:c r="U6" s="118" t="n">
        <x:f>IF(T6&lt;&gt;"",T6,V6)</x:f>
        <x:v>112</x:v>
      </x:c>
      <x:c r="V6" s="119" t="n">
        <x:v>112</x:v>
      </x:c>
      <x:c r="W6" s="117"/>
      <x:c r="X6" s="118" t="n">
        <x:f>IF(W6&lt;&gt;"",W6,Y6)</x:f>
        <x:v>110</x:v>
      </x:c>
      <x:c r="Y6" s="119" t="n">
        <x:v>110</x:v>
      </x:c>
      <x:c r="Z6" s="117"/>
      <x:c r="AA6" s="118" t="n">
        <x:f>IF(Z6&lt;&gt;"",Z6,AB6)</x:f>
        <x:v>107</x:v>
      </x:c>
      <x:c r="AB6" s="119" t="n">
        <x:v>107</x:v>
      </x:c>
      <x:c r="AC6" s="117"/>
      <x:c r="AD6" s="118" t="n">
        <x:f>IF(AC6&lt;&gt;"",AC6,AE6)</x:f>
        <x:v>105</x:v>
      </x:c>
      <x:c r="AE6" s="119" t="n">
        <x:v>105</x:v>
      </x:c>
      <x:c r="AF6" s="117" t="n">
        <x:v>95</x:v>
      </x:c>
      <x:c r="AG6" s="118" t="n">
        <x:f>IF(AF6&lt;&gt;"",AF6,AH6)</x:f>
        <x:v>95</x:v>
      </x:c>
      <x:c r="AH6" s="119" t="n">
        <x:v>102</x:v>
      </x:c>
      <x:c r="AI6" s="117" t="n">
        <x:v>90</x:v>
      </x:c>
      <x:c r="AJ6" s="118" t="n">
        <x:f>IF(AI6&lt;&gt;"",AI6,AK6)</x:f>
        <x:v>90</x:v>
      </x:c>
      <x:c r="AK6" s="119" t="n">
        <x:v>100</x:v>
      </x:c>
    </x:row>
    <x:row r="7" ht="22" customHeight="1">
      <x:c r="A7" s="116" t="str">
        <x:v>Marketing timing in months</x:v>
      </x:c>
      <x:c r="B7" s="120"/>
      <x:c r="C7" s="121" t="n">
        <x:f>IF(B7&lt;&gt;"",B7,D7)</x:f>
        <x:v>0</x:v>
      </x:c>
      <x:c r="D7" s="122" t="n">
        <x:v>0</x:v>
      </x:c>
      <x:c r="E7" s="120"/>
      <x:c r="F7" s="121" t="n">
        <x:f>IF(E7&lt;&gt;"",E7,G7)</x:f>
        <x:v>0</x:v>
      </x:c>
      <x:c r="G7" s="122" t="n">
        <x:v>0</x:v>
      </x:c>
      <x:c r="H7" s="120"/>
      <x:c r="I7" s="121" t="n">
        <x:f>IF(H7&lt;&gt;"",H7,J7)</x:f>
        <x:v>0</x:v>
      </x:c>
      <x:c r="J7" s="122" t="n">
        <x:v>0</x:v>
      </x:c>
      <x:c r="K7" s="120"/>
      <x:c r="L7" s="121" t="n">
        <x:f>IF(K7&lt;&gt;"",K7,M7)</x:f>
        <x:v>0</x:v>
      </x:c>
      <x:c r="M7" s="122" t="n">
        <x:v>0</x:v>
      </x:c>
      <x:c r="N7" s="120"/>
      <x:c r="O7" s="121" t="n">
        <x:f>IF(N7&lt;&gt;"",N7,P7)</x:f>
        <x:v>0</x:v>
      </x:c>
      <x:c r="P7" s="122" t="n">
        <x:v>0</x:v>
      </x:c>
      <x:c r="Q7" s="120"/>
      <x:c r="R7" s="121" t="n">
        <x:f>IF(Q7&lt;&gt;"",Q7,S7)</x:f>
        <x:v>0</x:v>
      </x:c>
      <x:c r="S7" s="122" t="n">
        <x:v>0</x:v>
      </x:c>
      <x:c r="T7" s="120"/>
      <x:c r="U7" s="121" t="n">
        <x:f>IF(T7&lt;&gt;"",T7,V7)</x:f>
        <x:v>0</x:v>
      </x:c>
      <x:c r="V7" s="122" t="n">
        <x:v>0</x:v>
      </x:c>
      <x:c r="W7" s="120"/>
      <x:c r="X7" s="121" t="n">
        <x:f>IF(W7&lt;&gt;"",W7,Y7)</x:f>
        <x:v>0</x:v>
      </x:c>
      <x:c r="Y7" s="122" t="n">
        <x:v>0</x:v>
      </x:c>
      <x:c r="Z7" s="120"/>
      <x:c r="AA7" s="121" t="n">
        <x:f>IF(Z7&lt;&gt;"",Z7,AB7)</x:f>
        <x:v>0</x:v>
      </x:c>
      <x:c r="AB7" s="122" t="n">
        <x:v>0</x:v>
      </x:c>
      <x:c r="AC7" s="120"/>
      <x:c r="AD7" s="121" t="n">
        <x:f>IF(AC7&lt;&gt;"",AC7,AE7)</x:f>
        <x:v>0</x:v>
      </x:c>
      <x:c r="AE7" s="122" t="n">
        <x:v>0</x:v>
      </x:c>
      <x:c r="AF7" s="120" t="n">
        <x:v>0</x:v>
      </x:c>
      <x:c r="AG7" s="121" t="n">
        <x:f>IF(AF7&lt;&gt;"",AF7,AH7)</x:f>
        <x:v>0</x:v>
      </x:c>
      <x:c r="AH7" s="122" t="n">
        <x:v>0</x:v>
      </x:c>
      <x:c r="AI7" s="120" t="n">
        <x:v>0</x:v>
      </x:c>
      <x:c r="AJ7" s="121" t="n">
        <x:f>IF(AI7&lt;&gt;"",AI7,AK7)</x:f>
        <x:v>0</x:v>
      </x:c>
      <x:c r="AK7" s="122" t="n">
        <x:v>0</x:v>
      </x:c>
    </x:row>
    <x:row r="8" ht="22" customHeight="1">
      <x:c r="A8" s="116" t="str">
        <x:v>Qualification rate</x:v>
      </x:c>
      <x:c r="B8" s="123" t="str">
        <x:f>IFERROR(IF(B9="","",B9/IF(B$7&gt;=12,$B$197,INDEX($B$6:$AK$6,1,MIN(36,MAX(1,1+3*B$7+0))))),"")</x:f>
      </x:c>
      <x:c r="C8" s="124" t="n">
        <x:f>IF(B8&lt;&gt;"",B8,D8)</x:f>
        <x:v>0.4</x:v>
      </x:c>
      <x:c r="D8" s="125" t="n">
        <x:v>0.4</x:v>
      </x:c>
      <x:c r="E8" s="123" t="str">
        <x:f>IFERROR(IF(E9="","",E9/IF(E$7&gt;=11,$B$197,INDEX($B$6:$AK$6,1,MIN(36,MAX(1,4+3*E$7+0))))),"")</x:f>
      </x:c>
      <x:c r="F8" s="124" t="n">
        <x:f>IF(E8&lt;&gt;"",E8,G8)</x:f>
        <x:v>0.4</x:v>
      </x:c>
      <x:c r="G8" s="125" t="n">
        <x:v>0.4</x:v>
      </x:c>
      <x:c r="H8" s="123" t="str">
        <x:f>IFERROR(IF(H9="","",H9/IF(H$7&gt;=10,$B$197,INDEX($B$6:$AK$6,1,MIN(36,MAX(1,7+3*H$7+0))))),"")</x:f>
      </x:c>
      <x:c r="I8" s="124" t="n">
        <x:f>IF(H8&lt;&gt;"",H8,J8)</x:f>
        <x:v>0.4</x:v>
      </x:c>
      <x:c r="J8" s="125" t="n">
        <x:v>0.4</x:v>
      </x:c>
      <x:c r="K8" s="123" t="str">
        <x:f>IFERROR(IF(K9="","",K9/IF(K$7&gt;=9,$B$197,INDEX($B$6:$AK$6,1,MIN(36,MAX(1,10+3*K$7+0))))),"")</x:f>
      </x:c>
      <x:c r="L8" s="124" t="n">
        <x:f>IF(K8&lt;&gt;"",K8,M8)</x:f>
        <x:v>0.4</x:v>
      </x:c>
      <x:c r="M8" s="125" t="n">
        <x:v>0.4</x:v>
      </x:c>
      <x:c r="N8" s="123" t="str">
        <x:f>IFERROR(IF(N9="","",N9/IF(N$7&gt;=8,$B$197,INDEX($B$6:$AK$6,1,MIN(36,MAX(1,13+3*N$7+0))))),"")</x:f>
      </x:c>
      <x:c r="O8" s="124" t="n">
        <x:f>IF(N8&lt;&gt;"",N8,P8)</x:f>
        <x:v>0.4</x:v>
      </x:c>
      <x:c r="P8" s="125" t="n">
        <x:v>0.4</x:v>
      </x:c>
      <x:c r="Q8" s="123" t="str">
        <x:f>IFERROR(IF(Q9="","",Q9/IF(Q$7&gt;=7,$B$197,INDEX($B$6:$AK$6,1,MIN(36,MAX(1,16+3*Q$7+0))))),"")</x:f>
      </x:c>
      <x:c r="R8" s="124" t="n">
        <x:f>IF(Q8&lt;&gt;"",Q8,S8)</x:f>
        <x:v>0.4</x:v>
      </x:c>
      <x:c r="S8" s="125" t="n">
        <x:v>0.4</x:v>
      </x:c>
      <x:c r="T8" s="123" t="str">
        <x:f>IFERROR(IF(T9="","",T9/IF(T$7&gt;=6,$B$197,INDEX($B$6:$AK$6,1,MIN(36,MAX(1,19+3*T$7+0))))),"")</x:f>
      </x:c>
      <x:c r="U8" s="124" t="n">
        <x:f>IF(T8&lt;&gt;"",T8,V8)</x:f>
        <x:v>0.4</x:v>
      </x:c>
      <x:c r="V8" s="125" t="n">
        <x:v>0.4</x:v>
      </x:c>
      <x:c r="W8" s="123" t="str">
        <x:f>IFERROR(IF(W9="","",W9/IF(W$7&gt;=5,$B$197,INDEX($B$6:$AK$6,1,MIN(36,MAX(1,22+3*W$7+0))))),"")</x:f>
      </x:c>
      <x:c r="X8" s="124" t="n">
        <x:f>IF(W8&lt;&gt;"",W8,Y8)</x:f>
        <x:v>0.4</x:v>
      </x:c>
      <x:c r="Y8" s="125" t="n">
        <x:v>0.4</x:v>
      </x:c>
      <x:c r="Z8" s="123" t="str">
        <x:f>IFERROR(IF(Z9="","",Z9/IF(Z$7&gt;=4,$B$197,INDEX($B$6:$AK$6,1,MIN(36,MAX(1,25+3*Z$7+0))))),"")</x:f>
      </x:c>
      <x:c r="AA8" s="124" t="n">
        <x:f>IF(Z8&lt;&gt;"",Z8,AB8)</x:f>
        <x:v>0.4</x:v>
      </x:c>
      <x:c r="AB8" s="125" t="n">
        <x:v>0.4</x:v>
      </x:c>
      <x:c r="AC8" s="123" t="str">
        <x:f>IFERROR(IF(AC9="","",AC9/IF(AC$7&gt;=3,$B$197,INDEX($B$6:$AK$6,1,MIN(36,MAX(1,28+3*AC$7+0))))),"")</x:f>
      </x:c>
      <x:c r="AD8" s="124" t="n">
        <x:f>IF(AC8&lt;&gt;"",AC8,AE8)</x:f>
        <x:v>0.4</x:v>
      </x:c>
      <x:c r="AE8" s="125" t="n">
        <x:v>0.4</x:v>
      </x:c>
      <x:c r="AF8" s="123" t="n">
        <x:f>IFERROR(IF(AF9="","",AF9/IF(AF$7&gt;=2,$B$197,INDEX($B$6:$AK$6,1,MIN(36,MAX(1,31+3*AF$7+0))))),"")</x:f>
        <x:v>0.4</x:v>
      </x:c>
      <x:c r="AG8" s="124" t="n">
        <x:f>IF(AF8&lt;&gt;"",AF8,AH8)</x:f>
        <x:v>0.4</x:v>
      </x:c>
      <x:c r="AH8" s="125" t="n">
        <x:v>0.4</x:v>
      </x:c>
      <x:c r="AI8" s="123" t="n">
        <x:f>IFERROR(IF(AI9="","",AI9/IF(AI$7&gt;=1,$B$197,INDEX($B$6:$AK$6,1,MIN(36,MAX(1,34+3*AI$7+0))))),"")</x:f>
        <x:v>0.4</x:v>
      </x:c>
      <x:c r="AJ8" s="124" t="n">
        <x:f>IF(AI8&lt;&gt;"",AI8,AK8)</x:f>
        <x:v>0.4</x:v>
      </x:c>
      <x:c r="AK8" s="125" t="n">
        <x:v>0.4</x:v>
      </x:c>
    </x:row>
    <x:row r="9" ht="22" customHeight="1">
      <x:c r="A9" s="116" t="str">
        <x:v>Qualified leads</x:v>
      </x:c>
      <x:c r="B9" s="117"/>
      <x:c r="C9" s="118" t="n">
        <x:f>IF(B9&lt;&gt;"",B9,ROUND(IF(C$7&gt;=12,$B$197,IF(INDEX($B$6:$AK$6,1,MIN(36,MAX(1,1+3*C$7+0)))&lt;&gt;"",INDEX($B$6:$AK$6,1,MIN(36,MAX(1,1+3*C$7+0))),INDEX($B$6:$AK$6,1,MIN(36,MAX(1,1+3*C$7+1)))))*C8,0))</x:f>
        <x:v>51</x:v>
      </x:c>
      <x:c r="D9" s="126" t="n">
        <x:f>ROUND(IF(D$7&gt;=12,$B$197,INDEX($B$6:$AK$6,1,MIN(36,MAX(1,1+3*D$7+2))))*D8,0)</x:f>
        <x:v>51</x:v>
      </x:c>
      <x:c r="E9" s="117"/>
      <x:c r="F9" s="118" t="n">
        <x:f>IF(E9&lt;&gt;"",E9,ROUND(IF(F$7&gt;=11,$B$197,IF(INDEX($B$6:$AK$6,1,MIN(36,MAX(1,4+3*F$7+0)))&lt;&gt;"",INDEX($B$6:$AK$6,1,MIN(36,MAX(1,4+3*F$7+0))),INDEX($B$6:$AK$6,1,MIN(36,MAX(1,4+3*F$7+1)))))*F8,0))</x:f>
        <x:v>50</x:v>
      </x:c>
      <x:c r="G9" s="126" t="n">
        <x:f>ROUND(IF(G$7&gt;=11,$B$197,INDEX($B$6:$AK$6,1,MIN(36,MAX(1,4+3*G$7+2))))*G8,0)</x:f>
        <x:v>50</x:v>
      </x:c>
      <x:c r="H9" s="117"/>
      <x:c r="I9" s="118" t="n">
        <x:f>IF(H9&lt;&gt;"",H9,ROUND(IF(I$7&gt;=10,$B$197,IF(INDEX($B$6:$AK$6,1,MIN(36,MAX(1,7+3*I$7+0)))&lt;&gt;"",INDEX($B$6:$AK$6,1,MIN(36,MAX(1,7+3*I$7+0))),INDEX($B$6:$AK$6,1,MIN(36,MAX(1,7+3*I$7+1)))))*I8,0))</x:f>
        <x:v>49</x:v>
      </x:c>
      <x:c r="J9" s="126" t="n">
        <x:f>ROUND(IF(J$7&gt;=10,$B$197,INDEX($B$6:$AK$6,1,MIN(36,MAX(1,7+3*J$7+2))))*J8,0)</x:f>
        <x:v>49</x:v>
      </x:c>
      <x:c r="K9" s="117"/>
      <x:c r="L9" s="118" t="n">
        <x:f>IF(K9&lt;&gt;"",K9,ROUND(IF(L$7&gt;=9,$B$197,IF(INDEX($B$6:$AK$6,1,MIN(36,MAX(1,10+3*L$7+0)))&lt;&gt;"",INDEX($B$6:$AK$6,1,MIN(36,MAX(1,10+3*L$7+0))),INDEX($B$6:$AK$6,1,MIN(36,MAX(1,10+3*L$7+1)))))*L8,0))</x:f>
        <x:v>48</x:v>
      </x:c>
      <x:c r="M9" s="126" t="n">
        <x:f>ROUND(IF(M$7&gt;=9,$B$197,INDEX($B$6:$AK$6,1,MIN(36,MAX(1,10+3*M$7+2))))*M8,0)</x:f>
        <x:v>48</x:v>
      </x:c>
      <x:c r="N9" s="117"/>
      <x:c r="O9" s="118" t="n">
        <x:f>IF(N9&lt;&gt;"",N9,ROUND(IF(O$7&gt;=8,$B$197,IF(INDEX($B$6:$AK$6,1,MIN(36,MAX(1,13+3*O$7+0)))&lt;&gt;"",INDEX($B$6:$AK$6,1,MIN(36,MAX(1,13+3*O$7+0))),INDEX($B$6:$AK$6,1,MIN(36,MAX(1,13+3*O$7+1)))))*O8,0))</x:f>
        <x:v>47</x:v>
      </x:c>
      <x:c r="P9" s="126" t="n">
        <x:f>ROUND(IF(P$7&gt;=8,$B$197,INDEX($B$6:$AK$6,1,MIN(36,MAX(1,13+3*P$7+2))))*P8,0)</x:f>
        <x:v>47</x:v>
      </x:c>
      <x:c r="Q9" s="117"/>
      <x:c r="R9" s="118" t="n">
        <x:f>IF(Q9&lt;&gt;"",Q9,ROUND(IF(R$7&gt;=7,$B$197,IF(INDEX($B$6:$AK$6,1,MIN(36,MAX(1,16+3*R$7+0)))&lt;&gt;"",INDEX($B$6:$AK$6,1,MIN(36,MAX(1,16+3*R$7+0))),INDEX($B$6:$AK$6,1,MIN(36,MAX(1,16+3*R$7+1)))))*R8,0))</x:f>
        <x:v>46</x:v>
      </x:c>
      <x:c r="S9" s="126" t="n">
        <x:f>ROUND(IF(S$7&gt;=7,$B$197,INDEX($B$6:$AK$6,1,MIN(36,MAX(1,16+3*S$7+2))))*S8,0)</x:f>
        <x:v>46</x:v>
      </x:c>
      <x:c r="T9" s="117"/>
      <x:c r="U9" s="118" t="n">
        <x:f>IF(T9&lt;&gt;"",T9,ROUND(IF(U$7&gt;=6,$B$197,IF(INDEX($B$6:$AK$6,1,MIN(36,MAX(1,19+3*U$7+0)))&lt;&gt;"",INDEX($B$6:$AK$6,1,MIN(36,MAX(1,19+3*U$7+0))),INDEX($B$6:$AK$6,1,MIN(36,MAX(1,19+3*U$7+1)))))*U8,0))</x:f>
        <x:v>45</x:v>
      </x:c>
      <x:c r="V9" s="126" t="n">
        <x:f>ROUND(IF(V$7&gt;=6,$B$197,INDEX($B$6:$AK$6,1,MIN(36,MAX(1,19+3*V$7+2))))*V8,0)</x:f>
        <x:v>45</x:v>
      </x:c>
      <x:c r="W9" s="117"/>
      <x:c r="X9" s="118" t="n">
        <x:f>IF(W9&lt;&gt;"",W9,ROUND(IF(X$7&gt;=5,$B$197,IF(INDEX($B$6:$AK$6,1,MIN(36,MAX(1,22+3*X$7+0)))&lt;&gt;"",INDEX($B$6:$AK$6,1,MIN(36,MAX(1,22+3*X$7+0))),INDEX($B$6:$AK$6,1,MIN(36,MAX(1,22+3*X$7+1)))))*X8,0))</x:f>
        <x:v>44</x:v>
      </x:c>
      <x:c r="Y9" s="126" t="n">
        <x:f>ROUND(IF(Y$7&gt;=5,$B$197,INDEX($B$6:$AK$6,1,MIN(36,MAX(1,22+3*Y$7+2))))*Y8,0)</x:f>
        <x:v>44</x:v>
      </x:c>
      <x:c r="Z9" s="117"/>
      <x:c r="AA9" s="118" t="n">
        <x:f>IF(Z9&lt;&gt;"",Z9,ROUND(IF(AA$7&gt;=4,$B$197,IF(INDEX($B$6:$AK$6,1,MIN(36,MAX(1,25+3*AA$7+0)))&lt;&gt;"",INDEX($B$6:$AK$6,1,MIN(36,MAX(1,25+3*AA$7+0))),INDEX($B$6:$AK$6,1,MIN(36,MAX(1,25+3*AA$7+1)))))*AA8,0))</x:f>
        <x:v>43</x:v>
      </x:c>
      <x:c r="AB9" s="126" t="n">
        <x:f>ROUND(IF(AB$7&gt;=4,$B$197,INDEX($B$6:$AK$6,1,MIN(36,MAX(1,25+3*AB$7+2))))*AB8,0)</x:f>
        <x:v>43</x:v>
      </x:c>
      <x:c r="AC9" s="117"/>
      <x:c r="AD9" s="118" t="n">
        <x:f>IF(AC9&lt;&gt;"",AC9,ROUND(IF(AD$7&gt;=3,$B$197,IF(INDEX($B$6:$AK$6,1,MIN(36,MAX(1,28+3*AD$7+0)))&lt;&gt;"",INDEX($B$6:$AK$6,1,MIN(36,MAX(1,28+3*AD$7+0))),INDEX($B$6:$AK$6,1,MIN(36,MAX(1,28+3*AD$7+1)))))*AD8,0))</x:f>
        <x:v>42</x:v>
      </x:c>
      <x:c r="AE9" s="126" t="n">
        <x:f>ROUND(IF(AE$7&gt;=3,$B$197,INDEX($B$6:$AK$6,1,MIN(36,MAX(1,28+3*AE$7+2))))*AE8,0)</x:f>
        <x:v>42</x:v>
      </x:c>
      <x:c r="AF9" s="117" t="n">
        <x:v>38</x:v>
      </x:c>
      <x:c r="AG9" s="118" t="n">
        <x:f>IF(AF9&lt;&gt;"",AF9,ROUND(IF(AG$7&gt;=2,$B$197,IF(INDEX($B$6:$AK$6,1,MIN(36,MAX(1,31+3*AG$7+0)))&lt;&gt;"",INDEX($B$6:$AK$6,1,MIN(36,MAX(1,31+3*AG$7+0))),INDEX($B$6:$AK$6,1,MIN(36,MAX(1,31+3*AG$7+1)))))*AG8,0))</x:f>
        <x:v>38</x:v>
      </x:c>
      <x:c r="AH9" s="126" t="n">
        <x:f>ROUND(IF(AH$7&gt;=2,$B$197,INDEX($B$6:$AK$6,1,MIN(36,MAX(1,31+3*AH$7+2))))*AH8,0)</x:f>
        <x:v>41</x:v>
      </x:c>
      <x:c r="AI9" s="117" t="n">
        <x:v>36</x:v>
      </x:c>
      <x:c r="AJ9" s="118" t="n">
        <x:f>IF(AI9&lt;&gt;"",AI9,ROUND(IF(AJ$7&gt;=1,$B$197,IF(INDEX($B$6:$AK$6,1,MIN(36,MAX(1,34+3*AJ$7+0)))&lt;&gt;"",INDEX($B$6:$AK$6,1,MIN(36,MAX(1,34+3*AJ$7+0))),INDEX($B$6:$AK$6,1,MIN(36,MAX(1,34+3*AJ$7+1)))))*AJ8,0))</x:f>
        <x:v>36</x:v>
      </x:c>
      <x:c r="AK9" s="126" t="n">
        <x:f>ROUND(IF(AK$7&gt;=1,$B$197,INDEX($B$6:$AK$6,1,MIN(36,MAX(1,34+3*AK$7+2))))*AK8,0)</x:f>
        <x:v>40</x:v>
      </x:c>
    </x:row>
    <x:row r="10" ht="22" customHeight="1">
      <x:c r="A10" s="116"/>
      <x:c r="B10" s="127"/>
      <x:c r="C10" s="128"/>
      <x:c r="D10" s="129"/>
      <x:c r="E10" s="127"/>
      <x:c r="F10" s="128"/>
      <x:c r="G10" s="129"/>
      <x:c r="H10" s="127"/>
      <x:c r="I10" s="128"/>
      <x:c r="J10" s="129"/>
      <x:c r="K10" s="127"/>
      <x:c r="L10" s="128"/>
      <x:c r="M10" s="129"/>
      <x:c r="N10" s="127"/>
      <x:c r="O10" s="128"/>
      <x:c r="P10" s="129"/>
      <x:c r="Q10" s="127"/>
      <x:c r="R10" s="128"/>
      <x:c r="S10" s="129"/>
      <x:c r="T10" s="127"/>
      <x:c r="U10" s="128"/>
      <x:c r="V10" s="129"/>
      <x:c r="W10" s="127"/>
      <x:c r="X10" s="128"/>
      <x:c r="Y10" s="129"/>
      <x:c r="Z10" s="127"/>
      <x:c r="AA10" s="128"/>
      <x:c r="AB10" s="129"/>
      <x:c r="AC10" s="127"/>
      <x:c r="AD10" s="128"/>
      <x:c r="AE10" s="129"/>
      <x:c r="AF10" s="127"/>
      <x:c r="AG10" s="128"/>
      <x:c r="AH10" s="129"/>
      <x:c r="AI10" s="127"/>
      <x:c r="AJ10" s="128"/>
      <x:c r="AK10" s="129"/>
    </x:row>
    <x:row r="11" ht="22" customHeight="1">
      <x:c r="A11" s="38" t="str">
        <x:v>SALES FLOW</x:v>
      </x:c>
      <x:c r="B11" s="57" t="str">
        <x:v>SALES FLOW</x:v>
      </x:c>
      <x:c r="C11" s="58" t="str">
        <x:v>SALES FLOW</x:v>
      </x:c>
      <x:c r="D11" s="59" t="str">
        <x:v>SALES FLOW</x:v>
      </x:c>
      <x:c r="E11" s="57" t="str">
        <x:v>SALES FLOW</x:v>
      </x:c>
      <x:c r="F11" s="58" t="str">
        <x:v>SALES FLOW</x:v>
      </x:c>
      <x:c r="G11" s="59" t="str">
        <x:v>SALES FLOW</x:v>
      </x:c>
      <x:c r="H11" s="57" t="str">
        <x:v>SALES FLOW</x:v>
      </x:c>
      <x:c r="I11" s="58" t="str">
        <x:v>SALES FLOW</x:v>
      </x:c>
      <x:c r="J11" s="59" t="str">
        <x:v>SALES FLOW</x:v>
      </x:c>
      <x:c r="K11" s="57" t="str">
        <x:v>SALES FLOW</x:v>
      </x:c>
      <x:c r="L11" s="58" t="str">
        <x:v>SALES FLOW</x:v>
      </x:c>
      <x:c r="M11" s="59" t="str">
        <x:v>SALES FLOW</x:v>
      </x:c>
      <x:c r="N11" s="57" t="str">
        <x:v>SALES FLOW</x:v>
      </x:c>
      <x:c r="O11" s="58" t="str">
        <x:v>SALES FLOW</x:v>
      </x:c>
      <x:c r="P11" s="59" t="str">
        <x:v>SALES FLOW</x:v>
      </x:c>
      <x:c r="Q11" s="57" t="str">
        <x:v>SALES FLOW</x:v>
      </x:c>
      <x:c r="R11" s="58" t="str">
        <x:v>SALES FLOW</x:v>
      </x:c>
      <x:c r="S11" s="59" t="str">
        <x:v>SALES FLOW</x:v>
      </x:c>
      <x:c r="T11" s="57" t="str">
        <x:v>SALES FLOW</x:v>
      </x:c>
      <x:c r="U11" s="58" t="str">
        <x:v>SALES FLOW</x:v>
      </x:c>
      <x:c r="V11" s="59" t="str">
        <x:v>SALES FLOW</x:v>
      </x:c>
      <x:c r="W11" s="57" t="str">
        <x:v>SALES FLOW</x:v>
      </x:c>
      <x:c r="X11" s="58" t="str">
        <x:v>SALES FLOW</x:v>
      </x:c>
      <x:c r="Y11" s="59" t="str">
        <x:v>SALES FLOW</x:v>
      </x:c>
      <x:c r="Z11" s="57" t="str">
        <x:v>SALES FLOW</x:v>
      </x:c>
      <x:c r="AA11" s="58" t="str">
        <x:v>SALES FLOW</x:v>
      </x:c>
      <x:c r="AB11" s="59" t="str">
        <x:v>SALES FLOW</x:v>
      </x:c>
      <x:c r="AC11" s="57" t="str">
        <x:v>SALES FLOW</x:v>
      </x:c>
      <x:c r="AD11" s="58" t="str">
        <x:v>SALES FLOW</x:v>
      </x:c>
      <x:c r="AE11" s="59" t="str">
        <x:v>SALES FLOW</x:v>
      </x:c>
      <x:c r="AF11" s="57" t="str">
        <x:v>SALES FLOW</x:v>
      </x:c>
      <x:c r="AG11" s="58" t="str">
        <x:v>SALES FLOW</x:v>
      </x:c>
      <x:c r="AH11" s="59" t="str">
        <x:v>SALES FLOW</x:v>
      </x:c>
      <x:c r="AI11" s="57" t="str">
        <x:v>SALES FLOW</x:v>
      </x:c>
      <x:c r="AJ11" s="58" t="str">
        <x:v>SALES FLOW</x:v>
      </x:c>
      <x:c r="AK11" s="59" t="str">
        <x:v>SALES FLOW</x:v>
      </x:c>
    </x:row>
    <x:row r="12" ht="22" customHeight="1">
      <x:c r="A12" s="116" t="str">
        <x:v>Sales cycle in months</x:v>
      </x:c>
      <x:c r="B12" s="120"/>
      <x:c r="C12" s="121" t="n">
        <x:f>IF(B12&lt;&gt;"",B12,D12)</x:f>
        <x:v>1</x:v>
      </x:c>
      <x:c r="D12" s="122" t="n">
        <x:v>1</x:v>
      </x:c>
      <x:c r="E12" s="120"/>
      <x:c r="F12" s="121" t="n">
        <x:f>IF(E12&lt;&gt;"",E12,G12)</x:f>
        <x:v>1</x:v>
      </x:c>
      <x:c r="G12" s="122" t="n">
        <x:v>1</x:v>
      </x:c>
      <x:c r="H12" s="120"/>
      <x:c r="I12" s="121" t="n">
        <x:f>IF(H12&lt;&gt;"",H12,J12)</x:f>
        <x:v>1</x:v>
      </x:c>
      <x:c r="J12" s="122" t="n">
        <x:v>1</x:v>
      </x:c>
      <x:c r="K12" s="120"/>
      <x:c r="L12" s="121" t="n">
        <x:f>IF(K12&lt;&gt;"",K12,M12)</x:f>
        <x:v>1</x:v>
      </x:c>
      <x:c r="M12" s="122" t="n">
        <x:v>1</x:v>
      </x:c>
      <x:c r="N12" s="120"/>
      <x:c r="O12" s="121" t="n">
        <x:f>IF(N12&lt;&gt;"",N12,P12)</x:f>
        <x:v>1</x:v>
      </x:c>
      <x:c r="P12" s="122" t="n">
        <x:v>1</x:v>
      </x:c>
      <x:c r="Q12" s="120"/>
      <x:c r="R12" s="121" t="n">
        <x:f>IF(Q12&lt;&gt;"",Q12,S12)</x:f>
        <x:v>1</x:v>
      </x:c>
      <x:c r="S12" s="122" t="n">
        <x:v>1</x:v>
      </x:c>
      <x:c r="T12" s="120"/>
      <x:c r="U12" s="121" t="n">
        <x:f>IF(T12&lt;&gt;"",T12,V12)</x:f>
        <x:v>1</x:v>
      </x:c>
      <x:c r="V12" s="122" t="n">
        <x:v>1</x:v>
      </x:c>
      <x:c r="W12" s="120"/>
      <x:c r="X12" s="121" t="n">
        <x:f>IF(W12&lt;&gt;"",W12,Y12)</x:f>
        <x:v>1</x:v>
      </x:c>
      <x:c r="Y12" s="122" t="n">
        <x:v>1</x:v>
      </x:c>
      <x:c r="Z12" s="120"/>
      <x:c r="AA12" s="121" t="n">
        <x:f>IF(Z12&lt;&gt;"",Z12,AB12)</x:f>
        <x:v>1</x:v>
      </x:c>
      <x:c r="AB12" s="122" t="n">
        <x:v>1</x:v>
      </x:c>
      <x:c r="AC12" s="120"/>
      <x:c r="AD12" s="121" t="n">
        <x:f>IF(AC12&lt;&gt;"",AC12,AE12)</x:f>
        <x:v>1</x:v>
      </x:c>
      <x:c r="AE12" s="122" t="n">
        <x:v>1</x:v>
      </x:c>
      <x:c r="AF12" s="120" t="n">
        <x:v>1</x:v>
      </x:c>
      <x:c r="AG12" s="121" t="n">
        <x:f>IF(AF12&lt;&gt;"",AF12,AH12)</x:f>
        <x:v>1</x:v>
      </x:c>
      <x:c r="AH12" s="122" t="n">
        <x:v>1</x:v>
      </x:c>
      <x:c r="AI12" s="120" t="n">
        <x:v>1</x:v>
      </x:c>
      <x:c r="AJ12" s="121" t="n">
        <x:f>IF(AI12&lt;&gt;"",AI12,AK12)</x:f>
        <x:v>1</x:v>
      </x:c>
      <x:c r="AK12" s="122" t="n">
        <x:v>1</x:v>
      </x:c>
    </x:row>
    <x:row r="13" ht="22" customHeight="1">
      <x:c r="A13" s="116" t="str">
        <x:v>Close rate</x:v>
      </x:c>
      <x:c r="B13" s="123" t="str">
        <x:f>IFERROR(IF(B14="","",B14/IF(B$12&gt;=12,$B$198,INDEX($B$9:$AK$9,1,MIN(36,MAX(1,1+3*B$12+0))))),"")</x:f>
      </x:c>
      <x:c r="C13" s="124" t="n">
        <x:f>IF(B13&lt;&gt;"",B13,D13)</x:f>
        <x:v>0.25</x:v>
      </x:c>
      <x:c r="D13" s="125" t="n">
        <x:v>0.25</x:v>
      </x:c>
      <x:c r="E13" s="123" t="str">
        <x:f>IFERROR(IF(E14="","",E14/IF(E$12&gt;=11,$B$198,INDEX($B$9:$AK$9,1,MIN(36,MAX(1,4+3*E$12+0))))),"")</x:f>
      </x:c>
      <x:c r="F13" s="124" t="n">
        <x:f>IF(E13&lt;&gt;"",E13,G13)</x:f>
        <x:v>0.25</x:v>
      </x:c>
      <x:c r="G13" s="125" t="n">
        <x:v>0.25</x:v>
      </x:c>
      <x:c r="H13" s="123" t="str">
        <x:f>IFERROR(IF(H14="","",H14/IF(H$12&gt;=10,$B$198,INDEX($B$9:$AK$9,1,MIN(36,MAX(1,7+3*H$12+0))))),"")</x:f>
      </x:c>
      <x:c r="I13" s="124" t="n">
        <x:f>IF(H13&lt;&gt;"",H13,J13)</x:f>
        <x:v>0.25</x:v>
      </x:c>
      <x:c r="J13" s="125" t="n">
        <x:v>0.25</x:v>
      </x:c>
      <x:c r="K13" s="123" t="str">
        <x:f>IFERROR(IF(K14="","",K14/IF(K$12&gt;=9,$B$198,INDEX($B$9:$AK$9,1,MIN(36,MAX(1,10+3*K$12+0))))),"")</x:f>
      </x:c>
      <x:c r="L13" s="124" t="n">
        <x:f>IF(K13&lt;&gt;"",K13,M13)</x:f>
        <x:v>0.25</x:v>
      </x:c>
      <x:c r="M13" s="125" t="n">
        <x:v>0.25</x:v>
      </x:c>
      <x:c r="N13" s="123" t="str">
        <x:f>IFERROR(IF(N14="","",N14/IF(N$12&gt;=8,$B$198,INDEX($B$9:$AK$9,1,MIN(36,MAX(1,13+3*N$12+0))))),"")</x:f>
      </x:c>
      <x:c r="O13" s="124" t="n">
        <x:f>IF(N13&lt;&gt;"",N13,P13)</x:f>
        <x:v>0.25</x:v>
      </x:c>
      <x:c r="P13" s="125" t="n">
        <x:v>0.25</x:v>
      </x:c>
      <x:c r="Q13" s="123" t="str">
        <x:f>IFERROR(IF(Q14="","",Q14/IF(Q$12&gt;=7,$B$198,INDEX($B$9:$AK$9,1,MIN(36,MAX(1,16+3*Q$12+0))))),"")</x:f>
      </x:c>
      <x:c r="R13" s="124" t="n">
        <x:f>IF(Q13&lt;&gt;"",Q13,S13)</x:f>
        <x:v>0.25</x:v>
      </x:c>
      <x:c r="S13" s="125" t="n">
        <x:v>0.25</x:v>
      </x:c>
      <x:c r="T13" s="123" t="str">
        <x:f>IFERROR(IF(T14="","",T14/IF(T$12&gt;=6,$B$198,INDEX($B$9:$AK$9,1,MIN(36,MAX(1,19+3*T$12+0))))),"")</x:f>
      </x:c>
      <x:c r="U13" s="124" t="n">
        <x:f>IF(T13&lt;&gt;"",T13,V13)</x:f>
        <x:v>0.25</x:v>
      </x:c>
      <x:c r="V13" s="125" t="n">
        <x:v>0.25</x:v>
      </x:c>
      <x:c r="W13" s="123" t="str">
        <x:f>IFERROR(IF(W14="","",W14/IF(W$12&gt;=5,$B$198,INDEX($B$9:$AK$9,1,MIN(36,MAX(1,22+3*W$12+0))))),"")</x:f>
      </x:c>
      <x:c r="X13" s="124" t="n">
        <x:f>IF(W13&lt;&gt;"",W13,Y13)</x:f>
        <x:v>0.25</x:v>
      </x:c>
      <x:c r="Y13" s="125" t="n">
        <x:v>0.25</x:v>
      </x:c>
      <x:c r="Z13" s="123" t="str">
        <x:f>IFERROR(IF(Z14="","",Z14/IF(Z$12&gt;=4,$B$198,INDEX($B$9:$AK$9,1,MIN(36,MAX(1,25+3*Z$12+0))))),"")</x:f>
      </x:c>
      <x:c r="AA13" s="124" t="n">
        <x:f>IF(Z13&lt;&gt;"",Z13,AB13)</x:f>
        <x:v>0.25</x:v>
      </x:c>
      <x:c r="AB13" s="125" t="n">
        <x:v>0.25</x:v>
      </x:c>
      <x:c r="AC13" s="123" t="str">
        <x:f>IFERROR(IF(AC14="","",AC14/IF(AC$12&gt;=3,$B$198,INDEX($B$9:$AK$9,1,MIN(36,MAX(1,28+3*AC$12+0))))),"")</x:f>
      </x:c>
      <x:c r="AD13" s="124" t="n">
        <x:f>IF(AC13&lt;&gt;"",AC13,AE13)</x:f>
        <x:v>0.25</x:v>
      </x:c>
      <x:c r="AE13" s="125" t="n">
        <x:v>0.25</x:v>
      </x:c>
      <x:c r="AF13" s="123" t="n">
        <x:f>IFERROR(IF(AF14="","",AF14/IF(AF$12&gt;=2,$B$198,INDEX($B$9:$AK$9,1,MIN(36,MAX(1,31+3*AF$12+0))))),"")</x:f>
        <x:v>0.2222222222222222</x:v>
      </x:c>
      <x:c r="AG13" s="124" t="n">
        <x:f>IF(AF13&lt;&gt;"",AF13,AH13)</x:f>
        <x:v>0.2222222222222222</x:v>
      </x:c>
      <x:c r="AH13" s="125" t="n">
        <x:v>0.25</x:v>
      </x:c>
      <x:c r="AI13" s="123" t="n">
        <x:f>IFERROR(IF(AI14="","",AI14/IF(AI$12&gt;=1,$B$198,INDEX($B$9:$AK$9,1,MIN(36,MAX(1,34+3*AI$12+0))))),"")</x:f>
        <x:v>0.175</x:v>
      </x:c>
      <x:c r="AJ13" s="124" t="n">
        <x:f>IF(AI13&lt;&gt;"",AI13,AK13)</x:f>
        <x:v>0.175</x:v>
      </x:c>
      <x:c r="AK13" s="125" t="n">
        <x:v>0.25</x:v>
      </x:c>
    </x:row>
    <x:row r="14" ht="22" customHeight="1">
      <x:c r="A14" s="116" t="str">
        <x:v>Signed contracts</x:v>
      </x:c>
      <x:c r="B14" s="117"/>
      <x:c r="C14" s="118" t="n">
        <x:f>IF(B14&lt;&gt;"",B14,ROUND(IF(C$12&gt;=12,$B$198,IF(INDEX($B$9:$AK$9,1,MIN(36,MAX(1,1+3*C$12+0)))&lt;&gt;"",INDEX($B$9:$AK$9,1,MIN(36,MAX(1,1+3*C$12+0))),INDEX($B$9:$AK$9,1,MIN(36,MAX(1,1+3*C$12+1)))))*C13,0))</x:f>
        <x:v>13</x:v>
      </x:c>
      <x:c r="D14" s="126" t="n">
        <x:f>ROUND(IF(D$12&gt;=12,$B$198,INDEX($B$9:$AK$9,1,MIN(36,MAX(1,1+3*D$12+2))))*D13,0)</x:f>
        <x:v>13</x:v>
      </x:c>
      <x:c r="E14" s="117"/>
      <x:c r="F14" s="118" t="n">
        <x:f>IF(E14&lt;&gt;"",E14,ROUND(IF(F$12&gt;=11,$B$198,IF(INDEX($B$9:$AK$9,1,MIN(36,MAX(1,4+3*F$12+0)))&lt;&gt;"",INDEX($B$9:$AK$9,1,MIN(36,MAX(1,4+3*F$12+0))),INDEX($B$9:$AK$9,1,MIN(36,MAX(1,4+3*F$12+1)))))*F13,0))</x:f>
        <x:v>12</x:v>
      </x:c>
      <x:c r="G14" s="126" t="n">
        <x:f>ROUND(IF(G$12&gt;=11,$B$198,INDEX($B$9:$AK$9,1,MIN(36,MAX(1,4+3*G$12+2))))*G13,0)</x:f>
        <x:v>12</x:v>
      </x:c>
      <x:c r="H14" s="117"/>
      <x:c r="I14" s="118" t="n">
        <x:f>IF(H14&lt;&gt;"",H14,ROUND(IF(I$12&gt;=10,$B$198,IF(INDEX($B$9:$AK$9,1,MIN(36,MAX(1,7+3*I$12+0)))&lt;&gt;"",INDEX($B$9:$AK$9,1,MIN(36,MAX(1,7+3*I$12+0))),INDEX($B$9:$AK$9,1,MIN(36,MAX(1,7+3*I$12+1)))))*I13,0))</x:f>
        <x:v>12</x:v>
      </x:c>
      <x:c r="J14" s="126" t="n">
        <x:f>ROUND(IF(J$12&gt;=10,$B$198,INDEX($B$9:$AK$9,1,MIN(36,MAX(1,7+3*J$12+2))))*J13,0)</x:f>
        <x:v>12</x:v>
      </x:c>
      <x:c r="K14" s="117"/>
      <x:c r="L14" s="118" t="n">
        <x:f>IF(K14&lt;&gt;"",K14,ROUND(IF(L$12&gt;=9,$B$198,IF(INDEX($B$9:$AK$9,1,MIN(36,MAX(1,10+3*L$12+0)))&lt;&gt;"",INDEX($B$9:$AK$9,1,MIN(36,MAX(1,10+3*L$12+0))),INDEX($B$9:$AK$9,1,MIN(36,MAX(1,10+3*L$12+1)))))*L13,0))</x:f>
        <x:v>12</x:v>
      </x:c>
      <x:c r="M14" s="126" t="n">
        <x:f>ROUND(IF(M$12&gt;=9,$B$198,INDEX($B$9:$AK$9,1,MIN(36,MAX(1,10+3*M$12+2))))*M13,0)</x:f>
        <x:v>12</x:v>
      </x:c>
      <x:c r="N14" s="117"/>
      <x:c r="O14" s="118" t="n">
        <x:f>IF(N14&lt;&gt;"",N14,ROUND(IF(O$12&gt;=8,$B$198,IF(INDEX($B$9:$AK$9,1,MIN(36,MAX(1,13+3*O$12+0)))&lt;&gt;"",INDEX($B$9:$AK$9,1,MIN(36,MAX(1,13+3*O$12+0))),INDEX($B$9:$AK$9,1,MIN(36,MAX(1,13+3*O$12+1)))))*O13,0))</x:f>
        <x:v>12</x:v>
      </x:c>
      <x:c r="P14" s="126" t="n">
        <x:f>ROUND(IF(P$12&gt;=8,$B$198,INDEX($B$9:$AK$9,1,MIN(36,MAX(1,13+3*P$12+2))))*P13,0)</x:f>
        <x:v>12</x:v>
      </x:c>
      <x:c r="Q14" s="117"/>
      <x:c r="R14" s="118" t="n">
        <x:f>IF(Q14&lt;&gt;"",Q14,ROUND(IF(R$12&gt;=7,$B$198,IF(INDEX($B$9:$AK$9,1,MIN(36,MAX(1,16+3*R$12+0)))&lt;&gt;"",INDEX($B$9:$AK$9,1,MIN(36,MAX(1,16+3*R$12+0))),INDEX($B$9:$AK$9,1,MIN(36,MAX(1,16+3*R$12+1)))))*R13,0))</x:f>
        <x:v>11</x:v>
      </x:c>
      <x:c r="S14" s="126" t="n">
        <x:f>ROUND(IF(S$12&gt;=7,$B$198,INDEX($B$9:$AK$9,1,MIN(36,MAX(1,16+3*S$12+2))))*S13,0)</x:f>
        <x:v>11</x:v>
      </x:c>
      <x:c r="T14" s="117"/>
      <x:c r="U14" s="118" t="n">
        <x:f>IF(T14&lt;&gt;"",T14,ROUND(IF(U$12&gt;=6,$B$198,IF(INDEX($B$9:$AK$9,1,MIN(36,MAX(1,19+3*U$12+0)))&lt;&gt;"",INDEX($B$9:$AK$9,1,MIN(36,MAX(1,19+3*U$12+0))),INDEX($B$9:$AK$9,1,MIN(36,MAX(1,19+3*U$12+1)))))*U13,0))</x:f>
        <x:v>11</x:v>
      </x:c>
      <x:c r="V14" s="126" t="n">
        <x:f>ROUND(IF(V$12&gt;=6,$B$198,INDEX($B$9:$AK$9,1,MIN(36,MAX(1,19+3*V$12+2))))*V13,0)</x:f>
        <x:v>11</x:v>
      </x:c>
      <x:c r="W14" s="117"/>
      <x:c r="X14" s="118" t="n">
        <x:f>IF(W14&lt;&gt;"",W14,ROUND(IF(X$12&gt;=5,$B$198,IF(INDEX($B$9:$AK$9,1,MIN(36,MAX(1,22+3*X$12+0)))&lt;&gt;"",INDEX($B$9:$AK$9,1,MIN(36,MAX(1,22+3*X$12+0))),INDEX($B$9:$AK$9,1,MIN(36,MAX(1,22+3*X$12+1)))))*X13,0))</x:f>
        <x:v>11</x:v>
      </x:c>
      <x:c r="Y14" s="126" t="n">
        <x:f>ROUND(IF(Y$12&gt;=5,$B$198,INDEX($B$9:$AK$9,1,MIN(36,MAX(1,22+3*Y$12+2))))*Y13,0)</x:f>
        <x:v>11</x:v>
      </x:c>
      <x:c r="Z14" s="117"/>
      <x:c r="AA14" s="118" t="n">
        <x:f>IF(Z14&lt;&gt;"",Z14,ROUND(IF(AA$12&gt;=4,$B$198,IF(INDEX($B$9:$AK$9,1,MIN(36,MAX(1,25+3*AA$12+0)))&lt;&gt;"",INDEX($B$9:$AK$9,1,MIN(36,MAX(1,25+3*AA$12+0))),INDEX($B$9:$AK$9,1,MIN(36,MAX(1,25+3*AA$12+1)))))*AA13,0))</x:f>
        <x:v>11</x:v>
      </x:c>
      <x:c r="AB14" s="126" t="n">
        <x:f>ROUND(IF(AB$12&gt;=4,$B$198,INDEX($B$9:$AK$9,1,MIN(36,MAX(1,25+3*AB$12+2))))*AB13,0)</x:f>
        <x:v>11</x:v>
      </x:c>
      <x:c r="AC14" s="117"/>
      <x:c r="AD14" s="118" t="n">
        <x:f>IF(AC14&lt;&gt;"",AC14,ROUND(IF(AD$12&gt;=3,$B$198,IF(INDEX($B$9:$AK$9,1,MIN(36,MAX(1,28+3*AD$12+0)))&lt;&gt;"",INDEX($B$9:$AK$9,1,MIN(36,MAX(1,28+3*AD$12+0))),INDEX($B$9:$AK$9,1,MIN(36,MAX(1,28+3*AD$12+1)))))*AD13,0))</x:f>
        <x:v>10</x:v>
      </x:c>
      <x:c r="AE14" s="126" t="n">
        <x:f>ROUND(IF(AE$12&gt;=3,$B$198,INDEX($B$9:$AK$9,1,MIN(36,MAX(1,28+3*AE$12+2))))*AE13,0)</x:f>
        <x:v>10</x:v>
      </x:c>
      <x:c r="AF14" s="117" t="n">
        <x:v>8</x:v>
      </x:c>
      <x:c r="AG14" s="118" t="n">
        <x:f>IF(AF14&lt;&gt;"",AF14,ROUND(IF(AG$12&gt;=2,$B$198,IF(INDEX($B$9:$AK$9,1,MIN(36,MAX(1,31+3*AG$12+0)))&lt;&gt;"",INDEX($B$9:$AK$9,1,MIN(36,MAX(1,31+3*AG$12+0))),INDEX($B$9:$AK$9,1,MIN(36,MAX(1,31+3*AG$12+1)))))*AG13,0))</x:f>
        <x:v>8</x:v>
      </x:c>
      <x:c r="AH14" s="126" t="n">
        <x:f>ROUND(IF(AH$12&gt;=2,$B$198,INDEX($B$9:$AK$9,1,MIN(36,MAX(1,31+3*AH$12+2))))*AH13,0)</x:f>
        <x:v>10</x:v>
      </x:c>
      <x:c r="AI14" s="117" t="n">
        <x:v>7</x:v>
      </x:c>
      <x:c r="AJ14" s="118" t="n">
        <x:f>IF(AI14&lt;&gt;"",AI14,ROUND(IF(AJ$12&gt;=1,$B$198,IF(INDEX($B$9:$AK$9,1,MIN(36,MAX(1,34+3*AJ$12+0)))&lt;&gt;"",INDEX($B$9:$AK$9,1,MIN(36,MAX(1,34+3*AJ$12+0))),INDEX($B$9:$AK$9,1,MIN(36,MAX(1,34+3*AJ$12+1)))))*AJ13,0))</x:f>
        <x:v>7</x:v>
      </x:c>
      <x:c r="AK14" s="126" t="n">
        <x:f>ROUND(IF(AK$12&gt;=1,$B$198,INDEX($B$9:$AK$9,1,MIN(36,MAX(1,34+3*AK$12+2))))*AK13,0)</x:f>
        <x:v>10</x:v>
      </x:c>
    </x:row>
    <x:row r="15" ht="22" customHeight="1">
      <x:c r="A15" s="116" t="str">
        <x:v>Average contract value</x:v>
      </x:c>
      <x:c r="B15" s="130"/>
      <x:c r="C15" s="131" t="n">
        <x:f>IF(B15&lt;&gt;"",B15,D15)</x:f>
        <x:v>5000</x:v>
      </x:c>
      <x:c r="D15" s="132" t="n">
        <x:v>5000</x:v>
      </x:c>
      <x:c r="E15" s="130"/>
      <x:c r="F15" s="131" t="n">
        <x:f>IF(E15&lt;&gt;"",E15,G15)</x:f>
        <x:v>5000</x:v>
      </x:c>
      <x:c r="G15" s="132" t="n">
        <x:v>5000</x:v>
      </x:c>
      <x:c r="H15" s="130"/>
      <x:c r="I15" s="131" t="n">
        <x:f>IF(H15&lt;&gt;"",H15,J15)</x:f>
        <x:v>5000</x:v>
      </x:c>
      <x:c r="J15" s="132" t="n">
        <x:v>5000</x:v>
      </x:c>
      <x:c r="K15" s="130"/>
      <x:c r="L15" s="131" t="n">
        <x:f>IF(K15&lt;&gt;"",K15,M15)</x:f>
        <x:v>5000</x:v>
      </x:c>
      <x:c r="M15" s="132" t="n">
        <x:v>5000</x:v>
      </x:c>
      <x:c r="N15" s="130"/>
      <x:c r="O15" s="131" t="n">
        <x:f>IF(N15&lt;&gt;"",N15,P15)</x:f>
        <x:v>5000</x:v>
      </x:c>
      <x:c r="P15" s="132" t="n">
        <x:v>5000</x:v>
      </x:c>
      <x:c r="Q15" s="130"/>
      <x:c r="R15" s="131" t="n">
        <x:f>IF(Q15&lt;&gt;"",Q15,S15)</x:f>
        <x:v>5000</x:v>
      </x:c>
      <x:c r="S15" s="132" t="n">
        <x:v>5000</x:v>
      </x:c>
      <x:c r="T15" s="130"/>
      <x:c r="U15" s="131" t="n">
        <x:f>IF(T15&lt;&gt;"",T15,V15)</x:f>
        <x:v>5000</x:v>
      </x:c>
      <x:c r="V15" s="132" t="n">
        <x:v>5000</x:v>
      </x:c>
      <x:c r="W15" s="130"/>
      <x:c r="X15" s="131" t="n">
        <x:f>IF(W15&lt;&gt;"",W15,Y15)</x:f>
        <x:v>5000</x:v>
      </x:c>
      <x:c r="Y15" s="132" t="n">
        <x:v>5000</x:v>
      </x:c>
      <x:c r="Z15" s="130"/>
      <x:c r="AA15" s="131" t="n">
        <x:f>IF(Z15&lt;&gt;"",Z15,AB15)</x:f>
        <x:v>5000</x:v>
      </x:c>
      <x:c r="AB15" s="132" t="n">
        <x:v>5000</x:v>
      </x:c>
      <x:c r="AC15" s="130"/>
      <x:c r="AD15" s="131" t="n">
        <x:f>IF(AC15&lt;&gt;"",AC15,AE15)</x:f>
        <x:v>5000</x:v>
      </x:c>
      <x:c r="AE15" s="132" t="n">
        <x:v>5000</x:v>
      </x:c>
      <x:c r="AF15" s="130" t="n">
        <x:v>5000</x:v>
      </x:c>
      <x:c r="AG15" s="131" t="n">
        <x:f>IF(AF15&lt;&gt;"",AF15,AH15)</x:f>
        <x:v>5000</x:v>
      </x:c>
      <x:c r="AH15" s="132" t="n">
        <x:v>5000</x:v>
      </x:c>
      <x:c r="AI15" s="130" t="n">
        <x:v>5000</x:v>
      </x:c>
      <x:c r="AJ15" s="131" t="n">
        <x:f>IF(AI15&lt;&gt;"",AI15,AK15)</x:f>
        <x:v>5000</x:v>
      </x:c>
      <x:c r="AK15" s="132" t="n">
        <x:v>5000</x:v>
      </x:c>
    </x:row>
    <x:row r="16" ht="22" customHeight="1">
      <x:c r="A16" s="116" t="str">
        <x:v>Contract value signed</x:v>
      </x:c>
      <x:c r="B16" s="133" t="str">
        <x:f>IF(COUNT(B14,B15)=2,B14*B15,"")</x:f>
      </x:c>
      <x:c r="C16" s="131" t="n">
        <x:f>C14*C15</x:f>
        <x:v>65000</x:v>
      </x:c>
      <x:c r="D16" s="134" t="n">
        <x:f>D14*D15</x:f>
        <x:v>65000</x:v>
      </x:c>
      <x:c r="E16" s="133" t="str">
        <x:f>IF(COUNT(E14,E15)=2,E14*E15,"")</x:f>
      </x:c>
      <x:c r="F16" s="131" t="n">
        <x:f>F14*F15</x:f>
        <x:v>60000</x:v>
      </x:c>
      <x:c r="G16" s="134" t="n">
        <x:f>G14*G15</x:f>
        <x:v>60000</x:v>
      </x:c>
      <x:c r="H16" s="133" t="str">
        <x:f>IF(COUNT(H14,H15)=2,H14*H15,"")</x:f>
      </x:c>
      <x:c r="I16" s="131" t="n">
        <x:f>I14*I15</x:f>
        <x:v>60000</x:v>
      </x:c>
      <x:c r="J16" s="134" t="n">
        <x:f>J14*J15</x:f>
        <x:v>60000</x:v>
      </x:c>
      <x:c r="K16" s="133" t="str">
        <x:f>IF(COUNT(K14,K15)=2,K14*K15,"")</x:f>
      </x:c>
      <x:c r="L16" s="131" t="n">
        <x:f>L14*L15</x:f>
        <x:v>60000</x:v>
      </x:c>
      <x:c r="M16" s="134" t="n">
        <x:f>M14*M15</x:f>
        <x:v>60000</x:v>
      </x:c>
      <x:c r="N16" s="133" t="str">
        <x:f>IF(COUNT(N14,N15)=2,N14*N15,"")</x:f>
      </x:c>
      <x:c r="O16" s="131" t="n">
        <x:f>O14*O15</x:f>
        <x:v>60000</x:v>
      </x:c>
      <x:c r="P16" s="134" t="n">
        <x:f>P14*P15</x:f>
        <x:v>60000</x:v>
      </x:c>
      <x:c r="Q16" s="133" t="str">
        <x:f>IF(COUNT(Q14,Q15)=2,Q14*Q15,"")</x:f>
      </x:c>
      <x:c r="R16" s="131" t="n">
        <x:f>R14*R15</x:f>
        <x:v>55000</x:v>
      </x:c>
      <x:c r="S16" s="134" t="n">
        <x:f>S14*S15</x:f>
        <x:v>55000</x:v>
      </x:c>
      <x:c r="T16" s="133" t="str">
        <x:f>IF(COUNT(T14,T15)=2,T14*T15,"")</x:f>
      </x:c>
      <x:c r="U16" s="131" t="n">
        <x:f>U14*U15</x:f>
        <x:v>55000</x:v>
      </x:c>
      <x:c r="V16" s="134" t="n">
        <x:f>V14*V15</x:f>
        <x:v>55000</x:v>
      </x:c>
      <x:c r="W16" s="133" t="str">
        <x:f>IF(COUNT(W14,W15)=2,W14*W15,"")</x:f>
      </x:c>
      <x:c r="X16" s="131" t="n">
        <x:f>X14*X15</x:f>
        <x:v>55000</x:v>
      </x:c>
      <x:c r="Y16" s="134" t="n">
        <x:f>Y14*Y15</x:f>
        <x:v>55000</x:v>
      </x:c>
      <x:c r="Z16" s="133" t="str">
        <x:f>IF(COUNT(Z14,Z15)=2,Z14*Z15,"")</x:f>
      </x:c>
      <x:c r="AA16" s="131" t="n">
        <x:f>AA14*AA15</x:f>
        <x:v>55000</x:v>
      </x:c>
      <x:c r="AB16" s="134" t="n">
        <x:f>AB14*AB15</x:f>
        <x:v>55000</x:v>
      </x:c>
      <x:c r="AC16" s="133" t="str">
        <x:f>IF(COUNT(AC14,AC15)=2,AC14*AC15,"")</x:f>
      </x:c>
      <x:c r="AD16" s="131" t="n">
        <x:f>AD14*AD15</x:f>
        <x:v>50000</x:v>
      </x:c>
      <x:c r="AE16" s="134" t="n">
        <x:f>AE14*AE15</x:f>
        <x:v>50000</x:v>
      </x:c>
      <x:c r="AF16" s="133" t="n">
        <x:f>IF(COUNT(AF14,AF15)=2,AF14*AF15,"")</x:f>
        <x:v>40000</x:v>
      </x:c>
      <x:c r="AG16" s="131" t="n">
        <x:f>AG14*AG15</x:f>
        <x:v>40000</x:v>
      </x:c>
      <x:c r="AH16" s="134" t="n">
        <x:f>AH14*AH15</x:f>
        <x:v>50000</x:v>
      </x:c>
      <x:c r="AI16" s="133" t="n">
        <x:f>IF(COUNT(AI14,AI15)=2,AI14*AI15,"")</x:f>
        <x:v>35000</x:v>
      </x:c>
      <x:c r="AJ16" s="131" t="n">
        <x:f>AJ14*AJ15</x:f>
        <x:v>35000</x:v>
      </x:c>
      <x:c r="AK16" s="134" t="n">
        <x:f>AK14*AK15</x:f>
        <x:v>50000</x:v>
      </x:c>
    </x:row>
    <x:row r="17" ht="22" customHeight="1">
      <x:c r="A17" s="116"/>
      <x:c r="B17" s="127"/>
      <x:c r="C17" s="128"/>
      <x:c r="D17" s="129"/>
      <x:c r="E17" s="127"/>
      <x:c r="F17" s="128"/>
      <x:c r="G17" s="129"/>
      <x:c r="H17" s="127"/>
      <x:c r="I17" s="128"/>
      <x:c r="J17" s="129"/>
      <x:c r="K17" s="127"/>
      <x:c r="L17" s="128"/>
      <x:c r="M17" s="129"/>
      <x:c r="N17" s="127"/>
      <x:c r="O17" s="128"/>
      <x:c r="P17" s="129"/>
      <x:c r="Q17" s="127"/>
      <x:c r="R17" s="128"/>
      <x:c r="S17" s="129"/>
      <x:c r="T17" s="127"/>
      <x:c r="U17" s="128"/>
      <x:c r="V17" s="129"/>
      <x:c r="W17" s="127"/>
      <x:c r="X17" s="128"/>
      <x:c r="Y17" s="129"/>
      <x:c r="Z17" s="127"/>
      <x:c r="AA17" s="128"/>
      <x:c r="AB17" s="129"/>
      <x:c r="AC17" s="127"/>
      <x:c r="AD17" s="128"/>
      <x:c r="AE17" s="129"/>
      <x:c r="AF17" s="127"/>
      <x:c r="AG17" s="128"/>
      <x:c r="AH17" s="129"/>
      <x:c r="AI17" s="127"/>
      <x:c r="AJ17" s="128"/>
      <x:c r="AK17" s="129"/>
    </x:row>
    <x:row r="18" ht="22" customHeight="1">
      <x:c r="A18" s="38" t="str">
        <x:v>DELIVERY FLOW</x:v>
      </x:c>
      <x:c r="B18" s="57" t="str">
        <x:v>DELIVERY FLOW</x:v>
      </x:c>
      <x:c r="C18" s="58" t="str">
        <x:v>DELIVERY FLOW</x:v>
      </x:c>
      <x:c r="D18" s="59" t="str">
        <x:v>DELIVERY FLOW</x:v>
      </x:c>
      <x:c r="E18" s="57" t="str">
        <x:v>DELIVERY FLOW</x:v>
      </x:c>
      <x:c r="F18" s="58" t="str">
        <x:v>DELIVERY FLOW</x:v>
      </x:c>
      <x:c r="G18" s="59" t="str">
        <x:v>DELIVERY FLOW</x:v>
      </x:c>
      <x:c r="H18" s="57" t="str">
        <x:v>DELIVERY FLOW</x:v>
      </x:c>
      <x:c r="I18" s="58" t="str">
        <x:v>DELIVERY FLOW</x:v>
      </x:c>
      <x:c r="J18" s="59" t="str">
        <x:v>DELIVERY FLOW</x:v>
      </x:c>
      <x:c r="K18" s="57" t="str">
        <x:v>DELIVERY FLOW</x:v>
      </x:c>
      <x:c r="L18" s="58" t="str">
        <x:v>DELIVERY FLOW</x:v>
      </x:c>
      <x:c r="M18" s="59" t="str">
        <x:v>DELIVERY FLOW</x:v>
      </x:c>
      <x:c r="N18" s="57" t="str">
        <x:v>DELIVERY FLOW</x:v>
      </x:c>
      <x:c r="O18" s="58" t="str">
        <x:v>DELIVERY FLOW</x:v>
      </x:c>
      <x:c r="P18" s="59" t="str">
        <x:v>DELIVERY FLOW</x:v>
      </x:c>
      <x:c r="Q18" s="57" t="str">
        <x:v>DELIVERY FLOW</x:v>
      </x:c>
      <x:c r="R18" s="58" t="str">
        <x:v>DELIVERY FLOW</x:v>
      </x:c>
      <x:c r="S18" s="59" t="str">
        <x:v>DELIVERY FLOW</x:v>
      </x:c>
      <x:c r="T18" s="57" t="str">
        <x:v>DELIVERY FLOW</x:v>
      </x:c>
      <x:c r="U18" s="58" t="str">
        <x:v>DELIVERY FLOW</x:v>
      </x:c>
      <x:c r="V18" s="59" t="str">
        <x:v>DELIVERY FLOW</x:v>
      </x:c>
      <x:c r="W18" s="57" t="str">
        <x:v>DELIVERY FLOW</x:v>
      </x:c>
      <x:c r="X18" s="58" t="str">
        <x:v>DELIVERY FLOW</x:v>
      </x:c>
      <x:c r="Y18" s="59" t="str">
        <x:v>DELIVERY FLOW</x:v>
      </x:c>
      <x:c r="Z18" s="57" t="str">
        <x:v>DELIVERY FLOW</x:v>
      </x:c>
      <x:c r="AA18" s="58" t="str">
        <x:v>DELIVERY FLOW</x:v>
      </x:c>
      <x:c r="AB18" s="59" t="str">
        <x:v>DELIVERY FLOW</x:v>
      </x:c>
      <x:c r="AC18" s="57" t="str">
        <x:v>DELIVERY FLOW</x:v>
      </x:c>
      <x:c r="AD18" s="58" t="str">
        <x:v>DELIVERY FLOW</x:v>
      </x:c>
      <x:c r="AE18" s="59" t="str">
        <x:v>DELIVERY FLOW</x:v>
      </x:c>
      <x:c r="AF18" s="57" t="str">
        <x:v>DELIVERY FLOW</x:v>
      </x:c>
      <x:c r="AG18" s="58" t="str">
        <x:v>DELIVERY FLOW</x:v>
      </x:c>
      <x:c r="AH18" s="59" t="str">
        <x:v>DELIVERY FLOW</x:v>
      </x:c>
      <x:c r="AI18" s="57" t="str">
        <x:v>DELIVERY FLOW</x:v>
      </x:c>
      <x:c r="AJ18" s="58" t="str">
        <x:v>DELIVERY FLOW</x:v>
      </x:c>
      <x:c r="AK18" s="59" t="str">
        <x:v>DELIVERY FLOW</x:v>
      </x:c>
    </x:row>
    <x:row r="19" ht="22" customHeight="1">
      <x:c r="A19" s="116" t="str">
        <x:v>Delivery timing in months</x:v>
      </x:c>
      <x:c r="B19" s="120"/>
      <x:c r="C19" s="121" t="n">
        <x:f>IF(B19&lt;&gt;"",B19,D19)</x:f>
        <x:v>1</x:v>
      </x:c>
      <x:c r="D19" s="122" t="n">
        <x:v>1</x:v>
      </x:c>
      <x:c r="E19" s="120"/>
      <x:c r="F19" s="121" t="n">
        <x:f>IF(E19&lt;&gt;"",E19,G19)</x:f>
        <x:v>1</x:v>
      </x:c>
      <x:c r="G19" s="122" t="n">
        <x:v>1</x:v>
      </x:c>
      <x:c r="H19" s="120"/>
      <x:c r="I19" s="121" t="n">
        <x:f>IF(H19&lt;&gt;"",H19,J19)</x:f>
        <x:v>1</x:v>
      </x:c>
      <x:c r="J19" s="122" t="n">
        <x:v>1</x:v>
      </x:c>
      <x:c r="K19" s="120"/>
      <x:c r="L19" s="121" t="n">
        <x:f>IF(K19&lt;&gt;"",K19,M19)</x:f>
        <x:v>1</x:v>
      </x:c>
      <x:c r="M19" s="122" t="n">
        <x:v>1</x:v>
      </x:c>
      <x:c r="N19" s="120"/>
      <x:c r="O19" s="121" t="n">
        <x:f>IF(N19&lt;&gt;"",N19,P19)</x:f>
        <x:v>1</x:v>
      </x:c>
      <x:c r="P19" s="122" t="n">
        <x:v>1</x:v>
      </x:c>
      <x:c r="Q19" s="120"/>
      <x:c r="R19" s="121" t="n">
        <x:f>IF(Q19&lt;&gt;"",Q19,S19)</x:f>
        <x:v>1</x:v>
      </x:c>
      <x:c r="S19" s="122" t="n">
        <x:v>1</x:v>
      </x:c>
      <x:c r="T19" s="120"/>
      <x:c r="U19" s="121" t="n">
        <x:f>IF(T19&lt;&gt;"",T19,V19)</x:f>
        <x:v>1</x:v>
      </x:c>
      <x:c r="V19" s="122" t="n">
        <x:v>1</x:v>
      </x:c>
      <x:c r="W19" s="120"/>
      <x:c r="X19" s="121" t="n">
        <x:f>IF(W19&lt;&gt;"",W19,Y19)</x:f>
        <x:v>1</x:v>
      </x:c>
      <x:c r="Y19" s="122" t="n">
        <x:v>1</x:v>
      </x:c>
      <x:c r="Z19" s="120"/>
      <x:c r="AA19" s="121" t="n">
        <x:f>IF(Z19&lt;&gt;"",Z19,AB19)</x:f>
        <x:v>1</x:v>
      </x:c>
      <x:c r="AB19" s="122" t="n">
        <x:v>1</x:v>
      </x:c>
      <x:c r="AC19" s="120"/>
      <x:c r="AD19" s="121" t="n">
        <x:f>IF(AC19&lt;&gt;"",AC19,AE19)</x:f>
        <x:v>1</x:v>
      </x:c>
      <x:c r="AE19" s="122" t="n">
        <x:v>1</x:v>
      </x:c>
      <x:c r="AF19" s="120" t="n">
        <x:v>1</x:v>
      </x:c>
      <x:c r="AG19" s="121" t="n">
        <x:f>IF(AF19&lt;&gt;"",AF19,AH19)</x:f>
        <x:v>1</x:v>
      </x:c>
      <x:c r="AH19" s="122" t="n">
        <x:v>1</x:v>
      </x:c>
      <x:c r="AI19" s="120" t="n">
        <x:v>1</x:v>
      </x:c>
      <x:c r="AJ19" s="121" t="n">
        <x:f>IF(AI19&lt;&gt;"",AI19,AK19)</x:f>
        <x:v>1</x:v>
      </x:c>
      <x:c r="AK19" s="122" t="n">
        <x:v>1</x:v>
      </x:c>
    </x:row>
    <x:row r="20" ht="22" customHeight="1">
      <x:c r="A20" s="116" t="str">
        <x:v>Resources available</x:v>
      </x:c>
      <x:c r="B20" s="117"/>
      <x:c r="C20" s="118" t="n">
        <x:f>IF(B20&lt;&gt;"",B20,D20)</x:f>
        <x:v>3</x:v>
      </x:c>
      <x:c r="D20" s="119" t="n">
        <x:v>3</x:v>
      </x:c>
      <x:c r="E20" s="117"/>
      <x:c r="F20" s="118" t="n">
        <x:f>IF(E20&lt;&gt;"",E20,G20)</x:f>
        <x:v>3</x:v>
      </x:c>
      <x:c r="G20" s="119" t="n">
        <x:v>3</x:v>
      </x:c>
      <x:c r="H20" s="117"/>
      <x:c r="I20" s="118" t="n">
        <x:f>IF(H20&lt;&gt;"",H20,J20)</x:f>
        <x:v>3</x:v>
      </x:c>
      <x:c r="J20" s="119" t="n">
        <x:v>3</x:v>
      </x:c>
      <x:c r="K20" s="117"/>
      <x:c r="L20" s="118" t="n">
        <x:f>IF(K20&lt;&gt;"",K20,M20)</x:f>
        <x:v>3</x:v>
      </x:c>
      <x:c r="M20" s="119" t="n">
        <x:v>3</x:v>
      </x:c>
      <x:c r="N20" s="117"/>
      <x:c r="O20" s="118" t="n">
        <x:f>IF(N20&lt;&gt;"",N20,P20)</x:f>
        <x:v>3</x:v>
      </x:c>
      <x:c r="P20" s="119" t="n">
        <x:v>3</x:v>
      </x:c>
      <x:c r="Q20" s="117"/>
      <x:c r="R20" s="118" t="n">
        <x:f>IF(Q20&lt;&gt;"",Q20,S20)</x:f>
        <x:v>3</x:v>
      </x:c>
      <x:c r="S20" s="119" t="n">
        <x:v>3</x:v>
      </x:c>
      <x:c r="T20" s="117"/>
      <x:c r="U20" s="118" t="n">
        <x:f>IF(T20&lt;&gt;"",T20,V20)</x:f>
        <x:v>3</x:v>
      </x:c>
      <x:c r="V20" s="119" t="n">
        <x:v>3</x:v>
      </x:c>
      <x:c r="W20" s="117"/>
      <x:c r="X20" s="118" t="n">
        <x:f>IF(W20&lt;&gt;"",W20,Y20)</x:f>
        <x:v>3</x:v>
      </x:c>
      <x:c r="Y20" s="119" t="n">
        <x:v>3</x:v>
      </x:c>
      <x:c r="Z20" s="117"/>
      <x:c r="AA20" s="118" t="n">
        <x:f>IF(Z20&lt;&gt;"",Z20,AB20)</x:f>
        <x:v>3</x:v>
      </x:c>
      <x:c r="AB20" s="119" t="n">
        <x:v>3</x:v>
      </x:c>
      <x:c r="AC20" s="117"/>
      <x:c r="AD20" s="118" t="n">
        <x:f>IF(AC20&lt;&gt;"",AC20,AE20)</x:f>
        <x:v>3</x:v>
      </x:c>
      <x:c r="AE20" s="119" t="n">
        <x:v>3</x:v>
      </x:c>
      <x:c r="AF20" s="117" t="n">
        <x:v>3</x:v>
      </x:c>
      <x:c r="AG20" s="118" t="n">
        <x:f>IF(AF20&lt;&gt;"",AF20,AH20)</x:f>
        <x:v>3</x:v>
      </x:c>
      <x:c r="AH20" s="119" t="n">
        <x:v>3</x:v>
      </x:c>
      <x:c r="AI20" s="117" t="n">
        <x:v>3</x:v>
      </x:c>
      <x:c r="AJ20" s="118" t="n">
        <x:f>IF(AI20&lt;&gt;"",AI20,AK20)</x:f>
        <x:v>3</x:v>
      </x:c>
      <x:c r="AK20" s="119" t="n">
        <x:v>3</x:v>
      </x:c>
    </x:row>
    <x:row r="21" ht="22" customHeight="1">
      <x:c r="A21" s="116" t="str">
        <x:v>Completed work per resource</x:v>
      </x:c>
      <x:c r="B21" s="117"/>
      <x:c r="C21" s="118" t="n">
        <x:f>IF(B21&lt;&gt;"",B21,D21)</x:f>
        <x:v>8</x:v>
      </x:c>
      <x:c r="D21" s="119" t="n">
        <x:v>8</x:v>
      </x:c>
      <x:c r="E21" s="117"/>
      <x:c r="F21" s="118" t="n">
        <x:f>IF(E21&lt;&gt;"",E21,G21)</x:f>
        <x:v>8</x:v>
      </x:c>
      <x:c r="G21" s="119" t="n">
        <x:v>8</x:v>
      </x:c>
      <x:c r="H21" s="117"/>
      <x:c r="I21" s="118" t="n">
        <x:f>IF(H21&lt;&gt;"",H21,J21)</x:f>
        <x:v>8</x:v>
      </x:c>
      <x:c r="J21" s="119" t="n">
        <x:v>8</x:v>
      </x:c>
      <x:c r="K21" s="117"/>
      <x:c r="L21" s="118" t="n">
        <x:f>IF(K21&lt;&gt;"",K21,M21)</x:f>
        <x:v>8</x:v>
      </x:c>
      <x:c r="M21" s="119" t="n">
        <x:v>8</x:v>
      </x:c>
      <x:c r="N21" s="117"/>
      <x:c r="O21" s="118" t="n">
        <x:f>IF(N21&lt;&gt;"",N21,P21)</x:f>
        <x:v>8</x:v>
      </x:c>
      <x:c r="P21" s="119" t="n">
        <x:v>8</x:v>
      </x:c>
      <x:c r="Q21" s="117"/>
      <x:c r="R21" s="118" t="n">
        <x:f>IF(Q21&lt;&gt;"",Q21,S21)</x:f>
        <x:v>8</x:v>
      </x:c>
      <x:c r="S21" s="119" t="n">
        <x:v>8</x:v>
      </x:c>
      <x:c r="T21" s="117"/>
      <x:c r="U21" s="118" t="n">
        <x:f>IF(T21&lt;&gt;"",T21,V21)</x:f>
        <x:v>8</x:v>
      </x:c>
      <x:c r="V21" s="119" t="n">
        <x:v>8</x:v>
      </x:c>
      <x:c r="W21" s="117"/>
      <x:c r="X21" s="118" t="n">
        <x:f>IF(W21&lt;&gt;"",W21,Y21)</x:f>
        <x:v>8</x:v>
      </x:c>
      <x:c r="Y21" s="119" t="n">
        <x:v>8</x:v>
      </x:c>
      <x:c r="Z21" s="117"/>
      <x:c r="AA21" s="118" t="n">
        <x:f>IF(Z21&lt;&gt;"",Z21,AB21)</x:f>
        <x:v>8</x:v>
      </x:c>
      <x:c r="AB21" s="119" t="n">
        <x:v>8</x:v>
      </x:c>
      <x:c r="AC21" s="117"/>
      <x:c r="AD21" s="118" t="n">
        <x:f>IF(AC21&lt;&gt;"",AC21,AE21)</x:f>
        <x:v>8</x:v>
      </x:c>
      <x:c r="AE21" s="119" t="n">
        <x:v>8</x:v>
      </x:c>
      <x:c r="AF21" s="117" t="n">
        <x:v>8</x:v>
      </x:c>
      <x:c r="AG21" s="118" t="n">
        <x:f>IF(AF21&lt;&gt;"",AF21,AH21)</x:f>
        <x:v>8</x:v>
      </x:c>
      <x:c r="AH21" s="119" t="n">
        <x:v>8</x:v>
      </x:c>
      <x:c r="AI21" s="117" t="n">
        <x:v>8</x:v>
      </x:c>
      <x:c r="AJ21" s="118" t="n">
        <x:f>IF(AI21&lt;&gt;"",AI21,AK21)</x:f>
        <x:v>8</x:v>
      </x:c>
      <x:c r="AK21" s="119" t="n">
        <x:v>8</x:v>
      </x:c>
    </x:row>
    <x:row r="22" ht="22" customHeight="1">
      <x:c r="A22" s="116" t="str">
        <x:v>Average direct resource cost per month</x:v>
      </x:c>
      <x:c r="B22" s="130"/>
      <x:c r="C22" s="131" t="n">
        <x:f>IF(B22&lt;&gt;"",B22,D22)</x:f>
        <x:v>12000</x:v>
      </x:c>
      <x:c r="D22" s="132" t="n">
        <x:v>12000</x:v>
      </x:c>
      <x:c r="E22" s="130"/>
      <x:c r="F22" s="131" t="n">
        <x:f>IF(E22&lt;&gt;"",E22,G22)</x:f>
        <x:v>12000</x:v>
      </x:c>
      <x:c r="G22" s="132" t="n">
        <x:v>12000</x:v>
      </x:c>
      <x:c r="H22" s="130"/>
      <x:c r="I22" s="131" t="n">
        <x:f>IF(H22&lt;&gt;"",H22,J22)</x:f>
        <x:v>12000</x:v>
      </x:c>
      <x:c r="J22" s="132" t="n">
        <x:v>12000</x:v>
      </x:c>
      <x:c r="K22" s="130"/>
      <x:c r="L22" s="131" t="n">
        <x:f>IF(K22&lt;&gt;"",K22,M22)</x:f>
        <x:v>12000</x:v>
      </x:c>
      <x:c r="M22" s="132" t="n">
        <x:v>12000</x:v>
      </x:c>
      <x:c r="N22" s="130"/>
      <x:c r="O22" s="131" t="n">
        <x:f>IF(N22&lt;&gt;"",N22,P22)</x:f>
        <x:v>12000</x:v>
      </x:c>
      <x:c r="P22" s="132" t="n">
        <x:v>12000</x:v>
      </x:c>
      <x:c r="Q22" s="130"/>
      <x:c r="R22" s="131" t="n">
        <x:f>IF(Q22&lt;&gt;"",Q22,S22)</x:f>
        <x:v>12000</x:v>
      </x:c>
      <x:c r="S22" s="132" t="n">
        <x:v>12000</x:v>
      </x:c>
      <x:c r="T22" s="130"/>
      <x:c r="U22" s="131" t="n">
        <x:f>IF(T22&lt;&gt;"",T22,V22)</x:f>
        <x:v>12000</x:v>
      </x:c>
      <x:c r="V22" s="132" t="n">
        <x:v>12000</x:v>
      </x:c>
      <x:c r="W22" s="130"/>
      <x:c r="X22" s="131" t="n">
        <x:f>IF(W22&lt;&gt;"",W22,Y22)</x:f>
        <x:v>12000</x:v>
      </x:c>
      <x:c r="Y22" s="132" t="n">
        <x:v>12000</x:v>
      </x:c>
      <x:c r="Z22" s="130"/>
      <x:c r="AA22" s="131" t="n">
        <x:f>IF(Z22&lt;&gt;"",Z22,AB22)</x:f>
        <x:v>12000</x:v>
      </x:c>
      <x:c r="AB22" s="132" t="n">
        <x:v>12000</x:v>
      </x:c>
      <x:c r="AC22" s="130"/>
      <x:c r="AD22" s="131" t="n">
        <x:f>IF(AC22&lt;&gt;"",AC22,AE22)</x:f>
        <x:v>12000</x:v>
      </x:c>
      <x:c r="AE22" s="132" t="n">
        <x:v>12000</x:v>
      </x:c>
      <x:c r="AF22" s="130" t="n">
        <x:v>12000</x:v>
      </x:c>
      <x:c r="AG22" s="131" t="n">
        <x:f>IF(AF22&lt;&gt;"",AF22,AH22)</x:f>
        <x:v>12000</x:v>
      </x:c>
      <x:c r="AH22" s="132" t="n">
        <x:v>12000</x:v>
      </x:c>
      <x:c r="AI22" s="130" t="n">
        <x:v>12000</x:v>
      </x:c>
      <x:c r="AJ22" s="131" t="n">
        <x:f>IF(AI22&lt;&gt;"",AI22,AK22)</x:f>
        <x:v>12000</x:v>
      </x:c>
      <x:c r="AK22" s="132" t="n">
        <x:v>12000</x:v>
      </x:c>
    </x:row>
    <x:row r="23" ht="22" customHeight="1">
      <x:c r="A23" s="116" t="str">
        <x:v>Variable direct cost per completed work</x:v>
      </x:c>
      <x:c r="B23" s="130"/>
      <x:c r="C23" s="131" t="n">
        <x:f>IF(B23&lt;&gt;"",B23,D23)</x:f>
        <x:v>1000</x:v>
      </x:c>
      <x:c r="D23" s="132" t="n">
        <x:v>1000</x:v>
      </x:c>
      <x:c r="E23" s="130"/>
      <x:c r="F23" s="131" t="n">
        <x:f>IF(E23&lt;&gt;"",E23,G23)</x:f>
        <x:v>1000</x:v>
      </x:c>
      <x:c r="G23" s="132" t="n">
        <x:v>1000</x:v>
      </x:c>
      <x:c r="H23" s="130"/>
      <x:c r="I23" s="131" t="n">
        <x:f>IF(H23&lt;&gt;"",H23,J23)</x:f>
        <x:v>1000</x:v>
      </x:c>
      <x:c r="J23" s="132" t="n">
        <x:v>1000</x:v>
      </x:c>
      <x:c r="K23" s="130"/>
      <x:c r="L23" s="131" t="n">
        <x:f>IF(K23&lt;&gt;"",K23,M23)</x:f>
        <x:v>1000</x:v>
      </x:c>
      <x:c r="M23" s="132" t="n">
        <x:v>1000</x:v>
      </x:c>
      <x:c r="N23" s="130"/>
      <x:c r="O23" s="131" t="n">
        <x:f>IF(N23&lt;&gt;"",N23,P23)</x:f>
        <x:v>1000</x:v>
      </x:c>
      <x:c r="P23" s="132" t="n">
        <x:v>1000</x:v>
      </x:c>
      <x:c r="Q23" s="130"/>
      <x:c r="R23" s="131" t="n">
        <x:f>IF(Q23&lt;&gt;"",Q23,S23)</x:f>
        <x:v>1000</x:v>
      </x:c>
      <x:c r="S23" s="132" t="n">
        <x:v>1000</x:v>
      </x:c>
      <x:c r="T23" s="130"/>
      <x:c r="U23" s="131" t="n">
        <x:f>IF(T23&lt;&gt;"",T23,V23)</x:f>
        <x:v>1000</x:v>
      </x:c>
      <x:c r="V23" s="132" t="n">
        <x:v>1000</x:v>
      </x:c>
      <x:c r="W23" s="130"/>
      <x:c r="X23" s="131" t="n">
        <x:f>IF(W23&lt;&gt;"",W23,Y23)</x:f>
        <x:v>1000</x:v>
      </x:c>
      <x:c r="Y23" s="132" t="n">
        <x:v>1000</x:v>
      </x:c>
      <x:c r="Z23" s="130"/>
      <x:c r="AA23" s="131" t="n">
        <x:f>IF(Z23&lt;&gt;"",Z23,AB23)</x:f>
        <x:v>1000</x:v>
      </x:c>
      <x:c r="AB23" s="132" t="n">
        <x:v>1000</x:v>
      </x:c>
      <x:c r="AC23" s="130"/>
      <x:c r="AD23" s="131" t="n">
        <x:f>IF(AC23&lt;&gt;"",AC23,AE23)</x:f>
        <x:v>1000</x:v>
      </x:c>
      <x:c r="AE23" s="132" t="n">
        <x:v>1000</x:v>
      </x:c>
      <x:c r="AF23" s="130" t="n">
        <x:v>1000</x:v>
      </x:c>
      <x:c r="AG23" s="131" t="n">
        <x:f>IF(AF23&lt;&gt;"",AF23,AH23)</x:f>
        <x:v>1000</x:v>
      </x:c>
      <x:c r="AH23" s="132" t="n">
        <x:v>1000</x:v>
      </x:c>
      <x:c r="AI23" s="130" t="n">
        <x:v>1000</x:v>
      </x:c>
      <x:c r="AJ23" s="131" t="n">
        <x:f>IF(AI23&lt;&gt;"",AI23,AK23)</x:f>
        <x:v>1000</x:v>
      </x:c>
      <x:c r="AK23" s="132" t="n">
        <x:v>1000</x:v>
      </x:c>
    </x:row>
    <x:row r="24" ht="22" customHeight="1">
      <x:c r="A24" s="116" t="str">
        <x:v>Delivery capacity</x:v>
      </x:c>
      <x:c r="B24" s="135" t="str">
        <x:f>IF(COUNT(B20,B21)=2,B20*B21,"")</x:f>
      </x:c>
      <x:c r="C24" s="118" t="n">
        <x:f>C20*C21</x:f>
        <x:v>24</x:v>
      </x:c>
      <x:c r="D24" s="126" t="n">
        <x:f>D20*D21</x:f>
        <x:v>24</x:v>
      </x:c>
      <x:c r="E24" s="135" t="str">
        <x:f>IF(COUNT(E20,E21)=2,E20*E21,"")</x:f>
      </x:c>
      <x:c r="F24" s="118" t="n">
        <x:f>F20*F21</x:f>
        <x:v>24</x:v>
      </x:c>
      <x:c r="G24" s="126" t="n">
        <x:f>G20*G21</x:f>
        <x:v>24</x:v>
      </x:c>
      <x:c r="H24" s="135" t="str">
        <x:f>IF(COUNT(H20,H21)=2,H20*H21,"")</x:f>
      </x:c>
      <x:c r="I24" s="118" t="n">
        <x:f>I20*I21</x:f>
        <x:v>24</x:v>
      </x:c>
      <x:c r="J24" s="126" t="n">
        <x:f>J20*J21</x:f>
        <x:v>24</x:v>
      </x:c>
      <x:c r="K24" s="135" t="str">
        <x:f>IF(COUNT(K20,K21)=2,K20*K21,"")</x:f>
      </x:c>
      <x:c r="L24" s="118" t="n">
        <x:f>L20*L21</x:f>
        <x:v>24</x:v>
      </x:c>
      <x:c r="M24" s="126" t="n">
        <x:f>M20*M21</x:f>
        <x:v>24</x:v>
      </x:c>
      <x:c r="N24" s="135" t="str">
        <x:f>IF(COUNT(N20,N21)=2,N20*N21,"")</x:f>
      </x:c>
      <x:c r="O24" s="118" t="n">
        <x:f>O20*O21</x:f>
        <x:v>24</x:v>
      </x:c>
      <x:c r="P24" s="126" t="n">
        <x:f>P20*P21</x:f>
        <x:v>24</x:v>
      </x:c>
      <x:c r="Q24" s="135" t="str">
        <x:f>IF(COUNT(Q20,Q21)=2,Q20*Q21,"")</x:f>
      </x:c>
      <x:c r="R24" s="118" t="n">
        <x:f>R20*R21</x:f>
        <x:v>24</x:v>
      </x:c>
      <x:c r="S24" s="126" t="n">
        <x:f>S20*S21</x:f>
        <x:v>24</x:v>
      </x:c>
      <x:c r="T24" s="135" t="str">
        <x:f>IF(COUNT(T20,T21)=2,T20*T21,"")</x:f>
      </x:c>
      <x:c r="U24" s="118" t="n">
        <x:f>U20*U21</x:f>
        <x:v>24</x:v>
      </x:c>
      <x:c r="V24" s="126" t="n">
        <x:f>V20*V21</x:f>
        <x:v>24</x:v>
      </x:c>
      <x:c r="W24" s="135" t="str">
        <x:f>IF(COUNT(W20,W21)=2,W20*W21,"")</x:f>
      </x:c>
      <x:c r="X24" s="118" t="n">
        <x:f>X20*X21</x:f>
        <x:v>24</x:v>
      </x:c>
      <x:c r="Y24" s="126" t="n">
        <x:f>Y20*Y21</x:f>
        <x:v>24</x:v>
      </x:c>
      <x:c r="Z24" s="135" t="str">
        <x:f>IF(COUNT(Z20,Z21)=2,Z20*Z21,"")</x:f>
      </x:c>
      <x:c r="AA24" s="118" t="n">
        <x:f>AA20*AA21</x:f>
        <x:v>24</x:v>
      </x:c>
      <x:c r="AB24" s="126" t="n">
        <x:f>AB20*AB21</x:f>
        <x:v>24</x:v>
      </x:c>
      <x:c r="AC24" s="135" t="str">
        <x:f>IF(COUNT(AC20,AC21)=2,AC20*AC21,"")</x:f>
      </x:c>
      <x:c r="AD24" s="118" t="n">
        <x:f>AD20*AD21</x:f>
        <x:v>24</x:v>
      </x:c>
      <x:c r="AE24" s="126" t="n">
        <x:f>AE20*AE21</x:f>
        <x:v>24</x:v>
      </x:c>
      <x:c r="AF24" s="135" t="n">
        <x:f>IF(COUNT(AF20,AF21)=2,AF20*AF21,"")</x:f>
        <x:v>24</x:v>
      </x:c>
      <x:c r="AG24" s="118" t="n">
        <x:f>AG20*AG21</x:f>
        <x:v>24</x:v>
      </x:c>
      <x:c r="AH24" s="126" t="n">
        <x:f>AH20*AH21</x:f>
        <x:v>24</x:v>
      </x:c>
      <x:c r="AI24" s="135" t="n">
        <x:f>IF(COUNT(AI20,AI21)=2,AI20*AI21,"")</x:f>
        <x:v>24</x:v>
      </x:c>
      <x:c r="AJ24" s="118" t="n">
        <x:f>AJ20*AJ21</x:f>
        <x:v>24</x:v>
      </x:c>
      <x:c r="AK24" s="126" t="n">
        <x:f>AK20*AK21</x:f>
        <x:v>24</x:v>
      </x:c>
    </x:row>
    <x:row r="25" ht="22" customHeight="1">
      <x:c r="A25" s="116" t="str">
        <x:v>Opening delivery backlog</x:v>
      </x:c>
      <x:c r="B25" s="135" t="str">
        <x:f>IF(E28&lt;&gt;"",E28,"")</x:f>
      </x:c>
      <x:c r="C25" s="118" t="n">
        <x:f>IF(E28&lt;&gt;"",E28,F28)</x:f>
        <x:v>0</x:v>
      </x:c>
      <x:c r="D25" s="126" t="n">
        <x:f>G28</x:f>
        <x:v>0</x:v>
      </x:c>
      <x:c r="E25" s="135" t="str">
        <x:f>IF(H28&lt;&gt;"",H28,"")</x:f>
      </x:c>
      <x:c r="F25" s="118" t="n">
        <x:f>IF(H28&lt;&gt;"",H28,I28)</x:f>
        <x:v>0</x:v>
      </x:c>
      <x:c r="G25" s="126" t="n">
        <x:f>J28</x:f>
        <x:v>0</x:v>
      </x:c>
      <x:c r="H25" s="135" t="str">
        <x:f>IF(K28&lt;&gt;"",K28,"")</x:f>
      </x:c>
      <x:c r="I25" s="118" t="n">
        <x:f>IF(K28&lt;&gt;"",K28,L28)</x:f>
        <x:v>0</x:v>
      </x:c>
      <x:c r="J25" s="126" t="n">
        <x:f>M28</x:f>
        <x:v>0</x:v>
      </x:c>
      <x:c r="K25" s="135" t="str">
        <x:f>IF(N28&lt;&gt;"",N28,"")</x:f>
      </x:c>
      <x:c r="L25" s="118" t="n">
        <x:f>IF(N28&lt;&gt;"",N28,O28)</x:f>
        <x:v>0</x:v>
      </x:c>
      <x:c r="M25" s="126" t="n">
        <x:f>P28</x:f>
        <x:v>0</x:v>
      </x:c>
      <x:c r="N25" s="135" t="str">
        <x:f>IF(Q28&lt;&gt;"",Q28,"")</x:f>
      </x:c>
      <x:c r="O25" s="118" t="n">
        <x:f>IF(Q28&lt;&gt;"",Q28,R28)</x:f>
        <x:v>0</x:v>
      </x:c>
      <x:c r="P25" s="126" t="n">
        <x:f>S28</x:f>
        <x:v>0</x:v>
      </x:c>
      <x:c r="Q25" s="135" t="str">
        <x:f>IF(T28&lt;&gt;"",T28,"")</x:f>
      </x:c>
      <x:c r="R25" s="118" t="n">
        <x:f>IF(T28&lt;&gt;"",T28,U28)</x:f>
        <x:v>0</x:v>
      </x:c>
      <x:c r="S25" s="126" t="n">
        <x:f>V28</x:f>
        <x:v>0</x:v>
      </x:c>
      <x:c r="T25" s="135" t="str">
        <x:f>IF(W28&lt;&gt;"",W28,"")</x:f>
      </x:c>
      <x:c r="U25" s="118" t="n">
        <x:f>IF(W28&lt;&gt;"",W28,X28)</x:f>
        <x:v>0</x:v>
      </x:c>
      <x:c r="V25" s="126" t="n">
        <x:f>Y28</x:f>
        <x:v>0</x:v>
      </x:c>
      <x:c r="W25" s="135" t="str">
        <x:f>IF(Z28&lt;&gt;"",Z28,"")</x:f>
      </x:c>
      <x:c r="X25" s="118" t="n">
        <x:f>IF(Z28&lt;&gt;"",Z28,AA28)</x:f>
        <x:v>0</x:v>
      </x:c>
      <x:c r="Y25" s="126" t="n">
        <x:f>AB28</x:f>
        <x:v>0</x:v>
      </x:c>
      <x:c r="Z25" s="135" t="str">
        <x:f>IF(AC28&lt;&gt;"",AC28,"")</x:f>
      </x:c>
      <x:c r="AA25" s="118" t="n">
        <x:f>IF(AC28&lt;&gt;"",AC28,AD28)</x:f>
        <x:v>0</x:v>
      </x:c>
      <x:c r="AB25" s="126" t="n">
        <x:f>AE28</x:f>
        <x:v>0</x:v>
      </x:c>
      <x:c r="AC25" s="135" t="str">
        <x:f>IF(AF28&lt;&gt;"",AF28,"")</x:f>
      </x:c>
      <x:c r="AD25" s="118" t="n">
        <x:f>IF(AF28&lt;&gt;"",AF28,AG28)</x:f>
        <x:v>0</x:v>
      </x:c>
      <x:c r="AE25" s="126" t="n">
        <x:f>AH28</x:f>
        <x:v>0</x:v>
      </x:c>
      <x:c r="AF25" s="135" t="n">
        <x:f>IF(AI28&lt;&gt;"",AI28,"")</x:f>
        <x:v>3</x:v>
      </x:c>
      <x:c r="AG25" s="118" t="n">
        <x:f>IF(AI28&lt;&gt;"",AI28,AJ28)</x:f>
        <x:v>3</x:v>
      </x:c>
      <x:c r="AH25" s="126" t="n">
        <x:f>AK28</x:f>
        <x:v>0</x:v>
      </x:c>
      <x:c r="AI25" s="135" t="n">
        <x:f>$B$201</x:f>
        <x:v>5</x:v>
      </x:c>
      <x:c r="AJ25" s="118" t="n">
        <x:f>$B$201</x:f>
        <x:v>5</x:v>
      </x:c>
      <x:c r="AK25" s="126" t="n">
        <x:f>$B$201</x:f>
        <x:v>5</x:v>
      </x:c>
    </x:row>
    <x:row r="26" ht="22" customHeight="1">
      <x:c r="A26" s="116" t="str">
        <x:v>Contracts ready for delivery</x:v>
      </x:c>
      <x:c r="B26" s="135" t="str">
        <x:f>IF(B$19&gt;=12,$B$199,IFERROR(INDEX($B$14:$AK$14,1,MIN(36,MAX(1,1+3*B$19+0))),""))</x:f>
      </x:c>
      <x:c r="C26" s="118" t="n">
        <x:f>IF(C$19&gt;=12,$B$199,IF(INDEX($B$14:$AK$14,1,MIN(36,MAX(1,1+3*C$19+0)))&lt;&gt;"",INDEX($B$14:$AK$14,1,MIN(36,MAX(1,1+3*C$19+0))),INDEX($B$14:$AK$14,1,MIN(36,MAX(1,1+3*C$19+1)))))</x:f>
        <x:v>12</x:v>
      </x:c>
      <x:c r="D26" s="126" t="n">
        <x:f>IF(D$19&gt;=12,$B$199,INDEX($B$14:$AK$14,1,MIN(36,MAX(1,1+3*D$19+2))))</x:f>
        <x:v>12</x:v>
      </x:c>
      <x:c r="E26" s="135" t="str">
        <x:f>IF(E$19&gt;=11,$B$199,IFERROR(INDEX($B$14:$AK$14,1,MIN(36,MAX(1,4+3*E$19+0))),""))</x:f>
      </x:c>
      <x:c r="F26" s="118" t="n">
        <x:f>IF(F$19&gt;=11,$B$199,IF(INDEX($B$14:$AK$14,1,MIN(36,MAX(1,4+3*F$19+0)))&lt;&gt;"",INDEX($B$14:$AK$14,1,MIN(36,MAX(1,4+3*F$19+0))),INDEX($B$14:$AK$14,1,MIN(36,MAX(1,4+3*F$19+1)))))</x:f>
        <x:v>12</x:v>
      </x:c>
      <x:c r="G26" s="126" t="n">
        <x:f>IF(G$19&gt;=11,$B$199,INDEX($B$14:$AK$14,1,MIN(36,MAX(1,4+3*G$19+2))))</x:f>
        <x:v>12</x:v>
      </x:c>
      <x:c r="H26" s="135" t="str">
        <x:f>IF(H$19&gt;=10,$B$199,IFERROR(INDEX($B$14:$AK$14,1,MIN(36,MAX(1,7+3*H$19+0))),""))</x:f>
      </x:c>
      <x:c r="I26" s="118" t="n">
        <x:f>IF(I$19&gt;=10,$B$199,IF(INDEX($B$14:$AK$14,1,MIN(36,MAX(1,7+3*I$19+0)))&lt;&gt;"",INDEX($B$14:$AK$14,1,MIN(36,MAX(1,7+3*I$19+0))),INDEX($B$14:$AK$14,1,MIN(36,MAX(1,7+3*I$19+1)))))</x:f>
        <x:v>12</x:v>
      </x:c>
      <x:c r="J26" s="126" t="n">
        <x:f>IF(J$19&gt;=10,$B$199,INDEX($B$14:$AK$14,1,MIN(36,MAX(1,7+3*J$19+2))))</x:f>
        <x:v>12</x:v>
      </x:c>
      <x:c r="K26" s="135" t="str">
        <x:f>IF(K$19&gt;=9,$B$199,IFERROR(INDEX($B$14:$AK$14,1,MIN(36,MAX(1,10+3*K$19+0))),""))</x:f>
      </x:c>
      <x:c r="L26" s="118" t="n">
        <x:f>IF(L$19&gt;=9,$B$199,IF(INDEX($B$14:$AK$14,1,MIN(36,MAX(1,10+3*L$19+0)))&lt;&gt;"",INDEX($B$14:$AK$14,1,MIN(36,MAX(1,10+3*L$19+0))),INDEX($B$14:$AK$14,1,MIN(36,MAX(1,10+3*L$19+1)))))</x:f>
        <x:v>12</x:v>
      </x:c>
      <x:c r="M26" s="126" t="n">
        <x:f>IF(M$19&gt;=9,$B$199,INDEX($B$14:$AK$14,1,MIN(36,MAX(1,10+3*M$19+2))))</x:f>
        <x:v>12</x:v>
      </x:c>
      <x:c r="N26" s="135" t="str">
        <x:f>IF(N$19&gt;=8,$B$199,IFERROR(INDEX($B$14:$AK$14,1,MIN(36,MAX(1,13+3*N$19+0))),""))</x:f>
      </x:c>
      <x:c r="O26" s="118" t="n">
        <x:f>IF(O$19&gt;=8,$B$199,IF(INDEX($B$14:$AK$14,1,MIN(36,MAX(1,13+3*O$19+0)))&lt;&gt;"",INDEX($B$14:$AK$14,1,MIN(36,MAX(1,13+3*O$19+0))),INDEX($B$14:$AK$14,1,MIN(36,MAX(1,13+3*O$19+1)))))</x:f>
        <x:v>11</x:v>
      </x:c>
      <x:c r="P26" s="126" t="n">
        <x:f>IF(P$19&gt;=8,$B$199,INDEX($B$14:$AK$14,1,MIN(36,MAX(1,13+3*P$19+2))))</x:f>
        <x:v>11</x:v>
      </x:c>
      <x:c r="Q26" s="135" t="str">
        <x:f>IF(Q$19&gt;=7,$B$199,IFERROR(INDEX($B$14:$AK$14,1,MIN(36,MAX(1,16+3*Q$19+0))),""))</x:f>
      </x:c>
      <x:c r="R26" s="118" t="n">
        <x:f>IF(R$19&gt;=7,$B$199,IF(INDEX($B$14:$AK$14,1,MIN(36,MAX(1,16+3*R$19+0)))&lt;&gt;"",INDEX($B$14:$AK$14,1,MIN(36,MAX(1,16+3*R$19+0))),INDEX($B$14:$AK$14,1,MIN(36,MAX(1,16+3*R$19+1)))))</x:f>
        <x:v>11</x:v>
      </x:c>
      <x:c r="S26" s="126" t="n">
        <x:f>IF(S$19&gt;=7,$B$199,INDEX($B$14:$AK$14,1,MIN(36,MAX(1,16+3*S$19+2))))</x:f>
        <x:v>11</x:v>
      </x:c>
      <x:c r="T26" s="135" t="str">
        <x:f>IF(T$19&gt;=6,$B$199,IFERROR(INDEX($B$14:$AK$14,1,MIN(36,MAX(1,19+3*T$19+0))),""))</x:f>
      </x:c>
      <x:c r="U26" s="118" t="n">
        <x:f>IF(U$19&gt;=6,$B$199,IF(INDEX($B$14:$AK$14,1,MIN(36,MAX(1,19+3*U$19+0)))&lt;&gt;"",INDEX($B$14:$AK$14,1,MIN(36,MAX(1,19+3*U$19+0))),INDEX($B$14:$AK$14,1,MIN(36,MAX(1,19+3*U$19+1)))))</x:f>
        <x:v>11</x:v>
      </x:c>
      <x:c r="V26" s="126" t="n">
        <x:f>IF(V$19&gt;=6,$B$199,INDEX($B$14:$AK$14,1,MIN(36,MAX(1,19+3*V$19+2))))</x:f>
        <x:v>11</x:v>
      </x:c>
      <x:c r="W26" s="135" t="str">
        <x:f>IF(W$19&gt;=5,$B$199,IFERROR(INDEX($B$14:$AK$14,1,MIN(36,MAX(1,22+3*W$19+0))),""))</x:f>
      </x:c>
      <x:c r="X26" s="118" t="n">
        <x:f>IF(X$19&gt;=5,$B$199,IF(INDEX($B$14:$AK$14,1,MIN(36,MAX(1,22+3*X$19+0)))&lt;&gt;"",INDEX($B$14:$AK$14,1,MIN(36,MAX(1,22+3*X$19+0))),INDEX($B$14:$AK$14,1,MIN(36,MAX(1,22+3*X$19+1)))))</x:f>
        <x:v>11</x:v>
      </x:c>
      <x:c r="Y26" s="126" t="n">
        <x:f>IF(Y$19&gt;=5,$B$199,INDEX($B$14:$AK$14,1,MIN(36,MAX(1,22+3*Y$19+2))))</x:f>
        <x:v>11</x:v>
      </x:c>
      <x:c r="Z26" s="135" t="str">
        <x:f>IF(Z$19&gt;=4,$B$199,IFERROR(INDEX($B$14:$AK$14,1,MIN(36,MAX(1,25+3*Z$19+0))),""))</x:f>
      </x:c>
      <x:c r="AA26" s="118" t="n">
        <x:f>IF(AA$19&gt;=4,$B$199,IF(INDEX($B$14:$AK$14,1,MIN(36,MAX(1,25+3*AA$19+0)))&lt;&gt;"",INDEX($B$14:$AK$14,1,MIN(36,MAX(1,25+3*AA$19+0))),INDEX($B$14:$AK$14,1,MIN(36,MAX(1,25+3*AA$19+1)))))</x:f>
        <x:v>10</x:v>
      </x:c>
      <x:c r="AB26" s="126" t="n">
        <x:f>IF(AB$19&gt;=4,$B$199,INDEX($B$14:$AK$14,1,MIN(36,MAX(1,25+3*AB$19+2))))</x:f>
        <x:v>10</x:v>
      </x:c>
      <x:c r="AC26" s="135" t="str">
        <x:f>IF(AC$19&gt;=3,$B$199,IFERROR(INDEX($B$14:$AK$14,1,MIN(36,MAX(1,28+3*AC$19+0))),""))</x:f>
      </x:c>
      <x:c r="AD26" s="118" t="n">
        <x:f>IF(AD$19&gt;=3,$B$199,IF(INDEX($B$14:$AK$14,1,MIN(36,MAX(1,28+3*AD$19+0)))&lt;&gt;"",INDEX($B$14:$AK$14,1,MIN(36,MAX(1,28+3*AD$19+0))),INDEX($B$14:$AK$14,1,MIN(36,MAX(1,28+3*AD$19+1)))))</x:f>
        <x:v>8</x:v>
      </x:c>
      <x:c r="AE26" s="126" t="n">
        <x:f>IF(AE$19&gt;=3,$B$199,INDEX($B$14:$AK$14,1,MIN(36,MAX(1,28+3*AE$19+2))))</x:f>
        <x:v>10</x:v>
      </x:c>
      <x:c r="AF26" s="135" t="n">
        <x:f>IF(AF$19&gt;=2,$B$199,IFERROR(INDEX($B$14:$AK$14,1,MIN(36,MAX(1,31+3*AF$19+0))),""))</x:f>
        <x:v>7</x:v>
      </x:c>
      <x:c r="AG26" s="118" t="n">
        <x:f>IF(AG$19&gt;=2,$B$199,IF(INDEX($B$14:$AK$14,1,MIN(36,MAX(1,31+3*AG$19+0)))&lt;&gt;"",INDEX($B$14:$AK$14,1,MIN(36,MAX(1,31+3*AG$19+0))),INDEX($B$14:$AK$14,1,MIN(36,MAX(1,31+3*AG$19+1)))))</x:f>
        <x:v>7</x:v>
      </x:c>
      <x:c r="AH26" s="126" t="n">
        <x:f>IF(AH$19&gt;=2,$B$199,INDEX($B$14:$AK$14,1,MIN(36,MAX(1,31+3*AH$19+2))))</x:f>
        <x:v>10</x:v>
      </x:c>
      <x:c r="AI26" s="135" t="n">
        <x:f>IF(AI$19&gt;=1,$B$199,IFERROR(INDEX($B$14:$AK$14,1,MIN(36,MAX(1,34+3*AI$19+0))),""))</x:f>
        <x:v>10</x:v>
      </x:c>
      <x:c r="AJ26" s="118" t="n">
        <x:f>IF(AJ$19&gt;=1,$B$199,IF(INDEX($B$14:$AK$14,1,MIN(36,MAX(1,34+3*AJ$19+0)))&lt;&gt;"",INDEX($B$14:$AK$14,1,MIN(36,MAX(1,34+3*AJ$19+0))),INDEX($B$14:$AK$14,1,MIN(36,MAX(1,34+3*AJ$19+1)))))</x:f>
        <x:v>10</x:v>
      </x:c>
      <x:c r="AK26" s="126" t="n">
        <x:f>IF(AK$19&gt;=1,$B$199,INDEX($B$14:$AK$14,1,MIN(36,MAX(1,34+3*AK$19+2))))</x:f>
        <x:v>10</x:v>
      </x:c>
    </x:row>
    <x:row r="27" ht="22" customHeight="1">
      <x:c r="A27" s="116" t="str">
        <x:v>Completed work</x:v>
      </x:c>
      <x:c r="B27" s="117"/>
      <x:c r="C27" s="118" t="n">
        <x:f>IF(B27&lt;&gt;"",B27,MIN(C25+C26,C24))</x:f>
        <x:v>12</x:v>
      </x:c>
      <x:c r="D27" s="126" t="n">
        <x:f>MIN(D25+D26,D24)</x:f>
        <x:v>12</x:v>
      </x:c>
      <x:c r="E27" s="117"/>
      <x:c r="F27" s="118" t="n">
        <x:f>IF(E27&lt;&gt;"",E27,MIN(F25+F26,F24))</x:f>
        <x:v>12</x:v>
      </x:c>
      <x:c r="G27" s="126" t="n">
        <x:f>MIN(G25+G26,G24)</x:f>
        <x:v>12</x:v>
      </x:c>
      <x:c r="H27" s="117"/>
      <x:c r="I27" s="118" t="n">
        <x:f>IF(H27&lt;&gt;"",H27,MIN(I25+I26,I24))</x:f>
        <x:v>12</x:v>
      </x:c>
      <x:c r="J27" s="126" t="n">
        <x:f>MIN(J25+J26,J24)</x:f>
        <x:v>12</x:v>
      </x:c>
      <x:c r="K27" s="117"/>
      <x:c r="L27" s="118" t="n">
        <x:f>IF(K27&lt;&gt;"",K27,MIN(L25+L26,L24))</x:f>
        <x:v>12</x:v>
      </x:c>
      <x:c r="M27" s="126" t="n">
        <x:f>MIN(M25+M26,M24)</x:f>
        <x:v>12</x:v>
      </x:c>
      <x:c r="N27" s="117"/>
      <x:c r="O27" s="118" t="n">
        <x:f>IF(N27&lt;&gt;"",N27,MIN(O25+O26,O24))</x:f>
        <x:v>11</x:v>
      </x:c>
      <x:c r="P27" s="126" t="n">
        <x:f>MIN(P25+P26,P24)</x:f>
        <x:v>11</x:v>
      </x:c>
      <x:c r="Q27" s="117"/>
      <x:c r="R27" s="118" t="n">
        <x:f>IF(Q27&lt;&gt;"",Q27,MIN(R25+R26,R24))</x:f>
        <x:v>11</x:v>
      </x:c>
      <x:c r="S27" s="126" t="n">
        <x:f>MIN(S25+S26,S24)</x:f>
        <x:v>11</x:v>
      </x:c>
      <x:c r="T27" s="117"/>
      <x:c r="U27" s="118" t="n">
        <x:f>IF(T27&lt;&gt;"",T27,MIN(U25+U26,U24))</x:f>
        <x:v>11</x:v>
      </x:c>
      <x:c r="V27" s="126" t="n">
        <x:f>MIN(V25+V26,V24)</x:f>
        <x:v>11</x:v>
      </x:c>
      <x:c r="W27" s="117"/>
      <x:c r="X27" s="118" t="n">
        <x:f>IF(W27&lt;&gt;"",W27,MIN(X25+X26,X24))</x:f>
        <x:v>11</x:v>
      </x:c>
      <x:c r="Y27" s="126" t="n">
        <x:f>MIN(Y25+Y26,Y24)</x:f>
        <x:v>11</x:v>
      </x:c>
      <x:c r="Z27" s="117"/>
      <x:c r="AA27" s="118" t="n">
        <x:f>IF(Z27&lt;&gt;"",Z27,MIN(AA25+AA26,AA24))</x:f>
        <x:v>10</x:v>
      </x:c>
      <x:c r="AB27" s="126" t="n">
        <x:f>MIN(AB25+AB26,AB24)</x:f>
        <x:v>10</x:v>
      </x:c>
      <x:c r="AC27" s="117"/>
      <x:c r="AD27" s="118" t="n">
        <x:f>IF(AC27&lt;&gt;"",AC27,MIN(AD25+AD26,AD24))</x:f>
        <x:v>8</x:v>
      </x:c>
      <x:c r="AE27" s="126" t="n">
        <x:f>MIN(AE25+AE26,AE24)</x:f>
        <x:v>10</x:v>
      </x:c>
      <x:c r="AF27" s="117" t="n">
        <x:v>10</x:v>
      </x:c>
      <x:c r="AG27" s="118" t="n">
        <x:f>IF(AF27&lt;&gt;"",AF27,MIN(AG25+AG26,AG24))</x:f>
        <x:v>10</x:v>
      </x:c>
      <x:c r="AH27" s="126" t="n">
        <x:f>MIN(AH25+AH26,AH24)</x:f>
        <x:v>10</x:v>
      </x:c>
      <x:c r="AI27" s="117" t="n">
        <x:v>12</x:v>
      </x:c>
      <x:c r="AJ27" s="118" t="n">
        <x:f>IF(AI27&lt;&gt;"",AI27,MIN(AJ25+AJ26,AJ24))</x:f>
        <x:v>12</x:v>
      </x:c>
      <x:c r="AK27" s="126" t="n">
        <x:f>MIN(AK25+AK26,AK24)</x:f>
        <x:v>15</x:v>
      </x:c>
    </x:row>
    <x:row r="28" ht="22" customHeight="1">
      <x:c r="A28" s="116" t="str">
        <x:v>Closing delivery backlog</x:v>
      </x:c>
      <x:c r="B28" s="135" t="str">
        <x:f>IF(COUNT(B25,B26,B27)=3,MAX(0,B25+B26-B27),"")</x:f>
      </x:c>
      <x:c r="C28" s="118" t="n">
        <x:f>MAX(0,C25+C26-C27)</x:f>
        <x:v>0</x:v>
      </x:c>
      <x:c r="D28" s="126" t="n">
        <x:f>MAX(0,D25+D26-D27)</x:f>
        <x:v>0</x:v>
      </x:c>
      <x:c r="E28" s="135" t="str">
        <x:f>IF(COUNT(E25,E26,E27)=3,MAX(0,E25+E26-E27),"")</x:f>
      </x:c>
      <x:c r="F28" s="118" t="n">
        <x:f>MAX(0,F25+F26-F27)</x:f>
        <x:v>0</x:v>
      </x:c>
      <x:c r="G28" s="126" t="n">
        <x:f>MAX(0,G25+G26-G27)</x:f>
        <x:v>0</x:v>
      </x:c>
      <x:c r="H28" s="135" t="str">
        <x:f>IF(COUNT(H25,H26,H27)=3,MAX(0,H25+H26-H27),"")</x:f>
      </x:c>
      <x:c r="I28" s="118" t="n">
        <x:f>MAX(0,I25+I26-I27)</x:f>
        <x:v>0</x:v>
      </x:c>
      <x:c r="J28" s="126" t="n">
        <x:f>MAX(0,J25+J26-J27)</x:f>
        <x:v>0</x:v>
      </x:c>
      <x:c r="K28" s="135" t="str">
        <x:f>IF(COUNT(K25,K26,K27)=3,MAX(0,K25+K26-K27),"")</x:f>
      </x:c>
      <x:c r="L28" s="118" t="n">
        <x:f>MAX(0,L25+L26-L27)</x:f>
        <x:v>0</x:v>
      </x:c>
      <x:c r="M28" s="126" t="n">
        <x:f>MAX(0,M25+M26-M27)</x:f>
        <x:v>0</x:v>
      </x:c>
      <x:c r="N28" s="135" t="str">
        <x:f>IF(COUNT(N25,N26,N27)=3,MAX(0,N25+N26-N27),"")</x:f>
      </x:c>
      <x:c r="O28" s="118" t="n">
        <x:f>MAX(0,O25+O26-O27)</x:f>
        <x:v>0</x:v>
      </x:c>
      <x:c r="P28" s="126" t="n">
        <x:f>MAX(0,P25+P26-P27)</x:f>
        <x:v>0</x:v>
      </x:c>
      <x:c r="Q28" s="135" t="str">
        <x:f>IF(COUNT(Q25,Q26,Q27)=3,MAX(0,Q25+Q26-Q27),"")</x:f>
      </x:c>
      <x:c r="R28" s="118" t="n">
        <x:f>MAX(0,R25+R26-R27)</x:f>
        <x:v>0</x:v>
      </x:c>
      <x:c r="S28" s="126" t="n">
        <x:f>MAX(0,S25+S26-S27)</x:f>
        <x:v>0</x:v>
      </x:c>
      <x:c r="T28" s="135" t="str">
        <x:f>IF(COUNT(T25,T26,T27)=3,MAX(0,T25+T26-T27),"")</x:f>
      </x:c>
      <x:c r="U28" s="118" t="n">
        <x:f>MAX(0,U25+U26-U27)</x:f>
        <x:v>0</x:v>
      </x:c>
      <x:c r="V28" s="126" t="n">
        <x:f>MAX(0,V25+V26-V27)</x:f>
        <x:v>0</x:v>
      </x:c>
      <x:c r="W28" s="135" t="str">
        <x:f>IF(COUNT(W25,W26,W27)=3,MAX(0,W25+W26-W27),"")</x:f>
      </x:c>
      <x:c r="X28" s="118" t="n">
        <x:f>MAX(0,X25+X26-X27)</x:f>
        <x:v>0</x:v>
      </x:c>
      <x:c r="Y28" s="126" t="n">
        <x:f>MAX(0,Y25+Y26-Y27)</x:f>
        <x:v>0</x:v>
      </x:c>
      <x:c r="Z28" s="135" t="str">
        <x:f>IF(COUNT(Z25,Z26,Z27)=3,MAX(0,Z25+Z26-Z27),"")</x:f>
      </x:c>
      <x:c r="AA28" s="118" t="n">
        <x:f>MAX(0,AA25+AA26-AA27)</x:f>
        <x:v>0</x:v>
      </x:c>
      <x:c r="AB28" s="126" t="n">
        <x:f>MAX(0,AB25+AB26-AB27)</x:f>
        <x:v>0</x:v>
      </x:c>
      <x:c r="AC28" s="135" t="str">
        <x:f>IF(COUNT(AC25,AC26,AC27)=3,MAX(0,AC25+AC26-AC27),"")</x:f>
      </x:c>
      <x:c r="AD28" s="118" t="n">
        <x:f>MAX(0,AD25+AD26-AD27)</x:f>
        <x:v>0</x:v>
      </x:c>
      <x:c r="AE28" s="126" t="n">
        <x:f>MAX(0,AE25+AE26-AE27)</x:f>
        <x:v>0</x:v>
      </x:c>
      <x:c r="AF28" s="135" t="n">
        <x:f>IF(COUNT(AF25,AF26,AF27)=3,MAX(0,AF25+AF26-AF27),"")</x:f>
        <x:v>0</x:v>
      </x:c>
      <x:c r="AG28" s="118" t="n">
        <x:f>MAX(0,AG25+AG26-AG27)</x:f>
        <x:v>0</x:v>
      </x:c>
      <x:c r="AH28" s="126" t="n">
        <x:f>MAX(0,AH25+AH26-AH27)</x:f>
        <x:v>0</x:v>
      </x:c>
      <x:c r="AI28" s="135" t="n">
        <x:f>IF(COUNT(AI25,AI26,AI27)=3,MAX(0,AI25+AI26-AI27),"")</x:f>
        <x:v>3</x:v>
      </x:c>
      <x:c r="AJ28" s="118" t="n">
        <x:f>MAX(0,AJ25+AJ26-AJ27)</x:f>
        <x:v>3</x:v>
      </x:c>
      <x:c r="AK28" s="126" t="n">
        <x:f>MAX(0,AK25+AK26-AK27)</x:f>
        <x:v>0</x:v>
      </x:c>
    </x:row>
    <x:row r="29" ht="22" customHeight="1">
      <x:c r="A29" s="116"/>
      <x:c r="B29" s="127"/>
      <x:c r="C29" s="128"/>
      <x:c r="D29" s="129"/>
      <x:c r="E29" s="127"/>
      <x:c r="F29" s="128"/>
      <x:c r="G29" s="129"/>
      <x:c r="H29" s="127"/>
      <x:c r="I29" s="128"/>
      <x:c r="J29" s="129"/>
      <x:c r="K29" s="127"/>
      <x:c r="L29" s="128"/>
      <x:c r="M29" s="129"/>
      <x:c r="N29" s="127"/>
      <x:c r="O29" s="128"/>
      <x:c r="P29" s="129"/>
      <x:c r="Q29" s="127"/>
      <x:c r="R29" s="128"/>
      <x:c r="S29" s="129"/>
      <x:c r="T29" s="127"/>
      <x:c r="U29" s="128"/>
      <x:c r="V29" s="129"/>
      <x:c r="W29" s="127"/>
      <x:c r="X29" s="128"/>
      <x:c r="Y29" s="129"/>
      <x:c r="Z29" s="127"/>
      <x:c r="AA29" s="128"/>
      <x:c r="AB29" s="129"/>
      <x:c r="AC29" s="127"/>
      <x:c r="AD29" s="128"/>
      <x:c r="AE29" s="129"/>
      <x:c r="AF29" s="127"/>
      <x:c r="AG29" s="128"/>
      <x:c r="AH29" s="129"/>
      <x:c r="AI29" s="127"/>
      <x:c r="AJ29" s="128"/>
      <x:c r="AK29" s="129"/>
    </x:row>
    <x:row r="30" ht="22" customHeight="1">
      <x:c r="A30" s="38" t="str">
        <x:v>BILLING AND COLLECTION</x:v>
      </x:c>
      <x:c r="B30" s="57" t="str">
        <x:v>BILLING AND COLLECTION</x:v>
      </x:c>
      <x:c r="C30" s="58" t="str">
        <x:v>BILLING AND COLLECTION</x:v>
      </x:c>
      <x:c r="D30" s="59" t="str">
        <x:v>BILLING AND COLLECTION</x:v>
      </x:c>
      <x:c r="E30" s="57" t="str">
        <x:v>BILLING AND COLLECTION</x:v>
      </x:c>
      <x:c r="F30" s="58" t="str">
        <x:v>BILLING AND COLLECTION</x:v>
      </x:c>
      <x:c r="G30" s="59" t="str">
        <x:v>BILLING AND COLLECTION</x:v>
      </x:c>
      <x:c r="H30" s="57" t="str">
        <x:v>BILLING AND COLLECTION</x:v>
      </x:c>
      <x:c r="I30" s="58" t="str">
        <x:v>BILLING AND COLLECTION</x:v>
      </x:c>
      <x:c r="J30" s="59" t="str">
        <x:v>BILLING AND COLLECTION</x:v>
      </x:c>
      <x:c r="K30" s="57" t="str">
        <x:v>BILLING AND COLLECTION</x:v>
      </x:c>
      <x:c r="L30" s="58" t="str">
        <x:v>BILLING AND COLLECTION</x:v>
      </x:c>
      <x:c r="M30" s="59" t="str">
        <x:v>BILLING AND COLLECTION</x:v>
      </x:c>
      <x:c r="N30" s="57" t="str">
        <x:v>BILLING AND COLLECTION</x:v>
      </x:c>
      <x:c r="O30" s="58" t="str">
        <x:v>BILLING AND COLLECTION</x:v>
      </x:c>
      <x:c r="P30" s="59" t="str">
        <x:v>BILLING AND COLLECTION</x:v>
      </x:c>
      <x:c r="Q30" s="57" t="str">
        <x:v>BILLING AND COLLECTION</x:v>
      </x:c>
      <x:c r="R30" s="58" t="str">
        <x:v>BILLING AND COLLECTION</x:v>
      </x:c>
      <x:c r="S30" s="59" t="str">
        <x:v>BILLING AND COLLECTION</x:v>
      </x:c>
      <x:c r="T30" s="57" t="str">
        <x:v>BILLING AND COLLECTION</x:v>
      </x:c>
      <x:c r="U30" s="58" t="str">
        <x:v>BILLING AND COLLECTION</x:v>
      </x:c>
      <x:c r="V30" s="59" t="str">
        <x:v>BILLING AND COLLECTION</x:v>
      </x:c>
      <x:c r="W30" s="57" t="str">
        <x:v>BILLING AND COLLECTION</x:v>
      </x:c>
      <x:c r="X30" s="58" t="str">
        <x:v>BILLING AND COLLECTION</x:v>
      </x:c>
      <x:c r="Y30" s="59" t="str">
        <x:v>BILLING AND COLLECTION</x:v>
      </x:c>
      <x:c r="Z30" s="57" t="str">
        <x:v>BILLING AND COLLECTION</x:v>
      </x:c>
      <x:c r="AA30" s="58" t="str">
        <x:v>BILLING AND COLLECTION</x:v>
      </x:c>
      <x:c r="AB30" s="59" t="str">
        <x:v>BILLING AND COLLECTION</x:v>
      </x:c>
      <x:c r="AC30" s="57" t="str">
        <x:v>BILLING AND COLLECTION</x:v>
      </x:c>
      <x:c r="AD30" s="58" t="str">
        <x:v>BILLING AND COLLECTION</x:v>
      </x:c>
      <x:c r="AE30" s="59" t="str">
        <x:v>BILLING AND COLLECTION</x:v>
      </x:c>
      <x:c r="AF30" s="57" t="str">
        <x:v>BILLING AND COLLECTION</x:v>
      </x:c>
      <x:c r="AG30" s="58" t="str">
        <x:v>BILLING AND COLLECTION</x:v>
      </x:c>
      <x:c r="AH30" s="59" t="str">
        <x:v>BILLING AND COLLECTION</x:v>
      </x:c>
      <x:c r="AI30" s="57" t="str">
        <x:v>BILLING AND COLLECTION</x:v>
      </x:c>
      <x:c r="AJ30" s="58" t="str">
        <x:v>BILLING AND COLLECTION</x:v>
      </x:c>
      <x:c r="AK30" s="59" t="str">
        <x:v>BILLING AND COLLECTION</x:v>
      </x:c>
    </x:row>
    <x:row r="31" ht="22" customHeight="1">
      <x:c r="A31" s="116" t="str">
        <x:v>Collection timing in months</x:v>
      </x:c>
      <x:c r="B31" s="120"/>
      <x:c r="C31" s="121" t="n">
        <x:f>IF(B31&lt;&gt;"",B31,D31)</x:f>
        <x:v>1</x:v>
      </x:c>
      <x:c r="D31" s="122" t="n">
        <x:v>1</x:v>
      </x:c>
      <x:c r="E31" s="120"/>
      <x:c r="F31" s="121" t="n">
        <x:f>IF(E31&lt;&gt;"",E31,G31)</x:f>
        <x:v>1</x:v>
      </x:c>
      <x:c r="G31" s="122" t="n">
        <x:v>1</x:v>
      </x:c>
      <x:c r="H31" s="120"/>
      <x:c r="I31" s="121" t="n">
        <x:f>IF(H31&lt;&gt;"",H31,J31)</x:f>
        <x:v>1</x:v>
      </x:c>
      <x:c r="J31" s="122" t="n">
        <x:v>1</x:v>
      </x:c>
      <x:c r="K31" s="120"/>
      <x:c r="L31" s="121" t="n">
        <x:f>IF(K31&lt;&gt;"",K31,M31)</x:f>
        <x:v>1</x:v>
      </x:c>
      <x:c r="M31" s="122" t="n">
        <x:v>1</x:v>
      </x:c>
      <x:c r="N31" s="120"/>
      <x:c r="O31" s="121" t="n">
        <x:f>IF(N31&lt;&gt;"",N31,P31)</x:f>
        <x:v>1</x:v>
      </x:c>
      <x:c r="P31" s="122" t="n">
        <x:v>1</x:v>
      </x:c>
      <x:c r="Q31" s="120"/>
      <x:c r="R31" s="121" t="n">
        <x:f>IF(Q31&lt;&gt;"",Q31,S31)</x:f>
        <x:v>1</x:v>
      </x:c>
      <x:c r="S31" s="122" t="n">
        <x:v>1</x:v>
      </x:c>
      <x:c r="T31" s="120"/>
      <x:c r="U31" s="121" t="n">
        <x:f>IF(T31&lt;&gt;"",T31,V31)</x:f>
        <x:v>1</x:v>
      </x:c>
      <x:c r="V31" s="122" t="n">
        <x:v>1</x:v>
      </x:c>
      <x:c r="W31" s="120"/>
      <x:c r="X31" s="121" t="n">
        <x:f>IF(W31&lt;&gt;"",W31,Y31)</x:f>
        <x:v>1</x:v>
      </x:c>
      <x:c r="Y31" s="122" t="n">
        <x:v>1</x:v>
      </x:c>
      <x:c r="Z31" s="120"/>
      <x:c r="AA31" s="121" t="n">
        <x:f>IF(Z31&lt;&gt;"",Z31,AB31)</x:f>
        <x:v>1</x:v>
      </x:c>
      <x:c r="AB31" s="122" t="n">
        <x:v>1</x:v>
      </x:c>
      <x:c r="AC31" s="120"/>
      <x:c r="AD31" s="121" t="n">
        <x:f>IF(AC31&lt;&gt;"",AC31,AE31)</x:f>
        <x:v>1</x:v>
      </x:c>
      <x:c r="AE31" s="122" t="n">
        <x:v>1</x:v>
      </x:c>
      <x:c r="AF31" s="120" t="n">
        <x:v>1</x:v>
      </x:c>
      <x:c r="AG31" s="121" t="n">
        <x:f>IF(AF31&lt;&gt;"",AF31,AH31)</x:f>
        <x:v>1</x:v>
      </x:c>
      <x:c r="AH31" s="122" t="n">
        <x:v>1</x:v>
      </x:c>
      <x:c r="AI31" s="120" t="n">
        <x:v>1</x:v>
      </x:c>
      <x:c r="AJ31" s="121" t="n">
        <x:f>IF(AI31&lt;&gt;"",AI31,AK31)</x:f>
        <x:v>1</x:v>
      </x:c>
      <x:c r="AK31" s="122" t="n">
        <x:v>1</x:v>
      </x:c>
    </x:row>
    <x:row r="32" ht="22" customHeight="1">
      <x:c r="A32" s="116" t="str">
        <x:v>Completed work ready to collect</x:v>
      </x:c>
      <x:c r="B32" s="135" t="str">
        <x:f>IF(B$31&gt;=12,$B$200,IFERROR(INDEX($B$27:$AK$27,1,MIN(36,MAX(1,1+3*B$31+0))),""))</x:f>
      </x:c>
      <x:c r="C32" s="118" t="n">
        <x:f>IF(C$31&gt;=12,$B$200,IF(INDEX($B$27:$AK$27,1,MIN(36,MAX(1,1+3*C$31+0)))&lt;&gt;"",INDEX($B$27:$AK$27,1,MIN(36,MAX(1,1+3*C$31+0))),INDEX($B$27:$AK$27,1,MIN(36,MAX(1,1+3*C$31+1)))))</x:f>
        <x:v>12</x:v>
      </x:c>
      <x:c r="D32" s="126" t="n">
        <x:f>IF(D$31&gt;=12,$B$200,INDEX($B$27:$AK$27,1,MIN(36,MAX(1,1+3*D$31+2))))</x:f>
        <x:v>12</x:v>
      </x:c>
      <x:c r="E32" s="135" t="str">
        <x:f>IF(E$31&gt;=11,$B$200,IFERROR(INDEX($B$27:$AK$27,1,MIN(36,MAX(1,4+3*E$31+0))),""))</x:f>
      </x:c>
      <x:c r="F32" s="118" t="n">
        <x:f>IF(F$31&gt;=11,$B$200,IF(INDEX($B$27:$AK$27,1,MIN(36,MAX(1,4+3*F$31+0)))&lt;&gt;"",INDEX($B$27:$AK$27,1,MIN(36,MAX(1,4+3*F$31+0))),INDEX($B$27:$AK$27,1,MIN(36,MAX(1,4+3*F$31+1)))))</x:f>
        <x:v>12</x:v>
      </x:c>
      <x:c r="G32" s="126" t="n">
        <x:f>IF(G$31&gt;=11,$B$200,INDEX($B$27:$AK$27,1,MIN(36,MAX(1,4+3*G$31+2))))</x:f>
        <x:v>12</x:v>
      </x:c>
      <x:c r="H32" s="135" t="str">
        <x:f>IF(H$31&gt;=10,$B$200,IFERROR(INDEX($B$27:$AK$27,1,MIN(36,MAX(1,7+3*H$31+0))),""))</x:f>
      </x:c>
      <x:c r="I32" s="118" t="n">
        <x:f>IF(I$31&gt;=10,$B$200,IF(INDEX($B$27:$AK$27,1,MIN(36,MAX(1,7+3*I$31+0)))&lt;&gt;"",INDEX($B$27:$AK$27,1,MIN(36,MAX(1,7+3*I$31+0))),INDEX($B$27:$AK$27,1,MIN(36,MAX(1,7+3*I$31+1)))))</x:f>
        <x:v>12</x:v>
      </x:c>
      <x:c r="J32" s="126" t="n">
        <x:f>IF(J$31&gt;=10,$B$200,INDEX($B$27:$AK$27,1,MIN(36,MAX(1,7+3*J$31+2))))</x:f>
        <x:v>12</x:v>
      </x:c>
      <x:c r="K32" s="135" t="str">
        <x:f>IF(K$31&gt;=9,$B$200,IFERROR(INDEX($B$27:$AK$27,1,MIN(36,MAX(1,10+3*K$31+0))),""))</x:f>
      </x:c>
      <x:c r="L32" s="118" t="n">
        <x:f>IF(L$31&gt;=9,$B$200,IF(INDEX($B$27:$AK$27,1,MIN(36,MAX(1,10+3*L$31+0)))&lt;&gt;"",INDEX($B$27:$AK$27,1,MIN(36,MAX(1,10+3*L$31+0))),INDEX($B$27:$AK$27,1,MIN(36,MAX(1,10+3*L$31+1)))))</x:f>
        <x:v>11</x:v>
      </x:c>
      <x:c r="M32" s="126" t="n">
        <x:f>IF(M$31&gt;=9,$B$200,INDEX($B$27:$AK$27,1,MIN(36,MAX(1,10+3*M$31+2))))</x:f>
        <x:v>11</x:v>
      </x:c>
      <x:c r="N32" s="135" t="str">
        <x:f>IF(N$31&gt;=8,$B$200,IFERROR(INDEX($B$27:$AK$27,1,MIN(36,MAX(1,13+3*N$31+0))),""))</x:f>
      </x:c>
      <x:c r="O32" s="118" t="n">
        <x:f>IF(O$31&gt;=8,$B$200,IF(INDEX($B$27:$AK$27,1,MIN(36,MAX(1,13+3*O$31+0)))&lt;&gt;"",INDEX($B$27:$AK$27,1,MIN(36,MAX(1,13+3*O$31+0))),INDEX($B$27:$AK$27,1,MIN(36,MAX(1,13+3*O$31+1)))))</x:f>
        <x:v>11</x:v>
      </x:c>
      <x:c r="P32" s="126" t="n">
        <x:f>IF(P$31&gt;=8,$B$200,INDEX($B$27:$AK$27,1,MIN(36,MAX(1,13+3*P$31+2))))</x:f>
        <x:v>11</x:v>
      </x:c>
      <x:c r="Q32" s="135" t="str">
        <x:f>IF(Q$31&gt;=7,$B$200,IFERROR(INDEX($B$27:$AK$27,1,MIN(36,MAX(1,16+3*Q$31+0))),""))</x:f>
      </x:c>
      <x:c r="R32" s="118" t="n">
        <x:f>IF(R$31&gt;=7,$B$200,IF(INDEX($B$27:$AK$27,1,MIN(36,MAX(1,16+3*R$31+0)))&lt;&gt;"",INDEX($B$27:$AK$27,1,MIN(36,MAX(1,16+3*R$31+0))),INDEX($B$27:$AK$27,1,MIN(36,MAX(1,16+3*R$31+1)))))</x:f>
        <x:v>11</x:v>
      </x:c>
      <x:c r="S32" s="126" t="n">
        <x:f>IF(S$31&gt;=7,$B$200,INDEX($B$27:$AK$27,1,MIN(36,MAX(1,16+3*S$31+2))))</x:f>
        <x:v>11</x:v>
      </x:c>
      <x:c r="T32" s="135" t="str">
        <x:f>IF(T$31&gt;=6,$B$200,IFERROR(INDEX($B$27:$AK$27,1,MIN(36,MAX(1,19+3*T$31+0))),""))</x:f>
      </x:c>
      <x:c r="U32" s="118" t="n">
        <x:f>IF(U$31&gt;=6,$B$200,IF(INDEX($B$27:$AK$27,1,MIN(36,MAX(1,19+3*U$31+0)))&lt;&gt;"",INDEX($B$27:$AK$27,1,MIN(36,MAX(1,19+3*U$31+0))),INDEX($B$27:$AK$27,1,MIN(36,MAX(1,19+3*U$31+1)))))</x:f>
        <x:v>11</x:v>
      </x:c>
      <x:c r="V32" s="126" t="n">
        <x:f>IF(V$31&gt;=6,$B$200,INDEX($B$27:$AK$27,1,MIN(36,MAX(1,19+3*V$31+2))))</x:f>
        <x:v>11</x:v>
      </x:c>
      <x:c r="W32" s="135" t="str">
        <x:f>IF(W$31&gt;=5,$B$200,IFERROR(INDEX($B$27:$AK$27,1,MIN(36,MAX(1,22+3*W$31+0))),""))</x:f>
      </x:c>
      <x:c r="X32" s="118" t="n">
        <x:f>IF(X$31&gt;=5,$B$200,IF(INDEX($B$27:$AK$27,1,MIN(36,MAX(1,22+3*X$31+0)))&lt;&gt;"",INDEX($B$27:$AK$27,1,MIN(36,MAX(1,22+3*X$31+0))),INDEX($B$27:$AK$27,1,MIN(36,MAX(1,22+3*X$31+1)))))</x:f>
        <x:v>10</x:v>
      </x:c>
      <x:c r="Y32" s="126" t="n">
        <x:f>IF(Y$31&gt;=5,$B$200,INDEX($B$27:$AK$27,1,MIN(36,MAX(1,22+3*Y$31+2))))</x:f>
        <x:v>10</x:v>
      </x:c>
      <x:c r="Z32" s="135" t="str">
        <x:f>IF(Z$31&gt;=4,$B$200,IFERROR(INDEX($B$27:$AK$27,1,MIN(36,MAX(1,25+3*Z$31+0))),""))</x:f>
      </x:c>
      <x:c r="AA32" s="118" t="n">
        <x:f>IF(AA$31&gt;=4,$B$200,IF(INDEX($B$27:$AK$27,1,MIN(36,MAX(1,25+3*AA$31+0)))&lt;&gt;"",INDEX($B$27:$AK$27,1,MIN(36,MAX(1,25+3*AA$31+0))),INDEX($B$27:$AK$27,1,MIN(36,MAX(1,25+3*AA$31+1)))))</x:f>
        <x:v>8</x:v>
      </x:c>
      <x:c r="AB32" s="126" t="n">
        <x:f>IF(AB$31&gt;=4,$B$200,INDEX($B$27:$AK$27,1,MIN(36,MAX(1,25+3*AB$31+2))))</x:f>
        <x:v>10</x:v>
      </x:c>
      <x:c r="AC32" s="135" t="str">
        <x:f>IF(AC$31&gt;=3,$B$200,IFERROR(INDEX($B$27:$AK$27,1,MIN(36,MAX(1,28+3*AC$31+0))),""))</x:f>
      </x:c>
      <x:c r="AD32" s="118" t="n">
        <x:f>IF(AD$31&gt;=3,$B$200,IF(INDEX($B$27:$AK$27,1,MIN(36,MAX(1,28+3*AD$31+0)))&lt;&gt;"",INDEX($B$27:$AK$27,1,MIN(36,MAX(1,28+3*AD$31+0))),INDEX($B$27:$AK$27,1,MIN(36,MAX(1,28+3*AD$31+1)))))</x:f>
        <x:v>10</x:v>
      </x:c>
      <x:c r="AE32" s="126" t="n">
        <x:f>IF(AE$31&gt;=3,$B$200,INDEX($B$27:$AK$27,1,MIN(36,MAX(1,28+3*AE$31+2))))</x:f>
        <x:v>10</x:v>
      </x:c>
      <x:c r="AF32" s="135" t="n">
        <x:f>IF(AF$31&gt;=2,$B$200,IFERROR(INDEX($B$27:$AK$27,1,MIN(36,MAX(1,31+3*AF$31+0))),""))</x:f>
        <x:v>12</x:v>
      </x:c>
      <x:c r="AG32" s="118" t="n">
        <x:f>IF(AG$31&gt;=2,$B$200,IF(INDEX($B$27:$AK$27,1,MIN(36,MAX(1,31+3*AG$31+0)))&lt;&gt;"",INDEX($B$27:$AK$27,1,MIN(36,MAX(1,31+3*AG$31+0))),INDEX($B$27:$AK$27,1,MIN(36,MAX(1,31+3*AG$31+1)))))</x:f>
        <x:v>12</x:v>
      </x:c>
      <x:c r="AH32" s="126" t="n">
        <x:f>IF(AH$31&gt;=2,$B$200,INDEX($B$27:$AK$27,1,MIN(36,MAX(1,31+3*AH$31+2))))</x:f>
        <x:v>15</x:v>
      </x:c>
      <x:c r="AI32" s="135" t="n">
        <x:f>IF(AI$31&gt;=1,$B$200,IFERROR(INDEX($B$27:$AK$27,1,MIN(36,MAX(1,34+3*AI$31+0))),""))</x:f>
        <x:v>10</x:v>
      </x:c>
      <x:c r="AJ32" s="118" t="n">
        <x:f>IF(AJ$31&gt;=1,$B$200,IF(INDEX($B$27:$AK$27,1,MIN(36,MAX(1,34+3*AJ$31+0)))&lt;&gt;"",INDEX($B$27:$AK$27,1,MIN(36,MAX(1,34+3*AJ$31+0))),INDEX($B$27:$AK$27,1,MIN(36,MAX(1,34+3*AJ$31+1)))))</x:f>
        <x:v>10</x:v>
      </x:c>
      <x:c r="AK32" s="126" t="n">
        <x:f>IF(AK$31&gt;=1,$B$200,INDEX($B$27:$AK$27,1,MIN(36,MAX(1,34+3*AK$31+2))))</x:f>
        <x:v>10</x:v>
      </x:c>
    </x:row>
    <x:row r="33" ht="22" customHeight="1">
      <x:c r="A33" s="116" t="str">
        <x:v>Collected invoices</x:v>
      </x:c>
      <x:c r="B33" s="117"/>
      <x:c r="C33" s="118" t="n">
        <x:f>IF(B33&lt;&gt;"",B33,C32)</x:f>
        <x:v>12</x:v>
      </x:c>
      <x:c r="D33" s="126" t="n">
        <x:f>D32</x:f>
        <x:v>12</x:v>
      </x:c>
      <x:c r="E33" s="117"/>
      <x:c r="F33" s="118" t="n">
        <x:f>IF(E33&lt;&gt;"",E33,F32)</x:f>
        <x:v>12</x:v>
      </x:c>
      <x:c r="G33" s="126" t="n">
        <x:f>G32</x:f>
        <x:v>12</x:v>
      </x:c>
      <x:c r="H33" s="117"/>
      <x:c r="I33" s="118" t="n">
        <x:f>IF(H33&lt;&gt;"",H33,I32)</x:f>
        <x:v>12</x:v>
      </x:c>
      <x:c r="J33" s="126" t="n">
        <x:f>J32</x:f>
        <x:v>12</x:v>
      </x:c>
      <x:c r="K33" s="117"/>
      <x:c r="L33" s="118" t="n">
        <x:f>IF(K33&lt;&gt;"",K33,L32)</x:f>
        <x:v>11</x:v>
      </x:c>
      <x:c r="M33" s="126" t="n">
        <x:f>M32</x:f>
        <x:v>11</x:v>
      </x:c>
      <x:c r="N33" s="117"/>
      <x:c r="O33" s="118" t="n">
        <x:f>IF(N33&lt;&gt;"",N33,O32)</x:f>
        <x:v>11</x:v>
      </x:c>
      <x:c r="P33" s="126" t="n">
        <x:f>P32</x:f>
        <x:v>11</x:v>
      </x:c>
      <x:c r="Q33" s="117"/>
      <x:c r="R33" s="118" t="n">
        <x:f>IF(Q33&lt;&gt;"",Q33,R32)</x:f>
        <x:v>11</x:v>
      </x:c>
      <x:c r="S33" s="126" t="n">
        <x:f>S32</x:f>
        <x:v>11</x:v>
      </x:c>
      <x:c r="T33" s="117"/>
      <x:c r="U33" s="118" t="n">
        <x:f>IF(T33&lt;&gt;"",T33,U32)</x:f>
        <x:v>11</x:v>
      </x:c>
      <x:c r="V33" s="126" t="n">
        <x:f>V32</x:f>
        <x:v>11</x:v>
      </x:c>
      <x:c r="W33" s="117"/>
      <x:c r="X33" s="118" t="n">
        <x:f>IF(W33&lt;&gt;"",W33,X32)</x:f>
        <x:v>10</x:v>
      </x:c>
      <x:c r="Y33" s="126" t="n">
        <x:f>Y32</x:f>
        <x:v>10</x:v>
      </x:c>
      <x:c r="Z33" s="117"/>
      <x:c r="AA33" s="118" t="n">
        <x:f>IF(Z33&lt;&gt;"",Z33,AA32)</x:f>
        <x:v>8</x:v>
      </x:c>
      <x:c r="AB33" s="126" t="n">
        <x:f>AB32</x:f>
        <x:v>10</x:v>
      </x:c>
      <x:c r="AC33" s="117"/>
      <x:c r="AD33" s="118" t="n">
        <x:f>IF(AC33&lt;&gt;"",AC33,AD32)</x:f>
        <x:v>10</x:v>
      </x:c>
      <x:c r="AE33" s="126" t="n">
        <x:f>AE32</x:f>
        <x:v>10</x:v>
      </x:c>
      <x:c r="AF33" s="117" t="n">
        <x:v>12</x:v>
      </x:c>
      <x:c r="AG33" s="118" t="n">
        <x:f>IF(AF33&lt;&gt;"",AF33,AG32)</x:f>
        <x:v>12</x:v>
      </x:c>
      <x:c r="AH33" s="126" t="n">
        <x:f>AH32</x:f>
        <x:v>15</x:v>
      </x:c>
      <x:c r="AI33" s="117" t="n">
        <x:v>10</x:v>
      </x:c>
      <x:c r="AJ33" s="118" t="n">
        <x:f>IF(AI33&lt;&gt;"",AI33,AJ32)</x:f>
        <x:v>10</x:v>
      </x:c>
      <x:c r="AK33" s="126" t="n">
        <x:f>AK32</x:f>
        <x:v>10</x:v>
      </x:c>
    </x:row>
    <x:row r="34" ht="22" customHeight="1">
      <x:c r="A34" s="116" t="str">
        <x:v>Cash in</x:v>
      </x:c>
      <x:c r="B34" s="133" t="str">
        <x:f>IF(COUNT(B33,B15)=2,B33*B15,"")</x:f>
      </x:c>
      <x:c r="C34" s="131" t="n">
        <x:f>C33*C15</x:f>
        <x:v>60000</x:v>
      </x:c>
      <x:c r="D34" s="134" t="n">
        <x:f>D33*D15</x:f>
        <x:v>60000</x:v>
      </x:c>
      <x:c r="E34" s="133" t="str">
        <x:f>IF(COUNT(E33,E15)=2,E33*E15,"")</x:f>
      </x:c>
      <x:c r="F34" s="131" t="n">
        <x:f>F33*F15</x:f>
        <x:v>60000</x:v>
      </x:c>
      <x:c r="G34" s="134" t="n">
        <x:f>G33*G15</x:f>
        <x:v>60000</x:v>
      </x:c>
      <x:c r="H34" s="133" t="str">
        <x:f>IF(COUNT(H33,H15)=2,H33*H15,"")</x:f>
      </x:c>
      <x:c r="I34" s="131" t="n">
        <x:f>I33*I15</x:f>
        <x:v>60000</x:v>
      </x:c>
      <x:c r="J34" s="134" t="n">
        <x:f>J33*J15</x:f>
        <x:v>60000</x:v>
      </x:c>
      <x:c r="K34" s="133" t="str">
        <x:f>IF(COUNT(K33,K15)=2,K33*K15,"")</x:f>
      </x:c>
      <x:c r="L34" s="131" t="n">
        <x:f>L33*L15</x:f>
        <x:v>55000</x:v>
      </x:c>
      <x:c r="M34" s="134" t="n">
        <x:f>M33*M15</x:f>
        <x:v>55000</x:v>
      </x:c>
      <x:c r="N34" s="133" t="str">
        <x:f>IF(COUNT(N33,N15)=2,N33*N15,"")</x:f>
      </x:c>
      <x:c r="O34" s="131" t="n">
        <x:f>O33*O15</x:f>
        <x:v>55000</x:v>
      </x:c>
      <x:c r="P34" s="134" t="n">
        <x:f>P33*P15</x:f>
        <x:v>55000</x:v>
      </x:c>
      <x:c r="Q34" s="133" t="str">
        <x:f>IF(COUNT(Q33,Q15)=2,Q33*Q15,"")</x:f>
      </x:c>
      <x:c r="R34" s="131" t="n">
        <x:f>R33*R15</x:f>
        <x:v>55000</x:v>
      </x:c>
      <x:c r="S34" s="134" t="n">
        <x:f>S33*S15</x:f>
        <x:v>55000</x:v>
      </x:c>
      <x:c r="T34" s="133" t="str">
        <x:f>IF(COUNT(T33,T15)=2,T33*T15,"")</x:f>
      </x:c>
      <x:c r="U34" s="131" t="n">
        <x:f>U33*U15</x:f>
        <x:v>55000</x:v>
      </x:c>
      <x:c r="V34" s="134" t="n">
        <x:f>V33*V15</x:f>
        <x:v>55000</x:v>
      </x:c>
      <x:c r="W34" s="133" t="str">
        <x:f>IF(COUNT(W33,W15)=2,W33*W15,"")</x:f>
      </x:c>
      <x:c r="X34" s="131" t="n">
        <x:f>X33*X15</x:f>
        <x:v>50000</x:v>
      </x:c>
      <x:c r="Y34" s="134" t="n">
        <x:f>Y33*Y15</x:f>
        <x:v>50000</x:v>
      </x:c>
      <x:c r="Z34" s="133" t="str">
        <x:f>IF(COUNT(Z33,Z15)=2,Z33*Z15,"")</x:f>
      </x:c>
      <x:c r="AA34" s="131" t="n">
        <x:f>AA33*AA15</x:f>
        <x:v>40000</x:v>
      </x:c>
      <x:c r="AB34" s="134" t="n">
        <x:f>AB33*AB15</x:f>
        <x:v>50000</x:v>
      </x:c>
      <x:c r="AC34" s="133" t="str">
        <x:f>IF(COUNT(AC33,AC15)=2,AC33*AC15,"")</x:f>
      </x:c>
      <x:c r="AD34" s="131" t="n">
        <x:f>AD33*AD15</x:f>
        <x:v>50000</x:v>
      </x:c>
      <x:c r="AE34" s="134" t="n">
        <x:f>AE33*AE15</x:f>
        <x:v>50000</x:v>
      </x:c>
      <x:c r="AF34" s="133" t="n">
        <x:f>IF(COUNT(AF33,AF15)=2,AF33*AF15,"")</x:f>
        <x:v>60000</x:v>
      </x:c>
      <x:c r="AG34" s="131" t="n">
        <x:f>AG33*AG15</x:f>
        <x:v>60000</x:v>
      </x:c>
      <x:c r="AH34" s="134" t="n">
        <x:f>AH33*AH15</x:f>
        <x:v>75000</x:v>
      </x:c>
      <x:c r="AI34" s="133" t="n">
        <x:f>IF(COUNT(AI33,AI15)=2,AI33*AI15,"")</x:f>
        <x:v>50000</x:v>
      </x:c>
      <x:c r="AJ34" s="131" t="n">
        <x:f>AJ33*AJ15</x:f>
        <x:v>50000</x:v>
      </x:c>
      <x:c r="AK34" s="134" t="n">
        <x:f>AK33*AK15</x:f>
        <x:v>50000</x:v>
      </x:c>
    </x:row>
    <x:row r="35" ht="22" customHeight="1">
      <x:c r="A35" s="116"/>
      <x:c r="B35" s="127"/>
      <x:c r="C35" s="128"/>
      <x:c r="D35" s="129"/>
      <x:c r="E35" s="127"/>
      <x:c r="F35" s="128"/>
      <x:c r="G35" s="129"/>
      <x:c r="H35" s="127"/>
      <x:c r="I35" s="128"/>
      <x:c r="J35" s="129"/>
      <x:c r="K35" s="127"/>
      <x:c r="L35" s="128"/>
      <x:c r="M35" s="129"/>
      <x:c r="N35" s="127"/>
      <x:c r="O35" s="128"/>
      <x:c r="P35" s="129"/>
      <x:c r="Q35" s="127"/>
      <x:c r="R35" s="128"/>
      <x:c r="S35" s="129"/>
      <x:c r="T35" s="127"/>
      <x:c r="U35" s="128"/>
      <x:c r="V35" s="129"/>
      <x:c r="W35" s="127"/>
      <x:c r="X35" s="128"/>
      <x:c r="Y35" s="129"/>
      <x:c r="Z35" s="127"/>
      <x:c r="AA35" s="128"/>
      <x:c r="AB35" s="129"/>
      <x:c r="AC35" s="127"/>
      <x:c r="AD35" s="128"/>
      <x:c r="AE35" s="129"/>
      <x:c r="AF35" s="127"/>
      <x:c r="AG35" s="128"/>
      <x:c r="AH35" s="129"/>
      <x:c r="AI35" s="127"/>
      <x:c r="AJ35" s="128"/>
      <x:c r="AK35" s="129"/>
    </x:row>
    <x:row r="36" ht="22" customHeight="1">
      <x:c r="A36" s="38" t="str">
        <x:v>MARKETING EXPENSES</x:v>
      </x:c>
      <x:c r="B36" s="57" t="str">
        <x:v>MARKETING EXPENSES</x:v>
      </x:c>
      <x:c r="C36" s="58" t="str">
        <x:v>MARKETING EXPENSES</x:v>
      </x:c>
      <x:c r="D36" s="59" t="str">
        <x:v>MARKETING EXPENSES</x:v>
      </x:c>
      <x:c r="E36" s="57" t="str">
        <x:v>MARKETING EXPENSES</x:v>
      </x:c>
      <x:c r="F36" s="58" t="str">
        <x:v>MARKETING EXPENSES</x:v>
      </x:c>
      <x:c r="G36" s="59" t="str">
        <x:v>MARKETING EXPENSES</x:v>
      </x:c>
      <x:c r="H36" s="57" t="str">
        <x:v>MARKETING EXPENSES</x:v>
      </x:c>
      <x:c r="I36" s="58" t="str">
        <x:v>MARKETING EXPENSES</x:v>
      </x:c>
      <x:c r="J36" s="59" t="str">
        <x:v>MARKETING EXPENSES</x:v>
      </x:c>
      <x:c r="K36" s="57" t="str">
        <x:v>MARKETING EXPENSES</x:v>
      </x:c>
      <x:c r="L36" s="58" t="str">
        <x:v>MARKETING EXPENSES</x:v>
      </x:c>
      <x:c r="M36" s="59" t="str">
        <x:v>MARKETING EXPENSES</x:v>
      </x:c>
      <x:c r="N36" s="57" t="str">
        <x:v>MARKETING EXPENSES</x:v>
      </x:c>
      <x:c r="O36" s="58" t="str">
        <x:v>MARKETING EXPENSES</x:v>
      </x:c>
      <x:c r="P36" s="59" t="str">
        <x:v>MARKETING EXPENSES</x:v>
      </x:c>
      <x:c r="Q36" s="57" t="str">
        <x:v>MARKETING EXPENSES</x:v>
      </x:c>
      <x:c r="R36" s="58" t="str">
        <x:v>MARKETING EXPENSES</x:v>
      </x:c>
      <x:c r="S36" s="59" t="str">
        <x:v>MARKETING EXPENSES</x:v>
      </x:c>
      <x:c r="T36" s="57" t="str">
        <x:v>MARKETING EXPENSES</x:v>
      </x:c>
      <x:c r="U36" s="58" t="str">
        <x:v>MARKETING EXPENSES</x:v>
      </x:c>
      <x:c r="V36" s="59" t="str">
        <x:v>MARKETING EXPENSES</x:v>
      </x:c>
      <x:c r="W36" s="57" t="str">
        <x:v>MARKETING EXPENSES</x:v>
      </x:c>
      <x:c r="X36" s="58" t="str">
        <x:v>MARKETING EXPENSES</x:v>
      </x:c>
      <x:c r="Y36" s="59" t="str">
        <x:v>MARKETING EXPENSES</x:v>
      </x:c>
      <x:c r="Z36" s="57" t="str">
        <x:v>MARKETING EXPENSES</x:v>
      </x:c>
      <x:c r="AA36" s="58" t="str">
        <x:v>MARKETING EXPENSES</x:v>
      </x:c>
      <x:c r="AB36" s="59" t="str">
        <x:v>MARKETING EXPENSES</x:v>
      </x:c>
      <x:c r="AC36" s="57" t="str">
        <x:v>MARKETING EXPENSES</x:v>
      </x:c>
      <x:c r="AD36" s="58" t="str">
        <x:v>MARKETING EXPENSES</x:v>
      </x:c>
      <x:c r="AE36" s="59" t="str">
        <x:v>MARKETING EXPENSES</x:v>
      </x:c>
      <x:c r="AF36" s="57" t="str">
        <x:v>MARKETING EXPENSES</x:v>
      </x:c>
      <x:c r="AG36" s="58" t="str">
        <x:v>MARKETING EXPENSES</x:v>
      </x:c>
      <x:c r="AH36" s="59" t="str">
        <x:v>MARKETING EXPENSES</x:v>
      </x:c>
      <x:c r="AI36" s="57" t="str">
        <x:v>MARKETING EXPENSES</x:v>
      </x:c>
      <x:c r="AJ36" s="58" t="str">
        <x:v>MARKETING EXPENSES</x:v>
      </x:c>
      <x:c r="AK36" s="59" t="str">
        <x:v>MARKETING EXPENSES</x:v>
      </x:c>
    </x:row>
    <x:row r="37" ht="22" customHeight="1">
      <x:c r="A37" s="116" t="str">
        <x:v>Salaries and Wages</x:v>
      </x:c>
      <x:c r="B37" s="130"/>
      <x:c r="C37" s="131" t="n">
        <x:f>IF(B37&lt;&gt;"",B37,D37)</x:f>
        <x:v>6000</x:v>
      </x:c>
      <x:c r="D37" s="132" t="n">
        <x:v>6000</x:v>
      </x:c>
      <x:c r="E37" s="130"/>
      <x:c r="F37" s="131" t="n">
        <x:f>IF(E37&lt;&gt;"",E37,G37)</x:f>
        <x:v>6000</x:v>
      </x:c>
      <x:c r="G37" s="132" t="n">
        <x:v>6000</x:v>
      </x:c>
      <x:c r="H37" s="130"/>
      <x:c r="I37" s="131" t="n">
        <x:f>IF(H37&lt;&gt;"",H37,J37)</x:f>
        <x:v>6000</x:v>
      </x:c>
      <x:c r="J37" s="132" t="n">
        <x:v>6000</x:v>
      </x:c>
      <x:c r="K37" s="130"/>
      <x:c r="L37" s="131" t="n">
        <x:f>IF(K37&lt;&gt;"",K37,M37)</x:f>
        <x:v>6000</x:v>
      </x:c>
      <x:c r="M37" s="132" t="n">
        <x:v>6000</x:v>
      </x:c>
      <x:c r="N37" s="130"/>
      <x:c r="O37" s="131" t="n">
        <x:f>IF(N37&lt;&gt;"",N37,P37)</x:f>
        <x:v>6000</x:v>
      </x:c>
      <x:c r="P37" s="132" t="n">
        <x:v>6000</x:v>
      </x:c>
      <x:c r="Q37" s="130"/>
      <x:c r="R37" s="131" t="n">
        <x:f>IF(Q37&lt;&gt;"",Q37,S37)</x:f>
        <x:v>6000</x:v>
      </x:c>
      <x:c r="S37" s="132" t="n">
        <x:v>6000</x:v>
      </x:c>
      <x:c r="T37" s="130"/>
      <x:c r="U37" s="131" t="n">
        <x:f>IF(T37&lt;&gt;"",T37,V37)</x:f>
        <x:v>6000</x:v>
      </x:c>
      <x:c r="V37" s="132" t="n">
        <x:v>6000</x:v>
      </x:c>
      <x:c r="W37" s="130"/>
      <x:c r="X37" s="131" t="n">
        <x:f>IF(W37&lt;&gt;"",W37,Y37)</x:f>
        <x:v>6000</x:v>
      </x:c>
      <x:c r="Y37" s="132" t="n">
        <x:v>6000</x:v>
      </x:c>
      <x:c r="Z37" s="130"/>
      <x:c r="AA37" s="131" t="n">
        <x:f>IF(Z37&lt;&gt;"",Z37,AB37)</x:f>
        <x:v>6000</x:v>
      </x:c>
      <x:c r="AB37" s="132" t="n">
        <x:v>6000</x:v>
      </x:c>
      <x:c r="AC37" s="130"/>
      <x:c r="AD37" s="131" t="n">
        <x:f>IF(AC37&lt;&gt;"",AC37,AE37)</x:f>
        <x:v>6000</x:v>
      </x:c>
      <x:c r="AE37" s="132" t="n">
        <x:v>6000</x:v>
      </x:c>
      <x:c r="AF37" s="130" t="n">
        <x:v>5880</x:v>
      </x:c>
      <x:c r="AG37" s="131" t="n">
        <x:f>IF(AF37&lt;&gt;"",AF37,AH37)</x:f>
        <x:v>5880</x:v>
      </x:c>
      <x:c r="AH37" s="132" t="n">
        <x:v>6000</x:v>
      </x:c>
      <x:c r="AI37" s="130" t="n">
        <x:v>6300</x:v>
      </x:c>
      <x:c r="AJ37" s="131" t="n">
        <x:f>IF(AI37&lt;&gt;"",AI37,AK37)</x:f>
        <x:v>6300</x:v>
      </x:c>
      <x:c r="AK37" s="132" t="n">
        <x:v>6000</x:v>
      </x:c>
    </x:row>
    <x:row r="38" ht="22" customHeight="1">
      <x:c r="A38" s="116" t="str">
        <x:v>Bonuses</x:v>
      </x:c>
      <x:c r="B38" s="130"/>
      <x:c r="C38" s="131" t="n">
        <x:f>IF(B38&lt;&gt;"",B38,D38)</x:f>
        <x:v>0</x:v>
      </x:c>
      <x:c r="D38" s="132" t="n">
        <x:v>0</x:v>
      </x:c>
      <x:c r="E38" s="130"/>
      <x:c r="F38" s="131" t="n">
        <x:f>IF(E38&lt;&gt;"",E38,G38)</x:f>
        <x:v>0</x:v>
      </x:c>
      <x:c r="G38" s="132" t="n">
        <x:v>0</x:v>
      </x:c>
      <x:c r="H38" s="130"/>
      <x:c r="I38" s="131" t="n">
        <x:f>IF(H38&lt;&gt;"",H38,J38)</x:f>
        <x:v>0</x:v>
      </x:c>
      <x:c r="J38" s="132" t="n">
        <x:v>0</x:v>
      </x:c>
      <x:c r="K38" s="130"/>
      <x:c r="L38" s="131" t="n">
        <x:f>IF(K38&lt;&gt;"",K38,M38)</x:f>
        <x:v>0</x:v>
      </x:c>
      <x:c r="M38" s="132" t="n">
        <x:v>0</x:v>
      </x:c>
      <x:c r="N38" s="130"/>
      <x:c r="O38" s="131" t="n">
        <x:f>IF(N38&lt;&gt;"",N38,P38)</x:f>
        <x:v>0</x:v>
      </x:c>
      <x:c r="P38" s="132" t="n">
        <x:v>0</x:v>
      </x:c>
      <x:c r="Q38" s="130"/>
      <x:c r="R38" s="131" t="n">
        <x:f>IF(Q38&lt;&gt;"",Q38,S38)</x:f>
        <x:v>0</x:v>
      </x:c>
      <x:c r="S38" s="132" t="n">
        <x:v>0</x:v>
      </x:c>
      <x:c r="T38" s="130"/>
      <x:c r="U38" s="131" t="n">
        <x:f>IF(T38&lt;&gt;"",T38,V38)</x:f>
        <x:v>0</x:v>
      </x:c>
      <x:c r="V38" s="132" t="n">
        <x:v>0</x:v>
      </x:c>
      <x:c r="W38" s="130"/>
      <x:c r="X38" s="131" t="n">
        <x:f>IF(W38&lt;&gt;"",W38,Y38)</x:f>
        <x:v>0</x:v>
      </x:c>
      <x:c r="Y38" s="132" t="n">
        <x:v>0</x:v>
      </x:c>
      <x:c r="Z38" s="130"/>
      <x:c r="AA38" s="131" t="n">
        <x:f>IF(Z38&lt;&gt;"",Z38,AB38)</x:f>
        <x:v>0</x:v>
      </x:c>
      <x:c r="AB38" s="132" t="n">
        <x:v>0</x:v>
      </x:c>
      <x:c r="AC38" s="130"/>
      <x:c r="AD38" s="131" t="n">
        <x:f>IF(AC38&lt;&gt;"",AC38,AE38)</x:f>
        <x:v>0</x:v>
      </x:c>
      <x:c r="AE38" s="132" t="n">
        <x:v>0</x:v>
      </x:c>
      <x:c r="AF38" s="130" t="n">
        <x:v>0</x:v>
      </x:c>
      <x:c r="AG38" s="131" t="n">
        <x:f>IF(AF38&lt;&gt;"",AF38,AH38)</x:f>
        <x:v>0</x:v>
      </x:c>
      <x:c r="AH38" s="132" t="n">
        <x:v>0</x:v>
      </x:c>
      <x:c r="AI38" s="130" t="n">
        <x:v>0</x:v>
      </x:c>
      <x:c r="AJ38" s="131" t="n">
        <x:f>IF(AI38&lt;&gt;"",AI38,AK38)</x:f>
        <x:v>0</x:v>
      </x:c>
      <x:c r="AK38" s="132" t="n">
        <x:v>0</x:v>
      </x:c>
    </x:row>
    <x:row r="39" ht="22" customHeight="1">
      <x:c r="A39" s="116" t="str">
        <x:v>Payroll Taxes and Benefits</x:v>
      </x:c>
      <x:c r="B39" s="130"/>
      <x:c r="C39" s="131" t="n">
        <x:f>IF(B39&lt;&gt;"",B39,D39)</x:f>
        <x:v>1200</x:v>
      </x:c>
      <x:c r="D39" s="132" t="n">
        <x:v>1200</x:v>
      </x:c>
      <x:c r="E39" s="130"/>
      <x:c r="F39" s="131" t="n">
        <x:f>IF(E39&lt;&gt;"",E39,G39)</x:f>
        <x:v>1200</x:v>
      </x:c>
      <x:c r="G39" s="132" t="n">
        <x:v>1200</x:v>
      </x:c>
      <x:c r="H39" s="130"/>
      <x:c r="I39" s="131" t="n">
        <x:f>IF(H39&lt;&gt;"",H39,J39)</x:f>
        <x:v>1200</x:v>
      </x:c>
      <x:c r="J39" s="132" t="n">
        <x:v>1200</x:v>
      </x:c>
      <x:c r="K39" s="130"/>
      <x:c r="L39" s="131" t="n">
        <x:f>IF(K39&lt;&gt;"",K39,M39)</x:f>
        <x:v>1200</x:v>
      </x:c>
      <x:c r="M39" s="132" t="n">
        <x:v>1200</x:v>
      </x:c>
      <x:c r="N39" s="130"/>
      <x:c r="O39" s="131" t="n">
        <x:f>IF(N39&lt;&gt;"",N39,P39)</x:f>
        <x:v>1200</x:v>
      </x:c>
      <x:c r="P39" s="132" t="n">
        <x:v>1200</x:v>
      </x:c>
      <x:c r="Q39" s="130"/>
      <x:c r="R39" s="131" t="n">
        <x:f>IF(Q39&lt;&gt;"",Q39,S39)</x:f>
        <x:v>1200</x:v>
      </x:c>
      <x:c r="S39" s="132" t="n">
        <x:v>1200</x:v>
      </x:c>
      <x:c r="T39" s="130"/>
      <x:c r="U39" s="131" t="n">
        <x:f>IF(T39&lt;&gt;"",T39,V39)</x:f>
        <x:v>1200</x:v>
      </x:c>
      <x:c r="V39" s="132" t="n">
        <x:v>1200</x:v>
      </x:c>
      <x:c r="W39" s="130"/>
      <x:c r="X39" s="131" t="n">
        <x:f>IF(W39&lt;&gt;"",W39,Y39)</x:f>
        <x:v>1200</x:v>
      </x:c>
      <x:c r="Y39" s="132" t="n">
        <x:v>1200</x:v>
      </x:c>
      <x:c r="Z39" s="130"/>
      <x:c r="AA39" s="131" t="n">
        <x:f>IF(Z39&lt;&gt;"",Z39,AB39)</x:f>
        <x:v>1200</x:v>
      </x:c>
      <x:c r="AB39" s="132" t="n">
        <x:v>1200</x:v>
      </x:c>
      <x:c r="AC39" s="130"/>
      <x:c r="AD39" s="131" t="n">
        <x:f>IF(AC39&lt;&gt;"",AC39,AE39)</x:f>
        <x:v>1200</x:v>
      </x:c>
      <x:c r="AE39" s="132" t="n">
        <x:v>1200</x:v>
      </x:c>
      <x:c r="AF39" s="130" t="n">
        <x:v>1176</x:v>
      </x:c>
      <x:c r="AG39" s="131" t="n">
        <x:f>IF(AF39&lt;&gt;"",AF39,AH39)</x:f>
        <x:v>1176</x:v>
      </x:c>
      <x:c r="AH39" s="132" t="n">
        <x:v>1200</x:v>
      </x:c>
      <x:c r="AI39" s="130" t="n">
        <x:v>1260</x:v>
      </x:c>
      <x:c r="AJ39" s="131" t="n">
        <x:f>IF(AI39&lt;&gt;"",AI39,AK39)</x:f>
        <x:v>1260</x:v>
      </x:c>
      <x:c r="AK39" s="132" t="n">
        <x:v>1200</x:v>
      </x:c>
    </x:row>
    <x:row r="40" ht="22" customHeight="1">
      <x:c r="A40" s="116" t="str">
        <x:v>Contractors and Freelancers</x:v>
      </x:c>
      <x:c r="B40" s="130"/>
      <x:c r="C40" s="131" t="n">
        <x:f>IF(B40&lt;&gt;"",B40,D40)</x:f>
        <x:v>2000</x:v>
      </x:c>
      <x:c r="D40" s="132" t="n">
        <x:v>2000</x:v>
      </x:c>
      <x:c r="E40" s="130"/>
      <x:c r="F40" s="131" t="n">
        <x:f>IF(E40&lt;&gt;"",E40,G40)</x:f>
        <x:v>2000</x:v>
      </x:c>
      <x:c r="G40" s="132" t="n">
        <x:v>2000</x:v>
      </x:c>
      <x:c r="H40" s="130"/>
      <x:c r="I40" s="131" t="n">
        <x:f>IF(H40&lt;&gt;"",H40,J40)</x:f>
        <x:v>2000</x:v>
      </x:c>
      <x:c r="J40" s="132" t="n">
        <x:v>2000</x:v>
      </x:c>
      <x:c r="K40" s="130"/>
      <x:c r="L40" s="131" t="n">
        <x:f>IF(K40&lt;&gt;"",K40,M40)</x:f>
        <x:v>2000</x:v>
      </x:c>
      <x:c r="M40" s="132" t="n">
        <x:v>2000</x:v>
      </x:c>
      <x:c r="N40" s="130"/>
      <x:c r="O40" s="131" t="n">
        <x:f>IF(N40&lt;&gt;"",N40,P40)</x:f>
        <x:v>2000</x:v>
      </x:c>
      <x:c r="P40" s="132" t="n">
        <x:v>2000</x:v>
      </x:c>
      <x:c r="Q40" s="130"/>
      <x:c r="R40" s="131" t="n">
        <x:f>IF(Q40&lt;&gt;"",Q40,S40)</x:f>
        <x:v>2000</x:v>
      </x:c>
      <x:c r="S40" s="132" t="n">
        <x:v>2000</x:v>
      </x:c>
      <x:c r="T40" s="130"/>
      <x:c r="U40" s="131" t="n">
        <x:f>IF(T40&lt;&gt;"",T40,V40)</x:f>
        <x:v>2000</x:v>
      </x:c>
      <x:c r="V40" s="132" t="n">
        <x:v>2000</x:v>
      </x:c>
      <x:c r="W40" s="130"/>
      <x:c r="X40" s="131" t="n">
        <x:f>IF(W40&lt;&gt;"",W40,Y40)</x:f>
        <x:v>2000</x:v>
      </x:c>
      <x:c r="Y40" s="132" t="n">
        <x:v>2000</x:v>
      </x:c>
      <x:c r="Z40" s="130"/>
      <x:c r="AA40" s="131" t="n">
        <x:f>IF(Z40&lt;&gt;"",Z40,AB40)</x:f>
        <x:v>2000</x:v>
      </x:c>
      <x:c r="AB40" s="132" t="n">
        <x:v>2000</x:v>
      </x:c>
      <x:c r="AC40" s="130"/>
      <x:c r="AD40" s="131" t="n">
        <x:f>IF(AC40&lt;&gt;"",AC40,AE40)</x:f>
        <x:v>2000</x:v>
      </x:c>
      <x:c r="AE40" s="132" t="n">
        <x:v>2000</x:v>
      </x:c>
      <x:c r="AF40" s="130" t="n">
        <x:v>1960</x:v>
      </x:c>
      <x:c r="AG40" s="131" t="n">
        <x:f>IF(AF40&lt;&gt;"",AF40,AH40)</x:f>
        <x:v>1960</x:v>
      </x:c>
      <x:c r="AH40" s="132" t="n">
        <x:v>2000</x:v>
      </x:c>
      <x:c r="AI40" s="130" t="n">
        <x:v>2100</x:v>
      </x:c>
      <x:c r="AJ40" s="131" t="n">
        <x:f>IF(AI40&lt;&gt;"",AI40,AK40)</x:f>
        <x:v>2100</x:v>
      </x:c>
      <x:c r="AK40" s="132" t="n">
        <x:v>2000</x:v>
      </x:c>
    </x:row>
    <x:row r="41" ht="22" customHeight="1">
      <x:c r="A41" s="116" t="str">
        <x:v>Recruiting</x:v>
      </x:c>
      <x:c r="B41" s="130"/>
      <x:c r="C41" s="131" t="n">
        <x:f>IF(B41&lt;&gt;"",B41,D41)</x:f>
        <x:v>0</x:v>
      </x:c>
      <x:c r="D41" s="132" t="n">
        <x:v>0</x:v>
      </x:c>
      <x:c r="E41" s="130"/>
      <x:c r="F41" s="131" t="n">
        <x:f>IF(E41&lt;&gt;"",E41,G41)</x:f>
        <x:v>0</x:v>
      </x:c>
      <x:c r="G41" s="132" t="n">
        <x:v>0</x:v>
      </x:c>
      <x:c r="H41" s="130"/>
      <x:c r="I41" s="131" t="n">
        <x:f>IF(H41&lt;&gt;"",H41,J41)</x:f>
        <x:v>0</x:v>
      </x:c>
      <x:c r="J41" s="132" t="n">
        <x:v>0</x:v>
      </x:c>
      <x:c r="K41" s="130"/>
      <x:c r="L41" s="131" t="n">
        <x:f>IF(K41&lt;&gt;"",K41,M41)</x:f>
        <x:v>0</x:v>
      </x:c>
      <x:c r="M41" s="132" t="n">
        <x:v>0</x:v>
      </x:c>
      <x:c r="N41" s="130"/>
      <x:c r="O41" s="131" t="n">
        <x:f>IF(N41&lt;&gt;"",N41,P41)</x:f>
        <x:v>0</x:v>
      </x:c>
      <x:c r="P41" s="132" t="n">
        <x:v>0</x:v>
      </x:c>
      <x:c r="Q41" s="130"/>
      <x:c r="R41" s="131" t="n">
        <x:f>IF(Q41&lt;&gt;"",Q41,S41)</x:f>
        <x:v>0</x:v>
      </x:c>
      <x:c r="S41" s="132" t="n">
        <x:v>0</x:v>
      </x:c>
      <x:c r="T41" s="130"/>
      <x:c r="U41" s="131" t="n">
        <x:f>IF(T41&lt;&gt;"",T41,V41)</x:f>
        <x:v>0</x:v>
      </x:c>
      <x:c r="V41" s="132" t="n">
        <x:v>0</x:v>
      </x:c>
      <x:c r="W41" s="130"/>
      <x:c r="X41" s="131" t="n">
        <x:f>IF(W41&lt;&gt;"",W41,Y41)</x:f>
        <x:v>0</x:v>
      </x:c>
      <x:c r="Y41" s="132" t="n">
        <x:v>0</x:v>
      </x:c>
      <x:c r="Z41" s="130"/>
      <x:c r="AA41" s="131" t="n">
        <x:f>IF(Z41&lt;&gt;"",Z41,AB41)</x:f>
        <x:v>0</x:v>
      </x:c>
      <x:c r="AB41" s="132" t="n">
        <x:v>0</x:v>
      </x:c>
      <x:c r="AC41" s="130"/>
      <x:c r="AD41" s="131" t="n">
        <x:f>IF(AC41&lt;&gt;"",AC41,AE41)</x:f>
        <x:v>0</x:v>
      </x:c>
      <x:c r="AE41" s="132" t="n">
        <x:v>0</x:v>
      </x:c>
      <x:c r="AF41" s="130" t="n">
        <x:v>0</x:v>
      </x:c>
      <x:c r="AG41" s="131" t="n">
        <x:f>IF(AF41&lt;&gt;"",AF41,AH41)</x:f>
        <x:v>0</x:v>
      </x:c>
      <x:c r="AH41" s="132" t="n">
        <x:v>0</x:v>
      </x:c>
      <x:c r="AI41" s="130" t="n">
        <x:v>0</x:v>
      </x:c>
      <x:c r="AJ41" s="131" t="n">
        <x:f>IF(AI41&lt;&gt;"",AI41,AK41)</x:f>
        <x:v>0</x:v>
      </x:c>
      <x:c r="AK41" s="132" t="n">
        <x:v>0</x:v>
      </x:c>
    </x:row>
    <x:row r="42" ht="22" customHeight="1">
      <x:c r="A42" s="116" t="str">
        <x:v>Training and Development</x:v>
      </x:c>
      <x:c r="B42" s="130"/>
      <x:c r="C42" s="131" t="n">
        <x:f>IF(B42&lt;&gt;"",B42,D42)</x:f>
        <x:v>250</x:v>
      </x:c>
      <x:c r="D42" s="132" t="n">
        <x:v>250</x:v>
      </x:c>
      <x:c r="E42" s="130"/>
      <x:c r="F42" s="131" t="n">
        <x:f>IF(E42&lt;&gt;"",E42,G42)</x:f>
        <x:v>250</x:v>
      </x:c>
      <x:c r="G42" s="132" t="n">
        <x:v>250</x:v>
      </x:c>
      <x:c r="H42" s="130"/>
      <x:c r="I42" s="131" t="n">
        <x:f>IF(H42&lt;&gt;"",H42,J42)</x:f>
        <x:v>250</x:v>
      </x:c>
      <x:c r="J42" s="132" t="n">
        <x:v>250</x:v>
      </x:c>
      <x:c r="K42" s="130"/>
      <x:c r="L42" s="131" t="n">
        <x:f>IF(K42&lt;&gt;"",K42,M42)</x:f>
        <x:v>250</x:v>
      </x:c>
      <x:c r="M42" s="132" t="n">
        <x:v>250</x:v>
      </x:c>
      <x:c r="N42" s="130"/>
      <x:c r="O42" s="131" t="n">
        <x:f>IF(N42&lt;&gt;"",N42,P42)</x:f>
        <x:v>250</x:v>
      </x:c>
      <x:c r="P42" s="132" t="n">
        <x:v>250</x:v>
      </x:c>
      <x:c r="Q42" s="130"/>
      <x:c r="R42" s="131" t="n">
        <x:f>IF(Q42&lt;&gt;"",Q42,S42)</x:f>
        <x:v>250</x:v>
      </x:c>
      <x:c r="S42" s="132" t="n">
        <x:v>250</x:v>
      </x:c>
      <x:c r="T42" s="130"/>
      <x:c r="U42" s="131" t="n">
        <x:f>IF(T42&lt;&gt;"",T42,V42)</x:f>
        <x:v>250</x:v>
      </x:c>
      <x:c r="V42" s="132" t="n">
        <x:v>250</x:v>
      </x:c>
      <x:c r="W42" s="130"/>
      <x:c r="X42" s="131" t="n">
        <x:f>IF(W42&lt;&gt;"",W42,Y42)</x:f>
        <x:v>250</x:v>
      </x:c>
      <x:c r="Y42" s="132" t="n">
        <x:v>250</x:v>
      </x:c>
      <x:c r="Z42" s="130"/>
      <x:c r="AA42" s="131" t="n">
        <x:f>IF(Z42&lt;&gt;"",Z42,AB42)</x:f>
        <x:v>250</x:v>
      </x:c>
      <x:c r="AB42" s="132" t="n">
        <x:v>250</x:v>
      </x:c>
      <x:c r="AC42" s="130"/>
      <x:c r="AD42" s="131" t="n">
        <x:f>IF(AC42&lt;&gt;"",AC42,AE42)</x:f>
        <x:v>250</x:v>
      </x:c>
      <x:c r="AE42" s="132" t="n">
        <x:v>250</x:v>
      </x:c>
      <x:c r="AF42" s="130" t="n">
        <x:v>245</x:v>
      </x:c>
      <x:c r="AG42" s="131" t="n">
        <x:f>IF(AF42&lt;&gt;"",AF42,AH42)</x:f>
        <x:v>245</x:v>
      </x:c>
      <x:c r="AH42" s="132" t="n">
        <x:v>250</x:v>
      </x:c>
      <x:c r="AI42" s="130" t="n">
        <x:v>263</x:v>
      </x:c>
      <x:c r="AJ42" s="131" t="n">
        <x:f>IF(AI42&lt;&gt;"",AI42,AK42)</x:f>
        <x:v>263</x:v>
      </x:c>
      <x:c r="AK42" s="132" t="n">
        <x:v>250</x:v>
      </x:c>
    </x:row>
    <x:row r="43" ht="22" customHeight="1">
      <x:c r="A43" s="116" t="str">
        <x:v>Software Subscriptions</x:v>
      </x:c>
      <x:c r="B43" s="130"/>
      <x:c r="C43" s="131" t="n">
        <x:f>IF(B43&lt;&gt;"",B43,D43)</x:f>
        <x:v>600</x:v>
      </x:c>
      <x:c r="D43" s="132" t="n">
        <x:v>600</x:v>
      </x:c>
      <x:c r="E43" s="130"/>
      <x:c r="F43" s="131" t="n">
        <x:f>IF(E43&lt;&gt;"",E43,G43)</x:f>
        <x:v>600</x:v>
      </x:c>
      <x:c r="G43" s="132" t="n">
        <x:v>600</x:v>
      </x:c>
      <x:c r="H43" s="130"/>
      <x:c r="I43" s="131" t="n">
        <x:f>IF(H43&lt;&gt;"",H43,J43)</x:f>
        <x:v>600</x:v>
      </x:c>
      <x:c r="J43" s="132" t="n">
        <x:v>600</x:v>
      </x:c>
      <x:c r="K43" s="130"/>
      <x:c r="L43" s="131" t="n">
        <x:f>IF(K43&lt;&gt;"",K43,M43)</x:f>
        <x:v>600</x:v>
      </x:c>
      <x:c r="M43" s="132" t="n">
        <x:v>600</x:v>
      </x:c>
      <x:c r="N43" s="130"/>
      <x:c r="O43" s="131" t="n">
        <x:f>IF(N43&lt;&gt;"",N43,P43)</x:f>
        <x:v>600</x:v>
      </x:c>
      <x:c r="P43" s="132" t="n">
        <x:v>600</x:v>
      </x:c>
      <x:c r="Q43" s="130"/>
      <x:c r="R43" s="131" t="n">
        <x:f>IF(Q43&lt;&gt;"",Q43,S43)</x:f>
        <x:v>600</x:v>
      </x:c>
      <x:c r="S43" s="132" t="n">
        <x:v>600</x:v>
      </x:c>
      <x:c r="T43" s="130"/>
      <x:c r="U43" s="131" t="n">
        <x:f>IF(T43&lt;&gt;"",T43,V43)</x:f>
        <x:v>600</x:v>
      </x:c>
      <x:c r="V43" s="132" t="n">
        <x:v>600</x:v>
      </x:c>
      <x:c r="W43" s="130"/>
      <x:c r="X43" s="131" t="n">
        <x:f>IF(W43&lt;&gt;"",W43,Y43)</x:f>
        <x:v>600</x:v>
      </x:c>
      <x:c r="Y43" s="132" t="n">
        <x:v>600</x:v>
      </x:c>
      <x:c r="Z43" s="130"/>
      <x:c r="AA43" s="131" t="n">
        <x:f>IF(Z43&lt;&gt;"",Z43,AB43)</x:f>
        <x:v>600</x:v>
      </x:c>
      <x:c r="AB43" s="132" t="n">
        <x:v>600</x:v>
      </x:c>
      <x:c r="AC43" s="130"/>
      <x:c r="AD43" s="131" t="n">
        <x:f>IF(AC43&lt;&gt;"",AC43,AE43)</x:f>
        <x:v>600</x:v>
      </x:c>
      <x:c r="AE43" s="132" t="n">
        <x:v>600</x:v>
      </x:c>
      <x:c r="AF43" s="130" t="n">
        <x:v>588</x:v>
      </x:c>
      <x:c r="AG43" s="131" t="n">
        <x:f>IF(AF43&lt;&gt;"",AF43,AH43)</x:f>
        <x:v>588</x:v>
      </x:c>
      <x:c r="AH43" s="132" t="n">
        <x:v>600</x:v>
      </x:c>
      <x:c r="AI43" s="130" t="n">
        <x:v>630</x:v>
      </x:c>
      <x:c r="AJ43" s="131" t="n">
        <x:f>IF(AI43&lt;&gt;"",AI43,AK43)</x:f>
        <x:v>630</x:v>
      </x:c>
      <x:c r="AK43" s="132" t="n">
        <x:v>600</x:v>
      </x:c>
    </x:row>
    <x:row r="44" ht="22" customHeight="1">
      <x:c r="A44" s="116" t="str">
        <x:v>Dues and Subscriptions</x:v>
      </x:c>
      <x:c r="B44" s="130"/>
      <x:c r="C44" s="131" t="n">
        <x:f>IF(B44&lt;&gt;"",B44,D44)</x:f>
        <x:v>100</x:v>
      </x:c>
      <x:c r="D44" s="132" t="n">
        <x:v>100</x:v>
      </x:c>
      <x:c r="E44" s="130"/>
      <x:c r="F44" s="131" t="n">
        <x:f>IF(E44&lt;&gt;"",E44,G44)</x:f>
        <x:v>100</x:v>
      </x:c>
      <x:c r="G44" s="132" t="n">
        <x:v>100</x:v>
      </x:c>
      <x:c r="H44" s="130"/>
      <x:c r="I44" s="131" t="n">
        <x:f>IF(H44&lt;&gt;"",H44,J44)</x:f>
        <x:v>100</x:v>
      </x:c>
      <x:c r="J44" s="132" t="n">
        <x:v>100</x:v>
      </x:c>
      <x:c r="K44" s="130"/>
      <x:c r="L44" s="131" t="n">
        <x:f>IF(K44&lt;&gt;"",K44,M44)</x:f>
        <x:v>100</x:v>
      </x:c>
      <x:c r="M44" s="132" t="n">
        <x:v>100</x:v>
      </x:c>
      <x:c r="N44" s="130"/>
      <x:c r="O44" s="131" t="n">
        <x:f>IF(N44&lt;&gt;"",N44,P44)</x:f>
        <x:v>100</x:v>
      </x:c>
      <x:c r="P44" s="132" t="n">
        <x:v>100</x:v>
      </x:c>
      <x:c r="Q44" s="130"/>
      <x:c r="R44" s="131" t="n">
        <x:f>IF(Q44&lt;&gt;"",Q44,S44)</x:f>
        <x:v>100</x:v>
      </x:c>
      <x:c r="S44" s="132" t="n">
        <x:v>100</x:v>
      </x:c>
      <x:c r="T44" s="130"/>
      <x:c r="U44" s="131" t="n">
        <x:f>IF(T44&lt;&gt;"",T44,V44)</x:f>
        <x:v>100</x:v>
      </x:c>
      <x:c r="V44" s="132" t="n">
        <x:v>100</x:v>
      </x:c>
      <x:c r="W44" s="130"/>
      <x:c r="X44" s="131" t="n">
        <x:f>IF(W44&lt;&gt;"",W44,Y44)</x:f>
        <x:v>100</x:v>
      </x:c>
      <x:c r="Y44" s="132" t="n">
        <x:v>100</x:v>
      </x:c>
      <x:c r="Z44" s="130"/>
      <x:c r="AA44" s="131" t="n">
        <x:f>IF(Z44&lt;&gt;"",Z44,AB44)</x:f>
        <x:v>100</x:v>
      </x:c>
      <x:c r="AB44" s="132" t="n">
        <x:v>100</x:v>
      </x:c>
      <x:c r="AC44" s="130"/>
      <x:c r="AD44" s="131" t="n">
        <x:f>IF(AC44&lt;&gt;"",AC44,AE44)</x:f>
        <x:v>100</x:v>
      </x:c>
      <x:c r="AE44" s="132" t="n">
        <x:v>100</x:v>
      </x:c>
      <x:c r="AF44" s="130" t="n">
        <x:v>98</x:v>
      </x:c>
      <x:c r="AG44" s="131" t="n">
        <x:f>IF(AF44&lt;&gt;"",AF44,AH44)</x:f>
        <x:v>98</x:v>
      </x:c>
      <x:c r="AH44" s="132" t="n">
        <x:v>100</x:v>
      </x:c>
      <x:c r="AI44" s="130" t="n">
        <x:v>105</x:v>
      </x:c>
      <x:c r="AJ44" s="131" t="n">
        <x:f>IF(AI44&lt;&gt;"",AI44,AK44)</x:f>
        <x:v>105</x:v>
      </x:c>
      <x:c r="AK44" s="132" t="n">
        <x:v>100</x:v>
      </x:c>
    </x:row>
    <x:row r="45" ht="22" customHeight="1">
      <x:c r="A45" s="116" t="str">
        <x:v>Travel, Meals and Entertainment</x:v>
      </x:c>
      <x:c r="B45" s="130"/>
      <x:c r="C45" s="131" t="n">
        <x:f>IF(B45&lt;&gt;"",B45,D45)</x:f>
        <x:v>300</x:v>
      </x:c>
      <x:c r="D45" s="132" t="n">
        <x:v>300</x:v>
      </x:c>
      <x:c r="E45" s="130"/>
      <x:c r="F45" s="131" t="n">
        <x:f>IF(E45&lt;&gt;"",E45,G45)</x:f>
        <x:v>300</x:v>
      </x:c>
      <x:c r="G45" s="132" t="n">
        <x:v>300</x:v>
      </x:c>
      <x:c r="H45" s="130"/>
      <x:c r="I45" s="131" t="n">
        <x:f>IF(H45&lt;&gt;"",H45,J45)</x:f>
        <x:v>300</x:v>
      </x:c>
      <x:c r="J45" s="132" t="n">
        <x:v>300</x:v>
      </x:c>
      <x:c r="K45" s="130"/>
      <x:c r="L45" s="131" t="n">
        <x:f>IF(K45&lt;&gt;"",K45,M45)</x:f>
        <x:v>300</x:v>
      </x:c>
      <x:c r="M45" s="132" t="n">
        <x:v>300</x:v>
      </x:c>
      <x:c r="N45" s="130"/>
      <x:c r="O45" s="131" t="n">
        <x:f>IF(N45&lt;&gt;"",N45,P45)</x:f>
        <x:v>300</x:v>
      </x:c>
      <x:c r="P45" s="132" t="n">
        <x:v>300</x:v>
      </x:c>
      <x:c r="Q45" s="130"/>
      <x:c r="R45" s="131" t="n">
        <x:f>IF(Q45&lt;&gt;"",Q45,S45)</x:f>
        <x:v>300</x:v>
      </x:c>
      <x:c r="S45" s="132" t="n">
        <x:v>300</x:v>
      </x:c>
      <x:c r="T45" s="130"/>
      <x:c r="U45" s="131" t="n">
        <x:f>IF(T45&lt;&gt;"",T45,V45)</x:f>
        <x:v>300</x:v>
      </x:c>
      <x:c r="V45" s="132" t="n">
        <x:v>300</x:v>
      </x:c>
      <x:c r="W45" s="130"/>
      <x:c r="X45" s="131" t="n">
        <x:f>IF(W45&lt;&gt;"",W45,Y45)</x:f>
        <x:v>300</x:v>
      </x:c>
      <x:c r="Y45" s="132" t="n">
        <x:v>300</x:v>
      </x:c>
      <x:c r="Z45" s="130"/>
      <x:c r="AA45" s="131" t="n">
        <x:f>IF(Z45&lt;&gt;"",Z45,AB45)</x:f>
        <x:v>300</x:v>
      </x:c>
      <x:c r="AB45" s="132" t="n">
        <x:v>300</x:v>
      </x:c>
      <x:c r="AC45" s="130"/>
      <x:c r="AD45" s="131" t="n">
        <x:f>IF(AC45&lt;&gt;"",AC45,AE45)</x:f>
        <x:v>300</x:v>
      </x:c>
      <x:c r="AE45" s="132" t="n">
        <x:v>300</x:v>
      </x:c>
      <x:c r="AF45" s="130" t="n">
        <x:v>294</x:v>
      </x:c>
      <x:c r="AG45" s="131" t="n">
        <x:f>IF(AF45&lt;&gt;"",AF45,AH45)</x:f>
        <x:v>294</x:v>
      </x:c>
      <x:c r="AH45" s="132" t="n">
        <x:v>300</x:v>
      </x:c>
      <x:c r="AI45" s="130" t="n">
        <x:v>315</x:v>
      </x:c>
      <x:c r="AJ45" s="131" t="n">
        <x:f>IF(AI45&lt;&gt;"",AI45,AK45)</x:f>
        <x:v>315</x:v>
      </x:c>
      <x:c r="AK45" s="132" t="n">
        <x:v>300</x:v>
      </x:c>
    </x:row>
    <x:row r="46" ht="22" customHeight="1">
      <x:c r="A46" s="136" t="str">
        <x:v>Total Standard Department Cost</x:v>
      </x:c>
      <x:c r="B46" s="137" t="str">
        <x:f>IF(COUNT(B37:B45)&gt;0,SUM(B37:B45),"")</x:f>
      </x:c>
      <x:c r="C46" s="138" t="n">
        <x:f>SUM(C37:C45)</x:f>
        <x:v>10450</x:v>
      </x:c>
      <x:c r="D46" s="139" t="n">
        <x:f>SUM(D37:D45)</x:f>
        <x:v>10450</x:v>
      </x:c>
      <x:c r="E46" s="137" t="str">
        <x:f>IF(COUNT(E37:E45)&gt;0,SUM(E37:E45),"")</x:f>
      </x:c>
      <x:c r="F46" s="138" t="n">
        <x:f>SUM(F37:F45)</x:f>
        <x:v>10450</x:v>
      </x:c>
      <x:c r="G46" s="139" t="n">
        <x:f>SUM(G37:G45)</x:f>
        <x:v>10450</x:v>
      </x:c>
      <x:c r="H46" s="137" t="str">
        <x:f>IF(COUNT(H37:H45)&gt;0,SUM(H37:H45),"")</x:f>
      </x:c>
      <x:c r="I46" s="138" t="n">
        <x:f>SUM(I37:I45)</x:f>
        <x:v>10450</x:v>
      </x:c>
      <x:c r="J46" s="139" t="n">
        <x:f>SUM(J37:J45)</x:f>
        <x:v>10450</x:v>
      </x:c>
      <x:c r="K46" s="137" t="str">
        <x:f>IF(COUNT(K37:K45)&gt;0,SUM(K37:K45),"")</x:f>
      </x:c>
      <x:c r="L46" s="138" t="n">
        <x:f>SUM(L37:L45)</x:f>
        <x:v>10450</x:v>
      </x:c>
      <x:c r="M46" s="139" t="n">
        <x:f>SUM(M37:M45)</x:f>
        <x:v>10450</x:v>
      </x:c>
      <x:c r="N46" s="137" t="str">
        <x:f>IF(COUNT(N37:N45)&gt;0,SUM(N37:N45),"")</x:f>
      </x:c>
      <x:c r="O46" s="138" t="n">
        <x:f>SUM(O37:O45)</x:f>
        <x:v>10450</x:v>
      </x:c>
      <x:c r="P46" s="139" t="n">
        <x:f>SUM(P37:P45)</x:f>
        <x:v>10450</x:v>
      </x:c>
      <x:c r="Q46" s="137" t="str">
        <x:f>IF(COUNT(Q37:Q45)&gt;0,SUM(Q37:Q45),"")</x:f>
      </x:c>
      <x:c r="R46" s="138" t="n">
        <x:f>SUM(R37:R45)</x:f>
        <x:v>10450</x:v>
      </x:c>
      <x:c r="S46" s="139" t="n">
        <x:f>SUM(S37:S45)</x:f>
        <x:v>10450</x:v>
      </x:c>
      <x:c r="T46" s="137" t="str">
        <x:f>IF(COUNT(T37:T45)&gt;0,SUM(T37:T45),"")</x:f>
      </x:c>
      <x:c r="U46" s="138" t="n">
        <x:f>SUM(U37:U45)</x:f>
        <x:v>10450</x:v>
      </x:c>
      <x:c r="V46" s="139" t="n">
        <x:f>SUM(V37:V45)</x:f>
        <x:v>10450</x:v>
      </x:c>
      <x:c r="W46" s="137" t="str">
        <x:f>IF(COUNT(W37:W45)&gt;0,SUM(W37:W45),"")</x:f>
      </x:c>
      <x:c r="X46" s="138" t="n">
        <x:f>SUM(X37:X45)</x:f>
        <x:v>10450</x:v>
      </x:c>
      <x:c r="Y46" s="139" t="n">
        <x:f>SUM(Y37:Y45)</x:f>
        <x:v>10450</x:v>
      </x:c>
      <x:c r="Z46" s="137" t="str">
        <x:f>IF(COUNT(Z37:Z45)&gt;0,SUM(Z37:Z45),"")</x:f>
      </x:c>
      <x:c r="AA46" s="138" t="n">
        <x:f>SUM(AA37:AA45)</x:f>
        <x:v>10450</x:v>
      </x:c>
      <x:c r="AB46" s="139" t="n">
        <x:f>SUM(AB37:AB45)</x:f>
        <x:v>10450</x:v>
      </x:c>
      <x:c r="AC46" s="137" t="str">
        <x:f>IF(COUNT(AC37:AC45)&gt;0,SUM(AC37:AC45),"")</x:f>
      </x:c>
      <x:c r="AD46" s="138" t="n">
        <x:f>SUM(AD37:AD45)</x:f>
        <x:v>10450</x:v>
      </x:c>
      <x:c r="AE46" s="139" t="n">
        <x:f>SUM(AE37:AE45)</x:f>
        <x:v>10450</x:v>
      </x:c>
      <x:c r="AF46" s="137" t="n">
        <x:f>IF(COUNT(AF37:AF45)&gt;0,SUM(AF37:AF45),"")</x:f>
        <x:v>10241</x:v>
      </x:c>
      <x:c r="AG46" s="138" t="n">
        <x:f>SUM(AG37:AG45)</x:f>
        <x:v>10241</x:v>
      </x:c>
      <x:c r="AH46" s="139" t="n">
        <x:f>SUM(AH37:AH45)</x:f>
        <x:v>10450</x:v>
      </x:c>
      <x:c r="AI46" s="137" t="n">
        <x:f>IF(COUNT(AI37:AI45)&gt;0,SUM(AI37:AI45),"")</x:f>
        <x:v>10973</x:v>
      </x:c>
      <x:c r="AJ46" s="138" t="n">
        <x:f>SUM(AJ37:AJ45)</x:f>
        <x:v>10973</x:v>
      </x:c>
      <x:c r="AK46" s="139" t="n">
        <x:f>SUM(AK37:AK45)</x:f>
        <x:v>10450</x:v>
      </x:c>
    </x:row>
    <x:row r="47" ht="22" customHeight="1">
      <x:c r="A47" s="116" t="str">
        <x:v>Advertising and Paid Media</x:v>
      </x:c>
      <x:c r="B47" s="130"/>
      <x:c r="C47" s="131" t="n">
        <x:f>IF(B47&lt;&gt;"",B47,D47)</x:f>
        <x:v>5000</x:v>
      </x:c>
      <x:c r="D47" s="132" t="n">
        <x:v>5000</x:v>
      </x:c>
      <x:c r="E47" s="130"/>
      <x:c r="F47" s="131" t="n">
        <x:f>IF(E47&lt;&gt;"",E47,G47)</x:f>
        <x:v>5000</x:v>
      </x:c>
      <x:c r="G47" s="132" t="n">
        <x:v>5000</x:v>
      </x:c>
      <x:c r="H47" s="130"/>
      <x:c r="I47" s="131" t="n">
        <x:f>IF(H47&lt;&gt;"",H47,J47)</x:f>
        <x:v>5000</x:v>
      </x:c>
      <x:c r="J47" s="132" t="n">
        <x:v>5000</x:v>
      </x:c>
      <x:c r="K47" s="130"/>
      <x:c r="L47" s="131" t="n">
        <x:f>IF(K47&lt;&gt;"",K47,M47)</x:f>
        <x:v>5000</x:v>
      </x:c>
      <x:c r="M47" s="132" t="n">
        <x:v>5000</x:v>
      </x:c>
      <x:c r="N47" s="130"/>
      <x:c r="O47" s="131" t="n">
        <x:f>IF(N47&lt;&gt;"",N47,P47)</x:f>
        <x:v>5000</x:v>
      </x:c>
      <x:c r="P47" s="132" t="n">
        <x:v>5000</x:v>
      </x:c>
      <x:c r="Q47" s="130"/>
      <x:c r="R47" s="131" t="n">
        <x:f>IF(Q47&lt;&gt;"",Q47,S47)</x:f>
        <x:v>5000</x:v>
      </x:c>
      <x:c r="S47" s="132" t="n">
        <x:v>5000</x:v>
      </x:c>
      <x:c r="T47" s="130"/>
      <x:c r="U47" s="131" t="n">
        <x:f>IF(T47&lt;&gt;"",T47,V47)</x:f>
        <x:v>5000</x:v>
      </x:c>
      <x:c r="V47" s="132" t="n">
        <x:v>5000</x:v>
      </x:c>
      <x:c r="W47" s="130"/>
      <x:c r="X47" s="131" t="n">
        <x:f>IF(W47&lt;&gt;"",W47,Y47)</x:f>
        <x:v>5000</x:v>
      </x:c>
      <x:c r="Y47" s="132" t="n">
        <x:v>5000</x:v>
      </x:c>
      <x:c r="Z47" s="130"/>
      <x:c r="AA47" s="131" t="n">
        <x:f>IF(Z47&lt;&gt;"",Z47,AB47)</x:f>
        <x:v>5000</x:v>
      </x:c>
      <x:c r="AB47" s="132" t="n">
        <x:v>5000</x:v>
      </x:c>
      <x:c r="AC47" s="130"/>
      <x:c r="AD47" s="131" t="n">
        <x:f>IF(AC47&lt;&gt;"",AC47,AE47)</x:f>
        <x:v>5000</x:v>
      </x:c>
      <x:c r="AE47" s="132" t="n">
        <x:v>5000</x:v>
      </x:c>
      <x:c r="AF47" s="130" t="n">
        <x:v>4900</x:v>
      </x:c>
      <x:c r="AG47" s="131" t="n">
        <x:f>IF(AF47&lt;&gt;"",AF47,AH47)</x:f>
        <x:v>4900</x:v>
      </x:c>
      <x:c r="AH47" s="132" t="n">
        <x:v>5000</x:v>
      </x:c>
      <x:c r="AI47" s="130" t="n">
        <x:v>5250</x:v>
      </x:c>
      <x:c r="AJ47" s="131" t="n">
        <x:f>IF(AI47&lt;&gt;"",AI47,AK47)</x:f>
        <x:v>5250</x:v>
      </x:c>
      <x:c r="AK47" s="132" t="n">
        <x:v>5000</x:v>
      </x:c>
    </x:row>
    <x:row r="48" ht="22" customHeight="1">
      <x:c r="A48" s="116" t="str">
        <x:v>Content and Creative Production</x:v>
      </x:c>
      <x:c r="B48" s="130"/>
      <x:c r="C48" s="131" t="n">
        <x:f>IF(B48&lt;&gt;"",B48,D48)</x:f>
        <x:v>1000</x:v>
      </x:c>
      <x:c r="D48" s="132" t="n">
        <x:v>1000</x:v>
      </x:c>
      <x:c r="E48" s="130"/>
      <x:c r="F48" s="131" t="n">
        <x:f>IF(E48&lt;&gt;"",E48,G48)</x:f>
        <x:v>1000</x:v>
      </x:c>
      <x:c r="G48" s="132" t="n">
        <x:v>1000</x:v>
      </x:c>
      <x:c r="H48" s="130"/>
      <x:c r="I48" s="131" t="n">
        <x:f>IF(H48&lt;&gt;"",H48,J48)</x:f>
        <x:v>1000</x:v>
      </x:c>
      <x:c r="J48" s="132" t="n">
        <x:v>1000</x:v>
      </x:c>
      <x:c r="K48" s="130"/>
      <x:c r="L48" s="131" t="n">
        <x:f>IF(K48&lt;&gt;"",K48,M48)</x:f>
        <x:v>1000</x:v>
      </x:c>
      <x:c r="M48" s="132" t="n">
        <x:v>1000</x:v>
      </x:c>
      <x:c r="N48" s="130"/>
      <x:c r="O48" s="131" t="n">
        <x:f>IF(N48&lt;&gt;"",N48,P48)</x:f>
        <x:v>1000</x:v>
      </x:c>
      <x:c r="P48" s="132" t="n">
        <x:v>1000</x:v>
      </x:c>
      <x:c r="Q48" s="130"/>
      <x:c r="R48" s="131" t="n">
        <x:f>IF(Q48&lt;&gt;"",Q48,S48)</x:f>
        <x:v>1000</x:v>
      </x:c>
      <x:c r="S48" s="132" t="n">
        <x:v>1000</x:v>
      </x:c>
      <x:c r="T48" s="130"/>
      <x:c r="U48" s="131" t="n">
        <x:f>IF(T48&lt;&gt;"",T48,V48)</x:f>
        <x:v>1000</x:v>
      </x:c>
      <x:c r="V48" s="132" t="n">
        <x:v>1000</x:v>
      </x:c>
      <x:c r="W48" s="130"/>
      <x:c r="X48" s="131" t="n">
        <x:f>IF(W48&lt;&gt;"",W48,Y48)</x:f>
        <x:v>1000</x:v>
      </x:c>
      <x:c r="Y48" s="132" t="n">
        <x:v>1000</x:v>
      </x:c>
      <x:c r="Z48" s="130"/>
      <x:c r="AA48" s="131" t="n">
        <x:f>IF(Z48&lt;&gt;"",Z48,AB48)</x:f>
        <x:v>1000</x:v>
      </x:c>
      <x:c r="AB48" s="132" t="n">
        <x:v>1000</x:v>
      </x:c>
      <x:c r="AC48" s="130"/>
      <x:c r="AD48" s="131" t="n">
        <x:f>IF(AC48&lt;&gt;"",AC48,AE48)</x:f>
        <x:v>1000</x:v>
      </x:c>
      <x:c r="AE48" s="132" t="n">
        <x:v>1000</x:v>
      </x:c>
      <x:c r="AF48" s="130" t="n">
        <x:v>980</x:v>
      </x:c>
      <x:c r="AG48" s="131" t="n">
        <x:f>IF(AF48&lt;&gt;"",AF48,AH48)</x:f>
        <x:v>980</x:v>
      </x:c>
      <x:c r="AH48" s="132" t="n">
        <x:v>1000</x:v>
      </x:c>
      <x:c r="AI48" s="130" t="n">
        <x:v>1050</x:v>
      </x:c>
      <x:c r="AJ48" s="131" t="n">
        <x:f>IF(AI48&lt;&gt;"",AI48,AK48)</x:f>
        <x:v>1050</x:v>
      </x:c>
      <x:c r="AK48" s="132" t="n">
        <x:v>1000</x:v>
      </x:c>
    </x:row>
    <x:row r="49" ht="22" customHeight="1">
      <x:c r="A49" s="116" t="str">
        <x:v>Website and SEO</x:v>
      </x:c>
      <x:c r="B49" s="130"/>
      <x:c r="C49" s="131" t="n">
        <x:f>IF(B49&lt;&gt;"",B49,D49)</x:f>
        <x:v>500</x:v>
      </x:c>
      <x:c r="D49" s="132" t="n">
        <x:v>500</x:v>
      </x:c>
      <x:c r="E49" s="130"/>
      <x:c r="F49" s="131" t="n">
        <x:f>IF(E49&lt;&gt;"",E49,G49)</x:f>
        <x:v>500</x:v>
      </x:c>
      <x:c r="G49" s="132" t="n">
        <x:v>500</x:v>
      </x:c>
      <x:c r="H49" s="130"/>
      <x:c r="I49" s="131" t="n">
        <x:f>IF(H49&lt;&gt;"",H49,J49)</x:f>
        <x:v>500</x:v>
      </x:c>
      <x:c r="J49" s="132" t="n">
        <x:v>500</x:v>
      </x:c>
      <x:c r="K49" s="130"/>
      <x:c r="L49" s="131" t="n">
        <x:f>IF(K49&lt;&gt;"",K49,M49)</x:f>
        <x:v>500</x:v>
      </x:c>
      <x:c r="M49" s="132" t="n">
        <x:v>500</x:v>
      </x:c>
      <x:c r="N49" s="130"/>
      <x:c r="O49" s="131" t="n">
        <x:f>IF(N49&lt;&gt;"",N49,P49)</x:f>
        <x:v>500</x:v>
      </x:c>
      <x:c r="P49" s="132" t="n">
        <x:v>500</x:v>
      </x:c>
      <x:c r="Q49" s="130"/>
      <x:c r="R49" s="131" t="n">
        <x:f>IF(Q49&lt;&gt;"",Q49,S49)</x:f>
        <x:v>500</x:v>
      </x:c>
      <x:c r="S49" s="132" t="n">
        <x:v>500</x:v>
      </x:c>
      <x:c r="T49" s="130"/>
      <x:c r="U49" s="131" t="n">
        <x:f>IF(T49&lt;&gt;"",T49,V49)</x:f>
        <x:v>500</x:v>
      </x:c>
      <x:c r="V49" s="132" t="n">
        <x:v>500</x:v>
      </x:c>
      <x:c r="W49" s="130"/>
      <x:c r="X49" s="131" t="n">
        <x:f>IF(W49&lt;&gt;"",W49,Y49)</x:f>
        <x:v>500</x:v>
      </x:c>
      <x:c r="Y49" s="132" t="n">
        <x:v>500</x:v>
      </x:c>
      <x:c r="Z49" s="130"/>
      <x:c r="AA49" s="131" t="n">
        <x:f>IF(Z49&lt;&gt;"",Z49,AB49)</x:f>
        <x:v>500</x:v>
      </x:c>
      <x:c r="AB49" s="132" t="n">
        <x:v>500</x:v>
      </x:c>
      <x:c r="AC49" s="130"/>
      <x:c r="AD49" s="131" t="n">
        <x:f>IF(AC49&lt;&gt;"",AC49,AE49)</x:f>
        <x:v>500</x:v>
      </x:c>
      <x:c r="AE49" s="132" t="n">
        <x:v>500</x:v>
      </x:c>
      <x:c r="AF49" s="130" t="n">
        <x:v>490</x:v>
      </x:c>
      <x:c r="AG49" s="131" t="n">
        <x:f>IF(AF49&lt;&gt;"",AF49,AH49)</x:f>
        <x:v>490</x:v>
      </x:c>
      <x:c r="AH49" s="132" t="n">
        <x:v>500</x:v>
      </x:c>
      <x:c r="AI49" s="130" t="n">
        <x:v>525</x:v>
      </x:c>
      <x:c r="AJ49" s="131" t="n">
        <x:f>IF(AI49&lt;&gt;"",AI49,AK49)</x:f>
        <x:v>525</x:v>
      </x:c>
      <x:c r="AK49" s="132" t="n">
        <x:v>500</x:v>
      </x:c>
    </x:row>
    <x:row r="50" ht="22" customHeight="1">
      <x:c r="A50" s="116" t="str">
        <x:v>Events and Trade Shows</x:v>
      </x:c>
      <x:c r="B50" s="130"/>
      <x:c r="C50" s="131" t="n">
        <x:f>IF(B50&lt;&gt;"",B50,D50)</x:f>
        <x:v>0</x:v>
      </x:c>
      <x:c r="D50" s="132" t="n">
        <x:v>0</x:v>
      </x:c>
      <x:c r="E50" s="130"/>
      <x:c r="F50" s="131" t="n">
        <x:f>IF(E50&lt;&gt;"",E50,G50)</x:f>
        <x:v>0</x:v>
      </x:c>
      <x:c r="G50" s="132" t="n">
        <x:v>0</x:v>
      </x:c>
      <x:c r="H50" s="130"/>
      <x:c r="I50" s="131" t="n">
        <x:f>IF(H50&lt;&gt;"",H50,J50)</x:f>
        <x:v>0</x:v>
      </x:c>
      <x:c r="J50" s="132" t="n">
        <x:v>0</x:v>
      </x:c>
      <x:c r="K50" s="130"/>
      <x:c r="L50" s="131" t="n">
        <x:f>IF(K50&lt;&gt;"",K50,M50)</x:f>
        <x:v>0</x:v>
      </x:c>
      <x:c r="M50" s="132" t="n">
        <x:v>0</x:v>
      </x:c>
      <x:c r="N50" s="130"/>
      <x:c r="O50" s="131" t="n">
        <x:f>IF(N50&lt;&gt;"",N50,P50)</x:f>
        <x:v>0</x:v>
      </x:c>
      <x:c r="P50" s="132" t="n">
        <x:v>0</x:v>
      </x:c>
      <x:c r="Q50" s="130"/>
      <x:c r="R50" s="131" t="n">
        <x:f>IF(Q50&lt;&gt;"",Q50,S50)</x:f>
        <x:v>0</x:v>
      </x:c>
      <x:c r="S50" s="132" t="n">
        <x:v>0</x:v>
      </x:c>
      <x:c r="T50" s="130"/>
      <x:c r="U50" s="131" t="n">
        <x:f>IF(T50&lt;&gt;"",T50,V50)</x:f>
        <x:v>0</x:v>
      </x:c>
      <x:c r="V50" s="132" t="n">
        <x:v>0</x:v>
      </x:c>
      <x:c r="W50" s="130"/>
      <x:c r="X50" s="131" t="n">
        <x:f>IF(W50&lt;&gt;"",W50,Y50)</x:f>
        <x:v>0</x:v>
      </x:c>
      <x:c r="Y50" s="132" t="n">
        <x:v>0</x:v>
      </x:c>
      <x:c r="Z50" s="130"/>
      <x:c r="AA50" s="131" t="n">
        <x:f>IF(Z50&lt;&gt;"",Z50,AB50)</x:f>
        <x:v>0</x:v>
      </x:c>
      <x:c r="AB50" s="132" t="n">
        <x:v>0</x:v>
      </x:c>
      <x:c r="AC50" s="130"/>
      <x:c r="AD50" s="131" t="n">
        <x:f>IF(AC50&lt;&gt;"",AC50,AE50)</x:f>
        <x:v>0</x:v>
      </x:c>
      <x:c r="AE50" s="132" t="n">
        <x:v>0</x:v>
      </x:c>
      <x:c r="AF50" s="130" t="n">
        <x:v>0</x:v>
      </x:c>
      <x:c r="AG50" s="131" t="n">
        <x:f>IF(AF50&lt;&gt;"",AF50,AH50)</x:f>
        <x:v>0</x:v>
      </x:c>
      <x:c r="AH50" s="132" t="n">
        <x:v>0</x:v>
      </x:c>
      <x:c r="AI50" s="130" t="n">
        <x:v>0</x:v>
      </x:c>
      <x:c r="AJ50" s="131" t="n">
        <x:f>IF(AI50&lt;&gt;"",AI50,AK50)</x:f>
        <x:v>0</x:v>
      </x:c>
      <x:c r="AK50" s="132" t="n">
        <x:v>0</x:v>
      </x:c>
    </x:row>
    <x:row r="51" ht="22" customHeight="1">
      <x:c r="A51" s="116" t="str">
        <x:v>Public Relations</x:v>
      </x:c>
      <x:c r="B51" s="130"/>
      <x:c r="C51" s="131" t="n">
        <x:f>IF(B51&lt;&gt;"",B51,D51)</x:f>
        <x:v>0</x:v>
      </x:c>
      <x:c r="D51" s="132" t="n">
        <x:v>0</x:v>
      </x:c>
      <x:c r="E51" s="130"/>
      <x:c r="F51" s="131" t="n">
        <x:f>IF(E51&lt;&gt;"",E51,G51)</x:f>
        <x:v>0</x:v>
      </x:c>
      <x:c r="G51" s="132" t="n">
        <x:v>0</x:v>
      </x:c>
      <x:c r="H51" s="130"/>
      <x:c r="I51" s="131" t="n">
        <x:f>IF(H51&lt;&gt;"",H51,J51)</x:f>
        <x:v>0</x:v>
      </x:c>
      <x:c r="J51" s="132" t="n">
        <x:v>0</x:v>
      </x:c>
      <x:c r="K51" s="130"/>
      <x:c r="L51" s="131" t="n">
        <x:f>IF(K51&lt;&gt;"",K51,M51)</x:f>
        <x:v>0</x:v>
      </x:c>
      <x:c r="M51" s="132" t="n">
        <x:v>0</x:v>
      </x:c>
      <x:c r="N51" s="130"/>
      <x:c r="O51" s="131" t="n">
        <x:f>IF(N51&lt;&gt;"",N51,P51)</x:f>
        <x:v>0</x:v>
      </x:c>
      <x:c r="P51" s="132" t="n">
        <x:v>0</x:v>
      </x:c>
      <x:c r="Q51" s="130"/>
      <x:c r="R51" s="131" t="n">
        <x:f>IF(Q51&lt;&gt;"",Q51,S51)</x:f>
        <x:v>0</x:v>
      </x:c>
      <x:c r="S51" s="132" t="n">
        <x:v>0</x:v>
      </x:c>
      <x:c r="T51" s="130"/>
      <x:c r="U51" s="131" t="n">
        <x:f>IF(T51&lt;&gt;"",T51,V51)</x:f>
        <x:v>0</x:v>
      </x:c>
      <x:c r="V51" s="132" t="n">
        <x:v>0</x:v>
      </x:c>
      <x:c r="W51" s="130"/>
      <x:c r="X51" s="131" t="n">
        <x:f>IF(W51&lt;&gt;"",W51,Y51)</x:f>
        <x:v>0</x:v>
      </x:c>
      <x:c r="Y51" s="132" t="n">
        <x:v>0</x:v>
      </x:c>
      <x:c r="Z51" s="130"/>
      <x:c r="AA51" s="131" t="n">
        <x:f>IF(Z51&lt;&gt;"",Z51,AB51)</x:f>
        <x:v>0</x:v>
      </x:c>
      <x:c r="AB51" s="132" t="n">
        <x:v>0</x:v>
      </x:c>
      <x:c r="AC51" s="130"/>
      <x:c r="AD51" s="131" t="n">
        <x:f>IF(AC51&lt;&gt;"",AC51,AE51)</x:f>
        <x:v>0</x:v>
      </x:c>
      <x:c r="AE51" s="132" t="n">
        <x:v>0</x:v>
      </x:c>
      <x:c r="AF51" s="130" t="n">
        <x:v>0</x:v>
      </x:c>
      <x:c r="AG51" s="131" t="n">
        <x:f>IF(AF51&lt;&gt;"",AF51,AH51)</x:f>
        <x:v>0</x:v>
      </x:c>
      <x:c r="AH51" s="132" t="n">
        <x:v>0</x:v>
      </x:c>
      <x:c r="AI51" s="130" t="n">
        <x:v>0</x:v>
      </x:c>
      <x:c r="AJ51" s="131" t="n">
        <x:f>IF(AI51&lt;&gt;"",AI51,AK51)</x:f>
        <x:v>0</x:v>
      </x:c>
      <x:c r="AK51" s="132" t="n">
        <x:v>0</x:v>
      </x:c>
    </x:row>
    <x:row r="52" ht="22" customHeight="1">
      <x:c r="A52" s="116" t="str">
        <x:v>Market Research</x:v>
      </x:c>
      <x:c r="B52" s="130"/>
      <x:c r="C52" s="131" t="n">
        <x:f>IF(B52&lt;&gt;"",B52,D52)</x:f>
        <x:v>0</x:v>
      </x:c>
      <x:c r="D52" s="132" t="n">
        <x:v>0</x:v>
      </x:c>
      <x:c r="E52" s="130"/>
      <x:c r="F52" s="131" t="n">
        <x:f>IF(E52&lt;&gt;"",E52,G52)</x:f>
        <x:v>0</x:v>
      </x:c>
      <x:c r="G52" s="132" t="n">
        <x:v>0</x:v>
      </x:c>
      <x:c r="H52" s="130"/>
      <x:c r="I52" s="131" t="n">
        <x:f>IF(H52&lt;&gt;"",H52,J52)</x:f>
        <x:v>0</x:v>
      </x:c>
      <x:c r="J52" s="132" t="n">
        <x:v>0</x:v>
      </x:c>
      <x:c r="K52" s="130"/>
      <x:c r="L52" s="131" t="n">
        <x:f>IF(K52&lt;&gt;"",K52,M52)</x:f>
        <x:v>0</x:v>
      </x:c>
      <x:c r="M52" s="132" t="n">
        <x:v>0</x:v>
      </x:c>
      <x:c r="N52" s="130"/>
      <x:c r="O52" s="131" t="n">
        <x:f>IF(N52&lt;&gt;"",N52,P52)</x:f>
        <x:v>0</x:v>
      </x:c>
      <x:c r="P52" s="132" t="n">
        <x:v>0</x:v>
      </x:c>
      <x:c r="Q52" s="130"/>
      <x:c r="R52" s="131" t="n">
        <x:f>IF(Q52&lt;&gt;"",Q52,S52)</x:f>
        <x:v>0</x:v>
      </x:c>
      <x:c r="S52" s="132" t="n">
        <x:v>0</x:v>
      </x:c>
      <x:c r="T52" s="130"/>
      <x:c r="U52" s="131" t="n">
        <x:f>IF(T52&lt;&gt;"",T52,V52)</x:f>
        <x:v>0</x:v>
      </x:c>
      <x:c r="V52" s="132" t="n">
        <x:v>0</x:v>
      </x:c>
      <x:c r="W52" s="130"/>
      <x:c r="X52" s="131" t="n">
        <x:f>IF(W52&lt;&gt;"",W52,Y52)</x:f>
        <x:v>0</x:v>
      </x:c>
      <x:c r="Y52" s="132" t="n">
        <x:v>0</x:v>
      </x:c>
      <x:c r="Z52" s="130"/>
      <x:c r="AA52" s="131" t="n">
        <x:f>IF(Z52&lt;&gt;"",Z52,AB52)</x:f>
        <x:v>0</x:v>
      </x:c>
      <x:c r="AB52" s="132" t="n">
        <x:v>0</x:v>
      </x:c>
      <x:c r="AC52" s="130"/>
      <x:c r="AD52" s="131" t="n">
        <x:f>IF(AC52&lt;&gt;"",AC52,AE52)</x:f>
        <x:v>0</x:v>
      </x:c>
      <x:c r="AE52" s="132" t="n">
        <x:v>0</x:v>
      </x:c>
      <x:c r="AF52" s="130" t="n">
        <x:v>0</x:v>
      </x:c>
      <x:c r="AG52" s="131" t="n">
        <x:f>IF(AF52&lt;&gt;"",AF52,AH52)</x:f>
        <x:v>0</x:v>
      </x:c>
      <x:c r="AH52" s="132" t="n">
        <x:v>0</x:v>
      </x:c>
      <x:c r="AI52" s="130" t="n">
        <x:v>0</x:v>
      </x:c>
      <x:c r="AJ52" s="131" t="n">
        <x:f>IF(AI52&lt;&gt;"",AI52,AK52)</x:f>
        <x:v>0</x:v>
      </x:c>
      <x:c r="AK52" s="132" t="n">
        <x:v>0</x:v>
      </x:c>
    </x:row>
    <x:row r="53" ht="22" customHeight="1">
      <x:c r="A53" s="116" t="str">
        <x:v>Lead Lists and Data</x:v>
      </x:c>
      <x:c r="B53" s="130"/>
      <x:c r="C53" s="131" t="n">
        <x:f>IF(B53&lt;&gt;"",B53,D53)</x:f>
        <x:v>300</x:v>
      </x:c>
      <x:c r="D53" s="132" t="n">
        <x:v>300</x:v>
      </x:c>
      <x:c r="E53" s="130"/>
      <x:c r="F53" s="131" t="n">
        <x:f>IF(E53&lt;&gt;"",E53,G53)</x:f>
        <x:v>300</x:v>
      </x:c>
      <x:c r="G53" s="132" t="n">
        <x:v>300</x:v>
      </x:c>
      <x:c r="H53" s="130"/>
      <x:c r="I53" s="131" t="n">
        <x:f>IF(H53&lt;&gt;"",H53,J53)</x:f>
        <x:v>300</x:v>
      </x:c>
      <x:c r="J53" s="132" t="n">
        <x:v>300</x:v>
      </x:c>
      <x:c r="K53" s="130"/>
      <x:c r="L53" s="131" t="n">
        <x:f>IF(K53&lt;&gt;"",K53,M53)</x:f>
        <x:v>300</x:v>
      </x:c>
      <x:c r="M53" s="132" t="n">
        <x:v>300</x:v>
      </x:c>
      <x:c r="N53" s="130"/>
      <x:c r="O53" s="131" t="n">
        <x:f>IF(N53&lt;&gt;"",N53,P53)</x:f>
        <x:v>300</x:v>
      </x:c>
      <x:c r="P53" s="132" t="n">
        <x:v>300</x:v>
      </x:c>
      <x:c r="Q53" s="130"/>
      <x:c r="R53" s="131" t="n">
        <x:f>IF(Q53&lt;&gt;"",Q53,S53)</x:f>
        <x:v>300</x:v>
      </x:c>
      <x:c r="S53" s="132" t="n">
        <x:v>300</x:v>
      </x:c>
      <x:c r="T53" s="130"/>
      <x:c r="U53" s="131" t="n">
        <x:f>IF(T53&lt;&gt;"",T53,V53)</x:f>
        <x:v>300</x:v>
      </x:c>
      <x:c r="V53" s="132" t="n">
        <x:v>300</x:v>
      </x:c>
      <x:c r="W53" s="130"/>
      <x:c r="X53" s="131" t="n">
        <x:f>IF(W53&lt;&gt;"",W53,Y53)</x:f>
        <x:v>300</x:v>
      </x:c>
      <x:c r="Y53" s="132" t="n">
        <x:v>300</x:v>
      </x:c>
      <x:c r="Z53" s="130"/>
      <x:c r="AA53" s="131" t="n">
        <x:f>IF(Z53&lt;&gt;"",Z53,AB53)</x:f>
        <x:v>300</x:v>
      </x:c>
      <x:c r="AB53" s="132" t="n">
        <x:v>300</x:v>
      </x:c>
      <x:c r="AC53" s="130"/>
      <x:c r="AD53" s="131" t="n">
        <x:f>IF(AC53&lt;&gt;"",AC53,AE53)</x:f>
        <x:v>300</x:v>
      </x:c>
      <x:c r="AE53" s="132" t="n">
        <x:v>300</x:v>
      </x:c>
      <x:c r="AF53" s="130" t="n">
        <x:v>294</x:v>
      </x:c>
      <x:c r="AG53" s="131" t="n">
        <x:f>IF(AF53&lt;&gt;"",AF53,AH53)</x:f>
        <x:v>294</x:v>
      </x:c>
      <x:c r="AH53" s="132" t="n">
        <x:v>300</x:v>
      </x:c>
      <x:c r="AI53" s="130" t="n">
        <x:v>315</x:v>
      </x:c>
      <x:c r="AJ53" s="131" t="n">
        <x:f>IF(AI53&lt;&gt;"",AI53,AK53)</x:f>
        <x:v>315</x:v>
      </x:c>
      <x:c r="AK53" s="132" t="n">
        <x:v>300</x:v>
      </x:c>
    </x:row>
    <x:row r="54" ht="22" customHeight="1">
      <x:c r="A54" s="116" t="str">
        <x:v>Promotional Items and Collateral</x:v>
      </x:c>
      <x:c r="B54" s="130"/>
      <x:c r="C54" s="131" t="n">
        <x:f>IF(B54&lt;&gt;"",B54,D54)</x:f>
        <x:v>0</x:v>
      </x:c>
      <x:c r="D54" s="132" t="n">
        <x:v>0</x:v>
      </x:c>
      <x:c r="E54" s="130"/>
      <x:c r="F54" s="131" t="n">
        <x:f>IF(E54&lt;&gt;"",E54,G54)</x:f>
        <x:v>0</x:v>
      </x:c>
      <x:c r="G54" s="132" t="n">
        <x:v>0</x:v>
      </x:c>
      <x:c r="H54" s="130"/>
      <x:c r="I54" s="131" t="n">
        <x:f>IF(H54&lt;&gt;"",H54,J54)</x:f>
        <x:v>0</x:v>
      </x:c>
      <x:c r="J54" s="132" t="n">
        <x:v>0</x:v>
      </x:c>
      <x:c r="K54" s="130"/>
      <x:c r="L54" s="131" t="n">
        <x:f>IF(K54&lt;&gt;"",K54,M54)</x:f>
        <x:v>0</x:v>
      </x:c>
      <x:c r="M54" s="132" t="n">
        <x:v>0</x:v>
      </x:c>
      <x:c r="N54" s="130"/>
      <x:c r="O54" s="131" t="n">
        <x:f>IF(N54&lt;&gt;"",N54,P54)</x:f>
        <x:v>0</x:v>
      </x:c>
      <x:c r="P54" s="132" t="n">
        <x:v>0</x:v>
      </x:c>
      <x:c r="Q54" s="130"/>
      <x:c r="R54" s="131" t="n">
        <x:f>IF(Q54&lt;&gt;"",Q54,S54)</x:f>
        <x:v>0</x:v>
      </x:c>
      <x:c r="S54" s="132" t="n">
        <x:v>0</x:v>
      </x:c>
      <x:c r="T54" s="130"/>
      <x:c r="U54" s="131" t="n">
        <x:f>IF(T54&lt;&gt;"",T54,V54)</x:f>
        <x:v>0</x:v>
      </x:c>
      <x:c r="V54" s="132" t="n">
        <x:v>0</x:v>
      </x:c>
      <x:c r="W54" s="130"/>
      <x:c r="X54" s="131" t="n">
        <x:f>IF(W54&lt;&gt;"",W54,Y54)</x:f>
        <x:v>0</x:v>
      </x:c>
      <x:c r="Y54" s="132" t="n">
        <x:v>0</x:v>
      </x:c>
      <x:c r="Z54" s="130"/>
      <x:c r="AA54" s="131" t="n">
        <x:f>IF(Z54&lt;&gt;"",Z54,AB54)</x:f>
        <x:v>0</x:v>
      </x:c>
      <x:c r="AB54" s="132" t="n">
        <x:v>0</x:v>
      </x:c>
      <x:c r="AC54" s="130"/>
      <x:c r="AD54" s="131" t="n">
        <x:f>IF(AC54&lt;&gt;"",AC54,AE54)</x:f>
        <x:v>0</x:v>
      </x:c>
      <x:c r="AE54" s="132" t="n">
        <x:v>0</x:v>
      </x:c>
      <x:c r="AF54" s="130" t="n">
        <x:v>0</x:v>
      </x:c>
      <x:c r="AG54" s="131" t="n">
        <x:f>IF(AF54&lt;&gt;"",AF54,AH54)</x:f>
        <x:v>0</x:v>
      </x:c>
      <x:c r="AH54" s="132" t="n">
        <x:v>0</x:v>
      </x:c>
      <x:c r="AI54" s="130" t="n">
        <x:v>0</x:v>
      </x:c>
      <x:c r="AJ54" s="131" t="n">
        <x:f>IF(AI54&lt;&gt;"",AI54,AK54)</x:f>
        <x:v>0</x:v>
      </x:c>
      <x:c r="AK54" s="132" t="n">
        <x:v>0</x:v>
      </x:c>
    </x:row>
    <x:row r="55" ht="22" customHeight="1">
      <x:c r="A55" s="116" t="str">
        <x:v>Agency Fees</x:v>
      </x:c>
      <x:c r="B55" s="130"/>
      <x:c r="C55" s="131" t="n">
        <x:f>IF(B55&lt;&gt;"",B55,D55)</x:f>
        <x:v>0</x:v>
      </x:c>
      <x:c r="D55" s="132" t="n">
        <x:v>0</x:v>
      </x:c>
      <x:c r="E55" s="130"/>
      <x:c r="F55" s="131" t="n">
        <x:f>IF(E55&lt;&gt;"",E55,G55)</x:f>
        <x:v>0</x:v>
      </x:c>
      <x:c r="G55" s="132" t="n">
        <x:v>0</x:v>
      </x:c>
      <x:c r="H55" s="130"/>
      <x:c r="I55" s="131" t="n">
        <x:f>IF(H55&lt;&gt;"",H55,J55)</x:f>
        <x:v>0</x:v>
      </x:c>
      <x:c r="J55" s="132" t="n">
        <x:v>0</x:v>
      </x:c>
      <x:c r="K55" s="130"/>
      <x:c r="L55" s="131" t="n">
        <x:f>IF(K55&lt;&gt;"",K55,M55)</x:f>
        <x:v>0</x:v>
      </x:c>
      <x:c r="M55" s="132" t="n">
        <x:v>0</x:v>
      </x:c>
      <x:c r="N55" s="130"/>
      <x:c r="O55" s="131" t="n">
        <x:f>IF(N55&lt;&gt;"",N55,P55)</x:f>
        <x:v>0</x:v>
      </x:c>
      <x:c r="P55" s="132" t="n">
        <x:v>0</x:v>
      </x:c>
      <x:c r="Q55" s="130"/>
      <x:c r="R55" s="131" t="n">
        <x:f>IF(Q55&lt;&gt;"",Q55,S55)</x:f>
        <x:v>0</x:v>
      </x:c>
      <x:c r="S55" s="132" t="n">
        <x:v>0</x:v>
      </x:c>
      <x:c r="T55" s="130"/>
      <x:c r="U55" s="131" t="n">
        <x:f>IF(T55&lt;&gt;"",T55,V55)</x:f>
        <x:v>0</x:v>
      </x:c>
      <x:c r="V55" s="132" t="n">
        <x:v>0</x:v>
      </x:c>
      <x:c r="W55" s="130"/>
      <x:c r="X55" s="131" t="n">
        <x:f>IF(W55&lt;&gt;"",W55,Y55)</x:f>
        <x:v>0</x:v>
      </x:c>
      <x:c r="Y55" s="132" t="n">
        <x:v>0</x:v>
      </x:c>
      <x:c r="Z55" s="130"/>
      <x:c r="AA55" s="131" t="n">
        <x:f>IF(Z55&lt;&gt;"",Z55,AB55)</x:f>
        <x:v>0</x:v>
      </x:c>
      <x:c r="AB55" s="132" t="n">
        <x:v>0</x:v>
      </x:c>
      <x:c r="AC55" s="130"/>
      <x:c r="AD55" s="131" t="n">
        <x:f>IF(AC55&lt;&gt;"",AC55,AE55)</x:f>
        <x:v>0</x:v>
      </x:c>
      <x:c r="AE55" s="132" t="n">
        <x:v>0</x:v>
      </x:c>
      <x:c r="AF55" s="130" t="n">
        <x:v>0</x:v>
      </x:c>
      <x:c r="AG55" s="131" t="n">
        <x:f>IF(AF55&lt;&gt;"",AF55,AH55)</x:f>
        <x:v>0</x:v>
      </x:c>
      <x:c r="AH55" s="132" t="n">
        <x:v>0</x:v>
      </x:c>
      <x:c r="AI55" s="130" t="n">
        <x:v>0</x:v>
      </x:c>
      <x:c r="AJ55" s="131" t="n">
        <x:f>IF(AI55&lt;&gt;"",AI55,AK55)</x:f>
        <x:v>0</x:v>
      </x:c>
      <x:c r="AK55" s="132" t="n">
        <x:v>0</x:v>
      </x:c>
    </x:row>
    <x:row r="56" ht="22" customHeight="1">
      <x:c r="A56" s="136" t="str">
        <x:v>Total Marketing Programs</x:v>
      </x:c>
      <x:c r="B56" s="137" t="str">
        <x:f>IF(COUNT(B47:B55)&gt;0,SUM(B47:B55),"")</x:f>
      </x:c>
      <x:c r="C56" s="138" t="n">
        <x:f>SUM(C47:C55)</x:f>
        <x:v>6800</x:v>
      </x:c>
      <x:c r="D56" s="139" t="n">
        <x:f>SUM(D47:D55)</x:f>
        <x:v>6800</x:v>
      </x:c>
      <x:c r="E56" s="137" t="str">
        <x:f>IF(COUNT(E47:E55)&gt;0,SUM(E47:E55),"")</x:f>
      </x:c>
      <x:c r="F56" s="138" t="n">
        <x:f>SUM(F47:F55)</x:f>
        <x:v>6800</x:v>
      </x:c>
      <x:c r="G56" s="139" t="n">
        <x:f>SUM(G47:G55)</x:f>
        <x:v>6800</x:v>
      </x:c>
      <x:c r="H56" s="137" t="str">
        <x:f>IF(COUNT(H47:H55)&gt;0,SUM(H47:H55),"")</x:f>
      </x:c>
      <x:c r="I56" s="138" t="n">
        <x:f>SUM(I47:I55)</x:f>
        <x:v>6800</x:v>
      </x:c>
      <x:c r="J56" s="139" t="n">
        <x:f>SUM(J47:J55)</x:f>
        <x:v>6800</x:v>
      </x:c>
      <x:c r="K56" s="137" t="str">
        <x:f>IF(COUNT(K47:K55)&gt;0,SUM(K47:K55),"")</x:f>
      </x:c>
      <x:c r="L56" s="138" t="n">
        <x:f>SUM(L47:L55)</x:f>
        <x:v>6800</x:v>
      </x:c>
      <x:c r="M56" s="139" t="n">
        <x:f>SUM(M47:M55)</x:f>
        <x:v>6800</x:v>
      </x:c>
      <x:c r="N56" s="137" t="str">
        <x:f>IF(COUNT(N47:N55)&gt;0,SUM(N47:N55),"")</x:f>
      </x:c>
      <x:c r="O56" s="138" t="n">
        <x:f>SUM(O47:O55)</x:f>
        <x:v>6800</x:v>
      </x:c>
      <x:c r="P56" s="139" t="n">
        <x:f>SUM(P47:P55)</x:f>
        <x:v>6800</x:v>
      </x:c>
      <x:c r="Q56" s="137" t="str">
        <x:f>IF(COUNT(Q47:Q55)&gt;0,SUM(Q47:Q55),"")</x:f>
      </x:c>
      <x:c r="R56" s="138" t="n">
        <x:f>SUM(R47:R55)</x:f>
        <x:v>6800</x:v>
      </x:c>
      <x:c r="S56" s="139" t="n">
        <x:f>SUM(S47:S55)</x:f>
        <x:v>6800</x:v>
      </x:c>
      <x:c r="T56" s="137" t="str">
        <x:f>IF(COUNT(T47:T55)&gt;0,SUM(T47:T55),"")</x:f>
      </x:c>
      <x:c r="U56" s="138" t="n">
        <x:f>SUM(U47:U55)</x:f>
        <x:v>6800</x:v>
      </x:c>
      <x:c r="V56" s="139" t="n">
        <x:f>SUM(V47:V55)</x:f>
        <x:v>6800</x:v>
      </x:c>
      <x:c r="W56" s="137" t="str">
        <x:f>IF(COUNT(W47:W55)&gt;0,SUM(W47:W55),"")</x:f>
      </x:c>
      <x:c r="X56" s="138" t="n">
        <x:f>SUM(X47:X55)</x:f>
        <x:v>6800</x:v>
      </x:c>
      <x:c r="Y56" s="139" t="n">
        <x:f>SUM(Y47:Y55)</x:f>
        <x:v>6800</x:v>
      </x:c>
      <x:c r="Z56" s="137" t="str">
        <x:f>IF(COUNT(Z47:Z55)&gt;0,SUM(Z47:Z55),"")</x:f>
      </x:c>
      <x:c r="AA56" s="138" t="n">
        <x:f>SUM(AA47:AA55)</x:f>
        <x:v>6800</x:v>
      </x:c>
      <x:c r="AB56" s="139" t="n">
        <x:f>SUM(AB47:AB55)</x:f>
        <x:v>6800</x:v>
      </x:c>
      <x:c r="AC56" s="137" t="str">
        <x:f>IF(COUNT(AC47:AC55)&gt;0,SUM(AC47:AC55),"")</x:f>
      </x:c>
      <x:c r="AD56" s="138" t="n">
        <x:f>SUM(AD47:AD55)</x:f>
        <x:v>6800</x:v>
      </x:c>
      <x:c r="AE56" s="139" t="n">
        <x:f>SUM(AE47:AE55)</x:f>
        <x:v>6800</x:v>
      </x:c>
      <x:c r="AF56" s="137" t="n">
        <x:f>IF(COUNT(AF47:AF55)&gt;0,SUM(AF47:AF55),"")</x:f>
        <x:v>6664</x:v>
      </x:c>
      <x:c r="AG56" s="138" t="n">
        <x:f>SUM(AG47:AG55)</x:f>
        <x:v>6664</x:v>
      </x:c>
      <x:c r="AH56" s="139" t="n">
        <x:f>SUM(AH47:AH55)</x:f>
        <x:v>6800</x:v>
      </x:c>
      <x:c r="AI56" s="137" t="n">
        <x:f>IF(COUNT(AI47:AI55)&gt;0,SUM(AI47:AI55),"")</x:f>
        <x:v>7140</x:v>
      </x:c>
      <x:c r="AJ56" s="138" t="n">
        <x:f>SUM(AJ47:AJ55)</x:f>
        <x:v>7140</x:v>
      </x:c>
      <x:c r="AK56" s="139" t="n">
        <x:f>SUM(AK47:AK55)</x:f>
        <x:v>6800</x:v>
      </x:c>
    </x:row>
    <x:row r="57" ht="22" customHeight="1">
      <x:c r="A57" s="140" t="str">
        <x:v>Total Marketing Cost</x:v>
      </x:c>
      <x:c r="B57" s="141" t="str">
        <x:f>IF(COUNT(B46,B56)=2,SUM(B46,B56),"")</x:f>
      </x:c>
      <x:c r="C57" s="142" t="n">
        <x:f>SUM(C46,C56)</x:f>
        <x:v>17250</x:v>
      </x:c>
      <x:c r="D57" s="143" t="n">
        <x:f>SUM(D46,D56)</x:f>
        <x:v>17250</x:v>
      </x:c>
      <x:c r="E57" s="141" t="str">
        <x:f>IF(COUNT(E46,E56)=2,SUM(E46,E56),"")</x:f>
      </x:c>
      <x:c r="F57" s="142" t="n">
        <x:f>SUM(F46,F56)</x:f>
        <x:v>17250</x:v>
      </x:c>
      <x:c r="G57" s="143" t="n">
        <x:f>SUM(G46,G56)</x:f>
        <x:v>17250</x:v>
      </x:c>
      <x:c r="H57" s="141" t="str">
        <x:f>IF(COUNT(H46,H56)=2,SUM(H46,H56),"")</x:f>
      </x:c>
      <x:c r="I57" s="142" t="n">
        <x:f>SUM(I46,I56)</x:f>
        <x:v>17250</x:v>
      </x:c>
      <x:c r="J57" s="143" t="n">
        <x:f>SUM(J46,J56)</x:f>
        <x:v>17250</x:v>
      </x:c>
      <x:c r="K57" s="141" t="str">
        <x:f>IF(COUNT(K46,K56)=2,SUM(K46,K56),"")</x:f>
      </x:c>
      <x:c r="L57" s="142" t="n">
        <x:f>SUM(L46,L56)</x:f>
        <x:v>17250</x:v>
      </x:c>
      <x:c r="M57" s="143" t="n">
        <x:f>SUM(M46,M56)</x:f>
        <x:v>17250</x:v>
      </x:c>
      <x:c r="N57" s="141" t="str">
        <x:f>IF(COUNT(N46,N56)=2,SUM(N46,N56),"")</x:f>
      </x:c>
      <x:c r="O57" s="142" t="n">
        <x:f>SUM(O46,O56)</x:f>
        <x:v>17250</x:v>
      </x:c>
      <x:c r="P57" s="143" t="n">
        <x:f>SUM(P46,P56)</x:f>
        <x:v>17250</x:v>
      </x:c>
      <x:c r="Q57" s="141" t="str">
        <x:f>IF(COUNT(Q46,Q56)=2,SUM(Q46,Q56),"")</x:f>
      </x:c>
      <x:c r="R57" s="142" t="n">
        <x:f>SUM(R46,R56)</x:f>
        <x:v>17250</x:v>
      </x:c>
      <x:c r="S57" s="143" t="n">
        <x:f>SUM(S46,S56)</x:f>
        <x:v>17250</x:v>
      </x:c>
      <x:c r="T57" s="141" t="str">
        <x:f>IF(COUNT(T46,T56)=2,SUM(T46,T56),"")</x:f>
      </x:c>
      <x:c r="U57" s="142" t="n">
        <x:f>SUM(U46,U56)</x:f>
        <x:v>17250</x:v>
      </x:c>
      <x:c r="V57" s="143" t="n">
        <x:f>SUM(V46,V56)</x:f>
        <x:v>17250</x:v>
      </x:c>
      <x:c r="W57" s="141" t="str">
        <x:f>IF(COUNT(W46,W56)=2,SUM(W46,W56),"")</x:f>
      </x:c>
      <x:c r="X57" s="142" t="n">
        <x:f>SUM(X46,X56)</x:f>
        <x:v>17250</x:v>
      </x:c>
      <x:c r="Y57" s="143" t="n">
        <x:f>SUM(Y46,Y56)</x:f>
        <x:v>17250</x:v>
      </x:c>
      <x:c r="Z57" s="141" t="str">
        <x:f>IF(COUNT(Z46,Z56)=2,SUM(Z46,Z56),"")</x:f>
      </x:c>
      <x:c r="AA57" s="142" t="n">
        <x:f>SUM(AA46,AA56)</x:f>
        <x:v>17250</x:v>
      </x:c>
      <x:c r="AB57" s="143" t="n">
        <x:f>SUM(AB46,AB56)</x:f>
        <x:v>17250</x:v>
      </x:c>
      <x:c r="AC57" s="141" t="str">
        <x:f>IF(COUNT(AC46,AC56)=2,SUM(AC46,AC56),"")</x:f>
      </x:c>
      <x:c r="AD57" s="142" t="n">
        <x:f>SUM(AD46,AD56)</x:f>
        <x:v>17250</x:v>
      </x:c>
      <x:c r="AE57" s="143" t="n">
        <x:f>SUM(AE46,AE56)</x:f>
        <x:v>17250</x:v>
      </x:c>
      <x:c r="AF57" s="141" t="n">
        <x:f>IF(COUNT(AF46,AF56)=2,SUM(AF46,AF56),"")</x:f>
        <x:v>16905</x:v>
      </x:c>
      <x:c r="AG57" s="142" t="n">
        <x:f>SUM(AG46,AG56)</x:f>
        <x:v>16905</x:v>
      </x:c>
      <x:c r="AH57" s="143" t="n">
        <x:f>SUM(AH46,AH56)</x:f>
        <x:v>17250</x:v>
      </x:c>
      <x:c r="AI57" s="141" t="n">
        <x:f>IF(COUNT(AI46,AI56)=2,SUM(AI46,AI56),"")</x:f>
        <x:v>18113</x:v>
      </x:c>
      <x:c r="AJ57" s="142" t="n">
        <x:f>SUM(AJ46,AJ56)</x:f>
        <x:v>18113</x:v>
      </x:c>
      <x:c r="AK57" s="143" t="n">
        <x:f>SUM(AK46,AK56)</x:f>
        <x:v>17250</x:v>
      </x:c>
    </x:row>
    <x:row r="58" ht="22" customHeight="1">
      <x:c r="A58" s="116"/>
      <x:c r="B58" s="133"/>
      <x:c r="C58" s="131"/>
      <x:c r="D58" s="134"/>
      <x:c r="E58" s="133"/>
      <x:c r="F58" s="131"/>
      <x:c r="G58" s="134"/>
      <x:c r="H58" s="133"/>
      <x:c r="I58" s="131"/>
      <x:c r="J58" s="134"/>
      <x:c r="K58" s="133"/>
      <x:c r="L58" s="131"/>
      <x:c r="M58" s="134"/>
      <x:c r="N58" s="133"/>
      <x:c r="O58" s="131"/>
      <x:c r="P58" s="134"/>
      <x:c r="Q58" s="133"/>
      <x:c r="R58" s="131"/>
      <x:c r="S58" s="134"/>
      <x:c r="T58" s="133"/>
      <x:c r="U58" s="131"/>
      <x:c r="V58" s="134"/>
      <x:c r="W58" s="133"/>
      <x:c r="X58" s="131"/>
      <x:c r="Y58" s="134"/>
      <x:c r="Z58" s="133"/>
      <x:c r="AA58" s="131"/>
      <x:c r="AB58" s="134"/>
      <x:c r="AC58" s="133"/>
      <x:c r="AD58" s="131"/>
      <x:c r="AE58" s="134"/>
      <x:c r="AF58" s="133"/>
      <x:c r="AG58" s="131"/>
      <x:c r="AH58" s="134"/>
      <x:c r="AI58" s="133"/>
      <x:c r="AJ58" s="131"/>
      <x:c r="AK58" s="134"/>
    </x:row>
    <x:row r="59" ht="22" customHeight="1">
      <x:c r="A59" s="38" t="str">
        <x:v>SALES EXPENSES</x:v>
      </x:c>
      <x:c r="B59" s="84" t="str">
        <x:v>SALES EXPENSES</x:v>
      </x:c>
      <x:c r="C59" s="85" t="str">
        <x:v>SALES EXPENSES</x:v>
      </x:c>
      <x:c r="D59" s="86" t="str">
        <x:v>SALES EXPENSES</x:v>
      </x:c>
      <x:c r="E59" s="84" t="str">
        <x:v>SALES EXPENSES</x:v>
      </x:c>
      <x:c r="F59" s="85" t="str">
        <x:v>SALES EXPENSES</x:v>
      </x:c>
      <x:c r="G59" s="86" t="str">
        <x:v>SALES EXPENSES</x:v>
      </x:c>
      <x:c r="H59" s="84" t="str">
        <x:v>SALES EXPENSES</x:v>
      </x:c>
      <x:c r="I59" s="85" t="str">
        <x:v>SALES EXPENSES</x:v>
      </x:c>
      <x:c r="J59" s="86" t="str">
        <x:v>SALES EXPENSES</x:v>
      </x:c>
      <x:c r="K59" s="84" t="str">
        <x:v>SALES EXPENSES</x:v>
      </x:c>
      <x:c r="L59" s="85" t="str">
        <x:v>SALES EXPENSES</x:v>
      </x:c>
      <x:c r="M59" s="86" t="str">
        <x:v>SALES EXPENSES</x:v>
      </x:c>
      <x:c r="N59" s="84" t="str">
        <x:v>SALES EXPENSES</x:v>
      </x:c>
      <x:c r="O59" s="85" t="str">
        <x:v>SALES EXPENSES</x:v>
      </x:c>
      <x:c r="P59" s="86" t="str">
        <x:v>SALES EXPENSES</x:v>
      </x:c>
      <x:c r="Q59" s="84" t="str">
        <x:v>SALES EXPENSES</x:v>
      </x:c>
      <x:c r="R59" s="85" t="str">
        <x:v>SALES EXPENSES</x:v>
      </x:c>
      <x:c r="S59" s="86" t="str">
        <x:v>SALES EXPENSES</x:v>
      </x:c>
      <x:c r="T59" s="84" t="str">
        <x:v>SALES EXPENSES</x:v>
      </x:c>
      <x:c r="U59" s="85" t="str">
        <x:v>SALES EXPENSES</x:v>
      </x:c>
      <x:c r="V59" s="86" t="str">
        <x:v>SALES EXPENSES</x:v>
      </x:c>
      <x:c r="W59" s="84" t="str">
        <x:v>SALES EXPENSES</x:v>
      </x:c>
      <x:c r="X59" s="85" t="str">
        <x:v>SALES EXPENSES</x:v>
      </x:c>
      <x:c r="Y59" s="86" t="str">
        <x:v>SALES EXPENSES</x:v>
      </x:c>
      <x:c r="Z59" s="84" t="str">
        <x:v>SALES EXPENSES</x:v>
      </x:c>
      <x:c r="AA59" s="85" t="str">
        <x:v>SALES EXPENSES</x:v>
      </x:c>
      <x:c r="AB59" s="86" t="str">
        <x:v>SALES EXPENSES</x:v>
      </x:c>
      <x:c r="AC59" s="84" t="str">
        <x:v>SALES EXPENSES</x:v>
      </x:c>
      <x:c r="AD59" s="85" t="str">
        <x:v>SALES EXPENSES</x:v>
      </x:c>
      <x:c r="AE59" s="86" t="str">
        <x:v>SALES EXPENSES</x:v>
      </x:c>
      <x:c r="AF59" s="84" t="str">
        <x:v>SALES EXPENSES</x:v>
      </x:c>
      <x:c r="AG59" s="85" t="str">
        <x:v>SALES EXPENSES</x:v>
      </x:c>
      <x:c r="AH59" s="86" t="str">
        <x:v>SALES EXPENSES</x:v>
      </x:c>
      <x:c r="AI59" s="84" t="str">
        <x:v>SALES EXPENSES</x:v>
      </x:c>
      <x:c r="AJ59" s="85" t="str">
        <x:v>SALES EXPENSES</x:v>
      </x:c>
      <x:c r="AK59" s="86" t="str">
        <x:v>SALES EXPENSES</x:v>
      </x:c>
    </x:row>
    <x:row r="60" ht="22" customHeight="1">
      <x:c r="A60" s="116" t="str">
        <x:v>Salaries and Wages</x:v>
      </x:c>
      <x:c r="B60" s="130"/>
      <x:c r="C60" s="131" t="n">
        <x:f>IF(B60&lt;&gt;"",B60,D60)</x:f>
        <x:v>8000</x:v>
      </x:c>
      <x:c r="D60" s="132" t="n">
        <x:v>8000</x:v>
      </x:c>
      <x:c r="E60" s="130"/>
      <x:c r="F60" s="131" t="n">
        <x:f>IF(E60&lt;&gt;"",E60,G60)</x:f>
        <x:v>8000</x:v>
      </x:c>
      <x:c r="G60" s="132" t="n">
        <x:v>8000</x:v>
      </x:c>
      <x:c r="H60" s="130"/>
      <x:c r="I60" s="131" t="n">
        <x:f>IF(H60&lt;&gt;"",H60,J60)</x:f>
        <x:v>8000</x:v>
      </x:c>
      <x:c r="J60" s="132" t="n">
        <x:v>8000</x:v>
      </x:c>
      <x:c r="K60" s="130"/>
      <x:c r="L60" s="131" t="n">
        <x:f>IF(K60&lt;&gt;"",K60,M60)</x:f>
        <x:v>8000</x:v>
      </x:c>
      <x:c r="M60" s="132" t="n">
        <x:v>8000</x:v>
      </x:c>
      <x:c r="N60" s="130"/>
      <x:c r="O60" s="131" t="n">
        <x:f>IF(N60&lt;&gt;"",N60,P60)</x:f>
        <x:v>8000</x:v>
      </x:c>
      <x:c r="P60" s="132" t="n">
        <x:v>8000</x:v>
      </x:c>
      <x:c r="Q60" s="130"/>
      <x:c r="R60" s="131" t="n">
        <x:f>IF(Q60&lt;&gt;"",Q60,S60)</x:f>
        <x:v>8000</x:v>
      </x:c>
      <x:c r="S60" s="132" t="n">
        <x:v>8000</x:v>
      </x:c>
      <x:c r="T60" s="130"/>
      <x:c r="U60" s="131" t="n">
        <x:f>IF(T60&lt;&gt;"",T60,V60)</x:f>
        <x:v>8000</x:v>
      </x:c>
      <x:c r="V60" s="132" t="n">
        <x:v>8000</x:v>
      </x:c>
      <x:c r="W60" s="130"/>
      <x:c r="X60" s="131" t="n">
        <x:f>IF(W60&lt;&gt;"",W60,Y60)</x:f>
        <x:v>8000</x:v>
      </x:c>
      <x:c r="Y60" s="132" t="n">
        <x:v>8000</x:v>
      </x:c>
      <x:c r="Z60" s="130"/>
      <x:c r="AA60" s="131" t="n">
        <x:f>IF(Z60&lt;&gt;"",Z60,AB60)</x:f>
        <x:v>8000</x:v>
      </x:c>
      <x:c r="AB60" s="132" t="n">
        <x:v>8000</x:v>
      </x:c>
      <x:c r="AC60" s="130"/>
      <x:c r="AD60" s="131" t="n">
        <x:f>IF(AC60&lt;&gt;"",AC60,AE60)</x:f>
        <x:v>8000</x:v>
      </x:c>
      <x:c r="AE60" s="132" t="n">
        <x:v>8000</x:v>
      </x:c>
      <x:c r="AF60" s="130" t="n">
        <x:v>7840</x:v>
      </x:c>
      <x:c r="AG60" s="131" t="n">
        <x:f>IF(AF60&lt;&gt;"",AF60,AH60)</x:f>
        <x:v>7840</x:v>
      </x:c>
      <x:c r="AH60" s="132" t="n">
        <x:v>8000</x:v>
      </x:c>
      <x:c r="AI60" s="130" t="n">
        <x:v>8400</x:v>
      </x:c>
      <x:c r="AJ60" s="131" t="n">
        <x:f>IF(AI60&lt;&gt;"",AI60,AK60)</x:f>
        <x:v>8400</x:v>
      </x:c>
      <x:c r="AK60" s="132" t="n">
        <x:v>8000</x:v>
      </x:c>
    </x:row>
    <x:row r="61" ht="22" customHeight="1">
      <x:c r="A61" s="116" t="str">
        <x:v>Bonuses</x:v>
      </x:c>
      <x:c r="B61" s="130"/>
      <x:c r="C61" s="131" t="n">
        <x:f>IF(B61&lt;&gt;"",B61,D61)</x:f>
        <x:v>500</x:v>
      </x:c>
      <x:c r="D61" s="132" t="n">
        <x:v>500</x:v>
      </x:c>
      <x:c r="E61" s="130"/>
      <x:c r="F61" s="131" t="n">
        <x:f>IF(E61&lt;&gt;"",E61,G61)</x:f>
        <x:v>500</x:v>
      </x:c>
      <x:c r="G61" s="132" t="n">
        <x:v>500</x:v>
      </x:c>
      <x:c r="H61" s="130"/>
      <x:c r="I61" s="131" t="n">
        <x:f>IF(H61&lt;&gt;"",H61,J61)</x:f>
        <x:v>500</x:v>
      </x:c>
      <x:c r="J61" s="132" t="n">
        <x:v>500</x:v>
      </x:c>
      <x:c r="K61" s="130"/>
      <x:c r="L61" s="131" t="n">
        <x:f>IF(K61&lt;&gt;"",K61,M61)</x:f>
        <x:v>500</x:v>
      </x:c>
      <x:c r="M61" s="132" t="n">
        <x:v>500</x:v>
      </x:c>
      <x:c r="N61" s="130"/>
      <x:c r="O61" s="131" t="n">
        <x:f>IF(N61&lt;&gt;"",N61,P61)</x:f>
        <x:v>500</x:v>
      </x:c>
      <x:c r="P61" s="132" t="n">
        <x:v>500</x:v>
      </x:c>
      <x:c r="Q61" s="130"/>
      <x:c r="R61" s="131" t="n">
        <x:f>IF(Q61&lt;&gt;"",Q61,S61)</x:f>
        <x:v>500</x:v>
      </x:c>
      <x:c r="S61" s="132" t="n">
        <x:v>500</x:v>
      </x:c>
      <x:c r="T61" s="130"/>
      <x:c r="U61" s="131" t="n">
        <x:f>IF(T61&lt;&gt;"",T61,V61)</x:f>
        <x:v>500</x:v>
      </x:c>
      <x:c r="V61" s="132" t="n">
        <x:v>500</x:v>
      </x:c>
      <x:c r="W61" s="130"/>
      <x:c r="X61" s="131" t="n">
        <x:f>IF(W61&lt;&gt;"",W61,Y61)</x:f>
        <x:v>500</x:v>
      </x:c>
      <x:c r="Y61" s="132" t="n">
        <x:v>500</x:v>
      </x:c>
      <x:c r="Z61" s="130"/>
      <x:c r="AA61" s="131" t="n">
        <x:f>IF(Z61&lt;&gt;"",Z61,AB61)</x:f>
        <x:v>500</x:v>
      </x:c>
      <x:c r="AB61" s="132" t="n">
        <x:v>500</x:v>
      </x:c>
      <x:c r="AC61" s="130"/>
      <x:c r="AD61" s="131" t="n">
        <x:f>IF(AC61&lt;&gt;"",AC61,AE61)</x:f>
        <x:v>500</x:v>
      </x:c>
      <x:c r="AE61" s="132" t="n">
        <x:v>500</x:v>
      </x:c>
      <x:c r="AF61" s="130" t="n">
        <x:v>490</x:v>
      </x:c>
      <x:c r="AG61" s="131" t="n">
        <x:f>IF(AF61&lt;&gt;"",AF61,AH61)</x:f>
        <x:v>490</x:v>
      </x:c>
      <x:c r="AH61" s="132" t="n">
        <x:v>500</x:v>
      </x:c>
      <x:c r="AI61" s="130" t="n">
        <x:v>525</x:v>
      </x:c>
      <x:c r="AJ61" s="131" t="n">
        <x:f>IF(AI61&lt;&gt;"",AI61,AK61)</x:f>
        <x:v>525</x:v>
      </x:c>
      <x:c r="AK61" s="132" t="n">
        <x:v>500</x:v>
      </x:c>
    </x:row>
    <x:row r="62" ht="22" customHeight="1">
      <x:c r="A62" s="116" t="str">
        <x:v>Payroll Taxes and Benefits</x:v>
      </x:c>
      <x:c r="B62" s="130"/>
      <x:c r="C62" s="131" t="n">
        <x:f>IF(B62&lt;&gt;"",B62,D62)</x:f>
        <x:v>1600</x:v>
      </x:c>
      <x:c r="D62" s="132" t="n">
        <x:v>1600</x:v>
      </x:c>
      <x:c r="E62" s="130"/>
      <x:c r="F62" s="131" t="n">
        <x:f>IF(E62&lt;&gt;"",E62,G62)</x:f>
        <x:v>1600</x:v>
      </x:c>
      <x:c r="G62" s="132" t="n">
        <x:v>1600</x:v>
      </x:c>
      <x:c r="H62" s="130"/>
      <x:c r="I62" s="131" t="n">
        <x:f>IF(H62&lt;&gt;"",H62,J62)</x:f>
        <x:v>1600</x:v>
      </x:c>
      <x:c r="J62" s="132" t="n">
        <x:v>1600</x:v>
      </x:c>
      <x:c r="K62" s="130"/>
      <x:c r="L62" s="131" t="n">
        <x:f>IF(K62&lt;&gt;"",K62,M62)</x:f>
        <x:v>1600</x:v>
      </x:c>
      <x:c r="M62" s="132" t="n">
        <x:v>1600</x:v>
      </x:c>
      <x:c r="N62" s="130"/>
      <x:c r="O62" s="131" t="n">
        <x:f>IF(N62&lt;&gt;"",N62,P62)</x:f>
        <x:v>1600</x:v>
      </x:c>
      <x:c r="P62" s="132" t="n">
        <x:v>1600</x:v>
      </x:c>
      <x:c r="Q62" s="130"/>
      <x:c r="R62" s="131" t="n">
        <x:f>IF(Q62&lt;&gt;"",Q62,S62)</x:f>
        <x:v>1600</x:v>
      </x:c>
      <x:c r="S62" s="132" t="n">
        <x:v>1600</x:v>
      </x:c>
      <x:c r="T62" s="130"/>
      <x:c r="U62" s="131" t="n">
        <x:f>IF(T62&lt;&gt;"",T62,V62)</x:f>
        <x:v>1600</x:v>
      </x:c>
      <x:c r="V62" s="132" t="n">
        <x:v>1600</x:v>
      </x:c>
      <x:c r="W62" s="130"/>
      <x:c r="X62" s="131" t="n">
        <x:f>IF(W62&lt;&gt;"",W62,Y62)</x:f>
        <x:v>1600</x:v>
      </x:c>
      <x:c r="Y62" s="132" t="n">
        <x:v>1600</x:v>
      </x:c>
      <x:c r="Z62" s="130"/>
      <x:c r="AA62" s="131" t="n">
        <x:f>IF(Z62&lt;&gt;"",Z62,AB62)</x:f>
        <x:v>1600</x:v>
      </x:c>
      <x:c r="AB62" s="132" t="n">
        <x:v>1600</x:v>
      </x:c>
      <x:c r="AC62" s="130"/>
      <x:c r="AD62" s="131" t="n">
        <x:f>IF(AC62&lt;&gt;"",AC62,AE62)</x:f>
        <x:v>1600</x:v>
      </x:c>
      <x:c r="AE62" s="132" t="n">
        <x:v>1600</x:v>
      </x:c>
      <x:c r="AF62" s="130" t="n">
        <x:v>1568</x:v>
      </x:c>
      <x:c r="AG62" s="131" t="n">
        <x:f>IF(AF62&lt;&gt;"",AF62,AH62)</x:f>
        <x:v>1568</x:v>
      </x:c>
      <x:c r="AH62" s="132" t="n">
        <x:v>1600</x:v>
      </x:c>
      <x:c r="AI62" s="130" t="n">
        <x:v>1680</x:v>
      </x:c>
      <x:c r="AJ62" s="131" t="n">
        <x:f>IF(AI62&lt;&gt;"",AI62,AK62)</x:f>
        <x:v>1680</x:v>
      </x:c>
      <x:c r="AK62" s="132" t="n">
        <x:v>1600</x:v>
      </x:c>
    </x:row>
    <x:row r="63" ht="22" customHeight="1">
      <x:c r="A63" s="116" t="str">
        <x:v>Contractors and Freelancers</x:v>
      </x:c>
      <x:c r="B63" s="130"/>
      <x:c r="C63" s="131" t="n">
        <x:f>IF(B63&lt;&gt;"",B63,D63)</x:f>
        <x:v>0</x:v>
      </x:c>
      <x:c r="D63" s="132" t="n">
        <x:v>0</x:v>
      </x:c>
      <x:c r="E63" s="130"/>
      <x:c r="F63" s="131" t="n">
        <x:f>IF(E63&lt;&gt;"",E63,G63)</x:f>
        <x:v>0</x:v>
      </x:c>
      <x:c r="G63" s="132" t="n">
        <x:v>0</x:v>
      </x:c>
      <x:c r="H63" s="130"/>
      <x:c r="I63" s="131" t="n">
        <x:f>IF(H63&lt;&gt;"",H63,J63)</x:f>
        <x:v>0</x:v>
      </x:c>
      <x:c r="J63" s="132" t="n">
        <x:v>0</x:v>
      </x:c>
      <x:c r="K63" s="130"/>
      <x:c r="L63" s="131" t="n">
        <x:f>IF(K63&lt;&gt;"",K63,M63)</x:f>
        <x:v>0</x:v>
      </x:c>
      <x:c r="M63" s="132" t="n">
        <x:v>0</x:v>
      </x:c>
      <x:c r="N63" s="130"/>
      <x:c r="O63" s="131" t="n">
        <x:f>IF(N63&lt;&gt;"",N63,P63)</x:f>
        <x:v>0</x:v>
      </x:c>
      <x:c r="P63" s="132" t="n">
        <x:v>0</x:v>
      </x:c>
      <x:c r="Q63" s="130"/>
      <x:c r="R63" s="131" t="n">
        <x:f>IF(Q63&lt;&gt;"",Q63,S63)</x:f>
        <x:v>0</x:v>
      </x:c>
      <x:c r="S63" s="132" t="n">
        <x:v>0</x:v>
      </x:c>
      <x:c r="T63" s="130"/>
      <x:c r="U63" s="131" t="n">
        <x:f>IF(T63&lt;&gt;"",T63,V63)</x:f>
        <x:v>0</x:v>
      </x:c>
      <x:c r="V63" s="132" t="n">
        <x:v>0</x:v>
      </x:c>
      <x:c r="W63" s="130"/>
      <x:c r="X63" s="131" t="n">
        <x:f>IF(W63&lt;&gt;"",W63,Y63)</x:f>
        <x:v>0</x:v>
      </x:c>
      <x:c r="Y63" s="132" t="n">
        <x:v>0</x:v>
      </x:c>
      <x:c r="Z63" s="130"/>
      <x:c r="AA63" s="131" t="n">
        <x:f>IF(Z63&lt;&gt;"",Z63,AB63)</x:f>
        <x:v>0</x:v>
      </x:c>
      <x:c r="AB63" s="132" t="n">
        <x:v>0</x:v>
      </x:c>
      <x:c r="AC63" s="130"/>
      <x:c r="AD63" s="131" t="n">
        <x:f>IF(AC63&lt;&gt;"",AC63,AE63)</x:f>
        <x:v>0</x:v>
      </x:c>
      <x:c r="AE63" s="132" t="n">
        <x:v>0</x:v>
      </x:c>
      <x:c r="AF63" s="130" t="n">
        <x:v>0</x:v>
      </x:c>
      <x:c r="AG63" s="131" t="n">
        <x:f>IF(AF63&lt;&gt;"",AF63,AH63)</x:f>
        <x:v>0</x:v>
      </x:c>
      <x:c r="AH63" s="132" t="n">
        <x:v>0</x:v>
      </x:c>
      <x:c r="AI63" s="130" t="n">
        <x:v>0</x:v>
      </x:c>
      <x:c r="AJ63" s="131" t="n">
        <x:f>IF(AI63&lt;&gt;"",AI63,AK63)</x:f>
        <x:v>0</x:v>
      </x:c>
      <x:c r="AK63" s="132" t="n">
        <x:v>0</x:v>
      </x:c>
    </x:row>
    <x:row r="64" ht="22" customHeight="1">
      <x:c r="A64" s="116" t="str">
        <x:v>Recruiting</x:v>
      </x:c>
      <x:c r="B64" s="130"/>
      <x:c r="C64" s="131" t="n">
        <x:f>IF(B64&lt;&gt;"",B64,D64)</x:f>
        <x:v>0</x:v>
      </x:c>
      <x:c r="D64" s="132" t="n">
        <x:v>0</x:v>
      </x:c>
      <x:c r="E64" s="130"/>
      <x:c r="F64" s="131" t="n">
        <x:f>IF(E64&lt;&gt;"",E64,G64)</x:f>
        <x:v>0</x:v>
      </x:c>
      <x:c r="G64" s="132" t="n">
        <x:v>0</x:v>
      </x:c>
      <x:c r="H64" s="130"/>
      <x:c r="I64" s="131" t="n">
        <x:f>IF(H64&lt;&gt;"",H64,J64)</x:f>
        <x:v>0</x:v>
      </x:c>
      <x:c r="J64" s="132" t="n">
        <x:v>0</x:v>
      </x:c>
      <x:c r="K64" s="130"/>
      <x:c r="L64" s="131" t="n">
        <x:f>IF(K64&lt;&gt;"",K64,M64)</x:f>
        <x:v>0</x:v>
      </x:c>
      <x:c r="M64" s="132" t="n">
        <x:v>0</x:v>
      </x:c>
      <x:c r="N64" s="130"/>
      <x:c r="O64" s="131" t="n">
        <x:f>IF(N64&lt;&gt;"",N64,P64)</x:f>
        <x:v>0</x:v>
      </x:c>
      <x:c r="P64" s="132" t="n">
        <x:v>0</x:v>
      </x:c>
      <x:c r="Q64" s="130"/>
      <x:c r="R64" s="131" t="n">
        <x:f>IF(Q64&lt;&gt;"",Q64,S64)</x:f>
        <x:v>0</x:v>
      </x:c>
      <x:c r="S64" s="132" t="n">
        <x:v>0</x:v>
      </x:c>
      <x:c r="T64" s="130"/>
      <x:c r="U64" s="131" t="n">
        <x:f>IF(T64&lt;&gt;"",T64,V64)</x:f>
        <x:v>0</x:v>
      </x:c>
      <x:c r="V64" s="132" t="n">
        <x:v>0</x:v>
      </x:c>
      <x:c r="W64" s="130"/>
      <x:c r="X64" s="131" t="n">
        <x:f>IF(W64&lt;&gt;"",W64,Y64)</x:f>
        <x:v>0</x:v>
      </x:c>
      <x:c r="Y64" s="132" t="n">
        <x:v>0</x:v>
      </x:c>
      <x:c r="Z64" s="130"/>
      <x:c r="AA64" s="131" t="n">
        <x:f>IF(Z64&lt;&gt;"",Z64,AB64)</x:f>
        <x:v>0</x:v>
      </x:c>
      <x:c r="AB64" s="132" t="n">
        <x:v>0</x:v>
      </x:c>
      <x:c r="AC64" s="130"/>
      <x:c r="AD64" s="131" t="n">
        <x:f>IF(AC64&lt;&gt;"",AC64,AE64)</x:f>
        <x:v>0</x:v>
      </x:c>
      <x:c r="AE64" s="132" t="n">
        <x:v>0</x:v>
      </x:c>
      <x:c r="AF64" s="130" t="n">
        <x:v>0</x:v>
      </x:c>
      <x:c r="AG64" s="131" t="n">
        <x:f>IF(AF64&lt;&gt;"",AF64,AH64)</x:f>
        <x:v>0</x:v>
      </x:c>
      <x:c r="AH64" s="132" t="n">
        <x:v>0</x:v>
      </x:c>
      <x:c r="AI64" s="130" t="n">
        <x:v>0</x:v>
      </x:c>
      <x:c r="AJ64" s="131" t="n">
        <x:f>IF(AI64&lt;&gt;"",AI64,AK64)</x:f>
        <x:v>0</x:v>
      </x:c>
      <x:c r="AK64" s="132" t="n">
        <x:v>0</x:v>
      </x:c>
    </x:row>
    <x:row r="65" ht="22" customHeight="1">
      <x:c r="A65" s="116" t="str">
        <x:v>Training and Development</x:v>
      </x:c>
      <x:c r="B65" s="130"/>
      <x:c r="C65" s="131" t="n">
        <x:f>IF(B65&lt;&gt;"",B65,D65)</x:f>
        <x:v>200</x:v>
      </x:c>
      <x:c r="D65" s="132" t="n">
        <x:v>200</x:v>
      </x:c>
      <x:c r="E65" s="130"/>
      <x:c r="F65" s="131" t="n">
        <x:f>IF(E65&lt;&gt;"",E65,G65)</x:f>
        <x:v>200</x:v>
      </x:c>
      <x:c r="G65" s="132" t="n">
        <x:v>200</x:v>
      </x:c>
      <x:c r="H65" s="130"/>
      <x:c r="I65" s="131" t="n">
        <x:f>IF(H65&lt;&gt;"",H65,J65)</x:f>
        <x:v>200</x:v>
      </x:c>
      <x:c r="J65" s="132" t="n">
        <x:v>200</x:v>
      </x:c>
      <x:c r="K65" s="130"/>
      <x:c r="L65" s="131" t="n">
        <x:f>IF(K65&lt;&gt;"",K65,M65)</x:f>
        <x:v>200</x:v>
      </x:c>
      <x:c r="M65" s="132" t="n">
        <x:v>200</x:v>
      </x:c>
      <x:c r="N65" s="130"/>
      <x:c r="O65" s="131" t="n">
        <x:f>IF(N65&lt;&gt;"",N65,P65)</x:f>
        <x:v>200</x:v>
      </x:c>
      <x:c r="P65" s="132" t="n">
        <x:v>200</x:v>
      </x:c>
      <x:c r="Q65" s="130"/>
      <x:c r="R65" s="131" t="n">
        <x:f>IF(Q65&lt;&gt;"",Q65,S65)</x:f>
        <x:v>200</x:v>
      </x:c>
      <x:c r="S65" s="132" t="n">
        <x:v>200</x:v>
      </x:c>
      <x:c r="T65" s="130"/>
      <x:c r="U65" s="131" t="n">
        <x:f>IF(T65&lt;&gt;"",T65,V65)</x:f>
        <x:v>200</x:v>
      </x:c>
      <x:c r="V65" s="132" t="n">
        <x:v>200</x:v>
      </x:c>
      <x:c r="W65" s="130"/>
      <x:c r="X65" s="131" t="n">
        <x:f>IF(W65&lt;&gt;"",W65,Y65)</x:f>
        <x:v>200</x:v>
      </x:c>
      <x:c r="Y65" s="132" t="n">
        <x:v>200</x:v>
      </x:c>
      <x:c r="Z65" s="130"/>
      <x:c r="AA65" s="131" t="n">
        <x:f>IF(Z65&lt;&gt;"",Z65,AB65)</x:f>
        <x:v>200</x:v>
      </x:c>
      <x:c r="AB65" s="132" t="n">
        <x:v>200</x:v>
      </x:c>
      <x:c r="AC65" s="130"/>
      <x:c r="AD65" s="131" t="n">
        <x:f>IF(AC65&lt;&gt;"",AC65,AE65)</x:f>
        <x:v>200</x:v>
      </x:c>
      <x:c r="AE65" s="132" t="n">
        <x:v>200</x:v>
      </x:c>
      <x:c r="AF65" s="130" t="n">
        <x:v>196</x:v>
      </x:c>
      <x:c r="AG65" s="131" t="n">
        <x:f>IF(AF65&lt;&gt;"",AF65,AH65)</x:f>
        <x:v>196</x:v>
      </x:c>
      <x:c r="AH65" s="132" t="n">
        <x:v>200</x:v>
      </x:c>
      <x:c r="AI65" s="130" t="n">
        <x:v>210</x:v>
      </x:c>
      <x:c r="AJ65" s="131" t="n">
        <x:f>IF(AI65&lt;&gt;"",AI65,AK65)</x:f>
        <x:v>210</x:v>
      </x:c>
      <x:c r="AK65" s="132" t="n">
        <x:v>200</x:v>
      </x:c>
    </x:row>
    <x:row r="66" ht="22" customHeight="1">
      <x:c r="A66" s="116" t="str">
        <x:v>Software Subscriptions</x:v>
      </x:c>
      <x:c r="B66" s="130"/>
      <x:c r="C66" s="131" t="n">
        <x:f>IF(B66&lt;&gt;"",B66,D66)</x:f>
        <x:v>400</x:v>
      </x:c>
      <x:c r="D66" s="132" t="n">
        <x:v>400</x:v>
      </x:c>
      <x:c r="E66" s="130"/>
      <x:c r="F66" s="131" t="n">
        <x:f>IF(E66&lt;&gt;"",E66,G66)</x:f>
        <x:v>400</x:v>
      </x:c>
      <x:c r="G66" s="132" t="n">
        <x:v>400</x:v>
      </x:c>
      <x:c r="H66" s="130"/>
      <x:c r="I66" s="131" t="n">
        <x:f>IF(H66&lt;&gt;"",H66,J66)</x:f>
        <x:v>400</x:v>
      </x:c>
      <x:c r="J66" s="132" t="n">
        <x:v>400</x:v>
      </x:c>
      <x:c r="K66" s="130"/>
      <x:c r="L66" s="131" t="n">
        <x:f>IF(K66&lt;&gt;"",K66,M66)</x:f>
        <x:v>400</x:v>
      </x:c>
      <x:c r="M66" s="132" t="n">
        <x:v>400</x:v>
      </x:c>
      <x:c r="N66" s="130"/>
      <x:c r="O66" s="131" t="n">
        <x:f>IF(N66&lt;&gt;"",N66,P66)</x:f>
        <x:v>400</x:v>
      </x:c>
      <x:c r="P66" s="132" t="n">
        <x:v>400</x:v>
      </x:c>
      <x:c r="Q66" s="130"/>
      <x:c r="R66" s="131" t="n">
        <x:f>IF(Q66&lt;&gt;"",Q66,S66)</x:f>
        <x:v>400</x:v>
      </x:c>
      <x:c r="S66" s="132" t="n">
        <x:v>400</x:v>
      </x:c>
      <x:c r="T66" s="130"/>
      <x:c r="U66" s="131" t="n">
        <x:f>IF(T66&lt;&gt;"",T66,V66)</x:f>
        <x:v>400</x:v>
      </x:c>
      <x:c r="V66" s="132" t="n">
        <x:v>400</x:v>
      </x:c>
      <x:c r="W66" s="130"/>
      <x:c r="X66" s="131" t="n">
        <x:f>IF(W66&lt;&gt;"",W66,Y66)</x:f>
        <x:v>400</x:v>
      </x:c>
      <x:c r="Y66" s="132" t="n">
        <x:v>400</x:v>
      </x:c>
      <x:c r="Z66" s="130"/>
      <x:c r="AA66" s="131" t="n">
        <x:f>IF(Z66&lt;&gt;"",Z66,AB66)</x:f>
        <x:v>400</x:v>
      </x:c>
      <x:c r="AB66" s="132" t="n">
        <x:v>400</x:v>
      </x:c>
      <x:c r="AC66" s="130"/>
      <x:c r="AD66" s="131" t="n">
        <x:f>IF(AC66&lt;&gt;"",AC66,AE66)</x:f>
        <x:v>400</x:v>
      </x:c>
      <x:c r="AE66" s="132" t="n">
        <x:v>400</x:v>
      </x:c>
      <x:c r="AF66" s="130" t="n">
        <x:v>392</x:v>
      </x:c>
      <x:c r="AG66" s="131" t="n">
        <x:f>IF(AF66&lt;&gt;"",AF66,AH66)</x:f>
        <x:v>392</x:v>
      </x:c>
      <x:c r="AH66" s="132" t="n">
        <x:v>400</x:v>
      </x:c>
      <x:c r="AI66" s="130" t="n">
        <x:v>420</x:v>
      </x:c>
      <x:c r="AJ66" s="131" t="n">
        <x:f>IF(AI66&lt;&gt;"",AI66,AK66)</x:f>
        <x:v>420</x:v>
      </x:c>
      <x:c r="AK66" s="132" t="n">
        <x:v>400</x:v>
      </x:c>
    </x:row>
    <x:row r="67" ht="22" customHeight="1">
      <x:c r="A67" s="116" t="str">
        <x:v>Dues and Subscriptions</x:v>
      </x:c>
      <x:c r="B67" s="130"/>
      <x:c r="C67" s="131" t="n">
        <x:f>IF(B67&lt;&gt;"",B67,D67)</x:f>
        <x:v>100</x:v>
      </x:c>
      <x:c r="D67" s="132" t="n">
        <x:v>100</x:v>
      </x:c>
      <x:c r="E67" s="130"/>
      <x:c r="F67" s="131" t="n">
        <x:f>IF(E67&lt;&gt;"",E67,G67)</x:f>
        <x:v>100</x:v>
      </x:c>
      <x:c r="G67" s="132" t="n">
        <x:v>100</x:v>
      </x:c>
      <x:c r="H67" s="130"/>
      <x:c r="I67" s="131" t="n">
        <x:f>IF(H67&lt;&gt;"",H67,J67)</x:f>
        <x:v>100</x:v>
      </x:c>
      <x:c r="J67" s="132" t="n">
        <x:v>100</x:v>
      </x:c>
      <x:c r="K67" s="130"/>
      <x:c r="L67" s="131" t="n">
        <x:f>IF(K67&lt;&gt;"",K67,M67)</x:f>
        <x:v>100</x:v>
      </x:c>
      <x:c r="M67" s="132" t="n">
        <x:v>100</x:v>
      </x:c>
      <x:c r="N67" s="130"/>
      <x:c r="O67" s="131" t="n">
        <x:f>IF(N67&lt;&gt;"",N67,P67)</x:f>
        <x:v>100</x:v>
      </x:c>
      <x:c r="P67" s="132" t="n">
        <x:v>100</x:v>
      </x:c>
      <x:c r="Q67" s="130"/>
      <x:c r="R67" s="131" t="n">
        <x:f>IF(Q67&lt;&gt;"",Q67,S67)</x:f>
        <x:v>100</x:v>
      </x:c>
      <x:c r="S67" s="132" t="n">
        <x:v>100</x:v>
      </x:c>
      <x:c r="T67" s="130"/>
      <x:c r="U67" s="131" t="n">
        <x:f>IF(T67&lt;&gt;"",T67,V67)</x:f>
        <x:v>100</x:v>
      </x:c>
      <x:c r="V67" s="132" t="n">
        <x:v>100</x:v>
      </x:c>
      <x:c r="W67" s="130"/>
      <x:c r="X67" s="131" t="n">
        <x:f>IF(W67&lt;&gt;"",W67,Y67)</x:f>
        <x:v>100</x:v>
      </x:c>
      <x:c r="Y67" s="132" t="n">
        <x:v>100</x:v>
      </x:c>
      <x:c r="Z67" s="130"/>
      <x:c r="AA67" s="131" t="n">
        <x:f>IF(Z67&lt;&gt;"",Z67,AB67)</x:f>
        <x:v>100</x:v>
      </x:c>
      <x:c r="AB67" s="132" t="n">
        <x:v>100</x:v>
      </x:c>
      <x:c r="AC67" s="130"/>
      <x:c r="AD67" s="131" t="n">
        <x:f>IF(AC67&lt;&gt;"",AC67,AE67)</x:f>
        <x:v>100</x:v>
      </x:c>
      <x:c r="AE67" s="132" t="n">
        <x:v>100</x:v>
      </x:c>
      <x:c r="AF67" s="130" t="n">
        <x:v>98</x:v>
      </x:c>
      <x:c r="AG67" s="131" t="n">
        <x:f>IF(AF67&lt;&gt;"",AF67,AH67)</x:f>
        <x:v>98</x:v>
      </x:c>
      <x:c r="AH67" s="132" t="n">
        <x:v>100</x:v>
      </x:c>
      <x:c r="AI67" s="130" t="n">
        <x:v>105</x:v>
      </x:c>
      <x:c r="AJ67" s="131" t="n">
        <x:f>IF(AI67&lt;&gt;"",AI67,AK67)</x:f>
        <x:v>105</x:v>
      </x:c>
      <x:c r="AK67" s="132" t="n">
        <x:v>100</x:v>
      </x:c>
    </x:row>
    <x:row r="68" ht="22" customHeight="1">
      <x:c r="A68" s="116" t="str">
        <x:v>Travel, Meals and Entertainment</x:v>
      </x:c>
      <x:c r="B68" s="130"/>
      <x:c r="C68" s="131" t="n">
        <x:f>IF(B68&lt;&gt;"",B68,D68)</x:f>
        <x:v>300</x:v>
      </x:c>
      <x:c r="D68" s="132" t="n">
        <x:v>300</x:v>
      </x:c>
      <x:c r="E68" s="130"/>
      <x:c r="F68" s="131" t="n">
        <x:f>IF(E68&lt;&gt;"",E68,G68)</x:f>
        <x:v>300</x:v>
      </x:c>
      <x:c r="G68" s="132" t="n">
        <x:v>300</x:v>
      </x:c>
      <x:c r="H68" s="130"/>
      <x:c r="I68" s="131" t="n">
        <x:f>IF(H68&lt;&gt;"",H68,J68)</x:f>
        <x:v>300</x:v>
      </x:c>
      <x:c r="J68" s="132" t="n">
        <x:v>300</x:v>
      </x:c>
      <x:c r="K68" s="130"/>
      <x:c r="L68" s="131" t="n">
        <x:f>IF(K68&lt;&gt;"",K68,M68)</x:f>
        <x:v>300</x:v>
      </x:c>
      <x:c r="M68" s="132" t="n">
        <x:v>300</x:v>
      </x:c>
      <x:c r="N68" s="130"/>
      <x:c r="O68" s="131" t="n">
        <x:f>IF(N68&lt;&gt;"",N68,P68)</x:f>
        <x:v>300</x:v>
      </x:c>
      <x:c r="P68" s="132" t="n">
        <x:v>300</x:v>
      </x:c>
      <x:c r="Q68" s="130"/>
      <x:c r="R68" s="131" t="n">
        <x:f>IF(Q68&lt;&gt;"",Q68,S68)</x:f>
        <x:v>300</x:v>
      </x:c>
      <x:c r="S68" s="132" t="n">
        <x:v>300</x:v>
      </x:c>
      <x:c r="T68" s="130"/>
      <x:c r="U68" s="131" t="n">
        <x:f>IF(T68&lt;&gt;"",T68,V68)</x:f>
        <x:v>300</x:v>
      </x:c>
      <x:c r="V68" s="132" t="n">
        <x:v>300</x:v>
      </x:c>
      <x:c r="W68" s="130"/>
      <x:c r="X68" s="131" t="n">
        <x:f>IF(W68&lt;&gt;"",W68,Y68)</x:f>
        <x:v>300</x:v>
      </x:c>
      <x:c r="Y68" s="132" t="n">
        <x:v>300</x:v>
      </x:c>
      <x:c r="Z68" s="130"/>
      <x:c r="AA68" s="131" t="n">
        <x:f>IF(Z68&lt;&gt;"",Z68,AB68)</x:f>
        <x:v>300</x:v>
      </x:c>
      <x:c r="AB68" s="132" t="n">
        <x:v>300</x:v>
      </x:c>
      <x:c r="AC68" s="130"/>
      <x:c r="AD68" s="131" t="n">
        <x:f>IF(AC68&lt;&gt;"",AC68,AE68)</x:f>
        <x:v>300</x:v>
      </x:c>
      <x:c r="AE68" s="132" t="n">
        <x:v>300</x:v>
      </x:c>
      <x:c r="AF68" s="130" t="n">
        <x:v>294</x:v>
      </x:c>
      <x:c r="AG68" s="131" t="n">
        <x:f>IF(AF68&lt;&gt;"",AF68,AH68)</x:f>
        <x:v>294</x:v>
      </x:c>
      <x:c r="AH68" s="132" t="n">
        <x:v>300</x:v>
      </x:c>
      <x:c r="AI68" s="130" t="n">
        <x:v>315</x:v>
      </x:c>
      <x:c r="AJ68" s="131" t="n">
        <x:f>IF(AI68&lt;&gt;"",AI68,AK68)</x:f>
        <x:v>315</x:v>
      </x:c>
      <x:c r="AK68" s="132" t="n">
        <x:v>300</x:v>
      </x:c>
    </x:row>
    <x:row r="69" ht="22" customHeight="1">
      <x:c r="A69" s="136" t="str">
        <x:v>Total Standard Department Cost</x:v>
      </x:c>
      <x:c r="B69" s="137" t="str">
        <x:f>IF(COUNT(B60:B68)&gt;0,SUM(B60:B68),"")</x:f>
      </x:c>
      <x:c r="C69" s="138" t="n">
        <x:f>SUM(C60:C68)</x:f>
        <x:v>11100</x:v>
      </x:c>
      <x:c r="D69" s="139" t="n">
        <x:f>SUM(D60:D68)</x:f>
        <x:v>11100</x:v>
      </x:c>
      <x:c r="E69" s="137" t="str">
        <x:f>IF(COUNT(E60:E68)&gt;0,SUM(E60:E68),"")</x:f>
      </x:c>
      <x:c r="F69" s="138" t="n">
        <x:f>SUM(F60:F68)</x:f>
        <x:v>11100</x:v>
      </x:c>
      <x:c r="G69" s="139" t="n">
        <x:f>SUM(G60:G68)</x:f>
        <x:v>11100</x:v>
      </x:c>
      <x:c r="H69" s="137" t="str">
        <x:f>IF(COUNT(H60:H68)&gt;0,SUM(H60:H68),"")</x:f>
      </x:c>
      <x:c r="I69" s="138" t="n">
        <x:f>SUM(I60:I68)</x:f>
        <x:v>11100</x:v>
      </x:c>
      <x:c r="J69" s="139" t="n">
        <x:f>SUM(J60:J68)</x:f>
        <x:v>11100</x:v>
      </x:c>
      <x:c r="K69" s="137" t="str">
        <x:f>IF(COUNT(K60:K68)&gt;0,SUM(K60:K68),"")</x:f>
      </x:c>
      <x:c r="L69" s="138" t="n">
        <x:f>SUM(L60:L68)</x:f>
        <x:v>11100</x:v>
      </x:c>
      <x:c r="M69" s="139" t="n">
        <x:f>SUM(M60:M68)</x:f>
        <x:v>11100</x:v>
      </x:c>
      <x:c r="N69" s="137" t="str">
        <x:f>IF(COUNT(N60:N68)&gt;0,SUM(N60:N68),"")</x:f>
      </x:c>
      <x:c r="O69" s="138" t="n">
        <x:f>SUM(O60:O68)</x:f>
        <x:v>11100</x:v>
      </x:c>
      <x:c r="P69" s="139" t="n">
        <x:f>SUM(P60:P68)</x:f>
        <x:v>11100</x:v>
      </x:c>
      <x:c r="Q69" s="137" t="str">
        <x:f>IF(COUNT(Q60:Q68)&gt;0,SUM(Q60:Q68),"")</x:f>
      </x:c>
      <x:c r="R69" s="138" t="n">
        <x:f>SUM(R60:R68)</x:f>
        <x:v>11100</x:v>
      </x:c>
      <x:c r="S69" s="139" t="n">
        <x:f>SUM(S60:S68)</x:f>
        <x:v>11100</x:v>
      </x:c>
      <x:c r="T69" s="137" t="str">
        <x:f>IF(COUNT(T60:T68)&gt;0,SUM(T60:T68),"")</x:f>
      </x:c>
      <x:c r="U69" s="138" t="n">
        <x:f>SUM(U60:U68)</x:f>
        <x:v>11100</x:v>
      </x:c>
      <x:c r="V69" s="139" t="n">
        <x:f>SUM(V60:V68)</x:f>
        <x:v>11100</x:v>
      </x:c>
      <x:c r="W69" s="137" t="str">
        <x:f>IF(COUNT(W60:W68)&gt;0,SUM(W60:W68),"")</x:f>
      </x:c>
      <x:c r="X69" s="138" t="n">
        <x:f>SUM(X60:X68)</x:f>
        <x:v>11100</x:v>
      </x:c>
      <x:c r="Y69" s="139" t="n">
        <x:f>SUM(Y60:Y68)</x:f>
        <x:v>11100</x:v>
      </x:c>
      <x:c r="Z69" s="137" t="str">
        <x:f>IF(COUNT(Z60:Z68)&gt;0,SUM(Z60:Z68),"")</x:f>
      </x:c>
      <x:c r="AA69" s="138" t="n">
        <x:f>SUM(AA60:AA68)</x:f>
        <x:v>11100</x:v>
      </x:c>
      <x:c r="AB69" s="139" t="n">
        <x:f>SUM(AB60:AB68)</x:f>
        <x:v>11100</x:v>
      </x:c>
      <x:c r="AC69" s="137" t="str">
        <x:f>IF(COUNT(AC60:AC68)&gt;0,SUM(AC60:AC68),"")</x:f>
      </x:c>
      <x:c r="AD69" s="138" t="n">
        <x:f>SUM(AD60:AD68)</x:f>
        <x:v>11100</x:v>
      </x:c>
      <x:c r="AE69" s="139" t="n">
        <x:f>SUM(AE60:AE68)</x:f>
        <x:v>11100</x:v>
      </x:c>
      <x:c r="AF69" s="137" t="n">
        <x:f>IF(COUNT(AF60:AF68)&gt;0,SUM(AF60:AF68),"")</x:f>
        <x:v>10878</x:v>
      </x:c>
      <x:c r="AG69" s="138" t="n">
        <x:f>SUM(AG60:AG68)</x:f>
        <x:v>10878</x:v>
      </x:c>
      <x:c r="AH69" s="139" t="n">
        <x:f>SUM(AH60:AH68)</x:f>
        <x:v>11100</x:v>
      </x:c>
      <x:c r="AI69" s="137" t="n">
        <x:f>IF(COUNT(AI60:AI68)&gt;0,SUM(AI60:AI68),"")</x:f>
        <x:v>11655</x:v>
      </x:c>
      <x:c r="AJ69" s="138" t="n">
        <x:f>SUM(AJ60:AJ68)</x:f>
        <x:v>11655</x:v>
      </x:c>
      <x:c r="AK69" s="139" t="n">
        <x:f>SUM(AK60:AK68)</x:f>
        <x:v>11100</x:v>
      </x:c>
    </x:row>
    <x:row r="70" ht="22" customHeight="1">
      <x:c r="A70" s="116" t="str">
        <x:v>Sales Commissions</x:v>
      </x:c>
      <x:c r="B70" s="130"/>
      <x:c r="C70" s="131" t="n">
        <x:f>IF(B70&lt;&gt;"",B70,D70)</x:f>
        <x:v>2000</x:v>
      </x:c>
      <x:c r="D70" s="132" t="n">
        <x:v>2000</x:v>
      </x:c>
      <x:c r="E70" s="130"/>
      <x:c r="F70" s="131" t="n">
        <x:f>IF(E70&lt;&gt;"",E70,G70)</x:f>
        <x:v>2000</x:v>
      </x:c>
      <x:c r="G70" s="132" t="n">
        <x:v>2000</x:v>
      </x:c>
      <x:c r="H70" s="130"/>
      <x:c r="I70" s="131" t="n">
        <x:f>IF(H70&lt;&gt;"",H70,J70)</x:f>
        <x:v>2000</x:v>
      </x:c>
      <x:c r="J70" s="132" t="n">
        <x:v>2000</x:v>
      </x:c>
      <x:c r="K70" s="130"/>
      <x:c r="L70" s="131" t="n">
        <x:f>IF(K70&lt;&gt;"",K70,M70)</x:f>
        <x:v>2000</x:v>
      </x:c>
      <x:c r="M70" s="132" t="n">
        <x:v>2000</x:v>
      </x:c>
      <x:c r="N70" s="130"/>
      <x:c r="O70" s="131" t="n">
        <x:f>IF(N70&lt;&gt;"",N70,P70)</x:f>
        <x:v>2000</x:v>
      </x:c>
      <x:c r="P70" s="132" t="n">
        <x:v>2000</x:v>
      </x:c>
      <x:c r="Q70" s="130"/>
      <x:c r="R70" s="131" t="n">
        <x:f>IF(Q70&lt;&gt;"",Q70,S70)</x:f>
        <x:v>2000</x:v>
      </x:c>
      <x:c r="S70" s="132" t="n">
        <x:v>2000</x:v>
      </x:c>
      <x:c r="T70" s="130"/>
      <x:c r="U70" s="131" t="n">
        <x:f>IF(T70&lt;&gt;"",T70,V70)</x:f>
        <x:v>2000</x:v>
      </x:c>
      <x:c r="V70" s="132" t="n">
        <x:v>2000</x:v>
      </x:c>
      <x:c r="W70" s="130"/>
      <x:c r="X70" s="131" t="n">
        <x:f>IF(W70&lt;&gt;"",W70,Y70)</x:f>
        <x:v>2000</x:v>
      </x:c>
      <x:c r="Y70" s="132" t="n">
        <x:v>2000</x:v>
      </x:c>
      <x:c r="Z70" s="130"/>
      <x:c r="AA70" s="131" t="n">
        <x:f>IF(Z70&lt;&gt;"",Z70,AB70)</x:f>
        <x:v>2000</x:v>
      </x:c>
      <x:c r="AB70" s="132" t="n">
        <x:v>2000</x:v>
      </x:c>
      <x:c r="AC70" s="130"/>
      <x:c r="AD70" s="131" t="n">
        <x:f>IF(AC70&lt;&gt;"",AC70,AE70)</x:f>
        <x:v>2000</x:v>
      </x:c>
      <x:c r="AE70" s="132" t="n">
        <x:v>2000</x:v>
      </x:c>
      <x:c r="AF70" s="130" t="n">
        <x:v>1960</x:v>
      </x:c>
      <x:c r="AG70" s="131" t="n">
        <x:f>IF(AF70&lt;&gt;"",AF70,AH70)</x:f>
        <x:v>1960</x:v>
      </x:c>
      <x:c r="AH70" s="132" t="n">
        <x:v>2000</x:v>
      </x:c>
      <x:c r="AI70" s="130" t="n">
        <x:v>2100</x:v>
      </x:c>
      <x:c r="AJ70" s="131" t="n">
        <x:f>IF(AI70&lt;&gt;"",AI70,AK70)</x:f>
        <x:v>2100</x:v>
      </x:c>
      <x:c r="AK70" s="132" t="n">
        <x:v>2000</x:v>
      </x:c>
    </x:row>
    <x:row r="71" ht="22" customHeight="1">
      <x:c r="A71" s="116" t="str">
        <x:v>Sales Tools and CRM</x:v>
      </x:c>
      <x:c r="B71" s="130"/>
      <x:c r="C71" s="131" t="n">
        <x:f>IF(B71&lt;&gt;"",B71,D71)</x:f>
        <x:v>500</x:v>
      </x:c>
      <x:c r="D71" s="132" t="n">
        <x:v>500</x:v>
      </x:c>
      <x:c r="E71" s="130"/>
      <x:c r="F71" s="131" t="n">
        <x:f>IF(E71&lt;&gt;"",E71,G71)</x:f>
        <x:v>500</x:v>
      </x:c>
      <x:c r="G71" s="132" t="n">
        <x:v>500</x:v>
      </x:c>
      <x:c r="H71" s="130"/>
      <x:c r="I71" s="131" t="n">
        <x:f>IF(H71&lt;&gt;"",H71,J71)</x:f>
        <x:v>500</x:v>
      </x:c>
      <x:c r="J71" s="132" t="n">
        <x:v>500</x:v>
      </x:c>
      <x:c r="K71" s="130"/>
      <x:c r="L71" s="131" t="n">
        <x:f>IF(K71&lt;&gt;"",K71,M71)</x:f>
        <x:v>500</x:v>
      </x:c>
      <x:c r="M71" s="132" t="n">
        <x:v>500</x:v>
      </x:c>
      <x:c r="N71" s="130"/>
      <x:c r="O71" s="131" t="n">
        <x:f>IF(N71&lt;&gt;"",N71,P71)</x:f>
        <x:v>500</x:v>
      </x:c>
      <x:c r="P71" s="132" t="n">
        <x:v>500</x:v>
      </x:c>
      <x:c r="Q71" s="130"/>
      <x:c r="R71" s="131" t="n">
        <x:f>IF(Q71&lt;&gt;"",Q71,S71)</x:f>
        <x:v>500</x:v>
      </x:c>
      <x:c r="S71" s="132" t="n">
        <x:v>500</x:v>
      </x:c>
      <x:c r="T71" s="130"/>
      <x:c r="U71" s="131" t="n">
        <x:f>IF(T71&lt;&gt;"",T71,V71)</x:f>
        <x:v>500</x:v>
      </x:c>
      <x:c r="V71" s="132" t="n">
        <x:v>500</x:v>
      </x:c>
      <x:c r="W71" s="130"/>
      <x:c r="X71" s="131" t="n">
        <x:f>IF(W71&lt;&gt;"",W71,Y71)</x:f>
        <x:v>500</x:v>
      </x:c>
      <x:c r="Y71" s="132" t="n">
        <x:v>500</x:v>
      </x:c>
      <x:c r="Z71" s="130"/>
      <x:c r="AA71" s="131" t="n">
        <x:f>IF(Z71&lt;&gt;"",Z71,AB71)</x:f>
        <x:v>500</x:v>
      </x:c>
      <x:c r="AB71" s="132" t="n">
        <x:v>500</x:v>
      </x:c>
      <x:c r="AC71" s="130"/>
      <x:c r="AD71" s="131" t="n">
        <x:f>IF(AC71&lt;&gt;"",AC71,AE71)</x:f>
        <x:v>500</x:v>
      </x:c>
      <x:c r="AE71" s="132" t="n">
        <x:v>500</x:v>
      </x:c>
      <x:c r="AF71" s="130" t="n">
        <x:v>490</x:v>
      </x:c>
      <x:c r="AG71" s="131" t="n">
        <x:f>IF(AF71&lt;&gt;"",AF71,AH71)</x:f>
        <x:v>490</x:v>
      </x:c>
      <x:c r="AH71" s="132" t="n">
        <x:v>500</x:v>
      </x:c>
      <x:c r="AI71" s="130" t="n">
        <x:v>525</x:v>
      </x:c>
      <x:c r="AJ71" s="131" t="n">
        <x:f>IF(AI71&lt;&gt;"",AI71,AK71)</x:f>
        <x:v>525</x:v>
      </x:c>
      <x:c r="AK71" s="132" t="n">
        <x:v>500</x:v>
      </x:c>
    </x:row>
    <x:row r="72" ht="22" customHeight="1">
      <x:c r="A72" s="116" t="str">
        <x:v>Prospecting Data</x:v>
      </x:c>
      <x:c r="B72" s="130"/>
      <x:c r="C72" s="131" t="n">
        <x:f>IF(B72&lt;&gt;"",B72,D72)</x:f>
        <x:v>250</x:v>
      </x:c>
      <x:c r="D72" s="132" t="n">
        <x:v>250</x:v>
      </x:c>
      <x:c r="E72" s="130"/>
      <x:c r="F72" s="131" t="n">
        <x:f>IF(E72&lt;&gt;"",E72,G72)</x:f>
        <x:v>250</x:v>
      </x:c>
      <x:c r="G72" s="132" t="n">
        <x:v>250</x:v>
      </x:c>
      <x:c r="H72" s="130"/>
      <x:c r="I72" s="131" t="n">
        <x:f>IF(H72&lt;&gt;"",H72,J72)</x:f>
        <x:v>250</x:v>
      </x:c>
      <x:c r="J72" s="132" t="n">
        <x:v>250</x:v>
      </x:c>
      <x:c r="K72" s="130"/>
      <x:c r="L72" s="131" t="n">
        <x:f>IF(K72&lt;&gt;"",K72,M72)</x:f>
        <x:v>250</x:v>
      </x:c>
      <x:c r="M72" s="132" t="n">
        <x:v>250</x:v>
      </x:c>
      <x:c r="N72" s="130"/>
      <x:c r="O72" s="131" t="n">
        <x:f>IF(N72&lt;&gt;"",N72,P72)</x:f>
        <x:v>250</x:v>
      </x:c>
      <x:c r="P72" s="132" t="n">
        <x:v>250</x:v>
      </x:c>
      <x:c r="Q72" s="130"/>
      <x:c r="R72" s="131" t="n">
        <x:f>IF(Q72&lt;&gt;"",Q72,S72)</x:f>
        <x:v>250</x:v>
      </x:c>
      <x:c r="S72" s="132" t="n">
        <x:v>250</x:v>
      </x:c>
      <x:c r="T72" s="130"/>
      <x:c r="U72" s="131" t="n">
        <x:f>IF(T72&lt;&gt;"",T72,V72)</x:f>
        <x:v>250</x:v>
      </x:c>
      <x:c r="V72" s="132" t="n">
        <x:v>250</x:v>
      </x:c>
      <x:c r="W72" s="130"/>
      <x:c r="X72" s="131" t="n">
        <x:f>IF(W72&lt;&gt;"",W72,Y72)</x:f>
        <x:v>250</x:v>
      </x:c>
      <x:c r="Y72" s="132" t="n">
        <x:v>250</x:v>
      </x:c>
      <x:c r="Z72" s="130"/>
      <x:c r="AA72" s="131" t="n">
        <x:f>IF(Z72&lt;&gt;"",Z72,AB72)</x:f>
        <x:v>250</x:v>
      </x:c>
      <x:c r="AB72" s="132" t="n">
        <x:v>250</x:v>
      </x:c>
      <x:c r="AC72" s="130"/>
      <x:c r="AD72" s="131" t="n">
        <x:f>IF(AC72&lt;&gt;"",AC72,AE72)</x:f>
        <x:v>250</x:v>
      </x:c>
      <x:c r="AE72" s="132" t="n">
        <x:v>250</x:v>
      </x:c>
      <x:c r="AF72" s="130" t="n">
        <x:v>245</x:v>
      </x:c>
      <x:c r="AG72" s="131" t="n">
        <x:f>IF(AF72&lt;&gt;"",AF72,AH72)</x:f>
        <x:v>245</x:v>
      </x:c>
      <x:c r="AH72" s="132" t="n">
        <x:v>250</x:v>
      </x:c>
      <x:c r="AI72" s="130" t="n">
        <x:v>263</x:v>
      </x:c>
      <x:c r="AJ72" s="131" t="n">
        <x:f>IF(AI72&lt;&gt;"",AI72,AK72)</x:f>
        <x:v>263</x:v>
      </x:c>
      <x:c r="AK72" s="132" t="n">
        <x:v>250</x:v>
      </x:c>
    </x:row>
    <x:row r="73" ht="22" customHeight="1">
      <x:c r="A73" s="116" t="str">
        <x:v>Partner and Channel Fees</x:v>
      </x:c>
      <x:c r="B73" s="130"/>
      <x:c r="C73" s="131" t="n">
        <x:f>IF(B73&lt;&gt;"",B73,D73)</x:f>
        <x:v>0</x:v>
      </x:c>
      <x:c r="D73" s="132" t="n">
        <x:v>0</x:v>
      </x:c>
      <x:c r="E73" s="130"/>
      <x:c r="F73" s="131" t="n">
        <x:f>IF(E73&lt;&gt;"",E73,G73)</x:f>
        <x:v>0</x:v>
      </x:c>
      <x:c r="G73" s="132" t="n">
        <x:v>0</x:v>
      </x:c>
      <x:c r="H73" s="130"/>
      <x:c r="I73" s="131" t="n">
        <x:f>IF(H73&lt;&gt;"",H73,J73)</x:f>
        <x:v>0</x:v>
      </x:c>
      <x:c r="J73" s="132" t="n">
        <x:v>0</x:v>
      </x:c>
      <x:c r="K73" s="130"/>
      <x:c r="L73" s="131" t="n">
        <x:f>IF(K73&lt;&gt;"",K73,M73)</x:f>
        <x:v>0</x:v>
      </x:c>
      <x:c r="M73" s="132" t="n">
        <x:v>0</x:v>
      </x:c>
      <x:c r="N73" s="130"/>
      <x:c r="O73" s="131" t="n">
        <x:f>IF(N73&lt;&gt;"",N73,P73)</x:f>
        <x:v>0</x:v>
      </x:c>
      <x:c r="P73" s="132" t="n">
        <x:v>0</x:v>
      </x:c>
      <x:c r="Q73" s="130"/>
      <x:c r="R73" s="131" t="n">
        <x:f>IF(Q73&lt;&gt;"",Q73,S73)</x:f>
        <x:v>0</x:v>
      </x:c>
      <x:c r="S73" s="132" t="n">
        <x:v>0</x:v>
      </x:c>
      <x:c r="T73" s="130"/>
      <x:c r="U73" s="131" t="n">
        <x:f>IF(T73&lt;&gt;"",T73,V73)</x:f>
        <x:v>0</x:v>
      </x:c>
      <x:c r="V73" s="132" t="n">
        <x:v>0</x:v>
      </x:c>
      <x:c r="W73" s="130"/>
      <x:c r="X73" s="131" t="n">
        <x:f>IF(W73&lt;&gt;"",W73,Y73)</x:f>
        <x:v>0</x:v>
      </x:c>
      <x:c r="Y73" s="132" t="n">
        <x:v>0</x:v>
      </x:c>
      <x:c r="Z73" s="130"/>
      <x:c r="AA73" s="131" t="n">
        <x:f>IF(Z73&lt;&gt;"",Z73,AB73)</x:f>
        <x:v>0</x:v>
      </x:c>
      <x:c r="AB73" s="132" t="n">
        <x:v>0</x:v>
      </x:c>
      <x:c r="AC73" s="130"/>
      <x:c r="AD73" s="131" t="n">
        <x:f>IF(AC73&lt;&gt;"",AC73,AE73)</x:f>
        <x:v>0</x:v>
      </x:c>
      <x:c r="AE73" s="132" t="n">
        <x:v>0</x:v>
      </x:c>
      <x:c r="AF73" s="130" t="n">
        <x:v>0</x:v>
      </x:c>
      <x:c r="AG73" s="131" t="n">
        <x:f>IF(AF73&lt;&gt;"",AF73,AH73)</x:f>
        <x:v>0</x:v>
      </x:c>
      <x:c r="AH73" s="132" t="n">
        <x:v>0</x:v>
      </x:c>
      <x:c r="AI73" s="130" t="n">
        <x:v>0</x:v>
      </x:c>
      <x:c r="AJ73" s="131" t="n">
        <x:f>IF(AI73&lt;&gt;"",AI73,AK73)</x:f>
        <x:v>0</x:v>
      </x:c>
      <x:c r="AK73" s="132" t="n">
        <x:v>0</x:v>
      </x:c>
    </x:row>
    <x:row r="74" ht="22" customHeight="1">
      <x:c r="A74" s="136" t="str">
        <x:v>Total Sales Programs</x:v>
      </x:c>
      <x:c r="B74" s="137" t="str">
        <x:f>IF(COUNT(B70:B73)&gt;0,SUM(B70:B73),"")</x:f>
      </x:c>
      <x:c r="C74" s="138" t="n">
        <x:f>SUM(C70:C73)</x:f>
        <x:v>2750</x:v>
      </x:c>
      <x:c r="D74" s="139" t="n">
        <x:f>SUM(D70:D73)</x:f>
        <x:v>2750</x:v>
      </x:c>
      <x:c r="E74" s="137" t="str">
        <x:f>IF(COUNT(E70:E73)&gt;0,SUM(E70:E73),"")</x:f>
      </x:c>
      <x:c r="F74" s="138" t="n">
        <x:f>SUM(F70:F73)</x:f>
        <x:v>2750</x:v>
      </x:c>
      <x:c r="G74" s="139" t="n">
        <x:f>SUM(G70:G73)</x:f>
        <x:v>2750</x:v>
      </x:c>
      <x:c r="H74" s="137" t="str">
        <x:f>IF(COUNT(H70:H73)&gt;0,SUM(H70:H73),"")</x:f>
      </x:c>
      <x:c r="I74" s="138" t="n">
        <x:f>SUM(I70:I73)</x:f>
        <x:v>2750</x:v>
      </x:c>
      <x:c r="J74" s="139" t="n">
        <x:f>SUM(J70:J73)</x:f>
        <x:v>2750</x:v>
      </x:c>
      <x:c r="K74" s="137" t="str">
        <x:f>IF(COUNT(K70:K73)&gt;0,SUM(K70:K73),"")</x:f>
      </x:c>
      <x:c r="L74" s="138" t="n">
        <x:f>SUM(L70:L73)</x:f>
        <x:v>2750</x:v>
      </x:c>
      <x:c r="M74" s="139" t="n">
        <x:f>SUM(M70:M73)</x:f>
        <x:v>2750</x:v>
      </x:c>
      <x:c r="N74" s="137" t="str">
        <x:f>IF(COUNT(N70:N73)&gt;0,SUM(N70:N73),"")</x:f>
      </x:c>
      <x:c r="O74" s="138" t="n">
        <x:f>SUM(O70:O73)</x:f>
        <x:v>2750</x:v>
      </x:c>
      <x:c r="P74" s="139" t="n">
        <x:f>SUM(P70:P73)</x:f>
        <x:v>2750</x:v>
      </x:c>
      <x:c r="Q74" s="137" t="str">
        <x:f>IF(COUNT(Q70:Q73)&gt;0,SUM(Q70:Q73),"")</x:f>
      </x:c>
      <x:c r="R74" s="138" t="n">
        <x:f>SUM(R70:R73)</x:f>
        <x:v>2750</x:v>
      </x:c>
      <x:c r="S74" s="139" t="n">
        <x:f>SUM(S70:S73)</x:f>
        <x:v>2750</x:v>
      </x:c>
      <x:c r="T74" s="137" t="str">
        <x:f>IF(COUNT(T70:T73)&gt;0,SUM(T70:T73),"")</x:f>
      </x:c>
      <x:c r="U74" s="138" t="n">
        <x:f>SUM(U70:U73)</x:f>
        <x:v>2750</x:v>
      </x:c>
      <x:c r="V74" s="139" t="n">
        <x:f>SUM(V70:V73)</x:f>
        <x:v>2750</x:v>
      </x:c>
      <x:c r="W74" s="137" t="str">
        <x:f>IF(COUNT(W70:W73)&gt;0,SUM(W70:W73),"")</x:f>
      </x:c>
      <x:c r="X74" s="138" t="n">
        <x:f>SUM(X70:X73)</x:f>
        <x:v>2750</x:v>
      </x:c>
      <x:c r="Y74" s="139" t="n">
        <x:f>SUM(Y70:Y73)</x:f>
        <x:v>2750</x:v>
      </x:c>
      <x:c r="Z74" s="137" t="str">
        <x:f>IF(COUNT(Z70:Z73)&gt;0,SUM(Z70:Z73),"")</x:f>
      </x:c>
      <x:c r="AA74" s="138" t="n">
        <x:f>SUM(AA70:AA73)</x:f>
        <x:v>2750</x:v>
      </x:c>
      <x:c r="AB74" s="139" t="n">
        <x:f>SUM(AB70:AB73)</x:f>
        <x:v>2750</x:v>
      </x:c>
      <x:c r="AC74" s="137" t="str">
        <x:f>IF(COUNT(AC70:AC73)&gt;0,SUM(AC70:AC73),"")</x:f>
      </x:c>
      <x:c r="AD74" s="138" t="n">
        <x:f>SUM(AD70:AD73)</x:f>
        <x:v>2750</x:v>
      </x:c>
      <x:c r="AE74" s="139" t="n">
        <x:f>SUM(AE70:AE73)</x:f>
        <x:v>2750</x:v>
      </x:c>
      <x:c r="AF74" s="137" t="n">
        <x:f>IF(COUNT(AF70:AF73)&gt;0,SUM(AF70:AF73),"")</x:f>
        <x:v>2695</x:v>
      </x:c>
      <x:c r="AG74" s="138" t="n">
        <x:f>SUM(AG70:AG73)</x:f>
        <x:v>2695</x:v>
      </x:c>
      <x:c r="AH74" s="139" t="n">
        <x:f>SUM(AH70:AH73)</x:f>
        <x:v>2750</x:v>
      </x:c>
      <x:c r="AI74" s="137" t="n">
        <x:f>IF(COUNT(AI70:AI73)&gt;0,SUM(AI70:AI73),"")</x:f>
        <x:v>2888</x:v>
      </x:c>
      <x:c r="AJ74" s="138" t="n">
        <x:f>SUM(AJ70:AJ73)</x:f>
        <x:v>2888</x:v>
      </x:c>
      <x:c r="AK74" s="139" t="n">
        <x:f>SUM(AK70:AK73)</x:f>
        <x:v>2750</x:v>
      </x:c>
    </x:row>
    <x:row r="75" ht="22" customHeight="1">
      <x:c r="A75" s="140" t="str">
        <x:v>Total Sales Cost</x:v>
      </x:c>
      <x:c r="B75" s="141" t="str">
        <x:f>IF(COUNT(B69,B74)=2,SUM(B69,B74),"")</x:f>
      </x:c>
      <x:c r="C75" s="142" t="n">
        <x:f>SUM(C69,C74)</x:f>
        <x:v>13850</x:v>
      </x:c>
      <x:c r="D75" s="143" t="n">
        <x:f>SUM(D69,D74)</x:f>
        <x:v>13850</x:v>
      </x:c>
      <x:c r="E75" s="141" t="str">
        <x:f>IF(COUNT(E69,E74)=2,SUM(E69,E74),"")</x:f>
      </x:c>
      <x:c r="F75" s="142" t="n">
        <x:f>SUM(F69,F74)</x:f>
        <x:v>13850</x:v>
      </x:c>
      <x:c r="G75" s="143" t="n">
        <x:f>SUM(G69,G74)</x:f>
        <x:v>13850</x:v>
      </x:c>
      <x:c r="H75" s="141" t="str">
        <x:f>IF(COUNT(H69,H74)=2,SUM(H69,H74),"")</x:f>
      </x:c>
      <x:c r="I75" s="142" t="n">
        <x:f>SUM(I69,I74)</x:f>
        <x:v>13850</x:v>
      </x:c>
      <x:c r="J75" s="143" t="n">
        <x:f>SUM(J69,J74)</x:f>
        <x:v>13850</x:v>
      </x:c>
      <x:c r="K75" s="141" t="str">
        <x:f>IF(COUNT(K69,K74)=2,SUM(K69,K74),"")</x:f>
      </x:c>
      <x:c r="L75" s="142" t="n">
        <x:f>SUM(L69,L74)</x:f>
        <x:v>13850</x:v>
      </x:c>
      <x:c r="M75" s="143" t="n">
        <x:f>SUM(M69,M74)</x:f>
        <x:v>13850</x:v>
      </x:c>
      <x:c r="N75" s="141" t="str">
        <x:f>IF(COUNT(N69,N74)=2,SUM(N69,N74),"")</x:f>
      </x:c>
      <x:c r="O75" s="142" t="n">
        <x:f>SUM(O69,O74)</x:f>
        <x:v>13850</x:v>
      </x:c>
      <x:c r="P75" s="143" t="n">
        <x:f>SUM(P69,P74)</x:f>
        <x:v>13850</x:v>
      </x:c>
      <x:c r="Q75" s="141" t="str">
        <x:f>IF(COUNT(Q69,Q74)=2,SUM(Q69,Q74),"")</x:f>
      </x:c>
      <x:c r="R75" s="142" t="n">
        <x:f>SUM(R69,R74)</x:f>
        <x:v>13850</x:v>
      </x:c>
      <x:c r="S75" s="143" t="n">
        <x:f>SUM(S69,S74)</x:f>
        <x:v>13850</x:v>
      </x:c>
      <x:c r="T75" s="141" t="str">
        <x:f>IF(COUNT(T69,T74)=2,SUM(T69,T74),"")</x:f>
      </x:c>
      <x:c r="U75" s="142" t="n">
        <x:f>SUM(U69,U74)</x:f>
        <x:v>13850</x:v>
      </x:c>
      <x:c r="V75" s="143" t="n">
        <x:f>SUM(V69,V74)</x:f>
        <x:v>13850</x:v>
      </x:c>
      <x:c r="W75" s="141" t="str">
        <x:f>IF(COUNT(W69,W74)=2,SUM(W69,W74),"")</x:f>
      </x:c>
      <x:c r="X75" s="142" t="n">
        <x:f>SUM(X69,X74)</x:f>
        <x:v>13850</x:v>
      </x:c>
      <x:c r="Y75" s="143" t="n">
        <x:f>SUM(Y69,Y74)</x:f>
        <x:v>13850</x:v>
      </x:c>
      <x:c r="Z75" s="141" t="str">
        <x:f>IF(COUNT(Z69,Z74)=2,SUM(Z69,Z74),"")</x:f>
      </x:c>
      <x:c r="AA75" s="142" t="n">
        <x:f>SUM(AA69,AA74)</x:f>
        <x:v>13850</x:v>
      </x:c>
      <x:c r="AB75" s="143" t="n">
        <x:f>SUM(AB69,AB74)</x:f>
        <x:v>13850</x:v>
      </x:c>
      <x:c r="AC75" s="141" t="str">
        <x:f>IF(COUNT(AC69,AC74)=2,SUM(AC69,AC74),"")</x:f>
      </x:c>
      <x:c r="AD75" s="142" t="n">
        <x:f>SUM(AD69,AD74)</x:f>
        <x:v>13850</x:v>
      </x:c>
      <x:c r="AE75" s="143" t="n">
        <x:f>SUM(AE69,AE74)</x:f>
        <x:v>13850</x:v>
      </x:c>
      <x:c r="AF75" s="141" t="n">
        <x:f>IF(COUNT(AF69,AF74)=2,SUM(AF69,AF74),"")</x:f>
        <x:v>13573</x:v>
      </x:c>
      <x:c r="AG75" s="142" t="n">
        <x:f>SUM(AG69,AG74)</x:f>
        <x:v>13573</x:v>
      </x:c>
      <x:c r="AH75" s="143" t="n">
        <x:f>SUM(AH69,AH74)</x:f>
        <x:v>13850</x:v>
      </x:c>
      <x:c r="AI75" s="141" t="n">
        <x:f>IF(COUNT(AI69,AI74)=2,SUM(AI69,AI74),"")</x:f>
        <x:v>14543</x:v>
      </x:c>
      <x:c r="AJ75" s="142" t="n">
        <x:f>SUM(AJ69,AJ74)</x:f>
        <x:v>14543</x:v>
      </x:c>
      <x:c r="AK75" s="143" t="n">
        <x:f>SUM(AK69,AK74)</x:f>
        <x:v>13850</x:v>
      </x:c>
    </x:row>
    <x:row r="76" ht="22" customHeight="1">
      <x:c r="A76" s="116"/>
      <x:c r="B76" s="133"/>
      <x:c r="C76" s="131"/>
      <x:c r="D76" s="134"/>
      <x:c r="E76" s="133"/>
      <x:c r="F76" s="131"/>
      <x:c r="G76" s="134"/>
      <x:c r="H76" s="133"/>
      <x:c r="I76" s="131"/>
      <x:c r="J76" s="134"/>
      <x:c r="K76" s="133"/>
      <x:c r="L76" s="131"/>
      <x:c r="M76" s="134"/>
      <x:c r="N76" s="133"/>
      <x:c r="O76" s="131"/>
      <x:c r="P76" s="134"/>
      <x:c r="Q76" s="133"/>
      <x:c r="R76" s="131"/>
      <x:c r="S76" s="134"/>
      <x:c r="T76" s="133"/>
      <x:c r="U76" s="131"/>
      <x:c r="V76" s="134"/>
      <x:c r="W76" s="133"/>
      <x:c r="X76" s="131"/>
      <x:c r="Y76" s="134"/>
      <x:c r="Z76" s="133"/>
      <x:c r="AA76" s="131"/>
      <x:c r="AB76" s="134"/>
      <x:c r="AC76" s="133"/>
      <x:c r="AD76" s="131"/>
      <x:c r="AE76" s="134"/>
      <x:c r="AF76" s="133"/>
      <x:c r="AG76" s="131"/>
      <x:c r="AH76" s="134"/>
      <x:c r="AI76" s="133"/>
      <x:c r="AJ76" s="131"/>
      <x:c r="AK76" s="134"/>
    </x:row>
    <x:row r="77" ht="22" customHeight="1">
      <x:c r="A77" s="38" t="str">
        <x:v>DELIVERY / COST OF GOODS SOLD</x:v>
      </x:c>
      <x:c r="B77" s="84" t="str">
        <x:v>DELIVERY / COST OF GOODS SOLD</x:v>
      </x:c>
      <x:c r="C77" s="85" t="str">
        <x:v>DELIVERY / COST OF GOODS SOLD</x:v>
      </x:c>
      <x:c r="D77" s="86" t="str">
        <x:v>DELIVERY / COST OF GOODS SOLD</x:v>
      </x:c>
      <x:c r="E77" s="84" t="str">
        <x:v>DELIVERY / COST OF GOODS SOLD</x:v>
      </x:c>
      <x:c r="F77" s="85" t="str">
        <x:v>DELIVERY / COST OF GOODS SOLD</x:v>
      </x:c>
      <x:c r="G77" s="86" t="str">
        <x:v>DELIVERY / COST OF GOODS SOLD</x:v>
      </x:c>
      <x:c r="H77" s="84" t="str">
        <x:v>DELIVERY / COST OF GOODS SOLD</x:v>
      </x:c>
      <x:c r="I77" s="85" t="str">
        <x:v>DELIVERY / COST OF GOODS SOLD</x:v>
      </x:c>
      <x:c r="J77" s="86" t="str">
        <x:v>DELIVERY / COST OF GOODS SOLD</x:v>
      </x:c>
      <x:c r="K77" s="84" t="str">
        <x:v>DELIVERY / COST OF GOODS SOLD</x:v>
      </x:c>
      <x:c r="L77" s="85" t="str">
        <x:v>DELIVERY / COST OF GOODS SOLD</x:v>
      </x:c>
      <x:c r="M77" s="86" t="str">
        <x:v>DELIVERY / COST OF GOODS SOLD</x:v>
      </x:c>
      <x:c r="N77" s="84" t="str">
        <x:v>DELIVERY / COST OF GOODS SOLD</x:v>
      </x:c>
      <x:c r="O77" s="85" t="str">
        <x:v>DELIVERY / COST OF GOODS SOLD</x:v>
      </x:c>
      <x:c r="P77" s="86" t="str">
        <x:v>DELIVERY / COST OF GOODS SOLD</x:v>
      </x:c>
      <x:c r="Q77" s="84" t="str">
        <x:v>DELIVERY / COST OF GOODS SOLD</x:v>
      </x:c>
      <x:c r="R77" s="85" t="str">
        <x:v>DELIVERY / COST OF GOODS SOLD</x:v>
      </x:c>
      <x:c r="S77" s="86" t="str">
        <x:v>DELIVERY / COST OF GOODS SOLD</x:v>
      </x:c>
      <x:c r="T77" s="84" t="str">
        <x:v>DELIVERY / COST OF GOODS SOLD</x:v>
      </x:c>
      <x:c r="U77" s="85" t="str">
        <x:v>DELIVERY / COST OF GOODS SOLD</x:v>
      </x:c>
      <x:c r="V77" s="86" t="str">
        <x:v>DELIVERY / COST OF GOODS SOLD</x:v>
      </x:c>
      <x:c r="W77" s="84" t="str">
        <x:v>DELIVERY / COST OF GOODS SOLD</x:v>
      </x:c>
      <x:c r="X77" s="85" t="str">
        <x:v>DELIVERY / COST OF GOODS SOLD</x:v>
      </x:c>
      <x:c r="Y77" s="86" t="str">
        <x:v>DELIVERY / COST OF GOODS SOLD</x:v>
      </x:c>
      <x:c r="Z77" s="84" t="str">
        <x:v>DELIVERY / COST OF GOODS SOLD</x:v>
      </x:c>
      <x:c r="AA77" s="85" t="str">
        <x:v>DELIVERY / COST OF GOODS SOLD</x:v>
      </x:c>
      <x:c r="AB77" s="86" t="str">
        <x:v>DELIVERY / COST OF GOODS SOLD</x:v>
      </x:c>
      <x:c r="AC77" s="84" t="str">
        <x:v>DELIVERY / COST OF GOODS SOLD</x:v>
      </x:c>
      <x:c r="AD77" s="85" t="str">
        <x:v>DELIVERY / COST OF GOODS SOLD</x:v>
      </x:c>
      <x:c r="AE77" s="86" t="str">
        <x:v>DELIVERY / COST OF GOODS SOLD</x:v>
      </x:c>
      <x:c r="AF77" s="84" t="str">
        <x:v>DELIVERY / COST OF GOODS SOLD</x:v>
      </x:c>
      <x:c r="AG77" s="85" t="str">
        <x:v>DELIVERY / COST OF GOODS SOLD</x:v>
      </x:c>
      <x:c r="AH77" s="86" t="str">
        <x:v>DELIVERY / COST OF GOODS SOLD</x:v>
      </x:c>
      <x:c r="AI77" s="84" t="str">
        <x:v>DELIVERY / COST OF GOODS SOLD</x:v>
      </x:c>
      <x:c r="AJ77" s="85" t="str">
        <x:v>DELIVERY / COST OF GOODS SOLD</x:v>
      </x:c>
      <x:c r="AK77" s="86" t="str">
        <x:v>DELIVERY / COST OF GOODS SOLD</x:v>
      </x:c>
    </x:row>
    <x:row r="78" ht="22" customHeight="1">
      <x:c r="A78" s="116" t="str">
        <x:v>Salaries and Wages</x:v>
      </x:c>
      <x:c r="B78" s="130"/>
      <x:c r="C78" s="131" t="n">
        <x:f>IF(B78&lt;&gt;"",B78,C20*C22)</x:f>
        <x:v>36000</x:v>
      </x:c>
      <x:c r="D78" s="134" t="n">
        <x:f>D20*D22</x:f>
        <x:v>36000</x:v>
      </x:c>
      <x:c r="E78" s="130"/>
      <x:c r="F78" s="131" t="n">
        <x:f>IF(E78&lt;&gt;"",E78,F20*F22)</x:f>
        <x:v>36000</x:v>
      </x:c>
      <x:c r="G78" s="134" t="n">
        <x:f>G20*G22</x:f>
        <x:v>36000</x:v>
      </x:c>
      <x:c r="H78" s="130"/>
      <x:c r="I78" s="131" t="n">
        <x:f>IF(H78&lt;&gt;"",H78,I20*I22)</x:f>
        <x:v>36000</x:v>
      </x:c>
      <x:c r="J78" s="134" t="n">
        <x:f>J20*J22</x:f>
        <x:v>36000</x:v>
      </x:c>
      <x:c r="K78" s="130"/>
      <x:c r="L78" s="131" t="n">
        <x:f>IF(K78&lt;&gt;"",K78,L20*L22)</x:f>
        <x:v>36000</x:v>
      </x:c>
      <x:c r="M78" s="134" t="n">
        <x:f>M20*M22</x:f>
        <x:v>36000</x:v>
      </x:c>
      <x:c r="N78" s="130"/>
      <x:c r="O78" s="131" t="n">
        <x:f>IF(N78&lt;&gt;"",N78,O20*O22)</x:f>
        <x:v>36000</x:v>
      </x:c>
      <x:c r="P78" s="134" t="n">
        <x:f>P20*P22</x:f>
        <x:v>36000</x:v>
      </x:c>
      <x:c r="Q78" s="130"/>
      <x:c r="R78" s="131" t="n">
        <x:f>IF(Q78&lt;&gt;"",Q78,R20*R22)</x:f>
        <x:v>36000</x:v>
      </x:c>
      <x:c r="S78" s="134" t="n">
        <x:f>S20*S22</x:f>
        <x:v>36000</x:v>
      </x:c>
      <x:c r="T78" s="130"/>
      <x:c r="U78" s="131" t="n">
        <x:f>IF(T78&lt;&gt;"",T78,U20*U22)</x:f>
        <x:v>36000</x:v>
      </x:c>
      <x:c r="V78" s="134" t="n">
        <x:f>V20*V22</x:f>
        <x:v>36000</x:v>
      </x:c>
      <x:c r="W78" s="130"/>
      <x:c r="X78" s="131" t="n">
        <x:f>IF(W78&lt;&gt;"",W78,X20*X22)</x:f>
        <x:v>36000</x:v>
      </x:c>
      <x:c r="Y78" s="134" t="n">
        <x:f>Y20*Y22</x:f>
        <x:v>36000</x:v>
      </x:c>
      <x:c r="Z78" s="130"/>
      <x:c r="AA78" s="131" t="n">
        <x:f>IF(Z78&lt;&gt;"",Z78,AA20*AA22)</x:f>
        <x:v>36000</x:v>
      </x:c>
      <x:c r="AB78" s="134" t="n">
        <x:f>AB20*AB22</x:f>
        <x:v>36000</x:v>
      </x:c>
      <x:c r="AC78" s="130"/>
      <x:c r="AD78" s="131" t="n">
        <x:f>IF(AC78&lt;&gt;"",AC78,AD20*AD22)</x:f>
        <x:v>36000</x:v>
      </x:c>
      <x:c r="AE78" s="134" t="n">
        <x:f>AE20*AE22</x:f>
        <x:v>36000</x:v>
      </x:c>
      <x:c r="AF78" s="130" t="n">
        <x:v>36000</x:v>
      </x:c>
      <x:c r="AG78" s="131" t="n">
        <x:f>IF(AF78&lt;&gt;"",AF78,AG20*AG22)</x:f>
        <x:v>36000</x:v>
      </x:c>
      <x:c r="AH78" s="134" t="n">
        <x:f>AH20*AH22</x:f>
        <x:v>36000</x:v>
      </x:c>
      <x:c r="AI78" s="130" t="n">
        <x:v>36000</x:v>
      </x:c>
      <x:c r="AJ78" s="131" t="n">
        <x:f>IF(AI78&lt;&gt;"",AI78,AJ20*AJ22)</x:f>
        <x:v>36000</x:v>
      </x:c>
      <x:c r="AK78" s="134" t="n">
        <x:f>AK20*AK22</x:f>
        <x:v>36000</x:v>
      </x:c>
    </x:row>
    <x:row r="79" ht="22" customHeight="1">
      <x:c r="A79" s="116" t="str">
        <x:v>Bonuses</x:v>
      </x:c>
      <x:c r="B79" s="130"/>
      <x:c r="C79" s="131" t="n">
        <x:f>IF(B79&lt;&gt;"",B79,D79)</x:f>
        <x:v>0</x:v>
      </x:c>
      <x:c r="D79" s="132" t="n">
        <x:v>0</x:v>
      </x:c>
      <x:c r="E79" s="130"/>
      <x:c r="F79" s="131" t="n">
        <x:f>IF(E79&lt;&gt;"",E79,G79)</x:f>
        <x:v>0</x:v>
      </x:c>
      <x:c r="G79" s="132" t="n">
        <x:v>0</x:v>
      </x:c>
      <x:c r="H79" s="130"/>
      <x:c r="I79" s="131" t="n">
        <x:f>IF(H79&lt;&gt;"",H79,J79)</x:f>
        <x:v>0</x:v>
      </x:c>
      <x:c r="J79" s="132" t="n">
        <x:v>0</x:v>
      </x:c>
      <x:c r="K79" s="130"/>
      <x:c r="L79" s="131" t="n">
        <x:f>IF(K79&lt;&gt;"",K79,M79)</x:f>
        <x:v>0</x:v>
      </x:c>
      <x:c r="M79" s="132" t="n">
        <x:v>0</x:v>
      </x:c>
      <x:c r="N79" s="130"/>
      <x:c r="O79" s="131" t="n">
        <x:f>IF(N79&lt;&gt;"",N79,P79)</x:f>
        <x:v>0</x:v>
      </x:c>
      <x:c r="P79" s="132" t="n">
        <x:v>0</x:v>
      </x:c>
      <x:c r="Q79" s="130"/>
      <x:c r="R79" s="131" t="n">
        <x:f>IF(Q79&lt;&gt;"",Q79,S79)</x:f>
        <x:v>0</x:v>
      </x:c>
      <x:c r="S79" s="132" t="n">
        <x:v>0</x:v>
      </x:c>
      <x:c r="T79" s="130"/>
      <x:c r="U79" s="131" t="n">
        <x:f>IF(T79&lt;&gt;"",T79,V79)</x:f>
        <x:v>0</x:v>
      </x:c>
      <x:c r="V79" s="132" t="n">
        <x:v>0</x:v>
      </x:c>
      <x:c r="W79" s="130"/>
      <x:c r="X79" s="131" t="n">
        <x:f>IF(W79&lt;&gt;"",W79,Y79)</x:f>
        <x:v>0</x:v>
      </x:c>
      <x:c r="Y79" s="132" t="n">
        <x:v>0</x:v>
      </x:c>
      <x:c r="Z79" s="130"/>
      <x:c r="AA79" s="131" t="n">
        <x:f>IF(Z79&lt;&gt;"",Z79,AB79)</x:f>
        <x:v>0</x:v>
      </x:c>
      <x:c r="AB79" s="132" t="n">
        <x:v>0</x:v>
      </x:c>
      <x:c r="AC79" s="130"/>
      <x:c r="AD79" s="131" t="n">
        <x:f>IF(AC79&lt;&gt;"",AC79,AE79)</x:f>
        <x:v>0</x:v>
      </x:c>
      <x:c r="AE79" s="132" t="n">
        <x:v>0</x:v>
      </x:c>
      <x:c r="AF79" s="130" t="n">
        <x:v>0</x:v>
      </x:c>
      <x:c r="AG79" s="131" t="n">
        <x:f>IF(AF79&lt;&gt;"",AF79,AH79)</x:f>
        <x:v>0</x:v>
      </x:c>
      <x:c r="AH79" s="132" t="n">
        <x:v>0</x:v>
      </x:c>
      <x:c r="AI79" s="130" t="n">
        <x:v>0</x:v>
      </x:c>
      <x:c r="AJ79" s="131" t="n">
        <x:f>IF(AI79&lt;&gt;"",AI79,AK79)</x:f>
        <x:v>0</x:v>
      </x:c>
      <x:c r="AK79" s="132" t="n">
        <x:v>0</x:v>
      </x:c>
    </x:row>
    <x:row r="80" ht="22" customHeight="1">
      <x:c r="A80" s="116" t="str">
        <x:v>Payroll Taxes and Benefits</x:v>
      </x:c>
      <x:c r="B80" s="130"/>
      <x:c r="C80" s="131" t="n">
        <x:f>IF(B80&lt;&gt;"",B80,D80)</x:f>
        <x:v>7200</x:v>
      </x:c>
      <x:c r="D80" s="132" t="n">
        <x:v>7200</x:v>
      </x:c>
      <x:c r="E80" s="130"/>
      <x:c r="F80" s="131" t="n">
        <x:f>IF(E80&lt;&gt;"",E80,G80)</x:f>
        <x:v>7200</x:v>
      </x:c>
      <x:c r="G80" s="132" t="n">
        <x:v>7200</x:v>
      </x:c>
      <x:c r="H80" s="130"/>
      <x:c r="I80" s="131" t="n">
        <x:f>IF(H80&lt;&gt;"",H80,J80)</x:f>
        <x:v>7200</x:v>
      </x:c>
      <x:c r="J80" s="132" t="n">
        <x:v>7200</x:v>
      </x:c>
      <x:c r="K80" s="130"/>
      <x:c r="L80" s="131" t="n">
        <x:f>IF(K80&lt;&gt;"",K80,M80)</x:f>
        <x:v>7200</x:v>
      </x:c>
      <x:c r="M80" s="132" t="n">
        <x:v>7200</x:v>
      </x:c>
      <x:c r="N80" s="130"/>
      <x:c r="O80" s="131" t="n">
        <x:f>IF(N80&lt;&gt;"",N80,P80)</x:f>
        <x:v>7200</x:v>
      </x:c>
      <x:c r="P80" s="132" t="n">
        <x:v>7200</x:v>
      </x:c>
      <x:c r="Q80" s="130"/>
      <x:c r="R80" s="131" t="n">
        <x:f>IF(Q80&lt;&gt;"",Q80,S80)</x:f>
        <x:v>7200</x:v>
      </x:c>
      <x:c r="S80" s="132" t="n">
        <x:v>7200</x:v>
      </x:c>
      <x:c r="T80" s="130"/>
      <x:c r="U80" s="131" t="n">
        <x:f>IF(T80&lt;&gt;"",T80,V80)</x:f>
        <x:v>7200</x:v>
      </x:c>
      <x:c r="V80" s="132" t="n">
        <x:v>7200</x:v>
      </x:c>
      <x:c r="W80" s="130"/>
      <x:c r="X80" s="131" t="n">
        <x:f>IF(W80&lt;&gt;"",W80,Y80)</x:f>
        <x:v>7200</x:v>
      </x:c>
      <x:c r="Y80" s="132" t="n">
        <x:v>7200</x:v>
      </x:c>
      <x:c r="Z80" s="130"/>
      <x:c r="AA80" s="131" t="n">
        <x:f>IF(Z80&lt;&gt;"",Z80,AB80)</x:f>
        <x:v>7200</x:v>
      </x:c>
      <x:c r="AB80" s="132" t="n">
        <x:v>7200</x:v>
      </x:c>
      <x:c r="AC80" s="130"/>
      <x:c r="AD80" s="131" t="n">
        <x:f>IF(AC80&lt;&gt;"",AC80,AE80)</x:f>
        <x:v>7200</x:v>
      </x:c>
      <x:c r="AE80" s="132" t="n">
        <x:v>7200</x:v>
      </x:c>
      <x:c r="AF80" s="130" t="n">
        <x:v>7056</x:v>
      </x:c>
      <x:c r="AG80" s="131" t="n">
        <x:f>IF(AF80&lt;&gt;"",AF80,AH80)</x:f>
        <x:v>7056</x:v>
      </x:c>
      <x:c r="AH80" s="132" t="n">
        <x:v>7200</x:v>
      </x:c>
      <x:c r="AI80" s="130" t="n">
        <x:v>7560</x:v>
      </x:c>
      <x:c r="AJ80" s="131" t="n">
        <x:f>IF(AI80&lt;&gt;"",AI80,AK80)</x:f>
        <x:v>7560</x:v>
      </x:c>
      <x:c r="AK80" s="132" t="n">
        <x:v>7200</x:v>
      </x:c>
    </x:row>
    <x:row r="81" ht="22" customHeight="1">
      <x:c r="A81" s="116" t="str">
        <x:v>Contractors and Freelancers</x:v>
      </x:c>
      <x:c r="B81" s="130"/>
      <x:c r="C81" s="131" t="n">
        <x:f>IF(B81&lt;&gt;"",B81,D81)</x:f>
        <x:v>2000</x:v>
      </x:c>
      <x:c r="D81" s="132" t="n">
        <x:v>2000</x:v>
      </x:c>
      <x:c r="E81" s="130"/>
      <x:c r="F81" s="131" t="n">
        <x:f>IF(E81&lt;&gt;"",E81,G81)</x:f>
        <x:v>2000</x:v>
      </x:c>
      <x:c r="G81" s="132" t="n">
        <x:v>2000</x:v>
      </x:c>
      <x:c r="H81" s="130"/>
      <x:c r="I81" s="131" t="n">
        <x:f>IF(H81&lt;&gt;"",H81,J81)</x:f>
        <x:v>2000</x:v>
      </x:c>
      <x:c r="J81" s="132" t="n">
        <x:v>2000</x:v>
      </x:c>
      <x:c r="K81" s="130"/>
      <x:c r="L81" s="131" t="n">
        <x:f>IF(K81&lt;&gt;"",K81,M81)</x:f>
        <x:v>2000</x:v>
      </x:c>
      <x:c r="M81" s="132" t="n">
        <x:v>2000</x:v>
      </x:c>
      <x:c r="N81" s="130"/>
      <x:c r="O81" s="131" t="n">
        <x:f>IF(N81&lt;&gt;"",N81,P81)</x:f>
        <x:v>2000</x:v>
      </x:c>
      <x:c r="P81" s="132" t="n">
        <x:v>2000</x:v>
      </x:c>
      <x:c r="Q81" s="130"/>
      <x:c r="R81" s="131" t="n">
        <x:f>IF(Q81&lt;&gt;"",Q81,S81)</x:f>
        <x:v>2000</x:v>
      </x:c>
      <x:c r="S81" s="132" t="n">
        <x:v>2000</x:v>
      </x:c>
      <x:c r="T81" s="130"/>
      <x:c r="U81" s="131" t="n">
        <x:f>IF(T81&lt;&gt;"",T81,V81)</x:f>
        <x:v>2000</x:v>
      </x:c>
      <x:c r="V81" s="132" t="n">
        <x:v>2000</x:v>
      </x:c>
      <x:c r="W81" s="130"/>
      <x:c r="X81" s="131" t="n">
        <x:f>IF(W81&lt;&gt;"",W81,Y81)</x:f>
        <x:v>2000</x:v>
      </x:c>
      <x:c r="Y81" s="132" t="n">
        <x:v>2000</x:v>
      </x:c>
      <x:c r="Z81" s="130"/>
      <x:c r="AA81" s="131" t="n">
        <x:f>IF(Z81&lt;&gt;"",Z81,AB81)</x:f>
        <x:v>2000</x:v>
      </x:c>
      <x:c r="AB81" s="132" t="n">
        <x:v>2000</x:v>
      </x:c>
      <x:c r="AC81" s="130"/>
      <x:c r="AD81" s="131" t="n">
        <x:f>IF(AC81&lt;&gt;"",AC81,AE81)</x:f>
        <x:v>2000</x:v>
      </x:c>
      <x:c r="AE81" s="132" t="n">
        <x:v>2000</x:v>
      </x:c>
      <x:c r="AF81" s="130" t="n">
        <x:v>1960</x:v>
      </x:c>
      <x:c r="AG81" s="131" t="n">
        <x:f>IF(AF81&lt;&gt;"",AF81,AH81)</x:f>
        <x:v>1960</x:v>
      </x:c>
      <x:c r="AH81" s="132" t="n">
        <x:v>2000</x:v>
      </x:c>
      <x:c r="AI81" s="130" t="n">
        <x:v>2100</x:v>
      </x:c>
      <x:c r="AJ81" s="131" t="n">
        <x:f>IF(AI81&lt;&gt;"",AI81,AK81)</x:f>
        <x:v>2100</x:v>
      </x:c>
      <x:c r="AK81" s="132" t="n">
        <x:v>2000</x:v>
      </x:c>
    </x:row>
    <x:row r="82" ht="22" customHeight="1">
      <x:c r="A82" s="116" t="str">
        <x:v>Recruiting</x:v>
      </x:c>
      <x:c r="B82" s="130"/>
      <x:c r="C82" s="131" t="n">
        <x:f>IF(B82&lt;&gt;"",B82,D82)</x:f>
        <x:v>0</x:v>
      </x:c>
      <x:c r="D82" s="132" t="n">
        <x:v>0</x:v>
      </x:c>
      <x:c r="E82" s="130"/>
      <x:c r="F82" s="131" t="n">
        <x:f>IF(E82&lt;&gt;"",E82,G82)</x:f>
        <x:v>0</x:v>
      </x:c>
      <x:c r="G82" s="132" t="n">
        <x:v>0</x:v>
      </x:c>
      <x:c r="H82" s="130"/>
      <x:c r="I82" s="131" t="n">
        <x:f>IF(H82&lt;&gt;"",H82,J82)</x:f>
        <x:v>0</x:v>
      </x:c>
      <x:c r="J82" s="132" t="n">
        <x:v>0</x:v>
      </x:c>
      <x:c r="K82" s="130"/>
      <x:c r="L82" s="131" t="n">
        <x:f>IF(K82&lt;&gt;"",K82,M82)</x:f>
        <x:v>0</x:v>
      </x:c>
      <x:c r="M82" s="132" t="n">
        <x:v>0</x:v>
      </x:c>
      <x:c r="N82" s="130"/>
      <x:c r="O82" s="131" t="n">
        <x:f>IF(N82&lt;&gt;"",N82,P82)</x:f>
        <x:v>0</x:v>
      </x:c>
      <x:c r="P82" s="132" t="n">
        <x:v>0</x:v>
      </x:c>
      <x:c r="Q82" s="130"/>
      <x:c r="R82" s="131" t="n">
        <x:f>IF(Q82&lt;&gt;"",Q82,S82)</x:f>
        <x:v>0</x:v>
      </x:c>
      <x:c r="S82" s="132" t="n">
        <x:v>0</x:v>
      </x:c>
      <x:c r="T82" s="130"/>
      <x:c r="U82" s="131" t="n">
        <x:f>IF(T82&lt;&gt;"",T82,V82)</x:f>
        <x:v>0</x:v>
      </x:c>
      <x:c r="V82" s="132" t="n">
        <x:v>0</x:v>
      </x:c>
      <x:c r="W82" s="130"/>
      <x:c r="X82" s="131" t="n">
        <x:f>IF(W82&lt;&gt;"",W82,Y82)</x:f>
        <x:v>0</x:v>
      </x:c>
      <x:c r="Y82" s="132" t="n">
        <x:v>0</x:v>
      </x:c>
      <x:c r="Z82" s="130"/>
      <x:c r="AA82" s="131" t="n">
        <x:f>IF(Z82&lt;&gt;"",Z82,AB82)</x:f>
        <x:v>0</x:v>
      </x:c>
      <x:c r="AB82" s="132" t="n">
        <x:v>0</x:v>
      </x:c>
      <x:c r="AC82" s="130"/>
      <x:c r="AD82" s="131" t="n">
        <x:f>IF(AC82&lt;&gt;"",AC82,AE82)</x:f>
        <x:v>0</x:v>
      </x:c>
      <x:c r="AE82" s="132" t="n">
        <x:v>0</x:v>
      </x:c>
      <x:c r="AF82" s="130" t="n">
        <x:v>0</x:v>
      </x:c>
      <x:c r="AG82" s="131" t="n">
        <x:f>IF(AF82&lt;&gt;"",AF82,AH82)</x:f>
        <x:v>0</x:v>
      </x:c>
      <x:c r="AH82" s="132" t="n">
        <x:v>0</x:v>
      </x:c>
      <x:c r="AI82" s="130" t="n">
        <x:v>0</x:v>
      </x:c>
      <x:c r="AJ82" s="131" t="n">
        <x:f>IF(AI82&lt;&gt;"",AI82,AK82)</x:f>
        <x:v>0</x:v>
      </x:c>
      <x:c r="AK82" s="132" t="n">
        <x:v>0</x:v>
      </x:c>
    </x:row>
    <x:row r="83" ht="22" customHeight="1">
      <x:c r="A83" s="116" t="str">
        <x:v>Training and Development</x:v>
      </x:c>
      <x:c r="B83" s="130"/>
      <x:c r="C83" s="131" t="n">
        <x:f>IF(B83&lt;&gt;"",B83,D83)</x:f>
        <x:v>300</x:v>
      </x:c>
      <x:c r="D83" s="132" t="n">
        <x:v>300</x:v>
      </x:c>
      <x:c r="E83" s="130"/>
      <x:c r="F83" s="131" t="n">
        <x:f>IF(E83&lt;&gt;"",E83,G83)</x:f>
        <x:v>300</x:v>
      </x:c>
      <x:c r="G83" s="132" t="n">
        <x:v>300</x:v>
      </x:c>
      <x:c r="H83" s="130"/>
      <x:c r="I83" s="131" t="n">
        <x:f>IF(H83&lt;&gt;"",H83,J83)</x:f>
        <x:v>300</x:v>
      </x:c>
      <x:c r="J83" s="132" t="n">
        <x:v>300</x:v>
      </x:c>
      <x:c r="K83" s="130"/>
      <x:c r="L83" s="131" t="n">
        <x:f>IF(K83&lt;&gt;"",K83,M83)</x:f>
        <x:v>300</x:v>
      </x:c>
      <x:c r="M83" s="132" t="n">
        <x:v>300</x:v>
      </x:c>
      <x:c r="N83" s="130"/>
      <x:c r="O83" s="131" t="n">
        <x:f>IF(N83&lt;&gt;"",N83,P83)</x:f>
        <x:v>300</x:v>
      </x:c>
      <x:c r="P83" s="132" t="n">
        <x:v>300</x:v>
      </x:c>
      <x:c r="Q83" s="130"/>
      <x:c r="R83" s="131" t="n">
        <x:f>IF(Q83&lt;&gt;"",Q83,S83)</x:f>
        <x:v>300</x:v>
      </x:c>
      <x:c r="S83" s="132" t="n">
        <x:v>300</x:v>
      </x:c>
      <x:c r="T83" s="130"/>
      <x:c r="U83" s="131" t="n">
        <x:f>IF(T83&lt;&gt;"",T83,V83)</x:f>
        <x:v>300</x:v>
      </x:c>
      <x:c r="V83" s="132" t="n">
        <x:v>300</x:v>
      </x:c>
      <x:c r="W83" s="130"/>
      <x:c r="X83" s="131" t="n">
        <x:f>IF(W83&lt;&gt;"",W83,Y83)</x:f>
        <x:v>300</x:v>
      </x:c>
      <x:c r="Y83" s="132" t="n">
        <x:v>300</x:v>
      </x:c>
      <x:c r="Z83" s="130"/>
      <x:c r="AA83" s="131" t="n">
        <x:f>IF(Z83&lt;&gt;"",Z83,AB83)</x:f>
        <x:v>300</x:v>
      </x:c>
      <x:c r="AB83" s="132" t="n">
        <x:v>300</x:v>
      </x:c>
      <x:c r="AC83" s="130"/>
      <x:c r="AD83" s="131" t="n">
        <x:f>IF(AC83&lt;&gt;"",AC83,AE83)</x:f>
        <x:v>300</x:v>
      </x:c>
      <x:c r="AE83" s="132" t="n">
        <x:v>300</x:v>
      </x:c>
      <x:c r="AF83" s="130" t="n">
        <x:v>294</x:v>
      </x:c>
      <x:c r="AG83" s="131" t="n">
        <x:f>IF(AF83&lt;&gt;"",AF83,AH83)</x:f>
        <x:v>294</x:v>
      </x:c>
      <x:c r="AH83" s="132" t="n">
        <x:v>300</x:v>
      </x:c>
      <x:c r="AI83" s="130" t="n">
        <x:v>315</x:v>
      </x:c>
      <x:c r="AJ83" s="131" t="n">
        <x:f>IF(AI83&lt;&gt;"",AI83,AK83)</x:f>
        <x:v>315</x:v>
      </x:c>
      <x:c r="AK83" s="132" t="n">
        <x:v>300</x:v>
      </x:c>
    </x:row>
    <x:row r="84" ht="22" customHeight="1">
      <x:c r="A84" s="116" t="str">
        <x:v>Software Subscriptions</x:v>
      </x:c>
      <x:c r="B84" s="130"/>
      <x:c r="C84" s="131" t="n">
        <x:f>IF(B84&lt;&gt;"",B84,D84)</x:f>
        <x:v>500</x:v>
      </x:c>
      <x:c r="D84" s="132" t="n">
        <x:v>500</x:v>
      </x:c>
      <x:c r="E84" s="130"/>
      <x:c r="F84" s="131" t="n">
        <x:f>IF(E84&lt;&gt;"",E84,G84)</x:f>
        <x:v>500</x:v>
      </x:c>
      <x:c r="G84" s="132" t="n">
        <x:v>500</x:v>
      </x:c>
      <x:c r="H84" s="130"/>
      <x:c r="I84" s="131" t="n">
        <x:f>IF(H84&lt;&gt;"",H84,J84)</x:f>
        <x:v>500</x:v>
      </x:c>
      <x:c r="J84" s="132" t="n">
        <x:v>500</x:v>
      </x:c>
      <x:c r="K84" s="130"/>
      <x:c r="L84" s="131" t="n">
        <x:f>IF(K84&lt;&gt;"",K84,M84)</x:f>
        <x:v>500</x:v>
      </x:c>
      <x:c r="M84" s="132" t="n">
        <x:v>500</x:v>
      </x:c>
      <x:c r="N84" s="130"/>
      <x:c r="O84" s="131" t="n">
        <x:f>IF(N84&lt;&gt;"",N84,P84)</x:f>
        <x:v>500</x:v>
      </x:c>
      <x:c r="P84" s="132" t="n">
        <x:v>500</x:v>
      </x:c>
      <x:c r="Q84" s="130"/>
      <x:c r="R84" s="131" t="n">
        <x:f>IF(Q84&lt;&gt;"",Q84,S84)</x:f>
        <x:v>500</x:v>
      </x:c>
      <x:c r="S84" s="132" t="n">
        <x:v>500</x:v>
      </x:c>
      <x:c r="T84" s="130"/>
      <x:c r="U84" s="131" t="n">
        <x:f>IF(T84&lt;&gt;"",T84,V84)</x:f>
        <x:v>500</x:v>
      </x:c>
      <x:c r="V84" s="132" t="n">
        <x:v>500</x:v>
      </x:c>
      <x:c r="W84" s="130"/>
      <x:c r="X84" s="131" t="n">
        <x:f>IF(W84&lt;&gt;"",W84,Y84)</x:f>
        <x:v>500</x:v>
      </x:c>
      <x:c r="Y84" s="132" t="n">
        <x:v>500</x:v>
      </x:c>
      <x:c r="Z84" s="130"/>
      <x:c r="AA84" s="131" t="n">
        <x:f>IF(Z84&lt;&gt;"",Z84,AB84)</x:f>
        <x:v>500</x:v>
      </x:c>
      <x:c r="AB84" s="132" t="n">
        <x:v>500</x:v>
      </x:c>
      <x:c r="AC84" s="130"/>
      <x:c r="AD84" s="131" t="n">
        <x:f>IF(AC84&lt;&gt;"",AC84,AE84)</x:f>
        <x:v>500</x:v>
      </x:c>
      <x:c r="AE84" s="132" t="n">
        <x:v>500</x:v>
      </x:c>
      <x:c r="AF84" s="130" t="n">
        <x:v>490</x:v>
      </x:c>
      <x:c r="AG84" s="131" t="n">
        <x:f>IF(AF84&lt;&gt;"",AF84,AH84)</x:f>
        <x:v>490</x:v>
      </x:c>
      <x:c r="AH84" s="132" t="n">
        <x:v>500</x:v>
      </x:c>
      <x:c r="AI84" s="130" t="n">
        <x:v>525</x:v>
      </x:c>
      <x:c r="AJ84" s="131" t="n">
        <x:f>IF(AI84&lt;&gt;"",AI84,AK84)</x:f>
        <x:v>525</x:v>
      </x:c>
      <x:c r="AK84" s="132" t="n">
        <x:v>500</x:v>
      </x:c>
    </x:row>
    <x:row r="85" ht="22" customHeight="1">
      <x:c r="A85" s="116" t="str">
        <x:v>Dues and Subscriptions</x:v>
      </x:c>
      <x:c r="B85" s="130"/>
      <x:c r="C85" s="131" t="n">
        <x:f>IF(B85&lt;&gt;"",B85,D85)</x:f>
        <x:v>0</x:v>
      </x:c>
      <x:c r="D85" s="132" t="n">
        <x:v>0</x:v>
      </x:c>
      <x:c r="E85" s="130"/>
      <x:c r="F85" s="131" t="n">
        <x:f>IF(E85&lt;&gt;"",E85,G85)</x:f>
        <x:v>0</x:v>
      </x:c>
      <x:c r="G85" s="132" t="n">
        <x:v>0</x:v>
      </x:c>
      <x:c r="H85" s="130"/>
      <x:c r="I85" s="131" t="n">
        <x:f>IF(H85&lt;&gt;"",H85,J85)</x:f>
        <x:v>0</x:v>
      </x:c>
      <x:c r="J85" s="132" t="n">
        <x:v>0</x:v>
      </x:c>
      <x:c r="K85" s="130"/>
      <x:c r="L85" s="131" t="n">
        <x:f>IF(K85&lt;&gt;"",K85,M85)</x:f>
        <x:v>0</x:v>
      </x:c>
      <x:c r="M85" s="132" t="n">
        <x:v>0</x:v>
      </x:c>
      <x:c r="N85" s="130"/>
      <x:c r="O85" s="131" t="n">
        <x:f>IF(N85&lt;&gt;"",N85,P85)</x:f>
        <x:v>0</x:v>
      </x:c>
      <x:c r="P85" s="132" t="n">
        <x:v>0</x:v>
      </x:c>
      <x:c r="Q85" s="130"/>
      <x:c r="R85" s="131" t="n">
        <x:f>IF(Q85&lt;&gt;"",Q85,S85)</x:f>
        <x:v>0</x:v>
      </x:c>
      <x:c r="S85" s="132" t="n">
        <x:v>0</x:v>
      </x:c>
      <x:c r="T85" s="130"/>
      <x:c r="U85" s="131" t="n">
        <x:f>IF(T85&lt;&gt;"",T85,V85)</x:f>
        <x:v>0</x:v>
      </x:c>
      <x:c r="V85" s="132" t="n">
        <x:v>0</x:v>
      </x:c>
      <x:c r="W85" s="130"/>
      <x:c r="X85" s="131" t="n">
        <x:f>IF(W85&lt;&gt;"",W85,Y85)</x:f>
        <x:v>0</x:v>
      </x:c>
      <x:c r="Y85" s="132" t="n">
        <x:v>0</x:v>
      </x:c>
      <x:c r="Z85" s="130"/>
      <x:c r="AA85" s="131" t="n">
        <x:f>IF(Z85&lt;&gt;"",Z85,AB85)</x:f>
        <x:v>0</x:v>
      </x:c>
      <x:c r="AB85" s="132" t="n">
        <x:v>0</x:v>
      </x:c>
      <x:c r="AC85" s="130"/>
      <x:c r="AD85" s="131" t="n">
        <x:f>IF(AC85&lt;&gt;"",AC85,AE85)</x:f>
        <x:v>0</x:v>
      </x:c>
      <x:c r="AE85" s="132" t="n">
        <x:v>0</x:v>
      </x:c>
      <x:c r="AF85" s="130" t="n">
        <x:v>0</x:v>
      </x:c>
      <x:c r="AG85" s="131" t="n">
        <x:f>IF(AF85&lt;&gt;"",AF85,AH85)</x:f>
        <x:v>0</x:v>
      </x:c>
      <x:c r="AH85" s="132" t="n">
        <x:v>0</x:v>
      </x:c>
      <x:c r="AI85" s="130" t="n">
        <x:v>0</x:v>
      </x:c>
      <x:c r="AJ85" s="131" t="n">
        <x:f>IF(AI85&lt;&gt;"",AI85,AK85)</x:f>
        <x:v>0</x:v>
      </x:c>
      <x:c r="AK85" s="132" t="n">
        <x:v>0</x:v>
      </x:c>
    </x:row>
    <x:row r="86" ht="22" customHeight="1">
      <x:c r="A86" s="116" t="str">
        <x:v>Travel, Meals and Entertainment</x:v>
      </x:c>
      <x:c r="B86" s="130"/>
      <x:c r="C86" s="131" t="n">
        <x:f>IF(B86&lt;&gt;"",B86,D86)</x:f>
        <x:v>500</x:v>
      </x:c>
      <x:c r="D86" s="132" t="n">
        <x:v>500</x:v>
      </x:c>
      <x:c r="E86" s="130"/>
      <x:c r="F86" s="131" t="n">
        <x:f>IF(E86&lt;&gt;"",E86,G86)</x:f>
        <x:v>500</x:v>
      </x:c>
      <x:c r="G86" s="132" t="n">
        <x:v>500</x:v>
      </x:c>
      <x:c r="H86" s="130"/>
      <x:c r="I86" s="131" t="n">
        <x:f>IF(H86&lt;&gt;"",H86,J86)</x:f>
        <x:v>500</x:v>
      </x:c>
      <x:c r="J86" s="132" t="n">
        <x:v>500</x:v>
      </x:c>
      <x:c r="K86" s="130"/>
      <x:c r="L86" s="131" t="n">
        <x:f>IF(K86&lt;&gt;"",K86,M86)</x:f>
        <x:v>500</x:v>
      </x:c>
      <x:c r="M86" s="132" t="n">
        <x:v>500</x:v>
      </x:c>
      <x:c r="N86" s="130"/>
      <x:c r="O86" s="131" t="n">
        <x:f>IF(N86&lt;&gt;"",N86,P86)</x:f>
        <x:v>500</x:v>
      </x:c>
      <x:c r="P86" s="132" t="n">
        <x:v>500</x:v>
      </x:c>
      <x:c r="Q86" s="130"/>
      <x:c r="R86" s="131" t="n">
        <x:f>IF(Q86&lt;&gt;"",Q86,S86)</x:f>
        <x:v>500</x:v>
      </x:c>
      <x:c r="S86" s="132" t="n">
        <x:v>500</x:v>
      </x:c>
      <x:c r="T86" s="130"/>
      <x:c r="U86" s="131" t="n">
        <x:f>IF(T86&lt;&gt;"",T86,V86)</x:f>
        <x:v>500</x:v>
      </x:c>
      <x:c r="V86" s="132" t="n">
        <x:v>500</x:v>
      </x:c>
      <x:c r="W86" s="130"/>
      <x:c r="X86" s="131" t="n">
        <x:f>IF(W86&lt;&gt;"",W86,Y86)</x:f>
        <x:v>500</x:v>
      </x:c>
      <x:c r="Y86" s="132" t="n">
        <x:v>500</x:v>
      </x:c>
      <x:c r="Z86" s="130"/>
      <x:c r="AA86" s="131" t="n">
        <x:f>IF(Z86&lt;&gt;"",Z86,AB86)</x:f>
        <x:v>500</x:v>
      </x:c>
      <x:c r="AB86" s="132" t="n">
        <x:v>500</x:v>
      </x:c>
      <x:c r="AC86" s="130"/>
      <x:c r="AD86" s="131" t="n">
        <x:f>IF(AC86&lt;&gt;"",AC86,AE86)</x:f>
        <x:v>500</x:v>
      </x:c>
      <x:c r="AE86" s="132" t="n">
        <x:v>500</x:v>
      </x:c>
      <x:c r="AF86" s="130" t="n">
        <x:v>490</x:v>
      </x:c>
      <x:c r="AG86" s="131" t="n">
        <x:f>IF(AF86&lt;&gt;"",AF86,AH86)</x:f>
        <x:v>490</x:v>
      </x:c>
      <x:c r="AH86" s="132" t="n">
        <x:v>500</x:v>
      </x:c>
      <x:c r="AI86" s="130" t="n">
        <x:v>525</x:v>
      </x:c>
      <x:c r="AJ86" s="131" t="n">
        <x:f>IF(AI86&lt;&gt;"",AI86,AK86)</x:f>
        <x:v>525</x:v>
      </x:c>
      <x:c r="AK86" s="132" t="n">
        <x:v>500</x:v>
      </x:c>
    </x:row>
    <x:row r="87" ht="22" customHeight="1">
      <x:c r="A87" s="136" t="str">
        <x:v>Total Standard Department Cost</x:v>
      </x:c>
      <x:c r="B87" s="137" t="str">
        <x:f>IF(COUNT(B78:B86)&gt;0,SUM(B78:B86),"")</x:f>
      </x:c>
      <x:c r="C87" s="138" t="n">
        <x:f>SUM(C78:C86)</x:f>
        <x:v>46500</x:v>
      </x:c>
      <x:c r="D87" s="139" t="n">
        <x:f>SUM(D78:D86)</x:f>
        <x:v>46500</x:v>
      </x:c>
      <x:c r="E87" s="137" t="str">
        <x:f>IF(COUNT(E78:E86)&gt;0,SUM(E78:E86),"")</x:f>
      </x:c>
      <x:c r="F87" s="138" t="n">
        <x:f>SUM(F78:F86)</x:f>
        <x:v>46500</x:v>
      </x:c>
      <x:c r="G87" s="139" t="n">
        <x:f>SUM(G78:G86)</x:f>
        <x:v>46500</x:v>
      </x:c>
      <x:c r="H87" s="137" t="str">
        <x:f>IF(COUNT(H78:H86)&gt;0,SUM(H78:H86),"")</x:f>
      </x:c>
      <x:c r="I87" s="138" t="n">
        <x:f>SUM(I78:I86)</x:f>
        <x:v>46500</x:v>
      </x:c>
      <x:c r="J87" s="139" t="n">
        <x:f>SUM(J78:J86)</x:f>
        <x:v>46500</x:v>
      </x:c>
      <x:c r="K87" s="137" t="str">
        <x:f>IF(COUNT(K78:K86)&gt;0,SUM(K78:K86),"")</x:f>
      </x:c>
      <x:c r="L87" s="138" t="n">
        <x:f>SUM(L78:L86)</x:f>
        <x:v>46500</x:v>
      </x:c>
      <x:c r="M87" s="139" t="n">
        <x:f>SUM(M78:M86)</x:f>
        <x:v>46500</x:v>
      </x:c>
      <x:c r="N87" s="137" t="str">
        <x:f>IF(COUNT(N78:N86)&gt;0,SUM(N78:N86),"")</x:f>
      </x:c>
      <x:c r="O87" s="138" t="n">
        <x:f>SUM(O78:O86)</x:f>
        <x:v>46500</x:v>
      </x:c>
      <x:c r="P87" s="139" t="n">
        <x:f>SUM(P78:P86)</x:f>
        <x:v>46500</x:v>
      </x:c>
      <x:c r="Q87" s="137" t="str">
        <x:f>IF(COUNT(Q78:Q86)&gt;0,SUM(Q78:Q86),"")</x:f>
      </x:c>
      <x:c r="R87" s="138" t="n">
        <x:f>SUM(R78:R86)</x:f>
        <x:v>46500</x:v>
      </x:c>
      <x:c r="S87" s="139" t="n">
        <x:f>SUM(S78:S86)</x:f>
        <x:v>46500</x:v>
      </x:c>
      <x:c r="T87" s="137" t="str">
        <x:f>IF(COUNT(T78:T86)&gt;0,SUM(T78:T86),"")</x:f>
      </x:c>
      <x:c r="U87" s="138" t="n">
        <x:f>SUM(U78:U86)</x:f>
        <x:v>46500</x:v>
      </x:c>
      <x:c r="V87" s="139" t="n">
        <x:f>SUM(V78:V86)</x:f>
        <x:v>46500</x:v>
      </x:c>
      <x:c r="W87" s="137" t="str">
        <x:f>IF(COUNT(W78:W86)&gt;0,SUM(W78:W86),"")</x:f>
      </x:c>
      <x:c r="X87" s="138" t="n">
        <x:f>SUM(X78:X86)</x:f>
        <x:v>46500</x:v>
      </x:c>
      <x:c r="Y87" s="139" t="n">
        <x:f>SUM(Y78:Y86)</x:f>
        <x:v>46500</x:v>
      </x:c>
      <x:c r="Z87" s="137" t="str">
        <x:f>IF(COUNT(Z78:Z86)&gt;0,SUM(Z78:Z86),"")</x:f>
      </x:c>
      <x:c r="AA87" s="138" t="n">
        <x:f>SUM(AA78:AA86)</x:f>
        <x:v>46500</x:v>
      </x:c>
      <x:c r="AB87" s="139" t="n">
        <x:f>SUM(AB78:AB86)</x:f>
        <x:v>46500</x:v>
      </x:c>
      <x:c r="AC87" s="137" t="str">
        <x:f>IF(COUNT(AC78:AC86)&gt;0,SUM(AC78:AC86),"")</x:f>
      </x:c>
      <x:c r="AD87" s="138" t="n">
        <x:f>SUM(AD78:AD86)</x:f>
        <x:v>46500</x:v>
      </x:c>
      <x:c r="AE87" s="139" t="n">
        <x:f>SUM(AE78:AE86)</x:f>
        <x:v>46500</x:v>
      </x:c>
      <x:c r="AF87" s="137" t="n">
        <x:f>IF(COUNT(AF78:AF86)&gt;0,SUM(AF78:AF86),"")</x:f>
        <x:v>46290</x:v>
      </x:c>
      <x:c r="AG87" s="138" t="n">
        <x:f>SUM(AG78:AG86)</x:f>
        <x:v>46290</x:v>
      </x:c>
      <x:c r="AH87" s="139" t="n">
        <x:f>SUM(AH78:AH86)</x:f>
        <x:v>46500</x:v>
      </x:c>
      <x:c r="AI87" s="137" t="n">
        <x:f>IF(COUNT(AI78:AI86)&gt;0,SUM(AI78:AI86),"")</x:f>
        <x:v>47025</x:v>
      </x:c>
      <x:c r="AJ87" s="138" t="n">
        <x:f>SUM(AJ78:AJ86)</x:f>
        <x:v>47025</x:v>
      </x:c>
      <x:c r="AK87" s="139" t="n">
        <x:f>SUM(AK78:AK86)</x:f>
        <x:v>46500</x:v>
      </x:c>
    </x:row>
    <x:row r="88" ht="22" customHeight="1">
      <x:c r="A88" s="116" t="str">
        <x:v>Materials and Direct Inputs</x:v>
      </x:c>
      <x:c r="B88" s="130"/>
      <x:c r="C88" s="131" t="n">
        <x:f>IF(B88&lt;&gt;"",B88,C27*C23)</x:f>
        <x:v>12000</x:v>
      </x:c>
      <x:c r="D88" s="134" t="n">
        <x:f>D27*D23</x:f>
        <x:v>12000</x:v>
      </x:c>
      <x:c r="E88" s="130"/>
      <x:c r="F88" s="131" t="n">
        <x:f>IF(E88&lt;&gt;"",E88,F27*F23)</x:f>
        <x:v>12000</x:v>
      </x:c>
      <x:c r="G88" s="134" t="n">
        <x:f>G27*G23</x:f>
        <x:v>12000</x:v>
      </x:c>
      <x:c r="H88" s="130"/>
      <x:c r="I88" s="131" t="n">
        <x:f>IF(H88&lt;&gt;"",H88,I27*I23)</x:f>
        <x:v>12000</x:v>
      </x:c>
      <x:c r="J88" s="134" t="n">
        <x:f>J27*J23</x:f>
        <x:v>12000</x:v>
      </x:c>
      <x:c r="K88" s="130"/>
      <x:c r="L88" s="131" t="n">
        <x:f>IF(K88&lt;&gt;"",K88,L27*L23)</x:f>
        <x:v>12000</x:v>
      </x:c>
      <x:c r="M88" s="134" t="n">
        <x:f>M27*M23</x:f>
        <x:v>12000</x:v>
      </x:c>
      <x:c r="N88" s="130"/>
      <x:c r="O88" s="131" t="n">
        <x:f>IF(N88&lt;&gt;"",N88,O27*O23)</x:f>
        <x:v>11000</x:v>
      </x:c>
      <x:c r="P88" s="134" t="n">
        <x:f>P27*P23</x:f>
        <x:v>11000</x:v>
      </x:c>
      <x:c r="Q88" s="130"/>
      <x:c r="R88" s="131" t="n">
        <x:f>IF(Q88&lt;&gt;"",Q88,R27*R23)</x:f>
        <x:v>11000</x:v>
      </x:c>
      <x:c r="S88" s="134" t="n">
        <x:f>S27*S23</x:f>
        <x:v>11000</x:v>
      </x:c>
      <x:c r="T88" s="130"/>
      <x:c r="U88" s="131" t="n">
        <x:f>IF(T88&lt;&gt;"",T88,U27*U23)</x:f>
        <x:v>11000</x:v>
      </x:c>
      <x:c r="V88" s="134" t="n">
        <x:f>V27*V23</x:f>
        <x:v>11000</x:v>
      </x:c>
      <x:c r="W88" s="130"/>
      <x:c r="X88" s="131" t="n">
        <x:f>IF(W88&lt;&gt;"",W88,X27*X23)</x:f>
        <x:v>11000</x:v>
      </x:c>
      <x:c r="Y88" s="134" t="n">
        <x:f>Y27*Y23</x:f>
        <x:v>11000</x:v>
      </x:c>
      <x:c r="Z88" s="130"/>
      <x:c r="AA88" s="131" t="n">
        <x:f>IF(Z88&lt;&gt;"",Z88,AA27*AA23)</x:f>
        <x:v>10000</x:v>
      </x:c>
      <x:c r="AB88" s="134" t="n">
        <x:f>AB27*AB23</x:f>
        <x:v>10000</x:v>
      </x:c>
      <x:c r="AC88" s="130"/>
      <x:c r="AD88" s="131" t="n">
        <x:f>IF(AC88&lt;&gt;"",AC88,AD27*AD23)</x:f>
        <x:v>8000</x:v>
      </x:c>
      <x:c r="AE88" s="134" t="n">
        <x:f>AE27*AE23</x:f>
        <x:v>10000</x:v>
      </x:c>
      <x:c r="AF88" s="130" t="n">
        <x:v>10000</x:v>
      </x:c>
      <x:c r="AG88" s="131" t="n">
        <x:f>IF(AF88&lt;&gt;"",AF88,AG27*AG23)</x:f>
        <x:v>10000</x:v>
      </x:c>
      <x:c r="AH88" s="134" t="n">
        <x:f>AH27*AH23</x:f>
        <x:v>10000</x:v>
      </x:c>
      <x:c r="AI88" s="130" t="n">
        <x:v>12000</x:v>
      </x:c>
      <x:c r="AJ88" s="131" t="n">
        <x:f>IF(AI88&lt;&gt;"",AI88,AJ27*AJ23)</x:f>
        <x:v>12000</x:v>
      </x:c>
      <x:c r="AK88" s="134" t="n">
        <x:f>AK27*AK23</x:f>
        <x:v>15000</x:v>
      </x:c>
    </x:row>
    <x:row r="89" ht="22" customHeight="1">
      <x:c r="A89" s="116" t="str">
        <x:v>Freight, Fulfilment and Shipping</x:v>
      </x:c>
      <x:c r="B89" s="130"/>
      <x:c r="C89" s="131" t="n">
        <x:f>IF(B89&lt;&gt;"",B89,D89)</x:f>
        <x:v>500</x:v>
      </x:c>
      <x:c r="D89" s="132" t="n">
        <x:v>500</x:v>
      </x:c>
      <x:c r="E89" s="130"/>
      <x:c r="F89" s="131" t="n">
        <x:f>IF(E89&lt;&gt;"",E89,G89)</x:f>
        <x:v>500</x:v>
      </x:c>
      <x:c r="G89" s="132" t="n">
        <x:v>500</x:v>
      </x:c>
      <x:c r="H89" s="130"/>
      <x:c r="I89" s="131" t="n">
        <x:f>IF(H89&lt;&gt;"",H89,J89)</x:f>
        <x:v>500</x:v>
      </x:c>
      <x:c r="J89" s="132" t="n">
        <x:v>500</x:v>
      </x:c>
      <x:c r="K89" s="130"/>
      <x:c r="L89" s="131" t="n">
        <x:f>IF(K89&lt;&gt;"",K89,M89)</x:f>
        <x:v>500</x:v>
      </x:c>
      <x:c r="M89" s="132" t="n">
        <x:v>500</x:v>
      </x:c>
      <x:c r="N89" s="130"/>
      <x:c r="O89" s="131" t="n">
        <x:f>IF(N89&lt;&gt;"",N89,P89)</x:f>
        <x:v>500</x:v>
      </x:c>
      <x:c r="P89" s="132" t="n">
        <x:v>500</x:v>
      </x:c>
      <x:c r="Q89" s="130"/>
      <x:c r="R89" s="131" t="n">
        <x:f>IF(Q89&lt;&gt;"",Q89,S89)</x:f>
        <x:v>500</x:v>
      </x:c>
      <x:c r="S89" s="132" t="n">
        <x:v>500</x:v>
      </x:c>
      <x:c r="T89" s="130"/>
      <x:c r="U89" s="131" t="n">
        <x:f>IF(T89&lt;&gt;"",T89,V89)</x:f>
        <x:v>500</x:v>
      </x:c>
      <x:c r="V89" s="132" t="n">
        <x:v>500</x:v>
      </x:c>
      <x:c r="W89" s="130"/>
      <x:c r="X89" s="131" t="n">
        <x:f>IF(W89&lt;&gt;"",W89,Y89)</x:f>
        <x:v>500</x:v>
      </x:c>
      <x:c r="Y89" s="132" t="n">
        <x:v>500</x:v>
      </x:c>
      <x:c r="Z89" s="130"/>
      <x:c r="AA89" s="131" t="n">
        <x:f>IF(Z89&lt;&gt;"",Z89,AB89)</x:f>
        <x:v>500</x:v>
      </x:c>
      <x:c r="AB89" s="132" t="n">
        <x:v>500</x:v>
      </x:c>
      <x:c r="AC89" s="130"/>
      <x:c r="AD89" s="131" t="n">
        <x:f>IF(AC89&lt;&gt;"",AC89,AE89)</x:f>
        <x:v>500</x:v>
      </x:c>
      <x:c r="AE89" s="132" t="n">
        <x:v>500</x:v>
      </x:c>
      <x:c r="AF89" s="130" t="n">
        <x:v>490</x:v>
      </x:c>
      <x:c r="AG89" s="131" t="n">
        <x:f>IF(AF89&lt;&gt;"",AF89,AH89)</x:f>
        <x:v>490</x:v>
      </x:c>
      <x:c r="AH89" s="132" t="n">
        <x:v>500</x:v>
      </x:c>
      <x:c r="AI89" s="130" t="n">
        <x:v>525</x:v>
      </x:c>
      <x:c r="AJ89" s="131" t="n">
        <x:f>IF(AI89&lt;&gt;"",AI89,AK89)</x:f>
        <x:v>525</x:v>
      </x:c>
      <x:c r="AK89" s="132" t="n">
        <x:v>500</x:v>
      </x:c>
    </x:row>
    <x:row r="90" ht="22" customHeight="1">
      <x:c r="A90" s="116" t="str">
        <x:v>Hosting and Transaction Fees</x:v>
      </x:c>
      <x:c r="B90" s="130"/>
      <x:c r="C90" s="131" t="n">
        <x:f>IF(B90&lt;&gt;"",B90,D90)</x:f>
        <x:v>1000</x:v>
      </x:c>
      <x:c r="D90" s="132" t="n">
        <x:v>1000</x:v>
      </x:c>
      <x:c r="E90" s="130"/>
      <x:c r="F90" s="131" t="n">
        <x:f>IF(E90&lt;&gt;"",E90,G90)</x:f>
        <x:v>1000</x:v>
      </x:c>
      <x:c r="G90" s="132" t="n">
        <x:v>1000</x:v>
      </x:c>
      <x:c r="H90" s="130"/>
      <x:c r="I90" s="131" t="n">
        <x:f>IF(H90&lt;&gt;"",H90,J90)</x:f>
        <x:v>1000</x:v>
      </x:c>
      <x:c r="J90" s="132" t="n">
        <x:v>1000</x:v>
      </x:c>
      <x:c r="K90" s="130"/>
      <x:c r="L90" s="131" t="n">
        <x:f>IF(K90&lt;&gt;"",K90,M90)</x:f>
        <x:v>1000</x:v>
      </x:c>
      <x:c r="M90" s="132" t="n">
        <x:v>1000</x:v>
      </x:c>
      <x:c r="N90" s="130"/>
      <x:c r="O90" s="131" t="n">
        <x:f>IF(N90&lt;&gt;"",N90,P90)</x:f>
        <x:v>1000</x:v>
      </x:c>
      <x:c r="P90" s="132" t="n">
        <x:v>1000</x:v>
      </x:c>
      <x:c r="Q90" s="130"/>
      <x:c r="R90" s="131" t="n">
        <x:f>IF(Q90&lt;&gt;"",Q90,S90)</x:f>
        <x:v>1000</x:v>
      </x:c>
      <x:c r="S90" s="132" t="n">
        <x:v>1000</x:v>
      </x:c>
      <x:c r="T90" s="130"/>
      <x:c r="U90" s="131" t="n">
        <x:f>IF(T90&lt;&gt;"",T90,V90)</x:f>
        <x:v>1000</x:v>
      </x:c>
      <x:c r="V90" s="132" t="n">
        <x:v>1000</x:v>
      </x:c>
      <x:c r="W90" s="130"/>
      <x:c r="X90" s="131" t="n">
        <x:f>IF(W90&lt;&gt;"",W90,Y90)</x:f>
        <x:v>1000</x:v>
      </x:c>
      <x:c r="Y90" s="132" t="n">
        <x:v>1000</x:v>
      </x:c>
      <x:c r="Z90" s="130"/>
      <x:c r="AA90" s="131" t="n">
        <x:f>IF(Z90&lt;&gt;"",Z90,AB90)</x:f>
        <x:v>1000</x:v>
      </x:c>
      <x:c r="AB90" s="132" t="n">
        <x:v>1000</x:v>
      </x:c>
      <x:c r="AC90" s="130"/>
      <x:c r="AD90" s="131" t="n">
        <x:f>IF(AC90&lt;&gt;"",AC90,AE90)</x:f>
        <x:v>1000</x:v>
      </x:c>
      <x:c r="AE90" s="132" t="n">
        <x:v>1000</x:v>
      </x:c>
      <x:c r="AF90" s="130" t="n">
        <x:v>980</x:v>
      </x:c>
      <x:c r="AG90" s="131" t="n">
        <x:f>IF(AF90&lt;&gt;"",AF90,AH90)</x:f>
        <x:v>980</x:v>
      </x:c>
      <x:c r="AH90" s="132" t="n">
        <x:v>1000</x:v>
      </x:c>
      <x:c r="AI90" s="130" t="n">
        <x:v>1050</x:v>
      </x:c>
      <x:c r="AJ90" s="131" t="n">
        <x:f>IF(AI90&lt;&gt;"",AI90,AK90)</x:f>
        <x:v>1050</x:v>
      </x:c>
      <x:c r="AK90" s="132" t="n">
        <x:v>1000</x:v>
      </x:c>
    </x:row>
    <x:row r="91" ht="22" customHeight="1">
      <x:c r="A91" s="116" t="str">
        <x:v>Equipment Rental</x:v>
      </x:c>
      <x:c r="B91" s="130"/>
      <x:c r="C91" s="131" t="n">
        <x:f>IF(B91&lt;&gt;"",B91,D91)</x:f>
        <x:v>500</x:v>
      </x:c>
      <x:c r="D91" s="132" t="n">
        <x:v>500</x:v>
      </x:c>
      <x:c r="E91" s="130"/>
      <x:c r="F91" s="131" t="n">
        <x:f>IF(E91&lt;&gt;"",E91,G91)</x:f>
        <x:v>500</x:v>
      </x:c>
      <x:c r="G91" s="132" t="n">
        <x:v>500</x:v>
      </x:c>
      <x:c r="H91" s="130"/>
      <x:c r="I91" s="131" t="n">
        <x:f>IF(H91&lt;&gt;"",H91,J91)</x:f>
        <x:v>500</x:v>
      </x:c>
      <x:c r="J91" s="132" t="n">
        <x:v>500</x:v>
      </x:c>
      <x:c r="K91" s="130"/>
      <x:c r="L91" s="131" t="n">
        <x:f>IF(K91&lt;&gt;"",K91,M91)</x:f>
        <x:v>500</x:v>
      </x:c>
      <x:c r="M91" s="132" t="n">
        <x:v>500</x:v>
      </x:c>
      <x:c r="N91" s="130"/>
      <x:c r="O91" s="131" t="n">
        <x:f>IF(N91&lt;&gt;"",N91,P91)</x:f>
        <x:v>500</x:v>
      </x:c>
      <x:c r="P91" s="132" t="n">
        <x:v>500</x:v>
      </x:c>
      <x:c r="Q91" s="130"/>
      <x:c r="R91" s="131" t="n">
        <x:f>IF(Q91&lt;&gt;"",Q91,S91)</x:f>
        <x:v>500</x:v>
      </x:c>
      <x:c r="S91" s="132" t="n">
        <x:v>500</x:v>
      </x:c>
      <x:c r="T91" s="130"/>
      <x:c r="U91" s="131" t="n">
        <x:f>IF(T91&lt;&gt;"",T91,V91)</x:f>
        <x:v>500</x:v>
      </x:c>
      <x:c r="V91" s="132" t="n">
        <x:v>500</x:v>
      </x:c>
      <x:c r="W91" s="130"/>
      <x:c r="X91" s="131" t="n">
        <x:f>IF(W91&lt;&gt;"",W91,Y91)</x:f>
        <x:v>500</x:v>
      </x:c>
      <x:c r="Y91" s="132" t="n">
        <x:v>500</x:v>
      </x:c>
      <x:c r="Z91" s="130"/>
      <x:c r="AA91" s="131" t="n">
        <x:f>IF(Z91&lt;&gt;"",Z91,AB91)</x:f>
        <x:v>500</x:v>
      </x:c>
      <x:c r="AB91" s="132" t="n">
        <x:v>500</x:v>
      </x:c>
      <x:c r="AC91" s="130"/>
      <x:c r="AD91" s="131" t="n">
        <x:f>IF(AC91&lt;&gt;"",AC91,AE91)</x:f>
        <x:v>500</x:v>
      </x:c>
      <x:c r="AE91" s="132" t="n">
        <x:v>500</x:v>
      </x:c>
      <x:c r="AF91" s="130" t="n">
        <x:v>490</x:v>
      </x:c>
      <x:c r="AG91" s="131" t="n">
        <x:f>IF(AF91&lt;&gt;"",AF91,AH91)</x:f>
        <x:v>490</x:v>
      </x:c>
      <x:c r="AH91" s="132" t="n">
        <x:v>500</x:v>
      </x:c>
      <x:c r="AI91" s="130" t="n">
        <x:v>525</x:v>
      </x:c>
      <x:c r="AJ91" s="131" t="n">
        <x:f>IF(AI91&lt;&gt;"",AI91,AK91)</x:f>
        <x:v>525</x:v>
      </x:c>
      <x:c r="AK91" s="132" t="n">
        <x:v>500</x:v>
      </x:c>
    </x:row>
    <x:row r="92" ht="22" customHeight="1">
      <x:c r="A92" s="116" t="str">
        <x:v>Other Direct Delivery Costs</x:v>
      </x:c>
      <x:c r="B92" s="130"/>
      <x:c r="C92" s="131" t="n">
        <x:f>IF(B92&lt;&gt;"",B92,D92)</x:f>
        <x:v>0</x:v>
      </x:c>
      <x:c r="D92" s="132" t="n">
        <x:v>0</x:v>
      </x:c>
      <x:c r="E92" s="130"/>
      <x:c r="F92" s="131" t="n">
        <x:f>IF(E92&lt;&gt;"",E92,G92)</x:f>
        <x:v>0</x:v>
      </x:c>
      <x:c r="G92" s="132" t="n">
        <x:v>0</x:v>
      </x:c>
      <x:c r="H92" s="130"/>
      <x:c r="I92" s="131" t="n">
        <x:f>IF(H92&lt;&gt;"",H92,J92)</x:f>
        <x:v>0</x:v>
      </x:c>
      <x:c r="J92" s="132" t="n">
        <x:v>0</x:v>
      </x:c>
      <x:c r="K92" s="130"/>
      <x:c r="L92" s="131" t="n">
        <x:f>IF(K92&lt;&gt;"",K92,M92)</x:f>
        <x:v>0</x:v>
      </x:c>
      <x:c r="M92" s="132" t="n">
        <x:v>0</x:v>
      </x:c>
      <x:c r="N92" s="130"/>
      <x:c r="O92" s="131" t="n">
        <x:f>IF(N92&lt;&gt;"",N92,P92)</x:f>
        <x:v>0</x:v>
      </x:c>
      <x:c r="P92" s="132" t="n">
        <x:v>0</x:v>
      </x:c>
      <x:c r="Q92" s="130"/>
      <x:c r="R92" s="131" t="n">
        <x:f>IF(Q92&lt;&gt;"",Q92,S92)</x:f>
        <x:v>0</x:v>
      </x:c>
      <x:c r="S92" s="132" t="n">
        <x:v>0</x:v>
      </x:c>
      <x:c r="T92" s="130"/>
      <x:c r="U92" s="131" t="n">
        <x:f>IF(T92&lt;&gt;"",T92,V92)</x:f>
        <x:v>0</x:v>
      </x:c>
      <x:c r="V92" s="132" t="n">
        <x:v>0</x:v>
      </x:c>
      <x:c r="W92" s="130"/>
      <x:c r="X92" s="131" t="n">
        <x:f>IF(W92&lt;&gt;"",W92,Y92)</x:f>
        <x:v>0</x:v>
      </x:c>
      <x:c r="Y92" s="132" t="n">
        <x:v>0</x:v>
      </x:c>
      <x:c r="Z92" s="130"/>
      <x:c r="AA92" s="131" t="n">
        <x:f>IF(Z92&lt;&gt;"",Z92,AB92)</x:f>
        <x:v>0</x:v>
      </x:c>
      <x:c r="AB92" s="132" t="n">
        <x:v>0</x:v>
      </x:c>
      <x:c r="AC92" s="130"/>
      <x:c r="AD92" s="131" t="n">
        <x:f>IF(AC92&lt;&gt;"",AC92,AE92)</x:f>
        <x:v>0</x:v>
      </x:c>
      <x:c r="AE92" s="132" t="n">
        <x:v>0</x:v>
      </x:c>
      <x:c r="AF92" s="130" t="n">
        <x:v>0</x:v>
      </x:c>
      <x:c r="AG92" s="131" t="n">
        <x:f>IF(AF92&lt;&gt;"",AF92,AH92)</x:f>
        <x:v>0</x:v>
      </x:c>
      <x:c r="AH92" s="132" t="n">
        <x:v>0</x:v>
      </x:c>
      <x:c r="AI92" s="130" t="n">
        <x:v>0</x:v>
      </x:c>
      <x:c r="AJ92" s="131" t="n">
        <x:f>IF(AI92&lt;&gt;"",AI92,AK92)</x:f>
        <x:v>0</x:v>
      </x:c>
      <x:c r="AK92" s="132" t="n">
        <x:v>0</x:v>
      </x:c>
    </x:row>
    <x:row r="93" ht="22" customHeight="1">
      <x:c r="A93" s="136" t="str">
        <x:v>Total Direct Delivery Costs</x:v>
      </x:c>
      <x:c r="B93" s="137" t="str">
        <x:f>IF(COUNT(B88:B92)&gt;0,SUM(B88:B92),"")</x:f>
      </x:c>
      <x:c r="C93" s="138" t="n">
        <x:f>SUM(C88:C92)</x:f>
        <x:v>14000</x:v>
      </x:c>
      <x:c r="D93" s="139" t="n">
        <x:f>SUM(D88:D92)</x:f>
        <x:v>14000</x:v>
      </x:c>
      <x:c r="E93" s="137" t="str">
        <x:f>IF(COUNT(E88:E92)&gt;0,SUM(E88:E92),"")</x:f>
      </x:c>
      <x:c r="F93" s="138" t="n">
        <x:f>SUM(F88:F92)</x:f>
        <x:v>14000</x:v>
      </x:c>
      <x:c r="G93" s="139" t="n">
        <x:f>SUM(G88:G92)</x:f>
        <x:v>14000</x:v>
      </x:c>
      <x:c r="H93" s="137" t="str">
        <x:f>IF(COUNT(H88:H92)&gt;0,SUM(H88:H92),"")</x:f>
      </x:c>
      <x:c r="I93" s="138" t="n">
        <x:f>SUM(I88:I92)</x:f>
        <x:v>14000</x:v>
      </x:c>
      <x:c r="J93" s="139" t="n">
        <x:f>SUM(J88:J92)</x:f>
        <x:v>14000</x:v>
      </x:c>
      <x:c r="K93" s="137" t="str">
        <x:f>IF(COUNT(K88:K92)&gt;0,SUM(K88:K92),"")</x:f>
      </x:c>
      <x:c r="L93" s="138" t="n">
        <x:f>SUM(L88:L92)</x:f>
        <x:v>14000</x:v>
      </x:c>
      <x:c r="M93" s="139" t="n">
        <x:f>SUM(M88:M92)</x:f>
        <x:v>14000</x:v>
      </x:c>
      <x:c r="N93" s="137" t="str">
        <x:f>IF(COUNT(N88:N92)&gt;0,SUM(N88:N92),"")</x:f>
      </x:c>
      <x:c r="O93" s="138" t="n">
        <x:f>SUM(O88:O92)</x:f>
        <x:v>13000</x:v>
      </x:c>
      <x:c r="P93" s="139" t="n">
        <x:f>SUM(P88:P92)</x:f>
        <x:v>13000</x:v>
      </x:c>
      <x:c r="Q93" s="137" t="str">
        <x:f>IF(COUNT(Q88:Q92)&gt;0,SUM(Q88:Q92),"")</x:f>
      </x:c>
      <x:c r="R93" s="138" t="n">
        <x:f>SUM(R88:R92)</x:f>
        <x:v>13000</x:v>
      </x:c>
      <x:c r="S93" s="139" t="n">
        <x:f>SUM(S88:S92)</x:f>
        <x:v>13000</x:v>
      </x:c>
      <x:c r="T93" s="137" t="str">
        <x:f>IF(COUNT(T88:T92)&gt;0,SUM(T88:T92),"")</x:f>
      </x:c>
      <x:c r="U93" s="138" t="n">
        <x:f>SUM(U88:U92)</x:f>
        <x:v>13000</x:v>
      </x:c>
      <x:c r="V93" s="139" t="n">
        <x:f>SUM(V88:V92)</x:f>
        <x:v>13000</x:v>
      </x:c>
      <x:c r="W93" s="137" t="str">
        <x:f>IF(COUNT(W88:W92)&gt;0,SUM(W88:W92),"")</x:f>
      </x:c>
      <x:c r="X93" s="138" t="n">
        <x:f>SUM(X88:X92)</x:f>
        <x:v>13000</x:v>
      </x:c>
      <x:c r="Y93" s="139" t="n">
        <x:f>SUM(Y88:Y92)</x:f>
        <x:v>13000</x:v>
      </x:c>
      <x:c r="Z93" s="137" t="str">
        <x:f>IF(COUNT(Z88:Z92)&gt;0,SUM(Z88:Z92),"")</x:f>
      </x:c>
      <x:c r="AA93" s="138" t="n">
        <x:f>SUM(AA88:AA92)</x:f>
        <x:v>12000</x:v>
      </x:c>
      <x:c r="AB93" s="139" t="n">
        <x:f>SUM(AB88:AB92)</x:f>
        <x:v>12000</x:v>
      </x:c>
      <x:c r="AC93" s="137" t="str">
        <x:f>IF(COUNT(AC88:AC92)&gt;0,SUM(AC88:AC92),"")</x:f>
      </x:c>
      <x:c r="AD93" s="138" t="n">
        <x:f>SUM(AD88:AD92)</x:f>
        <x:v>10000</x:v>
      </x:c>
      <x:c r="AE93" s="139" t="n">
        <x:f>SUM(AE88:AE92)</x:f>
        <x:v>12000</x:v>
      </x:c>
      <x:c r="AF93" s="137" t="n">
        <x:f>IF(COUNT(AF88:AF92)&gt;0,SUM(AF88:AF92),"")</x:f>
        <x:v>11960</x:v>
      </x:c>
      <x:c r="AG93" s="138" t="n">
        <x:f>SUM(AG88:AG92)</x:f>
        <x:v>11960</x:v>
      </x:c>
      <x:c r="AH93" s="139" t="n">
        <x:f>SUM(AH88:AH92)</x:f>
        <x:v>12000</x:v>
      </x:c>
      <x:c r="AI93" s="137" t="n">
        <x:f>IF(COUNT(AI88:AI92)&gt;0,SUM(AI88:AI92),"")</x:f>
        <x:v>14100</x:v>
      </x:c>
      <x:c r="AJ93" s="138" t="n">
        <x:f>SUM(AJ88:AJ92)</x:f>
        <x:v>14100</x:v>
      </x:c>
      <x:c r="AK93" s="139" t="n">
        <x:f>SUM(AK88:AK92)</x:f>
        <x:v>17000</x:v>
      </x:c>
    </x:row>
    <x:row r="94" ht="22" customHeight="1">
      <x:c r="A94" s="140" t="str">
        <x:v>Total Cost of Goods Sold</x:v>
      </x:c>
      <x:c r="B94" s="141" t="str">
        <x:f>IF(COUNT(B87,B93)=2,SUM(B87,B93),"")</x:f>
      </x:c>
      <x:c r="C94" s="142" t="n">
        <x:f>SUM(C87,C93)</x:f>
        <x:v>60500</x:v>
      </x:c>
      <x:c r="D94" s="143" t="n">
        <x:f>SUM(D87,D93)</x:f>
        <x:v>60500</x:v>
      </x:c>
      <x:c r="E94" s="141" t="str">
        <x:f>IF(COUNT(E87,E93)=2,SUM(E87,E93),"")</x:f>
      </x:c>
      <x:c r="F94" s="142" t="n">
        <x:f>SUM(F87,F93)</x:f>
        <x:v>60500</x:v>
      </x:c>
      <x:c r="G94" s="143" t="n">
        <x:f>SUM(G87,G93)</x:f>
        <x:v>60500</x:v>
      </x:c>
      <x:c r="H94" s="141" t="str">
        <x:f>IF(COUNT(H87,H93)=2,SUM(H87,H93),"")</x:f>
      </x:c>
      <x:c r="I94" s="142" t="n">
        <x:f>SUM(I87,I93)</x:f>
        <x:v>60500</x:v>
      </x:c>
      <x:c r="J94" s="143" t="n">
        <x:f>SUM(J87,J93)</x:f>
        <x:v>60500</x:v>
      </x:c>
      <x:c r="K94" s="141" t="str">
        <x:f>IF(COUNT(K87,K93)=2,SUM(K87,K93),"")</x:f>
      </x:c>
      <x:c r="L94" s="142" t="n">
        <x:f>SUM(L87,L93)</x:f>
        <x:v>60500</x:v>
      </x:c>
      <x:c r="M94" s="143" t="n">
        <x:f>SUM(M87,M93)</x:f>
        <x:v>60500</x:v>
      </x:c>
      <x:c r="N94" s="141" t="str">
        <x:f>IF(COUNT(N87,N93)=2,SUM(N87,N93),"")</x:f>
      </x:c>
      <x:c r="O94" s="142" t="n">
        <x:f>SUM(O87,O93)</x:f>
        <x:v>59500</x:v>
      </x:c>
      <x:c r="P94" s="143" t="n">
        <x:f>SUM(P87,P93)</x:f>
        <x:v>59500</x:v>
      </x:c>
      <x:c r="Q94" s="141" t="str">
        <x:f>IF(COUNT(Q87,Q93)=2,SUM(Q87,Q93),"")</x:f>
      </x:c>
      <x:c r="R94" s="142" t="n">
        <x:f>SUM(R87,R93)</x:f>
        <x:v>59500</x:v>
      </x:c>
      <x:c r="S94" s="143" t="n">
        <x:f>SUM(S87,S93)</x:f>
        <x:v>59500</x:v>
      </x:c>
      <x:c r="T94" s="141" t="str">
        <x:f>IF(COUNT(T87,T93)=2,SUM(T87,T93),"")</x:f>
      </x:c>
      <x:c r="U94" s="142" t="n">
        <x:f>SUM(U87,U93)</x:f>
        <x:v>59500</x:v>
      </x:c>
      <x:c r="V94" s="143" t="n">
        <x:f>SUM(V87,V93)</x:f>
        <x:v>59500</x:v>
      </x:c>
      <x:c r="W94" s="141" t="str">
        <x:f>IF(COUNT(W87,W93)=2,SUM(W87,W93),"")</x:f>
      </x:c>
      <x:c r="X94" s="142" t="n">
        <x:f>SUM(X87,X93)</x:f>
        <x:v>59500</x:v>
      </x:c>
      <x:c r="Y94" s="143" t="n">
        <x:f>SUM(Y87,Y93)</x:f>
        <x:v>59500</x:v>
      </x:c>
      <x:c r="Z94" s="141" t="str">
        <x:f>IF(COUNT(Z87,Z93)=2,SUM(Z87,Z93),"")</x:f>
      </x:c>
      <x:c r="AA94" s="142" t="n">
        <x:f>SUM(AA87,AA93)</x:f>
        <x:v>58500</x:v>
      </x:c>
      <x:c r="AB94" s="143" t="n">
        <x:f>SUM(AB87,AB93)</x:f>
        <x:v>58500</x:v>
      </x:c>
      <x:c r="AC94" s="141" t="str">
        <x:f>IF(COUNT(AC87,AC93)=2,SUM(AC87,AC93),"")</x:f>
      </x:c>
      <x:c r="AD94" s="142" t="n">
        <x:f>SUM(AD87,AD93)</x:f>
        <x:v>56500</x:v>
      </x:c>
      <x:c r="AE94" s="143" t="n">
        <x:f>SUM(AE87,AE93)</x:f>
        <x:v>58500</x:v>
      </x:c>
      <x:c r="AF94" s="141" t="n">
        <x:f>IF(COUNT(AF87,AF93)=2,SUM(AF87,AF93),"")</x:f>
        <x:v>58250</x:v>
      </x:c>
      <x:c r="AG94" s="142" t="n">
        <x:f>SUM(AG87,AG93)</x:f>
        <x:v>58250</x:v>
      </x:c>
      <x:c r="AH94" s="143" t="n">
        <x:f>SUM(AH87,AH93)</x:f>
        <x:v>58500</x:v>
      </x:c>
      <x:c r="AI94" s="141" t="n">
        <x:f>IF(COUNT(AI87,AI93)=2,SUM(AI87,AI93),"")</x:f>
        <x:v>61125</x:v>
      </x:c>
      <x:c r="AJ94" s="142" t="n">
        <x:f>SUM(AJ87,AJ93)</x:f>
        <x:v>61125</x:v>
      </x:c>
      <x:c r="AK94" s="143" t="n">
        <x:f>SUM(AK87,AK93)</x:f>
        <x:v>63500</x:v>
      </x:c>
    </x:row>
    <x:row r="95" ht="22" customHeight="1">
      <x:c r="A95" s="116"/>
      <x:c r="B95" s="133"/>
      <x:c r="C95" s="131"/>
      <x:c r="D95" s="134"/>
      <x:c r="E95" s="133"/>
      <x:c r="F95" s="131"/>
      <x:c r="G95" s="134"/>
      <x:c r="H95" s="133"/>
      <x:c r="I95" s="131"/>
      <x:c r="J95" s="134"/>
      <x:c r="K95" s="133"/>
      <x:c r="L95" s="131"/>
      <x:c r="M95" s="134"/>
      <x:c r="N95" s="133"/>
      <x:c r="O95" s="131"/>
      <x:c r="P95" s="134"/>
      <x:c r="Q95" s="133"/>
      <x:c r="R95" s="131"/>
      <x:c r="S95" s="134"/>
      <x:c r="T95" s="133"/>
      <x:c r="U95" s="131"/>
      <x:c r="V95" s="134"/>
      <x:c r="W95" s="133"/>
      <x:c r="X95" s="131"/>
      <x:c r="Y95" s="134"/>
      <x:c r="Z95" s="133"/>
      <x:c r="AA95" s="131"/>
      <x:c r="AB95" s="134"/>
      <x:c r="AC95" s="133"/>
      <x:c r="AD95" s="131"/>
      <x:c r="AE95" s="134"/>
      <x:c r="AF95" s="133"/>
      <x:c r="AG95" s="131"/>
      <x:c r="AH95" s="134"/>
      <x:c r="AI95" s="133"/>
      <x:c r="AJ95" s="131"/>
      <x:c r="AK95" s="134"/>
    </x:row>
    <x:row r="96" ht="22" customHeight="1">
      <x:c r="A96" s="38" t="str">
        <x:v>CUSTOMER SUCCESS EXPENSES</x:v>
      </x:c>
      <x:c r="B96" s="84" t="str">
        <x:v>CUSTOMER SUCCESS EXPENSES</x:v>
      </x:c>
      <x:c r="C96" s="85" t="str">
        <x:v>CUSTOMER SUCCESS EXPENSES</x:v>
      </x:c>
      <x:c r="D96" s="86" t="str">
        <x:v>CUSTOMER SUCCESS EXPENSES</x:v>
      </x:c>
      <x:c r="E96" s="84" t="str">
        <x:v>CUSTOMER SUCCESS EXPENSES</x:v>
      </x:c>
      <x:c r="F96" s="85" t="str">
        <x:v>CUSTOMER SUCCESS EXPENSES</x:v>
      </x:c>
      <x:c r="G96" s="86" t="str">
        <x:v>CUSTOMER SUCCESS EXPENSES</x:v>
      </x:c>
      <x:c r="H96" s="84" t="str">
        <x:v>CUSTOMER SUCCESS EXPENSES</x:v>
      </x:c>
      <x:c r="I96" s="85" t="str">
        <x:v>CUSTOMER SUCCESS EXPENSES</x:v>
      </x:c>
      <x:c r="J96" s="86" t="str">
        <x:v>CUSTOMER SUCCESS EXPENSES</x:v>
      </x:c>
      <x:c r="K96" s="84" t="str">
        <x:v>CUSTOMER SUCCESS EXPENSES</x:v>
      </x:c>
      <x:c r="L96" s="85" t="str">
        <x:v>CUSTOMER SUCCESS EXPENSES</x:v>
      </x:c>
      <x:c r="M96" s="86" t="str">
        <x:v>CUSTOMER SUCCESS EXPENSES</x:v>
      </x:c>
      <x:c r="N96" s="84" t="str">
        <x:v>CUSTOMER SUCCESS EXPENSES</x:v>
      </x:c>
      <x:c r="O96" s="85" t="str">
        <x:v>CUSTOMER SUCCESS EXPENSES</x:v>
      </x:c>
      <x:c r="P96" s="86" t="str">
        <x:v>CUSTOMER SUCCESS EXPENSES</x:v>
      </x:c>
      <x:c r="Q96" s="84" t="str">
        <x:v>CUSTOMER SUCCESS EXPENSES</x:v>
      </x:c>
      <x:c r="R96" s="85" t="str">
        <x:v>CUSTOMER SUCCESS EXPENSES</x:v>
      </x:c>
      <x:c r="S96" s="86" t="str">
        <x:v>CUSTOMER SUCCESS EXPENSES</x:v>
      </x:c>
      <x:c r="T96" s="84" t="str">
        <x:v>CUSTOMER SUCCESS EXPENSES</x:v>
      </x:c>
      <x:c r="U96" s="85" t="str">
        <x:v>CUSTOMER SUCCESS EXPENSES</x:v>
      </x:c>
      <x:c r="V96" s="86" t="str">
        <x:v>CUSTOMER SUCCESS EXPENSES</x:v>
      </x:c>
      <x:c r="W96" s="84" t="str">
        <x:v>CUSTOMER SUCCESS EXPENSES</x:v>
      </x:c>
      <x:c r="X96" s="85" t="str">
        <x:v>CUSTOMER SUCCESS EXPENSES</x:v>
      </x:c>
      <x:c r="Y96" s="86" t="str">
        <x:v>CUSTOMER SUCCESS EXPENSES</x:v>
      </x:c>
      <x:c r="Z96" s="84" t="str">
        <x:v>CUSTOMER SUCCESS EXPENSES</x:v>
      </x:c>
      <x:c r="AA96" s="85" t="str">
        <x:v>CUSTOMER SUCCESS EXPENSES</x:v>
      </x:c>
      <x:c r="AB96" s="86" t="str">
        <x:v>CUSTOMER SUCCESS EXPENSES</x:v>
      </x:c>
      <x:c r="AC96" s="84" t="str">
        <x:v>CUSTOMER SUCCESS EXPENSES</x:v>
      </x:c>
      <x:c r="AD96" s="85" t="str">
        <x:v>CUSTOMER SUCCESS EXPENSES</x:v>
      </x:c>
      <x:c r="AE96" s="86" t="str">
        <x:v>CUSTOMER SUCCESS EXPENSES</x:v>
      </x:c>
      <x:c r="AF96" s="84" t="str">
        <x:v>CUSTOMER SUCCESS EXPENSES</x:v>
      </x:c>
      <x:c r="AG96" s="85" t="str">
        <x:v>CUSTOMER SUCCESS EXPENSES</x:v>
      </x:c>
      <x:c r="AH96" s="86" t="str">
        <x:v>CUSTOMER SUCCESS EXPENSES</x:v>
      </x:c>
      <x:c r="AI96" s="84" t="str">
        <x:v>CUSTOMER SUCCESS EXPENSES</x:v>
      </x:c>
      <x:c r="AJ96" s="85" t="str">
        <x:v>CUSTOMER SUCCESS EXPENSES</x:v>
      </x:c>
      <x:c r="AK96" s="86" t="str">
        <x:v>CUSTOMER SUCCESS EXPENSES</x:v>
      </x:c>
    </x:row>
    <x:row r="97" ht="22" customHeight="1">
      <x:c r="A97" s="116" t="str">
        <x:v>Salaries and Wages</x:v>
      </x:c>
      <x:c r="B97" s="130"/>
      <x:c r="C97" s="131" t="n">
        <x:f>IF(B97&lt;&gt;"",B97,D97)</x:f>
        <x:v>5000</x:v>
      </x:c>
      <x:c r="D97" s="132" t="n">
        <x:v>5000</x:v>
      </x:c>
      <x:c r="E97" s="130"/>
      <x:c r="F97" s="131" t="n">
        <x:f>IF(E97&lt;&gt;"",E97,G97)</x:f>
        <x:v>5000</x:v>
      </x:c>
      <x:c r="G97" s="132" t="n">
        <x:v>5000</x:v>
      </x:c>
      <x:c r="H97" s="130"/>
      <x:c r="I97" s="131" t="n">
        <x:f>IF(H97&lt;&gt;"",H97,J97)</x:f>
        <x:v>5000</x:v>
      </x:c>
      <x:c r="J97" s="132" t="n">
        <x:v>5000</x:v>
      </x:c>
      <x:c r="K97" s="130"/>
      <x:c r="L97" s="131" t="n">
        <x:f>IF(K97&lt;&gt;"",K97,M97)</x:f>
        <x:v>5000</x:v>
      </x:c>
      <x:c r="M97" s="132" t="n">
        <x:v>5000</x:v>
      </x:c>
      <x:c r="N97" s="130"/>
      <x:c r="O97" s="131" t="n">
        <x:f>IF(N97&lt;&gt;"",N97,P97)</x:f>
        <x:v>5000</x:v>
      </x:c>
      <x:c r="P97" s="132" t="n">
        <x:v>5000</x:v>
      </x:c>
      <x:c r="Q97" s="130"/>
      <x:c r="R97" s="131" t="n">
        <x:f>IF(Q97&lt;&gt;"",Q97,S97)</x:f>
        <x:v>5000</x:v>
      </x:c>
      <x:c r="S97" s="132" t="n">
        <x:v>5000</x:v>
      </x:c>
      <x:c r="T97" s="130"/>
      <x:c r="U97" s="131" t="n">
        <x:f>IF(T97&lt;&gt;"",T97,V97)</x:f>
        <x:v>5000</x:v>
      </x:c>
      <x:c r="V97" s="132" t="n">
        <x:v>5000</x:v>
      </x:c>
      <x:c r="W97" s="130"/>
      <x:c r="X97" s="131" t="n">
        <x:f>IF(W97&lt;&gt;"",W97,Y97)</x:f>
        <x:v>5000</x:v>
      </x:c>
      <x:c r="Y97" s="132" t="n">
        <x:v>5000</x:v>
      </x:c>
      <x:c r="Z97" s="130"/>
      <x:c r="AA97" s="131" t="n">
        <x:f>IF(Z97&lt;&gt;"",Z97,AB97)</x:f>
        <x:v>5000</x:v>
      </x:c>
      <x:c r="AB97" s="132" t="n">
        <x:v>5000</x:v>
      </x:c>
      <x:c r="AC97" s="130"/>
      <x:c r="AD97" s="131" t="n">
        <x:f>IF(AC97&lt;&gt;"",AC97,AE97)</x:f>
        <x:v>5000</x:v>
      </x:c>
      <x:c r="AE97" s="132" t="n">
        <x:v>5000</x:v>
      </x:c>
      <x:c r="AF97" s="130" t="n">
        <x:v>4900</x:v>
      </x:c>
      <x:c r="AG97" s="131" t="n">
        <x:f>IF(AF97&lt;&gt;"",AF97,AH97)</x:f>
        <x:v>4900</x:v>
      </x:c>
      <x:c r="AH97" s="132" t="n">
        <x:v>5000</x:v>
      </x:c>
      <x:c r="AI97" s="130" t="n">
        <x:v>5250</x:v>
      </x:c>
      <x:c r="AJ97" s="131" t="n">
        <x:f>IF(AI97&lt;&gt;"",AI97,AK97)</x:f>
        <x:v>5250</x:v>
      </x:c>
      <x:c r="AK97" s="132" t="n">
        <x:v>5000</x:v>
      </x:c>
    </x:row>
    <x:row r="98" ht="22" customHeight="1">
      <x:c r="A98" s="116" t="str">
        <x:v>Bonuses</x:v>
      </x:c>
      <x:c r="B98" s="130"/>
      <x:c r="C98" s="131" t="n">
        <x:f>IF(B98&lt;&gt;"",B98,D98)</x:f>
        <x:v>0</x:v>
      </x:c>
      <x:c r="D98" s="132" t="n">
        <x:v>0</x:v>
      </x:c>
      <x:c r="E98" s="130"/>
      <x:c r="F98" s="131" t="n">
        <x:f>IF(E98&lt;&gt;"",E98,G98)</x:f>
        <x:v>0</x:v>
      </x:c>
      <x:c r="G98" s="132" t="n">
        <x:v>0</x:v>
      </x:c>
      <x:c r="H98" s="130"/>
      <x:c r="I98" s="131" t="n">
        <x:f>IF(H98&lt;&gt;"",H98,J98)</x:f>
        <x:v>0</x:v>
      </x:c>
      <x:c r="J98" s="132" t="n">
        <x:v>0</x:v>
      </x:c>
      <x:c r="K98" s="130"/>
      <x:c r="L98" s="131" t="n">
        <x:f>IF(K98&lt;&gt;"",K98,M98)</x:f>
        <x:v>0</x:v>
      </x:c>
      <x:c r="M98" s="132" t="n">
        <x:v>0</x:v>
      </x:c>
      <x:c r="N98" s="130"/>
      <x:c r="O98" s="131" t="n">
        <x:f>IF(N98&lt;&gt;"",N98,P98)</x:f>
        <x:v>0</x:v>
      </x:c>
      <x:c r="P98" s="132" t="n">
        <x:v>0</x:v>
      </x:c>
      <x:c r="Q98" s="130"/>
      <x:c r="R98" s="131" t="n">
        <x:f>IF(Q98&lt;&gt;"",Q98,S98)</x:f>
        <x:v>0</x:v>
      </x:c>
      <x:c r="S98" s="132" t="n">
        <x:v>0</x:v>
      </x:c>
      <x:c r="T98" s="130"/>
      <x:c r="U98" s="131" t="n">
        <x:f>IF(T98&lt;&gt;"",T98,V98)</x:f>
        <x:v>0</x:v>
      </x:c>
      <x:c r="V98" s="132" t="n">
        <x:v>0</x:v>
      </x:c>
      <x:c r="W98" s="130"/>
      <x:c r="X98" s="131" t="n">
        <x:f>IF(W98&lt;&gt;"",W98,Y98)</x:f>
        <x:v>0</x:v>
      </x:c>
      <x:c r="Y98" s="132" t="n">
        <x:v>0</x:v>
      </x:c>
      <x:c r="Z98" s="130"/>
      <x:c r="AA98" s="131" t="n">
        <x:f>IF(Z98&lt;&gt;"",Z98,AB98)</x:f>
        <x:v>0</x:v>
      </x:c>
      <x:c r="AB98" s="132" t="n">
        <x:v>0</x:v>
      </x:c>
      <x:c r="AC98" s="130"/>
      <x:c r="AD98" s="131" t="n">
        <x:f>IF(AC98&lt;&gt;"",AC98,AE98)</x:f>
        <x:v>0</x:v>
      </x:c>
      <x:c r="AE98" s="132" t="n">
        <x:v>0</x:v>
      </x:c>
      <x:c r="AF98" s="130" t="n">
        <x:v>0</x:v>
      </x:c>
      <x:c r="AG98" s="131" t="n">
        <x:f>IF(AF98&lt;&gt;"",AF98,AH98)</x:f>
        <x:v>0</x:v>
      </x:c>
      <x:c r="AH98" s="132" t="n">
        <x:v>0</x:v>
      </x:c>
      <x:c r="AI98" s="130" t="n">
        <x:v>0</x:v>
      </x:c>
      <x:c r="AJ98" s="131" t="n">
        <x:f>IF(AI98&lt;&gt;"",AI98,AK98)</x:f>
        <x:v>0</x:v>
      </x:c>
      <x:c r="AK98" s="132" t="n">
        <x:v>0</x:v>
      </x:c>
    </x:row>
    <x:row r="99" ht="22" customHeight="1">
      <x:c r="A99" s="116" t="str">
        <x:v>Payroll Taxes and Benefits</x:v>
      </x:c>
      <x:c r="B99" s="130"/>
      <x:c r="C99" s="131" t="n">
        <x:f>IF(B99&lt;&gt;"",B99,D99)</x:f>
        <x:v>1000</x:v>
      </x:c>
      <x:c r="D99" s="132" t="n">
        <x:v>1000</x:v>
      </x:c>
      <x:c r="E99" s="130"/>
      <x:c r="F99" s="131" t="n">
        <x:f>IF(E99&lt;&gt;"",E99,G99)</x:f>
        <x:v>1000</x:v>
      </x:c>
      <x:c r="G99" s="132" t="n">
        <x:v>1000</x:v>
      </x:c>
      <x:c r="H99" s="130"/>
      <x:c r="I99" s="131" t="n">
        <x:f>IF(H99&lt;&gt;"",H99,J99)</x:f>
        <x:v>1000</x:v>
      </x:c>
      <x:c r="J99" s="132" t="n">
        <x:v>1000</x:v>
      </x:c>
      <x:c r="K99" s="130"/>
      <x:c r="L99" s="131" t="n">
        <x:f>IF(K99&lt;&gt;"",K99,M99)</x:f>
        <x:v>1000</x:v>
      </x:c>
      <x:c r="M99" s="132" t="n">
        <x:v>1000</x:v>
      </x:c>
      <x:c r="N99" s="130"/>
      <x:c r="O99" s="131" t="n">
        <x:f>IF(N99&lt;&gt;"",N99,P99)</x:f>
        <x:v>1000</x:v>
      </x:c>
      <x:c r="P99" s="132" t="n">
        <x:v>1000</x:v>
      </x:c>
      <x:c r="Q99" s="130"/>
      <x:c r="R99" s="131" t="n">
        <x:f>IF(Q99&lt;&gt;"",Q99,S99)</x:f>
        <x:v>1000</x:v>
      </x:c>
      <x:c r="S99" s="132" t="n">
        <x:v>1000</x:v>
      </x:c>
      <x:c r="T99" s="130"/>
      <x:c r="U99" s="131" t="n">
        <x:f>IF(T99&lt;&gt;"",T99,V99)</x:f>
        <x:v>1000</x:v>
      </x:c>
      <x:c r="V99" s="132" t="n">
        <x:v>1000</x:v>
      </x:c>
      <x:c r="W99" s="130"/>
      <x:c r="X99" s="131" t="n">
        <x:f>IF(W99&lt;&gt;"",W99,Y99)</x:f>
        <x:v>1000</x:v>
      </x:c>
      <x:c r="Y99" s="132" t="n">
        <x:v>1000</x:v>
      </x:c>
      <x:c r="Z99" s="130"/>
      <x:c r="AA99" s="131" t="n">
        <x:f>IF(Z99&lt;&gt;"",Z99,AB99)</x:f>
        <x:v>1000</x:v>
      </x:c>
      <x:c r="AB99" s="132" t="n">
        <x:v>1000</x:v>
      </x:c>
      <x:c r="AC99" s="130"/>
      <x:c r="AD99" s="131" t="n">
        <x:f>IF(AC99&lt;&gt;"",AC99,AE99)</x:f>
        <x:v>1000</x:v>
      </x:c>
      <x:c r="AE99" s="132" t="n">
        <x:v>1000</x:v>
      </x:c>
      <x:c r="AF99" s="130" t="n">
        <x:v>980</x:v>
      </x:c>
      <x:c r="AG99" s="131" t="n">
        <x:f>IF(AF99&lt;&gt;"",AF99,AH99)</x:f>
        <x:v>980</x:v>
      </x:c>
      <x:c r="AH99" s="132" t="n">
        <x:v>1000</x:v>
      </x:c>
      <x:c r="AI99" s="130" t="n">
        <x:v>1050</x:v>
      </x:c>
      <x:c r="AJ99" s="131" t="n">
        <x:f>IF(AI99&lt;&gt;"",AI99,AK99)</x:f>
        <x:v>1050</x:v>
      </x:c>
      <x:c r="AK99" s="132" t="n">
        <x:v>1000</x:v>
      </x:c>
    </x:row>
    <x:row r="100" ht="22" customHeight="1">
      <x:c r="A100" s="116" t="str">
        <x:v>Contractors and Freelancers</x:v>
      </x:c>
      <x:c r="B100" s="130"/>
      <x:c r="C100" s="131" t="n">
        <x:f>IF(B100&lt;&gt;"",B100,D100)</x:f>
        <x:v>0</x:v>
      </x:c>
      <x:c r="D100" s="132" t="n">
        <x:v>0</x:v>
      </x:c>
      <x:c r="E100" s="130"/>
      <x:c r="F100" s="131" t="n">
        <x:f>IF(E100&lt;&gt;"",E100,G100)</x:f>
        <x:v>0</x:v>
      </x:c>
      <x:c r="G100" s="132" t="n">
        <x:v>0</x:v>
      </x:c>
      <x:c r="H100" s="130"/>
      <x:c r="I100" s="131" t="n">
        <x:f>IF(H100&lt;&gt;"",H100,J100)</x:f>
        <x:v>0</x:v>
      </x:c>
      <x:c r="J100" s="132" t="n">
        <x:v>0</x:v>
      </x:c>
      <x:c r="K100" s="130"/>
      <x:c r="L100" s="131" t="n">
        <x:f>IF(K100&lt;&gt;"",K100,M100)</x:f>
        <x:v>0</x:v>
      </x:c>
      <x:c r="M100" s="132" t="n">
        <x:v>0</x:v>
      </x:c>
      <x:c r="N100" s="130"/>
      <x:c r="O100" s="131" t="n">
        <x:f>IF(N100&lt;&gt;"",N100,P100)</x:f>
        <x:v>0</x:v>
      </x:c>
      <x:c r="P100" s="132" t="n">
        <x:v>0</x:v>
      </x:c>
      <x:c r="Q100" s="130"/>
      <x:c r="R100" s="131" t="n">
        <x:f>IF(Q100&lt;&gt;"",Q100,S100)</x:f>
        <x:v>0</x:v>
      </x:c>
      <x:c r="S100" s="132" t="n">
        <x:v>0</x:v>
      </x:c>
      <x:c r="T100" s="130"/>
      <x:c r="U100" s="131" t="n">
        <x:f>IF(T100&lt;&gt;"",T100,V100)</x:f>
        <x:v>0</x:v>
      </x:c>
      <x:c r="V100" s="132" t="n">
        <x:v>0</x:v>
      </x:c>
      <x:c r="W100" s="130"/>
      <x:c r="X100" s="131" t="n">
        <x:f>IF(W100&lt;&gt;"",W100,Y100)</x:f>
        <x:v>0</x:v>
      </x:c>
      <x:c r="Y100" s="132" t="n">
        <x:v>0</x:v>
      </x:c>
      <x:c r="Z100" s="130"/>
      <x:c r="AA100" s="131" t="n">
        <x:f>IF(Z100&lt;&gt;"",Z100,AB100)</x:f>
        <x:v>0</x:v>
      </x:c>
      <x:c r="AB100" s="132" t="n">
        <x:v>0</x:v>
      </x:c>
      <x:c r="AC100" s="130"/>
      <x:c r="AD100" s="131" t="n">
        <x:f>IF(AC100&lt;&gt;"",AC100,AE100)</x:f>
        <x:v>0</x:v>
      </x:c>
      <x:c r="AE100" s="132" t="n">
        <x:v>0</x:v>
      </x:c>
      <x:c r="AF100" s="130" t="n">
        <x:v>0</x:v>
      </x:c>
      <x:c r="AG100" s="131" t="n">
        <x:f>IF(AF100&lt;&gt;"",AF100,AH100)</x:f>
        <x:v>0</x:v>
      </x:c>
      <x:c r="AH100" s="132" t="n">
        <x:v>0</x:v>
      </x:c>
      <x:c r="AI100" s="130" t="n">
        <x:v>0</x:v>
      </x:c>
      <x:c r="AJ100" s="131" t="n">
        <x:f>IF(AI100&lt;&gt;"",AI100,AK100)</x:f>
        <x:v>0</x:v>
      </x:c>
      <x:c r="AK100" s="132" t="n">
        <x:v>0</x:v>
      </x:c>
    </x:row>
    <x:row r="101" ht="22" customHeight="1">
      <x:c r="A101" s="116" t="str">
        <x:v>Recruiting</x:v>
      </x:c>
      <x:c r="B101" s="130"/>
      <x:c r="C101" s="131" t="n">
        <x:f>IF(B101&lt;&gt;"",B101,D101)</x:f>
        <x:v>0</x:v>
      </x:c>
      <x:c r="D101" s="132" t="n">
        <x:v>0</x:v>
      </x:c>
      <x:c r="E101" s="130"/>
      <x:c r="F101" s="131" t="n">
        <x:f>IF(E101&lt;&gt;"",E101,G101)</x:f>
        <x:v>0</x:v>
      </x:c>
      <x:c r="G101" s="132" t="n">
        <x:v>0</x:v>
      </x:c>
      <x:c r="H101" s="130"/>
      <x:c r="I101" s="131" t="n">
        <x:f>IF(H101&lt;&gt;"",H101,J101)</x:f>
        <x:v>0</x:v>
      </x:c>
      <x:c r="J101" s="132" t="n">
        <x:v>0</x:v>
      </x:c>
      <x:c r="K101" s="130"/>
      <x:c r="L101" s="131" t="n">
        <x:f>IF(K101&lt;&gt;"",K101,M101)</x:f>
        <x:v>0</x:v>
      </x:c>
      <x:c r="M101" s="132" t="n">
        <x:v>0</x:v>
      </x:c>
      <x:c r="N101" s="130"/>
      <x:c r="O101" s="131" t="n">
        <x:f>IF(N101&lt;&gt;"",N101,P101)</x:f>
        <x:v>0</x:v>
      </x:c>
      <x:c r="P101" s="132" t="n">
        <x:v>0</x:v>
      </x:c>
      <x:c r="Q101" s="130"/>
      <x:c r="R101" s="131" t="n">
        <x:f>IF(Q101&lt;&gt;"",Q101,S101)</x:f>
        <x:v>0</x:v>
      </x:c>
      <x:c r="S101" s="132" t="n">
        <x:v>0</x:v>
      </x:c>
      <x:c r="T101" s="130"/>
      <x:c r="U101" s="131" t="n">
        <x:f>IF(T101&lt;&gt;"",T101,V101)</x:f>
        <x:v>0</x:v>
      </x:c>
      <x:c r="V101" s="132" t="n">
        <x:v>0</x:v>
      </x:c>
      <x:c r="W101" s="130"/>
      <x:c r="X101" s="131" t="n">
        <x:f>IF(W101&lt;&gt;"",W101,Y101)</x:f>
        <x:v>0</x:v>
      </x:c>
      <x:c r="Y101" s="132" t="n">
        <x:v>0</x:v>
      </x:c>
      <x:c r="Z101" s="130"/>
      <x:c r="AA101" s="131" t="n">
        <x:f>IF(Z101&lt;&gt;"",Z101,AB101)</x:f>
        <x:v>0</x:v>
      </x:c>
      <x:c r="AB101" s="132" t="n">
        <x:v>0</x:v>
      </x:c>
      <x:c r="AC101" s="130"/>
      <x:c r="AD101" s="131" t="n">
        <x:f>IF(AC101&lt;&gt;"",AC101,AE101)</x:f>
        <x:v>0</x:v>
      </x:c>
      <x:c r="AE101" s="132" t="n">
        <x:v>0</x:v>
      </x:c>
      <x:c r="AF101" s="130" t="n">
        <x:v>0</x:v>
      </x:c>
      <x:c r="AG101" s="131" t="n">
        <x:f>IF(AF101&lt;&gt;"",AF101,AH101)</x:f>
        <x:v>0</x:v>
      </x:c>
      <x:c r="AH101" s="132" t="n">
        <x:v>0</x:v>
      </x:c>
      <x:c r="AI101" s="130" t="n">
        <x:v>0</x:v>
      </x:c>
      <x:c r="AJ101" s="131" t="n">
        <x:f>IF(AI101&lt;&gt;"",AI101,AK101)</x:f>
        <x:v>0</x:v>
      </x:c>
      <x:c r="AK101" s="132" t="n">
        <x:v>0</x:v>
      </x:c>
    </x:row>
    <x:row r="102" ht="22" customHeight="1">
      <x:c r="A102" s="116" t="str">
        <x:v>Training and Development</x:v>
      </x:c>
      <x:c r="B102" s="130"/>
      <x:c r="C102" s="131" t="n">
        <x:f>IF(B102&lt;&gt;"",B102,D102)</x:f>
        <x:v>0</x:v>
      </x:c>
      <x:c r="D102" s="132" t="n">
        <x:v>0</x:v>
      </x:c>
      <x:c r="E102" s="130"/>
      <x:c r="F102" s="131" t="n">
        <x:f>IF(E102&lt;&gt;"",E102,G102)</x:f>
        <x:v>0</x:v>
      </x:c>
      <x:c r="G102" s="132" t="n">
        <x:v>0</x:v>
      </x:c>
      <x:c r="H102" s="130"/>
      <x:c r="I102" s="131" t="n">
        <x:f>IF(H102&lt;&gt;"",H102,J102)</x:f>
        <x:v>0</x:v>
      </x:c>
      <x:c r="J102" s="132" t="n">
        <x:v>0</x:v>
      </x:c>
      <x:c r="K102" s="130"/>
      <x:c r="L102" s="131" t="n">
        <x:f>IF(K102&lt;&gt;"",K102,M102)</x:f>
        <x:v>0</x:v>
      </x:c>
      <x:c r="M102" s="132" t="n">
        <x:v>0</x:v>
      </x:c>
      <x:c r="N102" s="130"/>
      <x:c r="O102" s="131" t="n">
        <x:f>IF(N102&lt;&gt;"",N102,P102)</x:f>
        <x:v>0</x:v>
      </x:c>
      <x:c r="P102" s="132" t="n">
        <x:v>0</x:v>
      </x:c>
      <x:c r="Q102" s="130"/>
      <x:c r="R102" s="131" t="n">
        <x:f>IF(Q102&lt;&gt;"",Q102,S102)</x:f>
        <x:v>0</x:v>
      </x:c>
      <x:c r="S102" s="132" t="n">
        <x:v>0</x:v>
      </x:c>
      <x:c r="T102" s="130"/>
      <x:c r="U102" s="131" t="n">
        <x:f>IF(T102&lt;&gt;"",T102,V102)</x:f>
        <x:v>0</x:v>
      </x:c>
      <x:c r="V102" s="132" t="n">
        <x:v>0</x:v>
      </x:c>
      <x:c r="W102" s="130"/>
      <x:c r="X102" s="131" t="n">
        <x:f>IF(W102&lt;&gt;"",W102,Y102)</x:f>
        <x:v>0</x:v>
      </x:c>
      <x:c r="Y102" s="132" t="n">
        <x:v>0</x:v>
      </x:c>
      <x:c r="Z102" s="130"/>
      <x:c r="AA102" s="131" t="n">
        <x:f>IF(Z102&lt;&gt;"",Z102,AB102)</x:f>
        <x:v>0</x:v>
      </x:c>
      <x:c r="AB102" s="132" t="n">
        <x:v>0</x:v>
      </x:c>
      <x:c r="AC102" s="130"/>
      <x:c r="AD102" s="131" t="n">
        <x:f>IF(AC102&lt;&gt;"",AC102,AE102)</x:f>
        <x:v>0</x:v>
      </x:c>
      <x:c r="AE102" s="132" t="n">
        <x:v>0</x:v>
      </x:c>
      <x:c r="AF102" s="130" t="n">
        <x:v>0</x:v>
      </x:c>
      <x:c r="AG102" s="131" t="n">
        <x:f>IF(AF102&lt;&gt;"",AF102,AH102)</x:f>
        <x:v>0</x:v>
      </x:c>
      <x:c r="AH102" s="132" t="n">
        <x:v>0</x:v>
      </x:c>
      <x:c r="AI102" s="130" t="n">
        <x:v>0</x:v>
      </x:c>
      <x:c r="AJ102" s="131" t="n">
        <x:f>IF(AI102&lt;&gt;"",AI102,AK102)</x:f>
        <x:v>0</x:v>
      </x:c>
      <x:c r="AK102" s="132" t="n">
        <x:v>0</x:v>
      </x:c>
    </x:row>
    <x:row r="103" ht="22" customHeight="1">
      <x:c r="A103" s="116" t="str">
        <x:v>Software Subscriptions</x:v>
      </x:c>
      <x:c r="B103" s="130"/>
      <x:c r="C103" s="131" t="n">
        <x:f>IF(B103&lt;&gt;"",B103,D103)</x:f>
        <x:v>300</x:v>
      </x:c>
      <x:c r="D103" s="132" t="n">
        <x:v>300</x:v>
      </x:c>
      <x:c r="E103" s="130"/>
      <x:c r="F103" s="131" t="n">
        <x:f>IF(E103&lt;&gt;"",E103,G103)</x:f>
        <x:v>300</x:v>
      </x:c>
      <x:c r="G103" s="132" t="n">
        <x:v>300</x:v>
      </x:c>
      <x:c r="H103" s="130"/>
      <x:c r="I103" s="131" t="n">
        <x:f>IF(H103&lt;&gt;"",H103,J103)</x:f>
        <x:v>300</x:v>
      </x:c>
      <x:c r="J103" s="132" t="n">
        <x:v>300</x:v>
      </x:c>
      <x:c r="K103" s="130"/>
      <x:c r="L103" s="131" t="n">
        <x:f>IF(K103&lt;&gt;"",K103,M103)</x:f>
        <x:v>300</x:v>
      </x:c>
      <x:c r="M103" s="132" t="n">
        <x:v>300</x:v>
      </x:c>
      <x:c r="N103" s="130"/>
      <x:c r="O103" s="131" t="n">
        <x:f>IF(N103&lt;&gt;"",N103,P103)</x:f>
        <x:v>300</x:v>
      </x:c>
      <x:c r="P103" s="132" t="n">
        <x:v>300</x:v>
      </x:c>
      <x:c r="Q103" s="130"/>
      <x:c r="R103" s="131" t="n">
        <x:f>IF(Q103&lt;&gt;"",Q103,S103)</x:f>
        <x:v>300</x:v>
      </x:c>
      <x:c r="S103" s="132" t="n">
        <x:v>300</x:v>
      </x:c>
      <x:c r="T103" s="130"/>
      <x:c r="U103" s="131" t="n">
        <x:f>IF(T103&lt;&gt;"",T103,V103)</x:f>
        <x:v>300</x:v>
      </x:c>
      <x:c r="V103" s="132" t="n">
        <x:v>300</x:v>
      </x:c>
      <x:c r="W103" s="130"/>
      <x:c r="X103" s="131" t="n">
        <x:f>IF(W103&lt;&gt;"",W103,Y103)</x:f>
        <x:v>300</x:v>
      </x:c>
      <x:c r="Y103" s="132" t="n">
        <x:v>300</x:v>
      </x:c>
      <x:c r="Z103" s="130"/>
      <x:c r="AA103" s="131" t="n">
        <x:f>IF(Z103&lt;&gt;"",Z103,AB103)</x:f>
        <x:v>300</x:v>
      </x:c>
      <x:c r="AB103" s="132" t="n">
        <x:v>300</x:v>
      </x:c>
      <x:c r="AC103" s="130"/>
      <x:c r="AD103" s="131" t="n">
        <x:f>IF(AC103&lt;&gt;"",AC103,AE103)</x:f>
        <x:v>300</x:v>
      </x:c>
      <x:c r="AE103" s="132" t="n">
        <x:v>300</x:v>
      </x:c>
      <x:c r="AF103" s="130" t="n">
        <x:v>294</x:v>
      </x:c>
      <x:c r="AG103" s="131" t="n">
        <x:f>IF(AF103&lt;&gt;"",AF103,AH103)</x:f>
        <x:v>294</x:v>
      </x:c>
      <x:c r="AH103" s="132" t="n">
        <x:v>300</x:v>
      </x:c>
      <x:c r="AI103" s="130" t="n">
        <x:v>315</x:v>
      </x:c>
      <x:c r="AJ103" s="131" t="n">
        <x:f>IF(AI103&lt;&gt;"",AI103,AK103)</x:f>
        <x:v>315</x:v>
      </x:c>
      <x:c r="AK103" s="132" t="n">
        <x:v>300</x:v>
      </x:c>
    </x:row>
    <x:row r="104" ht="22" customHeight="1">
      <x:c r="A104" s="116" t="str">
        <x:v>Dues and Subscriptions</x:v>
      </x:c>
      <x:c r="B104" s="130"/>
      <x:c r="C104" s="131" t="n">
        <x:f>IF(B104&lt;&gt;"",B104,D104)</x:f>
        <x:v>0</x:v>
      </x:c>
      <x:c r="D104" s="132" t="n">
        <x:v>0</x:v>
      </x:c>
      <x:c r="E104" s="130"/>
      <x:c r="F104" s="131" t="n">
        <x:f>IF(E104&lt;&gt;"",E104,G104)</x:f>
        <x:v>0</x:v>
      </x:c>
      <x:c r="G104" s="132" t="n">
        <x:v>0</x:v>
      </x:c>
      <x:c r="H104" s="130"/>
      <x:c r="I104" s="131" t="n">
        <x:f>IF(H104&lt;&gt;"",H104,J104)</x:f>
        <x:v>0</x:v>
      </x:c>
      <x:c r="J104" s="132" t="n">
        <x:v>0</x:v>
      </x:c>
      <x:c r="K104" s="130"/>
      <x:c r="L104" s="131" t="n">
        <x:f>IF(K104&lt;&gt;"",K104,M104)</x:f>
        <x:v>0</x:v>
      </x:c>
      <x:c r="M104" s="132" t="n">
        <x:v>0</x:v>
      </x:c>
      <x:c r="N104" s="130"/>
      <x:c r="O104" s="131" t="n">
        <x:f>IF(N104&lt;&gt;"",N104,P104)</x:f>
        <x:v>0</x:v>
      </x:c>
      <x:c r="P104" s="132" t="n">
        <x:v>0</x:v>
      </x:c>
      <x:c r="Q104" s="130"/>
      <x:c r="R104" s="131" t="n">
        <x:f>IF(Q104&lt;&gt;"",Q104,S104)</x:f>
        <x:v>0</x:v>
      </x:c>
      <x:c r="S104" s="132" t="n">
        <x:v>0</x:v>
      </x:c>
      <x:c r="T104" s="130"/>
      <x:c r="U104" s="131" t="n">
        <x:f>IF(T104&lt;&gt;"",T104,V104)</x:f>
        <x:v>0</x:v>
      </x:c>
      <x:c r="V104" s="132" t="n">
        <x:v>0</x:v>
      </x:c>
      <x:c r="W104" s="130"/>
      <x:c r="X104" s="131" t="n">
        <x:f>IF(W104&lt;&gt;"",W104,Y104)</x:f>
        <x:v>0</x:v>
      </x:c>
      <x:c r="Y104" s="132" t="n">
        <x:v>0</x:v>
      </x:c>
      <x:c r="Z104" s="130"/>
      <x:c r="AA104" s="131" t="n">
        <x:f>IF(Z104&lt;&gt;"",Z104,AB104)</x:f>
        <x:v>0</x:v>
      </x:c>
      <x:c r="AB104" s="132" t="n">
        <x:v>0</x:v>
      </x:c>
      <x:c r="AC104" s="130"/>
      <x:c r="AD104" s="131" t="n">
        <x:f>IF(AC104&lt;&gt;"",AC104,AE104)</x:f>
        <x:v>0</x:v>
      </x:c>
      <x:c r="AE104" s="132" t="n">
        <x:v>0</x:v>
      </x:c>
      <x:c r="AF104" s="130" t="n">
        <x:v>0</x:v>
      </x:c>
      <x:c r="AG104" s="131" t="n">
        <x:f>IF(AF104&lt;&gt;"",AF104,AH104)</x:f>
        <x:v>0</x:v>
      </x:c>
      <x:c r="AH104" s="132" t="n">
        <x:v>0</x:v>
      </x:c>
      <x:c r="AI104" s="130" t="n">
        <x:v>0</x:v>
      </x:c>
      <x:c r="AJ104" s="131" t="n">
        <x:f>IF(AI104&lt;&gt;"",AI104,AK104)</x:f>
        <x:v>0</x:v>
      </x:c>
      <x:c r="AK104" s="132" t="n">
        <x:v>0</x:v>
      </x:c>
    </x:row>
    <x:row r="105" ht="22" customHeight="1">
      <x:c r="A105" s="116" t="str">
        <x:v>Travel, Meals and Entertainment</x:v>
      </x:c>
      <x:c r="B105" s="130"/>
      <x:c r="C105" s="131" t="n">
        <x:f>IF(B105&lt;&gt;"",B105,D105)</x:f>
        <x:v>0</x:v>
      </x:c>
      <x:c r="D105" s="132" t="n">
        <x:v>0</x:v>
      </x:c>
      <x:c r="E105" s="130"/>
      <x:c r="F105" s="131" t="n">
        <x:f>IF(E105&lt;&gt;"",E105,G105)</x:f>
        <x:v>0</x:v>
      </x:c>
      <x:c r="G105" s="132" t="n">
        <x:v>0</x:v>
      </x:c>
      <x:c r="H105" s="130"/>
      <x:c r="I105" s="131" t="n">
        <x:f>IF(H105&lt;&gt;"",H105,J105)</x:f>
        <x:v>0</x:v>
      </x:c>
      <x:c r="J105" s="132" t="n">
        <x:v>0</x:v>
      </x:c>
      <x:c r="K105" s="130"/>
      <x:c r="L105" s="131" t="n">
        <x:f>IF(K105&lt;&gt;"",K105,M105)</x:f>
        <x:v>0</x:v>
      </x:c>
      <x:c r="M105" s="132" t="n">
        <x:v>0</x:v>
      </x:c>
      <x:c r="N105" s="130"/>
      <x:c r="O105" s="131" t="n">
        <x:f>IF(N105&lt;&gt;"",N105,P105)</x:f>
        <x:v>0</x:v>
      </x:c>
      <x:c r="P105" s="132" t="n">
        <x:v>0</x:v>
      </x:c>
      <x:c r="Q105" s="130"/>
      <x:c r="R105" s="131" t="n">
        <x:f>IF(Q105&lt;&gt;"",Q105,S105)</x:f>
        <x:v>0</x:v>
      </x:c>
      <x:c r="S105" s="132" t="n">
        <x:v>0</x:v>
      </x:c>
      <x:c r="T105" s="130"/>
      <x:c r="U105" s="131" t="n">
        <x:f>IF(T105&lt;&gt;"",T105,V105)</x:f>
        <x:v>0</x:v>
      </x:c>
      <x:c r="V105" s="132" t="n">
        <x:v>0</x:v>
      </x:c>
      <x:c r="W105" s="130"/>
      <x:c r="X105" s="131" t="n">
        <x:f>IF(W105&lt;&gt;"",W105,Y105)</x:f>
        <x:v>0</x:v>
      </x:c>
      <x:c r="Y105" s="132" t="n">
        <x:v>0</x:v>
      </x:c>
      <x:c r="Z105" s="130"/>
      <x:c r="AA105" s="131" t="n">
        <x:f>IF(Z105&lt;&gt;"",Z105,AB105)</x:f>
        <x:v>0</x:v>
      </x:c>
      <x:c r="AB105" s="132" t="n">
        <x:v>0</x:v>
      </x:c>
      <x:c r="AC105" s="130"/>
      <x:c r="AD105" s="131" t="n">
        <x:f>IF(AC105&lt;&gt;"",AC105,AE105)</x:f>
        <x:v>0</x:v>
      </x:c>
      <x:c r="AE105" s="132" t="n">
        <x:v>0</x:v>
      </x:c>
      <x:c r="AF105" s="130" t="n">
        <x:v>0</x:v>
      </x:c>
      <x:c r="AG105" s="131" t="n">
        <x:f>IF(AF105&lt;&gt;"",AF105,AH105)</x:f>
        <x:v>0</x:v>
      </x:c>
      <x:c r="AH105" s="132" t="n">
        <x:v>0</x:v>
      </x:c>
      <x:c r="AI105" s="130" t="n">
        <x:v>0</x:v>
      </x:c>
      <x:c r="AJ105" s="131" t="n">
        <x:f>IF(AI105&lt;&gt;"",AI105,AK105)</x:f>
        <x:v>0</x:v>
      </x:c>
      <x:c r="AK105" s="132" t="n">
        <x:v>0</x:v>
      </x:c>
    </x:row>
    <x:row r="106" ht="22" customHeight="1">
      <x:c r="A106" s="136" t="str">
        <x:v>Total Standard Department Cost</x:v>
      </x:c>
      <x:c r="B106" s="137" t="str">
        <x:f>IF(COUNT(B97:B105)&gt;0,SUM(B97:B105),"")</x:f>
      </x:c>
      <x:c r="C106" s="138" t="n">
        <x:f>SUM(C97:C105)</x:f>
        <x:v>6300</x:v>
      </x:c>
      <x:c r="D106" s="139" t="n">
        <x:f>SUM(D97:D105)</x:f>
        <x:v>6300</x:v>
      </x:c>
      <x:c r="E106" s="137" t="str">
        <x:f>IF(COUNT(E97:E105)&gt;0,SUM(E97:E105),"")</x:f>
      </x:c>
      <x:c r="F106" s="138" t="n">
        <x:f>SUM(F97:F105)</x:f>
        <x:v>6300</x:v>
      </x:c>
      <x:c r="G106" s="139" t="n">
        <x:f>SUM(G97:G105)</x:f>
        <x:v>6300</x:v>
      </x:c>
      <x:c r="H106" s="137" t="str">
        <x:f>IF(COUNT(H97:H105)&gt;0,SUM(H97:H105),"")</x:f>
      </x:c>
      <x:c r="I106" s="138" t="n">
        <x:f>SUM(I97:I105)</x:f>
        <x:v>6300</x:v>
      </x:c>
      <x:c r="J106" s="139" t="n">
        <x:f>SUM(J97:J105)</x:f>
        <x:v>6300</x:v>
      </x:c>
      <x:c r="K106" s="137" t="str">
        <x:f>IF(COUNT(K97:K105)&gt;0,SUM(K97:K105),"")</x:f>
      </x:c>
      <x:c r="L106" s="138" t="n">
        <x:f>SUM(L97:L105)</x:f>
        <x:v>6300</x:v>
      </x:c>
      <x:c r="M106" s="139" t="n">
        <x:f>SUM(M97:M105)</x:f>
        <x:v>6300</x:v>
      </x:c>
      <x:c r="N106" s="137" t="str">
        <x:f>IF(COUNT(N97:N105)&gt;0,SUM(N97:N105),"")</x:f>
      </x:c>
      <x:c r="O106" s="138" t="n">
        <x:f>SUM(O97:O105)</x:f>
        <x:v>6300</x:v>
      </x:c>
      <x:c r="P106" s="139" t="n">
        <x:f>SUM(P97:P105)</x:f>
        <x:v>6300</x:v>
      </x:c>
      <x:c r="Q106" s="137" t="str">
        <x:f>IF(COUNT(Q97:Q105)&gt;0,SUM(Q97:Q105),"")</x:f>
      </x:c>
      <x:c r="R106" s="138" t="n">
        <x:f>SUM(R97:R105)</x:f>
        <x:v>6300</x:v>
      </x:c>
      <x:c r="S106" s="139" t="n">
        <x:f>SUM(S97:S105)</x:f>
        <x:v>6300</x:v>
      </x:c>
      <x:c r="T106" s="137" t="str">
        <x:f>IF(COUNT(T97:T105)&gt;0,SUM(T97:T105),"")</x:f>
      </x:c>
      <x:c r="U106" s="138" t="n">
        <x:f>SUM(U97:U105)</x:f>
        <x:v>6300</x:v>
      </x:c>
      <x:c r="V106" s="139" t="n">
        <x:f>SUM(V97:V105)</x:f>
        <x:v>6300</x:v>
      </x:c>
      <x:c r="W106" s="137" t="str">
        <x:f>IF(COUNT(W97:W105)&gt;0,SUM(W97:W105),"")</x:f>
      </x:c>
      <x:c r="X106" s="138" t="n">
        <x:f>SUM(X97:X105)</x:f>
        <x:v>6300</x:v>
      </x:c>
      <x:c r="Y106" s="139" t="n">
        <x:f>SUM(Y97:Y105)</x:f>
        <x:v>6300</x:v>
      </x:c>
      <x:c r="Z106" s="137" t="str">
        <x:f>IF(COUNT(Z97:Z105)&gt;0,SUM(Z97:Z105),"")</x:f>
      </x:c>
      <x:c r="AA106" s="138" t="n">
        <x:f>SUM(AA97:AA105)</x:f>
        <x:v>6300</x:v>
      </x:c>
      <x:c r="AB106" s="139" t="n">
        <x:f>SUM(AB97:AB105)</x:f>
        <x:v>6300</x:v>
      </x:c>
      <x:c r="AC106" s="137" t="str">
        <x:f>IF(COUNT(AC97:AC105)&gt;0,SUM(AC97:AC105),"")</x:f>
      </x:c>
      <x:c r="AD106" s="138" t="n">
        <x:f>SUM(AD97:AD105)</x:f>
        <x:v>6300</x:v>
      </x:c>
      <x:c r="AE106" s="139" t="n">
        <x:f>SUM(AE97:AE105)</x:f>
        <x:v>6300</x:v>
      </x:c>
      <x:c r="AF106" s="137" t="n">
        <x:f>IF(COUNT(AF97:AF105)&gt;0,SUM(AF97:AF105),"")</x:f>
        <x:v>6174</x:v>
      </x:c>
      <x:c r="AG106" s="138" t="n">
        <x:f>SUM(AG97:AG105)</x:f>
        <x:v>6174</x:v>
      </x:c>
      <x:c r="AH106" s="139" t="n">
        <x:f>SUM(AH97:AH105)</x:f>
        <x:v>6300</x:v>
      </x:c>
      <x:c r="AI106" s="137" t="n">
        <x:f>IF(COUNT(AI97:AI105)&gt;0,SUM(AI97:AI105),"")</x:f>
        <x:v>6615</x:v>
      </x:c>
      <x:c r="AJ106" s="138" t="n">
        <x:f>SUM(AJ97:AJ105)</x:f>
        <x:v>6615</x:v>
      </x:c>
      <x:c r="AK106" s="139" t="n">
        <x:f>SUM(AK97:AK105)</x:f>
        <x:v>6300</x:v>
      </x:c>
    </x:row>
    <x:row r="107" ht="22" customHeight="1">
      <x:c r="A107" s="116" t="str">
        <x:v>Customer Success Platform</x:v>
      </x:c>
      <x:c r="B107" s="130"/>
      <x:c r="C107" s="131" t="n">
        <x:f>IF(B107&lt;&gt;"",B107,D107)</x:f>
        <x:v>300</x:v>
      </x:c>
      <x:c r="D107" s="132" t="n">
        <x:v>300</x:v>
      </x:c>
      <x:c r="E107" s="130"/>
      <x:c r="F107" s="131" t="n">
        <x:f>IF(E107&lt;&gt;"",E107,G107)</x:f>
        <x:v>300</x:v>
      </x:c>
      <x:c r="G107" s="132" t="n">
        <x:v>300</x:v>
      </x:c>
      <x:c r="H107" s="130"/>
      <x:c r="I107" s="131" t="n">
        <x:f>IF(H107&lt;&gt;"",H107,J107)</x:f>
        <x:v>300</x:v>
      </x:c>
      <x:c r="J107" s="132" t="n">
        <x:v>300</x:v>
      </x:c>
      <x:c r="K107" s="130"/>
      <x:c r="L107" s="131" t="n">
        <x:f>IF(K107&lt;&gt;"",K107,M107)</x:f>
        <x:v>300</x:v>
      </x:c>
      <x:c r="M107" s="132" t="n">
        <x:v>300</x:v>
      </x:c>
      <x:c r="N107" s="130"/>
      <x:c r="O107" s="131" t="n">
        <x:f>IF(N107&lt;&gt;"",N107,P107)</x:f>
        <x:v>300</x:v>
      </x:c>
      <x:c r="P107" s="132" t="n">
        <x:v>300</x:v>
      </x:c>
      <x:c r="Q107" s="130"/>
      <x:c r="R107" s="131" t="n">
        <x:f>IF(Q107&lt;&gt;"",Q107,S107)</x:f>
        <x:v>300</x:v>
      </x:c>
      <x:c r="S107" s="132" t="n">
        <x:v>300</x:v>
      </x:c>
      <x:c r="T107" s="130"/>
      <x:c r="U107" s="131" t="n">
        <x:f>IF(T107&lt;&gt;"",T107,V107)</x:f>
        <x:v>300</x:v>
      </x:c>
      <x:c r="V107" s="132" t="n">
        <x:v>300</x:v>
      </x:c>
      <x:c r="W107" s="130"/>
      <x:c r="X107" s="131" t="n">
        <x:f>IF(W107&lt;&gt;"",W107,Y107)</x:f>
        <x:v>300</x:v>
      </x:c>
      <x:c r="Y107" s="132" t="n">
        <x:v>300</x:v>
      </x:c>
      <x:c r="Z107" s="130"/>
      <x:c r="AA107" s="131" t="n">
        <x:f>IF(Z107&lt;&gt;"",Z107,AB107)</x:f>
        <x:v>300</x:v>
      </x:c>
      <x:c r="AB107" s="132" t="n">
        <x:v>300</x:v>
      </x:c>
      <x:c r="AC107" s="130"/>
      <x:c r="AD107" s="131" t="n">
        <x:f>IF(AC107&lt;&gt;"",AC107,AE107)</x:f>
        <x:v>300</x:v>
      </x:c>
      <x:c r="AE107" s="132" t="n">
        <x:v>300</x:v>
      </x:c>
      <x:c r="AF107" s="130" t="n">
        <x:v>294</x:v>
      </x:c>
      <x:c r="AG107" s="131" t="n">
        <x:f>IF(AF107&lt;&gt;"",AF107,AH107)</x:f>
        <x:v>294</x:v>
      </x:c>
      <x:c r="AH107" s="132" t="n">
        <x:v>300</x:v>
      </x:c>
      <x:c r="AI107" s="130" t="n">
        <x:v>315</x:v>
      </x:c>
      <x:c r="AJ107" s="131" t="n">
        <x:f>IF(AI107&lt;&gt;"",AI107,AK107)</x:f>
        <x:v>315</x:v>
      </x:c>
      <x:c r="AK107" s="132" t="n">
        <x:v>300</x:v>
      </x:c>
    </x:row>
    <x:row r="108" ht="22" customHeight="1">
      <x:c r="A108" s="116" t="str">
        <x:v>Onboarding and Enablement</x:v>
      </x:c>
      <x:c r="B108" s="130"/>
      <x:c r="C108" s="131" t="n">
        <x:f>IF(B108&lt;&gt;"",B108,D108)</x:f>
        <x:v>500</x:v>
      </x:c>
      <x:c r="D108" s="132" t="n">
        <x:v>500</x:v>
      </x:c>
      <x:c r="E108" s="130"/>
      <x:c r="F108" s="131" t="n">
        <x:f>IF(E108&lt;&gt;"",E108,G108)</x:f>
        <x:v>500</x:v>
      </x:c>
      <x:c r="G108" s="132" t="n">
        <x:v>500</x:v>
      </x:c>
      <x:c r="H108" s="130"/>
      <x:c r="I108" s="131" t="n">
        <x:f>IF(H108&lt;&gt;"",H108,J108)</x:f>
        <x:v>500</x:v>
      </x:c>
      <x:c r="J108" s="132" t="n">
        <x:v>500</x:v>
      </x:c>
      <x:c r="K108" s="130"/>
      <x:c r="L108" s="131" t="n">
        <x:f>IF(K108&lt;&gt;"",K108,M108)</x:f>
        <x:v>500</x:v>
      </x:c>
      <x:c r="M108" s="132" t="n">
        <x:v>500</x:v>
      </x:c>
      <x:c r="N108" s="130"/>
      <x:c r="O108" s="131" t="n">
        <x:f>IF(N108&lt;&gt;"",N108,P108)</x:f>
        <x:v>500</x:v>
      </x:c>
      <x:c r="P108" s="132" t="n">
        <x:v>500</x:v>
      </x:c>
      <x:c r="Q108" s="130"/>
      <x:c r="R108" s="131" t="n">
        <x:f>IF(Q108&lt;&gt;"",Q108,S108)</x:f>
        <x:v>500</x:v>
      </x:c>
      <x:c r="S108" s="132" t="n">
        <x:v>500</x:v>
      </x:c>
      <x:c r="T108" s="130"/>
      <x:c r="U108" s="131" t="n">
        <x:f>IF(T108&lt;&gt;"",T108,V108)</x:f>
        <x:v>500</x:v>
      </x:c>
      <x:c r="V108" s="132" t="n">
        <x:v>500</x:v>
      </x:c>
      <x:c r="W108" s="130"/>
      <x:c r="X108" s="131" t="n">
        <x:f>IF(W108&lt;&gt;"",W108,Y108)</x:f>
        <x:v>500</x:v>
      </x:c>
      <x:c r="Y108" s="132" t="n">
        <x:v>500</x:v>
      </x:c>
      <x:c r="Z108" s="130"/>
      <x:c r="AA108" s="131" t="n">
        <x:f>IF(Z108&lt;&gt;"",Z108,AB108)</x:f>
        <x:v>500</x:v>
      </x:c>
      <x:c r="AB108" s="132" t="n">
        <x:v>500</x:v>
      </x:c>
      <x:c r="AC108" s="130"/>
      <x:c r="AD108" s="131" t="n">
        <x:f>IF(AC108&lt;&gt;"",AC108,AE108)</x:f>
        <x:v>500</x:v>
      </x:c>
      <x:c r="AE108" s="132" t="n">
        <x:v>500</x:v>
      </x:c>
      <x:c r="AF108" s="130" t="n">
        <x:v>490</x:v>
      </x:c>
      <x:c r="AG108" s="131" t="n">
        <x:f>IF(AF108&lt;&gt;"",AF108,AH108)</x:f>
        <x:v>490</x:v>
      </x:c>
      <x:c r="AH108" s="132" t="n">
        <x:v>500</x:v>
      </x:c>
      <x:c r="AI108" s="130" t="n">
        <x:v>525</x:v>
      </x:c>
      <x:c r="AJ108" s="131" t="n">
        <x:f>IF(AI108&lt;&gt;"",AI108,AK108)</x:f>
        <x:v>525</x:v>
      </x:c>
      <x:c r="AK108" s="132" t="n">
        <x:v>500</x:v>
      </x:c>
    </x:row>
    <x:row r="109" ht="22" customHeight="1">
      <x:c r="A109" s="116" t="str">
        <x:v>Customer Events and Community</x:v>
      </x:c>
      <x:c r="B109" s="130"/>
      <x:c r="C109" s="131" t="n">
        <x:f>IF(B109&lt;&gt;"",B109,D109)</x:f>
        <x:v>0</x:v>
      </x:c>
      <x:c r="D109" s="132" t="n">
        <x:v>0</x:v>
      </x:c>
      <x:c r="E109" s="130"/>
      <x:c r="F109" s="131" t="n">
        <x:f>IF(E109&lt;&gt;"",E109,G109)</x:f>
        <x:v>0</x:v>
      </x:c>
      <x:c r="G109" s="132" t="n">
        <x:v>0</x:v>
      </x:c>
      <x:c r="H109" s="130"/>
      <x:c r="I109" s="131" t="n">
        <x:f>IF(H109&lt;&gt;"",H109,J109)</x:f>
        <x:v>0</x:v>
      </x:c>
      <x:c r="J109" s="132" t="n">
        <x:v>0</x:v>
      </x:c>
      <x:c r="K109" s="130"/>
      <x:c r="L109" s="131" t="n">
        <x:f>IF(K109&lt;&gt;"",K109,M109)</x:f>
        <x:v>0</x:v>
      </x:c>
      <x:c r="M109" s="132" t="n">
        <x:v>0</x:v>
      </x:c>
      <x:c r="N109" s="130"/>
      <x:c r="O109" s="131" t="n">
        <x:f>IF(N109&lt;&gt;"",N109,P109)</x:f>
        <x:v>0</x:v>
      </x:c>
      <x:c r="P109" s="132" t="n">
        <x:v>0</x:v>
      </x:c>
      <x:c r="Q109" s="130"/>
      <x:c r="R109" s="131" t="n">
        <x:f>IF(Q109&lt;&gt;"",Q109,S109)</x:f>
        <x:v>0</x:v>
      </x:c>
      <x:c r="S109" s="132" t="n">
        <x:v>0</x:v>
      </x:c>
      <x:c r="T109" s="130"/>
      <x:c r="U109" s="131" t="n">
        <x:f>IF(T109&lt;&gt;"",T109,V109)</x:f>
        <x:v>0</x:v>
      </x:c>
      <x:c r="V109" s="132" t="n">
        <x:v>0</x:v>
      </x:c>
      <x:c r="W109" s="130"/>
      <x:c r="X109" s="131" t="n">
        <x:f>IF(W109&lt;&gt;"",W109,Y109)</x:f>
        <x:v>0</x:v>
      </x:c>
      <x:c r="Y109" s="132" t="n">
        <x:v>0</x:v>
      </x:c>
      <x:c r="Z109" s="130"/>
      <x:c r="AA109" s="131" t="n">
        <x:f>IF(Z109&lt;&gt;"",Z109,AB109)</x:f>
        <x:v>0</x:v>
      </x:c>
      <x:c r="AB109" s="132" t="n">
        <x:v>0</x:v>
      </x:c>
      <x:c r="AC109" s="130"/>
      <x:c r="AD109" s="131" t="n">
        <x:f>IF(AC109&lt;&gt;"",AC109,AE109)</x:f>
        <x:v>0</x:v>
      </x:c>
      <x:c r="AE109" s="132" t="n">
        <x:v>0</x:v>
      </x:c>
      <x:c r="AF109" s="130" t="n">
        <x:v>0</x:v>
      </x:c>
      <x:c r="AG109" s="131" t="n">
        <x:f>IF(AF109&lt;&gt;"",AF109,AH109)</x:f>
        <x:v>0</x:v>
      </x:c>
      <x:c r="AH109" s="132" t="n">
        <x:v>0</x:v>
      </x:c>
      <x:c r="AI109" s="130" t="n">
        <x:v>0</x:v>
      </x:c>
      <x:c r="AJ109" s="131" t="n">
        <x:f>IF(AI109&lt;&gt;"",AI109,AK109)</x:f>
        <x:v>0</x:v>
      </x:c>
      <x:c r="AK109" s="132" t="n">
        <x:v>0</x:v>
      </x:c>
    </x:row>
    <x:row r="110" ht="22" customHeight="1">
      <x:c r="A110" s="116" t="str">
        <x:v>Health Scoring and Survey Tools</x:v>
      </x:c>
      <x:c r="B110" s="130"/>
      <x:c r="C110" s="131" t="n">
        <x:f>IF(B110&lt;&gt;"",B110,D110)</x:f>
        <x:v>0</x:v>
      </x:c>
      <x:c r="D110" s="132" t="n">
        <x:v>0</x:v>
      </x:c>
      <x:c r="E110" s="130"/>
      <x:c r="F110" s="131" t="n">
        <x:f>IF(E110&lt;&gt;"",E110,G110)</x:f>
        <x:v>0</x:v>
      </x:c>
      <x:c r="G110" s="132" t="n">
        <x:v>0</x:v>
      </x:c>
      <x:c r="H110" s="130"/>
      <x:c r="I110" s="131" t="n">
        <x:f>IF(H110&lt;&gt;"",H110,J110)</x:f>
        <x:v>0</x:v>
      </x:c>
      <x:c r="J110" s="132" t="n">
        <x:v>0</x:v>
      </x:c>
      <x:c r="K110" s="130"/>
      <x:c r="L110" s="131" t="n">
        <x:f>IF(K110&lt;&gt;"",K110,M110)</x:f>
        <x:v>0</x:v>
      </x:c>
      <x:c r="M110" s="132" t="n">
        <x:v>0</x:v>
      </x:c>
      <x:c r="N110" s="130"/>
      <x:c r="O110" s="131" t="n">
        <x:f>IF(N110&lt;&gt;"",N110,P110)</x:f>
        <x:v>0</x:v>
      </x:c>
      <x:c r="P110" s="132" t="n">
        <x:v>0</x:v>
      </x:c>
      <x:c r="Q110" s="130"/>
      <x:c r="R110" s="131" t="n">
        <x:f>IF(Q110&lt;&gt;"",Q110,S110)</x:f>
        <x:v>0</x:v>
      </x:c>
      <x:c r="S110" s="132" t="n">
        <x:v>0</x:v>
      </x:c>
      <x:c r="T110" s="130"/>
      <x:c r="U110" s="131" t="n">
        <x:f>IF(T110&lt;&gt;"",T110,V110)</x:f>
        <x:v>0</x:v>
      </x:c>
      <x:c r="V110" s="132" t="n">
        <x:v>0</x:v>
      </x:c>
      <x:c r="W110" s="130"/>
      <x:c r="X110" s="131" t="n">
        <x:f>IF(W110&lt;&gt;"",W110,Y110)</x:f>
        <x:v>0</x:v>
      </x:c>
      <x:c r="Y110" s="132" t="n">
        <x:v>0</x:v>
      </x:c>
      <x:c r="Z110" s="130"/>
      <x:c r="AA110" s="131" t="n">
        <x:f>IF(Z110&lt;&gt;"",Z110,AB110)</x:f>
        <x:v>0</x:v>
      </x:c>
      <x:c r="AB110" s="132" t="n">
        <x:v>0</x:v>
      </x:c>
      <x:c r="AC110" s="130"/>
      <x:c r="AD110" s="131" t="n">
        <x:f>IF(AC110&lt;&gt;"",AC110,AE110)</x:f>
        <x:v>0</x:v>
      </x:c>
      <x:c r="AE110" s="132" t="n">
        <x:v>0</x:v>
      </x:c>
      <x:c r="AF110" s="130" t="n">
        <x:v>0</x:v>
      </x:c>
      <x:c r="AG110" s="131" t="n">
        <x:f>IF(AF110&lt;&gt;"",AF110,AH110)</x:f>
        <x:v>0</x:v>
      </x:c>
      <x:c r="AH110" s="132" t="n">
        <x:v>0</x:v>
      </x:c>
      <x:c r="AI110" s="130" t="n">
        <x:v>0</x:v>
      </x:c>
      <x:c r="AJ110" s="131" t="n">
        <x:f>IF(AI110&lt;&gt;"",AI110,AK110)</x:f>
        <x:v>0</x:v>
      </x:c>
      <x:c r="AK110" s="132" t="n">
        <x:v>0</x:v>
      </x:c>
    </x:row>
    <x:row r="111" ht="22" customHeight="1">
      <x:c r="A111" s="136" t="str">
        <x:v>Total Customer Success Programs</x:v>
      </x:c>
      <x:c r="B111" s="137" t="str">
        <x:f>IF(COUNT(B107:B110)&gt;0,SUM(B107:B110),"")</x:f>
      </x:c>
      <x:c r="C111" s="138" t="n">
        <x:f>SUM(C107:C110)</x:f>
        <x:v>800</x:v>
      </x:c>
      <x:c r="D111" s="139" t="n">
        <x:f>SUM(D107:D110)</x:f>
        <x:v>800</x:v>
      </x:c>
      <x:c r="E111" s="137" t="str">
        <x:f>IF(COUNT(E107:E110)&gt;0,SUM(E107:E110),"")</x:f>
      </x:c>
      <x:c r="F111" s="138" t="n">
        <x:f>SUM(F107:F110)</x:f>
        <x:v>800</x:v>
      </x:c>
      <x:c r="G111" s="139" t="n">
        <x:f>SUM(G107:G110)</x:f>
        <x:v>800</x:v>
      </x:c>
      <x:c r="H111" s="137" t="str">
        <x:f>IF(COUNT(H107:H110)&gt;0,SUM(H107:H110),"")</x:f>
      </x:c>
      <x:c r="I111" s="138" t="n">
        <x:f>SUM(I107:I110)</x:f>
        <x:v>800</x:v>
      </x:c>
      <x:c r="J111" s="139" t="n">
        <x:f>SUM(J107:J110)</x:f>
        <x:v>800</x:v>
      </x:c>
      <x:c r="K111" s="137" t="str">
        <x:f>IF(COUNT(K107:K110)&gt;0,SUM(K107:K110),"")</x:f>
      </x:c>
      <x:c r="L111" s="138" t="n">
        <x:f>SUM(L107:L110)</x:f>
        <x:v>800</x:v>
      </x:c>
      <x:c r="M111" s="139" t="n">
        <x:f>SUM(M107:M110)</x:f>
        <x:v>800</x:v>
      </x:c>
      <x:c r="N111" s="137" t="str">
        <x:f>IF(COUNT(N107:N110)&gt;0,SUM(N107:N110),"")</x:f>
      </x:c>
      <x:c r="O111" s="138" t="n">
        <x:f>SUM(O107:O110)</x:f>
        <x:v>800</x:v>
      </x:c>
      <x:c r="P111" s="139" t="n">
        <x:f>SUM(P107:P110)</x:f>
        <x:v>800</x:v>
      </x:c>
      <x:c r="Q111" s="137" t="str">
        <x:f>IF(COUNT(Q107:Q110)&gt;0,SUM(Q107:Q110),"")</x:f>
      </x:c>
      <x:c r="R111" s="138" t="n">
        <x:f>SUM(R107:R110)</x:f>
        <x:v>800</x:v>
      </x:c>
      <x:c r="S111" s="139" t="n">
        <x:f>SUM(S107:S110)</x:f>
        <x:v>800</x:v>
      </x:c>
      <x:c r="T111" s="137" t="str">
        <x:f>IF(COUNT(T107:T110)&gt;0,SUM(T107:T110),"")</x:f>
      </x:c>
      <x:c r="U111" s="138" t="n">
        <x:f>SUM(U107:U110)</x:f>
        <x:v>800</x:v>
      </x:c>
      <x:c r="V111" s="139" t="n">
        <x:f>SUM(V107:V110)</x:f>
        <x:v>800</x:v>
      </x:c>
      <x:c r="W111" s="137" t="str">
        <x:f>IF(COUNT(W107:W110)&gt;0,SUM(W107:W110),"")</x:f>
      </x:c>
      <x:c r="X111" s="138" t="n">
        <x:f>SUM(X107:X110)</x:f>
        <x:v>800</x:v>
      </x:c>
      <x:c r="Y111" s="139" t="n">
        <x:f>SUM(Y107:Y110)</x:f>
        <x:v>800</x:v>
      </x:c>
      <x:c r="Z111" s="137" t="str">
        <x:f>IF(COUNT(Z107:Z110)&gt;0,SUM(Z107:Z110),"")</x:f>
      </x:c>
      <x:c r="AA111" s="138" t="n">
        <x:f>SUM(AA107:AA110)</x:f>
        <x:v>800</x:v>
      </x:c>
      <x:c r="AB111" s="139" t="n">
        <x:f>SUM(AB107:AB110)</x:f>
        <x:v>800</x:v>
      </x:c>
      <x:c r="AC111" s="137" t="str">
        <x:f>IF(COUNT(AC107:AC110)&gt;0,SUM(AC107:AC110),"")</x:f>
      </x:c>
      <x:c r="AD111" s="138" t="n">
        <x:f>SUM(AD107:AD110)</x:f>
        <x:v>800</x:v>
      </x:c>
      <x:c r="AE111" s="139" t="n">
        <x:f>SUM(AE107:AE110)</x:f>
        <x:v>800</x:v>
      </x:c>
      <x:c r="AF111" s="137" t="n">
        <x:f>IF(COUNT(AF107:AF110)&gt;0,SUM(AF107:AF110),"")</x:f>
        <x:v>784</x:v>
      </x:c>
      <x:c r="AG111" s="138" t="n">
        <x:f>SUM(AG107:AG110)</x:f>
        <x:v>784</x:v>
      </x:c>
      <x:c r="AH111" s="139" t="n">
        <x:f>SUM(AH107:AH110)</x:f>
        <x:v>800</x:v>
      </x:c>
      <x:c r="AI111" s="137" t="n">
        <x:f>IF(COUNT(AI107:AI110)&gt;0,SUM(AI107:AI110),"")</x:f>
        <x:v>840</x:v>
      </x:c>
      <x:c r="AJ111" s="138" t="n">
        <x:f>SUM(AJ107:AJ110)</x:f>
        <x:v>840</x:v>
      </x:c>
      <x:c r="AK111" s="139" t="n">
        <x:f>SUM(AK107:AK110)</x:f>
        <x:v>800</x:v>
      </x:c>
    </x:row>
    <x:row r="112" ht="22" customHeight="1">
      <x:c r="A112" s="140" t="str">
        <x:v>Total Customer Success Cost</x:v>
      </x:c>
      <x:c r="B112" s="141" t="str">
        <x:f>IF(COUNT(B106,B111)=2,SUM(B106,B111),"")</x:f>
      </x:c>
      <x:c r="C112" s="142" t="n">
        <x:f>SUM(C106,C111)</x:f>
        <x:v>7100</x:v>
      </x:c>
      <x:c r="D112" s="143" t="n">
        <x:f>SUM(D106,D111)</x:f>
        <x:v>7100</x:v>
      </x:c>
      <x:c r="E112" s="141" t="str">
        <x:f>IF(COUNT(E106,E111)=2,SUM(E106,E111),"")</x:f>
      </x:c>
      <x:c r="F112" s="142" t="n">
        <x:f>SUM(F106,F111)</x:f>
        <x:v>7100</x:v>
      </x:c>
      <x:c r="G112" s="143" t="n">
        <x:f>SUM(G106,G111)</x:f>
        <x:v>7100</x:v>
      </x:c>
      <x:c r="H112" s="141" t="str">
        <x:f>IF(COUNT(H106,H111)=2,SUM(H106,H111),"")</x:f>
      </x:c>
      <x:c r="I112" s="142" t="n">
        <x:f>SUM(I106,I111)</x:f>
        <x:v>7100</x:v>
      </x:c>
      <x:c r="J112" s="143" t="n">
        <x:f>SUM(J106,J111)</x:f>
        <x:v>7100</x:v>
      </x:c>
      <x:c r="K112" s="141" t="str">
        <x:f>IF(COUNT(K106,K111)=2,SUM(K106,K111),"")</x:f>
      </x:c>
      <x:c r="L112" s="142" t="n">
        <x:f>SUM(L106,L111)</x:f>
        <x:v>7100</x:v>
      </x:c>
      <x:c r="M112" s="143" t="n">
        <x:f>SUM(M106,M111)</x:f>
        <x:v>7100</x:v>
      </x:c>
      <x:c r="N112" s="141" t="str">
        <x:f>IF(COUNT(N106,N111)=2,SUM(N106,N111),"")</x:f>
      </x:c>
      <x:c r="O112" s="142" t="n">
        <x:f>SUM(O106,O111)</x:f>
        <x:v>7100</x:v>
      </x:c>
      <x:c r="P112" s="143" t="n">
        <x:f>SUM(P106,P111)</x:f>
        <x:v>7100</x:v>
      </x:c>
      <x:c r="Q112" s="141" t="str">
        <x:f>IF(COUNT(Q106,Q111)=2,SUM(Q106,Q111),"")</x:f>
      </x:c>
      <x:c r="R112" s="142" t="n">
        <x:f>SUM(R106,R111)</x:f>
        <x:v>7100</x:v>
      </x:c>
      <x:c r="S112" s="143" t="n">
        <x:f>SUM(S106,S111)</x:f>
        <x:v>7100</x:v>
      </x:c>
      <x:c r="T112" s="141" t="str">
        <x:f>IF(COUNT(T106,T111)=2,SUM(T106,T111),"")</x:f>
      </x:c>
      <x:c r="U112" s="142" t="n">
        <x:f>SUM(U106,U111)</x:f>
        <x:v>7100</x:v>
      </x:c>
      <x:c r="V112" s="143" t="n">
        <x:f>SUM(V106,V111)</x:f>
        <x:v>7100</x:v>
      </x:c>
      <x:c r="W112" s="141" t="str">
        <x:f>IF(COUNT(W106,W111)=2,SUM(W106,W111),"")</x:f>
      </x:c>
      <x:c r="X112" s="142" t="n">
        <x:f>SUM(X106,X111)</x:f>
        <x:v>7100</x:v>
      </x:c>
      <x:c r="Y112" s="143" t="n">
        <x:f>SUM(Y106,Y111)</x:f>
        <x:v>7100</x:v>
      </x:c>
      <x:c r="Z112" s="141" t="str">
        <x:f>IF(COUNT(Z106,Z111)=2,SUM(Z106,Z111),"")</x:f>
      </x:c>
      <x:c r="AA112" s="142" t="n">
        <x:f>SUM(AA106,AA111)</x:f>
        <x:v>7100</x:v>
      </x:c>
      <x:c r="AB112" s="143" t="n">
        <x:f>SUM(AB106,AB111)</x:f>
        <x:v>7100</x:v>
      </x:c>
      <x:c r="AC112" s="141" t="str">
        <x:f>IF(COUNT(AC106,AC111)=2,SUM(AC106,AC111),"")</x:f>
      </x:c>
      <x:c r="AD112" s="142" t="n">
        <x:f>SUM(AD106,AD111)</x:f>
        <x:v>7100</x:v>
      </x:c>
      <x:c r="AE112" s="143" t="n">
        <x:f>SUM(AE106,AE111)</x:f>
        <x:v>7100</x:v>
      </x:c>
      <x:c r="AF112" s="141" t="n">
        <x:f>IF(COUNT(AF106,AF111)=2,SUM(AF106,AF111),"")</x:f>
        <x:v>6958</x:v>
      </x:c>
      <x:c r="AG112" s="142" t="n">
        <x:f>SUM(AG106,AG111)</x:f>
        <x:v>6958</x:v>
      </x:c>
      <x:c r="AH112" s="143" t="n">
        <x:f>SUM(AH106,AH111)</x:f>
        <x:v>7100</x:v>
      </x:c>
      <x:c r="AI112" s="141" t="n">
        <x:f>IF(COUNT(AI106,AI111)=2,SUM(AI106,AI111),"")</x:f>
        <x:v>7455</x:v>
      </x:c>
      <x:c r="AJ112" s="142" t="n">
        <x:f>SUM(AJ106,AJ111)</x:f>
        <x:v>7455</x:v>
      </x:c>
      <x:c r="AK112" s="143" t="n">
        <x:f>SUM(AK106,AK111)</x:f>
        <x:v>7100</x:v>
      </x:c>
    </x:row>
    <x:row r="113" ht="22" customHeight="1">
      <x:c r="A113" s="116"/>
      <x:c r="B113" s="133"/>
      <x:c r="C113" s="131"/>
      <x:c r="D113" s="134"/>
      <x:c r="E113" s="133"/>
      <x:c r="F113" s="131"/>
      <x:c r="G113" s="134"/>
      <x:c r="H113" s="133"/>
      <x:c r="I113" s="131"/>
      <x:c r="J113" s="134"/>
      <x:c r="K113" s="133"/>
      <x:c r="L113" s="131"/>
      <x:c r="M113" s="134"/>
      <x:c r="N113" s="133"/>
      <x:c r="O113" s="131"/>
      <x:c r="P113" s="134"/>
      <x:c r="Q113" s="133"/>
      <x:c r="R113" s="131"/>
      <x:c r="S113" s="134"/>
      <x:c r="T113" s="133"/>
      <x:c r="U113" s="131"/>
      <x:c r="V113" s="134"/>
      <x:c r="W113" s="133"/>
      <x:c r="X113" s="131"/>
      <x:c r="Y113" s="134"/>
      <x:c r="Z113" s="133"/>
      <x:c r="AA113" s="131"/>
      <x:c r="AB113" s="134"/>
      <x:c r="AC113" s="133"/>
      <x:c r="AD113" s="131"/>
      <x:c r="AE113" s="134"/>
      <x:c r="AF113" s="133"/>
      <x:c r="AG113" s="131"/>
      <x:c r="AH113" s="134"/>
      <x:c r="AI113" s="133"/>
      <x:c r="AJ113" s="131"/>
      <x:c r="AK113" s="134"/>
    </x:row>
    <x:row r="114" ht="22" customHeight="1">
      <x:c r="A114" s="38" t="str">
        <x:v>SUPPORT EXPENSES</x:v>
      </x:c>
      <x:c r="B114" s="84" t="str">
        <x:v>SUPPORT EXPENSES</x:v>
      </x:c>
      <x:c r="C114" s="85" t="str">
        <x:v>SUPPORT EXPENSES</x:v>
      </x:c>
      <x:c r="D114" s="86" t="str">
        <x:v>SUPPORT EXPENSES</x:v>
      </x:c>
      <x:c r="E114" s="84" t="str">
        <x:v>SUPPORT EXPENSES</x:v>
      </x:c>
      <x:c r="F114" s="85" t="str">
        <x:v>SUPPORT EXPENSES</x:v>
      </x:c>
      <x:c r="G114" s="86" t="str">
        <x:v>SUPPORT EXPENSES</x:v>
      </x:c>
      <x:c r="H114" s="84" t="str">
        <x:v>SUPPORT EXPENSES</x:v>
      </x:c>
      <x:c r="I114" s="85" t="str">
        <x:v>SUPPORT EXPENSES</x:v>
      </x:c>
      <x:c r="J114" s="86" t="str">
        <x:v>SUPPORT EXPENSES</x:v>
      </x:c>
      <x:c r="K114" s="84" t="str">
        <x:v>SUPPORT EXPENSES</x:v>
      </x:c>
      <x:c r="L114" s="85" t="str">
        <x:v>SUPPORT EXPENSES</x:v>
      </x:c>
      <x:c r="M114" s="86" t="str">
        <x:v>SUPPORT EXPENSES</x:v>
      </x:c>
      <x:c r="N114" s="84" t="str">
        <x:v>SUPPORT EXPENSES</x:v>
      </x:c>
      <x:c r="O114" s="85" t="str">
        <x:v>SUPPORT EXPENSES</x:v>
      </x:c>
      <x:c r="P114" s="86" t="str">
        <x:v>SUPPORT EXPENSES</x:v>
      </x:c>
      <x:c r="Q114" s="84" t="str">
        <x:v>SUPPORT EXPENSES</x:v>
      </x:c>
      <x:c r="R114" s="85" t="str">
        <x:v>SUPPORT EXPENSES</x:v>
      </x:c>
      <x:c r="S114" s="86" t="str">
        <x:v>SUPPORT EXPENSES</x:v>
      </x:c>
      <x:c r="T114" s="84" t="str">
        <x:v>SUPPORT EXPENSES</x:v>
      </x:c>
      <x:c r="U114" s="85" t="str">
        <x:v>SUPPORT EXPENSES</x:v>
      </x:c>
      <x:c r="V114" s="86" t="str">
        <x:v>SUPPORT EXPENSES</x:v>
      </x:c>
      <x:c r="W114" s="84" t="str">
        <x:v>SUPPORT EXPENSES</x:v>
      </x:c>
      <x:c r="X114" s="85" t="str">
        <x:v>SUPPORT EXPENSES</x:v>
      </x:c>
      <x:c r="Y114" s="86" t="str">
        <x:v>SUPPORT EXPENSES</x:v>
      </x:c>
      <x:c r="Z114" s="84" t="str">
        <x:v>SUPPORT EXPENSES</x:v>
      </x:c>
      <x:c r="AA114" s="85" t="str">
        <x:v>SUPPORT EXPENSES</x:v>
      </x:c>
      <x:c r="AB114" s="86" t="str">
        <x:v>SUPPORT EXPENSES</x:v>
      </x:c>
      <x:c r="AC114" s="84" t="str">
        <x:v>SUPPORT EXPENSES</x:v>
      </x:c>
      <x:c r="AD114" s="85" t="str">
        <x:v>SUPPORT EXPENSES</x:v>
      </x:c>
      <x:c r="AE114" s="86" t="str">
        <x:v>SUPPORT EXPENSES</x:v>
      </x:c>
      <x:c r="AF114" s="84" t="str">
        <x:v>SUPPORT EXPENSES</x:v>
      </x:c>
      <x:c r="AG114" s="85" t="str">
        <x:v>SUPPORT EXPENSES</x:v>
      </x:c>
      <x:c r="AH114" s="86" t="str">
        <x:v>SUPPORT EXPENSES</x:v>
      </x:c>
      <x:c r="AI114" s="84" t="str">
        <x:v>SUPPORT EXPENSES</x:v>
      </x:c>
      <x:c r="AJ114" s="85" t="str">
        <x:v>SUPPORT EXPENSES</x:v>
      </x:c>
      <x:c r="AK114" s="86" t="str">
        <x:v>SUPPORT EXPENSES</x:v>
      </x:c>
    </x:row>
    <x:row r="115" ht="22" customHeight="1">
      <x:c r="A115" s="116" t="str">
        <x:v>Salaries and Wages</x:v>
      </x:c>
      <x:c r="B115" s="130"/>
      <x:c r="C115" s="131" t="n">
        <x:f>IF(B115&lt;&gt;"",B115,D115)</x:f>
        <x:v>3000</x:v>
      </x:c>
      <x:c r="D115" s="132" t="n">
        <x:v>3000</x:v>
      </x:c>
      <x:c r="E115" s="130"/>
      <x:c r="F115" s="131" t="n">
        <x:f>IF(E115&lt;&gt;"",E115,G115)</x:f>
        <x:v>3000</x:v>
      </x:c>
      <x:c r="G115" s="132" t="n">
        <x:v>3000</x:v>
      </x:c>
      <x:c r="H115" s="130"/>
      <x:c r="I115" s="131" t="n">
        <x:f>IF(H115&lt;&gt;"",H115,J115)</x:f>
        <x:v>3000</x:v>
      </x:c>
      <x:c r="J115" s="132" t="n">
        <x:v>3000</x:v>
      </x:c>
      <x:c r="K115" s="130"/>
      <x:c r="L115" s="131" t="n">
        <x:f>IF(K115&lt;&gt;"",K115,M115)</x:f>
        <x:v>3000</x:v>
      </x:c>
      <x:c r="M115" s="132" t="n">
        <x:v>3000</x:v>
      </x:c>
      <x:c r="N115" s="130"/>
      <x:c r="O115" s="131" t="n">
        <x:f>IF(N115&lt;&gt;"",N115,P115)</x:f>
        <x:v>3000</x:v>
      </x:c>
      <x:c r="P115" s="132" t="n">
        <x:v>3000</x:v>
      </x:c>
      <x:c r="Q115" s="130"/>
      <x:c r="R115" s="131" t="n">
        <x:f>IF(Q115&lt;&gt;"",Q115,S115)</x:f>
        <x:v>3000</x:v>
      </x:c>
      <x:c r="S115" s="132" t="n">
        <x:v>3000</x:v>
      </x:c>
      <x:c r="T115" s="130"/>
      <x:c r="U115" s="131" t="n">
        <x:f>IF(T115&lt;&gt;"",T115,V115)</x:f>
        <x:v>3000</x:v>
      </x:c>
      <x:c r="V115" s="132" t="n">
        <x:v>3000</x:v>
      </x:c>
      <x:c r="W115" s="130"/>
      <x:c r="X115" s="131" t="n">
        <x:f>IF(W115&lt;&gt;"",W115,Y115)</x:f>
        <x:v>3000</x:v>
      </x:c>
      <x:c r="Y115" s="132" t="n">
        <x:v>3000</x:v>
      </x:c>
      <x:c r="Z115" s="130"/>
      <x:c r="AA115" s="131" t="n">
        <x:f>IF(Z115&lt;&gt;"",Z115,AB115)</x:f>
        <x:v>3000</x:v>
      </x:c>
      <x:c r="AB115" s="132" t="n">
        <x:v>3000</x:v>
      </x:c>
      <x:c r="AC115" s="130"/>
      <x:c r="AD115" s="131" t="n">
        <x:f>IF(AC115&lt;&gt;"",AC115,AE115)</x:f>
        <x:v>3000</x:v>
      </x:c>
      <x:c r="AE115" s="132" t="n">
        <x:v>3000</x:v>
      </x:c>
      <x:c r="AF115" s="130" t="n">
        <x:v>2940</x:v>
      </x:c>
      <x:c r="AG115" s="131" t="n">
        <x:f>IF(AF115&lt;&gt;"",AF115,AH115)</x:f>
        <x:v>2940</x:v>
      </x:c>
      <x:c r="AH115" s="132" t="n">
        <x:v>3000</x:v>
      </x:c>
      <x:c r="AI115" s="130" t="n">
        <x:v>3150</x:v>
      </x:c>
      <x:c r="AJ115" s="131" t="n">
        <x:f>IF(AI115&lt;&gt;"",AI115,AK115)</x:f>
        <x:v>3150</x:v>
      </x:c>
      <x:c r="AK115" s="132" t="n">
        <x:v>3000</x:v>
      </x:c>
    </x:row>
    <x:row r="116" ht="22" customHeight="1">
      <x:c r="A116" s="116" t="str">
        <x:v>Bonuses</x:v>
      </x:c>
      <x:c r="B116" s="130"/>
      <x:c r="C116" s="131" t="n">
        <x:f>IF(B116&lt;&gt;"",B116,D116)</x:f>
        <x:v>0</x:v>
      </x:c>
      <x:c r="D116" s="132" t="n">
        <x:v>0</x:v>
      </x:c>
      <x:c r="E116" s="130"/>
      <x:c r="F116" s="131" t="n">
        <x:f>IF(E116&lt;&gt;"",E116,G116)</x:f>
        <x:v>0</x:v>
      </x:c>
      <x:c r="G116" s="132" t="n">
        <x:v>0</x:v>
      </x:c>
      <x:c r="H116" s="130"/>
      <x:c r="I116" s="131" t="n">
        <x:f>IF(H116&lt;&gt;"",H116,J116)</x:f>
        <x:v>0</x:v>
      </x:c>
      <x:c r="J116" s="132" t="n">
        <x:v>0</x:v>
      </x:c>
      <x:c r="K116" s="130"/>
      <x:c r="L116" s="131" t="n">
        <x:f>IF(K116&lt;&gt;"",K116,M116)</x:f>
        <x:v>0</x:v>
      </x:c>
      <x:c r="M116" s="132" t="n">
        <x:v>0</x:v>
      </x:c>
      <x:c r="N116" s="130"/>
      <x:c r="O116" s="131" t="n">
        <x:f>IF(N116&lt;&gt;"",N116,P116)</x:f>
        <x:v>0</x:v>
      </x:c>
      <x:c r="P116" s="132" t="n">
        <x:v>0</x:v>
      </x:c>
      <x:c r="Q116" s="130"/>
      <x:c r="R116" s="131" t="n">
        <x:f>IF(Q116&lt;&gt;"",Q116,S116)</x:f>
        <x:v>0</x:v>
      </x:c>
      <x:c r="S116" s="132" t="n">
        <x:v>0</x:v>
      </x:c>
      <x:c r="T116" s="130"/>
      <x:c r="U116" s="131" t="n">
        <x:f>IF(T116&lt;&gt;"",T116,V116)</x:f>
        <x:v>0</x:v>
      </x:c>
      <x:c r="V116" s="132" t="n">
        <x:v>0</x:v>
      </x:c>
      <x:c r="W116" s="130"/>
      <x:c r="X116" s="131" t="n">
        <x:f>IF(W116&lt;&gt;"",W116,Y116)</x:f>
        <x:v>0</x:v>
      </x:c>
      <x:c r="Y116" s="132" t="n">
        <x:v>0</x:v>
      </x:c>
      <x:c r="Z116" s="130"/>
      <x:c r="AA116" s="131" t="n">
        <x:f>IF(Z116&lt;&gt;"",Z116,AB116)</x:f>
        <x:v>0</x:v>
      </x:c>
      <x:c r="AB116" s="132" t="n">
        <x:v>0</x:v>
      </x:c>
      <x:c r="AC116" s="130"/>
      <x:c r="AD116" s="131" t="n">
        <x:f>IF(AC116&lt;&gt;"",AC116,AE116)</x:f>
        <x:v>0</x:v>
      </x:c>
      <x:c r="AE116" s="132" t="n">
        <x:v>0</x:v>
      </x:c>
      <x:c r="AF116" s="130" t="n">
        <x:v>0</x:v>
      </x:c>
      <x:c r="AG116" s="131" t="n">
        <x:f>IF(AF116&lt;&gt;"",AF116,AH116)</x:f>
        <x:v>0</x:v>
      </x:c>
      <x:c r="AH116" s="132" t="n">
        <x:v>0</x:v>
      </x:c>
      <x:c r="AI116" s="130" t="n">
        <x:v>0</x:v>
      </x:c>
      <x:c r="AJ116" s="131" t="n">
        <x:f>IF(AI116&lt;&gt;"",AI116,AK116)</x:f>
        <x:v>0</x:v>
      </x:c>
      <x:c r="AK116" s="132" t="n">
        <x:v>0</x:v>
      </x:c>
    </x:row>
    <x:row r="117" ht="22" customHeight="1">
      <x:c r="A117" s="116" t="str">
        <x:v>Payroll Taxes and Benefits</x:v>
      </x:c>
      <x:c r="B117" s="130"/>
      <x:c r="C117" s="131" t="n">
        <x:f>IF(B117&lt;&gt;"",B117,D117)</x:f>
        <x:v>600</x:v>
      </x:c>
      <x:c r="D117" s="132" t="n">
        <x:v>600</x:v>
      </x:c>
      <x:c r="E117" s="130"/>
      <x:c r="F117" s="131" t="n">
        <x:f>IF(E117&lt;&gt;"",E117,G117)</x:f>
        <x:v>600</x:v>
      </x:c>
      <x:c r="G117" s="132" t="n">
        <x:v>600</x:v>
      </x:c>
      <x:c r="H117" s="130"/>
      <x:c r="I117" s="131" t="n">
        <x:f>IF(H117&lt;&gt;"",H117,J117)</x:f>
        <x:v>600</x:v>
      </x:c>
      <x:c r="J117" s="132" t="n">
        <x:v>600</x:v>
      </x:c>
      <x:c r="K117" s="130"/>
      <x:c r="L117" s="131" t="n">
        <x:f>IF(K117&lt;&gt;"",K117,M117)</x:f>
        <x:v>600</x:v>
      </x:c>
      <x:c r="M117" s="132" t="n">
        <x:v>600</x:v>
      </x:c>
      <x:c r="N117" s="130"/>
      <x:c r="O117" s="131" t="n">
        <x:f>IF(N117&lt;&gt;"",N117,P117)</x:f>
        <x:v>600</x:v>
      </x:c>
      <x:c r="P117" s="132" t="n">
        <x:v>600</x:v>
      </x:c>
      <x:c r="Q117" s="130"/>
      <x:c r="R117" s="131" t="n">
        <x:f>IF(Q117&lt;&gt;"",Q117,S117)</x:f>
        <x:v>600</x:v>
      </x:c>
      <x:c r="S117" s="132" t="n">
        <x:v>600</x:v>
      </x:c>
      <x:c r="T117" s="130"/>
      <x:c r="U117" s="131" t="n">
        <x:f>IF(T117&lt;&gt;"",T117,V117)</x:f>
        <x:v>600</x:v>
      </x:c>
      <x:c r="V117" s="132" t="n">
        <x:v>600</x:v>
      </x:c>
      <x:c r="W117" s="130"/>
      <x:c r="X117" s="131" t="n">
        <x:f>IF(W117&lt;&gt;"",W117,Y117)</x:f>
        <x:v>600</x:v>
      </x:c>
      <x:c r="Y117" s="132" t="n">
        <x:v>600</x:v>
      </x:c>
      <x:c r="Z117" s="130"/>
      <x:c r="AA117" s="131" t="n">
        <x:f>IF(Z117&lt;&gt;"",Z117,AB117)</x:f>
        <x:v>600</x:v>
      </x:c>
      <x:c r="AB117" s="132" t="n">
        <x:v>600</x:v>
      </x:c>
      <x:c r="AC117" s="130"/>
      <x:c r="AD117" s="131" t="n">
        <x:f>IF(AC117&lt;&gt;"",AC117,AE117)</x:f>
        <x:v>600</x:v>
      </x:c>
      <x:c r="AE117" s="132" t="n">
        <x:v>600</x:v>
      </x:c>
      <x:c r="AF117" s="130" t="n">
        <x:v>588</x:v>
      </x:c>
      <x:c r="AG117" s="131" t="n">
        <x:f>IF(AF117&lt;&gt;"",AF117,AH117)</x:f>
        <x:v>588</x:v>
      </x:c>
      <x:c r="AH117" s="132" t="n">
        <x:v>600</x:v>
      </x:c>
      <x:c r="AI117" s="130" t="n">
        <x:v>630</x:v>
      </x:c>
      <x:c r="AJ117" s="131" t="n">
        <x:f>IF(AI117&lt;&gt;"",AI117,AK117)</x:f>
        <x:v>630</x:v>
      </x:c>
      <x:c r="AK117" s="132" t="n">
        <x:v>600</x:v>
      </x:c>
    </x:row>
    <x:row r="118" ht="22" customHeight="1">
      <x:c r="A118" s="116" t="str">
        <x:v>Contractors and Freelancers</x:v>
      </x:c>
      <x:c r="B118" s="130"/>
      <x:c r="C118" s="131" t="n">
        <x:f>IF(B118&lt;&gt;"",B118,D118)</x:f>
        <x:v>0</x:v>
      </x:c>
      <x:c r="D118" s="132" t="n">
        <x:v>0</x:v>
      </x:c>
      <x:c r="E118" s="130"/>
      <x:c r="F118" s="131" t="n">
        <x:f>IF(E118&lt;&gt;"",E118,G118)</x:f>
        <x:v>0</x:v>
      </x:c>
      <x:c r="G118" s="132" t="n">
        <x:v>0</x:v>
      </x:c>
      <x:c r="H118" s="130"/>
      <x:c r="I118" s="131" t="n">
        <x:f>IF(H118&lt;&gt;"",H118,J118)</x:f>
        <x:v>0</x:v>
      </x:c>
      <x:c r="J118" s="132" t="n">
        <x:v>0</x:v>
      </x:c>
      <x:c r="K118" s="130"/>
      <x:c r="L118" s="131" t="n">
        <x:f>IF(K118&lt;&gt;"",K118,M118)</x:f>
        <x:v>0</x:v>
      </x:c>
      <x:c r="M118" s="132" t="n">
        <x:v>0</x:v>
      </x:c>
      <x:c r="N118" s="130"/>
      <x:c r="O118" s="131" t="n">
        <x:f>IF(N118&lt;&gt;"",N118,P118)</x:f>
        <x:v>0</x:v>
      </x:c>
      <x:c r="P118" s="132" t="n">
        <x:v>0</x:v>
      </x:c>
      <x:c r="Q118" s="130"/>
      <x:c r="R118" s="131" t="n">
        <x:f>IF(Q118&lt;&gt;"",Q118,S118)</x:f>
        <x:v>0</x:v>
      </x:c>
      <x:c r="S118" s="132" t="n">
        <x:v>0</x:v>
      </x:c>
      <x:c r="T118" s="130"/>
      <x:c r="U118" s="131" t="n">
        <x:f>IF(T118&lt;&gt;"",T118,V118)</x:f>
        <x:v>0</x:v>
      </x:c>
      <x:c r="V118" s="132" t="n">
        <x:v>0</x:v>
      </x:c>
      <x:c r="W118" s="130"/>
      <x:c r="X118" s="131" t="n">
        <x:f>IF(W118&lt;&gt;"",W118,Y118)</x:f>
        <x:v>0</x:v>
      </x:c>
      <x:c r="Y118" s="132" t="n">
        <x:v>0</x:v>
      </x:c>
      <x:c r="Z118" s="130"/>
      <x:c r="AA118" s="131" t="n">
        <x:f>IF(Z118&lt;&gt;"",Z118,AB118)</x:f>
        <x:v>0</x:v>
      </x:c>
      <x:c r="AB118" s="132" t="n">
        <x:v>0</x:v>
      </x:c>
      <x:c r="AC118" s="130"/>
      <x:c r="AD118" s="131" t="n">
        <x:f>IF(AC118&lt;&gt;"",AC118,AE118)</x:f>
        <x:v>0</x:v>
      </x:c>
      <x:c r="AE118" s="132" t="n">
        <x:v>0</x:v>
      </x:c>
      <x:c r="AF118" s="130" t="n">
        <x:v>0</x:v>
      </x:c>
      <x:c r="AG118" s="131" t="n">
        <x:f>IF(AF118&lt;&gt;"",AF118,AH118)</x:f>
        <x:v>0</x:v>
      </x:c>
      <x:c r="AH118" s="132" t="n">
        <x:v>0</x:v>
      </x:c>
      <x:c r="AI118" s="130" t="n">
        <x:v>0</x:v>
      </x:c>
      <x:c r="AJ118" s="131" t="n">
        <x:f>IF(AI118&lt;&gt;"",AI118,AK118)</x:f>
        <x:v>0</x:v>
      </x:c>
      <x:c r="AK118" s="132" t="n">
        <x:v>0</x:v>
      </x:c>
    </x:row>
    <x:row r="119" ht="22" customHeight="1">
      <x:c r="A119" s="116" t="str">
        <x:v>Recruiting</x:v>
      </x:c>
      <x:c r="B119" s="130"/>
      <x:c r="C119" s="131" t="n">
        <x:f>IF(B119&lt;&gt;"",B119,D119)</x:f>
        <x:v>0</x:v>
      </x:c>
      <x:c r="D119" s="132" t="n">
        <x:v>0</x:v>
      </x:c>
      <x:c r="E119" s="130"/>
      <x:c r="F119" s="131" t="n">
        <x:f>IF(E119&lt;&gt;"",E119,G119)</x:f>
        <x:v>0</x:v>
      </x:c>
      <x:c r="G119" s="132" t="n">
        <x:v>0</x:v>
      </x:c>
      <x:c r="H119" s="130"/>
      <x:c r="I119" s="131" t="n">
        <x:f>IF(H119&lt;&gt;"",H119,J119)</x:f>
        <x:v>0</x:v>
      </x:c>
      <x:c r="J119" s="132" t="n">
        <x:v>0</x:v>
      </x:c>
      <x:c r="K119" s="130"/>
      <x:c r="L119" s="131" t="n">
        <x:f>IF(K119&lt;&gt;"",K119,M119)</x:f>
        <x:v>0</x:v>
      </x:c>
      <x:c r="M119" s="132" t="n">
        <x:v>0</x:v>
      </x:c>
      <x:c r="N119" s="130"/>
      <x:c r="O119" s="131" t="n">
        <x:f>IF(N119&lt;&gt;"",N119,P119)</x:f>
        <x:v>0</x:v>
      </x:c>
      <x:c r="P119" s="132" t="n">
        <x:v>0</x:v>
      </x:c>
      <x:c r="Q119" s="130"/>
      <x:c r="R119" s="131" t="n">
        <x:f>IF(Q119&lt;&gt;"",Q119,S119)</x:f>
        <x:v>0</x:v>
      </x:c>
      <x:c r="S119" s="132" t="n">
        <x:v>0</x:v>
      </x:c>
      <x:c r="T119" s="130"/>
      <x:c r="U119" s="131" t="n">
        <x:f>IF(T119&lt;&gt;"",T119,V119)</x:f>
        <x:v>0</x:v>
      </x:c>
      <x:c r="V119" s="132" t="n">
        <x:v>0</x:v>
      </x:c>
      <x:c r="W119" s="130"/>
      <x:c r="X119" s="131" t="n">
        <x:f>IF(W119&lt;&gt;"",W119,Y119)</x:f>
        <x:v>0</x:v>
      </x:c>
      <x:c r="Y119" s="132" t="n">
        <x:v>0</x:v>
      </x:c>
      <x:c r="Z119" s="130"/>
      <x:c r="AA119" s="131" t="n">
        <x:f>IF(Z119&lt;&gt;"",Z119,AB119)</x:f>
        <x:v>0</x:v>
      </x:c>
      <x:c r="AB119" s="132" t="n">
        <x:v>0</x:v>
      </x:c>
      <x:c r="AC119" s="130"/>
      <x:c r="AD119" s="131" t="n">
        <x:f>IF(AC119&lt;&gt;"",AC119,AE119)</x:f>
        <x:v>0</x:v>
      </x:c>
      <x:c r="AE119" s="132" t="n">
        <x:v>0</x:v>
      </x:c>
      <x:c r="AF119" s="130" t="n">
        <x:v>0</x:v>
      </x:c>
      <x:c r="AG119" s="131" t="n">
        <x:f>IF(AF119&lt;&gt;"",AF119,AH119)</x:f>
        <x:v>0</x:v>
      </x:c>
      <x:c r="AH119" s="132" t="n">
        <x:v>0</x:v>
      </x:c>
      <x:c r="AI119" s="130" t="n">
        <x:v>0</x:v>
      </x:c>
      <x:c r="AJ119" s="131" t="n">
        <x:f>IF(AI119&lt;&gt;"",AI119,AK119)</x:f>
        <x:v>0</x:v>
      </x:c>
      <x:c r="AK119" s="132" t="n">
        <x:v>0</x:v>
      </x:c>
    </x:row>
    <x:row r="120" ht="22" customHeight="1">
      <x:c r="A120" s="116" t="str">
        <x:v>Training and Development</x:v>
      </x:c>
      <x:c r="B120" s="130"/>
      <x:c r="C120" s="131" t="n">
        <x:f>IF(B120&lt;&gt;"",B120,D120)</x:f>
        <x:v>0</x:v>
      </x:c>
      <x:c r="D120" s="132" t="n">
        <x:v>0</x:v>
      </x:c>
      <x:c r="E120" s="130"/>
      <x:c r="F120" s="131" t="n">
        <x:f>IF(E120&lt;&gt;"",E120,G120)</x:f>
        <x:v>0</x:v>
      </x:c>
      <x:c r="G120" s="132" t="n">
        <x:v>0</x:v>
      </x:c>
      <x:c r="H120" s="130"/>
      <x:c r="I120" s="131" t="n">
        <x:f>IF(H120&lt;&gt;"",H120,J120)</x:f>
        <x:v>0</x:v>
      </x:c>
      <x:c r="J120" s="132" t="n">
        <x:v>0</x:v>
      </x:c>
      <x:c r="K120" s="130"/>
      <x:c r="L120" s="131" t="n">
        <x:f>IF(K120&lt;&gt;"",K120,M120)</x:f>
        <x:v>0</x:v>
      </x:c>
      <x:c r="M120" s="132" t="n">
        <x:v>0</x:v>
      </x:c>
      <x:c r="N120" s="130"/>
      <x:c r="O120" s="131" t="n">
        <x:f>IF(N120&lt;&gt;"",N120,P120)</x:f>
        <x:v>0</x:v>
      </x:c>
      <x:c r="P120" s="132" t="n">
        <x:v>0</x:v>
      </x:c>
      <x:c r="Q120" s="130"/>
      <x:c r="R120" s="131" t="n">
        <x:f>IF(Q120&lt;&gt;"",Q120,S120)</x:f>
        <x:v>0</x:v>
      </x:c>
      <x:c r="S120" s="132" t="n">
        <x:v>0</x:v>
      </x:c>
      <x:c r="T120" s="130"/>
      <x:c r="U120" s="131" t="n">
        <x:f>IF(T120&lt;&gt;"",T120,V120)</x:f>
        <x:v>0</x:v>
      </x:c>
      <x:c r="V120" s="132" t="n">
        <x:v>0</x:v>
      </x:c>
      <x:c r="W120" s="130"/>
      <x:c r="X120" s="131" t="n">
        <x:f>IF(W120&lt;&gt;"",W120,Y120)</x:f>
        <x:v>0</x:v>
      </x:c>
      <x:c r="Y120" s="132" t="n">
        <x:v>0</x:v>
      </x:c>
      <x:c r="Z120" s="130"/>
      <x:c r="AA120" s="131" t="n">
        <x:f>IF(Z120&lt;&gt;"",Z120,AB120)</x:f>
        <x:v>0</x:v>
      </x:c>
      <x:c r="AB120" s="132" t="n">
        <x:v>0</x:v>
      </x:c>
      <x:c r="AC120" s="130"/>
      <x:c r="AD120" s="131" t="n">
        <x:f>IF(AC120&lt;&gt;"",AC120,AE120)</x:f>
        <x:v>0</x:v>
      </x:c>
      <x:c r="AE120" s="132" t="n">
        <x:v>0</x:v>
      </x:c>
      <x:c r="AF120" s="130" t="n">
        <x:v>0</x:v>
      </x:c>
      <x:c r="AG120" s="131" t="n">
        <x:f>IF(AF120&lt;&gt;"",AF120,AH120)</x:f>
        <x:v>0</x:v>
      </x:c>
      <x:c r="AH120" s="132" t="n">
        <x:v>0</x:v>
      </x:c>
      <x:c r="AI120" s="130" t="n">
        <x:v>0</x:v>
      </x:c>
      <x:c r="AJ120" s="131" t="n">
        <x:f>IF(AI120&lt;&gt;"",AI120,AK120)</x:f>
        <x:v>0</x:v>
      </x:c>
      <x:c r="AK120" s="132" t="n">
        <x:v>0</x:v>
      </x:c>
    </x:row>
    <x:row r="121" ht="22" customHeight="1">
      <x:c r="A121" s="116" t="str">
        <x:v>Software Subscriptions</x:v>
      </x:c>
      <x:c r="B121" s="130"/>
      <x:c r="C121" s="131" t="n">
        <x:f>IF(B121&lt;&gt;"",B121,D121)</x:f>
        <x:v>200</x:v>
      </x:c>
      <x:c r="D121" s="132" t="n">
        <x:v>200</x:v>
      </x:c>
      <x:c r="E121" s="130"/>
      <x:c r="F121" s="131" t="n">
        <x:f>IF(E121&lt;&gt;"",E121,G121)</x:f>
        <x:v>200</x:v>
      </x:c>
      <x:c r="G121" s="132" t="n">
        <x:v>200</x:v>
      </x:c>
      <x:c r="H121" s="130"/>
      <x:c r="I121" s="131" t="n">
        <x:f>IF(H121&lt;&gt;"",H121,J121)</x:f>
        <x:v>200</x:v>
      </x:c>
      <x:c r="J121" s="132" t="n">
        <x:v>200</x:v>
      </x:c>
      <x:c r="K121" s="130"/>
      <x:c r="L121" s="131" t="n">
        <x:f>IF(K121&lt;&gt;"",K121,M121)</x:f>
        <x:v>200</x:v>
      </x:c>
      <x:c r="M121" s="132" t="n">
        <x:v>200</x:v>
      </x:c>
      <x:c r="N121" s="130"/>
      <x:c r="O121" s="131" t="n">
        <x:f>IF(N121&lt;&gt;"",N121,P121)</x:f>
        <x:v>200</x:v>
      </x:c>
      <x:c r="P121" s="132" t="n">
        <x:v>200</x:v>
      </x:c>
      <x:c r="Q121" s="130"/>
      <x:c r="R121" s="131" t="n">
        <x:f>IF(Q121&lt;&gt;"",Q121,S121)</x:f>
        <x:v>200</x:v>
      </x:c>
      <x:c r="S121" s="132" t="n">
        <x:v>200</x:v>
      </x:c>
      <x:c r="T121" s="130"/>
      <x:c r="U121" s="131" t="n">
        <x:f>IF(T121&lt;&gt;"",T121,V121)</x:f>
        <x:v>200</x:v>
      </x:c>
      <x:c r="V121" s="132" t="n">
        <x:v>200</x:v>
      </x:c>
      <x:c r="W121" s="130"/>
      <x:c r="X121" s="131" t="n">
        <x:f>IF(W121&lt;&gt;"",W121,Y121)</x:f>
        <x:v>200</x:v>
      </x:c>
      <x:c r="Y121" s="132" t="n">
        <x:v>200</x:v>
      </x:c>
      <x:c r="Z121" s="130"/>
      <x:c r="AA121" s="131" t="n">
        <x:f>IF(Z121&lt;&gt;"",Z121,AB121)</x:f>
        <x:v>200</x:v>
      </x:c>
      <x:c r="AB121" s="132" t="n">
        <x:v>200</x:v>
      </x:c>
      <x:c r="AC121" s="130"/>
      <x:c r="AD121" s="131" t="n">
        <x:f>IF(AC121&lt;&gt;"",AC121,AE121)</x:f>
        <x:v>200</x:v>
      </x:c>
      <x:c r="AE121" s="132" t="n">
        <x:v>200</x:v>
      </x:c>
      <x:c r="AF121" s="130" t="n">
        <x:v>196</x:v>
      </x:c>
      <x:c r="AG121" s="131" t="n">
        <x:f>IF(AF121&lt;&gt;"",AF121,AH121)</x:f>
        <x:v>196</x:v>
      </x:c>
      <x:c r="AH121" s="132" t="n">
        <x:v>200</x:v>
      </x:c>
      <x:c r="AI121" s="130" t="n">
        <x:v>210</x:v>
      </x:c>
      <x:c r="AJ121" s="131" t="n">
        <x:f>IF(AI121&lt;&gt;"",AI121,AK121)</x:f>
        <x:v>210</x:v>
      </x:c>
      <x:c r="AK121" s="132" t="n">
        <x:v>200</x:v>
      </x:c>
    </x:row>
    <x:row r="122" ht="22" customHeight="1">
      <x:c r="A122" s="116" t="str">
        <x:v>Dues and Subscriptions</x:v>
      </x:c>
      <x:c r="B122" s="130"/>
      <x:c r="C122" s="131" t="n">
        <x:f>IF(B122&lt;&gt;"",B122,D122)</x:f>
        <x:v>0</x:v>
      </x:c>
      <x:c r="D122" s="132" t="n">
        <x:v>0</x:v>
      </x:c>
      <x:c r="E122" s="130"/>
      <x:c r="F122" s="131" t="n">
        <x:f>IF(E122&lt;&gt;"",E122,G122)</x:f>
        <x:v>0</x:v>
      </x:c>
      <x:c r="G122" s="132" t="n">
        <x:v>0</x:v>
      </x:c>
      <x:c r="H122" s="130"/>
      <x:c r="I122" s="131" t="n">
        <x:f>IF(H122&lt;&gt;"",H122,J122)</x:f>
        <x:v>0</x:v>
      </x:c>
      <x:c r="J122" s="132" t="n">
        <x:v>0</x:v>
      </x:c>
      <x:c r="K122" s="130"/>
      <x:c r="L122" s="131" t="n">
        <x:f>IF(K122&lt;&gt;"",K122,M122)</x:f>
        <x:v>0</x:v>
      </x:c>
      <x:c r="M122" s="132" t="n">
        <x:v>0</x:v>
      </x:c>
      <x:c r="N122" s="130"/>
      <x:c r="O122" s="131" t="n">
        <x:f>IF(N122&lt;&gt;"",N122,P122)</x:f>
        <x:v>0</x:v>
      </x:c>
      <x:c r="P122" s="132" t="n">
        <x:v>0</x:v>
      </x:c>
      <x:c r="Q122" s="130"/>
      <x:c r="R122" s="131" t="n">
        <x:f>IF(Q122&lt;&gt;"",Q122,S122)</x:f>
        <x:v>0</x:v>
      </x:c>
      <x:c r="S122" s="132" t="n">
        <x:v>0</x:v>
      </x:c>
      <x:c r="T122" s="130"/>
      <x:c r="U122" s="131" t="n">
        <x:f>IF(T122&lt;&gt;"",T122,V122)</x:f>
        <x:v>0</x:v>
      </x:c>
      <x:c r="V122" s="132" t="n">
        <x:v>0</x:v>
      </x:c>
      <x:c r="W122" s="130"/>
      <x:c r="X122" s="131" t="n">
        <x:f>IF(W122&lt;&gt;"",W122,Y122)</x:f>
        <x:v>0</x:v>
      </x:c>
      <x:c r="Y122" s="132" t="n">
        <x:v>0</x:v>
      </x:c>
      <x:c r="Z122" s="130"/>
      <x:c r="AA122" s="131" t="n">
        <x:f>IF(Z122&lt;&gt;"",Z122,AB122)</x:f>
        <x:v>0</x:v>
      </x:c>
      <x:c r="AB122" s="132" t="n">
        <x:v>0</x:v>
      </x:c>
      <x:c r="AC122" s="130"/>
      <x:c r="AD122" s="131" t="n">
        <x:f>IF(AC122&lt;&gt;"",AC122,AE122)</x:f>
        <x:v>0</x:v>
      </x:c>
      <x:c r="AE122" s="132" t="n">
        <x:v>0</x:v>
      </x:c>
      <x:c r="AF122" s="130" t="n">
        <x:v>0</x:v>
      </x:c>
      <x:c r="AG122" s="131" t="n">
        <x:f>IF(AF122&lt;&gt;"",AF122,AH122)</x:f>
        <x:v>0</x:v>
      </x:c>
      <x:c r="AH122" s="132" t="n">
        <x:v>0</x:v>
      </x:c>
      <x:c r="AI122" s="130" t="n">
        <x:v>0</x:v>
      </x:c>
      <x:c r="AJ122" s="131" t="n">
        <x:f>IF(AI122&lt;&gt;"",AI122,AK122)</x:f>
        <x:v>0</x:v>
      </x:c>
      <x:c r="AK122" s="132" t="n">
        <x:v>0</x:v>
      </x:c>
    </x:row>
    <x:row r="123" ht="22" customHeight="1">
      <x:c r="A123" s="116" t="str">
        <x:v>Travel, Meals and Entertainment</x:v>
      </x:c>
      <x:c r="B123" s="130"/>
      <x:c r="C123" s="131" t="n">
        <x:f>IF(B123&lt;&gt;"",B123,D123)</x:f>
        <x:v>0</x:v>
      </x:c>
      <x:c r="D123" s="132" t="n">
        <x:v>0</x:v>
      </x:c>
      <x:c r="E123" s="130"/>
      <x:c r="F123" s="131" t="n">
        <x:f>IF(E123&lt;&gt;"",E123,G123)</x:f>
        <x:v>0</x:v>
      </x:c>
      <x:c r="G123" s="132" t="n">
        <x:v>0</x:v>
      </x:c>
      <x:c r="H123" s="130"/>
      <x:c r="I123" s="131" t="n">
        <x:f>IF(H123&lt;&gt;"",H123,J123)</x:f>
        <x:v>0</x:v>
      </x:c>
      <x:c r="J123" s="132" t="n">
        <x:v>0</x:v>
      </x:c>
      <x:c r="K123" s="130"/>
      <x:c r="L123" s="131" t="n">
        <x:f>IF(K123&lt;&gt;"",K123,M123)</x:f>
        <x:v>0</x:v>
      </x:c>
      <x:c r="M123" s="132" t="n">
        <x:v>0</x:v>
      </x:c>
      <x:c r="N123" s="130"/>
      <x:c r="O123" s="131" t="n">
        <x:f>IF(N123&lt;&gt;"",N123,P123)</x:f>
        <x:v>0</x:v>
      </x:c>
      <x:c r="P123" s="132" t="n">
        <x:v>0</x:v>
      </x:c>
      <x:c r="Q123" s="130"/>
      <x:c r="R123" s="131" t="n">
        <x:f>IF(Q123&lt;&gt;"",Q123,S123)</x:f>
        <x:v>0</x:v>
      </x:c>
      <x:c r="S123" s="132" t="n">
        <x:v>0</x:v>
      </x:c>
      <x:c r="T123" s="130"/>
      <x:c r="U123" s="131" t="n">
        <x:f>IF(T123&lt;&gt;"",T123,V123)</x:f>
        <x:v>0</x:v>
      </x:c>
      <x:c r="V123" s="132" t="n">
        <x:v>0</x:v>
      </x:c>
      <x:c r="W123" s="130"/>
      <x:c r="X123" s="131" t="n">
        <x:f>IF(W123&lt;&gt;"",W123,Y123)</x:f>
        <x:v>0</x:v>
      </x:c>
      <x:c r="Y123" s="132" t="n">
        <x:v>0</x:v>
      </x:c>
      <x:c r="Z123" s="130"/>
      <x:c r="AA123" s="131" t="n">
        <x:f>IF(Z123&lt;&gt;"",Z123,AB123)</x:f>
        <x:v>0</x:v>
      </x:c>
      <x:c r="AB123" s="132" t="n">
        <x:v>0</x:v>
      </x:c>
      <x:c r="AC123" s="130"/>
      <x:c r="AD123" s="131" t="n">
        <x:f>IF(AC123&lt;&gt;"",AC123,AE123)</x:f>
        <x:v>0</x:v>
      </x:c>
      <x:c r="AE123" s="132" t="n">
        <x:v>0</x:v>
      </x:c>
      <x:c r="AF123" s="130" t="n">
        <x:v>0</x:v>
      </x:c>
      <x:c r="AG123" s="131" t="n">
        <x:f>IF(AF123&lt;&gt;"",AF123,AH123)</x:f>
        <x:v>0</x:v>
      </x:c>
      <x:c r="AH123" s="132" t="n">
        <x:v>0</x:v>
      </x:c>
      <x:c r="AI123" s="130" t="n">
        <x:v>0</x:v>
      </x:c>
      <x:c r="AJ123" s="131" t="n">
        <x:f>IF(AI123&lt;&gt;"",AI123,AK123)</x:f>
        <x:v>0</x:v>
      </x:c>
      <x:c r="AK123" s="132" t="n">
        <x:v>0</x:v>
      </x:c>
    </x:row>
    <x:row r="124" ht="22" customHeight="1">
      <x:c r="A124" s="136" t="str">
        <x:v>Total Standard Department Cost</x:v>
      </x:c>
      <x:c r="B124" s="137" t="str">
        <x:f>IF(COUNT(B115:B123)&gt;0,SUM(B115:B123),"")</x:f>
      </x:c>
      <x:c r="C124" s="138" t="n">
        <x:f>SUM(C115:C123)</x:f>
        <x:v>3800</x:v>
      </x:c>
      <x:c r="D124" s="139" t="n">
        <x:f>SUM(D115:D123)</x:f>
        <x:v>3800</x:v>
      </x:c>
      <x:c r="E124" s="137" t="str">
        <x:f>IF(COUNT(E115:E123)&gt;0,SUM(E115:E123),"")</x:f>
      </x:c>
      <x:c r="F124" s="138" t="n">
        <x:f>SUM(F115:F123)</x:f>
        <x:v>3800</x:v>
      </x:c>
      <x:c r="G124" s="139" t="n">
        <x:f>SUM(G115:G123)</x:f>
        <x:v>3800</x:v>
      </x:c>
      <x:c r="H124" s="137" t="str">
        <x:f>IF(COUNT(H115:H123)&gt;0,SUM(H115:H123),"")</x:f>
      </x:c>
      <x:c r="I124" s="138" t="n">
        <x:f>SUM(I115:I123)</x:f>
        <x:v>3800</x:v>
      </x:c>
      <x:c r="J124" s="139" t="n">
        <x:f>SUM(J115:J123)</x:f>
        <x:v>3800</x:v>
      </x:c>
      <x:c r="K124" s="137" t="str">
        <x:f>IF(COUNT(K115:K123)&gt;0,SUM(K115:K123),"")</x:f>
      </x:c>
      <x:c r="L124" s="138" t="n">
        <x:f>SUM(L115:L123)</x:f>
        <x:v>3800</x:v>
      </x:c>
      <x:c r="M124" s="139" t="n">
        <x:f>SUM(M115:M123)</x:f>
        <x:v>3800</x:v>
      </x:c>
      <x:c r="N124" s="137" t="str">
        <x:f>IF(COUNT(N115:N123)&gt;0,SUM(N115:N123),"")</x:f>
      </x:c>
      <x:c r="O124" s="138" t="n">
        <x:f>SUM(O115:O123)</x:f>
        <x:v>3800</x:v>
      </x:c>
      <x:c r="P124" s="139" t="n">
        <x:f>SUM(P115:P123)</x:f>
        <x:v>3800</x:v>
      </x:c>
      <x:c r="Q124" s="137" t="str">
        <x:f>IF(COUNT(Q115:Q123)&gt;0,SUM(Q115:Q123),"")</x:f>
      </x:c>
      <x:c r="R124" s="138" t="n">
        <x:f>SUM(R115:R123)</x:f>
        <x:v>3800</x:v>
      </x:c>
      <x:c r="S124" s="139" t="n">
        <x:f>SUM(S115:S123)</x:f>
        <x:v>3800</x:v>
      </x:c>
      <x:c r="T124" s="137" t="str">
        <x:f>IF(COUNT(T115:T123)&gt;0,SUM(T115:T123),"")</x:f>
      </x:c>
      <x:c r="U124" s="138" t="n">
        <x:f>SUM(U115:U123)</x:f>
        <x:v>3800</x:v>
      </x:c>
      <x:c r="V124" s="139" t="n">
        <x:f>SUM(V115:V123)</x:f>
        <x:v>3800</x:v>
      </x:c>
      <x:c r="W124" s="137" t="str">
        <x:f>IF(COUNT(W115:W123)&gt;0,SUM(W115:W123),"")</x:f>
      </x:c>
      <x:c r="X124" s="138" t="n">
        <x:f>SUM(X115:X123)</x:f>
        <x:v>3800</x:v>
      </x:c>
      <x:c r="Y124" s="139" t="n">
        <x:f>SUM(Y115:Y123)</x:f>
        <x:v>3800</x:v>
      </x:c>
      <x:c r="Z124" s="137" t="str">
        <x:f>IF(COUNT(Z115:Z123)&gt;0,SUM(Z115:Z123),"")</x:f>
      </x:c>
      <x:c r="AA124" s="138" t="n">
        <x:f>SUM(AA115:AA123)</x:f>
        <x:v>3800</x:v>
      </x:c>
      <x:c r="AB124" s="139" t="n">
        <x:f>SUM(AB115:AB123)</x:f>
        <x:v>3800</x:v>
      </x:c>
      <x:c r="AC124" s="137" t="str">
        <x:f>IF(COUNT(AC115:AC123)&gt;0,SUM(AC115:AC123),"")</x:f>
      </x:c>
      <x:c r="AD124" s="138" t="n">
        <x:f>SUM(AD115:AD123)</x:f>
        <x:v>3800</x:v>
      </x:c>
      <x:c r="AE124" s="139" t="n">
        <x:f>SUM(AE115:AE123)</x:f>
        <x:v>3800</x:v>
      </x:c>
      <x:c r="AF124" s="137" t="n">
        <x:f>IF(COUNT(AF115:AF123)&gt;0,SUM(AF115:AF123),"")</x:f>
        <x:v>3724</x:v>
      </x:c>
      <x:c r="AG124" s="138" t="n">
        <x:f>SUM(AG115:AG123)</x:f>
        <x:v>3724</x:v>
      </x:c>
      <x:c r="AH124" s="139" t="n">
        <x:f>SUM(AH115:AH123)</x:f>
        <x:v>3800</x:v>
      </x:c>
      <x:c r="AI124" s="137" t="n">
        <x:f>IF(COUNT(AI115:AI123)&gt;0,SUM(AI115:AI123),"")</x:f>
        <x:v>3990</x:v>
      </x:c>
      <x:c r="AJ124" s="138" t="n">
        <x:f>SUM(AJ115:AJ123)</x:f>
        <x:v>3990</x:v>
      </x:c>
      <x:c r="AK124" s="139" t="n">
        <x:f>SUM(AK115:AK123)</x:f>
        <x:v>3800</x:v>
      </x:c>
    </x:row>
    <x:row r="125" ht="22" customHeight="1">
      <x:c r="A125" s="116" t="str">
        <x:v>Support Desk Platform</x:v>
      </x:c>
      <x:c r="B125" s="130"/>
      <x:c r="C125" s="131" t="n">
        <x:f>IF(B125&lt;&gt;"",B125,D125)</x:f>
        <x:v>200</x:v>
      </x:c>
      <x:c r="D125" s="132" t="n">
        <x:v>200</x:v>
      </x:c>
      <x:c r="E125" s="130"/>
      <x:c r="F125" s="131" t="n">
        <x:f>IF(E125&lt;&gt;"",E125,G125)</x:f>
        <x:v>200</x:v>
      </x:c>
      <x:c r="G125" s="132" t="n">
        <x:v>200</x:v>
      </x:c>
      <x:c r="H125" s="130"/>
      <x:c r="I125" s="131" t="n">
        <x:f>IF(H125&lt;&gt;"",H125,J125)</x:f>
        <x:v>200</x:v>
      </x:c>
      <x:c r="J125" s="132" t="n">
        <x:v>200</x:v>
      </x:c>
      <x:c r="K125" s="130"/>
      <x:c r="L125" s="131" t="n">
        <x:f>IF(K125&lt;&gt;"",K125,M125)</x:f>
        <x:v>200</x:v>
      </x:c>
      <x:c r="M125" s="132" t="n">
        <x:v>200</x:v>
      </x:c>
      <x:c r="N125" s="130"/>
      <x:c r="O125" s="131" t="n">
        <x:f>IF(N125&lt;&gt;"",N125,P125)</x:f>
        <x:v>200</x:v>
      </x:c>
      <x:c r="P125" s="132" t="n">
        <x:v>200</x:v>
      </x:c>
      <x:c r="Q125" s="130"/>
      <x:c r="R125" s="131" t="n">
        <x:f>IF(Q125&lt;&gt;"",Q125,S125)</x:f>
        <x:v>200</x:v>
      </x:c>
      <x:c r="S125" s="132" t="n">
        <x:v>200</x:v>
      </x:c>
      <x:c r="T125" s="130"/>
      <x:c r="U125" s="131" t="n">
        <x:f>IF(T125&lt;&gt;"",T125,V125)</x:f>
        <x:v>200</x:v>
      </x:c>
      <x:c r="V125" s="132" t="n">
        <x:v>200</x:v>
      </x:c>
      <x:c r="W125" s="130"/>
      <x:c r="X125" s="131" t="n">
        <x:f>IF(W125&lt;&gt;"",W125,Y125)</x:f>
        <x:v>200</x:v>
      </x:c>
      <x:c r="Y125" s="132" t="n">
        <x:v>200</x:v>
      </x:c>
      <x:c r="Z125" s="130"/>
      <x:c r="AA125" s="131" t="n">
        <x:f>IF(Z125&lt;&gt;"",Z125,AB125)</x:f>
        <x:v>200</x:v>
      </x:c>
      <x:c r="AB125" s="132" t="n">
        <x:v>200</x:v>
      </x:c>
      <x:c r="AC125" s="130"/>
      <x:c r="AD125" s="131" t="n">
        <x:f>IF(AC125&lt;&gt;"",AC125,AE125)</x:f>
        <x:v>200</x:v>
      </x:c>
      <x:c r="AE125" s="132" t="n">
        <x:v>200</x:v>
      </x:c>
      <x:c r="AF125" s="130" t="n">
        <x:v>196</x:v>
      </x:c>
      <x:c r="AG125" s="131" t="n">
        <x:f>IF(AF125&lt;&gt;"",AF125,AH125)</x:f>
        <x:v>196</x:v>
      </x:c>
      <x:c r="AH125" s="132" t="n">
        <x:v>200</x:v>
      </x:c>
      <x:c r="AI125" s="130" t="n">
        <x:v>210</x:v>
      </x:c>
      <x:c r="AJ125" s="131" t="n">
        <x:f>IF(AI125&lt;&gt;"",AI125,AK125)</x:f>
        <x:v>210</x:v>
      </x:c>
      <x:c r="AK125" s="132" t="n">
        <x:v>200</x:v>
      </x:c>
    </x:row>
    <x:row r="126" ht="22" customHeight="1">
      <x:c r="A126" s="116" t="str">
        <x:v>Knowledge Base and Documentation</x:v>
      </x:c>
      <x:c r="B126" s="130"/>
      <x:c r="C126" s="131" t="n">
        <x:f>IF(B126&lt;&gt;"",B126,D126)</x:f>
        <x:v>0</x:v>
      </x:c>
      <x:c r="D126" s="132" t="n">
        <x:v>0</x:v>
      </x:c>
      <x:c r="E126" s="130"/>
      <x:c r="F126" s="131" t="n">
        <x:f>IF(E126&lt;&gt;"",E126,G126)</x:f>
        <x:v>0</x:v>
      </x:c>
      <x:c r="G126" s="132" t="n">
        <x:v>0</x:v>
      </x:c>
      <x:c r="H126" s="130"/>
      <x:c r="I126" s="131" t="n">
        <x:f>IF(H126&lt;&gt;"",H126,J126)</x:f>
        <x:v>0</x:v>
      </x:c>
      <x:c r="J126" s="132" t="n">
        <x:v>0</x:v>
      </x:c>
      <x:c r="K126" s="130"/>
      <x:c r="L126" s="131" t="n">
        <x:f>IF(K126&lt;&gt;"",K126,M126)</x:f>
        <x:v>0</x:v>
      </x:c>
      <x:c r="M126" s="132" t="n">
        <x:v>0</x:v>
      </x:c>
      <x:c r="N126" s="130"/>
      <x:c r="O126" s="131" t="n">
        <x:f>IF(N126&lt;&gt;"",N126,P126)</x:f>
        <x:v>0</x:v>
      </x:c>
      <x:c r="P126" s="132" t="n">
        <x:v>0</x:v>
      </x:c>
      <x:c r="Q126" s="130"/>
      <x:c r="R126" s="131" t="n">
        <x:f>IF(Q126&lt;&gt;"",Q126,S126)</x:f>
        <x:v>0</x:v>
      </x:c>
      <x:c r="S126" s="132" t="n">
        <x:v>0</x:v>
      </x:c>
      <x:c r="T126" s="130"/>
      <x:c r="U126" s="131" t="n">
        <x:f>IF(T126&lt;&gt;"",T126,V126)</x:f>
        <x:v>0</x:v>
      </x:c>
      <x:c r="V126" s="132" t="n">
        <x:v>0</x:v>
      </x:c>
      <x:c r="W126" s="130"/>
      <x:c r="X126" s="131" t="n">
        <x:f>IF(W126&lt;&gt;"",W126,Y126)</x:f>
        <x:v>0</x:v>
      </x:c>
      <x:c r="Y126" s="132" t="n">
        <x:v>0</x:v>
      </x:c>
      <x:c r="Z126" s="130"/>
      <x:c r="AA126" s="131" t="n">
        <x:f>IF(Z126&lt;&gt;"",Z126,AB126)</x:f>
        <x:v>0</x:v>
      </x:c>
      <x:c r="AB126" s="132" t="n">
        <x:v>0</x:v>
      </x:c>
      <x:c r="AC126" s="130"/>
      <x:c r="AD126" s="131" t="n">
        <x:f>IF(AC126&lt;&gt;"",AC126,AE126)</x:f>
        <x:v>0</x:v>
      </x:c>
      <x:c r="AE126" s="132" t="n">
        <x:v>0</x:v>
      </x:c>
      <x:c r="AF126" s="130" t="n">
        <x:v>0</x:v>
      </x:c>
      <x:c r="AG126" s="131" t="n">
        <x:f>IF(AF126&lt;&gt;"",AF126,AH126)</x:f>
        <x:v>0</x:v>
      </x:c>
      <x:c r="AH126" s="132" t="n">
        <x:v>0</x:v>
      </x:c>
      <x:c r="AI126" s="130" t="n">
        <x:v>0</x:v>
      </x:c>
      <x:c r="AJ126" s="131" t="n">
        <x:f>IF(AI126&lt;&gt;"",AI126,AK126)</x:f>
        <x:v>0</x:v>
      </x:c>
      <x:c r="AK126" s="132" t="n">
        <x:v>0</x:v>
      </x:c>
    </x:row>
    <x:row r="127" ht="22" customHeight="1">
      <x:c r="A127" s="116" t="str">
        <x:v>Escalation and On-call</x:v>
      </x:c>
      <x:c r="B127" s="130"/>
      <x:c r="C127" s="131" t="n">
        <x:f>IF(B127&lt;&gt;"",B127,D127)</x:f>
        <x:v>250</x:v>
      </x:c>
      <x:c r="D127" s="132" t="n">
        <x:v>250</x:v>
      </x:c>
      <x:c r="E127" s="130"/>
      <x:c r="F127" s="131" t="n">
        <x:f>IF(E127&lt;&gt;"",E127,G127)</x:f>
        <x:v>250</x:v>
      </x:c>
      <x:c r="G127" s="132" t="n">
        <x:v>250</x:v>
      </x:c>
      <x:c r="H127" s="130"/>
      <x:c r="I127" s="131" t="n">
        <x:f>IF(H127&lt;&gt;"",H127,J127)</x:f>
        <x:v>250</x:v>
      </x:c>
      <x:c r="J127" s="132" t="n">
        <x:v>250</x:v>
      </x:c>
      <x:c r="K127" s="130"/>
      <x:c r="L127" s="131" t="n">
        <x:f>IF(K127&lt;&gt;"",K127,M127)</x:f>
        <x:v>250</x:v>
      </x:c>
      <x:c r="M127" s="132" t="n">
        <x:v>250</x:v>
      </x:c>
      <x:c r="N127" s="130"/>
      <x:c r="O127" s="131" t="n">
        <x:f>IF(N127&lt;&gt;"",N127,P127)</x:f>
        <x:v>250</x:v>
      </x:c>
      <x:c r="P127" s="132" t="n">
        <x:v>250</x:v>
      </x:c>
      <x:c r="Q127" s="130"/>
      <x:c r="R127" s="131" t="n">
        <x:f>IF(Q127&lt;&gt;"",Q127,S127)</x:f>
        <x:v>250</x:v>
      </x:c>
      <x:c r="S127" s="132" t="n">
        <x:v>250</x:v>
      </x:c>
      <x:c r="T127" s="130"/>
      <x:c r="U127" s="131" t="n">
        <x:f>IF(T127&lt;&gt;"",T127,V127)</x:f>
        <x:v>250</x:v>
      </x:c>
      <x:c r="V127" s="132" t="n">
        <x:v>250</x:v>
      </x:c>
      <x:c r="W127" s="130"/>
      <x:c r="X127" s="131" t="n">
        <x:f>IF(W127&lt;&gt;"",W127,Y127)</x:f>
        <x:v>250</x:v>
      </x:c>
      <x:c r="Y127" s="132" t="n">
        <x:v>250</x:v>
      </x:c>
      <x:c r="Z127" s="130"/>
      <x:c r="AA127" s="131" t="n">
        <x:f>IF(Z127&lt;&gt;"",Z127,AB127)</x:f>
        <x:v>250</x:v>
      </x:c>
      <x:c r="AB127" s="132" t="n">
        <x:v>250</x:v>
      </x:c>
      <x:c r="AC127" s="130"/>
      <x:c r="AD127" s="131" t="n">
        <x:f>IF(AC127&lt;&gt;"",AC127,AE127)</x:f>
        <x:v>250</x:v>
      </x:c>
      <x:c r="AE127" s="132" t="n">
        <x:v>250</x:v>
      </x:c>
      <x:c r="AF127" s="130" t="n">
        <x:v>245</x:v>
      </x:c>
      <x:c r="AG127" s="131" t="n">
        <x:f>IF(AF127&lt;&gt;"",AF127,AH127)</x:f>
        <x:v>245</x:v>
      </x:c>
      <x:c r="AH127" s="132" t="n">
        <x:v>250</x:v>
      </x:c>
      <x:c r="AI127" s="130" t="n">
        <x:v>263</x:v>
      </x:c>
      <x:c r="AJ127" s="131" t="n">
        <x:f>IF(AI127&lt;&gt;"",AI127,AK127)</x:f>
        <x:v>263</x:v>
      </x:c>
      <x:c r="AK127" s="132" t="n">
        <x:v>250</x:v>
      </x:c>
    </x:row>
    <x:row r="128" ht="22" customHeight="1">
      <x:c r="A128" s="136" t="str">
        <x:v>Total Support Programs</x:v>
      </x:c>
      <x:c r="B128" s="137" t="str">
        <x:f>IF(COUNT(B125:B127)&gt;0,SUM(B125:B127),"")</x:f>
      </x:c>
      <x:c r="C128" s="138" t="n">
        <x:f>SUM(C125:C127)</x:f>
        <x:v>450</x:v>
      </x:c>
      <x:c r="D128" s="139" t="n">
        <x:f>SUM(D125:D127)</x:f>
        <x:v>450</x:v>
      </x:c>
      <x:c r="E128" s="137" t="str">
        <x:f>IF(COUNT(E125:E127)&gt;0,SUM(E125:E127),"")</x:f>
      </x:c>
      <x:c r="F128" s="138" t="n">
        <x:f>SUM(F125:F127)</x:f>
        <x:v>450</x:v>
      </x:c>
      <x:c r="G128" s="139" t="n">
        <x:f>SUM(G125:G127)</x:f>
        <x:v>450</x:v>
      </x:c>
      <x:c r="H128" s="137" t="str">
        <x:f>IF(COUNT(H125:H127)&gt;0,SUM(H125:H127),"")</x:f>
      </x:c>
      <x:c r="I128" s="138" t="n">
        <x:f>SUM(I125:I127)</x:f>
        <x:v>450</x:v>
      </x:c>
      <x:c r="J128" s="139" t="n">
        <x:f>SUM(J125:J127)</x:f>
        <x:v>450</x:v>
      </x:c>
      <x:c r="K128" s="137" t="str">
        <x:f>IF(COUNT(K125:K127)&gt;0,SUM(K125:K127),"")</x:f>
      </x:c>
      <x:c r="L128" s="138" t="n">
        <x:f>SUM(L125:L127)</x:f>
        <x:v>450</x:v>
      </x:c>
      <x:c r="M128" s="139" t="n">
        <x:f>SUM(M125:M127)</x:f>
        <x:v>450</x:v>
      </x:c>
      <x:c r="N128" s="137" t="str">
        <x:f>IF(COUNT(N125:N127)&gt;0,SUM(N125:N127),"")</x:f>
      </x:c>
      <x:c r="O128" s="138" t="n">
        <x:f>SUM(O125:O127)</x:f>
        <x:v>450</x:v>
      </x:c>
      <x:c r="P128" s="139" t="n">
        <x:f>SUM(P125:P127)</x:f>
        <x:v>450</x:v>
      </x:c>
      <x:c r="Q128" s="137" t="str">
        <x:f>IF(COUNT(Q125:Q127)&gt;0,SUM(Q125:Q127),"")</x:f>
      </x:c>
      <x:c r="R128" s="138" t="n">
        <x:f>SUM(R125:R127)</x:f>
        <x:v>450</x:v>
      </x:c>
      <x:c r="S128" s="139" t="n">
        <x:f>SUM(S125:S127)</x:f>
        <x:v>450</x:v>
      </x:c>
      <x:c r="T128" s="137" t="str">
        <x:f>IF(COUNT(T125:T127)&gt;0,SUM(T125:T127),"")</x:f>
      </x:c>
      <x:c r="U128" s="138" t="n">
        <x:f>SUM(U125:U127)</x:f>
        <x:v>450</x:v>
      </x:c>
      <x:c r="V128" s="139" t="n">
        <x:f>SUM(V125:V127)</x:f>
        <x:v>450</x:v>
      </x:c>
      <x:c r="W128" s="137" t="str">
        <x:f>IF(COUNT(W125:W127)&gt;0,SUM(W125:W127),"")</x:f>
      </x:c>
      <x:c r="X128" s="138" t="n">
        <x:f>SUM(X125:X127)</x:f>
        <x:v>450</x:v>
      </x:c>
      <x:c r="Y128" s="139" t="n">
        <x:f>SUM(Y125:Y127)</x:f>
        <x:v>450</x:v>
      </x:c>
      <x:c r="Z128" s="137" t="str">
        <x:f>IF(COUNT(Z125:Z127)&gt;0,SUM(Z125:Z127),"")</x:f>
      </x:c>
      <x:c r="AA128" s="138" t="n">
        <x:f>SUM(AA125:AA127)</x:f>
        <x:v>450</x:v>
      </x:c>
      <x:c r="AB128" s="139" t="n">
        <x:f>SUM(AB125:AB127)</x:f>
        <x:v>450</x:v>
      </x:c>
      <x:c r="AC128" s="137" t="str">
        <x:f>IF(COUNT(AC125:AC127)&gt;0,SUM(AC125:AC127),"")</x:f>
      </x:c>
      <x:c r="AD128" s="138" t="n">
        <x:f>SUM(AD125:AD127)</x:f>
        <x:v>450</x:v>
      </x:c>
      <x:c r="AE128" s="139" t="n">
        <x:f>SUM(AE125:AE127)</x:f>
        <x:v>450</x:v>
      </x:c>
      <x:c r="AF128" s="137" t="n">
        <x:f>IF(COUNT(AF125:AF127)&gt;0,SUM(AF125:AF127),"")</x:f>
        <x:v>441</x:v>
      </x:c>
      <x:c r="AG128" s="138" t="n">
        <x:f>SUM(AG125:AG127)</x:f>
        <x:v>441</x:v>
      </x:c>
      <x:c r="AH128" s="139" t="n">
        <x:f>SUM(AH125:AH127)</x:f>
        <x:v>450</x:v>
      </x:c>
      <x:c r="AI128" s="137" t="n">
        <x:f>IF(COUNT(AI125:AI127)&gt;0,SUM(AI125:AI127),"")</x:f>
        <x:v>473</x:v>
      </x:c>
      <x:c r="AJ128" s="138" t="n">
        <x:f>SUM(AJ125:AJ127)</x:f>
        <x:v>473</x:v>
      </x:c>
      <x:c r="AK128" s="139" t="n">
        <x:f>SUM(AK125:AK127)</x:f>
        <x:v>450</x:v>
      </x:c>
    </x:row>
    <x:row r="129" ht="22" customHeight="1">
      <x:c r="A129" s="140" t="str">
        <x:v>Total Support Cost</x:v>
      </x:c>
      <x:c r="B129" s="141" t="str">
        <x:f>IF(COUNT(B124,B128)=2,SUM(B124,B128),"")</x:f>
      </x:c>
      <x:c r="C129" s="142" t="n">
        <x:f>SUM(C124,C128)</x:f>
        <x:v>4250</x:v>
      </x:c>
      <x:c r="D129" s="143" t="n">
        <x:f>SUM(D124,D128)</x:f>
        <x:v>4250</x:v>
      </x:c>
      <x:c r="E129" s="141" t="str">
        <x:f>IF(COUNT(E124,E128)=2,SUM(E124,E128),"")</x:f>
      </x:c>
      <x:c r="F129" s="142" t="n">
        <x:f>SUM(F124,F128)</x:f>
        <x:v>4250</x:v>
      </x:c>
      <x:c r="G129" s="143" t="n">
        <x:f>SUM(G124,G128)</x:f>
        <x:v>4250</x:v>
      </x:c>
      <x:c r="H129" s="141" t="str">
        <x:f>IF(COUNT(H124,H128)=2,SUM(H124,H128),"")</x:f>
      </x:c>
      <x:c r="I129" s="142" t="n">
        <x:f>SUM(I124,I128)</x:f>
        <x:v>4250</x:v>
      </x:c>
      <x:c r="J129" s="143" t="n">
        <x:f>SUM(J124,J128)</x:f>
        <x:v>4250</x:v>
      </x:c>
      <x:c r="K129" s="141" t="str">
        <x:f>IF(COUNT(K124,K128)=2,SUM(K124,K128),"")</x:f>
      </x:c>
      <x:c r="L129" s="142" t="n">
        <x:f>SUM(L124,L128)</x:f>
        <x:v>4250</x:v>
      </x:c>
      <x:c r="M129" s="143" t="n">
        <x:f>SUM(M124,M128)</x:f>
        <x:v>4250</x:v>
      </x:c>
      <x:c r="N129" s="141" t="str">
        <x:f>IF(COUNT(N124,N128)=2,SUM(N124,N128),"")</x:f>
      </x:c>
      <x:c r="O129" s="142" t="n">
        <x:f>SUM(O124,O128)</x:f>
        <x:v>4250</x:v>
      </x:c>
      <x:c r="P129" s="143" t="n">
        <x:f>SUM(P124,P128)</x:f>
        <x:v>4250</x:v>
      </x:c>
      <x:c r="Q129" s="141" t="str">
        <x:f>IF(COUNT(Q124,Q128)=2,SUM(Q124,Q128),"")</x:f>
      </x:c>
      <x:c r="R129" s="142" t="n">
        <x:f>SUM(R124,R128)</x:f>
        <x:v>4250</x:v>
      </x:c>
      <x:c r="S129" s="143" t="n">
        <x:f>SUM(S124,S128)</x:f>
        <x:v>4250</x:v>
      </x:c>
      <x:c r="T129" s="141" t="str">
        <x:f>IF(COUNT(T124,T128)=2,SUM(T124,T128),"")</x:f>
      </x:c>
      <x:c r="U129" s="142" t="n">
        <x:f>SUM(U124,U128)</x:f>
        <x:v>4250</x:v>
      </x:c>
      <x:c r="V129" s="143" t="n">
        <x:f>SUM(V124,V128)</x:f>
        <x:v>4250</x:v>
      </x:c>
      <x:c r="W129" s="141" t="str">
        <x:f>IF(COUNT(W124,W128)=2,SUM(W124,W128),"")</x:f>
      </x:c>
      <x:c r="X129" s="142" t="n">
        <x:f>SUM(X124,X128)</x:f>
        <x:v>4250</x:v>
      </x:c>
      <x:c r="Y129" s="143" t="n">
        <x:f>SUM(Y124,Y128)</x:f>
        <x:v>4250</x:v>
      </x:c>
      <x:c r="Z129" s="141" t="str">
        <x:f>IF(COUNT(Z124,Z128)=2,SUM(Z124,Z128),"")</x:f>
      </x:c>
      <x:c r="AA129" s="142" t="n">
        <x:f>SUM(AA124,AA128)</x:f>
        <x:v>4250</x:v>
      </x:c>
      <x:c r="AB129" s="143" t="n">
        <x:f>SUM(AB124,AB128)</x:f>
        <x:v>4250</x:v>
      </x:c>
      <x:c r="AC129" s="141" t="str">
        <x:f>IF(COUNT(AC124,AC128)=2,SUM(AC124,AC128),"")</x:f>
      </x:c>
      <x:c r="AD129" s="142" t="n">
        <x:f>SUM(AD124,AD128)</x:f>
        <x:v>4250</x:v>
      </x:c>
      <x:c r="AE129" s="143" t="n">
        <x:f>SUM(AE124,AE128)</x:f>
        <x:v>4250</x:v>
      </x:c>
      <x:c r="AF129" s="141" t="n">
        <x:f>IF(COUNT(AF124,AF128)=2,SUM(AF124,AF128),"")</x:f>
        <x:v>4165</x:v>
      </x:c>
      <x:c r="AG129" s="142" t="n">
        <x:f>SUM(AG124,AG128)</x:f>
        <x:v>4165</x:v>
      </x:c>
      <x:c r="AH129" s="143" t="n">
        <x:f>SUM(AH124,AH128)</x:f>
        <x:v>4250</x:v>
      </x:c>
      <x:c r="AI129" s="141" t="n">
        <x:f>IF(COUNT(AI124,AI128)=2,SUM(AI124,AI128),"")</x:f>
        <x:v>4463</x:v>
      </x:c>
      <x:c r="AJ129" s="142" t="n">
        <x:f>SUM(AJ124,AJ128)</x:f>
        <x:v>4463</x:v>
      </x:c>
      <x:c r="AK129" s="143" t="n">
        <x:f>SUM(AK124,AK128)</x:f>
        <x:v>4250</x:v>
      </x:c>
    </x:row>
    <x:row r="130" ht="22" customHeight="1">
      <x:c r="A130" s="116"/>
      <x:c r="B130" s="133"/>
      <x:c r="C130" s="131"/>
      <x:c r="D130" s="134"/>
      <x:c r="E130" s="133"/>
      <x:c r="F130" s="131"/>
      <x:c r="G130" s="134"/>
      <x:c r="H130" s="133"/>
      <x:c r="I130" s="131"/>
      <x:c r="J130" s="134"/>
      <x:c r="K130" s="133"/>
      <x:c r="L130" s="131"/>
      <x:c r="M130" s="134"/>
      <x:c r="N130" s="133"/>
      <x:c r="O130" s="131"/>
      <x:c r="P130" s="134"/>
      <x:c r="Q130" s="133"/>
      <x:c r="R130" s="131"/>
      <x:c r="S130" s="134"/>
      <x:c r="T130" s="133"/>
      <x:c r="U130" s="131"/>
      <x:c r="V130" s="134"/>
      <x:c r="W130" s="133"/>
      <x:c r="X130" s="131"/>
      <x:c r="Y130" s="134"/>
      <x:c r="Z130" s="133"/>
      <x:c r="AA130" s="131"/>
      <x:c r="AB130" s="134"/>
      <x:c r="AC130" s="133"/>
      <x:c r="AD130" s="131"/>
      <x:c r="AE130" s="134"/>
      <x:c r="AF130" s="133"/>
      <x:c r="AG130" s="131"/>
      <x:c r="AH130" s="134"/>
      <x:c r="AI130" s="133"/>
      <x:c r="AJ130" s="131"/>
      <x:c r="AK130" s="134"/>
    </x:row>
    <x:row r="131" ht="22" customHeight="1">
      <x:c r="A131" s="38" t="str">
        <x:v>PRODUCT AND TECHNOLOGY EXPENSES</x:v>
      </x:c>
      <x:c r="B131" s="84" t="str">
        <x:v>PRODUCT AND TECHNOLOGY EXPENSES</x:v>
      </x:c>
      <x:c r="C131" s="85" t="str">
        <x:v>PRODUCT AND TECHNOLOGY EXPENSES</x:v>
      </x:c>
      <x:c r="D131" s="86" t="str">
        <x:v>PRODUCT AND TECHNOLOGY EXPENSES</x:v>
      </x:c>
      <x:c r="E131" s="84" t="str">
        <x:v>PRODUCT AND TECHNOLOGY EXPENSES</x:v>
      </x:c>
      <x:c r="F131" s="85" t="str">
        <x:v>PRODUCT AND TECHNOLOGY EXPENSES</x:v>
      </x:c>
      <x:c r="G131" s="86" t="str">
        <x:v>PRODUCT AND TECHNOLOGY EXPENSES</x:v>
      </x:c>
      <x:c r="H131" s="84" t="str">
        <x:v>PRODUCT AND TECHNOLOGY EXPENSES</x:v>
      </x:c>
      <x:c r="I131" s="85" t="str">
        <x:v>PRODUCT AND TECHNOLOGY EXPENSES</x:v>
      </x:c>
      <x:c r="J131" s="86" t="str">
        <x:v>PRODUCT AND TECHNOLOGY EXPENSES</x:v>
      </x:c>
      <x:c r="K131" s="84" t="str">
        <x:v>PRODUCT AND TECHNOLOGY EXPENSES</x:v>
      </x:c>
      <x:c r="L131" s="85" t="str">
        <x:v>PRODUCT AND TECHNOLOGY EXPENSES</x:v>
      </x:c>
      <x:c r="M131" s="86" t="str">
        <x:v>PRODUCT AND TECHNOLOGY EXPENSES</x:v>
      </x:c>
      <x:c r="N131" s="84" t="str">
        <x:v>PRODUCT AND TECHNOLOGY EXPENSES</x:v>
      </x:c>
      <x:c r="O131" s="85" t="str">
        <x:v>PRODUCT AND TECHNOLOGY EXPENSES</x:v>
      </x:c>
      <x:c r="P131" s="86" t="str">
        <x:v>PRODUCT AND TECHNOLOGY EXPENSES</x:v>
      </x:c>
      <x:c r="Q131" s="84" t="str">
        <x:v>PRODUCT AND TECHNOLOGY EXPENSES</x:v>
      </x:c>
      <x:c r="R131" s="85" t="str">
        <x:v>PRODUCT AND TECHNOLOGY EXPENSES</x:v>
      </x:c>
      <x:c r="S131" s="86" t="str">
        <x:v>PRODUCT AND TECHNOLOGY EXPENSES</x:v>
      </x:c>
      <x:c r="T131" s="84" t="str">
        <x:v>PRODUCT AND TECHNOLOGY EXPENSES</x:v>
      </x:c>
      <x:c r="U131" s="85" t="str">
        <x:v>PRODUCT AND TECHNOLOGY EXPENSES</x:v>
      </x:c>
      <x:c r="V131" s="86" t="str">
        <x:v>PRODUCT AND TECHNOLOGY EXPENSES</x:v>
      </x:c>
      <x:c r="W131" s="84" t="str">
        <x:v>PRODUCT AND TECHNOLOGY EXPENSES</x:v>
      </x:c>
      <x:c r="X131" s="85" t="str">
        <x:v>PRODUCT AND TECHNOLOGY EXPENSES</x:v>
      </x:c>
      <x:c r="Y131" s="86" t="str">
        <x:v>PRODUCT AND TECHNOLOGY EXPENSES</x:v>
      </x:c>
      <x:c r="Z131" s="84" t="str">
        <x:v>PRODUCT AND TECHNOLOGY EXPENSES</x:v>
      </x:c>
      <x:c r="AA131" s="85" t="str">
        <x:v>PRODUCT AND TECHNOLOGY EXPENSES</x:v>
      </x:c>
      <x:c r="AB131" s="86" t="str">
        <x:v>PRODUCT AND TECHNOLOGY EXPENSES</x:v>
      </x:c>
      <x:c r="AC131" s="84" t="str">
        <x:v>PRODUCT AND TECHNOLOGY EXPENSES</x:v>
      </x:c>
      <x:c r="AD131" s="85" t="str">
        <x:v>PRODUCT AND TECHNOLOGY EXPENSES</x:v>
      </x:c>
      <x:c r="AE131" s="86" t="str">
        <x:v>PRODUCT AND TECHNOLOGY EXPENSES</x:v>
      </x:c>
      <x:c r="AF131" s="84" t="str">
        <x:v>PRODUCT AND TECHNOLOGY EXPENSES</x:v>
      </x:c>
      <x:c r="AG131" s="85" t="str">
        <x:v>PRODUCT AND TECHNOLOGY EXPENSES</x:v>
      </x:c>
      <x:c r="AH131" s="86" t="str">
        <x:v>PRODUCT AND TECHNOLOGY EXPENSES</x:v>
      </x:c>
      <x:c r="AI131" s="84" t="str">
        <x:v>PRODUCT AND TECHNOLOGY EXPENSES</x:v>
      </x:c>
      <x:c r="AJ131" s="85" t="str">
        <x:v>PRODUCT AND TECHNOLOGY EXPENSES</x:v>
      </x:c>
      <x:c r="AK131" s="86" t="str">
        <x:v>PRODUCT AND TECHNOLOGY EXPENSES</x:v>
      </x:c>
    </x:row>
    <x:row r="132" ht="22" customHeight="1">
      <x:c r="A132" s="116" t="str">
        <x:v>Salaries and Wages</x:v>
      </x:c>
      <x:c r="B132" s="130"/>
      <x:c r="C132" s="131" t="n">
        <x:f>IF(B132&lt;&gt;"",B132,D132)</x:f>
        <x:v>8000</x:v>
      </x:c>
      <x:c r="D132" s="132" t="n">
        <x:v>8000</x:v>
      </x:c>
      <x:c r="E132" s="130"/>
      <x:c r="F132" s="131" t="n">
        <x:f>IF(E132&lt;&gt;"",E132,G132)</x:f>
        <x:v>8000</x:v>
      </x:c>
      <x:c r="G132" s="132" t="n">
        <x:v>8000</x:v>
      </x:c>
      <x:c r="H132" s="130"/>
      <x:c r="I132" s="131" t="n">
        <x:f>IF(H132&lt;&gt;"",H132,J132)</x:f>
        <x:v>8000</x:v>
      </x:c>
      <x:c r="J132" s="132" t="n">
        <x:v>8000</x:v>
      </x:c>
      <x:c r="K132" s="130"/>
      <x:c r="L132" s="131" t="n">
        <x:f>IF(K132&lt;&gt;"",K132,M132)</x:f>
        <x:v>8000</x:v>
      </x:c>
      <x:c r="M132" s="132" t="n">
        <x:v>8000</x:v>
      </x:c>
      <x:c r="N132" s="130"/>
      <x:c r="O132" s="131" t="n">
        <x:f>IF(N132&lt;&gt;"",N132,P132)</x:f>
        <x:v>8000</x:v>
      </x:c>
      <x:c r="P132" s="132" t="n">
        <x:v>8000</x:v>
      </x:c>
      <x:c r="Q132" s="130"/>
      <x:c r="R132" s="131" t="n">
        <x:f>IF(Q132&lt;&gt;"",Q132,S132)</x:f>
        <x:v>8000</x:v>
      </x:c>
      <x:c r="S132" s="132" t="n">
        <x:v>8000</x:v>
      </x:c>
      <x:c r="T132" s="130"/>
      <x:c r="U132" s="131" t="n">
        <x:f>IF(T132&lt;&gt;"",T132,V132)</x:f>
        <x:v>8000</x:v>
      </x:c>
      <x:c r="V132" s="132" t="n">
        <x:v>8000</x:v>
      </x:c>
      <x:c r="W132" s="130"/>
      <x:c r="X132" s="131" t="n">
        <x:f>IF(W132&lt;&gt;"",W132,Y132)</x:f>
        <x:v>8000</x:v>
      </x:c>
      <x:c r="Y132" s="132" t="n">
        <x:v>8000</x:v>
      </x:c>
      <x:c r="Z132" s="130"/>
      <x:c r="AA132" s="131" t="n">
        <x:f>IF(Z132&lt;&gt;"",Z132,AB132)</x:f>
        <x:v>8000</x:v>
      </x:c>
      <x:c r="AB132" s="132" t="n">
        <x:v>8000</x:v>
      </x:c>
      <x:c r="AC132" s="130"/>
      <x:c r="AD132" s="131" t="n">
        <x:f>IF(AC132&lt;&gt;"",AC132,AE132)</x:f>
        <x:v>8000</x:v>
      </x:c>
      <x:c r="AE132" s="132" t="n">
        <x:v>8000</x:v>
      </x:c>
      <x:c r="AF132" s="130" t="n">
        <x:v>7840</x:v>
      </x:c>
      <x:c r="AG132" s="131" t="n">
        <x:f>IF(AF132&lt;&gt;"",AF132,AH132)</x:f>
        <x:v>7840</x:v>
      </x:c>
      <x:c r="AH132" s="132" t="n">
        <x:v>8000</x:v>
      </x:c>
      <x:c r="AI132" s="130" t="n">
        <x:v>8400</x:v>
      </x:c>
      <x:c r="AJ132" s="131" t="n">
        <x:f>IF(AI132&lt;&gt;"",AI132,AK132)</x:f>
        <x:v>8400</x:v>
      </x:c>
      <x:c r="AK132" s="132" t="n">
        <x:v>8000</x:v>
      </x:c>
    </x:row>
    <x:row r="133" ht="22" customHeight="1">
      <x:c r="A133" s="116" t="str">
        <x:v>Bonuses</x:v>
      </x:c>
      <x:c r="B133" s="130"/>
      <x:c r="C133" s="131" t="n">
        <x:f>IF(B133&lt;&gt;"",B133,D133)</x:f>
        <x:v>0</x:v>
      </x:c>
      <x:c r="D133" s="132" t="n">
        <x:v>0</x:v>
      </x:c>
      <x:c r="E133" s="130"/>
      <x:c r="F133" s="131" t="n">
        <x:f>IF(E133&lt;&gt;"",E133,G133)</x:f>
        <x:v>0</x:v>
      </x:c>
      <x:c r="G133" s="132" t="n">
        <x:v>0</x:v>
      </x:c>
      <x:c r="H133" s="130"/>
      <x:c r="I133" s="131" t="n">
        <x:f>IF(H133&lt;&gt;"",H133,J133)</x:f>
        <x:v>0</x:v>
      </x:c>
      <x:c r="J133" s="132" t="n">
        <x:v>0</x:v>
      </x:c>
      <x:c r="K133" s="130"/>
      <x:c r="L133" s="131" t="n">
        <x:f>IF(K133&lt;&gt;"",K133,M133)</x:f>
        <x:v>0</x:v>
      </x:c>
      <x:c r="M133" s="132" t="n">
        <x:v>0</x:v>
      </x:c>
      <x:c r="N133" s="130"/>
      <x:c r="O133" s="131" t="n">
        <x:f>IF(N133&lt;&gt;"",N133,P133)</x:f>
        <x:v>0</x:v>
      </x:c>
      <x:c r="P133" s="132" t="n">
        <x:v>0</x:v>
      </x:c>
      <x:c r="Q133" s="130"/>
      <x:c r="R133" s="131" t="n">
        <x:f>IF(Q133&lt;&gt;"",Q133,S133)</x:f>
        <x:v>0</x:v>
      </x:c>
      <x:c r="S133" s="132" t="n">
        <x:v>0</x:v>
      </x:c>
      <x:c r="T133" s="130"/>
      <x:c r="U133" s="131" t="n">
        <x:f>IF(T133&lt;&gt;"",T133,V133)</x:f>
        <x:v>0</x:v>
      </x:c>
      <x:c r="V133" s="132" t="n">
        <x:v>0</x:v>
      </x:c>
      <x:c r="W133" s="130"/>
      <x:c r="X133" s="131" t="n">
        <x:f>IF(W133&lt;&gt;"",W133,Y133)</x:f>
        <x:v>0</x:v>
      </x:c>
      <x:c r="Y133" s="132" t="n">
        <x:v>0</x:v>
      </x:c>
      <x:c r="Z133" s="130"/>
      <x:c r="AA133" s="131" t="n">
        <x:f>IF(Z133&lt;&gt;"",Z133,AB133)</x:f>
        <x:v>0</x:v>
      </x:c>
      <x:c r="AB133" s="132" t="n">
        <x:v>0</x:v>
      </x:c>
      <x:c r="AC133" s="130"/>
      <x:c r="AD133" s="131" t="n">
        <x:f>IF(AC133&lt;&gt;"",AC133,AE133)</x:f>
        <x:v>0</x:v>
      </x:c>
      <x:c r="AE133" s="132" t="n">
        <x:v>0</x:v>
      </x:c>
      <x:c r="AF133" s="130" t="n">
        <x:v>0</x:v>
      </x:c>
      <x:c r="AG133" s="131" t="n">
        <x:f>IF(AF133&lt;&gt;"",AF133,AH133)</x:f>
        <x:v>0</x:v>
      </x:c>
      <x:c r="AH133" s="132" t="n">
        <x:v>0</x:v>
      </x:c>
      <x:c r="AI133" s="130" t="n">
        <x:v>0</x:v>
      </x:c>
      <x:c r="AJ133" s="131" t="n">
        <x:f>IF(AI133&lt;&gt;"",AI133,AK133)</x:f>
        <x:v>0</x:v>
      </x:c>
      <x:c r="AK133" s="132" t="n">
        <x:v>0</x:v>
      </x:c>
    </x:row>
    <x:row r="134" ht="22" customHeight="1">
      <x:c r="A134" s="116" t="str">
        <x:v>Payroll Taxes and Benefits</x:v>
      </x:c>
      <x:c r="B134" s="130"/>
      <x:c r="C134" s="131" t="n">
        <x:f>IF(B134&lt;&gt;"",B134,D134)</x:f>
        <x:v>1600</x:v>
      </x:c>
      <x:c r="D134" s="132" t="n">
        <x:v>1600</x:v>
      </x:c>
      <x:c r="E134" s="130"/>
      <x:c r="F134" s="131" t="n">
        <x:f>IF(E134&lt;&gt;"",E134,G134)</x:f>
        <x:v>1600</x:v>
      </x:c>
      <x:c r="G134" s="132" t="n">
        <x:v>1600</x:v>
      </x:c>
      <x:c r="H134" s="130"/>
      <x:c r="I134" s="131" t="n">
        <x:f>IF(H134&lt;&gt;"",H134,J134)</x:f>
        <x:v>1600</x:v>
      </x:c>
      <x:c r="J134" s="132" t="n">
        <x:v>1600</x:v>
      </x:c>
      <x:c r="K134" s="130"/>
      <x:c r="L134" s="131" t="n">
        <x:f>IF(K134&lt;&gt;"",K134,M134)</x:f>
        <x:v>1600</x:v>
      </x:c>
      <x:c r="M134" s="132" t="n">
        <x:v>1600</x:v>
      </x:c>
      <x:c r="N134" s="130"/>
      <x:c r="O134" s="131" t="n">
        <x:f>IF(N134&lt;&gt;"",N134,P134)</x:f>
        <x:v>1600</x:v>
      </x:c>
      <x:c r="P134" s="132" t="n">
        <x:v>1600</x:v>
      </x:c>
      <x:c r="Q134" s="130"/>
      <x:c r="R134" s="131" t="n">
        <x:f>IF(Q134&lt;&gt;"",Q134,S134)</x:f>
        <x:v>1600</x:v>
      </x:c>
      <x:c r="S134" s="132" t="n">
        <x:v>1600</x:v>
      </x:c>
      <x:c r="T134" s="130"/>
      <x:c r="U134" s="131" t="n">
        <x:f>IF(T134&lt;&gt;"",T134,V134)</x:f>
        <x:v>1600</x:v>
      </x:c>
      <x:c r="V134" s="132" t="n">
        <x:v>1600</x:v>
      </x:c>
      <x:c r="W134" s="130"/>
      <x:c r="X134" s="131" t="n">
        <x:f>IF(W134&lt;&gt;"",W134,Y134)</x:f>
        <x:v>1600</x:v>
      </x:c>
      <x:c r="Y134" s="132" t="n">
        <x:v>1600</x:v>
      </x:c>
      <x:c r="Z134" s="130"/>
      <x:c r="AA134" s="131" t="n">
        <x:f>IF(Z134&lt;&gt;"",Z134,AB134)</x:f>
        <x:v>1600</x:v>
      </x:c>
      <x:c r="AB134" s="132" t="n">
        <x:v>1600</x:v>
      </x:c>
      <x:c r="AC134" s="130"/>
      <x:c r="AD134" s="131" t="n">
        <x:f>IF(AC134&lt;&gt;"",AC134,AE134)</x:f>
        <x:v>1600</x:v>
      </x:c>
      <x:c r="AE134" s="132" t="n">
        <x:v>1600</x:v>
      </x:c>
      <x:c r="AF134" s="130" t="n">
        <x:v>1568</x:v>
      </x:c>
      <x:c r="AG134" s="131" t="n">
        <x:f>IF(AF134&lt;&gt;"",AF134,AH134)</x:f>
        <x:v>1568</x:v>
      </x:c>
      <x:c r="AH134" s="132" t="n">
        <x:v>1600</x:v>
      </x:c>
      <x:c r="AI134" s="130" t="n">
        <x:v>1680</x:v>
      </x:c>
      <x:c r="AJ134" s="131" t="n">
        <x:f>IF(AI134&lt;&gt;"",AI134,AK134)</x:f>
        <x:v>1680</x:v>
      </x:c>
      <x:c r="AK134" s="132" t="n">
        <x:v>1600</x:v>
      </x:c>
    </x:row>
    <x:row r="135" ht="22" customHeight="1">
      <x:c r="A135" s="116" t="str">
        <x:v>Contractors and Freelancers</x:v>
      </x:c>
      <x:c r="B135" s="130"/>
      <x:c r="C135" s="131" t="n">
        <x:f>IF(B135&lt;&gt;"",B135,D135)</x:f>
        <x:v>1000</x:v>
      </x:c>
      <x:c r="D135" s="132" t="n">
        <x:v>1000</x:v>
      </x:c>
      <x:c r="E135" s="130"/>
      <x:c r="F135" s="131" t="n">
        <x:f>IF(E135&lt;&gt;"",E135,G135)</x:f>
        <x:v>1000</x:v>
      </x:c>
      <x:c r="G135" s="132" t="n">
        <x:v>1000</x:v>
      </x:c>
      <x:c r="H135" s="130"/>
      <x:c r="I135" s="131" t="n">
        <x:f>IF(H135&lt;&gt;"",H135,J135)</x:f>
        <x:v>1000</x:v>
      </x:c>
      <x:c r="J135" s="132" t="n">
        <x:v>1000</x:v>
      </x:c>
      <x:c r="K135" s="130"/>
      <x:c r="L135" s="131" t="n">
        <x:f>IF(K135&lt;&gt;"",K135,M135)</x:f>
        <x:v>1000</x:v>
      </x:c>
      <x:c r="M135" s="132" t="n">
        <x:v>1000</x:v>
      </x:c>
      <x:c r="N135" s="130"/>
      <x:c r="O135" s="131" t="n">
        <x:f>IF(N135&lt;&gt;"",N135,P135)</x:f>
        <x:v>1000</x:v>
      </x:c>
      <x:c r="P135" s="132" t="n">
        <x:v>1000</x:v>
      </x:c>
      <x:c r="Q135" s="130"/>
      <x:c r="R135" s="131" t="n">
        <x:f>IF(Q135&lt;&gt;"",Q135,S135)</x:f>
        <x:v>1000</x:v>
      </x:c>
      <x:c r="S135" s="132" t="n">
        <x:v>1000</x:v>
      </x:c>
      <x:c r="T135" s="130"/>
      <x:c r="U135" s="131" t="n">
        <x:f>IF(T135&lt;&gt;"",T135,V135)</x:f>
        <x:v>1000</x:v>
      </x:c>
      <x:c r="V135" s="132" t="n">
        <x:v>1000</x:v>
      </x:c>
      <x:c r="W135" s="130"/>
      <x:c r="X135" s="131" t="n">
        <x:f>IF(W135&lt;&gt;"",W135,Y135)</x:f>
        <x:v>1000</x:v>
      </x:c>
      <x:c r="Y135" s="132" t="n">
        <x:v>1000</x:v>
      </x:c>
      <x:c r="Z135" s="130"/>
      <x:c r="AA135" s="131" t="n">
        <x:f>IF(Z135&lt;&gt;"",Z135,AB135)</x:f>
        <x:v>1000</x:v>
      </x:c>
      <x:c r="AB135" s="132" t="n">
        <x:v>1000</x:v>
      </x:c>
      <x:c r="AC135" s="130"/>
      <x:c r="AD135" s="131" t="n">
        <x:f>IF(AC135&lt;&gt;"",AC135,AE135)</x:f>
        <x:v>1000</x:v>
      </x:c>
      <x:c r="AE135" s="132" t="n">
        <x:v>1000</x:v>
      </x:c>
      <x:c r="AF135" s="130" t="n">
        <x:v>980</x:v>
      </x:c>
      <x:c r="AG135" s="131" t="n">
        <x:f>IF(AF135&lt;&gt;"",AF135,AH135)</x:f>
        <x:v>980</x:v>
      </x:c>
      <x:c r="AH135" s="132" t="n">
        <x:v>1000</x:v>
      </x:c>
      <x:c r="AI135" s="130" t="n">
        <x:v>1050</x:v>
      </x:c>
      <x:c r="AJ135" s="131" t="n">
        <x:f>IF(AI135&lt;&gt;"",AI135,AK135)</x:f>
        <x:v>1050</x:v>
      </x:c>
      <x:c r="AK135" s="132" t="n">
        <x:v>1000</x:v>
      </x:c>
    </x:row>
    <x:row r="136" ht="22" customHeight="1">
      <x:c r="A136" s="116" t="str">
        <x:v>Recruiting</x:v>
      </x:c>
      <x:c r="B136" s="130"/>
      <x:c r="C136" s="131" t="n">
        <x:f>IF(B136&lt;&gt;"",B136,D136)</x:f>
        <x:v>0</x:v>
      </x:c>
      <x:c r="D136" s="132" t="n">
        <x:v>0</x:v>
      </x:c>
      <x:c r="E136" s="130"/>
      <x:c r="F136" s="131" t="n">
        <x:f>IF(E136&lt;&gt;"",E136,G136)</x:f>
        <x:v>0</x:v>
      </x:c>
      <x:c r="G136" s="132" t="n">
        <x:v>0</x:v>
      </x:c>
      <x:c r="H136" s="130"/>
      <x:c r="I136" s="131" t="n">
        <x:f>IF(H136&lt;&gt;"",H136,J136)</x:f>
        <x:v>0</x:v>
      </x:c>
      <x:c r="J136" s="132" t="n">
        <x:v>0</x:v>
      </x:c>
      <x:c r="K136" s="130"/>
      <x:c r="L136" s="131" t="n">
        <x:f>IF(K136&lt;&gt;"",K136,M136)</x:f>
        <x:v>0</x:v>
      </x:c>
      <x:c r="M136" s="132" t="n">
        <x:v>0</x:v>
      </x:c>
      <x:c r="N136" s="130"/>
      <x:c r="O136" s="131" t="n">
        <x:f>IF(N136&lt;&gt;"",N136,P136)</x:f>
        <x:v>0</x:v>
      </x:c>
      <x:c r="P136" s="132" t="n">
        <x:v>0</x:v>
      </x:c>
      <x:c r="Q136" s="130"/>
      <x:c r="R136" s="131" t="n">
        <x:f>IF(Q136&lt;&gt;"",Q136,S136)</x:f>
        <x:v>0</x:v>
      </x:c>
      <x:c r="S136" s="132" t="n">
        <x:v>0</x:v>
      </x:c>
      <x:c r="T136" s="130"/>
      <x:c r="U136" s="131" t="n">
        <x:f>IF(T136&lt;&gt;"",T136,V136)</x:f>
        <x:v>0</x:v>
      </x:c>
      <x:c r="V136" s="132" t="n">
        <x:v>0</x:v>
      </x:c>
      <x:c r="W136" s="130"/>
      <x:c r="X136" s="131" t="n">
        <x:f>IF(W136&lt;&gt;"",W136,Y136)</x:f>
        <x:v>0</x:v>
      </x:c>
      <x:c r="Y136" s="132" t="n">
        <x:v>0</x:v>
      </x:c>
      <x:c r="Z136" s="130"/>
      <x:c r="AA136" s="131" t="n">
        <x:f>IF(Z136&lt;&gt;"",Z136,AB136)</x:f>
        <x:v>0</x:v>
      </x:c>
      <x:c r="AB136" s="132" t="n">
        <x:v>0</x:v>
      </x:c>
      <x:c r="AC136" s="130"/>
      <x:c r="AD136" s="131" t="n">
        <x:f>IF(AC136&lt;&gt;"",AC136,AE136)</x:f>
        <x:v>0</x:v>
      </x:c>
      <x:c r="AE136" s="132" t="n">
        <x:v>0</x:v>
      </x:c>
      <x:c r="AF136" s="130" t="n">
        <x:v>0</x:v>
      </x:c>
      <x:c r="AG136" s="131" t="n">
        <x:f>IF(AF136&lt;&gt;"",AF136,AH136)</x:f>
        <x:v>0</x:v>
      </x:c>
      <x:c r="AH136" s="132" t="n">
        <x:v>0</x:v>
      </x:c>
      <x:c r="AI136" s="130" t="n">
        <x:v>0</x:v>
      </x:c>
      <x:c r="AJ136" s="131" t="n">
        <x:f>IF(AI136&lt;&gt;"",AI136,AK136)</x:f>
        <x:v>0</x:v>
      </x:c>
      <x:c r="AK136" s="132" t="n">
        <x:v>0</x:v>
      </x:c>
    </x:row>
    <x:row r="137" ht="22" customHeight="1">
      <x:c r="A137" s="116" t="str">
        <x:v>Training and Development</x:v>
      </x:c>
      <x:c r="B137" s="130"/>
      <x:c r="C137" s="131" t="n">
        <x:f>IF(B137&lt;&gt;"",B137,D137)</x:f>
        <x:v>0</x:v>
      </x:c>
      <x:c r="D137" s="132" t="n">
        <x:v>0</x:v>
      </x:c>
      <x:c r="E137" s="130"/>
      <x:c r="F137" s="131" t="n">
        <x:f>IF(E137&lt;&gt;"",E137,G137)</x:f>
        <x:v>0</x:v>
      </x:c>
      <x:c r="G137" s="132" t="n">
        <x:v>0</x:v>
      </x:c>
      <x:c r="H137" s="130"/>
      <x:c r="I137" s="131" t="n">
        <x:f>IF(H137&lt;&gt;"",H137,J137)</x:f>
        <x:v>0</x:v>
      </x:c>
      <x:c r="J137" s="132" t="n">
        <x:v>0</x:v>
      </x:c>
      <x:c r="K137" s="130"/>
      <x:c r="L137" s="131" t="n">
        <x:f>IF(K137&lt;&gt;"",K137,M137)</x:f>
        <x:v>0</x:v>
      </x:c>
      <x:c r="M137" s="132" t="n">
        <x:v>0</x:v>
      </x:c>
      <x:c r="N137" s="130"/>
      <x:c r="O137" s="131" t="n">
        <x:f>IF(N137&lt;&gt;"",N137,P137)</x:f>
        <x:v>0</x:v>
      </x:c>
      <x:c r="P137" s="132" t="n">
        <x:v>0</x:v>
      </x:c>
      <x:c r="Q137" s="130"/>
      <x:c r="R137" s="131" t="n">
        <x:f>IF(Q137&lt;&gt;"",Q137,S137)</x:f>
        <x:v>0</x:v>
      </x:c>
      <x:c r="S137" s="132" t="n">
        <x:v>0</x:v>
      </x:c>
      <x:c r="T137" s="130"/>
      <x:c r="U137" s="131" t="n">
        <x:f>IF(T137&lt;&gt;"",T137,V137)</x:f>
        <x:v>0</x:v>
      </x:c>
      <x:c r="V137" s="132" t="n">
        <x:v>0</x:v>
      </x:c>
      <x:c r="W137" s="130"/>
      <x:c r="X137" s="131" t="n">
        <x:f>IF(W137&lt;&gt;"",W137,Y137)</x:f>
        <x:v>0</x:v>
      </x:c>
      <x:c r="Y137" s="132" t="n">
        <x:v>0</x:v>
      </x:c>
      <x:c r="Z137" s="130"/>
      <x:c r="AA137" s="131" t="n">
        <x:f>IF(Z137&lt;&gt;"",Z137,AB137)</x:f>
        <x:v>0</x:v>
      </x:c>
      <x:c r="AB137" s="132" t="n">
        <x:v>0</x:v>
      </x:c>
      <x:c r="AC137" s="130"/>
      <x:c r="AD137" s="131" t="n">
        <x:f>IF(AC137&lt;&gt;"",AC137,AE137)</x:f>
        <x:v>0</x:v>
      </x:c>
      <x:c r="AE137" s="132" t="n">
        <x:v>0</x:v>
      </x:c>
      <x:c r="AF137" s="130" t="n">
        <x:v>0</x:v>
      </x:c>
      <x:c r="AG137" s="131" t="n">
        <x:f>IF(AF137&lt;&gt;"",AF137,AH137)</x:f>
        <x:v>0</x:v>
      </x:c>
      <x:c r="AH137" s="132" t="n">
        <x:v>0</x:v>
      </x:c>
      <x:c r="AI137" s="130" t="n">
        <x:v>0</x:v>
      </x:c>
      <x:c r="AJ137" s="131" t="n">
        <x:f>IF(AI137&lt;&gt;"",AI137,AK137)</x:f>
        <x:v>0</x:v>
      </x:c>
      <x:c r="AK137" s="132" t="n">
        <x:v>0</x:v>
      </x:c>
    </x:row>
    <x:row r="138" ht="22" customHeight="1">
      <x:c r="A138" s="116" t="str">
        <x:v>Software Subscriptions</x:v>
      </x:c>
      <x:c r="B138" s="130"/>
      <x:c r="C138" s="131" t="n">
        <x:f>IF(B138&lt;&gt;"",B138,D138)</x:f>
        <x:v>500</x:v>
      </x:c>
      <x:c r="D138" s="132" t="n">
        <x:v>500</x:v>
      </x:c>
      <x:c r="E138" s="130"/>
      <x:c r="F138" s="131" t="n">
        <x:f>IF(E138&lt;&gt;"",E138,G138)</x:f>
        <x:v>500</x:v>
      </x:c>
      <x:c r="G138" s="132" t="n">
        <x:v>500</x:v>
      </x:c>
      <x:c r="H138" s="130"/>
      <x:c r="I138" s="131" t="n">
        <x:f>IF(H138&lt;&gt;"",H138,J138)</x:f>
        <x:v>500</x:v>
      </x:c>
      <x:c r="J138" s="132" t="n">
        <x:v>500</x:v>
      </x:c>
      <x:c r="K138" s="130"/>
      <x:c r="L138" s="131" t="n">
        <x:f>IF(K138&lt;&gt;"",K138,M138)</x:f>
        <x:v>500</x:v>
      </x:c>
      <x:c r="M138" s="132" t="n">
        <x:v>500</x:v>
      </x:c>
      <x:c r="N138" s="130"/>
      <x:c r="O138" s="131" t="n">
        <x:f>IF(N138&lt;&gt;"",N138,P138)</x:f>
        <x:v>500</x:v>
      </x:c>
      <x:c r="P138" s="132" t="n">
        <x:v>500</x:v>
      </x:c>
      <x:c r="Q138" s="130"/>
      <x:c r="R138" s="131" t="n">
        <x:f>IF(Q138&lt;&gt;"",Q138,S138)</x:f>
        <x:v>500</x:v>
      </x:c>
      <x:c r="S138" s="132" t="n">
        <x:v>500</x:v>
      </x:c>
      <x:c r="T138" s="130"/>
      <x:c r="U138" s="131" t="n">
        <x:f>IF(T138&lt;&gt;"",T138,V138)</x:f>
        <x:v>500</x:v>
      </x:c>
      <x:c r="V138" s="132" t="n">
        <x:v>500</x:v>
      </x:c>
      <x:c r="W138" s="130"/>
      <x:c r="X138" s="131" t="n">
        <x:f>IF(W138&lt;&gt;"",W138,Y138)</x:f>
        <x:v>500</x:v>
      </x:c>
      <x:c r="Y138" s="132" t="n">
        <x:v>500</x:v>
      </x:c>
      <x:c r="Z138" s="130"/>
      <x:c r="AA138" s="131" t="n">
        <x:f>IF(Z138&lt;&gt;"",Z138,AB138)</x:f>
        <x:v>500</x:v>
      </x:c>
      <x:c r="AB138" s="132" t="n">
        <x:v>500</x:v>
      </x:c>
      <x:c r="AC138" s="130"/>
      <x:c r="AD138" s="131" t="n">
        <x:f>IF(AC138&lt;&gt;"",AC138,AE138)</x:f>
        <x:v>500</x:v>
      </x:c>
      <x:c r="AE138" s="132" t="n">
        <x:v>500</x:v>
      </x:c>
      <x:c r="AF138" s="130" t="n">
        <x:v>490</x:v>
      </x:c>
      <x:c r="AG138" s="131" t="n">
        <x:f>IF(AF138&lt;&gt;"",AF138,AH138)</x:f>
        <x:v>490</x:v>
      </x:c>
      <x:c r="AH138" s="132" t="n">
        <x:v>500</x:v>
      </x:c>
      <x:c r="AI138" s="130" t="n">
        <x:v>525</x:v>
      </x:c>
      <x:c r="AJ138" s="131" t="n">
        <x:f>IF(AI138&lt;&gt;"",AI138,AK138)</x:f>
        <x:v>525</x:v>
      </x:c>
      <x:c r="AK138" s="132" t="n">
        <x:v>500</x:v>
      </x:c>
    </x:row>
    <x:row r="139" ht="22" customHeight="1">
      <x:c r="A139" s="116" t="str">
        <x:v>Dues and Subscriptions</x:v>
      </x:c>
      <x:c r="B139" s="130"/>
      <x:c r="C139" s="131" t="n">
        <x:f>IF(B139&lt;&gt;"",B139,D139)</x:f>
        <x:v>0</x:v>
      </x:c>
      <x:c r="D139" s="132" t="n">
        <x:v>0</x:v>
      </x:c>
      <x:c r="E139" s="130"/>
      <x:c r="F139" s="131" t="n">
        <x:f>IF(E139&lt;&gt;"",E139,G139)</x:f>
        <x:v>0</x:v>
      </x:c>
      <x:c r="G139" s="132" t="n">
        <x:v>0</x:v>
      </x:c>
      <x:c r="H139" s="130"/>
      <x:c r="I139" s="131" t="n">
        <x:f>IF(H139&lt;&gt;"",H139,J139)</x:f>
        <x:v>0</x:v>
      </x:c>
      <x:c r="J139" s="132" t="n">
        <x:v>0</x:v>
      </x:c>
      <x:c r="K139" s="130"/>
      <x:c r="L139" s="131" t="n">
        <x:f>IF(K139&lt;&gt;"",K139,M139)</x:f>
        <x:v>0</x:v>
      </x:c>
      <x:c r="M139" s="132" t="n">
        <x:v>0</x:v>
      </x:c>
      <x:c r="N139" s="130"/>
      <x:c r="O139" s="131" t="n">
        <x:f>IF(N139&lt;&gt;"",N139,P139)</x:f>
        <x:v>0</x:v>
      </x:c>
      <x:c r="P139" s="132" t="n">
        <x:v>0</x:v>
      </x:c>
      <x:c r="Q139" s="130"/>
      <x:c r="R139" s="131" t="n">
        <x:f>IF(Q139&lt;&gt;"",Q139,S139)</x:f>
        <x:v>0</x:v>
      </x:c>
      <x:c r="S139" s="132" t="n">
        <x:v>0</x:v>
      </x:c>
      <x:c r="T139" s="130"/>
      <x:c r="U139" s="131" t="n">
        <x:f>IF(T139&lt;&gt;"",T139,V139)</x:f>
        <x:v>0</x:v>
      </x:c>
      <x:c r="V139" s="132" t="n">
        <x:v>0</x:v>
      </x:c>
      <x:c r="W139" s="130"/>
      <x:c r="X139" s="131" t="n">
        <x:f>IF(W139&lt;&gt;"",W139,Y139)</x:f>
        <x:v>0</x:v>
      </x:c>
      <x:c r="Y139" s="132" t="n">
        <x:v>0</x:v>
      </x:c>
      <x:c r="Z139" s="130"/>
      <x:c r="AA139" s="131" t="n">
        <x:f>IF(Z139&lt;&gt;"",Z139,AB139)</x:f>
        <x:v>0</x:v>
      </x:c>
      <x:c r="AB139" s="132" t="n">
        <x:v>0</x:v>
      </x:c>
      <x:c r="AC139" s="130"/>
      <x:c r="AD139" s="131" t="n">
        <x:f>IF(AC139&lt;&gt;"",AC139,AE139)</x:f>
        <x:v>0</x:v>
      </x:c>
      <x:c r="AE139" s="132" t="n">
        <x:v>0</x:v>
      </x:c>
      <x:c r="AF139" s="130" t="n">
        <x:v>0</x:v>
      </x:c>
      <x:c r="AG139" s="131" t="n">
        <x:f>IF(AF139&lt;&gt;"",AF139,AH139)</x:f>
        <x:v>0</x:v>
      </x:c>
      <x:c r="AH139" s="132" t="n">
        <x:v>0</x:v>
      </x:c>
      <x:c r="AI139" s="130" t="n">
        <x:v>0</x:v>
      </x:c>
      <x:c r="AJ139" s="131" t="n">
        <x:f>IF(AI139&lt;&gt;"",AI139,AK139)</x:f>
        <x:v>0</x:v>
      </x:c>
      <x:c r="AK139" s="132" t="n">
        <x:v>0</x:v>
      </x:c>
    </x:row>
    <x:row r="140" ht="22" customHeight="1">
      <x:c r="A140" s="116" t="str">
        <x:v>Travel, Meals and Entertainment</x:v>
      </x:c>
      <x:c r="B140" s="130"/>
      <x:c r="C140" s="131" t="n">
        <x:f>IF(B140&lt;&gt;"",B140,D140)</x:f>
        <x:v>0</x:v>
      </x:c>
      <x:c r="D140" s="132" t="n">
        <x:v>0</x:v>
      </x:c>
      <x:c r="E140" s="130"/>
      <x:c r="F140" s="131" t="n">
        <x:f>IF(E140&lt;&gt;"",E140,G140)</x:f>
        <x:v>0</x:v>
      </x:c>
      <x:c r="G140" s="132" t="n">
        <x:v>0</x:v>
      </x:c>
      <x:c r="H140" s="130"/>
      <x:c r="I140" s="131" t="n">
        <x:f>IF(H140&lt;&gt;"",H140,J140)</x:f>
        <x:v>0</x:v>
      </x:c>
      <x:c r="J140" s="132" t="n">
        <x:v>0</x:v>
      </x:c>
      <x:c r="K140" s="130"/>
      <x:c r="L140" s="131" t="n">
        <x:f>IF(K140&lt;&gt;"",K140,M140)</x:f>
        <x:v>0</x:v>
      </x:c>
      <x:c r="M140" s="132" t="n">
        <x:v>0</x:v>
      </x:c>
      <x:c r="N140" s="130"/>
      <x:c r="O140" s="131" t="n">
        <x:f>IF(N140&lt;&gt;"",N140,P140)</x:f>
        <x:v>0</x:v>
      </x:c>
      <x:c r="P140" s="132" t="n">
        <x:v>0</x:v>
      </x:c>
      <x:c r="Q140" s="130"/>
      <x:c r="R140" s="131" t="n">
        <x:f>IF(Q140&lt;&gt;"",Q140,S140)</x:f>
        <x:v>0</x:v>
      </x:c>
      <x:c r="S140" s="132" t="n">
        <x:v>0</x:v>
      </x:c>
      <x:c r="T140" s="130"/>
      <x:c r="U140" s="131" t="n">
        <x:f>IF(T140&lt;&gt;"",T140,V140)</x:f>
        <x:v>0</x:v>
      </x:c>
      <x:c r="V140" s="132" t="n">
        <x:v>0</x:v>
      </x:c>
      <x:c r="W140" s="130"/>
      <x:c r="X140" s="131" t="n">
        <x:f>IF(W140&lt;&gt;"",W140,Y140)</x:f>
        <x:v>0</x:v>
      </x:c>
      <x:c r="Y140" s="132" t="n">
        <x:v>0</x:v>
      </x:c>
      <x:c r="Z140" s="130"/>
      <x:c r="AA140" s="131" t="n">
        <x:f>IF(Z140&lt;&gt;"",Z140,AB140)</x:f>
        <x:v>0</x:v>
      </x:c>
      <x:c r="AB140" s="132" t="n">
        <x:v>0</x:v>
      </x:c>
      <x:c r="AC140" s="130"/>
      <x:c r="AD140" s="131" t="n">
        <x:f>IF(AC140&lt;&gt;"",AC140,AE140)</x:f>
        <x:v>0</x:v>
      </x:c>
      <x:c r="AE140" s="132" t="n">
        <x:v>0</x:v>
      </x:c>
      <x:c r="AF140" s="130" t="n">
        <x:v>0</x:v>
      </x:c>
      <x:c r="AG140" s="131" t="n">
        <x:f>IF(AF140&lt;&gt;"",AF140,AH140)</x:f>
        <x:v>0</x:v>
      </x:c>
      <x:c r="AH140" s="132" t="n">
        <x:v>0</x:v>
      </x:c>
      <x:c r="AI140" s="130" t="n">
        <x:v>0</x:v>
      </x:c>
      <x:c r="AJ140" s="131" t="n">
        <x:f>IF(AI140&lt;&gt;"",AI140,AK140)</x:f>
        <x:v>0</x:v>
      </x:c>
      <x:c r="AK140" s="132" t="n">
        <x:v>0</x:v>
      </x:c>
    </x:row>
    <x:row r="141" ht="22" customHeight="1">
      <x:c r="A141" s="136" t="str">
        <x:v>Total Standard Department Cost</x:v>
      </x:c>
      <x:c r="B141" s="137" t="str">
        <x:f>IF(COUNT(B132:B140)&gt;0,SUM(B132:B140),"")</x:f>
      </x:c>
      <x:c r="C141" s="138" t="n">
        <x:f>SUM(C132:C140)</x:f>
        <x:v>11100</x:v>
      </x:c>
      <x:c r="D141" s="139" t="n">
        <x:f>SUM(D132:D140)</x:f>
        <x:v>11100</x:v>
      </x:c>
      <x:c r="E141" s="137" t="str">
        <x:f>IF(COUNT(E132:E140)&gt;0,SUM(E132:E140),"")</x:f>
      </x:c>
      <x:c r="F141" s="138" t="n">
        <x:f>SUM(F132:F140)</x:f>
        <x:v>11100</x:v>
      </x:c>
      <x:c r="G141" s="139" t="n">
        <x:f>SUM(G132:G140)</x:f>
        <x:v>11100</x:v>
      </x:c>
      <x:c r="H141" s="137" t="str">
        <x:f>IF(COUNT(H132:H140)&gt;0,SUM(H132:H140),"")</x:f>
      </x:c>
      <x:c r="I141" s="138" t="n">
        <x:f>SUM(I132:I140)</x:f>
        <x:v>11100</x:v>
      </x:c>
      <x:c r="J141" s="139" t="n">
        <x:f>SUM(J132:J140)</x:f>
        <x:v>11100</x:v>
      </x:c>
      <x:c r="K141" s="137" t="str">
        <x:f>IF(COUNT(K132:K140)&gt;0,SUM(K132:K140),"")</x:f>
      </x:c>
      <x:c r="L141" s="138" t="n">
        <x:f>SUM(L132:L140)</x:f>
        <x:v>11100</x:v>
      </x:c>
      <x:c r="M141" s="139" t="n">
        <x:f>SUM(M132:M140)</x:f>
        <x:v>11100</x:v>
      </x:c>
      <x:c r="N141" s="137" t="str">
        <x:f>IF(COUNT(N132:N140)&gt;0,SUM(N132:N140),"")</x:f>
      </x:c>
      <x:c r="O141" s="138" t="n">
        <x:f>SUM(O132:O140)</x:f>
        <x:v>11100</x:v>
      </x:c>
      <x:c r="P141" s="139" t="n">
        <x:f>SUM(P132:P140)</x:f>
        <x:v>11100</x:v>
      </x:c>
      <x:c r="Q141" s="137" t="str">
        <x:f>IF(COUNT(Q132:Q140)&gt;0,SUM(Q132:Q140),"")</x:f>
      </x:c>
      <x:c r="R141" s="138" t="n">
        <x:f>SUM(R132:R140)</x:f>
        <x:v>11100</x:v>
      </x:c>
      <x:c r="S141" s="139" t="n">
        <x:f>SUM(S132:S140)</x:f>
        <x:v>11100</x:v>
      </x:c>
      <x:c r="T141" s="137" t="str">
        <x:f>IF(COUNT(T132:T140)&gt;0,SUM(T132:T140),"")</x:f>
      </x:c>
      <x:c r="U141" s="138" t="n">
        <x:f>SUM(U132:U140)</x:f>
        <x:v>11100</x:v>
      </x:c>
      <x:c r="V141" s="139" t="n">
        <x:f>SUM(V132:V140)</x:f>
        <x:v>11100</x:v>
      </x:c>
      <x:c r="W141" s="137" t="str">
        <x:f>IF(COUNT(W132:W140)&gt;0,SUM(W132:W140),"")</x:f>
      </x:c>
      <x:c r="X141" s="138" t="n">
        <x:f>SUM(X132:X140)</x:f>
        <x:v>11100</x:v>
      </x:c>
      <x:c r="Y141" s="139" t="n">
        <x:f>SUM(Y132:Y140)</x:f>
        <x:v>11100</x:v>
      </x:c>
      <x:c r="Z141" s="137" t="str">
        <x:f>IF(COUNT(Z132:Z140)&gt;0,SUM(Z132:Z140),"")</x:f>
      </x:c>
      <x:c r="AA141" s="138" t="n">
        <x:f>SUM(AA132:AA140)</x:f>
        <x:v>11100</x:v>
      </x:c>
      <x:c r="AB141" s="139" t="n">
        <x:f>SUM(AB132:AB140)</x:f>
        <x:v>11100</x:v>
      </x:c>
      <x:c r="AC141" s="137" t="str">
        <x:f>IF(COUNT(AC132:AC140)&gt;0,SUM(AC132:AC140),"")</x:f>
      </x:c>
      <x:c r="AD141" s="138" t="n">
        <x:f>SUM(AD132:AD140)</x:f>
        <x:v>11100</x:v>
      </x:c>
      <x:c r="AE141" s="139" t="n">
        <x:f>SUM(AE132:AE140)</x:f>
        <x:v>11100</x:v>
      </x:c>
      <x:c r="AF141" s="137" t="n">
        <x:f>IF(COUNT(AF132:AF140)&gt;0,SUM(AF132:AF140),"")</x:f>
        <x:v>10878</x:v>
      </x:c>
      <x:c r="AG141" s="138" t="n">
        <x:f>SUM(AG132:AG140)</x:f>
        <x:v>10878</x:v>
      </x:c>
      <x:c r="AH141" s="139" t="n">
        <x:f>SUM(AH132:AH140)</x:f>
        <x:v>11100</x:v>
      </x:c>
      <x:c r="AI141" s="137" t="n">
        <x:f>IF(COUNT(AI132:AI140)&gt;0,SUM(AI132:AI140),"")</x:f>
        <x:v>11655</x:v>
      </x:c>
      <x:c r="AJ141" s="138" t="n">
        <x:f>SUM(AJ132:AJ140)</x:f>
        <x:v>11655</x:v>
      </x:c>
      <x:c r="AK141" s="139" t="n">
        <x:f>SUM(AK132:AK140)</x:f>
        <x:v>11100</x:v>
      </x:c>
    </x:row>
    <x:row r="142" ht="22" customHeight="1">
      <x:c r="A142" s="116" t="str">
        <x:v>Development Tools and Licences</x:v>
      </x:c>
      <x:c r="B142" s="130"/>
      <x:c r="C142" s="131" t="n">
        <x:f>IF(B142&lt;&gt;"",B142,D142)</x:f>
        <x:v>500</x:v>
      </x:c>
      <x:c r="D142" s="132" t="n">
        <x:v>500</x:v>
      </x:c>
      <x:c r="E142" s="130"/>
      <x:c r="F142" s="131" t="n">
        <x:f>IF(E142&lt;&gt;"",E142,G142)</x:f>
        <x:v>500</x:v>
      </x:c>
      <x:c r="G142" s="132" t="n">
        <x:v>500</x:v>
      </x:c>
      <x:c r="H142" s="130"/>
      <x:c r="I142" s="131" t="n">
        <x:f>IF(H142&lt;&gt;"",H142,J142)</x:f>
        <x:v>500</x:v>
      </x:c>
      <x:c r="J142" s="132" t="n">
        <x:v>500</x:v>
      </x:c>
      <x:c r="K142" s="130"/>
      <x:c r="L142" s="131" t="n">
        <x:f>IF(K142&lt;&gt;"",K142,M142)</x:f>
        <x:v>500</x:v>
      </x:c>
      <x:c r="M142" s="132" t="n">
        <x:v>500</x:v>
      </x:c>
      <x:c r="N142" s="130"/>
      <x:c r="O142" s="131" t="n">
        <x:f>IF(N142&lt;&gt;"",N142,P142)</x:f>
        <x:v>500</x:v>
      </x:c>
      <x:c r="P142" s="132" t="n">
        <x:v>500</x:v>
      </x:c>
      <x:c r="Q142" s="130"/>
      <x:c r="R142" s="131" t="n">
        <x:f>IF(Q142&lt;&gt;"",Q142,S142)</x:f>
        <x:v>500</x:v>
      </x:c>
      <x:c r="S142" s="132" t="n">
        <x:v>500</x:v>
      </x:c>
      <x:c r="T142" s="130"/>
      <x:c r="U142" s="131" t="n">
        <x:f>IF(T142&lt;&gt;"",T142,V142)</x:f>
        <x:v>500</x:v>
      </x:c>
      <x:c r="V142" s="132" t="n">
        <x:v>500</x:v>
      </x:c>
      <x:c r="W142" s="130"/>
      <x:c r="X142" s="131" t="n">
        <x:f>IF(W142&lt;&gt;"",W142,Y142)</x:f>
        <x:v>500</x:v>
      </x:c>
      <x:c r="Y142" s="132" t="n">
        <x:v>500</x:v>
      </x:c>
      <x:c r="Z142" s="130"/>
      <x:c r="AA142" s="131" t="n">
        <x:f>IF(Z142&lt;&gt;"",Z142,AB142)</x:f>
        <x:v>500</x:v>
      </x:c>
      <x:c r="AB142" s="132" t="n">
        <x:v>500</x:v>
      </x:c>
      <x:c r="AC142" s="130"/>
      <x:c r="AD142" s="131" t="n">
        <x:f>IF(AC142&lt;&gt;"",AC142,AE142)</x:f>
        <x:v>500</x:v>
      </x:c>
      <x:c r="AE142" s="132" t="n">
        <x:v>500</x:v>
      </x:c>
      <x:c r="AF142" s="130" t="n">
        <x:v>490</x:v>
      </x:c>
      <x:c r="AG142" s="131" t="n">
        <x:f>IF(AF142&lt;&gt;"",AF142,AH142)</x:f>
        <x:v>490</x:v>
      </x:c>
      <x:c r="AH142" s="132" t="n">
        <x:v>500</x:v>
      </x:c>
      <x:c r="AI142" s="130" t="n">
        <x:v>525</x:v>
      </x:c>
      <x:c r="AJ142" s="131" t="n">
        <x:f>IF(AI142&lt;&gt;"",AI142,AK142)</x:f>
        <x:v>525</x:v>
      </x:c>
      <x:c r="AK142" s="132" t="n">
        <x:v>500</x:v>
      </x:c>
    </x:row>
    <x:row r="143" ht="22" customHeight="1">
      <x:c r="A143" s="116" t="str">
        <x:v>Third-party APIs and Services</x:v>
      </x:c>
      <x:c r="B143" s="130"/>
      <x:c r="C143" s="131" t="n">
        <x:f>IF(B143&lt;&gt;"",B143,D143)</x:f>
        <x:v>500</x:v>
      </x:c>
      <x:c r="D143" s="132" t="n">
        <x:v>500</x:v>
      </x:c>
      <x:c r="E143" s="130"/>
      <x:c r="F143" s="131" t="n">
        <x:f>IF(E143&lt;&gt;"",E143,G143)</x:f>
        <x:v>500</x:v>
      </x:c>
      <x:c r="G143" s="132" t="n">
        <x:v>500</x:v>
      </x:c>
      <x:c r="H143" s="130"/>
      <x:c r="I143" s="131" t="n">
        <x:f>IF(H143&lt;&gt;"",H143,J143)</x:f>
        <x:v>500</x:v>
      </x:c>
      <x:c r="J143" s="132" t="n">
        <x:v>500</x:v>
      </x:c>
      <x:c r="K143" s="130"/>
      <x:c r="L143" s="131" t="n">
        <x:f>IF(K143&lt;&gt;"",K143,M143)</x:f>
        <x:v>500</x:v>
      </x:c>
      <x:c r="M143" s="132" t="n">
        <x:v>500</x:v>
      </x:c>
      <x:c r="N143" s="130"/>
      <x:c r="O143" s="131" t="n">
        <x:f>IF(N143&lt;&gt;"",N143,P143)</x:f>
        <x:v>500</x:v>
      </x:c>
      <x:c r="P143" s="132" t="n">
        <x:v>500</x:v>
      </x:c>
      <x:c r="Q143" s="130"/>
      <x:c r="R143" s="131" t="n">
        <x:f>IF(Q143&lt;&gt;"",Q143,S143)</x:f>
        <x:v>500</x:v>
      </x:c>
      <x:c r="S143" s="132" t="n">
        <x:v>500</x:v>
      </x:c>
      <x:c r="T143" s="130"/>
      <x:c r="U143" s="131" t="n">
        <x:f>IF(T143&lt;&gt;"",T143,V143)</x:f>
        <x:v>500</x:v>
      </x:c>
      <x:c r="V143" s="132" t="n">
        <x:v>500</x:v>
      </x:c>
      <x:c r="W143" s="130"/>
      <x:c r="X143" s="131" t="n">
        <x:f>IF(W143&lt;&gt;"",W143,Y143)</x:f>
        <x:v>500</x:v>
      </x:c>
      <x:c r="Y143" s="132" t="n">
        <x:v>500</x:v>
      </x:c>
      <x:c r="Z143" s="130"/>
      <x:c r="AA143" s="131" t="n">
        <x:f>IF(Z143&lt;&gt;"",Z143,AB143)</x:f>
        <x:v>500</x:v>
      </x:c>
      <x:c r="AB143" s="132" t="n">
        <x:v>500</x:v>
      </x:c>
      <x:c r="AC143" s="130"/>
      <x:c r="AD143" s="131" t="n">
        <x:f>IF(AC143&lt;&gt;"",AC143,AE143)</x:f>
        <x:v>500</x:v>
      </x:c>
      <x:c r="AE143" s="132" t="n">
        <x:v>500</x:v>
      </x:c>
      <x:c r="AF143" s="130" t="n">
        <x:v>490</x:v>
      </x:c>
      <x:c r="AG143" s="131" t="n">
        <x:f>IF(AF143&lt;&gt;"",AF143,AH143)</x:f>
        <x:v>490</x:v>
      </x:c>
      <x:c r="AH143" s="132" t="n">
        <x:v>500</x:v>
      </x:c>
      <x:c r="AI143" s="130" t="n">
        <x:v>525</x:v>
      </x:c>
      <x:c r="AJ143" s="131" t="n">
        <x:f>IF(AI143&lt;&gt;"",AI143,AK143)</x:f>
        <x:v>525</x:v>
      </x:c>
      <x:c r="AK143" s="132" t="n">
        <x:v>500</x:v>
      </x:c>
    </x:row>
    <x:row r="144" ht="22" customHeight="1">
      <x:c r="A144" s="116" t="str">
        <x:v>Security and Penetration Testing</x:v>
      </x:c>
      <x:c r="B144" s="130"/>
      <x:c r="C144" s="131" t="n">
        <x:f>IF(B144&lt;&gt;"",B144,D144)</x:f>
        <x:v>250</x:v>
      </x:c>
      <x:c r="D144" s="132" t="n">
        <x:v>250</x:v>
      </x:c>
      <x:c r="E144" s="130"/>
      <x:c r="F144" s="131" t="n">
        <x:f>IF(E144&lt;&gt;"",E144,G144)</x:f>
        <x:v>250</x:v>
      </x:c>
      <x:c r="G144" s="132" t="n">
        <x:v>250</x:v>
      </x:c>
      <x:c r="H144" s="130"/>
      <x:c r="I144" s="131" t="n">
        <x:f>IF(H144&lt;&gt;"",H144,J144)</x:f>
        <x:v>250</x:v>
      </x:c>
      <x:c r="J144" s="132" t="n">
        <x:v>250</x:v>
      </x:c>
      <x:c r="K144" s="130"/>
      <x:c r="L144" s="131" t="n">
        <x:f>IF(K144&lt;&gt;"",K144,M144)</x:f>
        <x:v>250</x:v>
      </x:c>
      <x:c r="M144" s="132" t="n">
        <x:v>250</x:v>
      </x:c>
      <x:c r="N144" s="130"/>
      <x:c r="O144" s="131" t="n">
        <x:f>IF(N144&lt;&gt;"",N144,P144)</x:f>
        <x:v>250</x:v>
      </x:c>
      <x:c r="P144" s="132" t="n">
        <x:v>250</x:v>
      </x:c>
      <x:c r="Q144" s="130"/>
      <x:c r="R144" s="131" t="n">
        <x:f>IF(Q144&lt;&gt;"",Q144,S144)</x:f>
        <x:v>250</x:v>
      </x:c>
      <x:c r="S144" s="132" t="n">
        <x:v>250</x:v>
      </x:c>
      <x:c r="T144" s="130"/>
      <x:c r="U144" s="131" t="n">
        <x:f>IF(T144&lt;&gt;"",T144,V144)</x:f>
        <x:v>250</x:v>
      </x:c>
      <x:c r="V144" s="132" t="n">
        <x:v>250</x:v>
      </x:c>
      <x:c r="W144" s="130"/>
      <x:c r="X144" s="131" t="n">
        <x:f>IF(W144&lt;&gt;"",W144,Y144)</x:f>
        <x:v>250</x:v>
      </x:c>
      <x:c r="Y144" s="132" t="n">
        <x:v>250</x:v>
      </x:c>
      <x:c r="Z144" s="130"/>
      <x:c r="AA144" s="131" t="n">
        <x:f>IF(Z144&lt;&gt;"",Z144,AB144)</x:f>
        <x:v>250</x:v>
      </x:c>
      <x:c r="AB144" s="132" t="n">
        <x:v>250</x:v>
      </x:c>
      <x:c r="AC144" s="130"/>
      <x:c r="AD144" s="131" t="n">
        <x:f>IF(AC144&lt;&gt;"",AC144,AE144)</x:f>
        <x:v>250</x:v>
      </x:c>
      <x:c r="AE144" s="132" t="n">
        <x:v>250</x:v>
      </x:c>
      <x:c r="AF144" s="130" t="n">
        <x:v>245</x:v>
      </x:c>
      <x:c r="AG144" s="131" t="n">
        <x:f>IF(AF144&lt;&gt;"",AF144,AH144)</x:f>
        <x:v>245</x:v>
      </x:c>
      <x:c r="AH144" s="132" t="n">
        <x:v>250</x:v>
      </x:c>
      <x:c r="AI144" s="130" t="n">
        <x:v>263</x:v>
      </x:c>
      <x:c r="AJ144" s="131" t="n">
        <x:f>IF(AI144&lt;&gt;"",AI144,AK144)</x:f>
        <x:v>263</x:v>
      </x:c>
      <x:c r="AK144" s="132" t="n">
        <x:v>250</x:v>
      </x:c>
    </x:row>
    <x:row r="145" ht="22" customHeight="1">
      <x:c r="A145" s="116" t="str">
        <x:v>Contractors, Project Based</x:v>
      </x:c>
      <x:c r="B145" s="130"/>
      <x:c r="C145" s="131" t="n">
        <x:f>IF(B145&lt;&gt;"",B145,D145)</x:f>
        <x:v>0</x:v>
      </x:c>
      <x:c r="D145" s="132" t="n">
        <x:v>0</x:v>
      </x:c>
      <x:c r="E145" s="130"/>
      <x:c r="F145" s="131" t="n">
        <x:f>IF(E145&lt;&gt;"",E145,G145)</x:f>
        <x:v>0</x:v>
      </x:c>
      <x:c r="G145" s="132" t="n">
        <x:v>0</x:v>
      </x:c>
      <x:c r="H145" s="130"/>
      <x:c r="I145" s="131" t="n">
        <x:f>IF(H145&lt;&gt;"",H145,J145)</x:f>
        <x:v>0</x:v>
      </x:c>
      <x:c r="J145" s="132" t="n">
        <x:v>0</x:v>
      </x:c>
      <x:c r="K145" s="130"/>
      <x:c r="L145" s="131" t="n">
        <x:f>IF(K145&lt;&gt;"",K145,M145)</x:f>
        <x:v>0</x:v>
      </x:c>
      <x:c r="M145" s="132" t="n">
        <x:v>0</x:v>
      </x:c>
      <x:c r="N145" s="130"/>
      <x:c r="O145" s="131" t="n">
        <x:f>IF(N145&lt;&gt;"",N145,P145)</x:f>
        <x:v>0</x:v>
      </x:c>
      <x:c r="P145" s="132" t="n">
        <x:v>0</x:v>
      </x:c>
      <x:c r="Q145" s="130"/>
      <x:c r="R145" s="131" t="n">
        <x:f>IF(Q145&lt;&gt;"",Q145,S145)</x:f>
        <x:v>0</x:v>
      </x:c>
      <x:c r="S145" s="132" t="n">
        <x:v>0</x:v>
      </x:c>
      <x:c r="T145" s="130"/>
      <x:c r="U145" s="131" t="n">
        <x:f>IF(T145&lt;&gt;"",T145,V145)</x:f>
        <x:v>0</x:v>
      </x:c>
      <x:c r="V145" s="132" t="n">
        <x:v>0</x:v>
      </x:c>
      <x:c r="W145" s="130"/>
      <x:c r="X145" s="131" t="n">
        <x:f>IF(W145&lt;&gt;"",W145,Y145)</x:f>
        <x:v>0</x:v>
      </x:c>
      <x:c r="Y145" s="132" t="n">
        <x:v>0</x:v>
      </x:c>
      <x:c r="Z145" s="130"/>
      <x:c r="AA145" s="131" t="n">
        <x:f>IF(Z145&lt;&gt;"",Z145,AB145)</x:f>
        <x:v>0</x:v>
      </x:c>
      <x:c r="AB145" s="132" t="n">
        <x:v>0</x:v>
      </x:c>
      <x:c r="AC145" s="130"/>
      <x:c r="AD145" s="131" t="n">
        <x:f>IF(AC145&lt;&gt;"",AC145,AE145)</x:f>
        <x:v>0</x:v>
      </x:c>
      <x:c r="AE145" s="132" t="n">
        <x:v>0</x:v>
      </x:c>
      <x:c r="AF145" s="130" t="n">
        <x:v>0</x:v>
      </x:c>
      <x:c r="AG145" s="131" t="n">
        <x:f>IF(AF145&lt;&gt;"",AF145,AH145)</x:f>
        <x:v>0</x:v>
      </x:c>
      <x:c r="AH145" s="132" t="n">
        <x:v>0</x:v>
      </x:c>
      <x:c r="AI145" s="130" t="n">
        <x:v>0</x:v>
      </x:c>
      <x:c r="AJ145" s="131" t="n">
        <x:f>IF(AI145&lt;&gt;"",AI145,AK145)</x:f>
        <x:v>0</x:v>
      </x:c>
      <x:c r="AK145" s="132" t="n">
        <x:v>0</x:v>
      </x:c>
    </x:row>
    <x:row r="146" ht="22" customHeight="1">
      <x:c r="A146" s="136" t="str">
        <x:v>Total Product and Technology Programs</x:v>
      </x:c>
      <x:c r="B146" s="137" t="str">
        <x:f>IF(COUNT(B142:B145)&gt;0,SUM(B142:B145),"")</x:f>
      </x:c>
      <x:c r="C146" s="138" t="n">
        <x:f>SUM(C142:C145)</x:f>
        <x:v>1250</x:v>
      </x:c>
      <x:c r="D146" s="139" t="n">
        <x:f>SUM(D142:D145)</x:f>
        <x:v>1250</x:v>
      </x:c>
      <x:c r="E146" s="137" t="str">
        <x:f>IF(COUNT(E142:E145)&gt;0,SUM(E142:E145),"")</x:f>
      </x:c>
      <x:c r="F146" s="138" t="n">
        <x:f>SUM(F142:F145)</x:f>
        <x:v>1250</x:v>
      </x:c>
      <x:c r="G146" s="139" t="n">
        <x:f>SUM(G142:G145)</x:f>
        <x:v>1250</x:v>
      </x:c>
      <x:c r="H146" s="137" t="str">
        <x:f>IF(COUNT(H142:H145)&gt;0,SUM(H142:H145),"")</x:f>
      </x:c>
      <x:c r="I146" s="138" t="n">
        <x:f>SUM(I142:I145)</x:f>
        <x:v>1250</x:v>
      </x:c>
      <x:c r="J146" s="139" t="n">
        <x:f>SUM(J142:J145)</x:f>
        <x:v>1250</x:v>
      </x:c>
      <x:c r="K146" s="137" t="str">
        <x:f>IF(COUNT(K142:K145)&gt;0,SUM(K142:K145),"")</x:f>
      </x:c>
      <x:c r="L146" s="138" t="n">
        <x:f>SUM(L142:L145)</x:f>
        <x:v>1250</x:v>
      </x:c>
      <x:c r="M146" s="139" t="n">
        <x:f>SUM(M142:M145)</x:f>
        <x:v>1250</x:v>
      </x:c>
      <x:c r="N146" s="137" t="str">
        <x:f>IF(COUNT(N142:N145)&gt;0,SUM(N142:N145),"")</x:f>
      </x:c>
      <x:c r="O146" s="138" t="n">
        <x:f>SUM(O142:O145)</x:f>
        <x:v>1250</x:v>
      </x:c>
      <x:c r="P146" s="139" t="n">
        <x:f>SUM(P142:P145)</x:f>
        <x:v>1250</x:v>
      </x:c>
      <x:c r="Q146" s="137" t="str">
        <x:f>IF(COUNT(Q142:Q145)&gt;0,SUM(Q142:Q145),"")</x:f>
      </x:c>
      <x:c r="R146" s="138" t="n">
        <x:f>SUM(R142:R145)</x:f>
        <x:v>1250</x:v>
      </x:c>
      <x:c r="S146" s="139" t="n">
        <x:f>SUM(S142:S145)</x:f>
        <x:v>1250</x:v>
      </x:c>
      <x:c r="T146" s="137" t="str">
        <x:f>IF(COUNT(T142:T145)&gt;0,SUM(T142:T145),"")</x:f>
      </x:c>
      <x:c r="U146" s="138" t="n">
        <x:f>SUM(U142:U145)</x:f>
        <x:v>1250</x:v>
      </x:c>
      <x:c r="V146" s="139" t="n">
        <x:f>SUM(V142:V145)</x:f>
        <x:v>1250</x:v>
      </x:c>
      <x:c r="W146" s="137" t="str">
        <x:f>IF(COUNT(W142:W145)&gt;0,SUM(W142:W145),"")</x:f>
      </x:c>
      <x:c r="X146" s="138" t="n">
        <x:f>SUM(X142:X145)</x:f>
        <x:v>1250</x:v>
      </x:c>
      <x:c r="Y146" s="139" t="n">
        <x:f>SUM(Y142:Y145)</x:f>
        <x:v>1250</x:v>
      </x:c>
      <x:c r="Z146" s="137" t="str">
        <x:f>IF(COUNT(Z142:Z145)&gt;0,SUM(Z142:Z145),"")</x:f>
      </x:c>
      <x:c r="AA146" s="138" t="n">
        <x:f>SUM(AA142:AA145)</x:f>
        <x:v>1250</x:v>
      </x:c>
      <x:c r="AB146" s="139" t="n">
        <x:f>SUM(AB142:AB145)</x:f>
        <x:v>1250</x:v>
      </x:c>
      <x:c r="AC146" s="137" t="str">
        <x:f>IF(COUNT(AC142:AC145)&gt;0,SUM(AC142:AC145),"")</x:f>
      </x:c>
      <x:c r="AD146" s="138" t="n">
        <x:f>SUM(AD142:AD145)</x:f>
        <x:v>1250</x:v>
      </x:c>
      <x:c r="AE146" s="139" t="n">
        <x:f>SUM(AE142:AE145)</x:f>
        <x:v>1250</x:v>
      </x:c>
      <x:c r="AF146" s="137" t="n">
        <x:f>IF(COUNT(AF142:AF145)&gt;0,SUM(AF142:AF145),"")</x:f>
        <x:v>1225</x:v>
      </x:c>
      <x:c r="AG146" s="138" t="n">
        <x:f>SUM(AG142:AG145)</x:f>
        <x:v>1225</x:v>
      </x:c>
      <x:c r="AH146" s="139" t="n">
        <x:f>SUM(AH142:AH145)</x:f>
        <x:v>1250</x:v>
      </x:c>
      <x:c r="AI146" s="137" t="n">
        <x:f>IF(COUNT(AI142:AI145)&gt;0,SUM(AI142:AI145),"")</x:f>
        <x:v>1313</x:v>
      </x:c>
      <x:c r="AJ146" s="138" t="n">
        <x:f>SUM(AJ142:AJ145)</x:f>
        <x:v>1313</x:v>
      </x:c>
      <x:c r="AK146" s="139" t="n">
        <x:f>SUM(AK142:AK145)</x:f>
        <x:v>1250</x:v>
      </x:c>
    </x:row>
    <x:row r="147" ht="22" customHeight="1">
      <x:c r="A147" s="140" t="str">
        <x:v>Total Product and Technology Cost</x:v>
      </x:c>
      <x:c r="B147" s="141" t="str">
        <x:f>IF(COUNT(B141,B146)=2,SUM(B141,B146),"")</x:f>
      </x:c>
      <x:c r="C147" s="142" t="n">
        <x:f>SUM(C141,C146)</x:f>
        <x:v>12350</x:v>
      </x:c>
      <x:c r="D147" s="143" t="n">
        <x:f>SUM(D141,D146)</x:f>
        <x:v>12350</x:v>
      </x:c>
      <x:c r="E147" s="141" t="str">
        <x:f>IF(COUNT(E141,E146)=2,SUM(E141,E146),"")</x:f>
      </x:c>
      <x:c r="F147" s="142" t="n">
        <x:f>SUM(F141,F146)</x:f>
        <x:v>12350</x:v>
      </x:c>
      <x:c r="G147" s="143" t="n">
        <x:f>SUM(G141,G146)</x:f>
        <x:v>12350</x:v>
      </x:c>
      <x:c r="H147" s="141" t="str">
        <x:f>IF(COUNT(H141,H146)=2,SUM(H141,H146),"")</x:f>
      </x:c>
      <x:c r="I147" s="142" t="n">
        <x:f>SUM(I141,I146)</x:f>
        <x:v>12350</x:v>
      </x:c>
      <x:c r="J147" s="143" t="n">
        <x:f>SUM(J141,J146)</x:f>
        <x:v>12350</x:v>
      </x:c>
      <x:c r="K147" s="141" t="str">
        <x:f>IF(COUNT(K141,K146)=2,SUM(K141,K146),"")</x:f>
      </x:c>
      <x:c r="L147" s="142" t="n">
        <x:f>SUM(L141,L146)</x:f>
        <x:v>12350</x:v>
      </x:c>
      <x:c r="M147" s="143" t="n">
        <x:f>SUM(M141,M146)</x:f>
        <x:v>12350</x:v>
      </x:c>
      <x:c r="N147" s="141" t="str">
        <x:f>IF(COUNT(N141,N146)=2,SUM(N141,N146),"")</x:f>
      </x:c>
      <x:c r="O147" s="142" t="n">
        <x:f>SUM(O141,O146)</x:f>
        <x:v>12350</x:v>
      </x:c>
      <x:c r="P147" s="143" t="n">
        <x:f>SUM(P141,P146)</x:f>
        <x:v>12350</x:v>
      </x:c>
      <x:c r="Q147" s="141" t="str">
        <x:f>IF(COUNT(Q141,Q146)=2,SUM(Q141,Q146),"")</x:f>
      </x:c>
      <x:c r="R147" s="142" t="n">
        <x:f>SUM(R141,R146)</x:f>
        <x:v>12350</x:v>
      </x:c>
      <x:c r="S147" s="143" t="n">
        <x:f>SUM(S141,S146)</x:f>
        <x:v>12350</x:v>
      </x:c>
      <x:c r="T147" s="141" t="str">
        <x:f>IF(COUNT(T141,T146)=2,SUM(T141,T146),"")</x:f>
      </x:c>
      <x:c r="U147" s="142" t="n">
        <x:f>SUM(U141,U146)</x:f>
        <x:v>12350</x:v>
      </x:c>
      <x:c r="V147" s="143" t="n">
        <x:f>SUM(V141,V146)</x:f>
        <x:v>12350</x:v>
      </x:c>
      <x:c r="W147" s="141" t="str">
        <x:f>IF(COUNT(W141,W146)=2,SUM(W141,W146),"")</x:f>
      </x:c>
      <x:c r="X147" s="142" t="n">
        <x:f>SUM(X141,X146)</x:f>
        <x:v>12350</x:v>
      </x:c>
      <x:c r="Y147" s="143" t="n">
        <x:f>SUM(Y141,Y146)</x:f>
        <x:v>12350</x:v>
      </x:c>
      <x:c r="Z147" s="141" t="str">
        <x:f>IF(COUNT(Z141,Z146)=2,SUM(Z141,Z146),"")</x:f>
      </x:c>
      <x:c r="AA147" s="142" t="n">
        <x:f>SUM(AA141,AA146)</x:f>
        <x:v>12350</x:v>
      </x:c>
      <x:c r="AB147" s="143" t="n">
        <x:f>SUM(AB141,AB146)</x:f>
        <x:v>12350</x:v>
      </x:c>
      <x:c r="AC147" s="141" t="str">
        <x:f>IF(COUNT(AC141,AC146)=2,SUM(AC141,AC146),"")</x:f>
      </x:c>
      <x:c r="AD147" s="142" t="n">
        <x:f>SUM(AD141,AD146)</x:f>
        <x:v>12350</x:v>
      </x:c>
      <x:c r="AE147" s="143" t="n">
        <x:f>SUM(AE141,AE146)</x:f>
        <x:v>12350</x:v>
      </x:c>
      <x:c r="AF147" s="141" t="n">
        <x:f>IF(COUNT(AF141,AF146)=2,SUM(AF141,AF146),"")</x:f>
        <x:v>12103</x:v>
      </x:c>
      <x:c r="AG147" s="142" t="n">
        <x:f>SUM(AG141,AG146)</x:f>
        <x:v>12103</x:v>
      </x:c>
      <x:c r="AH147" s="143" t="n">
        <x:f>SUM(AH141,AH146)</x:f>
        <x:v>12350</x:v>
      </x:c>
      <x:c r="AI147" s="141" t="n">
        <x:f>IF(COUNT(AI141,AI146)=2,SUM(AI141,AI146),"")</x:f>
        <x:v>12968</x:v>
      </x:c>
      <x:c r="AJ147" s="142" t="n">
        <x:f>SUM(AJ141,AJ146)</x:f>
        <x:v>12968</x:v>
      </x:c>
      <x:c r="AK147" s="143" t="n">
        <x:f>SUM(AK141,AK146)</x:f>
        <x:v>12350</x:v>
      </x:c>
    </x:row>
    <x:row r="148" ht="22" customHeight="1">
      <x:c r="A148" s="116"/>
      <x:c r="B148" s="133"/>
      <x:c r="C148" s="131"/>
      <x:c r="D148" s="134"/>
      <x:c r="E148" s="133"/>
      <x:c r="F148" s="131"/>
      <x:c r="G148" s="134"/>
      <x:c r="H148" s="133"/>
      <x:c r="I148" s="131"/>
      <x:c r="J148" s="134"/>
      <x:c r="K148" s="133"/>
      <x:c r="L148" s="131"/>
      <x:c r="M148" s="134"/>
      <x:c r="N148" s="133"/>
      <x:c r="O148" s="131"/>
      <x:c r="P148" s="134"/>
      <x:c r="Q148" s="133"/>
      <x:c r="R148" s="131"/>
      <x:c r="S148" s="134"/>
      <x:c r="T148" s="133"/>
      <x:c r="U148" s="131"/>
      <x:c r="V148" s="134"/>
      <x:c r="W148" s="133"/>
      <x:c r="X148" s="131"/>
      <x:c r="Y148" s="134"/>
      <x:c r="Z148" s="133"/>
      <x:c r="AA148" s="131"/>
      <x:c r="AB148" s="134"/>
      <x:c r="AC148" s="133"/>
      <x:c r="AD148" s="131"/>
      <x:c r="AE148" s="134"/>
      <x:c r="AF148" s="133"/>
      <x:c r="AG148" s="131"/>
      <x:c r="AH148" s="134"/>
      <x:c r="AI148" s="133"/>
      <x:c r="AJ148" s="131"/>
      <x:c r="AK148" s="134"/>
    </x:row>
    <x:row r="149" ht="22" customHeight="1">
      <x:c r="A149" s="38" t="str">
        <x:v>FINANCE AND ADMINISTRATION EXPENSES</x:v>
      </x:c>
      <x:c r="B149" s="84" t="str">
        <x:v>FINANCE AND ADMINISTRATION EXPENSES</x:v>
      </x:c>
      <x:c r="C149" s="85" t="str">
        <x:v>FINANCE AND ADMINISTRATION EXPENSES</x:v>
      </x:c>
      <x:c r="D149" s="86" t="str">
        <x:v>FINANCE AND ADMINISTRATION EXPENSES</x:v>
      </x:c>
      <x:c r="E149" s="84" t="str">
        <x:v>FINANCE AND ADMINISTRATION EXPENSES</x:v>
      </x:c>
      <x:c r="F149" s="85" t="str">
        <x:v>FINANCE AND ADMINISTRATION EXPENSES</x:v>
      </x:c>
      <x:c r="G149" s="86" t="str">
        <x:v>FINANCE AND ADMINISTRATION EXPENSES</x:v>
      </x:c>
      <x:c r="H149" s="84" t="str">
        <x:v>FINANCE AND ADMINISTRATION EXPENSES</x:v>
      </x:c>
      <x:c r="I149" s="85" t="str">
        <x:v>FINANCE AND ADMINISTRATION EXPENSES</x:v>
      </x:c>
      <x:c r="J149" s="86" t="str">
        <x:v>FINANCE AND ADMINISTRATION EXPENSES</x:v>
      </x:c>
      <x:c r="K149" s="84" t="str">
        <x:v>FINANCE AND ADMINISTRATION EXPENSES</x:v>
      </x:c>
      <x:c r="L149" s="85" t="str">
        <x:v>FINANCE AND ADMINISTRATION EXPENSES</x:v>
      </x:c>
      <x:c r="M149" s="86" t="str">
        <x:v>FINANCE AND ADMINISTRATION EXPENSES</x:v>
      </x:c>
      <x:c r="N149" s="84" t="str">
        <x:v>FINANCE AND ADMINISTRATION EXPENSES</x:v>
      </x:c>
      <x:c r="O149" s="85" t="str">
        <x:v>FINANCE AND ADMINISTRATION EXPENSES</x:v>
      </x:c>
      <x:c r="P149" s="86" t="str">
        <x:v>FINANCE AND ADMINISTRATION EXPENSES</x:v>
      </x:c>
      <x:c r="Q149" s="84" t="str">
        <x:v>FINANCE AND ADMINISTRATION EXPENSES</x:v>
      </x:c>
      <x:c r="R149" s="85" t="str">
        <x:v>FINANCE AND ADMINISTRATION EXPENSES</x:v>
      </x:c>
      <x:c r="S149" s="86" t="str">
        <x:v>FINANCE AND ADMINISTRATION EXPENSES</x:v>
      </x:c>
      <x:c r="T149" s="84" t="str">
        <x:v>FINANCE AND ADMINISTRATION EXPENSES</x:v>
      </x:c>
      <x:c r="U149" s="85" t="str">
        <x:v>FINANCE AND ADMINISTRATION EXPENSES</x:v>
      </x:c>
      <x:c r="V149" s="86" t="str">
        <x:v>FINANCE AND ADMINISTRATION EXPENSES</x:v>
      </x:c>
      <x:c r="W149" s="84" t="str">
        <x:v>FINANCE AND ADMINISTRATION EXPENSES</x:v>
      </x:c>
      <x:c r="X149" s="85" t="str">
        <x:v>FINANCE AND ADMINISTRATION EXPENSES</x:v>
      </x:c>
      <x:c r="Y149" s="86" t="str">
        <x:v>FINANCE AND ADMINISTRATION EXPENSES</x:v>
      </x:c>
      <x:c r="Z149" s="84" t="str">
        <x:v>FINANCE AND ADMINISTRATION EXPENSES</x:v>
      </x:c>
      <x:c r="AA149" s="85" t="str">
        <x:v>FINANCE AND ADMINISTRATION EXPENSES</x:v>
      </x:c>
      <x:c r="AB149" s="86" t="str">
        <x:v>FINANCE AND ADMINISTRATION EXPENSES</x:v>
      </x:c>
      <x:c r="AC149" s="84" t="str">
        <x:v>FINANCE AND ADMINISTRATION EXPENSES</x:v>
      </x:c>
      <x:c r="AD149" s="85" t="str">
        <x:v>FINANCE AND ADMINISTRATION EXPENSES</x:v>
      </x:c>
      <x:c r="AE149" s="86" t="str">
        <x:v>FINANCE AND ADMINISTRATION EXPENSES</x:v>
      </x:c>
      <x:c r="AF149" s="84" t="str">
        <x:v>FINANCE AND ADMINISTRATION EXPENSES</x:v>
      </x:c>
      <x:c r="AG149" s="85" t="str">
        <x:v>FINANCE AND ADMINISTRATION EXPENSES</x:v>
      </x:c>
      <x:c r="AH149" s="86" t="str">
        <x:v>FINANCE AND ADMINISTRATION EXPENSES</x:v>
      </x:c>
      <x:c r="AI149" s="84" t="str">
        <x:v>FINANCE AND ADMINISTRATION EXPENSES</x:v>
      </x:c>
      <x:c r="AJ149" s="85" t="str">
        <x:v>FINANCE AND ADMINISTRATION EXPENSES</x:v>
      </x:c>
      <x:c r="AK149" s="86" t="str">
        <x:v>FINANCE AND ADMINISTRATION EXPENSES</x:v>
      </x:c>
    </x:row>
    <x:row r="150" ht="22" customHeight="1">
      <x:c r="A150" s="116" t="str">
        <x:v>Salaries and Wages</x:v>
      </x:c>
      <x:c r="B150" s="130"/>
      <x:c r="C150" s="131" t="n">
        <x:f>IF(B150&lt;&gt;"",B150,D150)</x:f>
        <x:v>5000</x:v>
      </x:c>
      <x:c r="D150" s="132" t="n">
        <x:v>5000</x:v>
      </x:c>
      <x:c r="E150" s="130"/>
      <x:c r="F150" s="131" t="n">
        <x:f>IF(E150&lt;&gt;"",E150,G150)</x:f>
        <x:v>5000</x:v>
      </x:c>
      <x:c r="G150" s="132" t="n">
        <x:v>5000</x:v>
      </x:c>
      <x:c r="H150" s="130"/>
      <x:c r="I150" s="131" t="n">
        <x:f>IF(H150&lt;&gt;"",H150,J150)</x:f>
        <x:v>5000</x:v>
      </x:c>
      <x:c r="J150" s="132" t="n">
        <x:v>5000</x:v>
      </x:c>
      <x:c r="K150" s="130"/>
      <x:c r="L150" s="131" t="n">
        <x:f>IF(K150&lt;&gt;"",K150,M150)</x:f>
        <x:v>5000</x:v>
      </x:c>
      <x:c r="M150" s="132" t="n">
        <x:v>5000</x:v>
      </x:c>
      <x:c r="N150" s="130"/>
      <x:c r="O150" s="131" t="n">
        <x:f>IF(N150&lt;&gt;"",N150,P150)</x:f>
        <x:v>5000</x:v>
      </x:c>
      <x:c r="P150" s="132" t="n">
        <x:v>5000</x:v>
      </x:c>
      <x:c r="Q150" s="130"/>
      <x:c r="R150" s="131" t="n">
        <x:f>IF(Q150&lt;&gt;"",Q150,S150)</x:f>
        <x:v>5000</x:v>
      </x:c>
      <x:c r="S150" s="132" t="n">
        <x:v>5000</x:v>
      </x:c>
      <x:c r="T150" s="130"/>
      <x:c r="U150" s="131" t="n">
        <x:f>IF(T150&lt;&gt;"",T150,V150)</x:f>
        <x:v>5000</x:v>
      </x:c>
      <x:c r="V150" s="132" t="n">
        <x:v>5000</x:v>
      </x:c>
      <x:c r="W150" s="130"/>
      <x:c r="X150" s="131" t="n">
        <x:f>IF(W150&lt;&gt;"",W150,Y150)</x:f>
        <x:v>5000</x:v>
      </x:c>
      <x:c r="Y150" s="132" t="n">
        <x:v>5000</x:v>
      </x:c>
      <x:c r="Z150" s="130"/>
      <x:c r="AA150" s="131" t="n">
        <x:f>IF(Z150&lt;&gt;"",Z150,AB150)</x:f>
        <x:v>5000</x:v>
      </x:c>
      <x:c r="AB150" s="132" t="n">
        <x:v>5000</x:v>
      </x:c>
      <x:c r="AC150" s="130"/>
      <x:c r="AD150" s="131" t="n">
        <x:f>IF(AC150&lt;&gt;"",AC150,AE150)</x:f>
        <x:v>5000</x:v>
      </x:c>
      <x:c r="AE150" s="132" t="n">
        <x:v>5000</x:v>
      </x:c>
      <x:c r="AF150" s="130" t="n">
        <x:v>4900</x:v>
      </x:c>
      <x:c r="AG150" s="131" t="n">
        <x:f>IF(AF150&lt;&gt;"",AF150,AH150)</x:f>
        <x:v>4900</x:v>
      </x:c>
      <x:c r="AH150" s="132" t="n">
        <x:v>5000</x:v>
      </x:c>
      <x:c r="AI150" s="130" t="n">
        <x:v>5250</x:v>
      </x:c>
      <x:c r="AJ150" s="131" t="n">
        <x:f>IF(AI150&lt;&gt;"",AI150,AK150)</x:f>
        <x:v>5250</x:v>
      </x:c>
      <x:c r="AK150" s="132" t="n">
        <x:v>5000</x:v>
      </x:c>
    </x:row>
    <x:row r="151" ht="22" customHeight="1">
      <x:c r="A151" s="116" t="str">
        <x:v>Bonuses</x:v>
      </x:c>
      <x:c r="B151" s="130"/>
      <x:c r="C151" s="131" t="n">
        <x:f>IF(B151&lt;&gt;"",B151,D151)</x:f>
        <x:v>0</x:v>
      </x:c>
      <x:c r="D151" s="132" t="n">
        <x:v>0</x:v>
      </x:c>
      <x:c r="E151" s="130"/>
      <x:c r="F151" s="131" t="n">
        <x:f>IF(E151&lt;&gt;"",E151,G151)</x:f>
        <x:v>0</x:v>
      </x:c>
      <x:c r="G151" s="132" t="n">
        <x:v>0</x:v>
      </x:c>
      <x:c r="H151" s="130"/>
      <x:c r="I151" s="131" t="n">
        <x:f>IF(H151&lt;&gt;"",H151,J151)</x:f>
        <x:v>0</x:v>
      </x:c>
      <x:c r="J151" s="132" t="n">
        <x:v>0</x:v>
      </x:c>
      <x:c r="K151" s="130"/>
      <x:c r="L151" s="131" t="n">
        <x:f>IF(K151&lt;&gt;"",K151,M151)</x:f>
        <x:v>0</x:v>
      </x:c>
      <x:c r="M151" s="132" t="n">
        <x:v>0</x:v>
      </x:c>
      <x:c r="N151" s="130"/>
      <x:c r="O151" s="131" t="n">
        <x:f>IF(N151&lt;&gt;"",N151,P151)</x:f>
        <x:v>0</x:v>
      </x:c>
      <x:c r="P151" s="132" t="n">
        <x:v>0</x:v>
      </x:c>
      <x:c r="Q151" s="130"/>
      <x:c r="R151" s="131" t="n">
        <x:f>IF(Q151&lt;&gt;"",Q151,S151)</x:f>
        <x:v>0</x:v>
      </x:c>
      <x:c r="S151" s="132" t="n">
        <x:v>0</x:v>
      </x:c>
      <x:c r="T151" s="130"/>
      <x:c r="U151" s="131" t="n">
        <x:f>IF(T151&lt;&gt;"",T151,V151)</x:f>
        <x:v>0</x:v>
      </x:c>
      <x:c r="V151" s="132" t="n">
        <x:v>0</x:v>
      </x:c>
      <x:c r="W151" s="130"/>
      <x:c r="X151" s="131" t="n">
        <x:f>IF(W151&lt;&gt;"",W151,Y151)</x:f>
        <x:v>0</x:v>
      </x:c>
      <x:c r="Y151" s="132" t="n">
        <x:v>0</x:v>
      </x:c>
      <x:c r="Z151" s="130"/>
      <x:c r="AA151" s="131" t="n">
        <x:f>IF(Z151&lt;&gt;"",Z151,AB151)</x:f>
        <x:v>0</x:v>
      </x:c>
      <x:c r="AB151" s="132" t="n">
        <x:v>0</x:v>
      </x:c>
      <x:c r="AC151" s="130"/>
      <x:c r="AD151" s="131" t="n">
        <x:f>IF(AC151&lt;&gt;"",AC151,AE151)</x:f>
        <x:v>0</x:v>
      </x:c>
      <x:c r="AE151" s="132" t="n">
        <x:v>0</x:v>
      </x:c>
      <x:c r="AF151" s="130" t="n">
        <x:v>0</x:v>
      </x:c>
      <x:c r="AG151" s="131" t="n">
        <x:f>IF(AF151&lt;&gt;"",AF151,AH151)</x:f>
        <x:v>0</x:v>
      </x:c>
      <x:c r="AH151" s="132" t="n">
        <x:v>0</x:v>
      </x:c>
      <x:c r="AI151" s="130" t="n">
        <x:v>0</x:v>
      </x:c>
      <x:c r="AJ151" s="131" t="n">
        <x:f>IF(AI151&lt;&gt;"",AI151,AK151)</x:f>
        <x:v>0</x:v>
      </x:c>
      <x:c r="AK151" s="132" t="n">
        <x:v>0</x:v>
      </x:c>
    </x:row>
    <x:row r="152" ht="22" customHeight="1">
      <x:c r="A152" s="116" t="str">
        <x:v>Payroll Taxes and Benefits</x:v>
      </x:c>
      <x:c r="B152" s="130"/>
      <x:c r="C152" s="131" t="n">
        <x:f>IF(B152&lt;&gt;"",B152,D152)</x:f>
        <x:v>1000</x:v>
      </x:c>
      <x:c r="D152" s="132" t="n">
        <x:v>1000</x:v>
      </x:c>
      <x:c r="E152" s="130"/>
      <x:c r="F152" s="131" t="n">
        <x:f>IF(E152&lt;&gt;"",E152,G152)</x:f>
        <x:v>1000</x:v>
      </x:c>
      <x:c r="G152" s="132" t="n">
        <x:v>1000</x:v>
      </x:c>
      <x:c r="H152" s="130"/>
      <x:c r="I152" s="131" t="n">
        <x:f>IF(H152&lt;&gt;"",H152,J152)</x:f>
        <x:v>1000</x:v>
      </x:c>
      <x:c r="J152" s="132" t="n">
        <x:v>1000</x:v>
      </x:c>
      <x:c r="K152" s="130"/>
      <x:c r="L152" s="131" t="n">
        <x:f>IF(K152&lt;&gt;"",K152,M152)</x:f>
        <x:v>1000</x:v>
      </x:c>
      <x:c r="M152" s="132" t="n">
        <x:v>1000</x:v>
      </x:c>
      <x:c r="N152" s="130"/>
      <x:c r="O152" s="131" t="n">
        <x:f>IF(N152&lt;&gt;"",N152,P152)</x:f>
        <x:v>1000</x:v>
      </x:c>
      <x:c r="P152" s="132" t="n">
        <x:v>1000</x:v>
      </x:c>
      <x:c r="Q152" s="130"/>
      <x:c r="R152" s="131" t="n">
        <x:f>IF(Q152&lt;&gt;"",Q152,S152)</x:f>
        <x:v>1000</x:v>
      </x:c>
      <x:c r="S152" s="132" t="n">
        <x:v>1000</x:v>
      </x:c>
      <x:c r="T152" s="130"/>
      <x:c r="U152" s="131" t="n">
        <x:f>IF(T152&lt;&gt;"",T152,V152)</x:f>
        <x:v>1000</x:v>
      </x:c>
      <x:c r="V152" s="132" t="n">
        <x:v>1000</x:v>
      </x:c>
      <x:c r="W152" s="130"/>
      <x:c r="X152" s="131" t="n">
        <x:f>IF(W152&lt;&gt;"",W152,Y152)</x:f>
        <x:v>1000</x:v>
      </x:c>
      <x:c r="Y152" s="132" t="n">
        <x:v>1000</x:v>
      </x:c>
      <x:c r="Z152" s="130"/>
      <x:c r="AA152" s="131" t="n">
        <x:f>IF(Z152&lt;&gt;"",Z152,AB152)</x:f>
        <x:v>1000</x:v>
      </x:c>
      <x:c r="AB152" s="132" t="n">
        <x:v>1000</x:v>
      </x:c>
      <x:c r="AC152" s="130"/>
      <x:c r="AD152" s="131" t="n">
        <x:f>IF(AC152&lt;&gt;"",AC152,AE152)</x:f>
        <x:v>1000</x:v>
      </x:c>
      <x:c r="AE152" s="132" t="n">
        <x:v>1000</x:v>
      </x:c>
      <x:c r="AF152" s="130" t="n">
        <x:v>980</x:v>
      </x:c>
      <x:c r="AG152" s="131" t="n">
        <x:f>IF(AF152&lt;&gt;"",AF152,AH152)</x:f>
        <x:v>980</x:v>
      </x:c>
      <x:c r="AH152" s="132" t="n">
        <x:v>1000</x:v>
      </x:c>
      <x:c r="AI152" s="130" t="n">
        <x:v>1050</x:v>
      </x:c>
      <x:c r="AJ152" s="131" t="n">
        <x:f>IF(AI152&lt;&gt;"",AI152,AK152)</x:f>
        <x:v>1050</x:v>
      </x:c>
      <x:c r="AK152" s="132" t="n">
        <x:v>1000</x:v>
      </x:c>
    </x:row>
    <x:row r="153" ht="22" customHeight="1">
      <x:c r="A153" s="116" t="str">
        <x:v>Contractors and Freelancers</x:v>
      </x:c>
      <x:c r="B153" s="130"/>
      <x:c r="C153" s="131" t="n">
        <x:f>IF(B153&lt;&gt;"",B153,D153)</x:f>
        <x:v>0</x:v>
      </x:c>
      <x:c r="D153" s="132" t="n">
        <x:v>0</x:v>
      </x:c>
      <x:c r="E153" s="130"/>
      <x:c r="F153" s="131" t="n">
        <x:f>IF(E153&lt;&gt;"",E153,G153)</x:f>
        <x:v>0</x:v>
      </x:c>
      <x:c r="G153" s="132" t="n">
        <x:v>0</x:v>
      </x:c>
      <x:c r="H153" s="130"/>
      <x:c r="I153" s="131" t="n">
        <x:f>IF(H153&lt;&gt;"",H153,J153)</x:f>
        <x:v>0</x:v>
      </x:c>
      <x:c r="J153" s="132" t="n">
        <x:v>0</x:v>
      </x:c>
      <x:c r="K153" s="130"/>
      <x:c r="L153" s="131" t="n">
        <x:f>IF(K153&lt;&gt;"",K153,M153)</x:f>
        <x:v>0</x:v>
      </x:c>
      <x:c r="M153" s="132" t="n">
        <x:v>0</x:v>
      </x:c>
      <x:c r="N153" s="130"/>
      <x:c r="O153" s="131" t="n">
        <x:f>IF(N153&lt;&gt;"",N153,P153)</x:f>
        <x:v>0</x:v>
      </x:c>
      <x:c r="P153" s="132" t="n">
        <x:v>0</x:v>
      </x:c>
      <x:c r="Q153" s="130"/>
      <x:c r="R153" s="131" t="n">
        <x:f>IF(Q153&lt;&gt;"",Q153,S153)</x:f>
        <x:v>0</x:v>
      </x:c>
      <x:c r="S153" s="132" t="n">
        <x:v>0</x:v>
      </x:c>
      <x:c r="T153" s="130"/>
      <x:c r="U153" s="131" t="n">
        <x:f>IF(T153&lt;&gt;"",T153,V153)</x:f>
        <x:v>0</x:v>
      </x:c>
      <x:c r="V153" s="132" t="n">
        <x:v>0</x:v>
      </x:c>
      <x:c r="W153" s="130"/>
      <x:c r="X153" s="131" t="n">
        <x:f>IF(W153&lt;&gt;"",W153,Y153)</x:f>
        <x:v>0</x:v>
      </x:c>
      <x:c r="Y153" s="132" t="n">
        <x:v>0</x:v>
      </x:c>
      <x:c r="Z153" s="130"/>
      <x:c r="AA153" s="131" t="n">
        <x:f>IF(Z153&lt;&gt;"",Z153,AB153)</x:f>
        <x:v>0</x:v>
      </x:c>
      <x:c r="AB153" s="132" t="n">
        <x:v>0</x:v>
      </x:c>
      <x:c r="AC153" s="130"/>
      <x:c r="AD153" s="131" t="n">
        <x:f>IF(AC153&lt;&gt;"",AC153,AE153)</x:f>
        <x:v>0</x:v>
      </x:c>
      <x:c r="AE153" s="132" t="n">
        <x:v>0</x:v>
      </x:c>
      <x:c r="AF153" s="130" t="n">
        <x:v>0</x:v>
      </x:c>
      <x:c r="AG153" s="131" t="n">
        <x:f>IF(AF153&lt;&gt;"",AF153,AH153)</x:f>
        <x:v>0</x:v>
      </x:c>
      <x:c r="AH153" s="132" t="n">
        <x:v>0</x:v>
      </x:c>
      <x:c r="AI153" s="130" t="n">
        <x:v>0</x:v>
      </x:c>
      <x:c r="AJ153" s="131" t="n">
        <x:f>IF(AI153&lt;&gt;"",AI153,AK153)</x:f>
        <x:v>0</x:v>
      </x:c>
      <x:c r="AK153" s="132" t="n">
        <x:v>0</x:v>
      </x:c>
    </x:row>
    <x:row r="154" ht="22" customHeight="1">
      <x:c r="A154" s="116" t="str">
        <x:v>Recruiting</x:v>
      </x:c>
      <x:c r="B154" s="130"/>
      <x:c r="C154" s="131" t="n">
        <x:f>IF(B154&lt;&gt;"",B154,D154)</x:f>
        <x:v>0</x:v>
      </x:c>
      <x:c r="D154" s="132" t="n">
        <x:v>0</x:v>
      </x:c>
      <x:c r="E154" s="130"/>
      <x:c r="F154" s="131" t="n">
        <x:f>IF(E154&lt;&gt;"",E154,G154)</x:f>
        <x:v>0</x:v>
      </x:c>
      <x:c r="G154" s="132" t="n">
        <x:v>0</x:v>
      </x:c>
      <x:c r="H154" s="130"/>
      <x:c r="I154" s="131" t="n">
        <x:f>IF(H154&lt;&gt;"",H154,J154)</x:f>
        <x:v>0</x:v>
      </x:c>
      <x:c r="J154" s="132" t="n">
        <x:v>0</x:v>
      </x:c>
      <x:c r="K154" s="130"/>
      <x:c r="L154" s="131" t="n">
        <x:f>IF(K154&lt;&gt;"",K154,M154)</x:f>
        <x:v>0</x:v>
      </x:c>
      <x:c r="M154" s="132" t="n">
        <x:v>0</x:v>
      </x:c>
      <x:c r="N154" s="130"/>
      <x:c r="O154" s="131" t="n">
        <x:f>IF(N154&lt;&gt;"",N154,P154)</x:f>
        <x:v>0</x:v>
      </x:c>
      <x:c r="P154" s="132" t="n">
        <x:v>0</x:v>
      </x:c>
      <x:c r="Q154" s="130"/>
      <x:c r="R154" s="131" t="n">
        <x:f>IF(Q154&lt;&gt;"",Q154,S154)</x:f>
        <x:v>0</x:v>
      </x:c>
      <x:c r="S154" s="132" t="n">
        <x:v>0</x:v>
      </x:c>
      <x:c r="T154" s="130"/>
      <x:c r="U154" s="131" t="n">
        <x:f>IF(T154&lt;&gt;"",T154,V154)</x:f>
        <x:v>0</x:v>
      </x:c>
      <x:c r="V154" s="132" t="n">
        <x:v>0</x:v>
      </x:c>
      <x:c r="W154" s="130"/>
      <x:c r="X154" s="131" t="n">
        <x:f>IF(W154&lt;&gt;"",W154,Y154)</x:f>
        <x:v>0</x:v>
      </x:c>
      <x:c r="Y154" s="132" t="n">
        <x:v>0</x:v>
      </x:c>
      <x:c r="Z154" s="130"/>
      <x:c r="AA154" s="131" t="n">
        <x:f>IF(Z154&lt;&gt;"",Z154,AB154)</x:f>
        <x:v>0</x:v>
      </x:c>
      <x:c r="AB154" s="132" t="n">
        <x:v>0</x:v>
      </x:c>
      <x:c r="AC154" s="130"/>
      <x:c r="AD154" s="131" t="n">
        <x:f>IF(AC154&lt;&gt;"",AC154,AE154)</x:f>
        <x:v>0</x:v>
      </x:c>
      <x:c r="AE154" s="132" t="n">
        <x:v>0</x:v>
      </x:c>
      <x:c r="AF154" s="130" t="n">
        <x:v>0</x:v>
      </x:c>
      <x:c r="AG154" s="131" t="n">
        <x:f>IF(AF154&lt;&gt;"",AF154,AH154)</x:f>
        <x:v>0</x:v>
      </x:c>
      <x:c r="AH154" s="132" t="n">
        <x:v>0</x:v>
      </x:c>
      <x:c r="AI154" s="130" t="n">
        <x:v>0</x:v>
      </x:c>
      <x:c r="AJ154" s="131" t="n">
        <x:f>IF(AI154&lt;&gt;"",AI154,AK154)</x:f>
        <x:v>0</x:v>
      </x:c>
      <x:c r="AK154" s="132" t="n">
        <x:v>0</x:v>
      </x:c>
    </x:row>
    <x:row r="155" ht="22" customHeight="1">
      <x:c r="A155" s="116" t="str">
        <x:v>Training and Development</x:v>
      </x:c>
      <x:c r="B155" s="130"/>
      <x:c r="C155" s="131" t="n">
        <x:f>IF(B155&lt;&gt;"",B155,D155)</x:f>
        <x:v>0</x:v>
      </x:c>
      <x:c r="D155" s="132" t="n">
        <x:v>0</x:v>
      </x:c>
      <x:c r="E155" s="130"/>
      <x:c r="F155" s="131" t="n">
        <x:f>IF(E155&lt;&gt;"",E155,G155)</x:f>
        <x:v>0</x:v>
      </x:c>
      <x:c r="G155" s="132" t="n">
        <x:v>0</x:v>
      </x:c>
      <x:c r="H155" s="130"/>
      <x:c r="I155" s="131" t="n">
        <x:f>IF(H155&lt;&gt;"",H155,J155)</x:f>
        <x:v>0</x:v>
      </x:c>
      <x:c r="J155" s="132" t="n">
        <x:v>0</x:v>
      </x:c>
      <x:c r="K155" s="130"/>
      <x:c r="L155" s="131" t="n">
        <x:f>IF(K155&lt;&gt;"",K155,M155)</x:f>
        <x:v>0</x:v>
      </x:c>
      <x:c r="M155" s="132" t="n">
        <x:v>0</x:v>
      </x:c>
      <x:c r="N155" s="130"/>
      <x:c r="O155" s="131" t="n">
        <x:f>IF(N155&lt;&gt;"",N155,P155)</x:f>
        <x:v>0</x:v>
      </x:c>
      <x:c r="P155" s="132" t="n">
        <x:v>0</x:v>
      </x:c>
      <x:c r="Q155" s="130"/>
      <x:c r="R155" s="131" t="n">
        <x:f>IF(Q155&lt;&gt;"",Q155,S155)</x:f>
        <x:v>0</x:v>
      </x:c>
      <x:c r="S155" s="132" t="n">
        <x:v>0</x:v>
      </x:c>
      <x:c r="T155" s="130"/>
      <x:c r="U155" s="131" t="n">
        <x:f>IF(T155&lt;&gt;"",T155,V155)</x:f>
        <x:v>0</x:v>
      </x:c>
      <x:c r="V155" s="132" t="n">
        <x:v>0</x:v>
      </x:c>
      <x:c r="W155" s="130"/>
      <x:c r="X155" s="131" t="n">
        <x:f>IF(W155&lt;&gt;"",W155,Y155)</x:f>
        <x:v>0</x:v>
      </x:c>
      <x:c r="Y155" s="132" t="n">
        <x:v>0</x:v>
      </x:c>
      <x:c r="Z155" s="130"/>
      <x:c r="AA155" s="131" t="n">
        <x:f>IF(Z155&lt;&gt;"",Z155,AB155)</x:f>
        <x:v>0</x:v>
      </x:c>
      <x:c r="AB155" s="132" t="n">
        <x:v>0</x:v>
      </x:c>
      <x:c r="AC155" s="130"/>
      <x:c r="AD155" s="131" t="n">
        <x:f>IF(AC155&lt;&gt;"",AC155,AE155)</x:f>
        <x:v>0</x:v>
      </x:c>
      <x:c r="AE155" s="132" t="n">
        <x:v>0</x:v>
      </x:c>
      <x:c r="AF155" s="130" t="n">
        <x:v>0</x:v>
      </x:c>
      <x:c r="AG155" s="131" t="n">
        <x:f>IF(AF155&lt;&gt;"",AF155,AH155)</x:f>
        <x:v>0</x:v>
      </x:c>
      <x:c r="AH155" s="132" t="n">
        <x:v>0</x:v>
      </x:c>
      <x:c r="AI155" s="130" t="n">
        <x:v>0</x:v>
      </x:c>
      <x:c r="AJ155" s="131" t="n">
        <x:f>IF(AI155&lt;&gt;"",AI155,AK155)</x:f>
        <x:v>0</x:v>
      </x:c>
      <x:c r="AK155" s="132" t="n">
        <x:v>0</x:v>
      </x:c>
    </x:row>
    <x:row r="156" ht="22" customHeight="1">
      <x:c r="A156" s="116" t="str">
        <x:v>Software Subscriptions</x:v>
      </x:c>
      <x:c r="B156" s="130"/>
      <x:c r="C156" s="131" t="n">
        <x:f>IF(B156&lt;&gt;"",B156,D156)</x:f>
        <x:v>300</x:v>
      </x:c>
      <x:c r="D156" s="132" t="n">
        <x:v>300</x:v>
      </x:c>
      <x:c r="E156" s="130"/>
      <x:c r="F156" s="131" t="n">
        <x:f>IF(E156&lt;&gt;"",E156,G156)</x:f>
        <x:v>300</x:v>
      </x:c>
      <x:c r="G156" s="132" t="n">
        <x:v>300</x:v>
      </x:c>
      <x:c r="H156" s="130"/>
      <x:c r="I156" s="131" t="n">
        <x:f>IF(H156&lt;&gt;"",H156,J156)</x:f>
        <x:v>300</x:v>
      </x:c>
      <x:c r="J156" s="132" t="n">
        <x:v>300</x:v>
      </x:c>
      <x:c r="K156" s="130"/>
      <x:c r="L156" s="131" t="n">
        <x:f>IF(K156&lt;&gt;"",K156,M156)</x:f>
        <x:v>300</x:v>
      </x:c>
      <x:c r="M156" s="132" t="n">
        <x:v>300</x:v>
      </x:c>
      <x:c r="N156" s="130"/>
      <x:c r="O156" s="131" t="n">
        <x:f>IF(N156&lt;&gt;"",N156,P156)</x:f>
        <x:v>300</x:v>
      </x:c>
      <x:c r="P156" s="132" t="n">
        <x:v>300</x:v>
      </x:c>
      <x:c r="Q156" s="130"/>
      <x:c r="R156" s="131" t="n">
        <x:f>IF(Q156&lt;&gt;"",Q156,S156)</x:f>
        <x:v>300</x:v>
      </x:c>
      <x:c r="S156" s="132" t="n">
        <x:v>300</x:v>
      </x:c>
      <x:c r="T156" s="130"/>
      <x:c r="U156" s="131" t="n">
        <x:f>IF(T156&lt;&gt;"",T156,V156)</x:f>
        <x:v>300</x:v>
      </x:c>
      <x:c r="V156" s="132" t="n">
        <x:v>300</x:v>
      </x:c>
      <x:c r="W156" s="130"/>
      <x:c r="X156" s="131" t="n">
        <x:f>IF(W156&lt;&gt;"",W156,Y156)</x:f>
        <x:v>300</x:v>
      </x:c>
      <x:c r="Y156" s="132" t="n">
        <x:v>300</x:v>
      </x:c>
      <x:c r="Z156" s="130"/>
      <x:c r="AA156" s="131" t="n">
        <x:f>IF(Z156&lt;&gt;"",Z156,AB156)</x:f>
        <x:v>300</x:v>
      </x:c>
      <x:c r="AB156" s="132" t="n">
        <x:v>300</x:v>
      </x:c>
      <x:c r="AC156" s="130"/>
      <x:c r="AD156" s="131" t="n">
        <x:f>IF(AC156&lt;&gt;"",AC156,AE156)</x:f>
        <x:v>300</x:v>
      </x:c>
      <x:c r="AE156" s="132" t="n">
        <x:v>300</x:v>
      </x:c>
      <x:c r="AF156" s="130" t="n">
        <x:v>294</x:v>
      </x:c>
      <x:c r="AG156" s="131" t="n">
        <x:f>IF(AF156&lt;&gt;"",AF156,AH156)</x:f>
        <x:v>294</x:v>
      </x:c>
      <x:c r="AH156" s="132" t="n">
        <x:v>300</x:v>
      </x:c>
      <x:c r="AI156" s="130" t="n">
        <x:v>315</x:v>
      </x:c>
      <x:c r="AJ156" s="131" t="n">
        <x:f>IF(AI156&lt;&gt;"",AI156,AK156)</x:f>
        <x:v>315</x:v>
      </x:c>
      <x:c r="AK156" s="132" t="n">
        <x:v>300</x:v>
      </x:c>
    </x:row>
    <x:row r="157" ht="22" customHeight="1">
      <x:c r="A157" s="116" t="str">
        <x:v>Dues and Subscriptions</x:v>
      </x:c>
      <x:c r="B157" s="130"/>
      <x:c r="C157" s="131" t="n">
        <x:f>IF(B157&lt;&gt;"",B157,D157)</x:f>
        <x:v>100</x:v>
      </x:c>
      <x:c r="D157" s="132" t="n">
        <x:v>100</x:v>
      </x:c>
      <x:c r="E157" s="130"/>
      <x:c r="F157" s="131" t="n">
        <x:f>IF(E157&lt;&gt;"",E157,G157)</x:f>
        <x:v>100</x:v>
      </x:c>
      <x:c r="G157" s="132" t="n">
        <x:v>100</x:v>
      </x:c>
      <x:c r="H157" s="130"/>
      <x:c r="I157" s="131" t="n">
        <x:f>IF(H157&lt;&gt;"",H157,J157)</x:f>
        <x:v>100</x:v>
      </x:c>
      <x:c r="J157" s="132" t="n">
        <x:v>100</x:v>
      </x:c>
      <x:c r="K157" s="130"/>
      <x:c r="L157" s="131" t="n">
        <x:f>IF(K157&lt;&gt;"",K157,M157)</x:f>
        <x:v>100</x:v>
      </x:c>
      <x:c r="M157" s="132" t="n">
        <x:v>100</x:v>
      </x:c>
      <x:c r="N157" s="130"/>
      <x:c r="O157" s="131" t="n">
        <x:f>IF(N157&lt;&gt;"",N157,P157)</x:f>
        <x:v>100</x:v>
      </x:c>
      <x:c r="P157" s="132" t="n">
        <x:v>100</x:v>
      </x:c>
      <x:c r="Q157" s="130"/>
      <x:c r="R157" s="131" t="n">
        <x:f>IF(Q157&lt;&gt;"",Q157,S157)</x:f>
        <x:v>100</x:v>
      </x:c>
      <x:c r="S157" s="132" t="n">
        <x:v>100</x:v>
      </x:c>
      <x:c r="T157" s="130"/>
      <x:c r="U157" s="131" t="n">
        <x:f>IF(T157&lt;&gt;"",T157,V157)</x:f>
        <x:v>100</x:v>
      </x:c>
      <x:c r="V157" s="132" t="n">
        <x:v>100</x:v>
      </x:c>
      <x:c r="W157" s="130"/>
      <x:c r="X157" s="131" t="n">
        <x:f>IF(W157&lt;&gt;"",W157,Y157)</x:f>
        <x:v>100</x:v>
      </x:c>
      <x:c r="Y157" s="132" t="n">
        <x:v>100</x:v>
      </x:c>
      <x:c r="Z157" s="130"/>
      <x:c r="AA157" s="131" t="n">
        <x:f>IF(Z157&lt;&gt;"",Z157,AB157)</x:f>
        <x:v>100</x:v>
      </x:c>
      <x:c r="AB157" s="132" t="n">
        <x:v>100</x:v>
      </x:c>
      <x:c r="AC157" s="130"/>
      <x:c r="AD157" s="131" t="n">
        <x:f>IF(AC157&lt;&gt;"",AC157,AE157)</x:f>
        <x:v>100</x:v>
      </x:c>
      <x:c r="AE157" s="132" t="n">
        <x:v>100</x:v>
      </x:c>
      <x:c r="AF157" s="130" t="n">
        <x:v>98</x:v>
      </x:c>
      <x:c r="AG157" s="131" t="n">
        <x:f>IF(AF157&lt;&gt;"",AF157,AH157)</x:f>
        <x:v>98</x:v>
      </x:c>
      <x:c r="AH157" s="132" t="n">
        <x:v>100</x:v>
      </x:c>
      <x:c r="AI157" s="130" t="n">
        <x:v>105</x:v>
      </x:c>
      <x:c r="AJ157" s="131" t="n">
        <x:f>IF(AI157&lt;&gt;"",AI157,AK157)</x:f>
        <x:v>105</x:v>
      </x:c>
      <x:c r="AK157" s="132" t="n">
        <x:v>100</x:v>
      </x:c>
    </x:row>
    <x:row r="158" ht="22" customHeight="1">
      <x:c r="A158" s="116" t="str">
        <x:v>Travel, Meals and Entertainment</x:v>
      </x:c>
      <x:c r="B158" s="130"/>
      <x:c r="C158" s="131" t="n">
        <x:f>IF(B158&lt;&gt;"",B158,D158)</x:f>
        <x:v>0</x:v>
      </x:c>
      <x:c r="D158" s="132" t="n">
        <x:v>0</x:v>
      </x:c>
      <x:c r="E158" s="130"/>
      <x:c r="F158" s="131" t="n">
        <x:f>IF(E158&lt;&gt;"",E158,G158)</x:f>
        <x:v>0</x:v>
      </x:c>
      <x:c r="G158" s="132" t="n">
        <x:v>0</x:v>
      </x:c>
      <x:c r="H158" s="130"/>
      <x:c r="I158" s="131" t="n">
        <x:f>IF(H158&lt;&gt;"",H158,J158)</x:f>
        <x:v>0</x:v>
      </x:c>
      <x:c r="J158" s="132" t="n">
        <x:v>0</x:v>
      </x:c>
      <x:c r="K158" s="130"/>
      <x:c r="L158" s="131" t="n">
        <x:f>IF(K158&lt;&gt;"",K158,M158)</x:f>
        <x:v>0</x:v>
      </x:c>
      <x:c r="M158" s="132" t="n">
        <x:v>0</x:v>
      </x:c>
      <x:c r="N158" s="130"/>
      <x:c r="O158" s="131" t="n">
        <x:f>IF(N158&lt;&gt;"",N158,P158)</x:f>
        <x:v>0</x:v>
      </x:c>
      <x:c r="P158" s="132" t="n">
        <x:v>0</x:v>
      </x:c>
      <x:c r="Q158" s="130"/>
      <x:c r="R158" s="131" t="n">
        <x:f>IF(Q158&lt;&gt;"",Q158,S158)</x:f>
        <x:v>0</x:v>
      </x:c>
      <x:c r="S158" s="132" t="n">
        <x:v>0</x:v>
      </x:c>
      <x:c r="T158" s="130"/>
      <x:c r="U158" s="131" t="n">
        <x:f>IF(T158&lt;&gt;"",T158,V158)</x:f>
        <x:v>0</x:v>
      </x:c>
      <x:c r="V158" s="132" t="n">
        <x:v>0</x:v>
      </x:c>
      <x:c r="W158" s="130"/>
      <x:c r="X158" s="131" t="n">
        <x:f>IF(W158&lt;&gt;"",W158,Y158)</x:f>
        <x:v>0</x:v>
      </x:c>
      <x:c r="Y158" s="132" t="n">
        <x:v>0</x:v>
      </x:c>
      <x:c r="Z158" s="130"/>
      <x:c r="AA158" s="131" t="n">
        <x:f>IF(Z158&lt;&gt;"",Z158,AB158)</x:f>
        <x:v>0</x:v>
      </x:c>
      <x:c r="AB158" s="132" t="n">
        <x:v>0</x:v>
      </x:c>
      <x:c r="AC158" s="130"/>
      <x:c r="AD158" s="131" t="n">
        <x:f>IF(AC158&lt;&gt;"",AC158,AE158)</x:f>
        <x:v>0</x:v>
      </x:c>
      <x:c r="AE158" s="132" t="n">
        <x:v>0</x:v>
      </x:c>
      <x:c r="AF158" s="130" t="n">
        <x:v>0</x:v>
      </x:c>
      <x:c r="AG158" s="131" t="n">
        <x:f>IF(AF158&lt;&gt;"",AF158,AH158)</x:f>
        <x:v>0</x:v>
      </x:c>
      <x:c r="AH158" s="132" t="n">
        <x:v>0</x:v>
      </x:c>
      <x:c r="AI158" s="130" t="n">
        <x:v>0</x:v>
      </x:c>
      <x:c r="AJ158" s="131" t="n">
        <x:f>IF(AI158&lt;&gt;"",AI158,AK158)</x:f>
        <x:v>0</x:v>
      </x:c>
      <x:c r="AK158" s="132" t="n">
        <x:v>0</x:v>
      </x:c>
    </x:row>
    <x:row r="159" ht="22" customHeight="1">
      <x:c r="A159" s="136" t="str">
        <x:v>Total Standard Department Cost</x:v>
      </x:c>
      <x:c r="B159" s="137" t="str">
        <x:f>IF(COUNT(B150:B158)&gt;0,SUM(B150:B158),"")</x:f>
      </x:c>
      <x:c r="C159" s="138" t="n">
        <x:f>SUM(C150:C158)</x:f>
        <x:v>6400</x:v>
      </x:c>
      <x:c r="D159" s="139" t="n">
        <x:f>SUM(D150:D158)</x:f>
        <x:v>6400</x:v>
      </x:c>
      <x:c r="E159" s="137" t="str">
        <x:f>IF(COUNT(E150:E158)&gt;0,SUM(E150:E158),"")</x:f>
      </x:c>
      <x:c r="F159" s="138" t="n">
        <x:f>SUM(F150:F158)</x:f>
        <x:v>6400</x:v>
      </x:c>
      <x:c r="G159" s="139" t="n">
        <x:f>SUM(G150:G158)</x:f>
        <x:v>6400</x:v>
      </x:c>
      <x:c r="H159" s="137" t="str">
        <x:f>IF(COUNT(H150:H158)&gt;0,SUM(H150:H158),"")</x:f>
      </x:c>
      <x:c r="I159" s="138" t="n">
        <x:f>SUM(I150:I158)</x:f>
        <x:v>6400</x:v>
      </x:c>
      <x:c r="J159" s="139" t="n">
        <x:f>SUM(J150:J158)</x:f>
        <x:v>6400</x:v>
      </x:c>
      <x:c r="K159" s="137" t="str">
        <x:f>IF(COUNT(K150:K158)&gt;0,SUM(K150:K158),"")</x:f>
      </x:c>
      <x:c r="L159" s="138" t="n">
        <x:f>SUM(L150:L158)</x:f>
        <x:v>6400</x:v>
      </x:c>
      <x:c r="M159" s="139" t="n">
        <x:f>SUM(M150:M158)</x:f>
        <x:v>6400</x:v>
      </x:c>
      <x:c r="N159" s="137" t="str">
        <x:f>IF(COUNT(N150:N158)&gt;0,SUM(N150:N158),"")</x:f>
      </x:c>
      <x:c r="O159" s="138" t="n">
        <x:f>SUM(O150:O158)</x:f>
        <x:v>6400</x:v>
      </x:c>
      <x:c r="P159" s="139" t="n">
        <x:f>SUM(P150:P158)</x:f>
        <x:v>6400</x:v>
      </x:c>
      <x:c r="Q159" s="137" t="str">
        <x:f>IF(COUNT(Q150:Q158)&gt;0,SUM(Q150:Q158),"")</x:f>
      </x:c>
      <x:c r="R159" s="138" t="n">
        <x:f>SUM(R150:R158)</x:f>
        <x:v>6400</x:v>
      </x:c>
      <x:c r="S159" s="139" t="n">
        <x:f>SUM(S150:S158)</x:f>
        <x:v>6400</x:v>
      </x:c>
      <x:c r="T159" s="137" t="str">
        <x:f>IF(COUNT(T150:T158)&gt;0,SUM(T150:T158),"")</x:f>
      </x:c>
      <x:c r="U159" s="138" t="n">
        <x:f>SUM(U150:U158)</x:f>
        <x:v>6400</x:v>
      </x:c>
      <x:c r="V159" s="139" t="n">
        <x:f>SUM(V150:V158)</x:f>
        <x:v>6400</x:v>
      </x:c>
      <x:c r="W159" s="137" t="str">
        <x:f>IF(COUNT(W150:W158)&gt;0,SUM(W150:W158),"")</x:f>
      </x:c>
      <x:c r="X159" s="138" t="n">
        <x:f>SUM(X150:X158)</x:f>
        <x:v>6400</x:v>
      </x:c>
      <x:c r="Y159" s="139" t="n">
        <x:f>SUM(Y150:Y158)</x:f>
        <x:v>6400</x:v>
      </x:c>
      <x:c r="Z159" s="137" t="str">
        <x:f>IF(COUNT(Z150:Z158)&gt;0,SUM(Z150:Z158),"")</x:f>
      </x:c>
      <x:c r="AA159" s="138" t="n">
        <x:f>SUM(AA150:AA158)</x:f>
        <x:v>6400</x:v>
      </x:c>
      <x:c r="AB159" s="139" t="n">
        <x:f>SUM(AB150:AB158)</x:f>
        <x:v>6400</x:v>
      </x:c>
      <x:c r="AC159" s="137" t="str">
        <x:f>IF(COUNT(AC150:AC158)&gt;0,SUM(AC150:AC158),"")</x:f>
      </x:c>
      <x:c r="AD159" s="138" t="n">
        <x:f>SUM(AD150:AD158)</x:f>
        <x:v>6400</x:v>
      </x:c>
      <x:c r="AE159" s="139" t="n">
        <x:f>SUM(AE150:AE158)</x:f>
        <x:v>6400</x:v>
      </x:c>
      <x:c r="AF159" s="137" t="n">
        <x:f>IF(COUNT(AF150:AF158)&gt;0,SUM(AF150:AF158),"")</x:f>
        <x:v>6272</x:v>
      </x:c>
      <x:c r="AG159" s="138" t="n">
        <x:f>SUM(AG150:AG158)</x:f>
        <x:v>6272</x:v>
      </x:c>
      <x:c r="AH159" s="139" t="n">
        <x:f>SUM(AH150:AH158)</x:f>
        <x:v>6400</x:v>
      </x:c>
      <x:c r="AI159" s="137" t="n">
        <x:f>IF(COUNT(AI150:AI158)&gt;0,SUM(AI150:AI158),"")</x:f>
        <x:v>6720</x:v>
      </x:c>
      <x:c r="AJ159" s="138" t="n">
        <x:f>SUM(AJ150:AJ158)</x:f>
        <x:v>6720</x:v>
      </x:c>
      <x:c r="AK159" s="139" t="n">
        <x:f>SUM(AK150:AK158)</x:f>
        <x:v>6400</x:v>
      </x:c>
    </x:row>
    <x:row r="160" ht="22" customHeight="1">
      <x:c r="A160" s="116" t="str">
        <x:v>Facilities and Rent</x:v>
      </x:c>
      <x:c r="B160" s="130"/>
      <x:c r="C160" s="131" t="n">
        <x:f>IF(B160&lt;&gt;"",B160,D160)</x:f>
        <x:v>2500</x:v>
      </x:c>
      <x:c r="D160" s="132" t="n">
        <x:v>2500</x:v>
      </x:c>
      <x:c r="E160" s="130"/>
      <x:c r="F160" s="131" t="n">
        <x:f>IF(E160&lt;&gt;"",E160,G160)</x:f>
        <x:v>2500</x:v>
      </x:c>
      <x:c r="G160" s="132" t="n">
        <x:v>2500</x:v>
      </x:c>
      <x:c r="H160" s="130"/>
      <x:c r="I160" s="131" t="n">
        <x:f>IF(H160&lt;&gt;"",H160,J160)</x:f>
        <x:v>2500</x:v>
      </x:c>
      <x:c r="J160" s="132" t="n">
        <x:v>2500</x:v>
      </x:c>
      <x:c r="K160" s="130"/>
      <x:c r="L160" s="131" t="n">
        <x:f>IF(K160&lt;&gt;"",K160,M160)</x:f>
        <x:v>2500</x:v>
      </x:c>
      <x:c r="M160" s="132" t="n">
        <x:v>2500</x:v>
      </x:c>
      <x:c r="N160" s="130"/>
      <x:c r="O160" s="131" t="n">
        <x:f>IF(N160&lt;&gt;"",N160,P160)</x:f>
        <x:v>2500</x:v>
      </x:c>
      <x:c r="P160" s="132" t="n">
        <x:v>2500</x:v>
      </x:c>
      <x:c r="Q160" s="130"/>
      <x:c r="R160" s="131" t="n">
        <x:f>IF(Q160&lt;&gt;"",Q160,S160)</x:f>
        <x:v>2500</x:v>
      </x:c>
      <x:c r="S160" s="132" t="n">
        <x:v>2500</x:v>
      </x:c>
      <x:c r="T160" s="130"/>
      <x:c r="U160" s="131" t="n">
        <x:f>IF(T160&lt;&gt;"",T160,V160)</x:f>
        <x:v>2500</x:v>
      </x:c>
      <x:c r="V160" s="132" t="n">
        <x:v>2500</x:v>
      </x:c>
      <x:c r="W160" s="130"/>
      <x:c r="X160" s="131" t="n">
        <x:f>IF(W160&lt;&gt;"",W160,Y160)</x:f>
        <x:v>2500</x:v>
      </x:c>
      <x:c r="Y160" s="132" t="n">
        <x:v>2500</x:v>
      </x:c>
      <x:c r="Z160" s="130"/>
      <x:c r="AA160" s="131" t="n">
        <x:f>IF(Z160&lt;&gt;"",Z160,AB160)</x:f>
        <x:v>2500</x:v>
      </x:c>
      <x:c r="AB160" s="132" t="n">
        <x:v>2500</x:v>
      </x:c>
      <x:c r="AC160" s="130"/>
      <x:c r="AD160" s="131" t="n">
        <x:f>IF(AC160&lt;&gt;"",AC160,AE160)</x:f>
        <x:v>2500</x:v>
      </x:c>
      <x:c r="AE160" s="132" t="n">
        <x:v>2500</x:v>
      </x:c>
      <x:c r="AF160" s="130" t="n">
        <x:v>2450</x:v>
      </x:c>
      <x:c r="AG160" s="131" t="n">
        <x:f>IF(AF160&lt;&gt;"",AF160,AH160)</x:f>
        <x:v>2450</x:v>
      </x:c>
      <x:c r="AH160" s="132" t="n">
        <x:v>2500</x:v>
      </x:c>
      <x:c r="AI160" s="130" t="n">
        <x:v>2625</x:v>
      </x:c>
      <x:c r="AJ160" s="131" t="n">
        <x:f>IF(AI160&lt;&gt;"",AI160,AK160)</x:f>
        <x:v>2625</x:v>
      </x:c>
      <x:c r="AK160" s="132" t="n">
        <x:v>2500</x:v>
      </x:c>
    </x:row>
    <x:row r="161" ht="22" customHeight="1">
      <x:c r="A161" s="116" t="str">
        <x:v>Audit and Accounting Fees</x:v>
      </x:c>
      <x:c r="B161" s="130"/>
      <x:c r="C161" s="131" t="n">
        <x:f>IF(B161&lt;&gt;"",B161,D161)</x:f>
        <x:v>500</x:v>
      </x:c>
      <x:c r="D161" s="132" t="n">
        <x:v>500</x:v>
      </x:c>
      <x:c r="E161" s="130"/>
      <x:c r="F161" s="131" t="n">
        <x:f>IF(E161&lt;&gt;"",E161,G161)</x:f>
        <x:v>500</x:v>
      </x:c>
      <x:c r="G161" s="132" t="n">
        <x:v>500</x:v>
      </x:c>
      <x:c r="H161" s="130"/>
      <x:c r="I161" s="131" t="n">
        <x:f>IF(H161&lt;&gt;"",H161,J161)</x:f>
        <x:v>500</x:v>
      </x:c>
      <x:c r="J161" s="132" t="n">
        <x:v>500</x:v>
      </x:c>
      <x:c r="K161" s="130"/>
      <x:c r="L161" s="131" t="n">
        <x:f>IF(K161&lt;&gt;"",K161,M161)</x:f>
        <x:v>500</x:v>
      </x:c>
      <x:c r="M161" s="132" t="n">
        <x:v>500</x:v>
      </x:c>
      <x:c r="N161" s="130"/>
      <x:c r="O161" s="131" t="n">
        <x:f>IF(N161&lt;&gt;"",N161,P161)</x:f>
        <x:v>500</x:v>
      </x:c>
      <x:c r="P161" s="132" t="n">
        <x:v>500</x:v>
      </x:c>
      <x:c r="Q161" s="130"/>
      <x:c r="R161" s="131" t="n">
        <x:f>IF(Q161&lt;&gt;"",Q161,S161)</x:f>
        <x:v>500</x:v>
      </x:c>
      <x:c r="S161" s="132" t="n">
        <x:v>500</x:v>
      </x:c>
      <x:c r="T161" s="130"/>
      <x:c r="U161" s="131" t="n">
        <x:f>IF(T161&lt;&gt;"",T161,V161)</x:f>
        <x:v>500</x:v>
      </x:c>
      <x:c r="V161" s="132" t="n">
        <x:v>500</x:v>
      </x:c>
      <x:c r="W161" s="130"/>
      <x:c r="X161" s="131" t="n">
        <x:f>IF(W161&lt;&gt;"",W161,Y161)</x:f>
        <x:v>500</x:v>
      </x:c>
      <x:c r="Y161" s="132" t="n">
        <x:v>500</x:v>
      </x:c>
      <x:c r="Z161" s="130"/>
      <x:c r="AA161" s="131" t="n">
        <x:f>IF(Z161&lt;&gt;"",Z161,AB161)</x:f>
        <x:v>500</x:v>
      </x:c>
      <x:c r="AB161" s="132" t="n">
        <x:v>500</x:v>
      </x:c>
      <x:c r="AC161" s="130"/>
      <x:c r="AD161" s="131" t="n">
        <x:f>IF(AC161&lt;&gt;"",AC161,AE161)</x:f>
        <x:v>500</x:v>
      </x:c>
      <x:c r="AE161" s="132" t="n">
        <x:v>500</x:v>
      </x:c>
      <x:c r="AF161" s="130" t="n">
        <x:v>490</x:v>
      </x:c>
      <x:c r="AG161" s="131" t="n">
        <x:f>IF(AF161&lt;&gt;"",AF161,AH161)</x:f>
        <x:v>490</x:v>
      </x:c>
      <x:c r="AH161" s="132" t="n">
        <x:v>500</x:v>
      </x:c>
      <x:c r="AI161" s="130" t="n">
        <x:v>525</x:v>
      </x:c>
      <x:c r="AJ161" s="131" t="n">
        <x:f>IF(AI161&lt;&gt;"",AI161,AK161)</x:f>
        <x:v>525</x:v>
      </x:c>
      <x:c r="AK161" s="132" t="n">
        <x:v>500</x:v>
      </x:c>
    </x:row>
    <x:row r="162" ht="22" customHeight="1">
      <x:c r="A162" s="116" t="str">
        <x:v>Banking and Merchant Fees</x:v>
      </x:c>
      <x:c r="B162" s="130"/>
      <x:c r="C162" s="131" t="n">
        <x:f>IF(B162&lt;&gt;"",B162,D162)</x:f>
        <x:v>300</x:v>
      </x:c>
      <x:c r="D162" s="132" t="n">
        <x:v>300</x:v>
      </x:c>
      <x:c r="E162" s="130"/>
      <x:c r="F162" s="131" t="n">
        <x:f>IF(E162&lt;&gt;"",E162,G162)</x:f>
        <x:v>300</x:v>
      </x:c>
      <x:c r="G162" s="132" t="n">
        <x:v>300</x:v>
      </x:c>
      <x:c r="H162" s="130"/>
      <x:c r="I162" s="131" t="n">
        <x:f>IF(H162&lt;&gt;"",H162,J162)</x:f>
        <x:v>300</x:v>
      </x:c>
      <x:c r="J162" s="132" t="n">
        <x:v>300</x:v>
      </x:c>
      <x:c r="K162" s="130"/>
      <x:c r="L162" s="131" t="n">
        <x:f>IF(K162&lt;&gt;"",K162,M162)</x:f>
        <x:v>300</x:v>
      </x:c>
      <x:c r="M162" s="132" t="n">
        <x:v>300</x:v>
      </x:c>
      <x:c r="N162" s="130"/>
      <x:c r="O162" s="131" t="n">
        <x:f>IF(N162&lt;&gt;"",N162,P162)</x:f>
        <x:v>300</x:v>
      </x:c>
      <x:c r="P162" s="132" t="n">
        <x:v>300</x:v>
      </x:c>
      <x:c r="Q162" s="130"/>
      <x:c r="R162" s="131" t="n">
        <x:f>IF(Q162&lt;&gt;"",Q162,S162)</x:f>
        <x:v>300</x:v>
      </x:c>
      <x:c r="S162" s="132" t="n">
        <x:v>300</x:v>
      </x:c>
      <x:c r="T162" s="130"/>
      <x:c r="U162" s="131" t="n">
        <x:f>IF(T162&lt;&gt;"",T162,V162)</x:f>
        <x:v>300</x:v>
      </x:c>
      <x:c r="V162" s="132" t="n">
        <x:v>300</x:v>
      </x:c>
      <x:c r="W162" s="130"/>
      <x:c r="X162" s="131" t="n">
        <x:f>IF(W162&lt;&gt;"",W162,Y162)</x:f>
        <x:v>300</x:v>
      </x:c>
      <x:c r="Y162" s="132" t="n">
        <x:v>300</x:v>
      </x:c>
      <x:c r="Z162" s="130"/>
      <x:c r="AA162" s="131" t="n">
        <x:f>IF(Z162&lt;&gt;"",Z162,AB162)</x:f>
        <x:v>300</x:v>
      </x:c>
      <x:c r="AB162" s="132" t="n">
        <x:v>300</x:v>
      </x:c>
      <x:c r="AC162" s="130"/>
      <x:c r="AD162" s="131" t="n">
        <x:f>IF(AC162&lt;&gt;"",AC162,AE162)</x:f>
        <x:v>300</x:v>
      </x:c>
      <x:c r="AE162" s="132" t="n">
        <x:v>300</x:v>
      </x:c>
      <x:c r="AF162" s="130" t="n">
        <x:v>294</x:v>
      </x:c>
      <x:c r="AG162" s="131" t="n">
        <x:f>IF(AF162&lt;&gt;"",AF162,AH162)</x:f>
        <x:v>294</x:v>
      </x:c>
      <x:c r="AH162" s="132" t="n">
        <x:v>300</x:v>
      </x:c>
      <x:c r="AI162" s="130" t="n">
        <x:v>315</x:v>
      </x:c>
      <x:c r="AJ162" s="131" t="n">
        <x:f>IF(AI162&lt;&gt;"",AI162,AK162)</x:f>
        <x:v>315</x:v>
      </x:c>
      <x:c r="AK162" s="132" t="n">
        <x:v>300</x:v>
      </x:c>
    </x:row>
    <x:row r="163" ht="22" customHeight="1">
      <x:c r="A163" s="116" t="str">
        <x:v>Insurance</x:v>
      </x:c>
      <x:c r="B163" s="130"/>
      <x:c r="C163" s="131" t="n">
        <x:f>IF(B163&lt;&gt;"",B163,D163)</x:f>
        <x:v>500</x:v>
      </x:c>
      <x:c r="D163" s="132" t="n">
        <x:v>500</x:v>
      </x:c>
      <x:c r="E163" s="130"/>
      <x:c r="F163" s="131" t="n">
        <x:f>IF(E163&lt;&gt;"",E163,G163)</x:f>
        <x:v>500</x:v>
      </x:c>
      <x:c r="G163" s="132" t="n">
        <x:v>500</x:v>
      </x:c>
      <x:c r="H163" s="130"/>
      <x:c r="I163" s="131" t="n">
        <x:f>IF(H163&lt;&gt;"",H163,J163)</x:f>
        <x:v>500</x:v>
      </x:c>
      <x:c r="J163" s="132" t="n">
        <x:v>500</x:v>
      </x:c>
      <x:c r="K163" s="130"/>
      <x:c r="L163" s="131" t="n">
        <x:f>IF(K163&lt;&gt;"",K163,M163)</x:f>
        <x:v>500</x:v>
      </x:c>
      <x:c r="M163" s="132" t="n">
        <x:v>500</x:v>
      </x:c>
      <x:c r="N163" s="130"/>
      <x:c r="O163" s="131" t="n">
        <x:f>IF(N163&lt;&gt;"",N163,P163)</x:f>
        <x:v>500</x:v>
      </x:c>
      <x:c r="P163" s="132" t="n">
        <x:v>500</x:v>
      </x:c>
      <x:c r="Q163" s="130"/>
      <x:c r="R163" s="131" t="n">
        <x:f>IF(Q163&lt;&gt;"",Q163,S163)</x:f>
        <x:v>500</x:v>
      </x:c>
      <x:c r="S163" s="132" t="n">
        <x:v>500</x:v>
      </x:c>
      <x:c r="T163" s="130"/>
      <x:c r="U163" s="131" t="n">
        <x:f>IF(T163&lt;&gt;"",T163,V163)</x:f>
        <x:v>500</x:v>
      </x:c>
      <x:c r="V163" s="132" t="n">
        <x:v>500</x:v>
      </x:c>
      <x:c r="W163" s="130"/>
      <x:c r="X163" s="131" t="n">
        <x:f>IF(W163&lt;&gt;"",W163,Y163)</x:f>
        <x:v>500</x:v>
      </x:c>
      <x:c r="Y163" s="132" t="n">
        <x:v>500</x:v>
      </x:c>
      <x:c r="Z163" s="130"/>
      <x:c r="AA163" s="131" t="n">
        <x:f>IF(Z163&lt;&gt;"",Z163,AB163)</x:f>
        <x:v>500</x:v>
      </x:c>
      <x:c r="AB163" s="132" t="n">
        <x:v>500</x:v>
      </x:c>
      <x:c r="AC163" s="130"/>
      <x:c r="AD163" s="131" t="n">
        <x:f>IF(AC163&lt;&gt;"",AC163,AE163)</x:f>
        <x:v>500</x:v>
      </x:c>
      <x:c r="AE163" s="132" t="n">
        <x:v>500</x:v>
      </x:c>
      <x:c r="AF163" s="130" t="n">
        <x:v>490</x:v>
      </x:c>
      <x:c r="AG163" s="131" t="n">
        <x:f>IF(AF163&lt;&gt;"",AF163,AH163)</x:f>
        <x:v>490</x:v>
      </x:c>
      <x:c r="AH163" s="132" t="n">
        <x:v>500</x:v>
      </x:c>
      <x:c r="AI163" s="130" t="n">
        <x:v>525</x:v>
      </x:c>
      <x:c r="AJ163" s="131" t="n">
        <x:f>IF(AI163&lt;&gt;"",AI163,AK163)</x:f>
        <x:v>525</x:v>
      </x:c>
      <x:c r="AK163" s="132" t="n">
        <x:v>500</x:v>
      </x:c>
    </x:row>
    <x:row r="164" ht="22" customHeight="1">
      <x:c r="A164" s="116" t="str">
        <x:v>Legal and Professional</x:v>
      </x:c>
      <x:c r="B164" s="130"/>
      <x:c r="C164" s="131" t="n">
        <x:f>IF(B164&lt;&gt;"",B164,D164)</x:f>
        <x:v>500</x:v>
      </x:c>
      <x:c r="D164" s="132" t="n">
        <x:v>500</x:v>
      </x:c>
      <x:c r="E164" s="130"/>
      <x:c r="F164" s="131" t="n">
        <x:f>IF(E164&lt;&gt;"",E164,G164)</x:f>
        <x:v>500</x:v>
      </x:c>
      <x:c r="G164" s="132" t="n">
        <x:v>500</x:v>
      </x:c>
      <x:c r="H164" s="130"/>
      <x:c r="I164" s="131" t="n">
        <x:f>IF(H164&lt;&gt;"",H164,J164)</x:f>
        <x:v>500</x:v>
      </x:c>
      <x:c r="J164" s="132" t="n">
        <x:v>500</x:v>
      </x:c>
      <x:c r="K164" s="130"/>
      <x:c r="L164" s="131" t="n">
        <x:f>IF(K164&lt;&gt;"",K164,M164)</x:f>
        <x:v>500</x:v>
      </x:c>
      <x:c r="M164" s="132" t="n">
        <x:v>500</x:v>
      </x:c>
      <x:c r="N164" s="130"/>
      <x:c r="O164" s="131" t="n">
        <x:f>IF(N164&lt;&gt;"",N164,P164)</x:f>
        <x:v>500</x:v>
      </x:c>
      <x:c r="P164" s="132" t="n">
        <x:v>500</x:v>
      </x:c>
      <x:c r="Q164" s="130"/>
      <x:c r="R164" s="131" t="n">
        <x:f>IF(Q164&lt;&gt;"",Q164,S164)</x:f>
        <x:v>500</x:v>
      </x:c>
      <x:c r="S164" s="132" t="n">
        <x:v>500</x:v>
      </x:c>
      <x:c r="T164" s="130"/>
      <x:c r="U164" s="131" t="n">
        <x:f>IF(T164&lt;&gt;"",T164,V164)</x:f>
        <x:v>500</x:v>
      </x:c>
      <x:c r="V164" s="132" t="n">
        <x:v>500</x:v>
      </x:c>
      <x:c r="W164" s="130"/>
      <x:c r="X164" s="131" t="n">
        <x:f>IF(W164&lt;&gt;"",W164,Y164)</x:f>
        <x:v>500</x:v>
      </x:c>
      <x:c r="Y164" s="132" t="n">
        <x:v>500</x:v>
      </x:c>
      <x:c r="Z164" s="130"/>
      <x:c r="AA164" s="131" t="n">
        <x:f>IF(Z164&lt;&gt;"",Z164,AB164)</x:f>
        <x:v>500</x:v>
      </x:c>
      <x:c r="AB164" s="132" t="n">
        <x:v>500</x:v>
      </x:c>
      <x:c r="AC164" s="130"/>
      <x:c r="AD164" s="131" t="n">
        <x:f>IF(AC164&lt;&gt;"",AC164,AE164)</x:f>
        <x:v>500</x:v>
      </x:c>
      <x:c r="AE164" s="132" t="n">
        <x:v>500</x:v>
      </x:c>
      <x:c r="AF164" s="130" t="n">
        <x:v>490</x:v>
      </x:c>
      <x:c r="AG164" s="131" t="n">
        <x:f>IF(AF164&lt;&gt;"",AF164,AH164)</x:f>
        <x:v>490</x:v>
      </x:c>
      <x:c r="AH164" s="132" t="n">
        <x:v>500</x:v>
      </x:c>
      <x:c r="AI164" s="130" t="n">
        <x:v>525</x:v>
      </x:c>
      <x:c r="AJ164" s="131" t="n">
        <x:f>IF(AI164&lt;&gt;"",AI164,AK164)</x:f>
        <x:v>525</x:v>
      </x:c>
      <x:c r="AK164" s="132" t="n">
        <x:v>500</x:v>
      </x:c>
    </x:row>
    <x:row r="165" ht="22" customHeight="1">
      <x:c r="A165" s="136" t="str">
        <x:v>Total Finance and Administration Costs</x:v>
      </x:c>
      <x:c r="B165" s="137" t="str">
        <x:f>IF(COUNT(B160:B164)&gt;0,SUM(B160:B164),"")</x:f>
      </x:c>
      <x:c r="C165" s="138" t="n">
        <x:f>SUM(C160:C164)</x:f>
        <x:v>4300</x:v>
      </x:c>
      <x:c r="D165" s="139" t="n">
        <x:f>SUM(D160:D164)</x:f>
        <x:v>4300</x:v>
      </x:c>
      <x:c r="E165" s="137" t="str">
        <x:f>IF(COUNT(E160:E164)&gt;0,SUM(E160:E164),"")</x:f>
      </x:c>
      <x:c r="F165" s="138" t="n">
        <x:f>SUM(F160:F164)</x:f>
        <x:v>4300</x:v>
      </x:c>
      <x:c r="G165" s="139" t="n">
        <x:f>SUM(G160:G164)</x:f>
        <x:v>4300</x:v>
      </x:c>
      <x:c r="H165" s="137" t="str">
        <x:f>IF(COUNT(H160:H164)&gt;0,SUM(H160:H164),"")</x:f>
      </x:c>
      <x:c r="I165" s="138" t="n">
        <x:f>SUM(I160:I164)</x:f>
        <x:v>4300</x:v>
      </x:c>
      <x:c r="J165" s="139" t="n">
        <x:f>SUM(J160:J164)</x:f>
        <x:v>4300</x:v>
      </x:c>
      <x:c r="K165" s="137" t="str">
        <x:f>IF(COUNT(K160:K164)&gt;0,SUM(K160:K164),"")</x:f>
      </x:c>
      <x:c r="L165" s="138" t="n">
        <x:f>SUM(L160:L164)</x:f>
        <x:v>4300</x:v>
      </x:c>
      <x:c r="M165" s="139" t="n">
        <x:f>SUM(M160:M164)</x:f>
        <x:v>4300</x:v>
      </x:c>
      <x:c r="N165" s="137" t="str">
        <x:f>IF(COUNT(N160:N164)&gt;0,SUM(N160:N164),"")</x:f>
      </x:c>
      <x:c r="O165" s="138" t="n">
        <x:f>SUM(O160:O164)</x:f>
        <x:v>4300</x:v>
      </x:c>
      <x:c r="P165" s="139" t="n">
        <x:f>SUM(P160:P164)</x:f>
        <x:v>4300</x:v>
      </x:c>
      <x:c r="Q165" s="137" t="str">
        <x:f>IF(COUNT(Q160:Q164)&gt;0,SUM(Q160:Q164),"")</x:f>
      </x:c>
      <x:c r="R165" s="138" t="n">
        <x:f>SUM(R160:R164)</x:f>
        <x:v>4300</x:v>
      </x:c>
      <x:c r="S165" s="139" t="n">
        <x:f>SUM(S160:S164)</x:f>
        <x:v>4300</x:v>
      </x:c>
      <x:c r="T165" s="137" t="str">
        <x:f>IF(COUNT(T160:T164)&gt;0,SUM(T160:T164),"")</x:f>
      </x:c>
      <x:c r="U165" s="138" t="n">
        <x:f>SUM(U160:U164)</x:f>
        <x:v>4300</x:v>
      </x:c>
      <x:c r="V165" s="139" t="n">
        <x:f>SUM(V160:V164)</x:f>
        <x:v>4300</x:v>
      </x:c>
      <x:c r="W165" s="137" t="str">
        <x:f>IF(COUNT(W160:W164)&gt;0,SUM(W160:W164),"")</x:f>
      </x:c>
      <x:c r="X165" s="138" t="n">
        <x:f>SUM(X160:X164)</x:f>
        <x:v>4300</x:v>
      </x:c>
      <x:c r="Y165" s="139" t="n">
        <x:f>SUM(Y160:Y164)</x:f>
        <x:v>4300</x:v>
      </x:c>
      <x:c r="Z165" s="137" t="str">
        <x:f>IF(COUNT(Z160:Z164)&gt;0,SUM(Z160:Z164),"")</x:f>
      </x:c>
      <x:c r="AA165" s="138" t="n">
        <x:f>SUM(AA160:AA164)</x:f>
        <x:v>4300</x:v>
      </x:c>
      <x:c r="AB165" s="139" t="n">
        <x:f>SUM(AB160:AB164)</x:f>
        <x:v>4300</x:v>
      </x:c>
      <x:c r="AC165" s="137" t="str">
        <x:f>IF(COUNT(AC160:AC164)&gt;0,SUM(AC160:AC164),"")</x:f>
      </x:c>
      <x:c r="AD165" s="138" t="n">
        <x:f>SUM(AD160:AD164)</x:f>
        <x:v>4300</x:v>
      </x:c>
      <x:c r="AE165" s="139" t="n">
        <x:f>SUM(AE160:AE164)</x:f>
        <x:v>4300</x:v>
      </x:c>
      <x:c r="AF165" s="137" t="n">
        <x:f>IF(COUNT(AF160:AF164)&gt;0,SUM(AF160:AF164),"")</x:f>
        <x:v>4214</x:v>
      </x:c>
      <x:c r="AG165" s="138" t="n">
        <x:f>SUM(AG160:AG164)</x:f>
        <x:v>4214</x:v>
      </x:c>
      <x:c r="AH165" s="139" t="n">
        <x:f>SUM(AH160:AH164)</x:f>
        <x:v>4300</x:v>
      </x:c>
      <x:c r="AI165" s="137" t="n">
        <x:f>IF(COUNT(AI160:AI164)&gt;0,SUM(AI160:AI164),"")</x:f>
        <x:v>4515</x:v>
      </x:c>
      <x:c r="AJ165" s="138" t="n">
        <x:f>SUM(AJ160:AJ164)</x:f>
        <x:v>4515</x:v>
      </x:c>
      <x:c r="AK165" s="139" t="n">
        <x:f>SUM(AK160:AK164)</x:f>
        <x:v>4300</x:v>
      </x:c>
    </x:row>
    <x:row r="166" ht="22" customHeight="1">
      <x:c r="A166" s="140" t="str">
        <x:v>Total Finance and Administration Cost</x:v>
      </x:c>
      <x:c r="B166" s="141" t="str">
        <x:f>IF(COUNT(B159,B165)=2,SUM(B159,B165),"")</x:f>
      </x:c>
      <x:c r="C166" s="142" t="n">
        <x:f>SUM(C159,C165)</x:f>
        <x:v>10700</x:v>
      </x:c>
      <x:c r="D166" s="143" t="n">
        <x:f>SUM(D159,D165)</x:f>
        <x:v>10700</x:v>
      </x:c>
      <x:c r="E166" s="141" t="str">
        <x:f>IF(COUNT(E159,E165)=2,SUM(E159,E165),"")</x:f>
      </x:c>
      <x:c r="F166" s="142" t="n">
        <x:f>SUM(F159,F165)</x:f>
        <x:v>10700</x:v>
      </x:c>
      <x:c r="G166" s="143" t="n">
        <x:f>SUM(G159,G165)</x:f>
        <x:v>10700</x:v>
      </x:c>
      <x:c r="H166" s="141" t="str">
        <x:f>IF(COUNT(H159,H165)=2,SUM(H159,H165),"")</x:f>
      </x:c>
      <x:c r="I166" s="142" t="n">
        <x:f>SUM(I159,I165)</x:f>
        <x:v>10700</x:v>
      </x:c>
      <x:c r="J166" s="143" t="n">
        <x:f>SUM(J159,J165)</x:f>
        <x:v>10700</x:v>
      </x:c>
      <x:c r="K166" s="141" t="str">
        <x:f>IF(COUNT(K159,K165)=2,SUM(K159,K165),"")</x:f>
      </x:c>
      <x:c r="L166" s="142" t="n">
        <x:f>SUM(L159,L165)</x:f>
        <x:v>10700</x:v>
      </x:c>
      <x:c r="M166" s="143" t="n">
        <x:f>SUM(M159,M165)</x:f>
        <x:v>10700</x:v>
      </x:c>
      <x:c r="N166" s="141" t="str">
        <x:f>IF(COUNT(N159,N165)=2,SUM(N159,N165),"")</x:f>
      </x:c>
      <x:c r="O166" s="142" t="n">
        <x:f>SUM(O159,O165)</x:f>
        <x:v>10700</x:v>
      </x:c>
      <x:c r="P166" s="143" t="n">
        <x:f>SUM(P159,P165)</x:f>
        <x:v>10700</x:v>
      </x:c>
      <x:c r="Q166" s="141" t="str">
        <x:f>IF(COUNT(Q159,Q165)=2,SUM(Q159,Q165),"")</x:f>
      </x:c>
      <x:c r="R166" s="142" t="n">
        <x:f>SUM(R159,R165)</x:f>
        <x:v>10700</x:v>
      </x:c>
      <x:c r="S166" s="143" t="n">
        <x:f>SUM(S159,S165)</x:f>
        <x:v>10700</x:v>
      </x:c>
      <x:c r="T166" s="141" t="str">
        <x:f>IF(COUNT(T159,T165)=2,SUM(T159,T165),"")</x:f>
      </x:c>
      <x:c r="U166" s="142" t="n">
        <x:f>SUM(U159,U165)</x:f>
        <x:v>10700</x:v>
      </x:c>
      <x:c r="V166" s="143" t="n">
        <x:f>SUM(V159,V165)</x:f>
        <x:v>10700</x:v>
      </x:c>
      <x:c r="W166" s="141" t="str">
        <x:f>IF(COUNT(W159,W165)=2,SUM(W159,W165),"")</x:f>
      </x:c>
      <x:c r="X166" s="142" t="n">
        <x:f>SUM(X159,X165)</x:f>
        <x:v>10700</x:v>
      </x:c>
      <x:c r="Y166" s="143" t="n">
        <x:f>SUM(Y159,Y165)</x:f>
        <x:v>10700</x:v>
      </x:c>
      <x:c r="Z166" s="141" t="str">
        <x:f>IF(COUNT(Z159,Z165)=2,SUM(Z159,Z165),"")</x:f>
      </x:c>
      <x:c r="AA166" s="142" t="n">
        <x:f>SUM(AA159,AA165)</x:f>
        <x:v>10700</x:v>
      </x:c>
      <x:c r="AB166" s="143" t="n">
        <x:f>SUM(AB159,AB165)</x:f>
        <x:v>10700</x:v>
      </x:c>
      <x:c r="AC166" s="141" t="str">
        <x:f>IF(COUNT(AC159,AC165)=2,SUM(AC159,AC165),"")</x:f>
      </x:c>
      <x:c r="AD166" s="142" t="n">
        <x:f>SUM(AD159,AD165)</x:f>
        <x:v>10700</x:v>
      </x:c>
      <x:c r="AE166" s="143" t="n">
        <x:f>SUM(AE159,AE165)</x:f>
        <x:v>10700</x:v>
      </x:c>
      <x:c r="AF166" s="141" t="n">
        <x:f>IF(COUNT(AF159,AF165)=2,SUM(AF159,AF165),"")</x:f>
        <x:v>10486</x:v>
      </x:c>
      <x:c r="AG166" s="142" t="n">
        <x:f>SUM(AG159,AG165)</x:f>
        <x:v>10486</x:v>
      </x:c>
      <x:c r="AH166" s="143" t="n">
        <x:f>SUM(AH159,AH165)</x:f>
        <x:v>10700</x:v>
      </x:c>
      <x:c r="AI166" s="141" t="n">
        <x:f>IF(COUNT(AI159,AI165)=2,SUM(AI159,AI165),"")</x:f>
        <x:v>11235</x:v>
      </x:c>
      <x:c r="AJ166" s="142" t="n">
        <x:f>SUM(AJ159,AJ165)</x:f>
        <x:v>11235</x:v>
      </x:c>
      <x:c r="AK166" s="143" t="n">
        <x:f>SUM(AK159,AK165)</x:f>
        <x:v>10700</x:v>
      </x:c>
    </x:row>
    <x:row r="167" ht="22" customHeight="1">
      <x:c r="A167" s="116"/>
      <x:c r="B167" s="133"/>
      <x:c r="C167" s="131"/>
      <x:c r="D167" s="134"/>
      <x:c r="E167" s="133"/>
      <x:c r="F167" s="131"/>
      <x:c r="G167" s="134"/>
      <x:c r="H167" s="133"/>
      <x:c r="I167" s="131"/>
      <x:c r="J167" s="134"/>
      <x:c r="K167" s="133"/>
      <x:c r="L167" s="131"/>
      <x:c r="M167" s="134"/>
      <x:c r="N167" s="133"/>
      <x:c r="O167" s="131"/>
      <x:c r="P167" s="134"/>
      <x:c r="Q167" s="133"/>
      <x:c r="R167" s="131"/>
      <x:c r="S167" s="134"/>
      <x:c r="T167" s="133"/>
      <x:c r="U167" s="131"/>
      <x:c r="V167" s="134"/>
      <x:c r="W167" s="133"/>
      <x:c r="X167" s="131"/>
      <x:c r="Y167" s="134"/>
      <x:c r="Z167" s="133"/>
      <x:c r="AA167" s="131"/>
      <x:c r="AB167" s="134"/>
      <x:c r="AC167" s="133"/>
      <x:c r="AD167" s="131"/>
      <x:c r="AE167" s="134"/>
      <x:c r="AF167" s="133"/>
      <x:c r="AG167" s="131"/>
      <x:c r="AH167" s="134"/>
      <x:c r="AI167" s="133"/>
      <x:c r="AJ167" s="131"/>
      <x:c r="AK167" s="134"/>
    </x:row>
    <x:row r="168" ht="22" customHeight="1">
      <x:c r="A168" s="38" t="str">
        <x:v>OTHER CASH OUT</x:v>
      </x:c>
      <x:c r="B168" s="84" t="str">
        <x:v>OTHER CASH OUT</x:v>
      </x:c>
      <x:c r="C168" s="85" t="str">
        <x:v>OTHER CASH OUT</x:v>
      </x:c>
      <x:c r="D168" s="86" t="str">
        <x:v>OTHER CASH OUT</x:v>
      </x:c>
      <x:c r="E168" s="84" t="str">
        <x:v>OTHER CASH OUT</x:v>
      </x:c>
      <x:c r="F168" s="85" t="str">
        <x:v>OTHER CASH OUT</x:v>
      </x:c>
      <x:c r="G168" s="86" t="str">
        <x:v>OTHER CASH OUT</x:v>
      </x:c>
      <x:c r="H168" s="84" t="str">
        <x:v>OTHER CASH OUT</x:v>
      </x:c>
      <x:c r="I168" s="85" t="str">
        <x:v>OTHER CASH OUT</x:v>
      </x:c>
      <x:c r="J168" s="86" t="str">
        <x:v>OTHER CASH OUT</x:v>
      </x:c>
      <x:c r="K168" s="84" t="str">
        <x:v>OTHER CASH OUT</x:v>
      </x:c>
      <x:c r="L168" s="85" t="str">
        <x:v>OTHER CASH OUT</x:v>
      </x:c>
      <x:c r="M168" s="86" t="str">
        <x:v>OTHER CASH OUT</x:v>
      </x:c>
      <x:c r="N168" s="84" t="str">
        <x:v>OTHER CASH OUT</x:v>
      </x:c>
      <x:c r="O168" s="85" t="str">
        <x:v>OTHER CASH OUT</x:v>
      </x:c>
      <x:c r="P168" s="86" t="str">
        <x:v>OTHER CASH OUT</x:v>
      </x:c>
      <x:c r="Q168" s="84" t="str">
        <x:v>OTHER CASH OUT</x:v>
      </x:c>
      <x:c r="R168" s="85" t="str">
        <x:v>OTHER CASH OUT</x:v>
      </x:c>
      <x:c r="S168" s="86" t="str">
        <x:v>OTHER CASH OUT</x:v>
      </x:c>
      <x:c r="T168" s="84" t="str">
        <x:v>OTHER CASH OUT</x:v>
      </x:c>
      <x:c r="U168" s="85" t="str">
        <x:v>OTHER CASH OUT</x:v>
      </x:c>
      <x:c r="V168" s="86" t="str">
        <x:v>OTHER CASH OUT</x:v>
      </x:c>
      <x:c r="W168" s="84" t="str">
        <x:v>OTHER CASH OUT</x:v>
      </x:c>
      <x:c r="X168" s="85" t="str">
        <x:v>OTHER CASH OUT</x:v>
      </x:c>
      <x:c r="Y168" s="86" t="str">
        <x:v>OTHER CASH OUT</x:v>
      </x:c>
      <x:c r="Z168" s="84" t="str">
        <x:v>OTHER CASH OUT</x:v>
      </x:c>
      <x:c r="AA168" s="85" t="str">
        <x:v>OTHER CASH OUT</x:v>
      </x:c>
      <x:c r="AB168" s="86" t="str">
        <x:v>OTHER CASH OUT</x:v>
      </x:c>
      <x:c r="AC168" s="84" t="str">
        <x:v>OTHER CASH OUT</x:v>
      </x:c>
      <x:c r="AD168" s="85" t="str">
        <x:v>OTHER CASH OUT</x:v>
      </x:c>
      <x:c r="AE168" s="86" t="str">
        <x:v>OTHER CASH OUT</x:v>
      </x:c>
      <x:c r="AF168" s="84" t="str">
        <x:v>OTHER CASH OUT</x:v>
      </x:c>
      <x:c r="AG168" s="85" t="str">
        <x:v>OTHER CASH OUT</x:v>
      </x:c>
      <x:c r="AH168" s="86" t="str">
        <x:v>OTHER CASH OUT</x:v>
      </x:c>
      <x:c r="AI168" s="84" t="str">
        <x:v>OTHER CASH OUT</x:v>
      </x:c>
      <x:c r="AJ168" s="85" t="str">
        <x:v>OTHER CASH OUT</x:v>
      </x:c>
      <x:c r="AK168" s="86" t="str">
        <x:v>OTHER CASH OUT</x:v>
      </x:c>
    </x:row>
    <x:row r="169" ht="22" customHeight="1">
      <x:c r="A169" s="116" t="str">
        <x:v>Income Tax Paid</x:v>
      </x:c>
      <x:c r="B169" s="130"/>
      <x:c r="C169" s="131" t="n">
        <x:f>IF(B169&lt;&gt;"",B169,D169)</x:f>
        <x:v>0</x:v>
      </x:c>
      <x:c r="D169" s="132" t="n">
        <x:v>0</x:v>
      </x:c>
      <x:c r="E169" s="130"/>
      <x:c r="F169" s="131" t="n">
        <x:f>IF(E169&lt;&gt;"",E169,G169)</x:f>
        <x:v>0</x:v>
      </x:c>
      <x:c r="G169" s="132" t="n">
        <x:v>0</x:v>
      </x:c>
      <x:c r="H169" s="130"/>
      <x:c r="I169" s="131" t="n">
        <x:f>IF(H169&lt;&gt;"",H169,J169)</x:f>
        <x:v>0</x:v>
      </x:c>
      <x:c r="J169" s="132" t="n">
        <x:v>0</x:v>
      </x:c>
      <x:c r="K169" s="130"/>
      <x:c r="L169" s="131" t="n">
        <x:f>IF(K169&lt;&gt;"",K169,M169)</x:f>
        <x:v>0</x:v>
      </x:c>
      <x:c r="M169" s="132" t="n">
        <x:v>0</x:v>
      </x:c>
      <x:c r="N169" s="130"/>
      <x:c r="O169" s="131" t="n">
        <x:f>IF(N169&lt;&gt;"",N169,P169)</x:f>
        <x:v>0</x:v>
      </x:c>
      <x:c r="P169" s="132" t="n">
        <x:v>0</x:v>
      </x:c>
      <x:c r="Q169" s="130"/>
      <x:c r="R169" s="131" t="n">
        <x:f>IF(Q169&lt;&gt;"",Q169,S169)</x:f>
        <x:v>0</x:v>
      </x:c>
      <x:c r="S169" s="132" t="n">
        <x:v>0</x:v>
      </x:c>
      <x:c r="T169" s="130"/>
      <x:c r="U169" s="131" t="n">
        <x:f>IF(T169&lt;&gt;"",T169,V169)</x:f>
        <x:v>0</x:v>
      </x:c>
      <x:c r="V169" s="132" t="n">
        <x:v>0</x:v>
      </x:c>
      <x:c r="W169" s="130"/>
      <x:c r="X169" s="131" t="n">
        <x:f>IF(W169&lt;&gt;"",W169,Y169)</x:f>
        <x:v>0</x:v>
      </x:c>
      <x:c r="Y169" s="132" t="n">
        <x:v>0</x:v>
      </x:c>
      <x:c r="Z169" s="130"/>
      <x:c r="AA169" s="131" t="n">
        <x:f>IF(Z169&lt;&gt;"",Z169,AB169)</x:f>
        <x:v>0</x:v>
      </x:c>
      <x:c r="AB169" s="132" t="n">
        <x:v>0</x:v>
      </x:c>
      <x:c r="AC169" s="130"/>
      <x:c r="AD169" s="131" t="n">
        <x:f>IF(AC169&lt;&gt;"",AC169,AE169)</x:f>
        <x:v>0</x:v>
      </x:c>
      <x:c r="AE169" s="132" t="n">
        <x:v>0</x:v>
      </x:c>
      <x:c r="AF169" s="130" t="n">
        <x:v>0</x:v>
      </x:c>
      <x:c r="AG169" s="131" t="n">
        <x:f>IF(AF169&lt;&gt;"",AF169,AH169)</x:f>
        <x:v>0</x:v>
      </x:c>
      <x:c r="AH169" s="132" t="n">
        <x:v>0</x:v>
      </x:c>
      <x:c r="AI169" s="130" t="n">
        <x:v>0</x:v>
      </x:c>
      <x:c r="AJ169" s="131" t="n">
        <x:f>IF(AI169&lt;&gt;"",AI169,AK169)</x:f>
        <x:v>0</x:v>
      </x:c>
      <x:c r="AK169" s="132" t="n">
        <x:v>0</x:v>
      </x:c>
    </x:row>
    <x:row r="170" ht="22" customHeight="1">
      <x:c r="A170" s="116" t="str">
        <x:v>Equipment Purchases</x:v>
      </x:c>
      <x:c r="B170" s="130"/>
      <x:c r="C170" s="131" t="n">
        <x:f>IF(B170&lt;&gt;"",B170,D170)</x:f>
        <x:v>0</x:v>
      </x:c>
      <x:c r="D170" s="132" t="n">
        <x:v>0</x:v>
      </x:c>
      <x:c r="E170" s="130"/>
      <x:c r="F170" s="131" t="n">
        <x:f>IF(E170&lt;&gt;"",E170,G170)</x:f>
        <x:v>0</x:v>
      </x:c>
      <x:c r="G170" s="132" t="n">
        <x:v>0</x:v>
      </x:c>
      <x:c r="H170" s="130"/>
      <x:c r="I170" s="131" t="n">
        <x:f>IF(H170&lt;&gt;"",H170,J170)</x:f>
        <x:v>0</x:v>
      </x:c>
      <x:c r="J170" s="132" t="n">
        <x:v>0</x:v>
      </x:c>
      <x:c r="K170" s="130"/>
      <x:c r="L170" s="131" t="n">
        <x:f>IF(K170&lt;&gt;"",K170,M170)</x:f>
        <x:v>0</x:v>
      </x:c>
      <x:c r="M170" s="132" t="n">
        <x:v>0</x:v>
      </x:c>
      <x:c r="N170" s="130"/>
      <x:c r="O170" s="131" t="n">
        <x:f>IF(N170&lt;&gt;"",N170,P170)</x:f>
        <x:v>0</x:v>
      </x:c>
      <x:c r="P170" s="132" t="n">
        <x:v>0</x:v>
      </x:c>
      <x:c r="Q170" s="130"/>
      <x:c r="R170" s="131" t="n">
        <x:f>IF(Q170&lt;&gt;"",Q170,S170)</x:f>
        <x:v>0</x:v>
      </x:c>
      <x:c r="S170" s="132" t="n">
        <x:v>0</x:v>
      </x:c>
      <x:c r="T170" s="130"/>
      <x:c r="U170" s="131" t="n">
        <x:f>IF(T170&lt;&gt;"",T170,V170)</x:f>
        <x:v>0</x:v>
      </x:c>
      <x:c r="V170" s="132" t="n">
        <x:v>0</x:v>
      </x:c>
      <x:c r="W170" s="130"/>
      <x:c r="X170" s="131" t="n">
        <x:f>IF(W170&lt;&gt;"",W170,Y170)</x:f>
        <x:v>0</x:v>
      </x:c>
      <x:c r="Y170" s="132" t="n">
        <x:v>0</x:v>
      </x:c>
      <x:c r="Z170" s="130"/>
      <x:c r="AA170" s="131" t="n">
        <x:f>IF(Z170&lt;&gt;"",Z170,AB170)</x:f>
        <x:v>0</x:v>
      </x:c>
      <x:c r="AB170" s="132" t="n">
        <x:v>0</x:v>
      </x:c>
      <x:c r="AC170" s="130"/>
      <x:c r="AD170" s="131" t="n">
        <x:f>IF(AC170&lt;&gt;"",AC170,AE170)</x:f>
        <x:v>0</x:v>
      </x:c>
      <x:c r="AE170" s="132" t="n">
        <x:v>0</x:v>
      </x:c>
      <x:c r="AF170" s="130" t="n">
        <x:v>0</x:v>
      </x:c>
      <x:c r="AG170" s="131" t="n">
        <x:f>IF(AF170&lt;&gt;"",AF170,AH170)</x:f>
        <x:v>0</x:v>
      </x:c>
      <x:c r="AH170" s="132" t="n">
        <x:v>0</x:v>
      </x:c>
      <x:c r="AI170" s="130" t="n">
        <x:v>0</x:v>
      </x:c>
      <x:c r="AJ170" s="131" t="n">
        <x:f>IF(AI170&lt;&gt;"",AI170,AK170)</x:f>
        <x:v>0</x:v>
      </x:c>
      <x:c r="AK170" s="132" t="n">
        <x:v>0</x:v>
      </x:c>
    </x:row>
    <x:row r="171" ht="22" customHeight="1">
      <x:c r="A171" s="116" t="str">
        <x:v>Debt Principal and Interest</x:v>
      </x:c>
      <x:c r="B171" s="130"/>
      <x:c r="C171" s="131" t="n">
        <x:f>IF(B171&lt;&gt;"",B171,D171)</x:f>
        <x:v>0</x:v>
      </x:c>
      <x:c r="D171" s="132" t="n">
        <x:v>0</x:v>
      </x:c>
      <x:c r="E171" s="130"/>
      <x:c r="F171" s="131" t="n">
        <x:f>IF(E171&lt;&gt;"",E171,G171)</x:f>
        <x:v>0</x:v>
      </x:c>
      <x:c r="G171" s="132" t="n">
        <x:v>0</x:v>
      </x:c>
      <x:c r="H171" s="130"/>
      <x:c r="I171" s="131" t="n">
        <x:f>IF(H171&lt;&gt;"",H171,J171)</x:f>
        <x:v>0</x:v>
      </x:c>
      <x:c r="J171" s="132" t="n">
        <x:v>0</x:v>
      </x:c>
      <x:c r="K171" s="130"/>
      <x:c r="L171" s="131" t="n">
        <x:f>IF(K171&lt;&gt;"",K171,M171)</x:f>
        <x:v>0</x:v>
      </x:c>
      <x:c r="M171" s="132" t="n">
        <x:v>0</x:v>
      </x:c>
      <x:c r="N171" s="130"/>
      <x:c r="O171" s="131" t="n">
        <x:f>IF(N171&lt;&gt;"",N171,P171)</x:f>
        <x:v>0</x:v>
      </x:c>
      <x:c r="P171" s="132" t="n">
        <x:v>0</x:v>
      </x:c>
      <x:c r="Q171" s="130"/>
      <x:c r="R171" s="131" t="n">
        <x:f>IF(Q171&lt;&gt;"",Q171,S171)</x:f>
        <x:v>0</x:v>
      </x:c>
      <x:c r="S171" s="132" t="n">
        <x:v>0</x:v>
      </x:c>
      <x:c r="T171" s="130"/>
      <x:c r="U171" s="131" t="n">
        <x:f>IF(T171&lt;&gt;"",T171,V171)</x:f>
        <x:v>0</x:v>
      </x:c>
      <x:c r="V171" s="132" t="n">
        <x:v>0</x:v>
      </x:c>
      <x:c r="W171" s="130"/>
      <x:c r="X171" s="131" t="n">
        <x:f>IF(W171&lt;&gt;"",W171,Y171)</x:f>
        <x:v>0</x:v>
      </x:c>
      <x:c r="Y171" s="132" t="n">
        <x:v>0</x:v>
      </x:c>
      <x:c r="Z171" s="130"/>
      <x:c r="AA171" s="131" t="n">
        <x:f>IF(Z171&lt;&gt;"",Z171,AB171)</x:f>
        <x:v>0</x:v>
      </x:c>
      <x:c r="AB171" s="132" t="n">
        <x:v>0</x:v>
      </x:c>
      <x:c r="AC171" s="130"/>
      <x:c r="AD171" s="131" t="n">
        <x:f>IF(AC171&lt;&gt;"",AC171,AE171)</x:f>
        <x:v>0</x:v>
      </x:c>
      <x:c r="AE171" s="132" t="n">
        <x:v>0</x:v>
      </x:c>
      <x:c r="AF171" s="130" t="n">
        <x:v>0</x:v>
      </x:c>
      <x:c r="AG171" s="131" t="n">
        <x:f>IF(AF171&lt;&gt;"",AF171,AH171)</x:f>
        <x:v>0</x:v>
      </x:c>
      <x:c r="AH171" s="132" t="n">
        <x:v>0</x:v>
      </x:c>
      <x:c r="AI171" s="130" t="n">
        <x:v>0</x:v>
      </x:c>
      <x:c r="AJ171" s="131" t="n">
        <x:f>IF(AI171&lt;&gt;"",AI171,AK171)</x:f>
        <x:v>0</x:v>
      </x:c>
      <x:c r="AK171" s="132" t="n">
        <x:v>0</x:v>
      </x:c>
    </x:row>
    <x:row r="172" ht="22" customHeight="1">
      <x:c r="A172" s="116" t="str">
        <x:v>Owner Distributions</x:v>
      </x:c>
      <x:c r="B172" s="130"/>
      <x:c r="C172" s="131" t="n">
        <x:f>IF(B172&lt;&gt;"",B172,D172)</x:f>
        <x:v>0</x:v>
      </x:c>
      <x:c r="D172" s="132" t="n">
        <x:v>0</x:v>
      </x:c>
      <x:c r="E172" s="130"/>
      <x:c r="F172" s="131" t="n">
        <x:f>IF(E172&lt;&gt;"",E172,G172)</x:f>
        <x:v>0</x:v>
      </x:c>
      <x:c r="G172" s="132" t="n">
        <x:v>0</x:v>
      </x:c>
      <x:c r="H172" s="130"/>
      <x:c r="I172" s="131" t="n">
        <x:f>IF(H172&lt;&gt;"",H172,J172)</x:f>
        <x:v>0</x:v>
      </x:c>
      <x:c r="J172" s="132" t="n">
        <x:v>0</x:v>
      </x:c>
      <x:c r="K172" s="130"/>
      <x:c r="L172" s="131" t="n">
        <x:f>IF(K172&lt;&gt;"",K172,M172)</x:f>
        <x:v>0</x:v>
      </x:c>
      <x:c r="M172" s="132" t="n">
        <x:v>0</x:v>
      </x:c>
      <x:c r="N172" s="130"/>
      <x:c r="O172" s="131" t="n">
        <x:f>IF(N172&lt;&gt;"",N172,P172)</x:f>
        <x:v>0</x:v>
      </x:c>
      <x:c r="P172" s="132" t="n">
        <x:v>0</x:v>
      </x:c>
      <x:c r="Q172" s="130"/>
      <x:c r="R172" s="131" t="n">
        <x:f>IF(Q172&lt;&gt;"",Q172,S172)</x:f>
        <x:v>0</x:v>
      </x:c>
      <x:c r="S172" s="132" t="n">
        <x:v>0</x:v>
      </x:c>
      <x:c r="T172" s="130"/>
      <x:c r="U172" s="131" t="n">
        <x:f>IF(T172&lt;&gt;"",T172,V172)</x:f>
        <x:v>0</x:v>
      </x:c>
      <x:c r="V172" s="132" t="n">
        <x:v>0</x:v>
      </x:c>
      <x:c r="W172" s="130"/>
      <x:c r="X172" s="131" t="n">
        <x:f>IF(W172&lt;&gt;"",W172,Y172)</x:f>
        <x:v>0</x:v>
      </x:c>
      <x:c r="Y172" s="132" t="n">
        <x:v>0</x:v>
      </x:c>
      <x:c r="Z172" s="130"/>
      <x:c r="AA172" s="131" t="n">
        <x:f>IF(Z172&lt;&gt;"",Z172,AB172)</x:f>
        <x:v>0</x:v>
      </x:c>
      <x:c r="AB172" s="132" t="n">
        <x:v>0</x:v>
      </x:c>
      <x:c r="AC172" s="130"/>
      <x:c r="AD172" s="131" t="n">
        <x:f>IF(AC172&lt;&gt;"",AC172,AE172)</x:f>
        <x:v>0</x:v>
      </x:c>
      <x:c r="AE172" s="132" t="n">
        <x:v>0</x:v>
      </x:c>
      <x:c r="AF172" s="130" t="n">
        <x:v>0</x:v>
      </x:c>
      <x:c r="AG172" s="131" t="n">
        <x:f>IF(AF172&lt;&gt;"",AF172,AH172)</x:f>
        <x:v>0</x:v>
      </x:c>
      <x:c r="AH172" s="132" t="n">
        <x:v>0</x:v>
      </x:c>
      <x:c r="AI172" s="130" t="n">
        <x:v>0</x:v>
      </x:c>
      <x:c r="AJ172" s="131" t="n">
        <x:f>IF(AI172&lt;&gt;"",AI172,AK172)</x:f>
        <x:v>0</x:v>
      </x:c>
      <x:c r="AK172" s="132" t="n">
        <x:v>0</x:v>
      </x:c>
    </x:row>
    <x:row r="173" ht="22" customHeight="1">
      <x:c r="A173" s="140" t="str">
        <x:v>Total Other Cash Out</x:v>
      </x:c>
      <x:c r="B173" s="141" t="str">
        <x:f>IF(COUNT(B169:B172)&gt;0,SUM(B169:B172),"")</x:f>
      </x:c>
      <x:c r="C173" s="142" t="n">
        <x:f>SUM(C169:C172)</x:f>
        <x:v>0</x:v>
      </x:c>
      <x:c r="D173" s="143" t="n">
        <x:f>SUM(D169:D172)</x:f>
        <x:v>0</x:v>
      </x:c>
      <x:c r="E173" s="141" t="str">
        <x:f>IF(COUNT(E169:E172)&gt;0,SUM(E169:E172),"")</x:f>
      </x:c>
      <x:c r="F173" s="142" t="n">
        <x:f>SUM(F169:F172)</x:f>
        <x:v>0</x:v>
      </x:c>
      <x:c r="G173" s="143" t="n">
        <x:f>SUM(G169:G172)</x:f>
        <x:v>0</x:v>
      </x:c>
      <x:c r="H173" s="141" t="str">
        <x:f>IF(COUNT(H169:H172)&gt;0,SUM(H169:H172),"")</x:f>
      </x:c>
      <x:c r="I173" s="142" t="n">
        <x:f>SUM(I169:I172)</x:f>
        <x:v>0</x:v>
      </x:c>
      <x:c r="J173" s="143" t="n">
        <x:f>SUM(J169:J172)</x:f>
        <x:v>0</x:v>
      </x:c>
      <x:c r="K173" s="141" t="str">
        <x:f>IF(COUNT(K169:K172)&gt;0,SUM(K169:K172),"")</x:f>
      </x:c>
      <x:c r="L173" s="142" t="n">
        <x:f>SUM(L169:L172)</x:f>
        <x:v>0</x:v>
      </x:c>
      <x:c r="M173" s="143" t="n">
        <x:f>SUM(M169:M172)</x:f>
        <x:v>0</x:v>
      </x:c>
      <x:c r="N173" s="141" t="str">
        <x:f>IF(COUNT(N169:N172)&gt;0,SUM(N169:N172),"")</x:f>
      </x:c>
      <x:c r="O173" s="142" t="n">
        <x:f>SUM(O169:O172)</x:f>
        <x:v>0</x:v>
      </x:c>
      <x:c r="P173" s="143" t="n">
        <x:f>SUM(P169:P172)</x:f>
        <x:v>0</x:v>
      </x:c>
      <x:c r="Q173" s="141" t="str">
        <x:f>IF(COUNT(Q169:Q172)&gt;0,SUM(Q169:Q172),"")</x:f>
      </x:c>
      <x:c r="R173" s="142" t="n">
        <x:f>SUM(R169:R172)</x:f>
        <x:v>0</x:v>
      </x:c>
      <x:c r="S173" s="143" t="n">
        <x:f>SUM(S169:S172)</x:f>
        <x:v>0</x:v>
      </x:c>
      <x:c r="T173" s="141" t="str">
        <x:f>IF(COUNT(T169:T172)&gt;0,SUM(T169:T172),"")</x:f>
      </x:c>
      <x:c r="U173" s="142" t="n">
        <x:f>SUM(U169:U172)</x:f>
        <x:v>0</x:v>
      </x:c>
      <x:c r="V173" s="143" t="n">
        <x:f>SUM(V169:V172)</x:f>
        <x:v>0</x:v>
      </x:c>
      <x:c r="W173" s="141" t="str">
        <x:f>IF(COUNT(W169:W172)&gt;0,SUM(W169:W172),"")</x:f>
      </x:c>
      <x:c r="X173" s="142" t="n">
        <x:f>SUM(X169:X172)</x:f>
        <x:v>0</x:v>
      </x:c>
      <x:c r="Y173" s="143" t="n">
        <x:f>SUM(Y169:Y172)</x:f>
        <x:v>0</x:v>
      </x:c>
      <x:c r="Z173" s="141" t="str">
        <x:f>IF(COUNT(Z169:Z172)&gt;0,SUM(Z169:Z172),"")</x:f>
      </x:c>
      <x:c r="AA173" s="142" t="n">
        <x:f>SUM(AA169:AA172)</x:f>
        <x:v>0</x:v>
      </x:c>
      <x:c r="AB173" s="143" t="n">
        <x:f>SUM(AB169:AB172)</x:f>
        <x:v>0</x:v>
      </x:c>
      <x:c r="AC173" s="141" t="str">
        <x:f>IF(COUNT(AC169:AC172)&gt;0,SUM(AC169:AC172),"")</x:f>
      </x:c>
      <x:c r="AD173" s="142" t="n">
        <x:f>SUM(AD169:AD172)</x:f>
        <x:v>0</x:v>
      </x:c>
      <x:c r="AE173" s="143" t="n">
        <x:f>SUM(AE169:AE172)</x:f>
        <x:v>0</x:v>
      </x:c>
      <x:c r="AF173" s="141" t="n">
        <x:f>IF(COUNT(AF169:AF172)&gt;0,SUM(AF169:AF172),"")</x:f>
        <x:v>0</x:v>
      </x:c>
      <x:c r="AG173" s="142" t="n">
        <x:f>SUM(AG169:AG172)</x:f>
        <x:v>0</x:v>
      </x:c>
      <x:c r="AH173" s="143" t="n">
        <x:f>SUM(AH169:AH172)</x:f>
        <x:v>0</x:v>
      </x:c>
      <x:c r="AI173" s="141" t="n">
        <x:f>IF(COUNT(AI169:AI172)&gt;0,SUM(AI169:AI172),"")</x:f>
        <x:v>0</x:v>
      </x:c>
      <x:c r="AJ173" s="142" t="n">
        <x:f>SUM(AJ169:AJ172)</x:f>
        <x:v>0</x:v>
      </x:c>
      <x:c r="AK173" s="143" t="n">
        <x:f>SUM(AK169:AK172)</x:f>
        <x:v>0</x:v>
      </x:c>
    </x:row>
    <x:row r="174" ht="22" customHeight="1">
      <x:c r="A174" s="116"/>
      <x:c r="B174" s="133"/>
      <x:c r="C174" s="131"/>
      <x:c r="D174" s="134"/>
      <x:c r="E174" s="133"/>
      <x:c r="F174" s="131"/>
      <x:c r="G174" s="134"/>
      <x:c r="H174" s="133"/>
      <x:c r="I174" s="131"/>
      <x:c r="J174" s="134"/>
      <x:c r="K174" s="133"/>
      <x:c r="L174" s="131"/>
      <x:c r="M174" s="134"/>
      <x:c r="N174" s="133"/>
      <x:c r="O174" s="131"/>
      <x:c r="P174" s="134"/>
      <x:c r="Q174" s="133"/>
      <x:c r="R174" s="131"/>
      <x:c r="S174" s="134"/>
      <x:c r="T174" s="133"/>
      <x:c r="U174" s="131"/>
      <x:c r="V174" s="134"/>
      <x:c r="W174" s="133"/>
      <x:c r="X174" s="131"/>
      <x:c r="Y174" s="134"/>
      <x:c r="Z174" s="133"/>
      <x:c r="AA174" s="131"/>
      <x:c r="AB174" s="134"/>
      <x:c r="AC174" s="133"/>
      <x:c r="AD174" s="131"/>
      <x:c r="AE174" s="134"/>
      <x:c r="AF174" s="133"/>
      <x:c r="AG174" s="131"/>
      <x:c r="AH174" s="134"/>
      <x:c r="AI174" s="133"/>
      <x:c r="AJ174" s="131"/>
      <x:c r="AK174" s="134"/>
    </x:row>
    <x:row r="175" ht="22" customHeight="1">
      <x:c r="A175" s="38" t="str">
        <x:v>CASH SUMMARY</x:v>
      </x:c>
      <x:c r="B175" s="84" t="str">
        <x:v>CASH SUMMARY</x:v>
      </x:c>
      <x:c r="C175" s="85" t="str">
        <x:v>CASH SUMMARY</x:v>
      </x:c>
      <x:c r="D175" s="86" t="str">
        <x:v>CASH SUMMARY</x:v>
      </x:c>
      <x:c r="E175" s="84" t="str">
        <x:v>CASH SUMMARY</x:v>
      </x:c>
      <x:c r="F175" s="85" t="str">
        <x:v>CASH SUMMARY</x:v>
      </x:c>
      <x:c r="G175" s="86" t="str">
        <x:v>CASH SUMMARY</x:v>
      </x:c>
      <x:c r="H175" s="84" t="str">
        <x:v>CASH SUMMARY</x:v>
      </x:c>
      <x:c r="I175" s="85" t="str">
        <x:v>CASH SUMMARY</x:v>
      </x:c>
      <x:c r="J175" s="86" t="str">
        <x:v>CASH SUMMARY</x:v>
      </x:c>
      <x:c r="K175" s="84" t="str">
        <x:v>CASH SUMMARY</x:v>
      </x:c>
      <x:c r="L175" s="85" t="str">
        <x:v>CASH SUMMARY</x:v>
      </x:c>
      <x:c r="M175" s="86" t="str">
        <x:v>CASH SUMMARY</x:v>
      </x:c>
      <x:c r="N175" s="84" t="str">
        <x:v>CASH SUMMARY</x:v>
      </x:c>
      <x:c r="O175" s="85" t="str">
        <x:v>CASH SUMMARY</x:v>
      </x:c>
      <x:c r="P175" s="86" t="str">
        <x:v>CASH SUMMARY</x:v>
      </x:c>
      <x:c r="Q175" s="84" t="str">
        <x:v>CASH SUMMARY</x:v>
      </x:c>
      <x:c r="R175" s="85" t="str">
        <x:v>CASH SUMMARY</x:v>
      </x:c>
      <x:c r="S175" s="86" t="str">
        <x:v>CASH SUMMARY</x:v>
      </x:c>
      <x:c r="T175" s="84" t="str">
        <x:v>CASH SUMMARY</x:v>
      </x:c>
      <x:c r="U175" s="85" t="str">
        <x:v>CASH SUMMARY</x:v>
      </x:c>
      <x:c r="V175" s="86" t="str">
        <x:v>CASH SUMMARY</x:v>
      </x:c>
      <x:c r="W175" s="84" t="str">
        <x:v>CASH SUMMARY</x:v>
      </x:c>
      <x:c r="X175" s="85" t="str">
        <x:v>CASH SUMMARY</x:v>
      </x:c>
      <x:c r="Y175" s="86" t="str">
        <x:v>CASH SUMMARY</x:v>
      </x:c>
      <x:c r="Z175" s="84" t="str">
        <x:v>CASH SUMMARY</x:v>
      </x:c>
      <x:c r="AA175" s="85" t="str">
        <x:v>CASH SUMMARY</x:v>
      </x:c>
      <x:c r="AB175" s="86" t="str">
        <x:v>CASH SUMMARY</x:v>
      </x:c>
      <x:c r="AC175" s="84" t="str">
        <x:v>CASH SUMMARY</x:v>
      </x:c>
      <x:c r="AD175" s="85" t="str">
        <x:v>CASH SUMMARY</x:v>
      </x:c>
      <x:c r="AE175" s="86" t="str">
        <x:v>CASH SUMMARY</x:v>
      </x:c>
      <x:c r="AF175" s="84" t="str">
        <x:v>CASH SUMMARY</x:v>
      </x:c>
      <x:c r="AG175" s="85" t="str">
        <x:v>CASH SUMMARY</x:v>
      </x:c>
      <x:c r="AH175" s="86" t="str">
        <x:v>CASH SUMMARY</x:v>
      </x:c>
      <x:c r="AI175" s="84" t="str">
        <x:v>CASH SUMMARY</x:v>
      </x:c>
      <x:c r="AJ175" s="85" t="str">
        <x:v>CASH SUMMARY</x:v>
      </x:c>
      <x:c r="AK175" s="86" t="str">
        <x:v>CASH SUMMARY</x:v>
      </x:c>
    </x:row>
    <x:row r="176" ht="22" customHeight="1">
      <x:c r="A176" s="144" t="str">
        <x:v>Cost of Goods Sold</x:v>
      </x:c>
      <x:c r="B176" s="145" t="str">
        <x:f>IF(B94="","",B94)</x:f>
      </x:c>
      <x:c r="C176" s="146" t="n">
        <x:f>C94</x:f>
        <x:v>60500</x:v>
      </x:c>
      <x:c r="D176" s="147" t="n">
        <x:f>D94</x:f>
        <x:v>60500</x:v>
      </x:c>
      <x:c r="E176" s="145" t="str">
        <x:f>IF(E94="","",E94)</x:f>
      </x:c>
      <x:c r="F176" s="146" t="n">
        <x:f>F94</x:f>
        <x:v>60500</x:v>
      </x:c>
      <x:c r="G176" s="147" t="n">
        <x:f>G94</x:f>
        <x:v>60500</x:v>
      </x:c>
      <x:c r="H176" s="145" t="str">
        <x:f>IF(H94="","",H94)</x:f>
      </x:c>
      <x:c r="I176" s="146" t="n">
        <x:f>I94</x:f>
        <x:v>60500</x:v>
      </x:c>
      <x:c r="J176" s="147" t="n">
        <x:f>J94</x:f>
        <x:v>60500</x:v>
      </x:c>
      <x:c r="K176" s="145" t="str">
        <x:f>IF(K94="","",K94)</x:f>
      </x:c>
      <x:c r="L176" s="146" t="n">
        <x:f>L94</x:f>
        <x:v>60500</x:v>
      </x:c>
      <x:c r="M176" s="147" t="n">
        <x:f>M94</x:f>
        <x:v>60500</x:v>
      </x:c>
      <x:c r="N176" s="145" t="str">
        <x:f>IF(N94="","",N94)</x:f>
      </x:c>
      <x:c r="O176" s="146" t="n">
        <x:f>O94</x:f>
        <x:v>59500</x:v>
      </x:c>
      <x:c r="P176" s="147" t="n">
        <x:f>P94</x:f>
        <x:v>59500</x:v>
      </x:c>
      <x:c r="Q176" s="145" t="str">
        <x:f>IF(Q94="","",Q94)</x:f>
      </x:c>
      <x:c r="R176" s="146" t="n">
        <x:f>R94</x:f>
        <x:v>59500</x:v>
      </x:c>
      <x:c r="S176" s="147" t="n">
        <x:f>S94</x:f>
        <x:v>59500</x:v>
      </x:c>
      <x:c r="T176" s="145" t="str">
        <x:f>IF(T94="","",T94)</x:f>
      </x:c>
      <x:c r="U176" s="146" t="n">
        <x:f>U94</x:f>
        <x:v>59500</x:v>
      </x:c>
      <x:c r="V176" s="147" t="n">
        <x:f>V94</x:f>
        <x:v>59500</x:v>
      </x:c>
      <x:c r="W176" s="145" t="str">
        <x:f>IF(W94="","",W94)</x:f>
      </x:c>
      <x:c r="X176" s="146" t="n">
        <x:f>X94</x:f>
        <x:v>59500</x:v>
      </x:c>
      <x:c r="Y176" s="147" t="n">
        <x:f>Y94</x:f>
        <x:v>59500</x:v>
      </x:c>
      <x:c r="Z176" s="145" t="str">
        <x:f>IF(Z94="","",Z94)</x:f>
      </x:c>
      <x:c r="AA176" s="146" t="n">
        <x:f>AA94</x:f>
        <x:v>58500</x:v>
      </x:c>
      <x:c r="AB176" s="147" t="n">
        <x:f>AB94</x:f>
        <x:v>58500</x:v>
      </x:c>
      <x:c r="AC176" s="145" t="str">
        <x:f>IF(AC94="","",AC94)</x:f>
      </x:c>
      <x:c r="AD176" s="146" t="n">
        <x:f>AD94</x:f>
        <x:v>56500</x:v>
      </x:c>
      <x:c r="AE176" s="147" t="n">
        <x:f>AE94</x:f>
        <x:v>58500</x:v>
      </x:c>
      <x:c r="AF176" s="145" t="n">
        <x:f>IF(AF94="","",AF94)</x:f>
        <x:v>58250</x:v>
      </x:c>
      <x:c r="AG176" s="146" t="n">
        <x:f>AG94</x:f>
        <x:v>58250</x:v>
      </x:c>
      <x:c r="AH176" s="147" t="n">
        <x:f>AH94</x:f>
        <x:v>58500</x:v>
      </x:c>
      <x:c r="AI176" s="145" t="n">
        <x:f>IF(AI94="","",AI94)</x:f>
        <x:v>61125</x:v>
      </x:c>
      <x:c r="AJ176" s="146" t="n">
        <x:f>AJ94</x:f>
        <x:v>61125</x:v>
      </x:c>
      <x:c r="AK176" s="147" t="n">
        <x:f>AK94</x:f>
        <x:v>63500</x:v>
      </x:c>
    </x:row>
    <x:row r="177" ht="22" customHeight="1">
      <x:c r="A177" s="144" t="str">
        <x:v>Operating Expenses</x:v>
      </x:c>
      <x:c r="B177" s="145" t="str">
        <x:f>IF(COUNT(B57,B75,B112,B129,B147,B166)=6,SUM(B57,B75,B112,B129,B147,B166),"")</x:f>
      </x:c>
      <x:c r="C177" s="146" t="n">
        <x:f>SUM(C57,C75,C112,C129,C147,C166)</x:f>
        <x:v>65500</x:v>
      </x:c>
      <x:c r="D177" s="147" t="n">
        <x:f>SUM(D57,D75,D112,D129,D147,D166)</x:f>
        <x:v>65500</x:v>
      </x:c>
      <x:c r="E177" s="145" t="str">
        <x:f>IF(COUNT(E57,E75,E112,E129,E147,E166)=6,SUM(E57,E75,E112,E129,E147,E166),"")</x:f>
      </x:c>
      <x:c r="F177" s="146" t="n">
        <x:f>SUM(F57,F75,F112,F129,F147,F166)</x:f>
        <x:v>65500</x:v>
      </x:c>
      <x:c r="G177" s="147" t="n">
        <x:f>SUM(G57,G75,G112,G129,G147,G166)</x:f>
        <x:v>65500</x:v>
      </x:c>
      <x:c r="H177" s="145" t="str">
        <x:f>IF(COUNT(H57,H75,H112,H129,H147,H166)=6,SUM(H57,H75,H112,H129,H147,H166),"")</x:f>
      </x:c>
      <x:c r="I177" s="146" t="n">
        <x:f>SUM(I57,I75,I112,I129,I147,I166)</x:f>
        <x:v>65500</x:v>
      </x:c>
      <x:c r="J177" s="147" t="n">
        <x:f>SUM(J57,J75,J112,J129,J147,J166)</x:f>
        <x:v>65500</x:v>
      </x:c>
      <x:c r="K177" s="145" t="str">
        <x:f>IF(COUNT(K57,K75,K112,K129,K147,K166)=6,SUM(K57,K75,K112,K129,K147,K166),"")</x:f>
      </x:c>
      <x:c r="L177" s="146" t="n">
        <x:f>SUM(L57,L75,L112,L129,L147,L166)</x:f>
        <x:v>65500</x:v>
      </x:c>
      <x:c r="M177" s="147" t="n">
        <x:f>SUM(M57,M75,M112,M129,M147,M166)</x:f>
        <x:v>65500</x:v>
      </x:c>
      <x:c r="N177" s="145" t="str">
        <x:f>IF(COUNT(N57,N75,N112,N129,N147,N166)=6,SUM(N57,N75,N112,N129,N147,N166),"")</x:f>
      </x:c>
      <x:c r="O177" s="146" t="n">
        <x:f>SUM(O57,O75,O112,O129,O147,O166)</x:f>
        <x:v>65500</x:v>
      </x:c>
      <x:c r="P177" s="147" t="n">
        <x:f>SUM(P57,P75,P112,P129,P147,P166)</x:f>
        <x:v>65500</x:v>
      </x:c>
      <x:c r="Q177" s="145" t="str">
        <x:f>IF(COUNT(Q57,Q75,Q112,Q129,Q147,Q166)=6,SUM(Q57,Q75,Q112,Q129,Q147,Q166),"")</x:f>
      </x:c>
      <x:c r="R177" s="146" t="n">
        <x:f>SUM(R57,R75,R112,R129,R147,R166)</x:f>
        <x:v>65500</x:v>
      </x:c>
      <x:c r="S177" s="147" t="n">
        <x:f>SUM(S57,S75,S112,S129,S147,S166)</x:f>
        <x:v>65500</x:v>
      </x:c>
      <x:c r="T177" s="145" t="str">
        <x:f>IF(COUNT(T57,T75,T112,T129,T147,T166)=6,SUM(T57,T75,T112,T129,T147,T166),"")</x:f>
      </x:c>
      <x:c r="U177" s="146" t="n">
        <x:f>SUM(U57,U75,U112,U129,U147,U166)</x:f>
        <x:v>65500</x:v>
      </x:c>
      <x:c r="V177" s="147" t="n">
        <x:f>SUM(V57,V75,V112,V129,V147,V166)</x:f>
        <x:v>65500</x:v>
      </x:c>
      <x:c r="W177" s="145" t="str">
        <x:f>IF(COUNT(W57,W75,W112,W129,W147,W166)=6,SUM(W57,W75,W112,W129,W147,W166),"")</x:f>
      </x:c>
      <x:c r="X177" s="146" t="n">
        <x:f>SUM(X57,X75,X112,X129,X147,X166)</x:f>
        <x:v>65500</x:v>
      </x:c>
      <x:c r="Y177" s="147" t="n">
        <x:f>SUM(Y57,Y75,Y112,Y129,Y147,Y166)</x:f>
        <x:v>65500</x:v>
      </x:c>
      <x:c r="Z177" s="145" t="str">
        <x:f>IF(COUNT(Z57,Z75,Z112,Z129,Z147,Z166)=6,SUM(Z57,Z75,Z112,Z129,Z147,Z166),"")</x:f>
      </x:c>
      <x:c r="AA177" s="146" t="n">
        <x:f>SUM(AA57,AA75,AA112,AA129,AA147,AA166)</x:f>
        <x:v>65500</x:v>
      </x:c>
      <x:c r="AB177" s="147" t="n">
        <x:f>SUM(AB57,AB75,AB112,AB129,AB147,AB166)</x:f>
        <x:v>65500</x:v>
      </x:c>
      <x:c r="AC177" s="145" t="str">
        <x:f>IF(COUNT(AC57,AC75,AC112,AC129,AC147,AC166)=6,SUM(AC57,AC75,AC112,AC129,AC147,AC166),"")</x:f>
      </x:c>
      <x:c r="AD177" s="146" t="n">
        <x:f>SUM(AD57,AD75,AD112,AD129,AD147,AD166)</x:f>
        <x:v>65500</x:v>
      </x:c>
      <x:c r="AE177" s="147" t="n">
        <x:f>SUM(AE57,AE75,AE112,AE129,AE147,AE166)</x:f>
        <x:v>65500</x:v>
      </x:c>
      <x:c r="AF177" s="145" t="n">
        <x:f>IF(COUNT(AF57,AF75,AF112,AF129,AF147,AF166)=6,SUM(AF57,AF75,AF112,AF129,AF147,AF166),"")</x:f>
        <x:v>64190</x:v>
      </x:c>
      <x:c r="AG177" s="146" t="n">
        <x:f>SUM(AG57,AG75,AG112,AG129,AG147,AG166)</x:f>
        <x:v>64190</x:v>
      </x:c>
      <x:c r="AH177" s="147" t="n">
        <x:f>SUM(AH57,AH75,AH112,AH129,AH147,AH166)</x:f>
        <x:v>65500</x:v>
      </x:c>
      <x:c r="AI177" s="145" t="n">
        <x:f>IF(COUNT(AI57,AI75,AI112,AI129,AI147,AI166)=6,SUM(AI57,AI75,AI112,AI129,AI147,AI166),"")</x:f>
        <x:v>68777</x:v>
      </x:c>
      <x:c r="AJ177" s="146" t="n">
        <x:f>SUM(AJ57,AJ75,AJ112,AJ129,AJ147,AJ166)</x:f>
        <x:v>68777</x:v>
      </x:c>
      <x:c r="AK177" s="147" t="n">
        <x:f>SUM(AK57,AK75,AK112,AK129,AK147,AK166)</x:f>
        <x:v>65500</x:v>
      </x:c>
    </x:row>
    <x:row r="178" ht="22" customHeight="1">
      <x:c r="A178" s="144" t="str">
        <x:v>Other Cash Out</x:v>
      </x:c>
      <x:c r="B178" s="145" t="str">
        <x:f>IF(B173="","",B173)</x:f>
      </x:c>
      <x:c r="C178" s="146" t="n">
        <x:f>C173</x:f>
        <x:v>0</x:v>
      </x:c>
      <x:c r="D178" s="147" t="n">
        <x:f>D173</x:f>
        <x:v>0</x:v>
      </x:c>
      <x:c r="E178" s="145" t="str">
        <x:f>IF(E173="","",E173)</x:f>
      </x:c>
      <x:c r="F178" s="146" t="n">
        <x:f>F173</x:f>
        <x:v>0</x:v>
      </x:c>
      <x:c r="G178" s="147" t="n">
        <x:f>G173</x:f>
        <x:v>0</x:v>
      </x:c>
      <x:c r="H178" s="145" t="str">
        <x:f>IF(H173="","",H173)</x:f>
      </x:c>
      <x:c r="I178" s="146" t="n">
        <x:f>I173</x:f>
        <x:v>0</x:v>
      </x:c>
      <x:c r="J178" s="147" t="n">
        <x:f>J173</x:f>
        <x:v>0</x:v>
      </x:c>
      <x:c r="K178" s="145" t="str">
        <x:f>IF(K173="","",K173)</x:f>
      </x:c>
      <x:c r="L178" s="146" t="n">
        <x:f>L173</x:f>
        <x:v>0</x:v>
      </x:c>
      <x:c r="M178" s="147" t="n">
        <x:f>M173</x:f>
        <x:v>0</x:v>
      </x:c>
      <x:c r="N178" s="145" t="str">
        <x:f>IF(N173="","",N173)</x:f>
      </x:c>
      <x:c r="O178" s="146" t="n">
        <x:f>O173</x:f>
        <x:v>0</x:v>
      </x:c>
      <x:c r="P178" s="147" t="n">
        <x:f>P173</x:f>
        <x:v>0</x:v>
      </x:c>
      <x:c r="Q178" s="145" t="str">
        <x:f>IF(Q173="","",Q173)</x:f>
      </x:c>
      <x:c r="R178" s="146" t="n">
        <x:f>R173</x:f>
        <x:v>0</x:v>
      </x:c>
      <x:c r="S178" s="147" t="n">
        <x:f>S173</x:f>
        <x:v>0</x:v>
      </x:c>
      <x:c r="T178" s="145" t="str">
        <x:f>IF(T173="","",T173)</x:f>
      </x:c>
      <x:c r="U178" s="146" t="n">
        <x:f>U173</x:f>
        <x:v>0</x:v>
      </x:c>
      <x:c r="V178" s="147" t="n">
        <x:f>V173</x:f>
        <x:v>0</x:v>
      </x:c>
      <x:c r="W178" s="145" t="str">
        <x:f>IF(W173="","",W173)</x:f>
      </x:c>
      <x:c r="X178" s="146" t="n">
        <x:f>X173</x:f>
        <x:v>0</x:v>
      </x:c>
      <x:c r="Y178" s="147" t="n">
        <x:f>Y173</x:f>
        <x:v>0</x:v>
      </x:c>
      <x:c r="Z178" s="145" t="str">
        <x:f>IF(Z173="","",Z173)</x:f>
      </x:c>
      <x:c r="AA178" s="146" t="n">
        <x:f>AA173</x:f>
        <x:v>0</x:v>
      </x:c>
      <x:c r="AB178" s="147" t="n">
        <x:f>AB173</x:f>
        <x:v>0</x:v>
      </x:c>
      <x:c r="AC178" s="145" t="str">
        <x:f>IF(AC173="","",AC173)</x:f>
      </x:c>
      <x:c r="AD178" s="146" t="n">
        <x:f>AD173</x:f>
        <x:v>0</x:v>
      </x:c>
      <x:c r="AE178" s="147" t="n">
        <x:f>AE173</x:f>
        <x:v>0</x:v>
      </x:c>
      <x:c r="AF178" s="145" t="str">
        <x:f>IF(AF173="","",AF173)</x:f>
      </x:c>
      <x:c r="AG178" s="146" t="n">
        <x:f>AG173</x:f>
        <x:v>0</x:v>
      </x:c>
      <x:c r="AH178" s="147" t="n">
        <x:f>AH173</x:f>
        <x:v>0</x:v>
      </x:c>
      <x:c r="AI178" s="145" t="str">
        <x:f>IF(AI173="","",AI173)</x:f>
      </x:c>
      <x:c r="AJ178" s="146" t="n">
        <x:f>AJ173</x:f>
        <x:v>0</x:v>
      </x:c>
      <x:c r="AK178" s="147" t="n">
        <x:f>AK173</x:f>
        <x:v>0</x:v>
      </x:c>
    </x:row>
    <x:row r="179" ht="22" customHeight="1">
      <x:c r="A179" s="140" t="str">
        <x:v>Total Cash Out</x:v>
      </x:c>
      <x:c r="B179" s="141" t="str">
        <x:f>IF(COUNT(B176:B178)=3,SUM(B176:B178),"")</x:f>
      </x:c>
      <x:c r="C179" s="142" t="n">
        <x:f>SUM(C176:C178)</x:f>
        <x:v>126000</x:v>
      </x:c>
      <x:c r="D179" s="143" t="n">
        <x:f>SUM(D176:D178)</x:f>
        <x:v>126000</x:v>
      </x:c>
      <x:c r="E179" s="141" t="str">
        <x:f>IF(COUNT(E176:E178)=3,SUM(E176:E178),"")</x:f>
      </x:c>
      <x:c r="F179" s="142" t="n">
        <x:f>SUM(F176:F178)</x:f>
        <x:v>126000</x:v>
      </x:c>
      <x:c r="G179" s="143" t="n">
        <x:f>SUM(G176:G178)</x:f>
        <x:v>126000</x:v>
      </x:c>
      <x:c r="H179" s="141" t="str">
        <x:f>IF(COUNT(H176:H178)=3,SUM(H176:H178),"")</x:f>
      </x:c>
      <x:c r="I179" s="142" t="n">
        <x:f>SUM(I176:I178)</x:f>
        <x:v>126000</x:v>
      </x:c>
      <x:c r="J179" s="143" t="n">
        <x:f>SUM(J176:J178)</x:f>
        <x:v>126000</x:v>
      </x:c>
      <x:c r="K179" s="141" t="str">
        <x:f>IF(COUNT(K176:K178)=3,SUM(K176:K178),"")</x:f>
      </x:c>
      <x:c r="L179" s="142" t="n">
        <x:f>SUM(L176:L178)</x:f>
        <x:v>126000</x:v>
      </x:c>
      <x:c r="M179" s="143" t="n">
        <x:f>SUM(M176:M178)</x:f>
        <x:v>126000</x:v>
      </x:c>
      <x:c r="N179" s="141" t="str">
        <x:f>IF(COUNT(N176:N178)=3,SUM(N176:N178),"")</x:f>
      </x:c>
      <x:c r="O179" s="142" t="n">
        <x:f>SUM(O176:O178)</x:f>
        <x:v>125000</x:v>
      </x:c>
      <x:c r="P179" s="143" t="n">
        <x:f>SUM(P176:P178)</x:f>
        <x:v>125000</x:v>
      </x:c>
      <x:c r="Q179" s="141" t="str">
        <x:f>IF(COUNT(Q176:Q178)=3,SUM(Q176:Q178),"")</x:f>
      </x:c>
      <x:c r="R179" s="142" t="n">
        <x:f>SUM(R176:R178)</x:f>
        <x:v>125000</x:v>
      </x:c>
      <x:c r="S179" s="143" t="n">
        <x:f>SUM(S176:S178)</x:f>
        <x:v>125000</x:v>
      </x:c>
      <x:c r="T179" s="141" t="str">
        <x:f>IF(COUNT(T176:T178)=3,SUM(T176:T178),"")</x:f>
      </x:c>
      <x:c r="U179" s="142" t="n">
        <x:f>SUM(U176:U178)</x:f>
        <x:v>125000</x:v>
      </x:c>
      <x:c r="V179" s="143" t="n">
        <x:f>SUM(V176:V178)</x:f>
        <x:v>125000</x:v>
      </x:c>
      <x:c r="W179" s="141" t="str">
        <x:f>IF(COUNT(W176:W178)=3,SUM(W176:W178),"")</x:f>
      </x:c>
      <x:c r="X179" s="142" t="n">
        <x:f>SUM(X176:X178)</x:f>
        <x:v>125000</x:v>
      </x:c>
      <x:c r="Y179" s="143" t="n">
        <x:f>SUM(Y176:Y178)</x:f>
        <x:v>125000</x:v>
      </x:c>
      <x:c r="Z179" s="141" t="str">
        <x:f>IF(COUNT(Z176:Z178)=3,SUM(Z176:Z178),"")</x:f>
      </x:c>
      <x:c r="AA179" s="142" t="n">
        <x:f>SUM(AA176:AA178)</x:f>
        <x:v>124000</x:v>
      </x:c>
      <x:c r="AB179" s="143" t="n">
        <x:f>SUM(AB176:AB178)</x:f>
        <x:v>124000</x:v>
      </x:c>
      <x:c r="AC179" s="141" t="str">
        <x:f>IF(COUNT(AC176:AC178)=3,SUM(AC176:AC178),"")</x:f>
      </x:c>
      <x:c r="AD179" s="142" t="n">
        <x:f>SUM(AD176:AD178)</x:f>
        <x:v>122000</x:v>
      </x:c>
      <x:c r="AE179" s="143" t="n">
        <x:f>SUM(AE176:AE178)</x:f>
        <x:v>124000</x:v>
      </x:c>
      <x:c r="AF179" s="141" t="str">
        <x:f>IF(COUNT(AF176:AF178)=3,SUM(AF176:AF178),"")</x:f>
      </x:c>
      <x:c r="AG179" s="142" t="n">
        <x:f>SUM(AG176:AG178)</x:f>
        <x:v>122440</x:v>
      </x:c>
      <x:c r="AH179" s="143" t="n">
        <x:f>SUM(AH176:AH178)</x:f>
        <x:v>124000</x:v>
      </x:c>
      <x:c r="AI179" s="141" t="str">
        <x:f>IF(COUNT(AI176:AI178)=3,SUM(AI176:AI178),"")</x:f>
      </x:c>
      <x:c r="AJ179" s="142" t="n">
        <x:f>SUM(AJ176:AJ178)</x:f>
        <x:v>129902</x:v>
      </x:c>
      <x:c r="AK179" s="143" t="n">
        <x:f>SUM(AK176:AK178)</x:f>
        <x:v>129000</x:v>
      </x:c>
    </x:row>
    <x:row r="180" ht="22" customHeight="1">
      <x:c r="A180" s="144" t="str">
        <x:v>Net Cash Movement</x:v>
      </x:c>
      <x:c r="B180" s="145" t="str">
        <x:f>IF(COUNT(B34,B179)=2,B34-B179,"")</x:f>
      </x:c>
      <x:c r="C180" s="146" t="n">
        <x:f>C34-C179</x:f>
        <x:v>-66000</x:v>
      </x:c>
      <x:c r="D180" s="147" t="n">
        <x:f>D34-D179</x:f>
        <x:v>-66000</x:v>
      </x:c>
      <x:c r="E180" s="145" t="str">
        <x:f>IF(COUNT(E34,E179)=2,E34-E179,"")</x:f>
      </x:c>
      <x:c r="F180" s="146" t="n">
        <x:f>F34-F179</x:f>
        <x:v>-66000</x:v>
      </x:c>
      <x:c r="G180" s="147" t="n">
        <x:f>G34-G179</x:f>
        <x:v>-66000</x:v>
      </x:c>
      <x:c r="H180" s="145" t="str">
        <x:f>IF(COUNT(H34,H179)=2,H34-H179,"")</x:f>
      </x:c>
      <x:c r="I180" s="146" t="n">
        <x:f>I34-I179</x:f>
        <x:v>-66000</x:v>
      </x:c>
      <x:c r="J180" s="147" t="n">
        <x:f>J34-J179</x:f>
        <x:v>-66000</x:v>
      </x:c>
      <x:c r="K180" s="145" t="str">
        <x:f>IF(COUNT(K34,K179)=2,K34-K179,"")</x:f>
      </x:c>
      <x:c r="L180" s="146" t="n">
        <x:f>L34-L179</x:f>
        <x:v>-71000</x:v>
      </x:c>
      <x:c r="M180" s="147" t="n">
        <x:f>M34-M179</x:f>
        <x:v>-71000</x:v>
      </x:c>
      <x:c r="N180" s="145" t="str">
        <x:f>IF(COUNT(N34,N179)=2,N34-N179,"")</x:f>
      </x:c>
      <x:c r="O180" s="146" t="n">
        <x:f>O34-O179</x:f>
        <x:v>-70000</x:v>
      </x:c>
      <x:c r="P180" s="147" t="n">
        <x:f>P34-P179</x:f>
        <x:v>-70000</x:v>
      </x:c>
      <x:c r="Q180" s="145" t="str">
        <x:f>IF(COUNT(Q34,Q179)=2,Q34-Q179,"")</x:f>
      </x:c>
      <x:c r="R180" s="146" t="n">
        <x:f>R34-R179</x:f>
        <x:v>-70000</x:v>
      </x:c>
      <x:c r="S180" s="147" t="n">
        <x:f>S34-S179</x:f>
        <x:v>-70000</x:v>
      </x:c>
      <x:c r="T180" s="145" t="str">
        <x:f>IF(COUNT(T34,T179)=2,T34-T179,"")</x:f>
      </x:c>
      <x:c r="U180" s="146" t="n">
        <x:f>U34-U179</x:f>
        <x:v>-70000</x:v>
      </x:c>
      <x:c r="V180" s="147" t="n">
        <x:f>V34-V179</x:f>
        <x:v>-70000</x:v>
      </x:c>
      <x:c r="W180" s="145" t="str">
        <x:f>IF(COUNT(W34,W179)=2,W34-W179,"")</x:f>
      </x:c>
      <x:c r="X180" s="146" t="n">
        <x:f>X34-X179</x:f>
        <x:v>-75000</x:v>
      </x:c>
      <x:c r="Y180" s="147" t="n">
        <x:f>Y34-Y179</x:f>
        <x:v>-75000</x:v>
      </x:c>
      <x:c r="Z180" s="145" t="str">
        <x:f>IF(COUNT(Z34,Z179)=2,Z34-Z179,"")</x:f>
      </x:c>
      <x:c r="AA180" s="146" t="n">
        <x:f>AA34-AA179</x:f>
        <x:v>-84000</x:v>
      </x:c>
      <x:c r="AB180" s="147" t="n">
        <x:f>AB34-AB179</x:f>
        <x:v>-74000</x:v>
      </x:c>
      <x:c r="AC180" s="145" t="str">
        <x:f>IF(COUNT(AC34,AC179)=2,AC34-AC179,"")</x:f>
      </x:c>
      <x:c r="AD180" s="146" t="n">
        <x:f>AD34-AD179</x:f>
        <x:v>-72000</x:v>
      </x:c>
      <x:c r="AE180" s="147" t="n">
        <x:f>AE34-AE179</x:f>
        <x:v>-74000</x:v>
      </x:c>
      <x:c r="AF180" s="145" t="str">
        <x:f>IF(COUNT(AF34,AF179)=2,AF34-AF179,"")</x:f>
      </x:c>
      <x:c r="AG180" s="146" t="n">
        <x:f>AG34-AG179</x:f>
        <x:v>-62440</x:v>
      </x:c>
      <x:c r="AH180" s="147" t="n">
        <x:f>AH34-AH179</x:f>
        <x:v>-49000</x:v>
      </x:c>
      <x:c r="AI180" s="145" t="str">
        <x:f>IF(COUNT(AI34,AI179)=2,AI34-AI179,"")</x:f>
      </x:c>
      <x:c r="AJ180" s="146" t="n">
        <x:f>AJ34-AJ179</x:f>
        <x:v>-79902</x:v>
      </x:c>
      <x:c r="AK180" s="147" t="n">
        <x:f>AK34-AK179</x:f>
        <x:v>-79000</x:v>
      </x:c>
    </x:row>
    <x:row r="181" ht="22" customHeight="1">
      <x:c r="A181" s="116" t="str">
        <x:v>Opening Cash</x:v>
      </x:c>
      <x:c r="B181" s="133" t="str">
        <x:f>IF(E182&lt;&gt;"",E182,"")</x:f>
      </x:c>
      <x:c r="C181" s="131" t="n">
        <x:f>IF(E182&lt;&gt;"",E182,F182)</x:f>
        <x:v>-536342</x:v>
      </x:c>
      <x:c r="D181" s="134" t="n">
        <x:f>G182</x:f>
        <x:v>-514000</x:v>
      </x:c>
      <x:c r="E181" s="133" t="str">
        <x:f>IF(H182&lt;&gt;"",H182,"")</x:f>
      </x:c>
      <x:c r="F181" s="131" t="n">
        <x:f>IF(H182&lt;&gt;"",H182,I182)</x:f>
        <x:v>-470342</x:v>
      </x:c>
      <x:c r="G181" s="134" t="n">
        <x:f>J182</x:f>
        <x:v>-448000</x:v>
      </x:c>
      <x:c r="H181" s="133" t="str">
        <x:f>IF(K182&lt;&gt;"",K182,"")</x:f>
      </x:c>
      <x:c r="I181" s="131" t="n">
        <x:f>IF(K182&lt;&gt;"",K182,L182)</x:f>
        <x:v>-404342</x:v>
      </x:c>
      <x:c r="J181" s="134" t="n">
        <x:f>M182</x:f>
        <x:v>-382000</x:v>
      </x:c>
      <x:c r="K181" s="133" t="str">
        <x:f>IF(N182&lt;&gt;"",N182,"")</x:f>
      </x:c>
      <x:c r="L181" s="131" t="n">
        <x:f>IF(N182&lt;&gt;"",N182,O182)</x:f>
        <x:v>-333342</x:v>
      </x:c>
      <x:c r="M181" s="134" t="n">
        <x:f>P182</x:f>
        <x:v>-311000</x:v>
      </x:c>
      <x:c r="N181" s="133" t="str">
        <x:f>IF(Q182&lt;&gt;"",Q182,"")</x:f>
      </x:c>
      <x:c r="O181" s="131" t="n">
        <x:f>IF(Q182&lt;&gt;"",Q182,R182)</x:f>
        <x:v>-263342</x:v>
      </x:c>
      <x:c r="P181" s="134" t="n">
        <x:f>S182</x:f>
        <x:v>-241000</x:v>
      </x:c>
      <x:c r="Q181" s="133" t="str">
        <x:f>IF(T182&lt;&gt;"",T182,"")</x:f>
      </x:c>
      <x:c r="R181" s="131" t="n">
        <x:f>IF(T182&lt;&gt;"",T182,U182)</x:f>
        <x:v>-193342</x:v>
      </x:c>
      <x:c r="S181" s="134" t="n">
        <x:f>V182</x:f>
        <x:v>-171000</x:v>
      </x:c>
      <x:c r="T181" s="133" t="str">
        <x:f>IF(W182&lt;&gt;"",W182,"")</x:f>
      </x:c>
      <x:c r="U181" s="131" t="n">
        <x:f>IF(W182&lt;&gt;"",W182,X182)</x:f>
        <x:v>-123342</x:v>
      </x:c>
      <x:c r="V181" s="134" t="n">
        <x:f>Y182</x:f>
        <x:v>-101000</x:v>
      </x:c>
      <x:c r="W181" s="133" t="str">
        <x:f>IF(Z182&lt;&gt;"",Z182,"")</x:f>
      </x:c>
      <x:c r="X181" s="131" t="n">
        <x:f>IF(Z182&lt;&gt;"",Z182,AA182)</x:f>
        <x:v>-48342</x:v>
      </x:c>
      <x:c r="Y181" s="134" t="n">
        <x:f>AB182</x:f>
        <x:v>-26000</x:v>
      </x:c>
      <x:c r="Z181" s="133" t="str">
        <x:f>IF(AC182&lt;&gt;"",AC182,"")</x:f>
      </x:c>
      <x:c r="AA181" s="131" t="n">
        <x:f>IF(AC182&lt;&gt;"",AC182,AD182)</x:f>
        <x:v>35658</x:v>
      </x:c>
      <x:c r="AB181" s="134" t="n">
        <x:f>AE182</x:f>
        <x:v>48000</x:v>
      </x:c>
      <x:c r="AC181" s="133" t="str">
        <x:f>IF(AF182&lt;&gt;"",AF182,"")</x:f>
      </x:c>
      <x:c r="AD181" s="131" t="n">
        <x:f>IF(AF182&lt;&gt;"",AF182,AG182)</x:f>
        <x:v>107658</x:v>
      </x:c>
      <x:c r="AE181" s="134" t="n">
        <x:f>AH182</x:f>
        <x:v>122000</x:v>
      </x:c>
      <x:c r="AF181" s="133" t="str">
        <x:f>IF(AI182&lt;&gt;"",AI182,"")</x:f>
      </x:c>
      <x:c r="AG181" s="131" t="n">
        <x:f>IF(AI182&lt;&gt;"",AI182,AJ182)</x:f>
        <x:v>170098</x:v>
      </x:c>
      <x:c r="AH181" s="134" t="n">
        <x:f>AK182</x:f>
        <x:v>171000</x:v>
      </x:c>
      <x:c r="AI181" s="133" t="n">
        <x:f>$B$196</x:f>
        <x:v>250000</x:v>
      </x:c>
      <x:c r="AJ181" s="131" t="n">
        <x:f>$B$196</x:f>
        <x:v>250000</x:v>
      </x:c>
      <x:c r="AK181" s="134" t="n">
        <x:f>$B$196</x:f>
        <x:v>250000</x:v>
      </x:c>
    </x:row>
    <x:row r="182" ht="22" customHeight="1">
      <x:c r="A182" s="140" t="str">
        <x:v>Closing Cash</x:v>
      </x:c>
      <x:c r="B182" s="141" t="str">
        <x:f>IF(COUNT(B181,B180)=2,B181+B180,"")</x:f>
      </x:c>
      <x:c r="C182" s="142" t="n">
        <x:f>C181+C180</x:f>
        <x:v>-602342</x:v>
      </x:c>
      <x:c r="D182" s="143" t="n">
        <x:f>D181+D180</x:f>
        <x:v>-580000</x:v>
      </x:c>
      <x:c r="E182" s="141" t="str">
        <x:f>IF(COUNT(E181,E180)=2,E181+E180,"")</x:f>
      </x:c>
      <x:c r="F182" s="142" t="n">
        <x:f>F181+F180</x:f>
        <x:v>-536342</x:v>
      </x:c>
      <x:c r="G182" s="143" t="n">
        <x:f>G181+G180</x:f>
        <x:v>-514000</x:v>
      </x:c>
      <x:c r="H182" s="141" t="str">
        <x:f>IF(COUNT(H181,H180)=2,H181+H180,"")</x:f>
      </x:c>
      <x:c r="I182" s="142" t="n">
        <x:f>I181+I180</x:f>
        <x:v>-470342</x:v>
      </x:c>
      <x:c r="J182" s="143" t="n">
        <x:f>J181+J180</x:f>
        <x:v>-448000</x:v>
      </x:c>
      <x:c r="K182" s="141" t="str">
        <x:f>IF(COUNT(K181,K180)=2,K181+K180,"")</x:f>
      </x:c>
      <x:c r="L182" s="142" t="n">
        <x:f>L181+L180</x:f>
        <x:v>-404342</x:v>
      </x:c>
      <x:c r="M182" s="143" t="n">
        <x:f>M181+M180</x:f>
        <x:v>-382000</x:v>
      </x:c>
      <x:c r="N182" s="141" t="str">
        <x:f>IF(COUNT(N181,N180)=2,N181+N180,"")</x:f>
      </x:c>
      <x:c r="O182" s="142" t="n">
        <x:f>O181+O180</x:f>
        <x:v>-333342</x:v>
      </x:c>
      <x:c r="P182" s="143" t="n">
        <x:f>P181+P180</x:f>
        <x:v>-311000</x:v>
      </x:c>
      <x:c r="Q182" s="141" t="str">
        <x:f>IF(COUNT(Q181,Q180)=2,Q181+Q180,"")</x:f>
      </x:c>
      <x:c r="R182" s="142" t="n">
        <x:f>R181+R180</x:f>
        <x:v>-263342</x:v>
      </x:c>
      <x:c r="S182" s="143" t="n">
        <x:f>S181+S180</x:f>
        <x:v>-241000</x:v>
      </x:c>
      <x:c r="T182" s="141" t="str">
        <x:f>IF(COUNT(T181,T180)=2,T181+T180,"")</x:f>
      </x:c>
      <x:c r="U182" s="142" t="n">
        <x:f>U181+U180</x:f>
        <x:v>-193342</x:v>
      </x:c>
      <x:c r="V182" s="143" t="n">
        <x:f>V181+V180</x:f>
        <x:v>-171000</x:v>
      </x:c>
      <x:c r="W182" s="141" t="str">
        <x:f>IF(COUNT(W181,W180)=2,W181+W180,"")</x:f>
      </x:c>
      <x:c r="X182" s="142" t="n">
        <x:f>X181+X180</x:f>
        <x:v>-123342</x:v>
      </x:c>
      <x:c r="Y182" s="143" t="n">
        <x:f>Y181+Y180</x:f>
        <x:v>-101000</x:v>
      </x:c>
      <x:c r="Z182" s="141" t="str">
        <x:f>IF(COUNT(Z181,Z180)=2,Z181+Z180,"")</x:f>
      </x:c>
      <x:c r="AA182" s="142" t="n">
        <x:f>AA181+AA180</x:f>
        <x:v>-48342</x:v>
      </x:c>
      <x:c r="AB182" s="143" t="n">
        <x:f>AB181+AB180</x:f>
        <x:v>-26000</x:v>
      </x:c>
      <x:c r="AC182" s="141" t="str">
        <x:f>IF(COUNT(AC181,AC180)=2,AC181+AC180,"")</x:f>
      </x:c>
      <x:c r="AD182" s="142" t="n">
        <x:f>AD181+AD180</x:f>
        <x:v>35658</x:v>
      </x:c>
      <x:c r="AE182" s="143" t="n">
        <x:f>AE181+AE180</x:f>
        <x:v>48000</x:v>
      </x:c>
      <x:c r="AF182" s="141" t="str">
        <x:f>IF(COUNT(AF181,AF180)=2,AF181+AF180,"")</x:f>
      </x:c>
      <x:c r="AG182" s="142" t="n">
        <x:f>AG181+AG180</x:f>
        <x:v>107658</x:v>
      </x:c>
      <x:c r="AH182" s="143" t="n">
        <x:f>AH181+AH180</x:f>
        <x:v>122000</x:v>
      </x:c>
      <x:c r="AI182" s="141" t="str">
        <x:f>IF(COUNT(AI181,AI180)=2,AI181+AI180,"")</x:f>
      </x:c>
      <x:c r="AJ182" s="142" t="n">
        <x:f>AJ181+AJ180</x:f>
        <x:v>170098</x:v>
      </x:c>
      <x:c r="AK182" s="143" t="n">
        <x:f>AK181+AK180</x:f>
        <x:v>171000</x:v>
      </x:c>
    </x:row>
    <x:row r="183" ht="22" customHeight="1">
      <x:c r="A183" s="116" t="str">
        <x:v>Minimum Cash Reserve</x:v>
      </x:c>
      <x:c r="B183" s="130"/>
      <x:c r="C183" s="131" t="n">
        <x:f>IF(B183&lt;&gt;"",B183,D183)</x:f>
        <x:v>100000</x:v>
      </x:c>
      <x:c r="D183" s="132" t="n">
        <x:v>100000</x:v>
      </x:c>
      <x:c r="E183" s="130"/>
      <x:c r="F183" s="131" t="n">
        <x:f>IF(E183&lt;&gt;"",E183,G183)</x:f>
        <x:v>100000</x:v>
      </x:c>
      <x:c r="G183" s="132" t="n">
        <x:v>100000</x:v>
      </x:c>
      <x:c r="H183" s="130"/>
      <x:c r="I183" s="131" t="n">
        <x:f>IF(H183&lt;&gt;"",H183,J183)</x:f>
        <x:v>100000</x:v>
      </x:c>
      <x:c r="J183" s="132" t="n">
        <x:v>100000</x:v>
      </x:c>
      <x:c r="K183" s="130"/>
      <x:c r="L183" s="131" t="n">
        <x:f>IF(K183&lt;&gt;"",K183,M183)</x:f>
        <x:v>100000</x:v>
      </x:c>
      <x:c r="M183" s="132" t="n">
        <x:v>100000</x:v>
      </x:c>
      <x:c r="N183" s="130"/>
      <x:c r="O183" s="131" t="n">
        <x:f>IF(N183&lt;&gt;"",N183,P183)</x:f>
        <x:v>100000</x:v>
      </x:c>
      <x:c r="P183" s="132" t="n">
        <x:v>100000</x:v>
      </x:c>
      <x:c r="Q183" s="130"/>
      <x:c r="R183" s="131" t="n">
        <x:f>IF(Q183&lt;&gt;"",Q183,S183)</x:f>
        <x:v>100000</x:v>
      </x:c>
      <x:c r="S183" s="132" t="n">
        <x:v>100000</x:v>
      </x:c>
      <x:c r="T183" s="130"/>
      <x:c r="U183" s="131" t="n">
        <x:f>IF(T183&lt;&gt;"",T183,V183)</x:f>
        <x:v>100000</x:v>
      </x:c>
      <x:c r="V183" s="132" t="n">
        <x:v>100000</x:v>
      </x:c>
      <x:c r="W183" s="130"/>
      <x:c r="X183" s="131" t="n">
        <x:f>IF(W183&lt;&gt;"",W183,Y183)</x:f>
        <x:v>100000</x:v>
      </x:c>
      <x:c r="Y183" s="132" t="n">
        <x:v>100000</x:v>
      </x:c>
      <x:c r="Z183" s="130"/>
      <x:c r="AA183" s="131" t="n">
        <x:f>IF(Z183&lt;&gt;"",Z183,AB183)</x:f>
        <x:v>100000</x:v>
      </x:c>
      <x:c r="AB183" s="132" t="n">
        <x:v>100000</x:v>
      </x:c>
      <x:c r="AC183" s="130"/>
      <x:c r="AD183" s="131" t="n">
        <x:f>IF(AC183&lt;&gt;"",AC183,AE183)</x:f>
        <x:v>100000</x:v>
      </x:c>
      <x:c r="AE183" s="132" t="n">
        <x:v>100000</x:v>
      </x:c>
      <x:c r="AF183" s="130" t="n">
        <x:v>100000</x:v>
      </x:c>
      <x:c r="AG183" s="131" t="n">
        <x:f>IF(AF183&lt;&gt;"",AF183,AH183)</x:f>
        <x:v>100000</x:v>
      </x:c>
      <x:c r="AH183" s="132" t="n">
        <x:v>100000</x:v>
      </x:c>
      <x:c r="AI183" s="130" t="n">
        <x:v>100000</x:v>
      </x:c>
      <x:c r="AJ183" s="131" t="n">
        <x:f>IF(AI183&lt;&gt;"",AI183,AK183)</x:f>
        <x:v>100000</x:v>
      </x:c>
      <x:c r="AK183" s="132" t="n">
        <x:v>100000</x:v>
      </x:c>
    </x:row>
    <x:row r="184" ht="22" customHeight="1">
      <x:c r="A184" s="140" t="str">
        <x:v>Cash Above / (Below) Reserve</x:v>
      </x:c>
      <x:c r="B184" s="141" t="str">
        <x:f>IF(COUNT(B182,B183)=2,B182-B183,"")</x:f>
      </x:c>
      <x:c r="C184" s="142" t="n">
        <x:f>C182-C183</x:f>
        <x:v>-702342</x:v>
      </x:c>
      <x:c r="D184" s="143" t="n">
        <x:f>D182-D183</x:f>
        <x:v>-680000</x:v>
      </x:c>
      <x:c r="E184" s="141" t="str">
        <x:f>IF(COUNT(E182,E183)=2,E182-E183,"")</x:f>
      </x:c>
      <x:c r="F184" s="142" t="n">
        <x:f>F182-F183</x:f>
        <x:v>-636342</x:v>
      </x:c>
      <x:c r="G184" s="143" t="n">
        <x:f>G182-G183</x:f>
        <x:v>-614000</x:v>
      </x:c>
      <x:c r="H184" s="141" t="str">
        <x:f>IF(COUNT(H182,H183)=2,H182-H183,"")</x:f>
      </x:c>
      <x:c r="I184" s="142" t="n">
        <x:f>I182-I183</x:f>
        <x:v>-570342</x:v>
      </x:c>
      <x:c r="J184" s="143" t="n">
        <x:f>J182-J183</x:f>
        <x:v>-548000</x:v>
      </x:c>
      <x:c r="K184" s="141" t="str">
        <x:f>IF(COUNT(K182,K183)=2,K182-K183,"")</x:f>
      </x:c>
      <x:c r="L184" s="142" t="n">
        <x:f>L182-L183</x:f>
        <x:v>-504342</x:v>
      </x:c>
      <x:c r="M184" s="143" t="n">
        <x:f>M182-M183</x:f>
        <x:v>-482000</x:v>
      </x:c>
      <x:c r="N184" s="141" t="str">
        <x:f>IF(COUNT(N182,N183)=2,N182-N183,"")</x:f>
      </x:c>
      <x:c r="O184" s="142" t="n">
        <x:f>O182-O183</x:f>
        <x:v>-433342</x:v>
      </x:c>
      <x:c r="P184" s="143" t="n">
        <x:f>P182-P183</x:f>
        <x:v>-411000</x:v>
      </x:c>
      <x:c r="Q184" s="141" t="str">
        <x:f>IF(COUNT(Q182,Q183)=2,Q182-Q183,"")</x:f>
      </x:c>
      <x:c r="R184" s="142" t="n">
        <x:f>R182-R183</x:f>
        <x:v>-363342</x:v>
      </x:c>
      <x:c r="S184" s="143" t="n">
        <x:f>S182-S183</x:f>
        <x:v>-341000</x:v>
      </x:c>
      <x:c r="T184" s="141" t="str">
        <x:f>IF(COUNT(T182,T183)=2,T182-T183,"")</x:f>
      </x:c>
      <x:c r="U184" s="142" t="n">
        <x:f>U182-U183</x:f>
        <x:v>-293342</x:v>
      </x:c>
      <x:c r="V184" s="143" t="n">
        <x:f>V182-V183</x:f>
        <x:v>-271000</x:v>
      </x:c>
      <x:c r="W184" s="141" t="str">
        <x:f>IF(COUNT(W182,W183)=2,W182-W183,"")</x:f>
      </x:c>
      <x:c r="X184" s="142" t="n">
        <x:f>X182-X183</x:f>
        <x:v>-223342</x:v>
      </x:c>
      <x:c r="Y184" s="143" t="n">
        <x:f>Y182-Y183</x:f>
        <x:v>-201000</x:v>
      </x:c>
      <x:c r="Z184" s="141" t="str">
        <x:f>IF(COUNT(Z182,Z183)=2,Z182-Z183,"")</x:f>
      </x:c>
      <x:c r="AA184" s="142" t="n">
        <x:f>AA182-AA183</x:f>
        <x:v>-148342</x:v>
      </x:c>
      <x:c r="AB184" s="143" t="n">
        <x:f>AB182-AB183</x:f>
        <x:v>-126000</x:v>
      </x:c>
      <x:c r="AC184" s="141" t="str">
        <x:f>IF(COUNT(AC182,AC183)=2,AC182-AC183,"")</x:f>
      </x:c>
      <x:c r="AD184" s="142" t="n">
        <x:f>AD182-AD183</x:f>
        <x:v>-64342</x:v>
      </x:c>
      <x:c r="AE184" s="143" t="n">
        <x:f>AE182-AE183</x:f>
        <x:v>-52000</x:v>
      </x:c>
      <x:c r="AF184" s="141" t="str">
        <x:f>IF(COUNT(AF182,AF183)=2,AF182-AF183,"")</x:f>
      </x:c>
      <x:c r="AG184" s="142" t="n">
        <x:f>AG182-AG183</x:f>
        <x:v>7658</x:v>
      </x:c>
      <x:c r="AH184" s="143" t="n">
        <x:f>AH182-AH183</x:f>
        <x:v>22000</x:v>
      </x:c>
      <x:c r="AI184" s="141" t="str">
        <x:f>IF(COUNT(AI182,AI183)=2,AI182-AI183,"")</x:f>
      </x:c>
      <x:c r="AJ184" s="142" t="n">
        <x:f>AJ182-AJ183</x:f>
        <x:v>70098</x:v>
      </x:c>
      <x:c r="AK184" s="143" t="n">
        <x:f>AK182-AK183</x:f>
        <x:v>71000</x:v>
      </x:c>
    </x:row>
    <x:row r="185" ht="22" customHeight="1">
      <x:c r="A185" s="116" t="str">
        <x:v>Status</x:v>
      </x:c>
      <x:c r="B185" s="148" t="str">
        <x:f>IF(B184="","",IF(B184&lt;0,"ACTION","OK"))</x:f>
      </x:c>
      <x:c r="C185" s="149" t="str">
        <x:f>IF(C184&lt;0,"ACTION","OK")</x:f>
        <x:v>ACTION</x:v>
      </x:c>
      <x:c r="D185" s="150" t="str">
        <x:f>IF(D184&lt;0,"ACTION","OK")</x:f>
        <x:v>ACTION</x:v>
      </x:c>
      <x:c r="E185" s="148" t="str">
        <x:f>IF(E184="","",IF(E184&lt;0,"ACTION","OK"))</x:f>
      </x:c>
      <x:c r="F185" s="149" t="str">
        <x:f>IF(F184&lt;0,"ACTION","OK")</x:f>
        <x:v>ACTION</x:v>
      </x:c>
      <x:c r="G185" s="150" t="str">
        <x:f>IF(G184&lt;0,"ACTION","OK")</x:f>
        <x:v>ACTION</x:v>
      </x:c>
      <x:c r="H185" s="148" t="str">
        <x:f>IF(H184="","",IF(H184&lt;0,"ACTION","OK"))</x:f>
      </x:c>
      <x:c r="I185" s="149" t="str">
        <x:f>IF(I184&lt;0,"ACTION","OK")</x:f>
        <x:v>ACTION</x:v>
      </x:c>
      <x:c r="J185" s="150" t="str">
        <x:f>IF(J184&lt;0,"ACTION","OK")</x:f>
        <x:v>ACTION</x:v>
      </x:c>
      <x:c r="K185" s="148" t="str">
        <x:f>IF(K184="","",IF(K184&lt;0,"ACTION","OK"))</x:f>
      </x:c>
      <x:c r="L185" s="149" t="str">
        <x:f>IF(L184&lt;0,"ACTION","OK")</x:f>
        <x:v>ACTION</x:v>
      </x:c>
      <x:c r="M185" s="150" t="str">
        <x:f>IF(M184&lt;0,"ACTION","OK")</x:f>
        <x:v>ACTION</x:v>
      </x:c>
      <x:c r="N185" s="148" t="str">
        <x:f>IF(N184="","",IF(N184&lt;0,"ACTION","OK"))</x:f>
      </x:c>
      <x:c r="O185" s="149" t="str">
        <x:f>IF(O184&lt;0,"ACTION","OK")</x:f>
        <x:v>ACTION</x:v>
      </x:c>
      <x:c r="P185" s="150" t="str">
        <x:f>IF(P184&lt;0,"ACTION","OK")</x:f>
        <x:v>ACTION</x:v>
      </x:c>
      <x:c r="Q185" s="148" t="str">
        <x:f>IF(Q184="","",IF(Q184&lt;0,"ACTION","OK"))</x:f>
      </x:c>
      <x:c r="R185" s="149" t="str">
        <x:f>IF(R184&lt;0,"ACTION","OK")</x:f>
        <x:v>ACTION</x:v>
      </x:c>
      <x:c r="S185" s="150" t="str">
        <x:f>IF(S184&lt;0,"ACTION","OK")</x:f>
        <x:v>ACTION</x:v>
      </x:c>
      <x:c r="T185" s="148" t="str">
        <x:f>IF(T184="","",IF(T184&lt;0,"ACTION","OK"))</x:f>
      </x:c>
      <x:c r="U185" s="149" t="str">
        <x:f>IF(U184&lt;0,"ACTION","OK")</x:f>
        <x:v>ACTION</x:v>
      </x:c>
      <x:c r="V185" s="150" t="str">
        <x:f>IF(V184&lt;0,"ACTION","OK")</x:f>
        <x:v>ACTION</x:v>
      </x:c>
      <x:c r="W185" s="148" t="str">
        <x:f>IF(W184="","",IF(W184&lt;0,"ACTION","OK"))</x:f>
      </x:c>
      <x:c r="X185" s="149" t="str">
        <x:f>IF(X184&lt;0,"ACTION","OK")</x:f>
        <x:v>ACTION</x:v>
      </x:c>
      <x:c r="Y185" s="150" t="str">
        <x:f>IF(Y184&lt;0,"ACTION","OK")</x:f>
        <x:v>ACTION</x:v>
      </x:c>
      <x:c r="Z185" s="148" t="str">
        <x:f>IF(Z184="","",IF(Z184&lt;0,"ACTION","OK"))</x:f>
      </x:c>
      <x:c r="AA185" s="149" t="str">
        <x:f>IF(AA184&lt;0,"ACTION","OK")</x:f>
        <x:v>ACTION</x:v>
      </x:c>
      <x:c r="AB185" s="150" t="str">
        <x:f>IF(AB184&lt;0,"ACTION","OK")</x:f>
        <x:v>ACTION</x:v>
      </x:c>
      <x:c r="AC185" s="148" t="str">
        <x:f>IF(AC184="","",IF(AC184&lt;0,"ACTION","OK"))</x:f>
      </x:c>
      <x:c r="AD185" s="149" t="str">
        <x:f>IF(AD184&lt;0,"ACTION","OK")</x:f>
        <x:v>ACTION</x:v>
      </x:c>
      <x:c r="AE185" s="150" t="str">
        <x:f>IF(AE184&lt;0,"ACTION","OK")</x:f>
        <x:v>ACTION</x:v>
      </x:c>
      <x:c r="AF185" s="148" t="str">
        <x:f>IF(AF184="","",IF(AF184&lt;0,"ACTION","OK"))</x:f>
      </x:c>
      <x:c r="AG185" s="149" t="str">
        <x:f>IF(AG184&lt;0,"ACTION","OK")</x:f>
        <x:v>OK</x:v>
      </x:c>
      <x:c r="AH185" s="150" t="str">
        <x:f>IF(AH184&lt;0,"ACTION","OK")</x:f>
        <x:v>OK</x:v>
      </x:c>
      <x:c r="AI185" s="148" t="str">
        <x:f>IF(AI184="","",IF(AI184&lt;0,"ACTION","OK"))</x:f>
      </x:c>
      <x:c r="AJ185" s="149" t="str">
        <x:f>IF(AJ184&lt;0,"ACTION","OK")</x:f>
        <x:v>OK</x:v>
      </x:c>
      <x:c r="AK185" s="150" t="str">
        <x:f>IF(AK184&lt;0,"ACTION","OK")</x:f>
        <x:v>OK</x:v>
      </x:c>
    </x:row>
    <x:row r="186" ht="22" customHeight="1">
      <x:c r="A186" s="116"/>
      <x:c r="B186" s="127"/>
      <x:c r="C186" s="128"/>
      <x:c r="D186" s="129"/>
      <x:c r="E186" s="127"/>
      <x:c r="F186" s="128"/>
      <x:c r="G186" s="129"/>
      <x:c r="H186" s="127"/>
      <x:c r="I186" s="128"/>
      <x:c r="J186" s="129"/>
      <x:c r="K186" s="127"/>
      <x:c r="L186" s="128"/>
      <x:c r="M186" s="129"/>
      <x:c r="N186" s="127"/>
      <x:c r="O186" s="128"/>
      <x:c r="P186" s="129"/>
      <x:c r="Q186" s="127"/>
      <x:c r="R186" s="128"/>
      <x:c r="S186" s="129"/>
      <x:c r="T186" s="127"/>
      <x:c r="U186" s="128"/>
      <x:c r="V186" s="129"/>
      <x:c r="W186" s="127"/>
      <x:c r="X186" s="128"/>
      <x:c r="Y186" s="129"/>
      <x:c r="Z186" s="127"/>
      <x:c r="AA186" s="128"/>
      <x:c r="AB186" s="129"/>
      <x:c r="AC186" s="127"/>
      <x:c r="AD186" s="128"/>
      <x:c r="AE186" s="129"/>
      <x:c r="AF186" s="127"/>
      <x:c r="AG186" s="128"/>
      <x:c r="AH186" s="129"/>
      <x:c r="AI186" s="127"/>
      <x:c r="AJ186" s="128"/>
      <x:c r="AK186" s="129"/>
    </x:row>
    <x:row r="187" ht="22" customHeight="1">
      <x:c r="A187" s="38" t="str">
        <x:v>CASH TIMING</x:v>
      </x:c>
      <x:c r="B187" s="57" t="str">
        <x:v>CASH TIMING</x:v>
      </x:c>
      <x:c r="C187" s="58" t="str">
        <x:v>CASH TIMING</x:v>
      </x:c>
      <x:c r="D187" s="59" t="str">
        <x:v>CASH TIMING</x:v>
      </x:c>
      <x:c r="E187" s="57" t="str">
        <x:v>CASH TIMING</x:v>
      </x:c>
      <x:c r="F187" s="58" t="str">
        <x:v>CASH TIMING</x:v>
      </x:c>
      <x:c r="G187" s="59" t="str">
        <x:v>CASH TIMING</x:v>
      </x:c>
      <x:c r="H187" s="57" t="str">
        <x:v>CASH TIMING</x:v>
      </x:c>
      <x:c r="I187" s="58" t="str">
        <x:v>CASH TIMING</x:v>
      </x:c>
      <x:c r="J187" s="59" t="str">
        <x:v>CASH TIMING</x:v>
      </x:c>
      <x:c r="K187" s="57" t="str">
        <x:v>CASH TIMING</x:v>
      </x:c>
      <x:c r="L187" s="58" t="str">
        <x:v>CASH TIMING</x:v>
      </x:c>
      <x:c r="M187" s="59" t="str">
        <x:v>CASH TIMING</x:v>
      </x:c>
      <x:c r="N187" s="57" t="str">
        <x:v>CASH TIMING</x:v>
      </x:c>
      <x:c r="O187" s="58" t="str">
        <x:v>CASH TIMING</x:v>
      </x:c>
      <x:c r="P187" s="59" t="str">
        <x:v>CASH TIMING</x:v>
      </x:c>
      <x:c r="Q187" s="57" t="str">
        <x:v>CASH TIMING</x:v>
      </x:c>
      <x:c r="R187" s="58" t="str">
        <x:v>CASH TIMING</x:v>
      </x:c>
      <x:c r="S187" s="59" t="str">
        <x:v>CASH TIMING</x:v>
      </x:c>
      <x:c r="T187" s="57" t="str">
        <x:v>CASH TIMING</x:v>
      </x:c>
      <x:c r="U187" s="58" t="str">
        <x:v>CASH TIMING</x:v>
      </x:c>
      <x:c r="V187" s="59" t="str">
        <x:v>CASH TIMING</x:v>
      </x:c>
      <x:c r="W187" s="57" t="str">
        <x:v>CASH TIMING</x:v>
      </x:c>
      <x:c r="X187" s="58" t="str">
        <x:v>CASH TIMING</x:v>
      </x:c>
      <x:c r="Y187" s="59" t="str">
        <x:v>CASH TIMING</x:v>
      </x:c>
      <x:c r="Z187" s="57" t="str">
        <x:v>CASH TIMING</x:v>
      </x:c>
      <x:c r="AA187" s="58" t="str">
        <x:v>CASH TIMING</x:v>
      </x:c>
      <x:c r="AB187" s="59" t="str">
        <x:v>CASH TIMING</x:v>
      </x:c>
      <x:c r="AC187" s="57" t="str">
        <x:v>CASH TIMING</x:v>
      </x:c>
      <x:c r="AD187" s="58" t="str">
        <x:v>CASH TIMING</x:v>
      </x:c>
      <x:c r="AE187" s="59" t="str">
        <x:v>CASH TIMING</x:v>
      </x:c>
      <x:c r="AF187" s="57" t="str">
        <x:v>CASH TIMING</x:v>
      </x:c>
      <x:c r="AG187" s="58" t="str">
        <x:v>CASH TIMING</x:v>
      </x:c>
      <x:c r="AH187" s="59" t="str">
        <x:v>CASH TIMING</x:v>
      </x:c>
      <x:c r="AI187" s="57" t="str">
        <x:v>CASH TIMING</x:v>
      </x:c>
      <x:c r="AJ187" s="58" t="str">
        <x:v>CASH TIMING</x:v>
      </x:c>
      <x:c r="AK187" s="59" t="str">
        <x:v>CASH TIMING</x:v>
      </x:c>
    </x:row>
    <x:row r="188" ht="22" customHeight="1">
      <x:c r="A188" s="116" t="str">
        <x:v>Marketing timing (months)</x:v>
      </x:c>
      <x:c r="B188" s="151" t="str">
        <x:f>IF(B7="","",B7)</x:f>
      </x:c>
      <x:c r="C188" s="121" t="n">
        <x:f>C7</x:f>
        <x:v>0</x:v>
      </x:c>
      <x:c r="D188" s="152" t="n">
        <x:f>D7</x:f>
        <x:v>0</x:v>
      </x:c>
      <x:c r="E188" s="151" t="str">
        <x:f>IF(E7="","",E7)</x:f>
      </x:c>
      <x:c r="F188" s="121" t="n">
        <x:f>F7</x:f>
        <x:v>0</x:v>
      </x:c>
      <x:c r="G188" s="152" t="n">
        <x:f>G7</x:f>
        <x:v>0</x:v>
      </x:c>
      <x:c r="H188" s="151" t="str">
        <x:f>IF(H7="","",H7)</x:f>
      </x:c>
      <x:c r="I188" s="121" t="n">
        <x:f>I7</x:f>
        <x:v>0</x:v>
      </x:c>
      <x:c r="J188" s="152" t="n">
        <x:f>J7</x:f>
        <x:v>0</x:v>
      </x:c>
      <x:c r="K188" s="151" t="str">
        <x:f>IF(K7="","",K7)</x:f>
      </x:c>
      <x:c r="L188" s="121" t="n">
        <x:f>L7</x:f>
        <x:v>0</x:v>
      </x:c>
      <x:c r="M188" s="152" t="n">
        <x:f>M7</x:f>
        <x:v>0</x:v>
      </x:c>
      <x:c r="N188" s="151" t="str">
        <x:f>IF(N7="","",N7)</x:f>
      </x:c>
      <x:c r="O188" s="121" t="n">
        <x:f>O7</x:f>
        <x:v>0</x:v>
      </x:c>
      <x:c r="P188" s="152" t="n">
        <x:f>P7</x:f>
        <x:v>0</x:v>
      </x:c>
      <x:c r="Q188" s="151" t="str">
        <x:f>IF(Q7="","",Q7)</x:f>
      </x:c>
      <x:c r="R188" s="121" t="n">
        <x:f>R7</x:f>
        <x:v>0</x:v>
      </x:c>
      <x:c r="S188" s="152" t="n">
        <x:f>S7</x:f>
        <x:v>0</x:v>
      </x:c>
      <x:c r="T188" s="151" t="str">
        <x:f>IF(T7="","",T7)</x:f>
      </x:c>
      <x:c r="U188" s="121" t="n">
        <x:f>U7</x:f>
        <x:v>0</x:v>
      </x:c>
      <x:c r="V188" s="152" t="n">
        <x:f>V7</x:f>
        <x:v>0</x:v>
      </x:c>
      <x:c r="W188" s="151" t="str">
        <x:f>IF(W7="","",W7)</x:f>
      </x:c>
      <x:c r="X188" s="121" t="n">
        <x:f>X7</x:f>
        <x:v>0</x:v>
      </x:c>
      <x:c r="Y188" s="152" t="n">
        <x:f>Y7</x:f>
        <x:v>0</x:v>
      </x:c>
      <x:c r="Z188" s="151" t="str">
        <x:f>IF(Z7="","",Z7)</x:f>
      </x:c>
      <x:c r="AA188" s="121" t="n">
        <x:f>AA7</x:f>
        <x:v>0</x:v>
      </x:c>
      <x:c r="AB188" s="152" t="n">
        <x:f>AB7</x:f>
        <x:v>0</x:v>
      </x:c>
      <x:c r="AC188" s="151" t="str">
        <x:f>IF(AC7="","",AC7)</x:f>
      </x:c>
      <x:c r="AD188" s="121" t="n">
        <x:f>AD7</x:f>
        <x:v>0</x:v>
      </x:c>
      <x:c r="AE188" s="152" t="n">
        <x:f>AE7</x:f>
        <x:v>0</x:v>
      </x:c>
      <x:c r="AF188" s="151" t="str">
        <x:f>IF(AF7="","",AF7)</x:f>
      </x:c>
      <x:c r="AG188" s="121" t="n">
        <x:f>AG7</x:f>
        <x:v>0</x:v>
      </x:c>
      <x:c r="AH188" s="152" t="n">
        <x:f>AH7</x:f>
        <x:v>0</x:v>
      </x:c>
      <x:c r="AI188" s="151" t="str">
        <x:f>IF(AI7="","",AI7)</x:f>
      </x:c>
      <x:c r="AJ188" s="121" t="n">
        <x:f>AJ7</x:f>
        <x:v>0</x:v>
      </x:c>
      <x:c r="AK188" s="152" t="n">
        <x:f>AK7</x:f>
        <x:v>0</x:v>
      </x:c>
    </x:row>
    <x:row r="189" ht="22" customHeight="1">
      <x:c r="A189" s="116" t="str">
        <x:v>Sales timing (months)</x:v>
      </x:c>
      <x:c r="B189" s="151" t="str">
        <x:f>IF(B12="","",B12)</x:f>
      </x:c>
      <x:c r="C189" s="121" t="n">
        <x:f>C12</x:f>
        <x:v>1</x:v>
      </x:c>
      <x:c r="D189" s="152" t="n">
        <x:f>D12</x:f>
        <x:v>1</x:v>
      </x:c>
      <x:c r="E189" s="151" t="str">
        <x:f>IF(E12="","",E12)</x:f>
      </x:c>
      <x:c r="F189" s="121" t="n">
        <x:f>F12</x:f>
        <x:v>1</x:v>
      </x:c>
      <x:c r="G189" s="152" t="n">
        <x:f>G12</x:f>
        <x:v>1</x:v>
      </x:c>
      <x:c r="H189" s="151" t="str">
        <x:f>IF(H12="","",H12)</x:f>
      </x:c>
      <x:c r="I189" s="121" t="n">
        <x:f>I12</x:f>
        <x:v>1</x:v>
      </x:c>
      <x:c r="J189" s="152" t="n">
        <x:f>J12</x:f>
        <x:v>1</x:v>
      </x:c>
      <x:c r="K189" s="151" t="str">
        <x:f>IF(K12="","",K12)</x:f>
      </x:c>
      <x:c r="L189" s="121" t="n">
        <x:f>L12</x:f>
        <x:v>1</x:v>
      </x:c>
      <x:c r="M189" s="152" t="n">
        <x:f>M12</x:f>
        <x:v>1</x:v>
      </x:c>
      <x:c r="N189" s="151" t="str">
        <x:f>IF(N12="","",N12)</x:f>
      </x:c>
      <x:c r="O189" s="121" t="n">
        <x:f>O12</x:f>
        <x:v>1</x:v>
      </x:c>
      <x:c r="P189" s="152" t="n">
        <x:f>P12</x:f>
        <x:v>1</x:v>
      </x:c>
      <x:c r="Q189" s="151" t="str">
        <x:f>IF(Q12="","",Q12)</x:f>
      </x:c>
      <x:c r="R189" s="121" t="n">
        <x:f>R12</x:f>
        <x:v>1</x:v>
      </x:c>
      <x:c r="S189" s="152" t="n">
        <x:f>S12</x:f>
        <x:v>1</x:v>
      </x:c>
      <x:c r="T189" s="151" t="str">
        <x:f>IF(T12="","",T12)</x:f>
      </x:c>
      <x:c r="U189" s="121" t="n">
        <x:f>U12</x:f>
        <x:v>1</x:v>
      </x:c>
      <x:c r="V189" s="152" t="n">
        <x:f>V12</x:f>
        <x:v>1</x:v>
      </x:c>
      <x:c r="W189" s="151" t="str">
        <x:f>IF(W12="","",W12)</x:f>
      </x:c>
      <x:c r="X189" s="121" t="n">
        <x:f>X12</x:f>
        <x:v>1</x:v>
      </x:c>
      <x:c r="Y189" s="152" t="n">
        <x:f>Y12</x:f>
        <x:v>1</x:v>
      </x:c>
      <x:c r="Z189" s="151" t="str">
        <x:f>IF(Z12="","",Z12)</x:f>
      </x:c>
      <x:c r="AA189" s="121" t="n">
        <x:f>AA12</x:f>
        <x:v>1</x:v>
      </x:c>
      <x:c r="AB189" s="152" t="n">
        <x:f>AB12</x:f>
        <x:v>1</x:v>
      </x:c>
      <x:c r="AC189" s="151" t="str">
        <x:f>IF(AC12="","",AC12)</x:f>
      </x:c>
      <x:c r="AD189" s="121" t="n">
        <x:f>AD12</x:f>
        <x:v>1</x:v>
      </x:c>
      <x:c r="AE189" s="152" t="n">
        <x:f>AE12</x:f>
        <x:v>1</x:v>
      </x:c>
      <x:c r="AF189" s="151" t="n">
        <x:f>IF(AF12="","",AF12)</x:f>
        <x:v>1</x:v>
      </x:c>
      <x:c r="AG189" s="121" t="n">
        <x:f>AG12</x:f>
        <x:v>1</x:v>
      </x:c>
      <x:c r="AH189" s="152" t="n">
        <x:f>AH12</x:f>
        <x:v>1</x:v>
      </x:c>
      <x:c r="AI189" s="151" t="n">
        <x:f>IF(AI12="","",AI12)</x:f>
        <x:v>1</x:v>
      </x:c>
      <x:c r="AJ189" s="121" t="n">
        <x:f>AJ12</x:f>
        <x:v>1</x:v>
      </x:c>
      <x:c r="AK189" s="152" t="n">
        <x:f>AK12</x:f>
        <x:v>1</x:v>
      </x:c>
    </x:row>
    <x:row r="190" ht="22" customHeight="1">
      <x:c r="A190" s="116" t="str">
        <x:v>Delivery timing (months)</x:v>
      </x:c>
      <x:c r="B190" s="151" t="str">
        <x:f>IF(B19="","",B19)</x:f>
      </x:c>
      <x:c r="C190" s="121" t="n">
        <x:f>C19</x:f>
        <x:v>1</x:v>
      </x:c>
      <x:c r="D190" s="152" t="n">
        <x:f>D19</x:f>
        <x:v>1</x:v>
      </x:c>
      <x:c r="E190" s="151" t="str">
        <x:f>IF(E19="","",E19)</x:f>
      </x:c>
      <x:c r="F190" s="121" t="n">
        <x:f>F19</x:f>
        <x:v>1</x:v>
      </x:c>
      <x:c r="G190" s="152" t="n">
        <x:f>G19</x:f>
        <x:v>1</x:v>
      </x:c>
      <x:c r="H190" s="151" t="str">
        <x:f>IF(H19="","",H19)</x:f>
      </x:c>
      <x:c r="I190" s="121" t="n">
        <x:f>I19</x:f>
        <x:v>1</x:v>
      </x:c>
      <x:c r="J190" s="152" t="n">
        <x:f>J19</x:f>
        <x:v>1</x:v>
      </x:c>
      <x:c r="K190" s="151" t="str">
        <x:f>IF(K19="","",K19)</x:f>
      </x:c>
      <x:c r="L190" s="121" t="n">
        <x:f>L19</x:f>
        <x:v>1</x:v>
      </x:c>
      <x:c r="M190" s="152" t="n">
        <x:f>M19</x:f>
        <x:v>1</x:v>
      </x:c>
      <x:c r="N190" s="151" t="str">
        <x:f>IF(N19="","",N19)</x:f>
      </x:c>
      <x:c r="O190" s="121" t="n">
        <x:f>O19</x:f>
        <x:v>1</x:v>
      </x:c>
      <x:c r="P190" s="152" t="n">
        <x:f>P19</x:f>
        <x:v>1</x:v>
      </x:c>
      <x:c r="Q190" s="151" t="str">
        <x:f>IF(Q19="","",Q19)</x:f>
      </x:c>
      <x:c r="R190" s="121" t="n">
        <x:f>R19</x:f>
        <x:v>1</x:v>
      </x:c>
      <x:c r="S190" s="152" t="n">
        <x:f>S19</x:f>
        <x:v>1</x:v>
      </x:c>
      <x:c r="T190" s="151" t="str">
        <x:f>IF(T19="","",T19)</x:f>
      </x:c>
      <x:c r="U190" s="121" t="n">
        <x:f>U19</x:f>
        <x:v>1</x:v>
      </x:c>
      <x:c r="V190" s="152" t="n">
        <x:f>V19</x:f>
        <x:v>1</x:v>
      </x:c>
      <x:c r="W190" s="151" t="str">
        <x:f>IF(W19="","",W19)</x:f>
      </x:c>
      <x:c r="X190" s="121" t="n">
        <x:f>X19</x:f>
        <x:v>1</x:v>
      </x:c>
      <x:c r="Y190" s="152" t="n">
        <x:f>Y19</x:f>
        <x:v>1</x:v>
      </x:c>
      <x:c r="Z190" s="151" t="str">
        <x:f>IF(Z19="","",Z19)</x:f>
      </x:c>
      <x:c r="AA190" s="121" t="n">
        <x:f>AA19</x:f>
        <x:v>1</x:v>
      </x:c>
      <x:c r="AB190" s="152" t="n">
        <x:f>AB19</x:f>
        <x:v>1</x:v>
      </x:c>
      <x:c r="AC190" s="151" t="str">
        <x:f>IF(AC19="","",AC19)</x:f>
      </x:c>
      <x:c r="AD190" s="121" t="n">
        <x:f>AD19</x:f>
        <x:v>1</x:v>
      </x:c>
      <x:c r="AE190" s="152" t="n">
        <x:f>AE19</x:f>
        <x:v>1</x:v>
      </x:c>
      <x:c r="AF190" s="151" t="n">
        <x:f>IF(AF19="","",AF19)</x:f>
        <x:v>1</x:v>
      </x:c>
      <x:c r="AG190" s="121" t="n">
        <x:f>AG19</x:f>
        <x:v>1</x:v>
      </x:c>
      <x:c r="AH190" s="152" t="n">
        <x:f>AH19</x:f>
        <x:v>1</x:v>
      </x:c>
      <x:c r="AI190" s="151" t="n">
        <x:f>IF(AI19="","",AI19)</x:f>
        <x:v>1</x:v>
      </x:c>
      <x:c r="AJ190" s="121" t="n">
        <x:f>AJ19</x:f>
        <x:v>1</x:v>
      </x:c>
      <x:c r="AK190" s="152" t="n">
        <x:f>AK19</x:f>
        <x:v>1</x:v>
      </x:c>
    </x:row>
    <x:row r="191" ht="22" customHeight="1">
      <x:c r="A191" s="116" t="str">
        <x:v>Collection timing (months)</x:v>
      </x:c>
      <x:c r="B191" s="151" t="str">
        <x:f>IF(B31="","",B31)</x:f>
      </x:c>
      <x:c r="C191" s="121" t="n">
        <x:f>C31</x:f>
        <x:v>1</x:v>
      </x:c>
      <x:c r="D191" s="152" t="n">
        <x:f>D31</x:f>
        <x:v>1</x:v>
      </x:c>
      <x:c r="E191" s="151" t="str">
        <x:f>IF(E31="","",E31)</x:f>
      </x:c>
      <x:c r="F191" s="121" t="n">
        <x:f>F31</x:f>
        <x:v>1</x:v>
      </x:c>
      <x:c r="G191" s="152" t="n">
        <x:f>G31</x:f>
        <x:v>1</x:v>
      </x:c>
      <x:c r="H191" s="151" t="str">
        <x:f>IF(H31="","",H31)</x:f>
      </x:c>
      <x:c r="I191" s="121" t="n">
        <x:f>I31</x:f>
        <x:v>1</x:v>
      </x:c>
      <x:c r="J191" s="152" t="n">
        <x:f>J31</x:f>
        <x:v>1</x:v>
      </x:c>
      <x:c r="K191" s="151" t="str">
        <x:f>IF(K31="","",K31)</x:f>
      </x:c>
      <x:c r="L191" s="121" t="n">
        <x:f>L31</x:f>
        <x:v>1</x:v>
      </x:c>
      <x:c r="M191" s="152" t="n">
        <x:f>M31</x:f>
        <x:v>1</x:v>
      </x:c>
      <x:c r="N191" s="151" t="str">
        <x:f>IF(N31="","",N31)</x:f>
      </x:c>
      <x:c r="O191" s="121" t="n">
        <x:f>O31</x:f>
        <x:v>1</x:v>
      </x:c>
      <x:c r="P191" s="152" t="n">
        <x:f>P31</x:f>
        <x:v>1</x:v>
      </x:c>
      <x:c r="Q191" s="151" t="str">
        <x:f>IF(Q31="","",Q31)</x:f>
      </x:c>
      <x:c r="R191" s="121" t="n">
        <x:f>R31</x:f>
        <x:v>1</x:v>
      </x:c>
      <x:c r="S191" s="152" t="n">
        <x:f>S31</x:f>
        <x:v>1</x:v>
      </x:c>
      <x:c r="T191" s="151" t="str">
        <x:f>IF(T31="","",T31)</x:f>
      </x:c>
      <x:c r="U191" s="121" t="n">
        <x:f>U31</x:f>
        <x:v>1</x:v>
      </x:c>
      <x:c r="V191" s="152" t="n">
        <x:f>V31</x:f>
        <x:v>1</x:v>
      </x:c>
      <x:c r="W191" s="151" t="str">
        <x:f>IF(W31="","",W31)</x:f>
      </x:c>
      <x:c r="X191" s="121" t="n">
        <x:f>X31</x:f>
        <x:v>1</x:v>
      </x:c>
      <x:c r="Y191" s="152" t="n">
        <x:f>Y31</x:f>
        <x:v>1</x:v>
      </x:c>
      <x:c r="Z191" s="151" t="str">
        <x:f>IF(Z31="","",Z31)</x:f>
      </x:c>
      <x:c r="AA191" s="121" t="n">
        <x:f>AA31</x:f>
        <x:v>1</x:v>
      </x:c>
      <x:c r="AB191" s="152" t="n">
        <x:f>AB31</x:f>
        <x:v>1</x:v>
      </x:c>
      <x:c r="AC191" s="151" t="str">
        <x:f>IF(AC31="","",AC31)</x:f>
      </x:c>
      <x:c r="AD191" s="121" t="n">
        <x:f>AD31</x:f>
        <x:v>1</x:v>
      </x:c>
      <x:c r="AE191" s="152" t="n">
        <x:f>AE31</x:f>
        <x:v>1</x:v>
      </x:c>
      <x:c r="AF191" s="151" t="n">
        <x:f>IF(AF31="","",AF31)</x:f>
        <x:v>1</x:v>
      </x:c>
      <x:c r="AG191" s="121" t="n">
        <x:f>AG31</x:f>
        <x:v>1</x:v>
      </x:c>
      <x:c r="AH191" s="152" t="n">
        <x:f>AH31</x:f>
        <x:v>1</x:v>
      </x:c>
      <x:c r="AI191" s="151" t="n">
        <x:f>IF(AI31="","",AI31)</x:f>
        <x:v>1</x:v>
      </x:c>
      <x:c r="AJ191" s="121" t="n">
        <x:f>AJ31</x:f>
        <x:v>1</x:v>
      </x:c>
      <x:c r="AK191" s="152" t="n">
        <x:f>AK31</x:f>
        <x:v>1</x:v>
      </x:c>
    </x:row>
    <x:row r="192" ht="22" customHeight="1">
      <x:c r="A192" s="153" t="str">
        <x:v>Total time from prospect enquiry to Cash</x:v>
      </x:c>
      <x:c r="B192" s="154" t="str">
        <x:f>IF(COUNT(B188:B191)=4,SUM(B188:B191),"")</x:f>
      </x:c>
      <x:c r="C192" s="155" t="n">
        <x:f>SUM(C188:C191)</x:f>
        <x:v>3</x:v>
      </x:c>
      <x:c r="D192" s="156" t="n">
        <x:f>SUM(D188:D191)</x:f>
        <x:v>3</x:v>
      </x:c>
      <x:c r="E192" s="154" t="str">
        <x:f>IF(COUNT(E188:E191)=4,SUM(E188:E191),"")</x:f>
      </x:c>
      <x:c r="F192" s="155" t="n">
        <x:f>SUM(F188:F191)</x:f>
        <x:v>3</x:v>
      </x:c>
      <x:c r="G192" s="156" t="n">
        <x:f>SUM(G188:G191)</x:f>
        <x:v>3</x:v>
      </x:c>
      <x:c r="H192" s="154" t="str">
        <x:f>IF(COUNT(H188:H191)=4,SUM(H188:H191),"")</x:f>
      </x:c>
      <x:c r="I192" s="155" t="n">
        <x:f>SUM(I188:I191)</x:f>
        <x:v>3</x:v>
      </x:c>
      <x:c r="J192" s="156" t="n">
        <x:f>SUM(J188:J191)</x:f>
        <x:v>3</x:v>
      </x:c>
      <x:c r="K192" s="154" t="str">
        <x:f>IF(COUNT(K188:K191)=4,SUM(K188:K191),"")</x:f>
      </x:c>
      <x:c r="L192" s="155" t="n">
        <x:f>SUM(L188:L191)</x:f>
        <x:v>3</x:v>
      </x:c>
      <x:c r="M192" s="156" t="n">
        <x:f>SUM(M188:M191)</x:f>
        <x:v>3</x:v>
      </x:c>
      <x:c r="N192" s="154" t="str">
        <x:f>IF(COUNT(N188:N191)=4,SUM(N188:N191),"")</x:f>
      </x:c>
      <x:c r="O192" s="155" t="n">
        <x:f>SUM(O188:O191)</x:f>
        <x:v>3</x:v>
      </x:c>
      <x:c r="P192" s="156" t="n">
        <x:f>SUM(P188:P191)</x:f>
        <x:v>3</x:v>
      </x:c>
      <x:c r="Q192" s="154" t="str">
        <x:f>IF(COUNT(Q188:Q191)=4,SUM(Q188:Q191),"")</x:f>
      </x:c>
      <x:c r="R192" s="155" t="n">
        <x:f>SUM(R188:R191)</x:f>
        <x:v>3</x:v>
      </x:c>
      <x:c r="S192" s="156" t="n">
        <x:f>SUM(S188:S191)</x:f>
        <x:v>3</x:v>
      </x:c>
      <x:c r="T192" s="154" t="str">
        <x:f>IF(COUNT(T188:T191)=4,SUM(T188:T191),"")</x:f>
      </x:c>
      <x:c r="U192" s="155" t="n">
        <x:f>SUM(U188:U191)</x:f>
        <x:v>3</x:v>
      </x:c>
      <x:c r="V192" s="156" t="n">
        <x:f>SUM(V188:V191)</x:f>
        <x:v>3</x:v>
      </x:c>
      <x:c r="W192" s="154" t="str">
        <x:f>IF(COUNT(W188:W191)=4,SUM(W188:W191),"")</x:f>
      </x:c>
      <x:c r="X192" s="155" t="n">
        <x:f>SUM(X188:X191)</x:f>
        <x:v>3</x:v>
      </x:c>
      <x:c r="Y192" s="156" t="n">
        <x:f>SUM(Y188:Y191)</x:f>
        <x:v>3</x:v>
      </x:c>
      <x:c r="Z192" s="154" t="str">
        <x:f>IF(COUNT(Z188:Z191)=4,SUM(Z188:Z191),"")</x:f>
      </x:c>
      <x:c r="AA192" s="155" t="n">
        <x:f>SUM(AA188:AA191)</x:f>
        <x:v>3</x:v>
      </x:c>
      <x:c r="AB192" s="156" t="n">
        <x:f>SUM(AB188:AB191)</x:f>
        <x:v>3</x:v>
      </x:c>
      <x:c r="AC192" s="154" t="str">
        <x:f>IF(COUNT(AC188:AC191)=4,SUM(AC188:AC191),"")</x:f>
      </x:c>
      <x:c r="AD192" s="155" t="n">
        <x:f>SUM(AD188:AD191)</x:f>
        <x:v>3</x:v>
      </x:c>
      <x:c r="AE192" s="156" t="n">
        <x:f>SUM(AE188:AE191)</x:f>
        <x:v>3</x:v>
      </x:c>
      <x:c r="AF192" s="154" t="str">
        <x:f>IF(COUNT(AF188:AF191)=4,SUM(AF188:AF191),"")</x:f>
      </x:c>
      <x:c r="AG192" s="155" t="n">
        <x:f>SUM(AG188:AG191)</x:f>
        <x:v>3</x:v>
      </x:c>
      <x:c r="AH192" s="156" t="n">
        <x:f>SUM(AH188:AH191)</x:f>
        <x:v>3</x:v>
      </x:c>
      <x:c r="AI192" s="154" t="str">
        <x:f>IF(COUNT(AI188:AI191)=4,SUM(AI188:AI191),"")</x:f>
      </x:c>
      <x:c r="AJ192" s="155" t="n">
        <x:f>SUM(AJ188:AJ191)</x:f>
        <x:v>3</x:v>
      </x:c>
      <x:c r="AK192" s="156" t="n">
        <x:f>SUM(AK188:AK191)</x:f>
        <x:v>3</x:v>
      </x:c>
    </x:row>
    <x:row r="193" ht="22" customHeight="1">
      <x:c r="A193" s="116"/>
      <x:c r="B193" s="157"/>
      <x:c r="C193" s="157"/>
      <x:c r="D193" s="157"/>
      <x:c r="E193" s="157"/>
      <x:c r="F193" s="157"/>
      <x:c r="G193" s="157"/>
      <x:c r="H193" s="157"/>
      <x:c r="I193" s="157"/>
      <x:c r="J193" s="157"/>
      <x:c r="K193" s="157"/>
      <x:c r="L193" s="157"/>
      <x:c r="M193" s="157"/>
      <x:c r="N193" s="157"/>
      <x:c r="O193" s="157"/>
      <x:c r="P193" s="157"/>
      <x:c r="Q193" s="157"/>
      <x:c r="R193" s="157"/>
      <x:c r="S193" s="157"/>
      <x:c r="T193" s="157"/>
      <x:c r="U193" s="157"/>
      <x:c r="V193" s="157"/>
      <x:c r="W193" s="157"/>
      <x:c r="X193" s="157"/>
      <x:c r="Y193" s="157"/>
      <x:c r="Z193" s="157"/>
      <x:c r="AA193" s="157"/>
      <x:c r="AB193" s="157"/>
      <x:c r="AC193" s="157"/>
      <x:c r="AD193" s="157"/>
      <x:c r="AE193" s="157"/>
      <x:c r="AF193" s="157"/>
      <x:c r="AG193" s="157"/>
      <x:c r="AH193" s="157"/>
      <x:c r="AI193" s="157"/>
      <x:c r="AJ193" s="157"/>
      <x:c r="AK193" s="157"/>
    </x:row>
    <x:row r="194" ht="22" customHeight="1">
      <x:c r="A194" s="38" t="str">
        <x:v>OPENING POSITION</x:v>
      </x:c>
      <x:c r="B194" s="27" t="str">
        <x:v>OPENING POSITION</x:v>
      </x:c>
      <x:c r="C194" s="27" t="str">
        <x:v>OPENING POSITION</x:v>
      </x:c>
      <x:c r="D194" s="27" t="str">
        <x:v>OPENING POSITION</x:v>
      </x:c>
      <x:c r="E194" s="27" t="str">
        <x:v>OPENING POSITION</x:v>
      </x:c>
      <x:c r="F194" s="27" t="str">
        <x:v>OPENING POSITION</x:v>
      </x:c>
      <x:c r="G194" s="27" t="str">
        <x:v>OPENING POSITION</x:v>
      </x:c>
      <x:c r="H194" s="27" t="str">
        <x:v>OPENING POSITION</x:v>
      </x:c>
      <x:c r="I194" s="27" t="str">
        <x:v>OPENING POSITION</x:v>
      </x:c>
      <x:c r="J194" s="27" t="str">
        <x:v>OPENING POSITION</x:v>
      </x:c>
      <x:c r="K194" s="27" t="str">
        <x:v>OPENING POSITION</x:v>
      </x:c>
      <x:c r="L194" s="27" t="str">
        <x:v>OPENING POSITION</x:v>
      </x:c>
      <x:c r="M194" s="27" t="str">
        <x:v>OPENING POSITION</x:v>
      </x:c>
      <x:c r="N194" s="27" t="str">
        <x:v>OPENING POSITION</x:v>
      </x:c>
      <x:c r="O194" s="27" t="str">
        <x:v>OPENING POSITION</x:v>
      </x:c>
      <x:c r="P194" s="27" t="str">
        <x:v>OPENING POSITION</x:v>
      </x:c>
      <x:c r="Q194" s="27" t="str">
        <x:v>OPENING POSITION</x:v>
      </x:c>
      <x:c r="R194" s="27" t="str">
        <x:v>OPENING POSITION</x:v>
      </x:c>
      <x:c r="S194" s="27" t="str">
        <x:v>OPENING POSITION</x:v>
      </x:c>
      <x:c r="T194" s="27" t="str">
        <x:v>OPENING POSITION</x:v>
      </x:c>
      <x:c r="U194" s="27" t="str">
        <x:v>OPENING POSITION</x:v>
      </x:c>
      <x:c r="V194" s="27" t="str">
        <x:v>OPENING POSITION</x:v>
      </x:c>
      <x:c r="W194" s="27" t="str">
        <x:v>OPENING POSITION</x:v>
      </x:c>
      <x:c r="X194" s="27" t="str">
        <x:v>OPENING POSITION</x:v>
      </x:c>
      <x:c r="Y194" s="27" t="str">
        <x:v>OPENING POSITION</x:v>
      </x:c>
      <x:c r="Z194" s="27" t="str">
        <x:v>OPENING POSITION</x:v>
      </x:c>
      <x:c r="AA194" s="27" t="str">
        <x:v>OPENING POSITION</x:v>
      </x:c>
      <x:c r="AB194" s="27" t="str">
        <x:v>OPENING POSITION</x:v>
      </x:c>
      <x:c r="AC194" s="27" t="str">
        <x:v>OPENING POSITION</x:v>
      </x:c>
      <x:c r="AD194" s="27" t="str">
        <x:v>OPENING POSITION</x:v>
      </x:c>
      <x:c r="AE194" s="27" t="str">
        <x:v>OPENING POSITION</x:v>
      </x:c>
      <x:c r="AF194" s="27" t="str">
        <x:v>OPENING POSITION</x:v>
      </x:c>
      <x:c r="AG194" s="27" t="str">
        <x:v>OPENING POSITION</x:v>
      </x:c>
      <x:c r="AH194" s="27" t="str">
        <x:v>OPENING POSITION</x:v>
      </x:c>
      <x:c r="AI194" s="27" t="str">
        <x:v>OPENING POSITION</x:v>
      </x:c>
      <x:c r="AJ194" s="27" t="str">
        <x:v>OPENING POSITION</x:v>
      </x:c>
      <x:c r="AK194" s="27" t="str">
        <x:v>OPENING POSITION</x:v>
      </x:c>
    </x:row>
    <x:row r="195" ht="22" customHeight="1">
      <x:c r="A195" s="144" t="str">
        <x:v>First month of the model</x:v>
      </x:c>
      <x:c r="B195" s="158" t="n">
        <x:v>46388</x:v>
      </x:c>
      <x:c r="C195" s="157"/>
      <x:c r="D195" s="157"/>
      <x:c r="E195" s="157"/>
      <x:c r="F195" s="157"/>
      <x:c r="G195" s="157"/>
      <x:c r="H195" s="157"/>
      <x:c r="I195" s="157"/>
      <x:c r="J195" s="157"/>
      <x:c r="K195" s="157"/>
      <x:c r="L195" s="157"/>
      <x:c r="M195" s="157"/>
      <x:c r="N195" s="157"/>
      <x:c r="O195" s="157"/>
      <x:c r="P195" s="157"/>
      <x:c r="Q195" s="157"/>
      <x:c r="R195" s="157"/>
      <x:c r="S195" s="157"/>
      <x:c r="T195" s="157"/>
      <x:c r="U195" s="157"/>
      <x:c r="V195" s="157"/>
      <x:c r="W195" s="157"/>
      <x:c r="X195" s="157"/>
      <x:c r="Y195" s="157"/>
      <x:c r="Z195" s="157"/>
      <x:c r="AA195" s="157"/>
      <x:c r="AB195" s="157"/>
      <x:c r="AC195" s="157"/>
      <x:c r="AD195" s="157"/>
      <x:c r="AE195" s="157"/>
      <x:c r="AF195" s="157"/>
      <x:c r="AG195" s="157"/>
      <x:c r="AH195" s="157"/>
      <x:c r="AI195" s="157"/>
      <x:c r="AJ195" s="157"/>
      <x:c r="AK195" s="157"/>
    </x:row>
    <x:row r="196" ht="22" customHeight="1">
      <x:c r="A196" s="144" t="str">
        <x:v>Cash at start</x:v>
      </x:c>
      <x:c r="B196" s="159" t="n">
        <x:v>250000</x:v>
      </x:c>
      <x:c r="C196" s="157"/>
      <x:c r="D196" s="157"/>
      <x:c r="E196" s="157"/>
      <x:c r="F196" s="157"/>
      <x:c r="G196" s="157"/>
      <x:c r="H196" s="157"/>
      <x:c r="I196" s="157"/>
      <x:c r="J196" s="157"/>
      <x:c r="K196" s="157"/>
      <x:c r="L196" s="157"/>
      <x:c r="M196" s="157"/>
      <x:c r="N196" s="157"/>
      <x:c r="O196" s="157"/>
      <x:c r="P196" s="157"/>
      <x:c r="Q196" s="157"/>
      <x:c r="R196" s="157"/>
      <x:c r="S196" s="157"/>
      <x:c r="T196" s="157"/>
      <x:c r="U196" s="157"/>
      <x:c r="V196" s="157"/>
      <x:c r="W196" s="157"/>
      <x:c r="X196" s="157"/>
      <x:c r="Y196" s="157"/>
      <x:c r="Z196" s="157"/>
      <x:c r="AA196" s="157"/>
      <x:c r="AB196" s="157"/>
      <x:c r="AC196" s="157"/>
      <x:c r="AD196" s="157"/>
      <x:c r="AE196" s="157"/>
      <x:c r="AF196" s="157"/>
      <x:c r="AG196" s="157"/>
      <x:c r="AH196" s="157"/>
      <x:c r="AI196" s="157"/>
      <x:c r="AJ196" s="157"/>
      <x:c r="AK196" s="157"/>
    </x:row>
    <x:row r="197" ht="22" customHeight="1">
      <x:c r="A197" s="144" t="str">
        <x:v>Prospect enquiries before the model</x:v>
      </x:c>
      <x:c r="B197" s="160" t="n">
        <x:v>100</x:v>
      </x:c>
      <x:c r="C197" s="157"/>
      <x:c r="D197" s="157"/>
      <x:c r="E197" s="157"/>
      <x:c r="F197" s="157"/>
      <x:c r="G197" s="157"/>
      <x:c r="H197" s="157"/>
      <x:c r="I197" s="157"/>
      <x:c r="J197" s="157"/>
      <x:c r="K197" s="157"/>
      <x:c r="L197" s="157"/>
      <x:c r="M197" s="157"/>
      <x:c r="N197" s="157"/>
      <x:c r="O197" s="157"/>
      <x:c r="P197" s="157"/>
      <x:c r="Q197" s="157"/>
      <x:c r="R197" s="157"/>
      <x:c r="S197" s="157"/>
      <x:c r="T197" s="157"/>
      <x:c r="U197" s="157"/>
      <x:c r="V197" s="157"/>
      <x:c r="W197" s="157"/>
      <x:c r="X197" s="157"/>
      <x:c r="Y197" s="157"/>
      <x:c r="Z197" s="157"/>
      <x:c r="AA197" s="157"/>
      <x:c r="AB197" s="157"/>
      <x:c r="AC197" s="157"/>
      <x:c r="AD197" s="157"/>
      <x:c r="AE197" s="157"/>
      <x:c r="AF197" s="157"/>
      <x:c r="AG197" s="157"/>
      <x:c r="AH197" s="157"/>
      <x:c r="AI197" s="157"/>
      <x:c r="AJ197" s="157"/>
      <x:c r="AK197" s="157"/>
    </x:row>
    <x:row r="198" ht="22" customHeight="1">
      <x:c r="A198" s="144" t="str">
        <x:v>Qualified leads before the model</x:v>
      </x:c>
      <x:c r="B198" s="160" t="n">
        <x:v>40</x:v>
      </x:c>
      <x:c r="C198" s="157"/>
      <x:c r="D198" s="157"/>
      <x:c r="E198" s="157"/>
      <x:c r="F198" s="157"/>
      <x:c r="G198" s="157"/>
      <x:c r="H198" s="157"/>
      <x:c r="I198" s="157"/>
      <x:c r="J198" s="157"/>
      <x:c r="K198" s="157"/>
      <x:c r="L198" s="157"/>
      <x:c r="M198" s="157"/>
      <x:c r="N198" s="157"/>
      <x:c r="O198" s="157"/>
      <x:c r="P198" s="157"/>
      <x:c r="Q198" s="157"/>
      <x:c r="R198" s="157"/>
      <x:c r="S198" s="157"/>
      <x:c r="T198" s="157"/>
      <x:c r="U198" s="157"/>
      <x:c r="V198" s="157"/>
      <x:c r="W198" s="157"/>
      <x:c r="X198" s="157"/>
      <x:c r="Y198" s="157"/>
      <x:c r="Z198" s="157"/>
      <x:c r="AA198" s="157"/>
      <x:c r="AB198" s="157"/>
      <x:c r="AC198" s="157"/>
      <x:c r="AD198" s="157"/>
      <x:c r="AE198" s="157"/>
      <x:c r="AF198" s="157"/>
      <x:c r="AG198" s="157"/>
      <x:c r="AH198" s="157"/>
      <x:c r="AI198" s="157"/>
      <x:c r="AJ198" s="157"/>
      <x:c r="AK198" s="157"/>
    </x:row>
    <x:row r="199" ht="22" customHeight="1">
      <x:c r="A199" s="144" t="str">
        <x:v>Signed contracts ready before the model</x:v>
      </x:c>
      <x:c r="B199" s="160" t="n">
        <x:v>10</x:v>
      </x:c>
      <x:c r="C199" s="157"/>
      <x:c r="D199" s="157"/>
      <x:c r="E199" s="157"/>
      <x:c r="F199" s="157"/>
      <x:c r="G199" s="157"/>
      <x:c r="H199" s="157"/>
      <x:c r="I199" s="157"/>
      <x:c r="J199" s="157"/>
      <x:c r="K199" s="157"/>
      <x:c r="L199" s="157"/>
      <x:c r="M199" s="157"/>
      <x:c r="N199" s="157"/>
      <x:c r="O199" s="157"/>
      <x:c r="P199" s="157"/>
      <x:c r="Q199" s="157"/>
      <x:c r="R199" s="157"/>
      <x:c r="S199" s="157"/>
      <x:c r="T199" s="157"/>
      <x:c r="U199" s="157"/>
      <x:c r="V199" s="157"/>
      <x:c r="W199" s="157"/>
      <x:c r="X199" s="157"/>
      <x:c r="Y199" s="157"/>
      <x:c r="Z199" s="157"/>
      <x:c r="AA199" s="157"/>
      <x:c r="AB199" s="157"/>
      <x:c r="AC199" s="157"/>
      <x:c r="AD199" s="157"/>
      <x:c r="AE199" s="157"/>
      <x:c r="AF199" s="157"/>
      <x:c r="AG199" s="157"/>
      <x:c r="AH199" s="157"/>
      <x:c r="AI199" s="157"/>
      <x:c r="AJ199" s="157"/>
      <x:c r="AK199" s="157"/>
    </x:row>
    <x:row r="200" ht="22" customHeight="1">
      <x:c r="A200" s="144" t="str">
        <x:v>Completed work ready before the model</x:v>
      </x:c>
      <x:c r="B200" s="160" t="n">
        <x:v>10</x:v>
      </x:c>
      <x:c r="C200" s="157"/>
      <x:c r="D200" s="157"/>
      <x:c r="E200" s="157"/>
      <x:c r="F200" s="157"/>
      <x:c r="G200" s="157"/>
      <x:c r="H200" s="157"/>
      <x:c r="I200" s="157"/>
      <x:c r="J200" s="157"/>
      <x:c r="K200" s="157"/>
      <x:c r="L200" s="157"/>
      <x:c r="M200" s="157"/>
      <x:c r="N200" s="157"/>
      <x:c r="O200" s="157"/>
      <x:c r="P200" s="157"/>
      <x:c r="Q200" s="157"/>
      <x:c r="R200" s="157"/>
      <x:c r="S200" s="157"/>
      <x:c r="T200" s="157"/>
      <x:c r="U200" s="157"/>
      <x:c r="V200" s="157"/>
      <x:c r="W200" s="157"/>
      <x:c r="X200" s="157"/>
      <x:c r="Y200" s="157"/>
      <x:c r="Z200" s="157"/>
      <x:c r="AA200" s="157"/>
      <x:c r="AB200" s="157"/>
      <x:c r="AC200" s="157"/>
      <x:c r="AD200" s="157"/>
      <x:c r="AE200" s="157"/>
      <x:c r="AF200" s="157"/>
      <x:c r="AG200" s="157"/>
      <x:c r="AH200" s="157"/>
      <x:c r="AI200" s="157"/>
      <x:c r="AJ200" s="157"/>
      <x:c r="AK200" s="157"/>
    </x:row>
    <x:row r="201" ht="22" customHeight="1">
      <x:c r="A201" s="144" t="str">
        <x:v>Opening delivery backlog</x:v>
      </x:c>
      <x:c r="B201" s="161" t="n">
        <x:v>5</x:v>
      </x:c>
      <x:c r="C201" s="157"/>
      <x:c r="D201" s="157"/>
      <x:c r="E201" s="157"/>
      <x:c r="F201" s="157"/>
      <x:c r="G201" s="157"/>
      <x:c r="H201" s="157"/>
      <x:c r="I201" s="157"/>
      <x:c r="J201" s="157"/>
      <x:c r="K201" s="157"/>
      <x:c r="L201" s="157"/>
      <x:c r="M201" s="157"/>
      <x:c r="N201" s="157"/>
      <x:c r="O201" s="157"/>
      <x:c r="P201" s="157"/>
      <x:c r="Q201" s="157"/>
      <x:c r="R201" s="157"/>
      <x:c r="S201" s="157"/>
      <x:c r="T201" s="157"/>
      <x:c r="U201" s="157"/>
      <x:c r="V201" s="157"/>
      <x:c r="W201" s="157"/>
      <x:c r="X201" s="157"/>
      <x:c r="Y201" s="157"/>
      <x:c r="Z201" s="157"/>
      <x:c r="AA201" s="157"/>
      <x:c r="AB201" s="157"/>
      <x:c r="AC201" s="157"/>
      <x:c r="AD201" s="157"/>
      <x:c r="AE201" s="157"/>
      <x:c r="AF201" s="157"/>
      <x:c r="AG201" s="157"/>
      <x:c r="AH201" s="157"/>
      <x:c r="AI201" s="157"/>
      <x:c r="AJ201" s="157"/>
      <x:c r="AK201" s="157"/>
    </x:row>
    <x:row r="202" ht="22" customHeight="1">
      <x:c r="A202" s="116"/>
      <x:c r="B202" s="157"/>
      <x:c r="C202" s="157"/>
      <x:c r="D202" s="157"/>
      <x:c r="E202" s="157"/>
      <x:c r="F202" s="157"/>
      <x:c r="G202" s="157"/>
      <x:c r="H202" s="157"/>
      <x:c r="I202" s="157"/>
      <x:c r="J202" s="157"/>
      <x:c r="K202" s="157"/>
      <x:c r="L202" s="157"/>
      <x:c r="M202" s="157"/>
      <x:c r="N202" s="157"/>
      <x:c r="O202" s="157"/>
      <x:c r="P202" s="157"/>
      <x:c r="Q202" s="157"/>
      <x:c r="R202" s="157"/>
      <x:c r="S202" s="157"/>
      <x:c r="T202" s="157"/>
      <x:c r="U202" s="157"/>
      <x:c r="V202" s="157"/>
      <x:c r="W202" s="157"/>
      <x:c r="X202" s="157"/>
      <x:c r="Y202" s="157"/>
      <x:c r="Z202" s="157"/>
      <x:c r="AA202" s="157"/>
      <x:c r="AB202" s="157"/>
      <x:c r="AC202" s="157"/>
      <x:c r="AD202" s="157"/>
      <x:c r="AE202" s="157"/>
      <x:c r="AF202" s="157"/>
      <x:c r="AG202" s="157"/>
      <x:c r="AH202" s="157"/>
      <x:c r="AI202" s="157"/>
      <x:c r="AJ202" s="157"/>
      <x:c r="AK202" s="157"/>
    </x:row>
    <x:row r="203" ht="22" customHeight="1">
      <x:c r="A203" s="38" t="str">
        <x:v>MODEL CHECKS</x:v>
      </x:c>
      <x:c r="B203" s="27" t="str">
        <x:v>MODEL CHECKS</x:v>
      </x:c>
      <x:c r="C203" s="27" t="str">
        <x:v>MODEL CHECKS</x:v>
      </x:c>
      <x:c r="D203" s="27" t="str">
        <x:v>MODEL CHECKS</x:v>
      </x:c>
      <x:c r="E203" s="27" t="str">
        <x:v>MODEL CHECKS</x:v>
      </x:c>
      <x:c r="F203" s="27" t="str">
        <x:v>MODEL CHECKS</x:v>
      </x:c>
      <x:c r="G203" s="27" t="str">
        <x:v>MODEL CHECKS</x:v>
      </x:c>
      <x:c r="H203" s="27" t="str">
        <x:v>MODEL CHECKS</x:v>
      </x:c>
      <x:c r="I203" s="27" t="str">
        <x:v>MODEL CHECKS</x:v>
      </x:c>
      <x:c r="J203" s="27" t="str">
        <x:v>MODEL CHECKS</x:v>
      </x:c>
      <x:c r="K203" s="27" t="str">
        <x:v>MODEL CHECKS</x:v>
      </x:c>
      <x:c r="L203" s="27" t="str">
        <x:v>MODEL CHECKS</x:v>
      </x:c>
      <x:c r="M203" s="27" t="str">
        <x:v>MODEL CHECKS</x:v>
      </x:c>
      <x:c r="N203" s="27" t="str">
        <x:v>MODEL CHECKS</x:v>
      </x:c>
      <x:c r="O203" s="27" t="str">
        <x:v>MODEL CHECKS</x:v>
      </x:c>
      <x:c r="P203" s="27" t="str">
        <x:v>MODEL CHECKS</x:v>
      </x:c>
      <x:c r="Q203" s="27" t="str">
        <x:v>MODEL CHECKS</x:v>
      </x:c>
      <x:c r="R203" s="27" t="str">
        <x:v>MODEL CHECKS</x:v>
      </x:c>
      <x:c r="S203" s="27" t="str">
        <x:v>MODEL CHECKS</x:v>
      </x:c>
      <x:c r="T203" s="27" t="str">
        <x:v>MODEL CHECKS</x:v>
      </x:c>
      <x:c r="U203" s="27" t="str">
        <x:v>MODEL CHECKS</x:v>
      </x:c>
      <x:c r="V203" s="27" t="str">
        <x:v>MODEL CHECKS</x:v>
      </x:c>
      <x:c r="W203" s="27" t="str">
        <x:v>MODEL CHECKS</x:v>
      </x:c>
      <x:c r="X203" s="27" t="str">
        <x:v>MODEL CHECKS</x:v>
      </x:c>
      <x:c r="Y203" s="27" t="str">
        <x:v>MODEL CHECKS</x:v>
      </x:c>
      <x:c r="Z203" s="27" t="str">
        <x:v>MODEL CHECKS</x:v>
      </x:c>
      <x:c r="AA203" s="27" t="str">
        <x:v>MODEL CHECKS</x:v>
      </x:c>
      <x:c r="AB203" s="27" t="str">
        <x:v>MODEL CHECKS</x:v>
      </x:c>
      <x:c r="AC203" s="27" t="str">
        <x:v>MODEL CHECKS</x:v>
      </x:c>
      <x:c r="AD203" s="27" t="str">
        <x:v>MODEL CHECKS</x:v>
      </x:c>
      <x:c r="AE203" s="27" t="str">
        <x:v>MODEL CHECKS</x:v>
      </x:c>
      <x:c r="AF203" s="27" t="str">
        <x:v>MODEL CHECKS</x:v>
      </x:c>
      <x:c r="AG203" s="27" t="str">
        <x:v>MODEL CHECKS</x:v>
      </x:c>
      <x:c r="AH203" s="27" t="str">
        <x:v>MODEL CHECKS</x:v>
      </x:c>
      <x:c r="AI203" s="27" t="str">
        <x:v>MODEL CHECKS</x:v>
      </x:c>
      <x:c r="AJ203" s="27" t="str">
        <x:v>MODEL CHECKS</x:v>
      </x:c>
      <x:c r="AK203" s="27" t="str">
        <x:v>MODEL CHECKS</x:v>
      </x:c>
    </x:row>
    <x:row r="204" ht="22" customHeight="1">
      <x:c r="A204" s="144" t="str">
        <x:v>Closed months: Rolling cash equals Actual cash</x:v>
      </x:c>
      <x:c r="B204" s="162" t="str">
        <x:f>IF(AND(IF(AI182="",TRUE,ABS(AJ182-AI182)&lt;0.01),IF(AF182="",TRUE,ABS(AG182-AF182)&lt;0.01),IF(AC182="",TRUE,ABS(AD182-AC182)&lt;0.01),IF(Z182="",TRUE,ABS(AA182-Z182)&lt;0.01),IF(W182="",TRUE,ABS(X182-W182)&lt;0.01),IF(T182="",TRUE,ABS(U182-T182)&lt;0.01),IF(Q182="",TRUE,ABS(R182-Q182)&lt;0.01),IF(N182="",TRUE,ABS(O182-N182)&lt;0.01),IF(K182="",TRUE,ABS(L182-K182)&lt;0.01),IF(H182="",TRUE,ABS(I182-H182)&lt;0.01),IF(E182="",TRUE,ABS(F182-E182)&lt;0.01),IF(B182="",TRUE,ABS(C182-B182)&lt;0.01)),"OK","CHECK")</x:f>
        <x:v>OK</x:v>
      </x:c>
      <x:c r="C204" s="157"/>
      <x:c r="D204" s="157"/>
      <x:c r="E204" s="157"/>
      <x:c r="F204" s="157"/>
      <x:c r="G204" s="157"/>
      <x:c r="H204" s="157"/>
      <x:c r="I204" s="157"/>
      <x:c r="J204" s="157"/>
      <x:c r="K204" s="157"/>
      <x:c r="L204" s="157"/>
      <x:c r="M204" s="157"/>
      <x:c r="N204" s="157"/>
      <x:c r="O204" s="157"/>
      <x:c r="P204" s="157"/>
      <x:c r="Q204" s="157"/>
      <x:c r="R204" s="157"/>
      <x:c r="S204" s="157"/>
      <x:c r="T204" s="157"/>
      <x:c r="U204" s="157"/>
      <x:c r="V204" s="157"/>
      <x:c r="W204" s="157"/>
      <x:c r="X204" s="157"/>
      <x:c r="Y204" s="157"/>
      <x:c r="Z204" s="157"/>
      <x:c r="AA204" s="157"/>
      <x:c r="AB204" s="157"/>
      <x:c r="AC204" s="157"/>
      <x:c r="AD204" s="157"/>
      <x:c r="AE204" s="157"/>
      <x:c r="AF204" s="157"/>
      <x:c r="AG204" s="157"/>
      <x:c r="AH204" s="157"/>
      <x:c r="AI204" s="157"/>
      <x:c r="AJ204" s="157"/>
      <x:c r="AK204" s="157"/>
    </x:row>
    <x:row r="205" ht="22" customHeight="1">
      <x:c r="A205" s="144" t="str">
        <x:v>Rolling cash carries from the previous month</x:v>
      </x:c>
      <x:c r="B205" s="162" t="str">
        <x:f>IF(AND(ABS(AG181-IF(AI182&lt;&gt;"",AI182,AJ182))&lt;0.01,ABS(AD181-IF(AF182&lt;&gt;"",AF182,AG182))&lt;0.01,ABS(AA181-IF(AC182&lt;&gt;"",AC182,AD182))&lt;0.01,ABS(X181-IF(Z182&lt;&gt;"",Z182,AA182))&lt;0.01,ABS(U181-IF(W182&lt;&gt;"",W182,X182))&lt;0.01,ABS(R181-IF(T182&lt;&gt;"",T182,U182))&lt;0.01,ABS(O181-IF(Q182&lt;&gt;"",Q182,R182))&lt;0.01,ABS(L181-IF(N182&lt;&gt;"",N182,O182))&lt;0.01,ABS(I181-IF(K182&lt;&gt;"",K182,L182))&lt;0.01,ABS(F181-IF(H182&lt;&gt;"",H182,I182))&lt;0.01,ABS(C181-IF(E182&lt;&gt;"",E182,F182))&lt;0.01),"OK","CHECK")</x:f>
        <x:v>OK</x:v>
      </x:c>
      <x:c r="C205" s="157"/>
      <x:c r="D205" s="157"/>
      <x:c r="E205" s="157"/>
      <x:c r="F205" s="157"/>
      <x:c r="G205" s="157"/>
      <x:c r="H205" s="157"/>
      <x:c r="I205" s="157"/>
      <x:c r="J205" s="157"/>
      <x:c r="K205" s="157"/>
      <x:c r="L205" s="157"/>
      <x:c r="M205" s="157"/>
      <x:c r="N205" s="157"/>
      <x:c r="O205" s="157"/>
      <x:c r="P205" s="157"/>
      <x:c r="Q205" s="157"/>
      <x:c r="R205" s="157"/>
      <x:c r="S205" s="157"/>
      <x:c r="T205" s="157"/>
      <x:c r="U205" s="157"/>
      <x:c r="V205" s="157"/>
      <x:c r="W205" s="157"/>
      <x:c r="X205" s="157"/>
      <x:c r="Y205" s="157"/>
      <x:c r="Z205" s="157"/>
      <x:c r="AA205" s="157"/>
      <x:c r="AB205" s="157"/>
      <x:c r="AC205" s="157"/>
      <x:c r="AD205" s="157"/>
      <x:c r="AE205" s="157"/>
      <x:c r="AF205" s="157"/>
      <x:c r="AG205" s="157"/>
      <x:c r="AH205" s="157"/>
      <x:c r="AI205" s="157"/>
      <x:c r="AJ205" s="157"/>
      <x:c r="AK205" s="157"/>
    </x:row>
    <x:row r="206" ht="22" customHeight="1">
      <x:c r="A206" s="144" t="str">
        <x:v>Rolling delivery backlog carries forward</x:v>
      </x:c>
      <x:c r="B206" s="162" t="str">
        <x:f>IF(AND(ABS(AG25-IF(AI28&lt;&gt;"",AI28,AJ28))&lt;0.01,ABS(AD25-IF(AF28&lt;&gt;"",AF28,AG28))&lt;0.01,ABS(AA25-IF(AC28&lt;&gt;"",AC28,AD28))&lt;0.01,ABS(X25-IF(Z28&lt;&gt;"",Z28,AA28))&lt;0.01,ABS(U25-IF(W28&lt;&gt;"",W28,X28))&lt;0.01,ABS(R25-IF(T28&lt;&gt;"",T28,U28))&lt;0.01,ABS(O25-IF(Q28&lt;&gt;"",Q28,R28))&lt;0.01,ABS(L25-IF(N28&lt;&gt;"",N28,O28))&lt;0.01,ABS(I25-IF(K28&lt;&gt;"",K28,L28))&lt;0.01,ABS(F25-IF(H28&lt;&gt;"",H28,I28))&lt;0.01,ABS(C25-IF(E28&lt;&gt;"",E28,F28))&lt;0.01),"OK","CHECK")</x:f>
        <x:v>OK</x:v>
      </x:c>
      <x:c r="C206" s="157"/>
      <x:c r="D206" s="157"/>
      <x:c r="E206" s="157"/>
      <x:c r="F206" s="157"/>
      <x:c r="G206" s="157"/>
      <x:c r="H206" s="157"/>
      <x:c r="I206" s="157"/>
      <x:c r="J206" s="157"/>
      <x:c r="K206" s="157"/>
      <x:c r="L206" s="157"/>
      <x:c r="M206" s="157"/>
      <x:c r="N206" s="157"/>
      <x:c r="O206" s="157"/>
      <x:c r="P206" s="157"/>
      <x:c r="Q206" s="157"/>
      <x:c r="R206" s="157"/>
      <x:c r="S206" s="157"/>
      <x:c r="T206" s="157"/>
      <x:c r="U206" s="157"/>
      <x:c r="V206" s="157"/>
      <x:c r="W206" s="157"/>
      <x:c r="X206" s="157"/>
      <x:c r="Y206" s="157"/>
      <x:c r="Z206" s="157"/>
      <x:c r="AA206" s="157"/>
      <x:c r="AB206" s="157"/>
      <x:c r="AC206" s="157"/>
      <x:c r="AD206" s="157"/>
      <x:c r="AE206" s="157"/>
      <x:c r="AF206" s="157"/>
      <x:c r="AG206" s="157"/>
      <x:c r="AH206" s="157"/>
      <x:c r="AI206" s="157"/>
      <x:c r="AJ206" s="157"/>
      <x:c r="AK206" s="157"/>
    </x:row>
    <x:row r="207" ht="22" customHeight="1">
      <x:c r="A207" s="144" t="str">
        <x:v>Marketing timing moves enquiries into leads</x:v>
      </x:c>
      <x:c r="B207" s="162" t="str">
        <x:f>IF(AND(ABS(AJ9-IF(AI9&lt;&gt;"",AI9,ROUND(IF(AJ$7&gt;=1,$B$197,IF(INDEX($B$6:$AK$6,1,MIN(36,MAX(1,34+3*AJ$7+0)))&lt;&gt;"",INDEX($B$6:$AK$6,1,MIN(36,MAX(1,34+3*AJ$7+0))),INDEX($B$6:$AK$6,1,MIN(36,MAX(1,34+3*AJ$7+1)))))*AJ8,0)))&lt;0.01,ABS(AG9-IF(AF9&lt;&gt;"",AF9,ROUND(IF(AG$7&gt;=2,$B$197,IF(INDEX($B$6:$AK$6,1,MIN(36,MAX(1,31+3*AG$7+0)))&lt;&gt;"",INDEX($B$6:$AK$6,1,MIN(36,MAX(1,31+3*AG$7+0))),INDEX($B$6:$AK$6,1,MIN(36,MAX(1,31+3*AG$7+1)))))*AG8,0)))&lt;0.01,ABS(AD9-IF(AC9&lt;&gt;"",AC9,ROUND(IF(AD$7&gt;=3,$B$197,IF(INDEX($B$6:$AK$6,1,MIN(36,MAX(1,28+3*AD$7+0)))&lt;&gt;"",INDEX($B$6:$AK$6,1,MIN(36,MAX(1,28+3*AD$7+0))),INDEX($B$6:$AK$6,1,MIN(36,MAX(1,28+3*AD$7+1)))))*AD8,0)))&lt;0.01,ABS(AA9-IF(Z9&lt;&gt;"",Z9,ROUND(IF(AA$7&gt;=4,$B$197,IF(INDEX($B$6:$AK$6,1,MIN(36,MAX(1,25+3*AA$7+0)))&lt;&gt;"",INDEX($B$6:$AK$6,1,MIN(36,MAX(1,25+3*AA$7+0))),INDEX($B$6:$AK$6,1,MIN(36,MAX(1,25+3*AA$7+1)))))*AA8,0)))&lt;0.01,ABS(X9-IF(W9&lt;&gt;"",W9,ROUND(IF(X$7&gt;=5,$B$197,IF(INDEX($B$6:$AK$6,1,MIN(36,MAX(1,22+3*X$7+0)))&lt;&gt;"",INDEX($B$6:$AK$6,1,MIN(36,MAX(1,22+3*X$7+0))),INDEX($B$6:$AK$6,1,MIN(36,MAX(1,22+3*X$7+1)))))*X8,0)))&lt;0.01,ABS(U9-IF(T9&lt;&gt;"",T9,ROUND(IF(U$7&gt;=6,$B$197,IF(INDEX($B$6:$AK$6,1,MIN(36,MAX(1,19+3*U$7+0)))&lt;&gt;"",INDEX($B$6:$AK$6,1,MIN(36,MAX(1,19+3*U$7+0))),INDEX($B$6:$AK$6,1,MIN(36,MAX(1,19+3*U$7+1)))))*U8,0)))&lt;0.01,ABS(R9-IF(Q9&lt;&gt;"",Q9,ROUND(IF(R$7&gt;=7,$B$197,IF(INDEX($B$6:$AK$6,1,MIN(36,MAX(1,16+3*R$7+0)))&lt;&gt;"",INDEX($B$6:$AK$6,1,MIN(36,MAX(1,16+3*R$7+0))),INDEX($B$6:$AK$6,1,MIN(36,MAX(1,16+3*R$7+1)))))*R8,0)))&lt;0.01,ABS(O9-IF(N9&lt;&gt;"",N9,ROUND(IF(O$7&gt;=8,$B$197,IF(INDEX($B$6:$AK$6,1,MIN(36,MAX(1,13+3*O$7+0)))&lt;&gt;"",INDEX($B$6:$AK$6,1,MIN(36,MAX(1,13+3*O$7+0))),INDEX($B$6:$AK$6,1,MIN(36,MAX(1,13+3*O$7+1)))))*O8,0)))&lt;0.01,ABS(L9-IF(K9&lt;&gt;"",K9,ROUND(IF(L$7&gt;=9,$B$197,IF(INDEX($B$6:$AK$6,1,MIN(36,MAX(1,10+3*L$7+0)))&lt;&gt;"",INDEX($B$6:$AK$6,1,MIN(36,MAX(1,10+3*L$7+0))),INDEX($B$6:$AK$6,1,MIN(36,MAX(1,10+3*L$7+1)))))*L8,0)))&lt;0.01,ABS(I9-IF(H9&lt;&gt;"",H9,ROUND(IF(I$7&gt;=10,$B$197,IF(INDEX($B$6:$AK$6,1,MIN(36,MAX(1,7+3*I$7+0)))&lt;&gt;"",INDEX($B$6:$AK$6,1,MIN(36,MAX(1,7+3*I$7+0))),INDEX($B$6:$AK$6,1,MIN(36,MAX(1,7+3*I$7+1)))))*I8,0)))&lt;0.01,ABS(F9-IF(E9&lt;&gt;"",E9,ROUND(IF(F$7&gt;=11,$B$197,IF(INDEX($B$6:$AK$6,1,MIN(36,MAX(1,4+3*F$7+0)))&lt;&gt;"",INDEX($B$6:$AK$6,1,MIN(36,MAX(1,4+3*F$7+0))),INDEX($B$6:$AK$6,1,MIN(36,MAX(1,4+3*F$7+1)))))*F8,0)))&lt;0.01,ABS(C9-IF(B9&lt;&gt;"",B9,ROUND(IF(C$7&gt;=12,$B$197,IF(INDEX($B$6:$AK$6,1,MIN(36,MAX(1,1+3*C$7+0)))&lt;&gt;"",INDEX($B$6:$AK$6,1,MIN(36,MAX(1,1+3*C$7+0))),INDEX($B$6:$AK$6,1,MIN(36,MAX(1,1+3*C$7+1)))))*C8,0)))&lt;0.01),"OK","CHECK")</x:f>
        <x:v>OK</x:v>
      </x:c>
      <x:c r="C207" s="157"/>
      <x:c r="D207" s="157"/>
      <x:c r="E207" s="157"/>
      <x:c r="F207" s="157"/>
      <x:c r="G207" s="157"/>
      <x:c r="H207" s="157"/>
      <x:c r="I207" s="157"/>
      <x:c r="J207" s="157"/>
      <x:c r="K207" s="157"/>
      <x:c r="L207" s="157"/>
      <x:c r="M207" s="157"/>
      <x:c r="N207" s="157"/>
      <x:c r="O207" s="157"/>
      <x:c r="P207" s="157"/>
      <x:c r="Q207" s="157"/>
      <x:c r="R207" s="157"/>
      <x:c r="S207" s="157"/>
      <x:c r="T207" s="157"/>
      <x:c r="U207" s="157"/>
      <x:c r="V207" s="157"/>
      <x:c r="W207" s="157"/>
      <x:c r="X207" s="157"/>
      <x:c r="Y207" s="157"/>
      <x:c r="Z207" s="157"/>
      <x:c r="AA207" s="157"/>
      <x:c r="AB207" s="157"/>
      <x:c r="AC207" s="157"/>
      <x:c r="AD207" s="157"/>
      <x:c r="AE207" s="157"/>
      <x:c r="AF207" s="157"/>
      <x:c r="AG207" s="157"/>
      <x:c r="AH207" s="157"/>
      <x:c r="AI207" s="157"/>
      <x:c r="AJ207" s="157"/>
      <x:c r="AK207" s="157"/>
    </x:row>
    <x:row r="208" ht="22" customHeight="1">
      <x:c r="A208" s="144" t="str">
        <x:v>Sales timing moves leads into contracts</x:v>
      </x:c>
      <x:c r="B208" s="162" t="str">
        <x:f>IF(AND(ABS(AJ14-IF(AI14&lt;&gt;"",AI14,ROUND(IF(AJ$12&gt;=1,$B$198,IF(INDEX($B$9:$AK$9,1,MIN(36,MAX(1,34+3*AJ$12+0)))&lt;&gt;"",INDEX($B$9:$AK$9,1,MIN(36,MAX(1,34+3*AJ$12+0))),INDEX($B$9:$AK$9,1,MIN(36,MAX(1,34+3*AJ$12+1)))))*AJ13,0)))&lt;0.01,ABS(AG14-IF(AF14&lt;&gt;"",AF14,ROUND(IF(AG$12&gt;=2,$B$198,IF(INDEX($B$9:$AK$9,1,MIN(36,MAX(1,31+3*AG$12+0)))&lt;&gt;"",INDEX($B$9:$AK$9,1,MIN(36,MAX(1,31+3*AG$12+0))),INDEX($B$9:$AK$9,1,MIN(36,MAX(1,31+3*AG$12+1)))))*AG13,0)))&lt;0.01,ABS(AD14-IF(AC14&lt;&gt;"",AC14,ROUND(IF(AD$12&gt;=3,$B$198,IF(INDEX($B$9:$AK$9,1,MIN(36,MAX(1,28+3*AD$12+0)))&lt;&gt;"",INDEX($B$9:$AK$9,1,MIN(36,MAX(1,28+3*AD$12+0))),INDEX($B$9:$AK$9,1,MIN(36,MAX(1,28+3*AD$12+1)))))*AD13,0)))&lt;0.01,ABS(AA14-IF(Z14&lt;&gt;"",Z14,ROUND(IF(AA$12&gt;=4,$B$198,IF(INDEX($B$9:$AK$9,1,MIN(36,MAX(1,25+3*AA$12+0)))&lt;&gt;"",INDEX($B$9:$AK$9,1,MIN(36,MAX(1,25+3*AA$12+0))),INDEX($B$9:$AK$9,1,MIN(36,MAX(1,25+3*AA$12+1)))))*AA13,0)))&lt;0.01,ABS(X14-IF(W14&lt;&gt;"",W14,ROUND(IF(X$12&gt;=5,$B$198,IF(INDEX($B$9:$AK$9,1,MIN(36,MAX(1,22+3*X$12+0)))&lt;&gt;"",INDEX($B$9:$AK$9,1,MIN(36,MAX(1,22+3*X$12+0))),INDEX($B$9:$AK$9,1,MIN(36,MAX(1,22+3*X$12+1)))))*X13,0)))&lt;0.01,ABS(U14-IF(T14&lt;&gt;"",T14,ROUND(IF(U$12&gt;=6,$B$198,IF(INDEX($B$9:$AK$9,1,MIN(36,MAX(1,19+3*U$12+0)))&lt;&gt;"",INDEX($B$9:$AK$9,1,MIN(36,MAX(1,19+3*U$12+0))),INDEX($B$9:$AK$9,1,MIN(36,MAX(1,19+3*U$12+1)))))*U13,0)))&lt;0.01,ABS(R14-IF(Q14&lt;&gt;"",Q14,ROUND(IF(R$12&gt;=7,$B$198,IF(INDEX($B$9:$AK$9,1,MIN(36,MAX(1,16+3*R$12+0)))&lt;&gt;"",INDEX($B$9:$AK$9,1,MIN(36,MAX(1,16+3*R$12+0))),INDEX($B$9:$AK$9,1,MIN(36,MAX(1,16+3*R$12+1)))))*R13,0)))&lt;0.01,ABS(O14-IF(N14&lt;&gt;"",N14,ROUND(IF(O$12&gt;=8,$B$198,IF(INDEX($B$9:$AK$9,1,MIN(36,MAX(1,13+3*O$12+0)))&lt;&gt;"",INDEX($B$9:$AK$9,1,MIN(36,MAX(1,13+3*O$12+0))),INDEX($B$9:$AK$9,1,MIN(36,MAX(1,13+3*O$12+1)))))*O13,0)))&lt;0.01,ABS(L14-IF(K14&lt;&gt;"",K14,ROUND(IF(L$12&gt;=9,$B$198,IF(INDEX($B$9:$AK$9,1,MIN(36,MAX(1,10+3*L$12+0)))&lt;&gt;"",INDEX($B$9:$AK$9,1,MIN(36,MAX(1,10+3*L$12+0))),INDEX($B$9:$AK$9,1,MIN(36,MAX(1,10+3*L$12+1)))))*L13,0)))&lt;0.01,ABS(I14-IF(H14&lt;&gt;"",H14,ROUND(IF(I$12&gt;=10,$B$198,IF(INDEX($B$9:$AK$9,1,MIN(36,MAX(1,7+3*I$12+0)))&lt;&gt;"",INDEX($B$9:$AK$9,1,MIN(36,MAX(1,7+3*I$12+0))),INDEX($B$9:$AK$9,1,MIN(36,MAX(1,7+3*I$12+1)))))*I13,0)))&lt;0.01,ABS(F14-IF(E14&lt;&gt;"",E14,ROUND(IF(F$12&gt;=11,$B$198,IF(INDEX($B$9:$AK$9,1,MIN(36,MAX(1,4+3*F$12+0)))&lt;&gt;"",INDEX($B$9:$AK$9,1,MIN(36,MAX(1,4+3*F$12+0))),INDEX($B$9:$AK$9,1,MIN(36,MAX(1,4+3*F$12+1)))))*F13,0)))&lt;0.01,ABS(C14-IF(B14&lt;&gt;"",B14,ROUND(IF(C$12&gt;=12,$B$198,IF(INDEX($B$9:$AK$9,1,MIN(36,MAX(1,1+3*C$12+0)))&lt;&gt;"",INDEX($B$9:$AK$9,1,MIN(36,MAX(1,1+3*C$12+0))),INDEX($B$9:$AK$9,1,MIN(36,MAX(1,1+3*C$12+1)))))*C13,0)))&lt;0.01),"OK","CHECK")</x:f>
        <x:v>OK</x:v>
      </x:c>
      <x:c r="C208" s="157"/>
      <x:c r="D208" s="157"/>
      <x:c r="E208" s="157"/>
      <x:c r="F208" s="157"/>
      <x:c r="G208" s="157"/>
      <x:c r="H208" s="157"/>
      <x:c r="I208" s="157"/>
      <x:c r="J208" s="157"/>
      <x:c r="K208" s="157"/>
      <x:c r="L208" s="157"/>
      <x:c r="M208" s="157"/>
      <x:c r="N208" s="157"/>
      <x:c r="O208" s="157"/>
      <x:c r="P208" s="157"/>
      <x:c r="Q208" s="157"/>
      <x:c r="R208" s="157"/>
      <x:c r="S208" s="157"/>
      <x:c r="T208" s="157"/>
      <x:c r="U208" s="157"/>
      <x:c r="V208" s="157"/>
      <x:c r="W208" s="157"/>
      <x:c r="X208" s="157"/>
      <x:c r="Y208" s="157"/>
      <x:c r="Z208" s="157"/>
      <x:c r="AA208" s="157"/>
      <x:c r="AB208" s="157"/>
      <x:c r="AC208" s="157"/>
      <x:c r="AD208" s="157"/>
      <x:c r="AE208" s="157"/>
      <x:c r="AF208" s="157"/>
      <x:c r="AG208" s="157"/>
      <x:c r="AH208" s="157"/>
      <x:c r="AI208" s="157"/>
      <x:c r="AJ208" s="157"/>
      <x:c r="AK208" s="157"/>
    </x:row>
    <x:row r="209" ht="22" customHeight="1">
      <x:c r="A209" s="144" t="str">
        <x:v>Delivery timing moves contracts into work</x:v>
      </x:c>
      <x:c r="B209" s="162" t="str">
        <x:f>IF(AND(ABS(AJ26-IF(AJ$19&gt;=1,$B$199,IF(INDEX($B$14:$AK$14,1,MIN(36,MAX(1,34+3*AJ$19+0)))&lt;&gt;"",INDEX($B$14:$AK$14,1,MIN(36,MAX(1,34+3*AJ$19+0))),INDEX($B$14:$AK$14,1,MIN(36,MAX(1,34+3*AJ$19+1))))))&lt;0.01,ABS(AG26-IF(AG$19&gt;=2,$B$199,IF(INDEX($B$14:$AK$14,1,MIN(36,MAX(1,31+3*AG$19+0)))&lt;&gt;"",INDEX($B$14:$AK$14,1,MIN(36,MAX(1,31+3*AG$19+0))),INDEX($B$14:$AK$14,1,MIN(36,MAX(1,31+3*AG$19+1))))))&lt;0.01,ABS(AD26-IF(AD$19&gt;=3,$B$199,IF(INDEX($B$14:$AK$14,1,MIN(36,MAX(1,28+3*AD$19+0)))&lt;&gt;"",INDEX($B$14:$AK$14,1,MIN(36,MAX(1,28+3*AD$19+0))),INDEX($B$14:$AK$14,1,MIN(36,MAX(1,28+3*AD$19+1))))))&lt;0.01,ABS(AA26-IF(AA$19&gt;=4,$B$199,IF(INDEX($B$14:$AK$14,1,MIN(36,MAX(1,25+3*AA$19+0)))&lt;&gt;"",INDEX($B$14:$AK$14,1,MIN(36,MAX(1,25+3*AA$19+0))),INDEX($B$14:$AK$14,1,MIN(36,MAX(1,25+3*AA$19+1))))))&lt;0.01,ABS(X26-IF(X$19&gt;=5,$B$199,IF(INDEX($B$14:$AK$14,1,MIN(36,MAX(1,22+3*X$19+0)))&lt;&gt;"",INDEX($B$14:$AK$14,1,MIN(36,MAX(1,22+3*X$19+0))),INDEX($B$14:$AK$14,1,MIN(36,MAX(1,22+3*X$19+1))))))&lt;0.01,ABS(U26-IF(U$19&gt;=6,$B$199,IF(INDEX($B$14:$AK$14,1,MIN(36,MAX(1,19+3*U$19+0)))&lt;&gt;"",INDEX($B$14:$AK$14,1,MIN(36,MAX(1,19+3*U$19+0))),INDEX($B$14:$AK$14,1,MIN(36,MAX(1,19+3*U$19+1))))))&lt;0.01,ABS(R26-IF(R$19&gt;=7,$B$199,IF(INDEX($B$14:$AK$14,1,MIN(36,MAX(1,16+3*R$19+0)))&lt;&gt;"",INDEX($B$14:$AK$14,1,MIN(36,MAX(1,16+3*R$19+0))),INDEX($B$14:$AK$14,1,MIN(36,MAX(1,16+3*R$19+1))))))&lt;0.01,ABS(O26-IF(O$19&gt;=8,$B$199,IF(INDEX($B$14:$AK$14,1,MIN(36,MAX(1,13+3*O$19+0)))&lt;&gt;"",INDEX($B$14:$AK$14,1,MIN(36,MAX(1,13+3*O$19+0))),INDEX($B$14:$AK$14,1,MIN(36,MAX(1,13+3*O$19+1))))))&lt;0.01,ABS(L26-IF(L$19&gt;=9,$B$199,IF(INDEX($B$14:$AK$14,1,MIN(36,MAX(1,10+3*L$19+0)))&lt;&gt;"",INDEX($B$14:$AK$14,1,MIN(36,MAX(1,10+3*L$19+0))),INDEX($B$14:$AK$14,1,MIN(36,MAX(1,10+3*L$19+1))))))&lt;0.01,ABS(I26-IF(I$19&gt;=10,$B$199,IF(INDEX($B$14:$AK$14,1,MIN(36,MAX(1,7+3*I$19+0)))&lt;&gt;"",INDEX($B$14:$AK$14,1,MIN(36,MAX(1,7+3*I$19+0))),INDEX($B$14:$AK$14,1,MIN(36,MAX(1,7+3*I$19+1))))))&lt;0.01,ABS(F26-IF(F$19&gt;=11,$B$199,IF(INDEX($B$14:$AK$14,1,MIN(36,MAX(1,4+3*F$19+0)))&lt;&gt;"",INDEX($B$14:$AK$14,1,MIN(36,MAX(1,4+3*F$19+0))),INDEX($B$14:$AK$14,1,MIN(36,MAX(1,4+3*F$19+1))))))&lt;0.01,ABS(C26-IF(C$19&gt;=12,$B$199,IF(INDEX($B$14:$AK$14,1,MIN(36,MAX(1,1+3*C$19+0)))&lt;&gt;"",INDEX($B$14:$AK$14,1,MIN(36,MAX(1,1+3*C$19+0))),INDEX($B$14:$AK$14,1,MIN(36,MAX(1,1+3*C$19+1))))))&lt;0.01),"OK","CHECK")</x:f>
        <x:v>OK</x:v>
      </x:c>
      <x:c r="C209" s="157"/>
      <x:c r="D209" s="157"/>
      <x:c r="E209" s="157"/>
      <x:c r="F209" s="157"/>
      <x:c r="G209" s="157"/>
      <x:c r="H209" s="157"/>
      <x:c r="I209" s="157"/>
      <x:c r="J209" s="157"/>
      <x:c r="K209" s="157"/>
      <x:c r="L209" s="157"/>
      <x:c r="M209" s="157"/>
      <x:c r="N209" s="157"/>
      <x:c r="O209" s="157"/>
      <x:c r="P209" s="157"/>
      <x:c r="Q209" s="157"/>
      <x:c r="R209" s="157"/>
      <x:c r="S209" s="157"/>
      <x:c r="T209" s="157"/>
      <x:c r="U209" s="157"/>
      <x:c r="V209" s="157"/>
      <x:c r="W209" s="157"/>
      <x:c r="X209" s="157"/>
      <x:c r="Y209" s="157"/>
      <x:c r="Z209" s="157"/>
      <x:c r="AA209" s="157"/>
      <x:c r="AB209" s="157"/>
      <x:c r="AC209" s="157"/>
      <x:c r="AD209" s="157"/>
      <x:c r="AE209" s="157"/>
      <x:c r="AF209" s="157"/>
      <x:c r="AG209" s="157"/>
      <x:c r="AH209" s="157"/>
      <x:c r="AI209" s="157"/>
      <x:c r="AJ209" s="157"/>
      <x:c r="AK209" s="157"/>
    </x:row>
    <x:row r="210" ht="22" customHeight="1">
      <x:c r="A210" s="144" t="str">
        <x:v>Collection timing moves work into invoices</x:v>
      </x:c>
      <x:c r="B210" s="162" t="str">
        <x:f>IF(AND(ABS(AJ32-IF(AJ$31&gt;=1,$B$200,IF(INDEX($B$27:$AK$27,1,MIN(36,MAX(1,34+3*AJ$31+0)))&lt;&gt;"",INDEX($B$27:$AK$27,1,MIN(36,MAX(1,34+3*AJ$31+0))),INDEX($B$27:$AK$27,1,MIN(36,MAX(1,34+3*AJ$31+1))))))&lt;0.01,ABS(AG32-IF(AG$31&gt;=2,$B$200,IF(INDEX($B$27:$AK$27,1,MIN(36,MAX(1,31+3*AG$31+0)))&lt;&gt;"",INDEX($B$27:$AK$27,1,MIN(36,MAX(1,31+3*AG$31+0))),INDEX($B$27:$AK$27,1,MIN(36,MAX(1,31+3*AG$31+1))))))&lt;0.01,ABS(AD32-IF(AD$31&gt;=3,$B$200,IF(INDEX($B$27:$AK$27,1,MIN(36,MAX(1,28+3*AD$31+0)))&lt;&gt;"",INDEX($B$27:$AK$27,1,MIN(36,MAX(1,28+3*AD$31+0))),INDEX($B$27:$AK$27,1,MIN(36,MAX(1,28+3*AD$31+1))))))&lt;0.01,ABS(AA32-IF(AA$31&gt;=4,$B$200,IF(INDEX($B$27:$AK$27,1,MIN(36,MAX(1,25+3*AA$31+0)))&lt;&gt;"",INDEX($B$27:$AK$27,1,MIN(36,MAX(1,25+3*AA$31+0))),INDEX($B$27:$AK$27,1,MIN(36,MAX(1,25+3*AA$31+1))))))&lt;0.01,ABS(X32-IF(X$31&gt;=5,$B$200,IF(INDEX($B$27:$AK$27,1,MIN(36,MAX(1,22+3*X$31+0)))&lt;&gt;"",INDEX($B$27:$AK$27,1,MIN(36,MAX(1,22+3*X$31+0))),INDEX($B$27:$AK$27,1,MIN(36,MAX(1,22+3*X$31+1))))))&lt;0.01,ABS(U32-IF(U$31&gt;=6,$B$200,IF(INDEX($B$27:$AK$27,1,MIN(36,MAX(1,19+3*U$31+0)))&lt;&gt;"",INDEX($B$27:$AK$27,1,MIN(36,MAX(1,19+3*U$31+0))),INDEX($B$27:$AK$27,1,MIN(36,MAX(1,19+3*U$31+1))))))&lt;0.01,ABS(R32-IF(R$31&gt;=7,$B$200,IF(INDEX($B$27:$AK$27,1,MIN(36,MAX(1,16+3*R$31+0)))&lt;&gt;"",INDEX($B$27:$AK$27,1,MIN(36,MAX(1,16+3*R$31+0))),INDEX($B$27:$AK$27,1,MIN(36,MAX(1,16+3*R$31+1))))))&lt;0.01,ABS(O32-IF(O$31&gt;=8,$B$200,IF(INDEX($B$27:$AK$27,1,MIN(36,MAX(1,13+3*O$31+0)))&lt;&gt;"",INDEX($B$27:$AK$27,1,MIN(36,MAX(1,13+3*O$31+0))),INDEX($B$27:$AK$27,1,MIN(36,MAX(1,13+3*O$31+1))))))&lt;0.01,ABS(L32-IF(L$31&gt;=9,$B$200,IF(INDEX($B$27:$AK$27,1,MIN(36,MAX(1,10+3*L$31+0)))&lt;&gt;"",INDEX($B$27:$AK$27,1,MIN(36,MAX(1,10+3*L$31+0))),INDEX($B$27:$AK$27,1,MIN(36,MAX(1,10+3*L$31+1))))))&lt;0.01,ABS(I32-IF(I$31&gt;=10,$B$200,IF(INDEX($B$27:$AK$27,1,MIN(36,MAX(1,7+3*I$31+0)))&lt;&gt;"",INDEX($B$27:$AK$27,1,MIN(36,MAX(1,7+3*I$31+0))),INDEX($B$27:$AK$27,1,MIN(36,MAX(1,7+3*I$31+1))))))&lt;0.01,ABS(F32-IF(F$31&gt;=11,$B$200,IF(INDEX($B$27:$AK$27,1,MIN(36,MAX(1,4+3*F$31+0)))&lt;&gt;"",INDEX($B$27:$AK$27,1,MIN(36,MAX(1,4+3*F$31+0))),INDEX($B$27:$AK$27,1,MIN(36,MAX(1,4+3*F$31+1))))))&lt;0.01,ABS(C32-IF(C$31&gt;=12,$B$200,IF(INDEX($B$27:$AK$27,1,MIN(36,MAX(1,1+3*C$31+0)))&lt;&gt;"",INDEX($B$27:$AK$27,1,MIN(36,MAX(1,1+3*C$31+0))),INDEX($B$27:$AK$27,1,MIN(36,MAX(1,1+3*C$31+1))))))&lt;0.01),"OK","CHECK")</x:f>
        <x:v>OK</x:v>
      </x:c>
      <x:c r="C210" s="157"/>
      <x:c r="D210" s="157"/>
      <x:c r="E210" s="157"/>
      <x:c r="F210" s="157"/>
      <x:c r="G210" s="157"/>
      <x:c r="H210" s="157"/>
      <x:c r="I210" s="157"/>
      <x:c r="J210" s="157"/>
      <x:c r="K210" s="157"/>
      <x:c r="L210" s="157"/>
      <x:c r="M210" s="157"/>
      <x:c r="N210" s="157"/>
      <x:c r="O210" s="157"/>
      <x:c r="P210" s="157"/>
      <x:c r="Q210" s="157"/>
      <x:c r="R210" s="157"/>
      <x:c r="S210" s="157"/>
      <x:c r="T210" s="157"/>
      <x:c r="U210" s="157"/>
      <x:c r="V210" s="157"/>
      <x:c r="W210" s="157"/>
      <x:c r="X210" s="157"/>
      <x:c r="Y210" s="157"/>
      <x:c r="Z210" s="157"/>
      <x:c r="AA210" s="157"/>
      <x:c r="AB210" s="157"/>
      <x:c r="AC210" s="157"/>
      <x:c r="AD210" s="157"/>
      <x:c r="AE210" s="157"/>
      <x:c r="AF210" s="157"/>
      <x:c r="AG210" s="157"/>
      <x:c r="AH210" s="157"/>
      <x:c r="AI210" s="157"/>
      <x:c r="AJ210" s="157"/>
      <x:c r="AK210" s="157"/>
    </x:row>
    <x:row r="211" ht="22" customHeight="1">
      <x:c r="A211" s="144" t="str">
        <x:v>Total Cash timing equals all four function timings</x:v>
      </x:c>
      <x:c r="B211" s="162" t="str">
        <x:f>IF(AND(ABS(AJ192-SUM(AJ188:AJ191))&lt;0.01,ABS(AG192-SUM(AG188:AG191))&lt;0.01,ABS(AD192-SUM(AD188:AD191))&lt;0.01,ABS(AA192-SUM(AA188:AA191))&lt;0.01,ABS(X192-SUM(X188:X191))&lt;0.01,ABS(U192-SUM(U188:U191))&lt;0.01,ABS(R192-SUM(R188:R191))&lt;0.01,ABS(O192-SUM(O188:O191))&lt;0.01,ABS(L192-SUM(L188:L191))&lt;0.01,ABS(I192-SUM(I188:I191))&lt;0.01,ABS(F192-SUM(F188:F191))&lt;0.01,ABS(C192-SUM(C188:C191))&lt;0.01),"OK","CHECK")</x:f>
        <x:v>OK</x:v>
      </x:c>
      <x:c r="C211" s="157"/>
      <x:c r="D211" s="157"/>
      <x:c r="E211" s="157"/>
      <x:c r="F211" s="157"/>
      <x:c r="G211" s="157"/>
      <x:c r="H211" s="157"/>
      <x:c r="I211" s="157"/>
      <x:c r="J211" s="157"/>
      <x:c r="K211" s="157"/>
      <x:c r="L211" s="157"/>
      <x:c r="M211" s="157"/>
      <x:c r="N211" s="157"/>
      <x:c r="O211" s="157"/>
      <x:c r="P211" s="157"/>
      <x:c r="Q211" s="157"/>
      <x:c r="R211" s="157"/>
      <x:c r="S211" s="157"/>
      <x:c r="T211" s="157"/>
      <x:c r="U211" s="157"/>
      <x:c r="V211" s="157"/>
      <x:c r="W211" s="157"/>
      <x:c r="X211" s="157"/>
      <x:c r="Y211" s="157"/>
      <x:c r="Z211" s="157"/>
      <x:c r="AA211" s="157"/>
      <x:c r="AB211" s="157"/>
      <x:c r="AC211" s="157"/>
      <x:c r="AD211" s="157"/>
      <x:c r="AE211" s="157"/>
      <x:c r="AF211" s="157"/>
      <x:c r="AG211" s="157"/>
      <x:c r="AH211" s="157"/>
      <x:c r="AI211" s="157"/>
      <x:c r="AJ211" s="157"/>
      <x:c r="AK211" s="157"/>
    </x:row>
    <x:row r="212" ht="22" customHeight="1">
      <x:c r="A212" s="144" t="str">
        <x:v>Every function total equals its detailed accounts</x:v>
      </x:c>
      <x:c r="B212" s="162" t="str">
        <x:f>IF(AND(ABS(AJ57-SUM(AJ37:AJ45,AJ47:AJ55))&lt;0.01,ABS(AJ75-SUM(AJ60:AJ68,AJ70:AJ73))&lt;0.01,ABS(AJ94-SUM(AJ78:AJ86,AJ88:AJ92))&lt;0.01,ABS(AJ112-SUM(AJ97:AJ105,AJ107:AJ110))&lt;0.01,ABS(AJ129-SUM(AJ115:AJ123,AJ125:AJ127))&lt;0.01,ABS(AJ147-SUM(AJ132:AJ140,AJ142:AJ145))&lt;0.01,ABS(AJ166-SUM(AJ150:AJ158,AJ160:AJ164))&lt;0.01,ABS(AG57-SUM(AG37:AG45,AG47:AG55))&lt;0.01,ABS(AG75-SUM(AG60:AG68,AG70:AG73))&lt;0.01,ABS(AG94-SUM(AG78:AG86,AG88:AG92))&lt;0.01,ABS(AG112-SUM(AG97:AG105,AG107:AG110))&lt;0.01,ABS(AG129-SUM(AG115:AG123,AG125:AG127))&lt;0.01,ABS(AG147-SUM(AG132:AG140,AG142:AG145))&lt;0.01,ABS(AG166-SUM(AG150:AG158,AG160:AG164))&lt;0.01,ABS(AD57-SUM(AD37:AD45,AD47:AD55))&lt;0.01,ABS(AD75-SUM(AD60:AD68,AD70:AD73))&lt;0.01,ABS(AD94-SUM(AD78:AD86,AD88:AD92))&lt;0.01,ABS(AD112-SUM(AD97:AD105,AD107:AD110))&lt;0.01,ABS(AD129-SUM(AD115:AD123,AD125:AD127))&lt;0.01,ABS(AD147-SUM(AD132:AD140,AD142:AD145))&lt;0.01,ABS(AD166-SUM(AD150:AD158,AD160:AD164))&lt;0.01,ABS(AA57-SUM(AA37:AA45,AA47:AA55))&lt;0.01,ABS(AA75-SUM(AA60:AA68,AA70:AA73))&lt;0.01,ABS(AA94-SUM(AA78:AA86,AA88:AA92))&lt;0.01,ABS(AA112-SUM(AA97:AA105,AA107:AA110))&lt;0.01,ABS(AA129-SUM(AA115:AA123,AA125:AA127))&lt;0.01,ABS(AA147-SUM(AA132:AA140,AA142:AA145))&lt;0.01,ABS(AA166-SUM(AA150:AA158,AA160:AA164))&lt;0.01,ABS(X57-SUM(X37:X45,X47:X55))&lt;0.01,ABS(X75-SUM(X60:X68,X70:X73))&lt;0.01,ABS(X94-SUM(X78:X86,X88:X92))&lt;0.01,ABS(X112-SUM(X97:X105,X107:X110))&lt;0.01,ABS(X129-SUM(X115:X123,X125:X127))&lt;0.01,ABS(X147-SUM(X132:X140,X142:X145))&lt;0.01,ABS(X166-SUM(X150:X158,X160:X164))&lt;0.01,ABS(U57-SUM(U37:U45,U47:U55))&lt;0.01,ABS(U75-SUM(U60:U68,U70:U73))&lt;0.01,ABS(U94-SUM(U78:U86,U88:U92))&lt;0.01,ABS(U112-SUM(U97:U105,U107:U110))&lt;0.01,ABS(U129-SUM(U115:U123,U125:U127))&lt;0.01,ABS(U147-SUM(U132:U140,U142:U145))&lt;0.01,ABS(U166-SUM(U150:U158,U160:U164))&lt;0.01,ABS(R57-SUM(R37:R45,R47:R55))&lt;0.01,ABS(R75-SUM(R60:R68,R70:R73))&lt;0.01,ABS(R94-SUM(R78:R86,R88:R92))&lt;0.01,ABS(R112-SUM(R97:R105,R107:R110))&lt;0.01,ABS(R129-SUM(R115:R123,R125:R127))&lt;0.01,ABS(R147-SUM(R132:R140,R142:R145))&lt;0.01,ABS(R166-SUM(R150:R158,R160:R164))&lt;0.01,ABS(O57-SUM(O37:O45,O47:O55))&lt;0.01,ABS(O75-SUM(O60:O68,O70:O73))&lt;0.01,ABS(O94-SUM(O78:O86,O88:O92))&lt;0.01,ABS(O112-SUM(O97:O105,O107:O110))&lt;0.01,ABS(O129-SUM(O115:O123,O125:O127))&lt;0.01,ABS(O147-SUM(O132:O140,O142:O145))&lt;0.01,ABS(O166-SUM(O150:O158,O160:O164))&lt;0.01,ABS(L57-SUM(L37:L45,L47:L55))&lt;0.01,ABS(L75-SUM(L60:L68,L70:L73))&lt;0.01,ABS(L94-SUM(L78:L86,L88:L92))&lt;0.01,ABS(L112-SUM(L97:L105,L107:L110))&lt;0.01,ABS(L129-SUM(L115:L123,L125:L127))&lt;0.01,ABS(L147-SUM(L132:L140,L142:L145))&lt;0.01,ABS(L166-SUM(L150:L158,L160:L164))&lt;0.01,ABS(I57-SUM(I37:I45,I47:I55))&lt;0.01,ABS(I75-SUM(I60:I68,I70:I73))&lt;0.01,ABS(I94-SUM(I78:I86,I88:I92))&lt;0.01,ABS(I112-SUM(I97:I105,I107:I110))&lt;0.01,ABS(I129-SUM(I115:I123,I125:I127))&lt;0.01,ABS(I147-SUM(I132:I140,I142:I145))&lt;0.01,ABS(I166-SUM(I150:I158,I160:I164))&lt;0.01,ABS(F57-SUM(F37:F45,F47:F55))&lt;0.01,ABS(F75-SUM(F60:F68,F70:F73))&lt;0.01,ABS(F94-SUM(F78:F86,F88:F92))&lt;0.01,ABS(F112-SUM(F97:F105,F107:F110))&lt;0.01,ABS(F129-SUM(F115:F123,F125:F127))&lt;0.01,ABS(F147-SUM(F132:F140,F142:F145))&lt;0.01,ABS(F166-SUM(F150:F158,F160:F164))&lt;0.01,ABS(C57-SUM(C37:C45,C47:C55))&lt;0.01,ABS(C75-SUM(C60:C68,C70:C73))&lt;0.01,ABS(C94-SUM(C78:C86,C88:C92))&lt;0.01,ABS(C112-SUM(C97:C105,C107:C110))&lt;0.01,ABS(C129-SUM(C115:C123,C125:C127))&lt;0.01,ABS(C147-SUM(C132:C140,C142:C145))&lt;0.01,ABS(C166-SUM(C150:C158,C160:C164))&lt;0.01),"OK","CHECK")</x:f>
        <x:v>OK</x:v>
      </x:c>
      <x:c r="C212" s="157"/>
      <x:c r="D212" s="157"/>
      <x:c r="E212" s="157"/>
      <x:c r="F212" s="157"/>
      <x:c r="G212" s="157"/>
      <x:c r="H212" s="157"/>
      <x:c r="I212" s="157"/>
      <x:c r="J212" s="157"/>
      <x:c r="K212" s="157"/>
      <x:c r="L212" s="157"/>
      <x:c r="M212" s="157"/>
      <x:c r="N212" s="157"/>
      <x:c r="O212" s="157"/>
      <x:c r="P212" s="157"/>
      <x:c r="Q212" s="157"/>
      <x:c r="R212" s="157"/>
      <x:c r="S212" s="157"/>
      <x:c r="T212" s="157"/>
      <x:c r="U212" s="157"/>
      <x:c r="V212" s="157"/>
      <x:c r="W212" s="157"/>
      <x:c r="X212" s="157"/>
      <x:c r="Y212" s="157"/>
      <x:c r="Z212" s="157"/>
      <x:c r="AA212" s="157"/>
      <x:c r="AB212" s="157"/>
      <x:c r="AC212" s="157"/>
      <x:c r="AD212" s="157"/>
      <x:c r="AE212" s="157"/>
      <x:c r="AF212" s="157"/>
      <x:c r="AG212" s="157"/>
      <x:c r="AH212" s="157"/>
      <x:c r="AI212" s="157"/>
      <x:c r="AJ212" s="157"/>
      <x:c r="AK212" s="157"/>
    </x:row>
    <x:row r="213" ht="22" customHeight="1">
      <x:c r="A213" s="144" t="str">
        <x:v>Cost of Goods Sold equals the Delivery function total</x:v>
      </x:c>
      <x:c r="B213" s="162" t="str">
        <x:f>IF(AND(ABS(AJ176-AJ94)&lt;0.01,ABS(AG176-AG94)&lt;0.01,ABS(AD176-AD94)&lt;0.01,ABS(AA176-AA94)&lt;0.01,ABS(X176-X94)&lt;0.01,ABS(U176-U94)&lt;0.01,ABS(R176-R94)&lt;0.01,ABS(O176-O94)&lt;0.01,ABS(L176-L94)&lt;0.01,ABS(I176-I94)&lt;0.01,ABS(F176-F94)&lt;0.01,ABS(C176-C94)&lt;0.01),"OK","CHECK")</x:f>
        <x:v>OK</x:v>
      </x:c>
      <x:c r="C213" s="157"/>
      <x:c r="D213" s="157"/>
      <x:c r="E213" s="157"/>
      <x:c r="F213" s="157"/>
      <x:c r="G213" s="157"/>
      <x:c r="H213" s="157"/>
      <x:c r="I213" s="157"/>
      <x:c r="J213" s="157"/>
      <x:c r="K213" s="157"/>
      <x:c r="L213" s="157"/>
      <x:c r="M213" s="157"/>
      <x:c r="N213" s="157"/>
      <x:c r="O213" s="157"/>
      <x:c r="P213" s="157"/>
      <x:c r="Q213" s="157"/>
      <x:c r="R213" s="157"/>
      <x:c r="S213" s="157"/>
      <x:c r="T213" s="157"/>
      <x:c r="U213" s="157"/>
      <x:c r="V213" s="157"/>
      <x:c r="W213" s="157"/>
      <x:c r="X213" s="157"/>
      <x:c r="Y213" s="157"/>
      <x:c r="Z213" s="157"/>
      <x:c r="AA213" s="157"/>
      <x:c r="AB213" s="157"/>
      <x:c r="AC213" s="157"/>
      <x:c r="AD213" s="157"/>
      <x:c r="AE213" s="157"/>
      <x:c r="AF213" s="157"/>
      <x:c r="AG213" s="157"/>
      <x:c r="AH213" s="157"/>
      <x:c r="AI213" s="157"/>
      <x:c r="AJ213" s="157"/>
      <x:c r="AK213" s="157"/>
    </x:row>
    <x:row r="214" ht="22" customHeight="1">
      <x:c r="A214" s="144" t="str">
        <x:v>Operating Expenses equal all non-delivery function totals</x:v>
      </x:c>
      <x:c r="B214" s="162" t="str">
        <x:f>IF(AND(ABS(AJ177-SUM(AJ57,AJ75,AJ112,AJ129,AJ147,AJ166))&lt;0.01,ABS(AG177-SUM(AG57,AG75,AG112,AG129,AG147,AG166))&lt;0.01,ABS(AD177-SUM(AD57,AD75,AD112,AD129,AD147,AD166))&lt;0.01,ABS(AA177-SUM(AA57,AA75,AA112,AA129,AA147,AA166))&lt;0.01,ABS(X177-SUM(X57,X75,X112,X129,X147,X166))&lt;0.01,ABS(U177-SUM(U57,U75,U112,U129,U147,U166))&lt;0.01,ABS(R177-SUM(R57,R75,R112,R129,R147,R166))&lt;0.01,ABS(O177-SUM(O57,O75,O112,O129,O147,O166))&lt;0.01,ABS(L177-SUM(L57,L75,L112,L129,L147,L166))&lt;0.01,ABS(I177-SUM(I57,I75,I112,I129,I147,I166))&lt;0.01,ABS(F177-SUM(F57,F75,F112,F129,F147,F166))&lt;0.01,ABS(C177-SUM(C57,C75,C112,C129,C147,C166))&lt;0.01),"OK","CHECK")</x:f>
        <x:v>OK</x:v>
      </x:c>
      <x:c r="C214" s="157"/>
      <x:c r="D214" s="157"/>
      <x:c r="E214" s="157"/>
      <x:c r="F214" s="157"/>
      <x:c r="G214" s="157"/>
      <x:c r="H214" s="157"/>
      <x:c r="I214" s="157"/>
      <x:c r="J214" s="157"/>
      <x:c r="K214" s="157"/>
      <x:c r="L214" s="157"/>
      <x:c r="M214" s="157"/>
      <x:c r="N214" s="157"/>
      <x:c r="O214" s="157"/>
      <x:c r="P214" s="157"/>
      <x:c r="Q214" s="157"/>
      <x:c r="R214" s="157"/>
      <x:c r="S214" s="157"/>
      <x:c r="T214" s="157"/>
      <x:c r="U214" s="157"/>
      <x:c r="V214" s="157"/>
      <x:c r="W214" s="157"/>
      <x:c r="X214" s="157"/>
      <x:c r="Y214" s="157"/>
      <x:c r="Z214" s="157"/>
      <x:c r="AA214" s="157"/>
      <x:c r="AB214" s="157"/>
      <x:c r="AC214" s="157"/>
      <x:c r="AD214" s="157"/>
      <x:c r="AE214" s="157"/>
      <x:c r="AF214" s="157"/>
      <x:c r="AG214" s="157"/>
      <x:c r="AH214" s="157"/>
      <x:c r="AI214" s="157"/>
      <x:c r="AJ214" s="157"/>
      <x:c r="AK214" s="157"/>
    </x:row>
    <x:row r="215" ht="22" customHeight="1">
      <x:c r="A215" s="144" t="str">
        <x:v>Total Cash Out equals COGS, operating expenses and other Cash out</x:v>
      </x:c>
      <x:c r="B215" s="162" t="str">
        <x:f>IF(AND(ABS(AJ179-SUM(AJ176:AJ178))&lt;0.01,ABS(AG179-SUM(AG176:AG178))&lt;0.01,ABS(AD179-SUM(AD176:AD178))&lt;0.01,ABS(AA179-SUM(AA176:AA178))&lt;0.01,ABS(X179-SUM(X176:X178))&lt;0.01,ABS(U179-SUM(U176:U178))&lt;0.01,ABS(R179-SUM(R176:R178))&lt;0.01,ABS(O179-SUM(O176:O178))&lt;0.01,ABS(L179-SUM(L176:L178))&lt;0.01,ABS(I179-SUM(I176:I178))&lt;0.01,ABS(F179-SUM(F176:F178))&lt;0.01,ABS(C179-SUM(C176:C178))&lt;0.01),"OK","CHECK")</x:f>
        <x:v>OK</x:v>
      </x:c>
      <x:c r="C215" s="157"/>
      <x:c r="D215" s="157"/>
      <x:c r="E215" s="157"/>
      <x:c r="F215" s="157"/>
      <x:c r="G215" s="157"/>
      <x:c r="H215" s="157"/>
      <x:c r="I215" s="157"/>
      <x:c r="J215" s="157"/>
      <x:c r="K215" s="157"/>
      <x:c r="L215" s="157"/>
      <x:c r="M215" s="157"/>
      <x:c r="N215" s="157"/>
      <x:c r="O215" s="157"/>
      <x:c r="P215" s="157"/>
      <x:c r="Q215" s="157"/>
      <x:c r="R215" s="157"/>
      <x:c r="S215" s="157"/>
      <x:c r="T215" s="157"/>
      <x:c r="U215" s="157"/>
      <x:c r="V215" s="157"/>
      <x:c r="W215" s="157"/>
      <x:c r="X215" s="157"/>
      <x:c r="Y215" s="157"/>
      <x:c r="Z215" s="157"/>
      <x:c r="AA215" s="157"/>
      <x:c r="AB215" s="157"/>
      <x:c r="AC215" s="157"/>
      <x:c r="AD215" s="157"/>
      <x:c r="AE215" s="157"/>
      <x:c r="AF215" s="157"/>
      <x:c r="AG215" s="157"/>
      <x:c r="AH215" s="157"/>
      <x:c r="AI215" s="157"/>
      <x:c r="AJ215" s="157"/>
      <x:c r="AK215" s="157"/>
    </x:row>
    <x:row r="216" ht="22" customHeight="1">
      <x:c r="A216" s="144" t="str">
        <x:v>Collected invoices translate into Cash in</x:v>
      </x:c>
      <x:c r="B216" s="162" t="str">
        <x:f>IF(AND(ABS(AJ34-AJ33*AJ15)&lt;0.01,ABS(AG34-AG33*AG15)&lt;0.01,ABS(AD34-AD33*AD15)&lt;0.01,ABS(AA34-AA33*AA15)&lt;0.01,ABS(X34-X33*X15)&lt;0.01,ABS(U34-U33*U15)&lt;0.01,ABS(R34-R33*R15)&lt;0.01,ABS(O34-O33*O15)&lt;0.01,ABS(L34-L33*L15)&lt;0.01,ABS(I34-I33*I15)&lt;0.01,ABS(F34-F33*F15)&lt;0.01,ABS(C34-C33*C15)&lt;0.01),"OK","CHECK")</x:f>
        <x:v>OK</x:v>
      </x:c>
      <x:c r="C216" s="157"/>
      <x:c r="D216" s="157"/>
      <x:c r="E216" s="157"/>
      <x:c r="F216" s="157"/>
      <x:c r="G216" s="157"/>
      <x:c r="H216" s="157"/>
      <x:c r="I216" s="157"/>
      <x:c r="J216" s="157"/>
      <x:c r="K216" s="157"/>
      <x:c r="L216" s="157"/>
      <x:c r="M216" s="157"/>
      <x:c r="N216" s="157"/>
      <x:c r="O216" s="157"/>
      <x:c r="P216" s="157"/>
      <x:c r="Q216" s="157"/>
      <x:c r="R216" s="157"/>
      <x:c r="S216" s="157"/>
      <x:c r="T216" s="157"/>
      <x:c r="U216" s="157"/>
      <x:c r="V216" s="157"/>
      <x:c r="W216" s="157"/>
      <x:c r="X216" s="157"/>
      <x:c r="Y216" s="157"/>
      <x:c r="Z216" s="157"/>
      <x:c r="AA216" s="157"/>
      <x:c r="AB216" s="157"/>
      <x:c r="AC216" s="157"/>
      <x:c r="AD216" s="157"/>
      <x:c r="AE216" s="157"/>
      <x:c r="AF216" s="157"/>
      <x:c r="AG216" s="157"/>
      <x:c r="AH216" s="157"/>
      <x:c r="AI216" s="157"/>
      <x:c r="AJ216" s="157"/>
      <x:c r="AK216" s="157"/>
    </x:row>
    <x:row r="217" ht="22" customHeight="1">
      <x:c r="A217" s="144" t="str">
        <x:v>Model status</x:v>
      </x:c>
      <x:c r="B217" s="162" t="str">
        <x:f>IF(COUNTIF(B204:B216,"OK")=13,"PASS","CHECK")</x:f>
        <x:v>PASS</x:v>
      </x:c>
      <x:c r="C217" s="157"/>
      <x:c r="D217" s="157"/>
      <x:c r="E217" s="157"/>
      <x:c r="F217" s="157"/>
      <x:c r="G217" s="157"/>
      <x:c r="H217" s="157"/>
      <x:c r="I217" s="157"/>
      <x:c r="J217" s="157"/>
      <x:c r="K217" s="157"/>
      <x:c r="L217" s="157"/>
      <x:c r="M217" s="157"/>
      <x:c r="N217" s="157"/>
      <x:c r="O217" s="157"/>
      <x:c r="P217" s="157"/>
      <x:c r="Q217" s="157"/>
      <x:c r="R217" s="157"/>
      <x:c r="S217" s="157"/>
      <x:c r="T217" s="157"/>
      <x:c r="U217" s="157"/>
      <x:c r="V217" s="157"/>
      <x:c r="W217" s="157"/>
      <x:c r="X217" s="157"/>
      <x:c r="Y217" s="157"/>
      <x:c r="Z217" s="157"/>
      <x:c r="AA217" s="157"/>
      <x:c r="AB217" s="157"/>
      <x:c r="AC217" s="157"/>
      <x:c r="AD217" s="157"/>
      <x:c r="AE217" s="157"/>
      <x:c r="AF217" s="157"/>
      <x:c r="AG217" s="157"/>
      <x:c r="AH217" s="157"/>
      <x:c r="AI217" s="157"/>
      <x:c r="AJ217" s="157"/>
      <x:c r="AK217" s="157"/>
    </x:row>
  </x:sheetData>
  <x:mergeCells>
    <x:mergeCell ref="A1:AK1"/>
    <x:mergeCell ref="A2:AK2"/>
    <x:mergeCell ref="A3:A4"/>
    <x:mergeCell ref="AI3:AK3"/>
    <x:mergeCell ref="AF3:AH3"/>
    <x:mergeCell ref="AC3:AE3"/>
    <x:mergeCell ref="Z3:AB3"/>
    <x:mergeCell ref="W3:Y3"/>
    <x:mergeCell ref="T3:V3"/>
    <x:mergeCell ref="Q3:S3"/>
    <x:mergeCell ref="N3:P3"/>
    <x:mergeCell ref="K3:M3"/>
    <x:mergeCell ref="H3:J3"/>
    <x:mergeCell ref="E3:G3"/>
    <x:mergeCell ref="B3:D3"/>
    <x:mergeCell ref="A5:AK5"/>
    <x:mergeCell ref="A11:AK11"/>
    <x:mergeCell ref="A18:AK18"/>
    <x:mergeCell ref="A30:AK30"/>
    <x:mergeCell ref="A36:AK36"/>
    <x:mergeCell ref="A59:AK59"/>
    <x:mergeCell ref="A77:AK77"/>
    <x:mergeCell ref="A96:AK96"/>
    <x:mergeCell ref="A114:AK114"/>
    <x:mergeCell ref="A131:AK131"/>
    <x:mergeCell ref="A149:AK149"/>
    <x:mergeCell ref="A168:AK168"/>
    <x:mergeCell ref="A175:AK175"/>
    <x:mergeCell ref="A187:AK187"/>
    <x:mergeCell ref="A194:AK194"/>
    <x:mergeCell ref="A203:AK203"/>
  </x:mergeCells>
  <x:conditionalFormatting sqref="AJ184:AJ184">
    <x:cfRule type="cellIs" dxfId="0" priority="1" operator="lessThan">
      <x:formula>0</x:formula>
    </x:cfRule>
  </x:conditionalFormatting>
  <x:conditionalFormatting sqref="AJ185:AJ185">
    <x:cfRule type="containsText" dxfId="1" priority="2" operator="containsText" text="ACTION"/>
  </x:conditionalFormatting>
  <x:conditionalFormatting sqref="AG184:AG184">
    <x:cfRule type="cellIs" dxfId="2" priority="3" operator="lessThan">
      <x:formula>0</x:formula>
    </x:cfRule>
  </x:conditionalFormatting>
  <x:conditionalFormatting sqref="AG185:AG185">
    <x:cfRule type="containsText" dxfId="3" priority="4" operator="containsText" text="ACTION"/>
  </x:conditionalFormatting>
  <x:conditionalFormatting sqref="AD184:AD184">
    <x:cfRule type="cellIs" dxfId="4" priority="5" operator="lessThan">
      <x:formula>0</x:formula>
    </x:cfRule>
  </x:conditionalFormatting>
  <x:conditionalFormatting sqref="AD185:AD185">
    <x:cfRule type="containsText" dxfId="5" priority="6" operator="containsText" text="ACTION"/>
  </x:conditionalFormatting>
  <x:conditionalFormatting sqref="AA184:AA184">
    <x:cfRule type="cellIs" dxfId="6" priority="7" operator="lessThan">
      <x:formula>0</x:formula>
    </x:cfRule>
  </x:conditionalFormatting>
  <x:conditionalFormatting sqref="AA185:AA185">
    <x:cfRule type="containsText" dxfId="7" priority="8" operator="containsText" text="ACTION"/>
  </x:conditionalFormatting>
  <x:conditionalFormatting sqref="X184:X184">
    <x:cfRule type="cellIs" dxfId="8" priority="9" operator="lessThan">
      <x:formula>0</x:formula>
    </x:cfRule>
  </x:conditionalFormatting>
  <x:conditionalFormatting sqref="X185:X185">
    <x:cfRule type="containsText" dxfId="9" priority="10" operator="containsText" text="ACTION"/>
  </x:conditionalFormatting>
  <x:conditionalFormatting sqref="U184:U184">
    <x:cfRule type="cellIs" dxfId="10" priority="11" operator="lessThan">
      <x:formula>0</x:formula>
    </x:cfRule>
  </x:conditionalFormatting>
  <x:conditionalFormatting sqref="U185:U185">
    <x:cfRule type="containsText" dxfId="11" priority="12" operator="containsText" text="ACTION"/>
  </x:conditionalFormatting>
  <x:conditionalFormatting sqref="R184:R184">
    <x:cfRule type="cellIs" dxfId="12" priority="13" operator="lessThan">
      <x:formula>0</x:formula>
    </x:cfRule>
  </x:conditionalFormatting>
  <x:conditionalFormatting sqref="R185:R185">
    <x:cfRule type="containsText" dxfId="13" priority="14" operator="containsText" text="ACTION"/>
  </x:conditionalFormatting>
  <x:conditionalFormatting sqref="O184:O184">
    <x:cfRule type="cellIs" dxfId="14" priority="15" operator="lessThan">
      <x:formula>0</x:formula>
    </x:cfRule>
  </x:conditionalFormatting>
  <x:conditionalFormatting sqref="O185:O185">
    <x:cfRule type="containsText" dxfId="15" priority="16" operator="containsText" text="ACTION"/>
  </x:conditionalFormatting>
  <x:conditionalFormatting sqref="L184:L184">
    <x:cfRule type="cellIs" dxfId="16" priority="17" operator="lessThan">
      <x:formula>0</x:formula>
    </x:cfRule>
  </x:conditionalFormatting>
  <x:conditionalFormatting sqref="L185:L185">
    <x:cfRule type="containsText" dxfId="17" priority="18" operator="containsText" text="ACTION"/>
  </x:conditionalFormatting>
  <x:conditionalFormatting sqref="I184:I184">
    <x:cfRule type="cellIs" dxfId="18" priority="19" operator="lessThan">
      <x:formula>0</x:formula>
    </x:cfRule>
  </x:conditionalFormatting>
  <x:conditionalFormatting sqref="I185:I185">
    <x:cfRule type="containsText" dxfId="19" priority="20" operator="containsText" text="ACTION"/>
  </x:conditionalFormatting>
  <x:conditionalFormatting sqref="F184:F184">
    <x:cfRule type="cellIs" dxfId="20" priority="21" operator="lessThan">
      <x:formula>0</x:formula>
    </x:cfRule>
  </x:conditionalFormatting>
  <x:conditionalFormatting sqref="F185:F185">
    <x:cfRule type="containsText" dxfId="21" priority="22" operator="containsText" text="ACTION"/>
  </x:conditionalFormatting>
  <x:conditionalFormatting sqref="C184:C184">
    <x:cfRule type="cellIs" dxfId="22" priority="23" operator="lessThan">
      <x:formula>0</x:formula>
    </x:cfRule>
  </x:conditionalFormatting>
  <x:conditionalFormatting sqref="C185:C185">
    <x:cfRule type="containsText" dxfId="23" priority="24" operator="containsText" text="ACTION"/>
  </x:conditionalFormatting>
  <x:pageMargins left="0.7" right="0.7" top="0.75" bottom="0.75" header="0.3" footer="0.3"/>
</x:worksheet>
</file>