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Month Cash Forecast" sheetId="1" r:id="rId5"/>
    <sheet state="visible" name="Example" sheetId="2" r:id="rId6"/>
  </sheets>
  <definedNames/>
  <calcPr/>
</workbook>
</file>

<file path=xl/sharedStrings.xml><?xml version="1.0" encoding="utf-8"?>
<sst xmlns="http://schemas.openxmlformats.org/spreadsheetml/2006/main" count="298" uniqueCount="101">
  <si>
    <t>EO Accelerator 12-Month Cash Forecast</t>
  </si>
  <si>
    <t>EO Accelerator 12-Month Cash Forecast: Example</t>
  </si>
  <si>
    <t>Model row</t>
  </si>
  <si>
    <t>12-Month Total</t>
  </si>
  <si>
    <t>Actual</t>
  </si>
  <si>
    <t>Rolling</t>
  </si>
  <si>
    <t>Approved</t>
  </si>
  <si>
    <t>Variance</t>
  </si>
  <si>
    <t>KFFM CASH DRIVERS</t>
  </si>
  <si>
    <t>Prospect enquiries [count]</t>
  </si>
  <si>
    <t>Enquiry-to-qualified-lead conversion [%]</t>
  </si>
  <si>
    <t>Average lead qualification time [days]</t>
  </si>
  <si>
    <t>Qualified leads [count]</t>
  </si>
  <si>
    <t>Qualified-lead-to-contract conversion [%]</t>
  </si>
  <si>
    <t>Average sales close time [days]</t>
  </si>
  <si>
    <t>Signed contracts [count]</t>
  </si>
  <si>
    <t>Average revenue per signed contract [$]</t>
  </si>
  <si>
    <t>Average delivery completion time [days]</t>
  </si>
  <si>
    <t>Delivery resources available [count]</t>
  </si>
  <si>
    <t>Delivery capacity per resource [contracts/month]</t>
  </si>
  <si>
    <t>Total delivery capacity [contracts/month]</t>
  </si>
  <si>
    <t>Variable cost per completed contract [$]</t>
  </si>
  <si>
    <t>Opening delivery backlog [contracts]</t>
  </si>
  <si>
    <t>Contracts scheduled for completion [count]</t>
  </si>
  <si>
    <t>Contracts completed [count]</t>
  </si>
  <si>
    <t>Closing delivery backlog [contracts]</t>
  </si>
  <si>
    <t>Average customer payment time [days]</t>
  </si>
  <si>
    <t>Total time from prospect enquiry to Cash [days]</t>
  </si>
  <si>
    <t>REVENUE</t>
  </si>
  <si>
    <t>Revenue from completed contracts</t>
  </si>
  <si>
    <t>COST OF GOODS SOLD</t>
  </si>
  <si>
    <t>Direct Delivery Contractors and Freelancers</t>
  </si>
  <si>
    <t>Materials and Direct Inputs</t>
  </si>
  <si>
    <t>Freight, Fulfilment and Shipping</t>
  </si>
  <si>
    <t>Direct Hosting and Transaction Fees</t>
  </si>
  <si>
    <t>Direct Equipment Rental</t>
  </si>
  <si>
    <t>Sales Commissions</t>
  </si>
  <si>
    <t>Total Cost of Goods Sold</t>
  </si>
  <si>
    <t>GROSS PROFIT</t>
  </si>
  <si>
    <t>Gross Profit</t>
  </si>
  <si>
    <t>EXPENSES</t>
  </si>
  <si>
    <t>Salaries and Wages</t>
  </si>
  <si>
    <t>Contractors and Freelancers</t>
  </si>
  <si>
    <t>Recruiting</t>
  </si>
  <si>
    <t>Training and Development</t>
  </si>
  <si>
    <t>Software Subscriptions</t>
  </si>
  <si>
    <t>Dues and Subscriptions</t>
  </si>
  <si>
    <t>Travel, Meals and Entertainment</t>
  </si>
  <si>
    <t>Advertising and Paid Media</t>
  </si>
  <si>
    <t>Content and Creative Production</t>
  </si>
  <si>
    <t>Website and SEO</t>
  </si>
  <si>
    <t>Events and Trade Shows</t>
  </si>
  <si>
    <t>Facilities and Rent</t>
  </si>
  <si>
    <t>Banking and Merchant Fees</t>
  </si>
  <si>
    <t>Insurance</t>
  </si>
  <si>
    <t>Legal and Professional Services</t>
  </si>
  <si>
    <t>Total Expenses</t>
  </si>
  <si>
    <t>OPERATING RESULT</t>
  </si>
  <si>
    <t>Operating Profit / (Loss)</t>
  </si>
  <si>
    <t>CASH FORECAST</t>
  </si>
  <si>
    <t>Cash collected</t>
  </si>
  <si>
    <t>Cost of Goods Sold paid</t>
  </si>
  <si>
    <t>Expenses paid</t>
  </si>
  <si>
    <t>Other Cash in</t>
  </si>
  <si>
    <t>Income Tax Paid</t>
  </si>
  <si>
    <t>Equipment Purchases</t>
  </si>
  <si>
    <t>Debt Principal and Interest</t>
  </si>
  <si>
    <t>Owner Distributions</t>
  </si>
  <si>
    <t>Total Other Cash Out</t>
  </si>
  <si>
    <t>Net Change in Cash</t>
  </si>
  <si>
    <t>Opening Cash</t>
  </si>
  <si>
    <t>Closing Cash</t>
  </si>
  <si>
    <t>Minimum Cash Reserve</t>
  </si>
  <si>
    <t>Cash Above / (Below) Reserve</t>
  </si>
  <si>
    <t>Status</t>
  </si>
  <si>
    <t>Opening delivery backlog value</t>
  </si>
  <si>
    <t>Contracts scheduled value</t>
  </si>
  <si>
    <t>OPENING POSITION</t>
  </si>
  <si>
    <t>Forecast start month</t>
  </si>
  <si>
    <t>Qualified leads at model start [count]</t>
  </si>
  <si>
    <t>Signed contracts at model start [count]</t>
  </si>
  <si>
    <t>Completed contracts awaiting collection [count]</t>
  </si>
  <si>
    <t>MODEL CHECKS</t>
  </si>
  <si>
    <t>Timing inputs are non-negative days</t>
  </si>
  <si>
    <t>Conversion inputs are between 0% and 100%</t>
  </si>
  <si>
    <t>Operating and opening inputs are non-negative</t>
  </si>
  <si>
    <t>Actual months are complete, empty, and consecutive</t>
  </si>
  <si>
    <t>Delivery capacity equals resources times capacity</t>
  </si>
  <si>
    <t>Completed contracts do not exceed capacity</t>
  </si>
  <si>
    <t>Delivery backlog carries forward</t>
  </si>
  <si>
    <t>Signed-contract value follows delivery</t>
  </si>
  <si>
    <t>COGS equals detailed accounts</t>
  </si>
  <si>
    <t>Expenses equal detailed accounts</t>
  </si>
  <si>
    <t>Operating result equals Gross Profit less Expenses</t>
  </si>
  <si>
    <t>Net Cash change reconciles</t>
  </si>
  <si>
    <t>Closing Cash carries forward</t>
  </si>
  <si>
    <t>Total Cash timing equals four timing inputs</t>
  </si>
  <si>
    <t>No visible formula errors</t>
  </si>
  <si>
    <t>Model status</t>
  </si>
  <si>
    <t>Month closed (all Actual inputs entered)</t>
  </si>
  <si>
    <t>Month usable (this and every earlier month closed)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</si>
</sst>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0;[Red](#,##0);-"/>
    <numFmt numFmtId="166" formatCode="0.0%;[Red](0.0%);-"/>
    <numFmt numFmtId="167" formatCode="$#,##0;[Red]($#,##0);-"/>
  </numFmts>
  <fonts count="11">
    <font>
      <sz val="11.0"/>
      <color rgb="FF000000"/>
      <name val="Carlito"/>
      <scheme val="minor"/>
    </font>
    <font>
      <b/>
      <sz val="20.0"/>
      <color rgb="FFFFFFFF"/>
      <name val="Carlito"/>
    </font>
    <font>
      <sz val="11.0"/>
      <color rgb="FF303030"/>
      <name val="Carlito"/>
    </font>
    <font>
      <b/>
      <sz val="11.0"/>
      <color rgb="FF303030"/>
      <name val="Carlito"/>
    </font>
    <font/>
    <font>
      <b/>
      <sz val="11.0"/>
      <color rgb="FFFFFFFF"/>
      <name val="Carlito"/>
    </font>
    <font>
      <b/>
      <sz val="10.0"/>
      <color rgb="FFFFFFFF"/>
      <name val="Carlito"/>
    </font>
    <font>
      <color theme="1"/>
      <name val="Carlito"/>
      <scheme val="minor"/>
    </font>
    <font>
      <i/>
      <sz val="11.0"/>
      <color rgb="FF676767"/>
      <name val="Carlito"/>
    </font>
    <font>
      <sz val="11.0"/>
      <color rgb="FF0000FF"/>
      <name val="Carlito"/>
    </font>
    <font>
      <b/>
      <sz val="11.0"/>
      <color rgb="FF2E7F49"/>
      <name val="Carlito"/>
    </font>
  </fonts>
  <fills count="12">
    <fill>
      <patternFill patternType="none"/>
    </fill>
    <fill>
      <patternFill patternType="lightGray"/>
    </fill>
    <fill>
      <patternFill patternType="solid">
        <fgColor rgb="FF303030"/>
        <bgColor rgb="FF303030"/>
      </patternFill>
    </fill>
    <fill>
      <patternFill patternType="solid">
        <fgColor rgb="FFFFFFFF"/>
        <bgColor rgb="FFFFFFFF"/>
      </patternFill>
    </fill>
    <fill>
      <patternFill patternType="solid">
        <fgColor rgb="FFF7F7F4"/>
        <bgColor rgb="FFF7F7F4"/>
      </patternFill>
    </fill>
    <fill>
      <patternFill patternType="solid">
        <fgColor rgb="FFB7B7B2"/>
        <bgColor rgb="FFB7B7B2"/>
      </patternFill>
    </fill>
    <fill>
      <patternFill patternType="solid">
        <fgColor rgb="FF2E7F49"/>
        <bgColor rgb="FF2E7F49"/>
      </patternFill>
    </fill>
    <fill>
      <patternFill patternType="solid">
        <fgColor rgb="FF326AB5"/>
        <bgColor rgb="FF326AB5"/>
      </patternFill>
    </fill>
    <fill>
      <patternFill patternType="solid">
        <fgColor rgb="FF676767"/>
        <bgColor rgb="FF676767"/>
      </patternFill>
    </fill>
    <fill>
      <patternFill patternType="solid">
        <fgColor rgb="FFF0F0ED"/>
        <bgColor rgb="FFF0F0ED"/>
      </patternFill>
    </fill>
    <fill>
      <patternFill patternType="solid">
        <fgColor rgb="FFEAF6ED"/>
        <bgColor rgb="FFEAF6ED"/>
      </patternFill>
    </fill>
    <fill>
      <patternFill patternType="solid">
        <fgColor rgb="FFEAF1FA"/>
        <bgColor rgb="FFEAF1FA"/>
      </patternFill>
    </fill>
  </fills>
  <borders count="3">
    <border/>
    <border>
      <bottom style="thin">
        <color rgb="FFD9D9D4"/>
      </bottom>
    </border>
    <border>
      <top style="thin">
        <color rgb="FF303030"/>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vertical="center"/>
    </xf>
    <xf borderId="0" fillId="4" fontId="3" numFmtId="0" xfId="0" applyAlignment="1" applyFill="1" applyFont="1">
      <alignment vertical="center"/>
    </xf>
    <xf borderId="1" fillId="4" fontId="3" numFmtId="0" xfId="0" applyAlignment="1" applyBorder="1" applyFill="1" applyFont="1">
      <alignment horizontal="center"/>
    </xf>
    <xf borderId="1" fillId="0" fontId="4" numFmtId="0" xfId="0" applyBorder="1" applyFont="1"/>
    <xf borderId="1" fillId="3" fontId="3" numFmtId="164" xfId="0" applyAlignment="1" applyBorder="1" applyFill="1" applyFont="1" applyNumberFormat="1">
      <alignment horizontal="center"/>
    </xf>
    <xf borderId="1" fillId="4" fontId="3" numFmtId="164" xfId="0" applyAlignment="1" applyBorder="1" applyFill="1" applyFont="1" applyNumberFormat="1">
      <alignment horizontal="center"/>
    </xf>
    <xf borderId="0" fillId="5" fontId="5" numFmtId="0" xfId="0" applyAlignment="1" applyFill="1" applyFont="1">
      <alignment horizontal="center"/>
    </xf>
    <xf borderId="0" fillId="6" fontId="5" numFmtId="0" xfId="0" applyAlignment="1" applyFill="1" applyFont="1">
      <alignment horizontal="center"/>
    </xf>
    <xf borderId="0" fillId="7" fontId="5" numFmtId="0" xfId="0" applyAlignment="1" applyFill="1" applyFont="1">
      <alignment horizontal="center"/>
    </xf>
    <xf borderId="0" fillId="8" fontId="5" numFmtId="0" xfId="0" applyAlignment="1" applyFill="1" applyFont="1">
      <alignment horizontal="center"/>
    </xf>
    <xf borderId="0" fillId="2" fontId="6" numFmtId="0" xfId="0" applyAlignment="1" applyFill="1" applyFont="1">
      <alignment vertical="center"/>
    </xf>
    <xf borderId="0" fillId="9" fontId="7" numFmtId="165" xfId="0" applyAlignment="1" applyFill="1" applyFont="1" applyNumberFormat="1">
      <alignment horizontal="right"/>
    </xf>
    <xf borderId="0" fillId="10" fontId="7" numFmtId="165" xfId="0" applyAlignment="1" applyFill="1" applyFont="1" applyNumberFormat="1">
      <alignment horizontal="right"/>
    </xf>
    <xf borderId="0" fillId="11" fontId="7" numFmtId="165" xfId="0" applyAlignment="1" applyFill="1" applyFont="1" applyNumberFormat="1">
      <alignment horizontal="right"/>
    </xf>
    <xf borderId="0" fillId="3" fontId="8" numFmtId="165" xfId="0" applyAlignment="1" applyFill="1" applyFont="1" applyNumberFormat="1">
      <alignment horizontal="right"/>
    </xf>
    <xf borderId="0" fillId="9" fontId="9" numFmtId="165" xfId="0" applyAlignment="1" applyFill="1" applyFont="1" applyNumberFormat="1">
      <alignment horizontal="right"/>
    </xf>
    <xf borderId="0" fillId="11" fontId="9" numFmtId="165" xfId="0" applyAlignment="1" applyFill="1" applyFont="1" applyNumberFormat="1">
      <alignment horizontal="right"/>
    </xf>
    <xf borderId="0" fillId="9" fontId="7" numFmtId="166" xfId="0" applyAlignment="1" applyFill="1" applyFont="1" applyNumberFormat="1">
      <alignment horizontal="right"/>
    </xf>
    <xf borderId="0" fillId="10" fontId="7" numFmtId="166" xfId="0" applyAlignment="1" applyFill="1" applyFont="1" applyNumberFormat="1">
      <alignment horizontal="right"/>
    </xf>
    <xf borderId="0" fillId="11" fontId="7" numFmtId="166" xfId="0" applyAlignment="1" applyFill="1" applyFont="1" applyNumberFormat="1">
      <alignment horizontal="right"/>
    </xf>
    <xf borderId="0" fillId="3" fontId="8" numFmtId="166" xfId="0" applyAlignment="1" applyFill="1" applyFont="1" applyNumberFormat="1">
      <alignment horizontal="right"/>
    </xf>
    <xf borderId="0" fillId="11" fontId="9" numFmtId="166" xfId="0" applyAlignment="1" applyFill="1" applyFont="1" applyNumberFormat="1">
      <alignment horizontal="right"/>
    </xf>
    <xf borderId="0" fillId="9" fontId="7" numFmtId="1" xfId="0" applyAlignment="1" applyFill="1" applyFont="1" applyNumberFormat="1">
      <alignment horizontal="right"/>
    </xf>
    <xf borderId="0" fillId="10" fontId="7" numFmtId="1" xfId="0" applyAlignment="1" applyFill="1" applyFont="1" applyNumberFormat="1">
      <alignment horizontal="right"/>
    </xf>
    <xf borderId="0" fillId="11" fontId="7" numFmtId="1" xfId="0" applyAlignment="1" applyFill="1" applyFont="1" applyNumberFormat="1">
      <alignment horizontal="right"/>
    </xf>
    <xf borderId="0" fillId="3" fontId="8" numFmtId="1" xfId="0" applyAlignment="1" applyFill="1" applyFont="1" applyNumberFormat="1">
      <alignment horizontal="right"/>
    </xf>
    <xf borderId="0" fillId="9" fontId="9" numFmtId="1" xfId="0" applyAlignment="1" applyFill="1" applyFont="1" applyNumberFormat="1">
      <alignment horizontal="right"/>
    </xf>
    <xf borderId="0" fillId="11" fontId="9" numFmtId="1" xfId="0" applyAlignment="1" applyFill="1" applyFont="1" applyNumberFormat="1">
      <alignment horizontal="right"/>
    </xf>
    <xf borderId="0" fillId="9" fontId="7" numFmtId="167" xfId="0" applyAlignment="1" applyFill="1" applyFont="1" applyNumberFormat="1">
      <alignment horizontal="right"/>
    </xf>
    <xf borderId="0" fillId="10" fontId="7" numFmtId="167" xfId="0" applyAlignment="1" applyFill="1" applyFont="1" applyNumberFormat="1">
      <alignment horizontal="right"/>
    </xf>
    <xf borderId="0" fillId="11" fontId="7" numFmtId="167" xfId="0" applyAlignment="1" applyFill="1" applyFont="1" applyNumberFormat="1">
      <alignment horizontal="right"/>
    </xf>
    <xf borderId="0" fillId="3" fontId="8" numFmtId="167" xfId="0" applyAlignment="1" applyFill="1" applyFont="1" applyNumberFormat="1">
      <alignment horizontal="right"/>
    </xf>
    <xf borderId="0" fillId="9" fontId="9" numFmtId="167" xfId="0" applyAlignment="1" applyFill="1" applyFont="1" applyNumberFormat="1">
      <alignment horizontal="right"/>
    </xf>
    <xf borderId="0" fillId="11" fontId="9" numFmtId="167" xfId="0" applyAlignment="1" applyFill="1" applyFont="1" applyNumberFormat="1">
      <alignment horizontal="right"/>
    </xf>
    <xf borderId="2" fillId="0" fontId="3" numFmtId="0" xfId="0" applyBorder="1" applyFont="1"/>
    <xf borderId="2" fillId="0" fontId="3" numFmtId="1" xfId="0" applyBorder="1" applyFont="1" applyNumberFormat="1"/>
    <xf borderId="0" fillId="2" fontId="6" numFmtId="167" xfId="0" applyAlignment="1" applyFill="1" applyFont="1" applyNumberFormat="1">
      <alignment vertical="center"/>
    </xf>
    <xf borderId="2" fillId="0" fontId="3" numFmtId="167" xfId="0" applyBorder="1" applyFont="1" applyNumberFormat="1"/>
    <xf borderId="0" fillId="0" fontId="10" numFmtId="0" xfId="0" applyAlignment="1" applyFont="1">
      <alignment horizontal="center"/>
    </xf>
    <xf borderId="0" fillId="3" fontId="2" numFmtId="167" xfId="0" applyAlignment="1" applyFill="1" applyFont="1" applyNumberFormat="1">
      <alignment vertical="center"/>
    </xf>
    <xf borderId="0" fillId="0" fontId="3" numFmtId="0" xfId="0" applyFont="1"/>
    <xf borderId="0" fillId="4" fontId="9" numFmtId="164" xfId="0" applyAlignment="1" applyFill="1" applyFont="1" applyNumberFormat="1">
      <alignment horizontal="center"/>
    </xf>
    <xf borderId="0" fillId="4" fontId="9" numFmtId="165" xfId="0" applyAlignment="1" applyFill="1" applyFont="1" applyNumberFormat="1">
      <alignment horizontal="center"/>
    </xf>
  </cellXfs>
  <cellStyles count="1">
    <cellStyle xfId="0" name="Normal" builtinId="0"/>
  </cellStyles>
  <dxfs count="1">
    <dxf>
      <font>
        <b/>
        <color rgb="FFB64A4A"/>
      </font>
      <fill>
        <patternFill patternType="solid">
          <fgColor rgb="FFFAEEEE"/>
          <bgColor rgb="FFFAEEE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50.13"/>
    <col customWidth="1" min="2" max="5" width="11.63"/>
    <col customWidth="1" min="6" max="53" width="10.38"/>
  </cols>
  <sheetData>
    <row r="1" ht="28.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ht="18.0"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8.0" customHeight="1">
      <c r="A3" s="3" t="s">
        <v>2</v>
      </c>
      <c r="B3" s="4" t="s">
        <v>3</v>
      </c>
      <c r="C3" s="5"/>
      <c r="D3" s="5"/>
      <c r="E3" s="5"/>
      <c r="F3" s="6" t="str">
        <f>IF(J$3="","",EDATE(J$3,1))</f>
        <v/>
      </c>
      <c r="G3" s="5"/>
      <c r="H3" s="5"/>
      <c r="I3" s="5"/>
      <c r="J3" s="7" t="str">
        <f>IF(N$3="","",EDATE(N$3,1))</f>
        <v/>
      </c>
      <c r="K3" s="5"/>
      <c r="L3" s="5"/>
      <c r="M3" s="5"/>
      <c r="N3" s="6" t="str">
        <f>IF(R$3="","",EDATE(R$3,1))</f>
        <v/>
      </c>
      <c r="O3" s="5"/>
      <c r="P3" s="5"/>
      <c r="Q3" s="5"/>
      <c r="R3" s="7" t="str">
        <f>IF(V$3="","",EDATE(V$3,1))</f>
        <v/>
      </c>
      <c r="S3" s="5"/>
      <c r="T3" s="5"/>
      <c r="U3" s="5"/>
      <c r="V3" s="6" t="str">
        <f>IF(Z$3="","",EDATE(Z$3,1))</f>
        <v/>
      </c>
      <c r="W3" s="5"/>
      <c r="X3" s="5"/>
      <c r="Y3" s="5"/>
      <c r="Z3" s="7" t="str">
        <f>IF(AD$3="","",EDATE(AD$3,1))</f>
        <v/>
      </c>
      <c r="AA3" s="5"/>
      <c r="AB3" s="5"/>
      <c r="AC3" s="5"/>
      <c r="AD3" s="6" t="str">
        <f>IF(AH$3="","",EDATE(AH$3,1))</f>
        <v/>
      </c>
      <c r="AE3" s="5"/>
      <c r="AF3" s="5"/>
      <c r="AG3" s="5"/>
      <c r="AH3" s="7" t="str">
        <f>IF(AL$3="","",EDATE(AL$3,1))</f>
        <v/>
      </c>
      <c r="AI3" s="5"/>
      <c r="AJ3" s="5"/>
      <c r="AK3" s="5"/>
      <c r="AL3" s="6" t="str">
        <f>IF(AP$3="","",EDATE(AP$3,1))</f>
        <v/>
      </c>
      <c r="AM3" s="5"/>
      <c r="AN3" s="5"/>
      <c r="AO3" s="5"/>
      <c r="AP3" s="7" t="str">
        <f>IF(AT$3="","",EDATE(AT$3,1))</f>
        <v/>
      </c>
      <c r="AQ3" s="5"/>
      <c r="AR3" s="5"/>
      <c r="AS3" s="5"/>
      <c r="AT3" s="6" t="str">
        <f>IF(AX$3="","",EDATE(AX$3,1))</f>
        <v/>
      </c>
      <c r="AU3" s="5"/>
      <c r="AV3" s="5"/>
      <c r="AW3" s="5"/>
      <c r="AX3" s="7" t="str">
        <f>IF($AX$75="","",$AX$75)</f>
        <v/>
      </c>
      <c r="AY3" s="5"/>
      <c r="AZ3" s="5"/>
      <c r="BA3" s="5"/>
    </row>
    <row r="4" ht="18.0" customHeight="1">
      <c r="B4" s="8" t="s">
        <v>4</v>
      </c>
      <c r="C4" s="9" t="s">
        <v>5</v>
      </c>
      <c r="D4" s="10" t="s">
        <v>6</v>
      </c>
      <c r="E4" s="11" t="s">
        <v>7</v>
      </c>
      <c r="F4" s="8" t="s">
        <v>4</v>
      </c>
      <c r="G4" s="9" t="s">
        <v>5</v>
      </c>
      <c r="H4" s="10" t="s">
        <v>6</v>
      </c>
      <c r="I4" s="11" t="s">
        <v>7</v>
      </c>
      <c r="J4" s="8" t="s">
        <v>4</v>
      </c>
      <c r="K4" s="9" t="s">
        <v>5</v>
      </c>
      <c r="L4" s="10" t="s">
        <v>6</v>
      </c>
      <c r="M4" s="11" t="s">
        <v>7</v>
      </c>
      <c r="N4" s="8" t="s">
        <v>4</v>
      </c>
      <c r="O4" s="9" t="s">
        <v>5</v>
      </c>
      <c r="P4" s="10" t="s">
        <v>6</v>
      </c>
      <c r="Q4" s="11" t="s">
        <v>7</v>
      </c>
      <c r="R4" s="8" t="s">
        <v>4</v>
      </c>
      <c r="S4" s="9" t="s">
        <v>5</v>
      </c>
      <c r="T4" s="10" t="s">
        <v>6</v>
      </c>
      <c r="U4" s="11" t="s">
        <v>7</v>
      </c>
      <c r="V4" s="8" t="s">
        <v>4</v>
      </c>
      <c r="W4" s="9" t="s">
        <v>5</v>
      </c>
      <c r="X4" s="10" t="s">
        <v>6</v>
      </c>
      <c r="Y4" s="11" t="s">
        <v>7</v>
      </c>
      <c r="Z4" s="8" t="s">
        <v>4</v>
      </c>
      <c r="AA4" s="9" t="s">
        <v>5</v>
      </c>
      <c r="AB4" s="10" t="s">
        <v>6</v>
      </c>
      <c r="AC4" s="11" t="s">
        <v>7</v>
      </c>
      <c r="AD4" s="8" t="s">
        <v>4</v>
      </c>
      <c r="AE4" s="9" t="s">
        <v>5</v>
      </c>
      <c r="AF4" s="10" t="s">
        <v>6</v>
      </c>
      <c r="AG4" s="11" t="s">
        <v>7</v>
      </c>
      <c r="AH4" s="8" t="s">
        <v>4</v>
      </c>
      <c r="AI4" s="9" t="s">
        <v>5</v>
      </c>
      <c r="AJ4" s="10" t="s">
        <v>6</v>
      </c>
      <c r="AK4" s="11" t="s">
        <v>7</v>
      </c>
      <c r="AL4" s="8" t="s">
        <v>4</v>
      </c>
      <c r="AM4" s="9" t="s">
        <v>5</v>
      </c>
      <c r="AN4" s="10" t="s">
        <v>6</v>
      </c>
      <c r="AO4" s="11" t="s">
        <v>7</v>
      </c>
      <c r="AP4" s="8" t="s">
        <v>4</v>
      </c>
      <c r="AQ4" s="9" t="s">
        <v>5</v>
      </c>
      <c r="AR4" s="10" t="s">
        <v>6</v>
      </c>
      <c r="AS4" s="11" t="s">
        <v>7</v>
      </c>
      <c r="AT4" s="8" t="s">
        <v>4</v>
      </c>
      <c r="AU4" s="9" t="s">
        <v>5</v>
      </c>
      <c r="AV4" s="10" t="s">
        <v>6</v>
      </c>
      <c r="AW4" s="11" t="s">
        <v>7</v>
      </c>
      <c r="AX4" s="8" t="s">
        <v>4</v>
      </c>
      <c r="AY4" s="9" t="s">
        <v>5</v>
      </c>
      <c r="AZ4" s="10" t="s">
        <v>6</v>
      </c>
      <c r="BA4" s="11" t="s">
        <v>7</v>
      </c>
    </row>
    <row r="5" ht="18.0" customHeight="1">
      <c r="A5" s="12" t="s">
        <v>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row>
    <row r="6" ht="18.0" customHeight="1">
      <c r="A6" s="2" t="s">
        <v>9</v>
      </c>
      <c r="B6" s="13">
        <f t="shared" ref="B6:D6" si="1">SUM(AX6,AT6,AP6,AL6,AH6,AD6,Z6,V6,R6,N6,J6,F6)</f>
        <v>0</v>
      </c>
      <c r="C6" s="14">
        <f t="shared" si="1"/>
        <v>0</v>
      </c>
      <c r="D6" s="15">
        <f t="shared" si="1"/>
        <v>0</v>
      </c>
      <c r="E6" s="16">
        <f t="shared" ref="E6:E24" si="3">IFERROR(IF(OR(C6="",D6=""),"",C6-D6),"")</f>
        <v>0</v>
      </c>
      <c r="F6" s="17"/>
      <c r="G6" s="14" t="str">
        <f t="shared" ref="G6:G8" si="4">IF(F$98=1,F6,H6)</f>
        <v/>
      </c>
      <c r="H6" s="18"/>
      <c r="I6" s="16" t="str">
        <f t="shared" ref="I6:I24" si="5">IFERROR(IF(OR(G6="",H6=""),"",G6-H6),"")</f>
        <v/>
      </c>
      <c r="J6" s="17"/>
      <c r="K6" s="14" t="str">
        <f t="shared" ref="K6:K8" si="6">IF(J$98=1,J6,L6)</f>
        <v/>
      </c>
      <c r="L6" s="18"/>
      <c r="M6" s="16" t="str">
        <f t="shared" ref="M6:M24" si="7">IFERROR(IF(OR(K6="",L6=""),"",K6-L6),"")</f>
        <v/>
      </c>
      <c r="N6" s="17"/>
      <c r="O6" s="14" t="str">
        <f t="shared" ref="O6:O8" si="8">IF(N$98=1,N6,P6)</f>
        <v/>
      </c>
      <c r="P6" s="18"/>
      <c r="Q6" s="16" t="str">
        <f t="shared" ref="Q6:Q24" si="9">IFERROR(IF(OR(O6="",P6=""),"",O6-P6),"")</f>
        <v/>
      </c>
      <c r="R6" s="17"/>
      <c r="S6" s="14" t="str">
        <f t="shared" ref="S6:S8" si="10">IF(R$98=1,R6,T6)</f>
        <v/>
      </c>
      <c r="T6" s="18"/>
      <c r="U6" s="16" t="str">
        <f t="shared" ref="U6:U24" si="11">IFERROR(IF(OR(S6="",T6=""),"",S6-T6),"")</f>
        <v/>
      </c>
      <c r="V6" s="17"/>
      <c r="W6" s="14" t="str">
        <f t="shared" ref="W6:W8" si="12">IF(V$98=1,V6,X6)</f>
        <v/>
      </c>
      <c r="X6" s="18"/>
      <c r="Y6" s="16" t="str">
        <f t="shared" ref="Y6:Y24" si="13">IFERROR(IF(OR(W6="",X6=""),"",W6-X6),"")</f>
        <v/>
      </c>
      <c r="Z6" s="17"/>
      <c r="AA6" s="14" t="str">
        <f t="shared" ref="AA6:AA8" si="14">IF(Z$98=1,Z6,AB6)</f>
        <v/>
      </c>
      <c r="AB6" s="18"/>
      <c r="AC6" s="16" t="str">
        <f t="shared" ref="AC6:AC24" si="15">IFERROR(IF(OR(AA6="",AB6=""),"",AA6-AB6),"")</f>
        <v/>
      </c>
      <c r="AD6" s="17"/>
      <c r="AE6" s="14" t="str">
        <f t="shared" ref="AE6:AE8" si="16">IF(AD$98=1,AD6,AF6)</f>
        <v/>
      </c>
      <c r="AF6" s="18"/>
      <c r="AG6" s="16" t="str">
        <f t="shared" ref="AG6:AG24" si="17">IFERROR(IF(OR(AE6="",AF6=""),"",AE6-AF6),"")</f>
        <v/>
      </c>
      <c r="AH6" s="17"/>
      <c r="AI6" s="14" t="str">
        <f t="shared" ref="AI6:AI8" si="18">IF(AH$98=1,AH6,AJ6)</f>
        <v/>
      </c>
      <c r="AJ6" s="18"/>
      <c r="AK6" s="16" t="str">
        <f t="shared" ref="AK6:AK24" si="19">IFERROR(IF(OR(AI6="",AJ6=""),"",AI6-AJ6),"")</f>
        <v/>
      </c>
      <c r="AL6" s="17"/>
      <c r="AM6" s="14" t="str">
        <f t="shared" ref="AM6:AM8" si="20">IF(AL$98=1,AL6,AN6)</f>
        <v/>
      </c>
      <c r="AN6" s="18"/>
      <c r="AO6" s="16" t="str">
        <f t="shared" ref="AO6:AO24" si="21">IFERROR(IF(OR(AM6="",AN6=""),"",AM6-AN6),"")</f>
        <v/>
      </c>
      <c r="AP6" s="17"/>
      <c r="AQ6" s="14" t="str">
        <f t="shared" ref="AQ6:AQ8" si="22">IF(AP$98=1,AP6,AR6)</f>
        <v/>
      </c>
      <c r="AR6" s="18"/>
      <c r="AS6" s="16" t="str">
        <f t="shared" ref="AS6:AS24" si="23">IFERROR(IF(OR(AQ6="",AR6=""),"",AQ6-AR6),"")</f>
        <v/>
      </c>
      <c r="AT6" s="17"/>
      <c r="AU6" s="14" t="str">
        <f t="shared" ref="AU6:AU8" si="24">IF(AT$98=1,AT6,AV6)</f>
        <v/>
      </c>
      <c r="AV6" s="18"/>
      <c r="AW6" s="16" t="str">
        <f t="shared" ref="AW6:AW24" si="25">IFERROR(IF(OR(AU6="",AV6=""),"",AU6-AV6),"")</f>
        <v/>
      </c>
      <c r="AX6" s="17"/>
      <c r="AY6" s="14" t="str">
        <f t="shared" ref="AY6:AY8" si="26">IF(AX$98=1,AX6,AZ6)</f>
        <v/>
      </c>
      <c r="AZ6" s="18"/>
      <c r="BA6" s="16" t="str">
        <f t="shared" ref="BA6:BA24" si="27">IFERROR(IF(OR(AY6="",AZ6=""),"",AY6-AZ6),"")</f>
        <v/>
      </c>
    </row>
    <row r="7" ht="18.0" customHeight="1">
      <c r="A7" s="2" t="s">
        <v>10</v>
      </c>
      <c r="B7" s="19" t="str">
        <f t="shared" ref="B7:D7" si="2">IFERROR(B9/B6,"")</f>
        <v/>
      </c>
      <c r="C7" s="20" t="str">
        <f t="shared" si="2"/>
        <v/>
      </c>
      <c r="D7" s="21" t="str">
        <f t="shared" si="2"/>
        <v/>
      </c>
      <c r="E7" s="22" t="str">
        <f t="shared" si="3"/>
        <v/>
      </c>
      <c r="F7" s="19" t="str">
        <f>IFERROR(IF(F9="","",F9/F6),"")</f>
        <v/>
      </c>
      <c r="G7" s="20" t="str">
        <f t="shared" si="4"/>
        <v/>
      </c>
      <c r="H7" s="23"/>
      <c r="I7" s="22" t="str">
        <f t="shared" si="5"/>
        <v/>
      </c>
      <c r="J7" s="19" t="str">
        <f>IFERROR(IF(J9="","",J9/J6),"")</f>
        <v/>
      </c>
      <c r="K7" s="20" t="str">
        <f t="shared" si="6"/>
        <v/>
      </c>
      <c r="L7" s="23"/>
      <c r="M7" s="22" t="str">
        <f t="shared" si="7"/>
        <v/>
      </c>
      <c r="N7" s="19" t="str">
        <f>IFERROR(IF(N9="","",N9/N6),"")</f>
        <v/>
      </c>
      <c r="O7" s="20" t="str">
        <f t="shared" si="8"/>
        <v/>
      </c>
      <c r="P7" s="23"/>
      <c r="Q7" s="22" t="str">
        <f t="shared" si="9"/>
        <v/>
      </c>
      <c r="R7" s="19" t="str">
        <f>IFERROR(IF(R9="","",R9/R6),"")</f>
        <v/>
      </c>
      <c r="S7" s="20" t="str">
        <f t="shared" si="10"/>
        <v/>
      </c>
      <c r="T7" s="23"/>
      <c r="U7" s="22" t="str">
        <f t="shared" si="11"/>
        <v/>
      </c>
      <c r="V7" s="19" t="str">
        <f>IFERROR(IF(V9="","",V9/V6),"")</f>
        <v/>
      </c>
      <c r="W7" s="20" t="str">
        <f t="shared" si="12"/>
        <v/>
      </c>
      <c r="X7" s="23"/>
      <c r="Y7" s="22" t="str">
        <f t="shared" si="13"/>
        <v/>
      </c>
      <c r="Z7" s="19" t="str">
        <f>IFERROR(IF(Z9="","",Z9/Z6),"")</f>
        <v/>
      </c>
      <c r="AA7" s="20" t="str">
        <f t="shared" si="14"/>
        <v/>
      </c>
      <c r="AB7" s="23"/>
      <c r="AC7" s="22" t="str">
        <f t="shared" si="15"/>
        <v/>
      </c>
      <c r="AD7" s="19" t="str">
        <f>IFERROR(IF(AD9="","",AD9/AD6),"")</f>
        <v/>
      </c>
      <c r="AE7" s="20" t="str">
        <f t="shared" si="16"/>
        <v/>
      </c>
      <c r="AF7" s="23"/>
      <c r="AG7" s="22" t="str">
        <f t="shared" si="17"/>
        <v/>
      </c>
      <c r="AH7" s="19" t="str">
        <f>IFERROR(IF(AH9="","",AH9/AH6),"")</f>
        <v/>
      </c>
      <c r="AI7" s="20" t="str">
        <f t="shared" si="18"/>
        <v/>
      </c>
      <c r="AJ7" s="23"/>
      <c r="AK7" s="22" t="str">
        <f t="shared" si="19"/>
        <v/>
      </c>
      <c r="AL7" s="19" t="str">
        <f>IFERROR(IF(AL9="","",AL9/AL6),"")</f>
        <v/>
      </c>
      <c r="AM7" s="20" t="str">
        <f t="shared" si="20"/>
        <v/>
      </c>
      <c r="AN7" s="23"/>
      <c r="AO7" s="22" t="str">
        <f t="shared" si="21"/>
        <v/>
      </c>
      <c r="AP7" s="19" t="str">
        <f>IFERROR(IF(AP9="","",AP9/AP6),"")</f>
        <v/>
      </c>
      <c r="AQ7" s="20" t="str">
        <f t="shared" si="22"/>
        <v/>
      </c>
      <c r="AR7" s="23"/>
      <c r="AS7" s="22" t="str">
        <f t="shared" si="23"/>
        <v/>
      </c>
      <c r="AT7" s="19" t="str">
        <f>IFERROR(IF(AT9="","",AT9/AT6),"")</f>
        <v/>
      </c>
      <c r="AU7" s="20" t="str">
        <f t="shared" si="24"/>
        <v/>
      </c>
      <c r="AV7" s="23"/>
      <c r="AW7" s="22" t="str">
        <f t="shared" si="25"/>
        <v/>
      </c>
      <c r="AX7" s="19" t="str">
        <f>IFERROR(IF(AX9="","",AX9/AX6),"")</f>
        <v/>
      </c>
      <c r="AY7" s="20" t="str">
        <f t="shared" si="26"/>
        <v/>
      </c>
      <c r="AZ7" s="23"/>
      <c r="BA7" s="22" t="str">
        <f t="shared" si="27"/>
        <v/>
      </c>
    </row>
    <row r="8" ht="18.0" customHeight="1">
      <c r="A8" s="2" t="s">
        <v>11</v>
      </c>
      <c r="B8" s="24" t="str">
        <f t="shared" ref="B8:D8" si="28">IFERROR(SUM(AX8*AX6,AT8*AT6,AP8*AP6,AL8*AL6,AH8*AH6,AD8*AD6,Z8*Z6,V8*V6,R8*R6,N8*N6,J8*J6,F8*F6)/SUM(AX6,AT6,AP6,AL6,AH6,AD6,Z6,V6,R6,N6,J6,F6),"")</f>
        <v/>
      </c>
      <c r="C8" s="25" t="str">
        <f t="shared" si="28"/>
        <v/>
      </c>
      <c r="D8" s="26" t="str">
        <f t="shared" si="28"/>
        <v/>
      </c>
      <c r="E8" s="27" t="str">
        <f t="shared" si="3"/>
        <v/>
      </c>
      <c r="F8" s="28"/>
      <c r="G8" s="25" t="str">
        <f t="shared" si="4"/>
        <v/>
      </c>
      <c r="H8" s="29"/>
      <c r="I8" s="27" t="str">
        <f t="shared" si="5"/>
        <v/>
      </c>
      <c r="J8" s="28"/>
      <c r="K8" s="25" t="str">
        <f t="shared" si="6"/>
        <v/>
      </c>
      <c r="L8" s="29"/>
      <c r="M8" s="27" t="str">
        <f t="shared" si="7"/>
        <v/>
      </c>
      <c r="N8" s="28"/>
      <c r="O8" s="25" t="str">
        <f t="shared" si="8"/>
        <v/>
      </c>
      <c r="P8" s="29"/>
      <c r="Q8" s="27" t="str">
        <f t="shared" si="9"/>
        <v/>
      </c>
      <c r="R8" s="28"/>
      <c r="S8" s="25" t="str">
        <f t="shared" si="10"/>
        <v/>
      </c>
      <c r="T8" s="29"/>
      <c r="U8" s="27" t="str">
        <f t="shared" si="11"/>
        <v/>
      </c>
      <c r="V8" s="28"/>
      <c r="W8" s="25" t="str">
        <f t="shared" si="12"/>
        <v/>
      </c>
      <c r="X8" s="29"/>
      <c r="Y8" s="27" t="str">
        <f t="shared" si="13"/>
        <v/>
      </c>
      <c r="Z8" s="28"/>
      <c r="AA8" s="25" t="str">
        <f t="shared" si="14"/>
        <v/>
      </c>
      <c r="AB8" s="29"/>
      <c r="AC8" s="27" t="str">
        <f t="shared" si="15"/>
        <v/>
      </c>
      <c r="AD8" s="28"/>
      <c r="AE8" s="25" t="str">
        <f t="shared" si="16"/>
        <v/>
      </c>
      <c r="AF8" s="29"/>
      <c r="AG8" s="27" t="str">
        <f t="shared" si="17"/>
        <v/>
      </c>
      <c r="AH8" s="28"/>
      <c r="AI8" s="25" t="str">
        <f t="shared" si="18"/>
        <v/>
      </c>
      <c r="AJ8" s="29"/>
      <c r="AK8" s="27" t="str">
        <f t="shared" si="19"/>
        <v/>
      </c>
      <c r="AL8" s="28"/>
      <c r="AM8" s="25" t="str">
        <f t="shared" si="20"/>
        <v/>
      </c>
      <c r="AN8" s="29"/>
      <c r="AO8" s="27" t="str">
        <f t="shared" si="21"/>
        <v/>
      </c>
      <c r="AP8" s="28"/>
      <c r="AQ8" s="25" t="str">
        <f t="shared" si="22"/>
        <v/>
      </c>
      <c r="AR8" s="29"/>
      <c r="AS8" s="27" t="str">
        <f t="shared" si="23"/>
        <v/>
      </c>
      <c r="AT8" s="28"/>
      <c r="AU8" s="25" t="str">
        <f t="shared" si="24"/>
        <v/>
      </c>
      <c r="AV8" s="29"/>
      <c r="AW8" s="27" t="str">
        <f t="shared" si="25"/>
        <v/>
      </c>
      <c r="AX8" s="28"/>
      <c r="AY8" s="25" t="str">
        <f t="shared" si="26"/>
        <v/>
      </c>
      <c r="AZ8" s="29"/>
      <c r="BA8" s="27" t="str">
        <f t="shared" si="27"/>
        <v/>
      </c>
    </row>
    <row r="9" ht="18.0" customHeight="1">
      <c r="A9" s="2" t="s">
        <v>12</v>
      </c>
      <c r="B9" s="13">
        <f t="shared" ref="B9:D9" si="29">SUM(AX9,AT9,AP9,AL9,AH9,AD9,Z9,V9,R9,N9,J9,F9)</f>
        <v>0</v>
      </c>
      <c r="C9" s="14">
        <f t="shared" si="29"/>
        <v>0</v>
      </c>
      <c r="D9" s="15">
        <f t="shared" si="29"/>
        <v>0</v>
      </c>
      <c r="E9" s="16">
        <f t="shared" si="3"/>
        <v>0</v>
      </c>
      <c r="F9" s="17"/>
      <c r="G9" s="14">
        <f>IF(F$98=1,F9,ROUND(SUM(IF(AND(AY$6&lt;&gt;"",AY$8&lt;&gt;""),IF(EOMONTH($AX$3+INT((DAY(EOMONTH($AX$3,0))-1)/2)+AY$8,0)=EOMONTH($F$3,0),AY$6*AY$7,0),0),IF(AND(AU$6&lt;&gt;"",AU$8&lt;&gt;""),IF(EOMONTH($AT$3+INT((DAY(EOMONTH($AT$3,0))-1)/2)+AU$8,0)=EOMONTH($F$3,0),AU$6*AU$7,0),0),IF(AND(AQ$6&lt;&gt;"",AQ$8&lt;&gt;""),IF(EOMONTH($AP$3+INT((DAY(EOMONTH($AP$3,0))-1)/2)+AQ$8,0)=EOMONTH($F$3,0),AQ$6*AQ$7,0),0),IF(AND(AM$6&lt;&gt;"",AM$8&lt;&gt;""),IF(EOMONTH($AL$3+INT((DAY(EOMONTH($AL$3,0))-1)/2)+AM$8,0)=EOMONTH($F$3,0),AM$6*AM$7,0),0),IF(AND(AI$6&lt;&gt;"",AI$8&lt;&gt;""),IF(EOMONTH($AH$3+INT((DAY(EOMONTH($AH$3,0))-1)/2)+AI$8,0)=EOMONTH($F$3,0),AI$6*AI$7,0),0),IF(AND(AE$6&lt;&gt;"",AE$8&lt;&gt;""),IF(EOMONTH($AD$3+INT((DAY(EOMONTH($AD$3,0))-1)/2)+AE$8,0)=EOMONTH($F$3,0),AE$6*AE$7,0),0),IF(AND(AA$6&lt;&gt;"",AA$8&lt;&gt;""),IF(EOMONTH($Z$3+INT((DAY(EOMONTH($Z$3,0))-1)/2)+AA$8,0)=EOMONTH($F$3,0),AA$6*AA$7,0),0),IF(AND(W$6&lt;&gt;"",W$8&lt;&gt;""),IF(EOMONTH($V$3+INT((DAY(EOMONTH($V$3,0))-1)/2)+W$8,0)=EOMONTH($F$3,0),W$6*W$7,0),0),IF(AND(S$6&lt;&gt;"",S$8&lt;&gt;""),IF(EOMONTH($R$3+INT((DAY(EOMONTH($R$3,0))-1)/2)+S$8,0)=EOMONTH($F$3,0),S$6*S$7,0),0),IF(AND(O$6&lt;&gt;"",O$8&lt;&gt;""),IF(EOMONTH($N$3+INT((DAY(EOMONTH($N$3,0))-1)/2)+O$8,0)=EOMONTH($F$3,0),O$6*O$7,0),0),IF(AND(K$6&lt;&gt;"",K$8&lt;&gt;""),IF(EOMONTH($J$3+INT((DAY(EOMONTH($J$3,0))-1)/2)+K$8,0)=EOMONTH($F$3,0),K$6*K$7,0),0),IF(AND(G$6&lt;&gt;"",G$8&lt;&gt;""),IF(EOMONTH($F$3+INT((DAY(EOMONTH($F$3,0))-1)/2)+G$8,0)=EOMONTH($F$3,0),G$6*G$7,0),0)),0))</f>
        <v>0</v>
      </c>
      <c r="H9" s="15">
        <f>ROUND(SUM(IF(AND(AZ$6&lt;&gt;"",AZ$8&lt;&gt;""),IF(EOMONTH($AX$3+INT((DAY(EOMONTH($AX$3,0))-1)/2)+AZ$8,0)=EOMONTH($F$3,0),AZ$6*AZ$7,0),0),IF(AND(AV$6&lt;&gt;"",AV$8&lt;&gt;""),IF(EOMONTH($AT$3+INT((DAY(EOMONTH($AT$3,0))-1)/2)+AV$8,0)=EOMONTH($F$3,0),AV$6*AV$7,0),0),IF(AND(AR$6&lt;&gt;"",AR$8&lt;&gt;""),IF(EOMONTH($AP$3+INT((DAY(EOMONTH($AP$3,0))-1)/2)+AR$8,0)=EOMONTH($F$3,0),AR$6*AR$7,0),0),IF(AND(AN$6&lt;&gt;"",AN$8&lt;&gt;""),IF(EOMONTH($AL$3+INT((DAY(EOMONTH($AL$3,0))-1)/2)+AN$8,0)=EOMONTH($F$3,0),AN$6*AN$7,0),0),IF(AND(AJ$6&lt;&gt;"",AJ$8&lt;&gt;""),IF(EOMONTH($AH$3+INT((DAY(EOMONTH($AH$3,0))-1)/2)+AJ$8,0)=EOMONTH($F$3,0),AJ$6*AJ$7,0),0),IF(AND(AF$6&lt;&gt;"",AF$8&lt;&gt;""),IF(EOMONTH($AD$3+INT((DAY(EOMONTH($AD$3,0))-1)/2)+AF$8,0)=EOMONTH($F$3,0),AF$6*AF$7,0),0),IF(AND(AB$6&lt;&gt;"",AB$8&lt;&gt;""),IF(EOMONTH($Z$3+INT((DAY(EOMONTH($Z$3,0))-1)/2)+AB$8,0)=EOMONTH($F$3,0),AB$6*AB$7,0),0),IF(AND(X$6&lt;&gt;"",X$8&lt;&gt;""),IF(EOMONTH($V$3+INT((DAY(EOMONTH($V$3,0))-1)/2)+X$8,0)=EOMONTH($F$3,0),X$6*X$7,0),0),IF(AND(T$6&lt;&gt;"",T$8&lt;&gt;""),IF(EOMONTH($R$3+INT((DAY(EOMONTH($R$3,0))-1)/2)+T$8,0)=EOMONTH($F$3,0),T$6*T$7,0),0),IF(AND(P$6&lt;&gt;"",P$8&lt;&gt;""),IF(EOMONTH($N$3+INT((DAY(EOMONTH($N$3,0))-1)/2)+P$8,0)=EOMONTH($F$3,0),P$6*P$7,0),0),IF(AND(L$6&lt;&gt;"",L$8&lt;&gt;""),IF(EOMONTH($J$3+INT((DAY(EOMONTH($J$3,0))-1)/2)+L$8,0)=EOMONTH($F$3,0),L$6*L$7,0),0),IF(AND(H$6&lt;&gt;"",H$8&lt;&gt;""),IF(EOMONTH($F$3+INT((DAY(EOMONTH($F$3,0))-1)/2)+H$8,0)=EOMONTH($F$3,0),H$6*H$7,0),0)),0)</f>
        <v>0</v>
      </c>
      <c r="I9" s="16">
        <f t="shared" si="5"/>
        <v>0</v>
      </c>
      <c r="J9" s="17"/>
      <c r="K9" s="14">
        <f>IF(J$98=1,J9,ROUND(SUM(IF(AND(AY$6&lt;&gt;"",AY$8&lt;&gt;""),IF(EOMONTH($AX$3+INT((DAY(EOMONTH($AX$3,0))-1)/2)+AY$8,0)=EOMONTH($J$3,0),AY$6*AY$7,0),0),IF(AND(AU$6&lt;&gt;"",AU$8&lt;&gt;""),IF(EOMONTH($AT$3+INT((DAY(EOMONTH($AT$3,0))-1)/2)+AU$8,0)=EOMONTH($J$3,0),AU$6*AU$7,0),0),IF(AND(AQ$6&lt;&gt;"",AQ$8&lt;&gt;""),IF(EOMONTH($AP$3+INT((DAY(EOMONTH($AP$3,0))-1)/2)+AQ$8,0)=EOMONTH($J$3,0),AQ$6*AQ$7,0),0),IF(AND(AM$6&lt;&gt;"",AM$8&lt;&gt;""),IF(EOMONTH($AL$3+INT((DAY(EOMONTH($AL$3,0))-1)/2)+AM$8,0)=EOMONTH($J$3,0),AM$6*AM$7,0),0),IF(AND(AI$6&lt;&gt;"",AI$8&lt;&gt;""),IF(EOMONTH($AH$3+INT((DAY(EOMONTH($AH$3,0))-1)/2)+AI$8,0)=EOMONTH($J$3,0),AI$6*AI$7,0),0),IF(AND(AE$6&lt;&gt;"",AE$8&lt;&gt;""),IF(EOMONTH($AD$3+INT((DAY(EOMONTH($AD$3,0))-1)/2)+AE$8,0)=EOMONTH($J$3,0),AE$6*AE$7,0),0),IF(AND(AA$6&lt;&gt;"",AA$8&lt;&gt;""),IF(EOMONTH($Z$3+INT((DAY(EOMONTH($Z$3,0))-1)/2)+AA$8,0)=EOMONTH($J$3,0),AA$6*AA$7,0),0),IF(AND(W$6&lt;&gt;"",W$8&lt;&gt;""),IF(EOMONTH($V$3+INT((DAY(EOMONTH($V$3,0))-1)/2)+W$8,0)=EOMONTH($J$3,0),W$6*W$7,0),0),IF(AND(S$6&lt;&gt;"",S$8&lt;&gt;""),IF(EOMONTH($R$3+INT((DAY(EOMONTH($R$3,0))-1)/2)+S$8,0)=EOMONTH($J$3,0),S$6*S$7,0),0),IF(AND(O$6&lt;&gt;"",O$8&lt;&gt;""),IF(EOMONTH($N$3+INT((DAY(EOMONTH($N$3,0))-1)/2)+O$8,0)=EOMONTH($J$3,0),O$6*O$7,0),0),IF(AND(K$6&lt;&gt;"",K$8&lt;&gt;""),IF(EOMONTH($J$3+INT((DAY(EOMONTH($J$3,0))-1)/2)+K$8,0)=EOMONTH($J$3,0),K$6*K$7,0),0),IF(AND(G$6&lt;&gt;"",G$8&lt;&gt;""),IF(EOMONTH($F$3+INT((DAY(EOMONTH($F$3,0))-1)/2)+G$8,0)=EOMONTH($J$3,0),G$6*G$7,0),0)),0))</f>
        <v>0</v>
      </c>
      <c r="L9" s="15">
        <f>ROUND(SUM(IF(AND(AZ$6&lt;&gt;"",AZ$8&lt;&gt;""),IF(EOMONTH($AX$3+INT((DAY(EOMONTH($AX$3,0))-1)/2)+AZ$8,0)=EOMONTH($J$3,0),AZ$6*AZ$7,0),0),IF(AND(AV$6&lt;&gt;"",AV$8&lt;&gt;""),IF(EOMONTH($AT$3+INT((DAY(EOMONTH($AT$3,0))-1)/2)+AV$8,0)=EOMONTH($J$3,0),AV$6*AV$7,0),0),IF(AND(AR$6&lt;&gt;"",AR$8&lt;&gt;""),IF(EOMONTH($AP$3+INT((DAY(EOMONTH($AP$3,0))-1)/2)+AR$8,0)=EOMONTH($J$3,0),AR$6*AR$7,0),0),IF(AND(AN$6&lt;&gt;"",AN$8&lt;&gt;""),IF(EOMONTH($AL$3+INT((DAY(EOMONTH($AL$3,0))-1)/2)+AN$8,0)=EOMONTH($J$3,0),AN$6*AN$7,0),0),IF(AND(AJ$6&lt;&gt;"",AJ$8&lt;&gt;""),IF(EOMONTH($AH$3+INT((DAY(EOMONTH($AH$3,0))-1)/2)+AJ$8,0)=EOMONTH($J$3,0),AJ$6*AJ$7,0),0),IF(AND(AF$6&lt;&gt;"",AF$8&lt;&gt;""),IF(EOMONTH($AD$3+INT((DAY(EOMONTH($AD$3,0))-1)/2)+AF$8,0)=EOMONTH($J$3,0),AF$6*AF$7,0),0),IF(AND(AB$6&lt;&gt;"",AB$8&lt;&gt;""),IF(EOMONTH($Z$3+INT((DAY(EOMONTH($Z$3,0))-1)/2)+AB$8,0)=EOMONTH($J$3,0),AB$6*AB$7,0),0),IF(AND(X$6&lt;&gt;"",X$8&lt;&gt;""),IF(EOMONTH($V$3+INT((DAY(EOMONTH($V$3,0))-1)/2)+X$8,0)=EOMONTH($J$3,0),X$6*X$7,0),0),IF(AND(T$6&lt;&gt;"",T$8&lt;&gt;""),IF(EOMONTH($R$3+INT((DAY(EOMONTH($R$3,0))-1)/2)+T$8,0)=EOMONTH($J$3,0),T$6*T$7,0),0),IF(AND(P$6&lt;&gt;"",P$8&lt;&gt;""),IF(EOMONTH($N$3+INT((DAY(EOMONTH($N$3,0))-1)/2)+P$8,0)=EOMONTH($J$3,0),P$6*P$7,0),0),IF(AND(L$6&lt;&gt;"",L$8&lt;&gt;""),IF(EOMONTH($J$3+INT((DAY(EOMONTH($J$3,0))-1)/2)+L$8,0)=EOMONTH($J$3,0),L$6*L$7,0),0),IF(AND(H$6&lt;&gt;"",H$8&lt;&gt;""),IF(EOMONTH($F$3+INT((DAY(EOMONTH($F$3,0))-1)/2)+H$8,0)=EOMONTH($J$3,0),H$6*H$7,0),0)),0)</f>
        <v>0</v>
      </c>
      <c r="M9" s="16">
        <f t="shared" si="7"/>
        <v>0</v>
      </c>
      <c r="N9" s="17"/>
      <c r="O9" s="14">
        <f>IF(N$98=1,N9,ROUND(SUM(IF(AND(AY$6&lt;&gt;"",AY$8&lt;&gt;""),IF(EOMONTH($AX$3+INT((DAY(EOMONTH($AX$3,0))-1)/2)+AY$8,0)=EOMONTH($N$3,0),AY$6*AY$7,0),0),IF(AND(AU$6&lt;&gt;"",AU$8&lt;&gt;""),IF(EOMONTH($AT$3+INT((DAY(EOMONTH($AT$3,0))-1)/2)+AU$8,0)=EOMONTH($N$3,0),AU$6*AU$7,0),0),IF(AND(AQ$6&lt;&gt;"",AQ$8&lt;&gt;""),IF(EOMONTH($AP$3+INT((DAY(EOMONTH($AP$3,0))-1)/2)+AQ$8,0)=EOMONTH($N$3,0),AQ$6*AQ$7,0),0),IF(AND(AM$6&lt;&gt;"",AM$8&lt;&gt;""),IF(EOMONTH($AL$3+INT((DAY(EOMONTH($AL$3,0))-1)/2)+AM$8,0)=EOMONTH($N$3,0),AM$6*AM$7,0),0),IF(AND(AI$6&lt;&gt;"",AI$8&lt;&gt;""),IF(EOMONTH($AH$3+INT((DAY(EOMONTH($AH$3,0))-1)/2)+AI$8,0)=EOMONTH($N$3,0),AI$6*AI$7,0),0),IF(AND(AE$6&lt;&gt;"",AE$8&lt;&gt;""),IF(EOMONTH($AD$3+INT((DAY(EOMONTH($AD$3,0))-1)/2)+AE$8,0)=EOMONTH($N$3,0),AE$6*AE$7,0),0),IF(AND(AA$6&lt;&gt;"",AA$8&lt;&gt;""),IF(EOMONTH($Z$3+INT((DAY(EOMONTH($Z$3,0))-1)/2)+AA$8,0)=EOMONTH($N$3,0),AA$6*AA$7,0),0),IF(AND(W$6&lt;&gt;"",W$8&lt;&gt;""),IF(EOMONTH($V$3+INT((DAY(EOMONTH($V$3,0))-1)/2)+W$8,0)=EOMONTH($N$3,0),W$6*W$7,0),0),IF(AND(S$6&lt;&gt;"",S$8&lt;&gt;""),IF(EOMONTH($R$3+INT((DAY(EOMONTH($R$3,0))-1)/2)+S$8,0)=EOMONTH($N$3,0),S$6*S$7,0),0),IF(AND(O$6&lt;&gt;"",O$8&lt;&gt;""),IF(EOMONTH($N$3+INT((DAY(EOMONTH($N$3,0))-1)/2)+O$8,0)=EOMONTH($N$3,0),O$6*O$7,0),0),IF(AND(K$6&lt;&gt;"",K$8&lt;&gt;""),IF(EOMONTH($J$3+INT((DAY(EOMONTH($J$3,0))-1)/2)+K$8,0)=EOMONTH($N$3,0),K$6*K$7,0),0),IF(AND(G$6&lt;&gt;"",G$8&lt;&gt;""),IF(EOMONTH($F$3+INT((DAY(EOMONTH($F$3,0))-1)/2)+G$8,0)=EOMONTH($N$3,0),G$6*G$7,0),0)),0))</f>
        <v>0</v>
      </c>
      <c r="P9" s="15">
        <f>ROUND(SUM(IF(AND(AZ$6&lt;&gt;"",AZ$8&lt;&gt;""),IF(EOMONTH($AX$3+INT((DAY(EOMONTH($AX$3,0))-1)/2)+AZ$8,0)=EOMONTH($N$3,0),AZ$6*AZ$7,0),0),IF(AND(AV$6&lt;&gt;"",AV$8&lt;&gt;""),IF(EOMONTH($AT$3+INT((DAY(EOMONTH($AT$3,0))-1)/2)+AV$8,0)=EOMONTH($N$3,0),AV$6*AV$7,0),0),IF(AND(AR$6&lt;&gt;"",AR$8&lt;&gt;""),IF(EOMONTH($AP$3+INT((DAY(EOMONTH($AP$3,0))-1)/2)+AR$8,0)=EOMONTH($N$3,0),AR$6*AR$7,0),0),IF(AND(AN$6&lt;&gt;"",AN$8&lt;&gt;""),IF(EOMONTH($AL$3+INT((DAY(EOMONTH($AL$3,0))-1)/2)+AN$8,0)=EOMONTH($N$3,0),AN$6*AN$7,0),0),IF(AND(AJ$6&lt;&gt;"",AJ$8&lt;&gt;""),IF(EOMONTH($AH$3+INT((DAY(EOMONTH($AH$3,0))-1)/2)+AJ$8,0)=EOMONTH($N$3,0),AJ$6*AJ$7,0),0),IF(AND(AF$6&lt;&gt;"",AF$8&lt;&gt;""),IF(EOMONTH($AD$3+INT((DAY(EOMONTH($AD$3,0))-1)/2)+AF$8,0)=EOMONTH($N$3,0),AF$6*AF$7,0),0),IF(AND(AB$6&lt;&gt;"",AB$8&lt;&gt;""),IF(EOMONTH($Z$3+INT((DAY(EOMONTH($Z$3,0))-1)/2)+AB$8,0)=EOMONTH($N$3,0),AB$6*AB$7,0),0),IF(AND(X$6&lt;&gt;"",X$8&lt;&gt;""),IF(EOMONTH($V$3+INT((DAY(EOMONTH($V$3,0))-1)/2)+X$8,0)=EOMONTH($N$3,0),X$6*X$7,0),0),IF(AND(T$6&lt;&gt;"",T$8&lt;&gt;""),IF(EOMONTH($R$3+INT((DAY(EOMONTH($R$3,0))-1)/2)+T$8,0)=EOMONTH($N$3,0),T$6*T$7,0),0),IF(AND(P$6&lt;&gt;"",P$8&lt;&gt;""),IF(EOMONTH($N$3+INT((DAY(EOMONTH($N$3,0))-1)/2)+P$8,0)=EOMONTH($N$3,0),P$6*P$7,0),0),IF(AND(L$6&lt;&gt;"",L$8&lt;&gt;""),IF(EOMONTH($J$3+INT((DAY(EOMONTH($J$3,0))-1)/2)+L$8,0)=EOMONTH($N$3,0),L$6*L$7,0),0),IF(AND(H$6&lt;&gt;"",H$8&lt;&gt;""),IF(EOMONTH($F$3+INT((DAY(EOMONTH($F$3,0))-1)/2)+H$8,0)=EOMONTH($N$3,0),H$6*H$7,0),0)),0)</f>
        <v>0</v>
      </c>
      <c r="Q9" s="16">
        <f t="shared" si="9"/>
        <v>0</v>
      </c>
      <c r="R9" s="17"/>
      <c r="S9" s="14">
        <f>IF(R$98=1,R9,ROUND(SUM(IF(AND(AY$6&lt;&gt;"",AY$8&lt;&gt;""),IF(EOMONTH($AX$3+INT((DAY(EOMONTH($AX$3,0))-1)/2)+AY$8,0)=EOMONTH($R$3,0),AY$6*AY$7,0),0),IF(AND(AU$6&lt;&gt;"",AU$8&lt;&gt;""),IF(EOMONTH($AT$3+INT((DAY(EOMONTH($AT$3,0))-1)/2)+AU$8,0)=EOMONTH($R$3,0),AU$6*AU$7,0),0),IF(AND(AQ$6&lt;&gt;"",AQ$8&lt;&gt;""),IF(EOMONTH($AP$3+INT((DAY(EOMONTH($AP$3,0))-1)/2)+AQ$8,0)=EOMONTH($R$3,0),AQ$6*AQ$7,0),0),IF(AND(AM$6&lt;&gt;"",AM$8&lt;&gt;""),IF(EOMONTH($AL$3+INT((DAY(EOMONTH($AL$3,0))-1)/2)+AM$8,0)=EOMONTH($R$3,0),AM$6*AM$7,0),0),IF(AND(AI$6&lt;&gt;"",AI$8&lt;&gt;""),IF(EOMONTH($AH$3+INT((DAY(EOMONTH($AH$3,0))-1)/2)+AI$8,0)=EOMONTH($R$3,0),AI$6*AI$7,0),0),IF(AND(AE$6&lt;&gt;"",AE$8&lt;&gt;""),IF(EOMONTH($AD$3+INT((DAY(EOMONTH($AD$3,0))-1)/2)+AE$8,0)=EOMONTH($R$3,0),AE$6*AE$7,0),0),IF(AND(AA$6&lt;&gt;"",AA$8&lt;&gt;""),IF(EOMONTH($Z$3+INT((DAY(EOMONTH($Z$3,0))-1)/2)+AA$8,0)=EOMONTH($R$3,0),AA$6*AA$7,0),0),IF(AND(W$6&lt;&gt;"",W$8&lt;&gt;""),IF(EOMONTH($V$3+INT((DAY(EOMONTH($V$3,0))-1)/2)+W$8,0)=EOMONTH($R$3,0),W$6*W$7,0),0),IF(AND(S$6&lt;&gt;"",S$8&lt;&gt;""),IF(EOMONTH($R$3+INT((DAY(EOMONTH($R$3,0))-1)/2)+S$8,0)=EOMONTH($R$3,0),S$6*S$7,0),0),IF(AND(O$6&lt;&gt;"",O$8&lt;&gt;""),IF(EOMONTH($N$3+INT((DAY(EOMONTH($N$3,0))-1)/2)+O$8,0)=EOMONTH($R$3,0),O$6*O$7,0),0),IF(AND(K$6&lt;&gt;"",K$8&lt;&gt;""),IF(EOMONTH($J$3+INT((DAY(EOMONTH($J$3,0))-1)/2)+K$8,0)=EOMONTH($R$3,0),K$6*K$7,0),0),IF(AND(G$6&lt;&gt;"",G$8&lt;&gt;""),IF(EOMONTH($F$3+INT((DAY(EOMONTH($F$3,0))-1)/2)+G$8,0)=EOMONTH($R$3,0),G$6*G$7,0),0)),0))</f>
        <v>0</v>
      </c>
      <c r="T9" s="15">
        <f>ROUND(SUM(IF(AND(AZ$6&lt;&gt;"",AZ$8&lt;&gt;""),IF(EOMONTH($AX$3+INT((DAY(EOMONTH($AX$3,0))-1)/2)+AZ$8,0)=EOMONTH($R$3,0),AZ$6*AZ$7,0),0),IF(AND(AV$6&lt;&gt;"",AV$8&lt;&gt;""),IF(EOMONTH($AT$3+INT((DAY(EOMONTH($AT$3,0))-1)/2)+AV$8,0)=EOMONTH($R$3,0),AV$6*AV$7,0),0),IF(AND(AR$6&lt;&gt;"",AR$8&lt;&gt;""),IF(EOMONTH($AP$3+INT((DAY(EOMONTH($AP$3,0))-1)/2)+AR$8,0)=EOMONTH($R$3,0),AR$6*AR$7,0),0),IF(AND(AN$6&lt;&gt;"",AN$8&lt;&gt;""),IF(EOMONTH($AL$3+INT((DAY(EOMONTH($AL$3,0))-1)/2)+AN$8,0)=EOMONTH($R$3,0),AN$6*AN$7,0),0),IF(AND(AJ$6&lt;&gt;"",AJ$8&lt;&gt;""),IF(EOMONTH($AH$3+INT((DAY(EOMONTH($AH$3,0))-1)/2)+AJ$8,0)=EOMONTH($R$3,0),AJ$6*AJ$7,0),0),IF(AND(AF$6&lt;&gt;"",AF$8&lt;&gt;""),IF(EOMONTH($AD$3+INT((DAY(EOMONTH($AD$3,0))-1)/2)+AF$8,0)=EOMONTH($R$3,0),AF$6*AF$7,0),0),IF(AND(AB$6&lt;&gt;"",AB$8&lt;&gt;""),IF(EOMONTH($Z$3+INT((DAY(EOMONTH($Z$3,0))-1)/2)+AB$8,0)=EOMONTH($R$3,0),AB$6*AB$7,0),0),IF(AND(X$6&lt;&gt;"",X$8&lt;&gt;""),IF(EOMONTH($V$3+INT((DAY(EOMONTH($V$3,0))-1)/2)+X$8,0)=EOMONTH($R$3,0),X$6*X$7,0),0),IF(AND(T$6&lt;&gt;"",T$8&lt;&gt;""),IF(EOMONTH($R$3+INT((DAY(EOMONTH($R$3,0))-1)/2)+T$8,0)=EOMONTH($R$3,0),T$6*T$7,0),0),IF(AND(P$6&lt;&gt;"",P$8&lt;&gt;""),IF(EOMONTH($N$3+INT((DAY(EOMONTH($N$3,0))-1)/2)+P$8,0)=EOMONTH($R$3,0),P$6*P$7,0),0),IF(AND(L$6&lt;&gt;"",L$8&lt;&gt;""),IF(EOMONTH($J$3+INT((DAY(EOMONTH($J$3,0))-1)/2)+L$8,0)=EOMONTH($R$3,0),L$6*L$7,0),0),IF(AND(H$6&lt;&gt;"",H$8&lt;&gt;""),IF(EOMONTH($F$3+INT((DAY(EOMONTH($F$3,0))-1)/2)+H$8,0)=EOMONTH($R$3,0),H$6*H$7,0),0)),0)</f>
        <v>0</v>
      </c>
      <c r="U9" s="16">
        <f t="shared" si="11"/>
        <v>0</v>
      </c>
      <c r="V9" s="17"/>
      <c r="W9" s="14">
        <f>IF(V$98=1,V9,ROUND(SUM(IF(AND(AY$6&lt;&gt;"",AY$8&lt;&gt;""),IF(EOMONTH($AX$3+INT((DAY(EOMONTH($AX$3,0))-1)/2)+AY$8,0)=EOMONTH($V$3,0),AY$6*AY$7,0),0),IF(AND(AU$6&lt;&gt;"",AU$8&lt;&gt;""),IF(EOMONTH($AT$3+INT((DAY(EOMONTH($AT$3,0))-1)/2)+AU$8,0)=EOMONTH($V$3,0),AU$6*AU$7,0),0),IF(AND(AQ$6&lt;&gt;"",AQ$8&lt;&gt;""),IF(EOMONTH($AP$3+INT((DAY(EOMONTH($AP$3,0))-1)/2)+AQ$8,0)=EOMONTH($V$3,0),AQ$6*AQ$7,0),0),IF(AND(AM$6&lt;&gt;"",AM$8&lt;&gt;""),IF(EOMONTH($AL$3+INT((DAY(EOMONTH($AL$3,0))-1)/2)+AM$8,0)=EOMONTH($V$3,0),AM$6*AM$7,0),0),IF(AND(AI$6&lt;&gt;"",AI$8&lt;&gt;""),IF(EOMONTH($AH$3+INT((DAY(EOMONTH($AH$3,0))-1)/2)+AI$8,0)=EOMONTH($V$3,0),AI$6*AI$7,0),0),IF(AND(AE$6&lt;&gt;"",AE$8&lt;&gt;""),IF(EOMONTH($AD$3+INT((DAY(EOMONTH($AD$3,0))-1)/2)+AE$8,0)=EOMONTH($V$3,0),AE$6*AE$7,0),0),IF(AND(AA$6&lt;&gt;"",AA$8&lt;&gt;""),IF(EOMONTH($Z$3+INT((DAY(EOMONTH($Z$3,0))-1)/2)+AA$8,0)=EOMONTH($V$3,0),AA$6*AA$7,0),0),IF(AND(W$6&lt;&gt;"",W$8&lt;&gt;""),IF(EOMONTH($V$3+INT((DAY(EOMONTH($V$3,0))-1)/2)+W$8,0)=EOMONTH($V$3,0),W$6*W$7,0),0),IF(AND(S$6&lt;&gt;"",S$8&lt;&gt;""),IF(EOMONTH($R$3+INT((DAY(EOMONTH($R$3,0))-1)/2)+S$8,0)=EOMONTH($V$3,0),S$6*S$7,0),0),IF(AND(O$6&lt;&gt;"",O$8&lt;&gt;""),IF(EOMONTH($N$3+INT((DAY(EOMONTH($N$3,0))-1)/2)+O$8,0)=EOMONTH($V$3,0),O$6*O$7,0),0),IF(AND(K$6&lt;&gt;"",K$8&lt;&gt;""),IF(EOMONTH($J$3+INT((DAY(EOMONTH($J$3,0))-1)/2)+K$8,0)=EOMONTH($V$3,0),K$6*K$7,0),0),IF(AND(G$6&lt;&gt;"",G$8&lt;&gt;""),IF(EOMONTH($F$3+INT((DAY(EOMONTH($F$3,0))-1)/2)+G$8,0)=EOMONTH($V$3,0),G$6*G$7,0),0)),0))</f>
        <v>0</v>
      </c>
      <c r="X9" s="15">
        <f>ROUND(SUM(IF(AND(AZ$6&lt;&gt;"",AZ$8&lt;&gt;""),IF(EOMONTH($AX$3+INT((DAY(EOMONTH($AX$3,0))-1)/2)+AZ$8,0)=EOMONTH($V$3,0),AZ$6*AZ$7,0),0),IF(AND(AV$6&lt;&gt;"",AV$8&lt;&gt;""),IF(EOMONTH($AT$3+INT((DAY(EOMONTH($AT$3,0))-1)/2)+AV$8,0)=EOMONTH($V$3,0),AV$6*AV$7,0),0),IF(AND(AR$6&lt;&gt;"",AR$8&lt;&gt;""),IF(EOMONTH($AP$3+INT((DAY(EOMONTH($AP$3,0))-1)/2)+AR$8,0)=EOMONTH($V$3,0),AR$6*AR$7,0),0),IF(AND(AN$6&lt;&gt;"",AN$8&lt;&gt;""),IF(EOMONTH($AL$3+INT((DAY(EOMONTH($AL$3,0))-1)/2)+AN$8,0)=EOMONTH($V$3,0),AN$6*AN$7,0),0),IF(AND(AJ$6&lt;&gt;"",AJ$8&lt;&gt;""),IF(EOMONTH($AH$3+INT((DAY(EOMONTH($AH$3,0))-1)/2)+AJ$8,0)=EOMONTH($V$3,0),AJ$6*AJ$7,0),0),IF(AND(AF$6&lt;&gt;"",AF$8&lt;&gt;""),IF(EOMONTH($AD$3+INT((DAY(EOMONTH($AD$3,0))-1)/2)+AF$8,0)=EOMONTH($V$3,0),AF$6*AF$7,0),0),IF(AND(AB$6&lt;&gt;"",AB$8&lt;&gt;""),IF(EOMONTH($Z$3+INT((DAY(EOMONTH($Z$3,0))-1)/2)+AB$8,0)=EOMONTH($V$3,0),AB$6*AB$7,0),0),IF(AND(X$6&lt;&gt;"",X$8&lt;&gt;""),IF(EOMONTH($V$3+INT((DAY(EOMONTH($V$3,0))-1)/2)+X$8,0)=EOMONTH($V$3,0),X$6*X$7,0),0),IF(AND(T$6&lt;&gt;"",T$8&lt;&gt;""),IF(EOMONTH($R$3+INT((DAY(EOMONTH($R$3,0))-1)/2)+T$8,0)=EOMONTH($V$3,0),T$6*T$7,0),0),IF(AND(P$6&lt;&gt;"",P$8&lt;&gt;""),IF(EOMONTH($N$3+INT((DAY(EOMONTH($N$3,0))-1)/2)+P$8,0)=EOMONTH($V$3,0),P$6*P$7,0),0),IF(AND(L$6&lt;&gt;"",L$8&lt;&gt;""),IF(EOMONTH($J$3+INT((DAY(EOMONTH($J$3,0))-1)/2)+L$8,0)=EOMONTH($V$3,0),L$6*L$7,0),0),IF(AND(H$6&lt;&gt;"",H$8&lt;&gt;""),IF(EOMONTH($F$3+INT((DAY(EOMONTH($F$3,0))-1)/2)+H$8,0)=EOMONTH($V$3,0),H$6*H$7,0),0)),0)</f>
        <v>0</v>
      </c>
      <c r="Y9" s="16">
        <f t="shared" si="13"/>
        <v>0</v>
      </c>
      <c r="Z9" s="17"/>
      <c r="AA9" s="14">
        <f>IF(Z$98=1,Z9,ROUND(SUM(IF(AND(AY$6&lt;&gt;"",AY$8&lt;&gt;""),IF(EOMONTH($AX$3+INT((DAY(EOMONTH($AX$3,0))-1)/2)+AY$8,0)=EOMONTH($Z$3,0),AY$6*AY$7,0),0),IF(AND(AU$6&lt;&gt;"",AU$8&lt;&gt;""),IF(EOMONTH($AT$3+INT((DAY(EOMONTH($AT$3,0))-1)/2)+AU$8,0)=EOMONTH($Z$3,0),AU$6*AU$7,0),0),IF(AND(AQ$6&lt;&gt;"",AQ$8&lt;&gt;""),IF(EOMONTH($AP$3+INT((DAY(EOMONTH($AP$3,0))-1)/2)+AQ$8,0)=EOMONTH($Z$3,0),AQ$6*AQ$7,0),0),IF(AND(AM$6&lt;&gt;"",AM$8&lt;&gt;""),IF(EOMONTH($AL$3+INT((DAY(EOMONTH($AL$3,0))-1)/2)+AM$8,0)=EOMONTH($Z$3,0),AM$6*AM$7,0),0),IF(AND(AI$6&lt;&gt;"",AI$8&lt;&gt;""),IF(EOMONTH($AH$3+INT((DAY(EOMONTH($AH$3,0))-1)/2)+AI$8,0)=EOMONTH($Z$3,0),AI$6*AI$7,0),0),IF(AND(AE$6&lt;&gt;"",AE$8&lt;&gt;""),IF(EOMONTH($AD$3+INT((DAY(EOMONTH($AD$3,0))-1)/2)+AE$8,0)=EOMONTH($Z$3,0),AE$6*AE$7,0),0),IF(AND(AA$6&lt;&gt;"",AA$8&lt;&gt;""),IF(EOMONTH($Z$3+INT((DAY(EOMONTH($Z$3,0))-1)/2)+AA$8,0)=EOMONTH($Z$3,0),AA$6*AA$7,0),0),IF(AND(W$6&lt;&gt;"",W$8&lt;&gt;""),IF(EOMONTH($V$3+INT((DAY(EOMONTH($V$3,0))-1)/2)+W$8,0)=EOMONTH($Z$3,0),W$6*W$7,0),0),IF(AND(S$6&lt;&gt;"",S$8&lt;&gt;""),IF(EOMONTH($R$3+INT((DAY(EOMONTH($R$3,0))-1)/2)+S$8,0)=EOMONTH($Z$3,0),S$6*S$7,0),0),IF(AND(O$6&lt;&gt;"",O$8&lt;&gt;""),IF(EOMONTH($N$3+INT((DAY(EOMONTH($N$3,0))-1)/2)+O$8,0)=EOMONTH($Z$3,0),O$6*O$7,0),0),IF(AND(K$6&lt;&gt;"",K$8&lt;&gt;""),IF(EOMONTH($J$3+INT((DAY(EOMONTH($J$3,0))-1)/2)+K$8,0)=EOMONTH($Z$3,0),K$6*K$7,0),0),IF(AND(G$6&lt;&gt;"",G$8&lt;&gt;""),IF(EOMONTH($F$3+INT((DAY(EOMONTH($F$3,0))-1)/2)+G$8,0)=EOMONTH($Z$3,0),G$6*G$7,0),0)),0))</f>
        <v>0</v>
      </c>
      <c r="AB9" s="15">
        <f>ROUND(SUM(IF(AND(AZ$6&lt;&gt;"",AZ$8&lt;&gt;""),IF(EOMONTH($AX$3+INT((DAY(EOMONTH($AX$3,0))-1)/2)+AZ$8,0)=EOMONTH($Z$3,0),AZ$6*AZ$7,0),0),IF(AND(AV$6&lt;&gt;"",AV$8&lt;&gt;""),IF(EOMONTH($AT$3+INT((DAY(EOMONTH($AT$3,0))-1)/2)+AV$8,0)=EOMONTH($Z$3,0),AV$6*AV$7,0),0),IF(AND(AR$6&lt;&gt;"",AR$8&lt;&gt;""),IF(EOMONTH($AP$3+INT((DAY(EOMONTH($AP$3,0))-1)/2)+AR$8,0)=EOMONTH($Z$3,0),AR$6*AR$7,0),0),IF(AND(AN$6&lt;&gt;"",AN$8&lt;&gt;""),IF(EOMONTH($AL$3+INT((DAY(EOMONTH($AL$3,0))-1)/2)+AN$8,0)=EOMONTH($Z$3,0),AN$6*AN$7,0),0),IF(AND(AJ$6&lt;&gt;"",AJ$8&lt;&gt;""),IF(EOMONTH($AH$3+INT((DAY(EOMONTH($AH$3,0))-1)/2)+AJ$8,0)=EOMONTH($Z$3,0),AJ$6*AJ$7,0),0),IF(AND(AF$6&lt;&gt;"",AF$8&lt;&gt;""),IF(EOMONTH($AD$3+INT((DAY(EOMONTH($AD$3,0))-1)/2)+AF$8,0)=EOMONTH($Z$3,0),AF$6*AF$7,0),0),IF(AND(AB$6&lt;&gt;"",AB$8&lt;&gt;""),IF(EOMONTH($Z$3+INT((DAY(EOMONTH($Z$3,0))-1)/2)+AB$8,0)=EOMONTH($Z$3,0),AB$6*AB$7,0),0),IF(AND(X$6&lt;&gt;"",X$8&lt;&gt;""),IF(EOMONTH($V$3+INT((DAY(EOMONTH($V$3,0))-1)/2)+X$8,0)=EOMONTH($Z$3,0),X$6*X$7,0),0),IF(AND(T$6&lt;&gt;"",T$8&lt;&gt;""),IF(EOMONTH($R$3+INT((DAY(EOMONTH($R$3,0))-1)/2)+T$8,0)=EOMONTH($Z$3,0),T$6*T$7,0),0),IF(AND(P$6&lt;&gt;"",P$8&lt;&gt;""),IF(EOMONTH($N$3+INT((DAY(EOMONTH($N$3,0))-1)/2)+P$8,0)=EOMONTH($Z$3,0),P$6*P$7,0),0),IF(AND(L$6&lt;&gt;"",L$8&lt;&gt;""),IF(EOMONTH($J$3+INT((DAY(EOMONTH($J$3,0))-1)/2)+L$8,0)=EOMONTH($Z$3,0),L$6*L$7,0),0),IF(AND(H$6&lt;&gt;"",H$8&lt;&gt;""),IF(EOMONTH($F$3+INT((DAY(EOMONTH($F$3,0))-1)/2)+H$8,0)=EOMONTH($Z$3,0),H$6*H$7,0),0)),0)</f>
        <v>0</v>
      </c>
      <c r="AC9" s="16">
        <f t="shared" si="15"/>
        <v>0</v>
      </c>
      <c r="AD9" s="17"/>
      <c r="AE9" s="14">
        <f>IF(AD$98=1,AD9,ROUND(SUM(IF(AND(AY$6&lt;&gt;"",AY$8&lt;&gt;""),IF(EOMONTH($AX$3+INT((DAY(EOMONTH($AX$3,0))-1)/2)+AY$8,0)=EOMONTH($AD$3,0),AY$6*AY$7,0),0),IF(AND(AU$6&lt;&gt;"",AU$8&lt;&gt;""),IF(EOMONTH($AT$3+INT((DAY(EOMONTH($AT$3,0))-1)/2)+AU$8,0)=EOMONTH($AD$3,0),AU$6*AU$7,0),0),IF(AND(AQ$6&lt;&gt;"",AQ$8&lt;&gt;""),IF(EOMONTH($AP$3+INT((DAY(EOMONTH($AP$3,0))-1)/2)+AQ$8,0)=EOMONTH($AD$3,0),AQ$6*AQ$7,0),0),IF(AND(AM$6&lt;&gt;"",AM$8&lt;&gt;""),IF(EOMONTH($AL$3+INT((DAY(EOMONTH($AL$3,0))-1)/2)+AM$8,0)=EOMONTH($AD$3,0),AM$6*AM$7,0),0),IF(AND(AI$6&lt;&gt;"",AI$8&lt;&gt;""),IF(EOMONTH($AH$3+INT((DAY(EOMONTH($AH$3,0))-1)/2)+AI$8,0)=EOMONTH($AD$3,0),AI$6*AI$7,0),0),IF(AND(AE$6&lt;&gt;"",AE$8&lt;&gt;""),IF(EOMONTH($AD$3+INT((DAY(EOMONTH($AD$3,0))-1)/2)+AE$8,0)=EOMONTH($AD$3,0),AE$6*AE$7,0),0),IF(AND(AA$6&lt;&gt;"",AA$8&lt;&gt;""),IF(EOMONTH($Z$3+INT((DAY(EOMONTH($Z$3,0))-1)/2)+AA$8,0)=EOMONTH($AD$3,0),AA$6*AA$7,0),0),IF(AND(W$6&lt;&gt;"",W$8&lt;&gt;""),IF(EOMONTH($V$3+INT((DAY(EOMONTH($V$3,0))-1)/2)+W$8,0)=EOMONTH($AD$3,0),W$6*W$7,0),0),IF(AND(S$6&lt;&gt;"",S$8&lt;&gt;""),IF(EOMONTH($R$3+INT((DAY(EOMONTH($R$3,0))-1)/2)+S$8,0)=EOMONTH($AD$3,0),S$6*S$7,0),0),IF(AND(O$6&lt;&gt;"",O$8&lt;&gt;""),IF(EOMONTH($N$3+INT((DAY(EOMONTH($N$3,0))-1)/2)+O$8,0)=EOMONTH($AD$3,0),O$6*O$7,0),0),IF(AND(K$6&lt;&gt;"",K$8&lt;&gt;""),IF(EOMONTH($J$3+INT((DAY(EOMONTH($J$3,0))-1)/2)+K$8,0)=EOMONTH($AD$3,0),K$6*K$7,0),0),IF(AND(G$6&lt;&gt;"",G$8&lt;&gt;""),IF(EOMONTH($F$3+INT((DAY(EOMONTH($F$3,0))-1)/2)+G$8,0)=EOMONTH($AD$3,0),G$6*G$7,0),0)),0))</f>
        <v>0</v>
      </c>
      <c r="AF9" s="15">
        <f>ROUND(SUM(IF(AND(AZ$6&lt;&gt;"",AZ$8&lt;&gt;""),IF(EOMONTH($AX$3+INT((DAY(EOMONTH($AX$3,0))-1)/2)+AZ$8,0)=EOMONTH($AD$3,0),AZ$6*AZ$7,0),0),IF(AND(AV$6&lt;&gt;"",AV$8&lt;&gt;""),IF(EOMONTH($AT$3+INT((DAY(EOMONTH($AT$3,0))-1)/2)+AV$8,0)=EOMONTH($AD$3,0),AV$6*AV$7,0),0),IF(AND(AR$6&lt;&gt;"",AR$8&lt;&gt;""),IF(EOMONTH($AP$3+INT((DAY(EOMONTH($AP$3,0))-1)/2)+AR$8,0)=EOMONTH($AD$3,0),AR$6*AR$7,0),0),IF(AND(AN$6&lt;&gt;"",AN$8&lt;&gt;""),IF(EOMONTH($AL$3+INT((DAY(EOMONTH($AL$3,0))-1)/2)+AN$8,0)=EOMONTH($AD$3,0),AN$6*AN$7,0),0),IF(AND(AJ$6&lt;&gt;"",AJ$8&lt;&gt;""),IF(EOMONTH($AH$3+INT((DAY(EOMONTH($AH$3,0))-1)/2)+AJ$8,0)=EOMONTH($AD$3,0),AJ$6*AJ$7,0),0),IF(AND(AF$6&lt;&gt;"",AF$8&lt;&gt;""),IF(EOMONTH($AD$3+INT((DAY(EOMONTH($AD$3,0))-1)/2)+AF$8,0)=EOMONTH($AD$3,0),AF$6*AF$7,0),0),IF(AND(AB$6&lt;&gt;"",AB$8&lt;&gt;""),IF(EOMONTH($Z$3+INT((DAY(EOMONTH($Z$3,0))-1)/2)+AB$8,0)=EOMONTH($AD$3,0),AB$6*AB$7,0),0),IF(AND(X$6&lt;&gt;"",X$8&lt;&gt;""),IF(EOMONTH($V$3+INT((DAY(EOMONTH($V$3,0))-1)/2)+X$8,0)=EOMONTH($AD$3,0),X$6*X$7,0),0),IF(AND(T$6&lt;&gt;"",T$8&lt;&gt;""),IF(EOMONTH($R$3+INT((DAY(EOMONTH($R$3,0))-1)/2)+T$8,0)=EOMONTH($AD$3,0),T$6*T$7,0),0),IF(AND(P$6&lt;&gt;"",P$8&lt;&gt;""),IF(EOMONTH($N$3+INT((DAY(EOMONTH($N$3,0))-1)/2)+P$8,0)=EOMONTH($AD$3,0),P$6*P$7,0),0),IF(AND(L$6&lt;&gt;"",L$8&lt;&gt;""),IF(EOMONTH($J$3+INT((DAY(EOMONTH($J$3,0))-1)/2)+L$8,0)=EOMONTH($AD$3,0),L$6*L$7,0),0),IF(AND(H$6&lt;&gt;"",H$8&lt;&gt;""),IF(EOMONTH($F$3+INT((DAY(EOMONTH($F$3,0))-1)/2)+H$8,0)=EOMONTH($AD$3,0),H$6*H$7,0),0)),0)</f>
        <v>0</v>
      </c>
      <c r="AG9" s="16">
        <f t="shared" si="17"/>
        <v>0</v>
      </c>
      <c r="AH9" s="17"/>
      <c r="AI9" s="14">
        <f>IF(AH$98=1,AH9,ROUND(SUM(IF(AND(AY$6&lt;&gt;"",AY$8&lt;&gt;""),IF(EOMONTH($AX$3+INT((DAY(EOMONTH($AX$3,0))-1)/2)+AY$8,0)=EOMONTH($AH$3,0),AY$6*AY$7,0),0),IF(AND(AU$6&lt;&gt;"",AU$8&lt;&gt;""),IF(EOMONTH($AT$3+INT((DAY(EOMONTH($AT$3,0))-1)/2)+AU$8,0)=EOMONTH($AH$3,0),AU$6*AU$7,0),0),IF(AND(AQ$6&lt;&gt;"",AQ$8&lt;&gt;""),IF(EOMONTH($AP$3+INT((DAY(EOMONTH($AP$3,0))-1)/2)+AQ$8,0)=EOMONTH($AH$3,0),AQ$6*AQ$7,0),0),IF(AND(AM$6&lt;&gt;"",AM$8&lt;&gt;""),IF(EOMONTH($AL$3+INT((DAY(EOMONTH($AL$3,0))-1)/2)+AM$8,0)=EOMONTH($AH$3,0),AM$6*AM$7,0),0),IF(AND(AI$6&lt;&gt;"",AI$8&lt;&gt;""),IF(EOMONTH($AH$3+INT((DAY(EOMONTH($AH$3,0))-1)/2)+AI$8,0)=EOMONTH($AH$3,0),AI$6*AI$7,0),0),IF(AND(AE$6&lt;&gt;"",AE$8&lt;&gt;""),IF(EOMONTH($AD$3+INT((DAY(EOMONTH($AD$3,0))-1)/2)+AE$8,0)=EOMONTH($AH$3,0),AE$6*AE$7,0),0),IF(AND(AA$6&lt;&gt;"",AA$8&lt;&gt;""),IF(EOMONTH($Z$3+INT((DAY(EOMONTH($Z$3,0))-1)/2)+AA$8,0)=EOMONTH($AH$3,0),AA$6*AA$7,0),0),IF(AND(W$6&lt;&gt;"",W$8&lt;&gt;""),IF(EOMONTH($V$3+INT((DAY(EOMONTH($V$3,0))-1)/2)+W$8,0)=EOMONTH($AH$3,0),W$6*W$7,0),0),IF(AND(S$6&lt;&gt;"",S$8&lt;&gt;""),IF(EOMONTH($R$3+INT((DAY(EOMONTH($R$3,0))-1)/2)+S$8,0)=EOMONTH($AH$3,0),S$6*S$7,0),0),IF(AND(O$6&lt;&gt;"",O$8&lt;&gt;""),IF(EOMONTH($N$3+INT((DAY(EOMONTH($N$3,0))-1)/2)+O$8,0)=EOMONTH($AH$3,0),O$6*O$7,0),0),IF(AND(K$6&lt;&gt;"",K$8&lt;&gt;""),IF(EOMONTH($J$3+INT((DAY(EOMONTH($J$3,0))-1)/2)+K$8,0)=EOMONTH($AH$3,0),K$6*K$7,0),0),IF(AND(G$6&lt;&gt;"",G$8&lt;&gt;""),IF(EOMONTH($F$3+INT((DAY(EOMONTH($F$3,0))-1)/2)+G$8,0)=EOMONTH($AH$3,0),G$6*G$7,0),0)),0))</f>
        <v>0</v>
      </c>
      <c r="AJ9" s="15">
        <f>ROUND(SUM(IF(AND(AZ$6&lt;&gt;"",AZ$8&lt;&gt;""),IF(EOMONTH($AX$3+INT((DAY(EOMONTH($AX$3,0))-1)/2)+AZ$8,0)=EOMONTH($AH$3,0),AZ$6*AZ$7,0),0),IF(AND(AV$6&lt;&gt;"",AV$8&lt;&gt;""),IF(EOMONTH($AT$3+INT((DAY(EOMONTH($AT$3,0))-1)/2)+AV$8,0)=EOMONTH($AH$3,0),AV$6*AV$7,0),0),IF(AND(AR$6&lt;&gt;"",AR$8&lt;&gt;""),IF(EOMONTH($AP$3+INT((DAY(EOMONTH($AP$3,0))-1)/2)+AR$8,0)=EOMONTH($AH$3,0),AR$6*AR$7,0),0),IF(AND(AN$6&lt;&gt;"",AN$8&lt;&gt;""),IF(EOMONTH($AL$3+INT((DAY(EOMONTH($AL$3,0))-1)/2)+AN$8,0)=EOMONTH($AH$3,0),AN$6*AN$7,0),0),IF(AND(AJ$6&lt;&gt;"",AJ$8&lt;&gt;""),IF(EOMONTH($AH$3+INT((DAY(EOMONTH($AH$3,0))-1)/2)+AJ$8,0)=EOMONTH($AH$3,0),AJ$6*AJ$7,0),0),IF(AND(AF$6&lt;&gt;"",AF$8&lt;&gt;""),IF(EOMONTH($AD$3+INT((DAY(EOMONTH($AD$3,0))-1)/2)+AF$8,0)=EOMONTH($AH$3,0),AF$6*AF$7,0),0),IF(AND(AB$6&lt;&gt;"",AB$8&lt;&gt;""),IF(EOMONTH($Z$3+INT((DAY(EOMONTH($Z$3,0))-1)/2)+AB$8,0)=EOMONTH($AH$3,0),AB$6*AB$7,0),0),IF(AND(X$6&lt;&gt;"",X$8&lt;&gt;""),IF(EOMONTH($V$3+INT((DAY(EOMONTH($V$3,0))-1)/2)+X$8,0)=EOMONTH($AH$3,0),X$6*X$7,0),0),IF(AND(T$6&lt;&gt;"",T$8&lt;&gt;""),IF(EOMONTH($R$3+INT((DAY(EOMONTH($R$3,0))-1)/2)+T$8,0)=EOMONTH($AH$3,0),T$6*T$7,0),0),IF(AND(P$6&lt;&gt;"",P$8&lt;&gt;""),IF(EOMONTH($N$3+INT((DAY(EOMONTH($N$3,0))-1)/2)+P$8,0)=EOMONTH($AH$3,0),P$6*P$7,0),0),IF(AND(L$6&lt;&gt;"",L$8&lt;&gt;""),IF(EOMONTH($J$3+INT((DAY(EOMONTH($J$3,0))-1)/2)+L$8,0)=EOMONTH($AH$3,0),L$6*L$7,0),0),IF(AND(H$6&lt;&gt;"",H$8&lt;&gt;""),IF(EOMONTH($F$3+INT((DAY(EOMONTH($F$3,0))-1)/2)+H$8,0)=EOMONTH($AH$3,0),H$6*H$7,0),0)),0)</f>
        <v>0</v>
      </c>
      <c r="AK9" s="16">
        <f t="shared" si="19"/>
        <v>0</v>
      </c>
      <c r="AL9" s="17"/>
      <c r="AM9" s="14">
        <f>IF(AL$98=1,AL9,ROUND(SUM(IF(AND(AY$6&lt;&gt;"",AY$8&lt;&gt;""),IF(EOMONTH($AX$3+INT((DAY(EOMONTH($AX$3,0))-1)/2)+AY$8,0)=EOMONTH($AL$3,0),AY$6*AY$7,0),0),IF(AND(AU$6&lt;&gt;"",AU$8&lt;&gt;""),IF(EOMONTH($AT$3+INT((DAY(EOMONTH($AT$3,0))-1)/2)+AU$8,0)=EOMONTH($AL$3,0),AU$6*AU$7,0),0),IF(AND(AQ$6&lt;&gt;"",AQ$8&lt;&gt;""),IF(EOMONTH($AP$3+INT((DAY(EOMONTH($AP$3,0))-1)/2)+AQ$8,0)=EOMONTH($AL$3,0),AQ$6*AQ$7,0),0),IF(AND(AM$6&lt;&gt;"",AM$8&lt;&gt;""),IF(EOMONTH($AL$3+INT((DAY(EOMONTH($AL$3,0))-1)/2)+AM$8,0)=EOMONTH($AL$3,0),AM$6*AM$7,0),0),IF(AND(AI$6&lt;&gt;"",AI$8&lt;&gt;""),IF(EOMONTH($AH$3+INT((DAY(EOMONTH($AH$3,0))-1)/2)+AI$8,0)=EOMONTH($AL$3,0),AI$6*AI$7,0),0),IF(AND(AE$6&lt;&gt;"",AE$8&lt;&gt;""),IF(EOMONTH($AD$3+INT((DAY(EOMONTH($AD$3,0))-1)/2)+AE$8,0)=EOMONTH($AL$3,0),AE$6*AE$7,0),0),IF(AND(AA$6&lt;&gt;"",AA$8&lt;&gt;""),IF(EOMONTH($Z$3+INT((DAY(EOMONTH($Z$3,0))-1)/2)+AA$8,0)=EOMONTH($AL$3,0),AA$6*AA$7,0),0),IF(AND(W$6&lt;&gt;"",W$8&lt;&gt;""),IF(EOMONTH($V$3+INT((DAY(EOMONTH($V$3,0))-1)/2)+W$8,0)=EOMONTH($AL$3,0),W$6*W$7,0),0),IF(AND(S$6&lt;&gt;"",S$8&lt;&gt;""),IF(EOMONTH($R$3+INT((DAY(EOMONTH($R$3,0))-1)/2)+S$8,0)=EOMONTH($AL$3,0),S$6*S$7,0),0),IF(AND(O$6&lt;&gt;"",O$8&lt;&gt;""),IF(EOMONTH($N$3+INT((DAY(EOMONTH($N$3,0))-1)/2)+O$8,0)=EOMONTH($AL$3,0),O$6*O$7,0),0),IF(AND(K$6&lt;&gt;"",K$8&lt;&gt;""),IF(EOMONTH($J$3+INT((DAY(EOMONTH($J$3,0))-1)/2)+K$8,0)=EOMONTH($AL$3,0),K$6*K$7,0),0),IF(AND(G$6&lt;&gt;"",G$8&lt;&gt;""),IF(EOMONTH($F$3+INT((DAY(EOMONTH($F$3,0))-1)/2)+G$8,0)=EOMONTH($AL$3,0),G$6*G$7,0),0)),0))</f>
        <v>0</v>
      </c>
      <c r="AN9" s="15">
        <f>ROUND(SUM(IF(AND(AZ$6&lt;&gt;"",AZ$8&lt;&gt;""),IF(EOMONTH($AX$3+INT((DAY(EOMONTH($AX$3,0))-1)/2)+AZ$8,0)=EOMONTH($AL$3,0),AZ$6*AZ$7,0),0),IF(AND(AV$6&lt;&gt;"",AV$8&lt;&gt;""),IF(EOMONTH($AT$3+INT((DAY(EOMONTH($AT$3,0))-1)/2)+AV$8,0)=EOMONTH($AL$3,0),AV$6*AV$7,0),0),IF(AND(AR$6&lt;&gt;"",AR$8&lt;&gt;""),IF(EOMONTH($AP$3+INT((DAY(EOMONTH($AP$3,0))-1)/2)+AR$8,0)=EOMONTH($AL$3,0),AR$6*AR$7,0),0),IF(AND(AN$6&lt;&gt;"",AN$8&lt;&gt;""),IF(EOMONTH($AL$3+INT((DAY(EOMONTH($AL$3,0))-1)/2)+AN$8,0)=EOMONTH($AL$3,0),AN$6*AN$7,0),0),IF(AND(AJ$6&lt;&gt;"",AJ$8&lt;&gt;""),IF(EOMONTH($AH$3+INT((DAY(EOMONTH($AH$3,0))-1)/2)+AJ$8,0)=EOMONTH($AL$3,0),AJ$6*AJ$7,0),0),IF(AND(AF$6&lt;&gt;"",AF$8&lt;&gt;""),IF(EOMONTH($AD$3+INT((DAY(EOMONTH($AD$3,0))-1)/2)+AF$8,0)=EOMONTH($AL$3,0),AF$6*AF$7,0),0),IF(AND(AB$6&lt;&gt;"",AB$8&lt;&gt;""),IF(EOMONTH($Z$3+INT((DAY(EOMONTH($Z$3,0))-1)/2)+AB$8,0)=EOMONTH($AL$3,0),AB$6*AB$7,0),0),IF(AND(X$6&lt;&gt;"",X$8&lt;&gt;""),IF(EOMONTH($V$3+INT((DAY(EOMONTH($V$3,0))-1)/2)+X$8,0)=EOMONTH($AL$3,0),X$6*X$7,0),0),IF(AND(T$6&lt;&gt;"",T$8&lt;&gt;""),IF(EOMONTH($R$3+INT((DAY(EOMONTH($R$3,0))-1)/2)+T$8,0)=EOMONTH($AL$3,0),T$6*T$7,0),0),IF(AND(P$6&lt;&gt;"",P$8&lt;&gt;""),IF(EOMONTH($N$3+INT((DAY(EOMONTH($N$3,0))-1)/2)+P$8,0)=EOMONTH($AL$3,0),P$6*P$7,0),0),IF(AND(L$6&lt;&gt;"",L$8&lt;&gt;""),IF(EOMONTH($J$3+INT((DAY(EOMONTH($J$3,0))-1)/2)+L$8,0)=EOMONTH($AL$3,0),L$6*L$7,0),0),IF(AND(H$6&lt;&gt;"",H$8&lt;&gt;""),IF(EOMONTH($F$3+INT((DAY(EOMONTH($F$3,0))-1)/2)+H$8,0)=EOMONTH($AL$3,0),H$6*H$7,0),0)),0)</f>
        <v>0</v>
      </c>
      <c r="AO9" s="16">
        <f t="shared" si="21"/>
        <v>0</v>
      </c>
      <c r="AP9" s="17"/>
      <c r="AQ9" s="14">
        <f>IF(AP$98=1,AP9,ROUND(SUM(IF(AND(AY$6&lt;&gt;"",AY$8&lt;&gt;""),IF(EOMONTH($AX$3+INT((DAY(EOMONTH($AX$3,0))-1)/2)+AY$8,0)=EOMONTH($AP$3,0),AY$6*AY$7,0),0),IF(AND(AU$6&lt;&gt;"",AU$8&lt;&gt;""),IF(EOMONTH($AT$3+INT((DAY(EOMONTH($AT$3,0))-1)/2)+AU$8,0)=EOMONTH($AP$3,0),AU$6*AU$7,0),0),IF(AND(AQ$6&lt;&gt;"",AQ$8&lt;&gt;""),IF(EOMONTH($AP$3+INT((DAY(EOMONTH($AP$3,0))-1)/2)+AQ$8,0)=EOMONTH($AP$3,0),AQ$6*AQ$7,0),0),IF(AND(AM$6&lt;&gt;"",AM$8&lt;&gt;""),IF(EOMONTH($AL$3+INT((DAY(EOMONTH($AL$3,0))-1)/2)+AM$8,0)=EOMONTH($AP$3,0),AM$6*AM$7,0),0),IF(AND(AI$6&lt;&gt;"",AI$8&lt;&gt;""),IF(EOMONTH($AH$3+INT((DAY(EOMONTH($AH$3,0))-1)/2)+AI$8,0)=EOMONTH($AP$3,0),AI$6*AI$7,0),0),IF(AND(AE$6&lt;&gt;"",AE$8&lt;&gt;""),IF(EOMONTH($AD$3+INT((DAY(EOMONTH($AD$3,0))-1)/2)+AE$8,0)=EOMONTH($AP$3,0),AE$6*AE$7,0),0),IF(AND(AA$6&lt;&gt;"",AA$8&lt;&gt;""),IF(EOMONTH($Z$3+INT((DAY(EOMONTH($Z$3,0))-1)/2)+AA$8,0)=EOMONTH($AP$3,0),AA$6*AA$7,0),0),IF(AND(W$6&lt;&gt;"",W$8&lt;&gt;""),IF(EOMONTH($V$3+INT((DAY(EOMONTH($V$3,0))-1)/2)+W$8,0)=EOMONTH($AP$3,0),W$6*W$7,0),0),IF(AND(S$6&lt;&gt;"",S$8&lt;&gt;""),IF(EOMONTH($R$3+INT((DAY(EOMONTH($R$3,0))-1)/2)+S$8,0)=EOMONTH($AP$3,0),S$6*S$7,0),0),IF(AND(O$6&lt;&gt;"",O$8&lt;&gt;""),IF(EOMONTH($N$3+INT((DAY(EOMONTH($N$3,0))-1)/2)+O$8,0)=EOMONTH($AP$3,0),O$6*O$7,0),0),IF(AND(K$6&lt;&gt;"",K$8&lt;&gt;""),IF(EOMONTH($J$3+INT((DAY(EOMONTH($J$3,0))-1)/2)+K$8,0)=EOMONTH($AP$3,0),K$6*K$7,0),0),IF(AND(G$6&lt;&gt;"",G$8&lt;&gt;""),IF(EOMONTH($F$3+INT((DAY(EOMONTH($F$3,0))-1)/2)+G$8,0)=EOMONTH($AP$3,0),G$6*G$7,0),0)),0))</f>
        <v>0</v>
      </c>
      <c r="AR9" s="15">
        <f>ROUND(SUM(IF(AND(AZ$6&lt;&gt;"",AZ$8&lt;&gt;""),IF(EOMONTH($AX$3+INT((DAY(EOMONTH($AX$3,0))-1)/2)+AZ$8,0)=EOMONTH($AP$3,0),AZ$6*AZ$7,0),0),IF(AND(AV$6&lt;&gt;"",AV$8&lt;&gt;""),IF(EOMONTH($AT$3+INT((DAY(EOMONTH($AT$3,0))-1)/2)+AV$8,0)=EOMONTH($AP$3,0),AV$6*AV$7,0),0),IF(AND(AR$6&lt;&gt;"",AR$8&lt;&gt;""),IF(EOMONTH($AP$3+INT((DAY(EOMONTH($AP$3,0))-1)/2)+AR$8,0)=EOMONTH($AP$3,0),AR$6*AR$7,0),0),IF(AND(AN$6&lt;&gt;"",AN$8&lt;&gt;""),IF(EOMONTH($AL$3+INT((DAY(EOMONTH($AL$3,0))-1)/2)+AN$8,0)=EOMONTH($AP$3,0),AN$6*AN$7,0),0),IF(AND(AJ$6&lt;&gt;"",AJ$8&lt;&gt;""),IF(EOMONTH($AH$3+INT((DAY(EOMONTH($AH$3,0))-1)/2)+AJ$8,0)=EOMONTH($AP$3,0),AJ$6*AJ$7,0),0),IF(AND(AF$6&lt;&gt;"",AF$8&lt;&gt;""),IF(EOMONTH($AD$3+INT((DAY(EOMONTH($AD$3,0))-1)/2)+AF$8,0)=EOMONTH($AP$3,0),AF$6*AF$7,0),0),IF(AND(AB$6&lt;&gt;"",AB$8&lt;&gt;""),IF(EOMONTH($Z$3+INT((DAY(EOMONTH($Z$3,0))-1)/2)+AB$8,0)=EOMONTH($AP$3,0),AB$6*AB$7,0),0),IF(AND(X$6&lt;&gt;"",X$8&lt;&gt;""),IF(EOMONTH($V$3+INT((DAY(EOMONTH($V$3,0))-1)/2)+X$8,0)=EOMONTH($AP$3,0),X$6*X$7,0),0),IF(AND(T$6&lt;&gt;"",T$8&lt;&gt;""),IF(EOMONTH($R$3+INT((DAY(EOMONTH($R$3,0))-1)/2)+T$8,0)=EOMONTH($AP$3,0),T$6*T$7,0),0),IF(AND(P$6&lt;&gt;"",P$8&lt;&gt;""),IF(EOMONTH($N$3+INT((DAY(EOMONTH($N$3,0))-1)/2)+P$8,0)=EOMONTH($AP$3,0),P$6*P$7,0),0),IF(AND(L$6&lt;&gt;"",L$8&lt;&gt;""),IF(EOMONTH($J$3+INT((DAY(EOMONTH($J$3,0))-1)/2)+L$8,0)=EOMONTH($AP$3,0),L$6*L$7,0),0),IF(AND(H$6&lt;&gt;"",H$8&lt;&gt;""),IF(EOMONTH($F$3+INT((DAY(EOMONTH($F$3,0))-1)/2)+H$8,0)=EOMONTH($AP$3,0),H$6*H$7,0),0)),0)</f>
        <v>0</v>
      </c>
      <c r="AS9" s="16">
        <f t="shared" si="23"/>
        <v>0</v>
      </c>
      <c r="AT9" s="17"/>
      <c r="AU9" s="14">
        <f>IF(AT$98=1,AT9,ROUND(SUM(IF(AND(AY$6&lt;&gt;"",AY$8&lt;&gt;""),IF(EOMONTH($AX$3+INT((DAY(EOMONTH($AX$3,0))-1)/2)+AY$8,0)=EOMONTH($AT$3,0),AY$6*AY$7,0),0),IF(AND(AU$6&lt;&gt;"",AU$8&lt;&gt;""),IF(EOMONTH($AT$3+INT((DAY(EOMONTH($AT$3,0))-1)/2)+AU$8,0)=EOMONTH($AT$3,0),AU$6*AU$7,0),0),IF(AND(AQ$6&lt;&gt;"",AQ$8&lt;&gt;""),IF(EOMONTH($AP$3+INT((DAY(EOMONTH($AP$3,0))-1)/2)+AQ$8,0)=EOMONTH($AT$3,0),AQ$6*AQ$7,0),0),IF(AND(AM$6&lt;&gt;"",AM$8&lt;&gt;""),IF(EOMONTH($AL$3+INT((DAY(EOMONTH($AL$3,0))-1)/2)+AM$8,0)=EOMONTH($AT$3,0),AM$6*AM$7,0),0),IF(AND(AI$6&lt;&gt;"",AI$8&lt;&gt;""),IF(EOMONTH($AH$3+INT((DAY(EOMONTH($AH$3,0))-1)/2)+AI$8,0)=EOMONTH($AT$3,0),AI$6*AI$7,0),0),IF(AND(AE$6&lt;&gt;"",AE$8&lt;&gt;""),IF(EOMONTH($AD$3+INT((DAY(EOMONTH($AD$3,0))-1)/2)+AE$8,0)=EOMONTH($AT$3,0),AE$6*AE$7,0),0),IF(AND(AA$6&lt;&gt;"",AA$8&lt;&gt;""),IF(EOMONTH($Z$3+INT((DAY(EOMONTH($Z$3,0))-1)/2)+AA$8,0)=EOMONTH($AT$3,0),AA$6*AA$7,0),0),IF(AND(W$6&lt;&gt;"",W$8&lt;&gt;""),IF(EOMONTH($V$3+INT((DAY(EOMONTH($V$3,0))-1)/2)+W$8,0)=EOMONTH($AT$3,0),W$6*W$7,0),0),IF(AND(S$6&lt;&gt;"",S$8&lt;&gt;""),IF(EOMONTH($R$3+INT((DAY(EOMONTH($R$3,0))-1)/2)+S$8,0)=EOMONTH($AT$3,0),S$6*S$7,0),0),IF(AND(O$6&lt;&gt;"",O$8&lt;&gt;""),IF(EOMONTH($N$3+INT((DAY(EOMONTH($N$3,0))-1)/2)+O$8,0)=EOMONTH($AT$3,0),O$6*O$7,0),0),IF(AND(K$6&lt;&gt;"",K$8&lt;&gt;""),IF(EOMONTH($J$3+INT((DAY(EOMONTH($J$3,0))-1)/2)+K$8,0)=EOMONTH($AT$3,0),K$6*K$7,0),0),IF(AND(G$6&lt;&gt;"",G$8&lt;&gt;""),IF(EOMONTH($F$3+INT((DAY(EOMONTH($F$3,0))-1)/2)+G$8,0)=EOMONTH($AT$3,0),G$6*G$7,0),0)),0))</f>
        <v>0</v>
      </c>
      <c r="AV9" s="15">
        <f>ROUND(SUM(IF(AND(AZ$6&lt;&gt;"",AZ$8&lt;&gt;""),IF(EOMONTH($AX$3+INT((DAY(EOMONTH($AX$3,0))-1)/2)+AZ$8,0)=EOMONTH($AT$3,0),AZ$6*AZ$7,0),0),IF(AND(AV$6&lt;&gt;"",AV$8&lt;&gt;""),IF(EOMONTH($AT$3+INT((DAY(EOMONTH($AT$3,0))-1)/2)+AV$8,0)=EOMONTH($AT$3,0),AV$6*AV$7,0),0),IF(AND(AR$6&lt;&gt;"",AR$8&lt;&gt;""),IF(EOMONTH($AP$3+INT((DAY(EOMONTH($AP$3,0))-1)/2)+AR$8,0)=EOMONTH($AT$3,0),AR$6*AR$7,0),0),IF(AND(AN$6&lt;&gt;"",AN$8&lt;&gt;""),IF(EOMONTH($AL$3+INT((DAY(EOMONTH($AL$3,0))-1)/2)+AN$8,0)=EOMONTH($AT$3,0),AN$6*AN$7,0),0),IF(AND(AJ$6&lt;&gt;"",AJ$8&lt;&gt;""),IF(EOMONTH($AH$3+INT((DAY(EOMONTH($AH$3,0))-1)/2)+AJ$8,0)=EOMONTH($AT$3,0),AJ$6*AJ$7,0),0),IF(AND(AF$6&lt;&gt;"",AF$8&lt;&gt;""),IF(EOMONTH($AD$3+INT((DAY(EOMONTH($AD$3,0))-1)/2)+AF$8,0)=EOMONTH($AT$3,0),AF$6*AF$7,0),0),IF(AND(AB$6&lt;&gt;"",AB$8&lt;&gt;""),IF(EOMONTH($Z$3+INT((DAY(EOMONTH($Z$3,0))-1)/2)+AB$8,0)=EOMONTH($AT$3,0),AB$6*AB$7,0),0),IF(AND(X$6&lt;&gt;"",X$8&lt;&gt;""),IF(EOMONTH($V$3+INT((DAY(EOMONTH($V$3,0))-1)/2)+X$8,0)=EOMONTH($AT$3,0),X$6*X$7,0),0),IF(AND(T$6&lt;&gt;"",T$8&lt;&gt;""),IF(EOMONTH($R$3+INT((DAY(EOMONTH($R$3,0))-1)/2)+T$8,0)=EOMONTH($AT$3,0),T$6*T$7,0),0),IF(AND(P$6&lt;&gt;"",P$8&lt;&gt;""),IF(EOMONTH($N$3+INT((DAY(EOMONTH($N$3,0))-1)/2)+P$8,0)=EOMONTH($AT$3,0),P$6*P$7,0),0),IF(AND(L$6&lt;&gt;"",L$8&lt;&gt;""),IF(EOMONTH($J$3+INT((DAY(EOMONTH($J$3,0))-1)/2)+L$8,0)=EOMONTH($AT$3,0),L$6*L$7,0),0),IF(AND(H$6&lt;&gt;"",H$8&lt;&gt;""),IF(EOMONTH($F$3+INT((DAY(EOMONTH($F$3,0))-1)/2)+H$8,0)=EOMONTH($AT$3,0),H$6*H$7,0),0)),0)</f>
        <v>0</v>
      </c>
      <c r="AW9" s="16">
        <f t="shared" si="25"/>
        <v>0</v>
      </c>
      <c r="AX9" s="17"/>
      <c r="AY9" s="14">
        <f>IF(AX$98=1,AX9,ROUND(SUM(IF(AND(AY$6&lt;&gt;"",AY$8&lt;&gt;""),IF(EOMONTH($AX$3+INT((DAY(EOMONTH($AX$3,0))-1)/2)+AY$8,0)=EOMONTH($AX$3,0),AY$6*AY$7,0),0),IF(AND(AU$6&lt;&gt;"",AU$8&lt;&gt;""),IF(EOMONTH($AT$3+INT((DAY(EOMONTH($AT$3,0))-1)/2)+AU$8,0)=EOMONTH($AX$3,0),AU$6*AU$7,0),0),IF(AND(AQ$6&lt;&gt;"",AQ$8&lt;&gt;""),IF(EOMONTH($AP$3+INT((DAY(EOMONTH($AP$3,0))-1)/2)+AQ$8,0)=EOMONTH($AX$3,0),AQ$6*AQ$7,0),0),IF(AND(AM$6&lt;&gt;"",AM$8&lt;&gt;""),IF(EOMONTH($AL$3+INT((DAY(EOMONTH($AL$3,0))-1)/2)+AM$8,0)=EOMONTH($AX$3,0),AM$6*AM$7,0),0),IF(AND(AI$6&lt;&gt;"",AI$8&lt;&gt;""),IF(EOMONTH($AH$3+INT((DAY(EOMONTH($AH$3,0))-1)/2)+AI$8,0)=EOMONTH($AX$3,0),AI$6*AI$7,0),0),IF(AND(AE$6&lt;&gt;"",AE$8&lt;&gt;""),IF(EOMONTH($AD$3+INT((DAY(EOMONTH($AD$3,0))-1)/2)+AE$8,0)=EOMONTH($AX$3,0),AE$6*AE$7,0),0),IF(AND(AA$6&lt;&gt;"",AA$8&lt;&gt;""),IF(EOMONTH($Z$3+INT((DAY(EOMONTH($Z$3,0))-1)/2)+AA$8,0)=EOMONTH($AX$3,0),AA$6*AA$7,0),0),IF(AND(W$6&lt;&gt;"",W$8&lt;&gt;""),IF(EOMONTH($V$3+INT((DAY(EOMONTH($V$3,0))-1)/2)+W$8,0)=EOMONTH($AX$3,0),W$6*W$7,0),0),IF(AND(S$6&lt;&gt;"",S$8&lt;&gt;""),IF(EOMONTH($R$3+INT((DAY(EOMONTH($R$3,0))-1)/2)+S$8,0)=EOMONTH($AX$3,0),S$6*S$7,0),0),IF(AND(O$6&lt;&gt;"",O$8&lt;&gt;""),IF(EOMONTH($N$3+INT((DAY(EOMONTH($N$3,0))-1)/2)+O$8,0)=EOMONTH($AX$3,0),O$6*O$7,0),0),IF(AND(K$6&lt;&gt;"",K$8&lt;&gt;""),IF(EOMONTH($J$3+INT((DAY(EOMONTH($J$3,0))-1)/2)+K$8,0)=EOMONTH($AX$3,0),K$6*K$7,0),0),IF(AND(G$6&lt;&gt;"",G$8&lt;&gt;""),IF(EOMONTH($F$3+INT((DAY(EOMONTH($F$3,0))-1)/2)+G$8,0)=EOMONTH($AX$3,0),G$6*G$7,0),0)),0))</f>
        <v>0</v>
      </c>
      <c r="AZ9" s="15">
        <f>ROUND(SUM(IF(AND(AZ$6&lt;&gt;"",AZ$8&lt;&gt;""),IF(EOMONTH($AX$3+INT((DAY(EOMONTH($AX$3,0))-1)/2)+AZ$8,0)=EOMONTH($AX$3,0),AZ$6*AZ$7,0),0),IF(AND(AV$6&lt;&gt;"",AV$8&lt;&gt;""),IF(EOMONTH($AT$3+INT((DAY(EOMONTH($AT$3,0))-1)/2)+AV$8,0)=EOMONTH($AX$3,0),AV$6*AV$7,0),0),IF(AND(AR$6&lt;&gt;"",AR$8&lt;&gt;""),IF(EOMONTH($AP$3+INT((DAY(EOMONTH($AP$3,0))-1)/2)+AR$8,0)=EOMONTH($AX$3,0),AR$6*AR$7,0),0),IF(AND(AN$6&lt;&gt;"",AN$8&lt;&gt;""),IF(EOMONTH($AL$3+INT((DAY(EOMONTH($AL$3,0))-1)/2)+AN$8,0)=EOMONTH($AX$3,0),AN$6*AN$7,0),0),IF(AND(AJ$6&lt;&gt;"",AJ$8&lt;&gt;""),IF(EOMONTH($AH$3+INT((DAY(EOMONTH($AH$3,0))-1)/2)+AJ$8,0)=EOMONTH($AX$3,0),AJ$6*AJ$7,0),0),IF(AND(AF$6&lt;&gt;"",AF$8&lt;&gt;""),IF(EOMONTH($AD$3+INT((DAY(EOMONTH($AD$3,0))-1)/2)+AF$8,0)=EOMONTH($AX$3,0),AF$6*AF$7,0),0),IF(AND(AB$6&lt;&gt;"",AB$8&lt;&gt;""),IF(EOMONTH($Z$3+INT((DAY(EOMONTH($Z$3,0))-1)/2)+AB$8,0)=EOMONTH($AX$3,0),AB$6*AB$7,0),0),IF(AND(X$6&lt;&gt;"",X$8&lt;&gt;""),IF(EOMONTH($V$3+INT((DAY(EOMONTH($V$3,0))-1)/2)+X$8,0)=EOMONTH($AX$3,0),X$6*X$7,0),0),IF(AND(T$6&lt;&gt;"",T$8&lt;&gt;""),IF(EOMONTH($R$3+INT((DAY(EOMONTH($R$3,0))-1)/2)+T$8,0)=EOMONTH($AX$3,0),T$6*T$7,0),0),IF(AND(P$6&lt;&gt;"",P$8&lt;&gt;""),IF(EOMONTH($N$3+INT((DAY(EOMONTH($N$3,0))-1)/2)+P$8,0)=EOMONTH($AX$3,0),P$6*P$7,0),0),IF(AND(L$6&lt;&gt;"",L$8&lt;&gt;""),IF(EOMONTH($J$3+INT((DAY(EOMONTH($J$3,0))-1)/2)+L$8,0)=EOMONTH($AX$3,0),L$6*L$7,0),0),IF(AND(H$6&lt;&gt;"",H$8&lt;&gt;""),IF(EOMONTH($F$3+INT((DAY(EOMONTH($F$3,0))-1)/2)+H$8,0)=EOMONTH($AX$3,0),H$6*H$7,0),0)),0)</f>
        <v>0</v>
      </c>
      <c r="BA9" s="16">
        <f t="shared" si="27"/>
        <v>0</v>
      </c>
    </row>
    <row r="10" ht="18.0" customHeight="1">
      <c r="A10" s="2" t="s">
        <v>13</v>
      </c>
      <c r="B10" s="19" t="str">
        <f t="shared" ref="B10:D10" si="30">IFERROR(B12/B9,"")</f>
        <v/>
      </c>
      <c r="C10" s="20" t="str">
        <f t="shared" si="30"/>
        <v/>
      </c>
      <c r="D10" s="21" t="str">
        <f t="shared" si="30"/>
        <v/>
      </c>
      <c r="E10" s="22" t="str">
        <f t="shared" si="3"/>
        <v/>
      </c>
      <c r="F10" s="19" t="str">
        <f>IFERROR(IF(OR(F12="",F9=""),"",F12/F9),"")</f>
        <v/>
      </c>
      <c r="G10" s="20" t="str">
        <f t="shared" ref="G10:G11" si="32">IF(F$98=1,F10,H10)</f>
        <v/>
      </c>
      <c r="H10" s="23"/>
      <c r="I10" s="22" t="str">
        <f t="shared" si="5"/>
        <v/>
      </c>
      <c r="J10" s="19" t="str">
        <f>IFERROR(IF(OR(J12="",J9=""),"",J12/J9),"")</f>
        <v/>
      </c>
      <c r="K10" s="20" t="str">
        <f t="shared" ref="K10:K11" si="33">IF(J$98=1,J10,L10)</f>
        <v/>
      </c>
      <c r="L10" s="23"/>
      <c r="M10" s="22" t="str">
        <f t="shared" si="7"/>
        <v/>
      </c>
      <c r="N10" s="19" t="str">
        <f>IFERROR(IF(OR(N12="",N9=""),"",N12/N9),"")</f>
        <v/>
      </c>
      <c r="O10" s="20" t="str">
        <f t="shared" ref="O10:O11" si="34">IF(N$98=1,N10,P10)</f>
        <v/>
      </c>
      <c r="P10" s="23"/>
      <c r="Q10" s="22" t="str">
        <f t="shared" si="9"/>
        <v/>
      </c>
      <c r="R10" s="19" t="str">
        <f>IFERROR(IF(OR(R12="",R9=""),"",R12/R9),"")</f>
        <v/>
      </c>
      <c r="S10" s="20" t="str">
        <f t="shared" ref="S10:S11" si="35">IF(R$98=1,R10,T10)</f>
        <v/>
      </c>
      <c r="T10" s="23"/>
      <c r="U10" s="22" t="str">
        <f t="shared" si="11"/>
        <v/>
      </c>
      <c r="V10" s="19" t="str">
        <f>IFERROR(IF(OR(V12="",V9=""),"",V12/V9),"")</f>
        <v/>
      </c>
      <c r="W10" s="20" t="str">
        <f t="shared" ref="W10:W11" si="36">IF(V$98=1,V10,X10)</f>
        <v/>
      </c>
      <c r="X10" s="23"/>
      <c r="Y10" s="22" t="str">
        <f t="shared" si="13"/>
        <v/>
      </c>
      <c r="Z10" s="19" t="str">
        <f>IFERROR(IF(OR(Z12="",Z9=""),"",Z12/Z9),"")</f>
        <v/>
      </c>
      <c r="AA10" s="20" t="str">
        <f t="shared" ref="AA10:AA11" si="37">IF(Z$98=1,Z10,AB10)</f>
        <v/>
      </c>
      <c r="AB10" s="23"/>
      <c r="AC10" s="22" t="str">
        <f t="shared" si="15"/>
        <v/>
      </c>
      <c r="AD10" s="19" t="str">
        <f>IFERROR(IF(OR(AD12="",AD9=""),"",AD12/AD9),"")</f>
        <v/>
      </c>
      <c r="AE10" s="20" t="str">
        <f t="shared" ref="AE10:AE11" si="38">IF(AD$98=1,AD10,AF10)</f>
        <v/>
      </c>
      <c r="AF10" s="23"/>
      <c r="AG10" s="22" t="str">
        <f t="shared" si="17"/>
        <v/>
      </c>
      <c r="AH10" s="19" t="str">
        <f>IFERROR(IF(OR(AH12="",AH9=""),"",AH12/AH9),"")</f>
        <v/>
      </c>
      <c r="AI10" s="20" t="str">
        <f t="shared" ref="AI10:AI11" si="39">IF(AH$98=1,AH10,AJ10)</f>
        <v/>
      </c>
      <c r="AJ10" s="23"/>
      <c r="AK10" s="22" t="str">
        <f t="shared" si="19"/>
        <v/>
      </c>
      <c r="AL10" s="19" t="str">
        <f>IFERROR(IF(OR(AL12="",AL9=""),"",AL12/AL9),"")</f>
        <v/>
      </c>
      <c r="AM10" s="20" t="str">
        <f t="shared" ref="AM10:AM11" si="40">IF(AL$98=1,AL10,AN10)</f>
        <v/>
      </c>
      <c r="AN10" s="23"/>
      <c r="AO10" s="22" t="str">
        <f t="shared" si="21"/>
        <v/>
      </c>
      <c r="AP10" s="19" t="str">
        <f>IFERROR(IF(OR(AP12="",AP9=""),"",AP12/AP9),"")</f>
        <v/>
      </c>
      <c r="AQ10" s="20" t="str">
        <f t="shared" ref="AQ10:AQ11" si="41">IF(AP$98=1,AP10,AR10)</f>
        <v/>
      </c>
      <c r="AR10" s="23"/>
      <c r="AS10" s="22" t="str">
        <f t="shared" si="23"/>
        <v/>
      </c>
      <c r="AT10" s="19" t="str">
        <f>IFERROR(IF(OR(AT12="",AT9=""),"",AT12/AT9),"")</f>
        <v/>
      </c>
      <c r="AU10" s="20" t="str">
        <f t="shared" ref="AU10:AU11" si="42">IF(AT$98=1,AT10,AV10)</f>
        <v/>
      </c>
      <c r="AV10" s="23"/>
      <c r="AW10" s="22" t="str">
        <f t="shared" si="25"/>
        <v/>
      </c>
      <c r="AX10" s="19" t="str">
        <f>IFERROR(IF(OR(AX12="",AX9=""),"",AX12/AX9),"")</f>
        <v/>
      </c>
      <c r="AY10" s="20" t="str">
        <f t="shared" ref="AY10:AY11" si="43">IF(AX$98=1,AX10,AZ10)</f>
        <v/>
      </c>
      <c r="AZ10" s="23"/>
      <c r="BA10" s="22" t="str">
        <f t="shared" si="27"/>
        <v/>
      </c>
    </row>
    <row r="11" ht="18.0" customHeight="1">
      <c r="A11" s="2" t="s">
        <v>14</v>
      </c>
      <c r="B11" s="24" t="str">
        <f t="shared" ref="B11:D11" si="31">IFERROR(SUM(AX11*AX9,AT11*AT9,AP11*AP9,AL11*AL9,AH11*AH9,AD11*AD9,Z11*Z9,V11*V9,R11*R9,N11*N9,J11*J9,F11*F9)/SUM(AX9,AT9,AP9,AL9,AH9,AD9,Z9,V9,R9,N9,J9,F9),"")</f>
        <v/>
      </c>
      <c r="C11" s="25" t="str">
        <f t="shared" si="31"/>
        <v/>
      </c>
      <c r="D11" s="26" t="str">
        <f t="shared" si="31"/>
        <v/>
      </c>
      <c r="E11" s="27" t="str">
        <f t="shared" si="3"/>
        <v/>
      </c>
      <c r="F11" s="28"/>
      <c r="G11" s="25" t="str">
        <f t="shared" si="32"/>
        <v/>
      </c>
      <c r="H11" s="29"/>
      <c r="I11" s="27" t="str">
        <f t="shared" si="5"/>
        <v/>
      </c>
      <c r="J11" s="28"/>
      <c r="K11" s="25" t="str">
        <f t="shared" si="33"/>
        <v/>
      </c>
      <c r="L11" s="29"/>
      <c r="M11" s="27" t="str">
        <f t="shared" si="7"/>
        <v/>
      </c>
      <c r="N11" s="28"/>
      <c r="O11" s="25" t="str">
        <f t="shared" si="34"/>
        <v/>
      </c>
      <c r="P11" s="29"/>
      <c r="Q11" s="27" t="str">
        <f t="shared" si="9"/>
        <v/>
      </c>
      <c r="R11" s="28"/>
      <c r="S11" s="25" t="str">
        <f t="shared" si="35"/>
        <v/>
      </c>
      <c r="T11" s="29"/>
      <c r="U11" s="27" t="str">
        <f t="shared" si="11"/>
        <v/>
      </c>
      <c r="V11" s="28"/>
      <c r="W11" s="25" t="str">
        <f t="shared" si="36"/>
        <v/>
      </c>
      <c r="X11" s="29"/>
      <c r="Y11" s="27" t="str">
        <f t="shared" si="13"/>
        <v/>
      </c>
      <c r="Z11" s="28"/>
      <c r="AA11" s="25" t="str">
        <f t="shared" si="37"/>
        <v/>
      </c>
      <c r="AB11" s="29"/>
      <c r="AC11" s="27" t="str">
        <f t="shared" si="15"/>
        <v/>
      </c>
      <c r="AD11" s="28"/>
      <c r="AE11" s="25" t="str">
        <f t="shared" si="38"/>
        <v/>
      </c>
      <c r="AF11" s="29"/>
      <c r="AG11" s="27" t="str">
        <f t="shared" si="17"/>
        <v/>
      </c>
      <c r="AH11" s="28"/>
      <c r="AI11" s="25" t="str">
        <f t="shared" si="39"/>
        <v/>
      </c>
      <c r="AJ11" s="29"/>
      <c r="AK11" s="27" t="str">
        <f t="shared" si="19"/>
        <v/>
      </c>
      <c r="AL11" s="28"/>
      <c r="AM11" s="25" t="str">
        <f t="shared" si="40"/>
        <v/>
      </c>
      <c r="AN11" s="29"/>
      <c r="AO11" s="27" t="str">
        <f t="shared" si="21"/>
        <v/>
      </c>
      <c r="AP11" s="28"/>
      <c r="AQ11" s="25" t="str">
        <f t="shared" si="41"/>
        <v/>
      </c>
      <c r="AR11" s="29"/>
      <c r="AS11" s="27" t="str">
        <f t="shared" si="23"/>
        <v/>
      </c>
      <c r="AT11" s="28"/>
      <c r="AU11" s="25" t="str">
        <f t="shared" si="42"/>
        <v/>
      </c>
      <c r="AV11" s="29"/>
      <c r="AW11" s="27" t="str">
        <f t="shared" si="25"/>
        <v/>
      </c>
      <c r="AX11" s="28"/>
      <c r="AY11" s="25" t="str">
        <f t="shared" si="43"/>
        <v/>
      </c>
      <c r="AZ11" s="29"/>
      <c r="BA11" s="27" t="str">
        <f t="shared" si="27"/>
        <v/>
      </c>
    </row>
    <row r="12" ht="18.0" customHeight="1">
      <c r="A12" s="2" t="s">
        <v>15</v>
      </c>
      <c r="B12" s="13">
        <f t="shared" ref="B12:D12" si="44">SUM(AX12,AT12,AP12,AL12,AH12,AD12,Z12,V12,R12,N12,J12,F12)</f>
        <v>0</v>
      </c>
      <c r="C12" s="14">
        <f t="shared" si="44"/>
        <v>0</v>
      </c>
      <c r="D12" s="15">
        <f t="shared" si="44"/>
        <v>0</v>
      </c>
      <c r="E12" s="16">
        <f t="shared" si="3"/>
        <v>0</v>
      </c>
      <c r="F12" s="17"/>
      <c r="G12" s="14">
        <f>IF(F$98=1,F12,ROUND(SUM(IF(AND(AY$9&lt;&gt;"",AY$11&lt;&gt;""),IF(EOMONTH($AX$3+INT((DAY(EOMONTH($AX$3,0))-1)/2)+AY$11,0)=EOMONTH($F$3,0),AY$9*AY$10,0),0),IF(AND(AU$9&lt;&gt;"",AU$11&lt;&gt;""),IF(EOMONTH($AT$3+INT((DAY(EOMONTH($AT$3,0))-1)/2)+AU$11,0)=EOMONTH($F$3,0),AU$9*AU$10,0),0),IF(AND(AQ$9&lt;&gt;"",AQ$11&lt;&gt;""),IF(EOMONTH($AP$3+INT((DAY(EOMONTH($AP$3,0))-1)/2)+AQ$11,0)=EOMONTH($F$3,0),AQ$9*AQ$10,0),0),IF(AND(AM$9&lt;&gt;"",AM$11&lt;&gt;""),IF(EOMONTH($AL$3+INT((DAY(EOMONTH($AL$3,0))-1)/2)+AM$11,0)=EOMONTH($F$3,0),AM$9*AM$10,0),0),IF(AND(AI$9&lt;&gt;"",AI$11&lt;&gt;""),IF(EOMONTH($AH$3+INT((DAY(EOMONTH($AH$3,0))-1)/2)+AI$11,0)=EOMONTH($F$3,0),AI$9*AI$10,0),0),IF(AND(AE$9&lt;&gt;"",AE$11&lt;&gt;""),IF(EOMONTH($AD$3+INT((DAY(EOMONTH($AD$3,0))-1)/2)+AE$11,0)=EOMONTH($F$3,0),AE$9*AE$10,0),0),IF(AND(AA$9&lt;&gt;"",AA$11&lt;&gt;""),IF(EOMONTH($Z$3+INT((DAY(EOMONTH($Z$3,0))-1)/2)+AA$11,0)=EOMONTH($F$3,0),AA$9*AA$10,0),0),IF(AND(W$9&lt;&gt;"",W$11&lt;&gt;""),IF(EOMONTH($V$3+INT((DAY(EOMONTH($V$3,0))-1)/2)+W$11,0)=EOMONTH($F$3,0),W$9*W$10,0),0),IF(AND(S$9&lt;&gt;"",S$11&lt;&gt;""),IF(EOMONTH($R$3+INT((DAY(EOMONTH($R$3,0))-1)/2)+S$11,0)=EOMONTH($F$3,0),S$9*S$10,0),0),IF(AND(O$9&lt;&gt;"",O$11&lt;&gt;""),IF(EOMONTH($N$3+INT((DAY(EOMONTH($N$3,0))-1)/2)+O$11,0)=EOMONTH($F$3,0),O$9*O$10,0),0),IF(AND(K$9&lt;&gt;"",K$11&lt;&gt;""),IF(EOMONTH($J$3+INT((DAY(EOMONTH($J$3,0))-1)/2)+K$11,0)=EOMONTH($F$3,0),K$9*K$10,0),0),IF(AND(G$9&lt;&gt;"",G$11&lt;&gt;""),IF(EOMONTH($F$3+INT((DAY(EOMONTH($F$3,0))-1)/2)+G$11,0)=EOMONTH($F$3,0),G$9*G$10,0),0),IF($AX$75="",0,IF(EOMONTH($AX$75+AY$11,0)=EOMONTH($F$3,0),$AX$76*AY$10,0))),0))</f>
        <v>0</v>
      </c>
      <c r="H12" s="15">
        <f>ROUND(SUM(IF(AND(AZ$9&lt;&gt;"",AZ$11&lt;&gt;""),IF(EOMONTH($AX$3+INT((DAY(EOMONTH($AX$3,0))-1)/2)+AZ$11,0)=EOMONTH($F$3,0),AZ$9*AZ$10,0),0),IF(AND(AV$9&lt;&gt;"",AV$11&lt;&gt;""),IF(EOMONTH($AT$3+INT((DAY(EOMONTH($AT$3,0))-1)/2)+AV$11,0)=EOMONTH($F$3,0),AV$9*AV$10,0),0),IF(AND(AR$9&lt;&gt;"",AR$11&lt;&gt;""),IF(EOMONTH($AP$3+INT((DAY(EOMONTH($AP$3,0))-1)/2)+AR$11,0)=EOMONTH($F$3,0),AR$9*AR$10,0),0),IF(AND(AN$9&lt;&gt;"",AN$11&lt;&gt;""),IF(EOMONTH($AL$3+INT((DAY(EOMONTH($AL$3,0))-1)/2)+AN$11,0)=EOMONTH($F$3,0),AN$9*AN$10,0),0),IF(AND(AJ$9&lt;&gt;"",AJ$11&lt;&gt;""),IF(EOMONTH($AH$3+INT((DAY(EOMONTH($AH$3,0))-1)/2)+AJ$11,0)=EOMONTH($F$3,0),AJ$9*AJ$10,0),0),IF(AND(AF$9&lt;&gt;"",AF$11&lt;&gt;""),IF(EOMONTH($AD$3+INT((DAY(EOMONTH($AD$3,0))-1)/2)+AF$11,0)=EOMONTH($F$3,0),AF$9*AF$10,0),0),IF(AND(AB$9&lt;&gt;"",AB$11&lt;&gt;""),IF(EOMONTH($Z$3+INT((DAY(EOMONTH($Z$3,0))-1)/2)+AB$11,0)=EOMONTH($F$3,0),AB$9*AB$10,0),0),IF(AND(X$9&lt;&gt;"",X$11&lt;&gt;""),IF(EOMONTH($V$3+INT((DAY(EOMONTH($V$3,0))-1)/2)+X$11,0)=EOMONTH($F$3,0),X$9*X$10,0),0),IF(AND(T$9&lt;&gt;"",T$11&lt;&gt;""),IF(EOMONTH($R$3+INT((DAY(EOMONTH($R$3,0))-1)/2)+T$11,0)=EOMONTH($F$3,0),T$9*T$10,0),0),IF(AND(P$9&lt;&gt;"",P$11&lt;&gt;""),IF(EOMONTH($N$3+INT((DAY(EOMONTH($N$3,0))-1)/2)+P$11,0)=EOMONTH($F$3,0),P$9*P$10,0),0),IF(AND(L$9&lt;&gt;"",L$11&lt;&gt;""),IF(EOMONTH($J$3+INT((DAY(EOMONTH($J$3,0))-1)/2)+L$11,0)=EOMONTH($F$3,0),L$9*L$10,0),0),IF(AND(H$9&lt;&gt;"",H$11&lt;&gt;""),IF(EOMONTH($F$3+INT((DAY(EOMONTH($F$3,0))-1)/2)+H$11,0)=EOMONTH($F$3,0),H$9*H$10,0),0),IF($AX$75="",0,IF(EOMONTH($AX$75+AZ$11,0)=EOMONTH($F$3,0),$AX$76*AZ$10,0))),0)</f>
        <v>0</v>
      </c>
      <c r="I12" s="16">
        <f t="shared" si="5"/>
        <v>0</v>
      </c>
      <c r="J12" s="17"/>
      <c r="K12" s="14">
        <f>IF(J$98=1,J12,ROUND(SUM(IF(AND(AY$9&lt;&gt;"",AY$11&lt;&gt;""),IF(EOMONTH($AX$3+INT((DAY(EOMONTH($AX$3,0))-1)/2)+AY$11,0)=EOMONTH($J$3,0),AY$9*AY$10,0),0),IF(AND(AU$9&lt;&gt;"",AU$11&lt;&gt;""),IF(EOMONTH($AT$3+INT((DAY(EOMONTH($AT$3,0))-1)/2)+AU$11,0)=EOMONTH($J$3,0),AU$9*AU$10,0),0),IF(AND(AQ$9&lt;&gt;"",AQ$11&lt;&gt;""),IF(EOMONTH($AP$3+INT((DAY(EOMONTH($AP$3,0))-1)/2)+AQ$11,0)=EOMONTH($J$3,0),AQ$9*AQ$10,0),0),IF(AND(AM$9&lt;&gt;"",AM$11&lt;&gt;""),IF(EOMONTH($AL$3+INT((DAY(EOMONTH($AL$3,0))-1)/2)+AM$11,0)=EOMONTH($J$3,0),AM$9*AM$10,0),0),IF(AND(AI$9&lt;&gt;"",AI$11&lt;&gt;""),IF(EOMONTH($AH$3+INT((DAY(EOMONTH($AH$3,0))-1)/2)+AI$11,0)=EOMONTH($J$3,0),AI$9*AI$10,0),0),IF(AND(AE$9&lt;&gt;"",AE$11&lt;&gt;""),IF(EOMONTH($AD$3+INT((DAY(EOMONTH($AD$3,0))-1)/2)+AE$11,0)=EOMONTH($J$3,0),AE$9*AE$10,0),0),IF(AND(AA$9&lt;&gt;"",AA$11&lt;&gt;""),IF(EOMONTH($Z$3+INT((DAY(EOMONTH($Z$3,0))-1)/2)+AA$11,0)=EOMONTH($J$3,0),AA$9*AA$10,0),0),IF(AND(W$9&lt;&gt;"",W$11&lt;&gt;""),IF(EOMONTH($V$3+INT((DAY(EOMONTH($V$3,0))-1)/2)+W$11,0)=EOMONTH($J$3,0),W$9*W$10,0),0),IF(AND(S$9&lt;&gt;"",S$11&lt;&gt;""),IF(EOMONTH($R$3+INT((DAY(EOMONTH($R$3,0))-1)/2)+S$11,0)=EOMONTH($J$3,0),S$9*S$10,0),0),IF(AND(O$9&lt;&gt;"",O$11&lt;&gt;""),IF(EOMONTH($N$3+INT((DAY(EOMONTH($N$3,0))-1)/2)+O$11,0)=EOMONTH($J$3,0),O$9*O$10,0),0),IF(AND(K$9&lt;&gt;"",K$11&lt;&gt;""),IF(EOMONTH($J$3+INT((DAY(EOMONTH($J$3,0))-1)/2)+K$11,0)=EOMONTH($J$3,0),K$9*K$10,0),0),IF(AND(G$9&lt;&gt;"",G$11&lt;&gt;""),IF(EOMONTH($F$3+INT((DAY(EOMONTH($F$3,0))-1)/2)+G$11,0)=EOMONTH($J$3,0),G$9*G$10,0),0),IF($AX$75="",0,IF(EOMONTH($AX$75+AY$11,0)=EOMONTH($J$3,0),$AX$76*AY$10,0))),0))</f>
        <v>0</v>
      </c>
      <c r="L12" s="15">
        <f>ROUND(SUM(IF(AND(AZ$9&lt;&gt;"",AZ$11&lt;&gt;""),IF(EOMONTH($AX$3+INT((DAY(EOMONTH($AX$3,0))-1)/2)+AZ$11,0)=EOMONTH($J$3,0),AZ$9*AZ$10,0),0),IF(AND(AV$9&lt;&gt;"",AV$11&lt;&gt;""),IF(EOMONTH($AT$3+INT((DAY(EOMONTH($AT$3,0))-1)/2)+AV$11,0)=EOMONTH($J$3,0),AV$9*AV$10,0),0),IF(AND(AR$9&lt;&gt;"",AR$11&lt;&gt;""),IF(EOMONTH($AP$3+INT((DAY(EOMONTH($AP$3,0))-1)/2)+AR$11,0)=EOMONTH($J$3,0),AR$9*AR$10,0),0),IF(AND(AN$9&lt;&gt;"",AN$11&lt;&gt;""),IF(EOMONTH($AL$3+INT((DAY(EOMONTH($AL$3,0))-1)/2)+AN$11,0)=EOMONTH($J$3,0),AN$9*AN$10,0),0),IF(AND(AJ$9&lt;&gt;"",AJ$11&lt;&gt;""),IF(EOMONTH($AH$3+INT((DAY(EOMONTH($AH$3,0))-1)/2)+AJ$11,0)=EOMONTH($J$3,0),AJ$9*AJ$10,0),0),IF(AND(AF$9&lt;&gt;"",AF$11&lt;&gt;""),IF(EOMONTH($AD$3+INT((DAY(EOMONTH($AD$3,0))-1)/2)+AF$11,0)=EOMONTH($J$3,0),AF$9*AF$10,0),0),IF(AND(AB$9&lt;&gt;"",AB$11&lt;&gt;""),IF(EOMONTH($Z$3+INT((DAY(EOMONTH($Z$3,0))-1)/2)+AB$11,0)=EOMONTH($J$3,0),AB$9*AB$10,0),0),IF(AND(X$9&lt;&gt;"",X$11&lt;&gt;""),IF(EOMONTH($V$3+INT((DAY(EOMONTH($V$3,0))-1)/2)+X$11,0)=EOMONTH($J$3,0),X$9*X$10,0),0),IF(AND(T$9&lt;&gt;"",T$11&lt;&gt;""),IF(EOMONTH($R$3+INT((DAY(EOMONTH($R$3,0))-1)/2)+T$11,0)=EOMONTH($J$3,0),T$9*T$10,0),0),IF(AND(P$9&lt;&gt;"",P$11&lt;&gt;""),IF(EOMONTH($N$3+INT((DAY(EOMONTH($N$3,0))-1)/2)+P$11,0)=EOMONTH($J$3,0),P$9*P$10,0),0),IF(AND(L$9&lt;&gt;"",L$11&lt;&gt;""),IF(EOMONTH($J$3+INT((DAY(EOMONTH($J$3,0))-1)/2)+L$11,0)=EOMONTH($J$3,0),L$9*L$10,0),0),IF(AND(H$9&lt;&gt;"",H$11&lt;&gt;""),IF(EOMONTH($F$3+INT((DAY(EOMONTH($F$3,0))-1)/2)+H$11,0)=EOMONTH($J$3,0),H$9*H$10,0),0),IF($AX$75="",0,IF(EOMONTH($AX$75+AZ$11,0)=EOMONTH($J$3,0),$AX$76*AZ$10,0))),0)</f>
        <v>0</v>
      </c>
      <c r="M12" s="16">
        <f t="shared" si="7"/>
        <v>0</v>
      </c>
      <c r="N12" s="17"/>
      <c r="O12" s="14">
        <f>IF(N$98=1,N12,ROUND(SUM(IF(AND(AY$9&lt;&gt;"",AY$11&lt;&gt;""),IF(EOMONTH($AX$3+INT((DAY(EOMONTH($AX$3,0))-1)/2)+AY$11,0)=EOMONTH($N$3,0),AY$9*AY$10,0),0),IF(AND(AU$9&lt;&gt;"",AU$11&lt;&gt;""),IF(EOMONTH($AT$3+INT((DAY(EOMONTH($AT$3,0))-1)/2)+AU$11,0)=EOMONTH($N$3,0),AU$9*AU$10,0),0),IF(AND(AQ$9&lt;&gt;"",AQ$11&lt;&gt;""),IF(EOMONTH($AP$3+INT((DAY(EOMONTH($AP$3,0))-1)/2)+AQ$11,0)=EOMONTH($N$3,0),AQ$9*AQ$10,0),0),IF(AND(AM$9&lt;&gt;"",AM$11&lt;&gt;""),IF(EOMONTH($AL$3+INT((DAY(EOMONTH($AL$3,0))-1)/2)+AM$11,0)=EOMONTH($N$3,0),AM$9*AM$10,0),0),IF(AND(AI$9&lt;&gt;"",AI$11&lt;&gt;""),IF(EOMONTH($AH$3+INT((DAY(EOMONTH($AH$3,0))-1)/2)+AI$11,0)=EOMONTH($N$3,0),AI$9*AI$10,0),0),IF(AND(AE$9&lt;&gt;"",AE$11&lt;&gt;""),IF(EOMONTH($AD$3+INT((DAY(EOMONTH($AD$3,0))-1)/2)+AE$11,0)=EOMONTH($N$3,0),AE$9*AE$10,0),0),IF(AND(AA$9&lt;&gt;"",AA$11&lt;&gt;""),IF(EOMONTH($Z$3+INT((DAY(EOMONTH($Z$3,0))-1)/2)+AA$11,0)=EOMONTH($N$3,0),AA$9*AA$10,0),0),IF(AND(W$9&lt;&gt;"",W$11&lt;&gt;""),IF(EOMONTH($V$3+INT((DAY(EOMONTH($V$3,0))-1)/2)+W$11,0)=EOMONTH($N$3,0),W$9*W$10,0),0),IF(AND(S$9&lt;&gt;"",S$11&lt;&gt;""),IF(EOMONTH($R$3+INT((DAY(EOMONTH($R$3,0))-1)/2)+S$11,0)=EOMONTH($N$3,0),S$9*S$10,0),0),IF(AND(O$9&lt;&gt;"",O$11&lt;&gt;""),IF(EOMONTH($N$3+INT((DAY(EOMONTH($N$3,0))-1)/2)+O$11,0)=EOMONTH($N$3,0),O$9*O$10,0),0),IF(AND(K$9&lt;&gt;"",K$11&lt;&gt;""),IF(EOMONTH($J$3+INT((DAY(EOMONTH($J$3,0))-1)/2)+K$11,0)=EOMONTH($N$3,0),K$9*K$10,0),0),IF(AND(G$9&lt;&gt;"",G$11&lt;&gt;""),IF(EOMONTH($F$3+INT((DAY(EOMONTH($F$3,0))-1)/2)+G$11,0)=EOMONTH($N$3,0),G$9*G$10,0),0),IF($AX$75="",0,IF(EOMONTH($AX$75+AY$11,0)=EOMONTH($N$3,0),$AX$76*AY$10,0))),0))</f>
        <v>0</v>
      </c>
      <c r="P12" s="15">
        <f>ROUND(SUM(IF(AND(AZ$9&lt;&gt;"",AZ$11&lt;&gt;""),IF(EOMONTH($AX$3+INT((DAY(EOMONTH($AX$3,0))-1)/2)+AZ$11,0)=EOMONTH($N$3,0),AZ$9*AZ$10,0),0),IF(AND(AV$9&lt;&gt;"",AV$11&lt;&gt;""),IF(EOMONTH($AT$3+INT((DAY(EOMONTH($AT$3,0))-1)/2)+AV$11,0)=EOMONTH($N$3,0),AV$9*AV$10,0),0),IF(AND(AR$9&lt;&gt;"",AR$11&lt;&gt;""),IF(EOMONTH($AP$3+INT((DAY(EOMONTH($AP$3,0))-1)/2)+AR$11,0)=EOMONTH($N$3,0),AR$9*AR$10,0),0),IF(AND(AN$9&lt;&gt;"",AN$11&lt;&gt;""),IF(EOMONTH($AL$3+INT((DAY(EOMONTH($AL$3,0))-1)/2)+AN$11,0)=EOMONTH($N$3,0),AN$9*AN$10,0),0),IF(AND(AJ$9&lt;&gt;"",AJ$11&lt;&gt;""),IF(EOMONTH($AH$3+INT((DAY(EOMONTH($AH$3,0))-1)/2)+AJ$11,0)=EOMONTH($N$3,0),AJ$9*AJ$10,0),0),IF(AND(AF$9&lt;&gt;"",AF$11&lt;&gt;""),IF(EOMONTH($AD$3+INT((DAY(EOMONTH($AD$3,0))-1)/2)+AF$11,0)=EOMONTH($N$3,0),AF$9*AF$10,0),0),IF(AND(AB$9&lt;&gt;"",AB$11&lt;&gt;""),IF(EOMONTH($Z$3+INT((DAY(EOMONTH($Z$3,0))-1)/2)+AB$11,0)=EOMONTH($N$3,0),AB$9*AB$10,0),0),IF(AND(X$9&lt;&gt;"",X$11&lt;&gt;""),IF(EOMONTH($V$3+INT((DAY(EOMONTH($V$3,0))-1)/2)+X$11,0)=EOMONTH($N$3,0),X$9*X$10,0),0),IF(AND(T$9&lt;&gt;"",T$11&lt;&gt;""),IF(EOMONTH($R$3+INT((DAY(EOMONTH($R$3,0))-1)/2)+T$11,0)=EOMONTH($N$3,0),T$9*T$10,0),0),IF(AND(P$9&lt;&gt;"",P$11&lt;&gt;""),IF(EOMONTH($N$3+INT((DAY(EOMONTH($N$3,0))-1)/2)+P$11,0)=EOMONTH($N$3,0),P$9*P$10,0),0),IF(AND(L$9&lt;&gt;"",L$11&lt;&gt;""),IF(EOMONTH($J$3+INT((DAY(EOMONTH($J$3,0))-1)/2)+L$11,0)=EOMONTH($N$3,0),L$9*L$10,0),0),IF(AND(H$9&lt;&gt;"",H$11&lt;&gt;""),IF(EOMONTH($F$3+INT((DAY(EOMONTH($F$3,0))-1)/2)+H$11,0)=EOMONTH($N$3,0),H$9*H$10,0),0),IF($AX$75="",0,IF(EOMONTH($AX$75+AZ$11,0)=EOMONTH($N$3,0),$AX$76*AZ$10,0))),0)</f>
        <v>0</v>
      </c>
      <c r="Q12" s="16">
        <f t="shared" si="9"/>
        <v>0</v>
      </c>
      <c r="R12" s="17"/>
      <c r="S12" s="14">
        <f>IF(R$98=1,R12,ROUND(SUM(IF(AND(AY$9&lt;&gt;"",AY$11&lt;&gt;""),IF(EOMONTH($AX$3+INT((DAY(EOMONTH($AX$3,0))-1)/2)+AY$11,0)=EOMONTH($R$3,0),AY$9*AY$10,0),0),IF(AND(AU$9&lt;&gt;"",AU$11&lt;&gt;""),IF(EOMONTH($AT$3+INT((DAY(EOMONTH($AT$3,0))-1)/2)+AU$11,0)=EOMONTH($R$3,0),AU$9*AU$10,0),0),IF(AND(AQ$9&lt;&gt;"",AQ$11&lt;&gt;""),IF(EOMONTH($AP$3+INT((DAY(EOMONTH($AP$3,0))-1)/2)+AQ$11,0)=EOMONTH($R$3,0),AQ$9*AQ$10,0),0),IF(AND(AM$9&lt;&gt;"",AM$11&lt;&gt;""),IF(EOMONTH($AL$3+INT((DAY(EOMONTH($AL$3,0))-1)/2)+AM$11,0)=EOMONTH($R$3,0),AM$9*AM$10,0),0),IF(AND(AI$9&lt;&gt;"",AI$11&lt;&gt;""),IF(EOMONTH($AH$3+INT((DAY(EOMONTH($AH$3,0))-1)/2)+AI$11,0)=EOMONTH($R$3,0),AI$9*AI$10,0),0),IF(AND(AE$9&lt;&gt;"",AE$11&lt;&gt;""),IF(EOMONTH($AD$3+INT((DAY(EOMONTH($AD$3,0))-1)/2)+AE$11,0)=EOMONTH($R$3,0),AE$9*AE$10,0),0),IF(AND(AA$9&lt;&gt;"",AA$11&lt;&gt;""),IF(EOMONTH($Z$3+INT((DAY(EOMONTH($Z$3,0))-1)/2)+AA$11,0)=EOMONTH($R$3,0),AA$9*AA$10,0),0),IF(AND(W$9&lt;&gt;"",W$11&lt;&gt;""),IF(EOMONTH($V$3+INT((DAY(EOMONTH($V$3,0))-1)/2)+W$11,0)=EOMONTH($R$3,0),W$9*W$10,0),0),IF(AND(S$9&lt;&gt;"",S$11&lt;&gt;""),IF(EOMONTH($R$3+INT((DAY(EOMONTH($R$3,0))-1)/2)+S$11,0)=EOMONTH($R$3,0),S$9*S$10,0),0),IF(AND(O$9&lt;&gt;"",O$11&lt;&gt;""),IF(EOMONTH($N$3+INT((DAY(EOMONTH($N$3,0))-1)/2)+O$11,0)=EOMONTH($R$3,0),O$9*O$10,0),0),IF(AND(K$9&lt;&gt;"",K$11&lt;&gt;""),IF(EOMONTH($J$3+INT((DAY(EOMONTH($J$3,0))-1)/2)+K$11,0)=EOMONTH($R$3,0),K$9*K$10,0),0),IF(AND(G$9&lt;&gt;"",G$11&lt;&gt;""),IF(EOMONTH($F$3+INT((DAY(EOMONTH($F$3,0))-1)/2)+G$11,0)=EOMONTH($R$3,0),G$9*G$10,0),0),IF($AX$75="",0,IF(EOMONTH($AX$75+AY$11,0)=EOMONTH($R$3,0),$AX$76*AY$10,0))),0))</f>
        <v>0</v>
      </c>
      <c r="T12" s="15">
        <f>ROUND(SUM(IF(AND(AZ$9&lt;&gt;"",AZ$11&lt;&gt;""),IF(EOMONTH($AX$3+INT((DAY(EOMONTH($AX$3,0))-1)/2)+AZ$11,0)=EOMONTH($R$3,0),AZ$9*AZ$10,0),0),IF(AND(AV$9&lt;&gt;"",AV$11&lt;&gt;""),IF(EOMONTH($AT$3+INT((DAY(EOMONTH($AT$3,0))-1)/2)+AV$11,0)=EOMONTH($R$3,0),AV$9*AV$10,0),0),IF(AND(AR$9&lt;&gt;"",AR$11&lt;&gt;""),IF(EOMONTH($AP$3+INT((DAY(EOMONTH($AP$3,0))-1)/2)+AR$11,0)=EOMONTH($R$3,0),AR$9*AR$10,0),0),IF(AND(AN$9&lt;&gt;"",AN$11&lt;&gt;""),IF(EOMONTH($AL$3+INT((DAY(EOMONTH($AL$3,0))-1)/2)+AN$11,0)=EOMONTH($R$3,0),AN$9*AN$10,0),0),IF(AND(AJ$9&lt;&gt;"",AJ$11&lt;&gt;""),IF(EOMONTH($AH$3+INT((DAY(EOMONTH($AH$3,0))-1)/2)+AJ$11,0)=EOMONTH($R$3,0),AJ$9*AJ$10,0),0),IF(AND(AF$9&lt;&gt;"",AF$11&lt;&gt;""),IF(EOMONTH($AD$3+INT((DAY(EOMONTH($AD$3,0))-1)/2)+AF$11,0)=EOMONTH($R$3,0),AF$9*AF$10,0),0),IF(AND(AB$9&lt;&gt;"",AB$11&lt;&gt;""),IF(EOMONTH($Z$3+INT((DAY(EOMONTH($Z$3,0))-1)/2)+AB$11,0)=EOMONTH($R$3,0),AB$9*AB$10,0),0),IF(AND(X$9&lt;&gt;"",X$11&lt;&gt;""),IF(EOMONTH($V$3+INT((DAY(EOMONTH($V$3,0))-1)/2)+X$11,0)=EOMONTH($R$3,0),X$9*X$10,0),0),IF(AND(T$9&lt;&gt;"",T$11&lt;&gt;""),IF(EOMONTH($R$3+INT((DAY(EOMONTH($R$3,0))-1)/2)+T$11,0)=EOMONTH($R$3,0),T$9*T$10,0),0),IF(AND(P$9&lt;&gt;"",P$11&lt;&gt;""),IF(EOMONTH($N$3+INT((DAY(EOMONTH($N$3,0))-1)/2)+P$11,0)=EOMONTH($R$3,0),P$9*P$10,0),0),IF(AND(L$9&lt;&gt;"",L$11&lt;&gt;""),IF(EOMONTH($J$3+INT((DAY(EOMONTH($J$3,0))-1)/2)+L$11,0)=EOMONTH($R$3,0),L$9*L$10,0),0),IF(AND(H$9&lt;&gt;"",H$11&lt;&gt;""),IF(EOMONTH($F$3+INT((DAY(EOMONTH($F$3,0))-1)/2)+H$11,0)=EOMONTH($R$3,0),H$9*H$10,0),0),IF($AX$75="",0,IF(EOMONTH($AX$75+AZ$11,0)=EOMONTH($R$3,0),$AX$76*AZ$10,0))),0)</f>
        <v>0</v>
      </c>
      <c r="U12" s="16">
        <f t="shared" si="11"/>
        <v>0</v>
      </c>
      <c r="V12" s="17"/>
      <c r="W12" s="14">
        <f>IF(V$98=1,V12,ROUND(SUM(IF(AND(AY$9&lt;&gt;"",AY$11&lt;&gt;""),IF(EOMONTH($AX$3+INT((DAY(EOMONTH($AX$3,0))-1)/2)+AY$11,0)=EOMONTH($V$3,0),AY$9*AY$10,0),0),IF(AND(AU$9&lt;&gt;"",AU$11&lt;&gt;""),IF(EOMONTH($AT$3+INT((DAY(EOMONTH($AT$3,0))-1)/2)+AU$11,0)=EOMONTH($V$3,0),AU$9*AU$10,0),0),IF(AND(AQ$9&lt;&gt;"",AQ$11&lt;&gt;""),IF(EOMONTH($AP$3+INT((DAY(EOMONTH($AP$3,0))-1)/2)+AQ$11,0)=EOMONTH($V$3,0),AQ$9*AQ$10,0),0),IF(AND(AM$9&lt;&gt;"",AM$11&lt;&gt;""),IF(EOMONTH($AL$3+INT((DAY(EOMONTH($AL$3,0))-1)/2)+AM$11,0)=EOMONTH($V$3,0),AM$9*AM$10,0),0),IF(AND(AI$9&lt;&gt;"",AI$11&lt;&gt;""),IF(EOMONTH($AH$3+INT((DAY(EOMONTH($AH$3,0))-1)/2)+AI$11,0)=EOMONTH($V$3,0),AI$9*AI$10,0),0),IF(AND(AE$9&lt;&gt;"",AE$11&lt;&gt;""),IF(EOMONTH($AD$3+INT((DAY(EOMONTH($AD$3,0))-1)/2)+AE$11,0)=EOMONTH($V$3,0),AE$9*AE$10,0),0),IF(AND(AA$9&lt;&gt;"",AA$11&lt;&gt;""),IF(EOMONTH($Z$3+INT((DAY(EOMONTH($Z$3,0))-1)/2)+AA$11,0)=EOMONTH($V$3,0),AA$9*AA$10,0),0),IF(AND(W$9&lt;&gt;"",W$11&lt;&gt;""),IF(EOMONTH($V$3+INT((DAY(EOMONTH($V$3,0))-1)/2)+W$11,0)=EOMONTH($V$3,0),W$9*W$10,0),0),IF(AND(S$9&lt;&gt;"",S$11&lt;&gt;""),IF(EOMONTH($R$3+INT((DAY(EOMONTH($R$3,0))-1)/2)+S$11,0)=EOMONTH($V$3,0),S$9*S$10,0),0),IF(AND(O$9&lt;&gt;"",O$11&lt;&gt;""),IF(EOMONTH($N$3+INT((DAY(EOMONTH($N$3,0))-1)/2)+O$11,0)=EOMONTH($V$3,0),O$9*O$10,0),0),IF(AND(K$9&lt;&gt;"",K$11&lt;&gt;""),IF(EOMONTH($J$3+INT((DAY(EOMONTH($J$3,0))-1)/2)+K$11,0)=EOMONTH($V$3,0),K$9*K$10,0),0),IF(AND(G$9&lt;&gt;"",G$11&lt;&gt;""),IF(EOMONTH($F$3+INT((DAY(EOMONTH($F$3,0))-1)/2)+G$11,0)=EOMONTH($V$3,0),G$9*G$10,0),0),IF($AX$75="",0,IF(EOMONTH($AX$75+AY$11,0)=EOMONTH($V$3,0),$AX$76*AY$10,0))),0))</f>
        <v>0</v>
      </c>
      <c r="X12" s="15">
        <f>ROUND(SUM(IF(AND(AZ$9&lt;&gt;"",AZ$11&lt;&gt;""),IF(EOMONTH($AX$3+INT((DAY(EOMONTH($AX$3,0))-1)/2)+AZ$11,0)=EOMONTH($V$3,0),AZ$9*AZ$10,0),0),IF(AND(AV$9&lt;&gt;"",AV$11&lt;&gt;""),IF(EOMONTH($AT$3+INT((DAY(EOMONTH($AT$3,0))-1)/2)+AV$11,0)=EOMONTH($V$3,0),AV$9*AV$10,0),0),IF(AND(AR$9&lt;&gt;"",AR$11&lt;&gt;""),IF(EOMONTH($AP$3+INT((DAY(EOMONTH($AP$3,0))-1)/2)+AR$11,0)=EOMONTH($V$3,0),AR$9*AR$10,0),0),IF(AND(AN$9&lt;&gt;"",AN$11&lt;&gt;""),IF(EOMONTH($AL$3+INT((DAY(EOMONTH($AL$3,0))-1)/2)+AN$11,0)=EOMONTH($V$3,0),AN$9*AN$10,0),0),IF(AND(AJ$9&lt;&gt;"",AJ$11&lt;&gt;""),IF(EOMONTH($AH$3+INT((DAY(EOMONTH($AH$3,0))-1)/2)+AJ$11,0)=EOMONTH($V$3,0),AJ$9*AJ$10,0),0),IF(AND(AF$9&lt;&gt;"",AF$11&lt;&gt;""),IF(EOMONTH($AD$3+INT((DAY(EOMONTH($AD$3,0))-1)/2)+AF$11,0)=EOMONTH($V$3,0),AF$9*AF$10,0),0),IF(AND(AB$9&lt;&gt;"",AB$11&lt;&gt;""),IF(EOMONTH($Z$3+INT((DAY(EOMONTH($Z$3,0))-1)/2)+AB$11,0)=EOMONTH($V$3,0),AB$9*AB$10,0),0),IF(AND(X$9&lt;&gt;"",X$11&lt;&gt;""),IF(EOMONTH($V$3+INT((DAY(EOMONTH($V$3,0))-1)/2)+X$11,0)=EOMONTH($V$3,0),X$9*X$10,0),0),IF(AND(T$9&lt;&gt;"",T$11&lt;&gt;""),IF(EOMONTH($R$3+INT((DAY(EOMONTH($R$3,0))-1)/2)+T$11,0)=EOMONTH($V$3,0),T$9*T$10,0),0),IF(AND(P$9&lt;&gt;"",P$11&lt;&gt;""),IF(EOMONTH($N$3+INT((DAY(EOMONTH($N$3,0))-1)/2)+P$11,0)=EOMONTH($V$3,0),P$9*P$10,0),0),IF(AND(L$9&lt;&gt;"",L$11&lt;&gt;""),IF(EOMONTH($J$3+INT((DAY(EOMONTH($J$3,0))-1)/2)+L$11,0)=EOMONTH($V$3,0),L$9*L$10,0),0),IF(AND(H$9&lt;&gt;"",H$11&lt;&gt;""),IF(EOMONTH($F$3+INT((DAY(EOMONTH($F$3,0))-1)/2)+H$11,0)=EOMONTH($V$3,0),H$9*H$10,0),0),IF($AX$75="",0,IF(EOMONTH($AX$75+AZ$11,0)=EOMONTH($V$3,0),$AX$76*AZ$10,0))),0)</f>
        <v>0</v>
      </c>
      <c r="Y12" s="16">
        <f t="shared" si="13"/>
        <v>0</v>
      </c>
      <c r="Z12" s="17"/>
      <c r="AA12" s="14">
        <f>IF(Z$98=1,Z12,ROUND(SUM(IF(AND(AY$9&lt;&gt;"",AY$11&lt;&gt;""),IF(EOMONTH($AX$3+INT((DAY(EOMONTH($AX$3,0))-1)/2)+AY$11,0)=EOMONTH($Z$3,0),AY$9*AY$10,0),0),IF(AND(AU$9&lt;&gt;"",AU$11&lt;&gt;""),IF(EOMONTH($AT$3+INT((DAY(EOMONTH($AT$3,0))-1)/2)+AU$11,0)=EOMONTH($Z$3,0),AU$9*AU$10,0),0),IF(AND(AQ$9&lt;&gt;"",AQ$11&lt;&gt;""),IF(EOMONTH($AP$3+INT((DAY(EOMONTH($AP$3,0))-1)/2)+AQ$11,0)=EOMONTH($Z$3,0),AQ$9*AQ$10,0),0),IF(AND(AM$9&lt;&gt;"",AM$11&lt;&gt;""),IF(EOMONTH($AL$3+INT((DAY(EOMONTH($AL$3,0))-1)/2)+AM$11,0)=EOMONTH($Z$3,0),AM$9*AM$10,0),0),IF(AND(AI$9&lt;&gt;"",AI$11&lt;&gt;""),IF(EOMONTH($AH$3+INT((DAY(EOMONTH($AH$3,0))-1)/2)+AI$11,0)=EOMONTH($Z$3,0),AI$9*AI$10,0),0),IF(AND(AE$9&lt;&gt;"",AE$11&lt;&gt;""),IF(EOMONTH($AD$3+INT((DAY(EOMONTH($AD$3,0))-1)/2)+AE$11,0)=EOMONTH($Z$3,0),AE$9*AE$10,0),0),IF(AND(AA$9&lt;&gt;"",AA$11&lt;&gt;""),IF(EOMONTH($Z$3+INT((DAY(EOMONTH($Z$3,0))-1)/2)+AA$11,0)=EOMONTH($Z$3,0),AA$9*AA$10,0),0),IF(AND(W$9&lt;&gt;"",W$11&lt;&gt;""),IF(EOMONTH($V$3+INT((DAY(EOMONTH($V$3,0))-1)/2)+W$11,0)=EOMONTH($Z$3,0),W$9*W$10,0),0),IF(AND(S$9&lt;&gt;"",S$11&lt;&gt;""),IF(EOMONTH($R$3+INT((DAY(EOMONTH($R$3,0))-1)/2)+S$11,0)=EOMONTH($Z$3,0),S$9*S$10,0),0),IF(AND(O$9&lt;&gt;"",O$11&lt;&gt;""),IF(EOMONTH($N$3+INT((DAY(EOMONTH($N$3,0))-1)/2)+O$11,0)=EOMONTH($Z$3,0),O$9*O$10,0),0),IF(AND(K$9&lt;&gt;"",K$11&lt;&gt;""),IF(EOMONTH($J$3+INT((DAY(EOMONTH($J$3,0))-1)/2)+K$11,0)=EOMONTH($Z$3,0),K$9*K$10,0),0),IF(AND(G$9&lt;&gt;"",G$11&lt;&gt;""),IF(EOMONTH($F$3+INT((DAY(EOMONTH($F$3,0))-1)/2)+G$11,0)=EOMONTH($Z$3,0),G$9*G$10,0),0),IF($AX$75="",0,IF(EOMONTH($AX$75+AY$11,0)=EOMONTH($Z$3,0),$AX$76*AY$10,0))),0))</f>
        <v>0</v>
      </c>
      <c r="AB12" s="15">
        <f>ROUND(SUM(IF(AND(AZ$9&lt;&gt;"",AZ$11&lt;&gt;""),IF(EOMONTH($AX$3+INT((DAY(EOMONTH($AX$3,0))-1)/2)+AZ$11,0)=EOMONTH($Z$3,0),AZ$9*AZ$10,0),0),IF(AND(AV$9&lt;&gt;"",AV$11&lt;&gt;""),IF(EOMONTH($AT$3+INT((DAY(EOMONTH($AT$3,0))-1)/2)+AV$11,0)=EOMONTH($Z$3,0),AV$9*AV$10,0),0),IF(AND(AR$9&lt;&gt;"",AR$11&lt;&gt;""),IF(EOMONTH($AP$3+INT((DAY(EOMONTH($AP$3,0))-1)/2)+AR$11,0)=EOMONTH($Z$3,0),AR$9*AR$10,0),0),IF(AND(AN$9&lt;&gt;"",AN$11&lt;&gt;""),IF(EOMONTH($AL$3+INT((DAY(EOMONTH($AL$3,0))-1)/2)+AN$11,0)=EOMONTH($Z$3,0),AN$9*AN$10,0),0),IF(AND(AJ$9&lt;&gt;"",AJ$11&lt;&gt;""),IF(EOMONTH($AH$3+INT((DAY(EOMONTH($AH$3,0))-1)/2)+AJ$11,0)=EOMONTH($Z$3,0),AJ$9*AJ$10,0),0),IF(AND(AF$9&lt;&gt;"",AF$11&lt;&gt;""),IF(EOMONTH($AD$3+INT((DAY(EOMONTH($AD$3,0))-1)/2)+AF$11,0)=EOMONTH($Z$3,0),AF$9*AF$10,0),0),IF(AND(AB$9&lt;&gt;"",AB$11&lt;&gt;""),IF(EOMONTH($Z$3+INT((DAY(EOMONTH($Z$3,0))-1)/2)+AB$11,0)=EOMONTH($Z$3,0),AB$9*AB$10,0),0),IF(AND(X$9&lt;&gt;"",X$11&lt;&gt;""),IF(EOMONTH($V$3+INT((DAY(EOMONTH($V$3,0))-1)/2)+X$11,0)=EOMONTH($Z$3,0),X$9*X$10,0),0),IF(AND(T$9&lt;&gt;"",T$11&lt;&gt;""),IF(EOMONTH($R$3+INT((DAY(EOMONTH($R$3,0))-1)/2)+T$11,0)=EOMONTH($Z$3,0),T$9*T$10,0),0),IF(AND(P$9&lt;&gt;"",P$11&lt;&gt;""),IF(EOMONTH($N$3+INT((DAY(EOMONTH($N$3,0))-1)/2)+P$11,0)=EOMONTH($Z$3,0),P$9*P$10,0),0),IF(AND(L$9&lt;&gt;"",L$11&lt;&gt;""),IF(EOMONTH($J$3+INT((DAY(EOMONTH($J$3,0))-1)/2)+L$11,0)=EOMONTH($Z$3,0),L$9*L$10,0),0),IF(AND(H$9&lt;&gt;"",H$11&lt;&gt;""),IF(EOMONTH($F$3+INT((DAY(EOMONTH($F$3,0))-1)/2)+H$11,0)=EOMONTH($Z$3,0),H$9*H$10,0),0),IF($AX$75="",0,IF(EOMONTH($AX$75+AZ$11,0)=EOMONTH($Z$3,0),$AX$76*AZ$10,0))),0)</f>
        <v>0</v>
      </c>
      <c r="AC12" s="16">
        <f t="shared" si="15"/>
        <v>0</v>
      </c>
      <c r="AD12" s="17"/>
      <c r="AE12" s="14">
        <f>IF(AD$98=1,AD12,ROUND(SUM(IF(AND(AY$9&lt;&gt;"",AY$11&lt;&gt;""),IF(EOMONTH($AX$3+INT((DAY(EOMONTH($AX$3,0))-1)/2)+AY$11,0)=EOMONTH($AD$3,0),AY$9*AY$10,0),0),IF(AND(AU$9&lt;&gt;"",AU$11&lt;&gt;""),IF(EOMONTH($AT$3+INT((DAY(EOMONTH($AT$3,0))-1)/2)+AU$11,0)=EOMONTH($AD$3,0),AU$9*AU$10,0),0),IF(AND(AQ$9&lt;&gt;"",AQ$11&lt;&gt;""),IF(EOMONTH($AP$3+INT((DAY(EOMONTH($AP$3,0))-1)/2)+AQ$11,0)=EOMONTH($AD$3,0),AQ$9*AQ$10,0),0),IF(AND(AM$9&lt;&gt;"",AM$11&lt;&gt;""),IF(EOMONTH($AL$3+INT((DAY(EOMONTH($AL$3,0))-1)/2)+AM$11,0)=EOMONTH($AD$3,0),AM$9*AM$10,0),0),IF(AND(AI$9&lt;&gt;"",AI$11&lt;&gt;""),IF(EOMONTH($AH$3+INT((DAY(EOMONTH($AH$3,0))-1)/2)+AI$11,0)=EOMONTH($AD$3,0),AI$9*AI$10,0),0),IF(AND(AE$9&lt;&gt;"",AE$11&lt;&gt;""),IF(EOMONTH($AD$3+INT((DAY(EOMONTH($AD$3,0))-1)/2)+AE$11,0)=EOMONTH($AD$3,0),AE$9*AE$10,0),0),IF(AND(AA$9&lt;&gt;"",AA$11&lt;&gt;""),IF(EOMONTH($Z$3+INT((DAY(EOMONTH($Z$3,0))-1)/2)+AA$11,0)=EOMONTH($AD$3,0),AA$9*AA$10,0),0),IF(AND(W$9&lt;&gt;"",W$11&lt;&gt;""),IF(EOMONTH($V$3+INT((DAY(EOMONTH($V$3,0))-1)/2)+W$11,0)=EOMONTH($AD$3,0),W$9*W$10,0),0),IF(AND(S$9&lt;&gt;"",S$11&lt;&gt;""),IF(EOMONTH($R$3+INT((DAY(EOMONTH($R$3,0))-1)/2)+S$11,0)=EOMONTH($AD$3,0),S$9*S$10,0),0),IF(AND(O$9&lt;&gt;"",O$11&lt;&gt;""),IF(EOMONTH($N$3+INT((DAY(EOMONTH($N$3,0))-1)/2)+O$11,0)=EOMONTH($AD$3,0),O$9*O$10,0),0),IF(AND(K$9&lt;&gt;"",K$11&lt;&gt;""),IF(EOMONTH($J$3+INT((DAY(EOMONTH($J$3,0))-1)/2)+K$11,0)=EOMONTH($AD$3,0),K$9*K$10,0),0),IF(AND(G$9&lt;&gt;"",G$11&lt;&gt;""),IF(EOMONTH($F$3+INT((DAY(EOMONTH($F$3,0))-1)/2)+G$11,0)=EOMONTH($AD$3,0),G$9*G$10,0),0),IF($AX$75="",0,IF(EOMONTH($AX$75+AY$11,0)=EOMONTH($AD$3,0),$AX$76*AY$10,0))),0))</f>
        <v>0</v>
      </c>
      <c r="AF12" s="15">
        <f>ROUND(SUM(IF(AND(AZ$9&lt;&gt;"",AZ$11&lt;&gt;""),IF(EOMONTH($AX$3+INT((DAY(EOMONTH($AX$3,0))-1)/2)+AZ$11,0)=EOMONTH($AD$3,0),AZ$9*AZ$10,0),0),IF(AND(AV$9&lt;&gt;"",AV$11&lt;&gt;""),IF(EOMONTH($AT$3+INT((DAY(EOMONTH($AT$3,0))-1)/2)+AV$11,0)=EOMONTH($AD$3,0),AV$9*AV$10,0),0),IF(AND(AR$9&lt;&gt;"",AR$11&lt;&gt;""),IF(EOMONTH($AP$3+INT((DAY(EOMONTH($AP$3,0))-1)/2)+AR$11,0)=EOMONTH($AD$3,0),AR$9*AR$10,0),0),IF(AND(AN$9&lt;&gt;"",AN$11&lt;&gt;""),IF(EOMONTH($AL$3+INT((DAY(EOMONTH($AL$3,0))-1)/2)+AN$11,0)=EOMONTH($AD$3,0),AN$9*AN$10,0),0),IF(AND(AJ$9&lt;&gt;"",AJ$11&lt;&gt;""),IF(EOMONTH($AH$3+INT((DAY(EOMONTH($AH$3,0))-1)/2)+AJ$11,0)=EOMONTH($AD$3,0),AJ$9*AJ$10,0),0),IF(AND(AF$9&lt;&gt;"",AF$11&lt;&gt;""),IF(EOMONTH($AD$3+INT((DAY(EOMONTH($AD$3,0))-1)/2)+AF$11,0)=EOMONTH($AD$3,0),AF$9*AF$10,0),0),IF(AND(AB$9&lt;&gt;"",AB$11&lt;&gt;""),IF(EOMONTH($Z$3+INT((DAY(EOMONTH($Z$3,0))-1)/2)+AB$11,0)=EOMONTH($AD$3,0),AB$9*AB$10,0),0),IF(AND(X$9&lt;&gt;"",X$11&lt;&gt;""),IF(EOMONTH($V$3+INT((DAY(EOMONTH($V$3,0))-1)/2)+X$11,0)=EOMONTH($AD$3,0),X$9*X$10,0),0),IF(AND(T$9&lt;&gt;"",T$11&lt;&gt;""),IF(EOMONTH($R$3+INT((DAY(EOMONTH($R$3,0))-1)/2)+T$11,0)=EOMONTH($AD$3,0),T$9*T$10,0),0),IF(AND(P$9&lt;&gt;"",P$11&lt;&gt;""),IF(EOMONTH($N$3+INT((DAY(EOMONTH($N$3,0))-1)/2)+P$11,0)=EOMONTH($AD$3,0),P$9*P$10,0),0),IF(AND(L$9&lt;&gt;"",L$11&lt;&gt;""),IF(EOMONTH($J$3+INT((DAY(EOMONTH($J$3,0))-1)/2)+L$11,0)=EOMONTH($AD$3,0),L$9*L$10,0),0),IF(AND(H$9&lt;&gt;"",H$11&lt;&gt;""),IF(EOMONTH($F$3+INT((DAY(EOMONTH($F$3,0))-1)/2)+H$11,0)=EOMONTH($AD$3,0),H$9*H$10,0),0),IF($AX$75="",0,IF(EOMONTH($AX$75+AZ$11,0)=EOMONTH($AD$3,0),$AX$76*AZ$10,0))),0)</f>
        <v>0</v>
      </c>
      <c r="AG12" s="16">
        <f t="shared" si="17"/>
        <v>0</v>
      </c>
      <c r="AH12" s="17"/>
      <c r="AI12" s="14">
        <f>IF(AH$98=1,AH12,ROUND(SUM(IF(AND(AY$9&lt;&gt;"",AY$11&lt;&gt;""),IF(EOMONTH($AX$3+INT((DAY(EOMONTH($AX$3,0))-1)/2)+AY$11,0)=EOMONTH($AH$3,0),AY$9*AY$10,0),0),IF(AND(AU$9&lt;&gt;"",AU$11&lt;&gt;""),IF(EOMONTH($AT$3+INT((DAY(EOMONTH($AT$3,0))-1)/2)+AU$11,0)=EOMONTH($AH$3,0),AU$9*AU$10,0),0),IF(AND(AQ$9&lt;&gt;"",AQ$11&lt;&gt;""),IF(EOMONTH($AP$3+INT((DAY(EOMONTH($AP$3,0))-1)/2)+AQ$11,0)=EOMONTH($AH$3,0),AQ$9*AQ$10,0),0),IF(AND(AM$9&lt;&gt;"",AM$11&lt;&gt;""),IF(EOMONTH($AL$3+INT((DAY(EOMONTH($AL$3,0))-1)/2)+AM$11,0)=EOMONTH($AH$3,0),AM$9*AM$10,0),0),IF(AND(AI$9&lt;&gt;"",AI$11&lt;&gt;""),IF(EOMONTH($AH$3+INT((DAY(EOMONTH($AH$3,0))-1)/2)+AI$11,0)=EOMONTH($AH$3,0),AI$9*AI$10,0),0),IF(AND(AE$9&lt;&gt;"",AE$11&lt;&gt;""),IF(EOMONTH($AD$3+INT((DAY(EOMONTH($AD$3,0))-1)/2)+AE$11,0)=EOMONTH($AH$3,0),AE$9*AE$10,0),0),IF(AND(AA$9&lt;&gt;"",AA$11&lt;&gt;""),IF(EOMONTH($Z$3+INT((DAY(EOMONTH($Z$3,0))-1)/2)+AA$11,0)=EOMONTH($AH$3,0),AA$9*AA$10,0),0),IF(AND(W$9&lt;&gt;"",W$11&lt;&gt;""),IF(EOMONTH($V$3+INT((DAY(EOMONTH($V$3,0))-1)/2)+W$11,0)=EOMONTH($AH$3,0),W$9*W$10,0),0),IF(AND(S$9&lt;&gt;"",S$11&lt;&gt;""),IF(EOMONTH($R$3+INT((DAY(EOMONTH($R$3,0))-1)/2)+S$11,0)=EOMONTH($AH$3,0),S$9*S$10,0),0),IF(AND(O$9&lt;&gt;"",O$11&lt;&gt;""),IF(EOMONTH($N$3+INT((DAY(EOMONTH($N$3,0))-1)/2)+O$11,0)=EOMONTH($AH$3,0),O$9*O$10,0),0),IF(AND(K$9&lt;&gt;"",K$11&lt;&gt;""),IF(EOMONTH($J$3+INT((DAY(EOMONTH($J$3,0))-1)/2)+K$11,0)=EOMONTH($AH$3,0),K$9*K$10,0),0),IF(AND(G$9&lt;&gt;"",G$11&lt;&gt;""),IF(EOMONTH($F$3+INT((DAY(EOMONTH($F$3,0))-1)/2)+G$11,0)=EOMONTH($AH$3,0),G$9*G$10,0),0),IF($AX$75="",0,IF(EOMONTH($AX$75+AY$11,0)=EOMONTH($AH$3,0),$AX$76*AY$10,0))),0))</f>
        <v>0</v>
      </c>
      <c r="AJ12" s="15">
        <f>ROUND(SUM(IF(AND(AZ$9&lt;&gt;"",AZ$11&lt;&gt;""),IF(EOMONTH($AX$3+INT((DAY(EOMONTH($AX$3,0))-1)/2)+AZ$11,0)=EOMONTH($AH$3,0),AZ$9*AZ$10,0),0),IF(AND(AV$9&lt;&gt;"",AV$11&lt;&gt;""),IF(EOMONTH($AT$3+INT((DAY(EOMONTH($AT$3,0))-1)/2)+AV$11,0)=EOMONTH($AH$3,0),AV$9*AV$10,0),0),IF(AND(AR$9&lt;&gt;"",AR$11&lt;&gt;""),IF(EOMONTH($AP$3+INT((DAY(EOMONTH($AP$3,0))-1)/2)+AR$11,0)=EOMONTH($AH$3,0),AR$9*AR$10,0),0),IF(AND(AN$9&lt;&gt;"",AN$11&lt;&gt;""),IF(EOMONTH($AL$3+INT((DAY(EOMONTH($AL$3,0))-1)/2)+AN$11,0)=EOMONTH($AH$3,0),AN$9*AN$10,0),0),IF(AND(AJ$9&lt;&gt;"",AJ$11&lt;&gt;""),IF(EOMONTH($AH$3+INT((DAY(EOMONTH($AH$3,0))-1)/2)+AJ$11,0)=EOMONTH($AH$3,0),AJ$9*AJ$10,0),0),IF(AND(AF$9&lt;&gt;"",AF$11&lt;&gt;""),IF(EOMONTH($AD$3+INT((DAY(EOMONTH($AD$3,0))-1)/2)+AF$11,0)=EOMONTH($AH$3,0),AF$9*AF$10,0),0),IF(AND(AB$9&lt;&gt;"",AB$11&lt;&gt;""),IF(EOMONTH($Z$3+INT((DAY(EOMONTH($Z$3,0))-1)/2)+AB$11,0)=EOMONTH($AH$3,0),AB$9*AB$10,0),0),IF(AND(X$9&lt;&gt;"",X$11&lt;&gt;""),IF(EOMONTH($V$3+INT((DAY(EOMONTH($V$3,0))-1)/2)+X$11,0)=EOMONTH($AH$3,0),X$9*X$10,0),0),IF(AND(T$9&lt;&gt;"",T$11&lt;&gt;""),IF(EOMONTH($R$3+INT((DAY(EOMONTH($R$3,0))-1)/2)+T$11,0)=EOMONTH($AH$3,0),T$9*T$10,0),0),IF(AND(P$9&lt;&gt;"",P$11&lt;&gt;""),IF(EOMONTH($N$3+INT((DAY(EOMONTH($N$3,0))-1)/2)+P$11,0)=EOMONTH($AH$3,0),P$9*P$10,0),0),IF(AND(L$9&lt;&gt;"",L$11&lt;&gt;""),IF(EOMONTH($J$3+INT((DAY(EOMONTH($J$3,0))-1)/2)+L$11,0)=EOMONTH($AH$3,0),L$9*L$10,0),0),IF(AND(H$9&lt;&gt;"",H$11&lt;&gt;""),IF(EOMONTH($F$3+INT((DAY(EOMONTH($F$3,0))-1)/2)+H$11,0)=EOMONTH($AH$3,0),H$9*H$10,0),0),IF($AX$75="",0,IF(EOMONTH($AX$75+AZ$11,0)=EOMONTH($AH$3,0),$AX$76*AZ$10,0))),0)</f>
        <v>0</v>
      </c>
      <c r="AK12" s="16">
        <f t="shared" si="19"/>
        <v>0</v>
      </c>
      <c r="AL12" s="17"/>
      <c r="AM12" s="14">
        <f>IF(AL$98=1,AL12,ROUND(SUM(IF(AND(AY$9&lt;&gt;"",AY$11&lt;&gt;""),IF(EOMONTH($AX$3+INT((DAY(EOMONTH($AX$3,0))-1)/2)+AY$11,0)=EOMONTH($AL$3,0),AY$9*AY$10,0),0),IF(AND(AU$9&lt;&gt;"",AU$11&lt;&gt;""),IF(EOMONTH($AT$3+INT((DAY(EOMONTH($AT$3,0))-1)/2)+AU$11,0)=EOMONTH($AL$3,0),AU$9*AU$10,0),0),IF(AND(AQ$9&lt;&gt;"",AQ$11&lt;&gt;""),IF(EOMONTH($AP$3+INT((DAY(EOMONTH($AP$3,0))-1)/2)+AQ$11,0)=EOMONTH($AL$3,0),AQ$9*AQ$10,0),0),IF(AND(AM$9&lt;&gt;"",AM$11&lt;&gt;""),IF(EOMONTH($AL$3+INT((DAY(EOMONTH($AL$3,0))-1)/2)+AM$11,0)=EOMONTH($AL$3,0),AM$9*AM$10,0),0),IF(AND(AI$9&lt;&gt;"",AI$11&lt;&gt;""),IF(EOMONTH($AH$3+INT((DAY(EOMONTH($AH$3,0))-1)/2)+AI$11,0)=EOMONTH($AL$3,0),AI$9*AI$10,0),0),IF(AND(AE$9&lt;&gt;"",AE$11&lt;&gt;""),IF(EOMONTH($AD$3+INT((DAY(EOMONTH($AD$3,0))-1)/2)+AE$11,0)=EOMONTH($AL$3,0),AE$9*AE$10,0),0),IF(AND(AA$9&lt;&gt;"",AA$11&lt;&gt;""),IF(EOMONTH($Z$3+INT((DAY(EOMONTH($Z$3,0))-1)/2)+AA$11,0)=EOMONTH($AL$3,0),AA$9*AA$10,0),0),IF(AND(W$9&lt;&gt;"",W$11&lt;&gt;""),IF(EOMONTH($V$3+INT((DAY(EOMONTH($V$3,0))-1)/2)+W$11,0)=EOMONTH($AL$3,0),W$9*W$10,0),0),IF(AND(S$9&lt;&gt;"",S$11&lt;&gt;""),IF(EOMONTH($R$3+INT((DAY(EOMONTH($R$3,0))-1)/2)+S$11,0)=EOMONTH($AL$3,0),S$9*S$10,0),0),IF(AND(O$9&lt;&gt;"",O$11&lt;&gt;""),IF(EOMONTH($N$3+INT((DAY(EOMONTH($N$3,0))-1)/2)+O$11,0)=EOMONTH($AL$3,0),O$9*O$10,0),0),IF(AND(K$9&lt;&gt;"",K$11&lt;&gt;""),IF(EOMONTH($J$3+INT((DAY(EOMONTH($J$3,0))-1)/2)+K$11,0)=EOMONTH($AL$3,0),K$9*K$10,0),0),IF(AND(G$9&lt;&gt;"",G$11&lt;&gt;""),IF(EOMONTH($F$3+INT((DAY(EOMONTH($F$3,0))-1)/2)+G$11,0)=EOMONTH($AL$3,0),G$9*G$10,0),0),IF($AX$75="",0,IF(EOMONTH($AX$75+AY$11,0)=EOMONTH($AL$3,0),$AX$76*AY$10,0))),0))</f>
        <v>0</v>
      </c>
      <c r="AN12" s="15">
        <f>ROUND(SUM(IF(AND(AZ$9&lt;&gt;"",AZ$11&lt;&gt;""),IF(EOMONTH($AX$3+INT((DAY(EOMONTH($AX$3,0))-1)/2)+AZ$11,0)=EOMONTH($AL$3,0),AZ$9*AZ$10,0),0),IF(AND(AV$9&lt;&gt;"",AV$11&lt;&gt;""),IF(EOMONTH($AT$3+INT((DAY(EOMONTH($AT$3,0))-1)/2)+AV$11,0)=EOMONTH($AL$3,0),AV$9*AV$10,0),0),IF(AND(AR$9&lt;&gt;"",AR$11&lt;&gt;""),IF(EOMONTH($AP$3+INT((DAY(EOMONTH($AP$3,0))-1)/2)+AR$11,0)=EOMONTH($AL$3,0),AR$9*AR$10,0),0),IF(AND(AN$9&lt;&gt;"",AN$11&lt;&gt;""),IF(EOMONTH($AL$3+INT((DAY(EOMONTH($AL$3,0))-1)/2)+AN$11,0)=EOMONTH($AL$3,0),AN$9*AN$10,0),0),IF(AND(AJ$9&lt;&gt;"",AJ$11&lt;&gt;""),IF(EOMONTH($AH$3+INT((DAY(EOMONTH($AH$3,0))-1)/2)+AJ$11,0)=EOMONTH($AL$3,0),AJ$9*AJ$10,0),0),IF(AND(AF$9&lt;&gt;"",AF$11&lt;&gt;""),IF(EOMONTH($AD$3+INT((DAY(EOMONTH($AD$3,0))-1)/2)+AF$11,0)=EOMONTH($AL$3,0),AF$9*AF$10,0),0),IF(AND(AB$9&lt;&gt;"",AB$11&lt;&gt;""),IF(EOMONTH($Z$3+INT((DAY(EOMONTH($Z$3,0))-1)/2)+AB$11,0)=EOMONTH($AL$3,0),AB$9*AB$10,0),0),IF(AND(X$9&lt;&gt;"",X$11&lt;&gt;""),IF(EOMONTH($V$3+INT((DAY(EOMONTH($V$3,0))-1)/2)+X$11,0)=EOMONTH($AL$3,0),X$9*X$10,0),0),IF(AND(T$9&lt;&gt;"",T$11&lt;&gt;""),IF(EOMONTH($R$3+INT((DAY(EOMONTH($R$3,0))-1)/2)+T$11,0)=EOMONTH($AL$3,0),T$9*T$10,0),0),IF(AND(P$9&lt;&gt;"",P$11&lt;&gt;""),IF(EOMONTH($N$3+INT((DAY(EOMONTH($N$3,0))-1)/2)+P$11,0)=EOMONTH($AL$3,0),P$9*P$10,0),0),IF(AND(L$9&lt;&gt;"",L$11&lt;&gt;""),IF(EOMONTH($J$3+INT((DAY(EOMONTH($J$3,0))-1)/2)+L$11,0)=EOMONTH($AL$3,0),L$9*L$10,0),0),IF(AND(H$9&lt;&gt;"",H$11&lt;&gt;""),IF(EOMONTH($F$3+INT((DAY(EOMONTH($F$3,0))-1)/2)+H$11,0)=EOMONTH($AL$3,0),H$9*H$10,0),0),IF($AX$75="",0,IF(EOMONTH($AX$75+AZ$11,0)=EOMONTH($AL$3,0),$AX$76*AZ$10,0))),0)</f>
        <v>0</v>
      </c>
      <c r="AO12" s="16">
        <f t="shared" si="21"/>
        <v>0</v>
      </c>
      <c r="AP12" s="17"/>
      <c r="AQ12" s="14">
        <f>IF(AP$98=1,AP12,ROUND(SUM(IF(AND(AY$9&lt;&gt;"",AY$11&lt;&gt;""),IF(EOMONTH($AX$3+INT((DAY(EOMONTH($AX$3,0))-1)/2)+AY$11,0)=EOMONTH($AP$3,0),AY$9*AY$10,0),0),IF(AND(AU$9&lt;&gt;"",AU$11&lt;&gt;""),IF(EOMONTH($AT$3+INT((DAY(EOMONTH($AT$3,0))-1)/2)+AU$11,0)=EOMONTH($AP$3,0),AU$9*AU$10,0),0),IF(AND(AQ$9&lt;&gt;"",AQ$11&lt;&gt;""),IF(EOMONTH($AP$3+INT((DAY(EOMONTH($AP$3,0))-1)/2)+AQ$11,0)=EOMONTH($AP$3,0),AQ$9*AQ$10,0),0),IF(AND(AM$9&lt;&gt;"",AM$11&lt;&gt;""),IF(EOMONTH($AL$3+INT((DAY(EOMONTH($AL$3,0))-1)/2)+AM$11,0)=EOMONTH($AP$3,0),AM$9*AM$10,0),0),IF(AND(AI$9&lt;&gt;"",AI$11&lt;&gt;""),IF(EOMONTH($AH$3+INT((DAY(EOMONTH($AH$3,0))-1)/2)+AI$11,0)=EOMONTH($AP$3,0),AI$9*AI$10,0),0),IF(AND(AE$9&lt;&gt;"",AE$11&lt;&gt;""),IF(EOMONTH($AD$3+INT((DAY(EOMONTH($AD$3,0))-1)/2)+AE$11,0)=EOMONTH($AP$3,0),AE$9*AE$10,0),0),IF(AND(AA$9&lt;&gt;"",AA$11&lt;&gt;""),IF(EOMONTH($Z$3+INT((DAY(EOMONTH($Z$3,0))-1)/2)+AA$11,0)=EOMONTH($AP$3,0),AA$9*AA$10,0),0),IF(AND(W$9&lt;&gt;"",W$11&lt;&gt;""),IF(EOMONTH($V$3+INT((DAY(EOMONTH($V$3,0))-1)/2)+W$11,0)=EOMONTH($AP$3,0),W$9*W$10,0),0),IF(AND(S$9&lt;&gt;"",S$11&lt;&gt;""),IF(EOMONTH($R$3+INT((DAY(EOMONTH($R$3,0))-1)/2)+S$11,0)=EOMONTH($AP$3,0),S$9*S$10,0),0),IF(AND(O$9&lt;&gt;"",O$11&lt;&gt;""),IF(EOMONTH($N$3+INT((DAY(EOMONTH($N$3,0))-1)/2)+O$11,0)=EOMONTH($AP$3,0),O$9*O$10,0),0),IF(AND(K$9&lt;&gt;"",K$11&lt;&gt;""),IF(EOMONTH($J$3+INT((DAY(EOMONTH($J$3,0))-1)/2)+K$11,0)=EOMONTH($AP$3,0),K$9*K$10,0),0),IF(AND(G$9&lt;&gt;"",G$11&lt;&gt;""),IF(EOMONTH($F$3+INT((DAY(EOMONTH($F$3,0))-1)/2)+G$11,0)=EOMONTH($AP$3,0),G$9*G$10,0),0),IF($AX$75="",0,IF(EOMONTH($AX$75+AY$11,0)=EOMONTH($AP$3,0),$AX$76*AY$10,0))),0))</f>
        <v>0</v>
      </c>
      <c r="AR12" s="15">
        <f>ROUND(SUM(IF(AND(AZ$9&lt;&gt;"",AZ$11&lt;&gt;""),IF(EOMONTH($AX$3+INT((DAY(EOMONTH($AX$3,0))-1)/2)+AZ$11,0)=EOMONTH($AP$3,0),AZ$9*AZ$10,0),0),IF(AND(AV$9&lt;&gt;"",AV$11&lt;&gt;""),IF(EOMONTH($AT$3+INT((DAY(EOMONTH($AT$3,0))-1)/2)+AV$11,0)=EOMONTH($AP$3,0),AV$9*AV$10,0),0),IF(AND(AR$9&lt;&gt;"",AR$11&lt;&gt;""),IF(EOMONTH($AP$3+INT((DAY(EOMONTH($AP$3,0))-1)/2)+AR$11,0)=EOMONTH($AP$3,0),AR$9*AR$10,0),0),IF(AND(AN$9&lt;&gt;"",AN$11&lt;&gt;""),IF(EOMONTH($AL$3+INT((DAY(EOMONTH($AL$3,0))-1)/2)+AN$11,0)=EOMONTH($AP$3,0),AN$9*AN$10,0),0),IF(AND(AJ$9&lt;&gt;"",AJ$11&lt;&gt;""),IF(EOMONTH($AH$3+INT((DAY(EOMONTH($AH$3,0))-1)/2)+AJ$11,0)=EOMONTH($AP$3,0),AJ$9*AJ$10,0),0),IF(AND(AF$9&lt;&gt;"",AF$11&lt;&gt;""),IF(EOMONTH($AD$3+INT((DAY(EOMONTH($AD$3,0))-1)/2)+AF$11,0)=EOMONTH($AP$3,0),AF$9*AF$10,0),0),IF(AND(AB$9&lt;&gt;"",AB$11&lt;&gt;""),IF(EOMONTH($Z$3+INT((DAY(EOMONTH($Z$3,0))-1)/2)+AB$11,0)=EOMONTH($AP$3,0),AB$9*AB$10,0),0),IF(AND(X$9&lt;&gt;"",X$11&lt;&gt;""),IF(EOMONTH($V$3+INT((DAY(EOMONTH($V$3,0))-1)/2)+X$11,0)=EOMONTH($AP$3,0),X$9*X$10,0),0),IF(AND(T$9&lt;&gt;"",T$11&lt;&gt;""),IF(EOMONTH($R$3+INT((DAY(EOMONTH($R$3,0))-1)/2)+T$11,0)=EOMONTH($AP$3,0),T$9*T$10,0),0),IF(AND(P$9&lt;&gt;"",P$11&lt;&gt;""),IF(EOMONTH($N$3+INT((DAY(EOMONTH($N$3,0))-1)/2)+P$11,0)=EOMONTH($AP$3,0),P$9*P$10,0),0),IF(AND(L$9&lt;&gt;"",L$11&lt;&gt;""),IF(EOMONTH($J$3+INT((DAY(EOMONTH($J$3,0))-1)/2)+L$11,0)=EOMONTH($AP$3,0),L$9*L$10,0),0),IF(AND(H$9&lt;&gt;"",H$11&lt;&gt;""),IF(EOMONTH($F$3+INT((DAY(EOMONTH($F$3,0))-1)/2)+H$11,0)=EOMONTH($AP$3,0),H$9*H$10,0),0),IF($AX$75="",0,IF(EOMONTH($AX$75+AZ$11,0)=EOMONTH($AP$3,0),$AX$76*AZ$10,0))),0)</f>
        <v>0</v>
      </c>
      <c r="AS12" s="16">
        <f t="shared" si="23"/>
        <v>0</v>
      </c>
      <c r="AT12" s="17"/>
      <c r="AU12" s="14">
        <f>IF(AT$98=1,AT12,ROUND(SUM(IF(AND(AY$9&lt;&gt;"",AY$11&lt;&gt;""),IF(EOMONTH($AX$3+INT((DAY(EOMONTH($AX$3,0))-1)/2)+AY$11,0)=EOMONTH($AT$3,0),AY$9*AY$10,0),0),IF(AND(AU$9&lt;&gt;"",AU$11&lt;&gt;""),IF(EOMONTH($AT$3+INT((DAY(EOMONTH($AT$3,0))-1)/2)+AU$11,0)=EOMONTH($AT$3,0),AU$9*AU$10,0),0),IF(AND(AQ$9&lt;&gt;"",AQ$11&lt;&gt;""),IF(EOMONTH($AP$3+INT((DAY(EOMONTH($AP$3,0))-1)/2)+AQ$11,0)=EOMONTH($AT$3,0),AQ$9*AQ$10,0),0),IF(AND(AM$9&lt;&gt;"",AM$11&lt;&gt;""),IF(EOMONTH($AL$3+INT((DAY(EOMONTH($AL$3,0))-1)/2)+AM$11,0)=EOMONTH($AT$3,0),AM$9*AM$10,0),0),IF(AND(AI$9&lt;&gt;"",AI$11&lt;&gt;""),IF(EOMONTH($AH$3+INT((DAY(EOMONTH($AH$3,0))-1)/2)+AI$11,0)=EOMONTH($AT$3,0),AI$9*AI$10,0),0),IF(AND(AE$9&lt;&gt;"",AE$11&lt;&gt;""),IF(EOMONTH($AD$3+INT((DAY(EOMONTH($AD$3,0))-1)/2)+AE$11,0)=EOMONTH($AT$3,0),AE$9*AE$10,0),0),IF(AND(AA$9&lt;&gt;"",AA$11&lt;&gt;""),IF(EOMONTH($Z$3+INT((DAY(EOMONTH($Z$3,0))-1)/2)+AA$11,0)=EOMONTH($AT$3,0),AA$9*AA$10,0),0),IF(AND(W$9&lt;&gt;"",W$11&lt;&gt;""),IF(EOMONTH($V$3+INT((DAY(EOMONTH($V$3,0))-1)/2)+W$11,0)=EOMONTH($AT$3,0),W$9*W$10,0),0),IF(AND(S$9&lt;&gt;"",S$11&lt;&gt;""),IF(EOMONTH($R$3+INT((DAY(EOMONTH($R$3,0))-1)/2)+S$11,0)=EOMONTH($AT$3,0),S$9*S$10,0),0),IF(AND(O$9&lt;&gt;"",O$11&lt;&gt;""),IF(EOMONTH($N$3+INT((DAY(EOMONTH($N$3,0))-1)/2)+O$11,0)=EOMONTH($AT$3,0),O$9*O$10,0),0),IF(AND(K$9&lt;&gt;"",K$11&lt;&gt;""),IF(EOMONTH($J$3+INT((DAY(EOMONTH($J$3,0))-1)/2)+K$11,0)=EOMONTH($AT$3,0),K$9*K$10,0),0),IF(AND(G$9&lt;&gt;"",G$11&lt;&gt;""),IF(EOMONTH($F$3+INT((DAY(EOMONTH($F$3,0))-1)/2)+G$11,0)=EOMONTH($AT$3,0),G$9*G$10,0),0),IF($AX$75="",0,IF(EOMONTH($AX$75+AY$11,0)=EOMONTH($AT$3,0),$AX$76*AY$10,0))),0))</f>
        <v>0</v>
      </c>
      <c r="AV12" s="15">
        <f>ROUND(SUM(IF(AND(AZ$9&lt;&gt;"",AZ$11&lt;&gt;""),IF(EOMONTH($AX$3+INT((DAY(EOMONTH($AX$3,0))-1)/2)+AZ$11,0)=EOMONTH($AT$3,0),AZ$9*AZ$10,0),0),IF(AND(AV$9&lt;&gt;"",AV$11&lt;&gt;""),IF(EOMONTH($AT$3+INT((DAY(EOMONTH($AT$3,0))-1)/2)+AV$11,0)=EOMONTH($AT$3,0),AV$9*AV$10,0),0),IF(AND(AR$9&lt;&gt;"",AR$11&lt;&gt;""),IF(EOMONTH($AP$3+INT((DAY(EOMONTH($AP$3,0))-1)/2)+AR$11,0)=EOMONTH($AT$3,0),AR$9*AR$10,0),0),IF(AND(AN$9&lt;&gt;"",AN$11&lt;&gt;""),IF(EOMONTH($AL$3+INT((DAY(EOMONTH($AL$3,0))-1)/2)+AN$11,0)=EOMONTH($AT$3,0),AN$9*AN$10,0),0),IF(AND(AJ$9&lt;&gt;"",AJ$11&lt;&gt;""),IF(EOMONTH($AH$3+INT((DAY(EOMONTH($AH$3,0))-1)/2)+AJ$11,0)=EOMONTH($AT$3,0),AJ$9*AJ$10,0),0),IF(AND(AF$9&lt;&gt;"",AF$11&lt;&gt;""),IF(EOMONTH($AD$3+INT((DAY(EOMONTH($AD$3,0))-1)/2)+AF$11,0)=EOMONTH($AT$3,0),AF$9*AF$10,0),0),IF(AND(AB$9&lt;&gt;"",AB$11&lt;&gt;""),IF(EOMONTH($Z$3+INT((DAY(EOMONTH($Z$3,0))-1)/2)+AB$11,0)=EOMONTH($AT$3,0),AB$9*AB$10,0),0),IF(AND(X$9&lt;&gt;"",X$11&lt;&gt;""),IF(EOMONTH($V$3+INT((DAY(EOMONTH($V$3,0))-1)/2)+X$11,0)=EOMONTH($AT$3,0),X$9*X$10,0),0),IF(AND(T$9&lt;&gt;"",T$11&lt;&gt;""),IF(EOMONTH($R$3+INT((DAY(EOMONTH($R$3,0))-1)/2)+T$11,0)=EOMONTH($AT$3,0),T$9*T$10,0),0),IF(AND(P$9&lt;&gt;"",P$11&lt;&gt;""),IF(EOMONTH($N$3+INT((DAY(EOMONTH($N$3,0))-1)/2)+P$11,0)=EOMONTH($AT$3,0),P$9*P$10,0),0),IF(AND(L$9&lt;&gt;"",L$11&lt;&gt;""),IF(EOMONTH($J$3+INT((DAY(EOMONTH($J$3,0))-1)/2)+L$11,0)=EOMONTH($AT$3,0),L$9*L$10,0),0),IF(AND(H$9&lt;&gt;"",H$11&lt;&gt;""),IF(EOMONTH($F$3+INT((DAY(EOMONTH($F$3,0))-1)/2)+H$11,0)=EOMONTH($AT$3,0),H$9*H$10,0),0),IF($AX$75="",0,IF(EOMONTH($AX$75+AZ$11,0)=EOMONTH($AT$3,0),$AX$76*AZ$10,0))),0)</f>
        <v>0</v>
      </c>
      <c r="AW12" s="16">
        <f t="shared" si="25"/>
        <v>0</v>
      </c>
      <c r="AX12" s="17"/>
      <c r="AY12" s="14">
        <f>IF(AX$98=1,AX12,ROUND(SUM(IF(AND(AY$9&lt;&gt;"",AY$11&lt;&gt;""),IF(EOMONTH($AX$3+INT((DAY(EOMONTH($AX$3,0))-1)/2)+AY$11,0)=EOMONTH($AX$3,0),AY$9*AY$10,0),0),IF(AND(AU$9&lt;&gt;"",AU$11&lt;&gt;""),IF(EOMONTH($AT$3+INT((DAY(EOMONTH($AT$3,0))-1)/2)+AU$11,0)=EOMONTH($AX$3,0),AU$9*AU$10,0),0),IF(AND(AQ$9&lt;&gt;"",AQ$11&lt;&gt;""),IF(EOMONTH($AP$3+INT((DAY(EOMONTH($AP$3,0))-1)/2)+AQ$11,0)=EOMONTH($AX$3,0),AQ$9*AQ$10,0),0),IF(AND(AM$9&lt;&gt;"",AM$11&lt;&gt;""),IF(EOMONTH($AL$3+INT((DAY(EOMONTH($AL$3,0))-1)/2)+AM$11,0)=EOMONTH($AX$3,0),AM$9*AM$10,0),0),IF(AND(AI$9&lt;&gt;"",AI$11&lt;&gt;""),IF(EOMONTH($AH$3+INT((DAY(EOMONTH($AH$3,0))-1)/2)+AI$11,0)=EOMONTH($AX$3,0),AI$9*AI$10,0),0),IF(AND(AE$9&lt;&gt;"",AE$11&lt;&gt;""),IF(EOMONTH($AD$3+INT((DAY(EOMONTH($AD$3,0))-1)/2)+AE$11,0)=EOMONTH($AX$3,0),AE$9*AE$10,0),0),IF(AND(AA$9&lt;&gt;"",AA$11&lt;&gt;""),IF(EOMONTH($Z$3+INT((DAY(EOMONTH($Z$3,0))-1)/2)+AA$11,0)=EOMONTH($AX$3,0),AA$9*AA$10,0),0),IF(AND(W$9&lt;&gt;"",W$11&lt;&gt;""),IF(EOMONTH($V$3+INT((DAY(EOMONTH($V$3,0))-1)/2)+W$11,0)=EOMONTH($AX$3,0),W$9*W$10,0),0),IF(AND(S$9&lt;&gt;"",S$11&lt;&gt;""),IF(EOMONTH($R$3+INT((DAY(EOMONTH($R$3,0))-1)/2)+S$11,0)=EOMONTH($AX$3,0),S$9*S$10,0),0),IF(AND(O$9&lt;&gt;"",O$11&lt;&gt;""),IF(EOMONTH($N$3+INT((DAY(EOMONTH($N$3,0))-1)/2)+O$11,0)=EOMONTH($AX$3,0),O$9*O$10,0),0),IF(AND(K$9&lt;&gt;"",K$11&lt;&gt;""),IF(EOMONTH($J$3+INT((DAY(EOMONTH($J$3,0))-1)/2)+K$11,0)=EOMONTH($AX$3,0),K$9*K$10,0),0),IF(AND(G$9&lt;&gt;"",G$11&lt;&gt;""),IF(EOMONTH($F$3+INT((DAY(EOMONTH($F$3,0))-1)/2)+G$11,0)=EOMONTH($AX$3,0),G$9*G$10,0),0),IF($AX$75="",0,IF(EOMONTH($AX$75+AY$11,0)=EOMONTH($AX$3,0),$AX$76*AY$10,0))),0))</f>
        <v>0</v>
      </c>
      <c r="AZ12" s="15">
        <f>ROUND(SUM(IF(AND(AZ$9&lt;&gt;"",AZ$11&lt;&gt;""),IF(EOMONTH($AX$3+INT((DAY(EOMONTH($AX$3,0))-1)/2)+AZ$11,0)=EOMONTH($AX$3,0),AZ$9*AZ$10,0),0),IF(AND(AV$9&lt;&gt;"",AV$11&lt;&gt;""),IF(EOMONTH($AT$3+INT((DAY(EOMONTH($AT$3,0))-1)/2)+AV$11,0)=EOMONTH($AX$3,0),AV$9*AV$10,0),0),IF(AND(AR$9&lt;&gt;"",AR$11&lt;&gt;""),IF(EOMONTH($AP$3+INT((DAY(EOMONTH($AP$3,0))-1)/2)+AR$11,0)=EOMONTH($AX$3,0),AR$9*AR$10,0),0),IF(AND(AN$9&lt;&gt;"",AN$11&lt;&gt;""),IF(EOMONTH($AL$3+INT((DAY(EOMONTH($AL$3,0))-1)/2)+AN$11,0)=EOMONTH($AX$3,0),AN$9*AN$10,0),0),IF(AND(AJ$9&lt;&gt;"",AJ$11&lt;&gt;""),IF(EOMONTH($AH$3+INT((DAY(EOMONTH($AH$3,0))-1)/2)+AJ$11,0)=EOMONTH($AX$3,0),AJ$9*AJ$10,0),0),IF(AND(AF$9&lt;&gt;"",AF$11&lt;&gt;""),IF(EOMONTH($AD$3+INT((DAY(EOMONTH($AD$3,0))-1)/2)+AF$11,0)=EOMONTH($AX$3,0),AF$9*AF$10,0),0),IF(AND(AB$9&lt;&gt;"",AB$11&lt;&gt;""),IF(EOMONTH($Z$3+INT((DAY(EOMONTH($Z$3,0))-1)/2)+AB$11,0)=EOMONTH($AX$3,0),AB$9*AB$10,0),0),IF(AND(X$9&lt;&gt;"",X$11&lt;&gt;""),IF(EOMONTH($V$3+INT((DAY(EOMONTH($V$3,0))-1)/2)+X$11,0)=EOMONTH($AX$3,0),X$9*X$10,0),0),IF(AND(T$9&lt;&gt;"",T$11&lt;&gt;""),IF(EOMONTH($R$3+INT((DAY(EOMONTH($R$3,0))-1)/2)+T$11,0)=EOMONTH($AX$3,0),T$9*T$10,0),0),IF(AND(P$9&lt;&gt;"",P$11&lt;&gt;""),IF(EOMONTH($N$3+INT((DAY(EOMONTH($N$3,0))-1)/2)+P$11,0)=EOMONTH($AX$3,0),P$9*P$10,0),0),IF(AND(L$9&lt;&gt;"",L$11&lt;&gt;""),IF(EOMONTH($J$3+INT((DAY(EOMONTH($J$3,0))-1)/2)+L$11,0)=EOMONTH($AX$3,0),L$9*L$10,0),0),IF(AND(H$9&lt;&gt;"",H$11&lt;&gt;""),IF(EOMONTH($F$3+INT((DAY(EOMONTH($F$3,0))-1)/2)+H$11,0)=EOMONTH($AX$3,0),H$9*H$10,0),0),IF($AX$75="",0,IF(EOMONTH($AX$75+AZ$11,0)=EOMONTH($AX$3,0),$AX$76*AZ$10,0))),0)</f>
        <v>0</v>
      </c>
      <c r="BA12" s="16">
        <f t="shared" si="27"/>
        <v>0</v>
      </c>
    </row>
    <row r="13" ht="18.0" customHeight="1">
      <c r="A13" s="2" t="s">
        <v>16</v>
      </c>
      <c r="B13" s="30" t="str">
        <f t="shared" ref="B13:D13" si="45">IFERROR(SUM(AX13*AX12,AT13*AT12,AP13*AP12,AL13*AL12,AH13*AH12,AD13*AD12,Z13*Z12,V13*V12,R13*R12,N13*N12,J13*J12,F13*F12)/SUM(AX12,AT12,AP12,AL12,AH12,AD12,Z12,V12,R12,N12,J12,F12),"")</f>
        <v/>
      </c>
      <c r="C13" s="31" t="str">
        <f t="shared" si="45"/>
        <v/>
      </c>
      <c r="D13" s="32" t="str">
        <f t="shared" si="45"/>
        <v/>
      </c>
      <c r="E13" s="33" t="str">
        <f t="shared" si="3"/>
        <v/>
      </c>
      <c r="F13" s="34"/>
      <c r="G13" s="31" t="str">
        <f t="shared" ref="G13:G16" si="47">IF(F$98=1,F13,H13)</f>
        <v/>
      </c>
      <c r="H13" s="35"/>
      <c r="I13" s="33" t="str">
        <f t="shared" si="5"/>
        <v/>
      </c>
      <c r="J13" s="34"/>
      <c r="K13" s="31" t="str">
        <f t="shared" ref="K13:K16" si="48">IF(J$98=1,J13,L13)</f>
        <v/>
      </c>
      <c r="L13" s="35"/>
      <c r="M13" s="33" t="str">
        <f t="shared" si="7"/>
        <v/>
      </c>
      <c r="N13" s="34"/>
      <c r="O13" s="31" t="str">
        <f t="shared" ref="O13:O16" si="49">IF(N$98=1,N13,P13)</f>
        <v/>
      </c>
      <c r="P13" s="35"/>
      <c r="Q13" s="33" t="str">
        <f t="shared" si="9"/>
        <v/>
      </c>
      <c r="R13" s="34"/>
      <c r="S13" s="31" t="str">
        <f t="shared" ref="S13:S16" si="50">IF(R$98=1,R13,T13)</f>
        <v/>
      </c>
      <c r="T13" s="35"/>
      <c r="U13" s="33" t="str">
        <f t="shared" si="11"/>
        <v/>
      </c>
      <c r="V13" s="34"/>
      <c r="W13" s="31" t="str">
        <f t="shared" ref="W13:W16" si="51">IF(V$98=1,V13,X13)</f>
        <v/>
      </c>
      <c r="X13" s="35"/>
      <c r="Y13" s="33" t="str">
        <f t="shared" si="13"/>
        <v/>
      </c>
      <c r="Z13" s="34"/>
      <c r="AA13" s="31" t="str">
        <f t="shared" ref="AA13:AA16" si="52">IF(Z$98=1,Z13,AB13)</f>
        <v/>
      </c>
      <c r="AB13" s="35"/>
      <c r="AC13" s="33" t="str">
        <f t="shared" si="15"/>
        <v/>
      </c>
      <c r="AD13" s="34"/>
      <c r="AE13" s="31" t="str">
        <f t="shared" ref="AE13:AE16" si="53">IF(AD$98=1,AD13,AF13)</f>
        <v/>
      </c>
      <c r="AF13" s="35"/>
      <c r="AG13" s="33" t="str">
        <f t="shared" si="17"/>
        <v/>
      </c>
      <c r="AH13" s="34"/>
      <c r="AI13" s="31" t="str">
        <f t="shared" ref="AI13:AI16" si="54">IF(AH$98=1,AH13,AJ13)</f>
        <v/>
      </c>
      <c r="AJ13" s="35"/>
      <c r="AK13" s="33" t="str">
        <f t="shared" si="19"/>
        <v/>
      </c>
      <c r="AL13" s="34"/>
      <c r="AM13" s="31" t="str">
        <f t="shared" ref="AM13:AM16" si="55">IF(AL$98=1,AL13,AN13)</f>
        <v/>
      </c>
      <c r="AN13" s="35"/>
      <c r="AO13" s="33" t="str">
        <f t="shared" si="21"/>
        <v/>
      </c>
      <c r="AP13" s="34"/>
      <c r="AQ13" s="31" t="str">
        <f t="shared" ref="AQ13:AQ16" si="56">IF(AP$98=1,AP13,AR13)</f>
        <v/>
      </c>
      <c r="AR13" s="35"/>
      <c r="AS13" s="33" t="str">
        <f t="shared" si="23"/>
        <v/>
      </c>
      <c r="AT13" s="34"/>
      <c r="AU13" s="31" t="str">
        <f t="shared" ref="AU13:AU16" si="57">IF(AT$98=1,AT13,AV13)</f>
        <v/>
      </c>
      <c r="AV13" s="35"/>
      <c r="AW13" s="33" t="str">
        <f t="shared" si="25"/>
        <v/>
      </c>
      <c r="AX13" s="34"/>
      <c r="AY13" s="31" t="str">
        <f t="shared" ref="AY13:AY16" si="58">IF(AX$98=1,AX13,AZ13)</f>
        <v/>
      </c>
      <c r="AZ13" s="35"/>
      <c r="BA13" s="33" t="str">
        <f t="shared" si="27"/>
        <v/>
      </c>
    </row>
    <row r="14" ht="18.0" customHeight="1">
      <c r="A14" s="2" t="s">
        <v>17</v>
      </c>
      <c r="B14" s="24" t="str">
        <f t="shared" ref="B14:D14" si="46">IFERROR(SUM(AX14*AX12,AT14*AT12,AP14*AP12,AL14*AL12,AH14*AH12,AD14*AD12,Z14*Z12,V14*V12,R14*R12,N14*N12,J14*J12,F14*F12)/SUM(AX12,AT12,AP12,AL12,AH12,AD12,Z12,V12,R12,N12,J12,F12),"")</f>
        <v/>
      </c>
      <c r="C14" s="25" t="str">
        <f t="shared" si="46"/>
        <v/>
      </c>
      <c r="D14" s="26" t="str">
        <f t="shared" si="46"/>
        <v/>
      </c>
      <c r="E14" s="27" t="str">
        <f t="shared" si="3"/>
        <v/>
      </c>
      <c r="F14" s="28"/>
      <c r="G14" s="25" t="str">
        <f t="shared" si="47"/>
        <v/>
      </c>
      <c r="H14" s="29"/>
      <c r="I14" s="27" t="str">
        <f t="shared" si="5"/>
        <v/>
      </c>
      <c r="J14" s="28"/>
      <c r="K14" s="25" t="str">
        <f t="shared" si="48"/>
        <v/>
      </c>
      <c r="L14" s="29"/>
      <c r="M14" s="27" t="str">
        <f t="shared" si="7"/>
        <v/>
      </c>
      <c r="N14" s="28"/>
      <c r="O14" s="25" t="str">
        <f t="shared" si="49"/>
        <v/>
      </c>
      <c r="P14" s="29"/>
      <c r="Q14" s="27" t="str">
        <f t="shared" si="9"/>
        <v/>
      </c>
      <c r="R14" s="28"/>
      <c r="S14" s="25" t="str">
        <f t="shared" si="50"/>
        <v/>
      </c>
      <c r="T14" s="29"/>
      <c r="U14" s="27" t="str">
        <f t="shared" si="11"/>
        <v/>
      </c>
      <c r="V14" s="28"/>
      <c r="W14" s="25" t="str">
        <f t="shared" si="51"/>
        <v/>
      </c>
      <c r="X14" s="29"/>
      <c r="Y14" s="27" t="str">
        <f t="shared" si="13"/>
        <v/>
      </c>
      <c r="Z14" s="28"/>
      <c r="AA14" s="25" t="str">
        <f t="shared" si="52"/>
        <v/>
      </c>
      <c r="AB14" s="29"/>
      <c r="AC14" s="27" t="str">
        <f t="shared" si="15"/>
        <v/>
      </c>
      <c r="AD14" s="28"/>
      <c r="AE14" s="25" t="str">
        <f t="shared" si="53"/>
        <v/>
      </c>
      <c r="AF14" s="29"/>
      <c r="AG14" s="27" t="str">
        <f t="shared" si="17"/>
        <v/>
      </c>
      <c r="AH14" s="28"/>
      <c r="AI14" s="25" t="str">
        <f t="shared" si="54"/>
        <v/>
      </c>
      <c r="AJ14" s="29"/>
      <c r="AK14" s="27" t="str">
        <f t="shared" si="19"/>
        <v/>
      </c>
      <c r="AL14" s="28"/>
      <c r="AM14" s="25" t="str">
        <f t="shared" si="55"/>
        <v/>
      </c>
      <c r="AN14" s="29"/>
      <c r="AO14" s="27" t="str">
        <f t="shared" si="21"/>
        <v/>
      </c>
      <c r="AP14" s="28"/>
      <c r="AQ14" s="25" t="str">
        <f t="shared" si="56"/>
        <v/>
      </c>
      <c r="AR14" s="29"/>
      <c r="AS14" s="27" t="str">
        <f t="shared" si="23"/>
        <v/>
      </c>
      <c r="AT14" s="28"/>
      <c r="AU14" s="25" t="str">
        <f t="shared" si="57"/>
        <v/>
      </c>
      <c r="AV14" s="29"/>
      <c r="AW14" s="27" t="str">
        <f t="shared" si="25"/>
        <v/>
      </c>
      <c r="AX14" s="28"/>
      <c r="AY14" s="25" t="str">
        <f t="shared" si="58"/>
        <v/>
      </c>
      <c r="AZ14" s="29"/>
      <c r="BA14" s="27" t="str">
        <f t="shared" si="27"/>
        <v/>
      </c>
    </row>
    <row r="15" ht="18.0" customHeight="1">
      <c r="A15" s="2" t="s">
        <v>18</v>
      </c>
      <c r="B15" s="13" t="str">
        <f t="shared" ref="B15:D15" si="59">IFERROR(SUM(AX15,AT15,AP15,AL15,AH15,AD15,Z15,V15,R15,N15,J15,F15)/COUNT(AX15,AT15,AP15,AL15,AH15,AD15,Z15,V15,R15,N15,J15,F15),"")</f>
        <v/>
      </c>
      <c r="C15" s="14" t="str">
        <f t="shared" si="59"/>
        <v/>
      </c>
      <c r="D15" s="15" t="str">
        <f t="shared" si="59"/>
        <v/>
      </c>
      <c r="E15" s="16" t="str">
        <f t="shared" si="3"/>
        <v/>
      </c>
      <c r="F15" s="17"/>
      <c r="G15" s="14" t="str">
        <f t="shared" si="47"/>
        <v/>
      </c>
      <c r="H15" s="18"/>
      <c r="I15" s="16" t="str">
        <f t="shared" si="5"/>
        <v/>
      </c>
      <c r="J15" s="17"/>
      <c r="K15" s="14" t="str">
        <f t="shared" si="48"/>
        <v/>
      </c>
      <c r="L15" s="18"/>
      <c r="M15" s="16" t="str">
        <f t="shared" si="7"/>
        <v/>
      </c>
      <c r="N15" s="17"/>
      <c r="O15" s="14" t="str">
        <f t="shared" si="49"/>
        <v/>
      </c>
      <c r="P15" s="18"/>
      <c r="Q15" s="16" t="str">
        <f t="shared" si="9"/>
        <v/>
      </c>
      <c r="R15" s="17"/>
      <c r="S15" s="14" t="str">
        <f t="shared" si="50"/>
        <v/>
      </c>
      <c r="T15" s="18"/>
      <c r="U15" s="16" t="str">
        <f t="shared" si="11"/>
        <v/>
      </c>
      <c r="V15" s="17"/>
      <c r="W15" s="14" t="str">
        <f t="shared" si="51"/>
        <v/>
      </c>
      <c r="X15" s="18"/>
      <c r="Y15" s="16" t="str">
        <f t="shared" si="13"/>
        <v/>
      </c>
      <c r="Z15" s="17"/>
      <c r="AA15" s="14" t="str">
        <f t="shared" si="52"/>
        <v/>
      </c>
      <c r="AB15" s="18"/>
      <c r="AC15" s="16" t="str">
        <f t="shared" si="15"/>
        <v/>
      </c>
      <c r="AD15" s="17"/>
      <c r="AE15" s="14" t="str">
        <f t="shared" si="53"/>
        <v/>
      </c>
      <c r="AF15" s="18"/>
      <c r="AG15" s="16" t="str">
        <f t="shared" si="17"/>
        <v/>
      </c>
      <c r="AH15" s="17"/>
      <c r="AI15" s="14" t="str">
        <f t="shared" si="54"/>
        <v/>
      </c>
      <c r="AJ15" s="18"/>
      <c r="AK15" s="16" t="str">
        <f t="shared" si="19"/>
        <v/>
      </c>
      <c r="AL15" s="17"/>
      <c r="AM15" s="14" t="str">
        <f t="shared" si="55"/>
        <v/>
      </c>
      <c r="AN15" s="18"/>
      <c r="AO15" s="16" t="str">
        <f t="shared" si="21"/>
        <v/>
      </c>
      <c r="AP15" s="17"/>
      <c r="AQ15" s="14" t="str">
        <f t="shared" si="56"/>
        <v/>
      </c>
      <c r="AR15" s="18"/>
      <c r="AS15" s="16" t="str">
        <f t="shared" si="23"/>
        <v/>
      </c>
      <c r="AT15" s="17"/>
      <c r="AU15" s="14" t="str">
        <f t="shared" si="57"/>
        <v/>
      </c>
      <c r="AV15" s="18"/>
      <c r="AW15" s="16" t="str">
        <f t="shared" si="25"/>
        <v/>
      </c>
      <c r="AX15" s="17"/>
      <c r="AY15" s="14" t="str">
        <f t="shared" si="58"/>
        <v/>
      </c>
      <c r="AZ15" s="18"/>
      <c r="BA15" s="16" t="str">
        <f t="shared" si="27"/>
        <v/>
      </c>
    </row>
    <row r="16" ht="18.0" customHeight="1">
      <c r="A16" s="2" t="s">
        <v>19</v>
      </c>
      <c r="B16" s="13" t="str">
        <f t="shared" ref="B16:D16" si="60">IFERROR(SUM(AX16*AX15,AT16*AT15,AP16*AP15,AL16*AL15,AH16*AH15,AD16*AD15,Z16*Z15,V16*V15,R16*R15,N16*N15,J16*J15,F16*F15)/SUM(AX15,AT15,AP15,AL15,AH15,AD15,Z15,V15,R15,N15,J15,F15),"")</f>
        <v/>
      </c>
      <c r="C16" s="14" t="str">
        <f t="shared" si="60"/>
        <v/>
      </c>
      <c r="D16" s="15" t="str">
        <f t="shared" si="60"/>
        <v/>
      </c>
      <c r="E16" s="16" t="str">
        <f t="shared" si="3"/>
        <v/>
      </c>
      <c r="F16" s="17"/>
      <c r="G16" s="14" t="str">
        <f t="shared" si="47"/>
        <v/>
      </c>
      <c r="H16" s="18"/>
      <c r="I16" s="16" t="str">
        <f t="shared" si="5"/>
        <v/>
      </c>
      <c r="J16" s="17"/>
      <c r="K16" s="14" t="str">
        <f t="shared" si="48"/>
        <v/>
      </c>
      <c r="L16" s="18"/>
      <c r="M16" s="16" t="str">
        <f t="shared" si="7"/>
        <v/>
      </c>
      <c r="N16" s="17"/>
      <c r="O16" s="14" t="str">
        <f t="shared" si="49"/>
        <v/>
      </c>
      <c r="P16" s="18"/>
      <c r="Q16" s="16" t="str">
        <f t="shared" si="9"/>
        <v/>
      </c>
      <c r="R16" s="17"/>
      <c r="S16" s="14" t="str">
        <f t="shared" si="50"/>
        <v/>
      </c>
      <c r="T16" s="18"/>
      <c r="U16" s="16" t="str">
        <f t="shared" si="11"/>
        <v/>
      </c>
      <c r="V16" s="17"/>
      <c r="W16" s="14" t="str">
        <f t="shared" si="51"/>
        <v/>
      </c>
      <c r="X16" s="18"/>
      <c r="Y16" s="16" t="str">
        <f t="shared" si="13"/>
        <v/>
      </c>
      <c r="Z16" s="17"/>
      <c r="AA16" s="14" t="str">
        <f t="shared" si="52"/>
        <v/>
      </c>
      <c r="AB16" s="18"/>
      <c r="AC16" s="16" t="str">
        <f t="shared" si="15"/>
        <v/>
      </c>
      <c r="AD16" s="17"/>
      <c r="AE16" s="14" t="str">
        <f t="shared" si="53"/>
        <v/>
      </c>
      <c r="AF16" s="18"/>
      <c r="AG16" s="16" t="str">
        <f t="shared" si="17"/>
        <v/>
      </c>
      <c r="AH16" s="17"/>
      <c r="AI16" s="14" t="str">
        <f t="shared" si="54"/>
        <v/>
      </c>
      <c r="AJ16" s="18"/>
      <c r="AK16" s="16" t="str">
        <f t="shared" si="19"/>
        <v/>
      </c>
      <c r="AL16" s="17"/>
      <c r="AM16" s="14" t="str">
        <f t="shared" si="55"/>
        <v/>
      </c>
      <c r="AN16" s="18"/>
      <c r="AO16" s="16" t="str">
        <f t="shared" si="21"/>
        <v/>
      </c>
      <c r="AP16" s="17"/>
      <c r="AQ16" s="14" t="str">
        <f t="shared" si="56"/>
        <v/>
      </c>
      <c r="AR16" s="18"/>
      <c r="AS16" s="16" t="str">
        <f t="shared" si="23"/>
        <v/>
      </c>
      <c r="AT16" s="17"/>
      <c r="AU16" s="14" t="str">
        <f t="shared" si="57"/>
        <v/>
      </c>
      <c r="AV16" s="18"/>
      <c r="AW16" s="16" t="str">
        <f t="shared" si="25"/>
        <v/>
      </c>
      <c r="AX16" s="17"/>
      <c r="AY16" s="14" t="str">
        <f t="shared" si="58"/>
        <v/>
      </c>
      <c r="AZ16" s="18"/>
      <c r="BA16" s="16" t="str">
        <f t="shared" si="27"/>
        <v/>
      </c>
    </row>
    <row r="17" ht="18.0" customHeight="1">
      <c r="A17" s="2" t="s">
        <v>20</v>
      </c>
      <c r="B17" s="13">
        <f t="shared" ref="B17:D17" si="61">SUM(AX17,AT17,AP17,AL17,AH17,AD17,Z17,V17,R17,N17,J17,F17)</f>
        <v>0</v>
      </c>
      <c r="C17" s="14">
        <f t="shared" si="61"/>
        <v>0</v>
      </c>
      <c r="D17" s="15">
        <f t="shared" si="61"/>
        <v>0</v>
      </c>
      <c r="E17" s="16">
        <f t="shared" si="3"/>
        <v>0</v>
      </c>
      <c r="F17" s="13" t="str">
        <f>IF(COUNT(F15,F16)=2,F15*F16,"")</f>
        <v/>
      </c>
      <c r="G17" s="14">
        <f t="shared" ref="G17:H17" si="62">G15*G16</f>
        <v>0</v>
      </c>
      <c r="H17" s="15">
        <f t="shared" si="62"/>
        <v>0</v>
      </c>
      <c r="I17" s="16">
        <f t="shared" si="5"/>
        <v>0</v>
      </c>
      <c r="J17" s="13" t="str">
        <f>IF(COUNT(J15,J16)=2,J15*J16,"")</f>
        <v/>
      </c>
      <c r="K17" s="14">
        <f t="shared" ref="K17:L17" si="63">K15*K16</f>
        <v>0</v>
      </c>
      <c r="L17" s="15">
        <f t="shared" si="63"/>
        <v>0</v>
      </c>
      <c r="M17" s="16">
        <f t="shared" si="7"/>
        <v>0</v>
      </c>
      <c r="N17" s="13" t="str">
        <f>IF(COUNT(N15,N16)=2,N15*N16,"")</f>
        <v/>
      </c>
      <c r="O17" s="14">
        <f t="shared" ref="O17:P17" si="64">O15*O16</f>
        <v>0</v>
      </c>
      <c r="P17" s="15">
        <f t="shared" si="64"/>
        <v>0</v>
      </c>
      <c r="Q17" s="16">
        <f t="shared" si="9"/>
        <v>0</v>
      </c>
      <c r="R17" s="13" t="str">
        <f>IF(COUNT(R15,R16)=2,R15*R16,"")</f>
        <v/>
      </c>
      <c r="S17" s="14">
        <f t="shared" ref="S17:T17" si="65">S15*S16</f>
        <v>0</v>
      </c>
      <c r="T17" s="15">
        <f t="shared" si="65"/>
        <v>0</v>
      </c>
      <c r="U17" s="16">
        <f t="shared" si="11"/>
        <v>0</v>
      </c>
      <c r="V17" s="13" t="str">
        <f>IF(COUNT(V15,V16)=2,V15*V16,"")</f>
        <v/>
      </c>
      <c r="W17" s="14">
        <f t="shared" ref="W17:X17" si="66">W15*W16</f>
        <v>0</v>
      </c>
      <c r="X17" s="15">
        <f t="shared" si="66"/>
        <v>0</v>
      </c>
      <c r="Y17" s="16">
        <f t="shared" si="13"/>
        <v>0</v>
      </c>
      <c r="Z17" s="13" t="str">
        <f>IF(COUNT(Z15,Z16)=2,Z15*Z16,"")</f>
        <v/>
      </c>
      <c r="AA17" s="14">
        <f t="shared" ref="AA17:AB17" si="67">AA15*AA16</f>
        <v>0</v>
      </c>
      <c r="AB17" s="15">
        <f t="shared" si="67"/>
        <v>0</v>
      </c>
      <c r="AC17" s="16">
        <f t="shared" si="15"/>
        <v>0</v>
      </c>
      <c r="AD17" s="13" t="str">
        <f>IF(COUNT(AD15,AD16)=2,AD15*AD16,"")</f>
        <v/>
      </c>
      <c r="AE17" s="14">
        <f t="shared" ref="AE17:AF17" si="68">AE15*AE16</f>
        <v>0</v>
      </c>
      <c r="AF17" s="15">
        <f t="shared" si="68"/>
        <v>0</v>
      </c>
      <c r="AG17" s="16">
        <f t="shared" si="17"/>
        <v>0</v>
      </c>
      <c r="AH17" s="13" t="str">
        <f>IF(COUNT(AH15,AH16)=2,AH15*AH16,"")</f>
        <v/>
      </c>
      <c r="AI17" s="14">
        <f t="shared" ref="AI17:AJ17" si="69">AI15*AI16</f>
        <v>0</v>
      </c>
      <c r="AJ17" s="15">
        <f t="shared" si="69"/>
        <v>0</v>
      </c>
      <c r="AK17" s="16">
        <f t="shared" si="19"/>
        <v>0</v>
      </c>
      <c r="AL17" s="13" t="str">
        <f>IF(COUNT(AL15,AL16)=2,AL15*AL16,"")</f>
        <v/>
      </c>
      <c r="AM17" s="14">
        <f t="shared" ref="AM17:AN17" si="70">AM15*AM16</f>
        <v>0</v>
      </c>
      <c r="AN17" s="15">
        <f t="shared" si="70"/>
        <v>0</v>
      </c>
      <c r="AO17" s="16">
        <f t="shared" si="21"/>
        <v>0</v>
      </c>
      <c r="AP17" s="13" t="str">
        <f>IF(COUNT(AP15,AP16)=2,AP15*AP16,"")</f>
        <v/>
      </c>
      <c r="AQ17" s="14">
        <f t="shared" ref="AQ17:AR17" si="71">AQ15*AQ16</f>
        <v>0</v>
      </c>
      <c r="AR17" s="15">
        <f t="shared" si="71"/>
        <v>0</v>
      </c>
      <c r="AS17" s="16">
        <f t="shared" si="23"/>
        <v>0</v>
      </c>
      <c r="AT17" s="13" t="str">
        <f>IF(COUNT(AT15,AT16)=2,AT15*AT16,"")</f>
        <v/>
      </c>
      <c r="AU17" s="14">
        <f t="shared" ref="AU17:AV17" si="72">AU15*AU16</f>
        <v>0</v>
      </c>
      <c r="AV17" s="15">
        <f t="shared" si="72"/>
        <v>0</v>
      </c>
      <c r="AW17" s="16">
        <f t="shared" si="25"/>
        <v>0</v>
      </c>
      <c r="AX17" s="13" t="str">
        <f>IF(COUNT(AX15,AX16)=2,AX15*AX16,"")</f>
        <v/>
      </c>
      <c r="AY17" s="14">
        <f t="shared" ref="AY17:AZ17" si="73">AY15*AY16</f>
        <v>0</v>
      </c>
      <c r="AZ17" s="15">
        <f t="shared" si="73"/>
        <v>0</v>
      </c>
      <c r="BA17" s="16">
        <f t="shared" si="27"/>
        <v>0</v>
      </c>
    </row>
    <row r="18" ht="18.0" customHeight="1">
      <c r="A18" s="2" t="s">
        <v>21</v>
      </c>
      <c r="B18" s="30" t="str">
        <f t="shared" ref="B18:D18" si="74">IFERROR(SUM(AX18*AX21,AT18*AT21,AP18*AP21,AL18*AL21,AH18*AH21,AD18*AD21,Z18*Z21,V18*V21,R18*R21,N18*N21,J18*J21,F18*F21)/SUM(AX21,AT21,AP21,AL21,AH21,AD21,Z21,V21,R21,N21,J21,F21),"")</f>
        <v/>
      </c>
      <c r="C18" s="31" t="str">
        <f t="shared" si="74"/>
        <v/>
      </c>
      <c r="D18" s="32" t="str">
        <f t="shared" si="74"/>
        <v/>
      </c>
      <c r="E18" s="33" t="str">
        <f t="shared" si="3"/>
        <v/>
      </c>
      <c r="F18" s="34"/>
      <c r="G18" s="31" t="str">
        <f>IF(F$98=1,F18,H18)</f>
        <v/>
      </c>
      <c r="H18" s="35"/>
      <c r="I18" s="33" t="str">
        <f t="shared" si="5"/>
        <v/>
      </c>
      <c r="J18" s="34"/>
      <c r="K18" s="31" t="str">
        <f>IF(J$98=1,J18,L18)</f>
        <v/>
      </c>
      <c r="L18" s="35"/>
      <c r="M18" s="33" t="str">
        <f t="shared" si="7"/>
        <v/>
      </c>
      <c r="N18" s="34"/>
      <c r="O18" s="31" t="str">
        <f>IF(N$98=1,N18,P18)</f>
        <v/>
      </c>
      <c r="P18" s="35"/>
      <c r="Q18" s="33" t="str">
        <f t="shared" si="9"/>
        <v/>
      </c>
      <c r="R18" s="34"/>
      <c r="S18" s="31" t="str">
        <f>IF(R$98=1,R18,T18)</f>
        <v/>
      </c>
      <c r="T18" s="35"/>
      <c r="U18" s="33" t="str">
        <f t="shared" si="11"/>
        <v/>
      </c>
      <c r="V18" s="34"/>
      <c r="W18" s="31" t="str">
        <f>IF(V$98=1,V18,X18)</f>
        <v/>
      </c>
      <c r="X18" s="35"/>
      <c r="Y18" s="33" t="str">
        <f t="shared" si="13"/>
        <v/>
      </c>
      <c r="Z18" s="34"/>
      <c r="AA18" s="31" t="str">
        <f>IF(Z$98=1,Z18,AB18)</f>
        <v/>
      </c>
      <c r="AB18" s="35"/>
      <c r="AC18" s="33" t="str">
        <f t="shared" si="15"/>
        <v/>
      </c>
      <c r="AD18" s="34"/>
      <c r="AE18" s="31" t="str">
        <f>IF(AD$98=1,AD18,AF18)</f>
        <v/>
      </c>
      <c r="AF18" s="35"/>
      <c r="AG18" s="33" t="str">
        <f t="shared" si="17"/>
        <v/>
      </c>
      <c r="AH18" s="34"/>
      <c r="AI18" s="31" t="str">
        <f>IF(AH$98=1,AH18,AJ18)</f>
        <v/>
      </c>
      <c r="AJ18" s="35"/>
      <c r="AK18" s="33" t="str">
        <f t="shared" si="19"/>
        <v/>
      </c>
      <c r="AL18" s="34"/>
      <c r="AM18" s="31" t="str">
        <f>IF(AL$98=1,AL18,AN18)</f>
        <v/>
      </c>
      <c r="AN18" s="35"/>
      <c r="AO18" s="33" t="str">
        <f t="shared" si="21"/>
        <v/>
      </c>
      <c r="AP18" s="34"/>
      <c r="AQ18" s="31" t="str">
        <f>IF(AP$98=1,AP18,AR18)</f>
        <v/>
      </c>
      <c r="AR18" s="35"/>
      <c r="AS18" s="33" t="str">
        <f t="shared" si="23"/>
        <v/>
      </c>
      <c r="AT18" s="34"/>
      <c r="AU18" s="31" t="str">
        <f>IF(AT$98=1,AT18,AV18)</f>
        <v/>
      </c>
      <c r="AV18" s="35"/>
      <c r="AW18" s="33" t="str">
        <f t="shared" si="25"/>
        <v/>
      </c>
      <c r="AX18" s="34"/>
      <c r="AY18" s="31" t="str">
        <f>IF(AX$98=1,AX18,AZ18)</f>
        <v/>
      </c>
      <c r="AZ18" s="35"/>
      <c r="BA18" s="33" t="str">
        <f t="shared" si="27"/>
        <v/>
      </c>
    </row>
    <row r="19" ht="18.0" customHeight="1">
      <c r="A19" s="2" t="s">
        <v>22</v>
      </c>
      <c r="B19" s="13" t="str">
        <f t="shared" ref="B19:D19" si="75">AX19</f>
        <v/>
      </c>
      <c r="C19" s="14" t="str">
        <f t="shared" si="75"/>
        <v/>
      </c>
      <c r="D19" s="15" t="str">
        <f t="shared" si="75"/>
        <v/>
      </c>
      <c r="E19" s="16" t="str">
        <f t="shared" si="3"/>
        <v/>
      </c>
      <c r="F19" s="13" t="str">
        <f>IF(J$98=1,J22,"")</f>
        <v/>
      </c>
      <c r="G19" s="14">
        <f>IF(J$98=1,J22,K22)</f>
        <v>0</v>
      </c>
      <c r="H19" s="15">
        <f>L22</f>
        <v>0</v>
      </c>
      <c r="I19" s="16">
        <f t="shared" si="5"/>
        <v>0</v>
      </c>
      <c r="J19" s="13" t="str">
        <f>IF(N$98=1,N22,"")</f>
        <v/>
      </c>
      <c r="K19" s="14">
        <f>IF(N$98=1,N22,O22)</f>
        <v>0</v>
      </c>
      <c r="L19" s="15">
        <f>P22</f>
        <v>0</v>
      </c>
      <c r="M19" s="16">
        <f t="shared" si="7"/>
        <v>0</v>
      </c>
      <c r="N19" s="13" t="str">
        <f>IF(R$98=1,R22,"")</f>
        <v/>
      </c>
      <c r="O19" s="14">
        <f>IF(R$98=1,R22,S22)</f>
        <v>0</v>
      </c>
      <c r="P19" s="15">
        <f>T22</f>
        <v>0</v>
      </c>
      <c r="Q19" s="16">
        <f t="shared" si="9"/>
        <v>0</v>
      </c>
      <c r="R19" s="13" t="str">
        <f>IF(V$98=1,V22,"")</f>
        <v/>
      </c>
      <c r="S19" s="14">
        <f>IF(V$98=1,V22,W22)</f>
        <v>0</v>
      </c>
      <c r="T19" s="15">
        <f>X22</f>
        <v>0</v>
      </c>
      <c r="U19" s="16">
        <f t="shared" si="11"/>
        <v>0</v>
      </c>
      <c r="V19" s="13" t="str">
        <f>IF(Z$98=1,Z22,"")</f>
        <v/>
      </c>
      <c r="W19" s="14">
        <f>IF(Z$98=1,Z22,AA22)</f>
        <v>0</v>
      </c>
      <c r="X19" s="15">
        <f>AB22</f>
        <v>0</v>
      </c>
      <c r="Y19" s="16">
        <f t="shared" si="13"/>
        <v>0</v>
      </c>
      <c r="Z19" s="13" t="str">
        <f>IF(AD$98=1,AD22,"")</f>
        <v/>
      </c>
      <c r="AA19" s="14">
        <f>IF(AD$98=1,AD22,AE22)</f>
        <v>0</v>
      </c>
      <c r="AB19" s="15">
        <f>AF22</f>
        <v>0</v>
      </c>
      <c r="AC19" s="16">
        <f t="shared" si="15"/>
        <v>0</v>
      </c>
      <c r="AD19" s="13" t="str">
        <f>IF(AH$98=1,AH22,"")</f>
        <v/>
      </c>
      <c r="AE19" s="14">
        <f>IF(AH$98=1,AH22,AI22)</f>
        <v>0</v>
      </c>
      <c r="AF19" s="15">
        <f>AJ22</f>
        <v>0</v>
      </c>
      <c r="AG19" s="16">
        <f t="shared" si="17"/>
        <v>0</v>
      </c>
      <c r="AH19" s="13" t="str">
        <f>IF(AL$98=1,AL22,"")</f>
        <v/>
      </c>
      <c r="AI19" s="14">
        <f>IF(AL$98=1,AL22,AM22)</f>
        <v>0</v>
      </c>
      <c r="AJ19" s="15">
        <f>AN22</f>
        <v>0</v>
      </c>
      <c r="AK19" s="16">
        <f t="shared" si="19"/>
        <v>0</v>
      </c>
      <c r="AL19" s="13" t="str">
        <f>IF(AP$98=1,AP22,"")</f>
        <v/>
      </c>
      <c r="AM19" s="14">
        <f>IF(AP$98=1,AP22,AQ22)</f>
        <v>0</v>
      </c>
      <c r="AN19" s="15">
        <f>AR22</f>
        <v>0</v>
      </c>
      <c r="AO19" s="16">
        <f t="shared" si="21"/>
        <v>0</v>
      </c>
      <c r="AP19" s="13" t="str">
        <f>IF(AT$98=1,AT22,"")</f>
        <v/>
      </c>
      <c r="AQ19" s="14">
        <f>IF(AT$98=1,AT22,AU22)</f>
        <v>0</v>
      </c>
      <c r="AR19" s="15">
        <f>AV22</f>
        <v>0</v>
      </c>
      <c r="AS19" s="16">
        <f t="shared" si="23"/>
        <v>0</v>
      </c>
      <c r="AT19" s="13" t="str">
        <f>IF(AX$98=1,AX22,"")</f>
        <v/>
      </c>
      <c r="AU19" s="14">
        <f>IF(AX$98=1,AX22,AY22)</f>
        <v>0</v>
      </c>
      <c r="AV19" s="15">
        <f>AZ22</f>
        <v>0</v>
      </c>
      <c r="AW19" s="16">
        <f t="shared" si="25"/>
        <v>0</v>
      </c>
      <c r="AX19" s="13" t="str">
        <f t="shared" ref="AX19:AZ19" si="76">$AX$79</f>
        <v/>
      </c>
      <c r="AY19" s="14" t="str">
        <f t="shared" si="76"/>
        <v/>
      </c>
      <c r="AZ19" s="15" t="str">
        <f t="shared" si="76"/>
        <v/>
      </c>
      <c r="BA19" s="16" t="str">
        <f t="shared" si="27"/>
        <v/>
      </c>
    </row>
    <row r="20" ht="18.0" customHeight="1">
      <c r="A20" s="2" t="s">
        <v>23</v>
      </c>
      <c r="B20" s="13">
        <f t="shared" ref="B20:D20" si="77">SUM(AX20,AT20,AP20,AL20,AH20,AD20,Z20,V20,R20,N20,J20,F20)</f>
        <v>0</v>
      </c>
      <c r="C20" s="14">
        <f t="shared" si="77"/>
        <v>0</v>
      </c>
      <c r="D20" s="15">
        <f t="shared" si="77"/>
        <v>0</v>
      </c>
      <c r="E20" s="16">
        <f t="shared" si="3"/>
        <v>0</v>
      </c>
      <c r="F20" s="13">
        <f t="shared" ref="F20:H20" si="78">ROUND(SUM(IF(AND(AX$12&lt;&gt;"",AX$14&lt;&gt;""),IF(EOMONTH($AX$3+INT((DAY(EOMONTH($AX$3,0))-1)/2)+AX$14,0)=EOMONTH($F$3,0),AX$12,0),0),IF(AND(AT$12&lt;&gt;"",AT$14&lt;&gt;""),IF(EOMONTH($AT$3+INT((DAY(EOMONTH($AT$3,0))-1)/2)+AT$14,0)=EOMONTH($F$3,0),AT$12,0),0),IF(AND(AP$12&lt;&gt;"",AP$14&lt;&gt;""),IF(EOMONTH($AP$3+INT((DAY(EOMONTH($AP$3,0))-1)/2)+AP$14,0)=EOMONTH($F$3,0),AP$12,0),0),IF(AND(AL$12&lt;&gt;"",AL$14&lt;&gt;""),IF(EOMONTH($AL$3+INT((DAY(EOMONTH($AL$3,0))-1)/2)+AL$14,0)=EOMONTH($F$3,0),AL$12,0),0),IF(AND(AH$12&lt;&gt;"",AH$14&lt;&gt;""),IF(EOMONTH($AH$3+INT((DAY(EOMONTH($AH$3,0))-1)/2)+AH$14,0)=EOMONTH($F$3,0),AH$12,0),0),IF(AND(AD$12&lt;&gt;"",AD$14&lt;&gt;""),IF(EOMONTH($AD$3+INT((DAY(EOMONTH($AD$3,0))-1)/2)+AD$14,0)=EOMONTH($F$3,0),AD$12,0),0),IF(AND(Z$12&lt;&gt;"",Z$14&lt;&gt;""),IF(EOMONTH($Z$3+INT((DAY(EOMONTH($Z$3,0))-1)/2)+Z$14,0)=EOMONTH($F$3,0),Z$12,0),0),IF(AND(V$12&lt;&gt;"",V$14&lt;&gt;""),IF(EOMONTH($V$3+INT((DAY(EOMONTH($V$3,0))-1)/2)+V$14,0)=EOMONTH($F$3,0),V$12,0),0),IF(AND(R$12&lt;&gt;"",R$14&lt;&gt;""),IF(EOMONTH($R$3+INT((DAY(EOMONTH($R$3,0))-1)/2)+R$14,0)=EOMONTH($F$3,0),R$12,0),0),IF(AND(N$12&lt;&gt;"",N$14&lt;&gt;""),IF(EOMONTH($N$3+INT((DAY(EOMONTH($N$3,0))-1)/2)+N$14,0)=EOMONTH($F$3,0),N$12,0),0),IF(AND(J$12&lt;&gt;"",J$14&lt;&gt;""),IF(EOMONTH($J$3+INT((DAY(EOMONTH($J$3,0))-1)/2)+J$14,0)=EOMONTH($F$3,0),J$12,0),0),IF(AND(F$12&lt;&gt;"",F$14&lt;&gt;""),IF(EOMONTH($F$3+INT((DAY(EOMONTH($F$3,0))-1)/2)+F$14,0)=EOMONTH($F$3,0),F$12,0),0),IF($AX$75="",0,IF(EOMONTH($AX$75+AX$14,0)=EOMONTH($F$3,0),$AX$77,0))),0)</f>
        <v>0</v>
      </c>
      <c r="G20" s="14">
        <f t="shared" si="78"/>
        <v>0</v>
      </c>
      <c r="H20" s="15">
        <f t="shared" si="78"/>
        <v>0</v>
      </c>
      <c r="I20" s="16">
        <f t="shared" si="5"/>
        <v>0</v>
      </c>
      <c r="J20" s="13">
        <f t="shared" ref="J20:L20" si="79">ROUND(SUM(IF(AND(AX$12&lt;&gt;"",AX$14&lt;&gt;""),IF(EOMONTH($AX$3+INT((DAY(EOMONTH($AX$3,0))-1)/2)+AX$14,0)=EOMONTH($J$3,0),AX$12,0),0),IF(AND(AT$12&lt;&gt;"",AT$14&lt;&gt;""),IF(EOMONTH($AT$3+INT((DAY(EOMONTH($AT$3,0))-1)/2)+AT$14,0)=EOMONTH($J$3,0),AT$12,0),0),IF(AND(AP$12&lt;&gt;"",AP$14&lt;&gt;""),IF(EOMONTH($AP$3+INT((DAY(EOMONTH($AP$3,0))-1)/2)+AP$14,0)=EOMONTH($J$3,0),AP$12,0),0),IF(AND(AL$12&lt;&gt;"",AL$14&lt;&gt;""),IF(EOMONTH($AL$3+INT((DAY(EOMONTH($AL$3,0))-1)/2)+AL$14,0)=EOMONTH($J$3,0),AL$12,0),0),IF(AND(AH$12&lt;&gt;"",AH$14&lt;&gt;""),IF(EOMONTH($AH$3+INT((DAY(EOMONTH($AH$3,0))-1)/2)+AH$14,0)=EOMONTH($J$3,0),AH$12,0),0),IF(AND(AD$12&lt;&gt;"",AD$14&lt;&gt;""),IF(EOMONTH($AD$3+INT((DAY(EOMONTH($AD$3,0))-1)/2)+AD$14,0)=EOMONTH($J$3,0),AD$12,0),0),IF(AND(Z$12&lt;&gt;"",Z$14&lt;&gt;""),IF(EOMONTH($Z$3+INT((DAY(EOMONTH($Z$3,0))-1)/2)+Z$14,0)=EOMONTH($J$3,0),Z$12,0),0),IF(AND(V$12&lt;&gt;"",V$14&lt;&gt;""),IF(EOMONTH($V$3+INT((DAY(EOMONTH($V$3,0))-1)/2)+V$14,0)=EOMONTH($J$3,0),V$12,0),0),IF(AND(R$12&lt;&gt;"",R$14&lt;&gt;""),IF(EOMONTH($R$3+INT((DAY(EOMONTH($R$3,0))-1)/2)+R$14,0)=EOMONTH($J$3,0),R$12,0),0),IF(AND(N$12&lt;&gt;"",N$14&lt;&gt;""),IF(EOMONTH($N$3+INT((DAY(EOMONTH($N$3,0))-1)/2)+N$14,0)=EOMONTH($J$3,0),N$12,0),0),IF(AND(J$12&lt;&gt;"",J$14&lt;&gt;""),IF(EOMONTH($J$3+INT((DAY(EOMONTH($J$3,0))-1)/2)+J$14,0)=EOMONTH($J$3,0),J$12,0),0),IF(AND(F$12&lt;&gt;"",F$14&lt;&gt;""),IF(EOMONTH($F$3+INT((DAY(EOMONTH($F$3,0))-1)/2)+F$14,0)=EOMONTH($J$3,0),F$12,0),0),IF($AX$75="",0,IF(EOMONTH($AX$75+AX$14,0)=EOMONTH($J$3,0),$AX$77,0))),0)</f>
        <v>0</v>
      </c>
      <c r="K20" s="14">
        <f t="shared" si="79"/>
        <v>0</v>
      </c>
      <c r="L20" s="15">
        <f t="shared" si="79"/>
        <v>0</v>
      </c>
      <c r="M20" s="16">
        <f t="shared" si="7"/>
        <v>0</v>
      </c>
      <c r="N20" s="13">
        <f t="shared" ref="N20:P20" si="80">ROUND(SUM(IF(AND(AX$12&lt;&gt;"",AX$14&lt;&gt;""),IF(EOMONTH($AX$3+INT((DAY(EOMONTH($AX$3,0))-1)/2)+AX$14,0)=EOMONTH($N$3,0),AX$12,0),0),IF(AND(AT$12&lt;&gt;"",AT$14&lt;&gt;""),IF(EOMONTH($AT$3+INT((DAY(EOMONTH($AT$3,0))-1)/2)+AT$14,0)=EOMONTH($N$3,0),AT$12,0),0),IF(AND(AP$12&lt;&gt;"",AP$14&lt;&gt;""),IF(EOMONTH($AP$3+INT((DAY(EOMONTH($AP$3,0))-1)/2)+AP$14,0)=EOMONTH($N$3,0),AP$12,0),0),IF(AND(AL$12&lt;&gt;"",AL$14&lt;&gt;""),IF(EOMONTH($AL$3+INT((DAY(EOMONTH($AL$3,0))-1)/2)+AL$14,0)=EOMONTH($N$3,0),AL$12,0),0),IF(AND(AH$12&lt;&gt;"",AH$14&lt;&gt;""),IF(EOMONTH($AH$3+INT((DAY(EOMONTH($AH$3,0))-1)/2)+AH$14,0)=EOMONTH($N$3,0),AH$12,0),0),IF(AND(AD$12&lt;&gt;"",AD$14&lt;&gt;""),IF(EOMONTH($AD$3+INT((DAY(EOMONTH($AD$3,0))-1)/2)+AD$14,0)=EOMONTH($N$3,0),AD$12,0),0),IF(AND(Z$12&lt;&gt;"",Z$14&lt;&gt;""),IF(EOMONTH($Z$3+INT((DAY(EOMONTH($Z$3,0))-1)/2)+Z$14,0)=EOMONTH($N$3,0),Z$12,0),0),IF(AND(V$12&lt;&gt;"",V$14&lt;&gt;""),IF(EOMONTH($V$3+INT((DAY(EOMONTH($V$3,0))-1)/2)+V$14,0)=EOMONTH($N$3,0),V$12,0),0),IF(AND(R$12&lt;&gt;"",R$14&lt;&gt;""),IF(EOMONTH($R$3+INT((DAY(EOMONTH($R$3,0))-1)/2)+R$14,0)=EOMONTH($N$3,0),R$12,0),0),IF(AND(N$12&lt;&gt;"",N$14&lt;&gt;""),IF(EOMONTH($N$3+INT((DAY(EOMONTH($N$3,0))-1)/2)+N$14,0)=EOMONTH($N$3,0),N$12,0),0),IF(AND(J$12&lt;&gt;"",J$14&lt;&gt;""),IF(EOMONTH($J$3+INT((DAY(EOMONTH($J$3,0))-1)/2)+J$14,0)=EOMONTH($N$3,0),J$12,0),0),IF(AND(F$12&lt;&gt;"",F$14&lt;&gt;""),IF(EOMONTH($F$3+INT((DAY(EOMONTH($F$3,0))-1)/2)+F$14,0)=EOMONTH($N$3,0),F$12,0),0),IF($AX$75="",0,IF(EOMONTH($AX$75+AX$14,0)=EOMONTH($N$3,0),$AX$77,0))),0)</f>
        <v>0</v>
      </c>
      <c r="O20" s="14">
        <f t="shared" si="80"/>
        <v>0</v>
      </c>
      <c r="P20" s="15">
        <f t="shared" si="80"/>
        <v>0</v>
      </c>
      <c r="Q20" s="16">
        <f t="shared" si="9"/>
        <v>0</v>
      </c>
      <c r="R20" s="13">
        <f t="shared" ref="R20:T20" si="81">ROUND(SUM(IF(AND(AX$12&lt;&gt;"",AX$14&lt;&gt;""),IF(EOMONTH($AX$3+INT((DAY(EOMONTH($AX$3,0))-1)/2)+AX$14,0)=EOMONTH($R$3,0),AX$12,0),0),IF(AND(AT$12&lt;&gt;"",AT$14&lt;&gt;""),IF(EOMONTH($AT$3+INT((DAY(EOMONTH($AT$3,0))-1)/2)+AT$14,0)=EOMONTH($R$3,0),AT$12,0),0),IF(AND(AP$12&lt;&gt;"",AP$14&lt;&gt;""),IF(EOMONTH($AP$3+INT((DAY(EOMONTH($AP$3,0))-1)/2)+AP$14,0)=EOMONTH($R$3,0),AP$12,0),0),IF(AND(AL$12&lt;&gt;"",AL$14&lt;&gt;""),IF(EOMONTH($AL$3+INT((DAY(EOMONTH($AL$3,0))-1)/2)+AL$14,0)=EOMONTH($R$3,0),AL$12,0),0),IF(AND(AH$12&lt;&gt;"",AH$14&lt;&gt;""),IF(EOMONTH($AH$3+INT((DAY(EOMONTH($AH$3,0))-1)/2)+AH$14,0)=EOMONTH($R$3,0),AH$12,0),0),IF(AND(AD$12&lt;&gt;"",AD$14&lt;&gt;""),IF(EOMONTH($AD$3+INT((DAY(EOMONTH($AD$3,0))-1)/2)+AD$14,0)=EOMONTH($R$3,0),AD$12,0),0),IF(AND(Z$12&lt;&gt;"",Z$14&lt;&gt;""),IF(EOMONTH($Z$3+INT((DAY(EOMONTH($Z$3,0))-1)/2)+Z$14,0)=EOMONTH($R$3,0),Z$12,0),0),IF(AND(V$12&lt;&gt;"",V$14&lt;&gt;""),IF(EOMONTH($V$3+INT((DAY(EOMONTH($V$3,0))-1)/2)+V$14,0)=EOMONTH($R$3,0),V$12,0),0),IF(AND(R$12&lt;&gt;"",R$14&lt;&gt;""),IF(EOMONTH($R$3+INT((DAY(EOMONTH($R$3,0))-1)/2)+R$14,0)=EOMONTH($R$3,0),R$12,0),0),IF(AND(N$12&lt;&gt;"",N$14&lt;&gt;""),IF(EOMONTH($N$3+INT((DAY(EOMONTH($N$3,0))-1)/2)+N$14,0)=EOMONTH($R$3,0),N$12,0),0),IF(AND(J$12&lt;&gt;"",J$14&lt;&gt;""),IF(EOMONTH($J$3+INT((DAY(EOMONTH($J$3,0))-1)/2)+J$14,0)=EOMONTH($R$3,0),J$12,0),0),IF(AND(F$12&lt;&gt;"",F$14&lt;&gt;""),IF(EOMONTH($F$3+INT((DAY(EOMONTH($F$3,0))-1)/2)+F$14,0)=EOMONTH($R$3,0),F$12,0),0),IF($AX$75="",0,IF(EOMONTH($AX$75+AX$14,0)=EOMONTH($R$3,0),$AX$77,0))),0)</f>
        <v>0</v>
      </c>
      <c r="S20" s="14">
        <f t="shared" si="81"/>
        <v>0</v>
      </c>
      <c r="T20" s="15">
        <f t="shared" si="81"/>
        <v>0</v>
      </c>
      <c r="U20" s="16">
        <f t="shared" si="11"/>
        <v>0</v>
      </c>
      <c r="V20" s="13">
        <f t="shared" ref="V20:X20" si="82">ROUND(SUM(IF(AND(AX$12&lt;&gt;"",AX$14&lt;&gt;""),IF(EOMONTH($AX$3+INT((DAY(EOMONTH($AX$3,0))-1)/2)+AX$14,0)=EOMONTH($V$3,0),AX$12,0),0),IF(AND(AT$12&lt;&gt;"",AT$14&lt;&gt;""),IF(EOMONTH($AT$3+INT((DAY(EOMONTH($AT$3,0))-1)/2)+AT$14,0)=EOMONTH($V$3,0),AT$12,0),0),IF(AND(AP$12&lt;&gt;"",AP$14&lt;&gt;""),IF(EOMONTH($AP$3+INT((DAY(EOMONTH($AP$3,0))-1)/2)+AP$14,0)=EOMONTH($V$3,0),AP$12,0),0),IF(AND(AL$12&lt;&gt;"",AL$14&lt;&gt;""),IF(EOMONTH($AL$3+INT((DAY(EOMONTH($AL$3,0))-1)/2)+AL$14,0)=EOMONTH($V$3,0),AL$12,0),0),IF(AND(AH$12&lt;&gt;"",AH$14&lt;&gt;""),IF(EOMONTH($AH$3+INT((DAY(EOMONTH($AH$3,0))-1)/2)+AH$14,0)=EOMONTH($V$3,0),AH$12,0),0),IF(AND(AD$12&lt;&gt;"",AD$14&lt;&gt;""),IF(EOMONTH($AD$3+INT((DAY(EOMONTH($AD$3,0))-1)/2)+AD$14,0)=EOMONTH($V$3,0),AD$12,0),0),IF(AND(Z$12&lt;&gt;"",Z$14&lt;&gt;""),IF(EOMONTH($Z$3+INT((DAY(EOMONTH($Z$3,0))-1)/2)+Z$14,0)=EOMONTH($V$3,0),Z$12,0),0),IF(AND(V$12&lt;&gt;"",V$14&lt;&gt;""),IF(EOMONTH($V$3+INT((DAY(EOMONTH($V$3,0))-1)/2)+V$14,0)=EOMONTH($V$3,0),V$12,0),0),IF(AND(R$12&lt;&gt;"",R$14&lt;&gt;""),IF(EOMONTH($R$3+INT((DAY(EOMONTH($R$3,0))-1)/2)+R$14,0)=EOMONTH($V$3,0),R$12,0),0),IF(AND(N$12&lt;&gt;"",N$14&lt;&gt;""),IF(EOMONTH($N$3+INT((DAY(EOMONTH($N$3,0))-1)/2)+N$14,0)=EOMONTH($V$3,0),N$12,0),0),IF(AND(J$12&lt;&gt;"",J$14&lt;&gt;""),IF(EOMONTH($J$3+INT((DAY(EOMONTH($J$3,0))-1)/2)+J$14,0)=EOMONTH($V$3,0),J$12,0),0),IF(AND(F$12&lt;&gt;"",F$14&lt;&gt;""),IF(EOMONTH($F$3+INT((DAY(EOMONTH($F$3,0))-1)/2)+F$14,0)=EOMONTH($V$3,0),F$12,0),0),IF($AX$75="",0,IF(EOMONTH($AX$75+AX$14,0)=EOMONTH($V$3,0),$AX$77,0))),0)</f>
        <v>0</v>
      </c>
      <c r="W20" s="14">
        <f t="shared" si="82"/>
        <v>0</v>
      </c>
      <c r="X20" s="15">
        <f t="shared" si="82"/>
        <v>0</v>
      </c>
      <c r="Y20" s="16">
        <f t="shared" si="13"/>
        <v>0</v>
      </c>
      <c r="Z20" s="13">
        <f t="shared" ref="Z20:AB20" si="83">ROUND(SUM(IF(AND(AX$12&lt;&gt;"",AX$14&lt;&gt;""),IF(EOMONTH($AX$3+INT((DAY(EOMONTH($AX$3,0))-1)/2)+AX$14,0)=EOMONTH($Z$3,0),AX$12,0),0),IF(AND(AT$12&lt;&gt;"",AT$14&lt;&gt;""),IF(EOMONTH($AT$3+INT((DAY(EOMONTH($AT$3,0))-1)/2)+AT$14,0)=EOMONTH($Z$3,0),AT$12,0),0),IF(AND(AP$12&lt;&gt;"",AP$14&lt;&gt;""),IF(EOMONTH($AP$3+INT((DAY(EOMONTH($AP$3,0))-1)/2)+AP$14,0)=EOMONTH($Z$3,0),AP$12,0),0),IF(AND(AL$12&lt;&gt;"",AL$14&lt;&gt;""),IF(EOMONTH($AL$3+INT((DAY(EOMONTH($AL$3,0))-1)/2)+AL$14,0)=EOMONTH($Z$3,0),AL$12,0),0),IF(AND(AH$12&lt;&gt;"",AH$14&lt;&gt;""),IF(EOMONTH($AH$3+INT((DAY(EOMONTH($AH$3,0))-1)/2)+AH$14,0)=EOMONTH($Z$3,0),AH$12,0),0),IF(AND(AD$12&lt;&gt;"",AD$14&lt;&gt;""),IF(EOMONTH($AD$3+INT((DAY(EOMONTH($AD$3,0))-1)/2)+AD$14,0)=EOMONTH($Z$3,0),AD$12,0),0),IF(AND(Z$12&lt;&gt;"",Z$14&lt;&gt;""),IF(EOMONTH($Z$3+INT((DAY(EOMONTH($Z$3,0))-1)/2)+Z$14,0)=EOMONTH($Z$3,0),Z$12,0),0),IF(AND(V$12&lt;&gt;"",V$14&lt;&gt;""),IF(EOMONTH($V$3+INT((DAY(EOMONTH($V$3,0))-1)/2)+V$14,0)=EOMONTH($Z$3,0),V$12,0),0),IF(AND(R$12&lt;&gt;"",R$14&lt;&gt;""),IF(EOMONTH($R$3+INT((DAY(EOMONTH($R$3,0))-1)/2)+R$14,0)=EOMONTH($Z$3,0),R$12,0),0),IF(AND(N$12&lt;&gt;"",N$14&lt;&gt;""),IF(EOMONTH($N$3+INT((DAY(EOMONTH($N$3,0))-1)/2)+N$14,0)=EOMONTH($Z$3,0),N$12,0),0),IF(AND(J$12&lt;&gt;"",J$14&lt;&gt;""),IF(EOMONTH($J$3+INT((DAY(EOMONTH($J$3,0))-1)/2)+J$14,0)=EOMONTH($Z$3,0),J$12,0),0),IF(AND(F$12&lt;&gt;"",F$14&lt;&gt;""),IF(EOMONTH($F$3+INT((DAY(EOMONTH($F$3,0))-1)/2)+F$14,0)=EOMONTH($Z$3,0),F$12,0),0),IF($AX$75="",0,IF(EOMONTH($AX$75+AX$14,0)=EOMONTH($Z$3,0),$AX$77,0))),0)</f>
        <v>0</v>
      </c>
      <c r="AA20" s="14">
        <f t="shared" si="83"/>
        <v>0</v>
      </c>
      <c r="AB20" s="15">
        <f t="shared" si="83"/>
        <v>0</v>
      </c>
      <c r="AC20" s="16">
        <f t="shared" si="15"/>
        <v>0</v>
      </c>
      <c r="AD20" s="13">
        <f t="shared" ref="AD20:AF20" si="84">ROUND(SUM(IF(AND(AX$12&lt;&gt;"",AX$14&lt;&gt;""),IF(EOMONTH($AX$3+INT((DAY(EOMONTH($AX$3,0))-1)/2)+AX$14,0)=EOMONTH($AD$3,0),AX$12,0),0),IF(AND(AT$12&lt;&gt;"",AT$14&lt;&gt;""),IF(EOMONTH($AT$3+INT((DAY(EOMONTH($AT$3,0))-1)/2)+AT$14,0)=EOMONTH($AD$3,0),AT$12,0),0),IF(AND(AP$12&lt;&gt;"",AP$14&lt;&gt;""),IF(EOMONTH($AP$3+INT((DAY(EOMONTH($AP$3,0))-1)/2)+AP$14,0)=EOMONTH($AD$3,0),AP$12,0),0),IF(AND(AL$12&lt;&gt;"",AL$14&lt;&gt;""),IF(EOMONTH($AL$3+INT((DAY(EOMONTH($AL$3,0))-1)/2)+AL$14,0)=EOMONTH($AD$3,0),AL$12,0),0),IF(AND(AH$12&lt;&gt;"",AH$14&lt;&gt;""),IF(EOMONTH($AH$3+INT((DAY(EOMONTH($AH$3,0))-1)/2)+AH$14,0)=EOMONTH($AD$3,0),AH$12,0),0),IF(AND(AD$12&lt;&gt;"",AD$14&lt;&gt;""),IF(EOMONTH($AD$3+INT((DAY(EOMONTH($AD$3,0))-1)/2)+AD$14,0)=EOMONTH($AD$3,0),AD$12,0),0),IF(AND(Z$12&lt;&gt;"",Z$14&lt;&gt;""),IF(EOMONTH($Z$3+INT((DAY(EOMONTH($Z$3,0))-1)/2)+Z$14,0)=EOMONTH($AD$3,0),Z$12,0),0),IF(AND(V$12&lt;&gt;"",V$14&lt;&gt;""),IF(EOMONTH($V$3+INT((DAY(EOMONTH($V$3,0))-1)/2)+V$14,0)=EOMONTH($AD$3,0),V$12,0),0),IF(AND(R$12&lt;&gt;"",R$14&lt;&gt;""),IF(EOMONTH($R$3+INT((DAY(EOMONTH($R$3,0))-1)/2)+R$14,0)=EOMONTH($AD$3,0),R$12,0),0),IF(AND(N$12&lt;&gt;"",N$14&lt;&gt;""),IF(EOMONTH($N$3+INT((DAY(EOMONTH($N$3,0))-1)/2)+N$14,0)=EOMONTH($AD$3,0),N$12,0),0),IF(AND(J$12&lt;&gt;"",J$14&lt;&gt;""),IF(EOMONTH($J$3+INT((DAY(EOMONTH($J$3,0))-1)/2)+J$14,0)=EOMONTH($AD$3,0),J$12,0),0),IF(AND(F$12&lt;&gt;"",F$14&lt;&gt;""),IF(EOMONTH($F$3+INT((DAY(EOMONTH($F$3,0))-1)/2)+F$14,0)=EOMONTH($AD$3,0),F$12,0),0),IF($AX$75="",0,IF(EOMONTH($AX$75+AX$14,0)=EOMONTH($AD$3,0),$AX$77,0))),0)</f>
        <v>0</v>
      </c>
      <c r="AE20" s="14">
        <f t="shared" si="84"/>
        <v>0</v>
      </c>
      <c r="AF20" s="15">
        <f t="shared" si="84"/>
        <v>0</v>
      </c>
      <c r="AG20" s="16">
        <f t="shared" si="17"/>
        <v>0</v>
      </c>
      <c r="AH20" s="13">
        <f t="shared" ref="AH20:AJ20" si="85">ROUND(SUM(IF(AND(AX$12&lt;&gt;"",AX$14&lt;&gt;""),IF(EOMONTH($AX$3+INT((DAY(EOMONTH($AX$3,0))-1)/2)+AX$14,0)=EOMONTH($AH$3,0),AX$12,0),0),IF(AND(AT$12&lt;&gt;"",AT$14&lt;&gt;""),IF(EOMONTH($AT$3+INT((DAY(EOMONTH($AT$3,0))-1)/2)+AT$14,0)=EOMONTH($AH$3,0),AT$12,0),0),IF(AND(AP$12&lt;&gt;"",AP$14&lt;&gt;""),IF(EOMONTH($AP$3+INT((DAY(EOMONTH($AP$3,0))-1)/2)+AP$14,0)=EOMONTH($AH$3,0),AP$12,0),0),IF(AND(AL$12&lt;&gt;"",AL$14&lt;&gt;""),IF(EOMONTH($AL$3+INT((DAY(EOMONTH($AL$3,0))-1)/2)+AL$14,0)=EOMONTH($AH$3,0),AL$12,0),0),IF(AND(AH$12&lt;&gt;"",AH$14&lt;&gt;""),IF(EOMONTH($AH$3+INT((DAY(EOMONTH($AH$3,0))-1)/2)+AH$14,0)=EOMONTH($AH$3,0),AH$12,0),0),IF(AND(AD$12&lt;&gt;"",AD$14&lt;&gt;""),IF(EOMONTH($AD$3+INT((DAY(EOMONTH($AD$3,0))-1)/2)+AD$14,0)=EOMONTH($AH$3,0),AD$12,0),0),IF(AND(Z$12&lt;&gt;"",Z$14&lt;&gt;""),IF(EOMONTH($Z$3+INT((DAY(EOMONTH($Z$3,0))-1)/2)+Z$14,0)=EOMONTH($AH$3,0),Z$12,0),0),IF(AND(V$12&lt;&gt;"",V$14&lt;&gt;""),IF(EOMONTH($V$3+INT((DAY(EOMONTH($V$3,0))-1)/2)+V$14,0)=EOMONTH($AH$3,0),V$12,0),0),IF(AND(R$12&lt;&gt;"",R$14&lt;&gt;""),IF(EOMONTH($R$3+INT((DAY(EOMONTH($R$3,0))-1)/2)+R$14,0)=EOMONTH($AH$3,0),R$12,0),0),IF(AND(N$12&lt;&gt;"",N$14&lt;&gt;""),IF(EOMONTH($N$3+INT((DAY(EOMONTH($N$3,0))-1)/2)+N$14,0)=EOMONTH($AH$3,0),N$12,0),0),IF(AND(J$12&lt;&gt;"",J$14&lt;&gt;""),IF(EOMONTH($J$3+INT((DAY(EOMONTH($J$3,0))-1)/2)+J$14,0)=EOMONTH($AH$3,0),J$12,0),0),IF(AND(F$12&lt;&gt;"",F$14&lt;&gt;""),IF(EOMONTH($F$3+INT((DAY(EOMONTH($F$3,0))-1)/2)+F$14,0)=EOMONTH($AH$3,0),F$12,0),0),IF($AX$75="",0,IF(EOMONTH($AX$75+AX$14,0)=EOMONTH($AH$3,0),$AX$77,0))),0)</f>
        <v>0</v>
      </c>
      <c r="AI20" s="14">
        <f t="shared" si="85"/>
        <v>0</v>
      </c>
      <c r="AJ20" s="15">
        <f t="shared" si="85"/>
        <v>0</v>
      </c>
      <c r="AK20" s="16">
        <f t="shared" si="19"/>
        <v>0</v>
      </c>
      <c r="AL20" s="13">
        <f t="shared" ref="AL20:AN20" si="86">ROUND(SUM(IF(AND(AX$12&lt;&gt;"",AX$14&lt;&gt;""),IF(EOMONTH($AX$3+INT((DAY(EOMONTH($AX$3,0))-1)/2)+AX$14,0)=EOMONTH($AL$3,0),AX$12,0),0),IF(AND(AT$12&lt;&gt;"",AT$14&lt;&gt;""),IF(EOMONTH($AT$3+INT((DAY(EOMONTH($AT$3,0))-1)/2)+AT$14,0)=EOMONTH($AL$3,0),AT$12,0),0),IF(AND(AP$12&lt;&gt;"",AP$14&lt;&gt;""),IF(EOMONTH($AP$3+INT((DAY(EOMONTH($AP$3,0))-1)/2)+AP$14,0)=EOMONTH($AL$3,0),AP$12,0),0),IF(AND(AL$12&lt;&gt;"",AL$14&lt;&gt;""),IF(EOMONTH($AL$3+INT((DAY(EOMONTH($AL$3,0))-1)/2)+AL$14,0)=EOMONTH($AL$3,0),AL$12,0),0),IF(AND(AH$12&lt;&gt;"",AH$14&lt;&gt;""),IF(EOMONTH($AH$3+INT((DAY(EOMONTH($AH$3,0))-1)/2)+AH$14,0)=EOMONTH($AL$3,0),AH$12,0),0),IF(AND(AD$12&lt;&gt;"",AD$14&lt;&gt;""),IF(EOMONTH($AD$3+INT((DAY(EOMONTH($AD$3,0))-1)/2)+AD$14,0)=EOMONTH($AL$3,0),AD$12,0),0),IF(AND(Z$12&lt;&gt;"",Z$14&lt;&gt;""),IF(EOMONTH($Z$3+INT((DAY(EOMONTH($Z$3,0))-1)/2)+Z$14,0)=EOMONTH($AL$3,0),Z$12,0),0),IF(AND(V$12&lt;&gt;"",V$14&lt;&gt;""),IF(EOMONTH($V$3+INT((DAY(EOMONTH($V$3,0))-1)/2)+V$14,0)=EOMONTH($AL$3,0),V$12,0),0),IF(AND(R$12&lt;&gt;"",R$14&lt;&gt;""),IF(EOMONTH($R$3+INT((DAY(EOMONTH($R$3,0))-1)/2)+R$14,0)=EOMONTH($AL$3,0),R$12,0),0),IF(AND(N$12&lt;&gt;"",N$14&lt;&gt;""),IF(EOMONTH($N$3+INT((DAY(EOMONTH($N$3,0))-1)/2)+N$14,0)=EOMONTH($AL$3,0),N$12,0),0),IF(AND(J$12&lt;&gt;"",J$14&lt;&gt;""),IF(EOMONTH($J$3+INT((DAY(EOMONTH($J$3,0))-1)/2)+J$14,0)=EOMONTH($AL$3,0),J$12,0),0),IF(AND(F$12&lt;&gt;"",F$14&lt;&gt;""),IF(EOMONTH($F$3+INT((DAY(EOMONTH($F$3,0))-1)/2)+F$14,0)=EOMONTH($AL$3,0),F$12,0),0),IF($AX$75="",0,IF(EOMONTH($AX$75+AX$14,0)=EOMONTH($AL$3,0),$AX$77,0))),0)</f>
        <v>0</v>
      </c>
      <c r="AM20" s="14">
        <f t="shared" si="86"/>
        <v>0</v>
      </c>
      <c r="AN20" s="15">
        <f t="shared" si="86"/>
        <v>0</v>
      </c>
      <c r="AO20" s="16">
        <f t="shared" si="21"/>
        <v>0</v>
      </c>
      <c r="AP20" s="13">
        <f t="shared" ref="AP20:AR20" si="87">ROUND(SUM(IF(AND(AX$12&lt;&gt;"",AX$14&lt;&gt;""),IF(EOMONTH($AX$3+INT((DAY(EOMONTH($AX$3,0))-1)/2)+AX$14,0)=EOMONTH($AP$3,0),AX$12,0),0),IF(AND(AT$12&lt;&gt;"",AT$14&lt;&gt;""),IF(EOMONTH($AT$3+INT((DAY(EOMONTH($AT$3,0))-1)/2)+AT$14,0)=EOMONTH($AP$3,0),AT$12,0),0),IF(AND(AP$12&lt;&gt;"",AP$14&lt;&gt;""),IF(EOMONTH($AP$3+INT((DAY(EOMONTH($AP$3,0))-1)/2)+AP$14,0)=EOMONTH($AP$3,0),AP$12,0),0),IF(AND(AL$12&lt;&gt;"",AL$14&lt;&gt;""),IF(EOMONTH($AL$3+INT((DAY(EOMONTH($AL$3,0))-1)/2)+AL$14,0)=EOMONTH($AP$3,0),AL$12,0),0),IF(AND(AH$12&lt;&gt;"",AH$14&lt;&gt;""),IF(EOMONTH($AH$3+INT((DAY(EOMONTH($AH$3,0))-1)/2)+AH$14,0)=EOMONTH($AP$3,0),AH$12,0),0),IF(AND(AD$12&lt;&gt;"",AD$14&lt;&gt;""),IF(EOMONTH($AD$3+INT((DAY(EOMONTH($AD$3,0))-1)/2)+AD$14,0)=EOMONTH($AP$3,0),AD$12,0),0),IF(AND(Z$12&lt;&gt;"",Z$14&lt;&gt;""),IF(EOMONTH($Z$3+INT((DAY(EOMONTH($Z$3,0))-1)/2)+Z$14,0)=EOMONTH($AP$3,0),Z$12,0),0),IF(AND(V$12&lt;&gt;"",V$14&lt;&gt;""),IF(EOMONTH($V$3+INT((DAY(EOMONTH($V$3,0))-1)/2)+V$14,0)=EOMONTH($AP$3,0),V$12,0),0),IF(AND(R$12&lt;&gt;"",R$14&lt;&gt;""),IF(EOMONTH($R$3+INT((DAY(EOMONTH($R$3,0))-1)/2)+R$14,0)=EOMONTH($AP$3,0),R$12,0),0),IF(AND(N$12&lt;&gt;"",N$14&lt;&gt;""),IF(EOMONTH($N$3+INT((DAY(EOMONTH($N$3,0))-1)/2)+N$14,0)=EOMONTH($AP$3,0),N$12,0),0),IF(AND(J$12&lt;&gt;"",J$14&lt;&gt;""),IF(EOMONTH($J$3+INT((DAY(EOMONTH($J$3,0))-1)/2)+J$14,0)=EOMONTH($AP$3,0),J$12,0),0),IF(AND(F$12&lt;&gt;"",F$14&lt;&gt;""),IF(EOMONTH($F$3+INT((DAY(EOMONTH($F$3,0))-1)/2)+F$14,0)=EOMONTH($AP$3,0),F$12,0),0),IF($AX$75="",0,IF(EOMONTH($AX$75+AX$14,0)=EOMONTH($AP$3,0),$AX$77,0))),0)</f>
        <v>0</v>
      </c>
      <c r="AQ20" s="14">
        <f t="shared" si="87"/>
        <v>0</v>
      </c>
      <c r="AR20" s="15">
        <f t="shared" si="87"/>
        <v>0</v>
      </c>
      <c r="AS20" s="16">
        <f t="shared" si="23"/>
        <v>0</v>
      </c>
      <c r="AT20" s="13">
        <f t="shared" ref="AT20:AV20" si="88">ROUND(SUM(IF(AND(AX$12&lt;&gt;"",AX$14&lt;&gt;""),IF(EOMONTH($AX$3+INT((DAY(EOMONTH($AX$3,0))-1)/2)+AX$14,0)=EOMONTH($AT$3,0),AX$12,0),0),IF(AND(AT$12&lt;&gt;"",AT$14&lt;&gt;""),IF(EOMONTH($AT$3+INT((DAY(EOMONTH($AT$3,0))-1)/2)+AT$14,0)=EOMONTH($AT$3,0),AT$12,0),0),IF(AND(AP$12&lt;&gt;"",AP$14&lt;&gt;""),IF(EOMONTH($AP$3+INT((DAY(EOMONTH($AP$3,0))-1)/2)+AP$14,0)=EOMONTH($AT$3,0),AP$12,0),0),IF(AND(AL$12&lt;&gt;"",AL$14&lt;&gt;""),IF(EOMONTH($AL$3+INT((DAY(EOMONTH($AL$3,0))-1)/2)+AL$14,0)=EOMONTH($AT$3,0),AL$12,0),0),IF(AND(AH$12&lt;&gt;"",AH$14&lt;&gt;""),IF(EOMONTH($AH$3+INT((DAY(EOMONTH($AH$3,0))-1)/2)+AH$14,0)=EOMONTH($AT$3,0),AH$12,0),0),IF(AND(AD$12&lt;&gt;"",AD$14&lt;&gt;""),IF(EOMONTH($AD$3+INT((DAY(EOMONTH($AD$3,0))-1)/2)+AD$14,0)=EOMONTH($AT$3,0),AD$12,0),0),IF(AND(Z$12&lt;&gt;"",Z$14&lt;&gt;""),IF(EOMONTH($Z$3+INT((DAY(EOMONTH($Z$3,0))-1)/2)+Z$14,0)=EOMONTH($AT$3,0),Z$12,0),0),IF(AND(V$12&lt;&gt;"",V$14&lt;&gt;""),IF(EOMONTH($V$3+INT((DAY(EOMONTH($V$3,0))-1)/2)+V$14,0)=EOMONTH($AT$3,0),V$12,0),0),IF(AND(R$12&lt;&gt;"",R$14&lt;&gt;""),IF(EOMONTH($R$3+INT((DAY(EOMONTH($R$3,0))-1)/2)+R$14,0)=EOMONTH($AT$3,0),R$12,0),0),IF(AND(N$12&lt;&gt;"",N$14&lt;&gt;""),IF(EOMONTH($N$3+INT((DAY(EOMONTH($N$3,0))-1)/2)+N$14,0)=EOMONTH($AT$3,0),N$12,0),0),IF(AND(J$12&lt;&gt;"",J$14&lt;&gt;""),IF(EOMONTH($J$3+INT((DAY(EOMONTH($J$3,0))-1)/2)+J$14,0)=EOMONTH($AT$3,0),J$12,0),0),IF(AND(F$12&lt;&gt;"",F$14&lt;&gt;""),IF(EOMONTH($F$3+INT((DAY(EOMONTH($F$3,0))-1)/2)+F$14,0)=EOMONTH($AT$3,0),F$12,0),0),IF($AX$75="",0,IF(EOMONTH($AX$75+AX$14,0)=EOMONTH($AT$3,0),$AX$77,0))),0)</f>
        <v>0</v>
      </c>
      <c r="AU20" s="14">
        <f t="shared" si="88"/>
        <v>0</v>
      </c>
      <c r="AV20" s="15">
        <f t="shared" si="88"/>
        <v>0</v>
      </c>
      <c r="AW20" s="16">
        <f t="shared" si="25"/>
        <v>0</v>
      </c>
      <c r="AX20" s="13">
        <f t="shared" ref="AX20:AZ20" si="89">ROUND(SUM(IF(AND(AX$12&lt;&gt;"",AX$14&lt;&gt;""),IF(EOMONTH($AX$3+INT((DAY(EOMONTH($AX$3,0))-1)/2)+AX$14,0)=EOMONTH($AX$3,0),AX$12,0),0),IF(AND(AT$12&lt;&gt;"",AT$14&lt;&gt;""),IF(EOMONTH($AT$3+INT((DAY(EOMONTH($AT$3,0))-1)/2)+AT$14,0)=EOMONTH($AX$3,0),AT$12,0),0),IF(AND(AP$12&lt;&gt;"",AP$14&lt;&gt;""),IF(EOMONTH($AP$3+INT((DAY(EOMONTH($AP$3,0))-1)/2)+AP$14,0)=EOMONTH($AX$3,0),AP$12,0),0),IF(AND(AL$12&lt;&gt;"",AL$14&lt;&gt;""),IF(EOMONTH($AL$3+INT((DAY(EOMONTH($AL$3,0))-1)/2)+AL$14,0)=EOMONTH($AX$3,0),AL$12,0),0),IF(AND(AH$12&lt;&gt;"",AH$14&lt;&gt;""),IF(EOMONTH($AH$3+INT((DAY(EOMONTH($AH$3,0))-1)/2)+AH$14,0)=EOMONTH($AX$3,0),AH$12,0),0),IF(AND(AD$12&lt;&gt;"",AD$14&lt;&gt;""),IF(EOMONTH($AD$3+INT((DAY(EOMONTH($AD$3,0))-1)/2)+AD$14,0)=EOMONTH($AX$3,0),AD$12,0),0),IF(AND(Z$12&lt;&gt;"",Z$14&lt;&gt;""),IF(EOMONTH($Z$3+INT((DAY(EOMONTH($Z$3,0))-1)/2)+Z$14,0)=EOMONTH($AX$3,0),Z$12,0),0),IF(AND(V$12&lt;&gt;"",V$14&lt;&gt;""),IF(EOMONTH($V$3+INT((DAY(EOMONTH($V$3,0))-1)/2)+V$14,0)=EOMONTH($AX$3,0),V$12,0),0),IF(AND(R$12&lt;&gt;"",R$14&lt;&gt;""),IF(EOMONTH($R$3+INT((DAY(EOMONTH($R$3,0))-1)/2)+R$14,0)=EOMONTH($AX$3,0),R$12,0),0),IF(AND(N$12&lt;&gt;"",N$14&lt;&gt;""),IF(EOMONTH($N$3+INT((DAY(EOMONTH($N$3,0))-1)/2)+N$14,0)=EOMONTH($AX$3,0),N$12,0),0),IF(AND(J$12&lt;&gt;"",J$14&lt;&gt;""),IF(EOMONTH($J$3+INT((DAY(EOMONTH($J$3,0))-1)/2)+J$14,0)=EOMONTH($AX$3,0),J$12,0),0),IF(AND(F$12&lt;&gt;"",F$14&lt;&gt;""),IF(EOMONTH($F$3+INT((DAY(EOMONTH($F$3,0))-1)/2)+F$14,0)=EOMONTH($AX$3,0),F$12,0),0),IF($AX$75="",0,IF(EOMONTH($AX$75+AX$14,0)=EOMONTH($AX$3,0),$AX$77,0))),0)</f>
        <v>0</v>
      </c>
      <c r="AY20" s="14">
        <f t="shared" si="89"/>
        <v>0</v>
      </c>
      <c r="AZ20" s="15">
        <f t="shared" si="89"/>
        <v>0</v>
      </c>
      <c r="BA20" s="16">
        <f t="shared" si="27"/>
        <v>0</v>
      </c>
    </row>
    <row r="21" ht="18.0" customHeight="1">
      <c r="A21" s="2" t="s">
        <v>24</v>
      </c>
      <c r="B21" s="13">
        <f t="shared" ref="B21:D21" si="90">SUM(AX21,AT21,AP21,AL21,AH21,AD21,Z21,V21,R21,N21,J21,F21)</f>
        <v>0</v>
      </c>
      <c r="C21" s="14">
        <f t="shared" si="90"/>
        <v>0</v>
      </c>
      <c r="D21" s="15">
        <f t="shared" si="90"/>
        <v>0</v>
      </c>
      <c r="E21" s="16">
        <f t="shared" si="3"/>
        <v>0</v>
      </c>
      <c r="F21" s="17"/>
      <c r="G21" s="14">
        <f>IF(F$98=1,F21,MIN(G19+G20,G17))</f>
        <v>0</v>
      </c>
      <c r="H21" s="15">
        <f>MIN(H19+H20,H17)</f>
        <v>0</v>
      </c>
      <c r="I21" s="16">
        <f t="shared" si="5"/>
        <v>0</v>
      </c>
      <c r="J21" s="17"/>
      <c r="K21" s="14">
        <f>IF(J$98=1,J21,MIN(K19+K20,K17))</f>
        <v>0</v>
      </c>
      <c r="L21" s="15">
        <f>MIN(L19+L20,L17)</f>
        <v>0</v>
      </c>
      <c r="M21" s="16">
        <f t="shared" si="7"/>
        <v>0</v>
      </c>
      <c r="N21" s="17"/>
      <c r="O21" s="14">
        <f>IF(N$98=1,N21,MIN(O19+O20,O17))</f>
        <v>0</v>
      </c>
      <c r="P21" s="15">
        <f>MIN(P19+P20,P17)</f>
        <v>0</v>
      </c>
      <c r="Q21" s="16">
        <f t="shared" si="9"/>
        <v>0</v>
      </c>
      <c r="R21" s="17"/>
      <c r="S21" s="14">
        <f>IF(R$98=1,R21,MIN(S19+S20,S17))</f>
        <v>0</v>
      </c>
      <c r="T21" s="15">
        <f>MIN(T19+T20,T17)</f>
        <v>0</v>
      </c>
      <c r="U21" s="16">
        <f t="shared" si="11"/>
        <v>0</v>
      </c>
      <c r="V21" s="17"/>
      <c r="W21" s="14">
        <f>IF(V$98=1,V21,MIN(W19+W20,W17))</f>
        <v>0</v>
      </c>
      <c r="X21" s="15">
        <f>MIN(X19+X20,X17)</f>
        <v>0</v>
      </c>
      <c r="Y21" s="16">
        <f t="shared" si="13"/>
        <v>0</v>
      </c>
      <c r="Z21" s="17"/>
      <c r="AA21" s="14">
        <f>IF(Z$98=1,Z21,MIN(AA19+AA20,AA17))</f>
        <v>0</v>
      </c>
      <c r="AB21" s="15">
        <f>MIN(AB19+AB20,AB17)</f>
        <v>0</v>
      </c>
      <c r="AC21" s="16">
        <f t="shared" si="15"/>
        <v>0</v>
      </c>
      <c r="AD21" s="17"/>
      <c r="AE21" s="14">
        <f>IF(AD$98=1,AD21,MIN(AE19+AE20,AE17))</f>
        <v>0</v>
      </c>
      <c r="AF21" s="15">
        <f>MIN(AF19+AF20,AF17)</f>
        <v>0</v>
      </c>
      <c r="AG21" s="16">
        <f t="shared" si="17"/>
        <v>0</v>
      </c>
      <c r="AH21" s="17"/>
      <c r="AI21" s="14">
        <f>IF(AH$98=1,AH21,MIN(AI19+AI20,AI17))</f>
        <v>0</v>
      </c>
      <c r="AJ21" s="15">
        <f>MIN(AJ19+AJ20,AJ17)</f>
        <v>0</v>
      </c>
      <c r="AK21" s="16">
        <f t="shared" si="19"/>
        <v>0</v>
      </c>
      <c r="AL21" s="17"/>
      <c r="AM21" s="14">
        <f>IF(AL$98=1,AL21,MIN(AM19+AM20,AM17))</f>
        <v>0</v>
      </c>
      <c r="AN21" s="15">
        <f>MIN(AN19+AN20,AN17)</f>
        <v>0</v>
      </c>
      <c r="AO21" s="16">
        <f t="shared" si="21"/>
        <v>0</v>
      </c>
      <c r="AP21" s="17"/>
      <c r="AQ21" s="14">
        <f>IF(AP$98=1,AP21,MIN(AQ19+AQ20,AQ17))</f>
        <v>0</v>
      </c>
      <c r="AR21" s="15">
        <f>MIN(AR19+AR20,AR17)</f>
        <v>0</v>
      </c>
      <c r="AS21" s="16">
        <f t="shared" si="23"/>
        <v>0</v>
      </c>
      <c r="AT21" s="17"/>
      <c r="AU21" s="14">
        <f>IF(AT$98=1,AT21,MIN(AU19+AU20,AU17))</f>
        <v>0</v>
      </c>
      <c r="AV21" s="15">
        <f>MIN(AV19+AV20,AV17)</f>
        <v>0</v>
      </c>
      <c r="AW21" s="16">
        <f t="shared" si="25"/>
        <v>0</v>
      </c>
      <c r="AX21" s="17"/>
      <c r="AY21" s="14">
        <f>IF(AX$98=1,AX21,MIN(AY19+AY20,AY17))</f>
        <v>0</v>
      </c>
      <c r="AZ21" s="15">
        <f>MIN(AZ19+AZ20,AZ17)</f>
        <v>0</v>
      </c>
      <c r="BA21" s="16">
        <f t="shared" si="27"/>
        <v>0</v>
      </c>
    </row>
    <row r="22" ht="18.0" customHeight="1">
      <c r="A22" s="2" t="s">
        <v>25</v>
      </c>
      <c r="B22" s="13" t="str">
        <f t="shared" ref="B22:D22" si="91">F22</f>
        <v/>
      </c>
      <c r="C22" s="14">
        <f t="shared" si="91"/>
        <v>0</v>
      </c>
      <c r="D22" s="15">
        <f t="shared" si="91"/>
        <v>0</v>
      </c>
      <c r="E22" s="16">
        <f t="shared" si="3"/>
        <v>0</v>
      </c>
      <c r="F22" s="13" t="str">
        <f>IF(COUNT(F19,F20,F21)=3,MAX(0,F19+F20-F21),"")</f>
        <v/>
      </c>
      <c r="G22" s="14">
        <f t="shared" ref="G22:H22" si="92">MAX(0,G19+G20-G21)</f>
        <v>0</v>
      </c>
      <c r="H22" s="15">
        <f t="shared" si="92"/>
        <v>0</v>
      </c>
      <c r="I22" s="16">
        <f t="shared" si="5"/>
        <v>0</v>
      </c>
      <c r="J22" s="13" t="str">
        <f>IF(COUNT(J19,J20,J21)=3,MAX(0,J19+J20-J21),"")</f>
        <v/>
      </c>
      <c r="K22" s="14">
        <f t="shared" ref="K22:L22" si="93">MAX(0,K19+K20-K21)</f>
        <v>0</v>
      </c>
      <c r="L22" s="15">
        <f t="shared" si="93"/>
        <v>0</v>
      </c>
      <c r="M22" s="16">
        <f t="shared" si="7"/>
        <v>0</v>
      </c>
      <c r="N22" s="13" t="str">
        <f>IF(COUNT(N19,N20,N21)=3,MAX(0,N19+N20-N21),"")</f>
        <v/>
      </c>
      <c r="O22" s="14">
        <f t="shared" ref="O22:P22" si="94">MAX(0,O19+O20-O21)</f>
        <v>0</v>
      </c>
      <c r="P22" s="15">
        <f t="shared" si="94"/>
        <v>0</v>
      </c>
      <c r="Q22" s="16">
        <f t="shared" si="9"/>
        <v>0</v>
      </c>
      <c r="R22" s="13" t="str">
        <f>IF(COUNT(R19,R20,R21)=3,MAX(0,R19+R20-R21),"")</f>
        <v/>
      </c>
      <c r="S22" s="14">
        <f t="shared" ref="S22:T22" si="95">MAX(0,S19+S20-S21)</f>
        <v>0</v>
      </c>
      <c r="T22" s="15">
        <f t="shared" si="95"/>
        <v>0</v>
      </c>
      <c r="U22" s="16">
        <f t="shared" si="11"/>
        <v>0</v>
      </c>
      <c r="V22" s="13" t="str">
        <f>IF(COUNT(V19,V20,V21)=3,MAX(0,V19+V20-V21),"")</f>
        <v/>
      </c>
      <c r="W22" s="14">
        <f t="shared" ref="W22:X22" si="96">MAX(0,W19+W20-W21)</f>
        <v>0</v>
      </c>
      <c r="X22" s="15">
        <f t="shared" si="96"/>
        <v>0</v>
      </c>
      <c r="Y22" s="16">
        <f t="shared" si="13"/>
        <v>0</v>
      </c>
      <c r="Z22" s="13" t="str">
        <f>IF(COUNT(Z19,Z20,Z21)=3,MAX(0,Z19+Z20-Z21),"")</f>
        <v/>
      </c>
      <c r="AA22" s="14">
        <f t="shared" ref="AA22:AB22" si="97">MAX(0,AA19+AA20-AA21)</f>
        <v>0</v>
      </c>
      <c r="AB22" s="15">
        <f t="shared" si="97"/>
        <v>0</v>
      </c>
      <c r="AC22" s="16">
        <f t="shared" si="15"/>
        <v>0</v>
      </c>
      <c r="AD22" s="13" t="str">
        <f>IF(COUNT(AD19,AD20,AD21)=3,MAX(0,AD19+AD20-AD21),"")</f>
        <v/>
      </c>
      <c r="AE22" s="14">
        <f t="shared" ref="AE22:AF22" si="98">MAX(0,AE19+AE20-AE21)</f>
        <v>0</v>
      </c>
      <c r="AF22" s="15">
        <f t="shared" si="98"/>
        <v>0</v>
      </c>
      <c r="AG22" s="16">
        <f t="shared" si="17"/>
        <v>0</v>
      </c>
      <c r="AH22" s="13" t="str">
        <f>IF(COUNT(AH19,AH20,AH21)=3,MAX(0,AH19+AH20-AH21),"")</f>
        <v/>
      </c>
      <c r="AI22" s="14">
        <f t="shared" ref="AI22:AJ22" si="99">MAX(0,AI19+AI20-AI21)</f>
        <v>0</v>
      </c>
      <c r="AJ22" s="15">
        <f t="shared" si="99"/>
        <v>0</v>
      </c>
      <c r="AK22" s="16">
        <f t="shared" si="19"/>
        <v>0</v>
      </c>
      <c r="AL22" s="13" t="str">
        <f>IF(COUNT(AL19,AL20,AL21)=3,MAX(0,AL19+AL20-AL21),"")</f>
        <v/>
      </c>
      <c r="AM22" s="14">
        <f t="shared" ref="AM22:AN22" si="100">MAX(0,AM19+AM20-AM21)</f>
        <v>0</v>
      </c>
      <c r="AN22" s="15">
        <f t="shared" si="100"/>
        <v>0</v>
      </c>
      <c r="AO22" s="16">
        <f t="shared" si="21"/>
        <v>0</v>
      </c>
      <c r="AP22" s="13" t="str">
        <f>IF(COUNT(AP19,AP20,AP21)=3,MAX(0,AP19+AP20-AP21),"")</f>
        <v/>
      </c>
      <c r="AQ22" s="14">
        <f t="shared" ref="AQ22:AR22" si="101">MAX(0,AQ19+AQ20-AQ21)</f>
        <v>0</v>
      </c>
      <c r="AR22" s="15">
        <f t="shared" si="101"/>
        <v>0</v>
      </c>
      <c r="AS22" s="16">
        <f t="shared" si="23"/>
        <v>0</v>
      </c>
      <c r="AT22" s="13" t="str">
        <f>IF(COUNT(AT19,AT20,AT21)=3,MAX(0,AT19+AT20-AT21),"")</f>
        <v/>
      </c>
      <c r="AU22" s="14">
        <f t="shared" ref="AU22:AV22" si="102">MAX(0,AU19+AU20-AU21)</f>
        <v>0</v>
      </c>
      <c r="AV22" s="15">
        <f t="shared" si="102"/>
        <v>0</v>
      </c>
      <c r="AW22" s="16">
        <f t="shared" si="25"/>
        <v>0</v>
      </c>
      <c r="AX22" s="13" t="str">
        <f>IF(COUNT(AX19,AX20,AX21)=3,MAX(0,AX19+AX20-AX21),"")</f>
        <v/>
      </c>
      <c r="AY22" s="14">
        <f t="shared" ref="AY22:AZ22" si="103">MAX(0,AY19+AY20-AY21)</f>
        <v>0</v>
      </c>
      <c r="AZ22" s="15">
        <f t="shared" si="103"/>
        <v>0</v>
      </c>
      <c r="BA22" s="16">
        <f t="shared" si="27"/>
        <v>0</v>
      </c>
    </row>
    <row r="23" ht="18.0" customHeight="1">
      <c r="A23" s="2" t="s">
        <v>26</v>
      </c>
      <c r="B23" s="24" t="str">
        <f t="shared" ref="B23:D23" si="104">IFERROR(SUM(AX23*AX26,AT23*AT26,AP23*AP26,AL23*AL26,AH23*AH26,AD23*AD26,Z23*Z26,V23*V26,R23*R26,N23*N26,J23*J26,F23*F26)/SUM(AX26,AT26,AP26,AL26,AH26,AD26,Z26,V26,R26,N26,J26,F26),"")</f>
        <v/>
      </c>
      <c r="C23" s="25" t="str">
        <f t="shared" si="104"/>
        <v/>
      </c>
      <c r="D23" s="26" t="str">
        <f t="shared" si="104"/>
        <v/>
      </c>
      <c r="E23" s="27" t="str">
        <f t="shared" si="3"/>
        <v/>
      </c>
      <c r="F23" s="28"/>
      <c r="G23" s="25" t="str">
        <f>IF(F$98=1,F23,H23)</f>
        <v/>
      </c>
      <c r="H23" s="29"/>
      <c r="I23" s="27" t="str">
        <f t="shared" si="5"/>
        <v/>
      </c>
      <c r="J23" s="28"/>
      <c r="K23" s="25" t="str">
        <f>IF(J$98=1,J23,L23)</f>
        <v/>
      </c>
      <c r="L23" s="29"/>
      <c r="M23" s="27" t="str">
        <f t="shared" si="7"/>
        <v/>
      </c>
      <c r="N23" s="28"/>
      <c r="O23" s="25" t="str">
        <f>IF(N$98=1,N23,P23)</f>
        <v/>
      </c>
      <c r="P23" s="29"/>
      <c r="Q23" s="27" t="str">
        <f t="shared" si="9"/>
        <v/>
      </c>
      <c r="R23" s="28"/>
      <c r="S23" s="25" t="str">
        <f>IF(R$98=1,R23,T23)</f>
        <v/>
      </c>
      <c r="T23" s="29"/>
      <c r="U23" s="27" t="str">
        <f t="shared" si="11"/>
        <v/>
      </c>
      <c r="V23" s="28"/>
      <c r="W23" s="25" t="str">
        <f>IF(V$98=1,V23,X23)</f>
        <v/>
      </c>
      <c r="X23" s="29"/>
      <c r="Y23" s="27" t="str">
        <f t="shared" si="13"/>
        <v/>
      </c>
      <c r="Z23" s="28"/>
      <c r="AA23" s="25" t="str">
        <f>IF(Z$98=1,Z23,AB23)</f>
        <v/>
      </c>
      <c r="AB23" s="29"/>
      <c r="AC23" s="27" t="str">
        <f t="shared" si="15"/>
        <v/>
      </c>
      <c r="AD23" s="28"/>
      <c r="AE23" s="25" t="str">
        <f>IF(AD$98=1,AD23,AF23)</f>
        <v/>
      </c>
      <c r="AF23" s="29"/>
      <c r="AG23" s="27" t="str">
        <f t="shared" si="17"/>
        <v/>
      </c>
      <c r="AH23" s="28"/>
      <c r="AI23" s="25" t="str">
        <f>IF(AH$98=1,AH23,AJ23)</f>
        <v/>
      </c>
      <c r="AJ23" s="29"/>
      <c r="AK23" s="27" t="str">
        <f t="shared" si="19"/>
        <v/>
      </c>
      <c r="AL23" s="28"/>
      <c r="AM23" s="25" t="str">
        <f>IF(AL$98=1,AL23,AN23)</f>
        <v/>
      </c>
      <c r="AN23" s="29"/>
      <c r="AO23" s="27" t="str">
        <f t="shared" si="21"/>
        <v/>
      </c>
      <c r="AP23" s="28"/>
      <c r="AQ23" s="25" t="str">
        <f>IF(AP$98=1,AP23,AR23)</f>
        <v/>
      </c>
      <c r="AR23" s="29"/>
      <c r="AS23" s="27" t="str">
        <f t="shared" si="23"/>
        <v/>
      </c>
      <c r="AT23" s="28"/>
      <c r="AU23" s="25" t="str">
        <f>IF(AT$98=1,AT23,AV23)</f>
        <v/>
      </c>
      <c r="AV23" s="29"/>
      <c r="AW23" s="27" t="str">
        <f t="shared" si="25"/>
        <v/>
      </c>
      <c r="AX23" s="28"/>
      <c r="AY23" s="25" t="str">
        <f>IF(AX$98=1,AX23,AZ23)</f>
        <v/>
      </c>
      <c r="AZ23" s="29"/>
      <c r="BA23" s="27" t="str">
        <f t="shared" si="27"/>
        <v/>
      </c>
    </row>
    <row r="24" ht="18.0" customHeight="1">
      <c r="A24" s="36" t="s">
        <v>27</v>
      </c>
      <c r="B24" s="37">
        <f t="shared" ref="B24:D24" si="105">SUM(B8,B11,B14,B23)</f>
        <v>0</v>
      </c>
      <c r="C24" s="37">
        <f t="shared" si="105"/>
        <v>0</v>
      </c>
      <c r="D24" s="37">
        <f t="shared" si="105"/>
        <v>0</v>
      </c>
      <c r="E24" s="37">
        <f t="shared" si="3"/>
        <v>0</v>
      </c>
      <c r="F24" s="37" t="str">
        <f>IF(COUNT(F8,F11,F14,F23)=0,"",SUM(F8,F11,F14,F23))</f>
        <v/>
      </c>
      <c r="G24" s="37">
        <f t="shared" ref="G24:H24" si="106">SUM(G8,G11,G14,G23)</f>
        <v>0</v>
      </c>
      <c r="H24" s="37">
        <f t="shared" si="106"/>
        <v>0</v>
      </c>
      <c r="I24" s="37">
        <f t="shared" si="5"/>
        <v>0</v>
      </c>
      <c r="J24" s="37" t="str">
        <f>IF(COUNT(J8,J11,J14,J23)=0,"",SUM(J8,J11,J14,J23))</f>
        <v/>
      </c>
      <c r="K24" s="37">
        <f t="shared" ref="K24:L24" si="107">SUM(K8,K11,K14,K23)</f>
        <v>0</v>
      </c>
      <c r="L24" s="37">
        <f t="shared" si="107"/>
        <v>0</v>
      </c>
      <c r="M24" s="37">
        <f t="shared" si="7"/>
        <v>0</v>
      </c>
      <c r="N24" s="37" t="str">
        <f>IF(COUNT(N8,N11,N14,N23)=0,"",SUM(N8,N11,N14,N23))</f>
        <v/>
      </c>
      <c r="O24" s="37">
        <f t="shared" ref="O24:P24" si="108">SUM(O8,O11,O14,O23)</f>
        <v>0</v>
      </c>
      <c r="P24" s="37">
        <f t="shared" si="108"/>
        <v>0</v>
      </c>
      <c r="Q24" s="37">
        <f t="shared" si="9"/>
        <v>0</v>
      </c>
      <c r="R24" s="37" t="str">
        <f>IF(COUNT(R8,R11,R14,R23)=0,"",SUM(R8,R11,R14,R23))</f>
        <v/>
      </c>
      <c r="S24" s="37">
        <f t="shared" ref="S24:T24" si="109">SUM(S8,S11,S14,S23)</f>
        <v>0</v>
      </c>
      <c r="T24" s="37">
        <f t="shared" si="109"/>
        <v>0</v>
      </c>
      <c r="U24" s="37">
        <f t="shared" si="11"/>
        <v>0</v>
      </c>
      <c r="V24" s="37" t="str">
        <f>IF(COUNT(V8,V11,V14,V23)=0,"",SUM(V8,V11,V14,V23))</f>
        <v/>
      </c>
      <c r="W24" s="37">
        <f t="shared" ref="W24:X24" si="110">SUM(W8,W11,W14,W23)</f>
        <v>0</v>
      </c>
      <c r="X24" s="37">
        <f t="shared" si="110"/>
        <v>0</v>
      </c>
      <c r="Y24" s="37">
        <f t="shared" si="13"/>
        <v>0</v>
      </c>
      <c r="Z24" s="37" t="str">
        <f>IF(COUNT(Z8,Z11,Z14,Z23)=0,"",SUM(Z8,Z11,Z14,Z23))</f>
        <v/>
      </c>
      <c r="AA24" s="37">
        <f t="shared" ref="AA24:AB24" si="111">SUM(AA8,AA11,AA14,AA23)</f>
        <v>0</v>
      </c>
      <c r="AB24" s="37">
        <f t="shared" si="111"/>
        <v>0</v>
      </c>
      <c r="AC24" s="37">
        <f t="shared" si="15"/>
        <v>0</v>
      </c>
      <c r="AD24" s="37" t="str">
        <f>IF(COUNT(AD8,AD11,AD14,AD23)=0,"",SUM(AD8,AD11,AD14,AD23))</f>
        <v/>
      </c>
      <c r="AE24" s="37">
        <f t="shared" ref="AE24:AF24" si="112">SUM(AE8,AE11,AE14,AE23)</f>
        <v>0</v>
      </c>
      <c r="AF24" s="37">
        <f t="shared" si="112"/>
        <v>0</v>
      </c>
      <c r="AG24" s="37">
        <f t="shared" si="17"/>
        <v>0</v>
      </c>
      <c r="AH24" s="37" t="str">
        <f>IF(COUNT(AH8,AH11,AH14,AH23)=0,"",SUM(AH8,AH11,AH14,AH23))</f>
        <v/>
      </c>
      <c r="AI24" s="37">
        <f t="shared" ref="AI24:AJ24" si="113">SUM(AI8,AI11,AI14,AI23)</f>
        <v>0</v>
      </c>
      <c r="AJ24" s="37">
        <f t="shared" si="113"/>
        <v>0</v>
      </c>
      <c r="AK24" s="37">
        <f t="shared" si="19"/>
        <v>0</v>
      </c>
      <c r="AL24" s="37" t="str">
        <f>IF(COUNT(AL8,AL11,AL14,AL23)=0,"",SUM(AL8,AL11,AL14,AL23))</f>
        <v/>
      </c>
      <c r="AM24" s="37">
        <f t="shared" ref="AM24:AN24" si="114">SUM(AM8,AM11,AM14,AM23)</f>
        <v>0</v>
      </c>
      <c r="AN24" s="37">
        <f t="shared" si="114"/>
        <v>0</v>
      </c>
      <c r="AO24" s="37">
        <f t="shared" si="21"/>
        <v>0</v>
      </c>
      <c r="AP24" s="37" t="str">
        <f>IF(COUNT(AP8,AP11,AP14,AP23)=0,"",SUM(AP8,AP11,AP14,AP23))</f>
        <v/>
      </c>
      <c r="AQ24" s="37">
        <f t="shared" ref="AQ24:AR24" si="115">SUM(AQ8,AQ11,AQ14,AQ23)</f>
        <v>0</v>
      </c>
      <c r="AR24" s="37">
        <f t="shared" si="115"/>
        <v>0</v>
      </c>
      <c r="AS24" s="37">
        <f t="shared" si="23"/>
        <v>0</v>
      </c>
      <c r="AT24" s="37" t="str">
        <f>IF(COUNT(AT8,AT11,AT14,AT23)=0,"",SUM(AT8,AT11,AT14,AT23))</f>
        <v/>
      </c>
      <c r="AU24" s="37">
        <f t="shared" ref="AU24:AV24" si="116">SUM(AU8,AU11,AU14,AU23)</f>
        <v>0</v>
      </c>
      <c r="AV24" s="37">
        <f t="shared" si="116"/>
        <v>0</v>
      </c>
      <c r="AW24" s="37">
        <f t="shared" si="25"/>
        <v>0</v>
      </c>
      <c r="AX24" s="37" t="str">
        <f>IF(COUNT(AX8,AX11,AX14,AX23)=0,"",SUM(AX8,AX11,AX14,AX23))</f>
        <v/>
      </c>
      <c r="AY24" s="37">
        <f t="shared" ref="AY24:AZ24" si="117">SUM(AY8,AY11,AY14,AY23)</f>
        <v>0</v>
      </c>
      <c r="AZ24" s="37">
        <f t="shared" si="117"/>
        <v>0</v>
      </c>
      <c r="BA24" s="37">
        <f t="shared" si="27"/>
        <v>0</v>
      </c>
    </row>
    <row r="25" ht="18.0" customHeight="1">
      <c r="A25" s="12" t="s">
        <v>28</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row>
    <row r="26" ht="18.0" customHeight="1">
      <c r="A26" s="2" t="s">
        <v>29</v>
      </c>
      <c r="B26" s="30">
        <f t="shared" ref="B26:D26" si="118">SUM(AX26,AT26,AP26,AL26,AH26,AD26,Z26,V26,R26,N26,J26,F26)</f>
        <v>0</v>
      </c>
      <c r="C26" s="31">
        <f t="shared" si="118"/>
        <v>0</v>
      </c>
      <c r="D26" s="32">
        <f t="shared" si="118"/>
        <v>0</v>
      </c>
      <c r="E26" s="33">
        <f>IFERROR(IF(OR(C26="",D26=""),"",C26-D26),"")</f>
        <v>0</v>
      </c>
      <c r="F26" s="30" t="str">
        <f>IF(COUNT(F19:F21,F72)=4,IF((F19+F20)=0,0,ROUND(F21*(F72+F73)/(F19+F20),0)),"")</f>
        <v/>
      </c>
      <c r="G26" s="31">
        <f t="shared" ref="G26:H26" si="119">IF((G19+G20)=0,0,ROUND(G21*(G72+G73)/(G19+G20),0))</f>
        <v>0</v>
      </c>
      <c r="H26" s="32">
        <f t="shared" si="119"/>
        <v>0</v>
      </c>
      <c r="I26" s="33">
        <f>IFERROR(IF(OR(G26="",H26=""),"",G26-H26),"")</f>
        <v>0</v>
      </c>
      <c r="J26" s="30" t="str">
        <f>IF(COUNT(J19:J21,J72)=4,IF((J19+J20)=0,0,ROUND(J21*(J72+J73)/(J19+J20),0)),"")</f>
        <v/>
      </c>
      <c r="K26" s="31">
        <f t="shared" ref="K26:L26" si="120">IF((K19+K20)=0,0,ROUND(K21*(K72+K73)/(K19+K20),0))</f>
        <v>0</v>
      </c>
      <c r="L26" s="32">
        <f t="shared" si="120"/>
        <v>0</v>
      </c>
      <c r="M26" s="33">
        <f>IFERROR(IF(OR(K26="",L26=""),"",K26-L26),"")</f>
        <v>0</v>
      </c>
      <c r="N26" s="30" t="str">
        <f>IF(COUNT(N19:N21,N72)=4,IF((N19+N20)=0,0,ROUND(N21*(N72+N73)/(N19+N20),0)),"")</f>
        <v/>
      </c>
      <c r="O26" s="31">
        <f t="shared" ref="O26:P26" si="121">IF((O19+O20)=0,0,ROUND(O21*(O72+O73)/(O19+O20),0))</f>
        <v>0</v>
      </c>
      <c r="P26" s="32">
        <f t="shared" si="121"/>
        <v>0</v>
      </c>
      <c r="Q26" s="33">
        <f>IFERROR(IF(OR(O26="",P26=""),"",O26-P26),"")</f>
        <v>0</v>
      </c>
      <c r="R26" s="30" t="str">
        <f>IF(COUNT(R19:R21,R72)=4,IF((R19+R20)=0,0,ROUND(R21*(R72+R73)/(R19+R20),0)),"")</f>
        <v/>
      </c>
      <c r="S26" s="31">
        <f t="shared" ref="S26:T26" si="122">IF((S19+S20)=0,0,ROUND(S21*(S72+S73)/(S19+S20),0))</f>
        <v>0</v>
      </c>
      <c r="T26" s="32">
        <f t="shared" si="122"/>
        <v>0</v>
      </c>
      <c r="U26" s="33">
        <f>IFERROR(IF(OR(S26="",T26=""),"",S26-T26),"")</f>
        <v>0</v>
      </c>
      <c r="V26" s="30" t="str">
        <f>IF(COUNT(V19:V21,V72)=4,IF((V19+V20)=0,0,ROUND(V21*(V72+V73)/(V19+V20),0)),"")</f>
        <v/>
      </c>
      <c r="W26" s="31">
        <f t="shared" ref="W26:X26" si="123">IF((W19+W20)=0,0,ROUND(W21*(W72+W73)/(W19+W20),0))</f>
        <v>0</v>
      </c>
      <c r="X26" s="32">
        <f t="shared" si="123"/>
        <v>0</v>
      </c>
      <c r="Y26" s="33">
        <f>IFERROR(IF(OR(W26="",X26=""),"",W26-X26),"")</f>
        <v>0</v>
      </c>
      <c r="Z26" s="30" t="str">
        <f>IF(COUNT(Z19:Z21,Z72)=4,IF((Z19+Z20)=0,0,ROUND(Z21*(Z72+Z73)/(Z19+Z20),0)),"")</f>
        <v/>
      </c>
      <c r="AA26" s="31">
        <f t="shared" ref="AA26:AB26" si="124">IF((AA19+AA20)=0,0,ROUND(AA21*(AA72+AA73)/(AA19+AA20),0))</f>
        <v>0</v>
      </c>
      <c r="AB26" s="32">
        <f t="shared" si="124"/>
        <v>0</v>
      </c>
      <c r="AC26" s="33">
        <f>IFERROR(IF(OR(AA26="",AB26=""),"",AA26-AB26),"")</f>
        <v>0</v>
      </c>
      <c r="AD26" s="30" t="str">
        <f>IF(COUNT(AD19:AD21,AD72)=4,IF((AD19+AD20)=0,0,ROUND(AD21*(AD72+AD73)/(AD19+AD20),0)),"")</f>
        <v/>
      </c>
      <c r="AE26" s="31">
        <f t="shared" ref="AE26:AF26" si="125">IF((AE19+AE20)=0,0,ROUND(AE21*(AE72+AE73)/(AE19+AE20),0))</f>
        <v>0</v>
      </c>
      <c r="AF26" s="32">
        <f t="shared" si="125"/>
        <v>0</v>
      </c>
      <c r="AG26" s="33">
        <f>IFERROR(IF(OR(AE26="",AF26=""),"",AE26-AF26),"")</f>
        <v>0</v>
      </c>
      <c r="AH26" s="30" t="str">
        <f>IF(COUNT(AH19:AH21,AH72)=4,IF((AH19+AH20)=0,0,ROUND(AH21*(AH72+AH73)/(AH19+AH20),0)),"")</f>
        <v/>
      </c>
      <c r="AI26" s="31">
        <f t="shared" ref="AI26:AJ26" si="126">IF((AI19+AI20)=0,0,ROUND(AI21*(AI72+AI73)/(AI19+AI20),0))</f>
        <v>0</v>
      </c>
      <c r="AJ26" s="32">
        <f t="shared" si="126"/>
        <v>0</v>
      </c>
      <c r="AK26" s="33">
        <f>IFERROR(IF(OR(AI26="",AJ26=""),"",AI26-AJ26),"")</f>
        <v>0</v>
      </c>
      <c r="AL26" s="30" t="str">
        <f>IF(COUNT(AL19:AL21,AL72)=4,IF((AL19+AL20)=0,0,ROUND(AL21*(AL72+AL73)/(AL19+AL20),0)),"")</f>
        <v/>
      </c>
      <c r="AM26" s="31">
        <f t="shared" ref="AM26:AN26" si="127">IF((AM19+AM20)=0,0,ROUND(AM21*(AM72+AM73)/(AM19+AM20),0))</f>
        <v>0</v>
      </c>
      <c r="AN26" s="32">
        <f t="shared" si="127"/>
        <v>0</v>
      </c>
      <c r="AO26" s="33">
        <f>IFERROR(IF(OR(AM26="",AN26=""),"",AM26-AN26),"")</f>
        <v>0</v>
      </c>
      <c r="AP26" s="30" t="str">
        <f>IF(COUNT(AP19:AP21,AP72)=4,IF((AP19+AP20)=0,0,ROUND(AP21*(AP72+AP73)/(AP19+AP20),0)),"")</f>
        <v/>
      </c>
      <c r="AQ26" s="31">
        <f t="shared" ref="AQ26:AR26" si="128">IF((AQ19+AQ20)=0,0,ROUND(AQ21*(AQ72+AQ73)/(AQ19+AQ20),0))</f>
        <v>0</v>
      </c>
      <c r="AR26" s="32">
        <f t="shared" si="128"/>
        <v>0</v>
      </c>
      <c r="AS26" s="33">
        <f>IFERROR(IF(OR(AQ26="",AR26=""),"",AQ26-AR26),"")</f>
        <v>0</v>
      </c>
      <c r="AT26" s="30" t="str">
        <f>IF(COUNT(AT19:AT21,AT72)=4,IF((AT19+AT20)=0,0,ROUND(AT21*(AT72+AT73)/(AT19+AT20),0)),"")</f>
        <v/>
      </c>
      <c r="AU26" s="31">
        <f t="shared" ref="AU26:AV26" si="129">IF((AU19+AU20)=0,0,ROUND(AU21*(AU72+AU73)/(AU19+AU20),0))</f>
        <v>0</v>
      </c>
      <c r="AV26" s="32">
        <f t="shared" si="129"/>
        <v>0</v>
      </c>
      <c r="AW26" s="33">
        <f>IFERROR(IF(OR(AU26="",AV26=""),"",AU26-AV26),"")</f>
        <v>0</v>
      </c>
      <c r="AX26" s="30" t="str">
        <f>IF(COUNT(AX19:AX21,AX72)=4,IF((AX19+AX20)=0,0,ROUND(AX21*(AX72+AX73)/(AX19+AX20),0)),"")</f>
        <v/>
      </c>
      <c r="AY26" s="31">
        <f t="shared" ref="AY26:AZ26" si="130">IF((AY19+AY20)=0,0,ROUND(AY21*(AY72+AY73)/(AY19+AY20),0))</f>
        <v>0</v>
      </c>
      <c r="AZ26" s="32">
        <f t="shared" si="130"/>
        <v>0</v>
      </c>
      <c r="BA26" s="33">
        <f>IFERROR(IF(OR(AY26="",AZ26=""),"",AY26-AZ26),"")</f>
        <v>0</v>
      </c>
    </row>
    <row r="27" ht="18.0" customHeight="1">
      <c r="A27" s="12" t="s">
        <v>30</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row>
    <row r="28" ht="18.0" customHeight="1">
      <c r="A28" s="2" t="s">
        <v>31</v>
      </c>
      <c r="B28" s="30">
        <f t="shared" ref="B28:D28" si="131">SUM(AX28,AT28,AP28,AL28,AH28,AD28,Z28,V28,R28,N28,J28,F28)</f>
        <v>0</v>
      </c>
      <c r="C28" s="31">
        <f t="shared" si="131"/>
        <v>0</v>
      </c>
      <c r="D28" s="32">
        <f t="shared" si="131"/>
        <v>0</v>
      </c>
      <c r="E28" s="33">
        <f t="shared" ref="E28:E34" si="133">IFERROR(IF(OR(C28="",D28=""),"",C28-D28),"")</f>
        <v>0</v>
      </c>
      <c r="F28" s="34"/>
      <c r="G28" s="31" t="str">
        <f>IF(F$98=1,F28,H28)</f>
        <v/>
      </c>
      <c r="H28" s="35"/>
      <c r="I28" s="33" t="str">
        <f t="shared" ref="I28:I34" si="135">IFERROR(IF(OR(G28="",H28=""),"",G28-H28),"")</f>
        <v/>
      </c>
      <c r="J28" s="34"/>
      <c r="K28" s="31" t="str">
        <f>IF(J$98=1,J28,L28)</f>
        <v/>
      </c>
      <c r="L28" s="35"/>
      <c r="M28" s="33" t="str">
        <f t="shared" ref="M28:M34" si="137">IFERROR(IF(OR(K28="",L28=""),"",K28-L28),"")</f>
        <v/>
      </c>
      <c r="N28" s="34"/>
      <c r="O28" s="31" t="str">
        <f>IF(N$98=1,N28,P28)</f>
        <v/>
      </c>
      <c r="P28" s="35"/>
      <c r="Q28" s="33" t="str">
        <f t="shared" ref="Q28:Q34" si="139">IFERROR(IF(OR(O28="",P28=""),"",O28-P28),"")</f>
        <v/>
      </c>
      <c r="R28" s="34"/>
      <c r="S28" s="31" t="str">
        <f>IF(R$98=1,R28,T28)</f>
        <v/>
      </c>
      <c r="T28" s="35"/>
      <c r="U28" s="33" t="str">
        <f t="shared" ref="U28:U34" si="141">IFERROR(IF(OR(S28="",T28=""),"",S28-T28),"")</f>
        <v/>
      </c>
      <c r="V28" s="34"/>
      <c r="W28" s="31" t="str">
        <f>IF(V$98=1,V28,X28)</f>
        <v/>
      </c>
      <c r="X28" s="35"/>
      <c r="Y28" s="33" t="str">
        <f t="shared" ref="Y28:Y34" si="143">IFERROR(IF(OR(W28="",X28=""),"",W28-X28),"")</f>
        <v/>
      </c>
      <c r="Z28" s="34"/>
      <c r="AA28" s="31" t="str">
        <f>IF(Z$98=1,Z28,AB28)</f>
        <v/>
      </c>
      <c r="AB28" s="35"/>
      <c r="AC28" s="33" t="str">
        <f t="shared" ref="AC28:AC34" si="145">IFERROR(IF(OR(AA28="",AB28=""),"",AA28-AB28),"")</f>
        <v/>
      </c>
      <c r="AD28" s="34"/>
      <c r="AE28" s="31" t="str">
        <f>IF(AD$98=1,AD28,AF28)</f>
        <v/>
      </c>
      <c r="AF28" s="35"/>
      <c r="AG28" s="33" t="str">
        <f t="shared" ref="AG28:AG34" si="147">IFERROR(IF(OR(AE28="",AF28=""),"",AE28-AF28),"")</f>
        <v/>
      </c>
      <c r="AH28" s="34"/>
      <c r="AI28" s="31" t="str">
        <f>IF(AH$98=1,AH28,AJ28)</f>
        <v/>
      </c>
      <c r="AJ28" s="35"/>
      <c r="AK28" s="33" t="str">
        <f t="shared" ref="AK28:AK34" si="149">IFERROR(IF(OR(AI28="",AJ28=""),"",AI28-AJ28),"")</f>
        <v/>
      </c>
      <c r="AL28" s="34"/>
      <c r="AM28" s="31" t="str">
        <f>IF(AL$98=1,AL28,AN28)</f>
        <v/>
      </c>
      <c r="AN28" s="35"/>
      <c r="AO28" s="33" t="str">
        <f t="shared" ref="AO28:AO34" si="151">IFERROR(IF(OR(AM28="",AN28=""),"",AM28-AN28),"")</f>
        <v/>
      </c>
      <c r="AP28" s="34"/>
      <c r="AQ28" s="31" t="str">
        <f>IF(AP$98=1,AP28,AR28)</f>
        <v/>
      </c>
      <c r="AR28" s="35"/>
      <c r="AS28" s="33" t="str">
        <f t="shared" ref="AS28:AS34" si="153">IFERROR(IF(OR(AQ28="",AR28=""),"",AQ28-AR28),"")</f>
        <v/>
      </c>
      <c r="AT28" s="34"/>
      <c r="AU28" s="31" t="str">
        <f>IF(AT$98=1,AT28,AV28)</f>
        <v/>
      </c>
      <c r="AV28" s="35"/>
      <c r="AW28" s="33" t="str">
        <f t="shared" ref="AW28:AW34" si="155">IFERROR(IF(OR(AU28="",AV28=""),"",AU28-AV28),"")</f>
        <v/>
      </c>
      <c r="AX28" s="34"/>
      <c r="AY28" s="31" t="str">
        <f>IF(AX$98=1,AX28,AZ28)</f>
        <v/>
      </c>
      <c r="AZ28" s="35"/>
      <c r="BA28" s="33" t="str">
        <f t="shared" ref="BA28:BA34" si="157">IFERROR(IF(OR(AY28="",AZ28=""),"",AY28-AZ28),"")</f>
        <v/>
      </c>
    </row>
    <row r="29" ht="18.0" customHeight="1">
      <c r="A29" s="2" t="s">
        <v>32</v>
      </c>
      <c r="B29" s="30">
        <f t="shared" ref="B29:D29" si="132">SUM(AX29,AT29,AP29,AL29,AH29,AD29,Z29,V29,R29,N29,J29,F29)</f>
        <v>0</v>
      </c>
      <c r="C29" s="31">
        <f t="shared" si="132"/>
        <v>0</v>
      </c>
      <c r="D29" s="32">
        <f t="shared" si="132"/>
        <v>0</v>
      </c>
      <c r="E29" s="33">
        <f t="shared" si="133"/>
        <v>0</v>
      </c>
      <c r="F29" s="30" t="str">
        <f t="shared" ref="F29:H29" si="134">IF(COUNT(F21,F18)=2,F21*F18,"")</f>
        <v/>
      </c>
      <c r="G29" s="31" t="str">
        <f t="shared" si="134"/>
        <v/>
      </c>
      <c r="H29" s="32" t="str">
        <f t="shared" si="134"/>
        <v/>
      </c>
      <c r="I29" s="33" t="str">
        <f t="shared" si="135"/>
        <v/>
      </c>
      <c r="J29" s="30" t="str">
        <f t="shared" ref="J29:L29" si="136">IF(COUNT(J21,J18)=2,J21*J18,"")</f>
        <v/>
      </c>
      <c r="K29" s="31" t="str">
        <f t="shared" si="136"/>
        <v/>
      </c>
      <c r="L29" s="32" t="str">
        <f t="shared" si="136"/>
        <v/>
      </c>
      <c r="M29" s="33" t="str">
        <f t="shared" si="137"/>
        <v/>
      </c>
      <c r="N29" s="30" t="str">
        <f t="shared" ref="N29:P29" si="138">IF(COUNT(N21,N18)=2,N21*N18,"")</f>
        <v/>
      </c>
      <c r="O29" s="31" t="str">
        <f t="shared" si="138"/>
        <v/>
      </c>
      <c r="P29" s="32" t="str">
        <f t="shared" si="138"/>
        <v/>
      </c>
      <c r="Q29" s="33" t="str">
        <f t="shared" si="139"/>
        <v/>
      </c>
      <c r="R29" s="30" t="str">
        <f t="shared" ref="R29:T29" si="140">IF(COUNT(R21,R18)=2,R21*R18,"")</f>
        <v/>
      </c>
      <c r="S29" s="31" t="str">
        <f t="shared" si="140"/>
        <v/>
      </c>
      <c r="T29" s="32" t="str">
        <f t="shared" si="140"/>
        <v/>
      </c>
      <c r="U29" s="33" t="str">
        <f t="shared" si="141"/>
        <v/>
      </c>
      <c r="V29" s="30" t="str">
        <f t="shared" ref="V29:X29" si="142">IF(COUNT(V21,V18)=2,V21*V18,"")</f>
        <v/>
      </c>
      <c r="W29" s="31" t="str">
        <f t="shared" si="142"/>
        <v/>
      </c>
      <c r="X29" s="32" t="str">
        <f t="shared" si="142"/>
        <v/>
      </c>
      <c r="Y29" s="33" t="str">
        <f t="shared" si="143"/>
        <v/>
      </c>
      <c r="Z29" s="30" t="str">
        <f t="shared" ref="Z29:AB29" si="144">IF(COUNT(Z21,Z18)=2,Z21*Z18,"")</f>
        <v/>
      </c>
      <c r="AA29" s="31" t="str">
        <f t="shared" si="144"/>
        <v/>
      </c>
      <c r="AB29" s="32" t="str">
        <f t="shared" si="144"/>
        <v/>
      </c>
      <c r="AC29" s="33" t="str">
        <f t="shared" si="145"/>
        <v/>
      </c>
      <c r="AD29" s="30" t="str">
        <f t="shared" ref="AD29:AF29" si="146">IF(COUNT(AD21,AD18)=2,AD21*AD18,"")</f>
        <v/>
      </c>
      <c r="AE29" s="31" t="str">
        <f t="shared" si="146"/>
        <v/>
      </c>
      <c r="AF29" s="32" t="str">
        <f t="shared" si="146"/>
        <v/>
      </c>
      <c r="AG29" s="33" t="str">
        <f t="shared" si="147"/>
        <v/>
      </c>
      <c r="AH29" s="30" t="str">
        <f t="shared" ref="AH29:AJ29" si="148">IF(COUNT(AH21,AH18)=2,AH21*AH18,"")</f>
        <v/>
      </c>
      <c r="AI29" s="31" t="str">
        <f t="shared" si="148"/>
        <v/>
      </c>
      <c r="AJ29" s="32" t="str">
        <f t="shared" si="148"/>
        <v/>
      </c>
      <c r="AK29" s="33" t="str">
        <f t="shared" si="149"/>
        <v/>
      </c>
      <c r="AL29" s="30" t="str">
        <f t="shared" ref="AL29:AN29" si="150">IF(COUNT(AL21,AL18)=2,AL21*AL18,"")</f>
        <v/>
      </c>
      <c r="AM29" s="31" t="str">
        <f t="shared" si="150"/>
        <v/>
      </c>
      <c r="AN29" s="32" t="str">
        <f t="shared" si="150"/>
        <v/>
      </c>
      <c r="AO29" s="33" t="str">
        <f t="shared" si="151"/>
        <v/>
      </c>
      <c r="AP29" s="30" t="str">
        <f t="shared" ref="AP29:AR29" si="152">IF(COUNT(AP21,AP18)=2,AP21*AP18,"")</f>
        <v/>
      </c>
      <c r="AQ29" s="31" t="str">
        <f t="shared" si="152"/>
        <v/>
      </c>
      <c r="AR29" s="32" t="str">
        <f t="shared" si="152"/>
        <v/>
      </c>
      <c r="AS29" s="33" t="str">
        <f t="shared" si="153"/>
        <v/>
      </c>
      <c r="AT29" s="30" t="str">
        <f t="shared" ref="AT29:AV29" si="154">IF(COUNT(AT21,AT18)=2,AT21*AT18,"")</f>
        <v/>
      </c>
      <c r="AU29" s="31" t="str">
        <f t="shared" si="154"/>
        <v/>
      </c>
      <c r="AV29" s="32" t="str">
        <f t="shared" si="154"/>
        <v/>
      </c>
      <c r="AW29" s="33" t="str">
        <f t="shared" si="155"/>
        <v/>
      </c>
      <c r="AX29" s="30" t="str">
        <f t="shared" ref="AX29:AZ29" si="156">IF(COUNT(AX21,AX18)=2,AX21*AX18,"")</f>
        <v/>
      </c>
      <c r="AY29" s="31" t="str">
        <f t="shared" si="156"/>
        <v/>
      </c>
      <c r="AZ29" s="32" t="str">
        <f t="shared" si="156"/>
        <v/>
      </c>
      <c r="BA29" s="33" t="str">
        <f t="shared" si="157"/>
        <v/>
      </c>
    </row>
    <row r="30" ht="18.0" customHeight="1">
      <c r="A30" s="2" t="s">
        <v>33</v>
      </c>
      <c r="B30" s="30">
        <f t="shared" ref="B30:D30" si="158">SUM(AX30,AT30,AP30,AL30,AH30,AD30,Z30,V30,R30,N30,J30,F30)</f>
        <v>0</v>
      </c>
      <c r="C30" s="31">
        <f t="shared" si="158"/>
        <v>0</v>
      </c>
      <c r="D30" s="32">
        <f t="shared" si="158"/>
        <v>0</v>
      </c>
      <c r="E30" s="33">
        <f t="shared" si="133"/>
        <v>0</v>
      </c>
      <c r="F30" s="34"/>
      <c r="G30" s="31" t="str">
        <f t="shared" ref="G30:G33" si="160">IF(F$98=1,F30,H30)</f>
        <v/>
      </c>
      <c r="H30" s="35"/>
      <c r="I30" s="33" t="str">
        <f t="shared" si="135"/>
        <v/>
      </c>
      <c r="J30" s="34"/>
      <c r="K30" s="31" t="str">
        <f t="shared" ref="K30:K33" si="161">IF(J$98=1,J30,L30)</f>
        <v/>
      </c>
      <c r="L30" s="35"/>
      <c r="M30" s="33" t="str">
        <f t="shared" si="137"/>
        <v/>
      </c>
      <c r="N30" s="34"/>
      <c r="O30" s="31" t="str">
        <f t="shared" ref="O30:O33" si="162">IF(N$98=1,N30,P30)</f>
        <v/>
      </c>
      <c r="P30" s="35"/>
      <c r="Q30" s="33" t="str">
        <f t="shared" si="139"/>
        <v/>
      </c>
      <c r="R30" s="34"/>
      <c r="S30" s="31" t="str">
        <f t="shared" ref="S30:S33" si="163">IF(R$98=1,R30,T30)</f>
        <v/>
      </c>
      <c r="T30" s="35"/>
      <c r="U30" s="33" t="str">
        <f t="shared" si="141"/>
        <v/>
      </c>
      <c r="V30" s="34"/>
      <c r="W30" s="31" t="str">
        <f t="shared" ref="W30:W33" si="164">IF(V$98=1,V30,X30)</f>
        <v/>
      </c>
      <c r="X30" s="35"/>
      <c r="Y30" s="33" t="str">
        <f t="shared" si="143"/>
        <v/>
      </c>
      <c r="Z30" s="34"/>
      <c r="AA30" s="31" t="str">
        <f t="shared" ref="AA30:AA33" si="165">IF(Z$98=1,Z30,AB30)</f>
        <v/>
      </c>
      <c r="AB30" s="35"/>
      <c r="AC30" s="33" t="str">
        <f t="shared" si="145"/>
        <v/>
      </c>
      <c r="AD30" s="34"/>
      <c r="AE30" s="31" t="str">
        <f t="shared" ref="AE30:AE33" si="166">IF(AD$98=1,AD30,AF30)</f>
        <v/>
      </c>
      <c r="AF30" s="35"/>
      <c r="AG30" s="33" t="str">
        <f t="shared" si="147"/>
        <v/>
      </c>
      <c r="AH30" s="34"/>
      <c r="AI30" s="31" t="str">
        <f t="shared" ref="AI30:AI33" si="167">IF(AH$98=1,AH30,AJ30)</f>
        <v/>
      </c>
      <c r="AJ30" s="35"/>
      <c r="AK30" s="33" t="str">
        <f t="shared" si="149"/>
        <v/>
      </c>
      <c r="AL30" s="34"/>
      <c r="AM30" s="31" t="str">
        <f t="shared" ref="AM30:AM33" si="168">IF(AL$98=1,AL30,AN30)</f>
        <v/>
      </c>
      <c r="AN30" s="35"/>
      <c r="AO30" s="33" t="str">
        <f t="shared" si="151"/>
        <v/>
      </c>
      <c r="AP30" s="34"/>
      <c r="AQ30" s="31" t="str">
        <f t="shared" ref="AQ30:AQ33" si="169">IF(AP$98=1,AP30,AR30)</f>
        <v/>
      </c>
      <c r="AR30" s="35"/>
      <c r="AS30" s="33" t="str">
        <f t="shared" si="153"/>
        <v/>
      </c>
      <c r="AT30" s="34"/>
      <c r="AU30" s="31" t="str">
        <f t="shared" ref="AU30:AU33" si="170">IF(AT$98=1,AT30,AV30)</f>
        <v/>
      </c>
      <c r="AV30" s="35"/>
      <c r="AW30" s="33" t="str">
        <f t="shared" si="155"/>
        <v/>
      </c>
      <c r="AX30" s="34"/>
      <c r="AY30" s="31" t="str">
        <f t="shared" ref="AY30:AY33" si="171">IF(AX$98=1,AX30,AZ30)</f>
        <v/>
      </c>
      <c r="AZ30" s="35"/>
      <c r="BA30" s="33" t="str">
        <f t="shared" si="157"/>
        <v/>
      </c>
    </row>
    <row r="31" ht="18.0" customHeight="1">
      <c r="A31" s="2" t="s">
        <v>34</v>
      </c>
      <c r="B31" s="30">
        <f t="shared" ref="B31:D31" si="159">SUM(AX31,AT31,AP31,AL31,AH31,AD31,Z31,V31,R31,N31,J31,F31)</f>
        <v>0</v>
      </c>
      <c r="C31" s="31">
        <f t="shared" si="159"/>
        <v>0</v>
      </c>
      <c r="D31" s="32">
        <f t="shared" si="159"/>
        <v>0</v>
      </c>
      <c r="E31" s="33">
        <f t="shared" si="133"/>
        <v>0</v>
      </c>
      <c r="F31" s="34"/>
      <c r="G31" s="31" t="str">
        <f t="shared" si="160"/>
        <v/>
      </c>
      <c r="H31" s="35"/>
      <c r="I31" s="33" t="str">
        <f t="shared" si="135"/>
        <v/>
      </c>
      <c r="J31" s="34"/>
      <c r="K31" s="31" t="str">
        <f t="shared" si="161"/>
        <v/>
      </c>
      <c r="L31" s="35"/>
      <c r="M31" s="33" t="str">
        <f t="shared" si="137"/>
        <v/>
      </c>
      <c r="N31" s="34"/>
      <c r="O31" s="31" t="str">
        <f t="shared" si="162"/>
        <v/>
      </c>
      <c r="P31" s="35"/>
      <c r="Q31" s="33" t="str">
        <f t="shared" si="139"/>
        <v/>
      </c>
      <c r="R31" s="34"/>
      <c r="S31" s="31" t="str">
        <f t="shared" si="163"/>
        <v/>
      </c>
      <c r="T31" s="35"/>
      <c r="U31" s="33" t="str">
        <f t="shared" si="141"/>
        <v/>
      </c>
      <c r="V31" s="34"/>
      <c r="W31" s="31" t="str">
        <f t="shared" si="164"/>
        <v/>
      </c>
      <c r="X31" s="35"/>
      <c r="Y31" s="33" t="str">
        <f t="shared" si="143"/>
        <v/>
      </c>
      <c r="Z31" s="34"/>
      <c r="AA31" s="31" t="str">
        <f t="shared" si="165"/>
        <v/>
      </c>
      <c r="AB31" s="35"/>
      <c r="AC31" s="33" t="str">
        <f t="shared" si="145"/>
        <v/>
      </c>
      <c r="AD31" s="34"/>
      <c r="AE31" s="31" t="str">
        <f t="shared" si="166"/>
        <v/>
      </c>
      <c r="AF31" s="35"/>
      <c r="AG31" s="33" t="str">
        <f t="shared" si="147"/>
        <v/>
      </c>
      <c r="AH31" s="34"/>
      <c r="AI31" s="31" t="str">
        <f t="shared" si="167"/>
        <v/>
      </c>
      <c r="AJ31" s="35"/>
      <c r="AK31" s="33" t="str">
        <f t="shared" si="149"/>
        <v/>
      </c>
      <c r="AL31" s="34"/>
      <c r="AM31" s="31" t="str">
        <f t="shared" si="168"/>
        <v/>
      </c>
      <c r="AN31" s="35"/>
      <c r="AO31" s="33" t="str">
        <f t="shared" si="151"/>
        <v/>
      </c>
      <c r="AP31" s="34"/>
      <c r="AQ31" s="31" t="str">
        <f t="shared" si="169"/>
        <v/>
      </c>
      <c r="AR31" s="35"/>
      <c r="AS31" s="33" t="str">
        <f t="shared" si="153"/>
        <v/>
      </c>
      <c r="AT31" s="34"/>
      <c r="AU31" s="31" t="str">
        <f t="shared" si="170"/>
        <v/>
      </c>
      <c r="AV31" s="35"/>
      <c r="AW31" s="33" t="str">
        <f t="shared" si="155"/>
        <v/>
      </c>
      <c r="AX31" s="34"/>
      <c r="AY31" s="31" t="str">
        <f t="shared" si="171"/>
        <v/>
      </c>
      <c r="AZ31" s="35"/>
      <c r="BA31" s="33" t="str">
        <f t="shared" si="157"/>
        <v/>
      </c>
    </row>
    <row r="32" ht="18.0" customHeight="1">
      <c r="A32" s="2" t="s">
        <v>35</v>
      </c>
      <c r="B32" s="30">
        <f t="shared" ref="B32:D32" si="172">SUM(AX32,AT32,AP32,AL32,AH32,AD32,Z32,V32,R32,N32,J32,F32)</f>
        <v>0</v>
      </c>
      <c r="C32" s="31">
        <f t="shared" si="172"/>
        <v>0</v>
      </c>
      <c r="D32" s="32">
        <f t="shared" si="172"/>
        <v>0</v>
      </c>
      <c r="E32" s="33">
        <f t="shared" si="133"/>
        <v>0</v>
      </c>
      <c r="F32" s="34"/>
      <c r="G32" s="31" t="str">
        <f t="shared" si="160"/>
        <v/>
      </c>
      <c r="H32" s="35"/>
      <c r="I32" s="33" t="str">
        <f t="shared" si="135"/>
        <v/>
      </c>
      <c r="J32" s="34"/>
      <c r="K32" s="31" t="str">
        <f t="shared" si="161"/>
        <v/>
      </c>
      <c r="L32" s="35"/>
      <c r="M32" s="33" t="str">
        <f t="shared" si="137"/>
        <v/>
      </c>
      <c r="N32" s="34"/>
      <c r="O32" s="31" t="str">
        <f t="shared" si="162"/>
        <v/>
      </c>
      <c r="P32" s="35"/>
      <c r="Q32" s="33" t="str">
        <f t="shared" si="139"/>
        <v/>
      </c>
      <c r="R32" s="34"/>
      <c r="S32" s="31" t="str">
        <f t="shared" si="163"/>
        <v/>
      </c>
      <c r="T32" s="35"/>
      <c r="U32" s="33" t="str">
        <f t="shared" si="141"/>
        <v/>
      </c>
      <c r="V32" s="34"/>
      <c r="W32" s="31" t="str">
        <f t="shared" si="164"/>
        <v/>
      </c>
      <c r="X32" s="35"/>
      <c r="Y32" s="33" t="str">
        <f t="shared" si="143"/>
        <v/>
      </c>
      <c r="Z32" s="34"/>
      <c r="AA32" s="31" t="str">
        <f t="shared" si="165"/>
        <v/>
      </c>
      <c r="AB32" s="35"/>
      <c r="AC32" s="33" t="str">
        <f t="shared" si="145"/>
        <v/>
      </c>
      <c r="AD32" s="34"/>
      <c r="AE32" s="31" t="str">
        <f t="shared" si="166"/>
        <v/>
      </c>
      <c r="AF32" s="35"/>
      <c r="AG32" s="33" t="str">
        <f t="shared" si="147"/>
        <v/>
      </c>
      <c r="AH32" s="34"/>
      <c r="AI32" s="31" t="str">
        <f t="shared" si="167"/>
        <v/>
      </c>
      <c r="AJ32" s="35"/>
      <c r="AK32" s="33" t="str">
        <f t="shared" si="149"/>
        <v/>
      </c>
      <c r="AL32" s="34"/>
      <c r="AM32" s="31" t="str">
        <f t="shared" si="168"/>
        <v/>
      </c>
      <c r="AN32" s="35"/>
      <c r="AO32" s="33" t="str">
        <f t="shared" si="151"/>
        <v/>
      </c>
      <c r="AP32" s="34"/>
      <c r="AQ32" s="31" t="str">
        <f t="shared" si="169"/>
        <v/>
      </c>
      <c r="AR32" s="35"/>
      <c r="AS32" s="33" t="str">
        <f t="shared" si="153"/>
        <v/>
      </c>
      <c r="AT32" s="34"/>
      <c r="AU32" s="31" t="str">
        <f t="shared" si="170"/>
        <v/>
      </c>
      <c r="AV32" s="35"/>
      <c r="AW32" s="33" t="str">
        <f t="shared" si="155"/>
        <v/>
      </c>
      <c r="AX32" s="34"/>
      <c r="AY32" s="31" t="str">
        <f t="shared" si="171"/>
        <v/>
      </c>
      <c r="AZ32" s="35"/>
      <c r="BA32" s="33" t="str">
        <f t="shared" si="157"/>
        <v/>
      </c>
    </row>
    <row r="33" ht="18.0" customHeight="1">
      <c r="A33" s="2" t="s">
        <v>36</v>
      </c>
      <c r="B33" s="30">
        <f t="shared" ref="B33:D33" si="173">SUM(AX33,AT33,AP33,AL33,AH33,AD33,Z33,V33,R33,N33,J33,F33)</f>
        <v>0</v>
      </c>
      <c r="C33" s="31">
        <f t="shared" si="173"/>
        <v>0</v>
      </c>
      <c r="D33" s="32">
        <f t="shared" si="173"/>
        <v>0</v>
      </c>
      <c r="E33" s="33">
        <f t="shared" si="133"/>
        <v>0</v>
      </c>
      <c r="F33" s="34"/>
      <c r="G33" s="31" t="str">
        <f t="shared" si="160"/>
        <v/>
      </c>
      <c r="H33" s="35"/>
      <c r="I33" s="33" t="str">
        <f t="shared" si="135"/>
        <v/>
      </c>
      <c r="J33" s="34"/>
      <c r="K33" s="31" t="str">
        <f t="shared" si="161"/>
        <v/>
      </c>
      <c r="L33" s="35"/>
      <c r="M33" s="33" t="str">
        <f t="shared" si="137"/>
        <v/>
      </c>
      <c r="N33" s="34"/>
      <c r="O33" s="31" t="str">
        <f t="shared" si="162"/>
        <v/>
      </c>
      <c r="P33" s="35"/>
      <c r="Q33" s="33" t="str">
        <f t="shared" si="139"/>
        <v/>
      </c>
      <c r="R33" s="34"/>
      <c r="S33" s="31" t="str">
        <f t="shared" si="163"/>
        <v/>
      </c>
      <c r="T33" s="35"/>
      <c r="U33" s="33" t="str">
        <f t="shared" si="141"/>
        <v/>
      </c>
      <c r="V33" s="34"/>
      <c r="W33" s="31" t="str">
        <f t="shared" si="164"/>
        <v/>
      </c>
      <c r="X33" s="35"/>
      <c r="Y33" s="33" t="str">
        <f t="shared" si="143"/>
        <v/>
      </c>
      <c r="Z33" s="34"/>
      <c r="AA33" s="31" t="str">
        <f t="shared" si="165"/>
        <v/>
      </c>
      <c r="AB33" s="35"/>
      <c r="AC33" s="33" t="str">
        <f t="shared" si="145"/>
        <v/>
      </c>
      <c r="AD33" s="34"/>
      <c r="AE33" s="31" t="str">
        <f t="shared" si="166"/>
        <v/>
      </c>
      <c r="AF33" s="35"/>
      <c r="AG33" s="33" t="str">
        <f t="shared" si="147"/>
        <v/>
      </c>
      <c r="AH33" s="34"/>
      <c r="AI33" s="31" t="str">
        <f t="shared" si="167"/>
        <v/>
      </c>
      <c r="AJ33" s="35"/>
      <c r="AK33" s="33" t="str">
        <f t="shared" si="149"/>
        <v/>
      </c>
      <c r="AL33" s="34"/>
      <c r="AM33" s="31" t="str">
        <f t="shared" si="168"/>
        <v/>
      </c>
      <c r="AN33" s="35"/>
      <c r="AO33" s="33" t="str">
        <f t="shared" si="151"/>
        <v/>
      </c>
      <c r="AP33" s="34"/>
      <c r="AQ33" s="31" t="str">
        <f t="shared" si="169"/>
        <v/>
      </c>
      <c r="AR33" s="35"/>
      <c r="AS33" s="33" t="str">
        <f t="shared" si="153"/>
        <v/>
      </c>
      <c r="AT33" s="34"/>
      <c r="AU33" s="31" t="str">
        <f t="shared" si="170"/>
        <v/>
      </c>
      <c r="AV33" s="35"/>
      <c r="AW33" s="33" t="str">
        <f t="shared" si="155"/>
        <v/>
      </c>
      <c r="AX33" s="34"/>
      <c r="AY33" s="31" t="str">
        <f t="shared" si="171"/>
        <v/>
      </c>
      <c r="AZ33" s="35"/>
      <c r="BA33" s="33" t="str">
        <f t="shared" si="157"/>
        <v/>
      </c>
    </row>
    <row r="34" ht="18.0" customHeight="1">
      <c r="A34" s="36" t="s">
        <v>37</v>
      </c>
      <c r="B34" s="39">
        <f t="shared" ref="B34:D34" si="174">SUM(AX34,AT34,AP34,AL34,AH34,AD34,Z34,V34,R34,N34,J34,F34)</f>
        <v>0</v>
      </c>
      <c r="C34" s="39">
        <f t="shared" si="174"/>
        <v>0</v>
      </c>
      <c r="D34" s="39">
        <f t="shared" si="174"/>
        <v>0</v>
      </c>
      <c r="E34" s="39">
        <f t="shared" si="133"/>
        <v>0</v>
      </c>
      <c r="F34" s="39" t="str">
        <f t="shared" ref="F34:H34" si="175">IF(COUNT(F28:F33)&gt;0,SUM(F28:F33),"")</f>
        <v/>
      </c>
      <c r="G34" s="39" t="str">
        <f t="shared" si="175"/>
        <v/>
      </c>
      <c r="H34" s="39" t="str">
        <f t="shared" si="175"/>
        <v/>
      </c>
      <c r="I34" s="39" t="str">
        <f t="shared" si="135"/>
        <v/>
      </c>
      <c r="J34" s="39" t="str">
        <f t="shared" ref="J34:L34" si="176">IF(COUNT(J28:J33)&gt;0,SUM(J28:J33),"")</f>
        <v/>
      </c>
      <c r="K34" s="39" t="str">
        <f t="shared" si="176"/>
        <v/>
      </c>
      <c r="L34" s="39" t="str">
        <f t="shared" si="176"/>
        <v/>
      </c>
      <c r="M34" s="39" t="str">
        <f t="shared" si="137"/>
        <v/>
      </c>
      <c r="N34" s="39" t="str">
        <f t="shared" ref="N34:P34" si="177">IF(COUNT(N28:N33)&gt;0,SUM(N28:N33),"")</f>
        <v/>
      </c>
      <c r="O34" s="39" t="str">
        <f t="shared" si="177"/>
        <v/>
      </c>
      <c r="P34" s="39" t="str">
        <f t="shared" si="177"/>
        <v/>
      </c>
      <c r="Q34" s="39" t="str">
        <f t="shared" si="139"/>
        <v/>
      </c>
      <c r="R34" s="39" t="str">
        <f t="shared" ref="R34:T34" si="178">IF(COUNT(R28:R33)&gt;0,SUM(R28:R33),"")</f>
        <v/>
      </c>
      <c r="S34" s="39" t="str">
        <f t="shared" si="178"/>
        <v/>
      </c>
      <c r="T34" s="39" t="str">
        <f t="shared" si="178"/>
        <v/>
      </c>
      <c r="U34" s="39" t="str">
        <f t="shared" si="141"/>
        <v/>
      </c>
      <c r="V34" s="39" t="str">
        <f t="shared" ref="V34:X34" si="179">IF(COUNT(V28:V33)&gt;0,SUM(V28:V33),"")</f>
        <v/>
      </c>
      <c r="W34" s="39" t="str">
        <f t="shared" si="179"/>
        <v/>
      </c>
      <c r="X34" s="39" t="str">
        <f t="shared" si="179"/>
        <v/>
      </c>
      <c r="Y34" s="39" t="str">
        <f t="shared" si="143"/>
        <v/>
      </c>
      <c r="Z34" s="39" t="str">
        <f t="shared" ref="Z34:AB34" si="180">IF(COUNT(Z28:Z33)&gt;0,SUM(Z28:Z33),"")</f>
        <v/>
      </c>
      <c r="AA34" s="39" t="str">
        <f t="shared" si="180"/>
        <v/>
      </c>
      <c r="AB34" s="39" t="str">
        <f t="shared" si="180"/>
        <v/>
      </c>
      <c r="AC34" s="39" t="str">
        <f t="shared" si="145"/>
        <v/>
      </c>
      <c r="AD34" s="39" t="str">
        <f t="shared" ref="AD34:AF34" si="181">IF(COUNT(AD28:AD33)&gt;0,SUM(AD28:AD33),"")</f>
        <v/>
      </c>
      <c r="AE34" s="39" t="str">
        <f t="shared" si="181"/>
        <v/>
      </c>
      <c r="AF34" s="39" t="str">
        <f t="shared" si="181"/>
        <v/>
      </c>
      <c r="AG34" s="39" t="str">
        <f t="shared" si="147"/>
        <v/>
      </c>
      <c r="AH34" s="39" t="str">
        <f t="shared" ref="AH34:AJ34" si="182">IF(COUNT(AH28:AH33)&gt;0,SUM(AH28:AH33),"")</f>
        <v/>
      </c>
      <c r="AI34" s="39" t="str">
        <f t="shared" si="182"/>
        <v/>
      </c>
      <c r="AJ34" s="39" t="str">
        <f t="shared" si="182"/>
        <v/>
      </c>
      <c r="AK34" s="39" t="str">
        <f t="shared" si="149"/>
        <v/>
      </c>
      <c r="AL34" s="39" t="str">
        <f t="shared" ref="AL34:AN34" si="183">IF(COUNT(AL28:AL33)&gt;0,SUM(AL28:AL33),"")</f>
        <v/>
      </c>
      <c r="AM34" s="39" t="str">
        <f t="shared" si="183"/>
        <v/>
      </c>
      <c r="AN34" s="39" t="str">
        <f t="shared" si="183"/>
        <v/>
      </c>
      <c r="AO34" s="39" t="str">
        <f t="shared" si="151"/>
        <v/>
      </c>
      <c r="AP34" s="39" t="str">
        <f t="shared" ref="AP34:AR34" si="184">IF(COUNT(AP28:AP33)&gt;0,SUM(AP28:AP33),"")</f>
        <v/>
      </c>
      <c r="AQ34" s="39" t="str">
        <f t="shared" si="184"/>
        <v/>
      </c>
      <c r="AR34" s="39" t="str">
        <f t="shared" si="184"/>
        <v/>
      </c>
      <c r="AS34" s="39" t="str">
        <f t="shared" si="153"/>
        <v/>
      </c>
      <c r="AT34" s="39" t="str">
        <f t="shared" ref="AT34:AV34" si="185">IF(COUNT(AT28:AT33)&gt;0,SUM(AT28:AT33),"")</f>
        <v/>
      </c>
      <c r="AU34" s="39" t="str">
        <f t="shared" si="185"/>
        <v/>
      </c>
      <c r="AV34" s="39" t="str">
        <f t="shared" si="185"/>
        <v/>
      </c>
      <c r="AW34" s="39" t="str">
        <f t="shared" si="155"/>
        <v/>
      </c>
      <c r="AX34" s="39" t="str">
        <f t="shared" ref="AX34:AZ34" si="186">IF(COUNT(AX28:AX33)&gt;0,SUM(AX28:AX33),"")</f>
        <v/>
      </c>
      <c r="AY34" s="39" t="str">
        <f t="shared" si="186"/>
        <v/>
      </c>
      <c r="AZ34" s="39" t="str">
        <f t="shared" si="186"/>
        <v/>
      </c>
      <c r="BA34" s="39" t="str">
        <f t="shared" si="157"/>
        <v/>
      </c>
    </row>
    <row r="35" ht="18.0" customHeight="1">
      <c r="A35" s="12" t="s">
        <v>38</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row>
    <row r="36" ht="18.0" customHeight="1">
      <c r="A36" s="36" t="s">
        <v>39</v>
      </c>
      <c r="B36" s="39">
        <f t="shared" ref="B36:D36" si="187">SUM(AX36,AT36,AP36,AL36,AH36,AD36,Z36,V36,R36,N36,J36,F36)</f>
        <v>0</v>
      </c>
      <c r="C36" s="39">
        <f t="shared" si="187"/>
        <v>0</v>
      </c>
      <c r="D36" s="39">
        <f t="shared" si="187"/>
        <v>0</v>
      </c>
      <c r="E36" s="39">
        <f>IFERROR(IF(OR(C36="",D36=""),"",C36-D36),"")</f>
        <v>0</v>
      </c>
      <c r="F36" s="39" t="str">
        <f t="shared" ref="F36:H36" si="188">IF(COUNT(F26,F34)=2,F26-F34,"")</f>
        <v/>
      </c>
      <c r="G36" s="39" t="str">
        <f t="shared" si="188"/>
        <v/>
      </c>
      <c r="H36" s="39" t="str">
        <f t="shared" si="188"/>
        <v/>
      </c>
      <c r="I36" s="39" t="str">
        <f>IFERROR(IF(OR(G36="",H36=""),"",G36-H36),"")</f>
        <v/>
      </c>
      <c r="J36" s="39" t="str">
        <f t="shared" ref="J36:L36" si="189">IF(COUNT(J26,J34)=2,J26-J34,"")</f>
        <v/>
      </c>
      <c r="K36" s="39" t="str">
        <f t="shared" si="189"/>
        <v/>
      </c>
      <c r="L36" s="39" t="str">
        <f t="shared" si="189"/>
        <v/>
      </c>
      <c r="M36" s="39" t="str">
        <f>IFERROR(IF(OR(K36="",L36=""),"",K36-L36),"")</f>
        <v/>
      </c>
      <c r="N36" s="39" t="str">
        <f t="shared" ref="N36:P36" si="190">IF(COUNT(N26,N34)=2,N26-N34,"")</f>
        <v/>
      </c>
      <c r="O36" s="39" t="str">
        <f t="shared" si="190"/>
        <v/>
      </c>
      <c r="P36" s="39" t="str">
        <f t="shared" si="190"/>
        <v/>
      </c>
      <c r="Q36" s="39" t="str">
        <f>IFERROR(IF(OR(O36="",P36=""),"",O36-P36),"")</f>
        <v/>
      </c>
      <c r="R36" s="39" t="str">
        <f t="shared" ref="R36:T36" si="191">IF(COUNT(R26,R34)=2,R26-R34,"")</f>
        <v/>
      </c>
      <c r="S36" s="39" t="str">
        <f t="shared" si="191"/>
        <v/>
      </c>
      <c r="T36" s="39" t="str">
        <f t="shared" si="191"/>
        <v/>
      </c>
      <c r="U36" s="39" t="str">
        <f>IFERROR(IF(OR(S36="",T36=""),"",S36-T36),"")</f>
        <v/>
      </c>
      <c r="V36" s="39" t="str">
        <f t="shared" ref="V36:X36" si="192">IF(COUNT(V26,V34)=2,V26-V34,"")</f>
        <v/>
      </c>
      <c r="W36" s="39" t="str">
        <f t="shared" si="192"/>
        <v/>
      </c>
      <c r="X36" s="39" t="str">
        <f t="shared" si="192"/>
        <v/>
      </c>
      <c r="Y36" s="39" t="str">
        <f>IFERROR(IF(OR(W36="",X36=""),"",W36-X36),"")</f>
        <v/>
      </c>
      <c r="Z36" s="39" t="str">
        <f t="shared" ref="Z36:AB36" si="193">IF(COUNT(Z26,Z34)=2,Z26-Z34,"")</f>
        <v/>
      </c>
      <c r="AA36" s="39" t="str">
        <f t="shared" si="193"/>
        <v/>
      </c>
      <c r="AB36" s="39" t="str">
        <f t="shared" si="193"/>
        <v/>
      </c>
      <c r="AC36" s="39" t="str">
        <f>IFERROR(IF(OR(AA36="",AB36=""),"",AA36-AB36),"")</f>
        <v/>
      </c>
      <c r="AD36" s="39" t="str">
        <f t="shared" ref="AD36:AF36" si="194">IF(COUNT(AD26,AD34)=2,AD26-AD34,"")</f>
        <v/>
      </c>
      <c r="AE36" s="39" t="str">
        <f t="shared" si="194"/>
        <v/>
      </c>
      <c r="AF36" s="39" t="str">
        <f t="shared" si="194"/>
        <v/>
      </c>
      <c r="AG36" s="39" t="str">
        <f>IFERROR(IF(OR(AE36="",AF36=""),"",AE36-AF36),"")</f>
        <v/>
      </c>
      <c r="AH36" s="39" t="str">
        <f t="shared" ref="AH36:AJ36" si="195">IF(COUNT(AH26,AH34)=2,AH26-AH34,"")</f>
        <v/>
      </c>
      <c r="AI36" s="39" t="str">
        <f t="shared" si="195"/>
        <v/>
      </c>
      <c r="AJ36" s="39" t="str">
        <f t="shared" si="195"/>
        <v/>
      </c>
      <c r="AK36" s="39" t="str">
        <f>IFERROR(IF(OR(AI36="",AJ36=""),"",AI36-AJ36),"")</f>
        <v/>
      </c>
      <c r="AL36" s="39" t="str">
        <f t="shared" ref="AL36:AN36" si="196">IF(COUNT(AL26,AL34)=2,AL26-AL34,"")</f>
        <v/>
      </c>
      <c r="AM36" s="39" t="str">
        <f t="shared" si="196"/>
        <v/>
      </c>
      <c r="AN36" s="39" t="str">
        <f t="shared" si="196"/>
        <v/>
      </c>
      <c r="AO36" s="39" t="str">
        <f>IFERROR(IF(OR(AM36="",AN36=""),"",AM36-AN36),"")</f>
        <v/>
      </c>
      <c r="AP36" s="39" t="str">
        <f t="shared" ref="AP36:AR36" si="197">IF(COUNT(AP26,AP34)=2,AP26-AP34,"")</f>
        <v/>
      </c>
      <c r="AQ36" s="39" t="str">
        <f t="shared" si="197"/>
        <v/>
      </c>
      <c r="AR36" s="39" t="str">
        <f t="shared" si="197"/>
        <v/>
      </c>
      <c r="AS36" s="39" t="str">
        <f>IFERROR(IF(OR(AQ36="",AR36=""),"",AQ36-AR36),"")</f>
        <v/>
      </c>
      <c r="AT36" s="39" t="str">
        <f t="shared" ref="AT36:AV36" si="198">IF(COUNT(AT26,AT34)=2,AT26-AT34,"")</f>
        <v/>
      </c>
      <c r="AU36" s="39" t="str">
        <f t="shared" si="198"/>
        <v/>
      </c>
      <c r="AV36" s="39" t="str">
        <f t="shared" si="198"/>
        <v/>
      </c>
      <c r="AW36" s="39" t="str">
        <f>IFERROR(IF(OR(AU36="",AV36=""),"",AU36-AV36),"")</f>
        <v/>
      </c>
      <c r="AX36" s="39" t="str">
        <f t="shared" ref="AX36:AZ36" si="199">IF(COUNT(AX26,AX34)=2,AX26-AX34,"")</f>
        <v/>
      </c>
      <c r="AY36" s="39" t="str">
        <f t="shared" si="199"/>
        <v/>
      </c>
      <c r="AZ36" s="39" t="str">
        <f t="shared" si="199"/>
        <v/>
      </c>
      <c r="BA36" s="39" t="str">
        <f>IFERROR(IF(OR(AY36="",AZ36=""),"",AY36-AZ36),"")</f>
        <v/>
      </c>
    </row>
    <row r="37" ht="18.0" customHeight="1">
      <c r="A37" s="12" t="s">
        <v>40</v>
      </c>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row>
    <row r="38" ht="18.0" customHeight="1">
      <c r="A38" s="2" t="s">
        <v>41</v>
      </c>
      <c r="B38" s="30">
        <f t="shared" ref="B38:D38" si="200">SUM(AX38,AT38,AP38,AL38,AH38,AD38,Z38,V38,R38,N38,J38,F38)</f>
        <v>0</v>
      </c>
      <c r="C38" s="31">
        <f t="shared" si="200"/>
        <v>0</v>
      </c>
      <c r="D38" s="32">
        <f t="shared" si="200"/>
        <v>0</v>
      </c>
      <c r="E38" s="33">
        <f t="shared" ref="E38:E53" si="202">IFERROR(IF(OR(C38="",D38=""),"",C38-D38),"")</f>
        <v>0</v>
      </c>
      <c r="F38" s="34"/>
      <c r="G38" s="31" t="str">
        <f t="shared" ref="G38:G52" si="203">IF(F$98=1,F38,H38)</f>
        <v/>
      </c>
      <c r="H38" s="35"/>
      <c r="I38" s="33" t="str">
        <f t="shared" ref="I38:I53" si="204">IFERROR(IF(OR(G38="",H38=""),"",G38-H38),"")</f>
        <v/>
      </c>
      <c r="J38" s="34"/>
      <c r="K38" s="31" t="str">
        <f t="shared" ref="K38:K52" si="205">IF(J$98=1,J38,L38)</f>
        <v/>
      </c>
      <c r="L38" s="35"/>
      <c r="M38" s="33" t="str">
        <f t="shared" ref="M38:M53" si="206">IFERROR(IF(OR(K38="",L38=""),"",K38-L38),"")</f>
        <v/>
      </c>
      <c r="N38" s="34"/>
      <c r="O38" s="31" t="str">
        <f t="shared" ref="O38:O52" si="207">IF(N$98=1,N38,P38)</f>
        <v/>
      </c>
      <c r="P38" s="35"/>
      <c r="Q38" s="33" t="str">
        <f t="shared" ref="Q38:Q53" si="208">IFERROR(IF(OR(O38="",P38=""),"",O38-P38),"")</f>
        <v/>
      </c>
      <c r="R38" s="34"/>
      <c r="S38" s="31" t="str">
        <f t="shared" ref="S38:S52" si="209">IF(R$98=1,R38,T38)</f>
        <v/>
      </c>
      <c r="T38" s="35"/>
      <c r="U38" s="33" t="str">
        <f t="shared" ref="U38:U53" si="210">IFERROR(IF(OR(S38="",T38=""),"",S38-T38),"")</f>
        <v/>
      </c>
      <c r="V38" s="34"/>
      <c r="W38" s="31" t="str">
        <f t="shared" ref="W38:W52" si="211">IF(V$98=1,V38,X38)</f>
        <v/>
      </c>
      <c r="X38" s="35"/>
      <c r="Y38" s="33" t="str">
        <f t="shared" ref="Y38:Y53" si="212">IFERROR(IF(OR(W38="",X38=""),"",W38-X38),"")</f>
        <v/>
      </c>
      <c r="Z38" s="34"/>
      <c r="AA38" s="31" t="str">
        <f t="shared" ref="AA38:AA52" si="213">IF(Z$98=1,Z38,AB38)</f>
        <v/>
      </c>
      <c r="AB38" s="35"/>
      <c r="AC38" s="33" t="str">
        <f t="shared" ref="AC38:AC53" si="214">IFERROR(IF(OR(AA38="",AB38=""),"",AA38-AB38),"")</f>
        <v/>
      </c>
      <c r="AD38" s="34"/>
      <c r="AE38" s="31" t="str">
        <f t="shared" ref="AE38:AE52" si="215">IF(AD$98=1,AD38,AF38)</f>
        <v/>
      </c>
      <c r="AF38" s="35"/>
      <c r="AG38" s="33" t="str">
        <f t="shared" ref="AG38:AG53" si="216">IFERROR(IF(OR(AE38="",AF38=""),"",AE38-AF38),"")</f>
        <v/>
      </c>
      <c r="AH38" s="34"/>
      <c r="AI38" s="31" t="str">
        <f t="shared" ref="AI38:AI52" si="217">IF(AH$98=1,AH38,AJ38)</f>
        <v/>
      </c>
      <c r="AJ38" s="35"/>
      <c r="AK38" s="33" t="str">
        <f t="shared" ref="AK38:AK53" si="218">IFERROR(IF(OR(AI38="",AJ38=""),"",AI38-AJ38),"")</f>
        <v/>
      </c>
      <c r="AL38" s="34"/>
      <c r="AM38" s="31" t="str">
        <f t="shared" ref="AM38:AM52" si="219">IF(AL$98=1,AL38,AN38)</f>
        <v/>
      </c>
      <c r="AN38" s="35"/>
      <c r="AO38" s="33" t="str">
        <f t="shared" ref="AO38:AO53" si="220">IFERROR(IF(OR(AM38="",AN38=""),"",AM38-AN38),"")</f>
        <v/>
      </c>
      <c r="AP38" s="34"/>
      <c r="AQ38" s="31" t="str">
        <f t="shared" ref="AQ38:AQ52" si="221">IF(AP$98=1,AP38,AR38)</f>
        <v/>
      </c>
      <c r="AR38" s="35"/>
      <c r="AS38" s="33" t="str">
        <f t="shared" ref="AS38:AS53" si="222">IFERROR(IF(OR(AQ38="",AR38=""),"",AQ38-AR38),"")</f>
        <v/>
      </c>
      <c r="AT38" s="34"/>
      <c r="AU38" s="31" t="str">
        <f t="shared" ref="AU38:AU52" si="223">IF(AT$98=1,AT38,AV38)</f>
        <v/>
      </c>
      <c r="AV38" s="35"/>
      <c r="AW38" s="33" t="str">
        <f t="shared" ref="AW38:AW53" si="224">IFERROR(IF(OR(AU38="",AV38=""),"",AU38-AV38),"")</f>
        <v/>
      </c>
      <c r="AX38" s="34"/>
      <c r="AY38" s="31" t="str">
        <f t="shared" ref="AY38:AY52" si="225">IF(AX$98=1,AX38,AZ38)</f>
        <v/>
      </c>
      <c r="AZ38" s="35"/>
      <c r="BA38" s="33" t="str">
        <f t="shared" ref="BA38:BA53" si="226">IFERROR(IF(OR(AY38="",AZ38=""),"",AY38-AZ38),"")</f>
        <v/>
      </c>
    </row>
    <row r="39" ht="18.0" customHeight="1">
      <c r="A39" s="2" t="s">
        <v>42</v>
      </c>
      <c r="B39" s="30">
        <f t="shared" ref="B39:D39" si="201">SUM(AX39,AT39,AP39,AL39,AH39,AD39,Z39,V39,R39,N39,J39,F39)</f>
        <v>0</v>
      </c>
      <c r="C39" s="31">
        <f t="shared" si="201"/>
        <v>0</v>
      </c>
      <c r="D39" s="32">
        <f t="shared" si="201"/>
        <v>0</v>
      </c>
      <c r="E39" s="33">
        <f t="shared" si="202"/>
        <v>0</v>
      </c>
      <c r="F39" s="34"/>
      <c r="G39" s="31" t="str">
        <f t="shared" si="203"/>
        <v/>
      </c>
      <c r="H39" s="35"/>
      <c r="I39" s="33" t="str">
        <f t="shared" si="204"/>
        <v/>
      </c>
      <c r="J39" s="34"/>
      <c r="K39" s="31" t="str">
        <f t="shared" si="205"/>
        <v/>
      </c>
      <c r="L39" s="35"/>
      <c r="M39" s="33" t="str">
        <f t="shared" si="206"/>
        <v/>
      </c>
      <c r="N39" s="34"/>
      <c r="O39" s="31" t="str">
        <f t="shared" si="207"/>
        <v/>
      </c>
      <c r="P39" s="35"/>
      <c r="Q39" s="33" t="str">
        <f t="shared" si="208"/>
        <v/>
      </c>
      <c r="R39" s="34"/>
      <c r="S39" s="31" t="str">
        <f t="shared" si="209"/>
        <v/>
      </c>
      <c r="T39" s="35"/>
      <c r="U39" s="33" t="str">
        <f t="shared" si="210"/>
        <v/>
      </c>
      <c r="V39" s="34"/>
      <c r="W39" s="31" t="str">
        <f t="shared" si="211"/>
        <v/>
      </c>
      <c r="X39" s="35"/>
      <c r="Y39" s="33" t="str">
        <f t="shared" si="212"/>
        <v/>
      </c>
      <c r="Z39" s="34"/>
      <c r="AA39" s="31" t="str">
        <f t="shared" si="213"/>
        <v/>
      </c>
      <c r="AB39" s="35"/>
      <c r="AC39" s="33" t="str">
        <f t="shared" si="214"/>
        <v/>
      </c>
      <c r="AD39" s="34"/>
      <c r="AE39" s="31" t="str">
        <f t="shared" si="215"/>
        <v/>
      </c>
      <c r="AF39" s="35"/>
      <c r="AG39" s="33" t="str">
        <f t="shared" si="216"/>
        <v/>
      </c>
      <c r="AH39" s="34"/>
      <c r="AI39" s="31" t="str">
        <f t="shared" si="217"/>
        <v/>
      </c>
      <c r="AJ39" s="35"/>
      <c r="AK39" s="33" t="str">
        <f t="shared" si="218"/>
        <v/>
      </c>
      <c r="AL39" s="34"/>
      <c r="AM39" s="31" t="str">
        <f t="shared" si="219"/>
        <v/>
      </c>
      <c r="AN39" s="35"/>
      <c r="AO39" s="33" t="str">
        <f t="shared" si="220"/>
        <v/>
      </c>
      <c r="AP39" s="34"/>
      <c r="AQ39" s="31" t="str">
        <f t="shared" si="221"/>
        <v/>
      </c>
      <c r="AR39" s="35"/>
      <c r="AS39" s="33" t="str">
        <f t="shared" si="222"/>
        <v/>
      </c>
      <c r="AT39" s="34"/>
      <c r="AU39" s="31" t="str">
        <f t="shared" si="223"/>
        <v/>
      </c>
      <c r="AV39" s="35"/>
      <c r="AW39" s="33" t="str">
        <f t="shared" si="224"/>
        <v/>
      </c>
      <c r="AX39" s="34"/>
      <c r="AY39" s="31" t="str">
        <f t="shared" si="225"/>
        <v/>
      </c>
      <c r="AZ39" s="35"/>
      <c r="BA39" s="33" t="str">
        <f t="shared" si="226"/>
        <v/>
      </c>
    </row>
    <row r="40" ht="18.0" customHeight="1">
      <c r="A40" s="2" t="s">
        <v>43</v>
      </c>
      <c r="B40" s="30">
        <f t="shared" ref="B40:D40" si="227">SUM(AX40,AT40,AP40,AL40,AH40,AD40,Z40,V40,R40,N40,J40,F40)</f>
        <v>0</v>
      </c>
      <c r="C40" s="31">
        <f t="shared" si="227"/>
        <v>0</v>
      </c>
      <c r="D40" s="32">
        <f t="shared" si="227"/>
        <v>0</v>
      </c>
      <c r="E40" s="33">
        <f t="shared" si="202"/>
        <v>0</v>
      </c>
      <c r="F40" s="34"/>
      <c r="G40" s="31" t="str">
        <f t="shared" si="203"/>
        <v/>
      </c>
      <c r="H40" s="35"/>
      <c r="I40" s="33" t="str">
        <f t="shared" si="204"/>
        <v/>
      </c>
      <c r="J40" s="34"/>
      <c r="K40" s="31" t="str">
        <f t="shared" si="205"/>
        <v/>
      </c>
      <c r="L40" s="35"/>
      <c r="M40" s="33" t="str">
        <f t="shared" si="206"/>
        <v/>
      </c>
      <c r="N40" s="34"/>
      <c r="O40" s="31" t="str">
        <f t="shared" si="207"/>
        <v/>
      </c>
      <c r="P40" s="35"/>
      <c r="Q40" s="33" t="str">
        <f t="shared" si="208"/>
        <v/>
      </c>
      <c r="R40" s="34"/>
      <c r="S40" s="31" t="str">
        <f t="shared" si="209"/>
        <v/>
      </c>
      <c r="T40" s="35"/>
      <c r="U40" s="33" t="str">
        <f t="shared" si="210"/>
        <v/>
      </c>
      <c r="V40" s="34"/>
      <c r="W40" s="31" t="str">
        <f t="shared" si="211"/>
        <v/>
      </c>
      <c r="X40" s="35"/>
      <c r="Y40" s="33" t="str">
        <f t="shared" si="212"/>
        <v/>
      </c>
      <c r="Z40" s="34"/>
      <c r="AA40" s="31" t="str">
        <f t="shared" si="213"/>
        <v/>
      </c>
      <c r="AB40" s="35"/>
      <c r="AC40" s="33" t="str">
        <f t="shared" si="214"/>
        <v/>
      </c>
      <c r="AD40" s="34"/>
      <c r="AE40" s="31" t="str">
        <f t="shared" si="215"/>
        <v/>
      </c>
      <c r="AF40" s="35"/>
      <c r="AG40" s="33" t="str">
        <f t="shared" si="216"/>
        <v/>
      </c>
      <c r="AH40" s="34"/>
      <c r="AI40" s="31" t="str">
        <f t="shared" si="217"/>
        <v/>
      </c>
      <c r="AJ40" s="35"/>
      <c r="AK40" s="33" t="str">
        <f t="shared" si="218"/>
        <v/>
      </c>
      <c r="AL40" s="34"/>
      <c r="AM40" s="31" t="str">
        <f t="shared" si="219"/>
        <v/>
      </c>
      <c r="AN40" s="35"/>
      <c r="AO40" s="33" t="str">
        <f t="shared" si="220"/>
        <v/>
      </c>
      <c r="AP40" s="34"/>
      <c r="AQ40" s="31" t="str">
        <f t="shared" si="221"/>
        <v/>
      </c>
      <c r="AR40" s="35"/>
      <c r="AS40" s="33" t="str">
        <f t="shared" si="222"/>
        <v/>
      </c>
      <c r="AT40" s="34"/>
      <c r="AU40" s="31" t="str">
        <f t="shared" si="223"/>
        <v/>
      </c>
      <c r="AV40" s="35"/>
      <c r="AW40" s="33" t="str">
        <f t="shared" si="224"/>
        <v/>
      </c>
      <c r="AX40" s="34"/>
      <c r="AY40" s="31" t="str">
        <f t="shared" si="225"/>
        <v/>
      </c>
      <c r="AZ40" s="35"/>
      <c r="BA40" s="33" t="str">
        <f t="shared" si="226"/>
        <v/>
      </c>
    </row>
    <row r="41" ht="18.0" customHeight="1">
      <c r="A41" s="2" t="s">
        <v>44</v>
      </c>
      <c r="B41" s="30">
        <f t="shared" ref="B41:D41" si="228">SUM(AX41,AT41,AP41,AL41,AH41,AD41,Z41,V41,R41,N41,J41,F41)</f>
        <v>0</v>
      </c>
      <c r="C41" s="31">
        <f t="shared" si="228"/>
        <v>0</v>
      </c>
      <c r="D41" s="32">
        <f t="shared" si="228"/>
        <v>0</v>
      </c>
      <c r="E41" s="33">
        <f t="shared" si="202"/>
        <v>0</v>
      </c>
      <c r="F41" s="34"/>
      <c r="G41" s="31" t="str">
        <f t="shared" si="203"/>
        <v/>
      </c>
      <c r="H41" s="35"/>
      <c r="I41" s="33" t="str">
        <f t="shared" si="204"/>
        <v/>
      </c>
      <c r="J41" s="34"/>
      <c r="K41" s="31" t="str">
        <f t="shared" si="205"/>
        <v/>
      </c>
      <c r="L41" s="35"/>
      <c r="M41" s="33" t="str">
        <f t="shared" si="206"/>
        <v/>
      </c>
      <c r="N41" s="34"/>
      <c r="O41" s="31" t="str">
        <f t="shared" si="207"/>
        <v/>
      </c>
      <c r="P41" s="35"/>
      <c r="Q41" s="33" t="str">
        <f t="shared" si="208"/>
        <v/>
      </c>
      <c r="R41" s="34"/>
      <c r="S41" s="31" t="str">
        <f t="shared" si="209"/>
        <v/>
      </c>
      <c r="T41" s="35"/>
      <c r="U41" s="33" t="str">
        <f t="shared" si="210"/>
        <v/>
      </c>
      <c r="V41" s="34"/>
      <c r="W41" s="31" t="str">
        <f t="shared" si="211"/>
        <v/>
      </c>
      <c r="X41" s="35"/>
      <c r="Y41" s="33" t="str">
        <f t="shared" si="212"/>
        <v/>
      </c>
      <c r="Z41" s="34"/>
      <c r="AA41" s="31" t="str">
        <f t="shared" si="213"/>
        <v/>
      </c>
      <c r="AB41" s="35"/>
      <c r="AC41" s="33" t="str">
        <f t="shared" si="214"/>
        <v/>
      </c>
      <c r="AD41" s="34"/>
      <c r="AE41" s="31" t="str">
        <f t="shared" si="215"/>
        <v/>
      </c>
      <c r="AF41" s="35"/>
      <c r="AG41" s="33" t="str">
        <f t="shared" si="216"/>
        <v/>
      </c>
      <c r="AH41" s="34"/>
      <c r="AI41" s="31" t="str">
        <f t="shared" si="217"/>
        <v/>
      </c>
      <c r="AJ41" s="35"/>
      <c r="AK41" s="33" t="str">
        <f t="shared" si="218"/>
        <v/>
      </c>
      <c r="AL41" s="34"/>
      <c r="AM41" s="31" t="str">
        <f t="shared" si="219"/>
        <v/>
      </c>
      <c r="AN41" s="35"/>
      <c r="AO41" s="33" t="str">
        <f t="shared" si="220"/>
        <v/>
      </c>
      <c r="AP41" s="34"/>
      <c r="AQ41" s="31" t="str">
        <f t="shared" si="221"/>
        <v/>
      </c>
      <c r="AR41" s="35"/>
      <c r="AS41" s="33" t="str">
        <f t="shared" si="222"/>
        <v/>
      </c>
      <c r="AT41" s="34"/>
      <c r="AU41" s="31" t="str">
        <f t="shared" si="223"/>
        <v/>
      </c>
      <c r="AV41" s="35"/>
      <c r="AW41" s="33" t="str">
        <f t="shared" si="224"/>
        <v/>
      </c>
      <c r="AX41" s="34"/>
      <c r="AY41" s="31" t="str">
        <f t="shared" si="225"/>
        <v/>
      </c>
      <c r="AZ41" s="35"/>
      <c r="BA41" s="33" t="str">
        <f t="shared" si="226"/>
        <v/>
      </c>
    </row>
    <row r="42" ht="18.0" customHeight="1">
      <c r="A42" s="2" t="s">
        <v>45</v>
      </c>
      <c r="B42" s="30">
        <f t="shared" ref="B42:D42" si="229">SUM(AX42,AT42,AP42,AL42,AH42,AD42,Z42,V42,R42,N42,J42,F42)</f>
        <v>0</v>
      </c>
      <c r="C42" s="31">
        <f t="shared" si="229"/>
        <v>0</v>
      </c>
      <c r="D42" s="32">
        <f t="shared" si="229"/>
        <v>0</v>
      </c>
      <c r="E42" s="33">
        <f t="shared" si="202"/>
        <v>0</v>
      </c>
      <c r="F42" s="34"/>
      <c r="G42" s="31" t="str">
        <f t="shared" si="203"/>
        <v/>
      </c>
      <c r="H42" s="35"/>
      <c r="I42" s="33" t="str">
        <f t="shared" si="204"/>
        <v/>
      </c>
      <c r="J42" s="34"/>
      <c r="K42" s="31" t="str">
        <f t="shared" si="205"/>
        <v/>
      </c>
      <c r="L42" s="35"/>
      <c r="M42" s="33" t="str">
        <f t="shared" si="206"/>
        <v/>
      </c>
      <c r="N42" s="34"/>
      <c r="O42" s="31" t="str">
        <f t="shared" si="207"/>
        <v/>
      </c>
      <c r="P42" s="35"/>
      <c r="Q42" s="33" t="str">
        <f t="shared" si="208"/>
        <v/>
      </c>
      <c r="R42" s="34"/>
      <c r="S42" s="31" t="str">
        <f t="shared" si="209"/>
        <v/>
      </c>
      <c r="T42" s="35"/>
      <c r="U42" s="33" t="str">
        <f t="shared" si="210"/>
        <v/>
      </c>
      <c r="V42" s="34"/>
      <c r="W42" s="31" t="str">
        <f t="shared" si="211"/>
        <v/>
      </c>
      <c r="X42" s="35"/>
      <c r="Y42" s="33" t="str">
        <f t="shared" si="212"/>
        <v/>
      </c>
      <c r="Z42" s="34"/>
      <c r="AA42" s="31" t="str">
        <f t="shared" si="213"/>
        <v/>
      </c>
      <c r="AB42" s="35"/>
      <c r="AC42" s="33" t="str">
        <f t="shared" si="214"/>
        <v/>
      </c>
      <c r="AD42" s="34"/>
      <c r="AE42" s="31" t="str">
        <f t="shared" si="215"/>
        <v/>
      </c>
      <c r="AF42" s="35"/>
      <c r="AG42" s="33" t="str">
        <f t="shared" si="216"/>
        <v/>
      </c>
      <c r="AH42" s="34"/>
      <c r="AI42" s="31" t="str">
        <f t="shared" si="217"/>
        <v/>
      </c>
      <c r="AJ42" s="35"/>
      <c r="AK42" s="33" t="str">
        <f t="shared" si="218"/>
        <v/>
      </c>
      <c r="AL42" s="34"/>
      <c r="AM42" s="31" t="str">
        <f t="shared" si="219"/>
        <v/>
      </c>
      <c r="AN42" s="35"/>
      <c r="AO42" s="33" t="str">
        <f t="shared" si="220"/>
        <v/>
      </c>
      <c r="AP42" s="34"/>
      <c r="AQ42" s="31" t="str">
        <f t="shared" si="221"/>
        <v/>
      </c>
      <c r="AR42" s="35"/>
      <c r="AS42" s="33" t="str">
        <f t="shared" si="222"/>
        <v/>
      </c>
      <c r="AT42" s="34"/>
      <c r="AU42" s="31" t="str">
        <f t="shared" si="223"/>
        <v/>
      </c>
      <c r="AV42" s="35"/>
      <c r="AW42" s="33" t="str">
        <f t="shared" si="224"/>
        <v/>
      </c>
      <c r="AX42" s="34"/>
      <c r="AY42" s="31" t="str">
        <f t="shared" si="225"/>
        <v/>
      </c>
      <c r="AZ42" s="35"/>
      <c r="BA42" s="33" t="str">
        <f t="shared" si="226"/>
        <v/>
      </c>
    </row>
    <row r="43" ht="18.0" customHeight="1">
      <c r="A43" s="2" t="s">
        <v>46</v>
      </c>
      <c r="B43" s="30">
        <f t="shared" ref="B43:D43" si="230">SUM(AX43,AT43,AP43,AL43,AH43,AD43,Z43,V43,R43,N43,J43,F43)</f>
        <v>0</v>
      </c>
      <c r="C43" s="31">
        <f t="shared" si="230"/>
        <v>0</v>
      </c>
      <c r="D43" s="32">
        <f t="shared" si="230"/>
        <v>0</v>
      </c>
      <c r="E43" s="33">
        <f t="shared" si="202"/>
        <v>0</v>
      </c>
      <c r="F43" s="34"/>
      <c r="G43" s="31" t="str">
        <f t="shared" si="203"/>
        <v/>
      </c>
      <c r="H43" s="35"/>
      <c r="I43" s="33" t="str">
        <f t="shared" si="204"/>
        <v/>
      </c>
      <c r="J43" s="34"/>
      <c r="K43" s="31" t="str">
        <f t="shared" si="205"/>
        <v/>
      </c>
      <c r="L43" s="35"/>
      <c r="M43" s="33" t="str">
        <f t="shared" si="206"/>
        <v/>
      </c>
      <c r="N43" s="34"/>
      <c r="O43" s="31" t="str">
        <f t="shared" si="207"/>
        <v/>
      </c>
      <c r="P43" s="35"/>
      <c r="Q43" s="33" t="str">
        <f t="shared" si="208"/>
        <v/>
      </c>
      <c r="R43" s="34"/>
      <c r="S43" s="31" t="str">
        <f t="shared" si="209"/>
        <v/>
      </c>
      <c r="T43" s="35"/>
      <c r="U43" s="33" t="str">
        <f t="shared" si="210"/>
        <v/>
      </c>
      <c r="V43" s="34"/>
      <c r="W43" s="31" t="str">
        <f t="shared" si="211"/>
        <v/>
      </c>
      <c r="X43" s="35"/>
      <c r="Y43" s="33" t="str">
        <f t="shared" si="212"/>
        <v/>
      </c>
      <c r="Z43" s="34"/>
      <c r="AA43" s="31" t="str">
        <f t="shared" si="213"/>
        <v/>
      </c>
      <c r="AB43" s="35"/>
      <c r="AC43" s="33" t="str">
        <f t="shared" si="214"/>
        <v/>
      </c>
      <c r="AD43" s="34"/>
      <c r="AE43" s="31" t="str">
        <f t="shared" si="215"/>
        <v/>
      </c>
      <c r="AF43" s="35"/>
      <c r="AG43" s="33" t="str">
        <f t="shared" si="216"/>
        <v/>
      </c>
      <c r="AH43" s="34"/>
      <c r="AI43" s="31" t="str">
        <f t="shared" si="217"/>
        <v/>
      </c>
      <c r="AJ43" s="35"/>
      <c r="AK43" s="33" t="str">
        <f t="shared" si="218"/>
        <v/>
      </c>
      <c r="AL43" s="34"/>
      <c r="AM43" s="31" t="str">
        <f t="shared" si="219"/>
        <v/>
      </c>
      <c r="AN43" s="35"/>
      <c r="AO43" s="33" t="str">
        <f t="shared" si="220"/>
        <v/>
      </c>
      <c r="AP43" s="34"/>
      <c r="AQ43" s="31" t="str">
        <f t="shared" si="221"/>
        <v/>
      </c>
      <c r="AR43" s="35"/>
      <c r="AS43" s="33" t="str">
        <f t="shared" si="222"/>
        <v/>
      </c>
      <c r="AT43" s="34"/>
      <c r="AU43" s="31" t="str">
        <f t="shared" si="223"/>
        <v/>
      </c>
      <c r="AV43" s="35"/>
      <c r="AW43" s="33" t="str">
        <f t="shared" si="224"/>
        <v/>
      </c>
      <c r="AX43" s="34"/>
      <c r="AY43" s="31" t="str">
        <f t="shared" si="225"/>
        <v/>
      </c>
      <c r="AZ43" s="35"/>
      <c r="BA43" s="33" t="str">
        <f t="shared" si="226"/>
        <v/>
      </c>
    </row>
    <row r="44" ht="18.0" customHeight="1">
      <c r="A44" s="2" t="s">
        <v>47</v>
      </c>
      <c r="B44" s="30">
        <f t="shared" ref="B44:D44" si="231">SUM(AX44,AT44,AP44,AL44,AH44,AD44,Z44,V44,R44,N44,J44,F44)</f>
        <v>0</v>
      </c>
      <c r="C44" s="31">
        <f t="shared" si="231"/>
        <v>0</v>
      </c>
      <c r="D44" s="32">
        <f t="shared" si="231"/>
        <v>0</v>
      </c>
      <c r="E44" s="33">
        <f t="shared" si="202"/>
        <v>0</v>
      </c>
      <c r="F44" s="34"/>
      <c r="G44" s="31" t="str">
        <f t="shared" si="203"/>
        <v/>
      </c>
      <c r="H44" s="35"/>
      <c r="I44" s="33" t="str">
        <f t="shared" si="204"/>
        <v/>
      </c>
      <c r="J44" s="34"/>
      <c r="K44" s="31" t="str">
        <f t="shared" si="205"/>
        <v/>
      </c>
      <c r="L44" s="35"/>
      <c r="M44" s="33" t="str">
        <f t="shared" si="206"/>
        <v/>
      </c>
      <c r="N44" s="34"/>
      <c r="O44" s="31" t="str">
        <f t="shared" si="207"/>
        <v/>
      </c>
      <c r="P44" s="35"/>
      <c r="Q44" s="33" t="str">
        <f t="shared" si="208"/>
        <v/>
      </c>
      <c r="R44" s="34"/>
      <c r="S44" s="31" t="str">
        <f t="shared" si="209"/>
        <v/>
      </c>
      <c r="T44" s="35"/>
      <c r="U44" s="33" t="str">
        <f t="shared" si="210"/>
        <v/>
      </c>
      <c r="V44" s="34"/>
      <c r="W44" s="31" t="str">
        <f t="shared" si="211"/>
        <v/>
      </c>
      <c r="X44" s="35"/>
      <c r="Y44" s="33" t="str">
        <f t="shared" si="212"/>
        <v/>
      </c>
      <c r="Z44" s="34"/>
      <c r="AA44" s="31" t="str">
        <f t="shared" si="213"/>
        <v/>
      </c>
      <c r="AB44" s="35"/>
      <c r="AC44" s="33" t="str">
        <f t="shared" si="214"/>
        <v/>
      </c>
      <c r="AD44" s="34"/>
      <c r="AE44" s="31" t="str">
        <f t="shared" si="215"/>
        <v/>
      </c>
      <c r="AF44" s="35"/>
      <c r="AG44" s="33" t="str">
        <f t="shared" si="216"/>
        <v/>
      </c>
      <c r="AH44" s="34"/>
      <c r="AI44" s="31" t="str">
        <f t="shared" si="217"/>
        <v/>
      </c>
      <c r="AJ44" s="35"/>
      <c r="AK44" s="33" t="str">
        <f t="shared" si="218"/>
        <v/>
      </c>
      <c r="AL44" s="34"/>
      <c r="AM44" s="31" t="str">
        <f t="shared" si="219"/>
        <v/>
      </c>
      <c r="AN44" s="35"/>
      <c r="AO44" s="33" t="str">
        <f t="shared" si="220"/>
        <v/>
      </c>
      <c r="AP44" s="34"/>
      <c r="AQ44" s="31" t="str">
        <f t="shared" si="221"/>
        <v/>
      </c>
      <c r="AR44" s="35"/>
      <c r="AS44" s="33" t="str">
        <f t="shared" si="222"/>
        <v/>
      </c>
      <c r="AT44" s="34"/>
      <c r="AU44" s="31" t="str">
        <f t="shared" si="223"/>
        <v/>
      </c>
      <c r="AV44" s="35"/>
      <c r="AW44" s="33" t="str">
        <f t="shared" si="224"/>
        <v/>
      </c>
      <c r="AX44" s="34"/>
      <c r="AY44" s="31" t="str">
        <f t="shared" si="225"/>
        <v/>
      </c>
      <c r="AZ44" s="35"/>
      <c r="BA44" s="33" t="str">
        <f t="shared" si="226"/>
        <v/>
      </c>
    </row>
    <row r="45" ht="18.0" customHeight="1">
      <c r="A45" s="2" t="s">
        <v>48</v>
      </c>
      <c r="B45" s="30">
        <f t="shared" ref="B45:D45" si="232">SUM(AX45,AT45,AP45,AL45,AH45,AD45,Z45,V45,R45,N45,J45,F45)</f>
        <v>0</v>
      </c>
      <c r="C45" s="31">
        <f t="shared" si="232"/>
        <v>0</v>
      </c>
      <c r="D45" s="32">
        <f t="shared" si="232"/>
        <v>0</v>
      </c>
      <c r="E45" s="33">
        <f t="shared" si="202"/>
        <v>0</v>
      </c>
      <c r="F45" s="34"/>
      <c r="G45" s="31" t="str">
        <f t="shared" si="203"/>
        <v/>
      </c>
      <c r="H45" s="35"/>
      <c r="I45" s="33" t="str">
        <f t="shared" si="204"/>
        <v/>
      </c>
      <c r="J45" s="34"/>
      <c r="K45" s="31" t="str">
        <f t="shared" si="205"/>
        <v/>
      </c>
      <c r="L45" s="35"/>
      <c r="M45" s="33" t="str">
        <f t="shared" si="206"/>
        <v/>
      </c>
      <c r="N45" s="34"/>
      <c r="O45" s="31" t="str">
        <f t="shared" si="207"/>
        <v/>
      </c>
      <c r="P45" s="35"/>
      <c r="Q45" s="33" t="str">
        <f t="shared" si="208"/>
        <v/>
      </c>
      <c r="R45" s="34"/>
      <c r="S45" s="31" t="str">
        <f t="shared" si="209"/>
        <v/>
      </c>
      <c r="T45" s="35"/>
      <c r="U45" s="33" t="str">
        <f t="shared" si="210"/>
        <v/>
      </c>
      <c r="V45" s="34"/>
      <c r="W45" s="31" t="str">
        <f t="shared" si="211"/>
        <v/>
      </c>
      <c r="X45" s="35"/>
      <c r="Y45" s="33" t="str">
        <f t="shared" si="212"/>
        <v/>
      </c>
      <c r="Z45" s="34"/>
      <c r="AA45" s="31" t="str">
        <f t="shared" si="213"/>
        <v/>
      </c>
      <c r="AB45" s="35"/>
      <c r="AC45" s="33" t="str">
        <f t="shared" si="214"/>
        <v/>
      </c>
      <c r="AD45" s="34"/>
      <c r="AE45" s="31" t="str">
        <f t="shared" si="215"/>
        <v/>
      </c>
      <c r="AF45" s="35"/>
      <c r="AG45" s="33" t="str">
        <f t="shared" si="216"/>
        <v/>
      </c>
      <c r="AH45" s="34"/>
      <c r="AI45" s="31" t="str">
        <f t="shared" si="217"/>
        <v/>
      </c>
      <c r="AJ45" s="35"/>
      <c r="AK45" s="33" t="str">
        <f t="shared" si="218"/>
        <v/>
      </c>
      <c r="AL45" s="34"/>
      <c r="AM45" s="31" t="str">
        <f t="shared" si="219"/>
        <v/>
      </c>
      <c r="AN45" s="35"/>
      <c r="AO45" s="33" t="str">
        <f t="shared" si="220"/>
        <v/>
      </c>
      <c r="AP45" s="34"/>
      <c r="AQ45" s="31" t="str">
        <f t="shared" si="221"/>
        <v/>
      </c>
      <c r="AR45" s="35"/>
      <c r="AS45" s="33" t="str">
        <f t="shared" si="222"/>
        <v/>
      </c>
      <c r="AT45" s="34"/>
      <c r="AU45" s="31" t="str">
        <f t="shared" si="223"/>
        <v/>
      </c>
      <c r="AV45" s="35"/>
      <c r="AW45" s="33" t="str">
        <f t="shared" si="224"/>
        <v/>
      </c>
      <c r="AX45" s="34"/>
      <c r="AY45" s="31" t="str">
        <f t="shared" si="225"/>
        <v/>
      </c>
      <c r="AZ45" s="35"/>
      <c r="BA45" s="33" t="str">
        <f t="shared" si="226"/>
        <v/>
      </c>
    </row>
    <row r="46" ht="18.0" customHeight="1">
      <c r="A46" s="2" t="s">
        <v>49</v>
      </c>
      <c r="B46" s="30">
        <f t="shared" ref="B46:D46" si="233">SUM(AX46,AT46,AP46,AL46,AH46,AD46,Z46,V46,R46,N46,J46,F46)</f>
        <v>0</v>
      </c>
      <c r="C46" s="31">
        <f t="shared" si="233"/>
        <v>0</v>
      </c>
      <c r="D46" s="32">
        <f t="shared" si="233"/>
        <v>0</v>
      </c>
      <c r="E46" s="33">
        <f t="shared" si="202"/>
        <v>0</v>
      </c>
      <c r="F46" s="34"/>
      <c r="G46" s="31" t="str">
        <f t="shared" si="203"/>
        <v/>
      </c>
      <c r="H46" s="35"/>
      <c r="I46" s="33" t="str">
        <f t="shared" si="204"/>
        <v/>
      </c>
      <c r="J46" s="34"/>
      <c r="K46" s="31" t="str">
        <f t="shared" si="205"/>
        <v/>
      </c>
      <c r="L46" s="35"/>
      <c r="M46" s="33" t="str">
        <f t="shared" si="206"/>
        <v/>
      </c>
      <c r="N46" s="34"/>
      <c r="O46" s="31" t="str">
        <f t="shared" si="207"/>
        <v/>
      </c>
      <c r="P46" s="35"/>
      <c r="Q46" s="33" t="str">
        <f t="shared" si="208"/>
        <v/>
      </c>
      <c r="R46" s="34"/>
      <c r="S46" s="31" t="str">
        <f t="shared" si="209"/>
        <v/>
      </c>
      <c r="T46" s="35"/>
      <c r="U46" s="33" t="str">
        <f t="shared" si="210"/>
        <v/>
      </c>
      <c r="V46" s="34"/>
      <c r="W46" s="31" t="str">
        <f t="shared" si="211"/>
        <v/>
      </c>
      <c r="X46" s="35"/>
      <c r="Y46" s="33" t="str">
        <f t="shared" si="212"/>
        <v/>
      </c>
      <c r="Z46" s="34"/>
      <c r="AA46" s="31" t="str">
        <f t="shared" si="213"/>
        <v/>
      </c>
      <c r="AB46" s="35"/>
      <c r="AC46" s="33" t="str">
        <f t="shared" si="214"/>
        <v/>
      </c>
      <c r="AD46" s="34"/>
      <c r="AE46" s="31" t="str">
        <f t="shared" si="215"/>
        <v/>
      </c>
      <c r="AF46" s="35"/>
      <c r="AG46" s="33" t="str">
        <f t="shared" si="216"/>
        <v/>
      </c>
      <c r="AH46" s="34"/>
      <c r="AI46" s="31" t="str">
        <f t="shared" si="217"/>
        <v/>
      </c>
      <c r="AJ46" s="35"/>
      <c r="AK46" s="33" t="str">
        <f t="shared" si="218"/>
        <v/>
      </c>
      <c r="AL46" s="34"/>
      <c r="AM46" s="31" t="str">
        <f t="shared" si="219"/>
        <v/>
      </c>
      <c r="AN46" s="35"/>
      <c r="AO46" s="33" t="str">
        <f t="shared" si="220"/>
        <v/>
      </c>
      <c r="AP46" s="34"/>
      <c r="AQ46" s="31" t="str">
        <f t="shared" si="221"/>
        <v/>
      </c>
      <c r="AR46" s="35"/>
      <c r="AS46" s="33" t="str">
        <f t="shared" si="222"/>
        <v/>
      </c>
      <c r="AT46" s="34"/>
      <c r="AU46" s="31" t="str">
        <f t="shared" si="223"/>
        <v/>
      </c>
      <c r="AV46" s="35"/>
      <c r="AW46" s="33" t="str">
        <f t="shared" si="224"/>
        <v/>
      </c>
      <c r="AX46" s="34"/>
      <c r="AY46" s="31" t="str">
        <f t="shared" si="225"/>
        <v/>
      </c>
      <c r="AZ46" s="35"/>
      <c r="BA46" s="33" t="str">
        <f t="shared" si="226"/>
        <v/>
      </c>
    </row>
    <row r="47" ht="18.0" customHeight="1">
      <c r="A47" s="2" t="s">
        <v>50</v>
      </c>
      <c r="B47" s="30">
        <f t="shared" ref="B47:D47" si="234">SUM(AX47,AT47,AP47,AL47,AH47,AD47,Z47,V47,R47,N47,J47,F47)</f>
        <v>0</v>
      </c>
      <c r="C47" s="31">
        <f t="shared" si="234"/>
        <v>0</v>
      </c>
      <c r="D47" s="32">
        <f t="shared" si="234"/>
        <v>0</v>
      </c>
      <c r="E47" s="33">
        <f t="shared" si="202"/>
        <v>0</v>
      </c>
      <c r="F47" s="34"/>
      <c r="G47" s="31" t="str">
        <f t="shared" si="203"/>
        <v/>
      </c>
      <c r="H47" s="35"/>
      <c r="I47" s="33" t="str">
        <f t="shared" si="204"/>
        <v/>
      </c>
      <c r="J47" s="34"/>
      <c r="K47" s="31" t="str">
        <f t="shared" si="205"/>
        <v/>
      </c>
      <c r="L47" s="35"/>
      <c r="M47" s="33" t="str">
        <f t="shared" si="206"/>
        <v/>
      </c>
      <c r="N47" s="34"/>
      <c r="O47" s="31" t="str">
        <f t="shared" si="207"/>
        <v/>
      </c>
      <c r="P47" s="35"/>
      <c r="Q47" s="33" t="str">
        <f t="shared" si="208"/>
        <v/>
      </c>
      <c r="R47" s="34"/>
      <c r="S47" s="31" t="str">
        <f t="shared" si="209"/>
        <v/>
      </c>
      <c r="T47" s="35"/>
      <c r="U47" s="33" t="str">
        <f t="shared" si="210"/>
        <v/>
      </c>
      <c r="V47" s="34"/>
      <c r="W47" s="31" t="str">
        <f t="shared" si="211"/>
        <v/>
      </c>
      <c r="X47" s="35"/>
      <c r="Y47" s="33" t="str">
        <f t="shared" si="212"/>
        <v/>
      </c>
      <c r="Z47" s="34"/>
      <c r="AA47" s="31" t="str">
        <f t="shared" si="213"/>
        <v/>
      </c>
      <c r="AB47" s="35"/>
      <c r="AC47" s="33" t="str">
        <f t="shared" si="214"/>
        <v/>
      </c>
      <c r="AD47" s="34"/>
      <c r="AE47" s="31" t="str">
        <f t="shared" si="215"/>
        <v/>
      </c>
      <c r="AF47" s="35"/>
      <c r="AG47" s="33" t="str">
        <f t="shared" si="216"/>
        <v/>
      </c>
      <c r="AH47" s="34"/>
      <c r="AI47" s="31" t="str">
        <f t="shared" si="217"/>
        <v/>
      </c>
      <c r="AJ47" s="35"/>
      <c r="AK47" s="33" t="str">
        <f t="shared" si="218"/>
        <v/>
      </c>
      <c r="AL47" s="34"/>
      <c r="AM47" s="31" t="str">
        <f t="shared" si="219"/>
        <v/>
      </c>
      <c r="AN47" s="35"/>
      <c r="AO47" s="33" t="str">
        <f t="shared" si="220"/>
        <v/>
      </c>
      <c r="AP47" s="34"/>
      <c r="AQ47" s="31" t="str">
        <f t="shared" si="221"/>
        <v/>
      </c>
      <c r="AR47" s="35"/>
      <c r="AS47" s="33" t="str">
        <f t="shared" si="222"/>
        <v/>
      </c>
      <c r="AT47" s="34"/>
      <c r="AU47" s="31" t="str">
        <f t="shared" si="223"/>
        <v/>
      </c>
      <c r="AV47" s="35"/>
      <c r="AW47" s="33" t="str">
        <f t="shared" si="224"/>
        <v/>
      </c>
      <c r="AX47" s="34"/>
      <c r="AY47" s="31" t="str">
        <f t="shared" si="225"/>
        <v/>
      </c>
      <c r="AZ47" s="35"/>
      <c r="BA47" s="33" t="str">
        <f t="shared" si="226"/>
        <v/>
      </c>
    </row>
    <row r="48" ht="18.0" customHeight="1">
      <c r="A48" s="2" t="s">
        <v>51</v>
      </c>
      <c r="B48" s="30">
        <f t="shared" ref="B48:D48" si="235">SUM(AX48,AT48,AP48,AL48,AH48,AD48,Z48,V48,R48,N48,J48,F48)</f>
        <v>0</v>
      </c>
      <c r="C48" s="31">
        <f t="shared" si="235"/>
        <v>0</v>
      </c>
      <c r="D48" s="32">
        <f t="shared" si="235"/>
        <v>0</v>
      </c>
      <c r="E48" s="33">
        <f t="shared" si="202"/>
        <v>0</v>
      </c>
      <c r="F48" s="34"/>
      <c r="G48" s="31" t="str">
        <f t="shared" si="203"/>
        <v/>
      </c>
      <c r="H48" s="35"/>
      <c r="I48" s="33" t="str">
        <f t="shared" si="204"/>
        <v/>
      </c>
      <c r="J48" s="34"/>
      <c r="K48" s="31" t="str">
        <f t="shared" si="205"/>
        <v/>
      </c>
      <c r="L48" s="35"/>
      <c r="M48" s="33" t="str">
        <f t="shared" si="206"/>
        <v/>
      </c>
      <c r="N48" s="34"/>
      <c r="O48" s="31" t="str">
        <f t="shared" si="207"/>
        <v/>
      </c>
      <c r="P48" s="35"/>
      <c r="Q48" s="33" t="str">
        <f t="shared" si="208"/>
        <v/>
      </c>
      <c r="R48" s="34"/>
      <c r="S48" s="31" t="str">
        <f t="shared" si="209"/>
        <v/>
      </c>
      <c r="T48" s="35"/>
      <c r="U48" s="33" t="str">
        <f t="shared" si="210"/>
        <v/>
      </c>
      <c r="V48" s="34"/>
      <c r="W48" s="31" t="str">
        <f t="shared" si="211"/>
        <v/>
      </c>
      <c r="X48" s="35"/>
      <c r="Y48" s="33" t="str">
        <f t="shared" si="212"/>
        <v/>
      </c>
      <c r="Z48" s="34"/>
      <c r="AA48" s="31" t="str">
        <f t="shared" si="213"/>
        <v/>
      </c>
      <c r="AB48" s="35"/>
      <c r="AC48" s="33" t="str">
        <f t="shared" si="214"/>
        <v/>
      </c>
      <c r="AD48" s="34"/>
      <c r="AE48" s="31" t="str">
        <f t="shared" si="215"/>
        <v/>
      </c>
      <c r="AF48" s="35"/>
      <c r="AG48" s="33" t="str">
        <f t="shared" si="216"/>
        <v/>
      </c>
      <c r="AH48" s="34"/>
      <c r="AI48" s="31" t="str">
        <f t="shared" si="217"/>
        <v/>
      </c>
      <c r="AJ48" s="35"/>
      <c r="AK48" s="33" t="str">
        <f t="shared" si="218"/>
        <v/>
      </c>
      <c r="AL48" s="34"/>
      <c r="AM48" s="31" t="str">
        <f t="shared" si="219"/>
        <v/>
      </c>
      <c r="AN48" s="35"/>
      <c r="AO48" s="33" t="str">
        <f t="shared" si="220"/>
        <v/>
      </c>
      <c r="AP48" s="34"/>
      <c r="AQ48" s="31" t="str">
        <f t="shared" si="221"/>
        <v/>
      </c>
      <c r="AR48" s="35"/>
      <c r="AS48" s="33" t="str">
        <f t="shared" si="222"/>
        <v/>
      </c>
      <c r="AT48" s="34"/>
      <c r="AU48" s="31" t="str">
        <f t="shared" si="223"/>
        <v/>
      </c>
      <c r="AV48" s="35"/>
      <c r="AW48" s="33" t="str">
        <f t="shared" si="224"/>
        <v/>
      </c>
      <c r="AX48" s="34"/>
      <c r="AY48" s="31" t="str">
        <f t="shared" si="225"/>
        <v/>
      </c>
      <c r="AZ48" s="35"/>
      <c r="BA48" s="33" t="str">
        <f t="shared" si="226"/>
        <v/>
      </c>
    </row>
    <row r="49" ht="18.0" customHeight="1">
      <c r="A49" s="2" t="s">
        <v>52</v>
      </c>
      <c r="B49" s="30">
        <f t="shared" ref="B49:D49" si="236">SUM(AX49,AT49,AP49,AL49,AH49,AD49,Z49,V49,R49,N49,J49,F49)</f>
        <v>0</v>
      </c>
      <c r="C49" s="31">
        <f t="shared" si="236"/>
        <v>0</v>
      </c>
      <c r="D49" s="32">
        <f t="shared" si="236"/>
        <v>0</v>
      </c>
      <c r="E49" s="33">
        <f t="shared" si="202"/>
        <v>0</v>
      </c>
      <c r="F49" s="34"/>
      <c r="G49" s="31" t="str">
        <f t="shared" si="203"/>
        <v/>
      </c>
      <c r="H49" s="35"/>
      <c r="I49" s="33" t="str">
        <f t="shared" si="204"/>
        <v/>
      </c>
      <c r="J49" s="34"/>
      <c r="K49" s="31" t="str">
        <f t="shared" si="205"/>
        <v/>
      </c>
      <c r="L49" s="35"/>
      <c r="M49" s="33" t="str">
        <f t="shared" si="206"/>
        <v/>
      </c>
      <c r="N49" s="34"/>
      <c r="O49" s="31" t="str">
        <f t="shared" si="207"/>
        <v/>
      </c>
      <c r="P49" s="35"/>
      <c r="Q49" s="33" t="str">
        <f t="shared" si="208"/>
        <v/>
      </c>
      <c r="R49" s="34"/>
      <c r="S49" s="31" t="str">
        <f t="shared" si="209"/>
        <v/>
      </c>
      <c r="T49" s="35"/>
      <c r="U49" s="33" t="str">
        <f t="shared" si="210"/>
        <v/>
      </c>
      <c r="V49" s="34"/>
      <c r="W49" s="31" t="str">
        <f t="shared" si="211"/>
        <v/>
      </c>
      <c r="X49" s="35"/>
      <c r="Y49" s="33" t="str">
        <f t="shared" si="212"/>
        <v/>
      </c>
      <c r="Z49" s="34"/>
      <c r="AA49" s="31" t="str">
        <f t="shared" si="213"/>
        <v/>
      </c>
      <c r="AB49" s="35"/>
      <c r="AC49" s="33" t="str">
        <f t="shared" si="214"/>
        <v/>
      </c>
      <c r="AD49" s="34"/>
      <c r="AE49" s="31" t="str">
        <f t="shared" si="215"/>
        <v/>
      </c>
      <c r="AF49" s="35"/>
      <c r="AG49" s="33" t="str">
        <f t="shared" si="216"/>
        <v/>
      </c>
      <c r="AH49" s="34"/>
      <c r="AI49" s="31" t="str">
        <f t="shared" si="217"/>
        <v/>
      </c>
      <c r="AJ49" s="35"/>
      <c r="AK49" s="33" t="str">
        <f t="shared" si="218"/>
        <v/>
      </c>
      <c r="AL49" s="34"/>
      <c r="AM49" s="31" t="str">
        <f t="shared" si="219"/>
        <v/>
      </c>
      <c r="AN49" s="35"/>
      <c r="AO49" s="33" t="str">
        <f t="shared" si="220"/>
        <v/>
      </c>
      <c r="AP49" s="34"/>
      <c r="AQ49" s="31" t="str">
        <f t="shared" si="221"/>
        <v/>
      </c>
      <c r="AR49" s="35"/>
      <c r="AS49" s="33" t="str">
        <f t="shared" si="222"/>
        <v/>
      </c>
      <c r="AT49" s="34"/>
      <c r="AU49" s="31" t="str">
        <f t="shared" si="223"/>
        <v/>
      </c>
      <c r="AV49" s="35"/>
      <c r="AW49" s="33" t="str">
        <f t="shared" si="224"/>
        <v/>
      </c>
      <c r="AX49" s="34"/>
      <c r="AY49" s="31" t="str">
        <f t="shared" si="225"/>
        <v/>
      </c>
      <c r="AZ49" s="35"/>
      <c r="BA49" s="33" t="str">
        <f t="shared" si="226"/>
        <v/>
      </c>
    </row>
    <row r="50" ht="18.0" customHeight="1">
      <c r="A50" s="2" t="s">
        <v>53</v>
      </c>
      <c r="B50" s="30">
        <f t="shared" ref="B50:D50" si="237">SUM(AX50,AT50,AP50,AL50,AH50,AD50,Z50,V50,R50,N50,J50,F50)</f>
        <v>0</v>
      </c>
      <c r="C50" s="31">
        <f t="shared" si="237"/>
        <v>0</v>
      </c>
      <c r="D50" s="32">
        <f t="shared" si="237"/>
        <v>0</v>
      </c>
      <c r="E50" s="33">
        <f t="shared" si="202"/>
        <v>0</v>
      </c>
      <c r="F50" s="34"/>
      <c r="G50" s="31" t="str">
        <f t="shared" si="203"/>
        <v/>
      </c>
      <c r="H50" s="35"/>
      <c r="I50" s="33" t="str">
        <f t="shared" si="204"/>
        <v/>
      </c>
      <c r="J50" s="34"/>
      <c r="K50" s="31" t="str">
        <f t="shared" si="205"/>
        <v/>
      </c>
      <c r="L50" s="35"/>
      <c r="M50" s="33" t="str">
        <f t="shared" si="206"/>
        <v/>
      </c>
      <c r="N50" s="34"/>
      <c r="O50" s="31" t="str">
        <f t="shared" si="207"/>
        <v/>
      </c>
      <c r="P50" s="35"/>
      <c r="Q50" s="33" t="str">
        <f t="shared" si="208"/>
        <v/>
      </c>
      <c r="R50" s="34"/>
      <c r="S50" s="31" t="str">
        <f t="shared" si="209"/>
        <v/>
      </c>
      <c r="T50" s="35"/>
      <c r="U50" s="33" t="str">
        <f t="shared" si="210"/>
        <v/>
      </c>
      <c r="V50" s="34"/>
      <c r="W50" s="31" t="str">
        <f t="shared" si="211"/>
        <v/>
      </c>
      <c r="X50" s="35"/>
      <c r="Y50" s="33" t="str">
        <f t="shared" si="212"/>
        <v/>
      </c>
      <c r="Z50" s="34"/>
      <c r="AA50" s="31" t="str">
        <f t="shared" si="213"/>
        <v/>
      </c>
      <c r="AB50" s="35"/>
      <c r="AC50" s="33" t="str">
        <f t="shared" si="214"/>
        <v/>
      </c>
      <c r="AD50" s="34"/>
      <c r="AE50" s="31" t="str">
        <f t="shared" si="215"/>
        <v/>
      </c>
      <c r="AF50" s="35"/>
      <c r="AG50" s="33" t="str">
        <f t="shared" si="216"/>
        <v/>
      </c>
      <c r="AH50" s="34"/>
      <c r="AI50" s="31" t="str">
        <f t="shared" si="217"/>
        <v/>
      </c>
      <c r="AJ50" s="35"/>
      <c r="AK50" s="33" t="str">
        <f t="shared" si="218"/>
        <v/>
      </c>
      <c r="AL50" s="34"/>
      <c r="AM50" s="31" t="str">
        <f t="shared" si="219"/>
        <v/>
      </c>
      <c r="AN50" s="35"/>
      <c r="AO50" s="33" t="str">
        <f t="shared" si="220"/>
        <v/>
      </c>
      <c r="AP50" s="34"/>
      <c r="AQ50" s="31" t="str">
        <f t="shared" si="221"/>
        <v/>
      </c>
      <c r="AR50" s="35"/>
      <c r="AS50" s="33" t="str">
        <f t="shared" si="222"/>
        <v/>
      </c>
      <c r="AT50" s="34"/>
      <c r="AU50" s="31" t="str">
        <f t="shared" si="223"/>
        <v/>
      </c>
      <c r="AV50" s="35"/>
      <c r="AW50" s="33" t="str">
        <f t="shared" si="224"/>
        <v/>
      </c>
      <c r="AX50" s="34"/>
      <c r="AY50" s="31" t="str">
        <f t="shared" si="225"/>
        <v/>
      </c>
      <c r="AZ50" s="35"/>
      <c r="BA50" s="33" t="str">
        <f t="shared" si="226"/>
        <v/>
      </c>
    </row>
    <row r="51" ht="18.0" customHeight="1">
      <c r="A51" s="2" t="s">
        <v>54</v>
      </c>
      <c r="B51" s="30">
        <f t="shared" ref="B51:D51" si="238">SUM(AX51,AT51,AP51,AL51,AH51,AD51,Z51,V51,R51,N51,J51,F51)</f>
        <v>0</v>
      </c>
      <c r="C51" s="31">
        <f t="shared" si="238"/>
        <v>0</v>
      </c>
      <c r="D51" s="32">
        <f t="shared" si="238"/>
        <v>0</v>
      </c>
      <c r="E51" s="33">
        <f t="shared" si="202"/>
        <v>0</v>
      </c>
      <c r="F51" s="34"/>
      <c r="G51" s="31" t="str">
        <f t="shared" si="203"/>
        <v/>
      </c>
      <c r="H51" s="35"/>
      <c r="I51" s="33" t="str">
        <f t="shared" si="204"/>
        <v/>
      </c>
      <c r="J51" s="34"/>
      <c r="K51" s="31" t="str">
        <f t="shared" si="205"/>
        <v/>
      </c>
      <c r="L51" s="35"/>
      <c r="M51" s="33" t="str">
        <f t="shared" si="206"/>
        <v/>
      </c>
      <c r="N51" s="34"/>
      <c r="O51" s="31" t="str">
        <f t="shared" si="207"/>
        <v/>
      </c>
      <c r="P51" s="35"/>
      <c r="Q51" s="33" t="str">
        <f t="shared" si="208"/>
        <v/>
      </c>
      <c r="R51" s="34"/>
      <c r="S51" s="31" t="str">
        <f t="shared" si="209"/>
        <v/>
      </c>
      <c r="T51" s="35"/>
      <c r="U51" s="33" t="str">
        <f t="shared" si="210"/>
        <v/>
      </c>
      <c r="V51" s="34"/>
      <c r="W51" s="31" t="str">
        <f t="shared" si="211"/>
        <v/>
      </c>
      <c r="X51" s="35"/>
      <c r="Y51" s="33" t="str">
        <f t="shared" si="212"/>
        <v/>
      </c>
      <c r="Z51" s="34"/>
      <c r="AA51" s="31" t="str">
        <f t="shared" si="213"/>
        <v/>
      </c>
      <c r="AB51" s="35"/>
      <c r="AC51" s="33" t="str">
        <f t="shared" si="214"/>
        <v/>
      </c>
      <c r="AD51" s="34"/>
      <c r="AE51" s="31" t="str">
        <f t="shared" si="215"/>
        <v/>
      </c>
      <c r="AF51" s="35"/>
      <c r="AG51" s="33" t="str">
        <f t="shared" si="216"/>
        <v/>
      </c>
      <c r="AH51" s="34"/>
      <c r="AI51" s="31" t="str">
        <f t="shared" si="217"/>
        <v/>
      </c>
      <c r="AJ51" s="35"/>
      <c r="AK51" s="33" t="str">
        <f t="shared" si="218"/>
        <v/>
      </c>
      <c r="AL51" s="34"/>
      <c r="AM51" s="31" t="str">
        <f t="shared" si="219"/>
        <v/>
      </c>
      <c r="AN51" s="35"/>
      <c r="AO51" s="33" t="str">
        <f t="shared" si="220"/>
        <v/>
      </c>
      <c r="AP51" s="34"/>
      <c r="AQ51" s="31" t="str">
        <f t="shared" si="221"/>
        <v/>
      </c>
      <c r="AR51" s="35"/>
      <c r="AS51" s="33" t="str">
        <f t="shared" si="222"/>
        <v/>
      </c>
      <c r="AT51" s="34"/>
      <c r="AU51" s="31" t="str">
        <f t="shared" si="223"/>
        <v/>
      </c>
      <c r="AV51" s="35"/>
      <c r="AW51" s="33" t="str">
        <f t="shared" si="224"/>
        <v/>
      </c>
      <c r="AX51" s="34"/>
      <c r="AY51" s="31" t="str">
        <f t="shared" si="225"/>
        <v/>
      </c>
      <c r="AZ51" s="35"/>
      <c r="BA51" s="33" t="str">
        <f t="shared" si="226"/>
        <v/>
      </c>
    </row>
    <row r="52" ht="18.0" customHeight="1">
      <c r="A52" s="2" t="s">
        <v>55</v>
      </c>
      <c r="B52" s="30">
        <f t="shared" ref="B52:D52" si="239">SUM(AX52,AT52,AP52,AL52,AH52,AD52,Z52,V52,R52,N52,J52,F52)</f>
        <v>0</v>
      </c>
      <c r="C52" s="31">
        <f t="shared" si="239"/>
        <v>0</v>
      </c>
      <c r="D52" s="32">
        <f t="shared" si="239"/>
        <v>0</v>
      </c>
      <c r="E52" s="33">
        <f t="shared" si="202"/>
        <v>0</v>
      </c>
      <c r="F52" s="34"/>
      <c r="G52" s="31" t="str">
        <f t="shared" si="203"/>
        <v/>
      </c>
      <c r="H52" s="35"/>
      <c r="I52" s="33" t="str">
        <f t="shared" si="204"/>
        <v/>
      </c>
      <c r="J52" s="34"/>
      <c r="K52" s="31" t="str">
        <f t="shared" si="205"/>
        <v/>
      </c>
      <c r="L52" s="35"/>
      <c r="M52" s="33" t="str">
        <f t="shared" si="206"/>
        <v/>
      </c>
      <c r="N52" s="34"/>
      <c r="O52" s="31" t="str">
        <f t="shared" si="207"/>
        <v/>
      </c>
      <c r="P52" s="35"/>
      <c r="Q52" s="33" t="str">
        <f t="shared" si="208"/>
        <v/>
      </c>
      <c r="R52" s="34"/>
      <c r="S52" s="31" t="str">
        <f t="shared" si="209"/>
        <v/>
      </c>
      <c r="T52" s="35"/>
      <c r="U52" s="33" t="str">
        <f t="shared" si="210"/>
        <v/>
      </c>
      <c r="V52" s="34"/>
      <c r="W52" s="31" t="str">
        <f t="shared" si="211"/>
        <v/>
      </c>
      <c r="X52" s="35"/>
      <c r="Y52" s="33" t="str">
        <f t="shared" si="212"/>
        <v/>
      </c>
      <c r="Z52" s="34"/>
      <c r="AA52" s="31" t="str">
        <f t="shared" si="213"/>
        <v/>
      </c>
      <c r="AB52" s="35"/>
      <c r="AC52" s="33" t="str">
        <f t="shared" si="214"/>
        <v/>
      </c>
      <c r="AD52" s="34"/>
      <c r="AE52" s="31" t="str">
        <f t="shared" si="215"/>
        <v/>
      </c>
      <c r="AF52" s="35"/>
      <c r="AG52" s="33" t="str">
        <f t="shared" si="216"/>
        <v/>
      </c>
      <c r="AH52" s="34"/>
      <c r="AI52" s="31" t="str">
        <f t="shared" si="217"/>
        <v/>
      </c>
      <c r="AJ52" s="35"/>
      <c r="AK52" s="33" t="str">
        <f t="shared" si="218"/>
        <v/>
      </c>
      <c r="AL52" s="34"/>
      <c r="AM52" s="31" t="str">
        <f t="shared" si="219"/>
        <v/>
      </c>
      <c r="AN52" s="35"/>
      <c r="AO52" s="33" t="str">
        <f t="shared" si="220"/>
        <v/>
      </c>
      <c r="AP52" s="34"/>
      <c r="AQ52" s="31" t="str">
        <f t="shared" si="221"/>
        <v/>
      </c>
      <c r="AR52" s="35"/>
      <c r="AS52" s="33" t="str">
        <f t="shared" si="222"/>
        <v/>
      </c>
      <c r="AT52" s="34"/>
      <c r="AU52" s="31" t="str">
        <f t="shared" si="223"/>
        <v/>
      </c>
      <c r="AV52" s="35"/>
      <c r="AW52" s="33" t="str">
        <f t="shared" si="224"/>
        <v/>
      </c>
      <c r="AX52" s="34"/>
      <c r="AY52" s="31" t="str">
        <f t="shared" si="225"/>
        <v/>
      </c>
      <c r="AZ52" s="35"/>
      <c r="BA52" s="33" t="str">
        <f t="shared" si="226"/>
        <v/>
      </c>
    </row>
    <row r="53" ht="18.0" customHeight="1">
      <c r="A53" s="36" t="s">
        <v>56</v>
      </c>
      <c r="B53" s="39">
        <f t="shared" ref="B53:D53" si="240">SUM(AX53,AT53,AP53,AL53,AH53,AD53,Z53,V53,R53,N53,J53,F53)</f>
        <v>0</v>
      </c>
      <c r="C53" s="39">
        <f t="shared" si="240"/>
        <v>0</v>
      </c>
      <c r="D53" s="39">
        <f t="shared" si="240"/>
        <v>0</v>
      </c>
      <c r="E53" s="39">
        <f t="shared" si="202"/>
        <v>0</v>
      </c>
      <c r="F53" s="39" t="str">
        <f t="shared" ref="F53:H53" si="241">IF(COUNT(F38:F52)&gt;0,SUM(F38:F52),"")</f>
        <v/>
      </c>
      <c r="G53" s="39" t="str">
        <f t="shared" si="241"/>
        <v/>
      </c>
      <c r="H53" s="39" t="str">
        <f t="shared" si="241"/>
        <v/>
      </c>
      <c r="I53" s="39" t="str">
        <f t="shared" si="204"/>
        <v/>
      </c>
      <c r="J53" s="39" t="str">
        <f t="shared" ref="J53:L53" si="242">IF(COUNT(J38:J52)&gt;0,SUM(J38:J52),"")</f>
        <v/>
      </c>
      <c r="K53" s="39" t="str">
        <f t="shared" si="242"/>
        <v/>
      </c>
      <c r="L53" s="39" t="str">
        <f t="shared" si="242"/>
        <v/>
      </c>
      <c r="M53" s="39" t="str">
        <f t="shared" si="206"/>
        <v/>
      </c>
      <c r="N53" s="39" t="str">
        <f t="shared" ref="N53:P53" si="243">IF(COUNT(N38:N52)&gt;0,SUM(N38:N52),"")</f>
        <v/>
      </c>
      <c r="O53" s="39" t="str">
        <f t="shared" si="243"/>
        <v/>
      </c>
      <c r="P53" s="39" t="str">
        <f t="shared" si="243"/>
        <v/>
      </c>
      <c r="Q53" s="39" t="str">
        <f t="shared" si="208"/>
        <v/>
      </c>
      <c r="R53" s="39" t="str">
        <f t="shared" ref="R53:T53" si="244">IF(COUNT(R38:R52)&gt;0,SUM(R38:R52),"")</f>
        <v/>
      </c>
      <c r="S53" s="39" t="str">
        <f t="shared" si="244"/>
        <v/>
      </c>
      <c r="T53" s="39" t="str">
        <f t="shared" si="244"/>
        <v/>
      </c>
      <c r="U53" s="39" t="str">
        <f t="shared" si="210"/>
        <v/>
      </c>
      <c r="V53" s="39" t="str">
        <f t="shared" ref="V53:X53" si="245">IF(COUNT(V38:V52)&gt;0,SUM(V38:V52),"")</f>
        <v/>
      </c>
      <c r="W53" s="39" t="str">
        <f t="shared" si="245"/>
        <v/>
      </c>
      <c r="X53" s="39" t="str">
        <f t="shared" si="245"/>
        <v/>
      </c>
      <c r="Y53" s="39" t="str">
        <f t="shared" si="212"/>
        <v/>
      </c>
      <c r="Z53" s="39" t="str">
        <f t="shared" ref="Z53:AB53" si="246">IF(COUNT(Z38:Z52)&gt;0,SUM(Z38:Z52),"")</f>
        <v/>
      </c>
      <c r="AA53" s="39" t="str">
        <f t="shared" si="246"/>
        <v/>
      </c>
      <c r="AB53" s="39" t="str">
        <f t="shared" si="246"/>
        <v/>
      </c>
      <c r="AC53" s="39" t="str">
        <f t="shared" si="214"/>
        <v/>
      </c>
      <c r="AD53" s="39" t="str">
        <f t="shared" ref="AD53:AF53" si="247">IF(COUNT(AD38:AD52)&gt;0,SUM(AD38:AD52),"")</f>
        <v/>
      </c>
      <c r="AE53" s="39" t="str">
        <f t="shared" si="247"/>
        <v/>
      </c>
      <c r="AF53" s="39" t="str">
        <f t="shared" si="247"/>
        <v/>
      </c>
      <c r="AG53" s="39" t="str">
        <f t="shared" si="216"/>
        <v/>
      </c>
      <c r="AH53" s="39" t="str">
        <f t="shared" ref="AH53:AJ53" si="248">IF(COUNT(AH38:AH52)&gt;0,SUM(AH38:AH52),"")</f>
        <v/>
      </c>
      <c r="AI53" s="39" t="str">
        <f t="shared" si="248"/>
        <v/>
      </c>
      <c r="AJ53" s="39" t="str">
        <f t="shared" si="248"/>
        <v/>
      </c>
      <c r="AK53" s="39" t="str">
        <f t="shared" si="218"/>
        <v/>
      </c>
      <c r="AL53" s="39" t="str">
        <f t="shared" ref="AL53:AN53" si="249">IF(COUNT(AL38:AL52)&gt;0,SUM(AL38:AL52),"")</f>
        <v/>
      </c>
      <c r="AM53" s="39" t="str">
        <f t="shared" si="249"/>
        <v/>
      </c>
      <c r="AN53" s="39" t="str">
        <f t="shared" si="249"/>
        <v/>
      </c>
      <c r="AO53" s="39" t="str">
        <f t="shared" si="220"/>
        <v/>
      </c>
      <c r="AP53" s="39" t="str">
        <f t="shared" ref="AP53:AR53" si="250">IF(COUNT(AP38:AP52)&gt;0,SUM(AP38:AP52),"")</f>
        <v/>
      </c>
      <c r="AQ53" s="39" t="str">
        <f t="shared" si="250"/>
        <v/>
      </c>
      <c r="AR53" s="39" t="str">
        <f t="shared" si="250"/>
        <v/>
      </c>
      <c r="AS53" s="39" t="str">
        <f t="shared" si="222"/>
        <v/>
      </c>
      <c r="AT53" s="39" t="str">
        <f t="shared" ref="AT53:AV53" si="251">IF(COUNT(AT38:AT52)&gt;0,SUM(AT38:AT52),"")</f>
        <v/>
      </c>
      <c r="AU53" s="39" t="str">
        <f t="shared" si="251"/>
        <v/>
      </c>
      <c r="AV53" s="39" t="str">
        <f t="shared" si="251"/>
        <v/>
      </c>
      <c r="AW53" s="39" t="str">
        <f t="shared" si="224"/>
        <v/>
      </c>
      <c r="AX53" s="39" t="str">
        <f t="shared" ref="AX53:AZ53" si="252">IF(COUNT(AX38:AX52)&gt;0,SUM(AX38:AX52),"")</f>
        <v/>
      </c>
      <c r="AY53" s="39" t="str">
        <f t="shared" si="252"/>
        <v/>
      </c>
      <c r="AZ53" s="39" t="str">
        <f t="shared" si="252"/>
        <v/>
      </c>
      <c r="BA53" s="39" t="str">
        <f t="shared" si="226"/>
        <v/>
      </c>
    </row>
    <row r="54" ht="18.0" customHeight="1">
      <c r="A54" s="12" t="s">
        <v>57</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row>
    <row r="55" ht="18.0" customHeight="1">
      <c r="A55" s="36" t="s">
        <v>58</v>
      </c>
      <c r="B55" s="39">
        <f t="shared" ref="B55:D55" si="253">SUM(AX55,AT55,AP55,AL55,AH55,AD55,Z55,V55,R55,N55,J55,F55)</f>
        <v>0</v>
      </c>
      <c r="C55" s="39">
        <f t="shared" si="253"/>
        <v>0</v>
      </c>
      <c r="D55" s="39">
        <f t="shared" si="253"/>
        <v>0</v>
      </c>
      <c r="E55" s="39">
        <f>IFERROR(IF(OR(C55="",D55=""),"",C55-D55),"")</f>
        <v>0</v>
      </c>
      <c r="F55" s="39" t="str">
        <f t="shared" ref="F55:H55" si="254">IF(COUNT(F36,F53)=2,F36-F53,"")</f>
        <v/>
      </c>
      <c r="G55" s="39" t="str">
        <f t="shared" si="254"/>
        <v/>
      </c>
      <c r="H55" s="39" t="str">
        <f t="shared" si="254"/>
        <v/>
      </c>
      <c r="I55" s="39" t="str">
        <f>IFERROR(IF(OR(G55="",H55=""),"",G55-H55),"")</f>
        <v/>
      </c>
      <c r="J55" s="39" t="str">
        <f t="shared" ref="J55:L55" si="255">IF(COUNT(J36,J53)=2,J36-J53,"")</f>
        <v/>
      </c>
      <c r="K55" s="39" t="str">
        <f t="shared" si="255"/>
        <v/>
      </c>
      <c r="L55" s="39" t="str">
        <f t="shared" si="255"/>
        <v/>
      </c>
      <c r="M55" s="39" t="str">
        <f>IFERROR(IF(OR(K55="",L55=""),"",K55-L55),"")</f>
        <v/>
      </c>
      <c r="N55" s="39" t="str">
        <f t="shared" ref="N55:P55" si="256">IF(COUNT(N36,N53)=2,N36-N53,"")</f>
        <v/>
      </c>
      <c r="O55" s="39" t="str">
        <f t="shared" si="256"/>
        <v/>
      </c>
      <c r="P55" s="39" t="str">
        <f t="shared" si="256"/>
        <v/>
      </c>
      <c r="Q55" s="39" t="str">
        <f>IFERROR(IF(OR(O55="",P55=""),"",O55-P55),"")</f>
        <v/>
      </c>
      <c r="R55" s="39" t="str">
        <f t="shared" ref="R55:T55" si="257">IF(COUNT(R36,R53)=2,R36-R53,"")</f>
        <v/>
      </c>
      <c r="S55" s="39" t="str">
        <f t="shared" si="257"/>
        <v/>
      </c>
      <c r="T55" s="39" t="str">
        <f t="shared" si="257"/>
        <v/>
      </c>
      <c r="U55" s="39" t="str">
        <f>IFERROR(IF(OR(S55="",T55=""),"",S55-T55),"")</f>
        <v/>
      </c>
      <c r="V55" s="39" t="str">
        <f t="shared" ref="V55:X55" si="258">IF(COUNT(V36,V53)=2,V36-V53,"")</f>
        <v/>
      </c>
      <c r="W55" s="39" t="str">
        <f t="shared" si="258"/>
        <v/>
      </c>
      <c r="X55" s="39" t="str">
        <f t="shared" si="258"/>
        <v/>
      </c>
      <c r="Y55" s="39" t="str">
        <f>IFERROR(IF(OR(W55="",X55=""),"",W55-X55),"")</f>
        <v/>
      </c>
      <c r="Z55" s="39" t="str">
        <f t="shared" ref="Z55:AB55" si="259">IF(COUNT(Z36,Z53)=2,Z36-Z53,"")</f>
        <v/>
      </c>
      <c r="AA55" s="39" t="str">
        <f t="shared" si="259"/>
        <v/>
      </c>
      <c r="AB55" s="39" t="str">
        <f t="shared" si="259"/>
        <v/>
      </c>
      <c r="AC55" s="39" t="str">
        <f>IFERROR(IF(OR(AA55="",AB55=""),"",AA55-AB55),"")</f>
        <v/>
      </c>
      <c r="AD55" s="39" t="str">
        <f t="shared" ref="AD55:AF55" si="260">IF(COUNT(AD36,AD53)=2,AD36-AD53,"")</f>
        <v/>
      </c>
      <c r="AE55" s="39" t="str">
        <f t="shared" si="260"/>
        <v/>
      </c>
      <c r="AF55" s="39" t="str">
        <f t="shared" si="260"/>
        <v/>
      </c>
      <c r="AG55" s="39" t="str">
        <f>IFERROR(IF(OR(AE55="",AF55=""),"",AE55-AF55),"")</f>
        <v/>
      </c>
      <c r="AH55" s="39" t="str">
        <f t="shared" ref="AH55:AJ55" si="261">IF(COUNT(AH36,AH53)=2,AH36-AH53,"")</f>
        <v/>
      </c>
      <c r="AI55" s="39" t="str">
        <f t="shared" si="261"/>
        <v/>
      </c>
      <c r="AJ55" s="39" t="str">
        <f t="shared" si="261"/>
        <v/>
      </c>
      <c r="AK55" s="39" t="str">
        <f>IFERROR(IF(OR(AI55="",AJ55=""),"",AI55-AJ55),"")</f>
        <v/>
      </c>
      <c r="AL55" s="39" t="str">
        <f t="shared" ref="AL55:AN55" si="262">IF(COUNT(AL36,AL53)=2,AL36-AL53,"")</f>
        <v/>
      </c>
      <c r="AM55" s="39" t="str">
        <f t="shared" si="262"/>
        <v/>
      </c>
      <c r="AN55" s="39" t="str">
        <f t="shared" si="262"/>
        <v/>
      </c>
      <c r="AO55" s="39" t="str">
        <f>IFERROR(IF(OR(AM55="",AN55=""),"",AM55-AN55),"")</f>
        <v/>
      </c>
      <c r="AP55" s="39" t="str">
        <f t="shared" ref="AP55:AR55" si="263">IF(COUNT(AP36,AP53)=2,AP36-AP53,"")</f>
        <v/>
      </c>
      <c r="AQ55" s="39" t="str">
        <f t="shared" si="263"/>
        <v/>
      </c>
      <c r="AR55" s="39" t="str">
        <f t="shared" si="263"/>
        <v/>
      </c>
      <c r="AS55" s="39" t="str">
        <f>IFERROR(IF(OR(AQ55="",AR55=""),"",AQ55-AR55),"")</f>
        <v/>
      </c>
      <c r="AT55" s="39" t="str">
        <f t="shared" ref="AT55:AV55" si="264">IF(COUNT(AT36,AT53)=2,AT36-AT53,"")</f>
        <v/>
      </c>
      <c r="AU55" s="39" t="str">
        <f t="shared" si="264"/>
        <v/>
      </c>
      <c r="AV55" s="39" t="str">
        <f t="shared" si="264"/>
        <v/>
      </c>
      <c r="AW55" s="39" t="str">
        <f>IFERROR(IF(OR(AU55="",AV55=""),"",AU55-AV55),"")</f>
        <v/>
      </c>
      <c r="AX55" s="39" t="str">
        <f t="shared" ref="AX55:AZ55" si="265">IF(COUNT(AX36,AX53)=2,AX36-AX53,"")</f>
        <v/>
      </c>
      <c r="AY55" s="39" t="str">
        <f t="shared" si="265"/>
        <v/>
      </c>
      <c r="AZ55" s="39" t="str">
        <f t="shared" si="265"/>
        <v/>
      </c>
      <c r="BA55" s="39" t="str">
        <f>IFERROR(IF(OR(AY55="",AZ55=""),"",AY55-AZ55),"")</f>
        <v/>
      </c>
    </row>
    <row r="56" ht="18.0" customHeight="1">
      <c r="A56" s="12" t="s">
        <v>59</v>
      </c>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row>
    <row r="57" ht="18.0" customHeight="1">
      <c r="A57" s="2" t="s">
        <v>60</v>
      </c>
      <c r="B57" s="30">
        <f t="shared" ref="B57:D57" si="266">SUM(AX57,AT57,AP57,AL57,AH57,AD57,Z57,V57,R57,N57,J57,F57)</f>
        <v>0</v>
      </c>
      <c r="C57" s="31">
        <f t="shared" si="266"/>
        <v>0</v>
      </c>
      <c r="D57" s="32">
        <f t="shared" si="266"/>
        <v>0</v>
      </c>
      <c r="E57" s="33">
        <f t="shared" ref="E57:E70" si="268">IFERROR(IF(OR(C57="",D57=""),"",C57-D57),"")</f>
        <v>0</v>
      </c>
      <c r="F57" s="34"/>
      <c r="G57" s="31">
        <f>IF(F$98=1,F57,ROUND(SUM(IF(AND(AY$26&lt;&gt;"",AY$23&lt;&gt;""),IF(EOMONTH($AX$3+INT((DAY(EOMONTH($AX$3,0))-1)/2)+AY$23,0)=EOMONTH($F$3,0),AY$26,0),0),IF(AND(AU$26&lt;&gt;"",AU$23&lt;&gt;""),IF(EOMONTH($AT$3+INT((DAY(EOMONTH($AT$3,0))-1)/2)+AU$23,0)=EOMONTH($F$3,0),AU$26,0),0),IF(AND(AQ$26&lt;&gt;"",AQ$23&lt;&gt;""),IF(EOMONTH($AP$3+INT((DAY(EOMONTH($AP$3,0))-1)/2)+AQ$23,0)=EOMONTH($F$3,0),AQ$26,0),0),IF(AND(AM$26&lt;&gt;"",AM$23&lt;&gt;""),IF(EOMONTH($AL$3+INT((DAY(EOMONTH($AL$3,0))-1)/2)+AM$23,0)=EOMONTH($F$3,0),AM$26,0),0),IF(AND(AI$26&lt;&gt;"",AI$23&lt;&gt;""),IF(EOMONTH($AH$3+INT((DAY(EOMONTH($AH$3,0))-1)/2)+AI$23,0)=EOMONTH($F$3,0),AI$26,0),0),IF(AND(AE$26&lt;&gt;"",AE$23&lt;&gt;""),IF(EOMONTH($AD$3+INT((DAY(EOMONTH($AD$3,0))-1)/2)+AE$23,0)=EOMONTH($F$3,0),AE$26,0),0),IF(AND(AA$26&lt;&gt;"",AA$23&lt;&gt;""),IF(EOMONTH($Z$3+INT((DAY(EOMONTH($Z$3,0))-1)/2)+AA$23,0)=EOMONTH($F$3,0),AA$26,0),0),IF(AND(W$26&lt;&gt;"",W$23&lt;&gt;""),IF(EOMONTH($V$3+INT((DAY(EOMONTH($V$3,0))-1)/2)+W$23,0)=EOMONTH($F$3,0),W$26,0),0),IF(AND(S$26&lt;&gt;"",S$23&lt;&gt;""),IF(EOMONTH($R$3+INT((DAY(EOMONTH($R$3,0))-1)/2)+S$23,0)=EOMONTH($F$3,0),S$26,0),0),IF(AND(O$26&lt;&gt;"",O$23&lt;&gt;""),IF(EOMONTH($N$3+INT((DAY(EOMONTH($N$3,0))-1)/2)+O$23,0)=EOMONTH($F$3,0),O$26,0),0),IF(AND(K$26&lt;&gt;"",K$23&lt;&gt;""),IF(EOMONTH($J$3+INT((DAY(EOMONTH($J$3,0))-1)/2)+K$23,0)=EOMONTH($F$3,0),K$26,0),0),IF(AND(G$26&lt;&gt;"",G$23&lt;&gt;""),IF(EOMONTH($F$3+INT((DAY(EOMONTH($F$3,0))-1)/2)+G$23,0)=EOMONTH($F$3,0),G$26,0),0),IF($AX$75="",0,IF(EOMONTH($AX$75+AY$23,0)=EOMONTH($F$3,0),$AX$78*AY$13,0))),0))</f>
        <v>0</v>
      </c>
      <c r="H57" s="32">
        <f>ROUND(SUM(IF(AND(AZ$26&lt;&gt;"",AZ$23&lt;&gt;""),IF(EOMONTH($AX$3+INT((DAY(EOMONTH($AX$3,0))-1)/2)+AZ$23,0)=EOMONTH($F$3,0),AZ$26,0),0),IF(AND(AV$26&lt;&gt;"",AV$23&lt;&gt;""),IF(EOMONTH($AT$3+INT((DAY(EOMONTH($AT$3,0))-1)/2)+AV$23,0)=EOMONTH($F$3,0),AV$26,0),0),IF(AND(AR$26&lt;&gt;"",AR$23&lt;&gt;""),IF(EOMONTH($AP$3+INT((DAY(EOMONTH($AP$3,0))-1)/2)+AR$23,0)=EOMONTH($F$3,0),AR$26,0),0),IF(AND(AN$26&lt;&gt;"",AN$23&lt;&gt;""),IF(EOMONTH($AL$3+INT((DAY(EOMONTH($AL$3,0))-1)/2)+AN$23,0)=EOMONTH($F$3,0),AN$26,0),0),IF(AND(AJ$26&lt;&gt;"",AJ$23&lt;&gt;""),IF(EOMONTH($AH$3+INT((DAY(EOMONTH($AH$3,0))-1)/2)+AJ$23,0)=EOMONTH($F$3,0),AJ$26,0),0),IF(AND(AF$26&lt;&gt;"",AF$23&lt;&gt;""),IF(EOMONTH($AD$3+INT((DAY(EOMONTH($AD$3,0))-1)/2)+AF$23,0)=EOMONTH($F$3,0),AF$26,0),0),IF(AND(AB$26&lt;&gt;"",AB$23&lt;&gt;""),IF(EOMONTH($Z$3+INT((DAY(EOMONTH($Z$3,0))-1)/2)+AB$23,0)=EOMONTH($F$3,0),AB$26,0),0),IF(AND(X$26&lt;&gt;"",X$23&lt;&gt;""),IF(EOMONTH($V$3+INT((DAY(EOMONTH($V$3,0))-1)/2)+X$23,0)=EOMONTH($F$3,0),X$26,0),0),IF(AND(T$26&lt;&gt;"",T$23&lt;&gt;""),IF(EOMONTH($R$3+INT((DAY(EOMONTH($R$3,0))-1)/2)+T$23,0)=EOMONTH($F$3,0),T$26,0),0),IF(AND(P$26&lt;&gt;"",P$23&lt;&gt;""),IF(EOMONTH($N$3+INT((DAY(EOMONTH($N$3,0))-1)/2)+P$23,0)=EOMONTH($F$3,0),P$26,0),0),IF(AND(L$26&lt;&gt;"",L$23&lt;&gt;""),IF(EOMONTH($J$3+INT((DAY(EOMONTH($J$3,0))-1)/2)+L$23,0)=EOMONTH($F$3,0),L$26,0),0),IF(AND(H$26&lt;&gt;"",H$23&lt;&gt;""),IF(EOMONTH($F$3+INT((DAY(EOMONTH($F$3,0))-1)/2)+H$23,0)=EOMONTH($F$3,0),H$26,0),0),IF($AX$75="",0,IF(EOMONTH($AX$75+AZ$23,0)=EOMONTH($F$3,0),$AX$78*AZ$13,0))),0)</f>
        <v>0</v>
      </c>
      <c r="I57" s="33">
        <f t="shared" ref="I57:I70" si="270">IFERROR(IF(OR(G57="",H57=""),"",G57-H57),"")</f>
        <v>0</v>
      </c>
      <c r="J57" s="34"/>
      <c r="K57" s="31">
        <f>IF(J$98=1,J57,ROUND(SUM(IF(AND(AY$26&lt;&gt;"",AY$23&lt;&gt;""),IF(EOMONTH($AX$3+INT((DAY(EOMONTH($AX$3,0))-1)/2)+AY$23,0)=EOMONTH($J$3,0),AY$26,0),0),IF(AND(AU$26&lt;&gt;"",AU$23&lt;&gt;""),IF(EOMONTH($AT$3+INT((DAY(EOMONTH($AT$3,0))-1)/2)+AU$23,0)=EOMONTH($J$3,0),AU$26,0),0),IF(AND(AQ$26&lt;&gt;"",AQ$23&lt;&gt;""),IF(EOMONTH($AP$3+INT((DAY(EOMONTH($AP$3,0))-1)/2)+AQ$23,0)=EOMONTH($J$3,0),AQ$26,0),0),IF(AND(AM$26&lt;&gt;"",AM$23&lt;&gt;""),IF(EOMONTH($AL$3+INT((DAY(EOMONTH($AL$3,0))-1)/2)+AM$23,0)=EOMONTH($J$3,0),AM$26,0),0),IF(AND(AI$26&lt;&gt;"",AI$23&lt;&gt;""),IF(EOMONTH($AH$3+INT((DAY(EOMONTH($AH$3,0))-1)/2)+AI$23,0)=EOMONTH($J$3,0),AI$26,0),0),IF(AND(AE$26&lt;&gt;"",AE$23&lt;&gt;""),IF(EOMONTH($AD$3+INT((DAY(EOMONTH($AD$3,0))-1)/2)+AE$23,0)=EOMONTH($J$3,0),AE$26,0),0),IF(AND(AA$26&lt;&gt;"",AA$23&lt;&gt;""),IF(EOMONTH($Z$3+INT((DAY(EOMONTH($Z$3,0))-1)/2)+AA$23,0)=EOMONTH($J$3,0),AA$26,0),0),IF(AND(W$26&lt;&gt;"",W$23&lt;&gt;""),IF(EOMONTH($V$3+INT((DAY(EOMONTH($V$3,0))-1)/2)+W$23,0)=EOMONTH($J$3,0),W$26,0),0),IF(AND(S$26&lt;&gt;"",S$23&lt;&gt;""),IF(EOMONTH($R$3+INT((DAY(EOMONTH($R$3,0))-1)/2)+S$23,0)=EOMONTH($J$3,0),S$26,0),0),IF(AND(O$26&lt;&gt;"",O$23&lt;&gt;""),IF(EOMONTH($N$3+INT((DAY(EOMONTH($N$3,0))-1)/2)+O$23,0)=EOMONTH($J$3,0),O$26,0),0),IF(AND(K$26&lt;&gt;"",K$23&lt;&gt;""),IF(EOMONTH($J$3+INT((DAY(EOMONTH($J$3,0))-1)/2)+K$23,0)=EOMONTH($J$3,0),K$26,0),0),IF(AND(G$26&lt;&gt;"",G$23&lt;&gt;""),IF(EOMONTH($F$3+INT((DAY(EOMONTH($F$3,0))-1)/2)+G$23,0)=EOMONTH($J$3,0),G$26,0),0),IF($AX$75="",0,IF(EOMONTH($AX$75+AY$23,0)=EOMONTH($J$3,0),$AX$78*AY$13,0))),0))</f>
        <v>0</v>
      </c>
      <c r="L57" s="32">
        <f>ROUND(SUM(IF(AND(AZ$26&lt;&gt;"",AZ$23&lt;&gt;""),IF(EOMONTH($AX$3+INT((DAY(EOMONTH($AX$3,0))-1)/2)+AZ$23,0)=EOMONTH($J$3,0),AZ$26,0),0),IF(AND(AV$26&lt;&gt;"",AV$23&lt;&gt;""),IF(EOMONTH($AT$3+INT((DAY(EOMONTH($AT$3,0))-1)/2)+AV$23,0)=EOMONTH($J$3,0),AV$26,0),0),IF(AND(AR$26&lt;&gt;"",AR$23&lt;&gt;""),IF(EOMONTH($AP$3+INT((DAY(EOMONTH($AP$3,0))-1)/2)+AR$23,0)=EOMONTH($J$3,0),AR$26,0),0),IF(AND(AN$26&lt;&gt;"",AN$23&lt;&gt;""),IF(EOMONTH($AL$3+INT((DAY(EOMONTH($AL$3,0))-1)/2)+AN$23,0)=EOMONTH($J$3,0),AN$26,0),0),IF(AND(AJ$26&lt;&gt;"",AJ$23&lt;&gt;""),IF(EOMONTH($AH$3+INT((DAY(EOMONTH($AH$3,0))-1)/2)+AJ$23,0)=EOMONTH($J$3,0),AJ$26,0),0),IF(AND(AF$26&lt;&gt;"",AF$23&lt;&gt;""),IF(EOMONTH($AD$3+INT((DAY(EOMONTH($AD$3,0))-1)/2)+AF$23,0)=EOMONTH($J$3,0),AF$26,0),0),IF(AND(AB$26&lt;&gt;"",AB$23&lt;&gt;""),IF(EOMONTH($Z$3+INT((DAY(EOMONTH($Z$3,0))-1)/2)+AB$23,0)=EOMONTH($J$3,0),AB$26,0),0),IF(AND(X$26&lt;&gt;"",X$23&lt;&gt;""),IF(EOMONTH($V$3+INT((DAY(EOMONTH($V$3,0))-1)/2)+X$23,0)=EOMONTH($J$3,0),X$26,0),0),IF(AND(T$26&lt;&gt;"",T$23&lt;&gt;""),IF(EOMONTH($R$3+INT((DAY(EOMONTH($R$3,0))-1)/2)+T$23,0)=EOMONTH($J$3,0),T$26,0),0),IF(AND(P$26&lt;&gt;"",P$23&lt;&gt;""),IF(EOMONTH($N$3+INT((DAY(EOMONTH($N$3,0))-1)/2)+P$23,0)=EOMONTH($J$3,0),P$26,0),0),IF(AND(L$26&lt;&gt;"",L$23&lt;&gt;""),IF(EOMONTH($J$3+INT((DAY(EOMONTH($J$3,0))-1)/2)+L$23,0)=EOMONTH($J$3,0),L$26,0),0),IF(AND(H$26&lt;&gt;"",H$23&lt;&gt;""),IF(EOMONTH($F$3+INT((DAY(EOMONTH($F$3,0))-1)/2)+H$23,0)=EOMONTH($J$3,0),H$26,0),0),IF($AX$75="",0,IF(EOMONTH($AX$75+AZ$23,0)=EOMONTH($J$3,0),$AX$78*AZ$13,0))),0)</f>
        <v>0</v>
      </c>
      <c r="M57" s="33">
        <f t="shared" ref="M57:M70" si="272">IFERROR(IF(OR(K57="",L57=""),"",K57-L57),"")</f>
        <v>0</v>
      </c>
      <c r="N57" s="34"/>
      <c r="O57" s="31">
        <f>IF(N$98=1,N57,ROUND(SUM(IF(AND(AY$26&lt;&gt;"",AY$23&lt;&gt;""),IF(EOMONTH($AX$3+INT((DAY(EOMONTH($AX$3,0))-1)/2)+AY$23,0)=EOMONTH($N$3,0),AY$26,0),0),IF(AND(AU$26&lt;&gt;"",AU$23&lt;&gt;""),IF(EOMONTH($AT$3+INT((DAY(EOMONTH($AT$3,0))-1)/2)+AU$23,0)=EOMONTH($N$3,0),AU$26,0),0),IF(AND(AQ$26&lt;&gt;"",AQ$23&lt;&gt;""),IF(EOMONTH($AP$3+INT((DAY(EOMONTH($AP$3,0))-1)/2)+AQ$23,0)=EOMONTH($N$3,0),AQ$26,0),0),IF(AND(AM$26&lt;&gt;"",AM$23&lt;&gt;""),IF(EOMONTH($AL$3+INT((DAY(EOMONTH($AL$3,0))-1)/2)+AM$23,0)=EOMONTH($N$3,0),AM$26,0),0),IF(AND(AI$26&lt;&gt;"",AI$23&lt;&gt;""),IF(EOMONTH($AH$3+INT((DAY(EOMONTH($AH$3,0))-1)/2)+AI$23,0)=EOMONTH($N$3,0),AI$26,0),0),IF(AND(AE$26&lt;&gt;"",AE$23&lt;&gt;""),IF(EOMONTH($AD$3+INT((DAY(EOMONTH($AD$3,0))-1)/2)+AE$23,0)=EOMONTH($N$3,0),AE$26,0),0),IF(AND(AA$26&lt;&gt;"",AA$23&lt;&gt;""),IF(EOMONTH($Z$3+INT((DAY(EOMONTH($Z$3,0))-1)/2)+AA$23,0)=EOMONTH($N$3,0),AA$26,0),0),IF(AND(W$26&lt;&gt;"",W$23&lt;&gt;""),IF(EOMONTH($V$3+INT((DAY(EOMONTH($V$3,0))-1)/2)+W$23,0)=EOMONTH($N$3,0),W$26,0),0),IF(AND(S$26&lt;&gt;"",S$23&lt;&gt;""),IF(EOMONTH($R$3+INT((DAY(EOMONTH($R$3,0))-1)/2)+S$23,0)=EOMONTH($N$3,0),S$26,0),0),IF(AND(O$26&lt;&gt;"",O$23&lt;&gt;""),IF(EOMONTH($N$3+INT((DAY(EOMONTH($N$3,0))-1)/2)+O$23,0)=EOMONTH($N$3,0),O$26,0),0),IF(AND(K$26&lt;&gt;"",K$23&lt;&gt;""),IF(EOMONTH($J$3+INT((DAY(EOMONTH($J$3,0))-1)/2)+K$23,0)=EOMONTH($N$3,0),K$26,0),0),IF(AND(G$26&lt;&gt;"",G$23&lt;&gt;""),IF(EOMONTH($F$3+INT((DAY(EOMONTH($F$3,0))-1)/2)+G$23,0)=EOMONTH($N$3,0),G$26,0),0),IF($AX$75="",0,IF(EOMONTH($AX$75+AY$23,0)=EOMONTH($N$3,0),$AX$78*AY$13,0))),0))</f>
        <v>0</v>
      </c>
      <c r="P57" s="32">
        <f>ROUND(SUM(IF(AND(AZ$26&lt;&gt;"",AZ$23&lt;&gt;""),IF(EOMONTH($AX$3+INT((DAY(EOMONTH($AX$3,0))-1)/2)+AZ$23,0)=EOMONTH($N$3,0),AZ$26,0),0),IF(AND(AV$26&lt;&gt;"",AV$23&lt;&gt;""),IF(EOMONTH($AT$3+INT((DAY(EOMONTH($AT$3,0))-1)/2)+AV$23,0)=EOMONTH($N$3,0),AV$26,0),0),IF(AND(AR$26&lt;&gt;"",AR$23&lt;&gt;""),IF(EOMONTH($AP$3+INT((DAY(EOMONTH($AP$3,0))-1)/2)+AR$23,0)=EOMONTH($N$3,0),AR$26,0),0),IF(AND(AN$26&lt;&gt;"",AN$23&lt;&gt;""),IF(EOMONTH($AL$3+INT((DAY(EOMONTH($AL$3,0))-1)/2)+AN$23,0)=EOMONTH($N$3,0),AN$26,0),0),IF(AND(AJ$26&lt;&gt;"",AJ$23&lt;&gt;""),IF(EOMONTH($AH$3+INT((DAY(EOMONTH($AH$3,0))-1)/2)+AJ$23,0)=EOMONTH($N$3,0),AJ$26,0),0),IF(AND(AF$26&lt;&gt;"",AF$23&lt;&gt;""),IF(EOMONTH($AD$3+INT((DAY(EOMONTH($AD$3,0))-1)/2)+AF$23,0)=EOMONTH($N$3,0),AF$26,0),0),IF(AND(AB$26&lt;&gt;"",AB$23&lt;&gt;""),IF(EOMONTH($Z$3+INT((DAY(EOMONTH($Z$3,0))-1)/2)+AB$23,0)=EOMONTH($N$3,0),AB$26,0),0),IF(AND(X$26&lt;&gt;"",X$23&lt;&gt;""),IF(EOMONTH($V$3+INT((DAY(EOMONTH($V$3,0))-1)/2)+X$23,0)=EOMONTH($N$3,0),X$26,0),0),IF(AND(T$26&lt;&gt;"",T$23&lt;&gt;""),IF(EOMONTH($R$3+INT((DAY(EOMONTH($R$3,0))-1)/2)+T$23,0)=EOMONTH($N$3,0),T$26,0),0),IF(AND(P$26&lt;&gt;"",P$23&lt;&gt;""),IF(EOMONTH($N$3+INT((DAY(EOMONTH($N$3,0))-1)/2)+P$23,0)=EOMONTH($N$3,0),P$26,0),0),IF(AND(L$26&lt;&gt;"",L$23&lt;&gt;""),IF(EOMONTH($J$3+INT((DAY(EOMONTH($J$3,0))-1)/2)+L$23,0)=EOMONTH($N$3,0),L$26,0),0),IF(AND(H$26&lt;&gt;"",H$23&lt;&gt;""),IF(EOMONTH($F$3+INT((DAY(EOMONTH($F$3,0))-1)/2)+H$23,0)=EOMONTH($N$3,0),H$26,0),0),IF($AX$75="",0,IF(EOMONTH($AX$75+AZ$23,0)=EOMONTH($N$3,0),$AX$78*AZ$13,0))),0)</f>
        <v>0</v>
      </c>
      <c r="Q57" s="33">
        <f t="shared" ref="Q57:Q70" si="274">IFERROR(IF(OR(O57="",P57=""),"",O57-P57),"")</f>
        <v>0</v>
      </c>
      <c r="R57" s="34"/>
      <c r="S57" s="31">
        <f>IF(R$98=1,R57,ROUND(SUM(IF(AND(AY$26&lt;&gt;"",AY$23&lt;&gt;""),IF(EOMONTH($AX$3+INT((DAY(EOMONTH($AX$3,0))-1)/2)+AY$23,0)=EOMONTH($R$3,0),AY$26,0),0),IF(AND(AU$26&lt;&gt;"",AU$23&lt;&gt;""),IF(EOMONTH($AT$3+INT((DAY(EOMONTH($AT$3,0))-1)/2)+AU$23,0)=EOMONTH($R$3,0),AU$26,0),0),IF(AND(AQ$26&lt;&gt;"",AQ$23&lt;&gt;""),IF(EOMONTH($AP$3+INT((DAY(EOMONTH($AP$3,0))-1)/2)+AQ$23,0)=EOMONTH($R$3,0),AQ$26,0),0),IF(AND(AM$26&lt;&gt;"",AM$23&lt;&gt;""),IF(EOMONTH($AL$3+INT((DAY(EOMONTH($AL$3,0))-1)/2)+AM$23,0)=EOMONTH($R$3,0),AM$26,0),0),IF(AND(AI$26&lt;&gt;"",AI$23&lt;&gt;""),IF(EOMONTH($AH$3+INT((DAY(EOMONTH($AH$3,0))-1)/2)+AI$23,0)=EOMONTH($R$3,0),AI$26,0),0),IF(AND(AE$26&lt;&gt;"",AE$23&lt;&gt;""),IF(EOMONTH($AD$3+INT((DAY(EOMONTH($AD$3,0))-1)/2)+AE$23,0)=EOMONTH($R$3,0),AE$26,0),0),IF(AND(AA$26&lt;&gt;"",AA$23&lt;&gt;""),IF(EOMONTH($Z$3+INT((DAY(EOMONTH($Z$3,0))-1)/2)+AA$23,0)=EOMONTH($R$3,0),AA$26,0),0),IF(AND(W$26&lt;&gt;"",W$23&lt;&gt;""),IF(EOMONTH($V$3+INT((DAY(EOMONTH($V$3,0))-1)/2)+W$23,0)=EOMONTH($R$3,0),W$26,0),0),IF(AND(S$26&lt;&gt;"",S$23&lt;&gt;""),IF(EOMONTH($R$3+INT((DAY(EOMONTH($R$3,0))-1)/2)+S$23,0)=EOMONTH($R$3,0),S$26,0),0),IF(AND(O$26&lt;&gt;"",O$23&lt;&gt;""),IF(EOMONTH($N$3+INT((DAY(EOMONTH($N$3,0))-1)/2)+O$23,0)=EOMONTH($R$3,0),O$26,0),0),IF(AND(K$26&lt;&gt;"",K$23&lt;&gt;""),IF(EOMONTH($J$3+INT((DAY(EOMONTH($J$3,0))-1)/2)+K$23,0)=EOMONTH($R$3,0),K$26,0),0),IF(AND(G$26&lt;&gt;"",G$23&lt;&gt;""),IF(EOMONTH($F$3+INT((DAY(EOMONTH($F$3,0))-1)/2)+G$23,0)=EOMONTH($R$3,0),G$26,0),0),IF($AX$75="",0,IF(EOMONTH($AX$75+AY$23,0)=EOMONTH($R$3,0),$AX$78*AY$13,0))),0))</f>
        <v>0</v>
      </c>
      <c r="T57" s="32">
        <f>ROUND(SUM(IF(AND(AZ$26&lt;&gt;"",AZ$23&lt;&gt;""),IF(EOMONTH($AX$3+INT((DAY(EOMONTH($AX$3,0))-1)/2)+AZ$23,0)=EOMONTH($R$3,0),AZ$26,0),0),IF(AND(AV$26&lt;&gt;"",AV$23&lt;&gt;""),IF(EOMONTH($AT$3+INT((DAY(EOMONTH($AT$3,0))-1)/2)+AV$23,0)=EOMONTH($R$3,0),AV$26,0),0),IF(AND(AR$26&lt;&gt;"",AR$23&lt;&gt;""),IF(EOMONTH($AP$3+INT((DAY(EOMONTH($AP$3,0))-1)/2)+AR$23,0)=EOMONTH($R$3,0),AR$26,0),0),IF(AND(AN$26&lt;&gt;"",AN$23&lt;&gt;""),IF(EOMONTH($AL$3+INT((DAY(EOMONTH($AL$3,0))-1)/2)+AN$23,0)=EOMONTH($R$3,0),AN$26,0),0),IF(AND(AJ$26&lt;&gt;"",AJ$23&lt;&gt;""),IF(EOMONTH($AH$3+INT((DAY(EOMONTH($AH$3,0))-1)/2)+AJ$23,0)=EOMONTH($R$3,0),AJ$26,0),0),IF(AND(AF$26&lt;&gt;"",AF$23&lt;&gt;""),IF(EOMONTH($AD$3+INT((DAY(EOMONTH($AD$3,0))-1)/2)+AF$23,0)=EOMONTH($R$3,0),AF$26,0),0),IF(AND(AB$26&lt;&gt;"",AB$23&lt;&gt;""),IF(EOMONTH($Z$3+INT((DAY(EOMONTH($Z$3,0))-1)/2)+AB$23,0)=EOMONTH($R$3,0),AB$26,0),0),IF(AND(X$26&lt;&gt;"",X$23&lt;&gt;""),IF(EOMONTH($V$3+INT((DAY(EOMONTH($V$3,0))-1)/2)+X$23,0)=EOMONTH($R$3,0),X$26,0),0),IF(AND(T$26&lt;&gt;"",T$23&lt;&gt;""),IF(EOMONTH($R$3+INT((DAY(EOMONTH($R$3,0))-1)/2)+T$23,0)=EOMONTH($R$3,0),T$26,0),0),IF(AND(P$26&lt;&gt;"",P$23&lt;&gt;""),IF(EOMONTH($N$3+INT((DAY(EOMONTH($N$3,0))-1)/2)+P$23,0)=EOMONTH($R$3,0),P$26,0),0),IF(AND(L$26&lt;&gt;"",L$23&lt;&gt;""),IF(EOMONTH($J$3+INT((DAY(EOMONTH($J$3,0))-1)/2)+L$23,0)=EOMONTH($R$3,0),L$26,0),0),IF(AND(H$26&lt;&gt;"",H$23&lt;&gt;""),IF(EOMONTH($F$3+INT((DAY(EOMONTH($F$3,0))-1)/2)+H$23,0)=EOMONTH($R$3,0),H$26,0),0),IF($AX$75="",0,IF(EOMONTH($AX$75+AZ$23,0)=EOMONTH($R$3,0),$AX$78*AZ$13,0))),0)</f>
        <v>0</v>
      </c>
      <c r="U57" s="33">
        <f t="shared" ref="U57:U70" si="276">IFERROR(IF(OR(S57="",T57=""),"",S57-T57),"")</f>
        <v>0</v>
      </c>
      <c r="V57" s="34"/>
      <c r="W57" s="31">
        <f>IF(V$98=1,V57,ROUND(SUM(IF(AND(AY$26&lt;&gt;"",AY$23&lt;&gt;""),IF(EOMONTH($AX$3+INT((DAY(EOMONTH($AX$3,0))-1)/2)+AY$23,0)=EOMONTH($V$3,0),AY$26,0),0),IF(AND(AU$26&lt;&gt;"",AU$23&lt;&gt;""),IF(EOMONTH($AT$3+INT((DAY(EOMONTH($AT$3,0))-1)/2)+AU$23,0)=EOMONTH($V$3,0),AU$26,0),0),IF(AND(AQ$26&lt;&gt;"",AQ$23&lt;&gt;""),IF(EOMONTH($AP$3+INT((DAY(EOMONTH($AP$3,0))-1)/2)+AQ$23,0)=EOMONTH($V$3,0),AQ$26,0),0),IF(AND(AM$26&lt;&gt;"",AM$23&lt;&gt;""),IF(EOMONTH($AL$3+INT((DAY(EOMONTH($AL$3,0))-1)/2)+AM$23,0)=EOMONTH($V$3,0),AM$26,0),0),IF(AND(AI$26&lt;&gt;"",AI$23&lt;&gt;""),IF(EOMONTH($AH$3+INT((DAY(EOMONTH($AH$3,0))-1)/2)+AI$23,0)=EOMONTH($V$3,0),AI$26,0),0),IF(AND(AE$26&lt;&gt;"",AE$23&lt;&gt;""),IF(EOMONTH($AD$3+INT((DAY(EOMONTH($AD$3,0))-1)/2)+AE$23,0)=EOMONTH($V$3,0),AE$26,0),0),IF(AND(AA$26&lt;&gt;"",AA$23&lt;&gt;""),IF(EOMONTH($Z$3+INT((DAY(EOMONTH($Z$3,0))-1)/2)+AA$23,0)=EOMONTH($V$3,0),AA$26,0),0),IF(AND(W$26&lt;&gt;"",W$23&lt;&gt;""),IF(EOMONTH($V$3+INT((DAY(EOMONTH($V$3,0))-1)/2)+W$23,0)=EOMONTH($V$3,0),W$26,0),0),IF(AND(S$26&lt;&gt;"",S$23&lt;&gt;""),IF(EOMONTH($R$3+INT((DAY(EOMONTH($R$3,0))-1)/2)+S$23,0)=EOMONTH($V$3,0),S$26,0),0),IF(AND(O$26&lt;&gt;"",O$23&lt;&gt;""),IF(EOMONTH($N$3+INT((DAY(EOMONTH($N$3,0))-1)/2)+O$23,0)=EOMONTH($V$3,0),O$26,0),0),IF(AND(K$26&lt;&gt;"",K$23&lt;&gt;""),IF(EOMONTH($J$3+INT((DAY(EOMONTH($J$3,0))-1)/2)+K$23,0)=EOMONTH($V$3,0),K$26,0),0),IF(AND(G$26&lt;&gt;"",G$23&lt;&gt;""),IF(EOMONTH($F$3+INT((DAY(EOMONTH($F$3,0))-1)/2)+G$23,0)=EOMONTH($V$3,0),G$26,0),0),IF($AX$75="",0,IF(EOMONTH($AX$75+AY$23,0)=EOMONTH($V$3,0),$AX$78*AY$13,0))),0))</f>
        <v>0</v>
      </c>
      <c r="X57" s="32">
        <f>ROUND(SUM(IF(AND(AZ$26&lt;&gt;"",AZ$23&lt;&gt;""),IF(EOMONTH($AX$3+INT((DAY(EOMONTH($AX$3,0))-1)/2)+AZ$23,0)=EOMONTH($V$3,0),AZ$26,0),0),IF(AND(AV$26&lt;&gt;"",AV$23&lt;&gt;""),IF(EOMONTH($AT$3+INT((DAY(EOMONTH($AT$3,0))-1)/2)+AV$23,0)=EOMONTH($V$3,0),AV$26,0),0),IF(AND(AR$26&lt;&gt;"",AR$23&lt;&gt;""),IF(EOMONTH($AP$3+INT((DAY(EOMONTH($AP$3,0))-1)/2)+AR$23,0)=EOMONTH($V$3,0),AR$26,0),0),IF(AND(AN$26&lt;&gt;"",AN$23&lt;&gt;""),IF(EOMONTH($AL$3+INT((DAY(EOMONTH($AL$3,0))-1)/2)+AN$23,0)=EOMONTH($V$3,0),AN$26,0),0),IF(AND(AJ$26&lt;&gt;"",AJ$23&lt;&gt;""),IF(EOMONTH($AH$3+INT((DAY(EOMONTH($AH$3,0))-1)/2)+AJ$23,0)=EOMONTH($V$3,0),AJ$26,0),0),IF(AND(AF$26&lt;&gt;"",AF$23&lt;&gt;""),IF(EOMONTH($AD$3+INT((DAY(EOMONTH($AD$3,0))-1)/2)+AF$23,0)=EOMONTH($V$3,0),AF$26,0),0),IF(AND(AB$26&lt;&gt;"",AB$23&lt;&gt;""),IF(EOMONTH($Z$3+INT((DAY(EOMONTH($Z$3,0))-1)/2)+AB$23,0)=EOMONTH($V$3,0),AB$26,0),0),IF(AND(X$26&lt;&gt;"",X$23&lt;&gt;""),IF(EOMONTH($V$3+INT((DAY(EOMONTH($V$3,0))-1)/2)+X$23,0)=EOMONTH($V$3,0),X$26,0),0),IF(AND(T$26&lt;&gt;"",T$23&lt;&gt;""),IF(EOMONTH($R$3+INT((DAY(EOMONTH($R$3,0))-1)/2)+T$23,0)=EOMONTH($V$3,0),T$26,0),0),IF(AND(P$26&lt;&gt;"",P$23&lt;&gt;""),IF(EOMONTH($N$3+INT((DAY(EOMONTH($N$3,0))-1)/2)+P$23,0)=EOMONTH($V$3,0),P$26,0),0),IF(AND(L$26&lt;&gt;"",L$23&lt;&gt;""),IF(EOMONTH($J$3+INT((DAY(EOMONTH($J$3,0))-1)/2)+L$23,0)=EOMONTH($V$3,0),L$26,0),0),IF(AND(H$26&lt;&gt;"",H$23&lt;&gt;""),IF(EOMONTH($F$3+INT((DAY(EOMONTH($F$3,0))-1)/2)+H$23,0)=EOMONTH($V$3,0),H$26,0),0),IF($AX$75="",0,IF(EOMONTH($AX$75+AZ$23,0)=EOMONTH($V$3,0),$AX$78*AZ$13,0))),0)</f>
        <v>0</v>
      </c>
      <c r="Y57" s="33">
        <f t="shared" ref="Y57:Y70" si="278">IFERROR(IF(OR(W57="",X57=""),"",W57-X57),"")</f>
        <v>0</v>
      </c>
      <c r="Z57" s="34"/>
      <c r="AA57" s="31">
        <f>IF(Z$98=1,Z57,ROUND(SUM(IF(AND(AY$26&lt;&gt;"",AY$23&lt;&gt;""),IF(EOMONTH($AX$3+INT((DAY(EOMONTH($AX$3,0))-1)/2)+AY$23,0)=EOMONTH($Z$3,0),AY$26,0),0),IF(AND(AU$26&lt;&gt;"",AU$23&lt;&gt;""),IF(EOMONTH($AT$3+INT((DAY(EOMONTH($AT$3,0))-1)/2)+AU$23,0)=EOMONTH($Z$3,0),AU$26,0),0),IF(AND(AQ$26&lt;&gt;"",AQ$23&lt;&gt;""),IF(EOMONTH($AP$3+INT((DAY(EOMONTH($AP$3,0))-1)/2)+AQ$23,0)=EOMONTH($Z$3,0),AQ$26,0),0),IF(AND(AM$26&lt;&gt;"",AM$23&lt;&gt;""),IF(EOMONTH($AL$3+INT((DAY(EOMONTH($AL$3,0))-1)/2)+AM$23,0)=EOMONTH($Z$3,0),AM$26,0),0),IF(AND(AI$26&lt;&gt;"",AI$23&lt;&gt;""),IF(EOMONTH($AH$3+INT((DAY(EOMONTH($AH$3,0))-1)/2)+AI$23,0)=EOMONTH($Z$3,0),AI$26,0),0),IF(AND(AE$26&lt;&gt;"",AE$23&lt;&gt;""),IF(EOMONTH($AD$3+INT((DAY(EOMONTH($AD$3,0))-1)/2)+AE$23,0)=EOMONTH($Z$3,0),AE$26,0),0),IF(AND(AA$26&lt;&gt;"",AA$23&lt;&gt;""),IF(EOMONTH($Z$3+INT((DAY(EOMONTH($Z$3,0))-1)/2)+AA$23,0)=EOMONTH($Z$3,0),AA$26,0),0),IF(AND(W$26&lt;&gt;"",W$23&lt;&gt;""),IF(EOMONTH($V$3+INT((DAY(EOMONTH($V$3,0))-1)/2)+W$23,0)=EOMONTH($Z$3,0),W$26,0),0),IF(AND(S$26&lt;&gt;"",S$23&lt;&gt;""),IF(EOMONTH($R$3+INT((DAY(EOMONTH($R$3,0))-1)/2)+S$23,0)=EOMONTH($Z$3,0),S$26,0),0),IF(AND(O$26&lt;&gt;"",O$23&lt;&gt;""),IF(EOMONTH($N$3+INT((DAY(EOMONTH($N$3,0))-1)/2)+O$23,0)=EOMONTH($Z$3,0),O$26,0),0),IF(AND(K$26&lt;&gt;"",K$23&lt;&gt;""),IF(EOMONTH($J$3+INT((DAY(EOMONTH($J$3,0))-1)/2)+K$23,0)=EOMONTH($Z$3,0),K$26,0),0),IF(AND(G$26&lt;&gt;"",G$23&lt;&gt;""),IF(EOMONTH($F$3+INT((DAY(EOMONTH($F$3,0))-1)/2)+G$23,0)=EOMONTH($Z$3,0),G$26,0),0),IF($AX$75="",0,IF(EOMONTH($AX$75+AY$23,0)=EOMONTH($Z$3,0),$AX$78*AY$13,0))),0))</f>
        <v>0</v>
      </c>
      <c r="AB57" s="32">
        <f>ROUND(SUM(IF(AND(AZ$26&lt;&gt;"",AZ$23&lt;&gt;""),IF(EOMONTH($AX$3+INT((DAY(EOMONTH($AX$3,0))-1)/2)+AZ$23,0)=EOMONTH($Z$3,0),AZ$26,0),0),IF(AND(AV$26&lt;&gt;"",AV$23&lt;&gt;""),IF(EOMONTH($AT$3+INT((DAY(EOMONTH($AT$3,0))-1)/2)+AV$23,0)=EOMONTH($Z$3,0),AV$26,0),0),IF(AND(AR$26&lt;&gt;"",AR$23&lt;&gt;""),IF(EOMONTH($AP$3+INT((DAY(EOMONTH($AP$3,0))-1)/2)+AR$23,0)=EOMONTH($Z$3,0),AR$26,0),0),IF(AND(AN$26&lt;&gt;"",AN$23&lt;&gt;""),IF(EOMONTH($AL$3+INT((DAY(EOMONTH($AL$3,0))-1)/2)+AN$23,0)=EOMONTH($Z$3,0),AN$26,0),0),IF(AND(AJ$26&lt;&gt;"",AJ$23&lt;&gt;""),IF(EOMONTH($AH$3+INT((DAY(EOMONTH($AH$3,0))-1)/2)+AJ$23,0)=EOMONTH($Z$3,0),AJ$26,0),0),IF(AND(AF$26&lt;&gt;"",AF$23&lt;&gt;""),IF(EOMONTH($AD$3+INT((DAY(EOMONTH($AD$3,0))-1)/2)+AF$23,0)=EOMONTH($Z$3,0),AF$26,0),0),IF(AND(AB$26&lt;&gt;"",AB$23&lt;&gt;""),IF(EOMONTH($Z$3+INT((DAY(EOMONTH($Z$3,0))-1)/2)+AB$23,0)=EOMONTH($Z$3,0),AB$26,0),0),IF(AND(X$26&lt;&gt;"",X$23&lt;&gt;""),IF(EOMONTH($V$3+INT((DAY(EOMONTH($V$3,0))-1)/2)+X$23,0)=EOMONTH($Z$3,0),X$26,0),0),IF(AND(T$26&lt;&gt;"",T$23&lt;&gt;""),IF(EOMONTH($R$3+INT((DAY(EOMONTH($R$3,0))-1)/2)+T$23,0)=EOMONTH($Z$3,0),T$26,0),0),IF(AND(P$26&lt;&gt;"",P$23&lt;&gt;""),IF(EOMONTH($N$3+INT((DAY(EOMONTH($N$3,0))-1)/2)+P$23,0)=EOMONTH($Z$3,0),P$26,0),0),IF(AND(L$26&lt;&gt;"",L$23&lt;&gt;""),IF(EOMONTH($J$3+INT((DAY(EOMONTH($J$3,0))-1)/2)+L$23,0)=EOMONTH($Z$3,0),L$26,0),0),IF(AND(H$26&lt;&gt;"",H$23&lt;&gt;""),IF(EOMONTH($F$3+INT((DAY(EOMONTH($F$3,0))-1)/2)+H$23,0)=EOMONTH($Z$3,0),H$26,0),0),IF($AX$75="",0,IF(EOMONTH($AX$75+AZ$23,0)=EOMONTH($Z$3,0),$AX$78*AZ$13,0))),0)</f>
        <v>0</v>
      </c>
      <c r="AC57" s="33">
        <f t="shared" ref="AC57:AC70" si="280">IFERROR(IF(OR(AA57="",AB57=""),"",AA57-AB57),"")</f>
        <v>0</v>
      </c>
      <c r="AD57" s="34"/>
      <c r="AE57" s="31">
        <f>IF(AD$98=1,AD57,ROUND(SUM(IF(AND(AY$26&lt;&gt;"",AY$23&lt;&gt;""),IF(EOMONTH($AX$3+INT((DAY(EOMONTH($AX$3,0))-1)/2)+AY$23,0)=EOMONTH($AD$3,0),AY$26,0),0),IF(AND(AU$26&lt;&gt;"",AU$23&lt;&gt;""),IF(EOMONTH($AT$3+INT((DAY(EOMONTH($AT$3,0))-1)/2)+AU$23,0)=EOMONTH($AD$3,0),AU$26,0),0),IF(AND(AQ$26&lt;&gt;"",AQ$23&lt;&gt;""),IF(EOMONTH($AP$3+INT((DAY(EOMONTH($AP$3,0))-1)/2)+AQ$23,0)=EOMONTH($AD$3,0),AQ$26,0),0),IF(AND(AM$26&lt;&gt;"",AM$23&lt;&gt;""),IF(EOMONTH($AL$3+INT((DAY(EOMONTH($AL$3,0))-1)/2)+AM$23,0)=EOMONTH($AD$3,0),AM$26,0),0),IF(AND(AI$26&lt;&gt;"",AI$23&lt;&gt;""),IF(EOMONTH($AH$3+INT((DAY(EOMONTH($AH$3,0))-1)/2)+AI$23,0)=EOMONTH($AD$3,0),AI$26,0),0),IF(AND(AE$26&lt;&gt;"",AE$23&lt;&gt;""),IF(EOMONTH($AD$3+INT((DAY(EOMONTH($AD$3,0))-1)/2)+AE$23,0)=EOMONTH($AD$3,0),AE$26,0),0),IF(AND(AA$26&lt;&gt;"",AA$23&lt;&gt;""),IF(EOMONTH($Z$3+INT((DAY(EOMONTH($Z$3,0))-1)/2)+AA$23,0)=EOMONTH($AD$3,0),AA$26,0),0),IF(AND(W$26&lt;&gt;"",W$23&lt;&gt;""),IF(EOMONTH($V$3+INT((DAY(EOMONTH($V$3,0))-1)/2)+W$23,0)=EOMONTH($AD$3,0),W$26,0),0),IF(AND(S$26&lt;&gt;"",S$23&lt;&gt;""),IF(EOMONTH($R$3+INT((DAY(EOMONTH($R$3,0))-1)/2)+S$23,0)=EOMONTH($AD$3,0),S$26,0),0),IF(AND(O$26&lt;&gt;"",O$23&lt;&gt;""),IF(EOMONTH($N$3+INT((DAY(EOMONTH($N$3,0))-1)/2)+O$23,0)=EOMONTH($AD$3,0),O$26,0),0),IF(AND(K$26&lt;&gt;"",K$23&lt;&gt;""),IF(EOMONTH($J$3+INT((DAY(EOMONTH($J$3,0))-1)/2)+K$23,0)=EOMONTH($AD$3,0),K$26,0),0),IF(AND(G$26&lt;&gt;"",G$23&lt;&gt;""),IF(EOMONTH($F$3+INT((DAY(EOMONTH($F$3,0))-1)/2)+G$23,0)=EOMONTH($AD$3,0),G$26,0),0),IF($AX$75="",0,IF(EOMONTH($AX$75+AY$23,0)=EOMONTH($AD$3,0),$AX$78*AY$13,0))),0))</f>
        <v>0</v>
      </c>
      <c r="AF57" s="32">
        <f>ROUND(SUM(IF(AND(AZ$26&lt;&gt;"",AZ$23&lt;&gt;""),IF(EOMONTH($AX$3+INT((DAY(EOMONTH($AX$3,0))-1)/2)+AZ$23,0)=EOMONTH($AD$3,0),AZ$26,0),0),IF(AND(AV$26&lt;&gt;"",AV$23&lt;&gt;""),IF(EOMONTH($AT$3+INT((DAY(EOMONTH($AT$3,0))-1)/2)+AV$23,0)=EOMONTH($AD$3,0),AV$26,0),0),IF(AND(AR$26&lt;&gt;"",AR$23&lt;&gt;""),IF(EOMONTH($AP$3+INT((DAY(EOMONTH($AP$3,0))-1)/2)+AR$23,0)=EOMONTH($AD$3,0),AR$26,0),0),IF(AND(AN$26&lt;&gt;"",AN$23&lt;&gt;""),IF(EOMONTH($AL$3+INT((DAY(EOMONTH($AL$3,0))-1)/2)+AN$23,0)=EOMONTH($AD$3,0),AN$26,0),0),IF(AND(AJ$26&lt;&gt;"",AJ$23&lt;&gt;""),IF(EOMONTH($AH$3+INT((DAY(EOMONTH($AH$3,0))-1)/2)+AJ$23,0)=EOMONTH($AD$3,0),AJ$26,0),0),IF(AND(AF$26&lt;&gt;"",AF$23&lt;&gt;""),IF(EOMONTH($AD$3+INT((DAY(EOMONTH($AD$3,0))-1)/2)+AF$23,0)=EOMONTH($AD$3,0),AF$26,0),0),IF(AND(AB$26&lt;&gt;"",AB$23&lt;&gt;""),IF(EOMONTH($Z$3+INT((DAY(EOMONTH($Z$3,0))-1)/2)+AB$23,0)=EOMONTH($AD$3,0),AB$26,0),0),IF(AND(X$26&lt;&gt;"",X$23&lt;&gt;""),IF(EOMONTH($V$3+INT((DAY(EOMONTH($V$3,0))-1)/2)+X$23,0)=EOMONTH($AD$3,0),X$26,0),0),IF(AND(T$26&lt;&gt;"",T$23&lt;&gt;""),IF(EOMONTH($R$3+INT((DAY(EOMONTH($R$3,0))-1)/2)+T$23,0)=EOMONTH($AD$3,0),T$26,0),0),IF(AND(P$26&lt;&gt;"",P$23&lt;&gt;""),IF(EOMONTH($N$3+INT((DAY(EOMONTH($N$3,0))-1)/2)+P$23,0)=EOMONTH($AD$3,0),P$26,0),0),IF(AND(L$26&lt;&gt;"",L$23&lt;&gt;""),IF(EOMONTH($J$3+INT((DAY(EOMONTH($J$3,0))-1)/2)+L$23,0)=EOMONTH($AD$3,0),L$26,0),0),IF(AND(H$26&lt;&gt;"",H$23&lt;&gt;""),IF(EOMONTH($F$3+INT((DAY(EOMONTH($F$3,0))-1)/2)+H$23,0)=EOMONTH($AD$3,0),H$26,0),0),IF($AX$75="",0,IF(EOMONTH($AX$75+AZ$23,0)=EOMONTH($AD$3,0),$AX$78*AZ$13,0))),0)</f>
        <v>0</v>
      </c>
      <c r="AG57" s="33">
        <f t="shared" ref="AG57:AG70" si="282">IFERROR(IF(OR(AE57="",AF57=""),"",AE57-AF57),"")</f>
        <v>0</v>
      </c>
      <c r="AH57" s="34"/>
      <c r="AI57" s="31">
        <f>IF(AH$98=1,AH57,ROUND(SUM(IF(AND(AY$26&lt;&gt;"",AY$23&lt;&gt;""),IF(EOMONTH($AX$3+INT((DAY(EOMONTH($AX$3,0))-1)/2)+AY$23,0)=EOMONTH($AH$3,0),AY$26,0),0),IF(AND(AU$26&lt;&gt;"",AU$23&lt;&gt;""),IF(EOMONTH($AT$3+INT((DAY(EOMONTH($AT$3,0))-1)/2)+AU$23,0)=EOMONTH($AH$3,0),AU$26,0),0),IF(AND(AQ$26&lt;&gt;"",AQ$23&lt;&gt;""),IF(EOMONTH($AP$3+INT((DAY(EOMONTH($AP$3,0))-1)/2)+AQ$23,0)=EOMONTH($AH$3,0),AQ$26,0),0),IF(AND(AM$26&lt;&gt;"",AM$23&lt;&gt;""),IF(EOMONTH($AL$3+INT((DAY(EOMONTH($AL$3,0))-1)/2)+AM$23,0)=EOMONTH($AH$3,0),AM$26,0),0),IF(AND(AI$26&lt;&gt;"",AI$23&lt;&gt;""),IF(EOMONTH($AH$3+INT((DAY(EOMONTH($AH$3,0))-1)/2)+AI$23,0)=EOMONTH($AH$3,0),AI$26,0),0),IF(AND(AE$26&lt;&gt;"",AE$23&lt;&gt;""),IF(EOMONTH($AD$3+INT((DAY(EOMONTH($AD$3,0))-1)/2)+AE$23,0)=EOMONTH($AH$3,0),AE$26,0),0),IF(AND(AA$26&lt;&gt;"",AA$23&lt;&gt;""),IF(EOMONTH($Z$3+INT((DAY(EOMONTH($Z$3,0))-1)/2)+AA$23,0)=EOMONTH($AH$3,0),AA$26,0),0),IF(AND(W$26&lt;&gt;"",W$23&lt;&gt;""),IF(EOMONTH($V$3+INT((DAY(EOMONTH($V$3,0))-1)/2)+W$23,0)=EOMONTH($AH$3,0),W$26,0),0),IF(AND(S$26&lt;&gt;"",S$23&lt;&gt;""),IF(EOMONTH($R$3+INT((DAY(EOMONTH($R$3,0))-1)/2)+S$23,0)=EOMONTH($AH$3,0),S$26,0),0),IF(AND(O$26&lt;&gt;"",O$23&lt;&gt;""),IF(EOMONTH($N$3+INT((DAY(EOMONTH($N$3,0))-1)/2)+O$23,0)=EOMONTH($AH$3,0),O$26,0),0),IF(AND(K$26&lt;&gt;"",K$23&lt;&gt;""),IF(EOMONTH($J$3+INT((DAY(EOMONTH($J$3,0))-1)/2)+K$23,0)=EOMONTH($AH$3,0),K$26,0),0),IF(AND(G$26&lt;&gt;"",G$23&lt;&gt;""),IF(EOMONTH($F$3+INT((DAY(EOMONTH($F$3,0))-1)/2)+G$23,0)=EOMONTH($AH$3,0),G$26,0),0),IF($AX$75="",0,IF(EOMONTH($AX$75+AY$23,0)=EOMONTH($AH$3,0),$AX$78*AY$13,0))),0))</f>
        <v>0</v>
      </c>
      <c r="AJ57" s="32">
        <f>ROUND(SUM(IF(AND(AZ$26&lt;&gt;"",AZ$23&lt;&gt;""),IF(EOMONTH($AX$3+INT((DAY(EOMONTH($AX$3,0))-1)/2)+AZ$23,0)=EOMONTH($AH$3,0),AZ$26,0),0),IF(AND(AV$26&lt;&gt;"",AV$23&lt;&gt;""),IF(EOMONTH($AT$3+INT((DAY(EOMONTH($AT$3,0))-1)/2)+AV$23,0)=EOMONTH($AH$3,0),AV$26,0),0),IF(AND(AR$26&lt;&gt;"",AR$23&lt;&gt;""),IF(EOMONTH($AP$3+INT((DAY(EOMONTH($AP$3,0))-1)/2)+AR$23,0)=EOMONTH($AH$3,0),AR$26,0),0),IF(AND(AN$26&lt;&gt;"",AN$23&lt;&gt;""),IF(EOMONTH($AL$3+INT((DAY(EOMONTH($AL$3,0))-1)/2)+AN$23,0)=EOMONTH($AH$3,0),AN$26,0),0),IF(AND(AJ$26&lt;&gt;"",AJ$23&lt;&gt;""),IF(EOMONTH($AH$3+INT((DAY(EOMONTH($AH$3,0))-1)/2)+AJ$23,0)=EOMONTH($AH$3,0),AJ$26,0),0),IF(AND(AF$26&lt;&gt;"",AF$23&lt;&gt;""),IF(EOMONTH($AD$3+INT((DAY(EOMONTH($AD$3,0))-1)/2)+AF$23,0)=EOMONTH($AH$3,0),AF$26,0),0),IF(AND(AB$26&lt;&gt;"",AB$23&lt;&gt;""),IF(EOMONTH($Z$3+INT((DAY(EOMONTH($Z$3,0))-1)/2)+AB$23,0)=EOMONTH($AH$3,0),AB$26,0),0),IF(AND(X$26&lt;&gt;"",X$23&lt;&gt;""),IF(EOMONTH($V$3+INT((DAY(EOMONTH($V$3,0))-1)/2)+X$23,0)=EOMONTH($AH$3,0),X$26,0),0),IF(AND(T$26&lt;&gt;"",T$23&lt;&gt;""),IF(EOMONTH($R$3+INT((DAY(EOMONTH($R$3,0))-1)/2)+T$23,0)=EOMONTH($AH$3,0),T$26,0),0),IF(AND(P$26&lt;&gt;"",P$23&lt;&gt;""),IF(EOMONTH($N$3+INT((DAY(EOMONTH($N$3,0))-1)/2)+P$23,0)=EOMONTH($AH$3,0),P$26,0),0),IF(AND(L$26&lt;&gt;"",L$23&lt;&gt;""),IF(EOMONTH($J$3+INT((DAY(EOMONTH($J$3,0))-1)/2)+L$23,0)=EOMONTH($AH$3,0),L$26,0),0),IF(AND(H$26&lt;&gt;"",H$23&lt;&gt;""),IF(EOMONTH($F$3+INT((DAY(EOMONTH($F$3,0))-1)/2)+H$23,0)=EOMONTH($AH$3,0),H$26,0),0),IF($AX$75="",0,IF(EOMONTH($AX$75+AZ$23,0)=EOMONTH($AH$3,0),$AX$78*AZ$13,0))),0)</f>
        <v>0</v>
      </c>
      <c r="AK57" s="33">
        <f t="shared" ref="AK57:AK70" si="284">IFERROR(IF(OR(AI57="",AJ57=""),"",AI57-AJ57),"")</f>
        <v>0</v>
      </c>
      <c r="AL57" s="34"/>
      <c r="AM57" s="31">
        <f>IF(AL$98=1,AL57,ROUND(SUM(IF(AND(AY$26&lt;&gt;"",AY$23&lt;&gt;""),IF(EOMONTH($AX$3+INT((DAY(EOMONTH($AX$3,0))-1)/2)+AY$23,0)=EOMONTH($AL$3,0),AY$26,0),0),IF(AND(AU$26&lt;&gt;"",AU$23&lt;&gt;""),IF(EOMONTH($AT$3+INT((DAY(EOMONTH($AT$3,0))-1)/2)+AU$23,0)=EOMONTH($AL$3,0),AU$26,0),0),IF(AND(AQ$26&lt;&gt;"",AQ$23&lt;&gt;""),IF(EOMONTH($AP$3+INT((DAY(EOMONTH($AP$3,0))-1)/2)+AQ$23,0)=EOMONTH($AL$3,0),AQ$26,0),0),IF(AND(AM$26&lt;&gt;"",AM$23&lt;&gt;""),IF(EOMONTH($AL$3+INT((DAY(EOMONTH($AL$3,0))-1)/2)+AM$23,0)=EOMONTH($AL$3,0),AM$26,0),0),IF(AND(AI$26&lt;&gt;"",AI$23&lt;&gt;""),IF(EOMONTH($AH$3+INT((DAY(EOMONTH($AH$3,0))-1)/2)+AI$23,0)=EOMONTH($AL$3,0),AI$26,0),0),IF(AND(AE$26&lt;&gt;"",AE$23&lt;&gt;""),IF(EOMONTH($AD$3+INT((DAY(EOMONTH($AD$3,0))-1)/2)+AE$23,0)=EOMONTH($AL$3,0),AE$26,0),0),IF(AND(AA$26&lt;&gt;"",AA$23&lt;&gt;""),IF(EOMONTH($Z$3+INT((DAY(EOMONTH($Z$3,0))-1)/2)+AA$23,0)=EOMONTH($AL$3,0),AA$26,0),0),IF(AND(W$26&lt;&gt;"",W$23&lt;&gt;""),IF(EOMONTH($V$3+INT((DAY(EOMONTH($V$3,0))-1)/2)+W$23,0)=EOMONTH($AL$3,0),W$26,0),0),IF(AND(S$26&lt;&gt;"",S$23&lt;&gt;""),IF(EOMONTH($R$3+INT((DAY(EOMONTH($R$3,0))-1)/2)+S$23,0)=EOMONTH($AL$3,0),S$26,0),0),IF(AND(O$26&lt;&gt;"",O$23&lt;&gt;""),IF(EOMONTH($N$3+INT((DAY(EOMONTH($N$3,0))-1)/2)+O$23,0)=EOMONTH($AL$3,0),O$26,0),0),IF(AND(K$26&lt;&gt;"",K$23&lt;&gt;""),IF(EOMONTH($J$3+INT((DAY(EOMONTH($J$3,0))-1)/2)+K$23,0)=EOMONTH($AL$3,0),K$26,0),0),IF(AND(G$26&lt;&gt;"",G$23&lt;&gt;""),IF(EOMONTH($F$3+INT((DAY(EOMONTH($F$3,0))-1)/2)+G$23,0)=EOMONTH($AL$3,0),G$26,0),0),IF($AX$75="",0,IF(EOMONTH($AX$75+AY$23,0)=EOMONTH($AL$3,0),$AX$78*AY$13,0))),0))</f>
        <v>0</v>
      </c>
      <c r="AN57" s="32">
        <f>ROUND(SUM(IF(AND(AZ$26&lt;&gt;"",AZ$23&lt;&gt;""),IF(EOMONTH($AX$3+INT((DAY(EOMONTH($AX$3,0))-1)/2)+AZ$23,0)=EOMONTH($AL$3,0),AZ$26,0),0),IF(AND(AV$26&lt;&gt;"",AV$23&lt;&gt;""),IF(EOMONTH($AT$3+INT((DAY(EOMONTH($AT$3,0))-1)/2)+AV$23,0)=EOMONTH($AL$3,0),AV$26,0),0),IF(AND(AR$26&lt;&gt;"",AR$23&lt;&gt;""),IF(EOMONTH($AP$3+INT((DAY(EOMONTH($AP$3,0))-1)/2)+AR$23,0)=EOMONTH($AL$3,0),AR$26,0),0),IF(AND(AN$26&lt;&gt;"",AN$23&lt;&gt;""),IF(EOMONTH($AL$3+INT((DAY(EOMONTH($AL$3,0))-1)/2)+AN$23,0)=EOMONTH($AL$3,0),AN$26,0),0),IF(AND(AJ$26&lt;&gt;"",AJ$23&lt;&gt;""),IF(EOMONTH($AH$3+INT((DAY(EOMONTH($AH$3,0))-1)/2)+AJ$23,0)=EOMONTH($AL$3,0),AJ$26,0),0),IF(AND(AF$26&lt;&gt;"",AF$23&lt;&gt;""),IF(EOMONTH($AD$3+INT((DAY(EOMONTH($AD$3,0))-1)/2)+AF$23,0)=EOMONTH($AL$3,0),AF$26,0),0),IF(AND(AB$26&lt;&gt;"",AB$23&lt;&gt;""),IF(EOMONTH($Z$3+INT((DAY(EOMONTH($Z$3,0))-1)/2)+AB$23,0)=EOMONTH($AL$3,0),AB$26,0),0),IF(AND(X$26&lt;&gt;"",X$23&lt;&gt;""),IF(EOMONTH($V$3+INT((DAY(EOMONTH($V$3,0))-1)/2)+X$23,0)=EOMONTH($AL$3,0),X$26,0),0),IF(AND(T$26&lt;&gt;"",T$23&lt;&gt;""),IF(EOMONTH($R$3+INT((DAY(EOMONTH($R$3,0))-1)/2)+T$23,0)=EOMONTH($AL$3,0),T$26,0),0),IF(AND(P$26&lt;&gt;"",P$23&lt;&gt;""),IF(EOMONTH($N$3+INT((DAY(EOMONTH($N$3,0))-1)/2)+P$23,0)=EOMONTH($AL$3,0),P$26,0),0),IF(AND(L$26&lt;&gt;"",L$23&lt;&gt;""),IF(EOMONTH($J$3+INT((DAY(EOMONTH($J$3,0))-1)/2)+L$23,0)=EOMONTH($AL$3,0),L$26,0),0),IF(AND(H$26&lt;&gt;"",H$23&lt;&gt;""),IF(EOMONTH($F$3+INT((DAY(EOMONTH($F$3,0))-1)/2)+H$23,0)=EOMONTH($AL$3,0),H$26,0),0),IF($AX$75="",0,IF(EOMONTH($AX$75+AZ$23,0)=EOMONTH($AL$3,0),$AX$78*AZ$13,0))),0)</f>
        <v>0</v>
      </c>
      <c r="AO57" s="33">
        <f t="shared" ref="AO57:AO70" si="286">IFERROR(IF(OR(AM57="",AN57=""),"",AM57-AN57),"")</f>
        <v>0</v>
      </c>
      <c r="AP57" s="34"/>
      <c r="AQ57" s="31">
        <f>IF(AP$98=1,AP57,ROUND(SUM(IF(AND(AY$26&lt;&gt;"",AY$23&lt;&gt;""),IF(EOMONTH($AX$3+INT((DAY(EOMONTH($AX$3,0))-1)/2)+AY$23,0)=EOMONTH($AP$3,0),AY$26,0),0),IF(AND(AU$26&lt;&gt;"",AU$23&lt;&gt;""),IF(EOMONTH($AT$3+INT((DAY(EOMONTH($AT$3,0))-1)/2)+AU$23,0)=EOMONTH($AP$3,0),AU$26,0),0),IF(AND(AQ$26&lt;&gt;"",AQ$23&lt;&gt;""),IF(EOMONTH($AP$3+INT((DAY(EOMONTH($AP$3,0))-1)/2)+AQ$23,0)=EOMONTH($AP$3,0),AQ$26,0),0),IF(AND(AM$26&lt;&gt;"",AM$23&lt;&gt;""),IF(EOMONTH($AL$3+INT((DAY(EOMONTH($AL$3,0))-1)/2)+AM$23,0)=EOMONTH($AP$3,0),AM$26,0),0),IF(AND(AI$26&lt;&gt;"",AI$23&lt;&gt;""),IF(EOMONTH($AH$3+INT((DAY(EOMONTH($AH$3,0))-1)/2)+AI$23,0)=EOMONTH($AP$3,0),AI$26,0),0),IF(AND(AE$26&lt;&gt;"",AE$23&lt;&gt;""),IF(EOMONTH($AD$3+INT((DAY(EOMONTH($AD$3,0))-1)/2)+AE$23,0)=EOMONTH($AP$3,0),AE$26,0),0),IF(AND(AA$26&lt;&gt;"",AA$23&lt;&gt;""),IF(EOMONTH($Z$3+INT((DAY(EOMONTH($Z$3,0))-1)/2)+AA$23,0)=EOMONTH($AP$3,0),AA$26,0),0),IF(AND(W$26&lt;&gt;"",W$23&lt;&gt;""),IF(EOMONTH($V$3+INT((DAY(EOMONTH($V$3,0))-1)/2)+W$23,0)=EOMONTH($AP$3,0),W$26,0),0),IF(AND(S$26&lt;&gt;"",S$23&lt;&gt;""),IF(EOMONTH($R$3+INT((DAY(EOMONTH($R$3,0))-1)/2)+S$23,0)=EOMONTH($AP$3,0),S$26,0),0),IF(AND(O$26&lt;&gt;"",O$23&lt;&gt;""),IF(EOMONTH($N$3+INT((DAY(EOMONTH($N$3,0))-1)/2)+O$23,0)=EOMONTH($AP$3,0),O$26,0),0),IF(AND(K$26&lt;&gt;"",K$23&lt;&gt;""),IF(EOMONTH($J$3+INT((DAY(EOMONTH($J$3,0))-1)/2)+K$23,0)=EOMONTH($AP$3,0),K$26,0),0),IF(AND(G$26&lt;&gt;"",G$23&lt;&gt;""),IF(EOMONTH($F$3+INT((DAY(EOMONTH($F$3,0))-1)/2)+G$23,0)=EOMONTH($AP$3,0),G$26,0),0),IF($AX$75="",0,IF(EOMONTH($AX$75+AY$23,0)=EOMONTH($AP$3,0),$AX$78*AY$13,0))),0))</f>
        <v>0</v>
      </c>
      <c r="AR57" s="32">
        <f>ROUND(SUM(IF(AND(AZ$26&lt;&gt;"",AZ$23&lt;&gt;""),IF(EOMONTH($AX$3+INT((DAY(EOMONTH($AX$3,0))-1)/2)+AZ$23,0)=EOMONTH($AP$3,0),AZ$26,0),0),IF(AND(AV$26&lt;&gt;"",AV$23&lt;&gt;""),IF(EOMONTH($AT$3+INT((DAY(EOMONTH($AT$3,0))-1)/2)+AV$23,0)=EOMONTH($AP$3,0),AV$26,0),0),IF(AND(AR$26&lt;&gt;"",AR$23&lt;&gt;""),IF(EOMONTH($AP$3+INT((DAY(EOMONTH($AP$3,0))-1)/2)+AR$23,0)=EOMONTH($AP$3,0),AR$26,0),0),IF(AND(AN$26&lt;&gt;"",AN$23&lt;&gt;""),IF(EOMONTH($AL$3+INT((DAY(EOMONTH($AL$3,0))-1)/2)+AN$23,0)=EOMONTH($AP$3,0),AN$26,0),0),IF(AND(AJ$26&lt;&gt;"",AJ$23&lt;&gt;""),IF(EOMONTH($AH$3+INT((DAY(EOMONTH($AH$3,0))-1)/2)+AJ$23,0)=EOMONTH($AP$3,0),AJ$26,0),0),IF(AND(AF$26&lt;&gt;"",AF$23&lt;&gt;""),IF(EOMONTH($AD$3+INT((DAY(EOMONTH($AD$3,0))-1)/2)+AF$23,0)=EOMONTH($AP$3,0),AF$26,0),0),IF(AND(AB$26&lt;&gt;"",AB$23&lt;&gt;""),IF(EOMONTH($Z$3+INT((DAY(EOMONTH($Z$3,0))-1)/2)+AB$23,0)=EOMONTH($AP$3,0),AB$26,0),0),IF(AND(X$26&lt;&gt;"",X$23&lt;&gt;""),IF(EOMONTH($V$3+INT((DAY(EOMONTH($V$3,0))-1)/2)+X$23,0)=EOMONTH($AP$3,0),X$26,0),0),IF(AND(T$26&lt;&gt;"",T$23&lt;&gt;""),IF(EOMONTH($R$3+INT((DAY(EOMONTH($R$3,0))-1)/2)+T$23,0)=EOMONTH($AP$3,0),T$26,0),0),IF(AND(P$26&lt;&gt;"",P$23&lt;&gt;""),IF(EOMONTH($N$3+INT((DAY(EOMONTH($N$3,0))-1)/2)+P$23,0)=EOMONTH($AP$3,0),P$26,0),0),IF(AND(L$26&lt;&gt;"",L$23&lt;&gt;""),IF(EOMONTH($J$3+INT((DAY(EOMONTH($J$3,0))-1)/2)+L$23,0)=EOMONTH($AP$3,0),L$26,0),0),IF(AND(H$26&lt;&gt;"",H$23&lt;&gt;""),IF(EOMONTH($F$3+INT((DAY(EOMONTH($F$3,0))-1)/2)+H$23,0)=EOMONTH($AP$3,0),H$26,0),0),IF($AX$75="",0,IF(EOMONTH($AX$75+AZ$23,0)=EOMONTH($AP$3,0),$AX$78*AZ$13,0))),0)</f>
        <v>0</v>
      </c>
      <c r="AS57" s="33">
        <f t="shared" ref="AS57:AS70" si="288">IFERROR(IF(OR(AQ57="",AR57=""),"",AQ57-AR57),"")</f>
        <v>0</v>
      </c>
      <c r="AT57" s="34"/>
      <c r="AU57" s="31">
        <f>IF(AT$98=1,AT57,ROUND(SUM(IF(AND(AY$26&lt;&gt;"",AY$23&lt;&gt;""),IF(EOMONTH($AX$3+INT((DAY(EOMONTH($AX$3,0))-1)/2)+AY$23,0)=EOMONTH($AT$3,0),AY$26,0),0),IF(AND(AU$26&lt;&gt;"",AU$23&lt;&gt;""),IF(EOMONTH($AT$3+INT((DAY(EOMONTH($AT$3,0))-1)/2)+AU$23,0)=EOMONTH($AT$3,0),AU$26,0),0),IF(AND(AQ$26&lt;&gt;"",AQ$23&lt;&gt;""),IF(EOMONTH($AP$3+INT((DAY(EOMONTH($AP$3,0))-1)/2)+AQ$23,0)=EOMONTH($AT$3,0),AQ$26,0),0),IF(AND(AM$26&lt;&gt;"",AM$23&lt;&gt;""),IF(EOMONTH($AL$3+INT((DAY(EOMONTH($AL$3,0))-1)/2)+AM$23,0)=EOMONTH($AT$3,0),AM$26,0),0),IF(AND(AI$26&lt;&gt;"",AI$23&lt;&gt;""),IF(EOMONTH($AH$3+INT((DAY(EOMONTH($AH$3,0))-1)/2)+AI$23,0)=EOMONTH($AT$3,0),AI$26,0),0),IF(AND(AE$26&lt;&gt;"",AE$23&lt;&gt;""),IF(EOMONTH($AD$3+INT((DAY(EOMONTH($AD$3,0))-1)/2)+AE$23,0)=EOMONTH($AT$3,0),AE$26,0),0),IF(AND(AA$26&lt;&gt;"",AA$23&lt;&gt;""),IF(EOMONTH($Z$3+INT((DAY(EOMONTH($Z$3,0))-1)/2)+AA$23,0)=EOMONTH($AT$3,0),AA$26,0),0),IF(AND(W$26&lt;&gt;"",W$23&lt;&gt;""),IF(EOMONTH($V$3+INT((DAY(EOMONTH($V$3,0))-1)/2)+W$23,0)=EOMONTH($AT$3,0),W$26,0),0),IF(AND(S$26&lt;&gt;"",S$23&lt;&gt;""),IF(EOMONTH($R$3+INT((DAY(EOMONTH($R$3,0))-1)/2)+S$23,0)=EOMONTH($AT$3,0),S$26,0),0),IF(AND(O$26&lt;&gt;"",O$23&lt;&gt;""),IF(EOMONTH($N$3+INT((DAY(EOMONTH($N$3,0))-1)/2)+O$23,0)=EOMONTH($AT$3,0),O$26,0),0),IF(AND(K$26&lt;&gt;"",K$23&lt;&gt;""),IF(EOMONTH($J$3+INT((DAY(EOMONTH($J$3,0))-1)/2)+K$23,0)=EOMONTH($AT$3,0),K$26,0),0),IF(AND(G$26&lt;&gt;"",G$23&lt;&gt;""),IF(EOMONTH($F$3+INT((DAY(EOMONTH($F$3,0))-1)/2)+G$23,0)=EOMONTH($AT$3,0),G$26,0),0),IF($AX$75="",0,IF(EOMONTH($AX$75+AY$23,0)=EOMONTH($AT$3,0),$AX$78*AY$13,0))),0))</f>
        <v>0</v>
      </c>
      <c r="AV57" s="32">
        <f>ROUND(SUM(IF(AND(AZ$26&lt;&gt;"",AZ$23&lt;&gt;""),IF(EOMONTH($AX$3+INT((DAY(EOMONTH($AX$3,0))-1)/2)+AZ$23,0)=EOMONTH($AT$3,0),AZ$26,0),0),IF(AND(AV$26&lt;&gt;"",AV$23&lt;&gt;""),IF(EOMONTH($AT$3+INT((DAY(EOMONTH($AT$3,0))-1)/2)+AV$23,0)=EOMONTH($AT$3,0),AV$26,0),0),IF(AND(AR$26&lt;&gt;"",AR$23&lt;&gt;""),IF(EOMONTH($AP$3+INT((DAY(EOMONTH($AP$3,0))-1)/2)+AR$23,0)=EOMONTH($AT$3,0),AR$26,0),0),IF(AND(AN$26&lt;&gt;"",AN$23&lt;&gt;""),IF(EOMONTH($AL$3+INT((DAY(EOMONTH($AL$3,0))-1)/2)+AN$23,0)=EOMONTH($AT$3,0),AN$26,0),0),IF(AND(AJ$26&lt;&gt;"",AJ$23&lt;&gt;""),IF(EOMONTH($AH$3+INT((DAY(EOMONTH($AH$3,0))-1)/2)+AJ$23,0)=EOMONTH($AT$3,0),AJ$26,0),0),IF(AND(AF$26&lt;&gt;"",AF$23&lt;&gt;""),IF(EOMONTH($AD$3+INT((DAY(EOMONTH($AD$3,0))-1)/2)+AF$23,0)=EOMONTH($AT$3,0),AF$26,0),0),IF(AND(AB$26&lt;&gt;"",AB$23&lt;&gt;""),IF(EOMONTH($Z$3+INT((DAY(EOMONTH($Z$3,0))-1)/2)+AB$23,0)=EOMONTH($AT$3,0),AB$26,0),0),IF(AND(X$26&lt;&gt;"",X$23&lt;&gt;""),IF(EOMONTH($V$3+INT((DAY(EOMONTH($V$3,0))-1)/2)+X$23,0)=EOMONTH($AT$3,0),X$26,0),0),IF(AND(T$26&lt;&gt;"",T$23&lt;&gt;""),IF(EOMONTH($R$3+INT((DAY(EOMONTH($R$3,0))-1)/2)+T$23,0)=EOMONTH($AT$3,0),T$26,0),0),IF(AND(P$26&lt;&gt;"",P$23&lt;&gt;""),IF(EOMONTH($N$3+INT((DAY(EOMONTH($N$3,0))-1)/2)+P$23,0)=EOMONTH($AT$3,0),P$26,0),0),IF(AND(L$26&lt;&gt;"",L$23&lt;&gt;""),IF(EOMONTH($J$3+INT((DAY(EOMONTH($J$3,0))-1)/2)+L$23,0)=EOMONTH($AT$3,0),L$26,0),0),IF(AND(H$26&lt;&gt;"",H$23&lt;&gt;""),IF(EOMONTH($F$3+INT((DAY(EOMONTH($F$3,0))-1)/2)+H$23,0)=EOMONTH($AT$3,0),H$26,0),0),IF($AX$75="",0,IF(EOMONTH($AX$75+AZ$23,0)=EOMONTH($AT$3,0),$AX$78*AZ$13,0))),0)</f>
        <v>0</v>
      </c>
      <c r="AW57" s="33">
        <f t="shared" ref="AW57:AW70" si="290">IFERROR(IF(OR(AU57="",AV57=""),"",AU57-AV57),"")</f>
        <v>0</v>
      </c>
      <c r="AX57" s="34"/>
      <c r="AY57" s="31">
        <f>IF(AX$98=1,AX57,ROUND(SUM(IF(AND(AY$26&lt;&gt;"",AY$23&lt;&gt;""),IF(EOMONTH($AX$3+INT((DAY(EOMONTH($AX$3,0))-1)/2)+AY$23,0)=EOMONTH($AX$3,0),AY$26,0),0),IF(AND(AU$26&lt;&gt;"",AU$23&lt;&gt;""),IF(EOMONTH($AT$3+INT((DAY(EOMONTH($AT$3,0))-1)/2)+AU$23,0)=EOMONTH($AX$3,0),AU$26,0),0),IF(AND(AQ$26&lt;&gt;"",AQ$23&lt;&gt;""),IF(EOMONTH($AP$3+INT((DAY(EOMONTH($AP$3,0))-1)/2)+AQ$23,0)=EOMONTH($AX$3,0),AQ$26,0),0),IF(AND(AM$26&lt;&gt;"",AM$23&lt;&gt;""),IF(EOMONTH($AL$3+INT((DAY(EOMONTH($AL$3,0))-1)/2)+AM$23,0)=EOMONTH($AX$3,0),AM$26,0),0),IF(AND(AI$26&lt;&gt;"",AI$23&lt;&gt;""),IF(EOMONTH($AH$3+INT((DAY(EOMONTH($AH$3,0))-1)/2)+AI$23,0)=EOMONTH($AX$3,0),AI$26,0),0),IF(AND(AE$26&lt;&gt;"",AE$23&lt;&gt;""),IF(EOMONTH($AD$3+INT((DAY(EOMONTH($AD$3,0))-1)/2)+AE$23,0)=EOMONTH($AX$3,0),AE$26,0),0),IF(AND(AA$26&lt;&gt;"",AA$23&lt;&gt;""),IF(EOMONTH($Z$3+INT((DAY(EOMONTH($Z$3,0))-1)/2)+AA$23,0)=EOMONTH($AX$3,0),AA$26,0),0),IF(AND(W$26&lt;&gt;"",W$23&lt;&gt;""),IF(EOMONTH($V$3+INT((DAY(EOMONTH($V$3,0))-1)/2)+W$23,0)=EOMONTH($AX$3,0),W$26,0),0),IF(AND(S$26&lt;&gt;"",S$23&lt;&gt;""),IF(EOMONTH($R$3+INT((DAY(EOMONTH($R$3,0))-1)/2)+S$23,0)=EOMONTH($AX$3,0),S$26,0),0),IF(AND(O$26&lt;&gt;"",O$23&lt;&gt;""),IF(EOMONTH($N$3+INT((DAY(EOMONTH($N$3,0))-1)/2)+O$23,0)=EOMONTH($AX$3,0),O$26,0),0),IF(AND(K$26&lt;&gt;"",K$23&lt;&gt;""),IF(EOMONTH($J$3+INT((DAY(EOMONTH($J$3,0))-1)/2)+K$23,0)=EOMONTH($AX$3,0),K$26,0),0),IF(AND(G$26&lt;&gt;"",G$23&lt;&gt;""),IF(EOMONTH($F$3+INT((DAY(EOMONTH($F$3,0))-1)/2)+G$23,0)=EOMONTH($AX$3,0),G$26,0),0),IF($AX$75="",0,IF(EOMONTH($AX$75+AY$23,0)=EOMONTH($AX$3,0),$AX$78*AY$13,0))),0))</f>
        <v>0</v>
      </c>
      <c r="AZ57" s="32">
        <f>ROUND(SUM(IF(AND(AZ$26&lt;&gt;"",AZ$23&lt;&gt;""),IF(EOMONTH($AX$3+INT((DAY(EOMONTH($AX$3,0))-1)/2)+AZ$23,0)=EOMONTH($AX$3,0),AZ$26,0),0),IF(AND(AV$26&lt;&gt;"",AV$23&lt;&gt;""),IF(EOMONTH($AT$3+INT((DAY(EOMONTH($AT$3,0))-1)/2)+AV$23,0)=EOMONTH($AX$3,0),AV$26,0),0),IF(AND(AR$26&lt;&gt;"",AR$23&lt;&gt;""),IF(EOMONTH($AP$3+INT((DAY(EOMONTH($AP$3,0))-1)/2)+AR$23,0)=EOMONTH($AX$3,0),AR$26,0),0),IF(AND(AN$26&lt;&gt;"",AN$23&lt;&gt;""),IF(EOMONTH($AL$3+INT((DAY(EOMONTH($AL$3,0))-1)/2)+AN$23,0)=EOMONTH($AX$3,0),AN$26,0),0),IF(AND(AJ$26&lt;&gt;"",AJ$23&lt;&gt;""),IF(EOMONTH($AH$3+INT((DAY(EOMONTH($AH$3,0))-1)/2)+AJ$23,0)=EOMONTH($AX$3,0),AJ$26,0),0),IF(AND(AF$26&lt;&gt;"",AF$23&lt;&gt;""),IF(EOMONTH($AD$3+INT((DAY(EOMONTH($AD$3,0))-1)/2)+AF$23,0)=EOMONTH($AX$3,0),AF$26,0),0),IF(AND(AB$26&lt;&gt;"",AB$23&lt;&gt;""),IF(EOMONTH($Z$3+INT((DAY(EOMONTH($Z$3,0))-1)/2)+AB$23,0)=EOMONTH($AX$3,0),AB$26,0),0),IF(AND(X$26&lt;&gt;"",X$23&lt;&gt;""),IF(EOMONTH($V$3+INT((DAY(EOMONTH($V$3,0))-1)/2)+X$23,0)=EOMONTH($AX$3,0),X$26,0),0),IF(AND(T$26&lt;&gt;"",T$23&lt;&gt;""),IF(EOMONTH($R$3+INT((DAY(EOMONTH($R$3,0))-1)/2)+T$23,0)=EOMONTH($AX$3,0),T$26,0),0),IF(AND(P$26&lt;&gt;"",P$23&lt;&gt;""),IF(EOMONTH($N$3+INT((DAY(EOMONTH($N$3,0))-1)/2)+P$23,0)=EOMONTH($AX$3,0),P$26,0),0),IF(AND(L$26&lt;&gt;"",L$23&lt;&gt;""),IF(EOMONTH($J$3+INT((DAY(EOMONTH($J$3,0))-1)/2)+L$23,0)=EOMONTH($AX$3,0),L$26,0),0),IF(AND(H$26&lt;&gt;"",H$23&lt;&gt;""),IF(EOMONTH($F$3+INT((DAY(EOMONTH($F$3,0))-1)/2)+H$23,0)=EOMONTH($AX$3,0),H$26,0),0),IF($AX$75="",0,IF(EOMONTH($AX$75+AZ$23,0)=EOMONTH($AX$3,0),$AX$78*AZ$13,0))),0)</f>
        <v>0</v>
      </c>
      <c r="BA57" s="33">
        <f t="shared" ref="BA57:BA70" si="292">IFERROR(IF(OR(AY57="",AZ57=""),"",AY57-AZ57),"")</f>
        <v>0</v>
      </c>
    </row>
    <row r="58" ht="18.0" customHeight="1">
      <c r="A58" s="2" t="s">
        <v>61</v>
      </c>
      <c r="B58" s="30">
        <f t="shared" ref="B58:D58" si="267">SUM(AX58,AT58,AP58,AL58,AH58,AD58,Z58,V58,R58,N58,J58,F58)</f>
        <v>0</v>
      </c>
      <c r="C58" s="31">
        <f t="shared" si="267"/>
        <v>0</v>
      </c>
      <c r="D58" s="32">
        <f t="shared" si="267"/>
        <v>0</v>
      </c>
      <c r="E58" s="33">
        <f t="shared" si="268"/>
        <v>0</v>
      </c>
      <c r="F58" s="30" t="str">
        <f>IF(F34="","",F34)</f>
        <v/>
      </c>
      <c r="G58" s="31" t="str">
        <f t="shared" ref="G58:H58" si="269">G34</f>
        <v/>
      </c>
      <c r="H58" s="32" t="str">
        <f t="shared" si="269"/>
        <v/>
      </c>
      <c r="I58" s="33" t="str">
        <f t="shared" si="270"/>
        <v/>
      </c>
      <c r="J58" s="30" t="str">
        <f>IF(J34="","",J34)</f>
        <v/>
      </c>
      <c r="K58" s="31" t="str">
        <f t="shared" ref="K58:L58" si="271">K34</f>
        <v/>
      </c>
      <c r="L58" s="32" t="str">
        <f t="shared" si="271"/>
        <v/>
      </c>
      <c r="M58" s="33" t="str">
        <f t="shared" si="272"/>
        <v/>
      </c>
      <c r="N58" s="30" t="str">
        <f>IF(N34="","",N34)</f>
        <v/>
      </c>
      <c r="O58" s="31" t="str">
        <f t="shared" ref="O58:P58" si="273">O34</f>
        <v/>
      </c>
      <c r="P58" s="32" t="str">
        <f t="shared" si="273"/>
        <v/>
      </c>
      <c r="Q58" s="33" t="str">
        <f t="shared" si="274"/>
        <v/>
      </c>
      <c r="R58" s="30" t="str">
        <f>IF(R34="","",R34)</f>
        <v/>
      </c>
      <c r="S58" s="31" t="str">
        <f t="shared" ref="S58:T58" si="275">S34</f>
        <v/>
      </c>
      <c r="T58" s="32" t="str">
        <f t="shared" si="275"/>
        <v/>
      </c>
      <c r="U58" s="33" t="str">
        <f t="shared" si="276"/>
        <v/>
      </c>
      <c r="V58" s="30" t="str">
        <f>IF(V34="","",V34)</f>
        <v/>
      </c>
      <c r="W58" s="31" t="str">
        <f t="shared" ref="W58:X58" si="277">W34</f>
        <v/>
      </c>
      <c r="X58" s="32" t="str">
        <f t="shared" si="277"/>
        <v/>
      </c>
      <c r="Y58" s="33" t="str">
        <f t="shared" si="278"/>
        <v/>
      </c>
      <c r="Z58" s="30" t="str">
        <f>IF(Z34="","",Z34)</f>
        <v/>
      </c>
      <c r="AA58" s="31" t="str">
        <f t="shared" ref="AA58:AB58" si="279">AA34</f>
        <v/>
      </c>
      <c r="AB58" s="32" t="str">
        <f t="shared" si="279"/>
        <v/>
      </c>
      <c r="AC58" s="33" t="str">
        <f t="shared" si="280"/>
        <v/>
      </c>
      <c r="AD58" s="30" t="str">
        <f>IF(AD34="","",AD34)</f>
        <v/>
      </c>
      <c r="AE58" s="31" t="str">
        <f t="shared" ref="AE58:AF58" si="281">AE34</f>
        <v/>
      </c>
      <c r="AF58" s="32" t="str">
        <f t="shared" si="281"/>
        <v/>
      </c>
      <c r="AG58" s="33" t="str">
        <f t="shared" si="282"/>
        <v/>
      </c>
      <c r="AH58" s="30" t="str">
        <f>IF(AH34="","",AH34)</f>
        <v/>
      </c>
      <c r="AI58" s="31" t="str">
        <f t="shared" ref="AI58:AJ58" si="283">AI34</f>
        <v/>
      </c>
      <c r="AJ58" s="32" t="str">
        <f t="shared" si="283"/>
        <v/>
      </c>
      <c r="AK58" s="33" t="str">
        <f t="shared" si="284"/>
        <v/>
      </c>
      <c r="AL58" s="30" t="str">
        <f>IF(AL34="","",AL34)</f>
        <v/>
      </c>
      <c r="AM58" s="31" t="str">
        <f t="shared" ref="AM58:AN58" si="285">AM34</f>
        <v/>
      </c>
      <c r="AN58" s="32" t="str">
        <f t="shared" si="285"/>
        <v/>
      </c>
      <c r="AO58" s="33" t="str">
        <f t="shared" si="286"/>
        <v/>
      </c>
      <c r="AP58" s="30" t="str">
        <f>IF(AP34="","",AP34)</f>
        <v/>
      </c>
      <c r="AQ58" s="31" t="str">
        <f t="shared" ref="AQ58:AR58" si="287">AQ34</f>
        <v/>
      </c>
      <c r="AR58" s="32" t="str">
        <f t="shared" si="287"/>
        <v/>
      </c>
      <c r="AS58" s="33" t="str">
        <f t="shared" si="288"/>
        <v/>
      </c>
      <c r="AT58" s="30" t="str">
        <f>IF(AT34="","",AT34)</f>
        <v/>
      </c>
      <c r="AU58" s="31" t="str">
        <f t="shared" ref="AU58:AV58" si="289">AU34</f>
        <v/>
      </c>
      <c r="AV58" s="32" t="str">
        <f t="shared" si="289"/>
        <v/>
      </c>
      <c r="AW58" s="33" t="str">
        <f t="shared" si="290"/>
        <v/>
      </c>
      <c r="AX58" s="30" t="str">
        <f>IF(AX34="","",AX34)</f>
        <v/>
      </c>
      <c r="AY58" s="31" t="str">
        <f t="shared" ref="AY58:AZ58" si="291">AY34</f>
        <v/>
      </c>
      <c r="AZ58" s="32" t="str">
        <f t="shared" si="291"/>
        <v/>
      </c>
      <c r="BA58" s="33" t="str">
        <f t="shared" si="292"/>
        <v/>
      </c>
    </row>
    <row r="59" ht="18.0" customHeight="1">
      <c r="A59" s="2" t="s">
        <v>62</v>
      </c>
      <c r="B59" s="30">
        <f t="shared" ref="B59:D59" si="293">SUM(AX59,AT59,AP59,AL59,AH59,AD59,Z59,V59,R59,N59,J59,F59)</f>
        <v>0</v>
      </c>
      <c r="C59" s="31">
        <f t="shared" si="293"/>
        <v>0</v>
      </c>
      <c r="D59" s="32">
        <f t="shared" si="293"/>
        <v>0</v>
      </c>
      <c r="E59" s="33">
        <f t="shared" si="268"/>
        <v>0</v>
      </c>
      <c r="F59" s="30" t="str">
        <f>IF(F53="","",F53)</f>
        <v/>
      </c>
      <c r="G59" s="31" t="str">
        <f t="shared" ref="G59:H59" si="294">G53</f>
        <v/>
      </c>
      <c r="H59" s="32" t="str">
        <f t="shared" si="294"/>
        <v/>
      </c>
      <c r="I59" s="33" t="str">
        <f t="shared" si="270"/>
        <v/>
      </c>
      <c r="J59" s="30" t="str">
        <f>IF(J53="","",J53)</f>
        <v/>
      </c>
      <c r="K59" s="31" t="str">
        <f t="shared" ref="K59:L59" si="295">K53</f>
        <v/>
      </c>
      <c r="L59" s="32" t="str">
        <f t="shared" si="295"/>
        <v/>
      </c>
      <c r="M59" s="33" t="str">
        <f t="shared" si="272"/>
        <v/>
      </c>
      <c r="N59" s="30" t="str">
        <f>IF(N53="","",N53)</f>
        <v/>
      </c>
      <c r="O59" s="31" t="str">
        <f t="shared" ref="O59:P59" si="296">O53</f>
        <v/>
      </c>
      <c r="P59" s="32" t="str">
        <f t="shared" si="296"/>
        <v/>
      </c>
      <c r="Q59" s="33" t="str">
        <f t="shared" si="274"/>
        <v/>
      </c>
      <c r="R59" s="30" t="str">
        <f>IF(R53="","",R53)</f>
        <v/>
      </c>
      <c r="S59" s="31" t="str">
        <f t="shared" ref="S59:T59" si="297">S53</f>
        <v/>
      </c>
      <c r="T59" s="32" t="str">
        <f t="shared" si="297"/>
        <v/>
      </c>
      <c r="U59" s="33" t="str">
        <f t="shared" si="276"/>
        <v/>
      </c>
      <c r="V59" s="30" t="str">
        <f>IF(V53="","",V53)</f>
        <v/>
      </c>
      <c r="W59" s="31" t="str">
        <f t="shared" ref="W59:X59" si="298">W53</f>
        <v/>
      </c>
      <c r="X59" s="32" t="str">
        <f t="shared" si="298"/>
        <v/>
      </c>
      <c r="Y59" s="33" t="str">
        <f t="shared" si="278"/>
        <v/>
      </c>
      <c r="Z59" s="30" t="str">
        <f>IF(Z53="","",Z53)</f>
        <v/>
      </c>
      <c r="AA59" s="31" t="str">
        <f t="shared" ref="AA59:AB59" si="299">AA53</f>
        <v/>
      </c>
      <c r="AB59" s="32" t="str">
        <f t="shared" si="299"/>
        <v/>
      </c>
      <c r="AC59" s="33" t="str">
        <f t="shared" si="280"/>
        <v/>
      </c>
      <c r="AD59" s="30" t="str">
        <f>IF(AD53="","",AD53)</f>
        <v/>
      </c>
      <c r="AE59" s="31" t="str">
        <f t="shared" ref="AE59:AF59" si="300">AE53</f>
        <v/>
      </c>
      <c r="AF59" s="32" t="str">
        <f t="shared" si="300"/>
        <v/>
      </c>
      <c r="AG59" s="33" t="str">
        <f t="shared" si="282"/>
        <v/>
      </c>
      <c r="AH59" s="30" t="str">
        <f>IF(AH53="","",AH53)</f>
        <v/>
      </c>
      <c r="AI59" s="31" t="str">
        <f t="shared" ref="AI59:AJ59" si="301">AI53</f>
        <v/>
      </c>
      <c r="AJ59" s="32" t="str">
        <f t="shared" si="301"/>
        <v/>
      </c>
      <c r="AK59" s="33" t="str">
        <f t="shared" si="284"/>
        <v/>
      </c>
      <c r="AL59" s="30" t="str">
        <f>IF(AL53="","",AL53)</f>
        <v/>
      </c>
      <c r="AM59" s="31" t="str">
        <f t="shared" ref="AM59:AN59" si="302">AM53</f>
        <v/>
      </c>
      <c r="AN59" s="32" t="str">
        <f t="shared" si="302"/>
        <v/>
      </c>
      <c r="AO59" s="33" t="str">
        <f t="shared" si="286"/>
        <v/>
      </c>
      <c r="AP59" s="30" t="str">
        <f>IF(AP53="","",AP53)</f>
        <v/>
      </c>
      <c r="AQ59" s="31" t="str">
        <f t="shared" ref="AQ59:AR59" si="303">AQ53</f>
        <v/>
      </c>
      <c r="AR59" s="32" t="str">
        <f t="shared" si="303"/>
        <v/>
      </c>
      <c r="AS59" s="33" t="str">
        <f t="shared" si="288"/>
        <v/>
      </c>
      <c r="AT59" s="30" t="str">
        <f>IF(AT53="","",AT53)</f>
        <v/>
      </c>
      <c r="AU59" s="31" t="str">
        <f t="shared" ref="AU59:AV59" si="304">AU53</f>
        <v/>
      </c>
      <c r="AV59" s="32" t="str">
        <f t="shared" si="304"/>
        <v/>
      </c>
      <c r="AW59" s="33" t="str">
        <f t="shared" si="290"/>
        <v/>
      </c>
      <c r="AX59" s="30" t="str">
        <f>IF(AX53="","",AX53)</f>
        <v/>
      </c>
      <c r="AY59" s="31" t="str">
        <f t="shared" ref="AY59:AZ59" si="305">AY53</f>
        <v/>
      </c>
      <c r="AZ59" s="32" t="str">
        <f t="shared" si="305"/>
        <v/>
      </c>
      <c r="BA59" s="33" t="str">
        <f t="shared" si="292"/>
        <v/>
      </c>
    </row>
    <row r="60" ht="18.0" customHeight="1">
      <c r="A60" s="2" t="s">
        <v>63</v>
      </c>
      <c r="B60" s="30">
        <f t="shared" ref="B60:D60" si="306">SUM(AX60,AT60,AP60,AL60,AH60,AD60,Z60,V60,R60,N60,J60,F60)</f>
        <v>0</v>
      </c>
      <c r="C60" s="31">
        <f t="shared" si="306"/>
        <v>0</v>
      </c>
      <c r="D60" s="32">
        <f t="shared" si="306"/>
        <v>0</v>
      </c>
      <c r="E60" s="33">
        <f t="shared" si="268"/>
        <v>0</v>
      </c>
      <c r="F60" s="34"/>
      <c r="G60" s="31" t="str">
        <f t="shared" ref="G60:G64" si="308">IF(F$98=1,F60,H60)</f>
        <v/>
      </c>
      <c r="H60" s="35"/>
      <c r="I60" s="33" t="str">
        <f t="shared" si="270"/>
        <v/>
      </c>
      <c r="J60" s="34"/>
      <c r="K60" s="31" t="str">
        <f t="shared" ref="K60:K64" si="309">IF(J$98=1,J60,L60)</f>
        <v/>
      </c>
      <c r="L60" s="35"/>
      <c r="M60" s="33" t="str">
        <f t="shared" si="272"/>
        <v/>
      </c>
      <c r="N60" s="34"/>
      <c r="O60" s="31" t="str">
        <f t="shared" ref="O60:O64" si="310">IF(N$98=1,N60,P60)</f>
        <v/>
      </c>
      <c r="P60" s="35"/>
      <c r="Q60" s="33" t="str">
        <f t="shared" si="274"/>
        <v/>
      </c>
      <c r="R60" s="34"/>
      <c r="S60" s="31" t="str">
        <f t="shared" ref="S60:S64" si="311">IF(R$98=1,R60,T60)</f>
        <v/>
      </c>
      <c r="T60" s="35"/>
      <c r="U60" s="33" t="str">
        <f t="shared" si="276"/>
        <v/>
      </c>
      <c r="V60" s="34"/>
      <c r="W60" s="31" t="str">
        <f t="shared" ref="W60:W64" si="312">IF(V$98=1,V60,X60)</f>
        <v/>
      </c>
      <c r="X60" s="35"/>
      <c r="Y60" s="33" t="str">
        <f t="shared" si="278"/>
        <v/>
      </c>
      <c r="Z60" s="34"/>
      <c r="AA60" s="31" t="str">
        <f t="shared" ref="AA60:AA64" si="313">IF(Z$98=1,Z60,AB60)</f>
        <v/>
      </c>
      <c r="AB60" s="35"/>
      <c r="AC60" s="33" t="str">
        <f t="shared" si="280"/>
        <v/>
      </c>
      <c r="AD60" s="34"/>
      <c r="AE60" s="31" t="str">
        <f t="shared" ref="AE60:AE64" si="314">IF(AD$98=1,AD60,AF60)</f>
        <v/>
      </c>
      <c r="AF60" s="35"/>
      <c r="AG60" s="33" t="str">
        <f t="shared" si="282"/>
        <v/>
      </c>
      <c r="AH60" s="34"/>
      <c r="AI60" s="31" t="str">
        <f t="shared" ref="AI60:AI64" si="315">IF(AH$98=1,AH60,AJ60)</f>
        <v/>
      </c>
      <c r="AJ60" s="35"/>
      <c r="AK60" s="33" t="str">
        <f t="shared" si="284"/>
        <v/>
      </c>
      <c r="AL60" s="34"/>
      <c r="AM60" s="31" t="str">
        <f t="shared" ref="AM60:AM64" si="316">IF(AL$98=1,AL60,AN60)</f>
        <v/>
      </c>
      <c r="AN60" s="35"/>
      <c r="AO60" s="33" t="str">
        <f t="shared" si="286"/>
        <v/>
      </c>
      <c r="AP60" s="34"/>
      <c r="AQ60" s="31" t="str">
        <f t="shared" ref="AQ60:AQ64" si="317">IF(AP$98=1,AP60,AR60)</f>
        <v/>
      </c>
      <c r="AR60" s="35"/>
      <c r="AS60" s="33" t="str">
        <f t="shared" si="288"/>
        <v/>
      </c>
      <c r="AT60" s="34"/>
      <c r="AU60" s="31" t="str">
        <f t="shared" ref="AU60:AU64" si="318">IF(AT$98=1,AT60,AV60)</f>
        <v/>
      </c>
      <c r="AV60" s="35"/>
      <c r="AW60" s="33" t="str">
        <f t="shared" si="290"/>
        <v/>
      </c>
      <c r="AX60" s="34"/>
      <c r="AY60" s="31" t="str">
        <f t="shared" ref="AY60:AY64" si="319">IF(AX$98=1,AX60,AZ60)</f>
        <v/>
      </c>
      <c r="AZ60" s="35"/>
      <c r="BA60" s="33" t="str">
        <f t="shared" si="292"/>
        <v/>
      </c>
    </row>
    <row r="61" ht="18.0" customHeight="1">
      <c r="A61" s="2" t="s">
        <v>64</v>
      </c>
      <c r="B61" s="30">
        <f t="shared" ref="B61:D61" si="307">SUM(AX61,AT61,AP61,AL61,AH61,AD61,Z61,V61,R61,N61,J61,F61)</f>
        <v>0</v>
      </c>
      <c r="C61" s="31">
        <f t="shared" si="307"/>
        <v>0</v>
      </c>
      <c r="D61" s="32">
        <f t="shared" si="307"/>
        <v>0</v>
      </c>
      <c r="E61" s="33">
        <f t="shared" si="268"/>
        <v>0</v>
      </c>
      <c r="F61" s="34"/>
      <c r="G61" s="31" t="str">
        <f t="shared" si="308"/>
        <v/>
      </c>
      <c r="H61" s="35"/>
      <c r="I61" s="33" t="str">
        <f t="shared" si="270"/>
        <v/>
      </c>
      <c r="J61" s="34"/>
      <c r="K61" s="31" t="str">
        <f t="shared" si="309"/>
        <v/>
      </c>
      <c r="L61" s="35"/>
      <c r="M61" s="33" t="str">
        <f t="shared" si="272"/>
        <v/>
      </c>
      <c r="N61" s="34"/>
      <c r="O61" s="31" t="str">
        <f t="shared" si="310"/>
        <v/>
      </c>
      <c r="P61" s="35"/>
      <c r="Q61" s="33" t="str">
        <f t="shared" si="274"/>
        <v/>
      </c>
      <c r="R61" s="34"/>
      <c r="S61" s="31" t="str">
        <f t="shared" si="311"/>
        <v/>
      </c>
      <c r="T61" s="35"/>
      <c r="U61" s="33" t="str">
        <f t="shared" si="276"/>
        <v/>
      </c>
      <c r="V61" s="34"/>
      <c r="W61" s="31" t="str">
        <f t="shared" si="312"/>
        <v/>
      </c>
      <c r="X61" s="35"/>
      <c r="Y61" s="33" t="str">
        <f t="shared" si="278"/>
        <v/>
      </c>
      <c r="Z61" s="34"/>
      <c r="AA61" s="31" t="str">
        <f t="shared" si="313"/>
        <v/>
      </c>
      <c r="AB61" s="35"/>
      <c r="AC61" s="33" t="str">
        <f t="shared" si="280"/>
        <v/>
      </c>
      <c r="AD61" s="34"/>
      <c r="AE61" s="31" t="str">
        <f t="shared" si="314"/>
        <v/>
      </c>
      <c r="AF61" s="35"/>
      <c r="AG61" s="33" t="str">
        <f t="shared" si="282"/>
        <v/>
      </c>
      <c r="AH61" s="34"/>
      <c r="AI61" s="31" t="str">
        <f t="shared" si="315"/>
        <v/>
      </c>
      <c r="AJ61" s="35"/>
      <c r="AK61" s="33" t="str">
        <f t="shared" si="284"/>
        <v/>
      </c>
      <c r="AL61" s="34"/>
      <c r="AM61" s="31" t="str">
        <f t="shared" si="316"/>
        <v/>
      </c>
      <c r="AN61" s="35"/>
      <c r="AO61" s="33" t="str">
        <f t="shared" si="286"/>
        <v/>
      </c>
      <c r="AP61" s="34"/>
      <c r="AQ61" s="31" t="str">
        <f t="shared" si="317"/>
        <v/>
      </c>
      <c r="AR61" s="35"/>
      <c r="AS61" s="33" t="str">
        <f t="shared" si="288"/>
        <v/>
      </c>
      <c r="AT61" s="34"/>
      <c r="AU61" s="31" t="str">
        <f t="shared" si="318"/>
        <v/>
      </c>
      <c r="AV61" s="35"/>
      <c r="AW61" s="33" t="str">
        <f t="shared" si="290"/>
        <v/>
      </c>
      <c r="AX61" s="34"/>
      <c r="AY61" s="31" t="str">
        <f t="shared" si="319"/>
        <v/>
      </c>
      <c r="AZ61" s="35"/>
      <c r="BA61" s="33" t="str">
        <f t="shared" si="292"/>
        <v/>
      </c>
    </row>
    <row r="62" ht="18.0" customHeight="1">
      <c r="A62" s="2" t="s">
        <v>65</v>
      </c>
      <c r="B62" s="30">
        <f t="shared" ref="B62:D62" si="320">SUM(AX62,AT62,AP62,AL62,AH62,AD62,Z62,V62,R62,N62,J62,F62)</f>
        <v>0</v>
      </c>
      <c r="C62" s="31">
        <f t="shared" si="320"/>
        <v>0</v>
      </c>
      <c r="D62" s="32">
        <f t="shared" si="320"/>
        <v>0</v>
      </c>
      <c r="E62" s="33">
        <f t="shared" si="268"/>
        <v>0</v>
      </c>
      <c r="F62" s="34"/>
      <c r="G62" s="31" t="str">
        <f t="shared" si="308"/>
        <v/>
      </c>
      <c r="H62" s="35"/>
      <c r="I62" s="33" t="str">
        <f t="shared" si="270"/>
        <v/>
      </c>
      <c r="J62" s="34"/>
      <c r="K62" s="31" t="str">
        <f t="shared" si="309"/>
        <v/>
      </c>
      <c r="L62" s="35"/>
      <c r="M62" s="33" t="str">
        <f t="shared" si="272"/>
        <v/>
      </c>
      <c r="N62" s="34"/>
      <c r="O62" s="31" t="str">
        <f t="shared" si="310"/>
        <v/>
      </c>
      <c r="P62" s="35"/>
      <c r="Q62" s="33" t="str">
        <f t="shared" si="274"/>
        <v/>
      </c>
      <c r="R62" s="34"/>
      <c r="S62" s="31" t="str">
        <f t="shared" si="311"/>
        <v/>
      </c>
      <c r="T62" s="35"/>
      <c r="U62" s="33" t="str">
        <f t="shared" si="276"/>
        <v/>
      </c>
      <c r="V62" s="34"/>
      <c r="W62" s="31" t="str">
        <f t="shared" si="312"/>
        <v/>
      </c>
      <c r="X62" s="35"/>
      <c r="Y62" s="33" t="str">
        <f t="shared" si="278"/>
        <v/>
      </c>
      <c r="Z62" s="34"/>
      <c r="AA62" s="31" t="str">
        <f t="shared" si="313"/>
        <v/>
      </c>
      <c r="AB62" s="35"/>
      <c r="AC62" s="33" t="str">
        <f t="shared" si="280"/>
        <v/>
      </c>
      <c r="AD62" s="34"/>
      <c r="AE62" s="31" t="str">
        <f t="shared" si="314"/>
        <v/>
      </c>
      <c r="AF62" s="35"/>
      <c r="AG62" s="33" t="str">
        <f t="shared" si="282"/>
        <v/>
      </c>
      <c r="AH62" s="34"/>
      <c r="AI62" s="31" t="str">
        <f t="shared" si="315"/>
        <v/>
      </c>
      <c r="AJ62" s="35"/>
      <c r="AK62" s="33" t="str">
        <f t="shared" si="284"/>
        <v/>
      </c>
      <c r="AL62" s="34"/>
      <c r="AM62" s="31" t="str">
        <f t="shared" si="316"/>
        <v/>
      </c>
      <c r="AN62" s="35"/>
      <c r="AO62" s="33" t="str">
        <f t="shared" si="286"/>
        <v/>
      </c>
      <c r="AP62" s="34"/>
      <c r="AQ62" s="31" t="str">
        <f t="shared" si="317"/>
        <v/>
      </c>
      <c r="AR62" s="35"/>
      <c r="AS62" s="33" t="str">
        <f t="shared" si="288"/>
        <v/>
      </c>
      <c r="AT62" s="34"/>
      <c r="AU62" s="31" t="str">
        <f t="shared" si="318"/>
        <v/>
      </c>
      <c r="AV62" s="35"/>
      <c r="AW62" s="33" t="str">
        <f t="shared" si="290"/>
        <v/>
      </c>
      <c r="AX62" s="34"/>
      <c r="AY62" s="31" t="str">
        <f t="shared" si="319"/>
        <v/>
      </c>
      <c r="AZ62" s="35"/>
      <c r="BA62" s="33" t="str">
        <f t="shared" si="292"/>
        <v/>
      </c>
    </row>
    <row r="63" ht="18.0" customHeight="1">
      <c r="A63" s="2" t="s">
        <v>66</v>
      </c>
      <c r="B63" s="30">
        <f t="shared" ref="B63:D63" si="321">SUM(AX63,AT63,AP63,AL63,AH63,AD63,Z63,V63,R63,N63,J63,F63)</f>
        <v>0</v>
      </c>
      <c r="C63" s="31">
        <f t="shared" si="321"/>
        <v>0</v>
      </c>
      <c r="D63" s="32">
        <f t="shared" si="321"/>
        <v>0</v>
      </c>
      <c r="E63" s="33">
        <f t="shared" si="268"/>
        <v>0</v>
      </c>
      <c r="F63" s="34"/>
      <c r="G63" s="31" t="str">
        <f t="shared" si="308"/>
        <v/>
      </c>
      <c r="H63" s="35"/>
      <c r="I63" s="33" t="str">
        <f t="shared" si="270"/>
        <v/>
      </c>
      <c r="J63" s="34"/>
      <c r="K63" s="31" t="str">
        <f t="shared" si="309"/>
        <v/>
      </c>
      <c r="L63" s="35"/>
      <c r="M63" s="33" t="str">
        <f t="shared" si="272"/>
        <v/>
      </c>
      <c r="N63" s="34"/>
      <c r="O63" s="31" t="str">
        <f t="shared" si="310"/>
        <v/>
      </c>
      <c r="P63" s="35"/>
      <c r="Q63" s="33" t="str">
        <f t="shared" si="274"/>
        <v/>
      </c>
      <c r="R63" s="34"/>
      <c r="S63" s="31" t="str">
        <f t="shared" si="311"/>
        <v/>
      </c>
      <c r="T63" s="35"/>
      <c r="U63" s="33" t="str">
        <f t="shared" si="276"/>
        <v/>
      </c>
      <c r="V63" s="34"/>
      <c r="W63" s="31" t="str">
        <f t="shared" si="312"/>
        <v/>
      </c>
      <c r="X63" s="35"/>
      <c r="Y63" s="33" t="str">
        <f t="shared" si="278"/>
        <v/>
      </c>
      <c r="Z63" s="34"/>
      <c r="AA63" s="31" t="str">
        <f t="shared" si="313"/>
        <v/>
      </c>
      <c r="AB63" s="35"/>
      <c r="AC63" s="33" t="str">
        <f t="shared" si="280"/>
        <v/>
      </c>
      <c r="AD63" s="34"/>
      <c r="AE63" s="31" t="str">
        <f t="shared" si="314"/>
        <v/>
      </c>
      <c r="AF63" s="35"/>
      <c r="AG63" s="33" t="str">
        <f t="shared" si="282"/>
        <v/>
      </c>
      <c r="AH63" s="34"/>
      <c r="AI63" s="31" t="str">
        <f t="shared" si="315"/>
        <v/>
      </c>
      <c r="AJ63" s="35"/>
      <c r="AK63" s="33" t="str">
        <f t="shared" si="284"/>
        <v/>
      </c>
      <c r="AL63" s="34"/>
      <c r="AM63" s="31" t="str">
        <f t="shared" si="316"/>
        <v/>
      </c>
      <c r="AN63" s="35"/>
      <c r="AO63" s="33" t="str">
        <f t="shared" si="286"/>
        <v/>
      </c>
      <c r="AP63" s="34"/>
      <c r="AQ63" s="31" t="str">
        <f t="shared" si="317"/>
        <v/>
      </c>
      <c r="AR63" s="35"/>
      <c r="AS63" s="33" t="str">
        <f t="shared" si="288"/>
        <v/>
      </c>
      <c r="AT63" s="34"/>
      <c r="AU63" s="31" t="str">
        <f t="shared" si="318"/>
        <v/>
      </c>
      <c r="AV63" s="35"/>
      <c r="AW63" s="33" t="str">
        <f t="shared" si="290"/>
        <v/>
      </c>
      <c r="AX63" s="34"/>
      <c r="AY63" s="31" t="str">
        <f t="shared" si="319"/>
        <v/>
      </c>
      <c r="AZ63" s="35"/>
      <c r="BA63" s="33" t="str">
        <f t="shared" si="292"/>
        <v/>
      </c>
    </row>
    <row r="64" ht="18.0" customHeight="1">
      <c r="A64" s="2" t="s">
        <v>67</v>
      </c>
      <c r="B64" s="30">
        <f t="shared" ref="B64:D64" si="322">SUM(AX64,AT64,AP64,AL64,AH64,AD64,Z64,V64,R64,N64,J64,F64)</f>
        <v>0</v>
      </c>
      <c r="C64" s="31">
        <f t="shared" si="322"/>
        <v>0</v>
      </c>
      <c r="D64" s="32">
        <f t="shared" si="322"/>
        <v>0</v>
      </c>
      <c r="E64" s="33">
        <f t="shared" si="268"/>
        <v>0</v>
      </c>
      <c r="F64" s="34"/>
      <c r="G64" s="31" t="str">
        <f t="shared" si="308"/>
        <v/>
      </c>
      <c r="H64" s="35"/>
      <c r="I64" s="33" t="str">
        <f t="shared" si="270"/>
        <v/>
      </c>
      <c r="J64" s="34"/>
      <c r="K64" s="31" t="str">
        <f t="shared" si="309"/>
        <v/>
      </c>
      <c r="L64" s="35"/>
      <c r="M64" s="33" t="str">
        <f t="shared" si="272"/>
        <v/>
      </c>
      <c r="N64" s="34"/>
      <c r="O64" s="31" t="str">
        <f t="shared" si="310"/>
        <v/>
      </c>
      <c r="P64" s="35"/>
      <c r="Q64" s="33" t="str">
        <f t="shared" si="274"/>
        <v/>
      </c>
      <c r="R64" s="34"/>
      <c r="S64" s="31" t="str">
        <f t="shared" si="311"/>
        <v/>
      </c>
      <c r="T64" s="35"/>
      <c r="U64" s="33" t="str">
        <f t="shared" si="276"/>
        <v/>
      </c>
      <c r="V64" s="34"/>
      <c r="W64" s="31" t="str">
        <f t="shared" si="312"/>
        <v/>
      </c>
      <c r="X64" s="35"/>
      <c r="Y64" s="33" t="str">
        <f t="shared" si="278"/>
        <v/>
      </c>
      <c r="Z64" s="34"/>
      <c r="AA64" s="31" t="str">
        <f t="shared" si="313"/>
        <v/>
      </c>
      <c r="AB64" s="35"/>
      <c r="AC64" s="33" t="str">
        <f t="shared" si="280"/>
        <v/>
      </c>
      <c r="AD64" s="34"/>
      <c r="AE64" s="31" t="str">
        <f t="shared" si="314"/>
        <v/>
      </c>
      <c r="AF64" s="35"/>
      <c r="AG64" s="33" t="str">
        <f t="shared" si="282"/>
        <v/>
      </c>
      <c r="AH64" s="34"/>
      <c r="AI64" s="31" t="str">
        <f t="shared" si="315"/>
        <v/>
      </c>
      <c r="AJ64" s="35"/>
      <c r="AK64" s="33" t="str">
        <f t="shared" si="284"/>
        <v/>
      </c>
      <c r="AL64" s="34"/>
      <c r="AM64" s="31" t="str">
        <f t="shared" si="316"/>
        <v/>
      </c>
      <c r="AN64" s="35"/>
      <c r="AO64" s="33" t="str">
        <f t="shared" si="286"/>
        <v/>
      </c>
      <c r="AP64" s="34"/>
      <c r="AQ64" s="31" t="str">
        <f t="shared" si="317"/>
        <v/>
      </c>
      <c r="AR64" s="35"/>
      <c r="AS64" s="33" t="str">
        <f t="shared" si="288"/>
        <v/>
      </c>
      <c r="AT64" s="34"/>
      <c r="AU64" s="31" t="str">
        <f t="shared" si="318"/>
        <v/>
      </c>
      <c r="AV64" s="35"/>
      <c r="AW64" s="33" t="str">
        <f t="shared" si="290"/>
        <v/>
      </c>
      <c r="AX64" s="34"/>
      <c r="AY64" s="31" t="str">
        <f t="shared" si="319"/>
        <v/>
      </c>
      <c r="AZ64" s="35"/>
      <c r="BA64" s="33" t="str">
        <f t="shared" si="292"/>
        <v/>
      </c>
    </row>
    <row r="65" ht="18.0" customHeight="1">
      <c r="A65" s="36" t="s">
        <v>68</v>
      </c>
      <c r="B65" s="39">
        <f t="shared" ref="B65:D65" si="323">SUM(AX65,AT65,AP65,AL65,AH65,AD65,Z65,V65,R65,N65,J65,F65)</f>
        <v>0</v>
      </c>
      <c r="C65" s="39">
        <f t="shared" si="323"/>
        <v>0</v>
      </c>
      <c r="D65" s="39">
        <f t="shared" si="323"/>
        <v>0</v>
      </c>
      <c r="E65" s="39">
        <f t="shared" si="268"/>
        <v>0</v>
      </c>
      <c r="F65" s="39" t="str">
        <f t="shared" ref="F65:H65" si="324">IF(COUNT(F61:F64)&gt;0,SUM(F61:F64),"")</f>
        <v/>
      </c>
      <c r="G65" s="39" t="str">
        <f t="shared" si="324"/>
        <v/>
      </c>
      <c r="H65" s="39" t="str">
        <f t="shared" si="324"/>
        <v/>
      </c>
      <c r="I65" s="39" t="str">
        <f t="shared" si="270"/>
        <v/>
      </c>
      <c r="J65" s="39" t="str">
        <f t="shared" ref="J65:L65" si="325">IF(COUNT(J61:J64)&gt;0,SUM(J61:J64),"")</f>
        <v/>
      </c>
      <c r="K65" s="39" t="str">
        <f t="shared" si="325"/>
        <v/>
      </c>
      <c r="L65" s="39" t="str">
        <f t="shared" si="325"/>
        <v/>
      </c>
      <c r="M65" s="39" t="str">
        <f t="shared" si="272"/>
        <v/>
      </c>
      <c r="N65" s="39" t="str">
        <f t="shared" ref="N65:P65" si="326">IF(COUNT(N61:N64)&gt;0,SUM(N61:N64),"")</f>
        <v/>
      </c>
      <c r="O65" s="39" t="str">
        <f t="shared" si="326"/>
        <v/>
      </c>
      <c r="P65" s="39" t="str">
        <f t="shared" si="326"/>
        <v/>
      </c>
      <c r="Q65" s="39" t="str">
        <f t="shared" si="274"/>
        <v/>
      </c>
      <c r="R65" s="39" t="str">
        <f t="shared" ref="R65:T65" si="327">IF(COUNT(R61:R64)&gt;0,SUM(R61:R64),"")</f>
        <v/>
      </c>
      <c r="S65" s="39" t="str">
        <f t="shared" si="327"/>
        <v/>
      </c>
      <c r="T65" s="39" t="str">
        <f t="shared" si="327"/>
        <v/>
      </c>
      <c r="U65" s="39" t="str">
        <f t="shared" si="276"/>
        <v/>
      </c>
      <c r="V65" s="39" t="str">
        <f t="shared" ref="V65:X65" si="328">IF(COUNT(V61:V64)&gt;0,SUM(V61:V64),"")</f>
        <v/>
      </c>
      <c r="W65" s="39" t="str">
        <f t="shared" si="328"/>
        <v/>
      </c>
      <c r="X65" s="39" t="str">
        <f t="shared" si="328"/>
        <v/>
      </c>
      <c r="Y65" s="39" t="str">
        <f t="shared" si="278"/>
        <v/>
      </c>
      <c r="Z65" s="39" t="str">
        <f t="shared" ref="Z65:AB65" si="329">IF(COUNT(Z61:Z64)&gt;0,SUM(Z61:Z64),"")</f>
        <v/>
      </c>
      <c r="AA65" s="39" t="str">
        <f t="shared" si="329"/>
        <v/>
      </c>
      <c r="AB65" s="39" t="str">
        <f t="shared" si="329"/>
        <v/>
      </c>
      <c r="AC65" s="39" t="str">
        <f t="shared" si="280"/>
        <v/>
      </c>
      <c r="AD65" s="39" t="str">
        <f t="shared" ref="AD65:AF65" si="330">IF(COUNT(AD61:AD64)&gt;0,SUM(AD61:AD64),"")</f>
        <v/>
      </c>
      <c r="AE65" s="39" t="str">
        <f t="shared" si="330"/>
        <v/>
      </c>
      <c r="AF65" s="39" t="str">
        <f t="shared" si="330"/>
        <v/>
      </c>
      <c r="AG65" s="39" t="str">
        <f t="shared" si="282"/>
        <v/>
      </c>
      <c r="AH65" s="39" t="str">
        <f t="shared" ref="AH65:AJ65" si="331">IF(COUNT(AH61:AH64)&gt;0,SUM(AH61:AH64),"")</f>
        <v/>
      </c>
      <c r="AI65" s="39" t="str">
        <f t="shared" si="331"/>
        <v/>
      </c>
      <c r="AJ65" s="39" t="str">
        <f t="shared" si="331"/>
        <v/>
      </c>
      <c r="AK65" s="39" t="str">
        <f t="shared" si="284"/>
        <v/>
      </c>
      <c r="AL65" s="39" t="str">
        <f t="shared" ref="AL65:AN65" si="332">IF(COUNT(AL61:AL64)&gt;0,SUM(AL61:AL64),"")</f>
        <v/>
      </c>
      <c r="AM65" s="39" t="str">
        <f t="shared" si="332"/>
        <v/>
      </c>
      <c r="AN65" s="39" t="str">
        <f t="shared" si="332"/>
        <v/>
      </c>
      <c r="AO65" s="39" t="str">
        <f t="shared" si="286"/>
        <v/>
      </c>
      <c r="AP65" s="39" t="str">
        <f t="shared" ref="AP65:AR65" si="333">IF(COUNT(AP61:AP64)&gt;0,SUM(AP61:AP64),"")</f>
        <v/>
      </c>
      <c r="AQ65" s="39" t="str">
        <f t="shared" si="333"/>
        <v/>
      </c>
      <c r="AR65" s="39" t="str">
        <f t="shared" si="333"/>
        <v/>
      </c>
      <c r="AS65" s="39" t="str">
        <f t="shared" si="288"/>
        <v/>
      </c>
      <c r="AT65" s="39" t="str">
        <f t="shared" ref="AT65:AV65" si="334">IF(COUNT(AT61:AT64)&gt;0,SUM(AT61:AT64),"")</f>
        <v/>
      </c>
      <c r="AU65" s="39" t="str">
        <f t="shared" si="334"/>
        <v/>
      </c>
      <c r="AV65" s="39" t="str">
        <f t="shared" si="334"/>
        <v/>
      </c>
      <c r="AW65" s="39" t="str">
        <f t="shared" si="290"/>
        <v/>
      </c>
      <c r="AX65" s="39" t="str">
        <f t="shared" ref="AX65:AZ65" si="335">IF(COUNT(AX61:AX64)&gt;0,SUM(AX61:AX64),"")</f>
        <v/>
      </c>
      <c r="AY65" s="39" t="str">
        <f t="shared" si="335"/>
        <v/>
      </c>
      <c r="AZ65" s="39" t="str">
        <f t="shared" si="335"/>
        <v/>
      </c>
      <c r="BA65" s="39" t="str">
        <f t="shared" si="292"/>
        <v/>
      </c>
    </row>
    <row r="66" ht="18.0" customHeight="1">
      <c r="A66" s="36" t="s">
        <v>69</v>
      </c>
      <c r="B66" s="39">
        <f t="shared" ref="B66:D66" si="336">SUM(AX66,AT66,AP66,AL66,AH66,AD66,Z66,V66,R66,N66,J66,F66)</f>
        <v>0</v>
      </c>
      <c r="C66" s="39">
        <f t="shared" si="336"/>
        <v>0</v>
      </c>
      <c r="D66" s="39">
        <f t="shared" si="336"/>
        <v>0</v>
      </c>
      <c r="E66" s="39">
        <f t="shared" si="268"/>
        <v>0</v>
      </c>
      <c r="F66" s="39" t="str">
        <f>IF(COUNT(F57:F64)&gt;0,SUM(F57,F60)-SUM(F58,F59,F65),"")</f>
        <v/>
      </c>
      <c r="G66" s="39">
        <f t="shared" ref="G66:H66" si="337">SUM(G57,G60)-SUM(G58,G59,G65)</f>
        <v>0</v>
      </c>
      <c r="H66" s="39">
        <f t="shared" si="337"/>
        <v>0</v>
      </c>
      <c r="I66" s="39">
        <f t="shared" si="270"/>
        <v>0</v>
      </c>
      <c r="J66" s="39" t="str">
        <f>IF(COUNT(J57:J64)&gt;0,SUM(J57,J60)-SUM(J58,J59,J65),"")</f>
        <v/>
      </c>
      <c r="K66" s="39">
        <f t="shared" ref="K66:L66" si="338">SUM(K57,K60)-SUM(K58,K59,K65)</f>
        <v>0</v>
      </c>
      <c r="L66" s="39">
        <f t="shared" si="338"/>
        <v>0</v>
      </c>
      <c r="M66" s="39">
        <f t="shared" si="272"/>
        <v>0</v>
      </c>
      <c r="N66" s="39" t="str">
        <f>IF(COUNT(N57:N64)&gt;0,SUM(N57,N60)-SUM(N58,N59,N65),"")</f>
        <v/>
      </c>
      <c r="O66" s="39">
        <f t="shared" ref="O66:P66" si="339">SUM(O57,O60)-SUM(O58,O59,O65)</f>
        <v>0</v>
      </c>
      <c r="P66" s="39">
        <f t="shared" si="339"/>
        <v>0</v>
      </c>
      <c r="Q66" s="39">
        <f t="shared" si="274"/>
        <v>0</v>
      </c>
      <c r="R66" s="39" t="str">
        <f>IF(COUNT(R57:R64)&gt;0,SUM(R57,R60)-SUM(R58,R59,R65),"")</f>
        <v/>
      </c>
      <c r="S66" s="39">
        <f t="shared" ref="S66:T66" si="340">SUM(S57,S60)-SUM(S58,S59,S65)</f>
        <v>0</v>
      </c>
      <c r="T66" s="39">
        <f t="shared" si="340"/>
        <v>0</v>
      </c>
      <c r="U66" s="39">
        <f t="shared" si="276"/>
        <v>0</v>
      </c>
      <c r="V66" s="39" t="str">
        <f>IF(COUNT(V57:V64)&gt;0,SUM(V57,V60)-SUM(V58,V59,V65),"")</f>
        <v/>
      </c>
      <c r="W66" s="39">
        <f t="shared" ref="W66:X66" si="341">SUM(W57,W60)-SUM(W58,W59,W65)</f>
        <v>0</v>
      </c>
      <c r="X66" s="39">
        <f t="shared" si="341"/>
        <v>0</v>
      </c>
      <c r="Y66" s="39">
        <f t="shared" si="278"/>
        <v>0</v>
      </c>
      <c r="Z66" s="39" t="str">
        <f>IF(COUNT(Z57:Z64)&gt;0,SUM(Z57,Z60)-SUM(Z58,Z59,Z65),"")</f>
        <v/>
      </c>
      <c r="AA66" s="39">
        <f t="shared" ref="AA66:AB66" si="342">SUM(AA57,AA60)-SUM(AA58,AA59,AA65)</f>
        <v>0</v>
      </c>
      <c r="AB66" s="39">
        <f t="shared" si="342"/>
        <v>0</v>
      </c>
      <c r="AC66" s="39">
        <f t="shared" si="280"/>
        <v>0</v>
      </c>
      <c r="AD66" s="39" t="str">
        <f>IF(COUNT(AD57:AD64)&gt;0,SUM(AD57,AD60)-SUM(AD58,AD59,AD65),"")</f>
        <v/>
      </c>
      <c r="AE66" s="39">
        <f t="shared" ref="AE66:AF66" si="343">SUM(AE57,AE60)-SUM(AE58,AE59,AE65)</f>
        <v>0</v>
      </c>
      <c r="AF66" s="39">
        <f t="shared" si="343"/>
        <v>0</v>
      </c>
      <c r="AG66" s="39">
        <f t="shared" si="282"/>
        <v>0</v>
      </c>
      <c r="AH66" s="39" t="str">
        <f>IF(COUNT(AH57:AH64)&gt;0,SUM(AH57,AH60)-SUM(AH58,AH59,AH65),"")</f>
        <v/>
      </c>
      <c r="AI66" s="39">
        <f t="shared" ref="AI66:AJ66" si="344">SUM(AI57,AI60)-SUM(AI58,AI59,AI65)</f>
        <v>0</v>
      </c>
      <c r="AJ66" s="39">
        <f t="shared" si="344"/>
        <v>0</v>
      </c>
      <c r="AK66" s="39">
        <f t="shared" si="284"/>
        <v>0</v>
      </c>
      <c r="AL66" s="39" t="str">
        <f>IF(COUNT(AL57:AL64)&gt;0,SUM(AL57,AL60)-SUM(AL58,AL59,AL65),"")</f>
        <v/>
      </c>
      <c r="AM66" s="39">
        <f t="shared" ref="AM66:AN66" si="345">SUM(AM57,AM60)-SUM(AM58,AM59,AM65)</f>
        <v>0</v>
      </c>
      <c r="AN66" s="39">
        <f t="shared" si="345"/>
        <v>0</v>
      </c>
      <c r="AO66" s="39">
        <f t="shared" si="286"/>
        <v>0</v>
      </c>
      <c r="AP66" s="39" t="str">
        <f>IF(COUNT(AP57:AP64)&gt;0,SUM(AP57,AP60)-SUM(AP58,AP59,AP65),"")</f>
        <v/>
      </c>
      <c r="AQ66" s="39">
        <f t="shared" ref="AQ66:AR66" si="346">SUM(AQ57,AQ60)-SUM(AQ58,AQ59,AQ65)</f>
        <v>0</v>
      </c>
      <c r="AR66" s="39">
        <f t="shared" si="346"/>
        <v>0</v>
      </c>
      <c r="AS66" s="39">
        <f t="shared" si="288"/>
        <v>0</v>
      </c>
      <c r="AT66" s="39" t="str">
        <f>IF(COUNT(AT57:AT64)&gt;0,SUM(AT57,AT60)-SUM(AT58,AT59,AT65),"")</f>
        <v/>
      </c>
      <c r="AU66" s="39">
        <f t="shared" ref="AU66:AV66" si="347">SUM(AU57,AU60)-SUM(AU58,AU59,AU65)</f>
        <v>0</v>
      </c>
      <c r="AV66" s="39">
        <f t="shared" si="347"/>
        <v>0</v>
      </c>
      <c r="AW66" s="39">
        <f t="shared" si="290"/>
        <v>0</v>
      </c>
      <c r="AX66" s="39" t="str">
        <f>IF(COUNT(AX57:AX64)&gt;0,SUM(AX57,AX60)-SUM(AX58,AX59,AX65),"")</f>
        <v/>
      </c>
      <c r="AY66" s="39">
        <f t="shared" ref="AY66:AZ66" si="348">SUM(AY57,AY60)-SUM(AY58,AY59,AY65)</f>
        <v>0</v>
      </c>
      <c r="AZ66" s="39">
        <f t="shared" si="348"/>
        <v>0</v>
      </c>
      <c r="BA66" s="39">
        <f t="shared" si="292"/>
        <v>0</v>
      </c>
    </row>
    <row r="67" ht="18.0" customHeight="1">
      <c r="A67" s="2" t="s">
        <v>70</v>
      </c>
      <c r="B67" s="30" t="str">
        <f t="shared" ref="B67:D67" si="349">AX67</f>
        <v/>
      </c>
      <c r="C67" s="31" t="str">
        <f t="shared" si="349"/>
        <v/>
      </c>
      <c r="D67" s="32" t="str">
        <f t="shared" si="349"/>
        <v/>
      </c>
      <c r="E67" s="33" t="str">
        <f t="shared" si="268"/>
        <v/>
      </c>
      <c r="F67" s="30" t="str">
        <f>IF(F66="","",IF(J$98=1,J68,K68))</f>
        <v/>
      </c>
      <c r="G67" s="31">
        <f>IF(J$98=1,J68,K68)</f>
        <v>0</v>
      </c>
      <c r="H67" s="32">
        <f>L68</f>
        <v>0</v>
      </c>
      <c r="I67" s="33">
        <f t="shared" si="270"/>
        <v>0</v>
      </c>
      <c r="J67" s="30" t="str">
        <f>IF(J66="","",IF(N$98=1,N68,O68))</f>
        <v/>
      </c>
      <c r="K67" s="31">
        <f>IF(N$98=1,N68,O68)</f>
        <v>0</v>
      </c>
      <c r="L67" s="32">
        <f>P68</f>
        <v>0</v>
      </c>
      <c r="M67" s="33">
        <f t="shared" si="272"/>
        <v>0</v>
      </c>
      <c r="N67" s="30" t="str">
        <f>IF(N66="","",IF(R$98=1,R68,S68))</f>
        <v/>
      </c>
      <c r="O67" s="31">
        <f>IF(R$98=1,R68,S68)</f>
        <v>0</v>
      </c>
      <c r="P67" s="32">
        <f>T68</f>
        <v>0</v>
      </c>
      <c r="Q67" s="33">
        <f t="shared" si="274"/>
        <v>0</v>
      </c>
      <c r="R67" s="30" t="str">
        <f>IF(R66="","",IF(V$98=1,V68,W68))</f>
        <v/>
      </c>
      <c r="S67" s="31">
        <f>IF(V$98=1,V68,W68)</f>
        <v>0</v>
      </c>
      <c r="T67" s="32">
        <f>X68</f>
        <v>0</v>
      </c>
      <c r="U67" s="33">
        <f t="shared" si="276"/>
        <v>0</v>
      </c>
      <c r="V67" s="30" t="str">
        <f>IF(V66="","",IF(Z$98=1,Z68,AA68))</f>
        <v/>
      </c>
      <c r="W67" s="31">
        <f>IF(Z$98=1,Z68,AA68)</f>
        <v>0</v>
      </c>
      <c r="X67" s="32">
        <f>AB68</f>
        <v>0</v>
      </c>
      <c r="Y67" s="33">
        <f t="shared" si="278"/>
        <v>0</v>
      </c>
      <c r="Z67" s="30" t="str">
        <f>IF(Z66="","",IF(AD$98=1,AD68,AE68))</f>
        <v/>
      </c>
      <c r="AA67" s="31">
        <f>IF(AD$98=1,AD68,AE68)</f>
        <v>0</v>
      </c>
      <c r="AB67" s="32">
        <f>AF68</f>
        <v>0</v>
      </c>
      <c r="AC67" s="33">
        <f t="shared" si="280"/>
        <v>0</v>
      </c>
      <c r="AD67" s="30" t="str">
        <f>IF(AD66="","",IF(AH$98=1,AH68,AI68))</f>
        <v/>
      </c>
      <c r="AE67" s="31">
        <f>IF(AH$98=1,AH68,AI68)</f>
        <v>0</v>
      </c>
      <c r="AF67" s="32">
        <f>AJ68</f>
        <v>0</v>
      </c>
      <c r="AG67" s="33">
        <f t="shared" si="282"/>
        <v>0</v>
      </c>
      <c r="AH67" s="30" t="str">
        <f>IF(AH66="","",IF(AL$98=1,AL68,AM68))</f>
        <v/>
      </c>
      <c r="AI67" s="31">
        <f>IF(AL$98=1,AL68,AM68)</f>
        <v>0</v>
      </c>
      <c r="AJ67" s="32">
        <f>AN68</f>
        <v>0</v>
      </c>
      <c r="AK67" s="33">
        <f t="shared" si="284"/>
        <v>0</v>
      </c>
      <c r="AL67" s="30" t="str">
        <f>IF(AL66="","",IF(AP$98=1,AP68,AQ68))</f>
        <v/>
      </c>
      <c r="AM67" s="31">
        <f>IF(AP$98=1,AP68,AQ68)</f>
        <v>0</v>
      </c>
      <c r="AN67" s="32">
        <f>AR68</f>
        <v>0</v>
      </c>
      <c r="AO67" s="33">
        <f t="shared" si="286"/>
        <v>0</v>
      </c>
      <c r="AP67" s="30" t="str">
        <f>IF(AP66="","",IF(AT$98=1,AT68,AU68))</f>
        <v/>
      </c>
      <c r="AQ67" s="31">
        <f>IF(AT$98=1,AT68,AU68)</f>
        <v>0</v>
      </c>
      <c r="AR67" s="32">
        <f>AV68</f>
        <v>0</v>
      </c>
      <c r="AS67" s="33">
        <f t="shared" si="288"/>
        <v>0</v>
      </c>
      <c r="AT67" s="30" t="str">
        <f>IF(AT66="","",IF(AX$98=1,AX68,AY68))</f>
        <v/>
      </c>
      <c r="AU67" s="31">
        <f>IF(AX$98=1,AX68,AY68)</f>
        <v>0</v>
      </c>
      <c r="AV67" s="32">
        <f>AZ68</f>
        <v>0</v>
      </c>
      <c r="AW67" s="33">
        <f t="shared" si="290"/>
        <v>0</v>
      </c>
      <c r="AX67" s="34"/>
      <c r="AY67" s="31" t="str">
        <f>AX67</f>
        <v/>
      </c>
      <c r="AZ67" s="32" t="str">
        <f>AX67</f>
        <v/>
      </c>
      <c r="BA67" s="33" t="str">
        <f t="shared" si="292"/>
        <v/>
      </c>
    </row>
    <row r="68" ht="18.0" customHeight="1">
      <c r="A68" s="36" t="s">
        <v>71</v>
      </c>
      <c r="B68" s="39" t="str">
        <f t="shared" ref="B68:B71" si="363">IF(F$98=1,F68,IF(J$98=1,J68,IF(N$98=1,N68,IF(R$98=1,R68,IF(V$98=1,V68,IF(Z$98=1,Z68,IF(AD$98=1,AD68,IF(AH$98=1,AH68,IF(AL$98=1,AL68,IF(AP$98=1,AP68,IF(AT$98=1,AT68,IF(AX$98=1,AX68,""))))))))))))</f>
        <v/>
      </c>
      <c r="C68" s="39">
        <f t="shared" ref="C68:D68" si="350">G68</f>
        <v>0</v>
      </c>
      <c r="D68" s="39">
        <f t="shared" si="350"/>
        <v>0</v>
      </c>
      <c r="E68" s="39">
        <f t="shared" si="268"/>
        <v>0</v>
      </c>
      <c r="F68" s="39" t="str">
        <f>IF(F66="","",F67+F66)</f>
        <v/>
      </c>
      <c r="G68" s="39">
        <f t="shared" ref="G68:H68" si="351">G67+G66</f>
        <v>0</v>
      </c>
      <c r="H68" s="39">
        <f t="shared" si="351"/>
        <v>0</v>
      </c>
      <c r="I68" s="39">
        <f t="shared" si="270"/>
        <v>0</v>
      </c>
      <c r="J68" s="39" t="str">
        <f>IF(J66="","",J67+J66)</f>
        <v/>
      </c>
      <c r="K68" s="39">
        <f t="shared" ref="K68:L68" si="352">K67+K66</f>
        <v>0</v>
      </c>
      <c r="L68" s="39">
        <f t="shared" si="352"/>
        <v>0</v>
      </c>
      <c r="M68" s="39">
        <f t="shared" si="272"/>
        <v>0</v>
      </c>
      <c r="N68" s="39" t="str">
        <f>IF(N66="","",N67+N66)</f>
        <v/>
      </c>
      <c r="O68" s="39">
        <f t="shared" ref="O68:P68" si="353">O67+O66</f>
        <v>0</v>
      </c>
      <c r="P68" s="39">
        <f t="shared" si="353"/>
        <v>0</v>
      </c>
      <c r="Q68" s="39">
        <f t="shared" si="274"/>
        <v>0</v>
      </c>
      <c r="R68" s="39" t="str">
        <f>IF(R66="","",R67+R66)</f>
        <v/>
      </c>
      <c r="S68" s="39">
        <f t="shared" ref="S68:T68" si="354">S67+S66</f>
        <v>0</v>
      </c>
      <c r="T68" s="39">
        <f t="shared" si="354"/>
        <v>0</v>
      </c>
      <c r="U68" s="39">
        <f t="shared" si="276"/>
        <v>0</v>
      </c>
      <c r="V68" s="39" t="str">
        <f>IF(V66="","",V67+V66)</f>
        <v/>
      </c>
      <c r="W68" s="39">
        <f t="shared" ref="W68:X68" si="355">W67+W66</f>
        <v>0</v>
      </c>
      <c r="X68" s="39">
        <f t="shared" si="355"/>
        <v>0</v>
      </c>
      <c r="Y68" s="39">
        <f t="shared" si="278"/>
        <v>0</v>
      </c>
      <c r="Z68" s="39" t="str">
        <f>IF(Z66="","",Z67+Z66)</f>
        <v/>
      </c>
      <c r="AA68" s="39">
        <f t="shared" ref="AA68:AB68" si="356">AA67+AA66</f>
        <v>0</v>
      </c>
      <c r="AB68" s="39">
        <f t="shared" si="356"/>
        <v>0</v>
      </c>
      <c r="AC68" s="39">
        <f t="shared" si="280"/>
        <v>0</v>
      </c>
      <c r="AD68" s="39" t="str">
        <f>IF(AD66="","",AD67+AD66)</f>
        <v/>
      </c>
      <c r="AE68" s="39">
        <f t="shared" ref="AE68:AF68" si="357">AE67+AE66</f>
        <v>0</v>
      </c>
      <c r="AF68" s="39">
        <f t="shared" si="357"/>
        <v>0</v>
      </c>
      <c r="AG68" s="39">
        <f t="shared" si="282"/>
        <v>0</v>
      </c>
      <c r="AH68" s="39" t="str">
        <f>IF(AH66="","",AH67+AH66)</f>
        <v/>
      </c>
      <c r="AI68" s="39">
        <f t="shared" ref="AI68:AJ68" si="358">AI67+AI66</f>
        <v>0</v>
      </c>
      <c r="AJ68" s="39">
        <f t="shared" si="358"/>
        <v>0</v>
      </c>
      <c r="AK68" s="39">
        <f t="shared" si="284"/>
        <v>0</v>
      </c>
      <c r="AL68" s="39" t="str">
        <f>IF(AL66="","",AL67+AL66)</f>
        <v/>
      </c>
      <c r="AM68" s="39">
        <f t="shared" ref="AM68:AN68" si="359">AM67+AM66</f>
        <v>0</v>
      </c>
      <c r="AN68" s="39">
        <f t="shared" si="359"/>
        <v>0</v>
      </c>
      <c r="AO68" s="39">
        <f t="shared" si="286"/>
        <v>0</v>
      </c>
      <c r="AP68" s="39" t="str">
        <f>IF(AP66="","",AP67+AP66)</f>
        <v/>
      </c>
      <c r="AQ68" s="39">
        <f t="shared" ref="AQ68:AR68" si="360">AQ67+AQ66</f>
        <v>0</v>
      </c>
      <c r="AR68" s="39">
        <f t="shared" si="360"/>
        <v>0</v>
      </c>
      <c r="AS68" s="39">
        <f t="shared" si="288"/>
        <v>0</v>
      </c>
      <c r="AT68" s="39" t="str">
        <f>IF(AT66="","",AT67+AT66)</f>
        <v/>
      </c>
      <c r="AU68" s="39">
        <f t="shared" ref="AU68:AV68" si="361">AU67+AU66</f>
        <v>0</v>
      </c>
      <c r="AV68" s="39">
        <f t="shared" si="361"/>
        <v>0</v>
      </c>
      <c r="AW68" s="39">
        <f t="shared" si="290"/>
        <v>0</v>
      </c>
      <c r="AX68" s="39" t="str">
        <f>IF(AX66="","",AX67+AX66)</f>
        <v/>
      </c>
      <c r="AY68" s="39">
        <f t="shared" ref="AY68:AZ68" si="362">AY67+AY66</f>
        <v>0</v>
      </c>
      <c r="AZ68" s="39">
        <f t="shared" si="362"/>
        <v>0</v>
      </c>
      <c r="BA68" s="39">
        <f t="shared" si="292"/>
        <v>0</v>
      </c>
    </row>
    <row r="69" ht="18.0" customHeight="1">
      <c r="A69" s="2" t="s">
        <v>72</v>
      </c>
      <c r="B69" s="30" t="str">
        <f t="shared" si="363"/>
        <v/>
      </c>
      <c r="C69" s="31" t="str">
        <f t="shared" ref="C69:D69" si="364">G69</f>
        <v/>
      </c>
      <c r="D69" s="32" t="str">
        <f t="shared" si="364"/>
        <v/>
      </c>
      <c r="E69" s="33" t="str">
        <f t="shared" si="268"/>
        <v/>
      </c>
      <c r="F69" s="34"/>
      <c r="G69" s="31" t="str">
        <f>IF(F$98=1,F69,H69)</f>
        <v/>
      </c>
      <c r="H69" s="35"/>
      <c r="I69" s="33" t="str">
        <f t="shared" si="270"/>
        <v/>
      </c>
      <c r="J69" s="34"/>
      <c r="K69" s="31" t="str">
        <f>IF(J$98=1,J69,L69)</f>
        <v/>
      </c>
      <c r="L69" s="35"/>
      <c r="M69" s="33" t="str">
        <f t="shared" si="272"/>
        <v/>
      </c>
      <c r="N69" s="34"/>
      <c r="O69" s="31" t="str">
        <f>IF(N$98=1,N69,P69)</f>
        <v/>
      </c>
      <c r="P69" s="35"/>
      <c r="Q69" s="33" t="str">
        <f t="shared" si="274"/>
        <v/>
      </c>
      <c r="R69" s="34"/>
      <c r="S69" s="31" t="str">
        <f>IF(R$98=1,R69,T69)</f>
        <v/>
      </c>
      <c r="T69" s="35"/>
      <c r="U69" s="33" t="str">
        <f t="shared" si="276"/>
        <v/>
      </c>
      <c r="V69" s="34"/>
      <c r="W69" s="31" t="str">
        <f>IF(V$98=1,V69,X69)</f>
        <v/>
      </c>
      <c r="X69" s="35"/>
      <c r="Y69" s="33" t="str">
        <f t="shared" si="278"/>
        <v/>
      </c>
      <c r="Z69" s="34"/>
      <c r="AA69" s="31" t="str">
        <f>IF(Z$98=1,Z69,AB69)</f>
        <v/>
      </c>
      <c r="AB69" s="35"/>
      <c r="AC69" s="33" t="str">
        <f t="shared" si="280"/>
        <v/>
      </c>
      <c r="AD69" s="34"/>
      <c r="AE69" s="31" t="str">
        <f>IF(AD$98=1,AD69,AF69)</f>
        <v/>
      </c>
      <c r="AF69" s="35"/>
      <c r="AG69" s="33" t="str">
        <f t="shared" si="282"/>
        <v/>
      </c>
      <c r="AH69" s="34"/>
      <c r="AI69" s="31" t="str">
        <f>IF(AH$98=1,AH69,AJ69)</f>
        <v/>
      </c>
      <c r="AJ69" s="35"/>
      <c r="AK69" s="33" t="str">
        <f t="shared" si="284"/>
        <v/>
      </c>
      <c r="AL69" s="34"/>
      <c r="AM69" s="31" t="str">
        <f>IF(AL$98=1,AL69,AN69)</f>
        <v/>
      </c>
      <c r="AN69" s="35"/>
      <c r="AO69" s="33" t="str">
        <f t="shared" si="286"/>
        <v/>
      </c>
      <c r="AP69" s="34"/>
      <c r="AQ69" s="31" t="str">
        <f>IF(AP$98=1,AP69,AR69)</f>
        <v/>
      </c>
      <c r="AR69" s="35"/>
      <c r="AS69" s="33" t="str">
        <f t="shared" si="288"/>
        <v/>
      </c>
      <c r="AT69" s="34"/>
      <c r="AU69" s="31" t="str">
        <f>IF(AT$98=1,AT69,AV69)</f>
        <v/>
      </c>
      <c r="AV69" s="35"/>
      <c r="AW69" s="33" t="str">
        <f t="shared" si="290"/>
        <v/>
      </c>
      <c r="AX69" s="34"/>
      <c r="AY69" s="31" t="str">
        <f>IF(AX$98=1,AX69,AZ69)</f>
        <v/>
      </c>
      <c r="AZ69" s="35"/>
      <c r="BA69" s="33" t="str">
        <f t="shared" si="292"/>
        <v/>
      </c>
    </row>
    <row r="70" ht="18.0" customHeight="1">
      <c r="A70" s="36" t="s">
        <v>73</v>
      </c>
      <c r="B70" s="39" t="str">
        <f t="shared" si="363"/>
        <v/>
      </c>
      <c r="C70" s="39">
        <f t="shared" ref="C70:D70" si="365">G70</f>
        <v>0</v>
      </c>
      <c r="D70" s="39">
        <f t="shared" si="365"/>
        <v>0</v>
      </c>
      <c r="E70" s="39">
        <f t="shared" si="268"/>
        <v>0</v>
      </c>
      <c r="F70" s="39" t="str">
        <f t="shared" ref="F70:H70" si="366">IF(F68="","",F68-F69)</f>
        <v/>
      </c>
      <c r="G70" s="39">
        <f t="shared" si="366"/>
        <v>0</v>
      </c>
      <c r="H70" s="39">
        <f t="shared" si="366"/>
        <v>0</v>
      </c>
      <c r="I70" s="39">
        <f t="shared" si="270"/>
        <v>0</v>
      </c>
      <c r="J70" s="39" t="str">
        <f t="shared" ref="J70:L70" si="367">IF(J68="","",J68-J69)</f>
        <v/>
      </c>
      <c r="K70" s="39">
        <f t="shared" si="367"/>
        <v>0</v>
      </c>
      <c r="L70" s="39">
        <f t="shared" si="367"/>
        <v>0</v>
      </c>
      <c r="M70" s="39">
        <f t="shared" si="272"/>
        <v>0</v>
      </c>
      <c r="N70" s="39" t="str">
        <f t="shared" ref="N70:P70" si="368">IF(N68="","",N68-N69)</f>
        <v/>
      </c>
      <c r="O70" s="39">
        <f t="shared" si="368"/>
        <v>0</v>
      </c>
      <c r="P70" s="39">
        <f t="shared" si="368"/>
        <v>0</v>
      </c>
      <c r="Q70" s="39">
        <f t="shared" si="274"/>
        <v>0</v>
      </c>
      <c r="R70" s="39" t="str">
        <f t="shared" ref="R70:T70" si="369">IF(R68="","",R68-R69)</f>
        <v/>
      </c>
      <c r="S70" s="39">
        <f t="shared" si="369"/>
        <v>0</v>
      </c>
      <c r="T70" s="39">
        <f t="shared" si="369"/>
        <v>0</v>
      </c>
      <c r="U70" s="39">
        <f t="shared" si="276"/>
        <v>0</v>
      </c>
      <c r="V70" s="39" t="str">
        <f t="shared" ref="V70:X70" si="370">IF(V68="","",V68-V69)</f>
        <v/>
      </c>
      <c r="W70" s="39">
        <f t="shared" si="370"/>
        <v>0</v>
      </c>
      <c r="X70" s="39">
        <f t="shared" si="370"/>
        <v>0</v>
      </c>
      <c r="Y70" s="39">
        <f t="shared" si="278"/>
        <v>0</v>
      </c>
      <c r="Z70" s="39" t="str">
        <f t="shared" ref="Z70:AB70" si="371">IF(Z68="","",Z68-Z69)</f>
        <v/>
      </c>
      <c r="AA70" s="39">
        <f t="shared" si="371"/>
        <v>0</v>
      </c>
      <c r="AB70" s="39">
        <f t="shared" si="371"/>
        <v>0</v>
      </c>
      <c r="AC70" s="39">
        <f t="shared" si="280"/>
        <v>0</v>
      </c>
      <c r="AD70" s="39" t="str">
        <f t="shared" ref="AD70:AF70" si="372">IF(AD68="","",AD68-AD69)</f>
        <v/>
      </c>
      <c r="AE70" s="39">
        <f t="shared" si="372"/>
        <v>0</v>
      </c>
      <c r="AF70" s="39">
        <f t="shared" si="372"/>
        <v>0</v>
      </c>
      <c r="AG70" s="39">
        <f t="shared" si="282"/>
        <v>0</v>
      </c>
      <c r="AH70" s="39" t="str">
        <f t="shared" ref="AH70:AJ70" si="373">IF(AH68="","",AH68-AH69)</f>
        <v/>
      </c>
      <c r="AI70" s="39">
        <f t="shared" si="373"/>
        <v>0</v>
      </c>
      <c r="AJ70" s="39">
        <f t="shared" si="373"/>
        <v>0</v>
      </c>
      <c r="AK70" s="39">
        <f t="shared" si="284"/>
        <v>0</v>
      </c>
      <c r="AL70" s="39" t="str">
        <f t="shared" ref="AL70:AN70" si="374">IF(AL68="","",AL68-AL69)</f>
        <v/>
      </c>
      <c r="AM70" s="39">
        <f t="shared" si="374"/>
        <v>0</v>
      </c>
      <c r="AN70" s="39">
        <f t="shared" si="374"/>
        <v>0</v>
      </c>
      <c r="AO70" s="39">
        <f t="shared" si="286"/>
        <v>0</v>
      </c>
      <c r="AP70" s="39" t="str">
        <f t="shared" ref="AP70:AR70" si="375">IF(AP68="","",AP68-AP69)</f>
        <v/>
      </c>
      <c r="AQ70" s="39">
        <f t="shared" si="375"/>
        <v>0</v>
      </c>
      <c r="AR70" s="39">
        <f t="shared" si="375"/>
        <v>0</v>
      </c>
      <c r="AS70" s="39">
        <f t="shared" si="288"/>
        <v>0</v>
      </c>
      <c r="AT70" s="39" t="str">
        <f t="shared" ref="AT70:AV70" si="376">IF(AT68="","",AT68-AT69)</f>
        <v/>
      </c>
      <c r="AU70" s="39">
        <f t="shared" si="376"/>
        <v>0</v>
      </c>
      <c r="AV70" s="39">
        <f t="shared" si="376"/>
        <v>0</v>
      </c>
      <c r="AW70" s="39">
        <f t="shared" si="290"/>
        <v>0</v>
      </c>
      <c r="AX70" s="39" t="str">
        <f t="shared" ref="AX70:AZ70" si="377">IF(AX68="","",AX68-AX69)</f>
        <v/>
      </c>
      <c r="AY70" s="39">
        <f t="shared" si="377"/>
        <v>0</v>
      </c>
      <c r="AZ70" s="39">
        <f t="shared" si="377"/>
        <v>0</v>
      </c>
      <c r="BA70" s="39">
        <f t="shared" si="292"/>
        <v>0</v>
      </c>
    </row>
    <row r="71" ht="18.0" customHeight="1">
      <c r="A71" s="2" t="s">
        <v>74</v>
      </c>
      <c r="B71" s="40" t="str">
        <f t="shared" si="363"/>
        <v/>
      </c>
      <c r="C71" s="40" t="str">
        <f t="shared" ref="C71:D71" si="378">G71</f>
        <v>OK</v>
      </c>
      <c r="D71" s="40" t="str">
        <f t="shared" si="378"/>
        <v>OK</v>
      </c>
      <c r="E71" s="40"/>
      <c r="F71" s="40" t="str">
        <f t="shared" ref="F71:H71" si="379">IF(F70="","",IF(F70&lt;0,"ACTION","OK"))</f>
        <v/>
      </c>
      <c r="G71" s="40" t="str">
        <f t="shared" si="379"/>
        <v>OK</v>
      </c>
      <c r="H71" s="40" t="str">
        <f t="shared" si="379"/>
        <v>OK</v>
      </c>
      <c r="I71" s="40"/>
      <c r="J71" s="40" t="str">
        <f t="shared" ref="J71:L71" si="380">IF(J70="","",IF(J70&lt;0,"ACTION","OK"))</f>
        <v/>
      </c>
      <c r="K71" s="40" t="str">
        <f t="shared" si="380"/>
        <v>OK</v>
      </c>
      <c r="L71" s="40" t="str">
        <f t="shared" si="380"/>
        <v>OK</v>
      </c>
      <c r="M71" s="40"/>
      <c r="N71" s="40" t="str">
        <f t="shared" ref="N71:P71" si="381">IF(N70="","",IF(N70&lt;0,"ACTION","OK"))</f>
        <v/>
      </c>
      <c r="O71" s="40" t="str">
        <f t="shared" si="381"/>
        <v>OK</v>
      </c>
      <c r="P71" s="40" t="str">
        <f t="shared" si="381"/>
        <v>OK</v>
      </c>
      <c r="Q71" s="40"/>
      <c r="R71" s="40" t="str">
        <f t="shared" ref="R71:T71" si="382">IF(R70="","",IF(R70&lt;0,"ACTION","OK"))</f>
        <v/>
      </c>
      <c r="S71" s="40" t="str">
        <f t="shared" si="382"/>
        <v>OK</v>
      </c>
      <c r="T71" s="40" t="str">
        <f t="shared" si="382"/>
        <v>OK</v>
      </c>
      <c r="U71" s="40"/>
      <c r="V71" s="40" t="str">
        <f t="shared" ref="V71:X71" si="383">IF(V70="","",IF(V70&lt;0,"ACTION","OK"))</f>
        <v/>
      </c>
      <c r="W71" s="40" t="str">
        <f t="shared" si="383"/>
        <v>OK</v>
      </c>
      <c r="X71" s="40" t="str">
        <f t="shared" si="383"/>
        <v>OK</v>
      </c>
      <c r="Y71" s="40"/>
      <c r="Z71" s="40" t="str">
        <f t="shared" ref="Z71:AB71" si="384">IF(Z70="","",IF(Z70&lt;0,"ACTION","OK"))</f>
        <v/>
      </c>
      <c r="AA71" s="40" t="str">
        <f t="shared" si="384"/>
        <v>OK</v>
      </c>
      <c r="AB71" s="40" t="str">
        <f t="shared" si="384"/>
        <v>OK</v>
      </c>
      <c r="AC71" s="40"/>
      <c r="AD71" s="40" t="str">
        <f t="shared" ref="AD71:AF71" si="385">IF(AD70="","",IF(AD70&lt;0,"ACTION","OK"))</f>
        <v/>
      </c>
      <c r="AE71" s="40" t="str">
        <f t="shared" si="385"/>
        <v>OK</v>
      </c>
      <c r="AF71" s="40" t="str">
        <f t="shared" si="385"/>
        <v>OK</v>
      </c>
      <c r="AG71" s="40"/>
      <c r="AH71" s="40" t="str">
        <f t="shared" ref="AH71:AJ71" si="386">IF(AH70="","",IF(AH70&lt;0,"ACTION","OK"))</f>
        <v/>
      </c>
      <c r="AI71" s="40" t="str">
        <f t="shared" si="386"/>
        <v>OK</v>
      </c>
      <c r="AJ71" s="40" t="str">
        <f t="shared" si="386"/>
        <v>OK</v>
      </c>
      <c r="AK71" s="40"/>
      <c r="AL71" s="40" t="str">
        <f t="shared" ref="AL71:AN71" si="387">IF(AL70="","",IF(AL70&lt;0,"ACTION","OK"))</f>
        <v/>
      </c>
      <c r="AM71" s="40" t="str">
        <f t="shared" si="387"/>
        <v>OK</v>
      </c>
      <c r="AN71" s="40" t="str">
        <f t="shared" si="387"/>
        <v>OK</v>
      </c>
      <c r="AO71" s="40"/>
      <c r="AP71" s="40" t="str">
        <f t="shared" ref="AP71:AR71" si="388">IF(AP70="","",IF(AP70&lt;0,"ACTION","OK"))</f>
        <v/>
      </c>
      <c r="AQ71" s="40" t="str">
        <f t="shared" si="388"/>
        <v>OK</v>
      </c>
      <c r="AR71" s="40" t="str">
        <f t="shared" si="388"/>
        <v>OK</v>
      </c>
      <c r="AS71" s="40"/>
      <c r="AT71" s="40" t="str">
        <f t="shared" ref="AT71:AV71" si="389">IF(AT70="","",IF(AT70&lt;0,"ACTION","OK"))</f>
        <v/>
      </c>
      <c r="AU71" s="40" t="str">
        <f t="shared" si="389"/>
        <v>OK</v>
      </c>
      <c r="AV71" s="40" t="str">
        <f t="shared" si="389"/>
        <v>OK</v>
      </c>
      <c r="AW71" s="40"/>
      <c r="AX71" s="40" t="str">
        <f t="shared" ref="AX71:AZ71" si="390">IF(AX70="","",IF(AX70&lt;0,"ACTION","OK"))</f>
        <v/>
      </c>
      <c r="AY71" s="40" t="str">
        <f t="shared" si="390"/>
        <v>OK</v>
      </c>
      <c r="AZ71" s="40" t="str">
        <f t="shared" si="390"/>
        <v>OK</v>
      </c>
      <c r="BA71" s="40"/>
    </row>
    <row r="72" ht="18.0" hidden="1" customHeight="1">
      <c r="A72" s="2" t="s">
        <v>75</v>
      </c>
      <c r="B72" s="41"/>
      <c r="C72" s="41"/>
      <c r="D72" s="41"/>
      <c r="E72" s="41" t="str">
        <f t="shared" ref="E72:E73" si="403">IFERROR(IF(OR(C72="",D72=""),"",C72-D72),"")</f>
        <v/>
      </c>
      <c r="F72" s="41" t="str">
        <f>IF(F21="","",MAX(0,J72+J73-J26))</f>
        <v/>
      </c>
      <c r="G72" s="41">
        <f t="shared" ref="G72:H72" si="391">MAX(0,K72+K73-K26)</f>
        <v>0</v>
      </c>
      <c r="H72" s="41">
        <f t="shared" si="391"/>
        <v>0</v>
      </c>
      <c r="I72" s="41">
        <f t="shared" ref="I72:I73" si="405">IFERROR(IF(OR(G72="",H72=""),"",G72-H72),"")</f>
        <v>0</v>
      </c>
      <c r="J72" s="41" t="str">
        <f>IF(J21="","",MAX(0,N72+N73-N26))</f>
        <v/>
      </c>
      <c r="K72" s="41">
        <f t="shared" ref="K72:L72" si="392">MAX(0,O72+O73-O26)</f>
        <v>0</v>
      </c>
      <c r="L72" s="41">
        <f t="shared" si="392"/>
        <v>0</v>
      </c>
      <c r="M72" s="41">
        <f t="shared" ref="M72:M73" si="407">IFERROR(IF(OR(K72="",L72=""),"",K72-L72),"")</f>
        <v>0</v>
      </c>
      <c r="N72" s="41" t="str">
        <f>IF(N21="","",MAX(0,R72+R73-R26))</f>
        <v/>
      </c>
      <c r="O72" s="41">
        <f t="shared" ref="O72:P72" si="393">MAX(0,S72+S73-S26)</f>
        <v>0</v>
      </c>
      <c r="P72" s="41">
        <f t="shared" si="393"/>
        <v>0</v>
      </c>
      <c r="Q72" s="41">
        <f t="shared" ref="Q72:Q73" si="409">IFERROR(IF(OR(O72="",P72=""),"",O72-P72),"")</f>
        <v>0</v>
      </c>
      <c r="R72" s="41" t="str">
        <f>IF(R21="","",MAX(0,V72+V73-V26))</f>
        <v/>
      </c>
      <c r="S72" s="41">
        <f t="shared" ref="S72:T72" si="394">MAX(0,W72+W73-W26)</f>
        <v>0</v>
      </c>
      <c r="T72" s="41">
        <f t="shared" si="394"/>
        <v>0</v>
      </c>
      <c r="U72" s="41">
        <f t="shared" ref="U72:U73" si="411">IFERROR(IF(OR(S72="",T72=""),"",S72-T72),"")</f>
        <v>0</v>
      </c>
      <c r="V72" s="41" t="str">
        <f>IF(V21="","",MAX(0,Z72+Z73-Z26))</f>
        <v/>
      </c>
      <c r="W72" s="41">
        <f t="shared" ref="W72:X72" si="395">MAX(0,AA72+AA73-AA26)</f>
        <v>0</v>
      </c>
      <c r="X72" s="41">
        <f t="shared" si="395"/>
        <v>0</v>
      </c>
      <c r="Y72" s="41">
        <f t="shared" ref="Y72:Y73" si="413">IFERROR(IF(OR(W72="",X72=""),"",W72-X72),"")</f>
        <v>0</v>
      </c>
      <c r="Z72" s="41" t="str">
        <f>IF(Z21="","",MAX(0,AD72+AD73-AD26))</f>
        <v/>
      </c>
      <c r="AA72" s="41">
        <f t="shared" ref="AA72:AB72" si="396">MAX(0,AE72+AE73-AE26)</f>
        <v>0</v>
      </c>
      <c r="AB72" s="41">
        <f t="shared" si="396"/>
        <v>0</v>
      </c>
      <c r="AC72" s="41">
        <f t="shared" ref="AC72:AC73" si="415">IFERROR(IF(OR(AA72="",AB72=""),"",AA72-AB72),"")</f>
        <v>0</v>
      </c>
      <c r="AD72" s="41" t="str">
        <f>IF(AD21="","",MAX(0,AH72+AH73-AH26))</f>
        <v/>
      </c>
      <c r="AE72" s="41">
        <f t="shared" ref="AE72:AF72" si="397">MAX(0,AI72+AI73-AI26)</f>
        <v>0</v>
      </c>
      <c r="AF72" s="41">
        <f t="shared" si="397"/>
        <v>0</v>
      </c>
      <c r="AG72" s="41">
        <f t="shared" ref="AG72:AG73" si="417">IFERROR(IF(OR(AE72="",AF72=""),"",AE72-AF72),"")</f>
        <v>0</v>
      </c>
      <c r="AH72" s="41" t="str">
        <f>IF(AH21="","",MAX(0,AL72+AL73-AL26))</f>
        <v/>
      </c>
      <c r="AI72" s="41">
        <f t="shared" ref="AI72:AJ72" si="398">MAX(0,AM72+AM73-AM26)</f>
        <v>0</v>
      </c>
      <c r="AJ72" s="41">
        <f t="shared" si="398"/>
        <v>0</v>
      </c>
      <c r="AK72" s="41">
        <f t="shared" ref="AK72:AK73" si="419">IFERROR(IF(OR(AI72="",AJ72=""),"",AI72-AJ72),"")</f>
        <v>0</v>
      </c>
      <c r="AL72" s="41" t="str">
        <f>IF(AL21="","",MAX(0,AP72+AP73-AP26))</f>
        <v/>
      </c>
      <c r="AM72" s="41">
        <f t="shared" ref="AM72:AN72" si="399">MAX(0,AQ72+AQ73-AQ26)</f>
        <v>0</v>
      </c>
      <c r="AN72" s="41">
        <f t="shared" si="399"/>
        <v>0</v>
      </c>
      <c r="AO72" s="41">
        <f t="shared" ref="AO72:AO73" si="421">IFERROR(IF(OR(AM72="",AN72=""),"",AM72-AN72),"")</f>
        <v>0</v>
      </c>
      <c r="AP72" s="41" t="str">
        <f>IF(AP21="","",MAX(0,AT72+AT73-AT26))</f>
        <v/>
      </c>
      <c r="AQ72" s="41">
        <f t="shared" ref="AQ72:AR72" si="400">MAX(0,AU72+AU73-AU26)</f>
        <v>0</v>
      </c>
      <c r="AR72" s="41">
        <f t="shared" si="400"/>
        <v>0</v>
      </c>
      <c r="AS72" s="41">
        <f t="shared" ref="AS72:AS73" si="423">IFERROR(IF(OR(AQ72="",AR72=""),"",AQ72-AR72),"")</f>
        <v>0</v>
      </c>
      <c r="AT72" s="41" t="str">
        <f>IF(AT21="","",MAX(0,AX72+AX73-AX26))</f>
        <v/>
      </c>
      <c r="AU72" s="41">
        <f t="shared" ref="AU72:AV72" si="401">MAX(0,AY72+AY73-AY26)</f>
        <v>0</v>
      </c>
      <c r="AV72" s="41">
        <f t="shared" si="401"/>
        <v>0</v>
      </c>
      <c r="AW72" s="41">
        <f t="shared" ref="AW72:AW73" si="425">IFERROR(IF(OR(AU72="",AV72=""),"",AU72-AV72),"")</f>
        <v>0</v>
      </c>
      <c r="AX72" s="41">
        <f t="shared" ref="AX72:AZ72" si="402">$AX$79*AX13</f>
        <v>0</v>
      </c>
      <c r="AY72" s="41">
        <f t="shared" si="402"/>
        <v>0</v>
      </c>
      <c r="AZ72" s="41">
        <f t="shared" si="402"/>
        <v>0</v>
      </c>
      <c r="BA72" s="41">
        <f t="shared" ref="BA72:BA73" si="427">IFERROR(IF(OR(AY72="",AZ72=""),"",AY72-AZ72),"")</f>
        <v>0</v>
      </c>
    </row>
    <row r="73" ht="18.0" hidden="1" customHeight="1">
      <c r="A73" s="2" t="s">
        <v>76</v>
      </c>
      <c r="B73" s="41"/>
      <c r="C73" s="41"/>
      <c r="D73" s="41"/>
      <c r="E73" s="41" t="str">
        <f t="shared" si="403"/>
        <v/>
      </c>
      <c r="F73" s="41">
        <f t="shared" ref="F73:H73" si="404">ROUND(SUM(IF(AND(AX$12&lt;&gt;"",AX$14&lt;&gt;""),IF(EOMONTH($AX$3+INT((DAY(EOMONTH($AX$3,0))-1)/2)+AX$14,0)=EOMONTH($F$3,0),AX$12*AX$13,0),0),IF(AND(AT$12&lt;&gt;"",AT$14&lt;&gt;""),IF(EOMONTH($AT$3+INT((DAY(EOMONTH($AT$3,0))-1)/2)+AT$14,0)=EOMONTH($F$3,0),AT$12*AT$13,0),0),IF(AND(AP$12&lt;&gt;"",AP$14&lt;&gt;""),IF(EOMONTH($AP$3+INT((DAY(EOMONTH($AP$3,0))-1)/2)+AP$14,0)=EOMONTH($F$3,0),AP$12*AP$13,0),0),IF(AND(AL$12&lt;&gt;"",AL$14&lt;&gt;""),IF(EOMONTH($AL$3+INT((DAY(EOMONTH($AL$3,0))-1)/2)+AL$14,0)=EOMONTH($F$3,0),AL$12*AL$13,0),0),IF(AND(AH$12&lt;&gt;"",AH$14&lt;&gt;""),IF(EOMONTH($AH$3+INT((DAY(EOMONTH($AH$3,0))-1)/2)+AH$14,0)=EOMONTH($F$3,0),AH$12*AH$13,0),0),IF(AND(AD$12&lt;&gt;"",AD$14&lt;&gt;""),IF(EOMONTH($AD$3+INT((DAY(EOMONTH($AD$3,0))-1)/2)+AD$14,0)=EOMONTH($F$3,0),AD$12*AD$13,0),0),IF(AND(Z$12&lt;&gt;"",Z$14&lt;&gt;""),IF(EOMONTH($Z$3+INT((DAY(EOMONTH($Z$3,0))-1)/2)+Z$14,0)=EOMONTH($F$3,0),Z$12*Z$13,0),0),IF(AND(V$12&lt;&gt;"",V$14&lt;&gt;""),IF(EOMONTH($V$3+INT((DAY(EOMONTH($V$3,0))-1)/2)+V$14,0)=EOMONTH($F$3,0),V$12*V$13,0),0),IF(AND(R$12&lt;&gt;"",R$14&lt;&gt;""),IF(EOMONTH($R$3+INT((DAY(EOMONTH($R$3,0))-1)/2)+R$14,0)=EOMONTH($F$3,0),R$12*R$13,0),0),IF(AND(N$12&lt;&gt;"",N$14&lt;&gt;""),IF(EOMONTH($N$3+INT((DAY(EOMONTH($N$3,0))-1)/2)+N$14,0)=EOMONTH($F$3,0),N$12*N$13,0),0),IF(AND(J$12&lt;&gt;"",J$14&lt;&gt;""),IF(EOMONTH($J$3+INT((DAY(EOMONTH($J$3,0))-1)/2)+J$14,0)=EOMONTH($F$3,0),J$12*J$13,0),0),IF(AND(F$12&lt;&gt;"",F$14&lt;&gt;""),IF(EOMONTH($F$3+INT((DAY(EOMONTH($F$3,0))-1)/2)+F$14,0)=EOMONTH($F$3,0),F$12*F$13,0),0),IF($AX$75="",0,IF(EOMONTH($AX$75+AX$14,0)=EOMONTH($F$3,0),$AX$77*AX$13,0))),0)</f>
        <v>0</v>
      </c>
      <c r="G73" s="41">
        <f t="shared" si="404"/>
        <v>0</v>
      </c>
      <c r="H73" s="41">
        <f t="shared" si="404"/>
        <v>0</v>
      </c>
      <c r="I73" s="41">
        <f t="shared" si="405"/>
        <v>0</v>
      </c>
      <c r="J73" s="41">
        <f t="shared" ref="J73:L73" si="406">ROUND(SUM(IF(AND(AX$12&lt;&gt;"",AX$14&lt;&gt;""),IF(EOMONTH($AX$3+INT((DAY(EOMONTH($AX$3,0))-1)/2)+AX$14,0)=EOMONTH($J$3,0),AX$12*AX$13,0),0),IF(AND(AT$12&lt;&gt;"",AT$14&lt;&gt;""),IF(EOMONTH($AT$3+INT((DAY(EOMONTH($AT$3,0))-1)/2)+AT$14,0)=EOMONTH($J$3,0),AT$12*AT$13,0),0),IF(AND(AP$12&lt;&gt;"",AP$14&lt;&gt;""),IF(EOMONTH($AP$3+INT((DAY(EOMONTH($AP$3,0))-1)/2)+AP$14,0)=EOMONTH($J$3,0),AP$12*AP$13,0),0),IF(AND(AL$12&lt;&gt;"",AL$14&lt;&gt;""),IF(EOMONTH($AL$3+INT((DAY(EOMONTH($AL$3,0))-1)/2)+AL$14,0)=EOMONTH($J$3,0),AL$12*AL$13,0),0),IF(AND(AH$12&lt;&gt;"",AH$14&lt;&gt;""),IF(EOMONTH($AH$3+INT((DAY(EOMONTH($AH$3,0))-1)/2)+AH$14,0)=EOMONTH($J$3,0),AH$12*AH$13,0),0),IF(AND(AD$12&lt;&gt;"",AD$14&lt;&gt;""),IF(EOMONTH($AD$3+INT((DAY(EOMONTH($AD$3,0))-1)/2)+AD$14,0)=EOMONTH($J$3,0),AD$12*AD$13,0),0),IF(AND(Z$12&lt;&gt;"",Z$14&lt;&gt;""),IF(EOMONTH($Z$3+INT((DAY(EOMONTH($Z$3,0))-1)/2)+Z$14,0)=EOMONTH($J$3,0),Z$12*Z$13,0),0),IF(AND(V$12&lt;&gt;"",V$14&lt;&gt;""),IF(EOMONTH($V$3+INT((DAY(EOMONTH($V$3,0))-1)/2)+V$14,0)=EOMONTH($J$3,0),V$12*V$13,0),0),IF(AND(R$12&lt;&gt;"",R$14&lt;&gt;""),IF(EOMONTH($R$3+INT((DAY(EOMONTH($R$3,0))-1)/2)+R$14,0)=EOMONTH($J$3,0),R$12*R$13,0),0),IF(AND(N$12&lt;&gt;"",N$14&lt;&gt;""),IF(EOMONTH($N$3+INT((DAY(EOMONTH($N$3,0))-1)/2)+N$14,0)=EOMONTH($J$3,0),N$12*N$13,0),0),IF(AND(J$12&lt;&gt;"",J$14&lt;&gt;""),IF(EOMONTH($J$3+INT((DAY(EOMONTH($J$3,0))-1)/2)+J$14,0)=EOMONTH($J$3,0),J$12*J$13,0),0),IF(AND(F$12&lt;&gt;"",F$14&lt;&gt;""),IF(EOMONTH($F$3+INT((DAY(EOMONTH($F$3,0))-1)/2)+F$14,0)=EOMONTH($J$3,0),F$12*F$13,0),0),IF($AX$75="",0,IF(EOMONTH($AX$75+AX$14,0)=EOMONTH($J$3,0),$AX$77*AX$13,0))),0)</f>
        <v>0</v>
      </c>
      <c r="K73" s="41">
        <f t="shared" si="406"/>
        <v>0</v>
      </c>
      <c r="L73" s="41">
        <f t="shared" si="406"/>
        <v>0</v>
      </c>
      <c r="M73" s="41">
        <f t="shared" si="407"/>
        <v>0</v>
      </c>
      <c r="N73" s="41">
        <f t="shared" ref="N73:P73" si="408">ROUND(SUM(IF(AND(AX$12&lt;&gt;"",AX$14&lt;&gt;""),IF(EOMONTH($AX$3+INT((DAY(EOMONTH($AX$3,0))-1)/2)+AX$14,0)=EOMONTH($N$3,0),AX$12*AX$13,0),0),IF(AND(AT$12&lt;&gt;"",AT$14&lt;&gt;""),IF(EOMONTH($AT$3+INT((DAY(EOMONTH($AT$3,0))-1)/2)+AT$14,0)=EOMONTH($N$3,0),AT$12*AT$13,0),0),IF(AND(AP$12&lt;&gt;"",AP$14&lt;&gt;""),IF(EOMONTH($AP$3+INT((DAY(EOMONTH($AP$3,0))-1)/2)+AP$14,0)=EOMONTH($N$3,0),AP$12*AP$13,0),0),IF(AND(AL$12&lt;&gt;"",AL$14&lt;&gt;""),IF(EOMONTH($AL$3+INT((DAY(EOMONTH($AL$3,0))-1)/2)+AL$14,0)=EOMONTH($N$3,0),AL$12*AL$13,0),0),IF(AND(AH$12&lt;&gt;"",AH$14&lt;&gt;""),IF(EOMONTH($AH$3+INT((DAY(EOMONTH($AH$3,0))-1)/2)+AH$14,0)=EOMONTH($N$3,0),AH$12*AH$13,0),0),IF(AND(AD$12&lt;&gt;"",AD$14&lt;&gt;""),IF(EOMONTH($AD$3+INT((DAY(EOMONTH($AD$3,0))-1)/2)+AD$14,0)=EOMONTH($N$3,0),AD$12*AD$13,0),0),IF(AND(Z$12&lt;&gt;"",Z$14&lt;&gt;""),IF(EOMONTH($Z$3+INT((DAY(EOMONTH($Z$3,0))-1)/2)+Z$14,0)=EOMONTH($N$3,0),Z$12*Z$13,0),0),IF(AND(V$12&lt;&gt;"",V$14&lt;&gt;""),IF(EOMONTH($V$3+INT((DAY(EOMONTH($V$3,0))-1)/2)+V$14,0)=EOMONTH($N$3,0),V$12*V$13,0),0),IF(AND(R$12&lt;&gt;"",R$14&lt;&gt;""),IF(EOMONTH($R$3+INT((DAY(EOMONTH($R$3,0))-1)/2)+R$14,0)=EOMONTH($N$3,0),R$12*R$13,0),0),IF(AND(N$12&lt;&gt;"",N$14&lt;&gt;""),IF(EOMONTH($N$3+INT((DAY(EOMONTH($N$3,0))-1)/2)+N$14,0)=EOMONTH($N$3,0),N$12*N$13,0),0),IF(AND(J$12&lt;&gt;"",J$14&lt;&gt;""),IF(EOMONTH($J$3+INT((DAY(EOMONTH($J$3,0))-1)/2)+J$14,0)=EOMONTH($N$3,0),J$12*J$13,0),0),IF(AND(F$12&lt;&gt;"",F$14&lt;&gt;""),IF(EOMONTH($F$3+INT((DAY(EOMONTH($F$3,0))-1)/2)+F$14,0)=EOMONTH($N$3,0),F$12*F$13,0),0),IF($AX$75="",0,IF(EOMONTH($AX$75+AX$14,0)=EOMONTH($N$3,0),$AX$77*AX$13,0))),0)</f>
        <v>0</v>
      </c>
      <c r="O73" s="41">
        <f t="shared" si="408"/>
        <v>0</v>
      </c>
      <c r="P73" s="41">
        <f t="shared" si="408"/>
        <v>0</v>
      </c>
      <c r="Q73" s="41">
        <f t="shared" si="409"/>
        <v>0</v>
      </c>
      <c r="R73" s="41">
        <f t="shared" ref="R73:T73" si="410">ROUND(SUM(IF(AND(AX$12&lt;&gt;"",AX$14&lt;&gt;""),IF(EOMONTH($AX$3+INT((DAY(EOMONTH($AX$3,0))-1)/2)+AX$14,0)=EOMONTH($R$3,0),AX$12*AX$13,0),0),IF(AND(AT$12&lt;&gt;"",AT$14&lt;&gt;""),IF(EOMONTH($AT$3+INT((DAY(EOMONTH($AT$3,0))-1)/2)+AT$14,0)=EOMONTH($R$3,0),AT$12*AT$13,0),0),IF(AND(AP$12&lt;&gt;"",AP$14&lt;&gt;""),IF(EOMONTH($AP$3+INT((DAY(EOMONTH($AP$3,0))-1)/2)+AP$14,0)=EOMONTH($R$3,0),AP$12*AP$13,0),0),IF(AND(AL$12&lt;&gt;"",AL$14&lt;&gt;""),IF(EOMONTH($AL$3+INT((DAY(EOMONTH($AL$3,0))-1)/2)+AL$14,0)=EOMONTH($R$3,0),AL$12*AL$13,0),0),IF(AND(AH$12&lt;&gt;"",AH$14&lt;&gt;""),IF(EOMONTH($AH$3+INT((DAY(EOMONTH($AH$3,0))-1)/2)+AH$14,0)=EOMONTH($R$3,0),AH$12*AH$13,0),0),IF(AND(AD$12&lt;&gt;"",AD$14&lt;&gt;""),IF(EOMONTH($AD$3+INT((DAY(EOMONTH($AD$3,0))-1)/2)+AD$14,0)=EOMONTH($R$3,0),AD$12*AD$13,0),0),IF(AND(Z$12&lt;&gt;"",Z$14&lt;&gt;""),IF(EOMONTH($Z$3+INT((DAY(EOMONTH($Z$3,0))-1)/2)+Z$14,0)=EOMONTH($R$3,0),Z$12*Z$13,0),0),IF(AND(V$12&lt;&gt;"",V$14&lt;&gt;""),IF(EOMONTH($V$3+INT((DAY(EOMONTH($V$3,0))-1)/2)+V$14,0)=EOMONTH($R$3,0),V$12*V$13,0),0),IF(AND(R$12&lt;&gt;"",R$14&lt;&gt;""),IF(EOMONTH($R$3+INT((DAY(EOMONTH($R$3,0))-1)/2)+R$14,0)=EOMONTH($R$3,0),R$12*R$13,0),0),IF(AND(N$12&lt;&gt;"",N$14&lt;&gt;""),IF(EOMONTH($N$3+INT((DAY(EOMONTH($N$3,0))-1)/2)+N$14,0)=EOMONTH($R$3,0),N$12*N$13,0),0),IF(AND(J$12&lt;&gt;"",J$14&lt;&gt;""),IF(EOMONTH($J$3+INT((DAY(EOMONTH($J$3,0))-1)/2)+J$14,0)=EOMONTH($R$3,0),J$12*J$13,0),0),IF(AND(F$12&lt;&gt;"",F$14&lt;&gt;""),IF(EOMONTH($F$3+INT((DAY(EOMONTH($F$3,0))-1)/2)+F$14,0)=EOMONTH($R$3,0),F$12*F$13,0),0),IF($AX$75="",0,IF(EOMONTH($AX$75+AX$14,0)=EOMONTH($R$3,0),$AX$77*AX$13,0))),0)</f>
        <v>0</v>
      </c>
      <c r="S73" s="41">
        <f t="shared" si="410"/>
        <v>0</v>
      </c>
      <c r="T73" s="41">
        <f t="shared" si="410"/>
        <v>0</v>
      </c>
      <c r="U73" s="41">
        <f t="shared" si="411"/>
        <v>0</v>
      </c>
      <c r="V73" s="41">
        <f t="shared" ref="V73:X73" si="412">ROUND(SUM(IF(AND(AX$12&lt;&gt;"",AX$14&lt;&gt;""),IF(EOMONTH($AX$3+INT((DAY(EOMONTH($AX$3,0))-1)/2)+AX$14,0)=EOMONTH($V$3,0),AX$12*AX$13,0),0),IF(AND(AT$12&lt;&gt;"",AT$14&lt;&gt;""),IF(EOMONTH($AT$3+INT((DAY(EOMONTH($AT$3,0))-1)/2)+AT$14,0)=EOMONTH($V$3,0),AT$12*AT$13,0),0),IF(AND(AP$12&lt;&gt;"",AP$14&lt;&gt;""),IF(EOMONTH($AP$3+INT((DAY(EOMONTH($AP$3,0))-1)/2)+AP$14,0)=EOMONTH($V$3,0),AP$12*AP$13,0),0),IF(AND(AL$12&lt;&gt;"",AL$14&lt;&gt;""),IF(EOMONTH($AL$3+INT((DAY(EOMONTH($AL$3,0))-1)/2)+AL$14,0)=EOMONTH($V$3,0),AL$12*AL$13,0),0),IF(AND(AH$12&lt;&gt;"",AH$14&lt;&gt;""),IF(EOMONTH($AH$3+INT((DAY(EOMONTH($AH$3,0))-1)/2)+AH$14,0)=EOMONTH($V$3,0),AH$12*AH$13,0),0),IF(AND(AD$12&lt;&gt;"",AD$14&lt;&gt;""),IF(EOMONTH($AD$3+INT((DAY(EOMONTH($AD$3,0))-1)/2)+AD$14,0)=EOMONTH($V$3,0),AD$12*AD$13,0),0),IF(AND(Z$12&lt;&gt;"",Z$14&lt;&gt;""),IF(EOMONTH($Z$3+INT((DAY(EOMONTH($Z$3,0))-1)/2)+Z$14,0)=EOMONTH($V$3,0),Z$12*Z$13,0),0),IF(AND(V$12&lt;&gt;"",V$14&lt;&gt;""),IF(EOMONTH($V$3+INT((DAY(EOMONTH($V$3,0))-1)/2)+V$14,0)=EOMONTH($V$3,0),V$12*V$13,0),0),IF(AND(R$12&lt;&gt;"",R$14&lt;&gt;""),IF(EOMONTH($R$3+INT((DAY(EOMONTH($R$3,0))-1)/2)+R$14,0)=EOMONTH($V$3,0),R$12*R$13,0),0),IF(AND(N$12&lt;&gt;"",N$14&lt;&gt;""),IF(EOMONTH($N$3+INT((DAY(EOMONTH($N$3,0))-1)/2)+N$14,0)=EOMONTH($V$3,0),N$12*N$13,0),0),IF(AND(J$12&lt;&gt;"",J$14&lt;&gt;""),IF(EOMONTH($J$3+INT((DAY(EOMONTH($J$3,0))-1)/2)+J$14,0)=EOMONTH($V$3,0),J$12*J$13,0),0),IF(AND(F$12&lt;&gt;"",F$14&lt;&gt;""),IF(EOMONTH($F$3+INT((DAY(EOMONTH($F$3,0))-1)/2)+F$14,0)=EOMONTH($V$3,0),F$12*F$13,0),0),IF($AX$75="",0,IF(EOMONTH($AX$75+AX$14,0)=EOMONTH($V$3,0),$AX$77*AX$13,0))),0)</f>
        <v>0</v>
      </c>
      <c r="W73" s="41">
        <f t="shared" si="412"/>
        <v>0</v>
      </c>
      <c r="X73" s="41">
        <f t="shared" si="412"/>
        <v>0</v>
      </c>
      <c r="Y73" s="41">
        <f t="shared" si="413"/>
        <v>0</v>
      </c>
      <c r="Z73" s="41">
        <f t="shared" ref="Z73:AB73" si="414">ROUND(SUM(IF(AND(AX$12&lt;&gt;"",AX$14&lt;&gt;""),IF(EOMONTH($AX$3+INT((DAY(EOMONTH($AX$3,0))-1)/2)+AX$14,0)=EOMONTH($Z$3,0),AX$12*AX$13,0),0),IF(AND(AT$12&lt;&gt;"",AT$14&lt;&gt;""),IF(EOMONTH($AT$3+INT((DAY(EOMONTH($AT$3,0))-1)/2)+AT$14,0)=EOMONTH($Z$3,0),AT$12*AT$13,0),0),IF(AND(AP$12&lt;&gt;"",AP$14&lt;&gt;""),IF(EOMONTH($AP$3+INT((DAY(EOMONTH($AP$3,0))-1)/2)+AP$14,0)=EOMONTH($Z$3,0),AP$12*AP$13,0),0),IF(AND(AL$12&lt;&gt;"",AL$14&lt;&gt;""),IF(EOMONTH($AL$3+INT((DAY(EOMONTH($AL$3,0))-1)/2)+AL$14,0)=EOMONTH($Z$3,0),AL$12*AL$13,0),0),IF(AND(AH$12&lt;&gt;"",AH$14&lt;&gt;""),IF(EOMONTH($AH$3+INT((DAY(EOMONTH($AH$3,0))-1)/2)+AH$14,0)=EOMONTH($Z$3,0),AH$12*AH$13,0),0),IF(AND(AD$12&lt;&gt;"",AD$14&lt;&gt;""),IF(EOMONTH($AD$3+INT((DAY(EOMONTH($AD$3,0))-1)/2)+AD$14,0)=EOMONTH($Z$3,0),AD$12*AD$13,0),0),IF(AND(Z$12&lt;&gt;"",Z$14&lt;&gt;""),IF(EOMONTH($Z$3+INT((DAY(EOMONTH($Z$3,0))-1)/2)+Z$14,0)=EOMONTH($Z$3,0),Z$12*Z$13,0),0),IF(AND(V$12&lt;&gt;"",V$14&lt;&gt;""),IF(EOMONTH($V$3+INT((DAY(EOMONTH($V$3,0))-1)/2)+V$14,0)=EOMONTH($Z$3,0),V$12*V$13,0),0),IF(AND(R$12&lt;&gt;"",R$14&lt;&gt;""),IF(EOMONTH($R$3+INT((DAY(EOMONTH($R$3,0))-1)/2)+R$14,0)=EOMONTH($Z$3,0),R$12*R$13,0),0),IF(AND(N$12&lt;&gt;"",N$14&lt;&gt;""),IF(EOMONTH($N$3+INT((DAY(EOMONTH($N$3,0))-1)/2)+N$14,0)=EOMONTH($Z$3,0),N$12*N$13,0),0),IF(AND(J$12&lt;&gt;"",J$14&lt;&gt;""),IF(EOMONTH($J$3+INT((DAY(EOMONTH($J$3,0))-1)/2)+J$14,0)=EOMONTH($Z$3,0),J$12*J$13,0),0),IF(AND(F$12&lt;&gt;"",F$14&lt;&gt;""),IF(EOMONTH($F$3+INT((DAY(EOMONTH($F$3,0))-1)/2)+F$14,0)=EOMONTH($Z$3,0),F$12*F$13,0),0),IF($AX$75="",0,IF(EOMONTH($AX$75+AX$14,0)=EOMONTH($Z$3,0),$AX$77*AX$13,0))),0)</f>
        <v>0</v>
      </c>
      <c r="AA73" s="41">
        <f t="shared" si="414"/>
        <v>0</v>
      </c>
      <c r="AB73" s="41">
        <f t="shared" si="414"/>
        <v>0</v>
      </c>
      <c r="AC73" s="41">
        <f t="shared" si="415"/>
        <v>0</v>
      </c>
      <c r="AD73" s="41">
        <f t="shared" ref="AD73:AF73" si="416">ROUND(SUM(IF(AND(AX$12&lt;&gt;"",AX$14&lt;&gt;""),IF(EOMONTH($AX$3+INT((DAY(EOMONTH($AX$3,0))-1)/2)+AX$14,0)=EOMONTH($AD$3,0),AX$12*AX$13,0),0),IF(AND(AT$12&lt;&gt;"",AT$14&lt;&gt;""),IF(EOMONTH($AT$3+INT((DAY(EOMONTH($AT$3,0))-1)/2)+AT$14,0)=EOMONTH($AD$3,0),AT$12*AT$13,0),0),IF(AND(AP$12&lt;&gt;"",AP$14&lt;&gt;""),IF(EOMONTH($AP$3+INT((DAY(EOMONTH($AP$3,0))-1)/2)+AP$14,0)=EOMONTH($AD$3,0),AP$12*AP$13,0),0),IF(AND(AL$12&lt;&gt;"",AL$14&lt;&gt;""),IF(EOMONTH($AL$3+INT((DAY(EOMONTH($AL$3,0))-1)/2)+AL$14,0)=EOMONTH($AD$3,0),AL$12*AL$13,0),0),IF(AND(AH$12&lt;&gt;"",AH$14&lt;&gt;""),IF(EOMONTH($AH$3+INT((DAY(EOMONTH($AH$3,0))-1)/2)+AH$14,0)=EOMONTH($AD$3,0),AH$12*AH$13,0),0),IF(AND(AD$12&lt;&gt;"",AD$14&lt;&gt;""),IF(EOMONTH($AD$3+INT((DAY(EOMONTH($AD$3,0))-1)/2)+AD$14,0)=EOMONTH($AD$3,0),AD$12*AD$13,0),0),IF(AND(Z$12&lt;&gt;"",Z$14&lt;&gt;""),IF(EOMONTH($Z$3+INT((DAY(EOMONTH($Z$3,0))-1)/2)+Z$14,0)=EOMONTH($AD$3,0),Z$12*Z$13,0),0),IF(AND(V$12&lt;&gt;"",V$14&lt;&gt;""),IF(EOMONTH($V$3+INT((DAY(EOMONTH($V$3,0))-1)/2)+V$14,0)=EOMONTH($AD$3,0),V$12*V$13,0),0),IF(AND(R$12&lt;&gt;"",R$14&lt;&gt;""),IF(EOMONTH($R$3+INT((DAY(EOMONTH($R$3,0))-1)/2)+R$14,0)=EOMONTH($AD$3,0),R$12*R$13,0),0),IF(AND(N$12&lt;&gt;"",N$14&lt;&gt;""),IF(EOMONTH($N$3+INT((DAY(EOMONTH($N$3,0))-1)/2)+N$14,0)=EOMONTH($AD$3,0),N$12*N$13,0),0),IF(AND(J$12&lt;&gt;"",J$14&lt;&gt;""),IF(EOMONTH($J$3+INT((DAY(EOMONTH($J$3,0))-1)/2)+J$14,0)=EOMONTH($AD$3,0),J$12*J$13,0),0),IF(AND(F$12&lt;&gt;"",F$14&lt;&gt;""),IF(EOMONTH($F$3+INT((DAY(EOMONTH($F$3,0))-1)/2)+F$14,0)=EOMONTH($AD$3,0),F$12*F$13,0),0),IF($AX$75="",0,IF(EOMONTH($AX$75+AX$14,0)=EOMONTH($AD$3,0),$AX$77*AX$13,0))),0)</f>
        <v>0</v>
      </c>
      <c r="AE73" s="41">
        <f t="shared" si="416"/>
        <v>0</v>
      </c>
      <c r="AF73" s="41">
        <f t="shared" si="416"/>
        <v>0</v>
      </c>
      <c r="AG73" s="41">
        <f t="shared" si="417"/>
        <v>0</v>
      </c>
      <c r="AH73" s="41">
        <f t="shared" ref="AH73:AJ73" si="418">ROUND(SUM(IF(AND(AX$12&lt;&gt;"",AX$14&lt;&gt;""),IF(EOMONTH($AX$3+INT((DAY(EOMONTH($AX$3,0))-1)/2)+AX$14,0)=EOMONTH($AH$3,0),AX$12*AX$13,0),0),IF(AND(AT$12&lt;&gt;"",AT$14&lt;&gt;""),IF(EOMONTH($AT$3+INT((DAY(EOMONTH($AT$3,0))-1)/2)+AT$14,0)=EOMONTH($AH$3,0),AT$12*AT$13,0),0),IF(AND(AP$12&lt;&gt;"",AP$14&lt;&gt;""),IF(EOMONTH($AP$3+INT((DAY(EOMONTH($AP$3,0))-1)/2)+AP$14,0)=EOMONTH($AH$3,0),AP$12*AP$13,0),0),IF(AND(AL$12&lt;&gt;"",AL$14&lt;&gt;""),IF(EOMONTH($AL$3+INT((DAY(EOMONTH($AL$3,0))-1)/2)+AL$14,0)=EOMONTH($AH$3,0),AL$12*AL$13,0),0),IF(AND(AH$12&lt;&gt;"",AH$14&lt;&gt;""),IF(EOMONTH($AH$3+INT((DAY(EOMONTH($AH$3,0))-1)/2)+AH$14,0)=EOMONTH($AH$3,0),AH$12*AH$13,0),0),IF(AND(AD$12&lt;&gt;"",AD$14&lt;&gt;""),IF(EOMONTH($AD$3+INT((DAY(EOMONTH($AD$3,0))-1)/2)+AD$14,0)=EOMONTH($AH$3,0),AD$12*AD$13,0),0),IF(AND(Z$12&lt;&gt;"",Z$14&lt;&gt;""),IF(EOMONTH($Z$3+INT((DAY(EOMONTH($Z$3,0))-1)/2)+Z$14,0)=EOMONTH($AH$3,0),Z$12*Z$13,0),0),IF(AND(V$12&lt;&gt;"",V$14&lt;&gt;""),IF(EOMONTH($V$3+INT((DAY(EOMONTH($V$3,0))-1)/2)+V$14,0)=EOMONTH($AH$3,0),V$12*V$13,0),0),IF(AND(R$12&lt;&gt;"",R$14&lt;&gt;""),IF(EOMONTH($R$3+INT((DAY(EOMONTH($R$3,0))-1)/2)+R$14,0)=EOMONTH($AH$3,0),R$12*R$13,0),0),IF(AND(N$12&lt;&gt;"",N$14&lt;&gt;""),IF(EOMONTH($N$3+INT((DAY(EOMONTH($N$3,0))-1)/2)+N$14,0)=EOMONTH($AH$3,0),N$12*N$13,0),0),IF(AND(J$12&lt;&gt;"",J$14&lt;&gt;""),IF(EOMONTH($J$3+INT((DAY(EOMONTH($J$3,0))-1)/2)+J$14,0)=EOMONTH($AH$3,0),J$12*J$13,0),0),IF(AND(F$12&lt;&gt;"",F$14&lt;&gt;""),IF(EOMONTH($F$3+INT((DAY(EOMONTH($F$3,0))-1)/2)+F$14,0)=EOMONTH($AH$3,0),F$12*F$13,0),0),IF($AX$75="",0,IF(EOMONTH($AX$75+AX$14,0)=EOMONTH($AH$3,0),$AX$77*AX$13,0))),0)</f>
        <v>0</v>
      </c>
      <c r="AI73" s="41">
        <f t="shared" si="418"/>
        <v>0</v>
      </c>
      <c r="AJ73" s="41">
        <f t="shared" si="418"/>
        <v>0</v>
      </c>
      <c r="AK73" s="41">
        <f t="shared" si="419"/>
        <v>0</v>
      </c>
      <c r="AL73" s="41">
        <f t="shared" ref="AL73:AN73" si="420">ROUND(SUM(IF(AND(AX$12&lt;&gt;"",AX$14&lt;&gt;""),IF(EOMONTH($AX$3+INT((DAY(EOMONTH($AX$3,0))-1)/2)+AX$14,0)=EOMONTH($AL$3,0),AX$12*AX$13,0),0),IF(AND(AT$12&lt;&gt;"",AT$14&lt;&gt;""),IF(EOMONTH($AT$3+INT((DAY(EOMONTH($AT$3,0))-1)/2)+AT$14,0)=EOMONTH($AL$3,0),AT$12*AT$13,0),0),IF(AND(AP$12&lt;&gt;"",AP$14&lt;&gt;""),IF(EOMONTH($AP$3+INT((DAY(EOMONTH($AP$3,0))-1)/2)+AP$14,0)=EOMONTH($AL$3,0),AP$12*AP$13,0),0),IF(AND(AL$12&lt;&gt;"",AL$14&lt;&gt;""),IF(EOMONTH($AL$3+INT((DAY(EOMONTH($AL$3,0))-1)/2)+AL$14,0)=EOMONTH($AL$3,0),AL$12*AL$13,0),0),IF(AND(AH$12&lt;&gt;"",AH$14&lt;&gt;""),IF(EOMONTH($AH$3+INT((DAY(EOMONTH($AH$3,0))-1)/2)+AH$14,0)=EOMONTH($AL$3,0),AH$12*AH$13,0),0),IF(AND(AD$12&lt;&gt;"",AD$14&lt;&gt;""),IF(EOMONTH($AD$3+INT((DAY(EOMONTH($AD$3,0))-1)/2)+AD$14,0)=EOMONTH($AL$3,0),AD$12*AD$13,0),0),IF(AND(Z$12&lt;&gt;"",Z$14&lt;&gt;""),IF(EOMONTH($Z$3+INT((DAY(EOMONTH($Z$3,0))-1)/2)+Z$14,0)=EOMONTH($AL$3,0),Z$12*Z$13,0),0),IF(AND(V$12&lt;&gt;"",V$14&lt;&gt;""),IF(EOMONTH($V$3+INT((DAY(EOMONTH($V$3,0))-1)/2)+V$14,0)=EOMONTH($AL$3,0),V$12*V$13,0),0),IF(AND(R$12&lt;&gt;"",R$14&lt;&gt;""),IF(EOMONTH($R$3+INT((DAY(EOMONTH($R$3,0))-1)/2)+R$14,0)=EOMONTH($AL$3,0),R$12*R$13,0),0),IF(AND(N$12&lt;&gt;"",N$14&lt;&gt;""),IF(EOMONTH($N$3+INT((DAY(EOMONTH($N$3,0))-1)/2)+N$14,0)=EOMONTH($AL$3,0),N$12*N$13,0),0),IF(AND(J$12&lt;&gt;"",J$14&lt;&gt;""),IF(EOMONTH($J$3+INT((DAY(EOMONTH($J$3,0))-1)/2)+J$14,0)=EOMONTH($AL$3,0),J$12*J$13,0),0),IF(AND(F$12&lt;&gt;"",F$14&lt;&gt;""),IF(EOMONTH($F$3+INT((DAY(EOMONTH($F$3,0))-1)/2)+F$14,0)=EOMONTH($AL$3,0),F$12*F$13,0),0),IF($AX$75="",0,IF(EOMONTH($AX$75+AX$14,0)=EOMONTH($AL$3,0),$AX$77*AX$13,0))),0)</f>
        <v>0</v>
      </c>
      <c r="AM73" s="41">
        <f t="shared" si="420"/>
        <v>0</v>
      </c>
      <c r="AN73" s="41">
        <f t="shared" si="420"/>
        <v>0</v>
      </c>
      <c r="AO73" s="41">
        <f t="shared" si="421"/>
        <v>0</v>
      </c>
      <c r="AP73" s="41">
        <f t="shared" ref="AP73:AR73" si="422">ROUND(SUM(IF(AND(AX$12&lt;&gt;"",AX$14&lt;&gt;""),IF(EOMONTH($AX$3+INT((DAY(EOMONTH($AX$3,0))-1)/2)+AX$14,0)=EOMONTH($AP$3,0),AX$12*AX$13,0),0),IF(AND(AT$12&lt;&gt;"",AT$14&lt;&gt;""),IF(EOMONTH($AT$3+INT((DAY(EOMONTH($AT$3,0))-1)/2)+AT$14,0)=EOMONTH($AP$3,0),AT$12*AT$13,0),0),IF(AND(AP$12&lt;&gt;"",AP$14&lt;&gt;""),IF(EOMONTH($AP$3+INT((DAY(EOMONTH($AP$3,0))-1)/2)+AP$14,0)=EOMONTH($AP$3,0),AP$12*AP$13,0),0),IF(AND(AL$12&lt;&gt;"",AL$14&lt;&gt;""),IF(EOMONTH($AL$3+INT((DAY(EOMONTH($AL$3,0))-1)/2)+AL$14,0)=EOMONTH($AP$3,0),AL$12*AL$13,0),0),IF(AND(AH$12&lt;&gt;"",AH$14&lt;&gt;""),IF(EOMONTH($AH$3+INT((DAY(EOMONTH($AH$3,0))-1)/2)+AH$14,0)=EOMONTH($AP$3,0),AH$12*AH$13,0),0),IF(AND(AD$12&lt;&gt;"",AD$14&lt;&gt;""),IF(EOMONTH($AD$3+INT((DAY(EOMONTH($AD$3,0))-1)/2)+AD$14,0)=EOMONTH($AP$3,0),AD$12*AD$13,0),0),IF(AND(Z$12&lt;&gt;"",Z$14&lt;&gt;""),IF(EOMONTH($Z$3+INT((DAY(EOMONTH($Z$3,0))-1)/2)+Z$14,0)=EOMONTH($AP$3,0),Z$12*Z$13,0),0),IF(AND(V$12&lt;&gt;"",V$14&lt;&gt;""),IF(EOMONTH($V$3+INT((DAY(EOMONTH($V$3,0))-1)/2)+V$14,0)=EOMONTH($AP$3,0),V$12*V$13,0),0),IF(AND(R$12&lt;&gt;"",R$14&lt;&gt;""),IF(EOMONTH($R$3+INT((DAY(EOMONTH($R$3,0))-1)/2)+R$14,0)=EOMONTH($AP$3,0),R$12*R$13,0),0),IF(AND(N$12&lt;&gt;"",N$14&lt;&gt;""),IF(EOMONTH($N$3+INT((DAY(EOMONTH($N$3,0))-1)/2)+N$14,0)=EOMONTH($AP$3,0),N$12*N$13,0),0),IF(AND(J$12&lt;&gt;"",J$14&lt;&gt;""),IF(EOMONTH($J$3+INT((DAY(EOMONTH($J$3,0))-1)/2)+J$14,0)=EOMONTH($AP$3,0),J$12*J$13,0),0),IF(AND(F$12&lt;&gt;"",F$14&lt;&gt;""),IF(EOMONTH($F$3+INT((DAY(EOMONTH($F$3,0))-1)/2)+F$14,0)=EOMONTH($AP$3,0),F$12*F$13,0),0),IF($AX$75="",0,IF(EOMONTH($AX$75+AX$14,0)=EOMONTH($AP$3,0),$AX$77*AX$13,0))),0)</f>
        <v>0</v>
      </c>
      <c r="AQ73" s="41">
        <f t="shared" si="422"/>
        <v>0</v>
      </c>
      <c r="AR73" s="41">
        <f t="shared" si="422"/>
        <v>0</v>
      </c>
      <c r="AS73" s="41">
        <f t="shared" si="423"/>
        <v>0</v>
      </c>
      <c r="AT73" s="41">
        <f t="shared" ref="AT73:AV73" si="424">ROUND(SUM(IF(AND(AX$12&lt;&gt;"",AX$14&lt;&gt;""),IF(EOMONTH($AX$3+INT((DAY(EOMONTH($AX$3,0))-1)/2)+AX$14,0)=EOMONTH($AT$3,0),AX$12*AX$13,0),0),IF(AND(AT$12&lt;&gt;"",AT$14&lt;&gt;""),IF(EOMONTH($AT$3+INT((DAY(EOMONTH($AT$3,0))-1)/2)+AT$14,0)=EOMONTH($AT$3,0),AT$12*AT$13,0),0),IF(AND(AP$12&lt;&gt;"",AP$14&lt;&gt;""),IF(EOMONTH($AP$3+INT((DAY(EOMONTH($AP$3,0))-1)/2)+AP$14,0)=EOMONTH($AT$3,0),AP$12*AP$13,0),0),IF(AND(AL$12&lt;&gt;"",AL$14&lt;&gt;""),IF(EOMONTH($AL$3+INT((DAY(EOMONTH($AL$3,0))-1)/2)+AL$14,0)=EOMONTH($AT$3,0),AL$12*AL$13,0),0),IF(AND(AH$12&lt;&gt;"",AH$14&lt;&gt;""),IF(EOMONTH($AH$3+INT((DAY(EOMONTH($AH$3,0))-1)/2)+AH$14,0)=EOMONTH($AT$3,0),AH$12*AH$13,0),0),IF(AND(AD$12&lt;&gt;"",AD$14&lt;&gt;""),IF(EOMONTH($AD$3+INT((DAY(EOMONTH($AD$3,0))-1)/2)+AD$14,0)=EOMONTH($AT$3,0),AD$12*AD$13,0),0),IF(AND(Z$12&lt;&gt;"",Z$14&lt;&gt;""),IF(EOMONTH($Z$3+INT((DAY(EOMONTH($Z$3,0))-1)/2)+Z$14,0)=EOMONTH($AT$3,0),Z$12*Z$13,0),0),IF(AND(V$12&lt;&gt;"",V$14&lt;&gt;""),IF(EOMONTH($V$3+INT((DAY(EOMONTH($V$3,0))-1)/2)+V$14,0)=EOMONTH($AT$3,0),V$12*V$13,0),0),IF(AND(R$12&lt;&gt;"",R$14&lt;&gt;""),IF(EOMONTH($R$3+INT((DAY(EOMONTH($R$3,0))-1)/2)+R$14,0)=EOMONTH($AT$3,0),R$12*R$13,0),0),IF(AND(N$12&lt;&gt;"",N$14&lt;&gt;""),IF(EOMONTH($N$3+INT((DAY(EOMONTH($N$3,0))-1)/2)+N$14,0)=EOMONTH($AT$3,0),N$12*N$13,0),0),IF(AND(J$12&lt;&gt;"",J$14&lt;&gt;""),IF(EOMONTH($J$3+INT((DAY(EOMONTH($J$3,0))-1)/2)+J$14,0)=EOMONTH($AT$3,0),J$12*J$13,0),0),IF(AND(F$12&lt;&gt;"",F$14&lt;&gt;""),IF(EOMONTH($F$3+INT((DAY(EOMONTH($F$3,0))-1)/2)+F$14,0)=EOMONTH($AT$3,0),F$12*F$13,0),0),IF($AX$75="",0,IF(EOMONTH($AX$75+AX$14,0)=EOMONTH($AT$3,0),$AX$77*AX$13,0))),0)</f>
        <v>0</v>
      </c>
      <c r="AU73" s="41">
        <f t="shared" si="424"/>
        <v>0</v>
      </c>
      <c r="AV73" s="41">
        <f t="shared" si="424"/>
        <v>0</v>
      </c>
      <c r="AW73" s="41">
        <f t="shared" si="425"/>
        <v>0</v>
      </c>
      <c r="AX73" s="41">
        <f t="shared" ref="AX73:AZ73" si="426">ROUND(SUM(IF(AND(AX$12&lt;&gt;"",AX$14&lt;&gt;""),IF(EOMONTH($AX$3+INT((DAY(EOMONTH($AX$3,0))-1)/2)+AX$14,0)=EOMONTH($AX$3,0),AX$12*AX$13,0),0),IF(AND(AT$12&lt;&gt;"",AT$14&lt;&gt;""),IF(EOMONTH($AT$3+INT((DAY(EOMONTH($AT$3,0))-1)/2)+AT$14,0)=EOMONTH($AX$3,0),AT$12*AT$13,0),0),IF(AND(AP$12&lt;&gt;"",AP$14&lt;&gt;""),IF(EOMONTH($AP$3+INT((DAY(EOMONTH($AP$3,0))-1)/2)+AP$14,0)=EOMONTH($AX$3,0),AP$12*AP$13,0),0),IF(AND(AL$12&lt;&gt;"",AL$14&lt;&gt;""),IF(EOMONTH($AL$3+INT((DAY(EOMONTH($AL$3,0))-1)/2)+AL$14,0)=EOMONTH($AX$3,0),AL$12*AL$13,0),0),IF(AND(AH$12&lt;&gt;"",AH$14&lt;&gt;""),IF(EOMONTH($AH$3+INT((DAY(EOMONTH($AH$3,0))-1)/2)+AH$14,0)=EOMONTH($AX$3,0),AH$12*AH$13,0),0),IF(AND(AD$12&lt;&gt;"",AD$14&lt;&gt;""),IF(EOMONTH($AD$3+INT((DAY(EOMONTH($AD$3,0))-1)/2)+AD$14,0)=EOMONTH($AX$3,0),AD$12*AD$13,0),0),IF(AND(Z$12&lt;&gt;"",Z$14&lt;&gt;""),IF(EOMONTH($Z$3+INT((DAY(EOMONTH($Z$3,0))-1)/2)+Z$14,0)=EOMONTH($AX$3,0),Z$12*Z$13,0),0),IF(AND(V$12&lt;&gt;"",V$14&lt;&gt;""),IF(EOMONTH($V$3+INT((DAY(EOMONTH($V$3,0))-1)/2)+V$14,0)=EOMONTH($AX$3,0),V$12*V$13,0),0),IF(AND(R$12&lt;&gt;"",R$14&lt;&gt;""),IF(EOMONTH($R$3+INT((DAY(EOMONTH($R$3,0))-1)/2)+R$14,0)=EOMONTH($AX$3,0),R$12*R$13,0),0),IF(AND(N$12&lt;&gt;"",N$14&lt;&gt;""),IF(EOMONTH($N$3+INT((DAY(EOMONTH($N$3,0))-1)/2)+N$14,0)=EOMONTH($AX$3,0),N$12*N$13,0),0),IF(AND(J$12&lt;&gt;"",J$14&lt;&gt;""),IF(EOMONTH($J$3+INT((DAY(EOMONTH($J$3,0))-1)/2)+J$14,0)=EOMONTH($AX$3,0),J$12*J$13,0),0),IF(AND(F$12&lt;&gt;"",F$14&lt;&gt;""),IF(EOMONTH($F$3+INT((DAY(EOMONTH($F$3,0))-1)/2)+F$14,0)=EOMONTH($AX$3,0),F$12*F$13,0),0),IF($AX$75="",0,IF(EOMONTH($AX$75+AX$14,0)=EOMONTH($AX$3,0),$AX$77*AX$13,0))),0)</f>
        <v>0</v>
      </c>
      <c r="AY73" s="41">
        <f t="shared" si="426"/>
        <v>0</v>
      </c>
      <c r="AZ73" s="41">
        <f t="shared" si="426"/>
        <v>0</v>
      </c>
      <c r="BA73" s="41">
        <f t="shared" si="427"/>
        <v>0</v>
      </c>
    </row>
    <row r="74" ht="18.0" customHeight="1">
      <c r="A74" s="12" t="s">
        <v>77</v>
      </c>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row>
    <row r="75" ht="18.0" customHeight="1">
      <c r="A75" s="42" t="s">
        <v>78</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43"/>
    </row>
    <row r="76" ht="18.0" customHeight="1">
      <c r="A76" s="42" t="s">
        <v>79</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44"/>
    </row>
    <row r="77" ht="18.0" customHeight="1">
      <c r="A77" s="42" t="s">
        <v>80</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44"/>
    </row>
    <row r="78" ht="18.0" customHeight="1">
      <c r="A78" s="42" t="s">
        <v>81</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44"/>
    </row>
    <row r="79" ht="18.0" customHeight="1">
      <c r="A79" s="42" t="s">
        <v>22</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44"/>
    </row>
    <row r="80" ht="18.0" customHeight="1">
      <c r="A80" s="12" t="s">
        <v>82</v>
      </c>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row>
    <row r="81" ht="18.0" customHeight="1">
      <c r="A81" s="42" t="s">
        <v>83</v>
      </c>
      <c r="B81" s="40" t="str">
        <f>IF(AND(AND(AY8&gt;=0,AY11&gt;=0,AY14&gt;=0,AY23&gt;=0),AND(AZ8&gt;=0,AZ11&gt;=0,AZ14&gt;=0,AZ23&gt;=0),AND(AU8&gt;=0,AU11&gt;=0,AU14&gt;=0,AU23&gt;=0),AND(AV8&gt;=0,AV11&gt;=0,AV14&gt;=0,AV23&gt;=0),AND(AQ8&gt;=0,AQ11&gt;=0,AQ14&gt;=0,AQ23&gt;=0),AND(AR8&gt;=0,AR11&gt;=0,AR14&gt;=0,AR23&gt;=0),AND(AM8&gt;=0,AM11&gt;=0,AM14&gt;=0,AM23&gt;=0),AND(AN8&gt;=0,AN11&gt;=0,AN14&gt;=0,AN23&gt;=0),AND(AI8&gt;=0,AI11&gt;=0,AI14&gt;=0,AI23&gt;=0),AND(AJ8&gt;=0,AJ11&gt;=0,AJ14&gt;=0,AJ23&gt;=0),AND(AE8&gt;=0,AE11&gt;=0,AE14&gt;=0,AE23&gt;=0),AND(AF8&gt;=0,AF11&gt;=0,AF14&gt;=0,AF23&gt;=0),AND(AA8&gt;=0,AA11&gt;=0,AA14&gt;=0,AA23&gt;=0),AND(AB8&gt;=0,AB11&gt;=0,AB14&gt;=0,AB23&gt;=0),AND(W8&gt;=0,W11&gt;=0,W14&gt;=0,W23&gt;=0),AND(X8&gt;=0,X11&gt;=0,X14&gt;=0,X23&gt;=0),AND(S8&gt;=0,S11&gt;=0,S14&gt;=0,S23&gt;=0),AND(T8&gt;=0,T11&gt;=0,T14&gt;=0,T23&gt;=0),AND(O8&gt;=0,O11&gt;=0,O14&gt;=0,O23&gt;=0),AND(P8&gt;=0,P11&gt;=0,P14&gt;=0,P23&gt;=0),AND(K8&gt;=0,K11&gt;=0,K14&gt;=0,K23&gt;=0),AND(L8&gt;=0,L11&gt;=0,L14&gt;=0,L23&gt;=0),AND(G8&gt;=0,G11&gt;=0,G14&gt;=0,G23&gt;=0),AND(H8&gt;=0,H11&gt;=0,H14&gt;=0,H23&gt;=0)),"OK","CHECK")</f>
        <v>OK</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row>
    <row r="82" ht="18.0" customHeight="1">
      <c r="A82" s="42" t="s">
        <v>84</v>
      </c>
      <c r="B82" s="40" t="str">
        <f>IF(AND(AND(AY7&gt;=0,AY7&lt;=1,AY10&gt;=0,AY10&lt;=1),AND(AZ7&gt;=0,AZ7&lt;=1,AZ10&gt;=0,AZ10&lt;=1),AND(AU7&gt;=0,AU7&lt;=1,AU10&gt;=0,AU10&lt;=1),AND(AV7&gt;=0,AV7&lt;=1,AV10&gt;=0,AV10&lt;=1),AND(AQ7&gt;=0,AQ7&lt;=1,AQ10&gt;=0,AQ10&lt;=1),AND(AR7&gt;=0,AR7&lt;=1,AR10&gt;=0,AR10&lt;=1),AND(AM7&gt;=0,AM7&lt;=1,AM10&gt;=0,AM10&lt;=1),AND(AN7&gt;=0,AN7&lt;=1,AN10&gt;=0,AN10&lt;=1),AND(AI7&gt;=0,AI7&lt;=1,AI10&gt;=0,AI10&lt;=1),AND(AJ7&gt;=0,AJ7&lt;=1,AJ10&gt;=0,AJ10&lt;=1),AND(AE7&gt;=0,AE7&lt;=1,AE10&gt;=0,AE10&lt;=1),AND(AF7&gt;=0,AF7&lt;=1,AF10&gt;=0,AF10&lt;=1),AND(AA7&gt;=0,AA7&lt;=1,AA10&gt;=0,AA10&lt;=1),AND(AB7&gt;=0,AB7&lt;=1,AB10&gt;=0,AB10&lt;=1),AND(W7&gt;=0,W7&lt;=1,W10&gt;=0,W10&lt;=1),AND(X7&gt;=0,X7&lt;=1,X10&gt;=0,X10&lt;=1),AND(S7&gt;=0,S7&lt;=1,S10&gt;=0,S10&lt;=1),AND(T7&gt;=0,T7&lt;=1,T10&gt;=0,T10&lt;=1),AND(O7&gt;=0,O7&lt;=1,O10&gt;=0,O10&lt;=1),AND(P7&gt;=0,P7&lt;=1,P10&gt;=0,P10&lt;=1),AND(K7&gt;=0,K7&lt;=1,K10&gt;=0,K10&lt;=1),AND(L7&gt;=0,L7&lt;=1,L10&gt;=0,L10&lt;=1),AND(G7&gt;=0,G7&lt;=1,G10&gt;=0,G10&lt;=1),AND(H7&gt;=0,H7&lt;=1,H10&gt;=0,H10&lt;=1)),"OK","CHECK")</f>
        <v>OK</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row>
    <row r="83" ht="18.0" customHeight="1">
      <c r="A83" s="42" t="s">
        <v>85</v>
      </c>
      <c r="B83" s="40" t="str">
        <f>IF(AND(ISNUMBER($AX$75),COUNT($AX$76:$AX$79)=4,MIN($AX$76:$AX$79)&gt;=0,MIN(AY6,AY13,AY15,AY16,AY18,AY28,AY30,AY31,AY32,AY33,AY38,AY39,AY40,AY41,AY42,AY43,AY44,AY45,AY46,AY47,AY48,AY49,AY50,AY51,AY52,AY60,AY61,AY62,AY63,AY64,AY69)&gt;=0,MIN(AZ6,AZ13,AZ15,AZ16,AZ18,AZ28,AZ30,AZ31,AZ32,AZ33,AZ38,AZ39,AZ40,AZ41,AZ42,AZ43,AZ44,AZ45,AZ46,AZ47,AZ48,AZ49,AZ50,AZ51,AZ52,AZ60,AZ61,AZ62,AZ63,AZ64,AZ69)&gt;=0,MIN(AU6,AU13,AU15,AU16,AU18,AU28,AU30,AU31,AU32,AU33,AU38,AU39,AU40,AU41,AU42,AU43,AU44,AU45,AU46,AU47,AU48,AU49,AU50,AU51,AU52,AU60,AU61,AU62,AU63,AU64,AU69)&gt;=0,MIN(AV6,AV13,AV15,AV16,AV18,AV28,AV30,AV31,AV32,AV33,AV38,AV39,AV40,AV41,AV42,AV43,AV44,AV45,AV46,AV47,AV48,AV49,AV50,AV51,AV52,AV60,AV61,AV62,AV63,AV64,AV69)&gt;=0,MIN(AQ6,AQ13,AQ15,AQ16,AQ18,AQ28,AQ30,AQ31,AQ32,AQ33,AQ38,AQ39,AQ40,AQ41,AQ42,AQ43,AQ44,AQ45,AQ46,AQ47,AQ48,AQ49,AQ50,AQ51,AQ52,AQ60,AQ61,AQ62,AQ63,AQ64,AQ69)&gt;=0,MIN(AR6,AR13,AR15,AR16,AR18,AR28,AR30,AR31,AR32,AR33,AR38,AR39,AR40,AR41,AR42,AR43,AR44,AR45,AR46,AR47,AR48,AR49,AR50,AR51,AR52,AR60,AR61,AR62,AR63,AR64,AR69)&gt;=0,MIN(AM6,AM13,AM15,AM16,AM18,AM28,AM30,AM31,AM32,AM33,AM38,AM39,AM40,AM41,AM42,AM43,AM44,AM45,AM46,AM47,AM48,AM49,AM50,AM51,AM52,AM60,AM61,AM62,AM63,AM64,AM69)&gt;=0,MIN(AN6,AN13,AN15,AN16,AN18,AN28,AN30,AN31,AN32,AN33,AN38,AN39,AN40,AN41,AN42,AN43,AN44,AN45,AN46,AN47,AN48,AN49,AN50,AN51,AN52,AN60,AN61,AN62,AN63,AN64,AN69)&gt;=0,MIN(AI6,AI13,AI15,AI16,AI18,AI28,AI30,AI31,AI32,AI33,AI38,AI39,AI40,AI41,AI42,AI43,AI44,AI45,AI46,AI47,AI48,AI49,AI50,AI51,AI52,AI60,AI61,AI62,AI63,AI64,AI69)&gt;=0,MIN(AJ6,AJ13,AJ15,AJ16,AJ18,AJ28,AJ30,AJ31,AJ32,AJ33,AJ38,AJ39,AJ40,AJ41,AJ42,AJ43,AJ44,AJ45,AJ46,AJ47,AJ48,AJ49,AJ50,AJ51,AJ52,AJ60,AJ61,AJ62,AJ63,AJ64,AJ69)&gt;=0,MIN(AE6,AE13,AE15,AE16,AE18,AE28,AE30,AE31,AE32,AE33,AE38,AE39,AE40,AE41,AE42,AE43,AE44,AE45,AE46,AE47,AE48,AE49,AE50,AE51,AE52,AE60,AE61,AE62,AE63,AE64,AE69)&gt;=0,MIN(AF6,AF13,AF15,AF16,AF18,AF28,AF30,AF31,AF32,AF33,AF38,AF39,AF40,AF41,AF42,AF43,AF44,AF45,AF46,AF47,AF48,AF49,AF50,AF51,AF52,AF60,AF61,AF62,AF63,AF64,AF69)&gt;=0,MIN(AA6,AA13,AA15,AA16,AA18,AA28,AA30,AA31,AA32,AA33,AA38,AA39,AA40,AA41,AA42,AA43,AA44,AA45,AA46,AA47,AA48,AA49,AA50,AA51,AA52,AA60,AA61,AA62,AA63,AA64,AA69)&gt;=0,MIN(AB6,AB13,AB15,AB16,AB18,AB28,AB30,AB31,AB32,AB33,AB38,AB39,AB40,AB41,AB42,AB43,AB44,AB45,AB46,AB47,AB48,AB49,AB50,AB51,AB52,AB60,AB61,AB62,AB63,AB64,AB69)&gt;=0,MIN(W6,W13,W15,W16,W18,W28,W30,W31,W32,W33,W38,W39,W40,W41,W42,W43,W44,W45,W46,W47,W48,W49,W50,W51,W52,W60,W61,W62,W63,W64,W69)&gt;=0,MIN(X6,X13,X15,X16,X18,X28,X30,X31,X32,X33,X38,X39,X40,X41,X42,X43,X44,X45,X46,X47,X48,X49,X50,X51,X52,X60,X61,X62,X63,X64,X69)&gt;=0,MIN(S6,S13,S15,S16,S18,S28,S30,S31,S32,S33,S38,S39,S40,S41,S42,S43,S44,S45,S46,S47,S48,S49,S50,S51,S52,S60,S61,S62,S63,S64,S69)&gt;=0,MIN(T6,T13,T15,T16,T18,T28,T30,T31,T32,T33,T38,T39,T40,T41,T42,T43,T44,T45,T46,T47,T48,T49,T50,T51,T52,T60,T61,T62,T63,T64,T69)&gt;=0,MIN(O6,O13,O15,O16,O18,O28,O30,O31,O32,O33,O38,O39,O40,O41,O42,O43,O44,O45,O46,O47,O48,O49,O50,O51,O52,O60,O61,O62,O63,O64,O69)&gt;=0,MIN(P6,P13,P15,P16,P18,P28,P30,P31,P32,P33,P38,P39,P40,P41,P42,P43,P44,P45,P46,P47,P48,P49,P50,P51,P52,P60,P61,P62,P63,P64,P69)&gt;=0,MIN(K6,K13,K15,K16,K18,K28,K30,K31,K32,K33,K38,K39,K40,K41,K42,K43,K44,K45,K46,K47,K48,K49,K50,K51,K52,K60,K61,K62,K63,K64,K69)&gt;=0,MIN(L6,L13,L15,L16,L18,L28,L30,L31,L32,L33,L38,L39,L40,L41,L42,L43,L44,L45,L46,L47,L48,L49,L50,L51,L52,L60,L61,L62,L63,L64,L69)&gt;=0,MIN(G6,G13,G15,G16,G18,G28,G30,G31,G32,G33,G38,G39,G40,G41,G42,G43,G44,G45,G46,G47,G48,G49,G50,G51,G52,G60,G61,G62,G63,G64,G69)&gt;=0,MIN(H6,H13,H15,H16,H18,H28,H30,H31,H32,H33,H38,H39,H40,H41,H42,H43,H44,H45,H46,H47,H48,H49,H50,H51,H52,H60,H61,H62,H63,H64,H69)&gt;=0),"OK","CHECK")</f>
        <v>CHECK</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row>
    <row r="84" ht="18.0" customHeight="1">
      <c r="A84" s="42" t="s">
        <v>86</v>
      </c>
      <c r="B84" s="40" t="str">
        <f>IF(AND(OR(AND(AX$57="",COUNT(AX6,AX8,AX9,AX11,AX12,AX13,AX14,AX15,AX16,AX18,AX21,AX23,AX28,AX30,AX31,AX32,AX33,AX38,AX39,AX40,AX41,AX42,AX43,AX44,AX45,AX46,AX47,AX48,AX49,AX50,AX51,AX52,AX57,AX60,AX61,AX62,AX63,AX64,AX69)=0),AND(AX$57&lt;&gt;"",COUNT(AX6,AX8,AX9,AX11,AX12,AX13,AX14,AX15,AX16,AX18,AX21,AX23,AX28,AX30,AX31,AX32,AX33,AX38,AX39,AX40,AX41,AX42,AX43,AX44,AX45,AX46,AX47,AX48,AX49,AX50,AX51,AX52,AX57,AX60,AX61,AX62,AX63,AX64,AX69)=39)),OR(AND(AT$57="",COUNT(AT6,AT8,AT9,AT11,AT12,AT13,AT14,AT15,AT16,AT18,AT21,AT23,AT28,AT30,AT31,AT32,AT33,AT38,AT39,AT40,AT41,AT42,AT43,AT44,AT45,AT46,AT47,AT48,AT49,AT50,AT51,AT52,AT57,AT60,AT61,AT62,AT63,AT64,AT69)=0),AND(AT$57&lt;&gt;"",COUNT(AT6,AT8,AT9,AT11,AT12,AT13,AT14,AT15,AT16,AT18,AT21,AT23,AT28,AT30,AT31,AT32,AT33,AT38,AT39,AT40,AT41,AT42,AT43,AT44,AT45,AT46,AT47,AT48,AT49,AT50,AT51,AT52,AT57,AT60,AT61,AT62,AT63,AT64,AT69)=39)),OR(AND(AP$57="",COUNT(AP6,AP8,AP9,AP11,AP12,AP13,AP14,AP15,AP16,AP18,AP21,AP23,AP28,AP30,AP31,AP32,AP33,AP38,AP39,AP40,AP41,AP42,AP43,AP44,AP45,AP46,AP47,AP48,AP49,AP50,AP51,AP52,AP57,AP60,AP61,AP62,AP63,AP64,AP69)=0),AND(AP$57&lt;&gt;"",COUNT(AP6,AP8,AP9,AP11,AP12,AP13,AP14,AP15,AP16,AP18,AP21,AP23,AP28,AP30,AP31,AP32,AP33,AP38,AP39,AP40,AP41,AP42,AP43,AP44,AP45,AP46,AP47,AP48,AP49,AP50,AP51,AP52,AP57,AP60,AP61,AP62,AP63,AP64,AP69)=39)),OR(AND(AL$57="",COUNT(AL6,AL8,AL9,AL11,AL12,AL13,AL14,AL15,AL16,AL18,AL21,AL23,AL28,AL30,AL31,AL32,AL33,AL38,AL39,AL40,AL41,AL42,AL43,AL44,AL45,AL46,AL47,AL48,AL49,AL50,AL51,AL52,AL57,AL60,AL61,AL62,AL63,AL64,AL69)=0),AND(AL$57&lt;&gt;"",COUNT(AL6,AL8,AL9,AL11,AL12,AL13,AL14,AL15,AL16,AL18,AL21,AL23,AL28,AL30,AL31,AL32,AL33,AL38,AL39,AL40,AL41,AL42,AL43,AL44,AL45,AL46,AL47,AL48,AL49,AL50,AL51,AL52,AL57,AL60,AL61,AL62,AL63,AL64,AL69)=39)),OR(AND(AH$57="",COUNT(AH6,AH8,AH9,AH11,AH12,AH13,AH14,AH15,AH16,AH18,AH21,AH23,AH28,AH30,AH31,AH32,AH33,AH38,AH39,AH40,AH41,AH42,AH43,AH44,AH45,AH46,AH47,AH48,AH49,AH50,AH51,AH52,AH57,AH60,AH61,AH62,AH63,AH64,AH69)=0),AND(AH$57&lt;&gt;"",COUNT(AH6,AH8,AH9,AH11,AH12,AH13,AH14,AH15,AH16,AH18,AH21,AH23,AH28,AH30,AH31,AH32,AH33,AH38,AH39,AH40,AH41,AH42,AH43,AH44,AH45,AH46,AH47,AH48,AH49,AH50,AH51,AH52,AH57,AH60,AH61,AH62,AH63,AH64,AH69)=39)),OR(AND(AD$57="",COUNT(AD6,AD8,AD9,AD11,AD12,AD13,AD14,AD15,AD16,AD18,AD21,AD23,AD28,AD30,AD31,AD32,AD33,AD38,AD39,AD40,AD41,AD42,AD43,AD44,AD45,AD46,AD47,AD48,AD49,AD50,AD51,AD52,AD57,AD60,AD61,AD62,AD63,AD64,AD69)=0),AND(AD$57&lt;&gt;"",COUNT(AD6,AD8,AD9,AD11,AD12,AD13,AD14,AD15,AD16,AD18,AD21,AD23,AD28,AD30,AD31,AD32,AD33,AD38,AD39,AD40,AD41,AD42,AD43,AD44,AD45,AD46,AD47,AD48,AD49,AD50,AD51,AD52,AD57,AD60,AD61,AD62,AD63,AD64,AD69)=39)),OR(AND(Z$57="",COUNT(Z6,Z8,Z9,Z11,Z12,Z13,Z14,Z15,Z16,Z18,Z21,Z23,Z28,Z30,Z31,Z32,Z33,Z38,Z39,Z40,Z41,Z42,Z43,Z44,Z45,Z46,Z47,Z48,Z49,Z50,Z51,Z52,Z57,Z60,Z61,Z62,Z63,Z64,Z69)=0),AND(Z$57&lt;&gt;"",COUNT(Z6,Z8,Z9,Z11,Z12,Z13,Z14,Z15,Z16,Z18,Z21,Z23,Z28,Z30,Z31,Z32,Z33,Z38,Z39,Z40,Z41,Z42,Z43,Z44,Z45,Z46,Z47,Z48,Z49,Z50,Z51,Z52,Z57,Z60,Z61,Z62,Z63,Z64,Z69)=39)),OR(AND(V$57="",COUNT(V6,V8,V9,V11,V12,V13,V14,V15,V16,V18,V21,V23,V28,V30,V31,V32,V33,V38,V39,V40,V41,V42,V43,V44,V45,V46,V47,V48,V49,V50,V51,V52,V57,V60,V61,V62,V63,V64,V69)=0),AND(V$57&lt;&gt;"",COUNT(V6,V8,V9,V11,V12,V13,V14,V15,V16,V18,V21,V23,V28,V30,V31,V32,V33,V38,V39,V40,V41,V42,V43,V44,V45,V46,V47,V48,V49,V50,V51,V52,V57,V60,V61,V62,V63,V64,V69)=39)),OR(AND(R$57="",COUNT(R6,R8,R9,R11,R12,R13,R14,R15,R16,R18,R21,R23,R28,R30,R31,R32,R33,R38,R39,R40,R41,R42,R43,R44,R45,R46,R47,R48,R49,R50,R51,R52,R57,R60,R61,R62,R63,R64,R69)=0),AND(R$57&lt;&gt;"",COUNT(R6,R8,R9,R11,R12,R13,R14,R15,R16,R18,R21,R23,R28,R30,R31,R32,R33,R38,R39,R40,R41,R42,R43,R44,R45,R46,R47,R48,R49,R50,R51,R52,R57,R60,R61,R62,R63,R64,R69)=39)),OR(AND(N$57="",COUNT(N6,N8,N9,N11,N12,N13,N14,N15,N16,N18,N21,N23,N28,N30,N31,N32,N33,N38,N39,N40,N41,N42,N43,N44,N45,N46,N47,N48,N49,N50,N51,N52,N57,N60,N61,N62,N63,N64,N69)=0),AND(N$57&lt;&gt;"",COUNT(N6,N8,N9,N11,N12,N13,N14,N15,N16,N18,N21,N23,N28,N30,N31,N32,N33,N38,N39,N40,N41,N42,N43,N44,N45,N46,N47,N48,N49,N50,N51,N52,N57,N60,N61,N62,N63,N64,N69)=39)),OR(AND(J$57="",COUNT(J6,J8,J9,J11,J12,J13,J14,J15,J16,J18,J21,J23,J28,J30,J31,J32,J33,J38,J39,J40,J41,J42,J43,J44,J45,J46,J47,J48,J49,J50,J51,J52,J57,J60,J61,J62,J63,J64,J69)=0),AND(J$57&lt;&gt;"",COUNT(J6,J8,J9,J11,J12,J13,J14,J15,J16,J18,J21,J23,J28,J30,J31,J32,J33,J38,J39,J40,J41,J42,J43,J44,J45,J46,J47,J48,J49,J50,J51,J52,J57,J60,J61,J62,J63,J64,J69)=39)),OR(AND(F$57="",COUNT(F6,F8,F9,F11,F12,F13,F14,F15,F16,F18,F21,F23,F28,F30,F31,F32,F33,F38,F39,F40,F41,F42,F43,F44,F45,F46,F47,F48,F49,F50,F51,F52,F57,F60,F61,F62,F63,F64,F69)=0),AND(F$57&lt;&gt;"",COUNT(F6,F8,F9,F11,F12,F13,F14,F15,F16,F18,F21,F23,F28,F30,F31,F32,F33,F38,F39,F40,F41,F42,F43,F44,F45,F46,F47,F48,F49,F50,F51,F52,F57,F60,F61,F62,F63,F64,F69)=39)),OR(AT97&lt;&gt;1,AX97=1),OR(AP97&lt;&gt;1,AT97=1),OR(AL97&lt;&gt;1,AP97=1),OR(AH97&lt;&gt;1,AL97=1),OR(AD97&lt;&gt;1,AH97=1),OR(Z97&lt;&gt;1,AD97=1),OR(V97&lt;&gt;1,Z97=1),OR(R97&lt;&gt;1,V97=1),OR(N97&lt;&gt;1,R97=1),OR(J97&lt;&gt;1,N97=1),OR(F97&lt;&gt;1,J97=1)),"OK","CHECK")</f>
        <v>OK</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row>
    <row r="85" ht="18.0" customHeight="1">
      <c r="A85" s="42" t="s">
        <v>87</v>
      </c>
      <c r="B85" s="40" t="str">
        <f>IF(AND(ABS(AY17-AY15*AY16)&lt;0.01,ABS(AZ17-AZ15*AZ16)&lt;0.01,ABS(AU17-AU15*AU16)&lt;0.01,ABS(AV17-AV15*AV16)&lt;0.01,ABS(AQ17-AQ15*AQ16)&lt;0.01,ABS(AR17-AR15*AR16)&lt;0.01,ABS(AM17-AM15*AM16)&lt;0.01,ABS(AN17-AN15*AN16)&lt;0.01,ABS(AI17-AI15*AI16)&lt;0.01,ABS(AJ17-AJ15*AJ16)&lt;0.01,ABS(AE17-AE15*AE16)&lt;0.01,ABS(AF17-AF15*AF16)&lt;0.01,ABS(AA17-AA15*AA16)&lt;0.01,ABS(AB17-AB15*AB16)&lt;0.01,ABS(W17-W15*W16)&lt;0.01,ABS(X17-X15*X16)&lt;0.01,ABS(S17-S15*S16)&lt;0.01,ABS(T17-T15*T16)&lt;0.01,ABS(O17-O15*O16)&lt;0.01,ABS(P17-P15*P16)&lt;0.01,ABS(K17-K15*K16)&lt;0.01,ABS(L17-L15*L16)&lt;0.01,ABS(G17-G15*G16)&lt;0.01,ABS(H17-H15*H16)&lt;0.01),"OK","CHECK")</f>
        <v>OK</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row>
    <row r="86" ht="18.0" customHeight="1">
      <c r="A86" s="42" t="s">
        <v>88</v>
      </c>
      <c r="B86" s="40" t="str">
        <f>IF(AND(AY21&lt;=AY17,AZ21&lt;=AZ17,AU21&lt;=AU17,AV21&lt;=AV17,AQ21&lt;=AQ17,AR21&lt;=AR17,AM21&lt;=AM17,AN21&lt;=AN17,AI21&lt;=AI17,AJ21&lt;=AJ17,AE21&lt;=AE17,AF21&lt;=AF17,AA21&lt;=AA17,AB21&lt;=AB17,W21&lt;=W17,X21&lt;=X17,S21&lt;=S17,T21&lt;=T17,O21&lt;=O17,P21&lt;=P17,K21&lt;=K17,L21&lt;=L17,G21&lt;=G17,H21&lt;=H17),"OK","CHECK")</f>
        <v>OK</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row>
    <row r="87" ht="18.0" customHeight="1">
      <c r="A87" s="42" t="s">
        <v>89</v>
      </c>
      <c r="B87" s="40" t="str">
        <f>IF(AND(ABS(AY22-MAX(0,AY19+AY20-AY21))&lt;0.01,ABS(AZ22-MAX(0,AZ19+AZ20-AZ21))&lt;0.01,ABS(AU22-MAX(0,AU19+AU20-AU21))&lt;0.01,ABS(AV22-MAX(0,AV19+AV20-AV21))&lt;0.01,ABS(AQ22-MAX(0,AQ19+AQ20-AQ21))&lt;0.01,ABS(AR22-MAX(0,AR19+AR20-AR21))&lt;0.01,ABS(AM22-MAX(0,AM19+AM20-AM21))&lt;0.01,ABS(AN22-MAX(0,AN19+AN20-AN21))&lt;0.01,ABS(AI22-MAX(0,AI19+AI20-AI21))&lt;0.01,ABS(AJ22-MAX(0,AJ19+AJ20-AJ21))&lt;0.01,ABS(AE22-MAX(0,AE19+AE20-AE21))&lt;0.01,ABS(AF22-MAX(0,AF19+AF20-AF21))&lt;0.01,ABS(AA22-MAX(0,AA19+AA20-AA21))&lt;0.01,ABS(AB22-MAX(0,AB19+AB20-AB21))&lt;0.01,ABS(W22-MAX(0,W19+W20-W21))&lt;0.01,ABS(X22-MAX(0,X19+X20-X21))&lt;0.01,ABS(S22-MAX(0,S19+S20-S21))&lt;0.01,ABS(T22-MAX(0,T19+T20-T21))&lt;0.01,ABS(O22-MAX(0,O19+O20-O21))&lt;0.01,ABS(P22-MAX(0,P19+P20-P21))&lt;0.01,ABS(K22-MAX(0,K19+K20-K21))&lt;0.01,ABS(L22-MAX(0,L19+L20-L21))&lt;0.01,ABS(G22-MAX(0,G19+G20-G21))&lt;0.01,ABS(H22-MAX(0,H19+H20-H21))&lt;0.01),"OK","CHECK")</f>
        <v>OK</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row>
    <row r="88" ht="18.0" customHeight="1">
      <c r="A88" s="42" t="s">
        <v>90</v>
      </c>
      <c r="B88" s="40" t="str">
        <f>IF(AND(ABS(AY26-IF((AY19+AY20)=0,0,ROUND(AY21*(AY72+AY73)/(AY19+AY20),0)))&lt;0.01,ABS(AZ26-IF((AZ19+AZ20)=0,0,ROUND(AZ21*(AZ72+AZ73)/(AZ19+AZ20),0)))&lt;0.01,ABS(AU26-IF((AU19+AU20)=0,0,ROUND(AU21*(AU72+AU73)/(AU19+AU20),0)))&lt;0.01,ABS(AU72-MAX(0,AY72+AY73-AY26))&lt;0.01,ABS(AV26-IF((AV19+AV20)=0,0,ROUND(AV21*(AV72+AV73)/(AV19+AV20),0)))&lt;0.01,ABS(AV72-MAX(0,AZ72+AZ73-AZ26))&lt;0.01,ABS(AQ26-IF((AQ19+AQ20)=0,0,ROUND(AQ21*(AQ72+AQ73)/(AQ19+AQ20),0)))&lt;0.01,ABS(AQ72-MAX(0,AU72+AU73-AU26))&lt;0.01,ABS(AR26-IF((AR19+AR20)=0,0,ROUND(AR21*(AR72+AR73)/(AR19+AR20),0)))&lt;0.01,ABS(AR72-MAX(0,AV72+AV73-AV26))&lt;0.01,ABS(AM26-IF((AM19+AM20)=0,0,ROUND(AM21*(AM72+AM73)/(AM19+AM20),0)))&lt;0.01,ABS(AM72-MAX(0,AQ72+AQ73-AQ26))&lt;0.01,ABS(AN26-IF((AN19+AN20)=0,0,ROUND(AN21*(AN72+AN73)/(AN19+AN20),0)))&lt;0.01,ABS(AN72-MAX(0,AR72+AR73-AR26))&lt;0.01,ABS(AI26-IF((AI19+AI20)=0,0,ROUND(AI21*(AI72+AI73)/(AI19+AI20),0)))&lt;0.01,ABS(AI72-MAX(0,AM72+AM73-AM26))&lt;0.01,ABS(AJ26-IF((AJ19+AJ20)=0,0,ROUND(AJ21*(AJ72+AJ73)/(AJ19+AJ20),0)))&lt;0.01,ABS(AJ72-MAX(0,AN72+AN73-AN26))&lt;0.01,ABS(AE26-IF((AE19+AE20)=0,0,ROUND(AE21*(AE72+AE73)/(AE19+AE20),0)))&lt;0.01,ABS(AE72-MAX(0,AI72+AI73-AI26))&lt;0.01,ABS(AF26-IF((AF19+AF20)=0,0,ROUND(AF21*(AF72+AF73)/(AF19+AF20),0)))&lt;0.01,ABS(AF72-MAX(0,AJ72+AJ73-AJ26))&lt;0.01,ABS(AA26-IF((AA19+AA20)=0,0,ROUND(AA21*(AA72+AA73)/(AA19+AA20),0)))&lt;0.01,ABS(AA72-MAX(0,AE72+AE73-AE26))&lt;0.01,ABS(AB26-IF((AB19+AB20)=0,0,ROUND(AB21*(AB72+AB73)/(AB19+AB20),0)))&lt;0.01,ABS(AB72-MAX(0,AF72+AF73-AF26))&lt;0.01,ABS(W26-IF((W19+W20)=0,0,ROUND(W21*(W72+W73)/(W19+W20),0)))&lt;0.01,ABS(W72-MAX(0,AA72+AA73-AA26))&lt;0.01,ABS(X26-IF((X19+X20)=0,0,ROUND(X21*(X72+X73)/(X19+X20),0)))&lt;0.01,ABS(X72-MAX(0,AB72+AB73-AB26))&lt;0.01,ABS(S26-IF((S19+S20)=0,0,ROUND(S21*(S72+S73)/(S19+S20),0)))&lt;0.01,ABS(S72-MAX(0,W72+W73-W26))&lt;0.01,ABS(T26-IF((T19+T20)=0,0,ROUND(T21*(T72+T73)/(T19+T20),0)))&lt;0.01,ABS(T72-MAX(0,X72+X73-X26))&lt;0.01,ABS(O26-IF((O19+O20)=0,0,ROUND(O21*(O72+O73)/(O19+O20),0)))&lt;0.01,ABS(O72-MAX(0,S72+S73-S26))&lt;0.01,ABS(P26-IF((P19+P20)=0,0,ROUND(P21*(P72+P73)/(P19+P20),0)))&lt;0.01,ABS(P72-MAX(0,T72+T73-T26))&lt;0.01,ABS(K26-IF((K19+K20)=0,0,ROUND(K21*(K72+K73)/(K19+K20),0)))&lt;0.01,ABS(K72-MAX(0,O72+O73-O26))&lt;0.01,ABS(L26-IF((L19+L20)=0,0,ROUND(L21*(L72+L73)/(L19+L20),0)))&lt;0.01,ABS(L72-MAX(0,P72+P73-P26))&lt;0.01,ABS(G26-IF((G19+G20)=0,0,ROUND(G21*(G72+G73)/(G19+G20),0)))&lt;0.01,ABS(G72-MAX(0,K72+K73-K26))&lt;0.01,ABS(H26-IF((H19+H20)=0,0,ROUND(H21*(H72+H73)/(H19+H20),0)))&lt;0.01,ABS(H72-MAX(0,L72+L73-L26))&lt;0.01),"OK","CHECK")</f>
        <v>OK</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row>
    <row r="89" ht="18.0" customHeight="1">
      <c r="A89" s="42" t="s">
        <v>91</v>
      </c>
      <c r="B89" s="40" t="str">
        <f>IF(AND(ABS(AY34-SUM(AY28:AY33))&lt;0.01,ABS(AZ34-SUM(AZ28:AZ33))&lt;0.01,ABS(AU34-SUM(AU28:AU33))&lt;0.01,ABS(AV34-SUM(AV28:AV33))&lt;0.01,ABS(AQ34-SUM(AQ28:AQ33))&lt;0.01,ABS(AR34-SUM(AR28:AR33))&lt;0.01,ABS(AM34-SUM(AM28:AM33))&lt;0.01,ABS(AN34-SUM(AN28:AN33))&lt;0.01,ABS(AI34-SUM(AI28:AI33))&lt;0.01,ABS(AJ34-SUM(AJ28:AJ33))&lt;0.01,ABS(AE34-SUM(AE28:AE33))&lt;0.01,ABS(AF34-SUM(AF28:AF33))&lt;0.01,ABS(AA34-SUM(AA28:AA33))&lt;0.01,ABS(AB34-SUM(AB28:AB33))&lt;0.01,ABS(W34-SUM(W28:W33))&lt;0.01,ABS(X34-SUM(X28:X33))&lt;0.01,ABS(S34-SUM(S28:S33))&lt;0.01,ABS(T34-SUM(T28:T33))&lt;0.01,ABS(O34-SUM(O28:O33))&lt;0.01,ABS(P34-SUM(P28:P33))&lt;0.01,ABS(K34-SUM(K28:K33))&lt;0.01,ABS(L34-SUM(L28:L33))&lt;0.01,ABS(G34-SUM(G28:G33))&lt;0.01,ABS(H34-SUM(H28:H33))&lt;0.01),"OK","CHECK")</f>
        <v>OK</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row>
    <row r="90" ht="18.0" customHeight="1">
      <c r="A90" s="42" t="s">
        <v>92</v>
      </c>
      <c r="B90" s="40" t="str">
        <f>IF(AND(ABS(AY53-SUM(AY38:AY52))&lt;0.01,ABS(AZ53-SUM(AZ38:AZ52))&lt;0.01,ABS(AU53-SUM(AU38:AU52))&lt;0.01,ABS(AV53-SUM(AV38:AV52))&lt;0.01,ABS(AQ53-SUM(AQ38:AQ52))&lt;0.01,ABS(AR53-SUM(AR38:AR52))&lt;0.01,ABS(AM53-SUM(AM38:AM52))&lt;0.01,ABS(AN53-SUM(AN38:AN52))&lt;0.01,ABS(AI53-SUM(AI38:AI52))&lt;0.01,ABS(AJ53-SUM(AJ38:AJ52))&lt;0.01,ABS(AE53-SUM(AE38:AE52))&lt;0.01,ABS(AF53-SUM(AF38:AF52))&lt;0.01,ABS(AA53-SUM(AA38:AA52))&lt;0.01,ABS(AB53-SUM(AB38:AB52))&lt;0.01,ABS(W53-SUM(W38:W52))&lt;0.01,ABS(X53-SUM(X38:X52))&lt;0.01,ABS(S53-SUM(S38:S52))&lt;0.01,ABS(T53-SUM(T38:T52))&lt;0.01,ABS(O53-SUM(O38:O52))&lt;0.01,ABS(P53-SUM(P38:P52))&lt;0.01,ABS(K53-SUM(K38:K52))&lt;0.01,ABS(L53-SUM(L38:L52))&lt;0.01,ABS(G53-SUM(G38:G52))&lt;0.01,ABS(H53-SUM(H38:H52))&lt;0.01),"OK","CHECK")</f>
        <v>OK</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row>
    <row r="91" ht="18.0" customHeight="1">
      <c r="A91" s="42" t="s">
        <v>93</v>
      </c>
      <c r="B91" s="40" t="str">
        <f>IF(AND(ABS(AY55-(AY36-AY53))&lt;0.01,ABS(AZ55-(AZ36-AZ53))&lt;0.01,ABS(AU55-(AU36-AU53))&lt;0.01,ABS(AV55-(AV36-AV53))&lt;0.01,ABS(AQ55-(AQ36-AQ53))&lt;0.01,ABS(AR55-(AR36-AR53))&lt;0.01,ABS(AM55-(AM36-AM53))&lt;0.01,ABS(AN55-(AN36-AN53))&lt;0.01,ABS(AI55-(AI36-AI53))&lt;0.01,ABS(AJ55-(AJ36-AJ53))&lt;0.01,ABS(AE55-(AE36-AE53))&lt;0.01,ABS(AF55-(AF36-AF53))&lt;0.01,ABS(AA55-(AA36-AA53))&lt;0.01,ABS(AB55-(AB36-AB53))&lt;0.01,ABS(W55-(W36-W53))&lt;0.01,ABS(X55-(X36-X53))&lt;0.01,ABS(S55-(S36-S53))&lt;0.01,ABS(T55-(T36-T53))&lt;0.01,ABS(O55-(O36-O53))&lt;0.01,ABS(P55-(P36-P53))&lt;0.01,ABS(K55-(K36-K53))&lt;0.01,ABS(L55-(L36-L53))&lt;0.01,ABS(G55-(G36-G53))&lt;0.01,ABS(H55-(H36-H53))&lt;0.01),"OK","CHECK")</f>
        <v>OK</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row>
    <row r="92" ht="18.0" customHeight="1">
      <c r="A92" s="42" t="s">
        <v>94</v>
      </c>
      <c r="B92" s="40" t="str">
        <f>IF(AND(ABS(AY66-(SUM(AY57,AY60)-SUM(AY58,AY59,AY65)))&lt;0.01,ABS(AZ66-(SUM(AZ57,AZ60)-SUM(AZ58,AZ59,AZ65)))&lt;0.01,ABS(AU66-(SUM(AU57,AU60)-SUM(AU58,AU59,AU65)))&lt;0.01,ABS(AV66-(SUM(AV57,AV60)-SUM(AV58,AV59,AV65)))&lt;0.01,ABS(AQ66-(SUM(AQ57,AQ60)-SUM(AQ58,AQ59,AQ65)))&lt;0.01,ABS(AR66-(SUM(AR57,AR60)-SUM(AR58,AR59,AR65)))&lt;0.01,ABS(AM66-(SUM(AM57,AM60)-SUM(AM58,AM59,AM65)))&lt;0.01,ABS(AN66-(SUM(AN57,AN60)-SUM(AN58,AN59,AN65)))&lt;0.01,ABS(AI66-(SUM(AI57,AI60)-SUM(AI58,AI59,AI65)))&lt;0.01,ABS(AJ66-(SUM(AJ57,AJ60)-SUM(AJ58,AJ59,AJ65)))&lt;0.01,ABS(AE66-(SUM(AE57,AE60)-SUM(AE58,AE59,AE65)))&lt;0.01,ABS(AF66-(SUM(AF57,AF60)-SUM(AF58,AF59,AF65)))&lt;0.01,ABS(AA66-(SUM(AA57,AA60)-SUM(AA58,AA59,AA65)))&lt;0.01,ABS(AB66-(SUM(AB57,AB60)-SUM(AB58,AB59,AB65)))&lt;0.01,ABS(W66-(SUM(W57,W60)-SUM(W58,W59,W65)))&lt;0.01,ABS(X66-(SUM(X57,X60)-SUM(X58,X59,X65)))&lt;0.01,ABS(S66-(SUM(S57,S60)-SUM(S58,S59,S65)))&lt;0.01,ABS(T66-(SUM(T57,T60)-SUM(T58,T59,T65)))&lt;0.01,ABS(O66-(SUM(O57,O60)-SUM(O58,O59,O65)))&lt;0.01,ABS(P66-(SUM(P57,P60)-SUM(P58,P59,P65)))&lt;0.01,ABS(K66-(SUM(K57,K60)-SUM(K58,K59,K65)))&lt;0.01,ABS(L66-(SUM(L57,L60)-SUM(L58,L59,L65)))&lt;0.01,ABS(G66-(SUM(G57,G60)-SUM(G58,G59,G65)))&lt;0.01,ABS(H66-(SUM(H57,H60)-SUM(H58,H59,H65)))&lt;0.01),"OK","CHECK")</f>
        <v>OK</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row>
    <row r="93" ht="18.0" customHeight="1">
      <c r="A93" s="42" t="s">
        <v>95</v>
      </c>
      <c r="B93" s="40" t="str">
        <f>IF(AND(ABS(AY68-(AY67+AY66))&lt;0.01,ABS(AZ68-(AZ67+AZ66))&lt;0.01,ABS(AU68-(AU67+AU66))&lt;0.01,ABS(AV68-(AV67+AV66))&lt;0.01,ABS(AQ68-(AQ67+AQ66))&lt;0.01,ABS(AR68-(AR67+AR66))&lt;0.01,ABS(AM68-(AM67+AM66))&lt;0.01,ABS(AN68-(AN67+AN66))&lt;0.01,ABS(AI68-(AI67+AI66))&lt;0.01,ABS(AJ68-(AJ67+AJ66))&lt;0.01,ABS(AE68-(AE67+AE66))&lt;0.01,ABS(AF68-(AF67+AF66))&lt;0.01,ABS(AA68-(AA67+AA66))&lt;0.01,ABS(AB68-(AB67+AB66))&lt;0.01,ABS(W68-(W67+W66))&lt;0.01,ABS(X68-(X67+X66))&lt;0.01,ABS(S68-(S67+S66))&lt;0.01,ABS(T68-(T67+T66))&lt;0.01,ABS(O68-(O67+O66))&lt;0.01,ABS(P68-(P67+P66))&lt;0.01,ABS(K68-(K67+K66))&lt;0.01,ABS(L68-(L67+L66))&lt;0.01,ABS(G68-(G67+G66))&lt;0.01,ABS(H68-(H67+H66))&lt;0.01),"OK","CHECK")</f>
        <v>OK</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row>
    <row r="94" ht="18.0" customHeight="1">
      <c r="A94" s="42" t="s">
        <v>96</v>
      </c>
      <c r="B94" s="40" t="str">
        <f>IF(AND(ABS(AY24-SUM(AY8,AY11,AY14,AY23))&lt;0.01,ABS(AZ24-SUM(AZ8,AZ11,AZ14,AZ23))&lt;0.01,ABS(AU24-SUM(AU8,AU11,AU14,AU23))&lt;0.01,ABS(AV24-SUM(AV8,AV11,AV14,AV23))&lt;0.01,ABS(AQ24-SUM(AQ8,AQ11,AQ14,AQ23))&lt;0.01,ABS(AR24-SUM(AR8,AR11,AR14,AR23))&lt;0.01,ABS(AM24-SUM(AM8,AM11,AM14,AM23))&lt;0.01,ABS(AN24-SUM(AN8,AN11,AN14,AN23))&lt;0.01,ABS(AI24-SUM(AI8,AI11,AI14,AI23))&lt;0.01,ABS(AJ24-SUM(AJ8,AJ11,AJ14,AJ23))&lt;0.01,ABS(AE24-SUM(AE8,AE11,AE14,AE23))&lt;0.01,ABS(AF24-SUM(AF8,AF11,AF14,AF23))&lt;0.01,ABS(AA24-SUM(AA8,AA11,AA14,AA23))&lt;0.01,ABS(AB24-SUM(AB8,AB11,AB14,AB23))&lt;0.01,ABS(W24-SUM(W8,W11,W14,W23))&lt;0.01,ABS(X24-SUM(X8,X11,X14,X23))&lt;0.01,ABS(S24-SUM(S8,S11,S14,S23))&lt;0.01,ABS(T24-SUM(T8,T11,T14,T23))&lt;0.01,ABS(O24-SUM(O8,O11,O14,O23))&lt;0.01,ABS(P24-SUM(P8,P11,P14,P23))&lt;0.01,ABS(K24-SUM(K8,K11,K14,K23))&lt;0.01,ABS(L24-SUM(L8,L11,L14,L23))&lt;0.01,ABS(G24-SUM(G8,G11,G14,G23))&lt;0.01,ABS(H24-SUM(H8,H11,H14,H23))&lt;0.01),"OK","CHECK")</f>
        <v>OK</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row>
    <row r="95" ht="18.0" customHeight="1">
      <c r="A95" s="42" t="s">
        <v>97</v>
      </c>
      <c r="B95" s="40" t="str">
        <f>IF(SUMPRODUCT(--ISERROR(B3:BA73))=0,"OK","CHECK")</f>
        <v>OK</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row>
    <row r="96" ht="18.0" customHeight="1">
      <c r="A96" s="42" t="s">
        <v>98</v>
      </c>
      <c r="B96" s="40" t="str">
        <f>IF($AX$75="","NOT STARTED",IF(COUNTIF(B81:B95,"OK")=15,"PASS","CHECK"))</f>
        <v>NOT STARTED</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row>
    <row r="97" ht="18.0" hidden="1" customHeight="1">
      <c r="A97" s="2" t="s">
        <v>99</v>
      </c>
      <c r="B97" s="2"/>
      <c r="C97" s="2"/>
      <c r="D97" s="2"/>
      <c r="E97" s="2"/>
      <c r="F97" s="2">
        <f>IF(AND(F$57&lt;&gt;"",COUNT(F6,F8,F9,F11,F12,F13,F14,F15,F16,F18,F21,F23,F28,F30,F31,F32,F33,F38,F39,F40,F41,F42,F43,F44,F45,F46,F47,F48,F49,F50,F51,F52,F57,F60,F61,F62,F63,F64,F69)=39),1,0)</f>
        <v>0</v>
      </c>
      <c r="G97" s="2"/>
      <c r="H97" s="2"/>
      <c r="I97" s="2"/>
      <c r="J97" s="2">
        <f>IF(AND(J$57&lt;&gt;"",COUNT(J6,J8,J9,J11,J12,J13,J14,J15,J16,J18,J21,J23,J28,J30,J31,J32,J33,J38,J39,J40,J41,J42,J43,J44,J45,J46,J47,J48,J49,J50,J51,J52,J57,J60,J61,J62,J63,J64,J69)=39),1,0)</f>
        <v>0</v>
      </c>
      <c r="K97" s="2"/>
      <c r="L97" s="2"/>
      <c r="M97" s="2"/>
      <c r="N97" s="2">
        <f>IF(AND(N$57&lt;&gt;"",COUNT(N6,N8,N9,N11,N12,N13,N14,N15,N16,N18,N21,N23,N28,N30,N31,N32,N33,N38,N39,N40,N41,N42,N43,N44,N45,N46,N47,N48,N49,N50,N51,N52,N57,N60,N61,N62,N63,N64,N69)=39),1,0)</f>
        <v>0</v>
      </c>
      <c r="O97" s="2"/>
      <c r="P97" s="2"/>
      <c r="Q97" s="2"/>
      <c r="R97" s="2">
        <f>IF(AND(R$57&lt;&gt;"",COUNT(R6,R8,R9,R11,R12,R13,R14,R15,R16,R18,R21,R23,R28,R30,R31,R32,R33,R38,R39,R40,R41,R42,R43,R44,R45,R46,R47,R48,R49,R50,R51,R52,R57,R60,R61,R62,R63,R64,R69)=39),1,0)</f>
        <v>0</v>
      </c>
      <c r="S97" s="2"/>
      <c r="T97" s="2"/>
      <c r="U97" s="2"/>
      <c r="V97" s="2">
        <f>IF(AND(V$57&lt;&gt;"",COUNT(V6,V8,V9,V11,V12,V13,V14,V15,V16,V18,V21,V23,V28,V30,V31,V32,V33,V38,V39,V40,V41,V42,V43,V44,V45,V46,V47,V48,V49,V50,V51,V52,V57,V60,V61,V62,V63,V64,V69)=39),1,0)</f>
        <v>0</v>
      </c>
      <c r="W97" s="2"/>
      <c r="X97" s="2"/>
      <c r="Y97" s="2"/>
      <c r="Z97" s="2">
        <f>IF(AND(Z$57&lt;&gt;"",COUNT(Z6,Z8,Z9,Z11,Z12,Z13,Z14,Z15,Z16,Z18,Z21,Z23,Z28,Z30,Z31,Z32,Z33,Z38,Z39,Z40,Z41,Z42,Z43,Z44,Z45,Z46,Z47,Z48,Z49,Z50,Z51,Z52,Z57,Z60,Z61,Z62,Z63,Z64,Z69)=39),1,0)</f>
        <v>0</v>
      </c>
      <c r="AA97" s="2"/>
      <c r="AB97" s="2"/>
      <c r="AC97" s="2"/>
      <c r="AD97" s="2">
        <f>IF(AND(AD$57&lt;&gt;"",COUNT(AD6,AD8,AD9,AD11,AD12,AD13,AD14,AD15,AD16,AD18,AD21,AD23,AD28,AD30,AD31,AD32,AD33,AD38,AD39,AD40,AD41,AD42,AD43,AD44,AD45,AD46,AD47,AD48,AD49,AD50,AD51,AD52,AD57,AD60,AD61,AD62,AD63,AD64,AD69)=39),1,0)</f>
        <v>0</v>
      </c>
      <c r="AE97" s="2"/>
      <c r="AF97" s="2"/>
      <c r="AG97" s="2"/>
      <c r="AH97" s="2">
        <f>IF(AND(AH$57&lt;&gt;"",COUNT(AH6,AH8,AH9,AH11,AH12,AH13,AH14,AH15,AH16,AH18,AH21,AH23,AH28,AH30,AH31,AH32,AH33,AH38,AH39,AH40,AH41,AH42,AH43,AH44,AH45,AH46,AH47,AH48,AH49,AH50,AH51,AH52,AH57,AH60,AH61,AH62,AH63,AH64,AH69)=39),1,0)</f>
        <v>0</v>
      </c>
      <c r="AI97" s="2"/>
      <c r="AJ97" s="2"/>
      <c r="AK97" s="2"/>
      <c r="AL97" s="2">
        <f>IF(AND(AL$57&lt;&gt;"",COUNT(AL6,AL8,AL9,AL11,AL12,AL13,AL14,AL15,AL16,AL18,AL21,AL23,AL28,AL30,AL31,AL32,AL33,AL38,AL39,AL40,AL41,AL42,AL43,AL44,AL45,AL46,AL47,AL48,AL49,AL50,AL51,AL52,AL57,AL60,AL61,AL62,AL63,AL64,AL69)=39),1,0)</f>
        <v>0</v>
      </c>
      <c r="AM97" s="2"/>
      <c r="AN97" s="2"/>
      <c r="AO97" s="2"/>
      <c r="AP97" s="2">
        <f>IF(AND(AP$57&lt;&gt;"",COUNT(AP6,AP8,AP9,AP11,AP12,AP13,AP14,AP15,AP16,AP18,AP21,AP23,AP28,AP30,AP31,AP32,AP33,AP38,AP39,AP40,AP41,AP42,AP43,AP44,AP45,AP46,AP47,AP48,AP49,AP50,AP51,AP52,AP57,AP60,AP61,AP62,AP63,AP64,AP69)=39),1,0)</f>
        <v>0</v>
      </c>
      <c r="AQ97" s="2"/>
      <c r="AR97" s="2"/>
      <c r="AS97" s="2"/>
      <c r="AT97" s="2">
        <f>IF(AND(AT$57&lt;&gt;"",COUNT(AT6,AT8,AT9,AT11,AT12,AT13,AT14,AT15,AT16,AT18,AT21,AT23,AT28,AT30,AT31,AT32,AT33,AT38,AT39,AT40,AT41,AT42,AT43,AT44,AT45,AT46,AT47,AT48,AT49,AT50,AT51,AT52,AT57,AT60,AT61,AT62,AT63,AT64,AT69)=39),1,0)</f>
        <v>0</v>
      </c>
      <c r="AU97" s="2"/>
      <c r="AV97" s="2"/>
      <c r="AW97" s="2"/>
      <c r="AX97" s="2">
        <f>IF(AND(AX$57&lt;&gt;"",COUNT(AX6,AX8,AX9,AX11,AX12,AX13,AX14,AX15,AX16,AX18,AX21,AX23,AX28,AX30,AX31,AX32,AX33,AX38,AX39,AX40,AX41,AX42,AX43,AX44,AX45,AX46,AX47,AX48,AX49,AX50,AX51,AX52,AX57,AX60,AX61,AX62,AX63,AX64,AX69)=39),1,0)</f>
        <v>0</v>
      </c>
      <c r="AY97" s="2"/>
      <c r="AZ97" s="2"/>
      <c r="BA97" s="2"/>
    </row>
    <row r="98" ht="18.0" hidden="1" customHeight="1">
      <c r="A98" s="2" t="s">
        <v>100</v>
      </c>
      <c r="B98" s="2"/>
      <c r="C98" s="2"/>
      <c r="D98" s="2"/>
      <c r="E98" s="2"/>
      <c r="F98" s="2">
        <f>IF(AND(J98=1,F97=1),1,0)</f>
        <v>0</v>
      </c>
      <c r="G98" s="2"/>
      <c r="H98" s="2"/>
      <c r="I98" s="2"/>
      <c r="J98" s="2">
        <f>IF(AND(N98=1,J97=1),1,0)</f>
        <v>0</v>
      </c>
      <c r="K98" s="2"/>
      <c r="L98" s="2"/>
      <c r="M98" s="2"/>
      <c r="N98" s="2">
        <f>IF(AND(R98=1,N97=1),1,0)</f>
        <v>0</v>
      </c>
      <c r="O98" s="2"/>
      <c r="P98" s="2"/>
      <c r="Q98" s="2"/>
      <c r="R98" s="2">
        <f>IF(AND(V98=1,R97=1),1,0)</f>
        <v>0</v>
      </c>
      <c r="S98" s="2"/>
      <c r="T98" s="2"/>
      <c r="U98" s="2"/>
      <c r="V98" s="2">
        <f>IF(AND(Z98=1,V97=1),1,0)</f>
        <v>0</v>
      </c>
      <c r="W98" s="2"/>
      <c r="X98" s="2"/>
      <c r="Y98" s="2"/>
      <c r="Z98" s="2">
        <f>IF(AND(AD98=1,Z97=1),1,0)</f>
        <v>0</v>
      </c>
      <c r="AA98" s="2"/>
      <c r="AB98" s="2"/>
      <c r="AC98" s="2"/>
      <c r="AD98" s="2">
        <f>IF(AND(AH98=1,AD97=1),1,0)</f>
        <v>0</v>
      </c>
      <c r="AE98" s="2"/>
      <c r="AF98" s="2"/>
      <c r="AG98" s="2"/>
      <c r="AH98" s="2">
        <f>IF(AND(AL98=1,AH97=1),1,0)</f>
        <v>0</v>
      </c>
      <c r="AI98" s="2"/>
      <c r="AJ98" s="2"/>
      <c r="AK98" s="2"/>
      <c r="AL98" s="2">
        <f>IF(AND(AP98=1,AL97=1),1,0)</f>
        <v>0</v>
      </c>
      <c r="AM98" s="2"/>
      <c r="AN98" s="2"/>
      <c r="AO98" s="2"/>
      <c r="AP98" s="2">
        <f>IF(AND(AT98=1,AP97=1),1,0)</f>
        <v>0</v>
      </c>
      <c r="AQ98" s="2"/>
      <c r="AR98" s="2"/>
      <c r="AS98" s="2"/>
      <c r="AT98" s="2">
        <f>IF(AND(AX98=1,AT97=1),1,0)</f>
        <v>0</v>
      </c>
      <c r="AU98" s="2"/>
      <c r="AV98" s="2"/>
      <c r="AW98" s="2"/>
      <c r="AX98" s="2">
        <f>AX97</f>
        <v>0</v>
      </c>
      <c r="AY98" s="2"/>
      <c r="AZ98" s="2"/>
      <c r="BA98" s="2"/>
    </row>
  </sheetData>
  <mergeCells count="19">
    <mergeCell ref="AD3:AG3"/>
    <mergeCell ref="Z3:AC3"/>
    <mergeCell ref="AX75:BA75"/>
    <mergeCell ref="AX76:BA76"/>
    <mergeCell ref="AX77:BA77"/>
    <mergeCell ref="AX78:BA78"/>
    <mergeCell ref="AX79:BA79"/>
    <mergeCell ref="V3:Y3"/>
    <mergeCell ref="R3:U3"/>
    <mergeCell ref="N3:Q3"/>
    <mergeCell ref="J3:M3"/>
    <mergeCell ref="A3:A4"/>
    <mergeCell ref="B3:E3"/>
    <mergeCell ref="AX3:BA3"/>
    <mergeCell ref="AT3:AW3"/>
    <mergeCell ref="AP3:AS3"/>
    <mergeCell ref="AL3:AO3"/>
    <mergeCell ref="AH3:AK3"/>
    <mergeCell ref="F3:I3"/>
  </mergeCells>
  <conditionalFormatting sqref="B70:BA70">
    <cfRule type="cellIs" dxfId="0" priority="1" stopIfTrue="1" operator="lessThan">
      <formula>0</formula>
    </cfRule>
  </conditionalFormatting>
  <conditionalFormatting sqref="B71:BA71">
    <cfRule type="containsText" dxfId="0" priority="2" stopIfTrue="1" operator="containsText" text="ACTION">
      <formula>NOT(ISERROR(SEARCH(("ACTION"),(B71))))</formula>
    </cfRule>
  </conditionalFormatting>
  <dataValidations>
    <dataValidation type="decimal" operator="greaterThanOrEqual" allowBlank="1" showErrorMessage="1" sqref="F6 H6 J6 L6 N6 P6 R6 T6 V6 X6 Z6 AB6 AD6 AF6 AH6 AJ6 AL6 AN6 AP6 AR6 AT6 AV6 AX6 AZ6 H8 L8 P8 T8 X8 AB8 AF8 AJ8 AN8 AR8 AV8 AZ8 F8:F9 J8:J9 N8:N9 R8:R9 V8:V9 Z8:Z9 AD8:AD9 AH8:AH9 AL8:AL9 AP8:AP9 AT8:AT9 AX8:AX9 H11 L11 P11 T11 X11 AB11 AF11 AJ11 AN11 AR11 AV11 AZ11 F11:F16 H13:H16 J11:J16 L13:L16 N11:N16 P13:P16 R11:R16 T13:T16 V11:V16 X13:X16 Z11:Z16 AB13:AB16 AD11:AD16 AF13:AF16 AH11:AH16 AJ13:AJ16 AL11:AL16 AN13:AN16 AP11:AP16 AR13:AR16 AT11:AT16 AV13:AV16 AX11:AX16 AZ13:AZ16 F18 H18 J18 L18 N18 P18 R18 T18 V18 X18 Z18 AB18 AD18 AF18 AH18 AJ18 AL18 AN18 AP18 AR18 AT18 AV18 AX18 AZ18 F21 J21 N21 R21 V21 Z21 AD21 AH21 AL21 AP21 AT21 AX21 F23 H23 J23 L23 N23 P23 R23 T23 V23 X23 Z23 AB23 AD23 AF23 AH23 AJ23 AL23 AN23 AP23 AR23 AT23 AV23 AX23 AZ23 F28 H28 J28 L28 N28 P28 R28 T28 V28 X28 Z28 AB28 AD28 AF28 AH28 AJ28 AL28 AN28 AP28 AR28 AT28 AV28 AX28 AZ28 F30:F33 H30:H33 J30:J33 L30:L33 N30:N33 P30:P33 R30:R33 T30:T33 V30:V33 X30:X33 Z30:Z33 AB30:AB33 AD30:AD33 AF30:AF33 AH30:AH33 AJ30:AJ33 AL30:AL33 AN30:AN33 AP30:AP33 AR30:AR33 AT30:AT33 AV30:AV33 AX30:AX33 AZ30:AZ33 F38:F52 H38:H52 J38:J52 L38:L52 N38:N52 P38:P52 R38:R52 T38:T52 V38:V52 X38:X52 Z38:Z52 AB38:AB52 AD38:AD52 AF38:AF52 AH38:AH52 AJ38:AJ52 AL38:AL52 AN38:AN52 AP38:AP52 AR38:AR52 AT38:AT52 AV38:AV52 AX38:AX52 AZ38:AZ52 F57 J57 N57 R57 V57 Z57 AD57 AH57 AL57 AP57 AT57 AX57 F60:F64 H60:H64 J60:J64 L60:L64 N60:N64 P60:P64 R60:R64 T60:T64 V60:V64 X60:X64 Z60:Z64 AB60:AB64 AD60:AD64 AF60:AF64 AH60:AH64 AJ60:AJ64 AL60:AL64 AN60:AN64 AP60:AP64 AR60:AR64 AT60:AT64 AV60:AV64 AX60:AX64 AZ60:AZ64 F69 H69 J69 L69 N69 P69 R69 T69 V69 X69 Z69 AB69 AD69 AF69 AH69 AJ69 AL69 AN69 AP69 AR69 AT69 AV69 AX69 AZ69 AX76:AX79">
      <formula1>0.0</formula1>
    </dataValidation>
    <dataValidation type="decimal" allowBlank="1" showErrorMessage="1" sqref="H7 L7 P7 T7 X7 AB7 AF7 AJ7 AN7 AR7 AV7 AZ7 H10 L10 P10 T10 X10 AB10 AF10 AJ10 AN10 AR10 AV10 AZ10">
      <formula1>0.0</formula1>
      <formula2>1.0</formula2>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50.13"/>
    <col customWidth="1" min="2" max="5" width="11.63"/>
    <col customWidth="1" min="6" max="53" width="10.38"/>
  </cols>
  <sheetData>
    <row r="1" ht="28.5" customHeight="1">
      <c r="A1" s="1" t="s">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ht="18.0"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8.0" customHeight="1">
      <c r="A3" s="3" t="s">
        <v>2</v>
      </c>
      <c r="B3" s="4" t="s">
        <v>3</v>
      </c>
      <c r="C3" s="5"/>
      <c r="D3" s="5"/>
      <c r="E3" s="5"/>
      <c r="F3" s="6">
        <f>IF(J$3="","",EDATE(J$3,1))</f>
        <v>46722</v>
      </c>
      <c r="G3" s="5"/>
      <c r="H3" s="5"/>
      <c r="I3" s="5"/>
      <c r="J3" s="7">
        <f>IF(N$3="","",EDATE(N$3,1))</f>
        <v>46692</v>
      </c>
      <c r="K3" s="5"/>
      <c r="L3" s="5"/>
      <c r="M3" s="5"/>
      <c r="N3" s="6">
        <f>IF(R$3="","",EDATE(R$3,1))</f>
        <v>46661</v>
      </c>
      <c r="O3" s="5"/>
      <c r="P3" s="5"/>
      <c r="Q3" s="5"/>
      <c r="R3" s="7">
        <f>IF(V$3="","",EDATE(V$3,1))</f>
        <v>46631</v>
      </c>
      <c r="S3" s="5"/>
      <c r="T3" s="5"/>
      <c r="U3" s="5"/>
      <c r="V3" s="6">
        <f>IF(Z$3="","",EDATE(Z$3,1))</f>
        <v>46600</v>
      </c>
      <c r="W3" s="5"/>
      <c r="X3" s="5"/>
      <c r="Y3" s="5"/>
      <c r="Z3" s="7">
        <f>IF(AD$3="","",EDATE(AD$3,1))</f>
        <v>46569</v>
      </c>
      <c r="AA3" s="5"/>
      <c r="AB3" s="5"/>
      <c r="AC3" s="5"/>
      <c r="AD3" s="6">
        <f>IF(AH$3="","",EDATE(AH$3,1))</f>
        <v>46539</v>
      </c>
      <c r="AE3" s="5"/>
      <c r="AF3" s="5"/>
      <c r="AG3" s="5"/>
      <c r="AH3" s="7">
        <f>IF(AL$3="","",EDATE(AL$3,1))</f>
        <v>46508</v>
      </c>
      <c r="AI3" s="5"/>
      <c r="AJ3" s="5"/>
      <c r="AK3" s="5"/>
      <c r="AL3" s="6">
        <f>IF(AP$3="","",EDATE(AP$3,1))</f>
        <v>46478</v>
      </c>
      <c r="AM3" s="5"/>
      <c r="AN3" s="5"/>
      <c r="AO3" s="5"/>
      <c r="AP3" s="7">
        <f>IF(AT$3="","",EDATE(AT$3,1))</f>
        <v>46447</v>
      </c>
      <c r="AQ3" s="5"/>
      <c r="AR3" s="5"/>
      <c r="AS3" s="5"/>
      <c r="AT3" s="6">
        <f>IF(AX$3="","",EDATE(AX$3,1))</f>
        <v>46419</v>
      </c>
      <c r="AU3" s="5"/>
      <c r="AV3" s="5"/>
      <c r="AW3" s="5"/>
      <c r="AX3" s="7">
        <f>IF($AX$75="","",$AX$75)</f>
        <v>46388</v>
      </c>
      <c r="AY3" s="5"/>
      <c r="AZ3" s="5"/>
      <c r="BA3" s="5"/>
    </row>
    <row r="4" ht="18.0" customHeight="1">
      <c r="B4" s="8" t="s">
        <v>4</v>
      </c>
      <c r="C4" s="9" t="s">
        <v>5</v>
      </c>
      <c r="D4" s="10" t="s">
        <v>6</v>
      </c>
      <c r="E4" s="11" t="s">
        <v>7</v>
      </c>
      <c r="F4" s="8" t="s">
        <v>4</v>
      </c>
      <c r="G4" s="9" t="s">
        <v>5</v>
      </c>
      <c r="H4" s="10" t="s">
        <v>6</v>
      </c>
      <c r="I4" s="11" t="s">
        <v>7</v>
      </c>
      <c r="J4" s="8" t="s">
        <v>4</v>
      </c>
      <c r="K4" s="9" t="s">
        <v>5</v>
      </c>
      <c r="L4" s="10" t="s">
        <v>6</v>
      </c>
      <c r="M4" s="11" t="s">
        <v>7</v>
      </c>
      <c r="N4" s="8" t="s">
        <v>4</v>
      </c>
      <c r="O4" s="9" t="s">
        <v>5</v>
      </c>
      <c r="P4" s="10" t="s">
        <v>6</v>
      </c>
      <c r="Q4" s="11" t="s">
        <v>7</v>
      </c>
      <c r="R4" s="8" t="s">
        <v>4</v>
      </c>
      <c r="S4" s="9" t="s">
        <v>5</v>
      </c>
      <c r="T4" s="10" t="s">
        <v>6</v>
      </c>
      <c r="U4" s="11" t="s">
        <v>7</v>
      </c>
      <c r="V4" s="8" t="s">
        <v>4</v>
      </c>
      <c r="W4" s="9" t="s">
        <v>5</v>
      </c>
      <c r="X4" s="10" t="s">
        <v>6</v>
      </c>
      <c r="Y4" s="11" t="s">
        <v>7</v>
      </c>
      <c r="Z4" s="8" t="s">
        <v>4</v>
      </c>
      <c r="AA4" s="9" t="s">
        <v>5</v>
      </c>
      <c r="AB4" s="10" t="s">
        <v>6</v>
      </c>
      <c r="AC4" s="11" t="s">
        <v>7</v>
      </c>
      <c r="AD4" s="8" t="s">
        <v>4</v>
      </c>
      <c r="AE4" s="9" t="s">
        <v>5</v>
      </c>
      <c r="AF4" s="10" t="s">
        <v>6</v>
      </c>
      <c r="AG4" s="11" t="s">
        <v>7</v>
      </c>
      <c r="AH4" s="8" t="s">
        <v>4</v>
      </c>
      <c r="AI4" s="9" t="s">
        <v>5</v>
      </c>
      <c r="AJ4" s="10" t="s">
        <v>6</v>
      </c>
      <c r="AK4" s="11" t="s">
        <v>7</v>
      </c>
      <c r="AL4" s="8" t="s">
        <v>4</v>
      </c>
      <c r="AM4" s="9" t="s">
        <v>5</v>
      </c>
      <c r="AN4" s="10" t="s">
        <v>6</v>
      </c>
      <c r="AO4" s="11" t="s">
        <v>7</v>
      </c>
      <c r="AP4" s="8" t="s">
        <v>4</v>
      </c>
      <c r="AQ4" s="9" t="s">
        <v>5</v>
      </c>
      <c r="AR4" s="10" t="s">
        <v>6</v>
      </c>
      <c r="AS4" s="11" t="s">
        <v>7</v>
      </c>
      <c r="AT4" s="8" t="s">
        <v>4</v>
      </c>
      <c r="AU4" s="9" t="s">
        <v>5</v>
      </c>
      <c r="AV4" s="10" t="s">
        <v>6</v>
      </c>
      <c r="AW4" s="11" t="s">
        <v>7</v>
      </c>
      <c r="AX4" s="8" t="s">
        <v>4</v>
      </c>
      <c r="AY4" s="9" t="s">
        <v>5</v>
      </c>
      <c r="AZ4" s="10" t="s">
        <v>6</v>
      </c>
      <c r="BA4" s="11" t="s">
        <v>7</v>
      </c>
    </row>
    <row r="5" ht="18.0" customHeight="1">
      <c r="A5" s="12" t="s">
        <v>8</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row>
    <row r="6" ht="18.0" customHeight="1">
      <c r="A6" s="2" t="s">
        <v>9</v>
      </c>
      <c r="B6" s="13">
        <f t="shared" ref="B6:D6" si="1">SUM(AX6,AT6,AP6,AL6,AH6,AD6,Z6,V6,R6,N6,J6,F6)</f>
        <v>185</v>
      </c>
      <c r="C6" s="14">
        <f t="shared" si="1"/>
        <v>1345</v>
      </c>
      <c r="D6" s="15">
        <f t="shared" si="1"/>
        <v>1362</v>
      </c>
      <c r="E6" s="16">
        <f t="shared" ref="E6:E24" si="3">IFERROR(IF(OR(C6="",D6=""),"",C6-D6),"")</f>
        <v>-17</v>
      </c>
      <c r="F6" s="17"/>
      <c r="G6" s="14">
        <f t="shared" ref="G6:G8" si="4">IF(F$98=1,F6,H6)</f>
        <v>127</v>
      </c>
      <c r="H6" s="18">
        <v>127.0</v>
      </c>
      <c r="I6" s="16">
        <f t="shared" ref="I6:I24" si="5">IFERROR(IF(OR(G6="",H6=""),"",G6-H6),"")</f>
        <v>0</v>
      </c>
      <c r="J6" s="17"/>
      <c r="K6" s="14">
        <f t="shared" ref="K6:K8" si="6">IF(J$98=1,J6,L6)</f>
        <v>125</v>
      </c>
      <c r="L6" s="18">
        <v>125.0</v>
      </c>
      <c r="M6" s="16">
        <f t="shared" ref="M6:M24" si="7">IFERROR(IF(OR(K6="",L6=""),"",K6-L6),"")</f>
        <v>0</v>
      </c>
      <c r="N6" s="17"/>
      <c r="O6" s="14">
        <f t="shared" ref="O6:O8" si="8">IF(N$98=1,N6,P6)</f>
        <v>122</v>
      </c>
      <c r="P6" s="18">
        <v>122.0</v>
      </c>
      <c r="Q6" s="16">
        <f t="shared" ref="Q6:Q24" si="9">IFERROR(IF(OR(O6="",P6=""),"",O6-P6),"")</f>
        <v>0</v>
      </c>
      <c r="R6" s="17"/>
      <c r="S6" s="14">
        <f t="shared" ref="S6:S8" si="10">IF(R$98=1,R6,T6)</f>
        <v>120</v>
      </c>
      <c r="T6" s="18">
        <v>120.0</v>
      </c>
      <c r="U6" s="16">
        <f t="shared" ref="U6:U24" si="11">IFERROR(IF(OR(S6="",T6=""),"",S6-T6),"")</f>
        <v>0</v>
      </c>
      <c r="V6" s="17"/>
      <c r="W6" s="14">
        <f t="shared" ref="W6:W8" si="12">IF(V$98=1,V6,X6)</f>
        <v>117</v>
      </c>
      <c r="X6" s="18">
        <v>117.0</v>
      </c>
      <c r="Y6" s="16">
        <f t="shared" ref="Y6:Y24" si="13">IFERROR(IF(OR(W6="",X6=""),"",W6-X6),"")</f>
        <v>0</v>
      </c>
      <c r="Z6" s="17"/>
      <c r="AA6" s="14">
        <f t="shared" ref="AA6:AA8" si="14">IF(Z$98=1,Z6,AB6)</f>
        <v>115</v>
      </c>
      <c r="AB6" s="18">
        <v>115.0</v>
      </c>
      <c r="AC6" s="16">
        <f t="shared" ref="AC6:AC24" si="15">IFERROR(IF(OR(AA6="",AB6=""),"",AA6-AB6),"")</f>
        <v>0</v>
      </c>
      <c r="AD6" s="17"/>
      <c r="AE6" s="14">
        <f t="shared" ref="AE6:AE8" si="16">IF(AD$98=1,AD6,AF6)</f>
        <v>112</v>
      </c>
      <c r="AF6" s="18">
        <v>112.0</v>
      </c>
      <c r="AG6" s="16">
        <f t="shared" ref="AG6:AG24" si="17">IFERROR(IF(OR(AE6="",AF6=""),"",AE6-AF6),"")</f>
        <v>0</v>
      </c>
      <c r="AH6" s="17"/>
      <c r="AI6" s="14">
        <f t="shared" ref="AI6:AI8" si="18">IF(AH$98=1,AH6,AJ6)</f>
        <v>110</v>
      </c>
      <c r="AJ6" s="18">
        <v>110.0</v>
      </c>
      <c r="AK6" s="16">
        <f t="shared" ref="AK6:AK24" si="19">IFERROR(IF(OR(AI6="",AJ6=""),"",AI6-AJ6),"")</f>
        <v>0</v>
      </c>
      <c r="AL6" s="17"/>
      <c r="AM6" s="14">
        <f t="shared" ref="AM6:AM8" si="20">IF(AL$98=1,AL6,AN6)</f>
        <v>107</v>
      </c>
      <c r="AN6" s="18">
        <v>107.0</v>
      </c>
      <c r="AO6" s="16">
        <f t="shared" ref="AO6:AO24" si="21">IFERROR(IF(OR(AM6="",AN6=""),"",AM6-AN6),"")</f>
        <v>0</v>
      </c>
      <c r="AP6" s="17"/>
      <c r="AQ6" s="14">
        <f t="shared" ref="AQ6:AQ8" si="22">IF(AP$98=1,AP6,AR6)</f>
        <v>105</v>
      </c>
      <c r="AR6" s="18">
        <v>105.0</v>
      </c>
      <c r="AS6" s="16">
        <f t="shared" ref="AS6:AS24" si="23">IFERROR(IF(OR(AQ6="",AR6=""),"",AQ6-AR6),"")</f>
        <v>0</v>
      </c>
      <c r="AT6" s="17">
        <v>95.0</v>
      </c>
      <c r="AU6" s="14">
        <f t="shared" ref="AU6:AU8" si="24">IF(AT$98=1,AT6,AV6)</f>
        <v>95</v>
      </c>
      <c r="AV6" s="18">
        <v>102.0</v>
      </c>
      <c r="AW6" s="16">
        <f t="shared" ref="AW6:AW24" si="25">IFERROR(IF(OR(AU6="",AV6=""),"",AU6-AV6),"")</f>
        <v>-7</v>
      </c>
      <c r="AX6" s="17">
        <v>90.0</v>
      </c>
      <c r="AY6" s="14">
        <f t="shared" ref="AY6:AY8" si="26">IF(AX$98=1,AX6,AZ6)</f>
        <v>90</v>
      </c>
      <c r="AZ6" s="18">
        <v>100.0</v>
      </c>
      <c r="BA6" s="16">
        <f t="shared" ref="BA6:BA24" si="27">IFERROR(IF(OR(AY6="",AZ6=""),"",AY6-AZ6),"")</f>
        <v>-10</v>
      </c>
    </row>
    <row r="7" ht="18.0" customHeight="1">
      <c r="A7" s="2" t="s">
        <v>10</v>
      </c>
      <c r="B7" s="19">
        <f t="shared" ref="B7:D7" si="2">IFERROR(B9/B6,"")</f>
        <v>0.4</v>
      </c>
      <c r="C7" s="20">
        <f t="shared" si="2"/>
        <v>0.4007434944</v>
      </c>
      <c r="D7" s="21">
        <f t="shared" si="2"/>
        <v>0.4008810573</v>
      </c>
      <c r="E7" s="22">
        <f t="shared" si="3"/>
        <v>-0.0001375628449</v>
      </c>
      <c r="F7" s="19" t="str">
        <f>IFERROR(IF(F9="","",F9/F6),"")</f>
        <v/>
      </c>
      <c r="G7" s="20">
        <f t="shared" si="4"/>
        <v>0.4</v>
      </c>
      <c r="H7" s="23">
        <v>0.4</v>
      </c>
      <c r="I7" s="22">
        <f t="shared" si="5"/>
        <v>0</v>
      </c>
      <c r="J7" s="19" t="str">
        <f>IFERROR(IF(J9="","",J9/J6),"")</f>
        <v/>
      </c>
      <c r="K7" s="20">
        <f t="shared" si="6"/>
        <v>0.4</v>
      </c>
      <c r="L7" s="23">
        <v>0.4</v>
      </c>
      <c r="M7" s="22">
        <f t="shared" si="7"/>
        <v>0</v>
      </c>
      <c r="N7" s="19" t="str">
        <f>IFERROR(IF(N9="","",N9/N6),"")</f>
        <v/>
      </c>
      <c r="O7" s="20">
        <f t="shared" si="8"/>
        <v>0.4</v>
      </c>
      <c r="P7" s="23">
        <v>0.4</v>
      </c>
      <c r="Q7" s="22">
        <f t="shared" si="9"/>
        <v>0</v>
      </c>
      <c r="R7" s="19" t="str">
        <f>IFERROR(IF(R9="","",R9/R6),"")</f>
        <v/>
      </c>
      <c r="S7" s="20">
        <f t="shared" si="10"/>
        <v>0.4</v>
      </c>
      <c r="T7" s="23">
        <v>0.4</v>
      </c>
      <c r="U7" s="22">
        <f t="shared" si="11"/>
        <v>0</v>
      </c>
      <c r="V7" s="19" t="str">
        <f>IFERROR(IF(V9="","",V9/V6),"")</f>
        <v/>
      </c>
      <c r="W7" s="20">
        <f t="shared" si="12"/>
        <v>0.4</v>
      </c>
      <c r="X7" s="23">
        <v>0.4</v>
      </c>
      <c r="Y7" s="22">
        <f t="shared" si="13"/>
        <v>0</v>
      </c>
      <c r="Z7" s="19" t="str">
        <f>IFERROR(IF(Z9="","",Z9/Z6),"")</f>
        <v/>
      </c>
      <c r="AA7" s="20">
        <f t="shared" si="14"/>
        <v>0.4</v>
      </c>
      <c r="AB7" s="23">
        <v>0.4</v>
      </c>
      <c r="AC7" s="22">
        <f t="shared" si="15"/>
        <v>0</v>
      </c>
      <c r="AD7" s="19" t="str">
        <f>IFERROR(IF(AD9="","",AD9/AD6),"")</f>
        <v/>
      </c>
      <c r="AE7" s="20">
        <f t="shared" si="16"/>
        <v>0.4</v>
      </c>
      <c r="AF7" s="23">
        <v>0.4</v>
      </c>
      <c r="AG7" s="22">
        <f t="shared" si="17"/>
        <v>0</v>
      </c>
      <c r="AH7" s="19" t="str">
        <f>IFERROR(IF(AH9="","",AH9/AH6),"")</f>
        <v/>
      </c>
      <c r="AI7" s="20">
        <f t="shared" si="18"/>
        <v>0.4</v>
      </c>
      <c r="AJ7" s="23">
        <v>0.4</v>
      </c>
      <c r="AK7" s="22">
        <f t="shared" si="19"/>
        <v>0</v>
      </c>
      <c r="AL7" s="19" t="str">
        <f>IFERROR(IF(AL9="","",AL9/AL6),"")</f>
        <v/>
      </c>
      <c r="AM7" s="20">
        <f t="shared" si="20"/>
        <v>0.4</v>
      </c>
      <c r="AN7" s="23">
        <v>0.4</v>
      </c>
      <c r="AO7" s="22">
        <f t="shared" si="21"/>
        <v>0</v>
      </c>
      <c r="AP7" s="19" t="str">
        <f>IFERROR(IF(AP9="","",AP9/AP6),"")</f>
        <v/>
      </c>
      <c r="AQ7" s="20">
        <f t="shared" si="22"/>
        <v>0.4</v>
      </c>
      <c r="AR7" s="23">
        <v>0.4</v>
      </c>
      <c r="AS7" s="22">
        <f t="shared" si="23"/>
        <v>0</v>
      </c>
      <c r="AT7" s="19">
        <f>IFERROR(IF(AT9="","",AT9/AT6),"")</f>
        <v>0.4</v>
      </c>
      <c r="AU7" s="20">
        <f t="shared" si="24"/>
        <v>0.4</v>
      </c>
      <c r="AV7" s="23">
        <v>0.4</v>
      </c>
      <c r="AW7" s="22">
        <f t="shared" si="25"/>
        <v>0</v>
      </c>
      <c r="AX7" s="19">
        <f>IFERROR(IF(AX9="","",AX9/AX6),"")</f>
        <v>0.4</v>
      </c>
      <c r="AY7" s="20">
        <f t="shared" si="26"/>
        <v>0.4</v>
      </c>
      <c r="AZ7" s="23">
        <v>0.4</v>
      </c>
      <c r="BA7" s="22">
        <f t="shared" si="27"/>
        <v>0</v>
      </c>
    </row>
    <row r="8" ht="18.0" customHeight="1">
      <c r="A8" s="2" t="s">
        <v>11</v>
      </c>
      <c r="B8" s="24">
        <f t="shared" ref="B8:D8" si="28">IFERROR(SUM(AX8*AX6,AT8*AT6,AP8*AP6,AL8*AL6,AH8*AH6,AD8*AD6,Z8*Z6,V8*V6,R8*R6,N8*N6,J8*J6,F8*F6)/SUM(AX6,AT6,AP6,AL6,AH6,AD6,Z6,V6,R6,N6,J6,F6),"")</f>
        <v>14</v>
      </c>
      <c r="C8" s="25">
        <f t="shared" si="28"/>
        <v>14</v>
      </c>
      <c r="D8" s="26">
        <f t="shared" si="28"/>
        <v>14</v>
      </c>
      <c r="E8" s="27">
        <f t="shared" si="3"/>
        <v>0</v>
      </c>
      <c r="F8" s="28"/>
      <c r="G8" s="25">
        <f t="shared" si="4"/>
        <v>14</v>
      </c>
      <c r="H8" s="29">
        <v>14.0</v>
      </c>
      <c r="I8" s="27">
        <f t="shared" si="5"/>
        <v>0</v>
      </c>
      <c r="J8" s="28"/>
      <c r="K8" s="25">
        <f t="shared" si="6"/>
        <v>14</v>
      </c>
      <c r="L8" s="29">
        <v>14.0</v>
      </c>
      <c r="M8" s="27">
        <f t="shared" si="7"/>
        <v>0</v>
      </c>
      <c r="N8" s="28"/>
      <c r="O8" s="25">
        <f t="shared" si="8"/>
        <v>14</v>
      </c>
      <c r="P8" s="29">
        <v>14.0</v>
      </c>
      <c r="Q8" s="27">
        <f t="shared" si="9"/>
        <v>0</v>
      </c>
      <c r="R8" s="28"/>
      <c r="S8" s="25">
        <f t="shared" si="10"/>
        <v>14</v>
      </c>
      <c r="T8" s="29">
        <v>14.0</v>
      </c>
      <c r="U8" s="27">
        <f t="shared" si="11"/>
        <v>0</v>
      </c>
      <c r="V8" s="28"/>
      <c r="W8" s="25">
        <f t="shared" si="12"/>
        <v>14</v>
      </c>
      <c r="X8" s="29">
        <v>14.0</v>
      </c>
      <c r="Y8" s="27">
        <f t="shared" si="13"/>
        <v>0</v>
      </c>
      <c r="Z8" s="28"/>
      <c r="AA8" s="25">
        <f t="shared" si="14"/>
        <v>14</v>
      </c>
      <c r="AB8" s="29">
        <v>14.0</v>
      </c>
      <c r="AC8" s="27">
        <f t="shared" si="15"/>
        <v>0</v>
      </c>
      <c r="AD8" s="28"/>
      <c r="AE8" s="25">
        <f t="shared" si="16"/>
        <v>14</v>
      </c>
      <c r="AF8" s="29">
        <v>14.0</v>
      </c>
      <c r="AG8" s="27">
        <f t="shared" si="17"/>
        <v>0</v>
      </c>
      <c r="AH8" s="28"/>
      <c r="AI8" s="25">
        <f t="shared" si="18"/>
        <v>14</v>
      </c>
      <c r="AJ8" s="29">
        <v>14.0</v>
      </c>
      <c r="AK8" s="27">
        <f t="shared" si="19"/>
        <v>0</v>
      </c>
      <c r="AL8" s="28"/>
      <c r="AM8" s="25">
        <f t="shared" si="20"/>
        <v>14</v>
      </c>
      <c r="AN8" s="29">
        <v>14.0</v>
      </c>
      <c r="AO8" s="27">
        <f t="shared" si="21"/>
        <v>0</v>
      </c>
      <c r="AP8" s="28"/>
      <c r="AQ8" s="25">
        <f t="shared" si="22"/>
        <v>14</v>
      </c>
      <c r="AR8" s="29">
        <v>14.0</v>
      </c>
      <c r="AS8" s="27">
        <f t="shared" si="23"/>
        <v>0</v>
      </c>
      <c r="AT8" s="28">
        <v>14.0</v>
      </c>
      <c r="AU8" s="25">
        <f t="shared" si="24"/>
        <v>14</v>
      </c>
      <c r="AV8" s="29">
        <v>14.0</v>
      </c>
      <c r="AW8" s="27">
        <f t="shared" si="25"/>
        <v>0</v>
      </c>
      <c r="AX8" s="28">
        <v>14.0</v>
      </c>
      <c r="AY8" s="25">
        <f t="shared" si="26"/>
        <v>14</v>
      </c>
      <c r="AZ8" s="29">
        <v>14.0</v>
      </c>
      <c r="BA8" s="27">
        <f t="shared" si="27"/>
        <v>0</v>
      </c>
    </row>
    <row r="9" ht="18.0" customHeight="1">
      <c r="A9" s="2" t="s">
        <v>12</v>
      </c>
      <c r="B9" s="13">
        <f t="shared" ref="B9:D9" si="29">SUM(AX9,AT9,AP9,AL9,AH9,AD9,Z9,V9,R9,N9,J9,F9)</f>
        <v>74</v>
      </c>
      <c r="C9" s="14">
        <f t="shared" si="29"/>
        <v>539</v>
      </c>
      <c r="D9" s="15">
        <f t="shared" si="29"/>
        <v>546</v>
      </c>
      <c r="E9" s="16">
        <f t="shared" si="3"/>
        <v>-7</v>
      </c>
      <c r="F9" s="17"/>
      <c r="G9" s="14">
        <f>IF(F$98=1,F9,ROUND(SUM(IF(AND(AY$6&lt;&gt;"",AY$8&lt;&gt;""),IF(EOMONTH($AX$3+INT((DAY(EOMONTH($AX$3,0))-1)/2)+AY$8,0)=EOMONTH($F$3,0),AY$6*AY$7,0),0),IF(AND(AU$6&lt;&gt;"",AU$8&lt;&gt;""),IF(EOMONTH($AT$3+INT((DAY(EOMONTH($AT$3,0))-1)/2)+AU$8,0)=EOMONTH($F$3,0),AU$6*AU$7,0),0),IF(AND(AQ$6&lt;&gt;"",AQ$8&lt;&gt;""),IF(EOMONTH($AP$3+INT((DAY(EOMONTH($AP$3,0))-1)/2)+AQ$8,0)=EOMONTH($F$3,0),AQ$6*AQ$7,0),0),IF(AND(AM$6&lt;&gt;"",AM$8&lt;&gt;""),IF(EOMONTH($AL$3+INT((DAY(EOMONTH($AL$3,0))-1)/2)+AM$8,0)=EOMONTH($F$3,0),AM$6*AM$7,0),0),IF(AND(AI$6&lt;&gt;"",AI$8&lt;&gt;""),IF(EOMONTH($AH$3+INT((DAY(EOMONTH($AH$3,0))-1)/2)+AI$8,0)=EOMONTH($F$3,0),AI$6*AI$7,0),0),IF(AND(AE$6&lt;&gt;"",AE$8&lt;&gt;""),IF(EOMONTH($AD$3+INT((DAY(EOMONTH($AD$3,0))-1)/2)+AE$8,0)=EOMONTH($F$3,0),AE$6*AE$7,0),0),IF(AND(AA$6&lt;&gt;"",AA$8&lt;&gt;""),IF(EOMONTH($Z$3+INT((DAY(EOMONTH($Z$3,0))-1)/2)+AA$8,0)=EOMONTH($F$3,0),AA$6*AA$7,0),0),IF(AND(W$6&lt;&gt;"",W$8&lt;&gt;""),IF(EOMONTH($V$3+INT((DAY(EOMONTH($V$3,0))-1)/2)+W$8,0)=EOMONTH($F$3,0),W$6*W$7,0),0),IF(AND(S$6&lt;&gt;"",S$8&lt;&gt;""),IF(EOMONTH($R$3+INT((DAY(EOMONTH($R$3,0))-1)/2)+S$8,0)=EOMONTH($F$3,0),S$6*S$7,0),0),IF(AND(O$6&lt;&gt;"",O$8&lt;&gt;""),IF(EOMONTH($N$3+INT((DAY(EOMONTH($N$3,0))-1)/2)+O$8,0)=EOMONTH($F$3,0),O$6*O$7,0),0),IF(AND(K$6&lt;&gt;"",K$8&lt;&gt;""),IF(EOMONTH($J$3+INT((DAY(EOMONTH($J$3,0))-1)/2)+K$8,0)=EOMONTH($F$3,0),K$6*K$7,0),0),IF(AND(G$6&lt;&gt;"",G$8&lt;&gt;""),IF(EOMONTH($F$3+INT((DAY(EOMONTH($F$3,0))-1)/2)+G$8,0)=EOMONTH($F$3,0),G$6*G$7,0),0)),0))</f>
        <v>51</v>
      </c>
      <c r="H9" s="15">
        <f>ROUND(SUM(IF(AND(AZ$6&lt;&gt;"",AZ$8&lt;&gt;""),IF(EOMONTH($AX$3+INT((DAY(EOMONTH($AX$3,0))-1)/2)+AZ$8,0)=EOMONTH($F$3,0),AZ$6*AZ$7,0),0),IF(AND(AV$6&lt;&gt;"",AV$8&lt;&gt;""),IF(EOMONTH($AT$3+INT((DAY(EOMONTH($AT$3,0))-1)/2)+AV$8,0)=EOMONTH($F$3,0),AV$6*AV$7,0),0),IF(AND(AR$6&lt;&gt;"",AR$8&lt;&gt;""),IF(EOMONTH($AP$3+INT((DAY(EOMONTH($AP$3,0))-1)/2)+AR$8,0)=EOMONTH($F$3,0),AR$6*AR$7,0),0),IF(AND(AN$6&lt;&gt;"",AN$8&lt;&gt;""),IF(EOMONTH($AL$3+INT((DAY(EOMONTH($AL$3,0))-1)/2)+AN$8,0)=EOMONTH($F$3,0),AN$6*AN$7,0),0),IF(AND(AJ$6&lt;&gt;"",AJ$8&lt;&gt;""),IF(EOMONTH($AH$3+INT((DAY(EOMONTH($AH$3,0))-1)/2)+AJ$8,0)=EOMONTH($F$3,0),AJ$6*AJ$7,0),0),IF(AND(AF$6&lt;&gt;"",AF$8&lt;&gt;""),IF(EOMONTH($AD$3+INT((DAY(EOMONTH($AD$3,0))-1)/2)+AF$8,0)=EOMONTH($F$3,0),AF$6*AF$7,0),0),IF(AND(AB$6&lt;&gt;"",AB$8&lt;&gt;""),IF(EOMONTH($Z$3+INT((DAY(EOMONTH($Z$3,0))-1)/2)+AB$8,0)=EOMONTH($F$3,0),AB$6*AB$7,0),0),IF(AND(X$6&lt;&gt;"",X$8&lt;&gt;""),IF(EOMONTH($V$3+INT((DAY(EOMONTH($V$3,0))-1)/2)+X$8,0)=EOMONTH($F$3,0),X$6*X$7,0),0),IF(AND(T$6&lt;&gt;"",T$8&lt;&gt;""),IF(EOMONTH($R$3+INT((DAY(EOMONTH($R$3,0))-1)/2)+T$8,0)=EOMONTH($F$3,0),T$6*T$7,0),0),IF(AND(P$6&lt;&gt;"",P$8&lt;&gt;""),IF(EOMONTH($N$3+INT((DAY(EOMONTH($N$3,0))-1)/2)+P$8,0)=EOMONTH($F$3,0),P$6*P$7,0),0),IF(AND(L$6&lt;&gt;"",L$8&lt;&gt;""),IF(EOMONTH($J$3+INT((DAY(EOMONTH($J$3,0))-1)/2)+L$8,0)=EOMONTH($F$3,0),L$6*L$7,0),0),IF(AND(H$6&lt;&gt;"",H$8&lt;&gt;""),IF(EOMONTH($F$3+INT((DAY(EOMONTH($F$3,0))-1)/2)+H$8,0)=EOMONTH($F$3,0),H$6*H$7,0),0)),0)</f>
        <v>51</v>
      </c>
      <c r="I9" s="16">
        <f t="shared" si="5"/>
        <v>0</v>
      </c>
      <c r="J9" s="17"/>
      <c r="K9" s="14">
        <f>IF(J$98=1,J9,ROUND(SUM(IF(AND(AY$6&lt;&gt;"",AY$8&lt;&gt;""),IF(EOMONTH($AX$3+INT((DAY(EOMONTH($AX$3,0))-1)/2)+AY$8,0)=EOMONTH($J$3,0),AY$6*AY$7,0),0),IF(AND(AU$6&lt;&gt;"",AU$8&lt;&gt;""),IF(EOMONTH($AT$3+INT((DAY(EOMONTH($AT$3,0))-1)/2)+AU$8,0)=EOMONTH($J$3,0),AU$6*AU$7,0),0),IF(AND(AQ$6&lt;&gt;"",AQ$8&lt;&gt;""),IF(EOMONTH($AP$3+INT((DAY(EOMONTH($AP$3,0))-1)/2)+AQ$8,0)=EOMONTH($J$3,0),AQ$6*AQ$7,0),0),IF(AND(AM$6&lt;&gt;"",AM$8&lt;&gt;""),IF(EOMONTH($AL$3+INT((DAY(EOMONTH($AL$3,0))-1)/2)+AM$8,0)=EOMONTH($J$3,0),AM$6*AM$7,0),0),IF(AND(AI$6&lt;&gt;"",AI$8&lt;&gt;""),IF(EOMONTH($AH$3+INT((DAY(EOMONTH($AH$3,0))-1)/2)+AI$8,0)=EOMONTH($J$3,0),AI$6*AI$7,0),0),IF(AND(AE$6&lt;&gt;"",AE$8&lt;&gt;""),IF(EOMONTH($AD$3+INT((DAY(EOMONTH($AD$3,0))-1)/2)+AE$8,0)=EOMONTH($J$3,0),AE$6*AE$7,0),0),IF(AND(AA$6&lt;&gt;"",AA$8&lt;&gt;""),IF(EOMONTH($Z$3+INT((DAY(EOMONTH($Z$3,0))-1)/2)+AA$8,0)=EOMONTH($J$3,0),AA$6*AA$7,0),0),IF(AND(W$6&lt;&gt;"",W$8&lt;&gt;""),IF(EOMONTH($V$3+INT((DAY(EOMONTH($V$3,0))-1)/2)+W$8,0)=EOMONTH($J$3,0),W$6*W$7,0),0),IF(AND(S$6&lt;&gt;"",S$8&lt;&gt;""),IF(EOMONTH($R$3+INT((DAY(EOMONTH($R$3,0))-1)/2)+S$8,0)=EOMONTH($J$3,0),S$6*S$7,0),0),IF(AND(O$6&lt;&gt;"",O$8&lt;&gt;""),IF(EOMONTH($N$3+INT((DAY(EOMONTH($N$3,0))-1)/2)+O$8,0)=EOMONTH($J$3,0),O$6*O$7,0),0),IF(AND(K$6&lt;&gt;"",K$8&lt;&gt;""),IF(EOMONTH($J$3+INT((DAY(EOMONTH($J$3,0))-1)/2)+K$8,0)=EOMONTH($J$3,0),K$6*K$7,0),0),IF(AND(G$6&lt;&gt;"",G$8&lt;&gt;""),IF(EOMONTH($F$3+INT((DAY(EOMONTH($F$3,0))-1)/2)+G$8,0)=EOMONTH($J$3,0),G$6*G$7,0),0)),0))</f>
        <v>50</v>
      </c>
      <c r="L9" s="15">
        <f>ROUND(SUM(IF(AND(AZ$6&lt;&gt;"",AZ$8&lt;&gt;""),IF(EOMONTH($AX$3+INT((DAY(EOMONTH($AX$3,0))-1)/2)+AZ$8,0)=EOMONTH($J$3,0),AZ$6*AZ$7,0),0),IF(AND(AV$6&lt;&gt;"",AV$8&lt;&gt;""),IF(EOMONTH($AT$3+INT((DAY(EOMONTH($AT$3,0))-1)/2)+AV$8,0)=EOMONTH($J$3,0),AV$6*AV$7,0),0),IF(AND(AR$6&lt;&gt;"",AR$8&lt;&gt;""),IF(EOMONTH($AP$3+INT((DAY(EOMONTH($AP$3,0))-1)/2)+AR$8,0)=EOMONTH($J$3,0),AR$6*AR$7,0),0),IF(AND(AN$6&lt;&gt;"",AN$8&lt;&gt;""),IF(EOMONTH($AL$3+INT((DAY(EOMONTH($AL$3,0))-1)/2)+AN$8,0)=EOMONTH($J$3,0),AN$6*AN$7,0),0),IF(AND(AJ$6&lt;&gt;"",AJ$8&lt;&gt;""),IF(EOMONTH($AH$3+INT((DAY(EOMONTH($AH$3,0))-1)/2)+AJ$8,0)=EOMONTH($J$3,0),AJ$6*AJ$7,0),0),IF(AND(AF$6&lt;&gt;"",AF$8&lt;&gt;""),IF(EOMONTH($AD$3+INT((DAY(EOMONTH($AD$3,0))-1)/2)+AF$8,0)=EOMONTH($J$3,0),AF$6*AF$7,0),0),IF(AND(AB$6&lt;&gt;"",AB$8&lt;&gt;""),IF(EOMONTH($Z$3+INT((DAY(EOMONTH($Z$3,0))-1)/2)+AB$8,0)=EOMONTH($J$3,0),AB$6*AB$7,0),0),IF(AND(X$6&lt;&gt;"",X$8&lt;&gt;""),IF(EOMONTH($V$3+INT((DAY(EOMONTH($V$3,0))-1)/2)+X$8,0)=EOMONTH($J$3,0),X$6*X$7,0),0),IF(AND(T$6&lt;&gt;"",T$8&lt;&gt;""),IF(EOMONTH($R$3+INT((DAY(EOMONTH($R$3,0))-1)/2)+T$8,0)=EOMONTH($J$3,0),T$6*T$7,0),0),IF(AND(P$6&lt;&gt;"",P$8&lt;&gt;""),IF(EOMONTH($N$3+INT((DAY(EOMONTH($N$3,0))-1)/2)+P$8,0)=EOMONTH($J$3,0),P$6*P$7,0),0),IF(AND(L$6&lt;&gt;"",L$8&lt;&gt;""),IF(EOMONTH($J$3+INT((DAY(EOMONTH($J$3,0))-1)/2)+L$8,0)=EOMONTH($J$3,0),L$6*L$7,0),0),IF(AND(H$6&lt;&gt;"",H$8&lt;&gt;""),IF(EOMONTH($F$3+INT((DAY(EOMONTH($F$3,0))-1)/2)+H$8,0)=EOMONTH($J$3,0),H$6*H$7,0),0)),0)</f>
        <v>50</v>
      </c>
      <c r="M9" s="16">
        <f t="shared" si="7"/>
        <v>0</v>
      </c>
      <c r="N9" s="17"/>
      <c r="O9" s="14">
        <f>IF(N$98=1,N9,ROUND(SUM(IF(AND(AY$6&lt;&gt;"",AY$8&lt;&gt;""),IF(EOMONTH($AX$3+INT((DAY(EOMONTH($AX$3,0))-1)/2)+AY$8,0)=EOMONTH($N$3,0),AY$6*AY$7,0),0),IF(AND(AU$6&lt;&gt;"",AU$8&lt;&gt;""),IF(EOMONTH($AT$3+INT((DAY(EOMONTH($AT$3,0))-1)/2)+AU$8,0)=EOMONTH($N$3,0),AU$6*AU$7,0),0),IF(AND(AQ$6&lt;&gt;"",AQ$8&lt;&gt;""),IF(EOMONTH($AP$3+INT((DAY(EOMONTH($AP$3,0))-1)/2)+AQ$8,0)=EOMONTH($N$3,0),AQ$6*AQ$7,0),0),IF(AND(AM$6&lt;&gt;"",AM$8&lt;&gt;""),IF(EOMONTH($AL$3+INT((DAY(EOMONTH($AL$3,0))-1)/2)+AM$8,0)=EOMONTH($N$3,0),AM$6*AM$7,0),0),IF(AND(AI$6&lt;&gt;"",AI$8&lt;&gt;""),IF(EOMONTH($AH$3+INT((DAY(EOMONTH($AH$3,0))-1)/2)+AI$8,0)=EOMONTH($N$3,0),AI$6*AI$7,0),0),IF(AND(AE$6&lt;&gt;"",AE$8&lt;&gt;""),IF(EOMONTH($AD$3+INT((DAY(EOMONTH($AD$3,0))-1)/2)+AE$8,0)=EOMONTH($N$3,0),AE$6*AE$7,0),0),IF(AND(AA$6&lt;&gt;"",AA$8&lt;&gt;""),IF(EOMONTH($Z$3+INT((DAY(EOMONTH($Z$3,0))-1)/2)+AA$8,0)=EOMONTH($N$3,0),AA$6*AA$7,0),0),IF(AND(W$6&lt;&gt;"",W$8&lt;&gt;""),IF(EOMONTH($V$3+INT((DAY(EOMONTH($V$3,0))-1)/2)+W$8,0)=EOMONTH($N$3,0),W$6*W$7,0),0),IF(AND(S$6&lt;&gt;"",S$8&lt;&gt;""),IF(EOMONTH($R$3+INT((DAY(EOMONTH($R$3,0))-1)/2)+S$8,0)=EOMONTH($N$3,0),S$6*S$7,0),0),IF(AND(O$6&lt;&gt;"",O$8&lt;&gt;""),IF(EOMONTH($N$3+INT((DAY(EOMONTH($N$3,0))-1)/2)+O$8,0)=EOMONTH($N$3,0),O$6*O$7,0),0),IF(AND(K$6&lt;&gt;"",K$8&lt;&gt;""),IF(EOMONTH($J$3+INT((DAY(EOMONTH($J$3,0))-1)/2)+K$8,0)=EOMONTH($N$3,0),K$6*K$7,0),0),IF(AND(G$6&lt;&gt;"",G$8&lt;&gt;""),IF(EOMONTH($F$3+INT((DAY(EOMONTH($F$3,0))-1)/2)+G$8,0)=EOMONTH($N$3,0),G$6*G$7,0),0)),0))</f>
        <v>49</v>
      </c>
      <c r="P9" s="15">
        <f>ROUND(SUM(IF(AND(AZ$6&lt;&gt;"",AZ$8&lt;&gt;""),IF(EOMONTH($AX$3+INT((DAY(EOMONTH($AX$3,0))-1)/2)+AZ$8,0)=EOMONTH($N$3,0),AZ$6*AZ$7,0),0),IF(AND(AV$6&lt;&gt;"",AV$8&lt;&gt;""),IF(EOMONTH($AT$3+INT((DAY(EOMONTH($AT$3,0))-1)/2)+AV$8,0)=EOMONTH($N$3,0),AV$6*AV$7,0),0),IF(AND(AR$6&lt;&gt;"",AR$8&lt;&gt;""),IF(EOMONTH($AP$3+INT((DAY(EOMONTH($AP$3,0))-1)/2)+AR$8,0)=EOMONTH($N$3,0),AR$6*AR$7,0),0),IF(AND(AN$6&lt;&gt;"",AN$8&lt;&gt;""),IF(EOMONTH($AL$3+INT((DAY(EOMONTH($AL$3,0))-1)/2)+AN$8,0)=EOMONTH($N$3,0),AN$6*AN$7,0),0),IF(AND(AJ$6&lt;&gt;"",AJ$8&lt;&gt;""),IF(EOMONTH($AH$3+INT((DAY(EOMONTH($AH$3,0))-1)/2)+AJ$8,0)=EOMONTH($N$3,0),AJ$6*AJ$7,0),0),IF(AND(AF$6&lt;&gt;"",AF$8&lt;&gt;""),IF(EOMONTH($AD$3+INT((DAY(EOMONTH($AD$3,0))-1)/2)+AF$8,0)=EOMONTH($N$3,0),AF$6*AF$7,0),0),IF(AND(AB$6&lt;&gt;"",AB$8&lt;&gt;""),IF(EOMONTH($Z$3+INT((DAY(EOMONTH($Z$3,0))-1)/2)+AB$8,0)=EOMONTH($N$3,0),AB$6*AB$7,0),0),IF(AND(X$6&lt;&gt;"",X$8&lt;&gt;""),IF(EOMONTH($V$3+INT((DAY(EOMONTH($V$3,0))-1)/2)+X$8,0)=EOMONTH($N$3,0),X$6*X$7,0),0),IF(AND(T$6&lt;&gt;"",T$8&lt;&gt;""),IF(EOMONTH($R$3+INT((DAY(EOMONTH($R$3,0))-1)/2)+T$8,0)=EOMONTH($N$3,0),T$6*T$7,0),0),IF(AND(P$6&lt;&gt;"",P$8&lt;&gt;""),IF(EOMONTH($N$3+INT((DAY(EOMONTH($N$3,0))-1)/2)+P$8,0)=EOMONTH($N$3,0),P$6*P$7,0),0),IF(AND(L$6&lt;&gt;"",L$8&lt;&gt;""),IF(EOMONTH($J$3+INT((DAY(EOMONTH($J$3,0))-1)/2)+L$8,0)=EOMONTH($N$3,0),L$6*L$7,0),0),IF(AND(H$6&lt;&gt;"",H$8&lt;&gt;""),IF(EOMONTH($F$3+INT((DAY(EOMONTH($F$3,0))-1)/2)+H$8,0)=EOMONTH($N$3,0),H$6*H$7,0),0)),0)</f>
        <v>49</v>
      </c>
      <c r="Q9" s="16">
        <f t="shared" si="9"/>
        <v>0</v>
      </c>
      <c r="R9" s="17"/>
      <c r="S9" s="14">
        <f>IF(R$98=1,R9,ROUND(SUM(IF(AND(AY$6&lt;&gt;"",AY$8&lt;&gt;""),IF(EOMONTH($AX$3+INT((DAY(EOMONTH($AX$3,0))-1)/2)+AY$8,0)=EOMONTH($R$3,0),AY$6*AY$7,0),0),IF(AND(AU$6&lt;&gt;"",AU$8&lt;&gt;""),IF(EOMONTH($AT$3+INT((DAY(EOMONTH($AT$3,0))-1)/2)+AU$8,0)=EOMONTH($R$3,0),AU$6*AU$7,0),0),IF(AND(AQ$6&lt;&gt;"",AQ$8&lt;&gt;""),IF(EOMONTH($AP$3+INT((DAY(EOMONTH($AP$3,0))-1)/2)+AQ$8,0)=EOMONTH($R$3,0),AQ$6*AQ$7,0),0),IF(AND(AM$6&lt;&gt;"",AM$8&lt;&gt;""),IF(EOMONTH($AL$3+INT((DAY(EOMONTH($AL$3,0))-1)/2)+AM$8,0)=EOMONTH($R$3,0),AM$6*AM$7,0),0),IF(AND(AI$6&lt;&gt;"",AI$8&lt;&gt;""),IF(EOMONTH($AH$3+INT((DAY(EOMONTH($AH$3,0))-1)/2)+AI$8,0)=EOMONTH($R$3,0),AI$6*AI$7,0),0),IF(AND(AE$6&lt;&gt;"",AE$8&lt;&gt;""),IF(EOMONTH($AD$3+INT((DAY(EOMONTH($AD$3,0))-1)/2)+AE$8,0)=EOMONTH($R$3,0),AE$6*AE$7,0),0),IF(AND(AA$6&lt;&gt;"",AA$8&lt;&gt;""),IF(EOMONTH($Z$3+INT((DAY(EOMONTH($Z$3,0))-1)/2)+AA$8,0)=EOMONTH($R$3,0),AA$6*AA$7,0),0),IF(AND(W$6&lt;&gt;"",W$8&lt;&gt;""),IF(EOMONTH($V$3+INT((DAY(EOMONTH($V$3,0))-1)/2)+W$8,0)=EOMONTH($R$3,0),W$6*W$7,0),0),IF(AND(S$6&lt;&gt;"",S$8&lt;&gt;""),IF(EOMONTH($R$3+INT((DAY(EOMONTH($R$3,0))-1)/2)+S$8,0)=EOMONTH($R$3,0),S$6*S$7,0),0),IF(AND(O$6&lt;&gt;"",O$8&lt;&gt;""),IF(EOMONTH($N$3+INT((DAY(EOMONTH($N$3,0))-1)/2)+O$8,0)=EOMONTH($R$3,0),O$6*O$7,0),0),IF(AND(K$6&lt;&gt;"",K$8&lt;&gt;""),IF(EOMONTH($J$3+INT((DAY(EOMONTH($J$3,0))-1)/2)+K$8,0)=EOMONTH($R$3,0),K$6*K$7,0),0),IF(AND(G$6&lt;&gt;"",G$8&lt;&gt;""),IF(EOMONTH($F$3+INT((DAY(EOMONTH($F$3,0))-1)/2)+G$8,0)=EOMONTH($R$3,0),G$6*G$7,0),0)),0))</f>
        <v>48</v>
      </c>
      <c r="T9" s="15">
        <f>ROUND(SUM(IF(AND(AZ$6&lt;&gt;"",AZ$8&lt;&gt;""),IF(EOMONTH($AX$3+INT((DAY(EOMONTH($AX$3,0))-1)/2)+AZ$8,0)=EOMONTH($R$3,0),AZ$6*AZ$7,0),0),IF(AND(AV$6&lt;&gt;"",AV$8&lt;&gt;""),IF(EOMONTH($AT$3+INT((DAY(EOMONTH($AT$3,0))-1)/2)+AV$8,0)=EOMONTH($R$3,0),AV$6*AV$7,0),0),IF(AND(AR$6&lt;&gt;"",AR$8&lt;&gt;""),IF(EOMONTH($AP$3+INT((DAY(EOMONTH($AP$3,0))-1)/2)+AR$8,0)=EOMONTH($R$3,0),AR$6*AR$7,0),0),IF(AND(AN$6&lt;&gt;"",AN$8&lt;&gt;""),IF(EOMONTH($AL$3+INT((DAY(EOMONTH($AL$3,0))-1)/2)+AN$8,0)=EOMONTH($R$3,0),AN$6*AN$7,0),0),IF(AND(AJ$6&lt;&gt;"",AJ$8&lt;&gt;""),IF(EOMONTH($AH$3+INT((DAY(EOMONTH($AH$3,0))-1)/2)+AJ$8,0)=EOMONTH($R$3,0),AJ$6*AJ$7,0),0),IF(AND(AF$6&lt;&gt;"",AF$8&lt;&gt;""),IF(EOMONTH($AD$3+INT((DAY(EOMONTH($AD$3,0))-1)/2)+AF$8,0)=EOMONTH($R$3,0),AF$6*AF$7,0),0),IF(AND(AB$6&lt;&gt;"",AB$8&lt;&gt;""),IF(EOMONTH($Z$3+INT((DAY(EOMONTH($Z$3,0))-1)/2)+AB$8,0)=EOMONTH($R$3,0),AB$6*AB$7,0),0),IF(AND(X$6&lt;&gt;"",X$8&lt;&gt;""),IF(EOMONTH($V$3+INT((DAY(EOMONTH($V$3,0))-1)/2)+X$8,0)=EOMONTH($R$3,0),X$6*X$7,0),0),IF(AND(T$6&lt;&gt;"",T$8&lt;&gt;""),IF(EOMONTH($R$3+INT((DAY(EOMONTH($R$3,0))-1)/2)+T$8,0)=EOMONTH($R$3,0),T$6*T$7,0),0),IF(AND(P$6&lt;&gt;"",P$8&lt;&gt;""),IF(EOMONTH($N$3+INT((DAY(EOMONTH($N$3,0))-1)/2)+P$8,0)=EOMONTH($R$3,0),P$6*P$7,0),0),IF(AND(L$6&lt;&gt;"",L$8&lt;&gt;""),IF(EOMONTH($J$3+INT((DAY(EOMONTH($J$3,0))-1)/2)+L$8,0)=EOMONTH($R$3,0),L$6*L$7,0),0),IF(AND(H$6&lt;&gt;"",H$8&lt;&gt;""),IF(EOMONTH($F$3+INT((DAY(EOMONTH($F$3,0))-1)/2)+H$8,0)=EOMONTH($R$3,0),H$6*H$7,0),0)),0)</f>
        <v>48</v>
      </c>
      <c r="U9" s="16">
        <f t="shared" si="11"/>
        <v>0</v>
      </c>
      <c r="V9" s="17"/>
      <c r="W9" s="14">
        <f>IF(V$98=1,V9,ROUND(SUM(IF(AND(AY$6&lt;&gt;"",AY$8&lt;&gt;""),IF(EOMONTH($AX$3+INT((DAY(EOMONTH($AX$3,0))-1)/2)+AY$8,0)=EOMONTH($V$3,0),AY$6*AY$7,0),0),IF(AND(AU$6&lt;&gt;"",AU$8&lt;&gt;""),IF(EOMONTH($AT$3+INT((DAY(EOMONTH($AT$3,0))-1)/2)+AU$8,0)=EOMONTH($V$3,0),AU$6*AU$7,0),0),IF(AND(AQ$6&lt;&gt;"",AQ$8&lt;&gt;""),IF(EOMONTH($AP$3+INT((DAY(EOMONTH($AP$3,0))-1)/2)+AQ$8,0)=EOMONTH($V$3,0),AQ$6*AQ$7,0),0),IF(AND(AM$6&lt;&gt;"",AM$8&lt;&gt;""),IF(EOMONTH($AL$3+INT((DAY(EOMONTH($AL$3,0))-1)/2)+AM$8,0)=EOMONTH($V$3,0),AM$6*AM$7,0),0),IF(AND(AI$6&lt;&gt;"",AI$8&lt;&gt;""),IF(EOMONTH($AH$3+INT((DAY(EOMONTH($AH$3,0))-1)/2)+AI$8,0)=EOMONTH($V$3,0),AI$6*AI$7,0),0),IF(AND(AE$6&lt;&gt;"",AE$8&lt;&gt;""),IF(EOMONTH($AD$3+INT((DAY(EOMONTH($AD$3,0))-1)/2)+AE$8,0)=EOMONTH($V$3,0),AE$6*AE$7,0),0),IF(AND(AA$6&lt;&gt;"",AA$8&lt;&gt;""),IF(EOMONTH($Z$3+INT((DAY(EOMONTH($Z$3,0))-1)/2)+AA$8,0)=EOMONTH($V$3,0),AA$6*AA$7,0),0),IF(AND(W$6&lt;&gt;"",W$8&lt;&gt;""),IF(EOMONTH($V$3+INT((DAY(EOMONTH($V$3,0))-1)/2)+W$8,0)=EOMONTH($V$3,0),W$6*W$7,0),0),IF(AND(S$6&lt;&gt;"",S$8&lt;&gt;""),IF(EOMONTH($R$3+INT((DAY(EOMONTH($R$3,0))-1)/2)+S$8,0)=EOMONTH($V$3,0),S$6*S$7,0),0),IF(AND(O$6&lt;&gt;"",O$8&lt;&gt;""),IF(EOMONTH($N$3+INT((DAY(EOMONTH($N$3,0))-1)/2)+O$8,0)=EOMONTH($V$3,0),O$6*O$7,0),0),IF(AND(K$6&lt;&gt;"",K$8&lt;&gt;""),IF(EOMONTH($J$3+INT((DAY(EOMONTH($J$3,0))-1)/2)+K$8,0)=EOMONTH($V$3,0),K$6*K$7,0),0),IF(AND(G$6&lt;&gt;"",G$8&lt;&gt;""),IF(EOMONTH($F$3+INT((DAY(EOMONTH($F$3,0))-1)/2)+G$8,0)=EOMONTH($V$3,0),G$6*G$7,0),0)),0))</f>
        <v>47</v>
      </c>
      <c r="X9" s="15">
        <f>ROUND(SUM(IF(AND(AZ$6&lt;&gt;"",AZ$8&lt;&gt;""),IF(EOMONTH($AX$3+INT((DAY(EOMONTH($AX$3,0))-1)/2)+AZ$8,0)=EOMONTH($V$3,0),AZ$6*AZ$7,0),0),IF(AND(AV$6&lt;&gt;"",AV$8&lt;&gt;""),IF(EOMONTH($AT$3+INT((DAY(EOMONTH($AT$3,0))-1)/2)+AV$8,0)=EOMONTH($V$3,0),AV$6*AV$7,0),0),IF(AND(AR$6&lt;&gt;"",AR$8&lt;&gt;""),IF(EOMONTH($AP$3+INT((DAY(EOMONTH($AP$3,0))-1)/2)+AR$8,0)=EOMONTH($V$3,0),AR$6*AR$7,0),0),IF(AND(AN$6&lt;&gt;"",AN$8&lt;&gt;""),IF(EOMONTH($AL$3+INT((DAY(EOMONTH($AL$3,0))-1)/2)+AN$8,0)=EOMONTH($V$3,0),AN$6*AN$7,0),0),IF(AND(AJ$6&lt;&gt;"",AJ$8&lt;&gt;""),IF(EOMONTH($AH$3+INT((DAY(EOMONTH($AH$3,0))-1)/2)+AJ$8,0)=EOMONTH($V$3,0),AJ$6*AJ$7,0),0),IF(AND(AF$6&lt;&gt;"",AF$8&lt;&gt;""),IF(EOMONTH($AD$3+INT((DAY(EOMONTH($AD$3,0))-1)/2)+AF$8,0)=EOMONTH($V$3,0),AF$6*AF$7,0),0),IF(AND(AB$6&lt;&gt;"",AB$8&lt;&gt;""),IF(EOMONTH($Z$3+INT((DAY(EOMONTH($Z$3,0))-1)/2)+AB$8,0)=EOMONTH($V$3,0),AB$6*AB$7,0),0),IF(AND(X$6&lt;&gt;"",X$8&lt;&gt;""),IF(EOMONTH($V$3+INT((DAY(EOMONTH($V$3,0))-1)/2)+X$8,0)=EOMONTH($V$3,0),X$6*X$7,0),0),IF(AND(T$6&lt;&gt;"",T$8&lt;&gt;""),IF(EOMONTH($R$3+INT((DAY(EOMONTH($R$3,0))-1)/2)+T$8,0)=EOMONTH($V$3,0),T$6*T$7,0),0),IF(AND(P$6&lt;&gt;"",P$8&lt;&gt;""),IF(EOMONTH($N$3+INT((DAY(EOMONTH($N$3,0))-1)/2)+P$8,0)=EOMONTH($V$3,0),P$6*P$7,0),0),IF(AND(L$6&lt;&gt;"",L$8&lt;&gt;""),IF(EOMONTH($J$3+INT((DAY(EOMONTH($J$3,0))-1)/2)+L$8,0)=EOMONTH($V$3,0),L$6*L$7,0),0),IF(AND(H$6&lt;&gt;"",H$8&lt;&gt;""),IF(EOMONTH($F$3+INT((DAY(EOMONTH($F$3,0))-1)/2)+H$8,0)=EOMONTH($V$3,0),H$6*H$7,0),0)),0)</f>
        <v>47</v>
      </c>
      <c r="Y9" s="16">
        <f t="shared" si="13"/>
        <v>0</v>
      </c>
      <c r="Z9" s="17"/>
      <c r="AA9" s="14">
        <f>IF(Z$98=1,Z9,ROUND(SUM(IF(AND(AY$6&lt;&gt;"",AY$8&lt;&gt;""),IF(EOMONTH($AX$3+INT((DAY(EOMONTH($AX$3,0))-1)/2)+AY$8,0)=EOMONTH($Z$3,0),AY$6*AY$7,0),0),IF(AND(AU$6&lt;&gt;"",AU$8&lt;&gt;""),IF(EOMONTH($AT$3+INT((DAY(EOMONTH($AT$3,0))-1)/2)+AU$8,0)=EOMONTH($Z$3,0),AU$6*AU$7,0),0),IF(AND(AQ$6&lt;&gt;"",AQ$8&lt;&gt;""),IF(EOMONTH($AP$3+INT((DAY(EOMONTH($AP$3,0))-1)/2)+AQ$8,0)=EOMONTH($Z$3,0),AQ$6*AQ$7,0),0),IF(AND(AM$6&lt;&gt;"",AM$8&lt;&gt;""),IF(EOMONTH($AL$3+INT((DAY(EOMONTH($AL$3,0))-1)/2)+AM$8,0)=EOMONTH($Z$3,0),AM$6*AM$7,0),0),IF(AND(AI$6&lt;&gt;"",AI$8&lt;&gt;""),IF(EOMONTH($AH$3+INT((DAY(EOMONTH($AH$3,0))-1)/2)+AI$8,0)=EOMONTH($Z$3,0),AI$6*AI$7,0),0),IF(AND(AE$6&lt;&gt;"",AE$8&lt;&gt;""),IF(EOMONTH($AD$3+INT((DAY(EOMONTH($AD$3,0))-1)/2)+AE$8,0)=EOMONTH($Z$3,0),AE$6*AE$7,0),0),IF(AND(AA$6&lt;&gt;"",AA$8&lt;&gt;""),IF(EOMONTH($Z$3+INT((DAY(EOMONTH($Z$3,0))-1)/2)+AA$8,0)=EOMONTH($Z$3,0),AA$6*AA$7,0),0),IF(AND(W$6&lt;&gt;"",W$8&lt;&gt;""),IF(EOMONTH($V$3+INT((DAY(EOMONTH($V$3,0))-1)/2)+W$8,0)=EOMONTH($Z$3,0),W$6*W$7,0),0),IF(AND(S$6&lt;&gt;"",S$8&lt;&gt;""),IF(EOMONTH($R$3+INT((DAY(EOMONTH($R$3,0))-1)/2)+S$8,0)=EOMONTH($Z$3,0),S$6*S$7,0),0),IF(AND(O$6&lt;&gt;"",O$8&lt;&gt;""),IF(EOMONTH($N$3+INT((DAY(EOMONTH($N$3,0))-1)/2)+O$8,0)=EOMONTH($Z$3,0),O$6*O$7,0),0),IF(AND(K$6&lt;&gt;"",K$8&lt;&gt;""),IF(EOMONTH($J$3+INT((DAY(EOMONTH($J$3,0))-1)/2)+K$8,0)=EOMONTH($Z$3,0),K$6*K$7,0),0),IF(AND(G$6&lt;&gt;"",G$8&lt;&gt;""),IF(EOMONTH($F$3+INT((DAY(EOMONTH($F$3,0))-1)/2)+G$8,0)=EOMONTH($Z$3,0),G$6*G$7,0),0)),0))</f>
        <v>46</v>
      </c>
      <c r="AB9" s="15">
        <f>ROUND(SUM(IF(AND(AZ$6&lt;&gt;"",AZ$8&lt;&gt;""),IF(EOMONTH($AX$3+INT((DAY(EOMONTH($AX$3,0))-1)/2)+AZ$8,0)=EOMONTH($Z$3,0),AZ$6*AZ$7,0),0),IF(AND(AV$6&lt;&gt;"",AV$8&lt;&gt;""),IF(EOMONTH($AT$3+INT((DAY(EOMONTH($AT$3,0))-1)/2)+AV$8,0)=EOMONTH($Z$3,0),AV$6*AV$7,0),0),IF(AND(AR$6&lt;&gt;"",AR$8&lt;&gt;""),IF(EOMONTH($AP$3+INT((DAY(EOMONTH($AP$3,0))-1)/2)+AR$8,0)=EOMONTH($Z$3,0),AR$6*AR$7,0),0),IF(AND(AN$6&lt;&gt;"",AN$8&lt;&gt;""),IF(EOMONTH($AL$3+INT((DAY(EOMONTH($AL$3,0))-1)/2)+AN$8,0)=EOMONTH($Z$3,0),AN$6*AN$7,0),0),IF(AND(AJ$6&lt;&gt;"",AJ$8&lt;&gt;""),IF(EOMONTH($AH$3+INT((DAY(EOMONTH($AH$3,0))-1)/2)+AJ$8,0)=EOMONTH($Z$3,0),AJ$6*AJ$7,0),0),IF(AND(AF$6&lt;&gt;"",AF$8&lt;&gt;""),IF(EOMONTH($AD$3+INT((DAY(EOMONTH($AD$3,0))-1)/2)+AF$8,0)=EOMONTH($Z$3,0),AF$6*AF$7,0),0),IF(AND(AB$6&lt;&gt;"",AB$8&lt;&gt;""),IF(EOMONTH($Z$3+INT((DAY(EOMONTH($Z$3,0))-1)/2)+AB$8,0)=EOMONTH($Z$3,0),AB$6*AB$7,0),0),IF(AND(X$6&lt;&gt;"",X$8&lt;&gt;""),IF(EOMONTH($V$3+INT((DAY(EOMONTH($V$3,0))-1)/2)+X$8,0)=EOMONTH($Z$3,0),X$6*X$7,0),0),IF(AND(T$6&lt;&gt;"",T$8&lt;&gt;""),IF(EOMONTH($R$3+INT((DAY(EOMONTH($R$3,0))-1)/2)+T$8,0)=EOMONTH($Z$3,0),T$6*T$7,0),0),IF(AND(P$6&lt;&gt;"",P$8&lt;&gt;""),IF(EOMONTH($N$3+INT((DAY(EOMONTH($N$3,0))-1)/2)+P$8,0)=EOMONTH($Z$3,0),P$6*P$7,0),0),IF(AND(L$6&lt;&gt;"",L$8&lt;&gt;""),IF(EOMONTH($J$3+INT((DAY(EOMONTH($J$3,0))-1)/2)+L$8,0)=EOMONTH($Z$3,0),L$6*L$7,0),0),IF(AND(H$6&lt;&gt;"",H$8&lt;&gt;""),IF(EOMONTH($F$3+INT((DAY(EOMONTH($F$3,0))-1)/2)+H$8,0)=EOMONTH($Z$3,0),H$6*H$7,0),0)),0)</f>
        <v>46</v>
      </c>
      <c r="AC9" s="16">
        <f t="shared" si="15"/>
        <v>0</v>
      </c>
      <c r="AD9" s="17"/>
      <c r="AE9" s="14">
        <f>IF(AD$98=1,AD9,ROUND(SUM(IF(AND(AY$6&lt;&gt;"",AY$8&lt;&gt;""),IF(EOMONTH($AX$3+INT((DAY(EOMONTH($AX$3,0))-1)/2)+AY$8,0)=EOMONTH($AD$3,0),AY$6*AY$7,0),0),IF(AND(AU$6&lt;&gt;"",AU$8&lt;&gt;""),IF(EOMONTH($AT$3+INT((DAY(EOMONTH($AT$3,0))-1)/2)+AU$8,0)=EOMONTH($AD$3,0),AU$6*AU$7,0),0),IF(AND(AQ$6&lt;&gt;"",AQ$8&lt;&gt;""),IF(EOMONTH($AP$3+INT((DAY(EOMONTH($AP$3,0))-1)/2)+AQ$8,0)=EOMONTH($AD$3,0),AQ$6*AQ$7,0),0),IF(AND(AM$6&lt;&gt;"",AM$8&lt;&gt;""),IF(EOMONTH($AL$3+INT((DAY(EOMONTH($AL$3,0))-1)/2)+AM$8,0)=EOMONTH($AD$3,0),AM$6*AM$7,0),0),IF(AND(AI$6&lt;&gt;"",AI$8&lt;&gt;""),IF(EOMONTH($AH$3+INT((DAY(EOMONTH($AH$3,0))-1)/2)+AI$8,0)=EOMONTH($AD$3,0),AI$6*AI$7,0),0),IF(AND(AE$6&lt;&gt;"",AE$8&lt;&gt;""),IF(EOMONTH($AD$3+INT((DAY(EOMONTH($AD$3,0))-1)/2)+AE$8,0)=EOMONTH($AD$3,0),AE$6*AE$7,0),0),IF(AND(AA$6&lt;&gt;"",AA$8&lt;&gt;""),IF(EOMONTH($Z$3+INT((DAY(EOMONTH($Z$3,0))-1)/2)+AA$8,0)=EOMONTH($AD$3,0),AA$6*AA$7,0),0),IF(AND(W$6&lt;&gt;"",W$8&lt;&gt;""),IF(EOMONTH($V$3+INT((DAY(EOMONTH($V$3,0))-1)/2)+W$8,0)=EOMONTH($AD$3,0),W$6*W$7,0),0),IF(AND(S$6&lt;&gt;"",S$8&lt;&gt;""),IF(EOMONTH($R$3+INT((DAY(EOMONTH($R$3,0))-1)/2)+S$8,0)=EOMONTH($AD$3,0),S$6*S$7,0),0),IF(AND(O$6&lt;&gt;"",O$8&lt;&gt;""),IF(EOMONTH($N$3+INT((DAY(EOMONTH($N$3,0))-1)/2)+O$8,0)=EOMONTH($AD$3,0),O$6*O$7,0),0),IF(AND(K$6&lt;&gt;"",K$8&lt;&gt;""),IF(EOMONTH($J$3+INT((DAY(EOMONTH($J$3,0))-1)/2)+K$8,0)=EOMONTH($AD$3,0),K$6*K$7,0),0),IF(AND(G$6&lt;&gt;"",G$8&lt;&gt;""),IF(EOMONTH($F$3+INT((DAY(EOMONTH($F$3,0))-1)/2)+G$8,0)=EOMONTH($AD$3,0),G$6*G$7,0),0)),0))</f>
        <v>45</v>
      </c>
      <c r="AF9" s="15">
        <f>ROUND(SUM(IF(AND(AZ$6&lt;&gt;"",AZ$8&lt;&gt;""),IF(EOMONTH($AX$3+INT((DAY(EOMONTH($AX$3,0))-1)/2)+AZ$8,0)=EOMONTH($AD$3,0),AZ$6*AZ$7,0),0),IF(AND(AV$6&lt;&gt;"",AV$8&lt;&gt;""),IF(EOMONTH($AT$3+INT((DAY(EOMONTH($AT$3,0))-1)/2)+AV$8,0)=EOMONTH($AD$3,0),AV$6*AV$7,0),0),IF(AND(AR$6&lt;&gt;"",AR$8&lt;&gt;""),IF(EOMONTH($AP$3+INT((DAY(EOMONTH($AP$3,0))-1)/2)+AR$8,0)=EOMONTH($AD$3,0),AR$6*AR$7,0),0),IF(AND(AN$6&lt;&gt;"",AN$8&lt;&gt;""),IF(EOMONTH($AL$3+INT((DAY(EOMONTH($AL$3,0))-1)/2)+AN$8,0)=EOMONTH($AD$3,0),AN$6*AN$7,0),0),IF(AND(AJ$6&lt;&gt;"",AJ$8&lt;&gt;""),IF(EOMONTH($AH$3+INT((DAY(EOMONTH($AH$3,0))-1)/2)+AJ$8,0)=EOMONTH($AD$3,0),AJ$6*AJ$7,0),0),IF(AND(AF$6&lt;&gt;"",AF$8&lt;&gt;""),IF(EOMONTH($AD$3+INT((DAY(EOMONTH($AD$3,0))-1)/2)+AF$8,0)=EOMONTH($AD$3,0),AF$6*AF$7,0),0),IF(AND(AB$6&lt;&gt;"",AB$8&lt;&gt;""),IF(EOMONTH($Z$3+INT((DAY(EOMONTH($Z$3,0))-1)/2)+AB$8,0)=EOMONTH($AD$3,0),AB$6*AB$7,0),0),IF(AND(X$6&lt;&gt;"",X$8&lt;&gt;""),IF(EOMONTH($V$3+INT((DAY(EOMONTH($V$3,0))-1)/2)+X$8,0)=EOMONTH($AD$3,0),X$6*X$7,0),0),IF(AND(T$6&lt;&gt;"",T$8&lt;&gt;""),IF(EOMONTH($R$3+INT((DAY(EOMONTH($R$3,0))-1)/2)+T$8,0)=EOMONTH($AD$3,0),T$6*T$7,0),0),IF(AND(P$6&lt;&gt;"",P$8&lt;&gt;""),IF(EOMONTH($N$3+INT((DAY(EOMONTH($N$3,0))-1)/2)+P$8,0)=EOMONTH($AD$3,0),P$6*P$7,0),0),IF(AND(L$6&lt;&gt;"",L$8&lt;&gt;""),IF(EOMONTH($J$3+INT((DAY(EOMONTH($J$3,0))-1)/2)+L$8,0)=EOMONTH($AD$3,0),L$6*L$7,0),0),IF(AND(H$6&lt;&gt;"",H$8&lt;&gt;""),IF(EOMONTH($F$3+INT((DAY(EOMONTH($F$3,0))-1)/2)+H$8,0)=EOMONTH($AD$3,0),H$6*H$7,0),0)),0)</f>
        <v>45</v>
      </c>
      <c r="AG9" s="16">
        <f t="shared" si="17"/>
        <v>0</v>
      </c>
      <c r="AH9" s="17"/>
      <c r="AI9" s="14">
        <f>IF(AH$98=1,AH9,ROUND(SUM(IF(AND(AY$6&lt;&gt;"",AY$8&lt;&gt;""),IF(EOMONTH($AX$3+INT((DAY(EOMONTH($AX$3,0))-1)/2)+AY$8,0)=EOMONTH($AH$3,0),AY$6*AY$7,0),0),IF(AND(AU$6&lt;&gt;"",AU$8&lt;&gt;""),IF(EOMONTH($AT$3+INT((DAY(EOMONTH($AT$3,0))-1)/2)+AU$8,0)=EOMONTH($AH$3,0),AU$6*AU$7,0),0),IF(AND(AQ$6&lt;&gt;"",AQ$8&lt;&gt;""),IF(EOMONTH($AP$3+INT((DAY(EOMONTH($AP$3,0))-1)/2)+AQ$8,0)=EOMONTH($AH$3,0),AQ$6*AQ$7,0),0),IF(AND(AM$6&lt;&gt;"",AM$8&lt;&gt;""),IF(EOMONTH($AL$3+INT((DAY(EOMONTH($AL$3,0))-1)/2)+AM$8,0)=EOMONTH($AH$3,0),AM$6*AM$7,0),0),IF(AND(AI$6&lt;&gt;"",AI$8&lt;&gt;""),IF(EOMONTH($AH$3+INT((DAY(EOMONTH($AH$3,0))-1)/2)+AI$8,0)=EOMONTH($AH$3,0),AI$6*AI$7,0),0),IF(AND(AE$6&lt;&gt;"",AE$8&lt;&gt;""),IF(EOMONTH($AD$3+INT((DAY(EOMONTH($AD$3,0))-1)/2)+AE$8,0)=EOMONTH($AH$3,0),AE$6*AE$7,0),0),IF(AND(AA$6&lt;&gt;"",AA$8&lt;&gt;""),IF(EOMONTH($Z$3+INT((DAY(EOMONTH($Z$3,0))-1)/2)+AA$8,0)=EOMONTH($AH$3,0),AA$6*AA$7,0),0),IF(AND(W$6&lt;&gt;"",W$8&lt;&gt;""),IF(EOMONTH($V$3+INT((DAY(EOMONTH($V$3,0))-1)/2)+W$8,0)=EOMONTH($AH$3,0),W$6*W$7,0),0),IF(AND(S$6&lt;&gt;"",S$8&lt;&gt;""),IF(EOMONTH($R$3+INT((DAY(EOMONTH($R$3,0))-1)/2)+S$8,0)=EOMONTH($AH$3,0),S$6*S$7,0),0),IF(AND(O$6&lt;&gt;"",O$8&lt;&gt;""),IF(EOMONTH($N$3+INT((DAY(EOMONTH($N$3,0))-1)/2)+O$8,0)=EOMONTH($AH$3,0),O$6*O$7,0),0),IF(AND(K$6&lt;&gt;"",K$8&lt;&gt;""),IF(EOMONTH($J$3+INT((DAY(EOMONTH($J$3,0))-1)/2)+K$8,0)=EOMONTH($AH$3,0),K$6*K$7,0),0),IF(AND(G$6&lt;&gt;"",G$8&lt;&gt;""),IF(EOMONTH($F$3+INT((DAY(EOMONTH($F$3,0))-1)/2)+G$8,0)=EOMONTH($AH$3,0),G$6*G$7,0),0)),0))</f>
        <v>44</v>
      </c>
      <c r="AJ9" s="15">
        <f>ROUND(SUM(IF(AND(AZ$6&lt;&gt;"",AZ$8&lt;&gt;""),IF(EOMONTH($AX$3+INT((DAY(EOMONTH($AX$3,0))-1)/2)+AZ$8,0)=EOMONTH($AH$3,0),AZ$6*AZ$7,0),0),IF(AND(AV$6&lt;&gt;"",AV$8&lt;&gt;""),IF(EOMONTH($AT$3+INT((DAY(EOMONTH($AT$3,0))-1)/2)+AV$8,0)=EOMONTH($AH$3,0),AV$6*AV$7,0),0),IF(AND(AR$6&lt;&gt;"",AR$8&lt;&gt;""),IF(EOMONTH($AP$3+INT((DAY(EOMONTH($AP$3,0))-1)/2)+AR$8,0)=EOMONTH($AH$3,0),AR$6*AR$7,0),0),IF(AND(AN$6&lt;&gt;"",AN$8&lt;&gt;""),IF(EOMONTH($AL$3+INT((DAY(EOMONTH($AL$3,0))-1)/2)+AN$8,0)=EOMONTH($AH$3,0),AN$6*AN$7,0),0),IF(AND(AJ$6&lt;&gt;"",AJ$8&lt;&gt;""),IF(EOMONTH($AH$3+INT((DAY(EOMONTH($AH$3,0))-1)/2)+AJ$8,0)=EOMONTH($AH$3,0),AJ$6*AJ$7,0),0),IF(AND(AF$6&lt;&gt;"",AF$8&lt;&gt;""),IF(EOMONTH($AD$3+INT((DAY(EOMONTH($AD$3,0))-1)/2)+AF$8,0)=EOMONTH($AH$3,0),AF$6*AF$7,0),0),IF(AND(AB$6&lt;&gt;"",AB$8&lt;&gt;""),IF(EOMONTH($Z$3+INT((DAY(EOMONTH($Z$3,0))-1)/2)+AB$8,0)=EOMONTH($AH$3,0),AB$6*AB$7,0),0),IF(AND(X$6&lt;&gt;"",X$8&lt;&gt;""),IF(EOMONTH($V$3+INT((DAY(EOMONTH($V$3,0))-1)/2)+X$8,0)=EOMONTH($AH$3,0),X$6*X$7,0),0),IF(AND(T$6&lt;&gt;"",T$8&lt;&gt;""),IF(EOMONTH($R$3+INT((DAY(EOMONTH($R$3,0))-1)/2)+T$8,0)=EOMONTH($AH$3,0),T$6*T$7,0),0),IF(AND(P$6&lt;&gt;"",P$8&lt;&gt;""),IF(EOMONTH($N$3+INT((DAY(EOMONTH($N$3,0))-1)/2)+P$8,0)=EOMONTH($AH$3,0),P$6*P$7,0),0),IF(AND(L$6&lt;&gt;"",L$8&lt;&gt;""),IF(EOMONTH($J$3+INT((DAY(EOMONTH($J$3,0))-1)/2)+L$8,0)=EOMONTH($AH$3,0),L$6*L$7,0),0),IF(AND(H$6&lt;&gt;"",H$8&lt;&gt;""),IF(EOMONTH($F$3+INT((DAY(EOMONTH($F$3,0))-1)/2)+H$8,0)=EOMONTH($AH$3,0),H$6*H$7,0),0)),0)</f>
        <v>44</v>
      </c>
      <c r="AK9" s="16">
        <f t="shared" si="19"/>
        <v>0</v>
      </c>
      <c r="AL9" s="17"/>
      <c r="AM9" s="14">
        <f>IF(AL$98=1,AL9,ROUND(SUM(IF(AND(AY$6&lt;&gt;"",AY$8&lt;&gt;""),IF(EOMONTH($AX$3+INT((DAY(EOMONTH($AX$3,0))-1)/2)+AY$8,0)=EOMONTH($AL$3,0),AY$6*AY$7,0),0),IF(AND(AU$6&lt;&gt;"",AU$8&lt;&gt;""),IF(EOMONTH($AT$3+INT((DAY(EOMONTH($AT$3,0))-1)/2)+AU$8,0)=EOMONTH($AL$3,0),AU$6*AU$7,0),0),IF(AND(AQ$6&lt;&gt;"",AQ$8&lt;&gt;""),IF(EOMONTH($AP$3+INT((DAY(EOMONTH($AP$3,0))-1)/2)+AQ$8,0)=EOMONTH($AL$3,0),AQ$6*AQ$7,0),0),IF(AND(AM$6&lt;&gt;"",AM$8&lt;&gt;""),IF(EOMONTH($AL$3+INT((DAY(EOMONTH($AL$3,0))-1)/2)+AM$8,0)=EOMONTH($AL$3,0),AM$6*AM$7,0),0),IF(AND(AI$6&lt;&gt;"",AI$8&lt;&gt;""),IF(EOMONTH($AH$3+INT((DAY(EOMONTH($AH$3,0))-1)/2)+AI$8,0)=EOMONTH($AL$3,0),AI$6*AI$7,0),0),IF(AND(AE$6&lt;&gt;"",AE$8&lt;&gt;""),IF(EOMONTH($AD$3+INT((DAY(EOMONTH($AD$3,0))-1)/2)+AE$8,0)=EOMONTH($AL$3,0),AE$6*AE$7,0),0),IF(AND(AA$6&lt;&gt;"",AA$8&lt;&gt;""),IF(EOMONTH($Z$3+INT((DAY(EOMONTH($Z$3,0))-1)/2)+AA$8,0)=EOMONTH($AL$3,0),AA$6*AA$7,0),0),IF(AND(W$6&lt;&gt;"",W$8&lt;&gt;""),IF(EOMONTH($V$3+INT((DAY(EOMONTH($V$3,0))-1)/2)+W$8,0)=EOMONTH($AL$3,0),W$6*W$7,0),0),IF(AND(S$6&lt;&gt;"",S$8&lt;&gt;""),IF(EOMONTH($R$3+INT((DAY(EOMONTH($R$3,0))-1)/2)+S$8,0)=EOMONTH($AL$3,0),S$6*S$7,0),0),IF(AND(O$6&lt;&gt;"",O$8&lt;&gt;""),IF(EOMONTH($N$3+INT((DAY(EOMONTH($N$3,0))-1)/2)+O$8,0)=EOMONTH($AL$3,0),O$6*O$7,0),0),IF(AND(K$6&lt;&gt;"",K$8&lt;&gt;""),IF(EOMONTH($J$3+INT((DAY(EOMONTH($J$3,0))-1)/2)+K$8,0)=EOMONTH($AL$3,0),K$6*K$7,0),0),IF(AND(G$6&lt;&gt;"",G$8&lt;&gt;""),IF(EOMONTH($F$3+INT((DAY(EOMONTH($F$3,0))-1)/2)+G$8,0)=EOMONTH($AL$3,0),G$6*G$7,0),0)),0))</f>
        <v>43</v>
      </c>
      <c r="AN9" s="15">
        <f>ROUND(SUM(IF(AND(AZ$6&lt;&gt;"",AZ$8&lt;&gt;""),IF(EOMONTH($AX$3+INT((DAY(EOMONTH($AX$3,0))-1)/2)+AZ$8,0)=EOMONTH($AL$3,0),AZ$6*AZ$7,0),0),IF(AND(AV$6&lt;&gt;"",AV$8&lt;&gt;""),IF(EOMONTH($AT$3+INT((DAY(EOMONTH($AT$3,0))-1)/2)+AV$8,0)=EOMONTH($AL$3,0),AV$6*AV$7,0),0),IF(AND(AR$6&lt;&gt;"",AR$8&lt;&gt;""),IF(EOMONTH($AP$3+INT((DAY(EOMONTH($AP$3,0))-1)/2)+AR$8,0)=EOMONTH($AL$3,0),AR$6*AR$7,0),0),IF(AND(AN$6&lt;&gt;"",AN$8&lt;&gt;""),IF(EOMONTH($AL$3+INT((DAY(EOMONTH($AL$3,0))-1)/2)+AN$8,0)=EOMONTH($AL$3,0),AN$6*AN$7,0),0),IF(AND(AJ$6&lt;&gt;"",AJ$8&lt;&gt;""),IF(EOMONTH($AH$3+INT((DAY(EOMONTH($AH$3,0))-1)/2)+AJ$8,0)=EOMONTH($AL$3,0),AJ$6*AJ$7,0),0),IF(AND(AF$6&lt;&gt;"",AF$8&lt;&gt;""),IF(EOMONTH($AD$3+INT((DAY(EOMONTH($AD$3,0))-1)/2)+AF$8,0)=EOMONTH($AL$3,0),AF$6*AF$7,0),0),IF(AND(AB$6&lt;&gt;"",AB$8&lt;&gt;""),IF(EOMONTH($Z$3+INT((DAY(EOMONTH($Z$3,0))-1)/2)+AB$8,0)=EOMONTH($AL$3,0),AB$6*AB$7,0),0),IF(AND(X$6&lt;&gt;"",X$8&lt;&gt;""),IF(EOMONTH($V$3+INT((DAY(EOMONTH($V$3,0))-1)/2)+X$8,0)=EOMONTH($AL$3,0),X$6*X$7,0),0),IF(AND(T$6&lt;&gt;"",T$8&lt;&gt;""),IF(EOMONTH($R$3+INT((DAY(EOMONTH($R$3,0))-1)/2)+T$8,0)=EOMONTH($AL$3,0),T$6*T$7,0),0),IF(AND(P$6&lt;&gt;"",P$8&lt;&gt;""),IF(EOMONTH($N$3+INT((DAY(EOMONTH($N$3,0))-1)/2)+P$8,0)=EOMONTH($AL$3,0),P$6*P$7,0),0),IF(AND(L$6&lt;&gt;"",L$8&lt;&gt;""),IF(EOMONTH($J$3+INT((DAY(EOMONTH($J$3,0))-1)/2)+L$8,0)=EOMONTH($AL$3,0),L$6*L$7,0),0),IF(AND(H$6&lt;&gt;"",H$8&lt;&gt;""),IF(EOMONTH($F$3+INT((DAY(EOMONTH($F$3,0))-1)/2)+H$8,0)=EOMONTH($AL$3,0),H$6*H$7,0),0)),0)</f>
        <v>43</v>
      </c>
      <c r="AO9" s="16">
        <f t="shared" si="21"/>
        <v>0</v>
      </c>
      <c r="AP9" s="17"/>
      <c r="AQ9" s="14">
        <f>IF(AP$98=1,AP9,ROUND(SUM(IF(AND(AY$6&lt;&gt;"",AY$8&lt;&gt;""),IF(EOMONTH($AX$3+INT((DAY(EOMONTH($AX$3,0))-1)/2)+AY$8,0)=EOMONTH($AP$3,0),AY$6*AY$7,0),0),IF(AND(AU$6&lt;&gt;"",AU$8&lt;&gt;""),IF(EOMONTH($AT$3+INT((DAY(EOMONTH($AT$3,0))-1)/2)+AU$8,0)=EOMONTH($AP$3,0),AU$6*AU$7,0),0),IF(AND(AQ$6&lt;&gt;"",AQ$8&lt;&gt;""),IF(EOMONTH($AP$3+INT((DAY(EOMONTH($AP$3,0))-1)/2)+AQ$8,0)=EOMONTH($AP$3,0),AQ$6*AQ$7,0),0),IF(AND(AM$6&lt;&gt;"",AM$8&lt;&gt;""),IF(EOMONTH($AL$3+INT((DAY(EOMONTH($AL$3,0))-1)/2)+AM$8,0)=EOMONTH($AP$3,0),AM$6*AM$7,0),0),IF(AND(AI$6&lt;&gt;"",AI$8&lt;&gt;""),IF(EOMONTH($AH$3+INT((DAY(EOMONTH($AH$3,0))-1)/2)+AI$8,0)=EOMONTH($AP$3,0),AI$6*AI$7,0),0),IF(AND(AE$6&lt;&gt;"",AE$8&lt;&gt;""),IF(EOMONTH($AD$3+INT((DAY(EOMONTH($AD$3,0))-1)/2)+AE$8,0)=EOMONTH($AP$3,0),AE$6*AE$7,0),0),IF(AND(AA$6&lt;&gt;"",AA$8&lt;&gt;""),IF(EOMONTH($Z$3+INT((DAY(EOMONTH($Z$3,0))-1)/2)+AA$8,0)=EOMONTH($AP$3,0),AA$6*AA$7,0),0),IF(AND(W$6&lt;&gt;"",W$8&lt;&gt;""),IF(EOMONTH($V$3+INT((DAY(EOMONTH($V$3,0))-1)/2)+W$8,0)=EOMONTH($AP$3,0),W$6*W$7,0),0),IF(AND(S$6&lt;&gt;"",S$8&lt;&gt;""),IF(EOMONTH($R$3+INT((DAY(EOMONTH($R$3,0))-1)/2)+S$8,0)=EOMONTH($AP$3,0),S$6*S$7,0),0),IF(AND(O$6&lt;&gt;"",O$8&lt;&gt;""),IF(EOMONTH($N$3+INT((DAY(EOMONTH($N$3,0))-1)/2)+O$8,0)=EOMONTH($AP$3,0),O$6*O$7,0),0),IF(AND(K$6&lt;&gt;"",K$8&lt;&gt;""),IF(EOMONTH($J$3+INT((DAY(EOMONTH($J$3,0))-1)/2)+K$8,0)=EOMONTH($AP$3,0),K$6*K$7,0),0),IF(AND(G$6&lt;&gt;"",G$8&lt;&gt;""),IF(EOMONTH($F$3+INT((DAY(EOMONTH($F$3,0))-1)/2)+G$8,0)=EOMONTH($AP$3,0),G$6*G$7,0),0)),0))</f>
        <v>42</v>
      </c>
      <c r="AR9" s="15">
        <f>ROUND(SUM(IF(AND(AZ$6&lt;&gt;"",AZ$8&lt;&gt;""),IF(EOMONTH($AX$3+INT((DAY(EOMONTH($AX$3,0))-1)/2)+AZ$8,0)=EOMONTH($AP$3,0),AZ$6*AZ$7,0),0),IF(AND(AV$6&lt;&gt;"",AV$8&lt;&gt;""),IF(EOMONTH($AT$3+INT((DAY(EOMONTH($AT$3,0))-1)/2)+AV$8,0)=EOMONTH($AP$3,0),AV$6*AV$7,0),0),IF(AND(AR$6&lt;&gt;"",AR$8&lt;&gt;""),IF(EOMONTH($AP$3+INT((DAY(EOMONTH($AP$3,0))-1)/2)+AR$8,0)=EOMONTH($AP$3,0),AR$6*AR$7,0),0),IF(AND(AN$6&lt;&gt;"",AN$8&lt;&gt;""),IF(EOMONTH($AL$3+INT((DAY(EOMONTH($AL$3,0))-1)/2)+AN$8,0)=EOMONTH($AP$3,0),AN$6*AN$7,0),0),IF(AND(AJ$6&lt;&gt;"",AJ$8&lt;&gt;""),IF(EOMONTH($AH$3+INT((DAY(EOMONTH($AH$3,0))-1)/2)+AJ$8,0)=EOMONTH($AP$3,0),AJ$6*AJ$7,0),0),IF(AND(AF$6&lt;&gt;"",AF$8&lt;&gt;""),IF(EOMONTH($AD$3+INT((DAY(EOMONTH($AD$3,0))-1)/2)+AF$8,0)=EOMONTH($AP$3,0),AF$6*AF$7,0),0),IF(AND(AB$6&lt;&gt;"",AB$8&lt;&gt;""),IF(EOMONTH($Z$3+INT((DAY(EOMONTH($Z$3,0))-1)/2)+AB$8,0)=EOMONTH($AP$3,0),AB$6*AB$7,0),0),IF(AND(X$6&lt;&gt;"",X$8&lt;&gt;""),IF(EOMONTH($V$3+INT((DAY(EOMONTH($V$3,0))-1)/2)+X$8,0)=EOMONTH($AP$3,0),X$6*X$7,0),0),IF(AND(T$6&lt;&gt;"",T$8&lt;&gt;""),IF(EOMONTH($R$3+INT((DAY(EOMONTH($R$3,0))-1)/2)+T$8,0)=EOMONTH($AP$3,0),T$6*T$7,0),0),IF(AND(P$6&lt;&gt;"",P$8&lt;&gt;""),IF(EOMONTH($N$3+INT((DAY(EOMONTH($N$3,0))-1)/2)+P$8,0)=EOMONTH($AP$3,0),P$6*P$7,0),0),IF(AND(L$6&lt;&gt;"",L$8&lt;&gt;""),IF(EOMONTH($J$3+INT((DAY(EOMONTH($J$3,0))-1)/2)+L$8,0)=EOMONTH($AP$3,0),L$6*L$7,0),0),IF(AND(H$6&lt;&gt;"",H$8&lt;&gt;""),IF(EOMONTH($F$3+INT((DAY(EOMONTH($F$3,0))-1)/2)+H$8,0)=EOMONTH($AP$3,0),H$6*H$7,0),0)),0)</f>
        <v>42</v>
      </c>
      <c r="AS9" s="16">
        <f t="shared" si="23"/>
        <v>0</v>
      </c>
      <c r="AT9" s="17">
        <v>38.0</v>
      </c>
      <c r="AU9" s="14">
        <f>IF(AT$98=1,AT9,ROUND(SUM(IF(AND(AY$6&lt;&gt;"",AY$8&lt;&gt;""),IF(EOMONTH($AX$3+INT((DAY(EOMONTH($AX$3,0))-1)/2)+AY$8,0)=EOMONTH($AT$3,0),AY$6*AY$7,0),0),IF(AND(AU$6&lt;&gt;"",AU$8&lt;&gt;""),IF(EOMONTH($AT$3+INT((DAY(EOMONTH($AT$3,0))-1)/2)+AU$8,0)=EOMONTH($AT$3,0),AU$6*AU$7,0),0),IF(AND(AQ$6&lt;&gt;"",AQ$8&lt;&gt;""),IF(EOMONTH($AP$3+INT((DAY(EOMONTH($AP$3,0))-1)/2)+AQ$8,0)=EOMONTH($AT$3,0),AQ$6*AQ$7,0),0),IF(AND(AM$6&lt;&gt;"",AM$8&lt;&gt;""),IF(EOMONTH($AL$3+INT((DAY(EOMONTH($AL$3,0))-1)/2)+AM$8,0)=EOMONTH($AT$3,0),AM$6*AM$7,0),0),IF(AND(AI$6&lt;&gt;"",AI$8&lt;&gt;""),IF(EOMONTH($AH$3+INT((DAY(EOMONTH($AH$3,0))-1)/2)+AI$8,0)=EOMONTH($AT$3,0),AI$6*AI$7,0),0),IF(AND(AE$6&lt;&gt;"",AE$8&lt;&gt;""),IF(EOMONTH($AD$3+INT((DAY(EOMONTH($AD$3,0))-1)/2)+AE$8,0)=EOMONTH($AT$3,0),AE$6*AE$7,0),0),IF(AND(AA$6&lt;&gt;"",AA$8&lt;&gt;""),IF(EOMONTH($Z$3+INT((DAY(EOMONTH($Z$3,0))-1)/2)+AA$8,0)=EOMONTH($AT$3,0),AA$6*AA$7,0),0),IF(AND(W$6&lt;&gt;"",W$8&lt;&gt;""),IF(EOMONTH($V$3+INT((DAY(EOMONTH($V$3,0))-1)/2)+W$8,0)=EOMONTH($AT$3,0),W$6*W$7,0),0),IF(AND(S$6&lt;&gt;"",S$8&lt;&gt;""),IF(EOMONTH($R$3+INT((DAY(EOMONTH($R$3,0))-1)/2)+S$8,0)=EOMONTH($AT$3,0),S$6*S$7,0),0),IF(AND(O$6&lt;&gt;"",O$8&lt;&gt;""),IF(EOMONTH($N$3+INT((DAY(EOMONTH($N$3,0))-1)/2)+O$8,0)=EOMONTH($AT$3,0),O$6*O$7,0),0),IF(AND(K$6&lt;&gt;"",K$8&lt;&gt;""),IF(EOMONTH($J$3+INT((DAY(EOMONTH($J$3,0))-1)/2)+K$8,0)=EOMONTH($AT$3,0),K$6*K$7,0),0),IF(AND(G$6&lt;&gt;"",G$8&lt;&gt;""),IF(EOMONTH($F$3+INT((DAY(EOMONTH($F$3,0))-1)/2)+G$8,0)=EOMONTH($AT$3,0),G$6*G$7,0),0)),0))</f>
        <v>38</v>
      </c>
      <c r="AV9" s="15">
        <f>ROUND(SUM(IF(AND(AZ$6&lt;&gt;"",AZ$8&lt;&gt;""),IF(EOMONTH($AX$3+INT((DAY(EOMONTH($AX$3,0))-1)/2)+AZ$8,0)=EOMONTH($AT$3,0),AZ$6*AZ$7,0),0),IF(AND(AV$6&lt;&gt;"",AV$8&lt;&gt;""),IF(EOMONTH($AT$3+INT((DAY(EOMONTH($AT$3,0))-1)/2)+AV$8,0)=EOMONTH($AT$3,0),AV$6*AV$7,0),0),IF(AND(AR$6&lt;&gt;"",AR$8&lt;&gt;""),IF(EOMONTH($AP$3+INT((DAY(EOMONTH($AP$3,0))-1)/2)+AR$8,0)=EOMONTH($AT$3,0),AR$6*AR$7,0),0),IF(AND(AN$6&lt;&gt;"",AN$8&lt;&gt;""),IF(EOMONTH($AL$3+INT((DAY(EOMONTH($AL$3,0))-1)/2)+AN$8,0)=EOMONTH($AT$3,0),AN$6*AN$7,0),0),IF(AND(AJ$6&lt;&gt;"",AJ$8&lt;&gt;""),IF(EOMONTH($AH$3+INT((DAY(EOMONTH($AH$3,0))-1)/2)+AJ$8,0)=EOMONTH($AT$3,0),AJ$6*AJ$7,0),0),IF(AND(AF$6&lt;&gt;"",AF$8&lt;&gt;""),IF(EOMONTH($AD$3+INT((DAY(EOMONTH($AD$3,0))-1)/2)+AF$8,0)=EOMONTH($AT$3,0),AF$6*AF$7,0),0),IF(AND(AB$6&lt;&gt;"",AB$8&lt;&gt;""),IF(EOMONTH($Z$3+INT((DAY(EOMONTH($Z$3,0))-1)/2)+AB$8,0)=EOMONTH($AT$3,0),AB$6*AB$7,0),0),IF(AND(X$6&lt;&gt;"",X$8&lt;&gt;""),IF(EOMONTH($V$3+INT((DAY(EOMONTH($V$3,0))-1)/2)+X$8,0)=EOMONTH($AT$3,0),X$6*X$7,0),0),IF(AND(T$6&lt;&gt;"",T$8&lt;&gt;""),IF(EOMONTH($R$3+INT((DAY(EOMONTH($R$3,0))-1)/2)+T$8,0)=EOMONTH($AT$3,0),T$6*T$7,0),0),IF(AND(P$6&lt;&gt;"",P$8&lt;&gt;""),IF(EOMONTH($N$3+INT((DAY(EOMONTH($N$3,0))-1)/2)+P$8,0)=EOMONTH($AT$3,0),P$6*P$7,0),0),IF(AND(L$6&lt;&gt;"",L$8&lt;&gt;""),IF(EOMONTH($J$3+INT((DAY(EOMONTH($J$3,0))-1)/2)+L$8,0)=EOMONTH($AT$3,0),L$6*L$7,0),0),IF(AND(H$6&lt;&gt;"",H$8&lt;&gt;""),IF(EOMONTH($F$3+INT((DAY(EOMONTH($F$3,0))-1)/2)+H$8,0)=EOMONTH($AT$3,0),H$6*H$7,0),0)),0)</f>
        <v>41</v>
      </c>
      <c r="AW9" s="16">
        <f t="shared" si="25"/>
        <v>-3</v>
      </c>
      <c r="AX9" s="17">
        <v>36.0</v>
      </c>
      <c r="AY9" s="14">
        <f>IF(AX$98=1,AX9,ROUND(SUM(IF(AND(AY$6&lt;&gt;"",AY$8&lt;&gt;""),IF(EOMONTH($AX$3+INT((DAY(EOMONTH($AX$3,0))-1)/2)+AY$8,0)=EOMONTH($AX$3,0),AY$6*AY$7,0),0),IF(AND(AU$6&lt;&gt;"",AU$8&lt;&gt;""),IF(EOMONTH($AT$3+INT((DAY(EOMONTH($AT$3,0))-1)/2)+AU$8,0)=EOMONTH($AX$3,0),AU$6*AU$7,0),0),IF(AND(AQ$6&lt;&gt;"",AQ$8&lt;&gt;""),IF(EOMONTH($AP$3+INT((DAY(EOMONTH($AP$3,0))-1)/2)+AQ$8,0)=EOMONTH($AX$3,0),AQ$6*AQ$7,0),0),IF(AND(AM$6&lt;&gt;"",AM$8&lt;&gt;""),IF(EOMONTH($AL$3+INT((DAY(EOMONTH($AL$3,0))-1)/2)+AM$8,0)=EOMONTH($AX$3,0),AM$6*AM$7,0),0),IF(AND(AI$6&lt;&gt;"",AI$8&lt;&gt;""),IF(EOMONTH($AH$3+INT((DAY(EOMONTH($AH$3,0))-1)/2)+AI$8,0)=EOMONTH($AX$3,0),AI$6*AI$7,0),0),IF(AND(AE$6&lt;&gt;"",AE$8&lt;&gt;""),IF(EOMONTH($AD$3+INT((DAY(EOMONTH($AD$3,0))-1)/2)+AE$8,0)=EOMONTH($AX$3,0),AE$6*AE$7,0),0),IF(AND(AA$6&lt;&gt;"",AA$8&lt;&gt;""),IF(EOMONTH($Z$3+INT((DAY(EOMONTH($Z$3,0))-1)/2)+AA$8,0)=EOMONTH($AX$3,0),AA$6*AA$7,0),0),IF(AND(W$6&lt;&gt;"",W$8&lt;&gt;""),IF(EOMONTH($V$3+INT((DAY(EOMONTH($V$3,0))-1)/2)+W$8,0)=EOMONTH($AX$3,0),W$6*W$7,0),0),IF(AND(S$6&lt;&gt;"",S$8&lt;&gt;""),IF(EOMONTH($R$3+INT((DAY(EOMONTH($R$3,0))-1)/2)+S$8,0)=EOMONTH($AX$3,0),S$6*S$7,0),0),IF(AND(O$6&lt;&gt;"",O$8&lt;&gt;""),IF(EOMONTH($N$3+INT((DAY(EOMONTH($N$3,0))-1)/2)+O$8,0)=EOMONTH($AX$3,0),O$6*O$7,0),0),IF(AND(K$6&lt;&gt;"",K$8&lt;&gt;""),IF(EOMONTH($J$3+INT((DAY(EOMONTH($J$3,0))-1)/2)+K$8,0)=EOMONTH($AX$3,0),K$6*K$7,0),0),IF(AND(G$6&lt;&gt;"",G$8&lt;&gt;""),IF(EOMONTH($F$3+INT((DAY(EOMONTH($F$3,0))-1)/2)+G$8,0)=EOMONTH($AX$3,0),G$6*G$7,0),0)),0))</f>
        <v>36</v>
      </c>
      <c r="AZ9" s="15">
        <f>ROUND(SUM(IF(AND(AZ$6&lt;&gt;"",AZ$8&lt;&gt;""),IF(EOMONTH($AX$3+INT((DAY(EOMONTH($AX$3,0))-1)/2)+AZ$8,0)=EOMONTH($AX$3,0),AZ$6*AZ$7,0),0),IF(AND(AV$6&lt;&gt;"",AV$8&lt;&gt;""),IF(EOMONTH($AT$3+INT((DAY(EOMONTH($AT$3,0))-1)/2)+AV$8,0)=EOMONTH($AX$3,0),AV$6*AV$7,0),0),IF(AND(AR$6&lt;&gt;"",AR$8&lt;&gt;""),IF(EOMONTH($AP$3+INT((DAY(EOMONTH($AP$3,0))-1)/2)+AR$8,0)=EOMONTH($AX$3,0),AR$6*AR$7,0),0),IF(AND(AN$6&lt;&gt;"",AN$8&lt;&gt;""),IF(EOMONTH($AL$3+INT((DAY(EOMONTH($AL$3,0))-1)/2)+AN$8,0)=EOMONTH($AX$3,0),AN$6*AN$7,0),0),IF(AND(AJ$6&lt;&gt;"",AJ$8&lt;&gt;""),IF(EOMONTH($AH$3+INT((DAY(EOMONTH($AH$3,0))-1)/2)+AJ$8,0)=EOMONTH($AX$3,0),AJ$6*AJ$7,0),0),IF(AND(AF$6&lt;&gt;"",AF$8&lt;&gt;""),IF(EOMONTH($AD$3+INT((DAY(EOMONTH($AD$3,0))-1)/2)+AF$8,0)=EOMONTH($AX$3,0),AF$6*AF$7,0),0),IF(AND(AB$6&lt;&gt;"",AB$8&lt;&gt;""),IF(EOMONTH($Z$3+INT((DAY(EOMONTH($Z$3,0))-1)/2)+AB$8,0)=EOMONTH($AX$3,0),AB$6*AB$7,0),0),IF(AND(X$6&lt;&gt;"",X$8&lt;&gt;""),IF(EOMONTH($V$3+INT((DAY(EOMONTH($V$3,0))-1)/2)+X$8,0)=EOMONTH($AX$3,0),X$6*X$7,0),0),IF(AND(T$6&lt;&gt;"",T$8&lt;&gt;""),IF(EOMONTH($R$3+INT((DAY(EOMONTH($R$3,0))-1)/2)+T$8,0)=EOMONTH($AX$3,0),T$6*T$7,0),0),IF(AND(P$6&lt;&gt;"",P$8&lt;&gt;""),IF(EOMONTH($N$3+INT((DAY(EOMONTH($N$3,0))-1)/2)+P$8,0)=EOMONTH($AX$3,0),P$6*P$7,0),0),IF(AND(L$6&lt;&gt;"",L$8&lt;&gt;""),IF(EOMONTH($J$3+INT((DAY(EOMONTH($J$3,0))-1)/2)+L$8,0)=EOMONTH($AX$3,0),L$6*L$7,0),0),IF(AND(H$6&lt;&gt;"",H$8&lt;&gt;""),IF(EOMONTH($F$3+INT((DAY(EOMONTH($F$3,0))-1)/2)+H$8,0)=EOMONTH($AX$3,0),H$6*H$7,0),0)),0)</f>
        <v>40</v>
      </c>
      <c r="BA9" s="16">
        <f t="shared" si="27"/>
        <v>-4</v>
      </c>
    </row>
    <row r="10" ht="18.0" customHeight="1">
      <c r="A10" s="2" t="s">
        <v>13</v>
      </c>
      <c r="B10" s="19">
        <f t="shared" ref="B10:D10" si="30">IFERROR(B12/B9,"")</f>
        <v>0.2027027027</v>
      </c>
      <c r="C10" s="20">
        <f t="shared" si="30"/>
        <v>0.2374768089</v>
      </c>
      <c r="D10" s="21">
        <f t="shared" si="30"/>
        <v>0.2472527473</v>
      </c>
      <c r="E10" s="22">
        <f t="shared" si="3"/>
        <v>-0.009775938347</v>
      </c>
      <c r="F10" s="19" t="str">
        <f>IFERROR(IF(OR(F12="",F9=""),"",F12/F9),"")</f>
        <v/>
      </c>
      <c r="G10" s="20">
        <f t="shared" ref="G10:G11" si="32">IF(F$98=1,F10,H10)</f>
        <v>0.25</v>
      </c>
      <c r="H10" s="23">
        <v>0.25</v>
      </c>
      <c r="I10" s="22">
        <f t="shared" si="5"/>
        <v>0</v>
      </c>
      <c r="J10" s="19" t="str">
        <f>IFERROR(IF(OR(J12="",J9=""),"",J12/J9),"")</f>
        <v/>
      </c>
      <c r="K10" s="20">
        <f t="shared" ref="K10:K11" si="33">IF(J$98=1,J10,L10)</f>
        <v>0.25</v>
      </c>
      <c r="L10" s="23">
        <v>0.25</v>
      </c>
      <c r="M10" s="22">
        <f t="shared" si="7"/>
        <v>0</v>
      </c>
      <c r="N10" s="19" t="str">
        <f>IFERROR(IF(OR(N12="",N9=""),"",N12/N9),"")</f>
        <v/>
      </c>
      <c r="O10" s="20">
        <f t="shared" ref="O10:O11" si="34">IF(N$98=1,N10,P10)</f>
        <v>0.25</v>
      </c>
      <c r="P10" s="23">
        <v>0.25</v>
      </c>
      <c r="Q10" s="22">
        <f t="shared" si="9"/>
        <v>0</v>
      </c>
      <c r="R10" s="19" t="str">
        <f>IFERROR(IF(OR(R12="",R9=""),"",R12/R9),"")</f>
        <v/>
      </c>
      <c r="S10" s="20">
        <f t="shared" ref="S10:S11" si="35">IF(R$98=1,R10,T10)</f>
        <v>0.25</v>
      </c>
      <c r="T10" s="23">
        <v>0.25</v>
      </c>
      <c r="U10" s="22">
        <f t="shared" si="11"/>
        <v>0</v>
      </c>
      <c r="V10" s="19" t="str">
        <f>IFERROR(IF(OR(V12="",V9=""),"",V12/V9),"")</f>
        <v/>
      </c>
      <c r="W10" s="20">
        <f t="shared" ref="W10:W11" si="36">IF(V$98=1,V10,X10)</f>
        <v>0.25</v>
      </c>
      <c r="X10" s="23">
        <v>0.25</v>
      </c>
      <c r="Y10" s="22">
        <f t="shared" si="13"/>
        <v>0</v>
      </c>
      <c r="Z10" s="19" t="str">
        <f>IFERROR(IF(OR(Z12="",Z9=""),"",Z12/Z9),"")</f>
        <v/>
      </c>
      <c r="AA10" s="20">
        <f t="shared" ref="AA10:AA11" si="37">IF(Z$98=1,Z10,AB10)</f>
        <v>0.25</v>
      </c>
      <c r="AB10" s="23">
        <v>0.25</v>
      </c>
      <c r="AC10" s="22">
        <f t="shared" si="15"/>
        <v>0</v>
      </c>
      <c r="AD10" s="19" t="str">
        <f>IFERROR(IF(OR(AD12="",AD9=""),"",AD12/AD9),"")</f>
        <v/>
      </c>
      <c r="AE10" s="20">
        <f t="shared" ref="AE10:AE11" si="38">IF(AD$98=1,AD10,AF10)</f>
        <v>0.25</v>
      </c>
      <c r="AF10" s="23">
        <v>0.25</v>
      </c>
      <c r="AG10" s="22">
        <f t="shared" si="17"/>
        <v>0</v>
      </c>
      <c r="AH10" s="19" t="str">
        <f>IFERROR(IF(OR(AH12="",AH9=""),"",AH12/AH9),"")</f>
        <v/>
      </c>
      <c r="AI10" s="20">
        <f t="shared" ref="AI10:AI11" si="39">IF(AH$98=1,AH10,AJ10)</f>
        <v>0.25</v>
      </c>
      <c r="AJ10" s="23">
        <v>0.25</v>
      </c>
      <c r="AK10" s="22">
        <f t="shared" si="19"/>
        <v>0</v>
      </c>
      <c r="AL10" s="19" t="str">
        <f>IFERROR(IF(OR(AL12="",AL9=""),"",AL12/AL9),"")</f>
        <v/>
      </c>
      <c r="AM10" s="20">
        <f t="shared" ref="AM10:AM11" si="40">IF(AL$98=1,AL10,AN10)</f>
        <v>0.25</v>
      </c>
      <c r="AN10" s="23">
        <v>0.25</v>
      </c>
      <c r="AO10" s="22">
        <f t="shared" si="21"/>
        <v>0</v>
      </c>
      <c r="AP10" s="19" t="str">
        <f>IFERROR(IF(OR(AP12="",AP9=""),"",AP12/AP9),"")</f>
        <v/>
      </c>
      <c r="AQ10" s="20">
        <f t="shared" ref="AQ10:AQ11" si="41">IF(AP$98=1,AP10,AR10)</f>
        <v>0.25</v>
      </c>
      <c r="AR10" s="23">
        <v>0.25</v>
      </c>
      <c r="AS10" s="22">
        <f t="shared" si="23"/>
        <v>0</v>
      </c>
      <c r="AT10" s="19">
        <f>IFERROR(IF(OR(AT12="",AT9=""),"",AT12/AT9),"")</f>
        <v>0.2105263158</v>
      </c>
      <c r="AU10" s="20">
        <f t="shared" ref="AU10:AU11" si="42">IF(AT$98=1,AT10,AV10)</f>
        <v>0.2105263158</v>
      </c>
      <c r="AV10" s="23">
        <v>0.25</v>
      </c>
      <c r="AW10" s="22">
        <f t="shared" si="25"/>
        <v>-0.03947368421</v>
      </c>
      <c r="AX10" s="19">
        <f>IFERROR(IF(OR(AX12="",AX9=""),"",AX12/AX9),"")</f>
        <v>0.1944444444</v>
      </c>
      <c r="AY10" s="20">
        <f t="shared" ref="AY10:AY11" si="43">IF(AX$98=1,AX10,AZ10)</f>
        <v>0.1944444444</v>
      </c>
      <c r="AZ10" s="23">
        <v>0.25</v>
      </c>
      <c r="BA10" s="22">
        <f t="shared" si="27"/>
        <v>-0.05555555556</v>
      </c>
    </row>
    <row r="11" ht="18.0" customHeight="1">
      <c r="A11" s="2" t="s">
        <v>14</v>
      </c>
      <c r="B11" s="24">
        <f t="shared" ref="B11:D11" si="31">IFERROR(SUM(AX11*AX9,AT11*AT9,AP11*AP9,AL11*AL9,AH11*AH9,AD11*AD9,Z11*Z9,V11*V9,R11*R9,N11*N9,J11*J9,F11*F9)/SUM(AX9,AT9,AP9,AL9,AH9,AD9,Z9,V9,R9,N9,J9,F9),"")</f>
        <v>30</v>
      </c>
      <c r="C11" s="25">
        <f t="shared" si="31"/>
        <v>30</v>
      </c>
      <c r="D11" s="26">
        <f t="shared" si="31"/>
        <v>30</v>
      </c>
      <c r="E11" s="27">
        <f t="shared" si="3"/>
        <v>0</v>
      </c>
      <c r="F11" s="28"/>
      <c r="G11" s="25">
        <f t="shared" si="32"/>
        <v>30</v>
      </c>
      <c r="H11" s="29">
        <v>30.0</v>
      </c>
      <c r="I11" s="27">
        <f t="shared" si="5"/>
        <v>0</v>
      </c>
      <c r="J11" s="28"/>
      <c r="K11" s="25">
        <f t="shared" si="33"/>
        <v>30</v>
      </c>
      <c r="L11" s="29">
        <v>30.0</v>
      </c>
      <c r="M11" s="27">
        <f t="shared" si="7"/>
        <v>0</v>
      </c>
      <c r="N11" s="28"/>
      <c r="O11" s="25">
        <f t="shared" si="34"/>
        <v>30</v>
      </c>
      <c r="P11" s="29">
        <v>30.0</v>
      </c>
      <c r="Q11" s="27">
        <f t="shared" si="9"/>
        <v>0</v>
      </c>
      <c r="R11" s="28"/>
      <c r="S11" s="25">
        <f t="shared" si="35"/>
        <v>30</v>
      </c>
      <c r="T11" s="29">
        <v>30.0</v>
      </c>
      <c r="U11" s="27">
        <f t="shared" si="11"/>
        <v>0</v>
      </c>
      <c r="V11" s="28"/>
      <c r="W11" s="25">
        <f t="shared" si="36"/>
        <v>30</v>
      </c>
      <c r="X11" s="29">
        <v>30.0</v>
      </c>
      <c r="Y11" s="27">
        <f t="shared" si="13"/>
        <v>0</v>
      </c>
      <c r="Z11" s="28"/>
      <c r="AA11" s="25">
        <f t="shared" si="37"/>
        <v>30</v>
      </c>
      <c r="AB11" s="29">
        <v>30.0</v>
      </c>
      <c r="AC11" s="27">
        <f t="shared" si="15"/>
        <v>0</v>
      </c>
      <c r="AD11" s="28"/>
      <c r="AE11" s="25">
        <f t="shared" si="38"/>
        <v>30</v>
      </c>
      <c r="AF11" s="29">
        <v>30.0</v>
      </c>
      <c r="AG11" s="27">
        <f t="shared" si="17"/>
        <v>0</v>
      </c>
      <c r="AH11" s="28"/>
      <c r="AI11" s="25">
        <f t="shared" si="39"/>
        <v>30</v>
      </c>
      <c r="AJ11" s="29">
        <v>30.0</v>
      </c>
      <c r="AK11" s="27">
        <f t="shared" si="19"/>
        <v>0</v>
      </c>
      <c r="AL11" s="28"/>
      <c r="AM11" s="25">
        <f t="shared" si="40"/>
        <v>30</v>
      </c>
      <c r="AN11" s="29">
        <v>30.0</v>
      </c>
      <c r="AO11" s="27">
        <f t="shared" si="21"/>
        <v>0</v>
      </c>
      <c r="AP11" s="28"/>
      <c r="AQ11" s="25">
        <f t="shared" si="41"/>
        <v>30</v>
      </c>
      <c r="AR11" s="29">
        <v>30.0</v>
      </c>
      <c r="AS11" s="27">
        <f t="shared" si="23"/>
        <v>0</v>
      </c>
      <c r="AT11" s="28">
        <v>30.0</v>
      </c>
      <c r="AU11" s="25">
        <f t="shared" si="42"/>
        <v>30</v>
      </c>
      <c r="AV11" s="29">
        <v>30.0</v>
      </c>
      <c r="AW11" s="27">
        <f t="shared" si="25"/>
        <v>0</v>
      </c>
      <c r="AX11" s="28">
        <v>30.0</v>
      </c>
      <c r="AY11" s="25">
        <f t="shared" si="43"/>
        <v>30</v>
      </c>
      <c r="AZ11" s="29">
        <v>30.0</v>
      </c>
      <c r="BA11" s="27">
        <f t="shared" si="27"/>
        <v>0</v>
      </c>
    </row>
    <row r="12" ht="18.0" customHeight="1">
      <c r="A12" s="2" t="s">
        <v>15</v>
      </c>
      <c r="B12" s="13">
        <f t="shared" ref="B12:D12" si="44">SUM(AX12,AT12,AP12,AL12,AH12,AD12,Z12,V12,R12,N12,J12,F12)</f>
        <v>15</v>
      </c>
      <c r="C12" s="14">
        <f t="shared" si="44"/>
        <v>128</v>
      </c>
      <c r="D12" s="15">
        <f t="shared" si="44"/>
        <v>135</v>
      </c>
      <c r="E12" s="16">
        <f t="shared" si="3"/>
        <v>-7</v>
      </c>
      <c r="F12" s="17"/>
      <c r="G12" s="14">
        <f>IF(F$98=1,F12,ROUND(SUM(IF(AND(AY$9&lt;&gt;"",AY$11&lt;&gt;""),IF(EOMONTH($AX$3+INT((DAY(EOMONTH($AX$3,0))-1)/2)+AY$11,0)=EOMONTH($F$3,0),AY$9*AY$10,0),0),IF(AND(AU$9&lt;&gt;"",AU$11&lt;&gt;""),IF(EOMONTH($AT$3+INT((DAY(EOMONTH($AT$3,0))-1)/2)+AU$11,0)=EOMONTH($F$3,0),AU$9*AU$10,0),0),IF(AND(AQ$9&lt;&gt;"",AQ$11&lt;&gt;""),IF(EOMONTH($AP$3+INT((DAY(EOMONTH($AP$3,0))-1)/2)+AQ$11,0)=EOMONTH($F$3,0),AQ$9*AQ$10,0),0),IF(AND(AM$9&lt;&gt;"",AM$11&lt;&gt;""),IF(EOMONTH($AL$3+INT((DAY(EOMONTH($AL$3,0))-1)/2)+AM$11,0)=EOMONTH($F$3,0),AM$9*AM$10,0),0),IF(AND(AI$9&lt;&gt;"",AI$11&lt;&gt;""),IF(EOMONTH($AH$3+INT((DAY(EOMONTH($AH$3,0))-1)/2)+AI$11,0)=EOMONTH($F$3,0),AI$9*AI$10,0),0),IF(AND(AE$9&lt;&gt;"",AE$11&lt;&gt;""),IF(EOMONTH($AD$3+INT((DAY(EOMONTH($AD$3,0))-1)/2)+AE$11,0)=EOMONTH($F$3,0),AE$9*AE$10,0),0),IF(AND(AA$9&lt;&gt;"",AA$11&lt;&gt;""),IF(EOMONTH($Z$3+INT((DAY(EOMONTH($Z$3,0))-1)/2)+AA$11,0)=EOMONTH($F$3,0),AA$9*AA$10,0),0),IF(AND(W$9&lt;&gt;"",W$11&lt;&gt;""),IF(EOMONTH($V$3+INT((DAY(EOMONTH($V$3,0))-1)/2)+W$11,0)=EOMONTH($F$3,0),W$9*W$10,0),0),IF(AND(S$9&lt;&gt;"",S$11&lt;&gt;""),IF(EOMONTH($R$3+INT((DAY(EOMONTH($R$3,0))-1)/2)+S$11,0)=EOMONTH($F$3,0),S$9*S$10,0),0),IF(AND(O$9&lt;&gt;"",O$11&lt;&gt;""),IF(EOMONTH($N$3+INT((DAY(EOMONTH($N$3,0))-1)/2)+O$11,0)=EOMONTH($F$3,0),O$9*O$10,0),0),IF(AND(K$9&lt;&gt;"",K$11&lt;&gt;""),IF(EOMONTH($J$3+INT((DAY(EOMONTH($J$3,0))-1)/2)+K$11,0)=EOMONTH($F$3,0),K$9*K$10,0),0),IF(AND(G$9&lt;&gt;"",G$11&lt;&gt;""),IF(EOMONTH($F$3+INT((DAY(EOMONTH($F$3,0))-1)/2)+G$11,0)=EOMONTH($F$3,0),G$9*G$10,0),0),IF($AX$75="",0,IF(EOMONTH($AX$75+AY$11,0)=EOMONTH($F$3,0),$AX$76*AY$10,0))),0))</f>
        <v>13</v>
      </c>
      <c r="H12" s="15">
        <f>ROUND(SUM(IF(AND(AZ$9&lt;&gt;"",AZ$11&lt;&gt;""),IF(EOMONTH($AX$3+INT((DAY(EOMONTH($AX$3,0))-1)/2)+AZ$11,0)=EOMONTH($F$3,0),AZ$9*AZ$10,0),0),IF(AND(AV$9&lt;&gt;"",AV$11&lt;&gt;""),IF(EOMONTH($AT$3+INT((DAY(EOMONTH($AT$3,0))-1)/2)+AV$11,0)=EOMONTH($F$3,0),AV$9*AV$10,0),0),IF(AND(AR$9&lt;&gt;"",AR$11&lt;&gt;""),IF(EOMONTH($AP$3+INT((DAY(EOMONTH($AP$3,0))-1)/2)+AR$11,0)=EOMONTH($F$3,0),AR$9*AR$10,0),0),IF(AND(AN$9&lt;&gt;"",AN$11&lt;&gt;""),IF(EOMONTH($AL$3+INT((DAY(EOMONTH($AL$3,0))-1)/2)+AN$11,0)=EOMONTH($F$3,0),AN$9*AN$10,0),0),IF(AND(AJ$9&lt;&gt;"",AJ$11&lt;&gt;""),IF(EOMONTH($AH$3+INT((DAY(EOMONTH($AH$3,0))-1)/2)+AJ$11,0)=EOMONTH($F$3,0),AJ$9*AJ$10,0),0),IF(AND(AF$9&lt;&gt;"",AF$11&lt;&gt;""),IF(EOMONTH($AD$3+INT((DAY(EOMONTH($AD$3,0))-1)/2)+AF$11,0)=EOMONTH($F$3,0),AF$9*AF$10,0),0),IF(AND(AB$9&lt;&gt;"",AB$11&lt;&gt;""),IF(EOMONTH($Z$3+INT((DAY(EOMONTH($Z$3,0))-1)/2)+AB$11,0)=EOMONTH($F$3,0),AB$9*AB$10,0),0),IF(AND(X$9&lt;&gt;"",X$11&lt;&gt;""),IF(EOMONTH($V$3+INT((DAY(EOMONTH($V$3,0))-1)/2)+X$11,0)=EOMONTH($F$3,0),X$9*X$10,0),0),IF(AND(T$9&lt;&gt;"",T$11&lt;&gt;""),IF(EOMONTH($R$3+INT((DAY(EOMONTH($R$3,0))-1)/2)+T$11,0)=EOMONTH($F$3,0),T$9*T$10,0),0),IF(AND(P$9&lt;&gt;"",P$11&lt;&gt;""),IF(EOMONTH($N$3+INT((DAY(EOMONTH($N$3,0))-1)/2)+P$11,0)=EOMONTH($F$3,0),P$9*P$10,0),0),IF(AND(L$9&lt;&gt;"",L$11&lt;&gt;""),IF(EOMONTH($J$3+INT((DAY(EOMONTH($J$3,0))-1)/2)+L$11,0)=EOMONTH($F$3,0),L$9*L$10,0),0),IF(AND(H$9&lt;&gt;"",H$11&lt;&gt;""),IF(EOMONTH($F$3+INT((DAY(EOMONTH($F$3,0))-1)/2)+H$11,0)=EOMONTH($F$3,0),H$9*H$10,0),0),IF($AX$75="",0,IF(EOMONTH($AX$75+AZ$11,0)=EOMONTH($F$3,0),$AX$76*AZ$10,0))),0)</f>
        <v>13</v>
      </c>
      <c r="I12" s="16">
        <f t="shared" si="5"/>
        <v>0</v>
      </c>
      <c r="J12" s="17"/>
      <c r="K12" s="14">
        <f>IF(J$98=1,J12,ROUND(SUM(IF(AND(AY$9&lt;&gt;"",AY$11&lt;&gt;""),IF(EOMONTH($AX$3+INT((DAY(EOMONTH($AX$3,0))-1)/2)+AY$11,0)=EOMONTH($J$3,0),AY$9*AY$10,0),0),IF(AND(AU$9&lt;&gt;"",AU$11&lt;&gt;""),IF(EOMONTH($AT$3+INT((DAY(EOMONTH($AT$3,0))-1)/2)+AU$11,0)=EOMONTH($J$3,0),AU$9*AU$10,0),0),IF(AND(AQ$9&lt;&gt;"",AQ$11&lt;&gt;""),IF(EOMONTH($AP$3+INT((DAY(EOMONTH($AP$3,0))-1)/2)+AQ$11,0)=EOMONTH($J$3,0),AQ$9*AQ$10,0),0),IF(AND(AM$9&lt;&gt;"",AM$11&lt;&gt;""),IF(EOMONTH($AL$3+INT((DAY(EOMONTH($AL$3,0))-1)/2)+AM$11,0)=EOMONTH($J$3,0),AM$9*AM$10,0),0),IF(AND(AI$9&lt;&gt;"",AI$11&lt;&gt;""),IF(EOMONTH($AH$3+INT((DAY(EOMONTH($AH$3,0))-1)/2)+AI$11,0)=EOMONTH($J$3,0),AI$9*AI$10,0),0),IF(AND(AE$9&lt;&gt;"",AE$11&lt;&gt;""),IF(EOMONTH($AD$3+INT((DAY(EOMONTH($AD$3,0))-1)/2)+AE$11,0)=EOMONTH($J$3,0),AE$9*AE$10,0),0),IF(AND(AA$9&lt;&gt;"",AA$11&lt;&gt;""),IF(EOMONTH($Z$3+INT((DAY(EOMONTH($Z$3,0))-1)/2)+AA$11,0)=EOMONTH($J$3,0),AA$9*AA$10,0),0),IF(AND(W$9&lt;&gt;"",W$11&lt;&gt;""),IF(EOMONTH($V$3+INT((DAY(EOMONTH($V$3,0))-1)/2)+W$11,0)=EOMONTH($J$3,0),W$9*W$10,0),0),IF(AND(S$9&lt;&gt;"",S$11&lt;&gt;""),IF(EOMONTH($R$3+INT((DAY(EOMONTH($R$3,0))-1)/2)+S$11,0)=EOMONTH($J$3,0),S$9*S$10,0),0),IF(AND(O$9&lt;&gt;"",O$11&lt;&gt;""),IF(EOMONTH($N$3+INT((DAY(EOMONTH($N$3,0))-1)/2)+O$11,0)=EOMONTH($J$3,0),O$9*O$10,0),0),IF(AND(K$9&lt;&gt;"",K$11&lt;&gt;""),IF(EOMONTH($J$3+INT((DAY(EOMONTH($J$3,0))-1)/2)+K$11,0)=EOMONTH($J$3,0),K$9*K$10,0),0),IF(AND(G$9&lt;&gt;"",G$11&lt;&gt;""),IF(EOMONTH($F$3+INT((DAY(EOMONTH($F$3,0))-1)/2)+G$11,0)=EOMONTH($J$3,0),G$9*G$10,0),0),IF($AX$75="",0,IF(EOMONTH($AX$75+AY$11,0)=EOMONTH($J$3,0),$AX$76*AY$10,0))),0))</f>
        <v>12</v>
      </c>
      <c r="L12" s="15">
        <f>ROUND(SUM(IF(AND(AZ$9&lt;&gt;"",AZ$11&lt;&gt;""),IF(EOMONTH($AX$3+INT((DAY(EOMONTH($AX$3,0))-1)/2)+AZ$11,0)=EOMONTH($J$3,0),AZ$9*AZ$10,0),0),IF(AND(AV$9&lt;&gt;"",AV$11&lt;&gt;""),IF(EOMONTH($AT$3+INT((DAY(EOMONTH($AT$3,0))-1)/2)+AV$11,0)=EOMONTH($J$3,0),AV$9*AV$10,0),0),IF(AND(AR$9&lt;&gt;"",AR$11&lt;&gt;""),IF(EOMONTH($AP$3+INT((DAY(EOMONTH($AP$3,0))-1)/2)+AR$11,0)=EOMONTH($J$3,0),AR$9*AR$10,0),0),IF(AND(AN$9&lt;&gt;"",AN$11&lt;&gt;""),IF(EOMONTH($AL$3+INT((DAY(EOMONTH($AL$3,0))-1)/2)+AN$11,0)=EOMONTH($J$3,0),AN$9*AN$10,0),0),IF(AND(AJ$9&lt;&gt;"",AJ$11&lt;&gt;""),IF(EOMONTH($AH$3+INT((DAY(EOMONTH($AH$3,0))-1)/2)+AJ$11,0)=EOMONTH($J$3,0),AJ$9*AJ$10,0),0),IF(AND(AF$9&lt;&gt;"",AF$11&lt;&gt;""),IF(EOMONTH($AD$3+INT((DAY(EOMONTH($AD$3,0))-1)/2)+AF$11,0)=EOMONTH($J$3,0),AF$9*AF$10,0),0),IF(AND(AB$9&lt;&gt;"",AB$11&lt;&gt;""),IF(EOMONTH($Z$3+INT((DAY(EOMONTH($Z$3,0))-1)/2)+AB$11,0)=EOMONTH($J$3,0),AB$9*AB$10,0),0),IF(AND(X$9&lt;&gt;"",X$11&lt;&gt;""),IF(EOMONTH($V$3+INT((DAY(EOMONTH($V$3,0))-1)/2)+X$11,0)=EOMONTH($J$3,0),X$9*X$10,0),0),IF(AND(T$9&lt;&gt;"",T$11&lt;&gt;""),IF(EOMONTH($R$3+INT((DAY(EOMONTH($R$3,0))-1)/2)+T$11,0)=EOMONTH($J$3,0),T$9*T$10,0),0),IF(AND(P$9&lt;&gt;"",P$11&lt;&gt;""),IF(EOMONTH($N$3+INT((DAY(EOMONTH($N$3,0))-1)/2)+P$11,0)=EOMONTH($J$3,0),P$9*P$10,0),0),IF(AND(L$9&lt;&gt;"",L$11&lt;&gt;""),IF(EOMONTH($J$3+INT((DAY(EOMONTH($J$3,0))-1)/2)+L$11,0)=EOMONTH($J$3,0),L$9*L$10,0),0),IF(AND(H$9&lt;&gt;"",H$11&lt;&gt;""),IF(EOMONTH($F$3+INT((DAY(EOMONTH($F$3,0))-1)/2)+H$11,0)=EOMONTH($J$3,0),H$9*H$10,0),0),IF($AX$75="",0,IF(EOMONTH($AX$75+AZ$11,0)=EOMONTH($J$3,0),$AX$76*AZ$10,0))),0)</f>
        <v>12</v>
      </c>
      <c r="M12" s="16">
        <f t="shared" si="7"/>
        <v>0</v>
      </c>
      <c r="N12" s="17"/>
      <c r="O12" s="14">
        <f>IF(N$98=1,N12,ROUND(SUM(IF(AND(AY$9&lt;&gt;"",AY$11&lt;&gt;""),IF(EOMONTH($AX$3+INT((DAY(EOMONTH($AX$3,0))-1)/2)+AY$11,0)=EOMONTH($N$3,0),AY$9*AY$10,0),0),IF(AND(AU$9&lt;&gt;"",AU$11&lt;&gt;""),IF(EOMONTH($AT$3+INT((DAY(EOMONTH($AT$3,0))-1)/2)+AU$11,0)=EOMONTH($N$3,0),AU$9*AU$10,0),0),IF(AND(AQ$9&lt;&gt;"",AQ$11&lt;&gt;""),IF(EOMONTH($AP$3+INT((DAY(EOMONTH($AP$3,0))-1)/2)+AQ$11,0)=EOMONTH($N$3,0),AQ$9*AQ$10,0),0),IF(AND(AM$9&lt;&gt;"",AM$11&lt;&gt;""),IF(EOMONTH($AL$3+INT((DAY(EOMONTH($AL$3,0))-1)/2)+AM$11,0)=EOMONTH($N$3,0),AM$9*AM$10,0),0),IF(AND(AI$9&lt;&gt;"",AI$11&lt;&gt;""),IF(EOMONTH($AH$3+INT((DAY(EOMONTH($AH$3,0))-1)/2)+AI$11,0)=EOMONTH($N$3,0),AI$9*AI$10,0),0),IF(AND(AE$9&lt;&gt;"",AE$11&lt;&gt;""),IF(EOMONTH($AD$3+INT((DAY(EOMONTH($AD$3,0))-1)/2)+AE$11,0)=EOMONTH($N$3,0),AE$9*AE$10,0),0),IF(AND(AA$9&lt;&gt;"",AA$11&lt;&gt;""),IF(EOMONTH($Z$3+INT((DAY(EOMONTH($Z$3,0))-1)/2)+AA$11,0)=EOMONTH($N$3,0),AA$9*AA$10,0),0),IF(AND(W$9&lt;&gt;"",W$11&lt;&gt;""),IF(EOMONTH($V$3+INT((DAY(EOMONTH($V$3,0))-1)/2)+W$11,0)=EOMONTH($N$3,0),W$9*W$10,0),0),IF(AND(S$9&lt;&gt;"",S$11&lt;&gt;""),IF(EOMONTH($R$3+INT((DAY(EOMONTH($R$3,0))-1)/2)+S$11,0)=EOMONTH($N$3,0),S$9*S$10,0),0),IF(AND(O$9&lt;&gt;"",O$11&lt;&gt;""),IF(EOMONTH($N$3+INT((DAY(EOMONTH($N$3,0))-1)/2)+O$11,0)=EOMONTH($N$3,0),O$9*O$10,0),0),IF(AND(K$9&lt;&gt;"",K$11&lt;&gt;""),IF(EOMONTH($J$3+INT((DAY(EOMONTH($J$3,0))-1)/2)+K$11,0)=EOMONTH($N$3,0),K$9*K$10,0),0),IF(AND(G$9&lt;&gt;"",G$11&lt;&gt;""),IF(EOMONTH($F$3+INT((DAY(EOMONTH($F$3,0))-1)/2)+G$11,0)=EOMONTH($N$3,0),G$9*G$10,0),0),IF($AX$75="",0,IF(EOMONTH($AX$75+AY$11,0)=EOMONTH($N$3,0),$AX$76*AY$10,0))),0))</f>
        <v>12</v>
      </c>
      <c r="P12" s="15">
        <f>ROUND(SUM(IF(AND(AZ$9&lt;&gt;"",AZ$11&lt;&gt;""),IF(EOMONTH($AX$3+INT((DAY(EOMONTH($AX$3,0))-1)/2)+AZ$11,0)=EOMONTH($N$3,0),AZ$9*AZ$10,0),0),IF(AND(AV$9&lt;&gt;"",AV$11&lt;&gt;""),IF(EOMONTH($AT$3+INT((DAY(EOMONTH($AT$3,0))-1)/2)+AV$11,0)=EOMONTH($N$3,0),AV$9*AV$10,0),0),IF(AND(AR$9&lt;&gt;"",AR$11&lt;&gt;""),IF(EOMONTH($AP$3+INT((DAY(EOMONTH($AP$3,0))-1)/2)+AR$11,0)=EOMONTH($N$3,0),AR$9*AR$10,0),0),IF(AND(AN$9&lt;&gt;"",AN$11&lt;&gt;""),IF(EOMONTH($AL$3+INT((DAY(EOMONTH($AL$3,0))-1)/2)+AN$11,0)=EOMONTH($N$3,0),AN$9*AN$10,0),0),IF(AND(AJ$9&lt;&gt;"",AJ$11&lt;&gt;""),IF(EOMONTH($AH$3+INT((DAY(EOMONTH($AH$3,0))-1)/2)+AJ$11,0)=EOMONTH($N$3,0),AJ$9*AJ$10,0),0),IF(AND(AF$9&lt;&gt;"",AF$11&lt;&gt;""),IF(EOMONTH($AD$3+INT((DAY(EOMONTH($AD$3,0))-1)/2)+AF$11,0)=EOMONTH($N$3,0),AF$9*AF$10,0),0),IF(AND(AB$9&lt;&gt;"",AB$11&lt;&gt;""),IF(EOMONTH($Z$3+INT((DAY(EOMONTH($Z$3,0))-1)/2)+AB$11,0)=EOMONTH($N$3,0),AB$9*AB$10,0),0),IF(AND(X$9&lt;&gt;"",X$11&lt;&gt;""),IF(EOMONTH($V$3+INT((DAY(EOMONTH($V$3,0))-1)/2)+X$11,0)=EOMONTH($N$3,0),X$9*X$10,0),0),IF(AND(T$9&lt;&gt;"",T$11&lt;&gt;""),IF(EOMONTH($R$3+INT((DAY(EOMONTH($R$3,0))-1)/2)+T$11,0)=EOMONTH($N$3,0),T$9*T$10,0),0),IF(AND(P$9&lt;&gt;"",P$11&lt;&gt;""),IF(EOMONTH($N$3+INT((DAY(EOMONTH($N$3,0))-1)/2)+P$11,0)=EOMONTH($N$3,0),P$9*P$10,0),0),IF(AND(L$9&lt;&gt;"",L$11&lt;&gt;""),IF(EOMONTH($J$3+INT((DAY(EOMONTH($J$3,0))-1)/2)+L$11,0)=EOMONTH($N$3,0),L$9*L$10,0),0),IF(AND(H$9&lt;&gt;"",H$11&lt;&gt;""),IF(EOMONTH($F$3+INT((DAY(EOMONTH($F$3,0))-1)/2)+H$11,0)=EOMONTH($N$3,0),H$9*H$10,0),0),IF($AX$75="",0,IF(EOMONTH($AX$75+AZ$11,0)=EOMONTH($N$3,0),$AX$76*AZ$10,0))),0)</f>
        <v>12</v>
      </c>
      <c r="Q12" s="16">
        <f t="shared" si="9"/>
        <v>0</v>
      </c>
      <c r="R12" s="17"/>
      <c r="S12" s="14">
        <f>IF(R$98=1,R12,ROUND(SUM(IF(AND(AY$9&lt;&gt;"",AY$11&lt;&gt;""),IF(EOMONTH($AX$3+INT((DAY(EOMONTH($AX$3,0))-1)/2)+AY$11,0)=EOMONTH($R$3,0),AY$9*AY$10,0),0),IF(AND(AU$9&lt;&gt;"",AU$11&lt;&gt;""),IF(EOMONTH($AT$3+INT((DAY(EOMONTH($AT$3,0))-1)/2)+AU$11,0)=EOMONTH($R$3,0),AU$9*AU$10,0),0),IF(AND(AQ$9&lt;&gt;"",AQ$11&lt;&gt;""),IF(EOMONTH($AP$3+INT((DAY(EOMONTH($AP$3,0))-1)/2)+AQ$11,0)=EOMONTH($R$3,0),AQ$9*AQ$10,0),0),IF(AND(AM$9&lt;&gt;"",AM$11&lt;&gt;""),IF(EOMONTH($AL$3+INT((DAY(EOMONTH($AL$3,0))-1)/2)+AM$11,0)=EOMONTH($R$3,0),AM$9*AM$10,0),0),IF(AND(AI$9&lt;&gt;"",AI$11&lt;&gt;""),IF(EOMONTH($AH$3+INT((DAY(EOMONTH($AH$3,0))-1)/2)+AI$11,0)=EOMONTH($R$3,0),AI$9*AI$10,0),0),IF(AND(AE$9&lt;&gt;"",AE$11&lt;&gt;""),IF(EOMONTH($AD$3+INT((DAY(EOMONTH($AD$3,0))-1)/2)+AE$11,0)=EOMONTH($R$3,0),AE$9*AE$10,0),0),IF(AND(AA$9&lt;&gt;"",AA$11&lt;&gt;""),IF(EOMONTH($Z$3+INT((DAY(EOMONTH($Z$3,0))-1)/2)+AA$11,0)=EOMONTH($R$3,0),AA$9*AA$10,0),0),IF(AND(W$9&lt;&gt;"",W$11&lt;&gt;""),IF(EOMONTH($V$3+INT((DAY(EOMONTH($V$3,0))-1)/2)+W$11,0)=EOMONTH($R$3,0),W$9*W$10,0),0),IF(AND(S$9&lt;&gt;"",S$11&lt;&gt;""),IF(EOMONTH($R$3+INT((DAY(EOMONTH($R$3,0))-1)/2)+S$11,0)=EOMONTH($R$3,0),S$9*S$10,0),0),IF(AND(O$9&lt;&gt;"",O$11&lt;&gt;""),IF(EOMONTH($N$3+INT((DAY(EOMONTH($N$3,0))-1)/2)+O$11,0)=EOMONTH($R$3,0),O$9*O$10,0),0),IF(AND(K$9&lt;&gt;"",K$11&lt;&gt;""),IF(EOMONTH($J$3+INT((DAY(EOMONTH($J$3,0))-1)/2)+K$11,0)=EOMONTH($R$3,0),K$9*K$10,0),0),IF(AND(G$9&lt;&gt;"",G$11&lt;&gt;""),IF(EOMONTH($F$3+INT((DAY(EOMONTH($F$3,0))-1)/2)+G$11,0)=EOMONTH($R$3,0),G$9*G$10,0),0),IF($AX$75="",0,IF(EOMONTH($AX$75+AY$11,0)=EOMONTH($R$3,0),$AX$76*AY$10,0))),0))</f>
        <v>12</v>
      </c>
      <c r="T12" s="15">
        <f>ROUND(SUM(IF(AND(AZ$9&lt;&gt;"",AZ$11&lt;&gt;""),IF(EOMONTH($AX$3+INT((DAY(EOMONTH($AX$3,0))-1)/2)+AZ$11,0)=EOMONTH($R$3,0),AZ$9*AZ$10,0),0),IF(AND(AV$9&lt;&gt;"",AV$11&lt;&gt;""),IF(EOMONTH($AT$3+INT((DAY(EOMONTH($AT$3,0))-1)/2)+AV$11,0)=EOMONTH($R$3,0),AV$9*AV$10,0),0),IF(AND(AR$9&lt;&gt;"",AR$11&lt;&gt;""),IF(EOMONTH($AP$3+INT((DAY(EOMONTH($AP$3,0))-1)/2)+AR$11,0)=EOMONTH($R$3,0),AR$9*AR$10,0),0),IF(AND(AN$9&lt;&gt;"",AN$11&lt;&gt;""),IF(EOMONTH($AL$3+INT((DAY(EOMONTH($AL$3,0))-1)/2)+AN$11,0)=EOMONTH($R$3,0),AN$9*AN$10,0),0),IF(AND(AJ$9&lt;&gt;"",AJ$11&lt;&gt;""),IF(EOMONTH($AH$3+INT((DAY(EOMONTH($AH$3,0))-1)/2)+AJ$11,0)=EOMONTH($R$3,0),AJ$9*AJ$10,0),0),IF(AND(AF$9&lt;&gt;"",AF$11&lt;&gt;""),IF(EOMONTH($AD$3+INT((DAY(EOMONTH($AD$3,0))-1)/2)+AF$11,0)=EOMONTH($R$3,0),AF$9*AF$10,0),0),IF(AND(AB$9&lt;&gt;"",AB$11&lt;&gt;""),IF(EOMONTH($Z$3+INT((DAY(EOMONTH($Z$3,0))-1)/2)+AB$11,0)=EOMONTH($R$3,0),AB$9*AB$10,0),0),IF(AND(X$9&lt;&gt;"",X$11&lt;&gt;""),IF(EOMONTH($V$3+INT((DAY(EOMONTH($V$3,0))-1)/2)+X$11,0)=EOMONTH($R$3,0),X$9*X$10,0),0),IF(AND(T$9&lt;&gt;"",T$11&lt;&gt;""),IF(EOMONTH($R$3+INT((DAY(EOMONTH($R$3,0))-1)/2)+T$11,0)=EOMONTH($R$3,0),T$9*T$10,0),0),IF(AND(P$9&lt;&gt;"",P$11&lt;&gt;""),IF(EOMONTH($N$3+INT((DAY(EOMONTH($N$3,0))-1)/2)+P$11,0)=EOMONTH($R$3,0),P$9*P$10,0),0),IF(AND(L$9&lt;&gt;"",L$11&lt;&gt;""),IF(EOMONTH($J$3+INT((DAY(EOMONTH($J$3,0))-1)/2)+L$11,0)=EOMONTH($R$3,0),L$9*L$10,0),0),IF(AND(H$9&lt;&gt;"",H$11&lt;&gt;""),IF(EOMONTH($F$3+INT((DAY(EOMONTH($F$3,0))-1)/2)+H$11,0)=EOMONTH($R$3,0),H$9*H$10,0),0),IF($AX$75="",0,IF(EOMONTH($AX$75+AZ$11,0)=EOMONTH($R$3,0),$AX$76*AZ$10,0))),0)</f>
        <v>12</v>
      </c>
      <c r="U12" s="16">
        <f t="shared" si="11"/>
        <v>0</v>
      </c>
      <c r="V12" s="17"/>
      <c r="W12" s="14">
        <f>IF(V$98=1,V12,ROUND(SUM(IF(AND(AY$9&lt;&gt;"",AY$11&lt;&gt;""),IF(EOMONTH($AX$3+INT((DAY(EOMONTH($AX$3,0))-1)/2)+AY$11,0)=EOMONTH($V$3,0),AY$9*AY$10,0),0),IF(AND(AU$9&lt;&gt;"",AU$11&lt;&gt;""),IF(EOMONTH($AT$3+INT((DAY(EOMONTH($AT$3,0))-1)/2)+AU$11,0)=EOMONTH($V$3,0),AU$9*AU$10,0),0),IF(AND(AQ$9&lt;&gt;"",AQ$11&lt;&gt;""),IF(EOMONTH($AP$3+INT((DAY(EOMONTH($AP$3,0))-1)/2)+AQ$11,0)=EOMONTH($V$3,0),AQ$9*AQ$10,0),0),IF(AND(AM$9&lt;&gt;"",AM$11&lt;&gt;""),IF(EOMONTH($AL$3+INT((DAY(EOMONTH($AL$3,0))-1)/2)+AM$11,0)=EOMONTH($V$3,0),AM$9*AM$10,0),0),IF(AND(AI$9&lt;&gt;"",AI$11&lt;&gt;""),IF(EOMONTH($AH$3+INT((DAY(EOMONTH($AH$3,0))-1)/2)+AI$11,0)=EOMONTH($V$3,0),AI$9*AI$10,0),0),IF(AND(AE$9&lt;&gt;"",AE$11&lt;&gt;""),IF(EOMONTH($AD$3+INT((DAY(EOMONTH($AD$3,0))-1)/2)+AE$11,0)=EOMONTH($V$3,0),AE$9*AE$10,0),0),IF(AND(AA$9&lt;&gt;"",AA$11&lt;&gt;""),IF(EOMONTH($Z$3+INT((DAY(EOMONTH($Z$3,0))-1)/2)+AA$11,0)=EOMONTH($V$3,0),AA$9*AA$10,0),0),IF(AND(W$9&lt;&gt;"",W$11&lt;&gt;""),IF(EOMONTH($V$3+INT((DAY(EOMONTH($V$3,0))-1)/2)+W$11,0)=EOMONTH($V$3,0),W$9*W$10,0),0),IF(AND(S$9&lt;&gt;"",S$11&lt;&gt;""),IF(EOMONTH($R$3+INT((DAY(EOMONTH($R$3,0))-1)/2)+S$11,0)=EOMONTH($V$3,0),S$9*S$10,0),0),IF(AND(O$9&lt;&gt;"",O$11&lt;&gt;""),IF(EOMONTH($N$3+INT((DAY(EOMONTH($N$3,0))-1)/2)+O$11,0)=EOMONTH($V$3,0),O$9*O$10,0),0),IF(AND(K$9&lt;&gt;"",K$11&lt;&gt;""),IF(EOMONTH($J$3+INT((DAY(EOMONTH($J$3,0))-1)/2)+K$11,0)=EOMONTH($V$3,0),K$9*K$10,0),0),IF(AND(G$9&lt;&gt;"",G$11&lt;&gt;""),IF(EOMONTH($F$3+INT((DAY(EOMONTH($F$3,0))-1)/2)+G$11,0)=EOMONTH($V$3,0),G$9*G$10,0),0),IF($AX$75="",0,IF(EOMONTH($AX$75+AY$11,0)=EOMONTH($V$3,0),$AX$76*AY$10,0))),0))</f>
        <v>12</v>
      </c>
      <c r="X12" s="15">
        <f>ROUND(SUM(IF(AND(AZ$9&lt;&gt;"",AZ$11&lt;&gt;""),IF(EOMONTH($AX$3+INT((DAY(EOMONTH($AX$3,0))-1)/2)+AZ$11,0)=EOMONTH($V$3,0),AZ$9*AZ$10,0),0),IF(AND(AV$9&lt;&gt;"",AV$11&lt;&gt;""),IF(EOMONTH($AT$3+INT((DAY(EOMONTH($AT$3,0))-1)/2)+AV$11,0)=EOMONTH($V$3,0),AV$9*AV$10,0),0),IF(AND(AR$9&lt;&gt;"",AR$11&lt;&gt;""),IF(EOMONTH($AP$3+INT((DAY(EOMONTH($AP$3,0))-1)/2)+AR$11,0)=EOMONTH($V$3,0),AR$9*AR$10,0),0),IF(AND(AN$9&lt;&gt;"",AN$11&lt;&gt;""),IF(EOMONTH($AL$3+INT((DAY(EOMONTH($AL$3,0))-1)/2)+AN$11,0)=EOMONTH($V$3,0),AN$9*AN$10,0),0),IF(AND(AJ$9&lt;&gt;"",AJ$11&lt;&gt;""),IF(EOMONTH($AH$3+INT((DAY(EOMONTH($AH$3,0))-1)/2)+AJ$11,0)=EOMONTH($V$3,0),AJ$9*AJ$10,0),0),IF(AND(AF$9&lt;&gt;"",AF$11&lt;&gt;""),IF(EOMONTH($AD$3+INT((DAY(EOMONTH($AD$3,0))-1)/2)+AF$11,0)=EOMONTH($V$3,0),AF$9*AF$10,0),0),IF(AND(AB$9&lt;&gt;"",AB$11&lt;&gt;""),IF(EOMONTH($Z$3+INT((DAY(EOMONTH($Z$3,0))-1)/2)+AB$11,0)=EOMONTH($V$3,0),AB$9*AB$10,0),0),IF(AND(X$9&lt;&gt;"",X$11&lt;&gt;""),IF(EOMONTH($V$3+INT((DAY(EOMONTH($V$3,0))-1)/2)+X$11,0)=EOMONTH($V$3,0),X$9*X$10,0),0),IF(AND(T$9&lt;&gt;"",T$11&lt;&gt;""),IF(EOMONTH($R$3+INT((DAY(EOMONTH($R$3,0))-1)/2)+T$11,0)=EOMONTH($V$3,0),T$9*T$10,0),0),IF(AND(P$9&lt;&gt;"",P$11&lt;&gt;""),IF(EOMONTH($N$3+INT((DAY(EOMONTH($N$3,0))-1)/2)+P$11,0)=EOMONTH($V$3,0),P$9*P$10,0),0),IF(AND(L$9&lt;&gt;"",L$11&lt;&gt;""),IF(EOMONTH($J$3+INT((DAY(EOMONTH($J$3,0))-1)/2)+L$11,0)=EOMONTH($V$3,0),L$9*L$10,0),0),IF(AND(H$9&lt;&gt;"",H$11&lt;&gt;""),IF(EOMONTH($F$3+INT((DAY(EOMONTH($F$3,0))-1)/2)+H$11,0)=EOMONTH($V$3,0),H$9*H$10,0),0),IF($AX$75="",0,IF(EOMONTH($AX$75+AZ$11,0)=EOMONTH($V$3,0),$AX$76*AZ$10,0))),0)</f>
        <v>12</v>
      </c>
      <c r="Y12" s="16">
        <f t="shared" si="13"/>
        <v>0</v>
      </c>
      <c r="Z12" s="17"/>
      <c r="AA12" s="14">
        <f>IF(Z$98=1,Z12,ROUND(SUM(IF(AND(AY$9&lt;&gt;"",AY$11&lt;&gt;""),IF(EOMONTH($AX$3+INT((DAY(EOMONTH($AX$3,0))-1)/2)+AY$11,0)=EOMONTH($Z$3,0),AY$9*AY$10,0),0),IF(AND(AU$9&lt;&gt;"",AU$11&lt;&gt;""),IF(EOMONTH($AT$3+INT((DAY(EOMONTH($AT$3,0))-1)/2)+AU$11,0)=EOMONTH($Z$3,0),AU$9*AU$10,0),0),IF(AND(AQ$9&lt;&gt;"",AQ$11&lt;&gt;""),IF(EOMONTH($AP$3+INT((DAY(EOMONTH($AP$3,0))-1)/2)+AQ$11,0)=EOMONTH($Z$3,0),AQ$9*AQ$10,0),0),IF(AND(AM$9&lt;&gt;"",AM$11&lt;&gt;""),IF(EOMONTH($AL$3+INT((DAY(EOMONTH($AL$3,0))-1)/2)+AM$11,0)=EOMONTH($Z$3,0),AM$9*AM$10,0),0),IF(AND(AI$9&lt;&gt;"",AI$11&lt;&gt;""),IF(EOMONTH($AH$3+INT((DAY(EOMONTH($AH$3,0))-1)/2)+AI$11,0)=EOMONTH($Z$3,0),AI$9*AI$10,0),0),IF(AND(AE$9&lt;&gt;"",AE$11&lt;&gt;""),IF(EOMONTH($AD$3+INT((DAY(EOMONTH($AD$3,0))-1)/2)+AE$11,0)=EOMONTH($Z$3,0),AE$9*AE$10,0),0),IF(AND(AA$9&lt;&gt;"",AA$11&lt;&gt;""),IF(EOMONTH($Z$3+INT((DAY(EOMONTH($Z$3,0))-1)/2)+AA$11,0)=EOMONTH($Z$3,0),AA$9*AA$10,0),0),IF(AND(W$9&lt;&gt;"",W$11&lt;&gt;""),IF(EOMONTH($V$3+INT((DAY(EOMONTH($V$3,0))-1)/2)+W$11,0)=EOMONTH($Z$3,0),W$9*W$10,0),0),IF(AND(S$9&lt;&gt;"",S$11&lt;&gt;""),IF(EOMONTH($R$3+INT((DAY(EOMONTH($R$3,0))-1)/2)+S$11,0)=EOMONTH($Z$3,0),S$9*S$10,0),0),IF(AND(O$9&lt;&gt;"",O$11&lt;&gt;""),IF(EOMONTH($N$3+INT((DAY(EOMONTH($N$3,0))-1)/2)+O$11,0)=EOMONTH($Z$3,0),O$9*O$10,0),0),IF(AND(K$9&lt;&gt;"",K$11&lt;&gt;""),IF(EOMONTH($J$3+INT((DAY(EOMONTH($J$3,0))-1)/2)+K$11,0)=EOMONTH($Z$3,0),K$9*K$10,0),0),IF(AND(G$9&lt;&gt;"",G$11&lt;&gt;""),IF(EOMONTH($F$3+INT((DAY(EOMONTH($F$3,0))-1)/2)+G$11,0)=EOMONTH($Z$3,0),G$9*G$10,0),0),IF($AX$75="",0,IF(EOMONTH($AX$75+AY$11,0)=EOMONTH($Z$3,0),$AX$76*AY$10,0))),0))</f>
        <v>11</v>
      </c>
      <c r="AB12" s="15">
        <f>ROUND(SUM(IF(AND(AZ$9&lt;&gt;"",AZ$11&lt;&gt;""),IF(EOMONTH($AX$3+INT((DAY(EOMONTH($AX$3,0))-1)/2)+AZ$11,0)=EOMONTH($Z$3,0),AZ$9*AZ$10,0),0),IF(AND(AV$9&lt;&gt;"",AV$11&lt;&gt;""),IF(EOMONTH($AT$3+INT((DAY(EOMONTH($AT$3,0))-1)/2)+AV$11,0)=EOMONTH($Z$3,0),AV$9*AV$10,0),0),IF(AND(AR$9&lt;&gt;"",AR$11&lt;&gt;""),IF(EOMONTH($AP$3+INT((DAY(EOMONTH($AP$3,0))-1)/2)+AR$11,0)=EOMONTH($Z$3,0),AR$9*AR$10,0),0),IF(AND(AN$9&lt;&gt;"",AN$11&lt;&gt;""),IF(EOMONTH($AL$3+INT((DAY(EOMONTH($AL$3,0))-1)/2)+AN$11,0)=EOMONTH($Z$3,0),AN$9*AN$10,0),0),IF(AND(AJ$9&lt;&gt;"",AJ$11&lt;&gt;""),IF(EOMONTH($AH$3+INT((DAY(EOMONTH($AH$3,0))-1)/2)+AJ$11,0)=EOMONTH($Z$3,0),AJ$9*AJ$10,0),0),IF(AND(AF$9&lt;&gt;"",AF$11&lt;&gt;""),IF(EOMONTH($AD$3+INT((DAY(EOMONTH($AD$3,0))-1)/2)+AF$11,0)=EOMONTH($Z$3,0),AF$9*AF$10,0),0),IF(AND(AB$9&lt;&gt;"",AB$11&lt;&gt;""),IF(EOMONTH($Z$3+INT((DAY(EOMONTH($Z$3,0))-1)/2)+AB$11,0)=EOMONTH($Z$3,0),AB$9*AB$10,0),0),IF(AND(X$9&lt;&gt;"",X$11&lt;&gt;""),IF(EOMONTH($V$3+INT((DAY(EOMONTH($V$3,0))-1)/2)+X$11,0)=EOMONTH($Z$3,0),X$9*X$10,0),0),IF(AND(T$9&lt;&gt;"",T$11&lt;&gt;""),IF(EOMONTH($R$3+INT((DAY(EOMONTH($R$3,0))-1)/2)+T$11,0)=EOMONTH($Z$3,0),T$9*T$10,0),0),IF(AND(P$9&lt;&gt;"",P$11&lt;&gt;""),IF(EOMONTH($N$3+INT((DAY(EOMONTH($N$3,0))-1)/2)+P$11,0)=EOMONTH($Z$3,0),P$9*P$10,0),0),IF(AND(L$9&lt;&gt;"",L$11&lt;&gt;""),IF(EOMONTH($J$3+INT((DAY(EOMONTH($J$3,0))-1)/2)+L$11,0)=EOMONTH($Z$3,0),L$9*L$10,0),0),IF(AND(H$9&lt;&gt;"",H$11&lt;&gt;""),IF(EOMONTH($F$3+INT((DAY(EOMONTH($F$3,0))-1)/2)+H$11,0)=EOMONTH($Z$3,0),H$9*H$10,0),0),IF($AX$75="",0,IF(EOMONTH($AX$75+AZ$11,0)=EOMONTH($Z$3,0),$AX$76*AZ$10,0))),0)</f>
        <v>11</v>
      </c>
      <c r="AC12" s="16">
        <f t="shared" si="15"/>
        <v>0</v>
      </c>
      <c r="AD12" s="17"/>
      <c r="AE12" s="14">
        <f>IF(AD$98=1,AD12,ROUND(SUM(IF(AND(AY$9&lt;&gt;"",AY$11&lt;&gt;""),IF(EOMONTH($AX$3+INT((DAY(EOMONTH($AX$3,0))-1)/2)+AY$11,0)=EOMONTH($AD$3,0),AY$9*AY$10,0),0),IF(AND(AU$9&lt;&gt;"",AU$11&lt;&gt;""),IF(EOMONTH($AT$3+INT((DAY(EOMONTH($AT$3,0))-1)/2)+AU$11,0)=EOMONTH($AD$3,0),AU$9*AU$10,0),0),IF(AND(AQ$9&lt;&gt;"",AQ$11&lt;&gt;""),IF(EOMONTH($AP$3+INT((DAY(EOMONTH($AP$3,0))-1)/2)+AQ$11,0)=EOMONTH($AD$3,0),AQ$9*AQ$10,0),0),IF(AND(AM$9&lt;&gt;"",AM$11&lt;&gt;""),IF(EOMONTH($AL$3+INT((DAY(EOMONTH($AL$3,0))-1)/2)+AM$11,0)=EOMONTH($AD$3,0),AM$9*AM$10,0),0),IF(AND(AI$9&lt;&gt;"",AI$11&lt;&gt;""),IF(EOMONTH($AH$3+INT((DAY(EOMONTH($AH$3,0))-1)/2)+AI$11,0)=EOMONTH($AD$3,0),AI$9*AI$10,0),0),IF(AND(AE$9&lt;&gt;"",AE$11&lt;&gt;""),IF(EOMONTH($AD$3+INT((DAY(EOMONTH($AD$3,0))-1)/2)+AE$11,0)=EOMONTH($AD$3,0),AE$9*AE$10,0),0),IF(AND(AA$9&lt;&gt;"",AA$11&lt;&gt;""),IF(EOMONTH($Z$3+INT((DAY(EOMONTH($Z$3,0))-1)/2)+AA$11,0)=EOMONTH($AD$3,0),AA$9*AA$10,0),0),IF(AND(W$9&lt;&gt;"",W$11&lt;&gt;""),IF(EOMONTH($V$3+INT((DAY(EOMONTH($V$3,0))-1)/2)+W$11,0)=EOMONTH($AD$3,0),W$9*W$10,0),0),IF(AND(S$9&lt;&gt;"",S$11&lt;&gt;""),IF(EOMONTH($R$3+INT((DAY(EOMONTH($R$3,0))-1)/2)+S$11,0)=EOMONTH($AD$3,0),S$9*S$10,0),0),IF(AND(O$9&lt;&gt;"",O$11&lt;&gt;""),IF(EOMONTH($N$3+INT((DAY(EOMONTH($N$3,0))-1)/2)+O$11,0)=EOMONTH($AD$3,0),O$9*O$10,0),0),IF(AND(K$9&lt;&gt;"",K$11&lt;&gt;""),IF(EOMONTH($J$3+INT((DAY(EOMONTH($J$3,0))-1)/2)+K$11,0)=EOMONTH($AD$3,0),K$9*K$10,0),0),IF(AND(G$9&lt;&gt;"",G$11&lt;&gt;""),IF(EOMONTH($F$3+INT((DAY(EOMONTH($F$3,0))-1)/2)+G$11,0)=EOMONTH($AD$3,0),G$9*G$10,0),0),IF($AX$75="",0,IF(EOMONTH($AX$75+AY$11,0)=EOMONTH($AD$3,0),$AX$76*AY$10,0))),0))</f>
        <v>11</v>
      </c>
      <c r="AF12" s="15">
        <f>ROUND(SUM(IF(AND(AZ$9&lt;&gt;"",AZ$11&lt;&gt;""),IF(EOMONTH($AX$3+INT((DAY(EOMONTH($AX$3,0))-1)/2)+AZ$11,0)=EOMONTH($AD$3,0),AZ$9*AZ$10,0),0),IF(AND(AV$9&lt;&gt;"",AV$11&lt;&gt;""),IF(EOMONTH($AT$3+INT((DAY(EOMONTH($AT$3,0))-1)/2)+AV$11,0)=EOMONTH($AD$3,0),AV$9*AV$10,0),0),IF(AND(AR$9&lt;&gt;"",AR$11&lt;&gt;""),IF(EOMONTH($AP$3+INT((DAY(EOMONTH($AP$3,0))-1)/2)+AR$11,0)=EOMONTH($AD$3,0),AR$9*AR$10,0),0),IF(AND(AN$9&lt;&gt;"",AN$11&lt;&gt;""),IF(EOMONTH($AL$3+INT((DAY(EOMONTH($AL$3,0))-1)/2)+AN$11,0)=EOMONTH($AD$3,0),AN$9*AN$10,0),0),IF(AND(AJ$9&lt;&gt;"",AJ$11&lt;&gt;""),IF(EOMONTH($AH$3+INT((DAY(EOMONTH($AH$3,0))-1)/2)+AJ$11,0)=EOMONTH($AD$3,0),AJ$9*AJ$10,0),0),IF(AND(AF$9&lt;&gt;"",AF$11&lt;&gt;""),IF(EOMONTH($AD$3+INT((DAY(EOMONTH($AD$3,0))-1)/2)+AF$11,0)=EOMONTH($AD$3,0),AF$9*AF$10,0),0),IF(AND(AB$9&lt;&gt;"",AB$11&lt;&gt;""),IF(EOMONTH($Z$3+INT((DAY(EOMONTH($Z$3,0))-1)/2)+AB$11,0)=EOMONTH($AD$3,0),AB$9*AB$10,0),0),IF(AND(X$9&lt;&gt;"",X$11&lt;&gt;""),IF(EOMONTH($V$3+INT((DAY(EOMONTH($V$3,0))-1)/2)+X$11,0)=EOMONTH($AD$3,0),X$9*X$10,0),0),IF(AND(T$9&lt;&gt;"",T$11&lt;&gt;""),IF(EOMONTH($R$3+INT((DAY(EOMONTH($R$3,0))-1)/2)+T$11,0)=EOMONTH($AD$3,0),T$9*T$10,0),0),IF(AND(P$9&lt;&gt;"",P$11&lt;&gt;""),IF(EOMONTH($N$3+INT((DAY(EOMONTH($N$3,0))-1)/2)+P$11,0)=EOMONTH($AD$3,0),P$9*P$10,0),0),IF(AND(L$9&lt;&gt;"",L$11&lt;&gt;""),IF(EOMONTH($J$3+INT((DAY(EOMONTH($J$3,0))-1)/2)+L$11,0)=EOMONTH($AD$3,0),L$9*L$10,0),0),IF(AND(H$9&lt;&gt;"",H$11&lt;&gt;""),IF(EOMONTH($F$3+INT((DAY(EOMONTH($F$3,0))-1)/2)+H$11,0)=EOMONTH($AD$3,0),H$9*H$10,0),0),IF($AX$75="",0,IF(EOMONTH($AX$75+AZ$11,0)=EOMONTH($AD$3,0),$AX$76*AZ$10,0))),0)</f>
        <v>11</v>
      </c>
      <c r="AG12" s="16">
        <f t="shared" si="17"/>
        <v>0</v>
      </c>
      <c r="AH12" s="17"/>
      <c r="AI12" s="14">
        <f>IF(AH$98=1,AH12,ROUND(SUM(IF(AND(AY$9&lt;&gt;"",AY$11&lt;&gt;""),IF(EOMONTH($AX$3+INT((DAY(EOMONTH($AX$3,0))-1)/2)+AY$11,0)=EOMONTH($AH$3,0),AY$9*AY$10,0),0),IF(AND(AU$9&lt;&gt;"",AU$11&lt;&gt;""),IF(EOMONTH($AT$3+INT((DAY(EOMONTH($AT$3,0))-1)/2)+AU$11,0)=EOMONTH($AH$3,0),AU$9*AU$10,0),0),IF(AND(AQ$9&lt;&gt;"",AQ$11&lt;&gt;""),IF(EOMONTH($AP$3+INT((DAY(EOMONTH($AP$3,0))-1)/2)+AQ$11,0)=EOMONTH($AH$3,0),AQ$9*AQ$10,0),0),IF(AND(AM$9&lt;&gt;"",AM$11&lt;&gt;""),IF(EOMONTH($AL$3+INT((DAY(EOMONTH($AL$3,0))-1)/2)+AM$11,0)=EOMONTH($AH$3,0),AM$9*AM$10,0),0),IF(AND(AI$9&lt;&gt;"",AI$11&lt;&gt;""),IF(EOMONTH($AH$3+INT((DAY(EOMONTH($AH$3,0))-1)/2)+AI$11,0)=EOMONTH($AH$3,0),AI$9*AI$10,0),0),IF(AND(AE$9&lt;&gt;"",AE$11&lt;&gt;""),IF(EOMONTH($AD$3+INT((DAY(EOMONTH($AD$3,0))-1)/2)+AE$11,0)=EOMONTH($AH$3,0),AE$9*AE$10,0),0),IF(AND(AA$9&lt;&gt;"",AA$11&lt;&gt;""),IF(EOMONTH($Z$3+INT((DAY(EOMONTH($Z$3,0))-1)/2)+AA$11,0)=EOMONTH($AH$3,0),AA$9*AA$10,0),0),IF(AND(W$9&lt;&gt;"",W$11&lt;&gt;""),IF(EOMONTH($V$3+INT((DAY(EOMONTH($V$3,0))-1)/2)+W$11,0)=EOMONTH($AH$3,0),W$9*W$10,0),0),IF(AND(S$9&lt;&gt;"",S$11&lt;&gt;""),IF(EOMONTH($R$3+INT((DAY(EOMONTH($R$3,0))-1)/2)+S$11,0)=EOMONTH($AH$3,0),S$9*S$10,0),0),IF(AND(O$9&lt;&gt;"",O$11&lt;&gt;""),IF(EOMONTH($N$3+INT((DAY(EOMONTH($N$3,0))-1)/2)+O$11,0)=EOMONTH($AH$3,0),O$9*O$10,0),0),IF(AND(K$9&lt;&gt;"",K$11&lt;&gt;""),IF(EOMONTH($J$3+INT((DAY(EOMONTH($J$3,0))-1)/2)+K$11,0)=EOMONTH($AH$3,0),K$9*K$10,0),0),IF(AND(G$9&lt;&gt;"",G$11&lt;&gt;""),IF(EOMONTH($F$3+INT((DAY(EOMONTH($F$3,0))-1)/2)+G$11,0)=EOMONTH($AH$3,0),G$9*G$10,0),0),IF($AX$75="",0,IF(EOMONTH($AX$75+AY$11,0)=EOMONTH($AH$3,0),$AX$76*AY$10,0))),0))</f>
        <v>11</v>
      </c>
      <c r="AJ12" s="15">
        <f>ROUND(SUM(IF(AND(AZ$9&lt;&gt;"",AZ$11&lt;&gt;""),IF(EOMONTH($AX$3+INT((DAY(EOMONTH($AX$3,0))-1)/2)+AZ$11,0)=EOMONTH($AH$3,0),AZ$9*AZ$10,0),0),IF(AND(AV$9&lt;&gt;"",AV$11&lt;&gt;""),IF(EOMONTH($AT$3+INT((DAY(EOMONTH($AT$3,0))-1)/2)+AV$11,0)=EOMONTH($AH$3,0),AV$9*AV$10,0),0),IF(AND(AR$9&lt;&gt;"",AR$11&lt;&gt;""),IF(EOMONTH($AP$3+INT((DAY(EOMONTH($AP$3,0))-1)/2)+AR$11,0)=EOMONTH($AH$3,0),AR$9*AR$10,0),0),IF(AND(AN$9&lt;&gt;"",AN$11&lt;&gt;""),IF(EOMONTH($AL$3+INT((DAY(EOMONTH($AL$3,0))-1)/2)+AN$11,0)=EOMONTH($AH$3,0),AN$9*AN$10,0),0),IF(AND(AJ$9&lt;&gt;"",AJ$11&lt;&gt;""),IF(EOMONTH($AH$3+INT((DAY(EOMONTH($AH$3,0))-1)/2)+AJ$11,0)=EOMONTH($AH$3,0),AJ$9*AJ$10,0),0),IF(AND(AF$9&lt;&gt;"",AF$11&lt;&gt;""),IF(EOMONTH($AD$3+INT((DAY(EOMONTH($AD$3,0))-1)/2)+AF$11,0)=EOMONTH($AH$3,0),AF$9*AF$10,0),0),IF(AND(AB$9&lt;&gt;"",AB$11&lt;&gt;""),IF(EOMONTH($Z$3+INT((DAY(EOMONTH($Z$3,0))-1)/2)+AB$11,0)=EOMONTH($AH$3,0),AB$9*AB$10,0),0),IF(AND(X$9&lt;&gt;"",X$11&lt;&gt;""),IF(EOMONTH($V$3+INT((DAY(EOMONTH($V$3,0))-1)/2)+X$11,0)=EOMONTH($AH$3,0),X$9*X$10,0),0),IF(AND(T$9&lt;&gt;"",T$11&lt;&gt;""),IF(EOMONTH($R$3+INT((DAY(EOMONTH($R$3,0))-1)/2)+T$11,0)=EOMONTH($AH$3,0),T$9*T$10,0),0),IF(AND(P$9&lt;&gt;"",P$11&lt;&gt;""),IF(EOMONTH($N$3+INT((DAY(EOMONTH($N$3,0))-1)/2)+P$11,0)=EOMONTH($AH$3,0),P$9*P$10,0),0),IF(AND(L$9&lt;&gt;"",L$11&lt;&gt;""),IF(EOMONTH($J$3+INT((DAY(EOMONTH($J$3,0))-1)/2)+L$11,0)=EOMONTH($AH$3,0),L$9*L$10,0),0),IF(AND(H$9&lt;&gt;"",H$11&lt;&gt;""),IF(EOMONTH($F$3+INT((DAY(EOMONTH($F$3,0))-1)/2)+H$11,0)=EOMONTH($AH$3,0),H$9*H$10,0),0),IF($AX$75="",0,IF(EOMONTH($AX$75+AZ$11,0)=EOMONTH($AH$3,0),$AX$76*AZ$10,0))),0)</f>
        <v>11</v>
      </c>
      <c r="AK12" s="16">
        <f t="shared" si="19"/>
        <v>0</v>
      </c>
      <c r="AL12" s="17"/>
      <c r="AM12" s="14">
        <f>IF(AL$98=1,AL12,ROUND(SUM(IF(AND(AY$9&lt;&gt;"",AY$11&lt;&gt;""),IF(EOMONTH($AX$3+INT((DAY(EOMONTH($AX$3,0))-1)/2)+AY$11,0)=EOMONTH($AL$3,0),AY$9*AY$10,0),0),IF(AND(AU$9&lt;&gt;"",AU$11&lt;&gt;""),IF(EOMONTH($AT$3+INT((DAY(EOMONTH($AT$3,0))-1)/2)+AU$11,0)=EOMONTH($AL$3,0),AU$9*AU$10,0),0),IF(AND(AQ$9&lt;&gt;"",AQ$11&lt;&gt;""),IF(EOMONTH($AP$3+INT((DAY(EOMONTH($AP$3,0))-1)/2)+AQ$11,0)=EOMONTH($AL$3,0),AQ$9*AQ$10,0),0),IF(AND(AM$9&lt;&gt;"",AM$11&lt;&gt;""),IF(EOMONTH($AL$3+INT((DAY(EOMONTH($AL$3,0))-1)/2)+AM$11,0)=EOMONTH($AL$3,0),AM$9*AM$10,0),0),IF(AND(AI$9&lt;&gt;"",AI$11&lt;&gt;""),IF(EOMONTH($AH$3+INT((DAY(EOMONTH($AH$3,0))-1)/2)+AI$11,0)=EOMONTH($AL$3,0),AI$9*AI$10,0),0),IF(AND(AE$9&lt;&gt;"",AE$11&lt;&gt;""),IF(EOMONTH($AD$3+INT((DAY(EOMONTH($AD$3,0))-1)/2)+AE$11,0)=EOMONTH($AL$3,0),AE$9*AE$10,0),0),IF(AND(AA$9&lt;&gt;"",AA$11&lt;&gt;""),IF(EOMONTH($Z$3+INT((DAY(EOMONTH($Z$3,0))-1)/2)+AA$11,0)=EOMONTH($AL$3,0),AA$9*AA$10,0),0),IF(AND(W$9&lt;&gt;"",W$11&lt;&gt;""),IF(EOMONTH($V$3+INT((DAY(EOMONTH($V$3,0))-1)/2)+W$11,0)=EOMONTH($AL$3,0),W$9*W$10,0),0),IF(AND(S$9&lt;&gt;"",S$11&lt;&gt;""),IF(EOMONTH($R$3+INT((DAY(EOMONTH($R$3,0))-1)/2)+S$11,0)=EOMONTH($AL$3,0),S$9*S$10,0),0),IF(AND(O$9&lt;&gt;"",O$11&lt;&gt;""),IF(EOMONTH($N$3+INT((DAY(EOMONTH($N$3,0))-1)/2)+O$11,0)=EOMONTH($AL$3,0),O$9*O$10,0),0),IF(AND(K$9&lt;&gt;"",K$11&lt;&gt;""),IF(EOMONTH($J$3+INT((DAY(EOMONTH($J$3,0))-1)/2)+K$11,0)=EOMONTH($AL$3,0),K$9*K$10,0),0),IF(AND(G$9&lt;&gt;"",G$11&lt;&gt;""),IF(EOMONTH($F$3+INT((DAY(EOMONTH($F$3,0))-1)/2)+G$11,0)=EOMONTH($AL$3,0),G$9*G$10,0),0),IF($AX$75="",0,IF(EOMONTH($AX$75+AY$11,0)=EOMONTH($AL$3,0),$AX$76*AY$10,0))),0))</f>
        <v>11</v>
      </c>
      <c r="AN12" s="15">
        <f>ROUND(SUM(IF(AND(AZ$9&lt;&gt;"",AZ$11&lt;&gt;""),IF(EOMONTH($AX$3+INT((DAY(EOMONTH($AX$3,0))-1)/2)+AZ$11,0)=EOMONTH($AL$3,0),AZ$9*AZ$10,0),0),IF(AND(AV$9&lt;&gt;"",AV$11&lt;&gt;""),IF(EOMONTH($AT$3+INT((DAY(EOMONTH($AT$3,0))-1)/2)+AV$11,0)=EOMONTH($AL$3,0),AV$9*AV$10,0),0),IF(AND(AR$9&lt;&gt;"",AR$11&lt;&gt;""),IF(EOMONTH($AP$3+INT((DAY(EOMONTH($AP$3,0))-1)/2)+AR$11,0)=EOMONTH($AL$3,0),AR$9*AR$10,0),0),IF(AND(AN$9&lt;&gt;"",AN$11&lt;&gt;""),IF(EOMONTH($AL$3+INT((DAY(EOMONTH($AL$3,0))-1)/2)+AN$11,0)=EOMONTH($AL$3,0),AN$9*AN$10,0),0),IF(AND(AJ$9&lt;&gt;"",AJ$11&lt;&gt;""),IF(EOMONTH($AH$3+INT((DAY(EOMONTH($AH$3,0))-1)/2)+AJ$11,0)=EOMONTH($AL$3,0),AJ$9*AJ$10,0),0),IF(AND(AF$9&lt;&gt;"",AF$11&lt;&gt;""),IF(EOMONTH($AD$3+INT((DAY(EOMONTH($AD$3,0))-1)/2)+AF$11,0)=EOMONTH($AL$3,0),AF$9*AF$10,0),0),IF(AND(AB$9&lt;&gt;"",AB$11&lt;&gt;""),IF(EOMONTH($Z$3+INT((DAY(EOMONTH($Z$3,0))-1)/2)+AB$11,0)=EOMONTH($AL$3,0),AB$9*AB$10,0),0),IF(AND(X$9&lt;&gt;"",X$11&lt;&gt;""),IF(EOMONTH($V$3+INT((DAY(EOMONTH($V$3,0))-1)/2)+X$11,0)=EOMONTH($AL$3,0),X$9*X$10,0),0),IF(AND(T$9&lt;&gt;"",T$11&lt;&gt;""),IF(EOMONTH($R$3+INT((DAY(EOMONTH($R$3,0))-1)/2)+T$11,0)=EOMONTH($AL$3,0),T$9*T$10,0),0),IF(AND(P$9&lt;&gt;"",P$11&lt;&gt;""),IF(EOMONTH($N$3+INT((DAY(EOMONTH($N$3,0))-1)/2)+P$11,0)=EOMONTH($AL$3,0),P$9*P$10,0),0),IF(AND(L$9&lt;&gt;"",L$11&lt;&gt;""),IF(EOMONTH($J$3+INT((DAY(EOMONTH($J$3,0))-1)/2)+L$11,0)=EOMONTH($AL$3,0),L$9*L$10,0),0),IF(AND(H$9&lt;&gt;"",H$11&lt;&gt;""),IF(EOMONTH($F$3+INT((DAY(EOMONTH($F$3,0))-1)/2)+H$11,0)=EOMONTH($AL$3,0),H$9*H$10,0),0),IF($AX$75="",0,IF(EOMONTH($AX$75+AZ$11,0)=EOMONTH($AL$3,0),$AX$76*AZ$10,0))),0)</f>
        <v>11</v>
      </c>
      <c r="AO12" s="16">
        <f t="shared" si="21"/>
        <v>0</v>
      </c>
      <c r="AP12" s="17"/>
      <c r="AQ12" s="14">
        <f>IF(AP$98=1,AP12,ROUND(SUM(IF(AND(AY$9&lt;&gt;"",AY$11&lt;&gt;""),IF(EOMONTH($AX$3+INT((DAY(EOMONTH($AX$3,0))-1)/2)+AY$11,0)=EOMONTH($AP$3,0),AY$9*AY$10,0),0),IF(AND(AU$9&lt;&gt;"",AU$11&lt;&gt;""),IF(EOMONTH($AT$3+INT((DAY(EOMONTH($AT$3,0))-1)/2)+AU$11,0)=EOMONTH($AP$3,0),AU$9*AU$10,0),0),IF(AND(AQ$9&lt;&gt;"",AQ$11&lt;&gt;""),IF(EOMONTH($AP$3+INT((DAY(EOMONTH($AP$3,0))-1)/2)+AQ$11,0)=EOMONTH($AP$3,0),AQ$9*AQ$10,0),0),IF(AND(AM$9&lt;&gt;"",AM$11&lt;&gt;""),IF(EOMONTH($AL$3+INT((DAY(EOMONTH($AL$3,0))-1)/2)+AM$11,0)=EOMONTH($AP$3,0),AM$9*AM$10,0),0),IF(AND(AI$9&lt;&gt;"",AI$11&lt;&gt;""),IF(EOMONTH($AH$3+INT((DAY(EOMONTH($AH$3,0))-1)/2)+AI$11,0)=EOMONTH($AP$3,0),AI$9*AI$10,0),0),IF(AND(AE$9&lt;&gt;"",AE$11&lt;&gt;""),IF(EOMONTH($AD$3+INT((DAY(EOMONTH($AD$3,0))-1)/2)+AE$11,0)=EOMONTH($AP$3,0),AE$9*AE$10,0),0),IF(AND(AA$9&lt;&gt;"",AA$11&lt;&gt;""),IF(EOMONTH($Z$3+INT((DAY(EOMONTH($Z$3,0))-1)/2)+AA$11,0)=EOMONTH($AP$3,0),AA$9*AA$10,0),0),IF(AND(W$9&lt;&gt;"",W$11&lt;&gt;""),IF(EOMONTH($V$3+INT((DAY(EOMONTH($V$3,0))-1)/2)+W$11,0)=EOMONTH($AP$3,0),W$9*W$10,0),0),IF(AND(S$9&lt;&gt;"",S$11&lt;&gt;""),IF(EOMONTH($R$3+INT((DAY(EOMONTH($R$3,0))-1)/2)+S$11,0)=EOMONTH($AP$3,0),S$9*S$10,0),0),IF(AND(O$9&lt;&gt;"",O$11&lt;&gt;""),IF(EOMONTH($N$3+INT((DAY(EOMONTH($N$3,0))-1)/2)+O$11,0)=EOMONTH($AP$3,0),O$9*O$10,0),0),IF(AND(K$9&lt;&gt;"",K$11&lt;&gt;""),IF(EOMONTH($J$3+INT((DAY(EOMONTH($J$3,0))-1)/2)+K$11,0)=EOMONTH($AP$3,0),K$9*K$10,0),0),IF(AND(G$9&lt;&gt;"",G$11&lt;&gt;""),IF(EOMONTH($F$3+INT((DAY(EOMONTH($F$3,0))-1)/2)+G$11,0)=EOMONTH($AP$3,0),G$9*G$10,0),0),IF($AX$75="",0,IF(EOMONTH($AX$75+AY$11,0)=EOMONTH($AP$3,0),$AX$76*AY$10,0))),0))</f>
        <v>8</v>
      </c>
      <c r="AR12" s="15">
        <f>ROUND(SUM(IF(AND(AZ$9&lt;&gt;"",AZ$11&lt;&gt;""),IF(EOMONTH($AX$3+INT((DAY(EOMONTH($AX$3,0))-1)/2)+AZ$11,0)=EOMONTH($AP$3,0),AZ$9*AZ$10,0),0),IF(AND(AV$9&lt;&gt;"",AV$11&lt;&gt;""),IF(EOMONTH($AT$3+INT((DAY(EOMONTH($AT$3,0))-1)/2)+AV$11,0)=EOMONTH($AP$3,0),AV$9*AV$10,0),0),IF(AND(AR$9&lt;&gt;"",AR$11&lt;&gt;""),IF(EOMONTH($AP$3+INT((DAY(EOMONTH($AP$3,0))-1)/2)+AR$11,0)=EOMONTH($AP$3,0),AR$9*AR$10,0),0),IF(AND(AN$9&lt;&gt;"",AN$11&lt;&gt;""),IF(EOMONTH($AL$3+INT((DAY(EOMONTH($AL$3,0))-1)/2)+AN$11,0)=EOMONTH($AP$3,0),AN$9*AN$10,0),0),IF(AND(AJ$9&lt;&gt;"",AJ$11&lt;&gt;""),IF(EOMONTH($AH$3+INT((DAY(EOMONTH($AH$3,0))-1)/2)+AJ$11,0)=EOMONTH($AP$3,0),AJ$9*AJ$10,0),0),IF(AND(AF$9&lt;&gt;"",AF$11&lt;&gt;""),IF(EOMONTH($AD$3+INT((DAY(EOMONTH($AD$3,0))-1)/2)+AF$11,0)=EOMONTH($AP$3,0),AF$9*AF$10,0),0),IF(AND(AB$9&lt;&gt;"",AB$11&lt;&gt;""),IF(EOMONTH($Z$3+INT((DAY(EOMONTH($Z$3,0))-1)/2)+AB$11,0)=EOMONTH($AP$3,0),AB$9*AB$10,0),0),IF(AND(X$9&lt;&gt;"",X$11&lt;&gt;""),IF(EOMONTH($V$3+INT((DAY(EOMONTH($V$3,0))-1)/2)+X$11,0)=EOMONTH($AP$3,0),X$9*X$10,0),0),IF(AND(T$9&lt;&gt;"",T$11&lt;&gt;""),IF(EOMONTH($R$3+INT((DAY(EOMONTH($R$3,0))-1)/2)+T$11,0)=EOMONTH($AP$3,0),T$9*T$10,0),0),IF(AND(P$9&lt;&gt;"",P$11&lt;&gt;""),IF(EOMONTH($N$3+INT((DAY(EOMONTH($N$3,0))-1)/2)+P$11,0)=EOMONTH($AP$3,0),P$9*P$10,0),0),IF(AND(L$9&lt;&gt;"",L$11&lt;&gt;""),IF(EOMONTH($J$3+INT((DAY(EOMONTH($J$3,0))-1)/2)+L$11,0)=EOMONTH($AP$3,0),L$9*L$10,0),0),IF(AND(H$9&lt;&gt;"",H$11&lt;&gt;""),IF(EOMONTH($F$3+INT((DAY(EOMONTH($F$3,0))-1)/2)+H$11,0)=EOMONTH($AP$3,0),H$9*H$10,0),0),IF($AX$75="",0,IF(EOMONTH($AX$75+AZ$11,0)=EOMONTH($AP$3,0),$AX$76*AZ$10,0))),0)</f>
        <v>10</v>
      </c>
      <c r="AS12" s="16">
        <f t="shared" si="23"/>
        <v>-2</v>
      </c>
      <c r="AT12" s="17">
        <v>8.0</v>
      </c>
      <c r="AU12" s="14">
        <f>IF(AT$98=1,AT12,ROUND(SUM(IF(AND(AY$9&lt;&gt;"",AY$11&lt;&gt;""),IF(EOMONTH($AX$3+INT((DAY(EOMONTH($AX$3,0))-1)/2)+AY$11,0)=EOMONTH($AT$3,0),AY$9*AY$10,0),0),IF(AND(AU$9&lt;&gt;"",AU$11&lt;&gt;""),IF(EOMONTH($AT$3+INT((DAY(EOMONTH($AT$3,0))-1)/2)+AU$11,0)=EOMONTH($AT$3,0),AU$9*AU$10,0),0),IF(AND(AQ$9&lt;&gt;"",AQ$11&lt;&gt;""),IF(EOMONTH($AP$3+INT((DAY(EOMONTH($AP$3,0))-1)/2)+AQ$11,0)=EOMONTH($AT$3,0),AQ$9*AQ$10,0),0),IF(AND(AM$9&lt;&gt;"",AM$11&lt;&gt;""),IF(EOMONTH($AL$3+INT((DAY(EOMONTH($AL$3,0))-1)/2)+AM$11,0)=EOMONTH($AT$3,0),AM$9*AM$10,0),0),IF(AND(AI$9&lt;&gt;"",AI$11&lt;&gt;""),IF(EOMONTH($AH$3+INT((DAY(EOMONTH($AH$3,0))-1)/2)+AI$11,0)=EOMONTH($AT$3,0),AI$9*AI$10,0),0),IF(AND(AE$9&lt;&gt;"",AE$11&lt;&gt;""),IF(EOMONTH($AD$3+INT((DAY(EOMONTH($AD$3,0))-1)/2)+AE$11,0)=EOMONTH($AT$3,0),AE$9*AE$10,0),0),IF(AND(AA$9&lt;&gt;"",AA$11&lt;&gt;""),IF(EOMONTH($Z$3+INT((DAY(EOMONTH($Z$3,0))-1)/2)+AA$11,0)=EOMONTH($AT$3,0),AA$9*AA$10,0),0),IF(AND(W$9&lt;&gt;"",W$11&lt;&gt;""),IF(EOMONTH($V$3+INT((DAY(EOMONTH($V$3,0))-1)/2)+W$11,0)=EOMONTH($AT$3,0),W$9*W$10,0),0),IF(AND(S$9&lt;&gt;"",S$11&lt;&gt;""),IF(EOMONTH($R$3+INT((DAY(EOMONTH($R$3,0))-1)/2)+S$11,0)=EOMONTH($AT$3,0),S$9*S$10,0),0),IF(AND(O$9&lt;&gt;"",O$11&lt;&gt;""),IF(EOMONTH($N$3+INT((DAY(EOMONTH($N$3,0))-1)/2)+O$11,0)=EOMONTH($AT$3,0),O$9*O$10,0),0),IF(AND(K$9&lt;&gt;"",K$11&lt;&gt;""),IF(EOMONTH($J$3+INT((DAY(EOMONTH($J$3,0))-1)/2)+K$11,0)=EOMONTH($AT$3,0),K$9*K$10,0),0),IF(AND(G$9&lt;&gt;"",G$11&lt;&gt;""),IF(EOMONTH($F$3+INT((DAY(EOMONTH($F$3,0))-1)/2)+G$11,0)=EOMONTH($AT$3,0),G$9*G$10,0),0),IF($AX$75="",0,IF(EOMONTH($AX$75+AY$11,0)=EOMONTH($AT$3,0),$AX$76*AY$10,0))),0))</f>
        <v>8</v>
      </c>
      <c r="AV12" s="15">
        <f>ROUND(SUM(IF(AND(AZ$9&lt;&gt;"",AZ$11&lt;&gt;""),IF(EOMONTH($AX$3+INT((DAY(EOMONTH($AX$3,0))-1)/2)+AZ$11,0)=EOMONTH($AT$3,0),AZ$9*AZ$10,0),0),IF(AND(AV$9&lt;&gt;"",AV$11&lt;&gt;""),IF(EOMONTH($AT$3+INT((DAY(EOMONTH($AT$3,0))-1)/2)+AV$11,0)=EOMONTH($AT$3,0),AV$9*AV$10,0),0),IF(AND(AR$9&lt;&gt;"",AR$11&lt;&gt;""),IF(EOMONTH($AP$3+INT((DAY(EOMONTH($AP$3,0))-1)/2)+AR$11,0)=EOMONTH($AT$3,0),AR$9*AR$10,0),0),IF(AND(AN$9&lt;&gt;"",AN$11&lt;&gt;""),IF(EOMONTH($AL$3+INT((DAY(EOMONTH($AL$3,0))-1)/2)+AN$11,0)=EOMONTH($AT$3,0),AN$9*AN$10,0),0),IF(AND(AJ$9&lt;&gt;"",AJ$11&lt;&gt;""),IF(EOMONTH($AH$3+INT((DAY(EOMONTH($AH$3,0))-1)/2)+AJ$11,0)=EOMONTH($AT$3,0),AJ$9*AJ$10,0),0),IF(AND(AF$9&lt;&gt;"",AF$11&lt;&gt;""),IF(EOMONTH($AD$3+INT((DAY(EOMONTH($AD$3,0))-1)/2)+AF$11,0)=EOMONTH($AT$3,0),AF$9*AF$10,0),0),IF(AND(AB$9&lt;&gt;"",AB$11&lt;&gt;""),IF(EOMONTH($Z$3+INT((DAY(EOMONTH($Z$3,0))-1)/2)+AB$11,0)=EOMONTH($AT$3,0),AB$9*AB$10,0),0),IF(AND(X$9&lt;&gt;"",X$11&lt;&gt;""),IF(EOMONTH($V$3+INT((DAY(EOMONTH($V$3,0))-1)/2)+X$11,0)=EOMONTH($AT$3,0),X$9*X$10,0),0),IF(AND(T$9&lt;&gt;"",T$11&lt;&gt;""),IF(EOMONTH($R$3+INT((DAY(EOMONTH($R$3,0))-1)/2)+T$11,0)=EOMONTH($AT$3,0),T$9*T$10,0),0),IF(AND(P$9&lt;&gt;"",P$11&lt;&gt;""),IF(EOMONTH($N$3+INT((DAY(EOMONTH($N$3,0))-1)/2)+P$11,0)=EOMONTH($AT$3,0),P$9*P$10,0),0),IF(AND(L$9&lt;&gt;"",L$11&lt;&gt;""),IF(EOMONTH($J$3+INT((DAY(EOMONTH($J$3,0))-1)/2)+L$11,0)=EOMONTH($AT$3,0),L$9*L$10,0),0),IF(AND(H$9&lt;&gt;"",H$11&lt;&gt;""),IF(EOMONTH($F$3+INT((DAY(EOMONTH($F$3,0))-1)/2)+H$11,0)=EOMONTH($AT$3,0),H$9*H$10,0),0),IF($AX$75="",0,IF(EOMONTH($AX$75+AZ$11,0)=EOMONTH($AT$3,0),$AX$76*AZ$10,0))),0)</f>
        <v>10</v>
      </c>
      <c r="AW12" s="16">
        <f t="shared" si="25"/>
        <v>-2</v>
      </c>
      <c r="AX12" s="17">
        <v>7.0</v>
      </c>
      <c r="AY12" s="14">
        <f>IF(AX$98=1,AX12,ROUND(SUM(IF(AND(AY$9&lt;&gt;"",AY$11&lt;&gt;""),IF(EOMONTH($AX$3+INT((DAY(EOMONTH($AX$3,0))-1)/2)+AY$11,0)=EOMONTH($AX$3,0),AY$9*AY$10,0),0),IF(AND(AU$9&lt;&gt;"",AU$11&lt;&gt;""),IF(EOMONTH($AT$3+INT((DAY(EOMONTH($AT$3,0))-1)/2)+AU$11,0)=EOMONTH($AX$3,0),AU$9*AU$10,0),0),IF(AND(AQ$9&lt;&gt;"",AQ$11&lt;&gt;""),IF(EOMONTH($AP$3+INT((DAY(EOMONTH($AP$3,0))-1)/2)+AQ$11,0)=EOMONTH($AX$3,0),AQ$9*AQ$10,0),0),IF(AND(AM$9&lt;&gt;"",AM$11&lt;&gt;""),IF(EOMONTH($AL$3+INT((DAY(EOMONTH($AL$3,0))-1)/2)+AM$11,0)=EOMONTH($AX$3,0),AM$9*AM$10,0),0),IF(AND(AI$9&lt;&gt;"",AI$11&lt;&gt;""),IF(EOMONTH($AH$3+INT((DAY(EOMONTH($AH$3,0))-1)/2)+AI$11,0)=EOMONTH($AX$3,0),AI$9*AI$10,0),0),IF(AND(AE$9&lt;&gt;"",AE$11&lt;&gt;""),IF(EOMONTH($AD$3+INT((DAY(EOMONTH($AD$3,0))-1)/2)+AE$11,0)=EOMONTH($AX$3,0),AE$9*AE$10,0),0),IF(AND(AA$9&lt;&gt;"",AA$11&lt;&gt;""),IF(EOMONTH($Z$3+INT((DAY(EOMONTH($Z$3,0))-1)/2)+AA$11,0)=EOMONTH($AX$3,0),AA$9*AA$10,0),0),IF(AND(W$9&lt;&gt;"",W$11&lt;&gt;""),IF(EOMONTH($V$3+INT((DAY(EOMONTH($V$3,0))-1)/2)+W$11,0)=EOMONTH($AX$3,0),W$9*W$10,0),0),IF(AND(S$9&lt;&gt;"",S$11&lt;&gt;""),IF(EOMONTH($R$3+INT((DAY(EOMONTH($R$3,0))-1)/2)+S$11,0)=EOMONTH($AX$3,0),S$9*S$10,0),0),IF(AND(O$9&lt;&gt;"",O$11&lt;&gt;""),IF(EOMONTH($N$3+INT((DAY(EOMONTH($N$3,0))-1)/2)+O$11,0)=EOMONTH($AX$3,0),O$9*O$10,0),0),IF(AND(K$9&lt;&gt;"",K$11&lt;&gt;""),IF(EOMONTH($J$3+INT((DAY(EOMONTH($J$3,0))-1)/2)+K$11,0)=EOMONTH($AX$3,0),K$9*K$10,0),0),IF(AND(G$9&lt;&gt;"",G$11&lt;&gt;""),IF(EOMONTH($F$3+INT((DAY(EOMONTH($F$3,0))-1)/2)+G$11,0)=EOMONTH($AX$3,0),G$9*G$10,0),0),IF($AX$75="",0,IF(EOMONTH($AX$75+AY$11,0)=EOMONTH($AX$3,0),$AX$76*AY$10,0))),0))</f>
        <v>7</v>
      </c>
      <c r="AZ12" s="15">
        <f>ROUND(SUM(IF(AND(AZ$9&lt;&gt;"",AZ$11&lt;&gt;""),IF(EOMONTH($AX$3+INT((DAY(EOMONTH($AX$3,0))-1)/2)+AZ$11,0)=EOMONTH($AX$3,0),AZ$9*AZ$10,0),0),IF(AND(AV$9&lt;&gt;"",AV$11&lt;&gt;""),IF(EOMONTH($AT$3+INT((DAY(EOMONTH($AT$3,0))-1)/2)+AV$11,0)=EOMONTH($AX$3,0),AV$9*AV$10,0),0),IF(AND(AR$9&lt;&gt;"",AR$11&lt;&gt;""),IF(EOMONTH($AP$3+INT((DAY(EOMONTH($AP$3,0))-1)/2)+AR$11,0)=EOMONTH($AX$3,0),AR$9*AR$10,0),0),IF(AND(AN$9&lt;&gt;"",AN$11&lt;&gt;""),IF(EOMONTH($AL$3+INT((DAY(EOMONTH($AL$3,0))-1)/2)+AN$11,0)=EOMONTH($AX$3,0),AN$9*AN$10,0),0),IF(AND(AJ$9&lt;&gt;"",AJ$11&lt;&gt;""),IF(EOMONTH($AH$3+INT((DAY(EOMONTH($AH$3,0))-1)/2)+AJ$11,0)=EOMONTH($AX$3,0),AJ$9*AJ$10,0),0),IF(AND(AF$9&lt;&gt;"",AF$11&lt;&gt;""),IF(EOMONTH($AD$3+INT((DAY(EOMONTH($AD$3,0))-1)/2)+AF$11,0)=EOMONTH($AX$3,0),AF$9*AF$10,0),0),IF(AND(AB$9&lt;&gt;"",AB$11&lt;&gt;""),IF(EOMONTH($Z$3+INT((DAY(EOMONTH($Z$3,0))-1)/2)+AB$11,0)=EOMONTH($AX$3,0),AB$9*AB$10,0),0),IF(AND(X$9&lt;&gt;"",X$11&lt;&gt;""),IF(EOMONTH($V$3+INT((DAY(EOMONTH($V$3,0))-1)/2)+X$11,0)=EOMONTH($AX$3,0),X$9*X$10,0),0),IF(AND(T$9&lt;&gt;"",T$11&lt;&gt;""),IF(EOMONTH($R$3+INT((DAY(EOMONTH($R$3,0))-1)/2)+T$11,0)=EOMONTH($AX$3,0),T$9*T$10,0),0),IF(AND(P$9&lt;&gt;"",P$11&lt;&gt;""),IF(EOMONTH($N$3+INT((DAY(EOMONTH($N$3,0))-1)/2)+P$11,0)=EOMONTH($AX$3,0),P$9*P$10,0),0),IF(AND(L$9&lt;&gt;"",L$11&lt;&gt;""),IF(EOMONTH($J$3+INT((DAY(EOMONTH($J$3,0))-1)/2)+L$11,0)=EOMONTH($AX$3,0),L$9*L$10,0),0),IF(AND(H$9&lt;&gt;"",H$11&lt;&gt;""),IF(EOMONTH($F$3+INT((DAY(EOMONTH($F$3,0))-1)/2)+H$11,0)=EOMONTH($AX$3,0),H$9*H$10,0),0),IF($AX$75="",0,IF(EOMONTH($AX$75+AZ$11,0)=EOMONTH($AX$3,0),$AX$76*AZ$10,0))),0)</f>
        <v>10</v>
      </c>
      <c r="BA12" s="16">
        <f t="shared" si="27"/>
        <v>-3</v>
      </c>
    </row>
    <row r="13" ht="18.0" customHeight="1">
      <c r="A13" s="2" t="s">
        <v>16</v>
      </c>
      <c r="B13" s="30">
        <f t="shared" ref="B13:D13" si="45">IFERROR(SUM(AX13*AX12,AT13*AT12,AP13*AP12,AL13*AL12,AH13*AH12,AD13*AD12,Z13*Z12,V13*V12,R13*R12,N13*N12,J13*J12,F13*F12)/SUM(AX12,AT12,AP12,AL12,AH12,AD12,Z12,V12,R12,N12,J12,F12),"")</f>
        <v>5000</v>
      </c>
      <c r="C13" s="31">
        <f t="shared" si="45"/>
        <v>7648.4375</v>
      </c>
      <c r="D13" s="32">
        <f t="shared" si="45"/>
        <v>8000</v>
      </c>
      <c r="E13" s="33">
        <f t="shared" si="3"/>
        <v>-351.5625</v>
      </c>
      <c r="F13" s="34"/>
      <c r="G13" s="31">
        <f t="shared" ref="G13:G16" si="47">IF(F$98=1,F13,H13)</f>
        <v>8000</v>
      </c>
      <c r="H13" s="35">
        <v>8000.0</v>
      </c>
      <c r="I13" s="33">
        <f t="shared" si="5"/>
        <v>0</v>
      </c>
      <c r="J13" s="34"/>
      <c r="K13" s="31">
        <f t="shared" ref="K13:K16" si="48">IF(J$98=1,J13,L13)</f>
        <v>8000</v>
      </c>
      <c r="L13" s="35">
        <v>8000.0</v>
      </c>
      <c r="M13" s="33">
        <f t="shared" si="7"/>
        <v>0</v>
      </c>
      <c r="N13" s="34"/>
      <c r="O13" s="31">
        <f t="shared" ref="O13:O16" si="49">IF(N$98=1,N13,P13)</f>
        <v>8000</v>
      </c>
      <c r="P13" s="35">
        <v>8000.0</v>
      </c>
      <c r="Q13" s="33">
        <f t="shared" si="9"/>
        <v>0</v>
      </c>
      <c r="R13" s="34"/>
      <c r="S13" s="31">
        <f t="shared" ref="S13:S16" si="50">IF(R$98=1,R13,T13)</f>
        <v>8000</v>
      </c>
      <c r="T13" s="35">
        <v>8000.0</v>
      </c>
      <c r="U13" s="33">
        <f t="shared" si="11"/>
        <v>0</v>
      </c>
      <c r="V13" s="34"/>
      <c r="W13" s="31">
        <f t="shared" ref="W13:W16" si="51">IF(V$98=1,V13,X13)</f>
        <v>8000</v>
      </c>
      <c r="X13" s="35">
        <v>8000.0</v>
      </c>
      <c r="Y13" s="33">
        <f t="shared" si="13"/>
        <v>0</v>
      </c>
      <c r="Z13" s="34"/>
      <c r="AA13" s="31">
        <f t="shared" ref="AA13:AA16" si="52">IF(Z$98=1,Z13,AB13)</f>
        <v>8000</v>
      </c>
      <c r="AB13" s="35">
        <v>8000.0</v>
      </c>
      <c r="AC13" s="33">
        <f t="shared" si="15"/>
        <v>0</v>
      </c>
      <c r="AD13" s="34"/>
      <c r="AE13" s="31">
        <f t="shared" ref="AE13:AE16" si="53">IF(AD$98=1,AD13,AF13)</f>
        <v>8000</v>
      </c>
      <c r="AF13" s="35">
        <v>8000.0</v>
      </c>
      <c r="AG13" s="33">
        <f t="shared" si="17"/>
        <v>0</v>
      </c>
      <c r="AH13" s="34"/>
      <c r="AI13" s="31">
        <f t="shared" ref="AI13:AI16" si="54">IF(AH$98=1,AH13,AJ13)</f>
        <v>8000</v>
      </c>
      <c r="AJ13" s="35">
        <v>8000.0</v>
      </c>
      <c r="AK13" s="33">
        <f t="shared" si="19"/>
        <v>0</v>
      </c>
      <c r="AL13" s="34"/>
      <c r="AM13" s="31">
        <f t="shared" ref="AM13:AM16" si="55">IF(AL$98=1,AL13,AN13)</f>
        <v>8000</v>
      </c>
      <c r="AN13" s="35">
        <v>8000.0</v>
      </c>
      <c r="AO13" s="33">
        <f t="shared" si="21"/>
        <v>0</v>
      </c>
      <c r="AP13" s="34"/>
      <c r="AQ13" s="31">
        <f t="shared" ref="AQ13:AQ16" si="56">IF(AP$98=1,AP13,AR13)</f>
        <v>8000</v>
      </c>
      <c r="AR13" s="35">
        <v>8000.0</v>
      </c>
      <c r="AS13" s="33">
        <f t="shared" si="23"/>
        <v>0</v>
      </c>
      <c r="AT13" s="34">
        <v>5000.0</v>
      </c>
      <c r="AU13" s="31">
        <f t="shared" ref="AU13:AU16" si="57">IF(AT$98=1,AT13,AV13)</f>
        <v>5000</v>
      </c>
      <c r="AV13" s="35">
        <v>8000.0</v>
      </c>
      <c r="AW13" s="33">
        <f t="shared" si="25"/>
        <v>-3000</v>
      </c>
      <c r="AX13" s="34">
        <v>5000.0</v>
      </c>
      <c r="AY13" s="31">
        <f t="shared" ref="AY13:AY16" si="58">IF(AX$98=1,AX13,AZ13)</f>
        <v>5000</v>
      </c>
      <c r="AZ13" s="35">
        <v>8000.0</v>
      </c>
      <c r="BA13" s="33">
        <f t="shared" si="27"/>
        <v>-3000</v>
      </c>
    </row>
    <row r="14" ht="18.0" customHeight="1">
      <c r="A14" s="2" t="s">
        <v>17</v>
      </c>
      <c r="B14" s="24">
        <f t="shared" ref="B14:D14" si="46">IFERROR(SUM(AX14*AX12,AT14*AT12,AP14*AP12,AL14*AL12,AH14*AH12,AD14*AD12,Z14*Z12,V14*V12,R14*R12,N14*N12,J14*J12,F14*F12)/SUM(AX12,AT12,AP12,AL12,AH12,AD12,Z12,V12,R12,N12,J12,F12),"")</f>
        <v>30</v>
      </c>
      <c r="C14" s="25">
        <f t="shared" si="46"/>
        <v>30</v>
      </c>
      <c r="D14" s="26">
        <f t="shared" si="46"/>
        <v>30</v>
      </c>
      <c r="E14" s="27">
        <f t="shared" si="3"/>
        <v>0</v>
      </c>
      <c r="F14" s="28"/>
      <c r="G14" s="25">
        <f t="shared" si="47"/>
        <v>30</v>
      </c>
      <c r="H14" s="29">
        <v>30.0</v>
      </c>
      <c r="I14" s="27">
        <f t="shared" si="5"/>
        <v>0</v>
      </c>
      <c r="J14" s="28"/>
      <c r="K14" s="25">
        <f t="shared" si="48"/>
        <v>30</v>
      </c>
      <c r="L14" s="29">
        <v>30.0</v>
      </c>
      <c r="M14" s="27">
        <f t="shared" si="7"/>
        <v>0</v>
      </c>
      <c r="N14" s="28"/>
      <c r="O14" s="25">
        <f t="shared" si="49"/>
        <v>30</v>
      </c>
      <c r="P14" s="29">
        <v>30.0</v>
      </c>
      <c r="Q14" s="27">
        <f t="shared" si="9"/>
        <v>0</v>
      </c>
      <c r="R14" s="28"/>
      <c r="S14" s="25">
        <f t="shared" si="50"/>
        <v>30</v>
      </c>
      <c r="T14" s="29">
        <v>30.0</v>
      </c>
      <c r="U14" s="27">
        <f t="shared" si="11"/>
        <v>0</v>
      </c>
      <c r="V14" s="28"/>
      <c r="W14" s="25">
        <f t="shared" si="51"/>
        <v>30</v>
      </c>
      <c r="X14" s="29">
        <v>30.0</v>
      </c>
      <c r="Y14" s="27">
        <f t="shared" si="13"/>
        <v>0</v>
      </c>
      <c r="Z14" s="28"/>
      <c r="AA14" s="25">
        <f t="shared" si="52"/>
        <v>30</v>
      </c>
      <c r="AB14" s="29">
        <v>30.0</v>
      </c>
      <c r="AC14" s="27">
        <f t="shared" si="15"/>
        <v>0</v>
      </c>
      <c r="AD14" s="28"/>
      <c r="AE14" s="25">
        <f t="shared" si="53"/>
        <v>30</v>
      </c>
      <c r="AF14" s="29">
        <v>30.0</v>
      </c>
      <c r="AG14" s="27">
        <f t="shared" si="17"/>
        <v>0</v>
      </c>
      <c r="AH14" s="28"/>
      <c r="AI14" s="25">
        <f t="shared" si="54"/>
        <v>30</v>
      </c>
      <c r="AJ14" s="29">
        <v>30.0</v>
      </c>
      <c r="AK14" s="27">
        <f t="shared" si="19"/>
        <v>0</v>
      </c>
      <c r="AL14" s="28"/>
      <c r="AM14" s="25">
        <f t="shared" si="55"/>
        <v>30</v>
      </c>
      <c r="AN14" s="29">
        <v>30.0</v>
      </c>
      <c r="AO14" s="27">
        <f t="shared" si="21"/>
        <v>0</v>
      </c>
      <c r="AP14" s="28"/>
      <c r="AQ14" s="25">
        <f t="shared" si="56"/>
        <v>30</v>
      </c>
      <c r="AR14" s="29">
        <v>30.0</v>
      </c>
      <c r="AS14" s="27">
        <f t="shared" si="23"/>
        <v>0</v>
      </c>
      <c r="AT14" s="28">
        <v>30.0</v>
      </c>
      <c r="AU14" s="25">
        <f t="shared" si="57"/>
        <v>30</v>
      </c>
      <c r="AV14" s="29">
        <v>30.0</v>
      </c>
      <c r="AW14" s="27">
        <f t="shared" si="25"/>
        <v>0</v>
      </c>
      <c r="AX14" s="28">
        <v>30.0</v>
      </c>
      <c r="AY14" s="25">
        <f t="shared" si="58"/>
        <v>30</v>
      </c>
      <c r="AZ14" s="29">
        <v>30.0</v>
      </c>
      <c r="BA14" s="27">
        <f t="shared" si="27"/>
        <v>0</v>
      </c>
    </row>
    <row r="15" ht="18.0" customHeight="1">
      <c r="A15" s="2" t="s">
        <v>18</v>
      </c>
      <c r="B15" s="13">
        <f t="shared" ref="B15:D15" si="59">IFERROR(SUM(AX15,AT15,AP15,AL15,AH15,AD15,Z15,V15,R15,N15,J15,F15)/COUNT(AX15,AT15,AP15,AL15,AH15,AD15,Z15,V15,R15,N15,J15,F15),"")</f>
        <v>3</v>
      </c>
      <c r="C15" s="14">
        <f t="shared" si="59"/>
        <v>3</v>
      </c>
      <c r="D15" s="15">
        <f t="shared" si="59"/>
        <v>3</v>
      </c>
      <c r="E15" s="16">
        <f t="shared" si="3"/>
        <v>0</v>
      </c>
      <c r="F15" s="17"/>
      <c r="G15" s="14">
        <f t="shared" si="47"/>
        <v>3</v>
      </c>
      <c r="H15" s="18">
        <v>3.0</v>
      </c>
      <c r="I15" s="16">
        <f t="shared" si="5"/>
        <v>0</v>
      </c>
      <c r="J15" s="17"/>
      <c r="K15" s="14">
        <f t="shared" si="48"/>
        <v>3</v>
      </c>
      <c r="L15" s="18">
        <v>3.0</v>
      </c>
      <c r="M15" s="16">
        <f t="shared" si="7"/>
        <v>0</v>
      </c>
      <c r="N15" s="17"/>
      <c r="O15" s="14">
        <f t="shared" si="49"/>
        <v>3</v>
      </c>
      <c r="P15" s="18">
        <v>3.0</v>
      </c>
      <c r="Q15" s="16">
        <f t="shared" si="9"/>
        <v>0</v>
      </c>
      <c r="R15" s="17"/>
      <c r="S15" s="14">
        <f t="shared" si="50"/>
        <v>3</v>
      </c>
      <c r="T15" s="18">
        <v>3.0</v>
      </c>
      <c r="U15" s="16">
        <f t="shared" si="11"/>
        <v>0</v>
      </c>
      <c r="V15" s="17"/>
      <c r="W15" s="14">
        <f t="shared" si="51"/>
        <v>3</v>
      </c>
      <c r="X15" s="18">
        <v>3.0</v>
      </c>
      <c r="Y15" s="16">
        <f t="shared" si="13"/>
        <v>0</v>
      </c>
      <c r="Z15" s="17"/>
      <c r="AA15" s="14">
        <f t="shared" si="52"/>
        <v>3</v>
      </c>
      <c r="AB15" s="18">
        <v>3.0</v>
      </c>
      <c r="AC15" s="16">
        <f t="shared" si="15"/>
        <v>0</v>
      </c>
      <c r="AD15" s="17"/>
      <c r="AE15" s="14">
        <f t="shared" si="53"/>
        <v>3</v>
      </c>
      <c r="AF15" s="18">
        <v>3.0</v>
      </c>
      <c r="AG15" s="16">
        <f t="shared" si="17"/>
        <v>0</v>
      </c>
      <c r="AH15" s="17"/>
      <c r="AI15" s="14">
        <f t="shared" si="54"/>
        <v>3</v>
      </c>
      <c r="AJ15" s="18">
        <v>3.0</v>
      </c>
      <c r="AK15" s="16">
        <f t="shared" si="19"/>
        <v>0</v>
      </c>
      <c r="AL15" s="17"/>
      <c r="AM15" s="14">
        <f t="shared" si="55"/>
        <v>3</v>
      </c>
      <c r="AN15" s="18">
        <v>3.0</v>
      </c>
      <c r="AO15" s="16">
        <f t="shared" si="21"/>
        <v>0</v>
      </c>
      <c r="AP15" s="17"/>
      <c r="AQ15" s="14">
        <f t="shared" si="56"/>
        <v>3</v>
      </c>
      <c r="AR15" s="18">
        <v>3.0</v>
      </c>
      <c r="AS15" s="16">
        <f t="shared" si="23"/>
        <v>0</v>
      </c>
      <c r="AT15" s="17">
        <v>3.0</v>
      </c>
      <c r="AU15" s="14">
        <f t="shared" si="57"/>
        <v>3</v>
      </c>
      <c r="AV15" s="18">
        <v>3.0</v>
      </c>
      <c r="AW15" s="16">
        <f t="shared" si="25"/>
        <v>0</v>
      </c>
      <c r="AX15" s="17">
        <v>3.0</v>
      </c>
      <c r="AY15" s="14">
        <f t="shared" si="58"/>
        <v>3</v>
      </c>
      <c r="AZ15" s="18">
        <v>3.0</v>
      </c>
      <c r="BA15" s="16">
        <f t="shared" si="27"/>
        <v>0</v>
      </c>
    </row>
    <row r="16" ht="18.0" customHeight="1">
      <c r="A16" s="2" t="s">
        <v>19</v>
      </c>
      <c r="B16" s="13">
        <f t="shared" ref="B16:D16" si="60">IFERROR(SUM(AX16*AX15,AT16*AT15,AP16*AP15,AL16*AL15,AH16*AH15,AD16*AD15,Z16*Z15,V16*V15,R16*R15,N16*N15,J16*J15,F16*F15)/SUM(AX15,AT15,AP15,AL15,AH15,AD15,Z15,V15,R15,N15,J15,F15),"")</f>
        <v>8</v>
      </c>
      <c r="C16" s="14">
        <f t="shared" si="60"/>
        <v>8</v>
      </c>
      <c r="D16" s="15">
        <f t="shared" si="60"/>
        <v>8</v>
      </c>
      <c r="E16" s="16">
        <f t="shared" si="3"/>
        <v>0</v>
      </c>
      <c r="F16" s="17"/>
      <c r="G16" s="14">
        <f t="shared" si="47"/>
        <v>8</v>
      </c>
      <c r="H16" s="18">
        <v>8.0</v>
      </c>
      <c r="I16" s="16">
        <f t="shared" si="5"/>
        <v>0</v>
      </c>
      <c r="J16" s="17"/>
      <c r="K16" s="14">
        <f t="shared" si="48"/>
        <v>8</v>
      </c>
      <c r="L16" s="18">
        <v>8.0</v>
      </c>
      <c r="M16" s="16">
        <f t="shared" si="7"/>
        <v>0</v>
      </c>
      <c r="N16" s="17"/>
      <c r="O16" s="14">
        <f t="shared" si="49"/>
        <v>8</v>
      </c>
      <c r="P16" s="18">
        <v>8.0</v>
      </c>
      <c r="Q16" s="16">
        <f t="shared" si="9"/>
        <v>0</v>
      </c>
      <c r="R16" s="17"/>
      <c r="S16" s="14">
        <f t="shared" si="50"/>
        <v>8</v>
      </c>
      <c r="T16" s="18">
        <v>8.0</v>
      </c>
      <c r="U16" s="16">
        <f t="shared" si="11"/>
        <v>0</v>
      </c>
      <c r="V16" s="17"/>
      <c r="W16" s="14">
        <f t="shared" si="51"/>
        <v>8</v>
      </c>
      <c r="X16" s="18">
        <v>8.0</v>
      </c>
      <c r="Y16" s="16">
        <f t="shared" si="13"/>
        <v>0</v>
      </c>
      <c r="Z16" s="17"/>
      <c r="AA16" s="14">
        <f t="shared" si="52"/>
        <v>8</v>
      </c>
      <c r="AB16" s="18">
        <v>8.0</v>
      </c>
      <c r="AC16" s="16">
        <f t="shared" si="15"/>
        <v>0</v>
      </c>
      <c r="AD16" s="17"/>
      <c r="AE16" s="14">
        <f t="shared" si="53"/>
        <v>8</v>
      </c>
      <c r="AF16" s="18">
        <v>8.0</v>
      </c>
      <c r="AG16" s="16">
        <f t="shared" si="17"/>
        <v>0</v>
      </c>
      <c r="AH16" s="17"/>
      <c r="AI16" s="14">
        <f t="shared" si="54"/>
        <v>8</v>
      </c>
      <c r="AJ16" s="18">
        <v>8.0</v>
      </c>
      <c r="AK16" s="16">
        <f t="shared" si="19"/>
        <v>0</v>
      </c>
      <c r="AL16" s="17"/>
      <c r="AM16" s="14">
        <f t="shared" si="55"/>
        <v>8</v>
      </c>
      <c r="AN16" s="18">
        <v>8.0</v>
      </c>
      <c r="AO16" s="16">
        <f t="shared" si="21"/>
        <v>0</v>
      </c>
      <c r="AP16" s="17"/>
      <c r="AQ16" s="14">
        <f t="shared" si="56"/>
        <v>8</v>
      </c>
      <c r="AR16" s="18">
        <v>8.0</v>
      </c>
      <c r="AS16" s="16">
        <f t="shared" si="23"/>
        <v>0</v>
      </c>
      <c r="AT16" s="17">
        <v>8.0</v>
      </c>
      <c r="AU16" s="14">
        <f t="shared" si="57"/>
        <v>8</v>
      </c>
      <c r="AV16" s="18">
        <v>8.0</v>
      </c>
      <c r="AW16" s="16">
        <f t="shared" si="25"/>
        <v>0</v>
      </c>
      <c r="AX16" s="17">
        <v>8.0</v>
      </c>
      <c r="AY16" s="14">
        <f t="shared" si="58"/>
        <v>8</v>
      </c>
      <c r="AZ16" s="18">
        <v>8.0</v>
      </c>
      <c r="BA16" s="16">
        <f t="shared" si="27"/>
        <v>0</v>
      </c>
    </row>
    <row r="17" ht="18.0" customHeight="1">
      <c r="A17" s="2" t="s">
        <v>20</v>
      </c>
      <c r="B17" s="13">
        <f t="shared" ref="B17:D17" si="61">SUM(AX17,AT17,AP17,AL17,AH17,AD17,Z17,V17,R17,N17,J17,F17)</f>
        <v>48</v>
      </c>
      <c r="C17" s="14">
        <f t="shared" si="61"/>
        <v>288</v>
      </c>
      <c r="D17" s="15">
        <f t="shared" si="61"/>
        <v>288</v>
      </c>
      <c r="E17" s="16">
        <f t="shared" si="3"/>
        <v>0</v>
      </c>
      <c r="F17" s="13" t="str">
        <f>IF(COUNT(F15,F16)=2,F15*F16,"")</f>
        <v/>
      </c>
      <c r="G17" s="14">
        <f t="shared" ref="G17:H17" si="62">G15*G16</f>
        <v>24</v>
      </c>
      <c r="H17" s="15">
        <f t="shared" si="62"/>
        <v>24</v>
      </c>
      <c r="I17" s="16">
        <f t="shared" si="5"/>
        <v>0</v>
      </c>
      <c r="J17" s="13" t="str">
        <f>IF(COUNT(J15,J16)=2,J15*J16,"")</f>
        <v/>
      </c>
      <c r="K17" s="14">
        <f t="shared" ref="K17:L17" si="63">K15*K16</f>
        <v>24</v>
      </c>
      <c r="L17" s="15">
        <f t="shared" si="63"/>
        <v>24</v>
      </c>
      <c r="M17" s="16">
        <f t="shared" si="7"/>
        <v>0</v>
      </c>
      <c r="N17" s="13" t="str">
        <f>IF(COUNT(N15,N16)=2,N15*N16,"")</f>
        <v/>
      </c>
      <c r="O17" s="14">
        <f t="shared" ref="O17:P17" si="64">O15*O16</f>
        <v>24</v>
      </c>
      <c r="P17" s="15">
        <f t="shared" si="64"/>
        <v>24</v>
      </c>
      <c r="Q17" s="16">
        <f t="shared" si="9"/>
        <v>0</v>
      </c>
      <c r="R17" s="13" t="str">
        <f>IF(COUNT(R15,R16)=2,R15*R16,"")</f>
        <v/>
      </c>
      <c r="S17" s="14">
        <f t="shared" ref="S17:T17" si="65">S15*S16</f>
        <v>24</v>
      </c>
      <c r="T17" s="15">
        <f t="shared" si="65"/>
        <v>24</v>
      </c>
      <c r="U17" s="16">
        <f t="shared" si="11"/>
        <v>0</v>
      </c>
      <c r="V17" s="13" t="str">
        <f>IF(COUNT(V15,V16)=2,V15*V16,"")</f>
        <v/>
      </c>
      <c r="W17" s="14">
        <f t="shared" ref="W17:X17" si="66">W15*W16</f>
        <v>24</v>
      </c>
      <c r="X17" s="15">
        <f t="shared" si="66"/>
        <v>24</v>
      </c>
      <c r="Y17" s="16">
        <f t="shared" si="13"/>
        <v>0</v>
      </c>
      <c r="Z17" s="13" t="str">
        <f>IF(COUNT(Z15,Z16)=2,Z15*Z16,"")</f>
        <v/>
      </c>
      <c r="AA17" s="14">
        <f t="shared" ref="AA17:AB17" si="67">AA15*AA16</f>
        <v>24</v>
      </c>
      <c r="AB17" s="15">
        <f t="shared" si="67"/>
        <v>24</v>
      </c>
      <c r="AC17" s="16">
        <f t="shared" si="15"/>
        <v>0</v>
      </c>
      <c r="AD17" s="13" t="str">
        <f>IF(COUNT(AD15,AD16)=2,AD15*AD16,"")</f>
        <v/>
      </c>
      <c r="AE17" s="14">
        <f t="shared" ref="AE17:AF17" si="68">AE15*AE16</f>
        <v>24</v>
      </c>
      <c r="AF17" s="15">
        <f t="shared" si="68"/>
        <v>24</v>
      </c>
      <c r="AG17" s="16">
        <f t="shared" si="17"/>
        <v>0</v>
      </c>
      <c r="AH17" s="13" t="str">
        <f>IF(COUNT(AH15,AH16)=2,AH15*AH16,"")</f>
        <v/>
      </c>
      <c r="AI17" s="14">
        <f t="shared" ref="AI17:AJ17" si="69">AI15*AI16</f>
        <v>24</v>
      </c>
      <c r="AJ17" s="15">
        <f t="shared" si="69"/>
        <v>24</v>
      </c>
      <c r="AK17" s="16">
        <f t="shared" si="19"/>
        <v>0</v>
      </c>
      <c r="AL17" s="13" t="str">
        <f>IF(COUNT(AL15,AL16)=2,AL15*AL16,"")</f>
        <v/>
      </c>
      <c r="AM17" s="14">
        <f t="shared" ref="AM17:AN17" si="70">AM15*AM16</f>
        <v>24</v>
      </c>
      <c r="AN17" s="15">
        <f t="shared" si="70"/>
        <v>24</v>
      </c>
      <c r="AO17" s="16">
        <f t="shared" si="21"/>
        <v>0</v>
      </c>
      <c r="AP17" s="13" t="str">
        <f>IF(COUNT(AP15,AP16)=2,AP15*AP16,"")</f>
        <v/>
      </c>
      <c r="AQ17" s="14">
        <f t="shared" ref="AQ17:AR17" si="71">AQ15*AQ16</f>
        <v>24</v>
      </c>
      <c r="AR17" s="15">
        <f t="shared" si="71"/>
        <v>24</v>
      </c>
      <c r="AS17" s="16">
        <f t="shared" si="23"/>
        <v>0</v>
      </c>
      <c r="AT17" s="13">
        <f>IF(COUNT(AT15,AT16)=2,AT15*AT16,"")</f>
        <v>24</v>
      </c>
      <c r="AU17" s="14">
        <f t="shared" ref="AU17:AV17" si="72">AU15*AU16</f>
        <v>24</v>
      </c>
      <c r="AV17" s="15">
        <f t="shared" si="72"/>
        <v>24</v>
      </c>
      <c r="AW17" s="16">
        <f t="shared" si="25"/>
        <v>0</v>
      </c>
      <c r="AX17" s="13">
        <f>IF(COUNT(AX15,AX16)=2,AX15*AX16,"")</f>
        <v>24</v>
      </c>
      <c r="AY17" s="14">
        <f t="shared" ref="AY17:AZ17" si="73">AY15*AY16</f>
        <v>24</v>
      </c>
      <c r="AZ17" s="15">
        <f t="shared" si="73"/>
        <v>24</v>
      </c>
      <c r="BA17" s="16">
        <f t="shared" si="27"/>
        <v>0</v>
      </c>
    </row>
    <row r="18" ht="18.0" customHeight="1">
      <c r="A18" s="2" t="s">
        <v>21</v>
      </c>
      <c r="B18" s="30">
        <f t="shared" ref="B18:D18" si="74">IFERROR(SUM(AX18*AX21,AT18*AT21,AP18*AP21,AL18*AL21,AH18*AH21,AD18*AD21,Z18*Z21,V18*V21,R18*R21,N18*N21,J18*J21,F18*F21)/SUM(AX21,AT21,AP21,AL21,AH21,AD21,Z21,V21,R21,N21,J21,F21),"")</f>
        <v>1000</v>
      </c>
      <c r="C18" s="31">
        <f t="shared" si="74"/>
        <v>1000</v>
      </c>
      <c r="D18" s="32">
        <f t="shared" si="74"/>
        <v>1000</v>
      </c>
      <c r="E18" s="33">
        <f t="shared" si="3"/>
        <v>0</v>
      </c>
      <c r="F18" s="34"/>
      <c r="G18" s="31">
        <f>IF(F$98=1,F18,H18)</f>
        <v>1000</v>
      </c>
      <c r="H18" s="35">
        <v>1000.0</v>
      </c>
      <c r="I18" s="33">
        <f t="shared" si="5"/>
        <v>0</v>
      </c>
      <c r="J18" s="34"/>
      <c r="K18" s="31">
        <f>IF(J$98=1,J18,L18)</f>
        <v>1000</v>
      </c>
      <c r="L18" s="35">
        <v>1000.0</v>
      </c>
      <c r="M18" s="33">
        <f t="shared" si="7"/>
        <v>0</v>
      </c>
      <c r="N18" s="34"/>
      <c r="O18" s="31">
        <f>IF(N$98=1,N18,P18)</f>
        <v>1000</v>
      </c>
      <c r="P18" s="35">
        <v>1000.0</v>
      </c>
      <c r="Q18" s="33">
        <f t="shared" si="9"/>
        <v>0</v>
      </c>
      <c r="R18" s="34"/>
      <c r="S18" s="31">
        <f>IF(R$98=1,R18,T18)</f>
        <v>1000</v>
      </c>
      <c r="T18" s="35">
        <v>1000.0</v>
      </c>
      <c r="U18" s="33">
        <f t="shared" si="11"/>
        <v>0</v>
      </c>
      <c r="V18" s="34"/>
      <c r="W18" s="31">
        <f>IF(V$98=1,V18,X18)</f>
        <v>1000</v>
      </c>
      <c r="X18" s="35">
        <v>1000.0</v>
      </c>
      <c r="Y18" s="33">
        <f t="shared" si="13"/>
        <v>0</v>
      </c>
      <c r="Z18" s="34"/>
      <c r="AA18" s="31">
        <f>IF(Z$98=1,Z18,AB18)</f>
        <v>1000</v>
      </c>
      <c r="AB18" s="35">
        <v>1000.0</v>
      </c>
      <c r="AC18" s="33">
        <f t="shared" si="15"/>
        <v>0</v>
      </c>
      <c r="AD18" s="34"/>
      <c r="AE18" s="31">
        <f>IF(AD$98=1,AD18,AF18)</f>
        <v>1000</v>
      </c>
      <c r="AF18" s="35">
        <v>1000.0</v>
      </c>
      <c r="AG18" s="33">
        <f t="shared" si="17"/>
        <v>0</v>
      </c>
      <c r="AH18" s="34"/>
      <c r="AI18" s="31">
        <f>IF(AH$98=1,AH18,AJ18)</f>
        <v>1000</v>
      </c>
      <c r="AJ18" s="35">
        <v>1000.0</v>
      </c>
      <c r="AK18" s="33">
        <f t="shared" si="19"/>
        <v>0</v>
      </c>
      <c r="AL18" s="34"/>
      <c r="AM18" s="31">
        <f>IF(AL$98=1,AL18,AN18)</f>
        <v>1000</v>
      </c>
      <c r="AN18" s="35">
        <v>1000.0</v>
      </c>
      <c r="AO18" s="33">
        <f t="shared" si="21"/>
        <v>0</v>
      </c>
      <c r="AP18" s="34"/>
      <c r="AQ18" s="31">
        <f>IF(AP$98=1,AP18,AR18)</f>
        <v>1000</v>
      </c>
      <c r="AR18" s="35">
        <v>1000.0</v>
      </c>
      <c r="AS18" s="33">
        <f t="shared" si="23"/>
        <v>0</v>
      </c>
      <c r="AT18" s="34">
        <v>1000.0</v>
      </c>
      <c r="AU18" s="31">
        <f>IF(AT$98=1,AT18,AV18)</f>
        <v>1000</v>
      </c>
      <c r="AV18" s="35">
        <v>1000.0</v>
      </c>
      <c r="AW18" s="33">
        <f t="shared" si="25"/>
        <v>0</v>
      </c>
      <c r="AX18" s="34">
        <v>1000.0</v>
      </c>
      <c r="AY18" s="31">
        <f>IF(AX$98=1,AX18,AZ18)</f>
        <v>1000</v>
      </c>
      <c r="AZ18" s="35">
        <v>1000.0</v>
      </c>
      <c r="BA18" s="33">
        <f t="shared" si="27"/>
        <v>0</v>
      </c>
    </row>
    <row r="19" ht="18.0" customHeight="1">
      <c r="A19" s="2" t="s">
        <v>22</v>
      </c>
      <c r="B19" s="13">
        <f t="shared" ref="B19:D19" si="75">AX19</f>
        <v>5</v>
      </c>
      <c r="C19" s="14">
        <f t="shared" si="75"/>
        <v>5</v>
      </c>
      <c r="D19" s="15">
        <f t="shared" si="75"/>
        <v>5</v>
      </c>
      <c r="E19" s="16">
        <f t="shared" si="3"/>
        <v>0</v>
      </c>
      <c r="F19" s="13" t="str">
        <f>IF(J$98=1,J22,"")</f>
        <v/>
      </c>
      <c r="G19" s="14">
        <f>IF(J$98=1,J22,K22)</f>
        <v>0</v>
      </c>
      <c r="H19" s="15">
        <f>L22</f>
        <v>0</v>
      </c>
      <c r="I19" s="16">
        <f t="shared" si="5"/>
        <v>0</v>
      </c>
      <c r="J19" s="13" t="str">
        <f>IF(N$98=1,N22,"")</f>
        <v/>
      </c>
      <c r="K19" s="14">
        <f>IF(N$98=1,N22,O22)</f>
        <v>0</v>
      </c>
      <c r="L19" s="15">
        <f>P22</f>
        <v>0</v>
      </c>
      <c r="M19" s="16">
        <f t="shared" si="7"/>
        <v>0</v>
      </c>
      <c r="N19" s="13" t="str">
        <f>IF(R$98=1,R22,"")</f>
        <v/>
      </c>
      <c r="O19" s="14">
        <f>IF(R$98=1,R22,S22)</f>
        <v>0</v>
      </c>
      <c r="P19" s="15">
        <f>T22</f>
        <v>0</v>
      </c>
      <c r="Q19" s="16">
        <f t="shared" si="9"/>
        <v>0</v>
      </c>
      <c r="R19" s="13" t="str">
        <f>IF(V$98=1,V22,"")</f>
        <v/>
      </c>
      <c r="S19" s="14">
        <f>IF(V$98=1,V22,W22)</f>
        <v>0</v>
      </c>
      <c r="T19" s="15">
        <f>X22</f>
        <v>0</v>
      </c>
      <c r="U19" s="16">
        <f t="shared" si="11"/>
        <v>0</v>
      </c>
      <c r="V19" s="13" t="str">
        <f>IF(Z$98=1,Z22,"")</f>
        <v/>
      </c>
      <c r="W19" s="14">
        <f>IF(Z$98=1,Z22,AA22)</f>
        <v>0</v>
      </c>
      <c r="X19" s="15">
        <f>AB22</f>
        <v>0</v>
      </c>
      <c r="Y19" s="16">
        <f t="shared" si="13"/>
        <v>0</v>
      </c>
      <c r="Z19" s="13" t="str">
        <f>IF(AD$98=1,AD22,"")</f>
        <v/>
      </c>
      <c r="AA19" s="14">
        <f>IF(AD$98=1,AD22,AE22)</f>
        <v>0</v>
      </c>
      <c r="AB19" s="15">
        <f>AF22</f>
        <v>0</v>
      </c>
      <c r="AC19" s="16">
        <f t="shared" si="15"/>
        <v>0</v>
      </c>
      <c r="AD19" s="13" t="str">
        <f>IF(AH$98=1,AH22,"")</f>
        <v/>
      </c>
      <c r="AE19" s="14">
        <f>IF(AH$98=1,AH22,AI22)</f>
        <v>0</v>
      </c>
      <c r="AF19" s="15">
        <f>AJ22</f>
        <v>0</v>
      </c>
      <c r="AG19" s="16">
        <f t="shared" si="17"/>
        <v>0</v>
      </c>
      <c r="AH19" s="13" t="str">
        <f>IF(AL$98=1,AL22,"")</f>
        <v/>
      </c>
      <c r="AI19" s="14">
        <f>IF(AL$98=1,AL22,AM22)</f>
        <v>0</v>
      </c>
      <c r="AJ19" s="15">
        <f>AN22</f>
        <v>0</v>
      </c>
      <c r="AK19" s="16">
        <f t="shared" si="19"/>
        <v>0</v>
      </c>
      <c r="AL19" s="13" t="str">
        <f>IF(AP$98=1,AP22,"")</f>
        <v/>
      </c>
      <c r="AM19" s="14">
        <f>IF(AP$98=1,AP22,AQ22)</f>
        <v>0</v>
      </c>
      <c r="AN19" s="15">
        <f>AR22</f>
        <v>0</v>
      </c>
      <c r="AO19" s="16">
        <f t="shared" si="21"/>
        <v>0</v>
      </c>
      <c r="AP19" s="13">
        <f>IF(AT$98=1,AT22,"")</f>
        <v>0</v>
      </c>
      <c r="AQ19" s="14">
        <f>IF(AT$98=1,AT22,AU22)</f>
        <v>0</v>
      </c>
      <c r="AR19" s="15">
        <f>AV22</f>
        <v>0</v>
      </c>
      <c r="AS19" s="16">
        <f t="shared" si="23"/>
        <v>0</v>
      </c>
      <c r="AT19" s="13">
        <f>IF(AX$98=1,AX22,"")</f>
        <v>3</v>
      </c>
      <c r="AU19" s="14">
        <f>IF(AX$98=1,AX22,AY22)</f>
        <v>3</v>
      </c>
      <c r="AV19" s="15">
        <f>AZ22</f>
        <v>0</v>
      </c>
      <c r="AW19" s="16">
        <f t="shared" si="25"/>
        <v>3</v>
      </c>
      <c r="AX19" s="13">
        <f t="shared" ref="AX19:AZ19" si="76">$AX$79</f>
        <v>5</v>
      </c>
      <c r="AY19" s="14">
        <f t="shared" si="76"/>
        <v>5</v>
      </c>
      <c r="AZ19" s="15">
        <f t="shared" si="76"/>
        <v>5</v>
      </c>
      <c r="BA19" s="16">
        <f t="shared" si="27"/>
        <v>0</v>
      </c>
    </row>
    <row r="20" ht="18.0" customHeight="1">
      <c r="A20" s="2" t="s">
        <v>23</v>
      </c>
      <c r="B20" s="13">
        <f t="shared" ref="B20:D20" si="77">SUM(AX20,AT20,AP20,AL20,AH20,AD20,Z20,V20,R20,N20,J20,F20)</f>
        <v>25</v>
      </c>
      <c r="C20" s="14">
        <f t="shared" si="77"/>
        <v>125</v>
      </c>
      <c r="D20" s="15">
        <f t="shared" si="77"/>
        <v>132</v>
      </c>
      <c r="E20" s="16">
        <f t="shared" si="3"/>
        <v>-7</v>
      </c>
      <c r="F20" s="13">
        <f t="shared" ref="F20:H20" si="78">ROUND(SUM(IF(AND(AX$12&lt;&gt;"",AX$14&lt;&gt;""),IF(EOMONTH($AX$3+INT((DAY(EOMONTH($AX$3,0))-1)/2)+AX$14,0)=EOMONTH($F$3,0),AX$12,0),0),IF(AND(AT$12&lt;&gt;"",AT$14&lt;&gt;""),IF(EOMONTH($AT$3+INT((DAY(EOMONTH($AT$3,0))-1)/2)+AT$14,0)=EOMONTH($F$3,0),AT$12,0),0),IF(AND(AP$12&lt;&gt;"",AP$14&lt;&gt;""),IF(EOMONTH($AP$3+INT((DAY(EOMONTH($AP$3,0))-1)/2)+AP$14,0)=EOMONTH($F$3,0),AP$12,0),0),IF(AND(AL$12&lt;&gt;"",AL$14&lt;&gt;""),IF(EOMONTH($AL$3+INT((DAY(EOMONTH($AL$3,0))-1)/2)+AL$14,0)=EOMONTH($F$3,0),AL$12,0),0),IF(AND(AH$12&lt;&gt;"",AH$14&lt;&gt;""),IF(EOMONTH($AH$3+INT((DAY(EOMONTH($AH$3,0))-1)/2)+AH$14,0)=EOMONTH($F$3,0),AH$12,0),0),IF(AND(AD$12&lt;&gt;"",AD$14&lt;&gt;""),IF(EOMONTH($AD$3+INT((DAY(EOMONTH($AD$3,0))-1)/2)+AD$14,0)=EOMONTH($F$3,0),AD$12,0),0),IF(AND(Z$12&lt;&gt;"",Z$14&lt;&gt;""),IF(EOMONTH($Z$3+INT((DAY(EOMONTH($Z$3,0))-1)/2)+Z$14,0)=EOMONTH($F$3,0),Z$12,0),0),IF(AND(V$12&lt;&gt;"",V$14&lt;&gt;""),IF(EOMONTH($V$3+INT((DAY(EOMONTH($V$3,0))-1)/2)+V$14,0)=EOMONTH($F$3,0),V$12,0),0),IF(AND(R$12&lt;&gt;"",R$14&lt;&gt;""),IF(EOMONTH($R$3+INT((DAY(EOMONTH($R$3,0))-1)/2)+R$14,0)=EOMONTH($F$3,0),R$12,0),0),IF(AND(N$12&lt;&gt;"",N$14&lt;&gt;""),IF(EOMONTH($N$3+INT((DAY(EOMONTH($N$3,0))-1)/2)+N$14,0)=EOMONTH($F$3,0),N$12,0),0),IF(AND(J$12&lt;&gt;"",J$14&lt;&gt;""),IF(EOMONTH($J$3+INT((DAY(EOMONTH($J$3,0))-1)/2)+J$14,0)=EOMONTH($F$3,0),J$12,0),0),IF(AND(F$12&lt;&gt;"",F$14&lt;&gt;""),IF(EOMONTH($F$3+INT((DAY(EOMONTH($F$3,0))-1)/2)+F$14,0)=EOMONTH($F$3,0),F$12,0),0),IF($AX$75="",0,IF(EOMONTH($AX$75+AX$14,0)=EOMONTH($F$3,0),$AX$77,0))),0)</f>
        <v>0</v>
      </c>
      <c r="G20" s="14">
        <f t="shared" si="78"/>
        <v>12</v>
      </c>
      <c r="H20" s="15">
        <f t="shared" si="78"/>
        <v>12</v>
      </c>
      <c r="I20" s="16">
        <f t="shared" si="5"/>
        <v>0</v>
      </c>
      <c r="J20" s="13">
        <f t="shared" ref="J20:L20" si="79">ROUND(SUM(IF(AND(AX$12&lt;&gt;"",AX$14&lt;&gt;""),IF(EOMONTH($AX$3+INT((DAY(EOMONTH($AX$3,0))-1)/2)+AX$14,0)=EOMONTH($J$3,0),AX$12,0),0),IF(AND(AT$12&lt;&gt;"",AT$14&lt;&gt;""),IF(EOMONTH($AT$3+INT((DAY(EOMONTH($AT$3,0))-1)/2)+AT$14,0)=EOMONTH($J$3,0),AT$12,0),0),IF(AND(AP$12&lt;&gt;"",AP$14&lt;&gt;""),IF(EOMONTH($AP$3+INT((DAY(EOMONTH($AP$3,0))-1)/2)+AP$14,0)=EOMONTH($J$3,0),AP$12,0),0),IF(AND(AL$12&lt;&gt;"",AL$14&lt;&gt;""),IF(EOMONTH($AL$3+INT((DAY(EOMONTH($AL$3,0))-1)/2)+AL$14,0)=EOMONTH($J$3,0),AL$12,0),0),IF(AND(AH$12&lt;&gt;"",AH$14&lt;&gt;""),IF(EOMONTH($AH$3+INT((DAY(EOMONTH($AH$3,0))-1)/2)+AH$14,0)=EOMONTH($J$3,0),AH$12,0),0),IF(AND(AD$12&lt;&gt;"",AD$14&lt;&gt;""),IF(EOMONTH($AD$3+INT((DAY(EOMONTH($AD$3,0))-1)/2)+AD$14,0)=EOMONTH($J$3,0),AD$12,0),0),IF(AND(Z$12&lt;&gt;"",Z$14&lt;&gt;""),IF(EOMONTH($Z$3+INT((DAY(EOMONTH($Z$3,0))-1)/2)+Z$14,0)=EOMONTH($J$3,0),Z$12,0),0),IF(AND(V$12&lt;&gt;"",V$14&lt;&gt;""),IF(EOMONTH($V$3+INT((DAY(EOMONTH($V$3,0))-1)/2)+V$14,0)=EOMONTH($J$3,0),V$12,0),0),IF(AND(R$12&lt;&gt;"",R$14&lt;&gt;""),IF(EOMONTH($R$3+INT((DAY(EOMONTH($R$3,0))-1)/2)+R$14,0)=EOMONTH($J$3,0),R$12,0),0),IF(AND(N$12&lt;&gt;"",N$14&lt;&gt;""),IF(EOMONTH($N$3+INT((DAY(EOMONTH($N$3,0))-1)/2)+N$14,0)=EOMONTH($J$3,0),N$12,0),0),IF(AND(J$12&lt;&gt;"",J$14&lt;&gt;""),IF(EOMONTH($J$3+INT((DAY(EOMONTH($J$3,0))-1)/2)+J$14,0)=EOMONTH($J$3,0),J$12,0),0),IF(AND(F$12&lt;&gt;"",F$14&lt;&gt;""),IF(EOMONTH($F$3+INT((DAY(EOMONTH($F$3,0))-1)/2)+F$14,0)=EOMONTH($J$3,0),F$12,0),0),IF($AX$75="",0,IF(EOMONTH($AX$75+AX$14,0)=EOMONTH($J$3,0),$AX$77,0))),0)</f>
        <v>0</v>
      </c>
      <c r="K20" s="14">
        <f t="shared" si="79"/>
        <v>12</v>
      </c>
      <c r="L20" s="15">
        <f t="shared" si="79"/>
        <v>12</v>
      </c>
      <c r="M20" s="16">
        <f t="shared" si="7"/>
        <v>0</v>
      </c>
      <c r="N20" s="13">
        <f t="shared" ref="N20:P20" si="80">ROUND(SUM(IF(AND(AX$12&lt;&gt;"",AX$14&lt;&gt;""),IF(EOMONTH($AX$3+INT((DAY(EOMONTH($AX$3,0))-1)/2)+AX$14,0)=EOMONTH($N$3,0),AX$12,0),0),IF(AND(AT$12&lt;&gt;"",AT$14&lt;&gt;""),IF(EOMONTH($AT$3+INT((DAY(EOMONTH($AT$3,0))-1)/2)+AT$14,0)=EOMONTH($N$3,0),AT$12,0),0),IF(AND(AP$12&lt;&gt;"",AP$14&lt;&gt;""),IF(EOMONTH($AP$3+INT((DAY(EOMONTH($AP$3,0))-1)/2)+AP$14,0)=EOMONTH($N$3,0),AP$12,0),0),IF(AND(AL$12&lt;&gt;"",AL$14&lt;&gt;""),IF(EOMONTH($AL$3+INT((DAY(EOMONTH($AL$3,0))-1)/2)+AL$14,0)=EOMONTH($N$3,0),AL$12,0),0),IF(AND(AH$12&lt;&gt;"",AH$14&lt;&gt;""),IF(EOMONTH($AH$3+INT((DAY(EOMONTH($AH$3,0))-1)/2)+AH$14,0)=EOMONTH($N$3,0),AH$12,0),0),IF(AND(AD$12&lt;&gt;"",AD$14&lt;&gt;""),IF(EOMONTH($AD$3+INT((DAY(EOMONTH($AD$3,0))-1)/2)+AD$14,0)=EOMONTH($N$3,0),AD$12,0),0),IF(AND(Z$12&lt;&gt;"",Z$14&lt;&gt;""),IF(EOMONTH($Z$3+INT((DAY(EOMONTH($Z$3,0))-1)/2)+Z$14,0)=EOMONTH($N$3,0),Z$12,0),0),IF(AND(V$12&lt;&gt;"",V$14&lt;&gt;""),IF(EOMONTH($V$3+INT((DAY(EOMONTH($V$3,0))-1)/2)+V$14,0)=EOMONTH($N$3,0),V$12,0),0),IF(AND(R$12&lt;&gt;"",R$14&lt;&gt;""),IF(EOMONTH($R$3+INT((DAY(EOMONTH($R$3,0))-1)/2)+R$14,0)=EOMONTH($N$3,0),R$12,0),0),IF(AND(N$12&lt;&gt;"",N$14&lt;&gt;""),IF(EOMONTH($N$3+INT((DAY(EOMONTH($N$3,0))-1)/2)+N$14,0)=EOMONTH($N$3,0),N$12,0),0),IF(AND(J$12&lt;&gt;"",J$14&lt;&gt;""),IF(EOMONTH($J$3+INT((DAY(EOMONTH($J$3,0))-1)/2)+J$14,0)=EOMONTH($N$3,0),J$12,0),0),IF(AND(F$12&lt;&gt;"",F$14&lt;&gt;""),IF(EOMONTH($F$3+INT((DAY(EOMONTH($F$3,0))-1)/2)+F$14,0)=EOMONTH($N$3,0),F$12,0),0),IF($AX$75="",0,IF(EOMONTH($AX$75+AX$14,0)=EOMONTH($N$3,0),$AX$77,0))),0)</f>
        <v>0</v>
      </c>
      <c r="O20" s="14">
        <f t="shared" si="80"/>
        <v>12</v>
      </c>
      <c r="P20" s="15">
        <f t="shared" si="80"/>
        <v>12</v>
      </c>
      <c r="Q20" s="16">
        <f t="shared" si="9"/>
        <v>0</v>
      </c>
      <c r="R20" s="13">
        <f t="shared" ref="R20:T20" si="81">ROUND(SUM(IF(AND(AX$12&lt;&gt;"",AX$14&lt;&gt;""),IF(EOMONTH($AX$3+INT((DAY(EOMONTH($AX$3,0))-1)/2)+AX$14,0)=EOMONTH($R$3,0),AX$12,0),0),IF(AND(AT$12&lt;&gt;"",AT$14&lt;&gt;""),IF(EOMONTH($AT$3+INT((DAY(EOMONTH($AT$3,0))-1)/2)+AT$14,0)=EOMONTH($R$3,0),AT$12,0),0),IF(AND(AP$12&lt;&gt;"",AP$14&lt;&gt;""),IF(EOMONTH($AP$3+INT((DAY(EOMONTH($AP$3,0))-1)/2)+AP$14,0)=EOMONTH($R$3,0),AP$12,0),0),IF(AND(AL$12&lt;&gt;"",AL$14&lt;&gt;""),IF(EOMONTH($AL$3+INT((DAY(EOMONTH($AL$3,0))-1)/2)+AL$14,0)=EOMONTH($R$3,0),AL$12,0),0),IF(AND(AH$12&lt;&gt;"",AH$14&lt;&gt;""),IF(EOMONTH($AH$3+INT((DAY(EOMONTH($AH$3,0))-1)/2)+AH$14,0)=EOMONTH($R$3,0),AH$12,0),0),IF(AND(AD$12&lt;&gt;"",AD$14&lt;&gt;""),IF(EOMONTH($AD$3+INT((DAY(EOMONTH($AD$3,0))-1)/2)+AD$14,0)=EOMONTH($R$3,0),AD$12,0),0),IF(AND(Z$12&lt;&gt;"",Z$14&lt;&gt;""),IF(EOMONTH($Z$3+INT((DAY(EOMONTH($Z$3,0))-1)/2)+Z$14,0)=EOMONTH($R$3,0),Z$12,0),0),IF(AND(V$12&lt;&gt;"",V$14&lt;&gt;""),IF(EOMONTH($V$3+INT((DAY(EOMONTH($V$3,0))-1)/2)+V$14,0)=EOMONTH($R$3,0),V$12,0),0),IF(AND(R$12&lt;&gt;"",R$14&lt;&gt;""),IF(EOMONTH($R$3+INT((DAY(EOMONTH($R$3,0))-1)/2)+R$14,0)=EOMONTH($R$3,0),R$12,0),0),IF(AND(N$12&lt;&gt;"",N$14&lt;&gt;""),IF(EOMONTH($N$3+INT((DAY(EOMONTH($N$3,0))-1)/2)+N$14,0)=EOMONTH($R$3,0),N$12,0),0),IF(AND(J$12&lt;&gt;"",J$14&lt;&gt;""),IF(EOMONTH($J$3+INT((DAY(EOMONTH($J$3,0))-1)/2)+J$14,0)=EOMONTH($R$3,0),J$12,0),0),IF(AND(F$12&lt;&gt;"",F$14&lt;&gt;""),IF(EOMONTH($F$3+INT((DAY(EOMONTH($F$3,0))-1)/2)+F$14,0)=EOMONTH($R$3,0),F$12,0),0),IF($AX$75="",0,IF(EOMONTH($AX$75+AX$14,0)=EOMONTH($R$3,0),$AX$77,0))),0)</f>
        <v>0</v>
      </c>
      <c r="S20" s="14">
        <f t="shared" si="81"/>
        <v>12</v>
      </c>
      <c r="T20" s="15">
        <f t="shared" si="81"/>
        <v>12</v>
      </c>
      <c r="U20" s="16">
        <f t="shared" si="11"/>
        <v>0</v>
      </c>
      <c r="V20" s="13">
        <f t="shared" ref="V20:X20" si="82">ROUND(SUM(IF(AND(AX$12&lt;&gt;"",AX$14&lt;&gt;""),IF(EOMONTH($AX$3+INT((DAY(EOMONTH($AX$3,0))-1)/2)+AX$14,0)=EOMONTH($V$3,0),AX$12,0),0),IF(AND(AT$12&lt;&gt;"",AT$14&lt;&gt;""),IF(EOMONTH($AT$3+INT((DAY(EOMONTH($AT$3,0))-1)/2)+AT$14,0)=EOMONTH($V$3,0),AT$12,0),0),IF(AND(AP$12&lt;&gt;"",AP$14&lt;&gt;""),IF(EOMONTH($AP$3+INT((DAY(EOMONTH($AP$3,0))-1)/2)+AP$14,0)=EOMONTH($V$3,0),AP$12,0),0),IF(AND(AL$12&lt;&gt;"",AL$14&lt;&gt;""),IF(EOMONTH($AL$3+INT((DAY(EOMONTH($AL$3,0))-1)/2)+AL$14,0)=EOMONTH($V$3,0),AL$12,0),0),IF(AND(AH$12&lt;&gt;"",AH$14&lt;&gt;""),IF(EOMONTH($AH$3+INT((DAY(EOMONTH($AH$3,0))-1)/2)+AH$14,0)=EOMONTH($V$3,0),AH$12,0),0),IF(AND(AD$12&lt;&gt;"",AD$14&lt;&gt;""),IF(EOMONTH($AD$3+INT((DAY(EOMONTH($AD$3,0))-1)/2)+AD$14,0)=EOMONTH($V$3,0),AD$12,0),0),IF(AND(Z$12&lt;&gt;"",Z$14&lt;&gt;""),IF(EOMONTH($Z$3+INT((DAY(EOMONTH($Z$3,0))-1)/2)+Z$14,0)=EOMONTH($V$3,0),Z$12,0),0),IF(AND(V$12&lt;&gt;"",V$14&lt;&gt;""),IF(EOMONTH($V$3+INT((DAY(EOMONTH($V$3,0))-1)/2)+V$14,0)=EOMONTH($V$3,0),V$12,0),0),IF(AND(R$12&lt;&gt;"",R$14&lt;&gt;""),IF(EOMONTH($R$3+INT((DAY(EOMONTH($R$3,0))-1)/2)+R$14,0)=EOMONTH($V$3,0),R$12,0),0),IF(AND(N$12&lt;&gt;"",N$14&lt;&gt;""),IF(EOMONTH($N$3+INT((DAY(EOMONTH($N$3,0))-1)/2)+N$14,0)=EOMONTH($V$3,0),N$12,0),0),IF(AND(J$12&lt;&gt;"",J$14&lt;&gt;""),IF(EOMONTH($J$3+INT((DAY(EOMONTH($J$3,0))-1)/2)+J$14,0)=EOMONTH($V$3,0),J$12,0),0),IF(AND(F$12&lt;&gt;"",F$14&lt;&gt;""),IF(EOMONTH($F$3+INT((DAY(EOMONTH($F$3,0))-1)/2)+F$14,0)=EOMONTH($V$3,0),F$12,0),0),IF($AX$75="",0,IF(EOMONTH($AX$75+AX$14,0)=EOMONTH($V$3,0),$AX$77,0))),0)</f>
        <v>0</v>
      </c>
      <c r="W20" s="14">
        <f t="shared" si="82"/>
        <v>11</v>
      </c>
      <c r="X20" s="15">
        <f t="shared" si="82"/>
        <v>11</v>
      </c>
      <c r="Y20" s="16">
        <f t="shared" si="13"/>
        <v>0</v>
      </c>
      <c r="Z20" s="13">
        <f t="shared" ref="Z20:AB20" si="83">ROUND(SUM(IF(AND(AX$12&lt;&gt;"",AX$14&lt;&gt;""),IF(EOMONTH($AX$3+INT((DAY(EOMONTH($AX$3,0))-1)/2)+AX$14,0)=EOMONTH($Z$3,0),AX$12,0),0),IF(AND(AT$12&lt;&gt;"",AT$14&lt;&gt;""),IF(EOMONTH($AT$3+INT((DAY(EOMONTH($AT$3,0))-1)/2)+AT$14,0)=EOMONTH($Z$3,0),AT$12,0),0),IF(AND(AP$12&lt;&gt;"",AP$14&lt;&gt;""),IF(EOMONTH($AP$3+INT((DAY(EOMONTH($AP$3,0))-1)/2)+AP$14,0)=EOMONTH($Z$3,0),AP$12,0),0),IF(AND(AL$12&lt;&gt;"",AL$14&lt;&gt;""),IF(EOMONTH($AL$3+INT((DAY(EOMONTH($AL$3,0))-1)/2)+AL$14,0)=EOMONTH($Z$3,0),AL$12,0),0),IF(AND(AH$12&lt;&gt;"",AH$14&lt;&gt;""),IF(EOMONTH($AH$3+INT((DAY(EOMONTH($AH$3,0))-1)/2)+AH$14,0)=EOMONTH($Z$3,0),AH$12,0),0),IF(AND(AD$12&lt;&gt;"",AD$14&lt;&gt;""),IF(EOMONTH($AD$3+INT((DAY(EOMONTH($AD$3,0))-1)/2)+AD$14,0)=EOMONTH($Z$3,0),AD$12,0),0),IF(AND(Z$12&lt;&gt;"",Z$14&lt;&gt;""),IF(EOMONTH($Z$3+INT((DAY(EOMONTH($Z$3,0))-1)/2)+Z$14,0)=EOMONTH($Z$3,0),Z$12,0),0),IF(AND(V$12&lt;&gt;"",V$14&lt;&gt;""),IF(EOMONTH($V$3+INT((DAY(EOMONTH($V$3,0))-1)/2)+V$14,0)=EOMONTH($Z$3,0),V$12,0),0),IF(AND(R$12&lt;&gt;"",R$14&lt;&gt;""),IF(EOMONTH($R$3+INT((DAY(EOMONTH($R$3,0))-1)/2)+R$14,0)=EOMONTH($Z$3,0),R$12,0),0),IF(AND(N$12&lt;&gt;"",N$14&lt;&gt;""),IF(EOMONTH($N$3+INT((DAY(EOMONTH($N$3,0))-1)/2)+N$14,0)=EOMONTH($Z$3,0),N$12,0),0),IF(AND(J$12&lt;&gt;"",J$14&lt;&gt;""),IF(EOMONTH($J$3+INT((DAY(EOMONTH($J$3,0))-1)/2)+J$14,0)=EOMONTH($Z$3,0),J$12,0),0),IF(AND(F$12&lt;&gt;"",F$14&lt;&gt;""),IF(EOMONTH($F$3+INT((DAY(EOMONTH($F$3,0))-1)/2)+F$14,0)=EOMONTH($Z$3,0),F$12,0),0),IF($AX$75="",0,IF(EOMONTH($AX$75+AX$14,0)=EOMONTH($Z$3,0),$AX$77,0))),0)</f>
        <v>0</v>
      </c>
      <c r="AA20" s="14">
        <f t="shared" si="83"/>
        <v>11</v>
      </c>
      <c r="AB20" s="15">
        <f t="shared" si="83"/>
        <v>11</v>
      </c>
      <c r="AC20" s="16">
        <f t="shared" si="15"/>
        <v>0</v>
      </c>
      <c r="AD20" s="13">
        <f t="shared" ref="AD20:AF20" si="84">ROUND(SUM(IF(AND(AX$12&lt;&gt;"",AX$14&lt;&gt;""),IF(EOMONTH($AX$3+INT((DAY(EOMONTH($AX$3,0))-1)/2)+AX$14,0)=EOMONTH($AD$3,0),AX$12,0),0),IF(AND(AT$12&lt;&gt;"",AT$14&lt;&gt;""),IF(EOMONTH($AT$3+INT((DAY(EOMONTH($AT$3,0))-1)/2)+AT$14,0)=EOMONTH($AD$3,0),AT$12,0),0),IF(AND(AP$12&lt;&gt;"",AP$14&lt;&gt;""),IF(EOMONTH($AP$3+INT((DAY(EOMONTH($AP$3,0))-1)/2)+AP$14,0)=EOMONTH($AD$3,0),AP$12,0),0),IF(AND(AL$12&lt;&gt;"",AL$14&lt;&gt;""),IF(EOMONTH($AL$3+INT((DAY(EOMONTH($AL$3,0))-1)/2)+AL$14,0)=EOMONTH($AD$3,0),AL$12,0),0),IF(AND(AH$12&lt;&gt;"",AH$14&lt;&gt;""),IF(EOMONTH($AH$3+INT((DAY(EOMONTH($AH$3,0))-1)/2)+AH$14,0)=EOMONTH($AD$3,0),AH$12,0),0),IF(AND(AD$12&lt;&gt;"",AD$14&lt;&gt;""),IF(EOMONTH($AD$3+INT((DAY(EOMONTH($AD$3,0))-1)/2)+AD$14,0)=EOMONTH($AD$3,0),AD$12,0),0),IF(AND(Z$12&lt;&gt;"",Z$14&lt;&gt;""),IF(EOMONTH($Z$3+INT((DAY(EOMONTH($Z$3,0))-1)/2)+Z$14,0)=EOMONTH($AD$3,0),Z$12,0),0),IF(AND(V$12&lt;&gt;"",V$14&lt;&gt;""),IF(EOMONTH($V$3+INT((DAY(EOMONTH($V$3,0))-1)/2)+V$14,0)=EOMONTH($AD$3,0),V$12,0),0),IF(AND(R$12&lt;&gt;"",R$14&lt;&gt;""),IF(EOMONTH($R$3+INT((DAY(EOMONTH($R$3,0))-1)/2)+R$14,0)=EOMONTH($AD$3,0),R$12,0),0),IF(AND(N$12&lt;&gt;"",N$14&lt;&gt;""),IF(EOMONTH($N$3+INT((DAY(EOMONTH($N$3,0))-1)/2)+N$14,0)=EOMONTH($AD$3,0),N$12,0),0),IF(AND(J$12&lt;&gt;"",J$14&lt;&gt;""),IF(EOMONTH($J$3+INT((DAY(EOMONTH($J$3,0))-1)/2)+J$14,0)=EOMONTH($AD$3,0),J$12,0),0),IF(AND(F$12&lt;&gt;"",F$14&lt;&gt;""),IF(EOMONTH($F$3+INT((DAY(EOMONTH($F$3,0))-1)/2)+F$14,0)=EOMONTH($AD$3,0),F$12,0),0),IF($AX$75="",0,IF(EOMONTH($AX$75+AX$14,0)=EOMONTH($AD$3,0),$AX$77,0))),0)</f>
        <v>0</v>
      </c>
      <c r="AE20" s="14">
        <f t="shared" si="84"/>
        <v>11</v>
      </c>
      <c r="AF20" s="15">
        <f t="shared" si="84"/>
        <v>11</v>
      </c>
      <c r="AG20" s="16">
        <f t="shared" si="17"/>
        <v>0</v>
      </c>
      <c r="AH20" s="13">
        <f t="shared" ref="AH20:AJ20" si="85">ROUND(SUM(IF(AND(AX$12&lt;&gt;"",AX$14&lt;&gt;""),IF(EOMONTH($AX$3+INT((DAY(EOMONTH($AX$3,0))-1)/2)+AX$14,0)=EOMONTH($AH$3,0),AX$12,0),0),IF(AND(AT$12&lt;&gt;"",AT$14&lt;&gt;""),IF(EOMONTH($AT$3+INT((DAY(EOMONTH($AT$3,0))-1)/2)+AT$14,0)=EOMONTH($AH$3,0),AT$12,0),0),IF(AND(AP$12&lt;&gt;"",AP$14&lt;&gt;""),IF(EOMONTH($AP$3+INT((DAY(EOMONTH($AP$3,0))-1)/2)+AP$14,0)=EOMONTH($AH$3,0),AP$12,0),0),IF(AND(AL$12&lt;&gt;"",AL$14&lt;&gt;""),IF(EOMONTH($AL$3+INT((DAY(EOMONTH($AL$3,0))-1)/2)+AL$14,0)=EOMONTH($AH$3,0),AL$12,0),0),IF(AND(AH$12&lt;&gt;"",AH$14&lt;&gt;""),IF(EOMONTH($AH$3+INT((DAY(EOMONTH($AH$3,0))-1)/2)+AH$14,0)=EOMONTH($AH$3,0),AH$12,0),0),IF(AND(AD$12&lt;&gt;"",AD$14&lt;&gt;""),IF(EOMONTH($AD$3+INT((DAY(EOMONTH($AD$3,0))-1)/2)+AD$14,0)=EOMONTH($AH$3,0),AD$12,0),0),IF(AND(Z$12&lt;&gt;"",Z$14&lt;&gt;""),IF(EOMONTH($Z$3+INT((DAY(EOMONTH($Z$3,0))-1)/2)+Z$14,0)=EOMONTH($AH$3,0),Z$12,0),0),IF(AND(V$12&lt;&gt;"",V$14&lt;&gt;""),IF(EOMONTH($V$3+INT((DAY(EOMONTH($V$3,0))-1)/2)+V$14,0)=EOMONTH($AH$3,0),V$12,0),0),IF(AND(R$12&lt;&gt;"",R$14&lt;&gt;""),IF(EOMONTH($R$3+INT((DAY(EOMONTH($R$3,0))-1)/2)+R$14,0)=EOMONTH($AH$3,0),R$12,0),0),IF(AND(N$12&lt;&gt;"",N$14&lt;&gt;""),IF(EOMONTH($N$3+INT((DAY(EOMONTH($N$3,0))-1)/2)+N$14,0)=EOMONTH($AH$3,0),N$12,0),0),IF(AND(J$12&lt;&gt;"",J$14&lt;&gt;""),IF(EOMONTH($J$3+INT((DAY(EOMONTH($J$3,0))-1)/2)+J$14,0)=EOMONTH($AH$3,0),J$12,0),0),IF(AND(F$12&lt;&gt;"",F$14&lt;&gt;""),IF(EOMONTH($F$3+INT((DAY(EOMONTH($F$3,0))-1)/2)+F$14,0)=EOMONTH($AH$3,0),F$12,0),0),IF($AX$75="",0,IF(EOMONTH($AX$75+AX$14,0)=EOMONTH($AH$3,0),$AX$77,0))),0)</f>
        <v>0</v>
      </c>
      <c r="AI20" s="14">
        <f t="shared" si="85"/>
        <v>11</v>
      </c>
      <c r="AJ20" s="15">
        <f t="shared" si="85"/>
        <v>11</v>
      </c>
      <c r="AK20" s="16">
        <f t="shared" si="19"/>
        <v>0</v>
      </c>
      <c r="AL20" s="13">
        <f t="shared" ref="AL20:AN20" si="86">ROUND(SUM(IF(AND(AX$12&lt;&gt;"",AX$14&lt;&gt;""),IF(EOMONTH($AX$3+INT((DAY(EOMONTH($AX$3,0))-1)/2)+AX$14,0)=EOMONTH($AL$3,0),AX$12,0),0),IF(AND(AT$12&lt;&gt;"",AT$14&lt;&gt;""),IF(EOMONTH($AT$3+INT((DAY(EOMONTH($AT$3,0))-1)/2)+AT$14,0)=EOMONTH($AL$3,0),AT$12,0),0),IF(AND(AP$12&lt;&gt;"",AP$14&lt;&gt;""),IF(EOMONTH($AP$3+INT((DAY(EOMONTH($AP$3,0))-1)/2)+AP$14,0)=EOMONTH($AL$3,0),AP$12,0),0),IF(AND(AL$12&lt;&gt;"",AL$14&lt;&gt;""),IF(EOMONTH($AL$3+INT((DAY(EOMONTH($AL$3,0))-1)/2)+AL$14,0)=EOMONTH($AL$3,0),AL$12,0),0),IF(AND(AH$12&lt;&gt;"",AH$14&lt;&gt;""),IF(EOMONTH($AH$3+INT((DAY(EOMONTH($AH$3,0))-1)/2)+AH$14,0)=EOMONTH($AL$3,0),AH$12,0),0),IF(AND(AD$12&lt;&gt;"",AD$14&lt;&gt;""),IF(EOMONTH($AD$3+INT((DAY(EOMONTH($AD$3,0))-1)/2)+AD$14,0)=EOMONTH($AL$3,0),AD$12,0),0),IF(AND(Z$12&lt;&gt;"",Z$14&lt;&gt;""),IF(EOMONTH($Z$3+INT((DAY(EOMONTH($Z$3,0))-1)/2)+Z$14,0)=EOMONTH($AL$3,0),Z$12,0),0),IF(AND(V$12&lt;&gt;"",V$14&lt;&gt;""),IF(EOMONTH($V$3+INT((DAY(EOMONTH($V$3,0))-1)/2)+V$14,0)=EOMONTH($AL$3,0),V$12,0),0),IF(AND(R$12&lt;&gt;"",R$14&lt;&gt;""),IF(EOMONTH($R$3+INT((DAY(EOMONTH($R$3,0))-1)/2)+R$14,0)=EOMONTH($AL$3,0),R$12,0),0),IF(AND(N$12&lt;&gt;"",N$14&lt;&gt;""),IF(EOMONTH($N$3+INT((DAY(EOMONTH($N$3,0))-1)/2)+N$14,0)=EOMONTH($AL$3,0),N$12,0),0),IF(AND(J$12&lt;&gt;"",J$14&lt;&gt;""),IF(EOMONTH($J$3+INT((DAY(EOMONTH($J$3,0))-1)/2)+J$14,0)=EOMONTH($AL$3,0),J$12,0),0),IF(AND(F$12&lt;&gt;"",F$14&lt;&gt;""),IF(EOMONTH($F$3+INT((DAY(EOMONTH($F$3,0))-1)/2)+F$14,0)=EOMONTH($AL$3,0),F$12,0),0),IF($AX$75="",0,IF(EOMONTH($AX$75+AX$14,0)=EOMONTH($AL$3,0),$AX$77,0))),0)</f>
        <v>0</v>
      </c>
      <c r="AM20" s="14">
        <f t="shared" si="86"/>
        <v>8</v>
      </c>
      <c r="AN20" s="15">
        <f t="shared" si="86"/>
        <v>10</v>
      </c>
      <c r="AO20" s="16">
        <f t="shared" si="21"/>
        <v>-2</v>
      </c>
      <c r="AP20" s="13">
        <f t="shared" ref="AP20:AR20" si="87">ROUND(SUM(IF(AND(AX$12&lt;&gt;"",AX$14&lt;&gt;""),IF(EOMONTH($AX$3+INT((DAY(EOMONTH($AX$3,0))-1)/2)+AX$14,0)=EOMONTH($AP$3,0),AX$12,0),0),IF(AND(AT$12&lt;&gt;"",AT$14&lt;&gt;""),IF(EOMONTH($AT$3+INT((DAY(EOMONTH($AT$3,0))-1)/2)+AT$14,0)=EOMONTH($AP$3,0),AT$12,0),0),IF(AND(AP$12&lt;&gt;"",AP$14&lt;&gt;""),IF(EOMONTH($AP$3+INT((DAY(EOMONTH($AP$3,0))-1)/2)+AP$14,0)=EOMONTH($AP$3,0),AP$12,0),0),IF(AND(AL$12&lt;&gt;"",AL$14&lt;&gt;""),IF(EOMONTH($AL$3+INT((DAY(EOMONTH($AL$3,0))-1)/2)+AL$14,0)=EOMONTH($AP$3,0),AL$12,0),0),IF(AND(AH$12&lt;&gt;"",AH$14&lt;&gt;""),IF(EOMONTH($AH$3+INT((DAY(EOMONTH($AH$3,0))-1)/2)+AH$14,0)=EOMONTH($AP$3,0),AH$12,0),0),IF(AND(AD$12&lt;&gt;"",AD$14&lt;&gt;""),IF(EOMONTH($AD$3+INT((DAY(EOMONTH($AD$3,0))-1)/2)+AD$14,0)=EOMONTH($AP$3,0),AD$12,0),0),IF(AND(Z$12&lt;&gt;"",Z$14&lt;&gt;""),IF(EOMONTH($Z$3+INT((DAY(EOMONTH($Z$3,0))-1)/2)+Z$14,0)=EOMONTH($AP$3,0),Z$12,0),0),IF(AND(V$12&lt;&gt;"",V$14&lt;&gt;""),IF(EOMONTH($V$3+INT((DAY(EOMONTH($V$3,0))-1)/2)+V$14,0)=EOMONTH($AP$3,0),V$12,0),0),IF(AND(R$12&lt;&gt;"",R$14&lt;&gt;""),IF(EOMONTH($R$3+INT((DAY(EOMONTH($R$3,0))-1)/2)+R$14,0)=EOMONTH($AP$3,0),R$12,0),0),IF(AND(N$12&lt;&gt;"",N$14&lt;&gt;""),IF(EOMONTH($N$3+INT((DAY(EOMONTH($N$3,0))-1)/2)+N$14,0)=EOMONTH($AP$3,0),N$12,0),0),IF(AND(J$12&lt;&gt;"",J$14&lt;&gt;""),IF(EOMONTH($J$3+INT((DAY(EOMONTH($J$3,0))-1)/2)+J$14,0)=EOMONTH($AP$3,0),J$12,0),0),IF(AND(F$12&lt;&gt;"",F$14&lt;&gt;""),IF(EOMONTH($F$3+INT((DAY(EOMONTH($F$3,0))-1)/2)+F$14,0)=EOMONTH($AP$3,0),F$12,0),0),IF($AX$75="",0,IF(EOMONTH($AX$75+AX$14,0)=EOMONTH($AP$3,0),$AX$77,0))),0)</f>
        <v>8</v>
      </c>
      <c r="AQ20" s="14">
        <f t="shared" si="87"/>
        <v>8</v>
      </c>
      <c r="AR20" s="15">
        <f t="shared" si="87"/>
        <v>10</v>
      </c>
      <c r="AS20" s="16">
        <f t="shared" si="23"/>
        <v>-2</v>
      </c>
      <c r="AT20" s="13">
        <f t="shared" ref="AT20:AV20" si="88">ROUND(SUM(IF(AND(AX$12&lt;&gt;"",AX$14&lt;&gt;""),IF(EOMONTH($AX$3+INT((DAY(EOMONTH($AX$3,0))-1)/2)+AX$14,0)=EOMONTH($AT$3,0),AX$12,0),0),IF(AND(AT$12&lt;&gt;"",AT$14&lt;&gt;""),IF(EOMONTH($AT$3+INT((DAY(EOMONTH($AT$3,0))-1)/2)+AT$14,0)=EOMONTH($AT$3,0),AT$12,0),0),IF(AND(AP$12&lt;&gt;"",AP$14&lt;&gt;""),IF(EOMONTH($AP$3+INT((DAY(EOMONTH($AP$3,0))-1)/2)+AP$14,0)=EOMONTH($AT$3,0),AP$12,0),0),IF(AND(AL$12&lt;&gt;"",AL$14&lt;&gt;""),IF(EOMONTH($AL$3+INT((DAY(EOMONTH($AL$3,0))-1)/2)+AL$14,0)=EOMONTH($AT$3,0),AL$12,0),0),IF(AND(AH$12&lt;&gt;"",AH$14&lt;&gt;""),IF(EOMONTH($AH$3+INT((DAY(EOMONTH($AH$3,0))-1)/2)+AH$14,0)=EOMONTH($AT$3,0),AH$12,0),0),IF(AND(AD$12&lt;&gt;"",AD$14&lt;&gt;""),IF(EOMONTH($AD$3+INT((DAY(EOMONTH($AD$3,0))-1)/2)+AD$14,0)=EOMONTH($AT$3,0),AD$12,0),0),IF(AND(Z$12&lt;&gt;"",Z$14&lt;&gt;""),IF(EOMONTH($Z$3+INT((DAY(EOMONTH($Z$3,0))-1)/2)+Z$14,0)=EOMONTH($AT$3,0),Z$12,0),0),IF(AND(V$12&lt;&gt;"",V$14&lt;&gt;""),IF(EOMONTH($V$3+INT((DAY(EOMONTH($V$3,0))-1)/2)+V$14,0)=EOMONTH($AT$3,0),V$12,0),0),IF(AND(R$12&lt;&gt;"",R$14&lt;&gt;""),IF(EOMONTH($R$3+INT((DAY(EOMONTH($R$3,0))-1)/2)+R$14,0)=EOMONTH($AT$3,0),R$12,0),0),IF(AND(N$12&lt;&gt;"",N$14&lt;&gt;""),IF(EOMONTH($N$3+INT((DAY(EOMONTH($N$3,0))-1)/2)+N$14,0)=EOMONTH($AT$3,0),N$12,0),0),IF(AND(J$12&lt;&gt;"",J$14&lt;&gt;""),IF(EOMONTH($J$3+INT((DAY(EOMONTH($J$3,0))-1)/2)+J$14,0)=EOMONTH($AT$3,0),J$12,0),0),IF(AND(F$12&lt;&gt;"",F$14&lt;&gt;""),IF(EOMONTH($F$3+INT((DAY(EOMONTH($F$3,0))-1)/2)+F$14,0)=EOMONTH($AT$3,0),F$12,0),0),IF($AX$75="",0,IF(EOMONTH($AX$75+AX$14,0)=EOMONTH($AT$3,0),$AX$77,0))),0)</f>
        <v>7</v>
      </c>
      <c r="AU20" s="14">
        <f t="shared" si="88"/>
        <v>7</v>
      </c>
      <c r="AV20" s="15">
        <f t="shared" si="88"/>
        <v>10</v>
      </c>
      <c r="AW20" s="16">
        <f t="shared" si="25"/>
        <v>-3</v>
      </c>
      <c r="AX20" s="13">
        <f t="shared" ref="AX20:AZ20" si="89">ROUND(SUM(IF(AND(AX$12&lt;&gt;"",AX$14&lt;&gt;""),IF(EOMONTH($AX$3+INT((DAY(EOMONTH($AX$3,0))-1)/2)+AX$14,0)=EOMONTH($AX$3,0),AX$12,0),0),IF(AND(AT$12&lt;&gt;"",AT$14&lt;&gt;""),IF(EOMONTH($AT$3+INT((DAY(EOMONTH($AT$3,0))-1)/2)+AT$14,0)=EOMONTH($AX$3,0),AT$12,0),0),IF(AND(AP$12&lt;&gt;"",AP$14&lt;&gt;""),IF(EOMONTH($AP$3+INT((DAY(EOMONTH($AP$3,0))-1)/2)+AP$14,0)=EOMONTH($AX$3,0),AP$12,0),0),IF(AND(AL$12&lt;&gt;"",AL$14&lt;&gt;""),IF(EOMONTH($AL$3+INT((DAY(EOMONTH($AL$3,0))-1)/2)+AL$14,0)=EOMONTH($AX$3,0),AL$12,0),0),IF(AND(AH$12&lt;&gt;"",AH$14&lt;&gt;""),IF(EOMONTH($AH$3+INT((DAY(EOMONTH($AH$3,0))-1)/2)+AH$14,0)=EOMONTH($AX$3,0),AH$12,0),0),IF(AND(AD$12&lt;&gt;"",AD$14&lt;&gt;""),IF(EOMONTH($AD$3+INT((DAY(EOMONTH($AD$3,0))-1)/2)+AD$14,0)=EOMONTH($AX$3,0),AD$12,0),0),IF(AND(Z$12&lt;&gt;"",Z$14&lt;&gt;""),IF(EOMONTH($Z$3+INT((DAY(EOMONTH($Z$3,0))-1)/2)+Z$14,0)=EOMONTH($AX$3,0),Z$12,0),0),IF(AND(V$12&lt;&gt;"",V$14&lt;&gt;""),IF(EOMONTH($V$3+INT((DAY(EOMONTH($V$3,0))-1)/2)+V$14,0)=EOMONTH($AX$3,0),V$12,0),0),IF(AND(R$12&lt;&gt;"",R$14&lt;&gt;""),IF(EOMONTH($R$3+INT((DAY(EOMONTH($R$3,0))-1)/2)+R$14,0)=EOMONTH($AX$3,0),R$12,0),0),IF(AND(N$12&lt;&gt;"",N$14&lt;&gt;""),IF(EOMONTH($N$3+INT((DAY(EOMONTH($N$3,0))-1)/2)+N$14,0)=EOMONTH($AX$3,0),N$12,0),0),IF(AND(J$12&lt;&gt;"",J$14&lt;&gt;""),IF(EOMONTH($J$3+INT((DAY(EOMONTH($J$3,0))-1)/2)+J$14,0)=EOMONTH($AX$3,0),J$12,0),0),IF(AND(F$12&lt;&gt;"",F$14&lt;&gt;""),IF(EOMONTH($F$3+INT((DAY(EOMONTH($F$3,0))-1)/2)+F$14,0)=EOMONTH($AX$3,0),F$12,0),0),IF($AX$75="",0,IF(EOMONTH($AX$75+AX$14,0)=EOMONTH($AX$3,0),$AX$77,0))),0)</f>
        <v>10</v>
      </c>
      <c r="AY20" s="14">
        <f t="shared" si="89"/>
        <v>10</v>
      </c>
      <c r="AZ20" s="15">
        <f t="shared" si="89"/>
        <v>10</v>
      </c>
      <c r="BA20" s="16">
        <f t="shared" si="27"/>
        <v>0</v>
      </c>
    </row>
    <row r="21" ht="18.0" customHeight="1">
      <c r="A21" s="2" t="s">
        <v>24</v>
      </c>
      <c r="B21" s="13">
        <f t="shared" ref="B21:D21" si="90">SUM(AX21,AT21,AP21,AL21,AH21,AD21,Z21,V21,R21,N21,J21,F21)</f>
        <v>22</v>
      </c>
      <c r="C21" s="14">
        <f t="shared" si="90"/>
        <v>130</v>
      </c>
      <c r="D21" s="15">
        <f t="shared" si="90"/>
        <v>137</v>
      </c>
      <c r="E21" s="16">
        <f t="shared" si="3"/>
        <v>-7</v>
      </c>
      <c r="F21" s="17"/>
      <c r="G21" s="14">
        <f>IF(F$98=1,F21,MIN(G19+G20,G17))</f>
        <v>12</v>
      </c>
      <c r="H21" s="15">
        <f>MIN(H19+H20,H17)</f>
        <v>12</v>
      </c>
      <c r="I21" s="16">
        <f t="shared" si="5"/>
        <v>0</v>
      </c>
      <c r="J21" s="17"/>
      <c r="K21" s="14">
        <f>IF(J$98=1,J21,MIN(K19+K20,K17))</f>
        <v>12</v>
      </c>
      <c r="L21" s="15">
        <f>MIN(L19+L20,L17)</f>
        <v>12</v>
      </c>
      <c r="M21" s="16">
        <f t="shared" si="7"/>
        <v>0</v>
      </c>
      <c r="N21" s="17"/>
      <c r="O21" s="14">
        <f>IF(N$98=1,N21,MIN(O19+O20,O17))</f>
        <v>12</v>
      </c>
      <c r="P21" s="15">
        <f>MIN(P19+P20,P17)</f>
        <v>12</v>
      </c>
      <c r="Q21" s="16">
        <f t="shared" si="9"/>
        <v>0</v>
      </c>
      <c r="R21" s="17"/>
      <c r="S21" s="14">
        <f>IF(R$98=1,R21,MIN(S19+S20,S17))</f>
        <v>12</v>
      </c>
      <c r="T21" s="15">
        <f>MIN(T19+T20,T17)</f>
        <v>12</v>
      </c>
      <c r="U21" s="16">
        <f t="shared" si="11"/>
        <v>0</v>
      </c>
      <c r="V21" s="17"/>
      <c r="W21" s="14">
        <f>IF(V$98=1,V21,MIN(W19+W20,W17))</f>
        <v>11</v>
      </c>
      <c r="X21" s="15">
        <f>MIN(X19+X20,X17)</f>
        <v>11</v>
      </c>
      <c r="Y21" s="16">
        <f t="shared" si="13"/>
        <v>0</v>
      </c>
      <c r="Z21" s="17"/>
      <c r="AA21" s="14">
        <f>IF(Z$98=1,Z21,MIN(AA19+AA20,AA17))</f>
        <v>11</v>
      </c>
      <c r="AB21" s="15">
        <f>MIN(AB19+AB20,AB17)</f>
        <v>11</v>
      </c>
      <c r="AC21" s="16">
        <f t="shared" si="15"/>
        <v>0</v>
      </c>
      <c r="AD21" s="17"/>
      <c r="AE21" s="14">
        <f>IF(AD$98=1,AD21,MIN(AE19+AE20,AE17))</f>
        <v>11</v>
      </c>
      <c r="AF21" s="15">
        <f>MIN(AF19+AF20,AF17)</f>
        <v>11</v>
      </c>
      <c r="AG21" s="16">
        <f t="shared" si="17"/>
        <v>0</v>
      </c>
      <c r="AH21" s="17"/>
      <c r="AI21" s="14">
        <f>IF(AH$98=1,AH21,MIN(AI19+AI20,AI17))</f>
        <v>11</v>
      </c>
      <c r="AJ21" s="15">
        <f>MIN(AJ19+AJ20,AJ17)</f>
        <v>11</v>
      </c>
      <c r="AK21" s="16">
        <f t="shared" si="19"/>
        <v>0</v>
      </c>
      <c r="AL21" s="17"/>
      <c r="AM21" s="14">
        <f>IF(AL$98=1,AL21,MIN(AM19+AM20,AM17))</f>
        <v>8</v>
      </c>
      <c r="AN21" s="15">
        <f>MIN(AN19+AN20,AN17)</f>
        <v>10</v>
      </c>
      <c r="AO21" s="16">
        <f t="shared" si="21"/>
        <v>-2</v>
      </c>
      <c r="AP21" s="17"/>
      <c r="AQ21" s="14">
        <f>IF(AP$98=1,AP21,MIN(AQ19+AQ20,AQ17))</f>
        <v>8</v>
      </c>
      <c r="AR21" s="15">
        <f>MIN(AR19+AR20,AR17)</f>
        <v>10</v>
      </c>
      <c r="AS21" s="16">
        <f t="shared" si="23"/>
        <v>-2</v>
      </c>
      <c r="AT21" s="17">
        <v>10.0</v>
      </c>
      <c r="AU21" s="14">
        <f>IF(AT$98=1,AT21,MIN(AU19+AU20,AU17))</f>
        <v>10</v>
      </c>
      <c r="AV21" s="15">
        <f>MIN(AV19+AV20,AV17)</f>
        <v>10</v>
      </c>
      <c r="AW21" s="16">
        <f t="shared" si="25"/>
        <v>0</v>
      </c>
      <c r="AX21" s="17">
        <v>12.0</v>
      </c>
      <c r="AY21" s="14">
        <f>IF(AX$98=1,AX21,MIN(AY19+AY20,AY17))</f>
        <v>12</v>
      </c>
      <c r="AZ21" s="15">
        <f>MIN(AZ19+AZ20,AZ17)</f>
        <v>15</v>
      </c>
      <c r="BA21" s="16">
        <f t="shared" si="27"/>
        <v>-3</v>
      </c>
    </row>
    <row r="22" ht="18.0" customHeight="1">
      <c r="A22" s="2" t="s">
        <v>25</v>
      </c>
      <c r="B22" s="13" t="str">
        <f t="shared" ref="B22:D22" si="91">F22</f>
        <v/>
      </c>
      <c r="C22" s="14">
        <f t="shared" si="91"/>
        <v>0</v>
      </c>
      <c r="D22" s="15">
        <f t="shared" si="91"/>
        <v>0</v>
      </c>
      <c r="E22" s="16">
        <f t="shared" si="3"/>
        <v>0</v>
      </c>
      <c r="F22" s="13" t="str">
        <f>IF(COUNT(F19,F20,F21)=3,MAX(0,F19+F20-F21),"")</f>
        <v/>
      </c>
      <c r="G22" s="14">
        <f t="shared" ref="G22:H22" si="92">MAX(0,G19+G20-G21)</f>
        <v>0</v>
      </c>
      <c r="H22" s="15">
        <f t="shared" si="92"/>
        <v>0</v>
      </c>
      <c r="I22" s="16">
        <f t="shared" si="5"/>
        <v>0</v>
      </c>
      <c r="J22" s="13" t="str">
        <f>IF(COUNT(J19,J20,J21)=3,MAX(0,J19+J20-J21),"")</f>
        <v/>
      </c>
      <c r="K22" s="14">
        <f t="shared" ref="K22:L22" si="93">MAX(0,K19+K20-K21)</f>
        <v>0</v>
      </c>
      <c r="L22" s="15">
        <f t="shared" si="93"/>
        <v>0</v>
      </c>
      <c r="M22" s="16">
        <f t="shared" si="7"/>
        <v>0</v>
      </c>
      <c r="N22" s="13" t="str">
        <f>IF(COUNT(N19,N20,N21)=3,MAX(0,N19+N20-N21),"")</f>
        <v/>
      </c>
      <c r="O22" s="14">
        <f t="shared" ref="O22:P22" si="94">MAX(0,O19+O20-O21)</f>
        <v>0</v>
      </c>
      <c r="P22" s="15">
        <f t="shared" si="94"/>
        <v>0</v>
      </c>
      <c r="Q22" s="16">
        <f t="shared" si="9"/>
        <v>0</v>
      </c>
      <c r="R22" s="13" t="str">
        <f>IF(COUNT(R19,R20,R21)=3,MAX(0,R19+R20-R21),"")</f>
        <v/>
      </c>
      <c r="S22" s="14">
        <f t="shared" ref="S22:T22" si="95">MAX(0,S19+S20-S21)</f>
        <v>0</v>
      </c>
      <c r="T22" s="15">
        <f t="shared" si="95"/>
        <v>0</v>
      </c>
      <c r="U22" s="16">
        <f t="shared" si="11"/>
        <v>0</v>
      </c>
      <c r="V22" s="13" t="str">
        <f>IF(COUNT(V19,V20,V21)=3,MAX(0,V19+V20-V21),"")</f>
        <v/>
      </c>
      <c r="W22" s="14">
        <f t="shared" ref="W22:X22" si="96">MAX(0,W19+W20-W21)</f>
        <v>0</v>
      </c>
      <c r="X22" s="15">
        <f t="shared" si="96"/>
        <v>0</v>
      </c>
      <c r="Y22" s="16">
        <f t="shared" si="13"/>
        <v>0</v>
      </c>
      <c r="Z22" s="13" t="str">
        <f>IF(COUNT(Z19,Z20,Z21)=3,MAX(0,Z19+Z20-Z21),"")</f>
        <v/>
      </c>
      <c r="AA22" s="14">
        <f t="shared" ref="AA22:AB22" si="97">MAX(0,AA19+AA20-AA21)</f>
        <v>0</v>
      </c>
      <c r="AB22" s="15">
        <f t="shared" si="97"/>
        <v>0</v>
      </c>
      <c r="AC22" s="16">
        <f t="shared" si="15"/>
        <v>0</v>
      </c>
      <c r="AD22" s="13" t="str">
        <f>IF(COUNT(AD19,AD20,AD21)=3,MAX(0,AD19+AD20-AD21),"")</f>
        <v/>
      </c>
      <c r="AE22" s="14">
        <f t="shared" ref="AE22:AF22" si="98">MAX(0,AE19+AE20-AE21)</f>
        <v>0</v>
      </c>
      <c r="AF22" s="15">
        <f t="shared" si="98"/>
        <v>0</v>
      </c>
      <c r="AG22" s="16">
        <f t="shared" si="17"/>
        <v>0</v>
      </c>
      <c r="AH22" s="13" t="str">
        <f>IF(COUNT(AH19,AH20,AH21)=3,MAX(0,AH19+AH20-AH21),"")</f>
        <v/>
      </c>
      <c r="AI22" s="14">
        <f t="shared" ref="AI22:AJ22" si="99">MAX(0,AI19+AI20-AI21)</f>
        <v>0</v>
      </c>
      <c r="AJ22" s="15">
        <f t="shared" si="99"/>
        <v>0</v>
      </c>
      <c r="AK22" s="16">
        <f t="shared" si="19"/>
        <v>0</v>
      </c>
      <c r="AL22" s="13" t="str">
        <f>IF(COUNT(AL19,AL20,AL21)=3,MAX(0,AL19+AL20-AL21),"")</f>
        <v/>
      </c>
      <c r="AM22" s="14">
        <f t="shared" ref="AM22:AN22" si="100">MAX(0,AM19+AM20-AM21)</f>
        <v>0</v>
      </c>
      <c r="AN22" s="15">
        <f t="shared" si="100"/>
        <v>0</v>
      </c>
      <c r="AO22" s="16">
        <f t="shared" si="21"/>
        <v>0</v>
      </c>
      <c r="AP22" s="13" t="str">
        <f>IF(COUNT(AP19,AP20,AP21)=3,MAX(0,AP19+AP20-AP21),"")</f>
        <v/>
      </c>
      <c r="AQ22" s="14">
        <f t="shared" ref="AQ22:AR22" si="101">MAX(0,AQ19+AQ20-AQ21)</f>
        <v>0</v>
      </c>
      <c r="AR22" s="15">
        <f t="shared" si="101"/>
        <v>0</v>
      </c>
      <c r="AS22" s="16">
        <f t="shared" si="23"/>
        <v>0</v>
      </c>
      <c r="AT22" s="13">
        <f>IF(COUNT(AT19,AT20,AT21)=3,MAX(0,AT19+AT20-AT21),"")</f>
        <v>0</v>
      </c>
      <c r="AU22" s="14">
        <f t="shared" ref="AU22:AV22" si="102">MAX(0,AU19+AU20-AU21)</f>
        <v>0</v>
      </c>
      <c r="AV22" s="15">
        <f t="shared" si="102"/>
        <v>0</v>
      </c>
      <c r="AW22" s="16">
        <f t="shared" si="25"/>
        <v>0</v>
      </c>
      <c r="AX22" s="13">
        <f>IF(COUNT(AX19,AX20,AX21)=3,MAX(0,AX19+AX20-AX21),"")</f>
        <v>3</v>
      </c>
      <c r="AY22" s="14">
        <f t="shared" ref="AY22:AZ22" si="103">MAX(0,AY19+AY20-AY21)</f>
        <v>3</v>
      </c>
      <c r="AZ22" s="15">
        <f t="shared" si="103"/>
        <v>0</v>
      </c>
      <c r="BA22" s="16">
        <f t="shared" si="27"/>
        <v>3</v>
      </c>
    </row>
    <row r="23" ht="18.0" customHeight="1">
      <c r="A23" s="2" t="s">
        <v>26</v>
      </c>
      <c r="B23" s="24">
        <f t="shared" ref="B23:D23" si="104">IFERROR(SUM(AX23*AX26,AT23*AT26,AP23*AP26,AL23*AL26,AH23*AH26,AD23*AD26,Z23*Z26,V23*V26,R23*R26,N23*N26,J23*J26,F23*F26)/SUM(AX26,AT26,AP26,AL26,AH26,AD26,Z26,V26,R26,N26,J26,F26),"")</f>
        <v>30</v>
      </c>
      <c r="C23" s="25">
        <f t="shared" si="104"/>
        <v>30</v>
      </c>
      <c r="D23" s="26">
        <f t="shared" si="104"/>
        <v>30</v>
      </c>
      <c r="E23" s="27">
        <f t="shared" si="3"/>
        <v>0</v>
      </c>
      <c r="F23" s="28"/>
      <c r="G23" s="25">
        <f>IF(F$98=1,F23,H23)</f>
        <v>30</v>
      </c>
      <c r="H23" s="29">
        <v>30.0</v>
      </c>
      <c r="I23" s="27">
        <f t="shared" si="5"/>
        <v>0</v>
      </c>
      <c r="J23" s="28"/>
      <c r="K23" s="25">
        <f>IF(J$98=1,J23,L23)</f>
        <v>30</v>
      </c>
      <c r="L23" s="29">
        <v>30.0</v>
      </c>
      <c r="M23" s="27">
        <f t="shared" si="7"/>
        <v>0</v>
      </c>
      <c r="N23" s="28"/>
      <c r="O23" s="25">
        <f>IF(N$98=1,N23,P23)</f>
        <v>30</v>
      </c>
      <c r="P23" s="29">
        <v>30.0</v>
      </c>
      <c r="Q23" s="27">
        <f t="shared" si="9"/>
        <v>0</v>
      </c>
      <c r="R23" s="28"/>
      <c r="S23" s="25">
        <f>IF(R$98=1,R23,T23)</f>
        <v>30</v>
      </c>
      <c r="T23" s="29">
        <v>30.0</v>
      </c>
      <c r="U23" s="27">
        <f t="shared" si="11"/>
        <v>0</v>
      </c>
      <c r="V23" s="28"/>
      <c r="W23" s="25">
        <f>IF(V$98=1,V23,X23)</f>
        <v>30</v>
      </c>
      <c r="X23" s="29">
        <v>30.0</v>
      </c>
      <c r="Y23" s="27">
        <f t="shared" si="13"/>
        <v>0</v>
      </c>
      <c r="Z23" s="28"/>
      <c r="AA23" s="25">
        <f>IF(Z$98=1,Z23,AB23)</f>
        <v>30</v>
      </c>
      <c r="AB23" s="29">
        <v>30.0</v>
      </c>
      <c r="AC23" s="27">
        <f t="shared" si="15"/>
        <v>0</v>
      </c>
      <c r="AD23" s="28"/>
      <c r="AE23" s="25">
        <f>IF(AD$98=1,AD23,AF23)</f>
        <v>30</v>
      </c>
      <c r="AF23" s="29">
        <v>30.0</v>
      </c>
      <c r="AG23" s="27">
        <f t="shared" si="17"/>
        <v>0</v>
      </c>
      <c r="AH23" s="28"/>
      <c r="AI23" s="25">
        <f>IF(AH$98=1,AH23,AJ23)</f>
        <v>30</v>
      </c>
      <c r="AJ23" s="29">
        <v>30.0</v>
      </c>
      <c r="AK23" s="27">
        <f t="shared" si="19"/>
        <v>0</v>
      </c>
      <c r="AL23" s="28"/>
      <c r="AM23" s="25">
        <f>IF(AL$98=1,AL23,AN23)</f>
        <v>30</v>
      </c>
      <c r="AN23" s="29">
        <v>30.0</v>
      </c>
      <c r="AO23" s="27">
        <f t="shared" si="21"/>
        <v>0</v>
      </c>
      <c r="AP23" s="28"/>
      <c r="AQ23" s="25">
        <f>IF(AP$98=1,AP23,AR23)</f>
        <v>30</v>
      </c>
      <c r="AR23" s="29">
        <v>30.0</v>
      </c>
      <c r="AS23" s="27">
        <f t="shared" si="23"/>
        <v>0</v>
      </c>
      <c r="AT23" s="28">
        <v>30.0</v>
      </c>
      <c r="AU23" s="25">
        <f>IF(AT$98=1,AT23,AV23)</f>
        <v>30</v>
      </c>
      <c r="AV23" s="29">
        <v>30.0</v>
      </c>
      <c r="AW23" s="27">
        <f t="shared" si="25"/>
        <v>0</v>
      </c>
      <c r="AX23" s="28">
        <v>30.0</v>
      </c>
      <c r="AY23" s="25">
        <f>IF(AX$98=1,AX23,AZ23)</f>
        <v>30</v>
      </c>
      <c r="AZ23" s="29">
        <v>30.0</v>
      </c>
      <c r="BA23" s="27">
        <f t="shared" si="27"/>
        <v>0</v>
      </c>
    </row>
    <row r="24" ht="18.0" customHeight="1">
      <c r="A24" s="36" t="s">
        <v>27</v>
      </c>
      <c r="B24" s="37">
        <f t="shared" ref="B24:D24" si="105">SUM(B8,B11,B14,B23)</f>
        <v>104</v>
      </c>
      <c r="C24" s="37">
        <f t="shared" si="105"/>
        <v>104</v>
      </c>
      <c r="D24" s="37">
        <f t="shared" si="105"/>
        <v>104</v>
      </c>
      <c r="E24" s="37">
        <f t="shared" si="3"/>
        <v>0</v>
      </c>
      <c r="F24" s="37" t="str">
        <f>IF(COUNT(F8,F11,F14,F23)=0,"",SUM(F8,F11,F14,F23))</f>
        <v/>
      </c>
      <c r="G24" s="37">
        <f t="shared" ref="G24:H24" si="106">SUM(G8,G11,G14,G23)</f>
        <v>104</v>
      </c>
      <c r="H24" s="37">
        <f t="shared" si="106"/>
        <v>104</v>
      </c>
      <c r="I24" s="37">
        <f t="shared" si="5"/>
        <v>0</v>
      </c>
      <c r="J24" s="37" t="str">
        <f>IF(COUNT(J8,J11,J14,J23)=0,"",SUM(J8,J11,J14,J23))</f>
        <v/>
      </c>
      <c r="K24" s="37">
        <f t="shared" ref="K24:L24" si="107">SUM(K8,K11,K14,K23)</f>
        <v>104</v>
      </c>
      <c r="L24" s="37">
        <f t="shared" si="107"/>
        <v>104</v>
      </c>
      <c r="M24" s="37">
        <f t="shared" si="7"/>
        <v>0</v>
      </c>
      <c r="N24" s="37" t="str">
        <f>IF(COUNT(N8,N11,N14,N23)=0,"",SUM(N8,N11,N14,N23))</f>
        <v/>
      </c>
      <c r="O24" s="37">
        <f t="shared" ref="O24:P24" si="108">SUM(O8,O11,O14,O23)</f>
        <v>104</v>
      </c>
      <c r="P24" s="37">
        <f t="shared" si="108"/>
        <v>104</v>
      </c>
      <c r="Q24" s="37">
        <f t="shared" si="9"/>
        <v>0</v>
      </c>
      <c r="R24" s="37" t="str">
        <f>IF(COUNT(R8,R11,R14,R23)=0,"",SUM(R8,R11,R14,R23))</f>
        <v/>
      </c>
      <c r="S24" s="37">
        <f t="shared" ref="S24:T24" si="109">SUM(S8,S11,S14,S23)</f>
        <v>104</v>
      </c>
      <c r="T24" s="37">
        <f t="shared" si="109"/>
        <v>104</v>
      </c>
      <c r="U24" s="37">
        <f t="shared" si="11"/>
        <v>0</v>
      </c>
      <c r="V24" s="37" t="str">
        <f>IF(COUNT(V8,V11,V14,V23)=0,"",SUM(V8,V11,V14,V23))</f>
        <v/>
      </c>
      <c r="W24" s="37">
        <f t="shared" ref="W24:X24" si="110">SUM(W8,W11,W14,W23)</f>
        <v>104</v>
      </c>
      <c r="X24" s="37">
        <f t="shared" si="110"/>
        <v>104</v>
      </c>
      <c r="Y24" s="37">
        <f t="shared" si="13"/>
        <v>0</v>
      </c>
      <c r="Z24" s="37" t="str">
        <f>IF(COUNT(Z8,Z11,Z14,Z23)=0,"",SUM(Z8,Z11,Z14,Z23))</f>
        <v/>
      </c>
      <c r="AA24" s="37">
        <f t="shared" ref="AA24:AB24" si="111">SUM(AA8,AA11,AA14,AA23)</f>
        <v>104</v>
      </c>
      <c r="AB24" s="37">
        <f t="shared" si="111"/>
        <v>104</v>
      </c>
      <c r="AC24" s="37">
        <f t="shared" si="15"/>
        <v>0</v>
      </c>
      <c r="AD24" s="37" t="str">
        <f>IF(COUNT(AD8,AD11,AD14,AD23)=0,"",SUM(AD8,AD11,AD14,AD23))</f>
        <v/>
      </c>
      <c r="AE24" s="37">
        <f t="shared" ref="AE24:AF24" si="112">SUM(AE8,AE11,AE14,AE23)</f>
        <v>104</v>
      </c>
      <c r="AF24" s="37">
        <f t="shared" si="112"/>
        <v>104</v>
      </c>
      <c r="AG24" s="37">
        <f t="shared" si="17"/>
        <v>0</v>
      </c>
      <c r="AH24" s="37" t="str">
        <f>IF(COUNT(AH8,AH11,AH14,AH23)=0,"",SUM(AH8,AH11,AH14,AH23))</f>
        <v/>
      </c>
      <c r="AI24" s="37">
        <f t="shared" ref="AI24:AJ24" si="113">SUM(AI8,AI11,AI14,AI23)</f>
        <v>104</v>
      </c>
      <c r="AJ24" s="37">
        <f t="shared" si="113"/>
        <v>104</v>
      </c>
      <c r="AK24" s="37">
        <f t="shared" si="19"/>
        <v>0</v>
      </c>
      <c r="AL24" s="37" t="str">
        <f>IF(COUNT(AL8,AL11,AL14,AL23)=0,"",SUM(AL8,AL11,AL14,AL23))</f>
        <v/>
      </c>
      <c r="AM24" s="37">
        <f t="shared" ref="AM24:AN24" si="114">SUM(AM8,AM11,AM14,AM23)</f>
        <v>104</v>
      </c>
      <c r="AN24" s="37">
        <f t="shared" si="114"/>
        <v>104</v>
      </c>
      <c r="AO24" s="37">
        <f t="shared" si="21"/>
        <v>0</v>
      </c>
      <c r="AP24" s="37" t="str">
        <f>IF(COUNT(AP8,AP11,AP14,AP23)=0,"",SUM(AP8,AP11,AP14,AP23))</f>
        <v/>
      </c>
      <c r="AQ24" s="37">
        <f t="shared" ref="AQ24:AR24" si="115">SUM(AQ8,AQ11,AQ14,AQ23)</f>
        <v>104</v>
      </c>
      <c r="AR24" s="37">
        <f t="shared" si="115"/>
        <v>104</v>
      </c>
      <c r="AS24" s="37">
        <f t="shared" si="23"/>
        <v>0</v>
      </c>
      <c r="AT24" s="37">
        <f>IF(COUNT(AT8,AT11,AT14,AT23)=0,"",SUM(AT8,AT11,AT14,AT23))</f>
        <v>104</v>
      </c>
      <c r="AU24" s="37">
        <f t="shared" ref="AU24:AV24" si="116">SUM(AU8,AU11,AU14,AU23)</f>
        <v>104</v>
      </c>
      <c r="AV24" s="37">
        <f t="shared" si="116"/>
        <v>104</v>
      </c>
      <c r="AW24" s="37">
        <f t="shared" si="25"/>
        <v>0</v>
      </c>
      <c r="AX24" s="37">
        <f>IF(COUNT(AX8,AX11,AX14,AX23)=0,"",SUM(AX8,AX11,AX14,AX23))</f>
        <v>104</v>
      </c>
      <c r="AY24" s="37">
        <f t="shared" ref="AY24:AZ24" si="117">SUM(AY8,AY11,AY14,AY23)</f>
        <v>104</v>
      </c>
      <c r="AZ24" s="37">
        <f t="shared" si="117"/>
        <v>104</v>
      </c>
      <c r="BA24" s="37">
        <f t="shared" si="27"/>
        <v>0</v>
      </c>
    </row>
    <row r="25" ht="18.0" customHeight="1">
      <c r="A25" s="12" t="s">
        <v>28</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row>
    <row r="26" ht="18.0" customHeight="1">
      <c r="A26" s="2" t="s">
        <v>29</v>
      </c>
      <c r="B26" s="30">
        <f t="shared" ref="B26:D26" si="118">SUM(AX26,AT26,AP26,AL26,AH26,AD26,Z26,V26,R26,N26,J26,F26)</f>
        <v>110000</v>
      </c>
      <c r="C26" s="31">
        <f t="shared" si="118"/>
        <v>950000</v>
      </c>
      <c r="D26" s="32">
        <f t="shared" si="118"/>
        <v>1096000</v>
      </c>
      <c r="E26" s="33">
        <f>IFERROR(IF(OR(C26="",D26=""),"",C26-D26),"")</f>
        <v>-146000</v>
      </c>
      <c r="F26" s="30" t="str">
        <f>IF(COUNT(F19:F21,F72)=4,IF((F19+F20)=0,0,ROUND(F21*(F72+F73)/(F19+F20),0)),"")</f>
        <v/>
      </c>
      <c r="G26" s="31">
        <f t="shared" ref="G26:H26" si="119">IF((G19+G20)=0,0,ROUND(G21*(G72+G73)/(G19+G20),0))</f>
        <v>96000</v>
      </c>
      <c r="H26" s="32">
        <f t="shared" si="119"/>
        <v>96000</v>
      </c>
      <c r="I26" s="33">
        <f>IFERROR(IF(OR(G26="",H26=""),"",G26-H26),"")</f>
        <v>0</v>
      </c>
      <c r="J26" s="30" t="str">
        <f>IF(COUNT(J19:J21,J72)=4,IF((J19+J20)=0,0,ROUND(J21*(J72+J73)/(J19+J20),0)),"")</f>
        <v/>
      </c>
      <c r="K26" s="31">
        <f t="shared" ref="K26:L26" si="120">IF((K19+K20)=0,0,ROUND(K21*(K72+K73)/(K19+K20),0))</f>
        <v>96000</v>
      </c>
      <c r="L26" s="32">
        <f t="shared" si="120"/>
        <v>96000</v>
      </c>
      <c r="M26" s="33">
        <f>IFERROR(IF(OR(K26="",L26=""),"",K26-L26),"")</f>
        <v>0</v>
      </c>
      <c r="N26" s="30" t="str">
        <f>IF(COUNT(N19:N21,N72)=4,IF((N19+N20)=0,0,ROUND(N21*(N72+N73)/(N19+N20),0)),"")</f>
        <v/>
      </c>
      <c r="O26" s="31">
        <f t="shared" ref="O26:P26" si="121">IF((O19+O20)=0,0,ROUND(O21*(O72+O73)/(O19+O20),0))</f>
        <v>96000</v>
      </c>
      <c r="P26" s="32">
        <f t="shared" si="121"/>
        <v>96000</v>
      </c>
      <c r="Q26" s="33">
        <f>IFERROR(IF(OR(O26="",P26=""),"",O26-P26),"")</f>
        <v>0</v>
      </c>
      <c r="R26" s="30" t="str">
        <f>IF(COUNT(R19:R21,R72)=4,IF((R19+R20)=0,0,ROUND(R21*(R72+R73)/(R19+R20),0)),"")</f>
        <v/>
      </c>
      <c r="S26" s="31">
        <f t="shared" ref="S26:T26" si="122">IF((S19+S20)=0,0,ROUND(S21*(S72+S73)/(S19+S20),0))</f>
        <v>96000</v>
      </c>
      <c r="T26" s="32">
        <f t="shared" si="122"/>
        <v>96000</v>
      </c>
      <c r="U26" s="33">
        <f>IFERROR(IF(OR(S26="",T26=""),"",S26-T26),"")</f>
        <v>0</v>
      </c>
      <c r="V26" s="30" t="str">
        <f>IF(COUNT(V19:V21,V72)=4,IF((V19+V20)=0,0,ROUND(V21*(V72+V73)/(V19+V20),0)),"")</f>
        <v/>
      </c>
      <c r="W26" s="31">
        <f t="shared" ref="W26:X26" si="123">IF((W19+W20)=0,0,ROUND(W21*(W72+W73)/(W19+W20),0))</f>
        <v>88000</v>
      </c>
      <c r="X26" s="32">
        <f t="shared" si="123"/>
        <v>88000</v>
      </c>
      <c r="Y26" s="33">
        <f>IFERROR(IF(OR(W26="",X26=""),"",W26-X26),"")</f>
        <v>0</v>
      </c>
      <c r="Z26" s="30" t="str">
        <f>IF(COUNT(Z19:Z21,Z72)=4,IF((Z19+Z20)=0,0,ROUND(Z21*(Z72+Z73)/(Z19+Z20),0)),"")</f>
        <v/>
      </c>
      <c r="AA26" s="31">
        <f t="shared" ref="AA26:AB26" si="124">IF((AA19+AA20)=0,0,ROUND(AA21*(AA72+AA73)/(AA19+AA20),0))</f>
        <v>88000</v>
      </c>
      <c r="AB26" s="32">
        <f t="shared" si="124"/>
        <v>88000</v>
      </c>
      <c r="AC26" s="33">
        <f>IFERROR(IF(OR(AA26="",AB26=""),"",AA26-AB26),"")</f>
        <v>0</v>
      </c>
      <c r="AD26" s="30" t="str">
        <f>IF(COUNT(AD19:AD21,AD72)=4,IF((AD19+AD20)=0,0,ROUND(AD21*(AD72+AD73)/(AD19+AD20),0)),"")</f>
        <v/>
      </c>
      <c r="AE26" s="31">
        <f t="shared" ref="AE26:AF26" si="125">IF((AE19+AE20)=0,0,ROUND(AE21*(AE72+AE73)/(AE19+AE20),0))</f>
        <v>88000</v>
      </c>
      <c r="AF26" s="32">
        <f t="shared" si="125"/>
        <v>88000</v>
      </c>
      <c r="AG26" s="33">
        <f>IFERROR(IF(OR(AE26="",AF26=""),"",AE26-AF26),"")</f>
        <v>0</v>
      </c>
      <c r="AH26" s="30" t="str">
        <f>IF(COUNT(AH19:AH21,AH72)=4,IF((AH19+AH20)=0,0,ROUND(AH21*(AH72+AH73)/(AH19+AH20),0)),"")</f>
        <v/>
      </c>
      <c r="AI26" s="31">
        <f t="shared" ref="AI26:AJ26" si="126">IF((AI19+AI20)=0,0,ROUND(AI21*(AI72+AI73)/(AI19+AI20),0))</f>
        <v>88000</v>
      </c>
      <c r="AJ26" s="32">
        <f t="shared" si="126"/>
        <v>88000</v>
      </c>
      <c r="AK26" s="33">
        <f>IFERROR(IF(OR(AI26="",AJ26=""),"",AI26-AJ26),"")</f>
        <v>0</v>
      </c>
      <c r="AL26" s="30" t="str">
        <f>IF(COUNT(AL19:AL21,AL72)=4,IF((AL19+AL20)=0,0,ROUND(AL21*(AL72+AL73)/(AL19+AL20),0)),"")</f>
        <v/>
      </c>
      <c r="AM26" s="31">
        <f t="shared" ref="AM26:AN26" si="127">IF((AM19+AM20)=0,0,ROUND(AM21*(AM72+AM73)/(AM19+AM20),0))</f>
        <v>64000</v>
      </c>
      <c r="AN26" s="32">
        <f t="shared" si="127"/>
        <v>80000</v>
      </c>
      <c r="AO26" s="33">
        <f>IFERROR(IF(OR(AM26="",AN26=""),"",AM26-AN26),"")</f>
        <v>-16000</v>
      </c>
      <c r="AP26" s="30" t="str">
        <f>IF(COUNT(AP19:AP21,AP72)=4,IF((AP19+AP20)=0,0,ROUND(AP21*(AP72+AP73)/(AP19+AP20),0)),"")</f>
        <v/>
      </c>
      <c r="AQ26" s="31">
        <f t="shared" ref="AQ26:AR26" si="128">IF((AQ19+AQ20)=0,0,ROUND(AQ21*(AQ72+AQ73)/(AQ19+AQ20),0))</f>
        <v>40000</v>
      </c>
      <c r="AR26" s="32">
        <f t="shared" si="128"/>
        <v>80000</v>
      </c>
      <c r="AS26" s="33">
        <f>IFERROR(IF(OR(AQ26="",AR26=""),"",AQ26-AR26),"")</f>
        <v>-40000</v>
      </c>
      <c r="AT26" s="30">
        <f>IF(COUNT(AT19:AT21,AT72)=4,IF((AT19+AT20)=0,0,ROUND(AT21*(AT72+AT73)/(AT19+AT20),0)),"")</f>
        <v>50000</v>
      </c>
      <c r="AU26" s="31">
        <f t="shared" ref="AU26:AV26" si="129">IF((AU19+AU20)=0,0,ROUND(AU21*(AU72+AU73)/(AU19+AU20),0))</f>
        <v>50000</v>
      </c>
      <c r="AV26" s="32">
        <f t="shared" si="129"/>
        <v>80000</v>
      </c>
      <c r="AW26" s="33">
        <f>IFERROR(IF(OR(AU26="",AV26=""),"",AU26-AV26),"")</f>
        <v>-30000</v>
      </c>
      <c r="AX26" s="30">
        <f>IF(COUNT(AX19:AX21,AX72)=4,IF((AX19+AX20)=0,0,ROUND(AX21*(AX72+AX73)/(AX19+AX20),0)),"")</f>
        <v>60000</v>
      </c>
      <c r="AY26" s="31">
        <f t="shared" ref="AY26:AZ26" si="130">IF((AY19+AY20)=0,0,ROUND(AY21*(AY72+AY73)/(AY19+AY20),0))</f>
        <v>60000</v>
      </c>
      <c r="AZ26" s="32">
        <f t="shared" si="130"/>
        <v>120000</v>
      </c>
      <c r="BA26" s="33">
        <f>IFERROR(IF(OR(AY26="",AZ26=""),"",AY26-AZ26),"")</f>
        <v>-60000</v>
      </c>
    </row>
    <row r="27" ht="18.0" customHeight="1">
      <c r="A27" s="12" t="s">
        <v>30</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row>
    <row r="28" ht="18.0" customHeight="1">
      <c r="A28" s="2" t="s">
        <v>31</v>
      </c>
      <c r="B28" s="30">
        <f t="shared" ref="B28:D28" si="131">SUM(AX28,AT28,AP28,AL28,AH28,AD28,Z28,V28,R28,N28,J28,F28)</f>
        <v>4060</v>
      </c>
      <c r="C28" s="31">
        <f t="shared" si="131"/>
        <v>24060</v>
      </c>
      <c r="D28" s="32">
        <f t="shared" si="131"/>
        <v>24000</v>
      </c>
      <c r="E28" s="33">
        <f t="shared" ref="E28:E34" si="133">IFERROR(IF(OR(C28="",D28=""),"",C28-D28),"")</f>
        <v>60</v>
      </c>
      <c r="F28" s="34"/>
      <c r="G28" s="31">
        <f>IF(F$98=1,F28,H28)</f>
        <v>2000</v>
      </c>
      <c r="H28" s="35">
        <v>2000.0</v>
      </c>
      <c r="I28" s="33">
        <f t="shared" ref="I28:I34" si="135">IFERROR(IF(OR(G28="",H28=""),"",G28-H28),"")</f>
        <v>0</v>
      </c>
      <c r="J28" s="34"/>
      <c r="K28" s="31">
        <f>IF(J$98=1,J28,L28)</f>
        <v>2000</v>
      </c>
      <c r="L28" s="35">
        <v>2000.0</v>
      </c>
      <c r="M28" s="33">
        <f t="shared" ref="M28:M34" si="137">IFERROR(IF(OR(K28="",L28=""),"",K28-L28),"")</f>
        <v>0</v>
      </c>
      <c r="N28" s="34"/>
      <c r="O28" s="31">
        <f>IF(N$98=1,N28,P28)</f>
        <v>2000</v>
      </c>
      <c r="P28" s="35">
        <v>2000.0</v>
      </c>
      <c r="Q28" s="33">
        <f t="shared" ref="Q28:Q34" si="139">IFERROR(IF(OR(O28="",P28=""),"",O28-P28),"")</f>
        <v>0</v>
      </c>
      <c r="R28" s="34"/>
      <c r="S28" s="31">
        <f>IF(R$98=1,R28,T28)</f>
        <v>2000</v>
      </c>
      <c r="T28" s="35">
        <v>2000.0</v>
      </c>
      <c r="U28" s="33">
        <f t="shared" ref="U28:U34" si="141">IFERROR(IF(OR(S28="",T28=""),"",S28-T28),"")</f>
        <v>0</v>
      </c>
      <c r="V28" s="34"/>
      <c r="W28" s="31">
        <f>IF(V$98=1,V28,X28)</f>
        <v>2000</v>
      </c>
      <c r="X28" s="35">
        <v>2000.0</v>
      </c>
      <c r="Y28" s="33">
        <f t="shared" ref="Y28:Y34" si="143">IFERROR(IF(OR(W28="",X28=""),"",W28-X28),"")</f>
        <v>0</v>
      </c>
      <c r="Z28" s="34"/>
      <c r="AA28" s="31">
        <f>IF(Z$98=1,Z28,AB28)</f>
        <v>2000</v>
      </c>
      <c r="AB28" s="35">
        <v>2000.0</v>
      </c>
      <c r="AC28" s="33">
        <f t="shared" ref="AC28:AC34" si="145">IFERROR(IF(OR(AA28="",AB28=""),"",AA28-AB28),"")</f>
        <v>0</v>
      </c>
      <c r="AD28" s="34"/>
      <c r="AE28" s="31">
        <f>IF(AD$98=1,AD28,AF28)</f>
        <v>2000</v>
      </c>
      <c r="AF28" s="35">
        <v>2000.0</v>
      </c>
      <c r="AG28" s="33">
        <f t="shared" ref="AG28:AG34" si="147">IFERROR(IF(OR(AE28="",AF28=""),"",AE28-AF28),"")</f>
        <v>0</v>
      </c>
      <c r="AH28" s="34"/>
      <c r="AI28" s="31">
        <f>IF(AH$98=1,AH28,AJ28)</f>
        <v>2000</v>
      </c>
      <c r="AJ28" s="35">
        <v>2000.0</v>
      </c>
      <c r="AK28" s="33">
        <f t="shared" ref="AK28:AK34" si="149">IFERROR(IF(OR(AI28="",AJ28=""),"",AI28-AJ28),"")</f>
        <v>0</v>
      </c>
      <c r="AL28" s="34"/>
      <c r="AM28" s="31">
        <f>IF(AL$98=1,AL28,AN28)</f>
        <v>2000</v>
      </c>
      <c r="AN28" s="35">
        <v>2000.0</v>
      </c>
      <c r="AO28" s="33">
        <f t="shared" ref="AO28:AO34" si="151">IFERROR(IF(OR(AM28="",AN28=""),"",AM28-AN28),"")</f>
        <v>0</v>
      </c>
      <c r="AP28" s="34"/>
      <c r="AQ28" s="31">
        <f>IF(AP$98=1,AP28,AR28)</f>
        <v>2000</v>
      </c>
      <c r="AR28" s="35">
        <v>2000.0</v>
      </c>
      <c r="AS28" s="33">
        <f t="shared" ref="AS28:AS34" si="153">IFERROR(IF(OR(AQ28="",AR28=""),"",AQ28-AR28),"")</f>
        <v>0</v>
      </c>
      <c r="AT28" s="34">
        <v>1960.0</v>
      </c>
      <c r="AU28" s="31">
        <f>IF(AT$98=1,AT28,AV28)</f>
        <v>1960</v>
      </c>
      <c r="AV28" s="35">
        <v>2000.0</v>
      </c>
      <c r="AW28" s="33">
        <f t="shared" ref="AW28:AW34" si="155">IFERROR(IF(OR(AU28="",AV28=""),"",AU28-AV28),"")</f>
        <v>-40</v>
      </c>
      <c r="AX28" s="34">
        <v>2100.0</v>
      </c>
      <c r="AY28" s="31">
        <f>IF(AX$98=1,AX28,AZ28)</f>
        <v>2100</v>
      </c>
      <c r="AZ28" s="35">
        <v>2000.0</v>
      </c>
      <c r="BA28" s="33">
        <f t="shared" ref="BA28:BA34" si="157">IFERROR(IF(OR(AY28="",AZ28=""),"",AY28-AZ28),"")</f>
        <v>100</v>
      </c>
    </row>
    <row r="29" ht="18.0" customHeight="1">
      <c r="A29" s="2" t="s">
        <v>32</v>
      </c>
      <c r="B29" s="30">
        <f t="shared" ref="B29:D29" si="132">SUM(AX29,AT29,AP29,AL29,AH29,AD29,Z29,V29,R29,N29,J29,F29)</f>
        <v>22000</v>
      </c>
      <c r="C29" s="31">
        <f t="shared" si="132"/>
        <v>130000</v>
      </c>
      <c r="D29" s="32">
        <f t="shared" si="132"/>
        <v>137000</v>
      </c>
      <c r="E29" s="33">
        <f t="shared" si="133"/>
        <v>-7000</v>
      </c>
      <c r="F29" s="30" t="str">
        <f t="shared" ref="F29:H29" si="134">IF(COUNT(F21,F18)=2,F21*F18,"")</f>
        <v/>
      </c>
      <c r="G29" s="31">
        <f t="shared" si="134"/>
        <v>12000</v>
      </c>
      <c r="H29" s="32">
        <f t="shared" si="134"/>
        <v>12000</v>
      </c>
      <c r="I29" s="33">
        <f t="shared" si="135"/>
        <v>0</v>
      </c>
      <c r="J29" s="30" t="str">
        <f t="shared" ref="J29:L29" si="136">IF(COUNT(J21,J18)=2,J21*J18,"")</f>
        <v/>
      </c>
      <c r="K29" s="31">
        <f t="shared" si="136"/>
        <v>12000</v>
      </c>
      <c r="L29" s="32">
        <f t="shared" si="136"/>
        <v>12000</v>
      </c>
      <c r="M29" s="33">
        <f t="shared" si="137"/>
        <v>0</v>
      </c>
      <c r="N29" s="30" t="str">
        <f t="shared" ref="N29:P29" si="138">IF(COUNT(N21,N18)=2,N21*N18,"")</f>
        <v/>
      </c>
      <c r="O29" s="31">
        <f t="shared" si="138"/>
        <v>12000</v>
      </c>
      <c r="P29" s="32">
        <f t="shared" si="138"/>
        <v>12000</v>
      </c>
      <c r="Q29" s="33">
        <f t="shared" si="139"/>
        <v>0</v>
      </c>
      <c r="R29" s="30" t="str">
        <f t="shared" ref="R29:T29" si="140">IF(COUNT(R21,R18)=2,R21*R18,"")</f>
        <v/>
      </c>
      <c r="S29" s="31">
        <f t="shared" si="140"/>
        <v>12000</v>
      </c>
      <c r="T29" s="32">
        <f t="shared" si="140"/>
        <v>12000</v>
      </c>
      <c r="U29" s="33">
        <f t="shared" si="141"/>
        <v>0</v>
      </c>
      <c r="V29" s="30" t="str">
        <f t="shared" ref="V29:X29" si="142">IF(COUNT(V21,V18)=2,V21*V18,"")</f>
        <v/>
      </c>
      <c r="W29" s="31">
        <f t="shared" si="142"/>
        <v>11000</v>
      </c>
      <c r="X29" s="32">
        <f t="shared" si="142"/>
        <v>11000</v>
      </c>
      <c r="Y29" s="33">
        <f t="shared" si="143"/>
        <v>0</v>
      </c>
      <c r="Z29" s="30" t="str">
        <f t="shared" ref="Z29:AB29" si="144">IF(COUNT(Z21,Z18)=2,Z21*Z18,"")</f>
        <v/>
      </c>
      <c r="AA29" s="31">
        <f t="shared" si="144"/>
        <v>11000</v>
      </c>
      <c r="AB29" s="32">
        <f t="shared" si="144"/>
        <v>11000</v>
      </c>
      <c r="AC29" s="33">
        <f t="shared" si="145"/>
        <v>0</v>
      </c>
      <c r="AD29" s="30" t="str">
        <f t="shared" ref="AD29:AF29" si="146">IF(COUNT(AD21,AD18)=2,AD21*AD18,"")</f>
        <v/>
      </c>
      <c r="AE29" s="31">
        <f t="shared" si="146"/>
        <v>11000</v>
      </c>
      <c r="AF29" s="32">
        <f t="shared" si="146"/>
        <v>11000</v>
      </c>
      <c r="AG29" s="33">
        <f t="shared" si="147"/>
        <v>0</v>
      </c>
      <c r="AH29" s="30" t="str">
        <f t="shared" ref="AH29:AJ29" si="148">IF(COUNT(AH21,AH18)=2,AH21*AH18,"")</f>
        <v/>
      </c>
      <c r="AI29" s="31">
        <f t="shared" si="148"/>
        <v>11000</v>
      </c>
      <c r="AJ29" s="32">
        <f t="shared" si="148"/>
        <v>11000</v>
      </c>
      <c r="AK29" s="33">
        <f t="shared" si="149"/>
        <v>0</v>
      </c>
      <c r="AL29" s="30" t="str">
        <f t="shared" ref="AL29:AN29" si="150">IF(COUNT(AL21,AL18)=2,AL21*AL18,"")</f>
        <v/>
      </c>
      <c r="AM29" s="31">
        <f t="shared" si="150"/>
        <v>8000</v>
      </c>
      <c r="AN29" s="32">
        <f t="shared" si="150"/>
        <v>10000</v>
      </c>
      <c r="AO29" s="33">
        <f t="shared" si="151"/>
        <v>-2000</v>
      </c>
      <c r="AP29" s="30" t="str">
        <f t="shared" ref="AP29:AR29" si="152">IF(COUNT(AP21,AP18)=2,AP21*AP18,"")</f>
        <v/>
      </c>
      <c r="AQ29" s="31">
        <f t="shared" si="152"/>
        <v>8000</v>
      </c>
      <c r="AR29" s="32">
        <f t="shared" si="152"/>
        <v>10000</v>
      </c>
      <c r="AS29" s="33">
        <f t="shared" si="153"/>
        <v>-2000</v>
      </c>
      <c r="AT29" s="30">
        <f t="shared" ref="AT29:AV29" si="154">IF(COUNT(AT21,AT18)=2,AT21*AT18,"")</f>
        <v>10000</v>
      </c>
      <c r="AU29" s="31">
        <f t="shared" si="154"/>
        <v>10000</v>
      </c>
      <c r="AV29" s="32">
        <f t="shared" si="154"/>
        <v>10000</v>
      </c>
      <c r="AW29" s="33">
        <f t="shared" si="155"/>
        <v>0</v>
      </c>
      <c r="AX29" s="30">
        <f t="shared" ref="AX29:AZ29" si="156">IF(COUNT(AX21,AX18)=2,AX21*AX18,"")</f>
        <v>12000</v>
      </c>
      <c r="AY29" s="31">
        <f t="shared" si="156"/>
        <v>12000</v>
      </c>
      <c r="AZ29" s="32">
        <f t="shared" si="156"/>
        <v>15000</v>
      </c>
      <c r="BA29" s="33">
        <f t="shared" si="157"/>
        <v>-3000</v>
      </c>
    </row>
    <row r="30" ht="18.0" customHeight="1">
      <c r="A30" s="2" t="s">
        <v>33</v>
      </c>
      <c r="B30" s="30">
        <f t="shared" ref="B30:D30" si="158">SUM(AX30,AT30,AP30,AL30,AH30,AD30,Z30,V30,R30,N30,J30,F30)</f>
        <v>1015</v>
      </c>
      <c r="C30" s="31">
        <f t="shared" si="158"/>
        <v>6015</v>
      </c>
      <c r="D30" s="32">
        <f t="shared" si="158"/>
        <v>6000</v>
      </c>
      <c r="E30" s="33">
        <f t="shared" si="133"/>
        <v>15</v>
      </c>
      <c r="F30" s="34"/>
      <c r="G30" s="31">
        <f t="shared" ref="G30:G33" si="160">IF(F$98=1,F30,H30)</f>
        <v>500</v>
      </c>
      <c r="H30" s="35">
        <v>500.0</v>
      </c>
      <c r="I30" s="33">
        <f t="shared" si="135"/>
        <v>0</v>
      </c>
      <c r="J30" s="34"/>
      <c r="K30" s="31">
        <f t="shared" ref="K30:K33" si="161">IF(J$98=1,J30,L30)</f>
        <v>500</v>
      </c>
      <c r="L30" s="35">
        <v>500.0</v>
      </c>
      <c r="M30" s="33">
        <f t="shared" si="137"/>
        <v>0</v>
      </c>
      <c r="N30" s="34"/>
      <c r="O30" s="31">
        <f t="shared" ref="O30:O33" si="162">IF(N$98=1,N30,P30)</f>
        <v>500</v>
      </c>
      <c r="P30" s="35">
        <v>500.0</v>
      </c>
      <c r="Q30" s="33">
        <f t="shared" si="139"/>
        <v>0</v>
      </c>
      <c r="R30" s="34"/>
      <c r="S30" s="31">
        <f t="shared" ref="S30:S33" si="163">IF(R$98=1,R30,T30)</f>
        <v>500</v>
      </c>
      <c r="T30" s="35">
        <v>500.0</v>
      </c>
      <c r="U30" s="33">
        <f t="shared" si="141"/>
        <v>0</v>
      </c>
      <c r="V30" s="34"/>
      <c r="W30" s="31">
        <f t="shared" ref="W30:W33" si="164">IF(V$98=1,V30,X30)</f>
        <v>500</v>
      </c>
      <c r="X30" s="35">
        <v>500.0</v>
      </c>
      <c r="Y30" s="33">
        <f t="shared" si="143"/>
        <v>0</v>
      </c>
      <c r="Z30" s="34"/>
      <c r="AA30" s="31">
        <f t="shared" ref="AA30:AA33" si="165">IF(Z$98=1,Z30,AB30)</f>
        <v>500</v>
      </c>
      <c r="AB30" s="35">
        <v>500.0</v>
      </c>
      <c r="AC30" s="33">
        <f t="shared" si="145"/>
        <v>0</v>
      </c>
      <c r="AD30" s="34"/>
      <c r="AE30" s="31">
        <f t="shared" ref="AE30:AE33" si="166">IF(AD$98=1,AD30,AF30)</f>
        <v>500</v>
      </c>
      <c r="AF30" s="35">
        <v>500.0</v>
      </c>
      <c r="AG30" s="33">
        <f t="shared" si="147"/>
        <v>0</v>
      </c>
      <c r="AH30" s="34"/>
      <c r="AI30" s="31">
        <f t="shared" ref="AI30:AI33" si="167">IF(AH$98=1,AH30,AJ30)</f>
        <v>500</v>
      </c>
      <c r="AJ30" s="35">
        <v>500.0</v>
      </c>
      <c r="AK30" s="33">
        <f t="shared" si="149"/>
        <v>0</v>
      </c>
      <c r="AL30" s="34"/>
      <c r="AM30" s="31">
        <f t="shared" ref="AM30:AM33" si="168">IF(AL$98=1,AL30,AN30)</f>
        <v>500</v>
      </c>
      <c r="AN30" s="35">
        <v>500.0</v>
      </c>
      <c r="AO30" s="33">
        <f t="shared" si="151"/>
        <v>0</v>
      </c>
      <c r="AP30" s="34"/>
      <c r="AQ30" s="31">
        <f t="shared" ref="AQ30:AQ33" si="169">IF(AP$98=1,AP30,AR30)</f>
        <v>500</v>
      </c>
      <c r="AR30" s="35">
        <v>500.0</v>
      </c>
      <c r="AS30" s="33">
        <f t="shared" si="153"/>
        <v>0</v>
      </c>
      <c r="AT30" s="34">
        <v>490.0</v>
      </c>
      <c r="AU30" s="31">
        <f t="shared" ref="AU30:AU33" si="170">IF(AT$98=1,AT30,AV30)</f>
        <v>490</v>
      </c>
      <c r="AV30" s="35">
        <v>500.0</v>
      </c>
      <c r="AW30" s="33">
        <f t="shared" si="155"/>
        <v>-10</v>
      </c>
      <c r="AX30" s="34">
        <v>525.0</v>
      </c>
      <c r="AY30" s="31">
        <f t="shared" ref="AY30:AY33" si="171">IF(AX$98=1,AX30,AZ30)</f>
        <v>525</v>
      </c>
      <c r="AZ30" s="35">
        <v>500.0</v>
      </c>
      <c r="BA30" s="33">
        <f t="shared" si="157"/>
        <v>25</v>
      </c>
    </row>
    <row r="31" ht="18.0" customHeight="1">
      <c r="A31" s="2" t="s">
        <v>34</v>
      </c>
      <c r="B31" s="30">
        <f t="shared" ref="B31:D31" si="159">SUM(AX31,AT31,AP31,AL31,AH31,AD31,Z31,V31,R31,N31,J31,F31)</f>
        <v>2030</v>
      </c>
      <c r="C31" s="31">
        <f t="shared" si="159"/>
        <v>12030</v>
      </c>
      <c r="D31" s="32">
        <f t="shared" si="159"/>
        <v>12000</v>
      </c>
      <c r="E31" s="33">
        <f t="shared" si="133"/>
        <v>30</v>
      </c>
      <c r="F31" s="34"/>
      <c r="G31" s="31">
        <f t="shared" si="160"/>
        <v>1000</v>
      </c>
      <c r="H31" s="35">
        <v>1000.0</v>
      </c>
      <c r="I31" s="33">
        <f t="shared" si="135"/>
        <v>0</v>
      </c>
      <c r="J31" s="34"/>
      <c r="K31" s="31">
        <f t="shared" si="161"/>
        <v>1000</v>
      </c>
      <c r="L31" s="35">
        <v>1000.0</v>
      </c>
      <c r="M31" s="33">
        <f t="shared" si="137"/>
        <v>0</v>
      </c>
      <c r="N31" s="34"/>
      <c r="O31" s="31">
        <f t="shared" si="162"/>
        <v>1000</v>
      </c>
      <c r="P31" s="35">
        <v>1000.0</v>
      </c>
      <c r="Q31" s="33">
        <f t="shared" si="139"/>
        <v>0</v>
      </c>
      <c r="R31" s="34"/>
      <c r="S31" s="31">
        <f t="shared" si="163"/>
        <v>1000</v>
      </c>
      <c r="T31" s="35">
        <v>1000.0</v>
      </c>
      <c r="U31" s="33">
        <f t="shared" si="141"/>
        <v>0</v>
      </c>
      <c r="V31" s="34"/>
      <c r="W31" s="31">
        <f t="shared" si="164"/>
        <v>1000</v>
      </c>
      <c r="X31" s="35">
        <v>1000.0</v>
      </c>
      <c r="Y31" s="33">
        <f t="shared" si="143"/>
        <v>0</v>
      </c>
      <c r="Z31" s="34"/>
      <c r="AA31" s="31">
        <f t="shared" si="165"/>
        <v>1000</v>
      </c>
      <c r="AB31" s="35">
        <v>1000.0</v>
      </c>
      <c r="AC31" s="33">
        <f t="shared" si="145"/>
        <v>0</v>
      </c>
      <c r="AD31" s="34"/>
      <c r="AE31" s="31">
        <f t="shared" si="166"/>
        <v>1000</v>
      </c>
      <c r="AF31" s="35">
        <v>1000.0</v>
      </c>
      <c r="AG31" s="33">
        <f t="shared" si="147"/>
        <v>0</v>
      </c>
      <c r="AH31" s="34"/>
      <c r="AI31" s="31">
        <f t="shared" si="167"/>
        <v>1000</v>
      </c>
      <c r="AJ31" s="35">
        <v>1000.0</v>
      </c>
      <c r="AK31" s="33">
        <f t="shared" si="149"/>
        <v>0</v>
      </c>
      <c r="AL31" s="34"/>
      <c r="AM31" s="31">
        <f t="shared" si="168"/>
        <v>1000</v>
      </c>
      <c r="AN31" s="35">
        <v>1000.0</v>
      </c>
      <c r="AO31" s="33">
        <f t="shared" si="151"/>
        <v>0</v>
      </c>
      <c r="AP31" s="34"/>
      <c r="AQ31" s="31">
        <f t="shared" si="169"/>
        <v>1000</v>
      </c>
      <c r="AR31" s="35">
        <v>1000.0</v>
      </c>
      <c r="AS31" s="33">
        <f t="shared" si="153"/>
        <v>0</v>
      </c>
      <c r="AT31" s="34">
        <v>980.0</v>
      </c>
      <c r="AU31" s="31">
        <f t="shared" si="170"/>
        <v>980</v>
      </c>
      <c r="AV31" s="35">
        <v>1000.0</v>
      </c>
      <c r="AW31" s="33">
        <f t="shared" si="155"/>
        <v>-20</v>
      </c>
      <c r="AX31" s="34">
        <v>1050.0</v>
      </c>
      <c r="AY31" s="31">
        <f t="shared" si="171"/>
        <v>1050</v>
      </c>
      <c r="AZ31" s="35">
        <v>1000.0</v>
      </c>
      <c r="BA31" s="33">
        <f t="shared" si="157"/>
        <v>50</v>
      </c>
    </row>
    <row r="32" ht="18.0" customHeight="1">
      <c r="A32" s="2" t="s">
        <v>35</v>
      </c>
      <c r="B32" s="30">
        <f t="shared" ref="B32:D32" si="172">SUM(AX32,AT32,AP32,AL32,AH32,AD32,Z32,V32,R32,N32,J32,F32)</f>
        <v>1015</v>
      </c>
      <c r="C32" s="31">
        <f t="shared" si="172"/>
        <v>6015</v>
      </c>
      <c r="D32" s="32">
        <f t="shared" si="172"/>
        <v>6000</v>
      </c>
      <c r="E32" s="33">
        <f t="shared" si="133"/>
        <v>15</v>
      </c>
      <c r="F32" s="34"/>
      <c r="G32" s="31">
        <f t="shared" si="160"/>
        <v>500</v>
      </c>
      <c r="H32" s="35">
        <v>500.0</v>
      </c>
      <c r="I32" s="33">
        <f t="shared" si="135"/>
        <v>0</v>
      </c>
      <c r="J32" s="34"/>
      <c r="K32" s="31">
        <f t="shared" si="161"/>
        <v>500</v>
      </c>
      <c r="L32" s="35">
        <v>500.0</v>
      </c>
      <c r="M32" s="33">
        <f t="shared" si="137"/>
        <v>0</v>
      </c>
      <c r="N32" s="34"/>
      <c r="O32" s="31">
        <f t="shared" si="162"/>
        <v>500</v>
      </c>
      <c r="P32" s="35">
        <v>500.0</v>
      </c>
      <c r="Q32" s="33">
        <f t="shared" si="139"/>
        <v>0</v>
      </c>
      <c r="R32" s="34"/>
      <c r="S32" s="31">
        <f t="shared" si="163"/>
        <v>500</v>
      </c>
      <c r="T32" s="35">
        <v>500.0</v>
      </c>
      <c r="U32" s="33">
        <f t="shared" si="141"/>
        <v>0</v>
      </c>
      <c r="V32" s="34"/>
      <c r="W32" s="31">
        <f t="shared" si="164"/>
        <v>500</v>
      </c>
      <c r="X32" s="35">
        <v>500.0</v>
      </c>
      <c r="Y32" s="33">
        <f t="shared" si="143"/>
        <v>0</v>
      </c>
      <c r="Z32" s="34"/>
      <c r="AA32" s="31">
        <f t="shared" si="165"/>
        <v>500</v>
      </c>
      <c r="AB32" s="35">
        <v>500.0</v>
      </c>
      <c r="AC32" s="33">
        <f t="shared" si="145"/>
        <v>0</v>
      </c>
      <c r="AD32" s="34"/>
      <c r="AE32" s="31">
        <f t="shared" si="166"/>
        <v>500</v>
      </c>
      <c r="AF32" s="35">
        <v>500.0</v>
      </c>
      <c r="AG32" s="33">
        <f t="shared" si="147"/>
        <v>0</v>
      </c>
      <c r="AH32" s="34"/>
      <c r="AI32" s="31">
        <f t="shared" si="167"/>
        <v>500</v>
      </c>
      <c r="AJ32" s="35">
        <v>500.0</v>
      </c>
      <c r="AK32" s="33">
        <f t="shared" si="149"/>
        <v>0</v>
      </c>
      <c r="AL32" s="34"/>
      <c r="AM32" s="31">
        <f t="shared" si="168"/>
        <v>500</v>
      </c>
      <c r="AN32" s="35">
        <v>500.0</v>
      </c>
      <c r="AO32" s="33">
        <f t="shared" si="151"/>
        <v>0</v>
      </c>
      <c r="AP32" s="34"/>
      <c r="AQ32" s="31">
        <f t="shared" si="169"/>
        <v>500</v>
      </c>
      <c r="AR32" s="35">
        <v>500.0</v>
      </c>
      <c r="AS32" s="33">
        <f t="shared" si="153"/>
        <v>0</v>
      </c>
      <c r="AT32" s="34">
        <v>490.0</v>
      </c>
      <c r="AU32" s="31">
        <f t="shared" si="170"/>
        <v>490</v>
      </c>
      <c r="AV32" s="35">
        <v>500.0</v>
      </c>
      <c r="AW32" s="33">
        <f t="shared" si="155"/>
        <v>-10</v>
      </c>
      <c r="AX32" s="34">
        <v>525.0</v>
      </c>
      <c r="AY32" s="31">
        <f t="shared" si="171"/>
        <v>525</v>
      </c>
      <c r="AZ32" s="35">
        <v>500.0</v>
      </c>
      <c r="BA32" s="33">
        <f t="shared" si="157"/>
        <v>25</v>
      </c>
    </row>
    <row r="33" ht="18.0" customHeight="1">
      <c r="A33" s="2" t="s">
        <v>36</v>
      </c>
      <c r="B33" s="30">
        <f t="shared" ref="B33:D33" si="173">SUM(AX33,AT33,AP33,AL33,AH33,AD33,Z33,V33,R33,N33,J33,F33)</f>
        <v>4060</v>
      </c>
      <c r="C33" s="31">
        <f t="shared" si="173"/>
        <v>24060</v>
      </c>
      <c r="D33" s="32">
        <f t="shared" si="173"/>
        <v>24000</v>
      </c>
      <c r="E33" s="33">
        <f t="shared" si="133"/>
        <v>60</v>
      </c>
      <c r="F33" s="34"/>
      <c r="G33" s="31">
        <f t="shared" si="160"/>
        <v>2000</v>
      </c>
      <c r="H33" s="35">
        <v>2000.0</v>
      </c>
      <c r="I33" s="33">
        <f t="shared" si="135"/>
        <v>0</v>
      </c>
      <c r="J33" s="34"/>
      <c r="K33" s="31">
        <f t="shared" si="161"/>
        <v>2000</v>
      </c>
      <c r="L33" s="35">
        <v>2000.0</v>
      </c>
      <c r="M33" s="33">
        <f t="shared" si="137"/>
        <v>0</v>
      </c>
      <c r="N33" s="34"/>
      <c r="O33" s="31">
        <f t="shared" si="162"/>
        <v>2000</v>
      </c>
      <c r="P33" s="35">
        <v>2000.0</v>
      </c>
      <c r="Q33" s="33">
        <f t="shared" si="139"/>
        <v>0</v>
      </c>
      <c r="R33" s="34"/>
      <c r="S33" s="31">
        <f t="shared" si="163"/>
        <v>2000</v>
      </c>
      <c r="T33" s="35">
        <v>2000.0</v>
      </c>
      <c r="U33" s="33">
        <f t="shared" si="141"/>
        <v>0</v>
      </c>
      <c r="V33" s="34"/>
      <c r="W33" s="31">
        <f t="shared" si="164"/>
        <v>2000</v>
      </c>
      <c r="X33" s="35">
        <v>2000.0</v>
      </c>
      <c r="Y33" s="33">
        <f t="shared" si="143"/>
        <v>0</v>
      </c>
      <c r="Z33" s="34"/>
      <c r="AA33" s="31">
        <f t="shared" si="165"/>
        <v>2000</v>
      </c>
      <c r="AB33" s="35">
        <v>2000.0</v>
      </c>
      <c r="AC33" s="33">
        <f t="shared" si="145"/>
        <v>0</v>
      </c>
      <c r="AD33" s="34"/>
      <c r="AE33" s="31">
        <f t="shared" si="166"/>
        <v>2000</v>
      </c>
      <c r="AF33" s="35">
        <v>2000.0</v>
      </c>
      <c r="AG33" s="33">
        <f t="shared" si="147"/>
        <v>0</v>
      </c>
      <c r="AH33" s="34"/>
      <c r="AI33" s="31">
        <f t="shared" si="167"/>
        <v>2000</v>
      </c>
      <c r="AJ33" s="35">
        <v>2000.0</v>
      </c>
      <c r="AK33" s="33">
        <f t="shared" si="149"/>
        <v>0</v>
      </c>
      <c r="AL33" s="34"/>
      <c r="AM33" s="31">
        <f t="shared" si="168"/>
        <v>2000</v>
      </c>
      <c r="AN33" s="35">
        <v>2000.0</v>
      </c>
      <c r="AO33" s="33">
        <f t="shared" si="151"/>
        <v>0</v>
      </c>
      <c r="AP33" s="34"/>
      <c r="AQ33" s="31">
        <f t="shared" si="169"/>
        <v>2000</v>
      </c>
      <c r="AR33" s="35">
        <v>2000.0</v>
      </c>
      <c r="AS33" s="33">
        <f t="shared" si="153"/>
        <v>0</v>
      </c>
      <c r="AT33" s="34">
        <v>1960.0</v>
      </c>
      <c r="AU33" s="31">
        <f t="shared" si="170"/>
        <v>1960</v>
      </c>
      <c r="AV33" s="35">
        <v>2000.0</v>
      </c>
      <c r="AW33" s="33">
        <f t="shared" si="155"/>
        <v>-40</v>
      </c>
      <c r="AX33" s="34">
        <v>2100.0</v>
      </c>
      <c r="AY33" s="31">
        <f t="shared" si="171"/>
        <v>2100</v>
      </c>
      <c r="AZ33" s="35">
        <v>2000.0</v>
      </c>
      <c r="BA33" s="33">
        <f t="shared" si="157"/>
        <v>100</v>
      </c>
    </row>
    <row r="34" ht="18.0" customHeight="1">
      <c r="A34" s="36" t="s">
        <v>37</v>
      </c>
      <c r="B34" s="39">
        <f t="shared" ref="B34:D34" si="174">SUM(AX34,AT34,AP34,AL34,AH34,AD34,Z34,V34,R34,N34,J34,F34)</f>
        <v>34180</v>
      </c>
      <c r="C34" s="39">
        <f t="shared" si="174"/>
        <v>202180</v>
      </c>
      <c r="D34" s="39">
        <f t="shared" si="174"/>
        <v>209000</v>
      </c>
      <c r="E34" s="39">
        <f t="shared" si="133"/>
        <v>-6820</v>
      </c>
      <c r="F34" s="39" t="str">
        <f t="shared" ref="F34:H34" si="175">IF(COUNT(F28:F33)&gt;0,SUM(F28:F33),"")</f>
        <v/>
      </c>
      <c r="G34" s="39">
        <f t="shared" si="175"/>
        <v>18000</v>
      </c>
      <c r="H34" s="39">
        <f t="shared" si="175"/>
        <v>18000</v>
      </c>
      <c r="I34" s="39">
        <f t="shared" si="135"/>
        <v>0</v>
      </c>
      <c r="J34" s="39" t="str">
        <f t="shared" ref="J34:L34" si="176">IF(COUNT(J28:J33)&gt;0,SUM(J28:J33),"")</f>
        <v/>
      </c>
      <c r="K34" s="39">
        <f t="shared" si="176"/>
        <v>18000</v>
      </c>
      <c r="L34" s="39">
        <f t="shared" si="176"/>
        <v>18000</v>
      </c>
      <c r="M34" s="39">
        <f t="shared" si="137"/>
        <v>0</v>
      </c>
      <c r="N34" s="39" t="str">
        <f t="shared" ref="N34:P34" si="177">IF(COUNT(N28:N33)&gt;0,SUM(N28:N33),"")</f>
        <v/>
      </c>
      <c r="O34" s="39">
        <f t="shared" si="177"/>
        <v>18000</v>
      </c>
      <c r="P34" s="39">
        <f t="shared" si="177"/>
        <v>18000</v>
      </c>
      <c r="Q34" s="39">
        <f t="shared" si="139"/>
        <v>0</v>
      </c>
      <c r="R34" s="39" t="str">
        <f t="shared" ref="R34:T34" si="178">IF(COUNT(R28:R33)&gt;0,SUM(R28:R33),"")</f>
        <v/>
      </c>
      <c r="S34" s="39">
        <f t="shared" si="178"/>
        <v>18000</v>
      </c>
      <c r="T34" s="39">
        <f t="shared" si="178"/>
        <v>18000</v>
      </c>
      <c r="U34" s="39">
        <f t="shared" si="141"/>
        <v>0</v>
      </c>
      <c r="V34" s="39" t="str">
        <f t="shared" ref="V34:X34" si="179">IF(COUNT(V28:V33)&gt;0,SUM(V28:V33),"")</f>
        <v/>
      </c>
      <c r="W34" s="39">
        <f t="shared" si="179"/>
        <v>17000</v>
      </c>
      <c r="X34" s="39">
        <f t="shared" si="179"/>
        <v>17000</v>
      </c>
      <c r="Y34" s="39">
        <f t="shared" si="143"/>
        <v>0</v>
      </c>
      <c r="Z34" s="39" t="str">
        <f t="shared" ref="Z34:AB34" si="180">IF(COUNT(Z28:Z33)&gt;0,SUM(Z28:Z33),"")</f>
        <v/>
      </c>
      <c r="AA34" s="39">
        <f t="shared" si="180"/>
        <v>17000</v>
      </c>
      <c r="AB34" s="39">
        <f t="shared" si="180"/>
        <v>17000</v>
      </c>
      <c r="AC34" s="39">
        <f t="shared" si="145"/>
        <v>0</v>
      </c>
      <c r="AD34" s="39" t="str">
        <f t="shared" ref="AD34:AF34" si="181">IF(COUNT(AD28:AD33)&gt;0,SUM(AD28:AD33),"")</f>
        <v/>
      </c>
      <c r="AE34" s="39">
        <f t="shared" si="181"/>
        <v>17000</v>
      </c>
      <c r="AF34" s="39">
        <f t="shared" si="181"/>
        <v>17000</v>
      </c>
      <c r="AG34" s="39">
        <f t="shared" si="147"/>
        <v>0</v>
      </c>
      <c r="AH34" s="39" t="str">
        <f t="shared" ref="AH34:AJ34" si="182">IF(COUNT(AH28:AH33)&gt;0,SUM(AH28:AH33),"")</f>
        <v/>
      </c>
      <c r="AI34" s="39">
        <f t="shared" si="182"/>
        <v>17000</v>
      </c>
      <c r="AJ34" s="39">
        <f t="shared" si="182"/>
        <v>17000</v>
      </c>
      <c r="AK34" s="39">
        <f t="shared" si="149"/>
        <v>0</v>
      </c>
      <c r="AL34" s="39" t="str">
        <f t="shared" ref="AL34:AN34" si="183">IF(COUNT(AL28:AL33)&gt;0,SUM(AL28:AL33),"")</f>
        <v/>
      </c>
      <c r="AM34" s="39">
        <f t="shared" si="183"/>
        <v>14000</v>
      </c>
      <c r="AN34" s="39">
        <f t="shared" si="183"/>
        <v>16000</v>
      </c>
      <c r="AO34" s="39">
        <f t="shared" si="151"/>
        <v>-2000</v>
      </c>
      <c r="AP34" s="39" t="str">
        <f t="shared" ref="AP34:AR34" si="184">IF(COUNT(AP28:AP33)&gt;0,SUM(AP28:AP33),"")</f>
        <v/>
      </c>
      <c r="AQ34" s="39">
        <f t="shared" si="184"/>
        <v>14000</v>
      </c>
      <c r="AR34" s="39">
        <f t="shared" si="184"/>
        <v>16000</v>
      </c>
      <c r="AS34" s="39">
        <f t="shared" si="153"/>
        <v>-2000</v>
      </c>
      <c r="AT34" s="39">
        <f t="shared" ref="AT34:AV34" si="185">IF(COUNT(AT28:AT33)&gt;0,SUM(AT28:AT33),"")</f>
        <v>15880</v>
      </c>
      <c r="AU34" s="39">
        <f t="shared" si="185"/>
        <v>15880</v>
      </c>
      <c r="AV34" s="39">
        <f t="shared" si="185"/>
        <v>16000</v>
      </c>
      <c r="AW34" s="39">
        <f t="shared" si="155"/>
        <v>-120</v>
      </c>
      <c r="AX34" s="39">
        <f t="shared" ref="AX34:AZ34" si="186">IF(COUNT(AX28:AX33)&gt;0,SUM(AX28:AX33),"")</f>
        <v>18300</v>
      </c>
      <c r="AY34" s="39">
        <f t="shared" si="186"/>
        <v>18300</v>
      </c>
      <c r="AZ34" s="39">
        <f t="shared" si="186"/>
        <v>21000</v>
      </c>
      <c r="BA34" s="39">
        <f t="shared" si="157"/>
        <v>-2700</v>
      </c>
    </row>
    <row r="35" ht="18.0" customHeight="1">
      <c r="A35" s="12" t="s">
        <v>38</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row>
    <row r="36" ht="18.0" customHeight="1">
      <c r="A36" s="36" t="s">
        <v>39</v>
      </c>
      <c r="B36" s="39">
        <f t="shared" ref="B36:D36" si="187">SUM(AX36,AT36,AP36,AL36,AH36,AD36,Z36,V36,R36,N36,J36,F36)</f>
        <v>75820</v>
      </c>
      <c r="C36" s="39">
        <f t="shared" si="187"/>
        <v>747820</v>
      </c>
      <c r="D36" s="39">
        <f t="shared" si="187"/>
        <v>887000</v>
      </c>
      <c r="E36" s="39">
        <f>IFERROR(IF(OR(C36="",D36=""),"",C36-D36),"")</f>
        <v>-139180</v>
      </c>
      <c r="F36" s="39" t="str">
        <f t="shared" ref="F36:H36" si="188">IF(COUNT(F26,F34)=2,F26-F34,"")</f>
        <v/>
      </c>
      <c r="G36" s="39">
        <f t="shared" si="188"/>
        <v>78000</v>
      </c>
      <c r="H36" s="39">
        <f t="shared" si="188"/>
        <v>78000</v>
      </c>
      <c r="I36" s="39">
        <f>IFERROR(IF(OR(G36="",H36=""),"",G36-H36),"")</f>
        <v>0</v>
      </c>
      <c r="J36" s="39" t="str">
        <f t="shared" ref="J36:L36" si="189">IF(COUNT(J26,J34)=2,J26-J34,"")</f>
        <v/>
      </c>
      <c r="K36" s="39">
        <f t="shared" si="189"/>
        <v>78000</v>
      </c>
      <c r="L36" s="39">
        <f t="shared" si="189"/>
        <v>78000</v>
      </c>
      <c r="M36" s="39">
        <f>IFERROR(IF(OR(K36="",L36=""),"",K36-L36),"")</f>
        <v>0</v>
      </c>
      <c r="N36" s="39" t="str">
        <f t="shared" ref="N36:P36" si="190">IF(COUNT(N26,N34)=2,N26-N34,"")</f>
        <v/>
      </c>
      <c r="O36" s="39">
        <f t="shared" si="190"/>
        <v>78000</v>
      </c>
      <c r="P36" s="39">
        <f t="shared" si="190"/>
        <v>78000</v>
      </c>
      <c r="Q36" s="39">
        <f>IFERROR(IF(OR(O36="",P36=""),"",O36-P36),"")</f>
        <v>0</v>
      </c>
      <c r="R36" s="39" t="str">
        <f t="shared" ref="R36:T36" si="191">IF(COUNT(R26,R34)=2,R26-R34,"")</f>
        <v/>
      </c>
      <c r="S36" s="39">
        <f t="shared" si="191"/>
        <v>78000</v>
      </c>
      <c r="T36" s="39">
        <f t="shared" si="191"/>
        <v>78000</v>
      </c>
      <c r="U36" s="39">
        <f>IFERROR(IF(OR(S36="",T36=""),"",S36-T36),"")</f>
        <v>0</v>
      </c>
      <c r="V36" s="39" t="str">
        <f t="shared" ref="V36:X36" si="192">IF(COUNT(V26,V34)=2,V26-V34,"")</f>
        <v/>
      </c>
      <c r="W36" s="39">
        <f t="shared" si="192"/>
        <v>71000</v>
      </c>
      <c r="X36" s="39">
        <f t="shared" si="192"/>
        <v>71000</v>
      </c>
      <c r="Y36" s="39">
        <f>IFERROR(IF(OR(W36="",X36=""),"",W36-X36),"")</f>
        <v>0</v>
      </c>
      <c r="Z36" s="39" t="str">
        <f t="shared" ref="Z36:AB36" si="193">IF(COUNT(Z26,Z34)=2,Z26-Z34,"")</f>
        <v/>
      </c>
      <c r="AA36" s="39">
        <f t="shared" si="193"/>
        <v>71000</v>
      </c>
      <c r="AB36" s="39">
        <f t="shared" si="193"/>
        <v>71000</v>
      </c>
      <c r="AC36" s="39">
        <f>IFERROR(IF(OR(AA36="",AB36=""),"",AA36-AB36),"")</f>
        <v>0</v>
      </c>
      <c r="AD36" s="39" t="str">
        <f t="shared" ref="AD36:AF36" si="194">IF(COUNT(AD26,AD34)=2,AD26-AD34,"")</f>
        <v/>
      </c>
      <c r="AE36" s="39">
        <f t="shared" si="194"/>
        <v>71000</v>
      </c>
      <c r="AF36" s="39">
        <f t="shared" si="194"/>
        <v>71000</v>
      </c>
      <c r="AG36" s="39">
        <f>IFERROR(IF(OR(AE36="",AF36=""),"",AE36-AF36),"")</f>
        <v>0</v>
      </c>
      <c r="AH36" s="39" t="str">
        <f t="shared" ref="AH36:AJ36" si="195">IF(COUNT(AH26,AH34)=2,AH26-AH34,"")</f>
        <v/>
      </c>
      <c r="AI36" s="39">
        <f t="shared" si="195"/>
        <v>71000</v>
      </c>
      <c r="AJ36" s="39">
        <f t="shared" si="195"/>
        <v>71000</v>
      </c>
      <c r="AK36" s="39">
        <f>IFERROR(IF(OR(AI36="",AJ36=""),"",AI36-AJ36),"")</f>
        <v>0</v>
      </c>
      <c r="AL36" s="39" t="str">
        <f t="shared" ref="AL36:AN36" si="196">IF(COUNT(AL26,AL34)=2,AL26-AL34,"")</f>
        <v/>
      </c>
      <c r="AM36" s="39">
        <f t="shared" si="196"/>
        <v>50000</v>
      </c>
      <c r="AN36" s="39">
        <f t="shared" si="196"/>
        <v>64000</v>
      </c>
      <c r="AO36" s="39">
        <f>IFERROR(IF(OR(AM36="",AN36=""),"",AM36-AN36),"")</f>
        <v>-14000</v>
      </c>
      <c r="AP36" s="39" t="str">
        <f t="shared" ref="AP36:AR36" si="197">IF(COUNT(AP26,AP34)=2,AP26-AP34,"")</f>
        <v/>
      </c>
      <c r="AQ36" s="39">
        <f t="shared" si="197"/>
        <v>26000</v>
      </c>
      <c r="AR36" s="39">
        <f t="shared" si="197"/>
        <v>64000</v>
      </c>
      <c r="AS36" s="39">
        <f>IFERROR(IF(OR(AQ36="",AR36=""),"",AQ36-AR36),"")</f>
        <v>-38000</v>
      </c>
      <c r="AT36" s="39">
        <f t="shared" ref="AT36:AV36" si="198">IF(COUNT(AT26,AT34)=2,AT26-AT34,"")</f>
        <v>34120</v>
      </c>
      <c r="AU36" s="39">
        <f t="shared" si="198"/>
        <v>34120</v>
      </c>
      <c r="AV36" s="39">
        <f t="shared" si="198"/>
        <v>64000</v>
      </c>
      <c r="AW36" s="39">
        <f>IFERROR(IF(OR(AU36="",AV36=""),"",AU36-AV36),"")</f>
        <v>-29880</v>
      </c>
      <c r="AX36" s="39">
        <f t="shared" ref="AX36:AZ36" si="199">IF(COUNT(AX26,AX34)=2,AX26-AX34,"")</f>
        <v>41700</v>
      </c>
      <c r="AY36" s="39">
        <f t="shared" si="199"/>
        <v>41700</v>
      </c>
      <c r="AZ36" s="39">
        <f t="shared" si="199"/>
        <v>99000</v>
      </c>
      <c r="BA36" s="39">
        <f>IFERROR(IF(OR(AY36="",AZ36=""),"",AY36-AZ36),"")</f>
        <v>-57300</v>
      </c>
    </row>
    <row r="37" ht="18.0" customHeight="1">
      <c r="A37" s="12" t="s">
        <v>40</v>
      </c>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row>
    <row r="38" ht="18.0" customHeight="1">
      <c r="A38" s="2" t="s">
        <v>41</v>
      </c>
      <c r="B38" s="30">
        <f t="shared" ref="B38:D38" si="200">SUM(AX38,AT38,AP38,AL38,AH38,AD38,Z38,V38,R38,N38,J38,F38)</f>
        <v>86275</v>
      </c>
      <c r="C38" s="31">
        <f t="shared" si="200"/>
        <v>511275</v>
      </c>
      <c r="D38" s="32">
        <f t="shared" si="200"/>
        <v>510000</v>
      </c>
      <c r="E38" s="33">
        <f t="shared" ref="E38:E53" si="202">IFERROR(IF(OR(C38="",D38=""),"",C38-D38),"")</f>
        <v>1275</v>
      </c>
      <c r="F38" s="34"/>
      <c r="G38" s="31">
        <f t="shared" ref="G38:G52" si="203">IF(F$98=1,F38,H38)</f>
        <v>42500</v>
      </c>
      <c r="H38" s="35">
        <v>42500.0</v>
      </c>
      <c r="I38" s="33">
        <f t="shared" ref="I38:I53" si="204">IFERROR(IF(OR(G38="",H38=""),"",G38-H38),"")</f>
        <v>0</v>
      </c>
      <c r="J38" s="34"/>
      <c r="K38" s="31">
        <f t="shared" ref="K38:K52" si="205">IF(J$98=1,J38,L38)</f>
        <v>42500</v>
      </c>
      <c r="L38" s="35">
        <v>42500.0</v>
      </c>
      <c r="M38" s="33">
        <f t="shared" ref="M38:M53" si="206">IFERROR(IF(OR(K38="",L38=""),"",K38-L38),"")</f>
        <v>0</v>
      </c>
      <c r="N38" s="34"/>
      <c r="O38" s="31">
        <f t="shared" ref="O38:O52" si="207">IF(N$98=1,N38,P38)</f>
        <v>42500</v>
      </c>
      <c r="P38" s="35">
        <v>42500.0</v>
      </c>
      <c r="Q38" s="33">
        <f t="shared" ref="Q38:Q53" si="208">IFERROR(IF(OR(O38="",P38=""),"",O38-P38),"")</f>
        <v>0</v>
      </c>
      <c r="R38" s="34"/>
      <c r="S38" s="31">
        <f t="shared" ref="S38:S52" si="209">IF(R$98=1,R38,T38)</f>
        <v>42500</v>
      </c>
      <c r="T38" s="35">
        <v>42500.0</v>
      </c>
      <c r="U38" s="33">
        <f t="shared" ref="U38:U53" si="210">IFERROR(IF(OR(S38="",T38=""),"",S38-T38),"")</f>
        <v>0</v>
      </c>
      <c r="V38" s="34"/>
      <c r="W38" s="31">
        <f t="shared" ref="W38:W52" si="211">IF(V$98=1,V38,X38)</f>
        <v>42500</v>
      </c>
      <c r="X38" s="35">
        <v>42500.0</v>
      </c>
      <c r="Y38" s="33">
        <f t="shared" ref="Y38:Y53" si="212">IFERROR(IF(OR(W38="",X38=""),"",W38-X38),"")</f>
        <v>0</v>
      </c>
      <c r="Z38" s="34"/>
      <c r="AA38" s="31">
        <f t="shared" ref="AA38:AA52" si="213">IF(Z$98=1,Z38,AB38)</f>
        <v>42500</v>
      </c>
      <c r="AB38" s="35">
        <v>42500.0</v>
      </c>
      <c r="AC38" s="33">
        <f t="shared" ref="AC38:AC53" si="214">IFERROR(IF(OR(AA38="",AB38=""),"",AA38-AB38),"")</f>
        <v>0</v>
      </c>
      <c r="AD38" s="34"/>
      <c r="AE38" s="31">
        <f t="shared" ref="AE38:AE52" si="215">IF(AD$98=1,AD38,AF38)</f>
        <v>42500</v>
      </c>
      <c r="AF38" s="35">
        <v>42500.0</v>
      </c>
      <c r="AG38" s="33">
        <f t="shared" ref="AG38:AG53" si="216">IFERROR(IF(OR(AE38="",AF38=""),"",AE38-AF38),"")</f>
        <v>0</v>
      </c>
      <c r="AH38" s="34"/>
      <c r="AI38" s="31">
        <f t="shared" ref="AI38:AI52" si="217">IF(AH$98=1,AH38,AJ38)</f>
        <v>42500</v>
      </c>
      <c r="AJ38" s="35">
        <v>42500.0</v>
      </c>
      <c r="AK38" s="33">
        <f t="shared" ref="AK38:AK53" si="218">IFERROR(IF(OR(AI38="",AJ38=""),"",AI38-AJ38),"")</f>
        <v>0</v>
      </c>
      <c r="AL38" s="34"/>
      <c r="AM38" s="31">
        <f t="shared" ref="AM38:AM52" si="219">IF(AL$98=1,AL38,AN38)</f>
        <v>42500</v>
      </c>
      <c r="AN38" s="35">
        <v>42500.0</v>
      </c>
      <c r="AO38" s="33">
        <f t="shared" ref="AO38:AO53" si="220">IFERROR(IF(OR(AM38="",AN38=""),"",AM38-AN38),"")</f>
        <v>0</v>
      </c>
      <c r="AP38" s="34"/>
      <c r="AQ38" s="31">
        <f t="shared" ref="AQ38:AQ52" si="221">IF(AP$98=1,AP38,AR38)</f>
        <v>42500</v>
      </c>
      <c r="AR38" s="35">
        <v>42500.0</v>
      </c>
      <c r="AS38" s="33">
        <f t="shared" ref="AS38:AS53" si="222">IFERROR(IF(OR(AQ38="",AR38=""),"",AQ38-AR38),"")</f>
        <v>0</v>
      </c>
      <c r="AT38" s="34">
        <v>41650.0</v>
      </c>
      <c r="AU38" s="31">
        <f t="shared" ref="AU38:AU52" si="223">IF(AT$98=1,AT38,AV38)</f>
        <v>41650</v>
      </c>
      <c r="AV38" s="35">
        <v>42500.0</v>
      </c>
      <c r="AW38" s="33">
        <f t="shared" ref="AW38:AW53" si="224">IFERROR(IF(OR(AU38="",AV38=""),"",AU38-AV38),"")</f>
        <v>-850</v>
      </c>
      <c r="AX38" s="34">
        <v>44625.0</v>
      </c>
      <c r="AY38" s="31">
        <f t="shared" ref="AY38:AY52" si="225">IF(AX$98=1,AX38,AZ38)</f>
        <v>44625</v>
      </c>
      <c r="AZ38" s="35">
        <v>42500.0</v>
      </c>
      <c r="BA38" s="33">
        <f t="shared" ref="BA38:BA53" si="226">IFERROR(IF(OR(AY38="",AZ38=""),"",AY38-AZ38),"")</f>
        <v>2125</v>
      </c>
    </row>
    <row r="39" ht="18.0" customHeight="1">
      <c r="A39" s="2" t="s">
        <v>42</v>
      </c>
      <c r="B39" s="30">
        <f t="shared" ref="B39:D39" si="201">SUM(AX39,AT39,AP39,AL39,AH39,AD39,Z39,V39,R39,N39,J39,F39)</f>
        <v>7105</v>
      </c>
      <c r="C39" s="31">
        <f t="shared" si="201"/>
        <v>42105</v>
      </c>
      <c r="D39" s="32">
        <f t="shared" si="201"/>
        <v>42000</v>
      </c>
      <c r="E39" s="33">
        <f t="shared" si="202"/>
        <v>105</v>
      </c>
      <c r="F39" s="34"/>
      <c r="G39" s="31">
        <f t="shared" si="203"/>
        <v>3500</v>
      </c>
      <c r="H39" s="35">
        <v>3500.0</v>
      </c>
      <c r="I39" s="33">
        <f t="shared" si="204"/>
        <v>0</v>
      </c>
      <c r="J39" s="34"/>
      <c r="K39" s="31">
        <f t="shared" si="205"/>
        <v>3500</v>
      </c>
      <c r="L39" s="35">
        <v>3500.0</v>
      </c>
      <c r="M39" s="33">
        <f t="shared" si="206"/>
        <v>0</v>
      </c>
      <c r="N39" s="34"/>
      <c r="O39" s="31">
        <f t="shared" si="207"/>
        <v>3500</v>
      </c>
      <c r="P39" s="35">
        <v>3500.0</v>
      </c>
      <c r="Q39" s="33">
        <f t="shared" si="208"/>
        <v>0</v>
      </c>
      <c r="R39" s="34"/>
      <c r="S39" s="31">
        <f t="shared" si="209"/>
        <v>3500</v>
      </c>
      <c r="T39" s="35">
        <v>3500.0</v>
      </c>
      <c r="U39" s="33">
        <f t="shared" si="210"/>
        <v>0</v>
      </c>
      <c r="V39" s="34"/>
      <c r="W39" s="31">
        <f t="shared" si="211"/>
        <v>3500</v>
      </c>
      <c r="X39" s="35">
        <v>3500.0</v>
      </c>
      <c r="Y39" s="33">
        <f t="shared" si="212"/>
        <v>0</v>
      </c>
      <c r="Z39" s="34"/>
      <c r="AA39" s="31">
        <f t="shared" si="213"/>
        <v>3500</v>
      </c>
      <c r="AB39" s="35">
        <v>3500.0</v>
      </c>
      <c r="AC39" s="33">
        <f t="shared" si="214"/>
        <v>0</v>
      </c>
      <c r="AD39" s="34"/>
      <c r="AE39" s="31">
        <f t="shared" si="215"/>
        <v>3500</v>
      </c>
      <c r="AF39" s="35">
        <v>3500.0</v>
      </c>
      <c r="AG39" s="33">
        <f t="shared" si="216"/>
        <v>0</v>
      </c>
      <c r="AH39" s="34"/>
      <c r="AI39" s="31">
        <f t="shared" si="217"/>
        <v>3500</v>
      </c>
      <c r="AJ39" s="35">
        <v>3500.0</v>
      </c>
      <c r="AK39" s="33">
        <f t="shared" si="218"/>
        <v>0</v>
      </c>
      <c r="AL39" s="34"/>
      <c r="AM39" s="31">
        <f t="shared" si="219"/>
        <v>3500</v>
      </c>
      <c r="AN39" s="35">
        <v>3500.0</v>
      </c>
      <c r="AO39" s="33">
        <f t="shared" si="220"/>
        <v>0</v>
      </c>
      <c r="AP39" s="34"/>
      <c r="AQ39" s="31">
        <f t="shared" si="221"/>
        <v>3500</v>
      </c>
      <c r="AR39" s="35">
        <v>3500.0</v>
      </c>
      <c r="AS39" s="33">
        <f t="shared" si="222"/>
        <v>0</v>
      </c>
      <c r="AT39" s="34">
        <v>3430.0</v>
      </c>
      <c r="AU39" s="31">
        <f t="shared" si="223"/>
        <v>3430</v>
      </c>
      <c r="AV39" s="35">
        <v>3500.0</v>
      </c>
      <c r="AW39" s="33">
        <f t="shared" si="224"/>
        <v>-70</v>
      </c>
      <c r="AX39" s="34">
        <v>3675.0</v>
      </c>
      <c r="AY39" s="31">
        <f t="shared" si="225"/>
        <v>3675</v>
      </c>
      <c r="AZ39" s="35">
        <v>3500.0</v>
      </c>
      <c r="BA39" s="33">
        <f t="shared" si="226"/>
        <v>175</v>
      </c>
    </row>
    <row r="40" ht="18.0" customHeight="1">
      <c r="A40" s="2" t="s">
        <v>43</v>
      </c>
      <c r="B40" s="30">
        <f t="shared" ref="B40:D40" si="227">SUM(AX40,AT40,AP40,AL40,AH40,AD40,Z40,V40,R40,N40,J40,F40)</f>
        <v>0</v>
      </c>
      <c r="C40" s="31">
        <f t="shared" si="227"/>
        <v>0</v>
      </c>
      <c r="D40" s="32">
        <f t="shared" si="227"/>
        <v>0</v>
      </c>
      <c r="E40" s="33">
        <f t="shared" si="202"/>
        <v>0</v>
      </c>
      <c r="F40" s="34"/>
      <c r="G40" s="31">
        <f t="shared" si="203"/>
        <v>0</v>
      </c>
      <c r="H40" s="35">
        <v>0.0</v>
      </c>
      <c r="I40" s="33">
        <f t="shared" si="204"/>
        <v>0</v>
      </c>
      <c r="J40" s="34"/>
      <c r="K40" s="31">
        <f t="shared" si="205"/>
        <v>0</v>
      </c>
      <c r="L40" s="35">
        <v>0.0</v>
      </c>
      <c r="M40" s="33">
        <f t="shared" si="206"/>
        <v>0</v>
      </c>
      <c r="N40" s="34"/>
      <c r="O40" s="31">
        <f t="shared" si="207"/>
        <v>0</v>
      </c>
      <c r="P40" s="35">
        <v>0.0</v>
      </c>
      <c r="Q40" s="33">
        <f t="shared" si="208"/>
        <v>0</v>
      </c>
      <c r="R40" s="34"/>
      <c r="S40" s="31">
        <f t="shared" si="209"/>
        <v>0</v>
      </c>
      <c r="T40" s="35">
        <v>0.0</v>
      </c>
      <c r="U40" s="33">
        <f t="shared" si="210"/>
        <v>0</v>
      </c>
      <c r="V40" s="34"/>
      <c r="W40" s="31">
        <f t="shared" si="211"/>
        <v>0</v>
      </c>
      <c r="X40" s="35">
        <v>0.0</v>
      </c>
      <c r="Y40" s="33">
        <f t="shared" si="212"/>
        <v>0</v>
      </c>
      <c r="Z40" s="34"/>
      <c r="AA40" s="31">
        <f t="shared" si="213"/>
        <v>0</v>
      </c>
      <c r="AB40" s="35">
        <v>0.0</v>
      </c>
      <c r="AC40" s="33">
        <f t="shared" si="214"/>
        <v>0</v>
      </c>
      <c r="AD40" s="34"/>
      <c r="AE40" s="31">
        <f t="shared" si="215"/>
        <v>0</v>
      </c>
      <c r="AF40" s="35">
        <v>0.0</v>
      </c>
      <c r="AG40" s="33">
        <f t="shared" si="216"/>
        <v>0</v>
      </c>
      <c r="AH40" s="34"/>
      <c r="AI40" s="31">
        <f t="shared" si="217"/>
        <v>0</v>
      </c>
      <c r="AJ40" s="35">
        <v>0.0</v>
      </c>
      <c r="AK40" s="33">
        <f t="shared" si="218"/>
        <v>0</v>
      </c>
      <c r="AL40" s="34"/>
      <c r="AM40" s="31">
        <f t="shared" si="219"/>
        <v>0</v>
      </c>
      <c r="AN40" s="35">
        <v>0.0</v>
      </c>
      <c r="AO40" s="33">
        <f t="shared" si="220"/>
        <v>0</v>
      </c>
      <c r="AP40" s="34"/>
      <c r="AQ40" s="31">
        <f t="shared" si="221"/>
        <v>0</v>
      </c>
      <c r="AR40" s="35">
        <v>0.0</v>
      </c>
      <c r="AS40" s="33">
        <f t="shared" si="222"/>
        <v>0</v>
      </c>
      <c r="AT40" s="34">
        <v>0.0</v>
      </c>
      <c r="AU40" s="31">
        <f t="shared" si="223"/>
        <v>0</v>
      </c>
      <c r="AV40" s="35">
        <v>0.0</v>
      </c>
      <c r="AW40" s="33">
        <f t="shared" si="224"/>
        <v>0</v>
      </c>
      <c r="AX40" s="34">
        <v>0.0</v>
      </c>
      <c r="AY40" s="31">
        <f t="shared" si="225"/>
        <v>0</v>
      </c>
      <c r="AZ40" s="35">
        <v>0.0</v>
      </c>
      <c r="BA40" s="33">
        <f t="shared" si="226"/>
        <v>0</v>
      </c>
    </row>
    <row r="41" ht="18.0" customHeight="1">
      <c r="A41" s="2" t="s">
        <v>44</v>
      </c>
      <c r="B41" s="30">
        <f t="shared" ref="B41:D41" si="228">SUM(AX41,AT41,AP41,AL41,AH41,AD41,Z41,V41,R41,N41,J41,F41)</f>
        <v>2538</v>
      </c>
      <c r="C41" s="31">
        <f t="shared" si="228"/>
        <v>15038</v>
      </c>
      <c r="D41" s="32">
        <f t="shared" si="228"/>
        <v>15000</v>
      </c>
      <c r="E41" s="33">
        <f t="shared" si="202"/>
        <v>38</v>
      </c>
      <c r="F41" s="34"/>
      <c r="G41" s="31">
        <f t="shared" si="203"/>
        <v>1250</v>
      </c>
      <c r="H41" s="35">
        <v>1250.0</v>
      </c>
      <c r="I41" s="33">
        <f t="shared" si="204"/>
        <v>0</v>
      </c>
      <c r="J41" s="34"/>
      <c r="K41" s="31">
        <f t="shared" si="205"/>
        <v>1250</v>
      </c>
      <c r="L41" s="35">
        <v>1250.0</v>
      </c>
      <c r="M41" s="33">
        <f t="shared" si="206"/>
        <v>0</v>
      </c>
      <c r="N41" s="34"/>
      <c r="O41" s="31">
        <f t="shared" si="207"/>
        <v>1250</v>
      </c>
      <c r="P41" s="35">
        <v>1250.0</v>
      </c>
      <c r="Q41" s="33">
        <f t="shared" si="208"/>
        <v>0</v>
      </c>
      <c r="R41" s="34"/>
      <c r="S41" s="31">
        <f t="shared" si="209"/>
        <v>1250</v>
      </c>
      <c r="T41" s="35">
        <v>1250.0</v>
      </c>
      <c r="U41" s="33">
        <f t="shared" si="210"/>
        <v>0</v>
      </c>
      <c r="V41" s="34"/>
      <c r="W41" s="31">
        <f t="shared" si="211"/>
        <v>1250</v>
      </c>
      <c r="X41" s="35">
        <v>1250.0</v>
      </c>
      <c r="Y41" s="33">
        <f t="shared" si="212"/>
        <v>0</v>
      </c>
      <c r="Z41" s="34"/>
      <c r="AA41" s="31">
        <f t="shared" si="213"/>
        <v>1250</v>
      </c>
      <c r="AB41" s="35">
        <v>1250.0</v>
      </c>
      <c r="AC41" s="33">
        <f t="shared" si="214"/>
        <v>0</v>
      </c>
      <c r="AD41" s="34"/>
      <c r="AE41" s="31">
        <f t="shared" si="215"/>
        <v>1250</v>
      </c>
      <c r="AF41" s="35">
        <v>1250.0</v>
      </c>
      <c r="AG41" s="33">
        <f t="shared" si="216"/>
        <v>0</v>
      </c>
      <c r="AH41" s="34"/>
      <c r="AI41" s="31">
        <f t="shared" si="217"/>
        <v>1250</v>
      </c>
      <c r="AJ41" s="35">
        <v>1250.0</v>
      </c>
      <c r="AK41" s="33">
        <f t="shared" si="218"/>
        <v>0</v>
      </c>
      <c r="AL41" s="34"/>
      <c r="AM41" s="31">
        <f t="shared" si="219"/>
        <v>1250</v>
      </c>
      <c r="AN41" s="35">
        <v>1250.0</v>
      </c>
      <c r="AO41" s="33">
        <f t="shared" si="220"/>
        <v>0</v>
      </c>
      <c r="AP41" s="34"/>
      <c r="AQ41" s="31">
        <f t="shared" si="221"/>
        <v>1250</v>
      </c>
      <c r="AR41" s="35">
        <v>1250.0</v>
      </c>
      <c r="AS41" s="33">
        <f t="shared" si="222"/>
        <v>0</v>
      </c>
      <c r="AT41" s="34">
        <v>1225.0</v>
      </c>
      <c r="AU41" s="31">
        <f t="shared" si="223"/>
        <v>1225</v>
      </c>
      <c r="AV41" s="35">
        <v>1250.0</v>
      </c>
      <c r="AW41" s="33">
        <f t="shared" si="224"/>
        <v>-25</v>
      </c>
      <c r="AX41" s="34">
        <v>1313.0</v>
      </c>
      <c r="AY41" s="31">
        <f t="shared" si="225"/>
        <v>1313</v>
      </c>
      <c r="AZ41" s="35">
        <v>1250.0</v>
      </c>
      <c r="BA41" s="33">
        <f t="shared" si="226"/>
        <v>63</v>
      </c>
    </row>
    <row r="42" ht="18.0" customHeight="1">
      <c r="A42" s="2" t="s">
        <v>45</v>
      </c>
      <c r="B42" s="30">
        <f t="shared" ref="B42:D42" si="229">SUM(AX42,AT42,AP42,AL42,AH42,AD42,Z42,V42,R42,N42,J42,F42)</f>
        <v>10252</v>
      </c>
      <c r="C42" s="31">
        <f t="shared" si="229"/>
        <v>60752</v>
      </c>
      <c r="D42" s="32">
        <f t="shared" si="229"/>
        <v>60600</v>
      </c>
      <c r="E42" s="33">
        <f t="shared" si="202"/>
        <v>152</v>
      </c>
      <c r="F42" s="34"/>
      <c r="G42" s="31">
        <f t="shared" si="203"/>
        <v>5050</v>
      </c>
      <c r="H42" s="35">
        <v>5050.0</v>
      </c>
      <c r="I42" s="33">
        <f t="shared" si="204"/>
        <v>0</v>
      </c>
      <c r="J42" s="34"/>
      <c r="K42" s="31">
        <f t="shared" si="205"/>
        <v>5050</v>
      </c>
      <c r="L42" s="35">
        <v>5050.0</v>
      </c>
      <c r="M42" s="33">
        <f t="shared" si="206"/>
        <v>0</v>
      </c>
      <c r="N42" s="34"/>
      <c r="O42" s="31">
        <f t="shared" si="207"/>
        <v>5050</v>
      </c>
      <c r="P42" s="35">
        <v>5050.0</v>
      </c>
      <c r="Q42" s="33">
        <f t="shared" si="208"/>
        <v>0</v>
      </c>
      <c r="R42" s="34"/>
      <c r="S42" s="31">
        <f t="shared" si="209"/>
        <v>5050</v>
      </c>
      <c r="T42" s="35">
        <v>5050.0</v>
      </c>
      <c r="U42" s="33">
        <f t="shared" si="210"/>
        <v>0</v>
      </c>
      <c r="V42" s="34"/>
      <c r="W42" s="31">
        <f t="shared" si="211"/>
        <v>5050</v>
      </c>
      <c r="X42" s="35">
        <v>5050.0</v>
      </c>
      <c r="Y42" s="33">
        <f t="shared" si="212"/>
        <v>0</v>
      </c>
      <c r="Z42" s="34"/>
      <c r="AA42" s="31">
        <f t="shared" si="213"/>
        <v>5050</v>
      </c>
      <c r="AB42" s="35">
        <v>5050.0</v>
      </c>
      <c r="AC42" s="33">
        <f t="shared" si="214"/>
        <v>0</v>
      </c>
      <c r="AD42" s="34"/>
      <c r="AE42" s="31">
        <f t="shared" si="215"/>
        <v>5050</v>
      </c>
      <c r="AF42" s="35">
        <v>5050.0</v>
      </c>
      <c r="AG42" s="33">
        <f t="shared" si="216"/>
        <v>0</v>
      </c>
      <c r="AH42" s="34"/>
      <c r="AI42" s="31">
        <f t="shared" si="217"/>
        <v>5050</v>
      </c>
      <c r="AJ42" s="35">
        <v>5050.0</v>
      </c>
      <c r="AK42" s="33">
        <f t="shared" si="218"/>
        <v>0</v>
      </c>
      <c r="AL42" s="34"/>
      <c r="AM42" s="31">
        <f t="shared" si="219"/>
        <v>5050</v>
      </c>
      <c r="AN42" s="35">
        <v>5050.0</v>
      </c>
      <c r="AO42" s="33">
        <f t="shared" si="220"/>
        <v>0</v>
      </c>
      <c r="AP42" s="34"/>
      <c r="AQ42" s="31">
        <f t="shared" si="221"/>
        <v>5050</v>
      </c>
      <c r="AR42" s="35">
        <v>5050.0</v>
      </c>
      <c r="AS42" s="33">
        <f t="shared" si="222"/>
        <v>0</v>
      </c>
      <c r="AT42" s="34">
        <v>4949.0</v>
      </c>
      <c r="AU42" s="31">
        <f t="shared" si="223"/>
        <v>4949</v>
      </c>
      <c r="AV42" s="35">
        <v>5050.0</v>
      </c>
      <c r="AW42" s="33">
        <f t="shared" si="224"/>
        <v>-101</v>
      </c>
      <c r="AX42" s="34">
        <v>5303.0</v>
      </c>
      <c r="AY42" s="31">
        <f t="shared" si="225"/>
        <v>5303</v>
      </c>
      <c r="AZ42" s="35">
        <v>5050.0</v>
      </c>
      <c r="BA42" s="33">
        <f t="shared" si="226"/>
        <v>253</v>
      </c>
    </row>
    <row r="43" ht="18.0" customHeight="1">
      <c r="A43" s="2" t="s">
        <v>46</v>
      </c>
      <c r="B43" s="30">
        <f t="shared" ref="B43:D43" si="230">SUM(AX43,AT43,AP43,AL43,AH43,AD43,Z43,V43,R43,N43,J43,F43)</f>
        <v>609</v>
      </c>
      <c r="C43" s="31">
        <f t="shared" si="230"/>
        <v>3609</v>
      </c>
      <c r="D43" s="32">
        <f t="shared" si="230"/>
        <v>3600</v>
      </c>
      <c r="E43" s="33">
        <f t="shared" si="202"/>
        <v>9</v>
      </c>
      <c r="F43" s="34"/>
      <c r="G43" s="31">
        <f t="shared" si="203"/>
        <v>300</v>
      </c>
      <c r="H43" s="35">
        <v>300.0</v>
      </c>
      <c r="I43" s="33">
        <f t="shared" si="204"/>
        <v>0</v>
      </c>
      <c r="J43" s="34"/>
      <c r="K43" s="31">
        <f t="shared" si="205"/>
        <v>300</v>
      </c>
      <c r="L43" s="35">
        <v>300.0</v>
      </c>
      <c r="M43" s="33">
        <f t="shared" si="206"/>
        <v>0</v>
      </c>
      <c r="N43" s="34"/>
      <c r="O43" s="31">
        <f t="shared" si="207"/>
        <v>300</v>
      </c>
      <c r="P43" s="35">
        <v>300.0</v>
      </c>
      <c r="Q43" s="33">
        <f t="shared" si="208"/>
        <v>0</v>
      </c>
      <c r="R43" s="34"/>
      <c r="S43" s="31">
        <f t="shared" si="209"/>
        <v>300</v>
      </c>
      <c r="T43" s="35">
        <v>300.0</v>
      </c>
      <c r="U43" s="33">
        <f t="shared" si="210"/>
        <v>0</v>
      </c>
      <c r="V43" s="34"/>
      <c r="W43" s="31">
        <f t="shared" si="211"/>
        <v>300</v>
      </c>
      <c r="X43" s="35">
        <v>300.0</v>
      </c>
      <c r="Y43" s="33">
        <f t="shared" si="212"/>
        <v>0</v>
      </c>
      <c r="Z43" s="34"/>
      <c r="AA43" s="31">
        <f t="shared" si="213"/>
        <v>300</v>
      </c>
      <c r="AB43" s="35">
        <v>300.0</v>
      </c>
      <c r="AC43" s="33">
        <f t="shared" si="214"/>
        <v>0</v>
      </c>
      <c r="AD43" s="34"/>
      <c r="AE43" s="31">
        <f t="shared" si="215"/>
        <v>300</v>
      </c>
      <c r="AF43" s="35">
        <v>300.0</v>
      </c>
      <c r="AG43" s="33">
        <f t="shared" si="216"/>
        <v>0</v>
      </c>
      <c r="AH43" s="34"/>
      <c r="AI43" s="31">
        <f t="shared" si="217"/>
        <v>300</v>
      </c>
      <c r="AJ43" s="35">
        <v>300.0</v>
      </c>
      <c r="AK43" s="33">
        <f t="shared" si="218"/>
        <v>0</v>
      </c>
      <c r="AL43" s="34"/>
      <c r="AM43" s="31">
        <f t="shared" si="219"/>
        <v>300</v>
      </c>
      <c r="AN43" s="35">
        <v>300.0</v>
      </c>
      <c r="AO43" s="33">
        <f t="shared" si="220"/>
        <v>0</v>
      </c>
      <c r="AP43" s="34"/>
      <c r="AQ43" s="31">
        <f t="shared" si="221"/>
        <v>300</v>
      </c>
      <c r="AR43" s="35">
        <v>300.0</v>
      </c>
      <c r="AS43" s="33">
        <f t="shared" si="222"/>
        <v>0</v>
      </c>
      <c r="AT43" s="34">
        <v>294.0</v>
      </c>
      <c r="AU43" s="31">
        <f t="shared" si="223"/>
        <v>294</v>
      </c>
      <c r="AV43" s="35">
        <v>300.0</v>
      </c>
      <c r="AW43" s="33">
        <f t="shared" si="224"/>
        <v>-6</v>
      </c>
      <c r="AX43" s="34">
        <v>315.0</v>
      </c>
      <c r="AY43" s="31">
        <f t="shared" si="225"/>
        <v>315</v>
      </c>
      <c r="AZ43" s="35">
        <v>300.0</v>
      </c>
      <c r="BA43" s="33">
        <f t="shared" si="226"/>
        <v>15</v>
      </c>
    </row>
    <row r="44" ht="18.0" customHeight="1">
      <c r="A44" s="2" t="s">
        <v>47</v>
      </c>
      <c r="B44" s="30">
        <f t="shared" ref="B44:D44" si="231">SUM(AX44,AT44,AP44,AL44,AH44,AD44,Z44,V44,R44,N44,J44,F44)</f>
        <v>2233</v>
      </c>
      <c r="C44" s="31">
        <f t="shared" si="231"/>
        <v>13233</v>
      </c>
      <c r="D44" s="32">
        <f t="shared" si="231"/>
        <v>13200</v>
      </c>
      <c r="E44" s="33">
        <f t="shared" si="202"/>
        <v>33</v>
      </c>
      <c r="F44" s="34"/>
      <c r="G44" s="31">
        <f t="shared" si="203"/>
        <v>1100</v>
      </c>
      <c r="H44" s="35">
        <v>1100.0</v>
      </c>
      <c r="I44" s="33">
        <f t="shared" si="204"/>
        <v>0</v>
      </c>
      <c r="J44" s="34"/>
      <c r="K44" s="31">
        <f t="shared" si="205"/>
        <v>1100</v>
      </c>
      <c r="L44" s="35">
        <v>1100.0</v>
      </c>
      <c r="M44" s="33">
        <f t="shared" si="206"/>
        <v>0</v>
      </c>
      <c r="N44" s="34"/>
      <c r="O44" s="31">
        <f t="shared" si="207"/>
        <v>1100</v>
      </c>
      <c r="P44" s="35">
        <v>1100.0</v>
      </c>
      <c r="Q44" s="33">
        <f t="shared" si="208"/>
        <v>0</v>
      </c>
      <c r="R44" s="34"/>
      <c r="S44" s="31">
        <f t="shared" si="209"/>
        <v>1100</v>
      </c>
      <c r="T44" s="35">
        <v>1100.0</v>
      </c>
      <c r="U44" s="33">
        <f t="shared" si="210"/>
        <v>0</v>
      </c>
      <c r="V44" s="34"/>
      <c r="W44" s="31">
        <f t="shared" si="211"/>
        <v>1100</v>
      </c>
      <c r="X44" s="35">
        <v>1100.0</v>
      </c>
      <c r="Y44" s="33">
        <f t="shared" si="212"/>
        <v>0</v>
      </c>
      <c r="Z44" s="34"/>
      <c r="AA44" s="31">
        <f t="shared" si="213"/>
        <v>1100</v>
      </c>
      <c r="AB44" s="35">
        <v>1100.0</v>
      </c>
      <c r="AC44" s="33">
        <f t="shared" si="214"/>
        <v>0</v>
      </c>
      <c r="AD44" s="34"/>
      <c r="AE44" s="31">
        <f t="shared" si="215"/>
        <v>1100</v>
      </c>
      <c r="AF44" s="35">
        <v>1100.0</v>
      </c>
      <c r="AG44" s="33">
        <f t="shared" si="216"/>
        <v>0</v>
      </c>
      <c r="AH44" s="34"/>
      <c r="AI44" s="31">
        <f t="shared" si="217"/>
        <v>1100</v>
      </c>
      <c r="AJ44" s="35">
        <v>1100.0</v>
      </c>
      <c r="AK44" s="33">
        <f t="shared" si="218"/>
        <v>0</v>
      </c>
      <c r="AL44" s="34"/>
      <c r="AM44" s="31">
        <f t="shared" si="219"/>
        <v>1100</v>
      </c>
      <c r="AN44" s="35">
        <v>1100.0</v>
      </c>
      <c r="AO44" s="33">
        <f t="shared" si="220"/>
        <v>0</v>
      </c>
      <c r="AP44" s="34"/>
      <c r="AQ44" s="31">
        <f t="shared" si="221"/>
        <v>1100</v>
      </c>
      <c r="AR44" s="35">
        <v>1100.0</v>
      </c>
      <c r="AS44" s="33">
        <f t="shared" si="222"/>
        <v>0</v>
      </c>
      <c r="AT44" s="34">
        <v>1078.0</v>
      </c>
      <c r="AU44" s="31">
        <f t="shared" si="223"/>
        <v>1078</v>
      </c>
      <c r="AV44" s="35">
        <v>1100.0</v>
      </c>
      <c r="AW44" s="33">
        <f t="shared" si="224"/>
        <v>-22</v>
      </c>
      <c r="AX44" s="34">
        <v>1155.0</v>
      </c>
      <c r="AY44" s="31">
        <f t="shared" si="225"/>
        <v>1155</v>
      </c>
      <c r="AZ44" s="35">
        <v>1100.0</v>
      </c>
      <c r="BA44" s="33">
        <f t="shared" si="226"/>
        <v>55</v>
      </c>
    </row>
    <row r="45" ht="18.0" customHeight="1">
      <c r="A45" s="2" t="s">
        <v>48</v>
      </c>
      <c r="B45" s="30">
        <f t="shared" ref="B45:D45" si="232">SUM(AX45,AT45,AP45,AL45,AH45,AD45,Z45,V45,R45,N45,J45,F45)</f>
        <v>10150</v>
      </c>
      <c r="C45" s="31">
        <f t="shared" si="232"/>
        <v>60150</v>
      </c>
      <c r="D45" s="32">
        <f t="shared" si="232"/>
        <v>60000</v>
      </c>
      <c r="E45" s="33">
        <f t="shared" si="202"/>
        <v>150</v>
      </c>
      <c r="F45" s="34"/>
      <c r="G45" s="31">
        <f t="shared" si="203"/>
        <v>5000</v>
      </c>
      <c r="H45" s="35">
        <v>5000.0</v>
      </c>
      <c r="I45" s="33">
        <f t="shared" si="204"/>
        <v>0</v>
      </c>
      <c r="J45" s="34"/>
      <c r="K45" s="31">
        <f t="shared" si="205"/>
        <v>5000</v>
      </c>
      <c r="L45" s="35">
        <v>5000.0</v>
      </c>
      <c r="M45" s="33">
        <f t="shared" si="206"/>
        <v>0</v>
      </c>
      <c r="N45" s="34"/>
      <c r="O45" s="31">
        <f t="shared" si="207"/>
        <v>5000</v>
      </c>
      <c r="P45" s="35">
        <v>5000.0</v>
      </c>
      <c r="Q45" s="33">
        <f t="shared" si="208"/>
        <v>0</v>
      </c>
      <c r="R45" s="34"/>
      <c r="S45" s="31">
        <f t="shared" si="209"/>
        <v>5000</v>
      </c>
      <c r="T45" s="35">
        <v>5000.0</v>
      </c>
      <c r="U45" s="33">
        <f t="shared" si="210"/>
        <v>0</v>
      </c>
      <c r="V45" s="34"/>
      <c r="W45" s="31">
        <f t="shared" si="211"/>
        <v>5000</v>
      </c>
      <c r="X45" s="35">
        <v>5000.0</v>
      </c>
      <c r="Y45" s="33">
        <f t="shared" si="212"/>
        <v>0</v>
      </c>
      <c r="Z45" s="34"/>
      <c r="AA45" s="31">
        <f t="shared" si="213"/>
        <v>5000</v>
      </c>
      <c r="AB45" s="35">
        <v>5000.0</v>
      </c>
      <c r="AC45" s="33">
        <f t="shared" si="214"/>
        <v>0</v>
      </c>
      <c r="AD45" s="34"/>
      <c r="AE45" s="31">
        <f t="shared" si="215"/>
        <v>5000</v>
      </c>
      <c r="AF45" s="35">
        <v>5000.0</v>
      </c>
      <c r="AG45" s="33">
        <f t="shared" si="216"/>
        <v>0</v>
      </c>
      <c r="AH45" s="34"/>
      <c r="AI45" s="31">
        <f t="shared" si="217"/>
        <v>5000</v>
      </c>
      <c r="AJ45" s="35">
        <v>5000.0</v>
      </c>
      <c r="AK45" s="33">
        <f t="shared" si="218"/>
        <v>0</v>
      </c>
      <c r="AL45" s="34"/>
      <c r="AM45" s="31">
        <f t="shared" si="219"/>
        <v>5000</v>
      </c>
      <c r="AN45" s="35">
        <v>5000.0</v>
      </c>
      <c r="AO45" s="33">
        <f t="shared" si="220"/>
        <v>0</v>
      </c>
      <c r="AP45" s="34"/>
      <c r="AQ45" s="31">
        <f t="shared" si="221"/>
        <v>5000</v>
      </c>
      <c r="AR45" s="35">
        <v>5000.0</v>
      </c>
      <c r="AS45" s="33">
        <f t="shared" si="222"/>
        <v>0</v>
      </c>
      <c r="AT45" s="34">
        <v>4900.0</v>
      </c>
      <c r="AU45" s="31">
        <f t="shared" si="223"/>
        <v>4900</v>
      </c>
      <c r="AV45" s="35">
        <v>5000.0</v>
      </c>
      <c r="AW45" s="33">
        <f t="shared" si="224"/>
        <v>-100</v>
      </c>
      <c r="AX45" s="34">
        <v>5250.0</v>
      </c>
      <c r="AY45" s="31">
        <f t="shared" si="225"/>
        <v>5250</v>
      </c>
      <c r="AZ45" s="35">
        <v>5000.0</v>
      </c>
      <c r="BA45" s="33">
        <f t="shared" si="226"/>
        <v>250</v>
      </c>
    </row>
    <row r="46" ht="18.0" customHeight="1">
      <c r="A46" s="2" t="s">
        <v>49</v>
      </c>
      <c r="B46" s="30">
        <f t="shared" ref="B46:D46" si="233">SUM(AX46,AT46,AP46,AL46,AH46,AD46,Z46,V46,R46,N46,J46,F46)</f>
        <v>2030</v>
      </c>
      <c r="C46" s="31">
        <f t="shared" si="233"/>
        <v>12030</v>
      </c>
      <c r="D46" s="32">
        <f t="shared" si="233"/>
        <v>12000</v>
      </c>
      <c r="E46" s="33">
        <f t="shared" si="202"/>
        <v>30</v>
      </c>
      <c r="F46" s="34"/>
      <c r="G46" s="31">
        <f t="shared" si="203"/>
        <v>1000</v>
      </c>
      <c r="H46" s="35">
        <v>1000.0</v>
      </c>
      <c r="I46" s="33">
        <f t="shared" si="204"/>
        <v>0</v>
      </c>
      <c r="J46" s="34"/>
      <c r="K46" s="31">
        <f t="shared" si="205"/>
        <v>1000</v>
      </c>
      <c r="L46" s="35">
        <v>1000.0</v>
      </c>
      <c r="M46" s="33">
        <f t="shared" si="206"/>
        <v>0</v>
      </c>
      <c r="N46" s="34"/>
      <c r="O46" s="31">
        <f t="shared" si="207"/>
        <v>1000</v>
      </c>
      <c r="P46" s="35">
        <v>1000.0</v>
      </c>
      <c r="Q46" s="33">
        <f t="shared" si="208"/>
        <v>0</v>
      </c>
      <c r="R46" s="34"/>
      <c r="S46" s="31">
        <f t="shared" si="209"/>
        <v>1000</v>
      </c>
      <c r="T46" s="35">
        <v>1000.0</v>
      </c>
      <c r="U46" s="33">
        <f t="shared" si="210"/>
        <v>0</v>
      </c>
      <c r="V46" s="34"/>
      <c r="W46" s="31">
        <f t="shared" si="211"/>
        <v>1000</v>
      </c>
      <c r="X46" s="35">
        <v>1000.0</v>
      </c>
      <c r="Y46" s="33">
        <f t="shared" si="212"/>
        <v>0</v>
      </c>
      <c r="Z46" s="34"/>
      <c r="AA46" s="31">
        <f t="shared" si="213"/>
        <v>1000</v>
      </c>
      <c r="AB46" s="35">
        <v>1000.0</v>
      </c>
      <c r="AC46" s="33">
        <f t="shared" si="214"/>
        <v>0</v>
      </c>
      <c r="AD46" s="34"/>
      <c r="AE46" s="31">
        <f t="shared" si="215"/>
        <v>1000</v>
      </c>
      <c r="AF46" s="35">
        <v>1000.0</v>
      </c>
      <c r="AG46" s="33">
        <f t="shared" si="216"/>
        <v>0</v>
      </c>
      <c r="AH46" s="34"/>
      <c r="AI46" s="31">
        <f t="shared" si="217"/>
        <v>1000</v>
      </c>
      <c r="AJ46" s="35">
        <v>1000.0</v>
      </c>
      <c r="AK46" s="33">
        <f t="shared" si="218"/>
        <v>0</v>
      </c>
      <c r="AL46" s="34"/>
      <c r="AM46" s="31">
        <f t="shared" si="219"/>
        <v>1000</v>
      </c>
      <c r="AN46" s="35">
        <v>1000.0</v>
      </c>
      <c r="AO46" s="33">
        <f t="shared" si="220"/>
        <v>0</v>
      </c>
      <c r="AP46" s="34"/>
      <c r="AQ46" s="31">
        <f t="shared" si="221"/>
        <v>1000</v>
      </c>
      <c r="AR46" s="35">
        <v>1000.0</v>
      </c>
      <c r="AS46" s="33">
        <f t="shared" si="222"/>
        <v>0</v>
      </c>
      <c r="AT46" s="34">
        <v>980.0</v>
      </c>
      <c r="AU46" s="31">
        <f t="shared" si="223"/>
        <v>980</v>
      </c>
      <c r="AV46" s="35">
        <v>1000.0</v>
      </c>
      <c r="AW46" s="33">
        <f t="shared" si="224"/>
        <v>-20</v>
      </c>
      <c r="AX46" s="34">
        <v>1050.0</v>
      </c>
      <c r="AY46" s="31">
        <f t="shared" si="225"/>
        <v>1050</v>
      </c>
      <c r="AZ46" s="35">
        <v>1000.0</v>
      </c>
      <c r="BA46" s="33">
        <f t="shared" si="226"/>
        <v>50</v>
      </c>
    </row>
    <row r="47" ht="18.0" customHeight="1">
      <c r="A47" s="2" t="s">
        <v>50</v>
      </c>
      <c r="B47" s="30">
        <f t="shared" ref="B47:D47" si="234">SUM(AX47,AT47,AP47,AL47,AH47,AD47,Z47,V47,R47,N47,J47,F47)</f>
        <v>1015</v>
      </c>
      <c r="C47" s="31">
        <f t="shared" si="234"/>
        <v>6015</v>
      </c>
      <c r="D47" s="32">
        <f t="shared" si="234"/>
        <v>6000</v>
      </c>
      <c r="E47" s="33">
        <f t="shared" si="202"/>
        <v>15</v>
      </c>
      <c r="F47" s="34"/>
      <c r="G47" s="31">
        <f t="shared" si="203"/>
        <v>500</v>
      </c>
      <c r="H47" s="35">
        <v>500.0</v>
      </c>
      <c r="I47" s="33">
        <f t="shared" si="204"/>
        <v>0</v>
      </c>
      <c r="J47" s="34"/>
      <c r="K47" s="31">
        <f t="shared" si="205"/>
        <v>500</v>
      </c>
      <c r="L47" s="35">
        <v>500.0</v>
      </c>
      <c r="M47" s="33">
        <f t="shared" si="206"/>
        <v>0</v>
      </c>
      <c r="N47" s="34"/>
      <c r="O47" s="31">
        <f t="shared" si="207"/>
        <v>500</v>
      </c>
      <c r="P47" s="35">
        <v>500.0</v>
      </c>
      <c r="Q47" s="33">
        <f t="shared" si="208"/>
        <v>0</v>
      </c>
      <c r="R47" s="34"/>
      <c r="S47" s="31">
        <f t="shared" si="209"/>
        <v>500</v>
      </c>
      <c r="T47" s="35">
        <v>500.0</v>
      </c>
      <c r="U47" s="33">
        <f t="shared" si="210"/>
        <v>0</v>
      </c>
      <c r="V47" s="34"/>
      <c r="W47" s="31">
        <f t="shared" si="211"/>
        <v>500</v>
      </c>
      <c r="X47" s="35">
        <v>500.0</v>
      </c>
      <c r="Y47" s="33">
        <f t="shared" si="212"/>
        <v>0</v>
      </c>
      <c r="Z47" s="34"/>
      <c r="AA47" s="31">
        <f t="shared" si="213"/>
        <v>500</v>
      </c>
      <c r="AB47" s="35">
        <v>500.0</v>
      </c>
      <c r="AC47" s="33">
        <f t="shared" si="214"/>
        <v>0</v>
      </c>
      <c r="AD47" s="34"/>
      <c r="AE47" s="31">
        <f t="shared" si="215"/>
        <v>500</v>
      </c>
      <c r="AF47" s="35">
        <v>500.0</v>
      </c>
      <c r="AG47" s="33">
        <f t="shared" si="216"/>
        <v>0</v>
      </c>
      <c r="AH47" s="34"/>
      <c r="AI47" s="31">
        <f t="shared" si="217"/>
        <v>500</v>
      </c>
      <c r="AJ47" s="35">
        <v>500.0</v>
      </c>
      <c r="AK47" s="33">
        <f t="shared" si="218"/>
        <v>0</v>
      </c>
      <c r="AL47" s="34"/>
      <c r="AM47" s="31">
        <f t="shared" si="219"/>
        <v>500</v>
      </c>
      <c r="AN47" s="35">
        <v>500.0</v>
      </c>
      <c r="AO47" s="33">
        <f t="shared" si="220"/>
        <v>0</v>
      </c>
      <c r="AP47" s="34"/>
      <c r="AQ47" s="31">
        <f t="shared" si="221"/>
        <v>500</v>
      </c>
      <c r="AR47" s="35">
        <v>500.0</v>
      </c>
      <c r="AS47" s="33">
        <f t="shared" si="222"/>
        <v>0</v>
      </c>
      <c r="AT47" s="34">
        <v>490.0</v>
      </c>
      <c r="AU47" s="31">
        <f t="shared" si="223"/>
        <v>490</v>
      </c>
      <c r="AV47" s="35">
        <v>500.0</v>
      </c>
      <c r="AW47" s="33">
        <f t="shared" si="224"/>
        <v>-10</v>
      </c>
      <c r="AX47" s="34">
        <v>525.0</v>
      </c>
      <c r="AY47" s="31">
        <f t="shared" si="225"/>
        <v>525</v>
      </c>
      <c r="AZ47" s="35">
        <v>500.0</v>
      </c>
      <c r="BA47" s="33">
        <f t="shared" si="226"/>
        <v>25</v>
      </c>
    </row>
    <row r="48" ht="18.0" customHeight="1">
      <c r="A48" s="2" t="s">
        <v>51</v>
      </c>
      <c r="B48" s="30">
        <f t="shared" ref="B48:D48" si="235">SUM(AX48,AT48,AP48,AL48,AH48,AD48,Z48,V48,R48,N48,J48,F48)</f>
        <v>609</v>
      </c>
      <c r="C48" s="31">
        <f t="shared" si="235"/>
        <v>3609</v>
      </c>
      <c r="D48" s="32">
        <f t="shared" si="235"/>
        <v>3600</v>
      </c>
      <c r="E48" s="33">
        <f t="shared" si="202"/>
        <v>9</v>
      </c>
      <c r="F48" s="34"/>
      <c r="G48" s="31">
        <f t="shared" si="203"/>
        <v>300</v>
      </c>
      <c r="H48" s="35">
        <v>300.0</v>
      </c>
      <c r="I48" s="33">
        <f t="shared" si="204"/>
        <v>0</v>
      </c>
      <c r="J48" s="34"/>
      <c r="K48" s="31">
        <f t="shared" si="205"/>
        <v>300</v>
      </c>
      <c r="L48" s="35">
        <v>300.0</v>
      </c>
      <c r="M48" s="33">
        <f t="shared" si="206"/>
        <v>0</v>
      </c>
      <c r="N48" s="34"/>
      <c r="O48" s="31">
        <f t="shared" si="207"/>
        <v>300</v>
      </c>
      <c r="P48" s="35">
        <v>300.0</v>
      </c>
      <c r="Q48" s="33">
        <f t="shared" si="208"/>
        <v>0</v>
      </c>
      <c r="R48" s="34"/>
      <c r="S48" s="31">
        <f t="shared" si="209"/>
        <v>300</v>
      </c>
      <c r="T48" s="35">
        <v>300.0</v>
      </c>
      <c r="U48" s="33">
        <f t="shared" si="210"/>
        <v>0</v>
      </c>
      <c r="V48" s="34"/>
      <c r="W48" s="31">
        <f t="shared" si="211"/>
        <v>300</v>
      </c>
      <c r="X48" s="35">
        <v>300.0</v>
      </c>
      <c r="Y48" s="33">
        <f t="shared" si="212"/>
        <v>0</v>
      </c>
      <c r="Z48" s="34"/>
      <c r="AA48" s="31">
        <f t="shared" si="213"/>
        <v>300</v>
      </c>
      <c r="AB48" s="35">
        <v>300.0</v>
      </c>
      <c r="AC48" s="33">
        <f t="shared" si="214"/>
        <v>0</v>
      </c>
      <c r="AD48" s="34"/>
      <c r="AE48" s="31">
        <f t="shared" si="215"/>
        <v>300</v>
      </c>
      <c r="AF48" s="35">
        <v>300.0</v>
      </c>
      <c r="AG48" s="33">
        <f t="shared" si="216"/>
        <v>0</v>
      </c>
      <c r="AH48" s="34"/>
      <c r="AI48" s="31">
        <f t="shared" si="217"/>
        <v>300</v>
      </c>
      <c r="AJ48" s="35">
        <v>300.0</v>
      </c>
      <c r="AK48" s="33">
        <f t="shared" si="218"/>
        <v>0</v>
      </c>
      <c r="AL48" s="34"/>
      <c r="AM48" s="31">
        <f t="shared" si="219"/>
        <v>300</v>
      </c>
      <c r="AN48" s="35">
        <v>300.0</v>
      </c>
      <c r="AO48" s="33">
        <f t="shared" si="220"/>
        <v>0</v>
      </c>
      <c r="AP48" s="34"/>
      <c r="AQ48" s="31">
        <f t="shared" si="221"/>
        <v>300</v>
      </c>
      <c r="AR48" s="35">
        <v>300.0</v>
      </c>
      <c r="AS48" s="33">
        <f t="shared" si="222"/>
        <v>0</v>
      </c>
      <c r="AT48" s="34">
        <v>294.0</v>
      </c>
      <c r="AU48" s="31">
        <f t="shared" si="223"/>
        <v>294</v>
      </c>
      <c r="AV48" s="35">
        <v>300.0</v>
      </c>
      <c r="AW48" s="33">
        <f t="shared" si="224"/>
        <v>-6</v>
      </c>
      <c r="AX48" s="34">
        <v>315.0</v>
      </c>
      <c r="AY48" s="31">
        <f t="shared" si="225"/>
        <v>315</v>
      </c>
      <c r="AZ48" s="35">
        <v>300.0</v>
      </c>
      <c r="BA48" s="33">
        <f t="shared" si="226"/>
        <v>15</v>
      </c>
    </row>
    <row r="49" ht="18.0" customHeight="1">
      <c r="A49" s="2" t="s">
        <v>52</v>
      </c>
      <c r="B49" s="30">
        <f t="shared" ref="B49:D49" si="236">SUM(AX49,AT49,AP49,AL49,AH49,AD49,Z49,V49,R49,N49,J49,F49)</f>
        <v>5075</v>
      </c>
      <c r="C49" s="31">
        <f t="shared" si="236"/>
        <v>30075</v>
      </c>
      <c r="D49" s="32">
        <f t="shared" si="236"/>
        <v>30000</v>
      </c>
      <c r="E49" s="33">
        <f t="shared" si="202"/>
        <v>75</v>
      </c>
      <c r="F49" s="34"/>
      <c r="G49" s="31">
        <f t="shared" si="203"/>
        <v>2500</v>
      </c>
      <c r="H49" s="35">
        <v>2500.0</v>
      </c>
      <c r="I49" s="33">
        <f t="shared" si="204"/>
        <v>0</v>
      </c>
      <c r="J49" s="34"/>
      <c r="K49" s="31">
        <f t="shared" si="205"/>
        <v>2500</v>
      </c>
      <c r="L49" s="35">
        <v>2500.0</v>
      </c>
      <c r="M49" s="33">
        <f t="shared" si="206"/>
        <v>0</v>
      </c>
      <c r="N49" s="34"/>
      <c r="O49" s="31">
        <f t="shared" si="207"/>
        <v>2500</v>
      </c>
      <c r="P49" s="35">
        <v>2500.0</v>
      </c>
      <c r="Q49" s="33">
        <f t="shared" si="208"/>
        <v>0</v>
      </c>
      <c r="R49" s="34"/>
      <c r="S49" s="31">
        <f t="shared" si="209"/>
        <v>2500</v>
      </c>
      <c r="T49" s="35">
        <v>2500.0</v>
      </c>
      <c r="U49" s="33">
        <f t="shared" si="210"/>
        <v>0</v>
      </c>
      <c r="V49" s="34"/>
      <c r="W49" s="31">
        <f t="shared" si="211"/>
        <v>2500</v>
      </c>
      <c r="X49" s="35">
        <v>2500.0</v>
      </c>
      <c r="Y49" s="33">
        <f t="shared" si="212"/>
        <v>0</v>
      </c>
      <c r="Z49" s="34"/>
      <c r="AA49" s="31">
        <f t="shared" si="213"/>
        <v>2500</v>
      </c>
      <c r="AB49" s="35">
        <v>2500.0</v>
      </c>
      <c r="AC49" s="33">
        <f t="shared" si="214"/>
        <v>0</v>
      </c>
      <c r="AD49" s="34"/>
      <c r="AE49" s="31">
        <f t="shared" si="215"/>
        <v>2500</v>
      </c>
      <c r="AF49" s="35">
        <v>2500.0</v>
      </c>
      <c r="AG49" s="33">
        <f t="shared" si="216"/>
        <v>0</v>
      </c>
      <c r="AH49" s="34"/>
      <c r="AI49" s="31">
        <f t="shared" si="217"/>
        <v>2500</v>
      </c>
      <c r="AJ49" s="35">
        <v>2500.0</v>
      </c>
      <c r="AK49" s="33">
        <f t="shared" si="218"/>
        <v>0</v>
      </c>
      <c r="AL49" s="34"/>
      <c r="AM49" s="31">
        <f t="shared" si="219"/>
        <v>2500</v>
      </c>
      <c r="AN49" s="35">
        <v>2500.0</v>
      </c>
      <c r="AO49" s="33">
        <f t="shared" si="220"/>
        <v>0</v>
      </c>
      <c r="AP49" s="34"/>
      <c r="AQ49" s="31">
        <f t="shared" si="221"/>
        <v>2500</v>
      </c>
      <c r="AR49" s="35">
        <v>2500.0</v>
      </c>
      <c r="AS49" s="33">
        <f t="shared" si="222"/>
        <v>0</v>
      </c>
      <c r="AT49" s="34">
        <v>2450.0</v>
      </c>
      <c r="AU49" s="31">
        <f t="shared" si="223"/>
        <v>2450</v>
      </c>
      <c r="AV49" s="35">
        <v>2500.0</v>
      </c>
      <c r="AW49" s="33">
        <f t="shared" si="224"/>
        <v>-50</v>
      </c>
      <c r="AX49" s="34">
        <v>2625.0</v>
      </c>
      <c r="AY49" s="31">
        <f t="shared" si="225"/>
        <v>2625</v>
      </c>
      <c r="AZ49" s="35">
        <v>2500.0</v>
      </c>
      <c r="BA49" s="33">
        <f t="shared" si="226"/>
        <v>125</v>
      </c>
    </row>
    <row r="50" ht="18.0" customHeight="1">
      <c r="A50" s="2" t="s">
        <v>53</v>
      </c>
      <c r="B50" s="30">
        <f t="shared" ref="B50:D50" si="237">SUM(AX50,AT50,AP50,AL50,AH50,AD50,Z50,V50,R50,N50,J50,F50)</f>
        <v>609</v>
      </c>
      <c r="C50" s="31">
        <f t="shared" si="237"/>
        <v>3609</v>
      </c>
      <c r="D50" s="32">
        <f t="shared" si="237"/>
        <v>3600</v>
      </c>
      <c r="E50" s="33">
        <f t="shared" si="202"/>
        <v>9</v>
      </c>
      <c r="F50" s="34"/>
      <c r="G50" s="31">
        <f t="shared" si="203"/>
        <v>300</v>
      </c>
      <c r="H50" s="35">
        <v>300.0</v>
      </c>
      <c r="I50" s="33">
        <f t="shared" si="204"/>
        <v>0</v>
      </c>
      <c r="J50" s="34"/>
      <c r="K50" s="31">
        <f t="shared" si="205"/>
        <v>300</v>
      </c>
      <c r="L50" s="35">
        <v>300.0</v>
      </c>
      <c r="M50" s="33">
        <f t="shared" si="206"/>
        <v>0</v>
      </c>
      <c r="N50" s="34"/>
      <c r="O50" s="31">
        <f t="shared" si="207"/>
        <v>300</v>
      </c>
      <c r="P50" s="35">
        <v>300.0</v>
      </c>
      <c r="Q50" s="33">
        <f t="shared" si="208"/>
        <v>0</v>
      </c>
      <c r="R50" s="34"/>
      <c r="S50" s="31">
        <f t="shared" si="209"/>
        <v>300</v>
      </c>
      <c r="T50" s="35">
        <v>300.0</v>
      </c>
      <c r="U50" s="33">
        <f t="shared" si="210"/>
        <v>0</v>
      </c>
      <c r="V50" s="34"/>
      <c r="W50" s="31">
        <f t="shared" si="211"/>
        <v>300</v>
      </c>
      <c r="X50" s="35">
        <v>300.0</v>
      </c>
      <c r="Y50" s="33">
        <f t="shared" si="212"/>
        <v>0</v>
      </c>
      <c r="Z50" s="34"/>
      <c r="AA50" s="31">
        <f t="shared" si="213"/>
        <v>300</v>
      </c>
      <c r="AB50" s="35">
        <v>300.0</v>
      </c>
      <c r="AC50" s="33">
        <f t="shared" si="214"/>
        <v>0</v>
      </c>
      <c r="AD50" s="34"/>
      <c r="AE50" s="31">
        <f t="shared" si="215"/>
        <v>300</v>
      </c>
      <c r="AF50" s="35">
        <v>300.0</v>
      </c>
      <c r="AG50" s="33">
        <f t="shared" si="216"/>
        <v>0</v>
      </c>
      <c r="AH50" s="34"/>
      <c r="AI50" s="31">
        <f t="shared" si="217"/>
        <v>300</v>
      </c>
      <c r="AJ50" s="35">
        <v>300.0</v>
      </c>
      <c r="AK50" s="33">
        <f t="shared" si="218"/>
        <v>0</v>
      </c>
      <c r="AL50" s="34"/>
      <c r="AM50" s="31">
        <f t="shared" si="219"/>
        <v>300</v>
      </c>
      <c r="AN50" s="35">
        <v>300.0</v>
      </c>
      <c r="AO50" s="33">
        <f t="shared" si="220"/>
        <v>0</v>
      </c>
      <c r="AP50" s="34"/>
      <c r="AQ50" s="31">
        <f t="shared" si="221"/>
        <v>300</v>
      </c>
      <c r="AR50" s="35">
        <v>300.0</v>
      </c>
      <c r="AS50" s="33">
        <f t="shared" si="222"/>
        <v>0</v>
      </c>
      <c r="AT50" s="34">
        <v>294.0</v>
      </c>
      <c r="AU50" s="31">
        <f t="shared" si="223"/>
        <v>294</v>
      </c>
      <c r="AV50" s="35">
        <v>300.0</v>
      </c>
      <c r="AW50" s="33">
        <f t="shared" si="224"/>
        <v>-6</v>
      </c>
      <c r="AX50" s="34">
        <v>315.0</v>
      </c>
      <c r="AY50" s="31">
        <f t="shared" si="225"/>
        <v>315</v>
      </c>
      <c r="AZ50" s="35">
        <v>300.0</v>
      </c>
      <c r="BA50" s="33">
        <f t="shared" si="226"/>
        <v>15</v>
      </c>
    </row>
    <row r="51" ht="18.0" customHeight="1">
      <c r="A51" s="2" t="s">
        <v>54</v>
      </c>
      <c r="B51" s="30">
        <f t="shared" ref="B51:D51" si="238">SUM(AX51,AT51,AP51,AL51,AH51,AD51,Z51,V51,R51,N51,J51,F51)</f>
        <v>1015</v>
      </c>
      <c r="C51" s="31">
        <f t="shared" si="238"/>
        <v>6015</v>
      </c>
      <c r="D51" s="32">
        <f t="shared" si="238"/>
        <v>6000</v>
      </c>
      <c r="E51" s="33">
        <f t="shared" si="202"/>
        <v>15</v>
      </c>
      <c r="F51" s="34"/>
      <c r="G51" s="31">
        <f t="shared" si="203"/>
        <v>500</v>
      </c>
      <c r="H51" s="35">
        <v>500.0</v>
      </c>
      <c r="I51" s="33">
        <f t="shared" si="204"/>
        <v>0</v>
      </c>
      <c r="J51" s="34"/>
      <c r="K51" s="31">
        <f t="shared" si="205"/>
        <v>500</v>
      </c>
      <c r="L51" s="35">
        <v>500.0</v>
      </c>
      <c r="M51" s="33">
        <f t="shared" si="206"/>
        <v>0</v>
      </c>
      <c r="N51" s="34"/>
      <c r="O51" s="31">
        <f t="shared" si="207"/>
        <v>500</v>
      </c>
      <c r="P51" s="35">
        <v>500.0</v>
      </c>
      <c r="Q51" s="33">
        <f t="shared" si="208"/>
        <v>0</v>
      </c>
      <c r="R51" s="34"/>
      <c r="S51" s="31">
        <f t="shared" si="209"/>
        <v>500</v>
      </c>
      <c r="T51" s="35">
        <v>500.0</v>
      </c>
      <c r="U51" s="33">
        <f t="shared" si="210"/>
        <v>0</v>
      </c>
      <c r="V51" s="34"/>
      <c r="W51" s="31">
        <f t="shared" si="211"/>
        <v>500</v>
      </c>
      <c r="X51" s="35">
        <v>500.0</v>
      </c>
      <c r="Y51" s="33">
        <f t="shared" si="212"/>
        <v>0</v>
      </c>
      <c r="Z51" s="34"/>
      <c r="AA51" s="31">
        <f t="shared" si="213"/>
        <v>500</v>
      </c>
      <c r="AB51" s="35">
        <v>500.0</v>
      </c>
      <c r="AC51" s="33">
        <f t="shared" si="214"/>
        <v>0</v>
      </c>
      <c r="AD51" s="34"/>
      <c r="AE51" s="31">
        <f t="shared" si="215"/>
        <v>500</v>
      </c>
      <c r="AF51" s="35">
        <v>500.0</v>
      </c>
      <c r="AG51" s="33">
        <f t="shared" si="216"/>
        <v>0</v>
      </c>
      <c r="AH51" s="34"/>
      <c r="AI51" s="31">
        <f t="shared" si="217"/>
        <v>500</v>
      </c>
      <c r="AJ51" s="35">
        <v>500.0</v>
      </c>
      <c r="AK51" s="33">
        <f t="shared" si="218"/>
        <v>0</v>
      </c>
      <c r="AL51" s="34"/>
      <c r="AM51" s="31">
        <f t="shared" si="219"/>
        <v>500</v>
      </c>
      <c r="AN51" s="35">
        <v>500.0</v>
      </c>
      <c r="AO51" s="33">
        <f t="shared" si="220"/>
        <v>0</v>
      </c>
      <c r="AP51" s="34"/>
      <c r="AQ51" s="31">
        <f t="shared" si="221"/>
        <v>500</v>
      </c>
      <c r="AR51" s="35">
        <v>500.0</v>
      </c>
      <c r="AS51" s="33">
        <f t="shared" si="222"/>
        <v>0</v>
      </c>
      <c r="AT51" s="34">
        <v>490.0</v>
      </c>
      <c r="AU51" s="31">
        <f t="shared" si="223"/>
        <v>490</v>
      </c>
      <c r="AV51" s="35">
        <v>500.0</v>
      </c>
      <c r="AW51" s="33">
        <f t="shared" si="224"/>
        <v>-10</v>
      </c>
      <c r="AX51" s="34">
        <v>525.0</v>
      </c>
      <c r="AY51" s="31">
        <f t="shared" si="225"/>
        <v>525</v>
      </c>
      <c r="AZ51" s="35">
        <v>500.0</v>
      </c>
      <c r="BA51" s="33">
        <f t="shared" si="226"/>
        <v>25</v>
      </c>
    </row>
    <row r="52" ht="18.0" customHeight="1">
      <c r="A52" s="2" t="s">
        <v>55</v>
      </c>
      <c r="B52" s="30">
        <f t="shared" ref="B52:D52" si="239">SUM(AX52,AT52,AP52,AL52,AH52,AD52,Z52,V52,R52,N52,J52,F52)</f>
        <v>2030</v>
      </c>
      <c r="C52" s="31">
        <f t="shared" si="239"/>
        <v>12030</v>
      </c>
      <c r="D52" s="32">
        <f t="shared" si="239"/>
        <v>12000</v>
      </c>
      <c r="E52" s="33">
        <f t="shared" si="202"/>
        <v>30</v>
      </c>
      <c r="F52" s="34"/>
      <c r="G52" s="31">
        <f t="shared" si="203"/>
        <v>1000</v>
      </c>
      <c r="H52" s="35">
        <v>1000.0</v>
      </c>
      <c r="I52" s="33">
        <f t="shared" si="204"/>
        <v>0</v>
      </c>
      <c r="J52" s="34"/>
      <c r="K52" s="31">
        <f t="shared" si="205"/>
        <v>1000</v>
      </c>
      <c r="L52" s="35">
        <v>1000.0</v>
      </c>
      <c r="M52" s="33">
        <f t="shared" si="206"/>
        <v>0</v>
      </c>
      <c r="N52" s="34"/>
      <c r="O52" s="31">
        <f t="shared" si="207"/>
        <v>1000</v>
      </c>
      <c r="P52" s="35">
        <v>1000.0</v>
      </c>
      <c r="Q52" s="33">
        <f t="shared" si="208"/>
        <v>0</v>
      </c>
      <c r="R52" s="34"/>
      <c r="S52" s="31">
        <f t="shared" si="209"/>
        <v>1000</v>
      </c>
      <c r="T52" s="35">
        <v>1000.0</v>
      </c>
      <c r="U52" s="33">
        <f t="shared" si="210"/>
        <v>0</v>
      </c>
      <c r="V52" s="34"/>
      <c r="W52" s="31">
        <f t="shared" si="211"/>
        <v>1000</v>
      </c>
      <c r="X52" s="35">
        <v>1000.0</v>
      </c>
      <c r="Y52" s="33">
        <f t="shared" si="212"/>
        <v>0</v>
      </c>
      <c r="Z52" s="34"/>
      <c r="AA52" s="31">
        <f t="shared" si="213"/>
        <v>1000</v>
      </c>
      <c r="AB52" s="35">
        <v>1000.0</v>
      </c>
      <c r="AC52" s="33">
        <f t="shared" si="214"/>
        <v>0</v>
      </c>
      <c r="AD52" s="34"/>
      <c r="AE52" s="31">
        <f t="shared" si="215"/>
        <v>1000</v>
      </c>
      <c r="AF52" s="35">
        <v>1000.0</v>
      </c>
      <c r="AG52" s="33">
        <f t="shared" si="216"/>
        <v>0</v>
      </c>
      <c r="AH52" s="34"/>
      <c r="AI52" s="31">
        <f t="shared" si="217"/>
        <v>1000</v>
      </c>
      <c r="AJ52" s="35">
        <v>1000.0</v>
      </c>
      <c r="AK52" s="33">
        <f t="shared" si="218"/>
        <v>0</v>
      </c>
      <c r="AL52" s="34"/>
      <c r="AM52" s="31">
        <f t="shared" si="219"/>
        <v>1000</v>
      </c>
      <c r="AN52" s="35">
        <v>1000.0</v>
      </c>
      <c r="AO52" s="33">
        <f t="shared" si="220"/>
        <v>0</v>
      </c>
      <c r="AP52" s="34"/>
      <c r="AQ52" s="31">
        <f t="shared" si="221"/>
        <v>1000</v>
      </c>
      <c r="AR52" s="35">
        <v>1000.0</v>
      </c>
      <c r="AS52" s="33">
        <f t="shared" si="222"/>
        <v>0</v>
      </c>
      <c r="AT52" s="34">
        <v>980.0</v>
      </c>
      <c r="AU52" s="31">
        <f t="shared" si="223"/>
        <v>980</v>
      </c>
      <c r="AV52" s="35">
        <v>1000.0</v>
      </c>
      <c r="AW52" s="33">
        <f t="shared" si="224"/>
        <v>-20</v>
      </c>
      <c r="AX52" s="34">
        <v>1050.0</v>
      </c>
      <c r="AY52" s="31">
        <f t="shared" si="225"/>
        <v>1050</v>
      </c>
      <c r="AZ52" s="35">
        <v>1000.0</v>
      </c>
      <c r="BA52" s="33">
        <f t="shared" si="226"/>
        <v>50</v>
      </c>
    </row>
    <row r="53" ht="18.0" customHeight="1">
      <c r="A53" s="36" t="s">
        <v>56</v>
      </c>
      <c r="B53" s="39">
        <f t="shared" ref="B53:D53" si="240">SUM(AX53,AT53,AP53,AL53,AH53,AD53,Z53,V53,R53,N53,J53,F53)</f>
        <v>131545</v>
      </c>
      <c r="C53" s="39">
        <f t="shared" si="240"/>
        <v>779545</v>
      </c>
      <c r="D53" s="39">
        <f t="shared" si="240"/>
        <v>777600</v>
      </c>
      <c r="E53" s="39">
        <f t="shared" si="202"/>
        <v>1945</v>
      </c>
      <c r="F53" s="39" t="str">
        <f t="shared" ref="F53:H53" si="241">IF(COUNT(F38:F52)&gt;0,SUM(F38:F52),"")</f>
        <v/>
      </c>
      <c r="G53" s="39">
        <f t="shared" si="241"/>
        <v>64800</v>
      </c>
      <c r="H53" s="39">
        <f t="shared" si="241"/>
        <v>64800</v>
      </c>
      <c r="I53" s="39">
        <f t="shared" si="204"/>
        <v>0</v>
      </c>
      <c r="J53" s="39" t="str">
        <f t="shared" ref="J53:L53" si="242">IF(COUNT(J38:J52)&gt;0,SUM(J38:J52),"")</f>
        <v/>
      </c>
      <c r="K53" s="39">
        <f t="shared" si="242"/>
        <v>64800</v>
      </c>
      <c r="L53" s="39">
        <f t="shared" si="242"/>
        <v>64800</v>
      </c>
      <c r="M53" s="39">
        <f t="shared" si="206"/>
        <v>0</v>
      </c>
      <c r="N53" s="39" t="str">
        <f t="shared" ref="N53:P53" si="243">IF(COUNT(N38:N52)&gt;0,SUM(N38:N52),"")</f>
        <v/>
      </c>
      <c r="O53" s="39">
        <f t="shared" si="243"/>
        <v>64800</v>
      </c>
      <c r="P53" s="39">
        <f t="shared" si="243"/>
        <v>64800</v>
      </c>
      <c r="Q53" s="39">
        <f t="shared" si="208"/>
        <v>0</v>
      </c>
      <c r="R53" s="39" t="str">
        <f t="shared" ref="R53:T53" si="244">IF(COUNT(R38:R52)&gt;0,SUM(R38:R52),"")</f>
        <v/>
      </c>
      <c r="S53" s="39">
        <f t="shared" si="244"/>
        <v>64800</v>
      </c>
      <c r="T53" s="39">
        <f t="shared" si="244"/>
        <v>64800</v>
      </c>
      <c r="U53" s="39">
        <f t="shared" si="210"/>
        <v>0</v>
      </c>
      <c r="V53" s="39" t="str">
        <f t="shared" ref="V53:X53" si="245">IF(COUNT(V38:V52)&gt;0,SUM(V38:V52),"")</f>
        <v/>
      </c>
      <c r="W53" s="39">
        <f t="shared" si="245"/>
        <v>64800</v>
      </c>
      <c r="X53" s="39">
        <f t="shared" si="245"/>
        <v>64800</v>
      </c>
      <c r="Y53" s="39">
        <f t="shared" si="212"/>
        <v>0</v>
      </c>
      <c r="Z53" s="39" t="str">
        <f t="shared" ref="Z53:AB53" si="246">IF(COUNT(Z38:Z52)&gt;0,SUM(Z38:Z52),"")</f>
        <v/>
      </c>
      <c r="AA53" s="39">
        <f t="shared" si="246"/>
        <v>64800</v>
      </c>
      <c r="AB53" s="39">
        <f t="shared" si="246"/>
        <v>64800</v>
      </c>
      <c r="AC53" s="39">
        <f t="shared" si="214"/>
        <v>0</v>
      </c>
      <c r="AD53" s="39" t="str">
        <f t="shared" ref="AD53:AF53" si="247">IF(COUNT(AD38:AD52)&gt;0,SUM(AD38:AD52),"")</f>
        <v/>
      </c>
      <c r="AE53" s="39">
        <f t="shared" si="247"/>
        <v>64800</v>
      </c>
      <c r="AF53" s="39">
        <f t="shared" si="247"/>
        <v>64800</v>
      </c>
      <c r="AG53" s="39">
        <f t="shared" si="216"/>
        <v>0</v>
      </c>
      <c r="AH53" s="39" t="str">
        <f t="shared" ref="AH53:AJ53" si="248">IF(COUNT(AH38:AH52)&gt;0,SUM(AH38:AH52),"")</f>
        <v/>
      </c>
      <c r="AI53" s="39">
        <f t="shared" si="248"/>
        <v>64800</v>
      </c>
      <c r="AJ53" s="39">
        <f t="shared" si="248"/>
        <v>64800</v>
      </c>
      <c r="AK53" s="39">
        <f t="shared" si="218"/>
        <v>0</v>
      </c>
      <c r="AL53" s="39" t="str">
        <f t="shared" ref="AL53:AN53" si="249">IF(COUNT(AL38:AL52)&gt;0,SUM(AL38:AL52),"")</f>
        <v/>
      </c>
      <c r="AM53" s="39">
        <f t="shared" si="249"/>
        <v>64800</v>
      </c>
      <c r="AN53" s="39">
        <f t="shared" si="249"/>
        <v>64800</v>
      </c>
      <c r="AO53" s="39">
        <f t="shared" si="220"/>
        <v>0</v>
      </c>
      <c r="AP53" s="39" t="str">
        <f t="shared" ref="AP53:AR53" si="250">IF(COUNT(AP38:AP52)&gt;0,SUM(AP38:AP52),"")</f>
        <v/>
      </c>
      <c r="AQ53" s="39">
        <f t="shared" si="250"/>
        <v>64800</v>
      </c>
      <c r="AR53" s="39">
        <f t="shared" si="250"/>
        <v>64800</v>
      </c>
      <c r="AS53" s="39">
        <f t="shared" si="222"/>
        <v>0</v>
      </c>
      <c r="AT53" s="39">
        <f t="shared" ref="AT53:AV53" si="251">IF(COUNT(AT38:AT52)&gt;0,SUM(AT38:AT52),"")</f>
        <v>63504</v>
      </c>
      <c r="AU53" s="39">
        <f t="shared" si="251"/>
        <v>63504</v>
      </c>
      <c r="AV53" s="39">
        <f t="shared" si="251"/>
        <v>64800</v>
      </c>
      <c r="AW53" s="39">
        <f t="shared" si="224"/>
        <v>-1296</v>
      </c>
      <c r="AX53" s="39">
        <f t="shared" ref="AX53:AZ53" si="252">IF(COUNT(AX38:AX52)&gt;0,SUM(AX38:AX52),"")</f>
        <v>68041</v>
      </c>
      <c r="AY53" s="39">
        <f t="shared" si="252"/>
        <v>68041</v>
      </c>
      <c r="AZ53" s="39">
        <f t="shared" si="252"/>
        <v>64800</v>
      </c>
      <c r="BA53" s="39">
        <f t="shared" si="226"/>
        <v>3241</v>
      </c>
    </row>
    <row r="54" ht="18.0" customHeight="1">
      <c r="A54" s="12" t="s">
        <v>57</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row>
    <row r="55" ht="18.0" customHeight="1">
      <c r="A55" s="36" t="s">
        <v>58</v>
      </c>
      <c r="B55" s="39">
        <f t="shared" ref="B55:D55" si="253">SUM(AX55,AT55,AP55,AL55,AH55,AD55,Z55,V55,R55,N55,J55,F55)</f>
        <v>-55725</v>
      </c>
      <c r="C55" s="39">
        <f t="shared" si="253"/>
        <v>-31725</v>
      </c>
      <c r="D55" s="39">
        <f t="shared" si="253"/>
        <v>109400</v>
      </c>
      <c r="E55" s="39">
        <f>IFERROR(IF(OR(C55="",D55=""),"",C55-D55),"")</f>
        <v>-141125</v>
      </c>
      <c r="F55" s="39" t="str">
        <f t="shared" ref="F55:H55" si="254">IF(COUNT(F36,F53)=2,F36-F53,"")</f>
        <v/>
      </c>
      <c r="G55" s="39">
        <f t="shared" si="254"/>
        <v>13200</v>
      </c>
      <c r="H55" s="39">
        <f t="shared" si="254"/>
        <v>13200</v>
      </c>
      <c r="I55" s="39">
        <f>IFERROR(IF(OR(G55="",H55=""),"",G55-H55),"")</f>
        <v>0</v>
      </c>
      <c r="J55" s="39" t="str">
        <f t="shared" ref="J55:L55" si="255">IF(COUNT(J36,J53)=2,J36-J53,"")</f>
        <v/>
      </c>
      <c r="K55" s="39">
        <f t="shared" si="255"/>
        <v>13200</v>
      </c>
      <c r="L55" s="39">
        <f t="shared" si="255"/>
        <v>13200</v>
      </c>
      <c r="M55" s="39">
        <f>IFERROR(IF(OR(K55="",L55=""),"",K55-L55),"")</f>
        <v>0</v>
      </c>
      <c r="N55" s="39" t="str">
        <f t="shared" ref="N55:P55" si="256">IF(COUNT(N36,N53)=2,N36-N53,"")</f>
        <v/>
      </c>
      <c r="O55" s="39">
        <f t="shared" si="256"/>
        <v>13200</v>
      </c>
      <c r="P55" s="39">
        <f t="shared" si="256"/>
        <v>13200</v>
      </c>
      <c r="Q55" s="39">
        <f>IFERROR(IF(OR(O55="",P55=""),"",O55-P55),"")</f>
        <v>0</v>
      </c>
      <c r="R55" s="39" t="str">
        <f t="shared" ref="R55:T55" si="257">IF(COUNT(R36,R53)=2,R36-R53,"")</f>
        <v/>
      </c>
      <c r="S55" s="39">
        <f t="shared" si="257"/>
        <v>13200</v>
      </c>
      <c r="T55" s="39">
        <f t="shared" si="257"/>
        <v>13200</v>
      </c>
      <c r="U55" s="39">
        <f>IFERROR(IF(OR(S55="",T55=""),"",S55-T55),"")</f>
        <v>0</v>
      </c>
      <c r="V55" s="39" t="str">
        <f t="shared" ref="V55:X55" si="258">IF(COUNT(V36,V53)=2,V36-V53,"")</f>
        <v/>
      </c>
      <c r="W55" s="39">
        <f t="shared" si="258"/>
        <v>6200</v>
      </c>
      <c r="X55" s="39">
        <f t="shared" si="258"/>
        <v>6200</v>
      </c>
      <c r="Y55" s="39">
        <f>IFERROR(IF(OR(W55="",X55=""),"",W55-X55),"")</f>
        <v>0</v>
      </c>
      <c r="Z55" s="39" t="str">
        <f t="shared" ref="Z55:AB55" si="259">IF(COUNT(Z36,Z53)=2,Z36-Z53,"")</f>
        <v/>
      </c>
      <c r="AA55" s="39">
        <f t="shared" si="259"/>
        <v>6200</v>
      </c>
      <c r="AB55" s="39">
        <f t="shared" si="259"/>
        <v>6200</v>
      </c>
      <c r="AC55" s="39">
        <f>IFERROR(IF(OR(AA55="",AB55=""),"",AA55-AB55),"")</f>
        <v>0</v>
      </c>
      <c r="AD55" s="39" t="str">
        <f t="shared" ref="AD55:AF55" si="260">IF(COUNT(AD36,AD53)=2,AD36-AD53,"")</f>
        <v/>
      </c>
      <c r="AE55" s="39">
        <f t="shared" si="260"/>
        <v>6200</v>
      </c>
      <c r="AF55" s="39">
        <f t="shared" si="260"/>
        <v>6200</v>
      </c>
      <c r="AG55" s="39">
        <f>IFERROR(IF(OR(AE55="",AF55=""),"",AE55-AF55),"")</f>
        <v>0</v>
      </c>
      <c r="AH55" s="39" t="str">
        <f t="shared" ref="AH55:AJ55" si="261">IF(COUNT(AH36,AH53)=2,AH36-AH53,"")</f>
        <v/>
      </c>
      <c r="AI55" s="39">
        <f t="shared" si="261"/>
        <v>6200</v>
      </c>
      <c r="AJ55" s="39">
        <f t="shared" si="261"/>
        <v>6200</v>
      </c>
      <c r="AK55" s="39">
        <f>IFERROR(IF(OR(AI55="",AJ55=""),"",AI55-AJ55),"")</f>
        <v>0</v>
      </c>
      <c r="AL55" s="39" t="str">
        <f t="shared" ref="AL55:AN55" si="262">IF(COUNT(AL36,AL53)=2,AL36-AL53,"")</f>
        <v/>
      </c>
      <c r="AM55" s="39">
        <f t="shared" si="262"/>
        <v>-14800</v>
      </c>
      <c r="AN55" s="39">
        <f t="shared" si="262"/>
        <v>-800</v>
      </c>
      <c r="AO55" s="39">
        <f>IFERROR(IF(OR(AM55="",AN55=""),"",AM55-AN55),"")</f>
        <v>-14000</v>
      </c>
      <c r="AP55" s="39" t="str">
        <f t="shared" ref="AP55:AR55" si="263">IF(COUNT(AP36,AP53)=2,AP36-AP53,"")</f>
        <v/>
      </c>
      <c r="AQ55" s="39">
        <f t="shared" si="263"/>
        <v>-38800</v>
      </c>
      <c r="AR55" s="39">
        <f t="shared" si="263"/>
        <v>-800</v>
      </c>
      <c r="AS55" s="39">
        <f>IFERROR(IF(OR(AQ55="",AR55=""),"",AQ55-AR55),"")</f>
        <v>-38000</v>
      </c>
      <c r="AT55" s="39">
        <f t="shared" ref="AT55:AV55" si="264">IF(COUNT(AT36,AT53)=2,AT36-AT53,"")</f>
        <v>-29384</v>
      </c>
      <c r="AU55" s="39">
        <f t="shared" si="264"/>
        <v>-29384</v>
      </c>
      <c r="AV55" s="39">
        <f t="shared" si="264"/>
        <v>-800</v>
      </c>
      <c r="AW55" s="39">
        <f>IFERROR(IF(OR(AU55="",AV55=""),"",AU55-AV55),"")</f>
        <v>-28584</v>
      </c>
      <c r="AX55" s="39">
        <f t="shared" ref="AX55:AZ55" si="265">IF(COUNT(AX36,AX53)=2,AX36-AX53,"")</f>
        <v>-26341</v>
      </c>
      <c r="AY55" s="39">
        <f t="shared" si="265"/>
        <v>-26341</v>
      </c>
      <c r="AZ55" s="39">
        <f t="shared" si="265"/>
        <v>34200</v>
      </c>
      <c r="BA55" s="39">
        <f>IFERROR(IF(OR(AY55="",AZ55=""),"",AY55-AZ55),"")</f>
        <v>-60541</v>
      </c>
    </row>
    <row r="56" ht="18.0" customHeight="1">
      <c r="A56" s="12" t="s">
        <v>59</v>
      </c>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row>
    <row r="57" ht="18.0" customHeight="1">
      <c r="A57" s="2" t="s">
        <v>60</v>
      </c>
      <c r="B57" s="30">
        <f t="shared" ref="B57:D57" si="266">SUM(AX57,AT57,AP57,AL57,AH57,AD57,Z57,V57,R57,N57,J57,F57)</f>
        <v>110000</v>
      </c>
      <c r="C57" s="31">
        <f t="shared" si="266"/>
        <v>904000</v>
      </c>
      <c r="D57" s="32">
        <f t="shared" si="266"/>
        <v>1080000</v>
      </c>
      <c r="E57" s="33">
        <f t="shared" ref="E57:E70" si="268">IFERROR(IF(OR(C57="",D57=""),"",C57-D57),"")</f>
        <v>-176000</v>
      </c>
      <c r="F57" s="34"/>
      <c r="G57" s="31">
        <f>IF(F$98=1,F57,ROUND(SUM(IF(AND(AY$26&lt;&gt;"",AY$23&lt;&gt;""),IF(EOMONTH($AX$3+INT((DAY(EOMONTH($AX$3,0))-1)/2)+AY$23,0)=EOMONTH($F$3,0),AY$26,0),0),IF(AND(AU$26&lt;&gt;"",AU$23&lt;&gt;""),IF(EOMONTH($AT$3+INT((DAY(EOMONTH($AT$3,0))-1)/2)+AU$23,0)=EOMONTH($F$3,0),AU$26,0),0),IF(AND(AQ$26&lt;&gt;"",AQ$23&lt;&gt;""),IF(EOMONTH($AP$3+INT((DAY(EOMONTH($AP$3,0))-1)/2)+AQ$23,0)=EOMONTH($F$3,0),AQ$26,0),0),IF(AND(AM$26&lt;&gt;"",AM$23&lt;&gt;""),IF(EOMONTH($AL$3+INT((DAY(EOMONTH($AL$3,0))-1)/2)+AM$23,0)=EOMONTH($F$3,0),AM$26,0),0),IF(AND(AI$26&lt;&gt;"",AI$23&lt;&gt;""),IF(EOMONTH($AH$3+INT((DAY(EOMONTH($AH$3,0))-1)/2)+AI$23,0)=EOMONTH($F$3,0),AI$26,0),0),IF(AND(AE$26&lt;&gt;"",AE$23&lt;&gt;""),IF(EOMONTH($AD$3+INT((DAY(EOMONTH($AD$3,0))-1)/2)+AE$23,0)=EOMONTH($F$3,0),AE$26,0),0),IF(AND(AA$26&lt;&gt;"",AA$23&lt;&gt;""),IF(EOMONTH($Z$3+INT((DAY(EOMONTH($Z$3,0))-1)/2)+AA$23,0)=EOMONTH($F$3,0),AA$26,0),0),IF(AND(W$26&lt;&gt;"",W$23&lt;&gt;""),IF(EOMONTH($V$3+INT((DAY(EOMONTH($V$3,0))-1)/2)+W$23,0)=EOMONTH($F$3,0),W$26,0),0),IF(AND(S$26&lt;&gt;"",S$23&lt;&gt;""),IF(EOMONTH($R$3+INT((DAY(EOMONTH($R$3,0))-1)/2)+S$23,0)=EOMONTH($F$3,0),S$26,0),0),IF(AND(O$26&lt;&gt;"",O$23&lt;&gt;""),IF(EOMONTH($N$3+INT((DAY(EOMONTH($N$3,0))-1)/2)+O$23,0)=EOMONTH($F$3,0),O$26,0),0),IF(AND(K$26&lt;&gt;"",K$23&lt;&gt;""),IF(EOMONTH($J$3+INT((DAY(EOMONTH($J$3,0))-1)/2)+K$23,0)=EOMONTH($F$3,0),K$26,0),0),IF(AND(G$26&lt;&gt;"",G$23&lt;&gt;""),IF(EOMONTH($F$3+INT((DAY(EOMONTH($F$3,0))-1)/2)+G$23,0)=EOMONTH($F$3,0),G$26,0),0),IF($AX$75="",0,IF(EOMONTH($AX$75+AY$23,0)=EOMONTH($F$3,0),$AX$78*AY$13,0))),0))</f>
        <v>96000</v>
      </c>
      <c r="H57" s="32">
        <f>ROUND(SUM(IF(AND(AZ$26&lt;&gt;"",AZ$23&lt;&gt;""),IF(EOMONTH($AX$3+INT((DAY(EOMONTH($AX$3,0))-1)/2)+AZ$23,0)=EOMONTH($F$3,0),AZ$26,0),0),IF(AND(AV$26&lt;&gt;"",AV$23&lt;&gt;""),IF(EOMONTH($AT$3+INT((DAY(EOMONTH($AT$3,0))-1)/2)+AV$23,0)=EOMONTH($F$3,0),AV$26,0),0),IF(AND(AR$26&lt;&gt;"",AR$23&lt;&gt;""),IF(EOMONTH($AP$3+INT((DAY(EOMONTH($AP$3,0))-1)/2)+AR$23,0)=EOMONTH($F$3,0),AR$26,0),0),IF(AND(AN$26&lt;&gt;"",AN$23&lt;&gt;""),IF(EOMONTH($AL$3+INT((DAY(EOMONTH($AL$3,0))-1)/2)+AN$23,0)=EOMONTH($F$3,0),AN$26,0),0),IF(AND(AJ$26&lt;&gt;"",AJ$23&lt;&gt;""),IF(EOMONTH($AH$3+INT((DAY(EOMONTH($AH$3,0))-1)/2)+AJ$23,0)=EOMONTH($F$3,0),AJ$26,0),0),IF(AND(AF$26&lt;&gt;"",AF$23&lt;&gt;""),IF(EOMONTH($AD$3+INT((DAY(EOMONTH($AD$3,0))-1)/2)+AF$23,0)=EOMONTH($F$3,0),AF$26,0),0),IF(AND(AB$26&lt;&gt;"",AB$23&lt;&gt;""),IF(EOMONTH($Z$3+INT((DAY(EOMONTH($Z$3,0))-1)/2)+AB$23,0)=EOMONTH($F$3,0),AB$26,0),0),IF(AND(X$26&lt;&gt;"",X$23&lt;&gt;""),IF(EOMONTH($V$3+INT((DAY(EOMONTH($V$3,0))-1)/2)+X$23,0)=EOMONTH($F$3,0),X$26,0),0),IF(AND(T$26&lt;&gt;"",T$23&lt;&gt;""),IF(EOMONTH($R$3+INT((DAY(EOMONTH($R$3,0))-1)/2)+T$23,0)=EOMONTH($F$3,0),T$26,0),0),IF(AND(P$26&lt;&gt;"",P$23&lt;&gt;""),IF(EOMONTH($N$3+INT((DAY(EOMONTH($N$3,0))-1)/2)+P$23,0)=EOMONTH($F$3,0),P$26,0),0),IF(AND(L$26&lt;&gt;"",L$23&lt;&gt;""),IF(EOMONTH($J$3+INT((DAY(EOMONTH($J$3,0))-1)/2)+L$23,0)=EOMONTH($F$3,0),L$26,0),0),IF(AND(H$26&lt;&gt;"",H$23&lt;&gt;""),IF(EOMONTH($F$3+INT((DAY(EOMONTH($F$3,0))-1)/2)+H$23,0)=EOMONTH($F$3,0),H$26,0),0),IF($AX$75="",0,IF(EOMONTH($AX$75+AZ$23,0)=EOMONTH($F$3,0),$AX$78*AZ$13,0))),0)</f>
        <v>96000</v>
      </c>
      <c r="I57" s="33">
        <f t="shared" ref="I57:I70" si="270">IFERROR(IF(OR(G57="",H57=""),"",G57-H57),"")</f>
        <v>0</v>
      </c>
      <c r="J57" s="34"/>
      <c r="K57" s="31">
        <f>IF(J$98=1,J57,ROUND(SUM(IF(AND(AY$26&lt;&gt;"",AY$23&lt;&gt;""),IF(EOMONTH($AX$3+INT((DAY(EOMONTH($AX$3,0))-1)/2)+AY$23,0)=EOMONTH($J$3,0),AY$26,0),0),IF(AND(AU$26&lt;&gt;"",AU$23&lt;&gt;""),IF(EOMONTH($AT$3+INT((DAY(EOMONTH($AT$3,0))-1)/2)+AU$23,0)=EOMONTH($J$3,0),AU$26,0),0),IF(AND(AQ$26&lt;&gt;"",AQ$23&lt;&gt;""),IF(EOMONTH($AP$3+INT((DAY(EOMONTH($AP$3,0))-1)/2)+AQ$23,0)=EOMONTH($J$3,0),AQ$26,0),0),IF(AND(AM$26&lt;&gt;"",AM$23&lt;&gt;""),IF(EOMONTH($AL$3+INT((DAY(EOMONTH($AL$3,0))-1)/2)+AM$23,0)=EOMONTH($J$3,0),AM$26,0),0),IF(AND(AI$26&lt;&gt;"",AI$23&lt;&gt;""),IF(EOMONTH($AH$3+INT((DAY(EOMONTH($AH$3,0))-1)/2)+AI$23,0)=EOMONTH($J$3,0),AI$26,0),0),IF(AND(AE$26&lt;&gt;"",AE$23&lt;&gt;""),IF(EOMONTH($AD$3+INT((DAY(EOMONTH($AD$3,0))-1)/2)+AE$23,0)=EOMONTH($J$3,0),AE$26,0),0),IF(AND(AA$26&lt;&gt;"",AA$23&lt;&gt;""),IF(EOMONTH($Z$3+INT((DAY(EOMONTH($Z$3,0))-1)/2)+AA$23,0)=EOMONTH($J$3,0),AA$26,0),0),IF(AND(W$26&lt;&gt;"",W$23&lt;&gt;""),IF(EOMONTH($V$3+INT((DAY(EOMONTH($V$3,0))-1)/2)+W$23,0)=EOMONTH($J$3,0),W$26,0),0),IF(AND(S$26&lt;&gt;"",S$23&lt;&gt;""),IF(EOMONTH($R$3+INT((DAY(EOMONTH($R$3,0))-1)/2)+S$23,0)=EOMONTH($J$3,0),S$26,0),0),IF(AND(O$26&lt;&gt;"",O$23&lt;&gt;""),IF(EOMONTH($N$3+INT((DAY(EOMONTH($N$3,0))-1)/2)+O$23,0)=EOMONTH($J$3,0),O$26,0),0),IF(AND(K$26&lt;&gt;"",K$23&lt;&gt;""),IF(EOMONTH($J$3+INT((DAY(EOMONTH($J$3,0))-1)/2)+K$23,0)=EOMONTH($J$3,0),K$26,0),0),IF(AND(G$26&lt;&gt;"",G$23&lt;&gt;""),IF(EOMONTH($F$3+INT((DAY(EOMONTH($F$3,0))-1)/2)+G$23,0)=EOMONTH($J$3,0),G$26,0),0),IF($AX$75="",0,IF(EOMONTH($AX$75+AY$23,0)=EOMONTH($J$3,0),$AX$78*AY$13,0))),0))</f>
        <v>96000</v>
      </c>
      <c r="L57" s="32">
        <f>ROUND(SUM(IF(AND(AZ$26&lt;&gt;"",AZ$23&lt;&gt;""),IF(EOMONTH($AX$3+INT((DAY(EOMONTH($AX$3,0))-1)/2)+AZ$23,0)=EOMONTH($J$3,0),AZ$26,0),0),IF(AND(AV$26&lt;&gt;"",AV$23&lt;&gt;""),IF(EOMONTH($AT$3+INT((DAY(EOMONTH($AT$3,0))-1)/2)+AV$23,0)=EOMONTH($J$3,0),AV$26,0),0),IF(AND(AR$26&lt;&gt;"",AR$23&lt;&gt;""),IF(EOMONTH($AP$3+INT((DAY(EOMONTH($AP$3,0))-1)/2)+AR$23,0)=EOMONTH($J$3,0),AR$26,0),0),IF(AND(AN$26&lt;&gt;"",AN$23&lt;&gt;""),IF(EOMONTH($AL$3+INT((DAY(EOMONTH($AL$3,0))-1)/2)+AN$23,0)=EOMONTH($J$3,0),AN$26,0),0),IF(AND(AJ$26&lt;&gt;"",AJ$23&lt;&gt;""),IF(EOMONTH($AH$3+INT((DAY(EOMONTH($AH$3,0))-1)/2)+AJ$23,0)=EOMONTH($J$3,0),AJ$26,0),0),IF(AND(AF$26&lt;&gt;"",AF$23&lt;&gt;""),IF(EOMONTH($AD$3+INT((DAY(EOMONTH($AD$3,0))-1)/2)+AF$23,0)=EOMONTH($J$3,0),AF$26,0),0),IF(AND(AB$26&lt;&gt;"",AB$23&lt;&gt;""),IF(EOMONTH($Z$3+INT((DAY(EOMONTH($Z$3,0))-1)/2)+AB$23,0)=EOMONTH($J$3,0),AB$26,0),0),IF(AND(X$26&lt;&gt;"",X$23&lt;&gt;""),IF(EOMONTH($V$3+INT((DAY(EOMONTH($V$3,0))-1)/2)+X$23,0)=EOMONTH($J$3,0),X$26,0),0),IF(AND(T$26&lt;&gt;"",T$23&lt;&gt;""),IF(EOMONTH($R$3+INT((DAY(EOMONTH($R$3,0))-1)/2)+T$23,0)=EOMONTH($J$3,0),T$26,0),0),IF(AND(P$26&lt;&gt;"",P$23&lt;&gt;""),IF(EOMONTH($N$3+INT((DAY(EOMONTH($N$3,0))-1)/2)+P$23,0)=EOMONTH($J$3,0),P$26,0),0),IF(AND(L$26&lt;&gt;"",L$23&lt;&gt;""),IF(EOMONTH($J$3+INT((DAY(EOMONTH($J$3,0))-1)/2)+L$23,0)=EOMONTH($J$3,0),L$26,0),0),IF(AND(H$26&lt;&gt;"",H$23&lt;&gt;""),IF(EOMONTH($F$3+INT((DAY(EOMONTH($F$3,0))-1)/2)+H$23,0)=EOMONTH($J$3,0),H$26,0),0),IF($AX$75="",0,IF(EOMONTH($AX$75+AZ$23,0)=EOMONTH($J$3,0),$AX$78*AZ$13,0))),0)</f>
        <v>96000</v>
      </c>
      <c r="M57" s="33">
        <f t="shared" ref="M57:M70" si="272">IFERROR(IF(OR(K57="",L57=""),"",K57-L57),"")</f>
        <v>0</v>
      </c>
      <c r="N57" s="34"/>
      <c r="O57" s="31">
        <f>IF(N$98=1,N57,ROUND(SUM(IF(AND(AY$26&lt;&gt;"",AY$23&lt;&gt;""),IF(EOMONTH($AX$3+INT((DAY(EOMONTH($AX$3,0))-1)/2)+AY$23,0)=EOMONTH($N$3,0),AY$26,0),0),IF(AND(AU$26&lt;&gt;"",AU$23&lt;&gt;""),IF(EOMONTH($AT$3+INT((DAY(EOMONTH($AT$3,0))-1)/2)+AU$23,0)=EOMONTH($N$3,0),AU$26,0),0),IF(AND(AQ$26&lt;&gt;"",AQ$23&lt;&gt;""),IF(EOMONTH($AP$3+INT((DAY(EOMONTH($AP$3,0))-1)/2)+AQ$23,0)=EOMONTH($N$3,0),AQ$26,0),0),IF(AND(AM$26&lt;&gt;"",AM$23&lt;&gt;""),IF(EOMONTH($AL$3+INT((DAY(EOMONTH($AL$3,0))-1)/2)+AM$23,0)=EOMONTH($N$3,0),AM$26,0),0),IF(AND(AI$26&lt;&gt;"",AI$23&lt;&gt;""),IF(EOMONTH($AH$3+INT((DAY(EOMONTH($AH$3,0))-1)/2)+AI$23,0)=EOMONTH($N$3,0),AI$26,0),0),IF(AND(AE$26&lt;&gt;"",AE$23&lt;&gt;""),IF(EOMONTH($AD$3+INT((DAY(EOMONTH($AD$3,0))-1)/2)+AE$23,0)=EOMONTH($N$3,0),AE$26,0),0),IF(AND(AA$26&lt;&gt;"",AA$23&lt;&gt;""),IF(EOMONTH($Z$3+INT((DAY(EOMONTH($Z$3,0))-1)/2)+AA$23,0)=EOMONTH($N$3,0),AA$26,0),0),IF(AND(W$26&lt;&gt;"",W$23&lt;&gt;""),IF(EOMONTH($V$3+INT((DAY(EOMONTH($V$3,0))-1)/2)+W$23,0)=EOMONTH($N$3,0),W$26,0),0),IF(AND(S$26&lt;&gt;"",S$23&lt;&gt;""),IF(EOMONTH($R$3+INT((DAY(EOMONTH($R$3,0))-1)/2)+S$23,0)=EOMONTH($N$3,0),S$26,0),0),IF(AND(O$26&lt;&gt;"",O$23&lt;&gt;""),IF(EOMONTH($N$3+INT((DAY(EOMONTH($N$3,0))-1)/2)+O$23,0)=EOMONTH($N$3,0),O$26,0),0),IF(AND(K$26&lt;&gt;"",K$23&lt;&gt;""),IF(EOMONTH($J$3+INT((DAY(EOMONTH($J$3,0))-1)/2)+K$23,0)=EOMONTH($N$3,0),K$26,0),0),IF(AND(G$26&lt;&gt;"",G$23&lt;&gt;""),IF(EOMONTH($F$3+INT((DAY(EOMONTH($F$3,0))-1)/2)+G$23,0)=EOMONTH($N$3,0),G$26,0),0),IF($AX$75="",0,IF(EOMONTH($AX$75+AY$23,0)=EOMONTH($N$3,0),$AX$78*AY$13,0))),0))</f>
        <v>96000</v>
      </c>
      <c r="P57" s="32">
        <f>ROUND(SUM(IF(AND(AZ$26&lt;&gt;"",AZ$23&lt;&gt;""),IF(EOMONTH($AX$3+INT((DAY(EOMONTH($AX$3,0))-1)/2)+AZ$23,0)=EOMONTH($N$3,0),AZ$26,0),0),IF(AND(AV$26&lt;&gt;"",AV$23&lt;&gt;""),IF(EOMONTH($AT$3+INT((DAY(EOMONTH($AT$3,0))-1)/2)+AV$23,0)=EOMONTH($N$3,0),AV$26,0),0),IF(AND(AR$26&lt;&gt;"",AR$23&lt;&gt;""),IF(EOMONTH($AP$3+INT((DAY(EOMONTH($AP$3,0))-1)/2)+AR$23,0)=EOMONTH($N$3,0),AR$26,0),0),IF(AND(AN$26&lt;&gt;"",AN$23&lt;&gt;""),IF(EOMONTH($AL$3+INT((DAY(EOMONTH($AL$3,0))-1)/2)+AN$23,0)=EOMONTH($N$3,0),AN$26,0),0),IF(AND(AJ$26&lt;&gt;"",AJ$23&lt;&gt;""),IF(EOMONTH($AH$3+INT((DAY(EOMONTH($AH$3,0))-1)/2)+AJ$23,0)=EOMONTH($N$3,0),AJ$26,0),0),IF(AND(AF$26&lt;&gt;"",AF$23&lt;&gt;""),IF(EOMONTH($AD$3+INT((DAY(EOMONTH($AD$3,0))-1)/2)+AF$23,0)=EOMONTH($N$3,0),AF$26,0),0),IF(AND(AB$26&lt;&gt;"",AB$23&lt;&gt;""),IF(EOMONTH($Z$3+INT((DAY(EOMONTH($Z$3,0))-1)/2)+AB$23,0)=EOMONTH($N$3,0),AB$26,0),0),IF(AND(X$26&lt;&gt;"",X$23&lt;&gt;""),IF(EOMONTH($V$3+INT((DAY(EOMONTH($V$3,0))-1)/2)+X$23,0)=EOMONTH($N$3,0),X$26,0),0),IF(AND(T$26&lt;&gt;"",T$23&lt;&gt;""),IF(EOMONTH($R$3+INT((DAY(EOMONTH($R$3,0))-1)/2)+T$23,0)=EOMONTH($N$3,0),T$26,0),0),IF(AND(P$26&lt;&gt;"",P$23&lt;&gt;""),IF(EOMONTH($N$3+INT((DAY(EOMONTH($N$3,0))-1)/2)+P$23,0)=EOMONTH($N$3,0),P$26,0),0),IF(AND(L$26&lt;&gt;"",L$23&lt;&gt;""),IF(EOMONTH($J$3+INT((DAY(EOMONTH($J$3,0))-1)/2)+L$23,0)=EOMONTH($N$3,0),L$26,0),0),IF(AND(H$26&lt;&gt;"",H$23&lt;&gt;""),IF(EOMONTH($F$3+INT((DAY(EOMONTH($F$3,0))-1)/2)+H$23,0)=EOMONTH($N$3,0),H$26,0),0),IF($AX$75="",0,IF(EOMONTH($AX$75+AZ$23,0)=EOMONTH($N$3,0),$AX$78*AZ$13,0))),0)</f>
        <v>96000</v>
      </c>
      <c r="Q57" s="33">
        <f t="shared" ref="Q57:Q70" si="274">IFERROR(IF(OR(O57="",P57=""),"",O57-P57),"")</f>
        <v>0</v>
      </c>
      <c r="R57" s="34"/>
      <c r="S57" s="31">
        <f>IF(R$98=1,R57,ROUND(SUM(IF(AND(AY$26&lt;&gt;"",AY$23&lt;&gt;""),IF(EOMONTH($AX$3+INT((DAY(EOMONTH($AX$3,0))-1)/2)+AY$23,0)=EOMONTH($R$3,0),AY$26,0),0),IF(AND(AU$26&lt;&gt;"",AU$23&lt;&gt;""),IF(EOMONTH($AT$3+INT((DAY(EOMONTH($AT$3,0))-1)/2)+AU$23,0)=EOMONTH($R$3,0),AU$26,0),0),IF(AND(AQ$26&lt;&gt;"",AQ$23&lt;&gt;""),IF(EOMONTH($AP$3+INT((DAY(EOMONTH($AP$3,0))-1)/2)+AQ$23,0)=EOMONTH($R$3,0),AQ$26,0),0),IF(AND(AM$26&lt;&gt;"",AM$23&lt;&gt;""),IF(EOMONTH($AL$3+INT((DAY(EOMONTH($AL$3,0))-1)/2)+AM$23,0)=EOMONTH($R$3,0),AM$26,0),0),IF(AND(AI$26&lt;&gt;"",AI$23&lt;&gt;""),IF(EOMONTH($AH$3+INT((DAY(EOMONTH($AH$3,0))-1)/2)+AI$23,0)=EOMONTH($R$3,0),AI$26,0),0),IF(AND(AE$26&lt;&gt;"",AE$23&lt;&gt;""),IF(EOMONTH($AD$3+INT((DAY(EOMONTH($AD$3,0))-1)/2)+AE$23,0)=EOMONTH($R$3,0),AE$26,0),0),IF(AND(AA$26&lt;&gt;"",AA$23&lt;&gt;""),IF(EOMONTH($Z$3+INT((DAY(EOMONTH($Z$3,0))-1)/2)+AA$23,0)=EOMONTH($R$3,0),AA$26,0),0),IF(AND(W$26&lt;&gt;"",W$23&lt;&gt;""),IF(EOMONTH($V$3+INT((DAY(EOMONTH($V$3,0))-1)/2)+W$23,0)=EOMONTH($R$3,0),W$26,0),0),IF(AND(S$26&lt;&gt;"",S$23&lt;&gt;""),IF(EOMONTH($R$3+INT((DAY(EOMONTH($R$3,0))-1)/2)+S$23,0)=EOMONTH($R$3,0),S$26,0),0),IF(AND(O$26&lt;&gt;"",O$23&lt;&gt;""),IF(EOMONTH($N$3+INT((DAY(EOMONTH($N$3,0))-1)/2)+O$23,0)=EOMONTH($R$3,0),O$26,0),0),IF(AND(K$26&lt;&gt;"",K$23&lt;&gt;""),IF(EOMONTH($J$3+INT((DAY(EOMONTH($J$3,0))-1)/2)+K$23,0)=EOMONTH($R$3,0),K$26,0),0),IF(AND(G$26&lt;&gt;"",G$23&lt;&gt;""),IF(EOMONTH($F$3+INT((DAY(EOMONTH($F$3,0))-1)/2)+G$23,0)=EOMONTH($R$3,0),G$26,0),0),IF($AX$75="",0,IF(EOMONTH($AX$75+AY$23,0)=EOMONTH($R$3,0),$AX$78*AY$13,0))),0))</f>
        <v>88000</v>
      </c>
      <c r="T57" s="32">
        <f>ROUND(SUM(IF(AND(AZ$26&lt;&gt;"",AZ$23&lt;&gt;""),IF(EOMONTH($AX$3+INT((DAY(EOMONTH($AX$3,0))-1)/2)+AZ$23,0)=EOMONTH($R$3,0),AZ$26,0),0),IF(AND(AV$26&lt;&gt;"",AV$23&lt;&gt;""),IF(EOMONTH($AT$3+INT((DAY(EOMONTH($AT$3,0))-1)/2)+AV$23,0)=EOMONTH($R$3,0),AV$26,0),0),IF(AND(AR$26&lt;&gt;"",AR$23&lt;&gt;""),IF(EOMONTH($AP$3+INT((DAY(EOMONTH($AP$3,0))-1)/2)+AR$23,0)=EOMONTH($R$3,0),AR$26,0),0),IF(AND(AN$26&lt;&gt;"",AN$23&lt;&gt;""),IF(EOMONTH($AL$3+INT((DAY(EOMONTH($AL$3,0))-1)/2)+AN$23,0)=EOMONTH($R$3,0),AN$26,0),0),IF(AND(AJ$26&lt;&gt;"",AJ$23&lt;&gt;""),IF(EOMONTH($AH$3+INT((DAY(EOMONTH($AH$3,0))-1)/2)+AJ$23,0)=EOMONTH($R$3,0),AJ$26,0),0),IF(AND(AF$26&lt;&gt;"",AF$23&lt;&gt;""),IF(EOMONTH($AD$3+INT((DAY(EOMONTH($AD$3,0))-1)/2)+AF$23,0)=EOMONTH($R$3,0),AF$26,0),0),IF(AND(AB$26&lt;&gt;"",AB$23&lt;&gt;""),IF(EOMONTH($Z$3+INT((DAY(EOMONTH($Z$3,0))-1)/2)+AB$23,0)=EOMONTH($R$3,0),AB$26,0),0),IF(AND(X$26&lt;&gt;"",X$23&lt;&gt;""),IF(EOMONTH($V$3+INT((DAY(EOMONTH($V$3,0))-1)/2)+X$23,0)=EOMONTH($R$3,0),X$26,0),0),IF(AND(T$26&lt;&gt;"",T$23&lt;&gt;""),IF(EOMONTH($R$3+INT((DAY(EOMONTH($R$3,0))-1)/2)+T$23,0)=EOMONTH($R$3,0),T$26,0),0),IF(AND(P$26&lt;&gt;"",P$23&lt;&gt;""),IF(EOMONTH($N$3+INT((DAY(EOMONTH($N$3,0))-1)/2)+P$23,0)=EOMONTH($R$3,0),P$26,0),0),IF(AND(L$26&lt;&gt;"",L$23&lt;&gt;""),IF(EOMONTH($J$3+INT((DAY(EOMONTH($J$3,0))-1)/2)+L$23,0)=EOMONTH($R$3,0),L$26,0),0),IF(AND(H$26&lt;&gt;"",H$23&lt;&gt;""),IF(EOMONTH($F$3+INT((DAY(EOMONTH($F$3,0))-1)/2)+H$23,0)=EOMONTH($R$3,0),H$26,0),0),IF($AX$75="",0,IF(EOMONTH($AX$75+AZ$23,0)=EOMONTH($R$3,0),$AX$78*AZ$13,0))),0)</f>
        <v>88000</v>
      </c>
      <c r="U57" s="33">
        <f t="shared" ref="U57:U70" si="276">IFERROR(IF(OR(S57="",T57=""),"",S57-T57),"")</f>
        <v>0</v>
      </c>
      <c r="V57" s="34"/>
      <c r="W57" s="31">
        <f>IF(V$98=1,V57,ROUND(SUM(IF(AND(AY$26&lt;&gt;"",AY$23&lt;&gt;""),IF(EOMONTH($AX$3+INT((DAY(EOMONTH($AX$3,0))-1)/2)+AY$23,0)=EOMONTH($V$3,0),AY$26,0),0),IF(AND(AU$26&lt;&gt;"",AU$23&lt;&gt;""),IF(EOMONTH($AT$3+INT((DAY(EOMONTH($AT$3,0))-1)/2)+AU$23,0)=EOMONTH($V$3,0),AU$26,0),0),IF(AND(AQ$26&lt;&gt;"",AQ$23&lt;&gt;""),IF(EOMONTH($AP$3+INT((DAY(EOMONTH($AP$3,0))-1)/2)+AQ$23,0)=EOMONTH($V$3,0),AQ$26,0),0),IF(AND(AM$26&lt;&gt;"",AM$23&lt;&gt;""),IF(EOMONTH($AL$3+INT((DAY(EOMONTH($AL$3,0))-1)/2)+AM$23,0)=EOMONTH($V$3,0),AM$26,0),0),IF(AND(AI$26&lt;&gt;"",AI$23&lt;&gt;""),IF(EOMONTH($AH$3+INT((DAY(EOMONTH($AH$3,0))-1)/2)+AI$23,0)=EOMONTH($V$3,0),AI$26,0),0),IF(AND(AE$26&lt;&gt;"",AE$23&lt;&gt;""),IF(EOMONTH($AD$3+INT((DAY(EOMONTH($AD$3,0))-1)/2)+AE$23,0)=EOMONTH($V$3,0),AE$26,0),0),IF(AND(AA$26&lt;&gt;"",AA$23&lt;&gt;""),IF(EOMONTH($Z$3+INT((DAY(EOMONTH($Z$3,0))-1)/2)+AA$23,0)=EOMONTH($V$3,0),AA$26,0),0),IF(AND(W$26&lt;&gt;"",W$23&lt;&gt;""),IF(EOMONTH($V$3+INT((DAY(EOMONTH($V$3,0))-1)/2)+W$23,0)=EOMONTH($V$3,0),W$26,0),0),IF(AND(S$26&lt;&gt;"",S$23&lt;&gt;""),IF(EOMONTH($R$3+INT((DAY(EOMONTH($R$3,0))-1)/2)+S$23,0)=EOMONTH($V$3,0),S$26,0),0),IF(AND(O$26&lt;&gt;"",O$23&lt;&gt;""),IF(EOMONTH($N$3+INT((DAY(EOMONTH($N$3,0))-1)/2)+O$23,0)=EOMONTH($V$3,0),O$26,0),0),IF(AND(K$26&lt;&gt;"",K$23&lt;&gt;""),IF(EOMONTH($J$3+INT((DAY(EOMONTH($J$3,0))-1)/2)+K$23,0)=EOMONTH($V$3,0),K$26,0),0),IF(AND(G$26&lt;&gt;"",G$23&lt;&gt;""),IF(EOMONTH($F$3+INT((DAY(EOMONTH($F$3,0))-1)/2)+G$23,0)=EOMONTH($V$3,0),G$26,0),0),IF($AX$75="",0,IF(EOMONTH($AX$75+AY$23,0)=EOMONTH($V$3,0),$AX$78*AY$13,0))),0))</f>
        <v>88000</v>
      </c>
      <c r="X57" s="32">
        <f>ROUND(SUM(IF(AND(AZ$26&lt;&gt;"",AZ$23&lt;&gt;""),IF(EOMONTH($AX$3+INT((DAY(EOMONTH($AX$3,0))-1)/2)+AZ$23,0)=EOMONTH($V$3,0),AZ$26,0),0),IF(AND(AV$26&lt;&gt;"",AV$23&lt;&gt;""),IF(EOMONTH($AT$3+INT((DAY(EOMONTH($AT$3,0))-1)/2)+AV$23,0)=EOMONTH($V$3,0),AV$26,0),0),IF(AND(AR$26&lt;&gt;"",AR$23&lt;&gt;""),IF(EOMONTH($AP$3+INT((DAY(EOMONTH($AP$3,0))-1)/2)+AR$23,0)=EOMONTH($V$3,0),AR$26,0),0),IF(AND(AN$26&lt;&gt;"",AN$23&lt;&gt;""),IF(EOMONTH($AL$3+INT((DAY(EOMONTH($AL$3,0))-1)/2)+AN$23,0)=EOMONTH($V$3,0),AN$26,0),0),IF(AND(AJ$26&lt;&gt;"",AJ$23&lt;&gt;""),IF(EOMONTH($AH$3+INT((DAY(EOMONTH($AH$3,0))-1)/2)+AJ$23,0)=EOMONTH($V$3,0),AJ$26,0),0),IF(AND(AF$26&lt;&gt;"",AF$23&lt;&gt;""),IF(EOMONTH($AD$3+INT((DAY(EOMONTH($AD$3,0))-1)/2)+AF$23,0)=EOMONTH($V$3,0),AF$26,0),0),IF(AND(AB$26&lt;&gt;"",AB$23&lt;&gt;""),IF(EOMONTH($Z$3+INT((DAY(EOMONTH($Z$3,0))-1)/2)+AB$23,0)=EOMONTH($V$3,0),AB$26,0),0),IF(AND(X$26&lt;&gt;"",X$23&lt;&gt;""),IF(EOMONTH($V$3+INT((DAY(EOMONTH($V$3,0))-1)/2)+X$23,0)=EOMONTH($V$3,0),X$26,0),0),IF(AND(T$26&lt;&gt;"",T$23&lt;&gt;""),IF(EOMONTH($R$3+INT((DAY(EOMONTH($R$3,0))-1)/2)+T$23,0)=EOMONTH($V$3,0),T$26,0),0),IF(AND(P$26&lt;&gt;"",P$23&lt;&gt;""),IF(EOMONTH($N$3+INT((DAY(EOMONTH($N$3,0))-1)/2)+P$23,0)=EOMONTH($V$3,0),P$26,0),0),IF(AND(L$26&lt;&gt;"",L$23&lt;&gt;""),IF(EOMONTH($J$3+INT((DAY(EOMONTH($J$3,0))-1)/2)+L$23,0)=EOMONTH($V$3,0),L$26,0),0),IF(AND(H$26&lt;&gt;"",H$23&lt;&gt;""),IF(EOMONTH($F$3+INT((DAY(EOMONTH($F$3,0))-1)/2)+H$23,0)=EOMONTH($V$3,0),H$26,0),0),IF($AX$75="",0,IF(EOMONTH($AX$75+AZ$23,0)=EOMONTH($V$3,0),$AX$78*AZ$13,0))),0)</f>
        <v>88000</v>
      </c>
      <c r="Y57" s="33">
        <f t="shared" ref="Y57:Y70" si="278">IFERROR(IF(OR(W57="",X57=""),"",W57-X57),"")</f>
        <v>0</v>
      </c>
      <c r="Z57" s="34"/>
      <c r="AA57" s="31">
        <f>IF(Z$98=1,Z57,ROUND(SUM(IF(AND(AY$26&lt;&gt;"",AY$23&lt;&gt;""),IF(EOMONTH($AX$3+INT((DAY(EOMONTH($AX$3,0))-1)/2)+AY$23,0)=EOMONTH($Z$3,0),AY$26,0),0),IF(AND(AU$26&lt;&gt;"",AU$23&lt;&gt;""),IF(EOMONTH($AT$3+INT((DAY(EOMONTH($AT$3,0))-1)/2)+AU$23,0)=EOMONTH($Z$3,0),AU$26,0),0),IF(AND(AQ$26&lt;&gt;"",AQ$23&lt;&gt;""),IF(EOMONTH($AP$3+INT((DAY(EOMONTH($AP$3,0))-1)/2)+AQ$23,0)=EOMONTH($Z$3,0),AQ$26,0),0),IF(AND(AM$26&lt;&gt;"",AM$23&lt;&gt;""),IF(EOMONTH($AL$3+INT((DAY(EOMONTH($AL$3,0))-1)/2)+AM$23,0)=EOMONTH($Z$3,0),AM$26,0),0),IF(AND(AI$26&lt;&gt;"",AI$23&lt;&gt;""),IF(EOMONTH($AH$3+INT((DAY(EOMONTH($AH$3,0))-1)/2)+AI$23,0)=EOMONTH($Z$3,0),AI$26,0),0),IF(AND(AE$26&lt;&gt;"",AE$23&lt;&gt;""),IF(EOMONTH($AD$3+INT((DAY(EOMONTH($AD$3,0))-1)/2)+AE$23,0)=EOMONTH($Z$3,0),AE$26,0),0),IF(AND(AA$26&lt;&gt;"",AA$23&lt;&gt;""),IF(EOMONTH($Z$3+INT((DAY(EOMONTH($Z$3,0))-1)/2)+AA$23,0)=EOMONTH($Z$3,0),AA$26,0),0),IF(AND(W$26&lt;&gt;"",W$23&lt;&gt;""),IF(EOMONTH($V$3+INT((DAY(EOMONTH($V$3,0))-1)/2)+W$23,0)=EOMONTH($Z$3,0),W$26,0),0),IF(AND(S$26&lt;&gt;"",S$23&lt;&gt;""),IF(EOMONTH($R$3+INT((DAY(EOMONTH($R$3,0))-1)/2)+S$23,0)=EOMONTH($Z$3,0),S$26,0),0),IF(AND(O$26&lt;&gt;"",O$23&lt;&gt;""),IF(EOMONTH($N$3+INT((DAY(EOMONTH($N$3,0))-1)/2)+O$23,0)=EOMONTH($Z$3,0),O$26,0),0),IF(AND(K$26&lt;&gt;"",K$23&lt;&gt;""),IF(EOMONTH($J$3+INT((DAY(EOMONTH($J$3,0))-1)/2)+K$23,0)=EOMONTH($Z$3,0),K$26,0),0),IF(AND(G$26&lt;&gt;"",G$23&lt;&gt;""),IF(EOMONTH($F$3+INT((DAY(EOMONTH($F$3,0))-1)/2)+G$23,0)=EOMONTH($Z$3,0),G$26,0),0),IF($AX$75="",0,IF(EOMONTH($AX$75+AY$23,0)=EOMONTH($Z$3,0),$AX$78*AY$13,0))),0))</f>
        <v>88000</v>
      </c>
      <c r="AB57" s="32">
        <f>ROUND(SUM(IF(AND(AZ$26&lt;&gt;"",AZ$23&lt;&gt;""),IF(EOMONTH($AX$3+INT((DAY(EOMONTH($AX$3,0))-1)/2)+AZ$23,0)=EOMONTH($Z$3,0),AZ$26,0),0),IF(AND(AV$26&lt;&gt;"",AV$23&lt;&gt;""),IF(EOMONTH($AT$3+INT((DAY(EOMONTH($AT$3,0))-1)/2)+AV$23,0)=EOMONTH($Z$3,0),AV$26,0),0),IF(AND(AR$26&lt;&gt;"",AR$23&lt;&gt;""),IF(EOMONTH($AP$3+INT((DAY(EOMONTH($AP$3,0))-1)/2)+AR$23,0)=EOMONTH($Z$3,0),AR$26,0),0),IF(AND(AN$26&lt;&gt;"",AN$23&lt;&gt;""),IF(EOMONTH($AL$3+INT((DAY(EOMONTH($AL$3,0))-1)/2)+AN$23,0)=EOMONTH($Z$3,0),AN$26,0),0),IF(AND(AJ$26&lt;&gt;"",AJ$23&lt;&gt;""),IF(EOMONTH($AH$3+INT((DAY(EOMONTH($AH$3,0))-1)/2)+AJ$23,0)=EOMONTH($Z$3,0),AJ$26,0),0),IF(AND(AF$26&lt;&gt;"",AF$23&lt;&gt;""),IF(EOMONTH($AD$3+INT((DAY(EOMONTH($AD$3,0))-1)/2)+AF$23,0)=EOMONTH($Z$3,0),AF$26,0),0),IF(AND(AB$26&lt;&gt;"",AB$23&lt;&gt;""),IF(EOMONTH($Z$3+INT((DAY(EOMONTH($Z$3,0))-1)/2)+AB$23,0)=EOMONTH($Z$3,0),AB$26,0),0),IF(AND(X$26&lt;&gt;"",X$23&lt;&gt;""),IF(EOMONTH($V$3+INT((DAY(EOMONTH($V$3,0))-1)/2)+X$23,0)=EOMONTH($Z$3,0),X$26,0),0),IF(AND(T$26&lt;&gt;"",T$23&lt;&gt;""),IF(EOMONTH($R$3+INT((DAY(EOMONTH($R$3,0))-1)/2)+T$23,0)=EOMONTH($Z$3,0),T$26,0),0),IF(AND(P$26&lt;&gt;"",P$23&lt;&gt;""),IF(EOMONTH($N$3+INT((DAY(EOMONTH($N$3,0))-1)/2)+P$23,0)=EOMONTH($Z$3,0),P$26,0),0),IF(AND(L$26&lt;&gt;"",L$23&lt;&gt;""),IF(EOMONTH($J$3+INT((DAY(EOMONTH($J$3,0))-1)/2)+L$23,0)=EOMONTH($Z$3,0),L$26,0),0),IF(AND(H$26&lt;&gt;"",H$23&lt;&gt;""),IF(EOMONTH($F$3+INT((DAY(EOMONTH($F$3,0))-1)/2)+H$23,0)=EOMONTH($Z$3,0),H$26,0),0),IF($AX$75="",0,IF(EOMONTH($AX$75+AZ$23,0)=EOMONTH($Z$3,0),$AX$78*AZ$13,0))),0)</f>
        <v>88000</v>
      </c>
      <c r="AC57" s="33">
        <f t="shared" ref="AC57:AC70" si="280">IFERROR(IF(OR(AA57="",AB57=""),"",AA57-AB57),"")</f>
        <v>0</v>
      </c>
      <c r="AD57" s="34"/>
      <c r="AE57" s="31">
        <f>IF(AD$98=1,AD57,ROUND(SUM(IF(AND(AY$26&lt;&gt;"",AY$23&lt;&gt;""),IF(EOMONTH($AX$3+INT((DAY(EOMONTH($AX$3,0))-1)/2)+AY$23,0)=EOMONTH($AD$3,0),AY$26,0),0),IF(AND(AU$26&lt;&gt;"",AU$23&lt;&gt;""),IF(EOMONTH($AT$3+INT((DAY(EOMONTH($AT$3,0))-1)/2)+AU$23,0)=EOMONTH($AD$3,0),AU$26,0),0),IF(AND(AQ$26&lt;&gt;"",AQ$23&lt;&gt;""),IF(EOMONTH($AP$3+INT((DAY(EOMONTH($AP$3,0))-1)/2)+AQ$23,0)=EOMONTH($AD$3,0),AQ$26,0),0),IF(AND(AM$26&lt;&gt;"",AM$23&lt;&gt;""),IF(EOMONTH($AL$3+INT((DAY(EOMONTH($AL$3,0))-1)/2)+AM$23,0)=EOMONTH($AD$3,0),AM$26,0),0),IF(AND(AI$26&lt;&gt;"",AI$23&lt;&gt;""),IF(EOMONTH($AH$3+INT((DAY(EOMONTH($AH$3,0))-1)/2)+AI$23,0)=EOMONTH($AD$3,0),AI$26,0),0),IF(AND(AE$26&lt;&gt;"",AE$23&lt;&gt;""),IF(EOMONTH($AD$3+INT((DAY(EOMONTH($AD$3,0))-1)/2)+AE$23,0)=EOMONTH($AD$3,0),AE$26,0),0),IF(AND(AA$26&lt;&gt;"",AA$23&lt;&gt;""),IF(EOMONTH($Z$3+INT((DAY(EOMONTH($Z$3,0))-1)/2)+AA$23,0)=EOMONTH($AD$3,0),AA$26,0),0),IF(AND(W$26&lt;&gt;"",W$23&lt;&gt;""),IF(EOMONTH($V$3+INT((DAY(EOMONTH($V$3,0))-1)/2)+W$23,0)=EOMONTH($AD$3,0),W$26,0),0),IF(AND(S$26&lt;&gt;"",S$23&lt;&gt;""),IF(EOMONTH($R$3+INT((DAY(EOMONTH($R$3,0))-1)/2)+S$23,0)=EOMONTH($AD$3,0),S$26,0),0),IF(AND(O$26&lt;&gt;"",O$23&lt;&gt;""),IF(EOMONTH($N$3+INT((DAY(EOMONTH($N$3,0))-1)/2)+O$23,0)=EOMONTH($AD$3,0),O$26,0),0),IF(AND(K$26&lt;&gt;"",K$23&lt;&gt;""),IF(EOMONTH($J$3+INT((DAY(EOMONTH($J$3,0))-1)/2)+K$23,0)=EOMONTH($AD$3,0),K$26,0),0),IF(AND(G$26&lt;&gt;"",G$23&lt;&gt;""),IF(EOMONTH($F$3+INT((DAY(EOMONTH($F$3,0))-1)/2)+G$23,0)=EOMONTH($AD$3,0),G$26,0),0),IF($AX$75="",0,IF(EOMONTH($AX$75+AY$23,0)=EOMONTH($AD$3,0),$AX$78*AY$13,0))),0))</f>
        <v>88000</v>
      </c>
      <c r="AF57" s="32">
        <f>ROUND(SUM(IF(AND(AZ$26&lt;&gt;"",AZ$23&lt;&gt;""),IF(EOMONTH($AX$3+INT((DAY(EOMONTH($AX$3,0))-1)/2)+AZ$23,0)=EOMONTH($AD$3,0),AZ$26,0),0),IF(AND(AV$26&lt;&gt;"",AV$23&lt;&gt;""),IF(EOMONTH($AT$3+INT((DAY(EOMONTH($AT$3,0))-1)/2)+AV$23,0)=EOMONTH($AD$3,0),AV$26,0),0),IF(AND(AR$26&lt;&gt;"",AR$23&lt;&gt;""),IF(EOMONTH($AP$3+INT((DAY(EOMONTH($AP$3,0))-1)/2)+AR$23,0)=EOMONTH($AD$3,0),AR$26,0),0),IF(AND(AN$26&lt;&gt;"",AN$23&lt;&gt;""),IF(EOMONTH($AL$3+INT((DAY(EOMONTH($AL$3,0))-1)/2)+AN$23,0)=EOMONTH($AD$3,0),AN$26,0),0),IF(AND(AJ$26&lt;&gt;"",AJ$23&lt;&gt;""),IF(EOMONTH($AH$3+INT((DAY(EOMONTH($AH$3,0))-1)/2)+AJ$23,0)=EOMONTH($AD$3,0),AJ$26,0),0),IF(AND(AF$26&lt;&gt;"",AF$23&lt;&gt;""),IF(EOMONTH($AD$3+INT((DAY(EOMONTH($AD$3,0))-1)/2)+AF$23,0)=EOMONTH($AD$3,0),AF$26,0),0),IF(AND(AB$26&lt;&gt;"",AB$23&lt;&gt;""),IF(EOMONTH($Z$3+INT((DAY(EOMONTH($Z$3,0))-1)/2)+AB$23,0)=EOMONTH($AD$3,0),AB$26,0),0),IF(AND(X$26&lt;&gt;"",X$23&lt;&gt;""),IF(EOMONTH($V$3+INT((DAY(EOMONTH($V$3,0))-1)/2)+X$23,0)=EOMONTH($AD$3,0),X$26,0),0),IF(AND(T$26&lt;&gt;"",T$23&lt;&gt;""),IF(EOMONTH($R$3+INT((DAY(EOMONTH($R$3,0))-1)/2)+T$23,0)=EOMONTH($AD$3,0),T$26,0),0),IF(AND(P$26&lt;&gt;"",P$23&lt;&gt;""),IF(EOMONTH($N$3+INT((DAY(EOMONTH($N$3,0))-1)/2)+P$23,0)=EOMONTH($AD$3,0),P$26,0),0),IF(AND(L$26&lt;&gt;"",L$23&lt;&gt;""),IF(EOMONTH($J$3+INT((DAY(EOMONTH($J$3,0))-1)/2)+L$23,0)=EOMONTH($AD$3,0),L$26,0),0),IF(AND(H$26&lt;&gt;"",H$23&lt;&gt;""),IF(EOMONTH($F$3+INT((DAY(EOMONTH($F$3,0))-1)/2)+H$23,0)=EOMONTH($AD$3,0),H$26,0),0),IF($AX$75="",0,IF(EOMONTH($AX$75+AZ$23,0)=EOMONTH($AD$3,0),$AX$78*AZ$13,0))),0)</f>
        <v>88000</v>
      </c>
      <c r="AG57" s="33">
        <f t="shared" ref="AG57:AG70" si="282">IFERROR(IF(OR(AE57="",AF57=""),"",AE57-AF57),"")</f>
        <v>0</v>
      </c>
      <c r="AH57" s="34"/>
      <c r="AI57" s="31">
        <f>IF(AH$98=1,AH57,ROUND(SUM(IF(AND(AY$26&lt;&gt;"",AY$23&lt;&gt;""),IF(EOMONTH($AX$3+INT((DAY(EOMONTH($AX$3,0))-1)/2)+AY$23,0)=EOMONTH($AH$3,0),AY$26,0),0),IF(AND(AU$26&lt;&gt;"",AU$23&lt;&gt;""),IF(EOMONTH($AT$3+INT((DAY(EOMONTH($AT$3,0))-1)/2)+AU$23,0)=EOMONTH($AH$3,0),AU$26,0),0),IF(AND(AQ$26&lt;&gt;"",AQ$23&lt;&gt;""),IF(EOMONTH($AP$3+INT((DAY(EOMONTH($AP$3,0))-1)/2)+AQ$23,0)=EOMONTH($AH$3,0),AQ$26,0),0),IF(AND(AM$26&lt;&gt;"",AM$23&lt;&gt;""),IF(EOMONTH($AL$3+INT((DAY(EOMONTH($AL$3,0))-1)/2)+AM$23,0)=EOMONTH($AH$3,0),AM$26,0),0),IF(AND(AI$26&lt;&gt;"",AI$23&lt;&gt;""),IF(EOMONTH($AH$3+INT((DAY(EOMONTH($AH$3,0))-1)/2)+AI$23,0)=EOMONTH($AH$3,0),AI$26,0),0),IF(AND(AE$26&lt;&gt;"",AE$23&lt;&gt;""),IF(EOMONTH($AD$3+INT((DAY(EOMONTH($AD$3,0))-1)/2)+AE$23,0)=EOMONTH($AH$3,0),AE$26,0),0),IF(AND(AA$26&lt;&gt;"",AA$23&lt;&gt;""),IF(EOMONTH($Z$3+INT((DAY(EOMONTH($Z$3,0))-1)/2)+AA$23,0)=EOMONTH($AH$3,0),AA$26,0),0),IF(AND(W$26&lt;&gt;"",W$23&lt;&gt;""),IF(EOMONTH($V$3+INT((DAY(EOMONTH($V$3,0))-1)/2)+W$23,0)=EOMONTH($AH$3,0),W$26,0),0),IF(AND(S$26&lt;&gt;"",S$23&lt;&gt;""),IF(EOMONTH($R$3+INT((DAY(EOMONTH($R$3,0))-1)/2)+S$23,0)=EOMONTH($AH$3,0),S$26,0),0),IF(AND(O$26&lt;&gt;"",O$23&lt;&gt;""),IF(EOMONTH($N$3+INT((DAY(EOMONTH($N$3,0))-1)/2)+O$23,0)=EOMONTH($AH$3,0),O$26,0),0),IF(AND(K$26&lt;&gt;"",K$23&lt;&gt;""),IF(EOMONTH($J$3+INT((DAY(EOMONTH($J$3,0))-1)/2)+K$23,0)=EOMONTH($AH$3,0),K$26,0),0),IF(AND(G$26&lt;&gt;"",G$23&lt;&gt;""),IF(EOMONTH($F$3+INT((DAY(EOMONTH($F$3,0))-1)/2)+G$23,0)=EOMONTH($AH$3,0),G$26,0),0),IF($AX$75="",0,IF(EOMONTH($AX$75+AY$23,0)=EOMONTH($AH$3,0),$AX$78*AY$13,0))),0))</f>
        <v>64000</v>
      </c>
      <c r="AJ57" s="32">
        <f>ROUND(SUM(IF(AND(AZ$26&lt;&gt;"",AZ$23&lt;&gt;""),IF(EOMONTH($AX$3+INT((DAY(EOMONTH($AX$3,0))-1)/2)+AZ$23,0)=EOMONTH($AH$3,0),AZ$26,0),0),IF(AND(AV$26&lt;&gt;"",AV$23&lt;&gt;""),IF(EOMONTH($AT$3+INT((DAY(EOMONTH($AT$3,0))-1)/2)+AV$23,0)=EOMONTH($AH$3,0),AV$26,0),0),IF(AND(AR$26&lt;&gt;"",AR$23&lt;&gt;""),IF(EOMONTH($AP$3+INT((DAY(EOMONTH($AP$3,0))-1)/2)+AR$23,0)=EOMONTH($AH$3,0),AR$26,0),0),IF(AND(AN$26&lt;&gt;"",AN$23&lt;&gt;""),IF(EOMONTH($AL$3+INT((DAY(EOMONTH($AL$3,0))-1)/2)+AN$23,0)=EOMONTH($AH$3,0),AN$26,0),0),IF(AND(AJ$26&lt;&gt;"",AJ$23&lt;&gt;""),IF(EOMONTH($AH$3+INT((DAY(EOMONTH($AH$3,0))-1)/2)+AJ$23,0)=EOMONTH($AH$3,0),AJ$26,0),0),IF(AND(AF$26&lt;&gt;"",AF$23&lt;&gt;""),IF(EOMONTH($AD$3+INT((DAY(EOMONTH($AD$3,0))-1)/2)+AF$23,0)=EOMONTH($AH$3,0),AF$26,0),0),IF(AND(AB$26&lt;&gt;"",AB$23&lt;&gt;""),IF(EOMONTH($Z$3+INT((DAY(EOMONTH($Z$3,0))-1)/2)+AB$23,0)=EOMONTH($AH$3,0),AB$26,0),0),IF(AND(X$26&lt;&gt;"",X$23&lt;&gt;""),IF(EOMONTH($V$3+INT((DAY(EOMONTH($V$3,0))-1)/2)+X$23,0)=EOMONTH($AH$3,0),X$26,0),0),IF(AND(T$26&lt;&gt;"",T$23&lt;&gt;""),IF(EOMONTH($R$3+INT((DAY(EOMONTH($R$3,0))-1)/2)+T$23,0)=EOMONTH($AH$3,0),T$26,0),0),IF(AND(P$26&lt;&gt;"",P$23&lt;&gt;""),IF(EOMONTH($N$3+INT((DAY(EOMONTH($N$3,0))-1)/2)+P$23,0)=EOMONTH($AH$3,0),P$26,0),0),IF(AND(L$26&lt;&gt;"",L$23&lt;&gt;""),IF(EOMONTH($J$3+INT((DAY(EOMONTH($J$3,0))-1)/2)+L$23,0)=EOMONTH($AH$3,0),L$26,0),0),IF(AND(H$26&lt;&gt;"",H$23&lt;&gt;""),IF(EOMONTH($F$3+INT((DAY(EOMONTH($F$3,0))-1)/2)+H$23,0)=EOMONTH($AH$3,0),H$26,0),0),IF($AX$75="",0,IF(EOMONTH($AX$75+AZ$23,0)=EOMONTH($AH$3,0),$AX$78*AZ$13,0))),0)</f>
        <v>80000</v>
      </c>
      <c r="AK57" s="33">
        <f t="shared" ref="AK57:AK70" si="284">IFERROR(IF(OR(AI57="",AJ57=""),"",AI57-AJ57),"")</f>
        <v>-16000</v>
      </c>
      <c r="AL57" s="34"/>
      <c r="AM57" s="31">
        <f>IF(AL$98=1,AL57,ROUND(SUM(IF(AND(AY$26&lt;&gt;"",AY$23&lt;&gt;""),IF(EOMONTH($AX$3+INT((DAY(EOMONTH($AX$3,0))-1)/2)+AY$23,0)=EOMONTH($AL$3,0),AY$26,0),0),IF(AND(AU$26&lt;&gt;"",AU$23&lt;&gt;""),IF(EOMONTH($AT$3+INT((DAY(EOMONTH($AT$3,0))-1)/2)+AU$23,0)=EOMONTH($AL$3,0),AU$26,0),0),IF(AND(AQ$26&lt;&gt;"",AQ$23&lt;&gt;""),IF(EOMONTH($AP$3+INT((DAY(EOMONTH($AP$3,0))-1)/2)+AQ$23,0)=EOMONTH($AL$3,0),AQ$26,0),0),IF(AND(AM$26&lt;&gt;"",AM$23&lt;&gt;""),IF(EOMONTH($AL$3+INT((DAY(EOMONTH($AL$3,0))-1)/2)+AM$23,0)=EOMONTH($AL$3,0),AM$26,0),0),IF(AND(AI$26&lt;&gt;"",AI$23&lt;&gt;""),IF(EOMONTH($AH$3+INT((DAY(EOMONTH($AH$3,0))-1)/2)+AI$23,0)=EOMONTH($AL$3,0),AI$26,0),0),IF(AND(AE$26&lt;&gt;"",AE$23&lt;&gt;""),IF(EOMONTH($AD$3+INT((DAY(EOMONTH($AD$3,0))-1)/2)+AE$23,0)=EOMONTH($AL$3,0),AE$26,0),0),IF(AND(AA$26&lt;&gt;"",AA$23&lt;&gt;""),IF(EOMONTH($Z$3+INT((DAY(EOMONTH($Z$3,0))-1)/2)+AA$23,0)=EOMONTH($AL$3,0),AA$26,0),0),IF(AND(W$26&lt;&gt;"",W$23&lt;&gt;""),IF(EOMONTH($V$3+INT((DAY(EOMONTH($V$3,0))-1)/2)+W$23,0)=EOMONTH($AL$3,0),W$26,0),0),IF(AND(S$26&lt;&gt;"",S$23&lt;&gt;""),IF(EOMONTH($R$3+INT((DAY(EOMONTH($R$3,0))-1)/2)+S$23,0)=EOMONTH($AL$3,0),S$26,0),0),IF(AND(O$26&lt;&gt;"",O$23&lt;&gt;""),IF(EOMONTH($N$3+INT((DAY(EOMONTH($N$3,0))-1)/2)+O$23,0)=EOMONTH($AL$3,0),O$26,0),0),IF(AND(K$26&lt;&gt;"",K$23&lt;&gt;""),IF(EOMONTH($J$3+INT((DAY(EOMONTH($J$3,0))-1)/2)+K$23,0)=EOMONTH($AL$3,0),K$26,0),0),IF(AND(G$26&lt;&gt;"",G$23&lt;&gt;""),IF(EOMONTH($F$3+INT((DAY(EOMONTH($F$3,0))-1)/2)+G$23,0)=EOMONTH($AL$3,0),G$26,0),0),IF($AX$75="",0,IF(EOMONTH($AX$75+AY$23,0)=EOMONTH($AL$3,0),$AX$78*AY$13,0))),0))</f>
        <v>40000</v>
      </c>
      <c r="AN57" s="32">
        <f>ROUND(SUM(IF(AND(AZ$26&lt;&gt;"",AZ$23&lt;&gt;""),IF(EOMONTH($AX$3+INT((DAY(EOMONTH($AX$3,0))-1)/2)+AZ$23,0)=EOMONTH($AL$3,0),AZ$26,0),0),IF(AND(AV$26&lt;&gt;"",AV$23&lt;&gt;""),IF(EOMONTH($AT$3+INT((DAY(EOMONTH($AT$3,0))-1)/2)+AV$23,0)=EOMONTH($AL$3,0),AV$26,0),0),IF(AND(AR$26&lt;&gt;"",AR$23&lt;&gt;""),IF(EOMONTH($AP$3+INT((DAY(EOMONTH($AP$3,0))-1)/2)+AR$23,0)=EOMONTH($AL$3,0),AR$26,0),0),IF(AND(AN$26&lt;&gt;"",AN$23&lt;&gt;""),IF(EOMONTH($AL$3+INT((DAY(EOMONTH($AL$3,0))-1)/2)+AN$23,0)=EOMONTH($AL$3,0),AN$26,0),0),IF(AND(AJ$26&lt;&gt;"",AJ$23&lt;&gt;""),IF(EOMONTH($AH$3+INT((DAY(EOMONTH($AH$3,0))-1)/2)+AJ$23,0)=EOMONTH($AL$3,0),AJ$26,0),0),IF(AND(AF$26&lt;&gt;"",AF$23&lt;&gt;""),IF(EOMONTH($AD$3+INT((DAY(EOMONTH($AD$3,0))-1)/2)+AF$23,0)=EOMONTH($AL$3,0),AF$26,0),0),IF(AND(AB$26&lt;&gt;"",AB$23&lt;&gt;""),IF(EOMONTH($Z$3+INT((DAY(EOMONTH($Z$3,0))-1)/2)+AB$23,0)=EOMONTH($AL$3,0),AB$26,0),0),IF(AND(X$26&lt;&gt;"",X$23&lt;&gt;""),IF(EOMONTH($V$3+INT((DAY(EOMONTH($V$3,0))-1)/2)+X$23,0)=EOMONTH($AL$3,0),X$26,0),0),IF(AND(T$26&lt;&gt;"",T$23&lt;&gt;""),IF(EOMONTH($R$3+INT((DAY(EOMONTH($R$3,0))-1)/2)+T$23,0)=EOMONTH($AL$3,0),T$26,0),0),IF(AND(P$26&lt;&gt;"",P$23&lt;&gt;""),IF(EOMONTH($N$3+INT((DAY(EOMONTH($N$3,0))-1)/2)+P$23,0)=EOMONTH($AL$3,0),P$26,0),0),IF(AND(L$26&lt;&gt;"",L$23&lt;&gt;""),IF(EOMONTH($J$3+INT((DAY(EOMONTH($J$3,0))-1)/2)+L$23,0)=EOMONTH($AL$3,0),L$26,0),0),IF(AND(H$26&lt;&gt;"",H$23&lt;&gt;""),IF(EOMONTH($F$3+INT((DAY(EOMONTH($F$3,0))-1)/2)+H$23,0)=EOMONTH($AL$3,0),H$26,0),0),IF($AX$75="",0,IF(EOMONTH($AX$75+AZ$23,0)=EOMONTH($AL$3,0),$AX$78*AZ$13,0))),0)</f>
        <v>80000</v>
      </c>
      <c r="AO57" s="33">
        <f t="shared" ref="AO57:AO70" si="286">IFERROR(IF(OR(AM57="",AN57=""),"",AM57-AN57),"")</f>
        <v>-40000</v>
      </c>
      <c r="AP57" s="34"/>
      <c r="AQ57" s="31">
        <f>IF(AP$98=1,AP57,ROUND(SUM(IF(AND(AY$26&lt;&gt;"",AY$23&lt;&gt;""),IF(EOMONTH($AX$3+INT((DAY(EOMONTH($AX$3,0))-1)/2)+AY$23,0)=EOMONTH($AP$3,0),AY$26,0),0),IF(AND(AU$26&lt;&gt;"",AU$23&lt;&gt;""),IF(EOMONTH($AT$3+INT((DAY(EOMONTH($AT$3,0))-1)/2)+AU$23,0)=EOMONTH($AP$3,0),AU$26,0),0),IF(AND(AQ$26&lt;&gt;"",AQ$23&lt;&gt;""),IF(EOMONTH($AP$3+INT((DAY(EOMONTH($AP$3,0))-1)/2)+AQ$23,0)=EOMONTH($AP$3,0),AQ$26,0),0),IF(AND(AM$26&lt;&gt;"",AM$23&lt;&gt;""),IF(EOMONTH($AL$3+INT((DAY(EOMONTH($AL$3,0))-1)/2)+AM$23,0)=EOMONTH($AP$3,0),AM$26,0),0),IF(AND(AI$26&lt;&gt;"",AI$23&lt;&gt;""),IF(EOMONTH($AH$3+INT((DAY(EOMONTH($AH$3,0))-1)/2)+AI$23,0)=EOMONTH($AP$3,0),AI$26,0),0),IF(AND(AE$26&lt;&gt;"",AE$23&lt;&gt;""),IF(EOMONTH($AD$3+INT((DAY(EOMONTH($AD$3,0))-1)/2)+AE$23,0)=EOMONTH($AP$3,0),AE$26,0),0),IF(AND(AA$26&lt;&gt;"",AA$23&lt;&gt;""),IF(EOMONTH($Z$3+INT((DAY(EOMONTH($Z$3,0))-1)/2)+AA$23,0)=EOMONTH($AP$3,0),AA$26,0),0),IF(AND(W$26&lt;&gt;"",W$23&lt;&gt;""),IF(EOMONTH($V$3+INT((DAY(EOMONTH($V$3,0))-1)/2)+W$23,0)=EOMONTH($AP$3,0),W$26,0),0),IF(AND(S$26&lt;&gt;"",S$23&lt;&gt;""),IF(EOMONTH($R$3+INT((DAY(EOMONTH($R$3,0))-1)/2)+S$23,0)=EOMONTH($AP$3,0),S$26,0),0),IF(AND(O$26&lt;&gt;"",O$23&lt;&gt;""),IF(EOMONTH($N$3+INT((DAY(EOMONTH($N$3,0))-1)/2)+O$23,0)=EOMONTH($AP$3,0),O$26,0),0),IF(AND(K$26&lt;&gt;"",K$23&lt;&gt;""),IF(EOMONTH($J$3+INT((DAY(EOMONTH($J$3,0))-1)/2)+K$23,0)=EOMONTH($AP$3,0),K$26,0),0),IF(AND(G$26&lt;&gt;"",G$23&lt;&gt;""),IF(EOMONTH($F$3+INT((DAY(EOMONTH($F$3,0))-1)/2)+G$23,0)=EOMONTH($AP$3,0),G$26,0),0),IF($AX$75="",0,IF(EOMONTH($AX$75+AY$23,0)=EOMONTH($AP$3,0),$AX$78*AY$13,0))),0))</f>
        <v>50000</v>
      </c>
      <c r="AR57" s="32">
        <f>ROUND(SUM(IF(AND(AZ$26&lt;&gt;"",AZ$23&lt;&gt;""),IF(EOMONTH($AX$3+INT((DAY(EOMONTH($AX$3,0))-1)/2)+AZ$23,0)=EOMONTH($AP$3,0),AZ$26,0),0),IF(AND(AV$26&lt;&gt;"",AV$23&lt;&gt;""),IF(EOMONTH($AT$3+INT((DAY(EOMONTH($AT$3,0))-1)/2)+AV$23,0)=EOMONTH($AP$3,0),AV$26,0),0),IF(AND(AR$26&lt;&gt;"",AR$23&lt;&gt;""),IF(EOMONTH($AP$3+INT((DAY(EOMONTH($AP$3,0))-1)/2)+AR$23,0)=EOMONTH($AP$3,0),AR$26,0),0),IF(AND(AN$26&lt;&gt;"",AN$23&lt;&gt;""),IF(EOMONTH($AL$3+INT((DAY(EOMONTH($AL$3,0))-1)/2)+AN$23,0)=EOMONTH($AP$3,0),AN$26,0),0),IF(AND(AJ$26&lt;&gt;"",AJ$23&lt;&gt;""),IF(EOMONTH($AH$3+INT((DAY(EOMONTH($AH$3,0))-1)/2)+AJ$23,0)=EOMONTH($AP$3,0),AJ$26,0),0),IF(AND(AF$26&lt;&gt;"",AF$23&lt;&gt;""),IF(EOMONTH($AD$3+INT((DAY(EOMONTH($AD$3,0))-1)/2)+AF$23,0)=EOMONTH($AP$3,0),AF$26,0),0),IF(AND(AB$26&lt;&gt;"",AB$23&lt;&gt;""),IF(EOMONTH($Z$3+INT((DAY(EOMONTH($Z$3,0))-1)/2)+AB$23,0)=EOMONTH($AP$3,0),AB$26,0),0),IF(AND(X$26&lt;&gt;"",X$23&lt;&gt;""),IF(EOMONTH($V$3+INT((DAY(EOMONTH($V$3,0))-1)/2)+X$23,0)=EOMONTH($AP$3,0),X$26,0),0),IF(AND(T$26&lt;&gt;"",T$23&lt;&gt;""),IF(EOMONTH($R$3+INT((DAY(EOMONTH($R$3,0))-1)/2)+T$23,0)=EOMONTH($AP$3,0),T$26,0),0),IF(AND(P$26&lt;&gt;"",P$23&lt;&gt;""),IF(EOMONTH($N$3+INT((DAY(EOMONTH($N$3,0))-1)/2)+P$23,0)=EOMONTH($AP$3,0),P$26,0),0),IF(AND(L$26&lt;&gt;"",L$23&lt;&gt;""),IF(EOMONTH($J$3+INT((DAY(EOMONTH($J$3,0))-1)/2)+L$23,0)=EOMONTH($AP$3,0),L$26,0),0),IF(AND(H$26&lt;&gt;"",H$23&lt;&gt;""),IF(EOMONTH($F$3+INT((DAY(EOMONTH($F$3,0))-1)/2)+H$23,0)=EOMONTH($AP$3,0),H$26,0),0),IF($AX$75="",0,IF(EOMONTH($AX$75+AZ$23,0)=EOMONTH($AP$3,0),$AX$78*AZ$13,0))),0)</f>
        <v>80000</v>
      </c>
      <c r="AS57" s="33">
        <f t="shared" ref="AS57:AS70" si="288">IFERROR(IF(OR(AQ57="",AR57=""),"",AQ57-AR57),"")</f>
        <v>-30000</v>
      </c>
      <c r="AT57" s="34">
        <v>60000.0</v>
      </c>
      <c r="AU57" s="31">
        <f>IF(AT$98=1,AT57,ROUND(SUM(IF(AND(AY$26&lt;&gt;"",AY$23&lt;&gt;""),IF(EOMONTH($AX$3+INT((DAY(EOMONTH($AX$3,0))-1)/2)+AY$23,0)=EOMONTH($AT$3,0),AY$26,0),0),IF(AND(AU$26&lt;&gt;"",AU$23&lt;&gt;""),IF(EOMONTH($AT$3+INT((DAY(EOMONTH($AT$3,0))-1)/2)+AU$23,0)=EOMONTH($AT$3,0),AU$26,0),0),IF(AND(AQ$26&lt;&gt;"",AQ$23&lt;&gt;""),IF(EOMONTH($AP$3+INT((DAY(EOMONTH($AP$3,0))-1)/2)+AQ$23,0)=EOMONTH($AT$3,0),AQ$26,0),0),IF(AND(AM$26&lt;&gt;"",AM$23&lt;&gt;""),IF(EOMONTH($AL$3+INT((DAY(EOMONTH($AL$3,0))-1)/2)+AM$23,0)=EOMONTH($AT$3,0),AM$26,0),0),IF(AND(AI$26&lt;&gt;"",AI$23&lt;&gt;""),IF(EOMONTH($AH$3+INT((DAY(EOMONTH($AH$3,0))-1)/2)+AI$23,0)=EOMONTH($AT$3,0),AI$26,0),0),IF(AND(AE$26&lt;&gt;"",AE$23&lt;&gt;""),IF(EOMONTH($AD$3+INT((DAY(EOMONTH($AD$3,0))-1)/2)+AE$23,0)=EOMONTH($AT$3,0),AE$26,0),0),IF(AND(AA$26&lt;&gt;"",AA$23&lt;&gt;""),IF(EOMONTH($Z$3+INT((DAY(EOMONTH($Z$3,0))-1)/2)+AA$23,0)=EOMONTH($AT$3,0),AA$26,0),0),IF(AND(W$26&lt;&gt;"",W$23&lt;&gt;""),IF(EOMONTH($V$3+INT((DAY(EOMONTH($V$3,0))-1)/2)+W$23,0)=EOMONTH($AT$3,0),W$26,0),0),IF(AND(S$26&lt;&gt;"",S$23&lt;&gt;""),IF(EOMONTH($R$3+INT((DAY(EOMONTH($R$3,0))-1)/2)+S$23,0)=EOMONTH($AT$3,0),S$26,0),0),IF(AND(O$26&lt;&gt;"",O$23&lt;&gt;""),IF(EOMONTH($N$3+INT((DAY(EOMONTH($N$3,0))-1)/2)+O$23,0)=EOMONTH($AT$3,0),O$26,0),0),IF(AND(K$26&lt;&gt;"",K$23&lt;&gt;""),IF(EOMONTH($J$3+INT((DAY(EOMONTH($J$3,0))-1)/2)+K$23,0)=EOMONTH($AT$3,0),K$26,0),0),IF(AND(G$26&lt;&gt;"",G$23&lt;&gt;""),IF(EOMONTH($F$3+INT((DAY(EOMONTH($F$3,0))-1)/2)+G$23,0)=EOMONTH($AT$3,0),G$26,0),0),IF($AX$75="",0,IF(EOMONTH($AX$75+AY$23,0)=EOMONTH($AT$3,0),$AX$78*AY$13,0))),0))</f>
        <v>60000</v>
      </c>
      <c r="AV57" s="32">
        <f>ROUND(SUM(IF(AND(AZ$26&lt;&gt;"",AZ$23&lt;&gt;""),IF(EOMONTH($AX$3+INT((DAY(EOMONTH($AX$3,0))-1)/2)+AZ$23,0)=EOMONTH($AT$3,0),AZ$26,0),0),IF(AND(AV$26&lt;&gt;"",AV$23&lt;&gt;""),IF(EOMONTH($AT$3+INT((DAY(EOMONTH($AT$3,0))-1)/2)+AV$23,0)=EOMONTH($AT$3,0),AV$26,0),0),IF(AND(AR$26&lt;&gt;"",AR$23&lt;&gt;""),IF(EOMONTH($AP$3+INT((DAY(EOMONTH($AP$3,0))-1)/2)+AR$23,0)=EOMONTH($AT$3,0),AR$26,0),0),IF(AND(AN$26&lt;&gt;"",AN$23&lt;&gt;""),IF(EOMONTH($AL$3+INT((DAY(EOMONTH($AL$3,0))-1)/2)+AN$23,0)=EOMONTH($AT$3,0),AN$26,0),0),IF(AND(AJ$26&lt;&gt;"",AJ$23&lt;&gt;""),IF(EOMONTH($AH$3+INT((DAY(EOMONTH($AH$3,0))-1)/2)+AJ$23,0)=EOMONTH($AT$3,0),AJ$26,0),0),IF(AND(AF$26&lt;&gt;"",AF$23&lt;&gt;""),IF(EOMONTH($AD$3+INT((DAY(EOMONTH($AD$3,0))-1)/2)+AF$23,0)=EOMONTH($AT$3,0),AF$26,0),0),IF(AND(AB$26&lt;&gt;"",AB$23&lt;&gt;""),IF(EOMONTH($Z$3+INT((DAY(EOMONTH($Z$3,0))-1)/2)+AB$23,0)=EOMONTH($AT$3,0),AB$26,0),0),IF(AND(X$26&lt;&gt;"",X$23&lt;&gt;""),IF(EOMONTH($V$3+INT((DAY(EOMONTH($V$3,0))-1)/2)+X$23,0)=EOMONTH($AT$3,0),X$26,0),0),IF(AND(T$26&lt;&gt;"",T$23&lt;&gt;""),IF(EOMONTH($R$3+INT((DAY(EOMONTH($R$3,0))-1)/2)+T$23,0)=EOMONTH($AT$3,0),T$26,0),0),IF(AND(P$26&lt;&gt;"",P$23&lt;&gt;""),IF(EOMONTH($N$3+INT((DAY(EOMONTH($N$3,0))-1)/2)+P$23,0)=EOMONTH($AT$3,0),P$26,0),0),IF(AND(L$26&lt;&gt;"",L$23&lt;&gt;""),IF(EOMONTH($J$3+INT((DAY(EOMONTH($J$3,0))-1)/2)+L$23,0)=EOMONTH($AT$3,0),L$26,0),0),IF(AND(H$26&lt;&gt;"",H$23&lt;&gt;""),IF(EOMONTH($F$3+INT((DAY(EOMONTH($F$3,0))-1)/2)+H$23,0)=EOMONTH($AT$3,0),H$26,0),0),IF($AX$75="",0,IF(EOMONTH($AX$75+AZ$23,0)=EOMONTH($AT$3,0),$AX$78*AZ$13,0))),0)</f>
        <v>120000</v>
      </c>
      <c r="AW57" s="33">
        <f t="shared" ref="AW57:AW70" si="290">IFERROR(IF(OR(AU57="",AV57=""),"",AU57-AV57),"")</f>
        <v>-60000</v>
      </c>
      <c r="AX57" s="34">
        <v>50000.0</v>
      </c>
      <c r="AY57" s="31">
        <f>IF(AX$98=1,AX57,ROUND(SUM(IF(AND(AY$26&lt;&gt;"",AY$23&lt;&gt;""),IF(EOMONTH($AX$3+INT((DAY(EOMONTH($AX$3,0))-1)/2)+AY$23,0)=EOMONTH($AX$3,0),AY$26,0),0),IF(AND(AU$26&lt;&gt;"",AU$23&lt;&gt;""),IF(EOMONTH($AT$3+INT((DAY(EOMONTH($AT$3,0))-1)/2)+AU$23,0)=EOMONTH($AX$3,0),AU$26,0),0),IF(AND(AQ$26&lt;&gt;"",AQ$23&lt;&gt;""),IF(EOMONTH($AP$3+INT((DAY(EOMONTH($AP$3,0))-1)/2)+AQ$23,0)=EOMONTH($AX$3,0),AQ$26,0),0),IF(AND(AM$26&lt;&gt;"",AM$23&lt;&gt;""),IF(EOMONTH($AL$3+INT((DAY(EOMONTH($AL$3,0))-1)/2)+AM$23,0)=EOMONTH($AX$3,0),AM$26,0),0),IF(AND(AI$26&lt;&gt;"",AI$23&lt;&gt;""),IF(EOMONTH($AH$3+INT((DAY(EOMONTH($AH$3,0))-1)/2)+AI$23,0)=EOMONTH($AX$3,0),AI$26,0),0),IF(AND(AE$26&lt;&gt;"",AE$23&lt;&gt;""),IF(EOMONTH($AD$3+INT((DAY(EOMONTH($AD$3,0))-1)/2)+AE$23,0)=EOMONTH($AX$3,0),AE$26,0),0),IF(AND(AA$26&lt;&gt;"",AA$23&lt;&gt;""),IF(EOMONTH($Z$3+INT((DAY(EOMONTH($Z$3,0))-1)/2)+AA$23,0)=EOMONTH($AX$3,0),AA$26,0),0),IF(AND(W$26&lt;&gt;"",W$23&lt;&gt;""),IF(EOMONTH($V$3+INT((DAY(EOMONTH($V$3,0))-1)/2)+W$23,0)=EOMONTH($AX$3,0),W$26,0),0),IF(AND(S$26&lt;&gt;"",S$23&lt;&gt;""),IF(EOMONTH($R$3+INT((DAY(EOMONTH($R$3,0))-1)/2)+S$23,0)=EOMONTH($AX$3,0),S$26,0),0),IF(AND(O$26&lt;&gt;"",O$23&lt;&gt;""),IF(EOMONTH($N$3+INT((DAY(EOMONTH($N$3,0))-1)/2)+O$23,0)=EOMONTH($AX$3,0),O$26,0),0),IF(AND(K$26&lt;&gt;"",K$23&lt;&gt;""),IF(EOMONTH($J$3+INT((DAY(EOMONTH($J$3,0))-1)/2)+K$23,0)=EOMONTH($AX$3,0),K$26,0),0),IF(AND(G$26&lt;&gt;"",G$23&lt;&gt;""),IF(EOMONTH($F$3+INT((DAY(EOMONTH($F$3,0))-1)/2)+G$23,0)=EOMONTH($AX$3,0),G$26,0),0),IF($AX$75="",0,IF(EOMONTH($AX$75+AY$23,0)=EOMONTH($AX$3,0),$AX$78*AY$13,0))),0))</f>
        <v>50000</v>
      </c>
      <c r="AZ57" s="32">
        <f>ROUND(SUM(IF(AND(AZ$26&lt;&gt;"",AZ$23&lt;&gt;""),IF(EOMONTH($AX$3+INT((DAY(EOMONTH($AX$3,0))-1)/2)+AZ$23,0)=EOMONTH($AX$3,0),AZ$26,0),0),IF(AND(AV$26&lt;&gt;"",AV$23&lt;&gt;""),IF(EOMONTH($AT$3+INT((DAY(EOMONTH($AT$3,0))-1)/2)+AV$23,0)=EOMONTH($AX$3,0),AV$26,0),0),IF(AND(AR$26&lt;&gt;"",AR$23&lt;&gt;""),IF(EOMONTH($AP$3+INT((DAY(EOMONTH($AP$3,0))-1)/2)+AR$23,0)=EOMONTH($AX$3,0),AR$26,0),0),IF(AND(AN$26&lt;&gt;"",AN$23&lt;&gt;""),IF(EOMONTH($AL$3+INT((DAY(EOMONTH($AL$3,0))-1)/2)+AN$23,0)=EOMONTH($AX$3,0),AN$26,0),0),IF(AND(AJ$26&lt;&gt;"",AJ$23&lt;&gt;""),IF(EOMONTH($AH$3+INT((DAY(EOMONTH($AH$3,0))-1)/2)+AJ$23,0)=EOMONTH($AX$3,0),AJ$26,0),0),IF(AND(AF$26&lt;&gt;"",AF$23&lt;&gt;""),IF(EOMONTH($AD$3+INT((DAY(EOMONTH($AD$3,0))-1)/2)+AF$23,0)=EOMONTH($AX$3,0),AF$26,0),0),IF(AND(AB$26&lt;&gt;"",AB$23&lt;&gt;""),IF(EOMONTH($Z$3+INT((DAY(EOMONTH($Z$3,0))-1)/2)+AB$23,0)=EOMONTH($AX$3,0),AB$26,0),0),IF(AND(X$26&lt;&gt;"",X$23&lt;&gt;""),IF(EOMONTH($V$3+INT((DAY(EOMONTH($V$3,0))-1)/2)+X$23,0)=EOMONTH($AX$3,0),X$26,0),0),IF(AND(T$26&lt;&gt;"",T$23&lt;&gt;""),IF(EOMONTH($R$3+INT((DAY(EOMONTH($R$3,0))-1)/2)+T$23,0)=EOMONTH($AX$3,0),T$26,0),0),IF(AND(P$26&lt;&gt;"",P$23&lt;&gt;""),IF(EOMONTH($N$3+INT((DAY(EOMONTH($N$3,0))-1)/2)+P$23,0)=EOMONTH($AX$3,0),P$26,0),0),IF(AND(L$26&lt;&gt;"",L$23&lt;&gt;""),IF(EOMONTH($J$3+INT((DAY(EOMONTH($J$3,0))-1)/2)+L$23,0)=EOMONTH($AX$3,0),L$26,0),0),IF(AND(H$26&lt;&gt;"",H$23&lt;&gt;""),IF(EOMONTH($F$3+INT((DAY(EOMONTH($F$3,0))-1)/2)+H$23,0)=EOMONTH($AX$3,0),H$26,0),0),IF($AX$75="",0,IF(EOMONTH($AX$75+AZ$23,0)=EOMONTH($AX$3,0),$AX$78*AZ$13,0))),0)</f>
        <v>80000</v>
      </c>
      <c r="BA57" s="33">
        <f t="shared" ref="BA57:BA70" si="292">IFERROR(IF(OR(AY57="",AZ57=""),"",AY57-AZ57),"")</f>
        <v>-30000</v>
      </c>
    </row>
    <row r="58" ht="18.0" customHeight="1">
      <c r="A58" s="2" t="s">
        <v>61</v>
      </c>
      <c r="B58" s="30">
        <f t="shared" ref="B58:D58" si="267">SUM(AX58,AT58,AP58,AL58,AH58,AD58,Z58,V58,R58,N58,J58,F58)</f>
        <v>34180</v>
      </c>
      <c r="C58" s="31">
        <f t="shared" si="267"/>
        <v>202180</v>
      </c>
      <c r="D58" s="32">
        <f t="shared" si="267"/>
        <v>209000</v>
      </c>
      <c r="E58" s="33">
        <f t="shared" si="268"/>
        <v>-6820</v>
      </c>
      <c r="F58" s="30" t="str">
        <f>IF(F34="","",F34)</f>
        <v/>
      </c>
      <c r="G58" s="31">
        <f t="shared" ref="G58:H58" si="269">G34</f>
        <v>18000</v>
      </c>
      <c r="H58" s="32">
        <f t="shared" si="269"/>
        <v>18000</v>
      </c>
      <c r="I58" s="33">
        <f t="shared" si="270"/>
        <v>0</v>
      </c>
      <c r="J58" s="30" t="str">
        <f>IF(J34="","",J34)</f>
        <v/>
      </c>
      <c r="K58" s="31">
        <f t="shared" ref="K58:L58" si="271">K34</f>
        <v>18000</v>
      </c>
      <c r="L58" s="32">
        <f t="shared" si="271"/>
        <v>18000</v>
      </c>
      <c r="M58" s="33">
        <f t="shared" si="272"/>
        <v>0</v>
      </c>
      <c r="N58" s="30" t="str">
        <f>IF(N34="","",N34)</f>
        <v/>
      </c>
      <c r="O58" s="31">
        <f t="shared" ref="O58:P58" si="273">O34</f>
        <v>18000</v>
      </c>
      <c r="P58" s="32">
        <f t="shared" si="273"/>
        <v>18000</v>
      </c>
      <c r="Q58" s="33">
        <f t="shared" si="274"/>
        <v>0</v>
      </c>
      <c r="R58" s="30" t="str">
        <f>IF(R34="","",R34)</f>
        <v/>
      </c>
      <c r="S58" s="31">
        <f t="shared" ref="S58:T58" si="275">S34</f>
        <v>18000</v>
      </c>
      <c r="T58" s="32">
        <f t="shared" si="275"/>
        <v>18000</v>
      </c>
      <c r="U58" s="33">
        <f t="shared" si="276"/>
        <v>0</v>
      </c>
      <c r="V58" s="30" t="str">
        <f>IF(V34="","",V34)</f>
        <v/>
      </c>
      <c r="W58" s="31">
        <f t="shared" ref="W58:X58" si="277">W34</f>
        <v>17000</v>
      </c>
      <c r="X58" s="32">
        <f t="shared" si="277"/>
        <v>17000</v>
      </c>
      <c r="Y58" s="33">
        <f t="shared" si="278"/>
        <v>0</v>
      </c>
      <c r="Z58" s="30" t="str">
        <f>IF(Z34="","",Z34)</f>
        <v/>
      </c>
      <c r="AA58" s="31">
        <f t="shared" ref="AA58:AB58" si="279">AA34</f>
        <v>17000</v>
      </c>
      <c r="AB58" s="32">
        <f t="shared" si="279"/>
        <v>17000</v>
      </c>
      <c r="AC58" s="33">
        <f t="shared" si="280"/>
        <v>0</v>
      </c>
      <c r="AD58" s="30" t="str">
        <f>IF(AD34="","",AD34)</f>
        <v/>
      </c>
      <c r="AE58" s="31">
        <f t="shared" ref="AE58:AF58" si="281">AE34</f>
        <v>17000</v>
      </c>
      <c r="AF58" s="32">
        <f t="shared" si="281"/>
        <v>17000</v>
      </c>
      <c r="AG58" s="33">
        <f t="shared" si="282"/>
        <v>0</v>
      </c>
      <c r="AH58" s="30" t="str">
        <f>IF(AH34="","",AH34)</f>
        <v/>
      </c>
      <c r="AI58" s="31">
        <f t="shared" ref="AI58:AJ58" si="283">AI34</f>
        <v>17000</v>
      </c>
      <c r="AJ58" s="32">
        <f t="shared" si="283"/>
        <v>17000</v>
      </c>
      <c r="AK58" s="33">
        <f t="shared" si="284"/>
        <v>0</v>
      </c>
      <c r="AL58" s="30" t="str">
        <f>IF(AL34="","",AL34)</f>
        <v/>
      </c>
      <c r="AM58" s="31">
        <f t="shared" ref="AM58:AN58" si="285">AM34</f>
        <v>14000</v>
      </c>
      <c r="AN58" s="32">
        <f t="shared" si="285"/>
        <v>16000</v>
      </c>
      <c r="AO58" s="33">
        <f t="shared" si="286"/>
        <v>-2000</v>
      </c>
      <c r="AP58" s="30" t="str">
        <f>IF(AP34="","",AP34)</f>
        <v/>
      </c>
      <c r="AQ58" s="31">
        <f t="shared" ref="AQ58:AR58" si="287">AQ34</f>
        <v>14000</v>
      </c>
      <c r="AR58" s="32">
        <f t="shared" si="287"/>
        <v>16000</v>
      </c>
      <c r="AS58" s="33">
        <f t="shared" si="288"/>
        <v>-2000</v>
      </c>
      <c r="AT58" s="30">
        <f>IF(AT34="","",AT34)</f>
        <v>15880</v>
      </c>
      <c r="AU58" s="31">
        <f t="shared" ref="AU58:AV58" si="289">AU34</f>
        <v>15880</v>
      </c>
      <c r="AV58" s="32">
        <f t="shared" si="289"/>
        <v>16000</v>
      </c>
      <c r="AW58" s="33">
        <f t="shared" si="290"/>
        <v>-120</v>
      </c>
      <c r="AX58" s="30">
        <f>IF(AX34="","",AX34)</f>
        <v>18300</v>
      </c>
      <c r="AY58" s="31">
        <f t="shared" ref="AY58:AZ58" si="291">AY34</f>
        <v>18300</v>
      </c>
      <c r="AZ58" s="32">
        <f t="shared" si="291"/>
        <v>21000</v>
      </c>
      <c r="BA58" s="33">
        <f t="shared" si="292"/>
        <v>-2700</v>
      </c>
    </row>
    <row r="59" ht="18.0" customHeight="1">
      <c r="A59" s="2" t="s">
        <v>62</v>
      </c>
      <c r="B59" s="30">
        <f t="shared" ref="B59:D59" si="293">SUM(AX59,AT59,AP59,AL59,AH59,AD59,Z59,V59,R59,N59,J59,F59)</f>
        <v>131545</v>
      </c>
      <c r="C59" s="31">
        <f t="shared" si="293"/>
        <v>779545</v>
      </c>
      <c r="D59" s="32">
        <f t="shared" si="293"/>
        <v>777600</v>
      </c>
      <c r="E59" s="33">
        <f t="shared" si="268"/>
        <v>1945</v>
      </c>
      <c r="F59" s="30" t="str">
        <f>IF(F53="","",F53)</f>
        <v/>
      </c>
      <c r="G59" s="31">
        <f t="shared" ref="G59:H59" si="294">G53</f>
        <v>64800</v>
      </c>
      <c r="H59" s="32">
        <f t="shared" si="294"/>
        <v>64800</v>
      </c>
      <c r="I59" s="33">
        <f t="shared" si="270"/>
        <v>0</v>
      </c>
      <c r="J59" s="30" t="str">
        <f>IF(J53="","",J53)</f>
        <v/>
      </c>
      <c r="K59" s="31">
        <f t="shared" ref="K59:L59" si="295">K53</f>
        <v>64800</v>
      </c>
      <c r="L59" s="32">
        <f t="shared" si="295"/>
        <v>64800</v>
      </c>
      <c r="M59" s="33">
        <f t="shared" si="272"/>
        <v>0</v>
      </c>
      <c r="N59" s="30" t="str">
        <f>IF(N53="","",N53)</f>
        <v/>
      </c>
      <c r="O59" s="31">
        <f t="shared" ref="O59:P59" si="296">O53</f>
        <v>64800</v>
      </c>
      <c r="P59" s="32">
        <f t="shared" si="296"/>
        <v>64800</v>
      </c>
      <c r="Q59" s="33">
        <f t="shared" si="274"/>
        <v>0</v>
      </c>
      <c r="R59" s="30" t="str">
        <f>IF(R53="","",R53)</f>
        <v/>
      </c>
      <c r="S59" s="31">
        <f t="shared" ref="S59:T59" si="297">S53</f>
        <v>64800</v>
      </c>
      <c r="T59" s="32">
        <f t="shared" si="297"/>
        <v>64800</v>
      </c>
      <c r="U59" s="33">
        <f t="shared" si="276"/>
        <v>0</v>
      </c>
      <c r="V59" s="30" t="str">
        <f>IF(V53="","",V53)</f>
        <v/>
      </c>
      <c r="W59" s="31">
        <f t="shared" ref="W59:X59" si="298">W53</f>
        <v>64800</v>
      </c>
      <c r="X59" s="32">
        <f t="shared" si="298"/>
        <v>64800</v>
      </c>
      <c r="Y59" s="33">
        <f t="shared" si="278"/>
        <v>0</v>
      </c>
      <c r="Z59" s="30" t="str">
        <f>IF(Z53="","",Z53)</f>
        <v/>
      </c>
      <c r="AA59" s="31">
        <f t="shared" ref="AA59:AB59" si="299">AA53</f>
        <v>64800</v>
      </c>
      <c r="AB59" s="32">
        <f t="shared" si="299"/>
        <v>64800</v>
      </c>
      <c r="AC59" s="33">
        <f t="shared" si="280"/>
        <v>0</v>
      </c>
      <c r="AD59" s="30" t="str">
        <f>IF(AD53="","",AD53)</f>
        <v/>
      </c>
      <c r="AE59" s="31">
        <f t="shared" ref="AE59:AF59" si="300">AE53</f>
        <v>64800</v>
      </c>
      <c r="AF59" s="32">
        <f t="shared" si="300"/>
        <v>64800</v>
      </c>
      <c r="AG59" s="33">
        <f t="shared" si="282"/>
        <v>0</v>
      </c>
      <c r="AH59" s="30" t="str">
        <f>IF(AH53="","",AH53)</f>
        <v/>
      </c>
      <c r="AI59" s="31">
        <f t="shared" ref="AI59:AJ59" si="301">AI53</f>
        <v>64800</v>
      </c>
      <c r="AJ59" s="32">
        <f t="shared" si="301"/>
        <v>64800</v>
      </c>
      <c r="AK59" s="33">
        <f t="shared" si="284"/>
        <v>0</v>
      </c>
      <c r="AL59" s="30" t="str">
        <f>IF(AL53="","",AL53)</f>
        <v/>
      </c>
      <c r="AM59" s="31">
        <f t="shared" ref="AM59:AN59" si="302">AM53</f>
        <v>64800</v>
      </c>
      <c r="AN59" s="32">
        <f t="shared" si="302"/>
        <v>64800</v>
      </c>
      <c r="AO59" s="33">
        <f t="shared" si="286"/>
        <v>0</v>
      </c>
      <c r="AP59" s="30" t="str">
        <f>IF(AP53="","",AP53)</f>
        <v/>
      </c>
      <c r="AQ59" s="31">
        <f t="shared" ref="AQ59:AR59" si="303">AQ53</f>
        <v>64800</v>
      </c>
      <c r="AR59" s="32">
        <f t="shared" si="303"/>
        <v>64800</v>
      </c>
      <c r="AS59" s="33">
        <f t="shared" si="288"/>
        <v>0</v>
      </c>
      <c r="AT59" s="30">
        <f>IF(AT53="","",AT53)</f>
        <v>63504</v>
      </c>
      <c r="AU59" s="31">
        <f t="shared" ref="AU59:AV59" si="304">AU53</f>
        <v>63504</v>
      </c>
      <c r="AV59" s="32">
        <f t="shared" si="304"/>
        <v>64800</v>
      </c>
      <c r="AW59" s="33">
        <f t="shared" si="290"/>
        <v>-1296</v>
      </c>
      <c r="AX59" s="30">
        <f>IF(AX53="","",AX53)</f>
        <v>68041</v>
      </c>
      <c r="AY59" s="31">
        <f t="shared" ref="AY59:AZ59" si="305">AY53</f>
        <v>68041</v>
      </c>
      <c r="AZ59" s="32">
        <f t="shared" si="305"/>
        <v>64800</v>
      </c>
      <c r="BA59" s="33">
        <f t="shared" si="292"/>
        <v>3241</v>
      </c>
    </row>
    <row r="60" ht="18.0" customHeight="1">
      <c r="A60" s="2" t="s">
        <v>63</v>
      </c>
      <c r="B60" s="30">
        <f t="shared" ref="B60:D60" si="306">SUM(AX60,AT60,AP60,AL60,AH60,AD60,Z60,V60,R60,N60,J60,F60)</f>
        <v>0</v>
      </c>
      <c r="C60" s="31">
        <f t="shared" si="306"/>
        <v>50000</v>
      </c>
      <c r="D60" s="32">
        <f t="shared" si="306"/>
        <v>50000</v>
      </c>
      <c r="E60" s="33">
        <f t="shared" si="268"/>
        <v>0</v>
      </c>
      <c r="F60" s="34"/>
      <c r="G60" s="31">
        <f t="shared" ref="G60:G64" si="308">IF(F$98=1,F60,H60)</f>
        <v>0</v>
      </c>
      <c r="H60" s="35">
        <v>0.0</v>
      </c>
      <c r="I60" s="33">
        <f t="shared" si="270"/>
        <v>0</v>
      </c>
      <c r="J60" s="34"/>
      <c r="K60" s="31">
        <f t="shared" ref="K60:K64" si="309">IF(J$98=1,J60,L60)</f>
        <v>0</v>
      </c>
      <c r="L60" s="35">
        <v>0.0</v>
      </c>
      <c r="M60" s="33">
        <f t="shared" si="272"/>
        <v>0</v>
      </c>
      <c r="N60" s="34"/>
      <c r="O60" s="31">
        <f t="shared" ref="O60:O64" si="310">IF(N$98=1,N60,P60)</f>
        <v>0</v>
      </c>
      <c r="P60" s="35">
        <v>0.0</v>
      </c>
      <c r="Q60" s="33">
        <f t="shared" si="274"/>
        <v>0</v>
      </c>
      <c r="R60" s="34"/>
      <c r="S60" s="31">
        <f t="shared" ref="S60:S64" si="311">IF(R$98=1,R60,T60)</f>
        <v>0</v>
      </c>
      <c r="T60" s="35">
        <v>0.0</v>
      </c>
      <c r="U60" s="33">
        <f t="shared" si="276"/>
        <v>0</v>
      </c>
      <c r="V60" s="34"/>
      <c r="W60" s="31">
        <f t="shared" ref="W60:W64" si="312">IF(V$98=1,V60,X60)</f>
        <v>0</v>
      </c>
      <c r="X60" s="35">
        <v>0.0</v>
      </c>
      <c r="Y60" s="33">
        <f t="shared" si="278"/>
        <v>0</v>
      </c>
      <c r="Z60" s="34"/>
      <c r="AA60" s="31">
        <f t="shared" ref="AA60:AA64" si="313">IF(Z$98=1,Z60,AB60)</f>
        <v>0</v>
      </c>
      <c r="AB60" s="35">
        <v>0.0</v>
      </c>
      <c r="AC60" s="33">
        <f t="shared" si="280"/>
        <v>0</v>
      </c>
      <c r="AD60" s="34"/>
      <c r="AE60" s="31">
        <f t="shared" ref="AE60:AE64" si="314">IF(AD$98=1,AD60,AF60)</f>
        <v>0</v>
      </c>
      <c r="AF60" s="35">
        <v>0.0</v>
      </c>
      <c r="AG60" s="33">
        <f t="shared" si="282"/>
        <v>0</v>
      </c>
      <c r="AH60" s="34"/>
      <c r="AI60" s="31">
        <f t="shared" ref="AI60:AI64" si="315">IF(AH$98=1,AH60,AJ60)</f>
        <v>0</v>
      </c>
      <c r="AJ60" s="35">
        <v>0.0</v>
      </c>
      <c r="AK60" s="33">
        <f t="shared" si="284"/>
        <v>0</v>
      </c>
      <c r="AL60" s="34"/>
      <c r="AM60" s="31">
        <f t="shared" ref="AM60:AM64" si="316">IF(AL$98=1,AL60,AN60)</f>
        <v>0</v>
      </c>
      <c r="AN60" s="35">
        <v>0.0</v>
      </c>
      <c r="AO60" s="33">
        <f t="shared" si="286"/>
        <v>0</v>
      </c>
      <c r="AP60" s="34"/>
      <c r="AQ60" s="31">
        <f t="shared" ref="AQ60:AQ64" si="317">IF(AP$98=1,AP60,AR60)</f>
        <v>50000</v>
      </c>
      <c r="AR60" s="35">
        <v>50000.0</v>
      </c>
      <c r="AS60" s="33">
        <f t="shared" si="288"/>
        <v>0</v>
      </c>
      <c r="AT60" s="34">
        <v>0.0</v>
      </c>
      <c r="AU60" s="31">
        <f t="shared" ref="AU60:AU64" si="318">IF(AT$98=1,AT60,AV60)</f>
        <v>0</v>
      </c>
      <c r="AV60" s="35">
        <v>0.0</v>
      </c>
      <c r="AW60" s="33">
        <f t="shared" si="290"/>
        <v>0</v>
      </c>
      <c r="AX60" s="34">
        <v>0.0</v>
      </c>
      <c r="AY60" s="31">
        <f t="shared" ref="AY60:AY64" si="319">IF(AX$98=1,AX60,AZ60)</f>
        <v>0</v>
      </c>
      <c r="AZ60" s="35">
        <v>0.0</v>
      </c>
      <c r="BA60" s="33">
        <f t="shared" si="292"/>
        <v>0</v>
      </c>
    </row>
    <row r="61" ht="18.0" customHeight="1">
      <c r="A61" s="2" t="s">
        <v>64</v>
      </c>
      <c r="B61" s="30">
        <f t="shared" ref="B61:D61" si="307">SUM(AX61,AT61,AP61,AL61,AH61,AD61,Z61,V61,R61,N61,J61,F61)</f>
        <v>0</v>
      </c>
      <c r="C61" s="31">
        <f t="shared" si="307"/>
        <v>15000</v>
      </c>
      <c r="D61" s="32">
        <f t="shared" si="307"/>
        <v>15000</v>
      </c>
      <c r="E61" s="33">
        <f t="shared" si="268"/>
        <v>0</v>
      </c>
      <c r="F61" s="34"/>
      <c r="G61" s="31">
        <f t="shared" si="308"/>
        <v>5000</v>
      </c>
      <c r="H61" s="35">
        <v>5000.0</v>
      </c>
      <c r="I61" s="33">
        <f t="shared" si="270"/>
        <v>0</v>
      </c>
      <c r="J61" s="34"/>
      <c r="K61" s="31">
        <f t="shared" si="309"/>
        <v>0</v>
      </c>
      <c r="L61" s="35">
        <v>0.0</v>
      </c>
      <c r="M61" s="33">
        <f t="shared" si="272"/>
        <v>0</v>
      </c>
      <c r="N61" s="34"/>
      <c r="O61" s="31">
        <f t="shared" si="310"/>
        <v>0</v>
      </c>
      <c r="P61" s="35">
        <v>0.0</v>
      </c>
      <c r="Q61" s="33">
        <f t="shared" si="274"/>
        <v>0</v>
      </c>
      <c r="R61" s="34"/>
      <c r="S61" s="31">
        <f t="shared" si="311"/>
        <v>5000</v>
      </c>
      <c r="T61" s="35">
        <v>5000.0</v>
      </c>
      <c r="U61" s="33">
        <f t="shared" si="276"/>
        <v>0</v>
      </c>
      <c r="V61" s="34"/>
      <c r="W61" s="31">
        <f t="shared" si="312"/>
        <v>0</v>
      </c>
      <c r="X61" s="35">
        <v>0.0</v>
      </c>
      <c r="Y61" s="33">
        <f t="shared" si="278"/>
        <v>0</v>
      </c>
      <c r="Z61" s="34"/>
      <c r="AA61" s="31">
        <f t="shared" si="313"/>
        <v>0</v>
      </c>
      <c r="AB61" s="35">
        <v>0.0</v>
      </c>
      <c r="AC61" s="33">
        <f t="shared" si="280"/>
        <v>0</v>
      </c>
      <c r="AD61" s="34"/>
      <c r="AE61" s="31">
        <f t="shared" si="314"/>
        <v>5000</v>
      </c>
      <c r="AF61" s="35">
        <v>5000.0</v>
      </c>
      <c r="AG61" s="33">
        <f t="shared" si="282"/>
        <v>0</v>
      </c>
      <c r="AH61" s="34"/>
      <c r="AI61" s="31">
        <f t="shared" si="315"/>
        <v>0</v>
      </c>
      <c r="AJ61" s="35">
        <v>0.0</v>
      </c>
      <c r="AK61" s="33">
        <f t="shared" si="284"/>
        <v>0</v>
      </c>
      <c r="AL61" s="34"/>
      <c r="AM61" s="31">
        <f t="shared" si="316"/>
        <v>0</v>
      </c>
      <c r="AN61" s="35">
        <v>0.0</v>
      </c>
      <c r="AO61" s="33">
        <f t="shared" si="286"/>
        <v>0</v>
      </c>
      <c r="AP61" s="34"/>
      <c r="AQ61" s="31">
        <f t="shared" si="317"/>
        <v>0</v>
      </c>
      <c r="AR61" s="35">
        <v>0.0</v>
      </c>
      <c r="AS61" s="33">
        <f t="shared" si="288"/>
        <v>0</v>
      </c>
      <c r="AT61" s="34">
        <v>0.0</v>
      </c>
      <c r="AU61" s="31">
        <f t="shared" si="318"/>
        <v>0</v>
      </c>
      <c r="AV61" s="35">
        <v>0.0</v>
      </c>
      <c r="AW61" s="33">
        <f t="shared" si="290"/>
        <v>0</v>
      </c>
      <c r="AX61" s="34">
        <v>0.0</v>
      </c>
      <c r="AY61" s="31">
        <f t="shared" si="319"/>
        <v>0</v>
      </c>
      <c r="AZ61" s="35">
        <v>0.0</v>
      </c>
      <c r="BA61" s="33">
        <f t="shared" si="292"/>
        <v>0</v>
      </c>
    </row>
    <row r="62" ht="18.0" customHeight="1">
      <c r="A62" s="2" t="s">
        <v>65</v>
      </c>
      <c r="B62" s="30">
        <f t="shared" ref="B62:D62" si="320">SUM(AX62,AT62,AP62,AL62,AH62,AD62,Z62,V62,R62,N62,J62,F62)</f>
        <v>5000</v>
      </c>
      <c r="C62" s="31">
        <f t="shared" si="320"/>
        <v>30000</v>
      </c>
      <c r="D62" s="32">
        <f t="shared" si="320"/>
        <v>25000</v>
      </c>
      <c r="E62" s="33">
        <f t="shared" si="268"/>
        <v>5000</v>
      </c>
      <c r="F62" s="34"/>
      <c r="G62" s="31">
        <f t="shared" si="308"/>
        <v>0</v>
      </c>
      <c r="H62" s="35">
        <v>0.0</v>
      </c>
      <c r="I62" s="33">
        <f t="shared" si="270"/>
        <v>0</v>
      </c>
      <c r="J62" s="34"/>
      <c r="K62" s="31">
        <f t="shared" si="309"/>
        <v>0</v>
      </c>
      <c r="L62" s="35">
        <v>0.0</v>
      </c>
      <c r="M62" s="33">
        <f t="shared" si="272"/>
        <v>0</v>
      </c>
      <c r="N62" s="34"/>
      <c r="O62" s="31">
        <f t="shared" si="310"/>
        <v>0</v>
      </c>
      <c r="P62" s="35">
        <v>0.0</v>
      </c>
      <c r="Q62" s="33">
        <f t="shared" si="274"/>
        <v>0</v>
      </c>
      <c r="R62" s="34"/>
      <c r="S62" s="31">
        <f t="shared" si="311"/>
        <v>10000</v>
      </c>
      <c r="T62" s="35">
        <v>10000.0</v>
      </c>
      <c r="U62" s="33">
        <f t="shared" si="276"/>
        <v>0</v>
      </c>
      <c r="V62" s="34"/>
      <c r="W62" s="31">
        <f t="shared" si="312"/>
        <v>0</v>
      </c>
      <c r="X62" s="35">
        <v>0.0</v>
      </c>
      <c r="Y62" s="33">
        <f t="shared" si="278"/>
        <v>0</v>
      </c>
      <c r="Z62" s="34"/>
      <c r="AA62" s="31">
        <f t="shared" si="313"/>
        <v>0</v>
      </c>
      <c r="AB62" s="35">
        <v>0.0</v>
      </c>
      <c r="AC62" s="33">
        <f t="shared" si="280"/>
        <v>0</v>
      </c>
      <c r="AD62" s="34"/>
      <c r="AE62" s="31">
        <f t="shared" si="314"/>
        <v>0</v>
      </c>
      <c r="AF62" s="35">
        <v>0.0</v>
      </c>
      <c r="AG62" s="33">
        <f t="shared" si="282"/>
        <v>0</v>
      </c>
      <c r="AH62" s="34"/>
      <c r="AI62" s="31">
        <f t="shared" si="315"/>
        <v>0</v>
      </c>
      <c r="AJ62" s="35">
        <v>0.0</v>
      </c>
      <c r="AK62" s="33">
        <f t="shared" si="284"/>
        <v>0</v>
      </c>
      <c r="AL62" s="34"/>
      <c r="AM62" s="31">
        <f t="shared" si="316"/>
        <v>15000</v>
      </c>
      <c r="AN62" s="35">
        <v>15000.0</v>
      </c>
      <c r="AO62" s="33">
        <f t="shared" si="286"/>
        <v>0</v>
      </c>
      <c r="AP62" s="34"/>
      <c r="AQ62" s="31">
        <f t="shared" si="317"/>
        <v>0</v>
      </c>
      <c r="AR62" s="35">
        <v>0.0</v>
      </c>
      <c r="AS62" s="33">
        <f t="shared" si="288"/>
        <v>0</v>
      </c>
      <c r="AT62" s="34">
        <v>0.0</v>
      </c>
      <c r="AU62" s="31">
        <f t="shared" si="318"/>
        <v>0</v>
      </c>
      <c r="AV62" s="35">
        <v>0.0</v>
      </c>
      <c r="AW62" s="33">
        <f t="shared" si="290"/>
        <v>0</v>
      </c>
      <c r="AX62" s="34">
        <v>5000.0</v>
      </c>
      <c r="AY62" s="31">
        <f t="shared" si="319"/>
        <v>5000</v>
      </c>
      <c r="AZ62" s="35">
        <v>0.0</v>
      </c>
      <c r="BA62" s="33">
        <f t="shared" si="292"/>
        <v>5000</v>
      </c>
    </row>
    <row r="63" ht="18.0" customHeight="1">
      <c r="A63" s="2" t="s">
        <v>66</v>
      </c>
      <c r="B63" s="30">
        <f t="shared" ref="B63:D63" si="321">SUM(AX63,AT63,AP63,AL63,AH63,AD63,Z63,V63,R63,N63,J63,F63)</f>
        <v>2000</v>
      </c>
      <c r="C63" s="31">
        <f t="shared" si="321"/>
        <v>12000</v>
      </c>
      <c r="D63" s="32">
        <f t="shared" si="321"/>
        <v>12000</v>
      </c>
      <c r="E63" s="33">
        <f t="shared" si="268"/>
        <v>0</v>
      </c>
      <c r="F63" s="34"/>
      <c r="G63" s="31">
        <f t="shared" si="308"/>
        <v>1000</v>
      </c>
      <c r="H63" s="35">
        <v>1000.0</v>
      </c>
      <c r="I63" s="33">
        <f t="shared" si="270"/>
        <v>0</v>
      </c>
      <c r="J63" s="34"/>
      <c r="K63" s="31">
        <f t="shared" si="309"/>
        <v>1000</v>
      </c>
      <c r="L63" s="35">
        <v>1000.0</v>
      </c>
      <c r="M63" s="33">
        <f t="shared" si="272"/>
        <v>0</v>
      </c>
      <c r="N63" s="34"/>
      <c r="O63" s="31">
        <f t="shared" si="310"/>
        <v>1000</v>
      </c>
      <c r="P63" s="35">
        <v>1000.0</v>
      </c>
      <c r="Q63" s="33">
        <f t="shared" si="274"/>
        <v>0</v>
      </c>
      <c r="R63" s="34"/>
      <c r="S63" s="31">
        <f t="shared" si="311"/>
        <v>1000</v>
      </c>
      <c r="T63" s="35">
        <v>1000.0</v>
      </c>
      <c r="U63" s="33">
        <f t="shared" si="276"/>
        <v>0</v>
      </c>
      <c r="V63" s="34"/>
      <c r="W63" s="31">
        <f t="shared" si="312"/>
        <v>1000</v>
      </c>
      <c r="X63" s="35">
        <v>1000.0</v>
      </c>
      <c r="Y63" s="33">
        <f t="shared" si="278"/>
        <v>0</v>
      </c>
      <c r="Z63" s="34"/>
      <c r="AA63" s="31">
        <f t="shared" si="313"/>
        <v>1000</v>
      </c>
      <c r="AB63" s="35">
        <v>1000.0</v>
      </c>
      <c r="AC63" s="33">
        <f t="shared" si="280"/>
        <v>0</v>
      </c>
      <c r="AD63" s="34"/>
      <c r="AE63" s="31">
        <f t="shared" si="314"/>
        <v>1000</v>
      </c>
      <c r="AF63" s="35">
        <v>1000.0</v>
      </c>
      <c r="AG63" s="33">
        <f t="shared" si="282"/>
        <v>0</v>
      </c>
      <c r="AH63" s="34"/>
      <c r="AI63" s="31">
        <f t="shared" si="315"/>
        <v>1000</v>
      </c>
      <c r="AJ63" s="35">
        <v>1000.0</v>
      </c>
      <c r="AK63" s="33">
        <f t="shared" si="284"/>
        <v>0</v>
      </c>
      <c r="AL63" s="34"/>
      <c r="AM63" s="31">
        <f t="shared" si="316"/>
        <v>1000</v>
      </c>
      <c r="AN63" s="35">
        <v>1000.0</v>
      </c>
      <c r="AO63" s="33">
        <f t="shared" si="286"/>
        <v>0</v>
      </c>
      <c r="AP63" s="34"/>
      <c r="AQ63" s="31">
        <f t="shared" si="317"/>
        <v>1000</v>
      </c>
      <c r="AR63" s="35">
        <v>1000.0</v>
      </c>
      <c r="AS63" s="33">
        <f t="shared" si="288"/>
        <v>0</v>
      </c>
      <c r="AT63" s="34">
        <v>1000.0</v>
      </c>
      <c r="AU63" s="31">
        <f t="shared" si="318"/>
        <v>1000</v>
      </c>
      <c r="AV63" s="35">
        <v>1000.0</v>
      </c>
      <c r="AW63" s="33">
        <f t="shared" si="290"/>
        <v>0</v>
      </c>
      <c r="AX63" s="34">
        <v>1000.0</v>
      </c>
      <c r="AY63" s="31">
        <f t="shared" si="319"/>
        <v>1000</v>
      </c>
      <c r="AZ63" s="35">
        <v>1000.0</v>
      </c>
      <c r="BA63" s="33">
        <f t="shared" si="292"/>
        <v>0</v>
      </c>
    </row>
    <row r="64" ht="18.0" customHeight="1">
      <c r="A64" s="2" t="s">
        <v>67</v>
      </c>
      <c r="B64" s="30">
        <f t="shared" ref="B64:D64" si="322">SUM(AX64,AT64,AP64,AL64,AH64,AD64,Z64,V64,R64,N64,J64,F64)</f>
        <v>5000</v>
      </c>
      <c r="C64" s="31">
        <f t="shared" si="322"/>
        <v>25000</v>
      </c>
      <c r="D64" s="32">
        <f t="shared" si="322"/>
        <v>20000</v>
      </c>
      <c r="E64" s="33">
        <f t="shared" si="268"/>
        <v>5000</v>
      </c>
      <c r="F64" s="34"/>
      <c r="G64" s="31">
        <f t="shared" si="308"/>
        <v>5000</v>
      </c>
      <c r="H64" s="35">
        <v>5000.0</v>
      </c>
      <c r="I64" s="33">
        <f t="shared" si="270"/>
        <v>0</v>
      </c>
      <c r="J64" s="34"/>
      <c r="K64" s="31">
        <f t="shared" si="309"/>
        <v>0</v>
      </c>
      <c r="L64" s="35">
        <v>0.0</v>
      </c>
      <c r="M64" s="33">
        <f t="shared" si="272"/>
        <v>0</v>
      </c>
      <c r="N64" s="34"/>
      <c r="O64" s="31">
        <f t="shared" si="310"/>
        <v>0</v>
      </c>
      <c r="P64" s="35">
        <v>0.0</v>
      </c>
      <c r="Q64" s="33">
        <f t="shared" si="274"/>
        <v>0</v>
      </c>
      <c r="R64" s="34"/>
      <c r="S64" s="31">
        <f t="shared" si="311"/>
        <v>5000</v>
      </c>
      <c r="T64" s="35">
        <v>5000.0</v>
      </c>
      <c r="U64" s="33">
        <f t="shared" si="276"/>
        <v>0</v>
      </c>
      <c r="V64" s="34"/>
      <c r="W64" s="31">
        <f t="shared" si="312"/>
        <v>0</v>
      </c>
      <c r="X64" s="35">
        <v>0.0</v>
      </c>
      <c r="Y64" s="33">
        <f t="shared" si="278"/>
        <v>0</v>
      </c>
      <c r="Z64" s="34"/>
      <c r="AA64" s="31">
        <f t="shared" si="313"/>
        <v>0</v>
      </c>
      <c r="AB64" s="35">
        <v>0.0</v>
      </c>
      <c r="AC64" s="33">
        <f t="shared" si="280"/>
        <v>0</v>
      </c>
      <c r="AD64" s="34"/>
      <c r="AE64" s="31">
        <f t="shared" si="314"/>
        <v>5000</v>
      </c>
      <c r="AF64" s="35">
        <v>5000.0</v>
      </c>
      <c r="AG64" s="33">
        <f t="shared" si="282"/>
        <v>0</v>
      </c>
      <c r="AH64" s="34"/>
      <c r="AI64" s="31">
        <f t="shared" si="315"/>
        <v>0</v>
      </c>
      <c r="AJ64" s="35">
        <v>0.0</v>
      </c>
      <c r="AK64" s="33">
        <f t="shared" si="284"/>
        <v>0</v>
      </c>
      <c r="AL64" s="34"/>
      <c r="AM64" s="31">
        <f t="shared" si="316"/>
        <v>0</v>
      </c>
      <c r="AN64" s="35">
        <v>0.0</v>
      </c>
      <c r="AO64" s="33">
        <f t="shared" si="286"/>
        <v>0</v>
      </c>
      <c r="AP64" s="34"/>
      <c r="AQ64" s="31">
        <f t="shared" si="317"/>
        <v>5000</v>
      </c>
      <c r="AR64" s="35">
        <v>5000.0</v>
      </c>
      <c r="AS64" s="33">
        <f t="shared" si="288"/>
        <v>0</v>
      </c>
      <c r="AT64" s="34">
        <v>5000.0</v>
      </c>
      <c r="AU64" s="31">
        <f t="shared" si="318"/>
        <v>5000</v>
      </c>
      <c r="AV64" s="35">
        <v>0.0</v>
      </c>
      <c r="AW64" s="33">
        <f t="shared" si="290"/>
        <v>5000</v>
      </c>
      <c r="AX64" s="34">
        <v>0.0</v>
      </c>
      <c r="AY64" s="31">
        <f t="shared" si="319"/>
        <v>0</v>
      </c>
      <c r="AZ64" s="35">
        <v>0.0</v>
      </c>
      <c r="BA64" s="33">
        <f t="shared" si="292"/>
        <v>0</v>
      </c>
    </row>
    <row r="65" ht="18.0" customHeight="1">
      <c r="A65" s="36" t="s">
        <v>68</v>
      </c>
      <c r="B65" s="39">
        <f t="shared" ref="B65:D65" si="323">SUM(AX65,AT65,AP65,AL65,AH65,AD65,Z65,V65,R65,N65,J65,F65)</f>
        <v>12000</v>
      </c>
      <c r="C65" s="39">
        <f t="shared" si="323"/>
        <v>82000</v>
      </c>
      <c r="D65" s="39">
        <f t="shared" si="323"/>
        <v>72000</v>
      </c>
      <c r="E65" s="39">
        <f t="shared" si="268"/>
        <v>10000</v>
      </c>
      <c r="F65" s="39" t="str">
        <f t="shared" ref="F65:H65" si="324">IF(COUNT(F61:F64)&gt;0,SUM(F61:F64),"")</f>
        <v/>
      </c>
      <c r="G65" s="39">
        <f t="shared" si="324"/>
        <v>11000</v>
      </c>
      <c r="H65" s="39">
        <f t="shared" si="324"/>
        <v>11000</v>
      </c>
      <c r="I65" s="39">
        <f t="shared" si="270"/>
        <v>0</v>
      </c>
      <c r="J65" s="39" t="str">
        <f t="shared" ref="J65:L65" si="325">IF(COUNT(J61:J64)&gt;0,SUM(J61:J64),"")</f>
        <v/>
      </c>
      <c r="K65" s="39">
        <f t="shared" si="325"/>
        <v>1000</v>
      </c>
      <c r="L65" s="39">
        <f t="shared" si="325"/>
        <v>1000</v>
      </c>
      <c r="M65" s="39">
        <f t="shared" si="272"/>
        <v>0</v>
      </c>
      <c r="N65" s="39" t="str">
        <f t="shared" ref="N65:P65" si="326">IF(COUNT(N61:N64)&gt;0,SUM(N61:N64),"")</f>
        <v/>
      </c>
      <c r="O65" s="39">
        <f t="shared" si="326"/>
        <v>1000</v>
      </c>
      <c r="P65" s="39">
        <f t="shared" si="326"/>
        <v>1000</v>
      </c>
      <c r="Q65" s="39">
        <f t="shared" si="274"/>
        <v>0</v>
      </c>
      <c r="R65" s="39" t="str">
        <f t="shared" ref="R65:T65" si="327">IF(COUNT(R61:R64)&gt;0,SUM(R61:R64),"")</f>
        <v/>
      </c>
      <c r="S65" s="39">
        <f t="shared" si="327"/>
        <v>21000</v>
      </c>
      <c r="T65" s="39">
        <f t="shared" si="327"/>
        <v>21000</v>
      </c>
      <c r="U65" s="39">
        <f t="shared" si="276"/>
        <v>0</v>
      </c>
      <c r="V65" s="39" t="str">
        <f t="shared" ref="V65:X65" si="328">IF(COUNT(V61:V64)&gt;0,SUM(V61:V64),"")</f>
        <v/>
      </c>
      <c r="W65" s="39">
        <f t="shared" si="328"/>
        <v>1000</v>
      </c>
      <c r="X65" s="39">
        <f t="shared" si="328"/>
        <v>1000</v>
      </c>
      <c r="Y65" s="39">
        <f t="shared" si="278"/>
        <v>0</v>
      </c>
      <c r="Z65" s="39" t="str">
        <f t="shared" ref="Z65:AB65" si="329">IF(COUNT(Z61:Z64)&gt;0,SUM(Z61:Z64),"")</f>
        <v/>
      </c>
      <c r="AA65" s="39">
        <f t="shared" si="329"/>
        <v>1000</v>
      </c>
      <c r="AB65" s="39">
        <f t="shared" si="329"/>
        <v>1000</v>
      </c>
      <c r="AC65" s="39">
        <f t="shared" si="280"/>
        <v>0</v>
      </c>
      <c r="AD65" s="39" t="str">
        <f t="shared" ref="AD65:AF65" si="330">IF(COUNT(AD61:AD64)&gt;0,SUM(AD61:AD64),"")</f>
        <v/>
      </c>
      <c r="AE65" s="39">
        <f t="shared" si="330"/>
        <v>11000</v>
      </c>
      <c r="AF65" s="39">
        <f t="shared" si="330"/>
        <v>11000</v>
      </c>
      <c r="AG65" s="39">
        <f t="shared" si="282"/>
        <v>0</v>
      </c>
      <c r="AH65" s="39" t="str">
        <f t="shared" ref="AH65:AJ65" si="331">IF(COUNT(AH61:AH64)&gt;0,SUM(AH61:AH64),"")</f>
        <v/>
      </c>
      <c r="AI65" s="39">
        <f t="shared" si="331"/>
        <v>1000</v>
      </c>
      <c r="AJ65" s="39">
        <f t="shared" si="331"/>
        <v>1000</v>
      </c>
      <c r="AK65" s="39">
        <f t="shared" si="284"/>
        <v>0</v>
      </c>
      <c r="AL65" s="39" t="str">
        <f t="shared" ref="AL65:AN65" si="332">IF(COUNT(AL61:AL64)&gt;0,SUM(AL61:AL64),"")</f>
        <v/>
      </c>
      <c r="AM65" s="39">
        <f t="shared" si="332"/>
        <v>16000</v>
      </c>
      <c r="AN65" s="39">
        <f t="shared" si="332"/>
        <v>16000</v>
      </c>
      <c r="AO65" s="39">
        <f t="shared" si="286"/>
        <v>0</v>
      </c>
      <c r="AP65" s="39" t="str">
        <f t="shared" ref="AP65:AR65" si="333">IF(COUNT(AP61:AP64)&gt;0,SUM(AP61:AP64),"")</f>
        <v/>
      </c>
      <c r="AQ65" s="39">
        <f t="shared" si="333"/>
        <v>6000</v>
      </c>
      <c r="AR65" s="39">
        <f t="shared" si="333"/>
        <v>6000</v>
      </c>
      <c r="AS65" s="39">
        <f t="shared" si="288"/>
        <v>0</v>
      </c>
      <c r="AT65" s="39">
        <f t="shared" ref="AT65:AV65" si="334">IF(COUNT(AT61:AT64)&gt;0,SUM(AT61:AT64),"")</f>
        <v>6000</v>
      </c>
      <c r="AU65" s="39">
        <f t="shared" si="334"/>
        <v>6000</v>
      </c>
      <c r="AV65" s="39">
        <f t="shared" si="334"/>
        <v>1000</v>
      </c>
      <c r="AW65" s="39">
        <f t="shared" si="290"/>
        <v>5000</v>
      </c>
      <c r="AX65" s="39">
        <f t="shared" ref="AX65:AZ65" si="335">IF(COUNT(AX61:AX64)&gt;0,SUM(AX61:AX64),"")</f>
        <v>6000</v>
      </c>
      <c r="AY65" s="39">
        <f t="shared" si="335"/>
        <v>6000</v>
      </c>
      <c r="AZ65" s="39">
        <f t="shared" si="335"/>
        <v>1000</v>
      </c>
      <c r="BA65" s="39">
        <f t="shared" si="292"/>
        <v>5000</v>
      </c>
    </row>
    <row r="66" ht="18.0" customHeight="1">
      <c r="A66" s="36" t="s">
        <v>69</v>
      </c>
      <c r="B66" s="39">
        <f t="shared" ref="B66:D66" si="336">SUM(AX66,AT66,AP66,AL66,AH66,AD66,Z66,V66,R66,N66,J66,F66)</f>
        <v>-67725</v>
      </c>
      <c r="C66" s="39">
        <f t="shared" si="336"/>
        <v>-109725</v>
      </c>
      <c r="D66" s="39">
        <f t="shared" si="336"/>
        <v>71400</v>
      </c>
      <c r="E66" s="39">
        <f t="shared" si="268"/>
        <v>-181125</v>
      </c>
      <c r="F66" s="39" t="str">
        <f>IF(COUNT(F57:F64)&gt;0,SUM(F57,F60)-SUM(F58,F59,F65),"")</f>
        <v/>
      </c>
      <c r="G66" s="39">
        <f t="shared" ref="G66:H66" si="337">SUM(G57,G60)-SUM(G58,G59,G65)</f>
        <v>2200</v>
      </c>
      <c r="H66" s="39">
        <f t="shared" si="337"/>
        <v>2200</v>
      </c>
      <c r="I66" s="39">
        <f t="shared" si="270"/>
        <v>0</v>
      </c>
      <c r="J66" s="39" t="str">
        <f>IF(COUNT(J57:J64)&gt;0,SUM(J57,J60)-SUM(J58,J59,J65),"")</f>
        <v/>
      </c>
      <c r="K66" s="39">
        <f t="shared" ref="K66:L66" si="338">SUM(K57,K60)-SUM(K58,K59,K65)</f>
        <v>12200</v>
      </c>
      <c r="L66" s="39">
        <f t="shared" si="338"/>
        <v>12200</v>
      </c>
      <c r="M66" s="39">
        <f t="shared" si="272"/>
        <v>0</v>
      </c>
      <c r="N66" s="39" t="str">
        <f>IF(COUNT(N57:N64)&gt;0,SUM(N57,N60)-SUM(N58,N59,N65),"")</f>
        <v/>
      </c>
      <c r="O66" s="39">
        <f t="shared" ref="O66:P66" si="339">SUM(O57,O60)-SUM(O58,O59,O65)</f>
        <v>12200</v>
      </c>
      <c r="P66" s="39">
        <f t="shared" si="339"/>
        <v>12200</v>
      </c>
      <c r="Q66" s="39">
        <f t="shared" si="274"/>
        <v>0</v>
      </c>
      <c r="R66" s="39" t="str">
        <f>IF(COUNT(R57:R64)&gt;0,SUM(R57,R60)-SUM(R58,R59,R65),"")</f>
        <v/>
      </c>
      <c r="S66" s="39">
        <f t="shared" ref="S66:T66" si="340">SUM(S57,S60)-SUM(S58,S59,S65)</f>
        <v>-15800</v>
      </c>
      <c r="T66" s="39">
        <f t="shared" si="340"/>
        <v>-15800</v>
      </c>
      <c r="U66" s="39">
        <f t="shared" si="276"/>
        <v>0</v>
      </c>
      <c r="V66" s="39" t="str">
        <f>IF(COUNT(V57:V64)&gt;0,SUM(V57,V60)-SUM(V58,V59,V65),"")</f>
        <v/>
      </c>
      <c r="W66" s="39">
        <f t="shared" ref="W66:X66" si="341">SUM(W57,W60)-SUM(W58,W59,W65)</f>
        <v>5200</v>
      </c>
      <c r="X66" s="39">
        <f t="shared" si="341"/>
        <v>5200</v>
      </c>
      <c r="Y66" s="39">
        <f t="shared" si="278"/>
        <v>0</v>
      </c>
      <c r="Z66" s="39" t="str">
        <f>IF(COUNT(Z57:Z64)&gt;0,SUM(Z57,Z60)-SUM(Z58,Z59,Z65),"")</f>
        <v/>
      </c>
      <c r="AA66" s="39">
        <f t="shared" ref="AA66:AB66" si="342">SUM(AA57,AA60)-SUM(AA58,AA59,AA65)</f>
        <v>5200</v>
      </c>
      <c r="AB66" s="39">
        <f t="shared" si="342"/>
        <v>5200</v>
      </c>
      <c r="AC66" s="39">
        <f t="shared" si="280"/>
        <v>0</v>
      </c>
      <c r="AD66" s="39" t="str">
        <f>IF(COUNT(AD57:AD64)&gt;0,SUM(AD57,AD60)-SUM(AD58,AD59,AD65),"")</f>
        <v/>
      </c>
      <c r="AE66" s="39">
        <f t="shared" ref="AE66:AF66" si="343">SUM(AE57,AE60)-SUM(AE58,AE59,AE65)</f>
        <v>-4800</v>
      </c>
      <c r="AF66" s="39">
        <f t="shared" si="343"/>
        <v>-4800</v>
      </c>
      <c r="AG66" s="39">
        <f t="shared" si="282"/>
        <v>0</v>
      </c>
      <c r="AH66" s="39" t="str">
        <f>IF(COUNT(AH57:AH64)&gt;0,SUM(AH57,AH60)-SUM(AH58,AH59,AH65),"")</f>
        <v/>
      </c>
      <c r="AI66" s="39">
        <f t="shared" ref="AI66:AJ66" si="344">SUM(AI57,AI60)-SUM(AI58,AI59,AI65)</f>
        <v>-18800</v>
      </c>
      <c r="AJ66" s="39">
        <f t="shared" si="344"/>
        <v>-2800</v>
      </c>
      <c r="AK66" s="39">
        <f t="shared" si="284"/>
        <v>-16000</v>
      </c>
      <c r="AL66" s="39" t="str">
        <f>IF(COUNT(AL57:AL64)&gt;0,SUM(AL57,AL60)-SUM(AL58,AL59,AL65),"")</f>
        <v/>
      </c>
      <c r="AM66" s="39">
        <f t="shared" ref="AM66:AN66" si="345">SUM(AM57,AM60)-SUM(AM58,AM59,AM65)</f>
        <v>-54800</v>
      </c>
      <c r="AN66" s="39">
        <f t="shared" si="345"/>
        <v>-16800</v>
      </c>
      <c r="AO66" s="39">
        <f t="shared" si="286"/>
        <v>-38000</v>
      </c>
      <c r="AP66" s="39" t="str">
        <f>IF(COUNT(AP57:AP64)&gt;0,SUM(AP57,AP60)-SUM(AP58,AP59,AP65),"")</f>
        <v/>
      </c>
      <c r="AQ66" s="39">
        <f t="shared" ref="AQ66:AR66" si="346">SUM(AQ57,AQ60)-SUM(AQ58,AQ59,AQ65)</f>
        <v>15200</v>
      </c>
      <c r="AR66" s="39">
        <f t="shared" si="346"/>
        <v>43200</v>
      </c>
      <c r="AS66" s="39">
        <f t="shared" si="288"/>
        <v>-28000</v>
      </c>
      <c r="AT66" s="39">
        <f>IF(COUNT(AT57:AT64)&gt;0,SUM(AT57,AT60)-SUM(AT58,AT59,AT65),"")</f>
        <v>-25384</v>
      </c>
      <c r="AU66" s="39">
        <f t="shared" ref="AU66:AV66" si="347">SUM(AU57,AU60)-SUM(AU58,AU59,AU65)</f>
        <v>-25384</v>
      </c>
      <c r="AV66" s="39">
        <f t="shared" si="347"/>
        <v>38200</v>
      </c>
      <c r="AW66" s="39">
        <f t="shared" si="290"/>
        <v>-63584</v>
      </c>
      <c r="AX66" s="39">
        <f>IF(COUNT(AX57:AX64)&gt;0,SUM(AX57,AX60)-SUM(AX58,AX59,AX65),"")</f>
        <v>-42341</v>
      </c>
      <c r="AY66" s="39">
        <f t="shared" ref="AY66:AZ66" si="348">SUM(AY57,AY60)-SUM(AY58,AY59,AY65)</f>
        <v>-42341</v>
      </c>
      <c r="AZ66" s="39">
        <f t="shared" si="348"/>
        <v>-6800</v>
      </c>
      <c r="BA66" s="39">
        <f t="shared" si="292"/>
        <v>-35541</v>
      </c>
    </row>
    <row r="67" ht="18.0" customHeight="1">
      <c r="A67" s="2" t="s">
        <v>70</v>
      </c>
      <c r="B67" s="30">
        <f t="shared" ref="B67:D67" si="349">AX67</f>
        <v>250000</v>
      </c>
      <c r="C67" s="31">
        <f t="shared" si="349"/>
        <v>250000</v>
      </c>
      <c r="D67" s="32">
        <f t="shared" si="349"/>
        <v>250000</v>
      </c>
      <c r="E67" s="33">
        <f t="shared" si="268"/>
        <v>0</v>
      </c>
      <c r="F67" s="30" t="str">
        <f>IF(F66="","",IF(J$98=1,J68,K68))</f>
        <v/>
      </c>
      <c r="G67" s="31">
        <f>IF(J$98=1,J68,K68)</f>
        <v>138075</v>
      </c>
      <c r="H67" s="32">
        <f>L68</f>
        <v>319200</v>
      </c>
      <c r="I67" s="33">
        <f t="shared" si="270"/>
        <v>-181125</v>
      </c>
      <c r="J67" s="30" t="str">
        <f>IF(J66="","",IF(N$98=1,N68,O68))</f>
        <v/>
      </c>
      <c r="K67" s="31">
        <f>IF(N$98=1,N68,O68)</f>
        <v>125875</v>
      </c>
      <c r="L67" s="32">
        <f>P68</f>
        <v>307000</v>
      </c>
      <c r="M67" s="33">
        <f t="shared" si="272"/>
        <v>-181125</v>
      </c>
      <c r="N67" s="30" t="str">
        <f>IF(N66="","",IF(R$98=1,R68,S68))</f>
        <v/>
      </c>
      <c r="O67" s="31">
        <f>IF(R$98=1,R68,S68)</f>
        <v>113675</v>
      </c>
      <c r="P67" s="32">
        <f>T68</f>
        <v>294800</v>
      </c>
      <c r="Q67" s="33">
        <f t="shared" si="274"/>
        <v>-181125</v>
      </c>
      <c r="R67" s="30" t="str">
        <f>IF(R66="","",IF(V$98=1,V68,W68))</f>
        <v/>
      </c>
      <c r="S67" s="31">
        <f>IF(V$98=1,V68,W68)</f>
        <v>129475</v>
      </c>
      <c r="T67" s="32">
        <f>X68</f>
        <v>310600</v>
      </c>
      <c r="U67" s="33">
        <f t="shared" si="276"/>
        <v>-181125</v>
      </c>
      <c r="V67" s="30" t="str">
        <f>IF(V66="","",IF(Z$98=1,Z68,AA68))</f>
        <v/>
      </c>
      <c r="W67" s="31">
        <f>IF(Z$98=1,Z68,AA68)</f>
        <v>124275</v>
      </c>
      <c r="X67" s="32">
        <f>AB68</f>
        <v>305400</v>
      </c>
      <c r="Y67" s="33">
        <f t="shared" si="278"/>
        <v>-181125</v>
      </c>
      <c r="Z67" s="30" t="str">
        <f>IF(Z66="","",IF(AD$98=1,AD68,AE68))</f>
        <v/>
      </c>
      <c r="AA67" s="31">
        <f>IF(AD$98=1,AD68,AE68)</f>
        <v>119075</v>
      </c>
      <c r="AB67" s="32">
        <f>AF68</f>
        <v>300200</v>
      </c>
      <c r="AC67" s="33">
        <f t="shared" si="280"/>
        <v>-181125</v>
      </c>
      <c r="AD67" s="30" t="str">
        <f>IF(AD66="","",IF(AH$98=1,AH68,AI68))</f>
        <v/>
      </c>
      <c r="AE67" s="31">
        <f>IF(AH$98=1,AH68,AI68)</f>
        <v>123875</v>
      </c>
      <c r="AF67" s="32">
        <f>AJ68</f>
        <v>305000</v>
      </c>
      <c r="AG67" s="33">
        <f t="shared" si="282"/>
        <v>-181125</v>
      </c>
      <c r="AH67" s="30" t="str">
        <f>IF(AH66="","",IF(AL$98=1,AL68,AM68))</f>
        <v/>
      </c>
      <c r="AI67" s="31">
        <f>IF(AL$98=1,AL68,AM68)</f>
        <v>142675</v>
      </c>
      <c r="AJ67" s="32">
        <f>AN68</f>
        <v>307800</v>
      </c>
      <c r="AK67" s="33">
        <f t="shared" si="284"/>
        <v>-165125</v>
      </c>
      <c r="AL67" s="30" t="str">
        <f>IF(AL66="","",IF(AP$98=1,AP68,AQ68))</f>
        <v/>
      </c>
      <c r="AM67" s="31">
        <f>IF(AP$98=1,AP68,AQ68)</f>
        <v>197475</v>
      </c>
      <c r="AN67" s="32">
        <f>AR68</f>
        <v>324600</v>
      </c>
      <c r="AO67" s="33">
        <f t="shared" si="286"/>
        <v>-127125</v>
      </c>
      <c r="AP67" s="30" t="str">
        <f>IF(AP66="","",IF(AT$98=1,AT68,AU68))</f>
        <v/>
      </c>
      <c r="AQ67" s="31">
        <f>IF(AT$98=1,AT68,AU68)</f>
        <v>182275</v>
      </c>
      <c r="AR67" s="32">
        <f>AV68</f>
        <v>281400</v>
      </c>
      <c r="AS67" s="33">
        <f t="shared" si="288"/>
        <v>-99125</v>
      </c>
      <c r="AT67" s="30">
        <f>IF(AT66="","",IF(AX$98=1,AX68,AY68))</f>
        <v>207659</v>
      </c>
      <c r="AU67" s="31">
        <f>IF(AX$98=1,AX68,AY68)</f>
        <v>207659</v>
      </c>
      <c r="AV67" s="32">
        <f>AZ68</f>
        <v>243200</v>
      </c>
      <c r="AW67" s="33">
        <f t="shared" si="290"/>
        <v>-35541</v>
      </c>
      <c r="AX67" s="34">
        <v>250000.0</v>
      </c>
      <c r="AY67" s="31">
        <f>AX67</f>
        <v>250000</v>
      </c>
      <c r="AZ67" s="32">
        <f>AX67</f>
        <v>250000</v>
      </c>
      <c r="BA67" s="33">
        <f t="shared" si="292"/>
        <v>0</v>
      </c>
    </row>
    <row r="68" ht="18.0" customHeight="1">
      <c r="A68" s="36" t="s">
        <v>71</v>
      </c>
      <c r="B68" s="39">
        <f t="shared" ref="B68:B71" si="363">IF(F$98=1,F68,IF(J$98=1,J68,IF(N$98=1,N68,IF(R$98=1,R68,IF(V$98=1,V68,IF(Z$98=1,Z68,IF(AD$98=1,AD68,IF(AH$98=1,AH68,IF(AL$98=1,AL68,IF(AP$98=1,AP68,IF(AT$98=1,AT68,IF(AX$98=1,AX68,""))))))))))))</f>
        <v>182275</v>
      </c>
      <c r="C68" s="39">
        <f t="shared" ref="C68:D68" si="350">G68</f>
        <v>140275</v>
      </c>
      <c r="D68" s="39">
        <f t="shared" si="350"/>
        <v>321400</v>
      </c>
      <c r="E68" s="39">
        <f t="shared" si="268"/>
        <v>-181125</v>
      </c>
      <c r="F68" s="39" t="str">
        <f>IF(F66="","",F67+F66)</f>
        <v/>
      </c>
      <c r="G68" s="39">
        <f t="shared" ref="G68:H68" si="351">G67+G66</f>
        <v>140275</v>
      </c>
      <c r="H68" s="39">
        <f t="shared" si="351"/>
        <v>321400</v>
      </c>
      <c r="I68" s="39">
        <f t="shared" si="270"/>
        <v>-181125</v>
      </c>
      <c r="J68" s="39" t="str">
        <f>IF(J66="","",J67+J66)</f>
        <v/>
      </c>
      <c r="K68" s="39">
        <f t="shared" ref="K68:L68" si="352">K67+K66</f>
        <v>138075</v>
      </c>
      <c r="L68" s="39">
        <f t="shared" si="352"/>
        <v>319200</v>
      </c>
      <c r="M68" s="39">
        <f t="shared" si="272"/>
        <v>-181125</v>
      </c>
      <c r="N68" s="39" t="str">
        <f>IF(N66="","",N67+N66)</f>
        <v/>
      </c>
      <c r="O68" s="39">
        <f t="shared" ref="O68:P68" si="353">O67+O66</f>
        <v>125875</v>
      </c>
      <c r="P68" s="39">
        <f t="shared" si="353"/>
        <v>307000</v>
      </c>
      <c r="Q68" s="39">
        <f t="shared" si="274"/>
        <v>-181125</v>
      </c>
      <c r="R68" s="39" t="str">
        <f>IF(R66="","",R67+R66)</f>
        <v/>
      </c>
      <c r="S68" s="39">
        <f t="shared" ref="S68:T68" si="354">S67+S66</f>
        <v>113675</v>
      </c>
      <c r="T68" s="39">
        <f t="shared" si="354"/>
        <v>294800</v>
      </c>
      <c r="U68" s="39">
        <f t="shared" si="276"/>
        <v>-181125</v>
      </c>
      <c r="V68" s="39" t="str">
        <f>IF(V66="","",V67+V66)</f>
        <v/>
      </c>
      <c r="W68" s="39">
        <f t="shared" ref="W68:X68" si="355">W67+W66</f>
        <v>129475</v>
      </c>
      <c r="X68" s="39">
        <f t="shared" si="355"/>
        <v>310600</v>
      </c>
      <c r="Y68" s="39">
        <f t="shared" si="278"/>
        <v>-181125</v>
      </c>
      <c r="Z68" s="39" t="str">
        <f>IF(Z66="","",Z67+Z66)</f>
        <v/>
      </c>
      <c r="AA68" s="39">
        <f t="shared" ref="AA68:AB68" si="356">AA67+AA66</f>
        <v>124275</v>
      </c>
      <c r="AB68" s="39">
        <f t="shared" si="356"/>
        <v>305400</v>
      </c>
      <c r="AC68" s="39">
        <f t="shared" si="280"/>
        <v>-181125</v>
      </c>
      <c r="AD68" s="39" t="str">
        <f>IF(AD66="","",AD67+AD66)</f>
        <v/>
      </c>
      <c r="AE68" s="39">
        <f t="shared" ref="AE68:AF68" si="357">AE67+AE66</f>
        <v>119075</v>
      </c>
      <c r="AF68" s="39">
        <f t="shared" si="357"/>
        <v>300200</v>
      </c>
      <c r="AG68" s="39">
        <f t="shared" si="282"/>
        <v>-181125</v>
      </c>
      <c r="AH68" s="39" t="str">
        <f>IF(AH66="","",AH67+AH66)</f>
        <v/>
      </c>
      <c r="AI68" s="39">
        <f t="shared" ref="AI68:AJ68" si="358">AI67+AI66</f>
        <v>123875</v>
      </c>
      <c r="AJ68" s="39">
        <f t="shared" si="358"/>
        <v>305000</v>
      </c>
      <c r="AK68" s="39">
        <f t="shared" si="284"/>
        <v>-181125</v>
      </c>
      <c r="AL68" s="39" t="str">
        <f>IF(AL66="","",AL67+AL66)</f>
        <v/>
      </c>
      <c r="AM68" s="39">
        <f t="shared" ref="AM68:AN68" si="359">AM67+AM66</f>
        <v>142675</v>
      </c>
      <c r="AN68" s="39">
        <f t="shared" si="359"/>
        <v>307800</v>
      </c>
      <c r="AO68" s="39">
        <f t="shared" si="286"/>
        <v>-165125</v>
      </c>
      <c r="AP68" s="39" t="str">
        <f>IF(AP66="","",AP67+AP66)</f>
        <v/>
      </c>
      <c r="AQ68" s="39">
        <f t="shared" ref="AQ68:AR68" si="360">AQ67+AQ66</f>
        <v>197475</v>
      </c>
      <c r="AR68" s="39">
        <f t="shared" si="360"/>
        <v>324600</v>
      </c>
      <c r="AS68" s="39">
        <f t="shared" si="288"/>
        <v>-127125</v>
      </c>
      <c r="AT68" s="39">
        <f>IF(AT66="","",AT67+AT66)</f>
        <v>182275</v>
      </c>
      <c r="AU68" s="39">
        <f t="shared" ref="AU68:AV68" si="361">AU67+AU66</f>
        <v>182275</v>
      </c>
      <c r="AV68" s="39">
        <f t="shared" si="361"/>
        <v>281400</v>
      </c>
      <c r="AW68" s="39">
        <f t="shared" si="290"/>
        <v>-99125</v>
      </c>
      <c r="AX68" s="39">
        <f>IF(AX66="","",AX67+AX66)</f>
        <v>207659</v>
      </c>
      <c r="AY68" s="39">
        <f t="shared" ref="AY68:AZ68" si="362">AY67+AY66</f>
        <v>207659</v>
      </c>
      <c r="AZ68" s="39">
        <f t="shared" si="362"/>
        <v>243200</v>
      </c>
      <c r="BA68" s="39">
        <f t="shared" si="292"/>
        <v>-35541</v>
      </c>
    </row>
    <row r="69" ht="18.0" customHeight="1">
      <c r="A69" s="2" t="s">
        <v>72</v>
      </c>
      <c r="B69" s="30">
        <f t="shared" si="363"/>
        <v>50000</v>
      </c>
      <c r="C69" s="31">
        <f t="shared" ref="C69:D69" si="364">G69</f>
        <v>50000</v>
      </c>
      <c r="D69" s="32">
        <f t="shared" si="364"/>
        <v>50000</v>
      </c>
      <c r="E69" s="33">
        <f t="shared" si="268"/>
        <v>0</v>
      </c>
      <c r="F69" s="34"/>
      <c r="G69" s="31">
        <f>IF(F$98=1,F69,H69)</f>
        <v>50000</v>
      </c>
      <c r="H69" s="35">
        <v>50000.0</v>
      </c>
      <c r="I69" s="33">
        <f t="shared" si="270"/>
        <v>0</v>
      </c>
      <c r="J69" s="34"/>
      <c r="K69" s="31">
        <f>IF(J$98=1,J69,L69)</f>
        <v>50000</v>
      </c>
      <c r="L69" s="35">
        <v>50000.0</v>
      </c>
      <c r="M69" s="33">
        <f t="shared" si="272"/>
        <v>0</v>
      </c>
      <c r="N69" s="34"/>
      <c r="O69" s="31">
        <f>IF(N$98=1,N69,P69)</f>
        <v>50000</v>
      </c>
      <c r="P69" s="35">
        <v>50000.0</v>
      </c>
      <c r="Q69" s="33">
        <f t="shared" si="274"/>
        <v>0</v>
      </c>
      <c r="R69" s="34"/>
      <c r="S69" s="31">
        <f>IF(R$98=1,R69,T69)</f>
        <v>50000</v>
      </c>
      <c r="T69" s="35">
        <v>50000.0</v>
      </c>
      <c r="U69" s="33">
        <f t="shared" si="276"/>
        <v>0</v>
      </c>
      <c r="V69" s="34"/>
      <c r="W69" s="31">
        <f>IF(V$98=1,V69,X69)</f>
        <v>50000</v>
      </c>
      <c r="X69" s="35">
        <v>50000.0</v>
      </c>
      <c r="Y69" s="33">
        <f t="shared" si="278"/>
        <v>0</v>
      </c>
      <c r="Z69" s="34"/>
      <c r="AA69" s="31">
        <f>IF(Z$98=1,Z69,AB69)</f>
        <v>50000</v>
      </c>
      <c r="AB69" s="35">
        <v>50000.0</v>
      </c>
      <c r="AC69" s="33">
        <f t="shared" si="280"/>
        <v>0</v>
      </c>
      <c r="AD69" s="34"/>
      <c r="AE69" s="31">
        <f>IF(AD$98=1,AD69,AF69)</f>
        <v>50000</v>
      </c>
      <c r="AF69" s="35">
        <v>50000.0</v>
      </c>
      <c r="AG69" s="33">
        <f t="shared" si="282"/>
        <v>0</v>
      </c>
      <c r="AH69" s="34"/>
      <c r="AI69" s="31">
        <f>IF(AH$98=1,AH69,AJ69)</f>
        <v>50000</v>
      </c>
      <c r="AJ69" s="35">
        <v>50000.0</v>
      </c>
      <c r="AK69" s="33">
        <f t="shared" si="284"/>
        <v>0</v>
      </c>
      <c r="AL69" s="34"/>
      <c r="AM69" s="31">
        <f>IF(AL$98=1,AL69,AN69)</f>
        <v>50000</v>
      </c>
      <c r="AN69" s="35">
        <v>50000.0</v>
      </c>
      <c r="AO69" s="33">
        <f t="shared" si="286"/>
        <v>0</v>
      </c>
      <c r="AP69" s="34"/>
      <c r="AQ69" s="31">
        <f>IF(AP$98=1,AP69,AR69)</f>
        <v>50000</v>
      </c>
      <c r="AR69" s="35">
        <v>50000.0</v>
      </c>
      <c r="AS69" s="33">
        <f t="shared" si="288"/>
        <v>0</v>
      </c>
      <c r="AT69" s="34">
        <v>50000.0</v>
      </c>
      <c r="AU69" s="31">
        <f>IF(AT$98=1,AT69,AV69)</f>
        <v>50000</v>
      </c>
      <c r="AV69" s="35">
        <v>50000.0</v>
      </c>
      <c r="AW69" s="33">
        <f t="shared" si="290"/>
        <v>0</v>
      </c>
      <c r="AX69" s="34">
        <v>50000.0</v>
      </c>
      <c r="AY69" s="31">
        <f>IF(AX$98=1,AX69,AZ69)</f>
        <v>50000</v>
      </c>
      <c r="AZ69" s="35">
        <v>50000.0</v>
      </c>
      <c r="BA69" s="33">
        <f t="shared" si="292"/>
        <v>0</v>
      </c>
    </row>
    <row r="70" ht="18.0" customHeight="1">
      <c r="A70" s="36" t="s">
        <v>73</v>
      </c>
      <c r="B70" s="39">
        <f t="shared" si="363"/>
        <v>132275</v>
      </c>
      <c r="C70" s="39">
        <f t="shared" ref="C70:D70" si="365">G70</f>
        <v>90275</v>
      </c>
      <c r="D70" s="39">
        <f t="shared" si="365"/>
        <v>271400</v>
      </c>
      <c r="E70" s="39">
        <f t="shared" si="268"/>
        <v>-181125</v>
      </c>
      <c r="F70" s="39" t="str">
        <f t="shared" ref="F70:H70" si="366">IF(F68="","",F68-F69)</f>
        <v/>
      </c>
      <c r="G70" s="39">
        <f t="shared" si="366"/>
        <v>90275</v>
      </c>
      <c r="H70" s="39">
        <f t="shared" si="366"/>
        <v>271400</v>
      </c>
      <c r="I70" s="39">
        <f t="shared" si="270"/>
        <v>-181125</v>
      </c>
      <c r="J70" s="39" t="str">
        <f t="shared" ref="J70:L70" si="367">IF(J68="","",J68-J69)</f>
        <v/>
      </c>
      <c r="K70" s="39">
        <f t="shared" si="367"/>
        <v>88075</v>
      </c>
      <c r="L70" s="39">
        <f t="shared" si="367"/>
        <v>269200</v>
      </c>
      <c r="M70" s="39">
        <f t="shared" si="272"/>
        <v>-181125</v>
      </c>
      <c r="N70" s="39" t="str">
        <f t="shared" ref="N70:P70" si="368">IF(N68="","",N68-N69)</f>
        <v/>
      </c>
      <c r="O70" s="39">
        <f t="shared" si="368"/>
        <v>75875</v>
      </c>
      <c r="P70" s="39">
        <f t="shared" si="368"/>
        <v>257000</v>
      </c>
      <c r="Q70" s="39">
        <f t="shared" si="274"/>
        <v>-181125</v>
      </c>
      <c r="R70" s="39" t="str">
        <f t="shared" ref="R70:T70" si="369">IF(R68="","",R68-R69)</f>
        <v/>
      </c>
      <c r="S70" s="39">
        <f t="shared" si="369"/>
        <v>63675</v>
      </c>
      <c r="T70" s="39">
        <f t="shared" si="369"/>
        <v>244800</v>
      </c>
      <c r="U70" s="39">
        <f t="shared" si="276"/>
        <v>-181125</v>
      </c>
      <c r="V70" s="39" t="str">
        <f t="shared" ref="V70:X70" si="370">IF(V68="","",V68-V69)</f>
        <v/>
      </c>
      <c r="W70" s="39">
        <f t="shared" si="370"/>
        <v>79475</v>
      </c>
      <c r="X70" s="39">
        <f t="shared" si="370"/>
        <v>260600</v>
      </c>
      <c r="Y70" s="39">
        <f t="shared" si="278"/>
        <v>-181125</v>
      </c>
      <c r="Z70" s="39" t="str">
        <f t="shared" ref="Z70:AB70" si="371">IF(Z68="","",Z68-Z69)</f>
        <v/>
      </c>
      <c r="AA70" s="39">
        <f t="shared" si="371"/>
        <v>74275</v>
      </c>
      <c r="AB70" s="39">
        <f t="shared" si="371"/>
        <v>255400</v>
      </c>
      <c r="AC70" s="39">
        <f t="shared" si="280"/>
        <v>-181125</v>
      </c>
      <c r="AD70" s="39" t="str">
        <f t="shared" ref="AD70:AF70" si="372">IF(AD68="","",AD68-AD69)</f>
        <v/>
      </c>
      <c r="AE70" s="39">
        <f t="shared" si="372"/>
        <v>69075</v>
      </c>
      <c r="AF70" s="39">
        <f t="shared" si="372"/>
        <v>250200</v>
      </c>
      <c r="AG70" s="39">
        <f t="shared" si="282"/>
        <v>-181125</v>
      </c>
      <c r="AH70" s="39" t="str">
        <f t="shared" ref="AH70:AJ70" si="373">IF(AH68="","",AH68-AH69)</f>
        <v/>
      </c>
      <c r="AI70" s="39">
        <f t="shared" si="373"/>
        <v>73875</v>
      </c>
      <c r="AJ70" s="39">
        <f t="shared" si="373"/>
        <v>255000</v>
      </c>
      <c r="AK70" s="39">
        <f t="shared" si="284"/>
        <v>-181125</v>
      </c>
      <c r="AL70" s="39" t="str">
        <f t="shared" ref="AL70:AN70" si="374">IF(AL68="","",AL68-AL69)</f>
        <v/>
      </c>
      <c r="AM70" s="39">
        <f t="shared" si="374"/>
        <v>92675</v>
      </c>
      <c r="AN70" s="39">
        <f t="shared" si="374"/>
        <v>257800</v>
      </c>
      <c r="AO70" s="39">
        <f t="shared" si="286"/>
        <v>-165125</v>
      </c>
      <c r="AP70" s="39" t="str">
        <f t="shared" ref="AP70:AR70" si="375">IF(AP68="","",AP68-AP69)</f>
        <v/>
      </c>
      <c r="AQ70" s="39">
        <f t="shared" si="375"/>
        <v>147475</v>
      </c>
      <c r="AR70" s="39">
        <f t="shared" si="375"/>
        <v>274600</v>
      </c>
      <c r="AS70" s="39">
        <f t="shared" si="288"/>
        <v>-127125</v>
      </c>
      <c r="AT70" s="39">
        <f t="shared" ref="AT70:AV70" si="376">IF(AT68="","",AT68-AT69)</f>
        <v>132275</v>
      </c>
      <c r="AU70" s="39">
        <f t="shared" si="376"/>
        <v>132275</v>
      </c>
      <c r="AV70" s="39">
        <f t="shared" si="376"/>
        <v>231400</v>
      </c>
      <c r="AW70" s="39">
        <f t="shared" si="290"/>
        <v>-99125</v>
      </c>
      <c r="AX70" s="39">
        <f t="shared" ref="AX70:AZ70" si="377">IF(AX68="","",AX68-AX69)</f>
        <v>157659</v>
      </c>
      <c r="AY70" s="39">
        <f t="shared" si="377"/>
        <v>157659</v>
      </c>
      <c r="AZ70" s="39">
        <f t="shared" si="377"/>
        <v>193200</v>
      </c>
      <c r="BA70" s="39">
        <f t="shared" si="292"/>
        <v>-35541</v>
      </c>
    </row>
    <row r="71" ht="18.0" customHeight="1">
      <c r="A71" s="2" t="s">
        <v>74</v>
      </c>
      <c r="B71" s="40" t="str">
        <f t="shared" si="363"/>
        <v>OK</v>
      </c>
      <c r="C71" s="40" t="str">
        <f t="shared" ref="C71:D71" si="378">G71</f>
        <v>OK</v>
      </c>
      <c r="D71" s="40" t="str">
        <f t="shared" si="378"/>
        <v>OK</v>
      </c>
      <c r="E71" s="40"/>
      <c r="F71" s="40" t="str">
        <f t="shared" ref="F71:H71" si="379">IF(F70="","",IF(F70&lt;0,"ACTION","OK"))</f>
        <v/>
      </c>
      <c r="G71" s="40" t="str">
        <f t="shared" si="379"/>
        <v>OK</v>
      </c>
      <c r="H71" s="40" t="str">
        <f t="shared" si="379"/>
        <v>OK</v>
      </c>
      <c r="I71" s="40"/>
      <c r="J71" s="40" t="str">
        <f t="shared" ref="J71:L71" si="380">IF(J70="","",IF(J70&lt;0,"ACTION","OK"))</f>
        <v/>
      </c>
      <c r="K71" s="40" t="str">
        <f t="shared" si="380"/>
        <v>OK</v>
      </c>
      <c r="L71" s="40" t="str">
        <f t="shared" si="380"/>
        <v>OK</v>
      </c>
      <c r="M71" s="40"/>
      <c r="N71" s="40" t="str">
        <f t="shared" ref="N71:P71" si="381">IF(N70="","",IF(N70&lt;0,"ACTION","OK"))</f>
        <v/>
      </c>
      <c r="O71" s="40" t="str">
        <f t="shared" si="381"/>
        <v>OK</v>
      </c>
      <c r="P71" s="40" t="str">
        <f t="shared" si="381"/>
        <v>OK</v>
      </c>
      <c r="Q71" s="40"/>
      <c r="R71" s="40" t="str">
        <f t="shared" ref="R71:T71" si="382">IF(R70="","",IF(R70&lt;0,"ACTION","OK"))</f>
        <v/>
      </c>
      <c r="S71" s="40" t="str">
        <f t="shared" si="382"/>
        <v>OK</v>
      </c>
      <c r="T71" s="40" t="str">
        <f t="shared" si="382"/>
        <v>OK</v>
      </c>
      <c r="U71" s="40"/>
      <c r="V71" s="40" t="str">
        <f t="shared" ref="V71:X71" si="383">IF(V70="","",IF(V70&lt;0,"ACTION","OK"))</f>
        <v/>
      </c>
      <c r="W71" s="40" t="str">
        <f t="shared" si="383"/>
        <v>OK</v>
      </c>
      <c r="X71" s="40" t="str">
        <f t="shared" si="383"/>
        <v>OK</v>
      </c>
      <c r="Y71" s="40"/>
      <c r="Z71" s="40" t="str">
        <f t="shared" ref="Z71:AB71" si="384">IF(Z70="","",IF(Z70&lt;0,"ACTION","OK"))</f>
        <v/>
      </c>
      <c r="AA71" s="40" t="str">
        <f t="shared" si="384"/>
        <v>OK</v>
      </c>
      <c r="AB71" s="40" t="str">
        <f t="shared" si="384"/>
        <v>OK</v>
      </c>
      <c r="AC71" s="40"/>
      <c r="AD71" s="40" t="str">
        <f t="shared" ref="AD71:AF71" si="385">IF(AD70="","",IF(AD70&lt;0,"ACTION","OK"))</f>
        <v/>
      </c>
      <c r="AE71" s="40" t="str">
        <f t="shared" si="385"/>
        <v>OK</v>
      </c>
      <c r="AF71" s="40" t="str">
        <f t="shared" si="385"/>
        <v>OK</v>
      </c>
      <c r="AG71" s="40"/>
      <c r="AH71" s="40" t="str">
        <f t="shared" ref="AH71:AJ71" si="386">IF(AH70="","",IF(AH70&lt;0,"ACTION","OK"))</f>
        <v/>
      </c>
      <c r="AI71" s="40" t="str">
        <f t="shared" si="386"/>
        <v>OK</v>
      </c>
      <c r="AJ71" s="40" t="str">
        <f t="shared" si="386"/>
        <v>OK</v>
      </c>
      <c r="AK71" s="40"/>
      <c r="AL71" s="40" t="str">
        <f t="shared" ref="AL71:AN71" si="387">IF(AL70="","",IF(AL70&lt;0,"ACTION","OK"))</f>
        <v/>
      </c>
      <c r="AM71" s="40" t="str">
        <f t="shared" si="387"/>
        <v>OK</v>
      </c>
      <c r="AN71" s="40" t="str">
        <f t="shared" si="387"/>
        <v>OK</v>
      </c>
      <c r="AO71" s="40"/>
      <c r="AP71" s="40" t="str">
        <f t="shared" ref="AP71:AR71" si="388">IF(AP70="","",IF(AP70&lt;0,"ACTION","OK"))</f>
        <v/>
      </c>
      <c r="AQ71" s="40" t="str">
        <f t="shared" si="388"/>
        <v>OK</v>
      </c>
      <c r="AR71" s="40" t="str">
        <f t="shared" si="388"/>
        <v>OK</v>
      </c>
      <c r="AS71" s="40"/>
      <c r="AT71" s="40" t="str">
        <f t="shared" ref="AT71:AV71" si="389">IF(AT70="","",IF(AT70&lt;0,"ACTION","OK"))</f>
        <v>OK</v>
      </c>
      <c r="AU71" s="40" t="str">
        <f t="shared" si="389"/>
        <v>OK</v>
      </c>
      <c r="AV71" s="40" t="str">
        <f t="shared" si="389"/>
        <v>OK</v>
      </c>
      <c r="AW71" s="40"/>
      <c r="AX71" s="40" t="str">
        <f t="shared" ref="AX71:AZ71" si="390">IF(AX70="","",IF(AX70&lt;0,"ACTION","OK"))</f>
        <v>OK</v>
      </c>
      <c r="AY71" s="40" t="str">
        <f t="shared" si="390"/>
        <v>OK</v>
      </c>
      <c r="AZ71" s="40" t="str">
        <f t="shared" si="390"/>
        <v>OK</v>
      </c>
      <c r="BA71" s="40"/>
    </row>
    <row r="72" ht="18.0" hidden="1" customHeight="1">
      <c r="A72" s="2" t="s">
        <v>75</v>
      </c>
      <c r="B72" s="41"/>
      <c r="C72" s="41"/>
      <c r="D72" s="41"/>
      <c r="E72" s="41" t="str">
        <f t="shared" ref="E72:E73" si="403">IFERROR(IF(OR(C72="",D72=""),"",C72-D72),"")</f>
        <v/>
      </c>
      <c r="F72" s="41" t="str">
        <f>IF(F21="","",MAX(0,J72+J73-J26))</f>
        <v/>
      </c>
      <c r="G72" s="41">
        <f t="shared" ref="G72:H72" si="391">MAX(0,K72+K73-K26)</f>
        <v>0</v>
      </c>
      <c r="H72" s="41">
        <f t="shared" si="391"/>
        <v>0</v>
      </c>
      <c r="I72" s="41">
        <f t="shared" ref="I72:I73" si="405">IFERROR(IF(OR(G72="",H72=""),"",G72-H72),"")</f>
        <v>0</v>
      </c>
      <c r="J72" s="41" t="str">
        <f>IF(J21="","",MAX(0,N72+N73-N26))</f>
        <v/>
      </c>
      <c r="K72" s="41">
        <f t="shared" ref="K72:L72" si="392">MAX(0,O72+O73-O26)</f>
        <v>0</v>
      </c>
      <c r="L72" s="41">
        <f t="shared" si="392"/>
        <v>0</v>
      </c>
      <c r="M72" s="41">
        <f t="shared" ref="M72:M73" si="407">IFERROR(IF(OR(K72="",L72=""),"",K72-L72),"")</f>
        <v>0</v>
      </c>
      <c r="N72" s="41" t="str">
        <f>IF(N21="","",MAX(0,R72+R73-R26))</f>
        <v/>
      </c>
      <c r="O72" s="41">
        <f t="shared" ref="O72:P72" si="393">MAX(0,S72+S73-S26)</f>
        <v>0</v>
      </c>
      <c r="P72" s="41">
        <f t="shared" si="393"/>
        <v>0</v>
      </c>
      <c r="Q72" s="41">
        <f t="shared" ref="Q72:Q73" si="409">IFERROR(IF(OR(O72="",P72=""),"",O72-P72),"")</f>
        <v>0</v>
      </c>
      <c r="R72" s="41" t="str">
        <f>IF(R21="","",MAX(0,V72+V73-V26))</f>
        <v/>
      </c>
      <c r="S72" s="41">
        <f t="shared" ref="S72:T72" si="394">MAX(0,W72+W73-W26)</f>
        <v>0</v>
      </c>
      <c r="T72" s="41">
        <f t="shared" si="394"/>
        <v>0</v>
      </c>
      <c r="U72" s="41">
        <f t="shared" ref="U72:U73" si="411">IFERROR(IF(OR(S72="",T72=""),"",S72-T72),"")</f>
        <v>0</v>
      </c>
      <c r="V72" s="41" t="str">
        <f>IF(V21="","",MAX(0,Z72+Z73-Z26))</f>
        <v/>
      </c>
      <c r="W72" s="41">
        <f t="shared" ref="W72:X72" si="395">MAX(0,AA72+AA73-AA26)</f>
        <v>0</v>
      </c>
      <c r="X72" s="41">
        <f t="shared" si="395"/>
        <v>0</v>
      </c>
      <c r="Y72" s="41">
        <f t="shared" ref="Y72:Y73" si="413">IFERROR(IF(OR(W72="",X72=""),"",W72-X72),"")</f>
        <v>0</v>
      </c>
      <c r="Z72" s="41" t="str">
        <f>IF(Z21="","",MAX(0,AD72+AD73-AD26))</f>
        <v/>
      </c>
      <c r="AA72" s="41">
        <f t="shared" ref="AA72:AB72" si="396">MAX(0,AE72+AE73-AE26)</f>
        <v>0</v>
      </c>
      <c r="AB72" s="41">
        <f t="shared" si="396"/>
        <v>0</v>
      </c>
      <c r="AC72" s="41">
        <f t="shared" ref="AC72:AC73" si="415">IFERROR(IF(OR(AA72="",AB72=""),"",AA72-AB72),"")</f>
        <v>0</v>
      </c>
      <c r="AD72" s="41" t="str">
        <f>IF(AD21="","",MAX(0,AH72+AH73-AH26))</f>
        <v/>
      </c>
      <c r="AE72" s="41">
        <f t="shared" ref="AE72:AF72" si="397">MAX(0,AI72+AI73-AI26)</f>
        <v>0</v>
      </c>
      <c r="AF72" s="41">
        <f t="shared" si="397"/>
        <v>0</v>
      </c>
      <c r="AG72" s="41">
        <f t="shared" ref="AG72:AG73" si="417">IFERROR(IF(OR(AE72="",AF72=""),"",AE72-AF72),"")</f>
        <v>0</v>
      </c>
      <c r="AH72" s="41" t="str">
        <f>IF(AH21="","",MAX(0,AL72+AL73-AL26))</f>
        <v/>
      </c>
      <c r="AI72" s="41">
        <f t="shared" ref="AI72:AJ72" si="398">MAX(0,AM72+AM73-AM26)</f>
        <v>0</v>
      </c>
      <c r="AJ72" s="41">
        <f t="shared" si="398"/>
        <v>0</v>
      </c>
      <c r="AK72" s="41">
        <f t="shared" ref="AK72:AK73" si="419">IFERROR(IF(OR(AI72="",AJ72=""),"",AI72-AJ72),"")</f>
        <v>0</v>
      </c>
      <c r="AL72" s="41" t="str">
        <f>IF(AL21="","",MAX(0,AP72+AP73-AP26))</f>
        <v/>
      </c>
      <c r="AM72" s="41">
        <f t="shared" ref="AM72:AN72" si="399">MAX(0,AQ72+AQ73-AQ26)</f>
        <v>0</v>
      </c>
      <c r="AN72" s="41">
        <f t="shared" si="399"/>
        <v>0</v>
      </c>
      <c r="AO72" s="41">
        <f t="shared" ref="AO72:AO73" si="421">IFERROR(IF(OR(AM72="",AN72=""),"",AM72-AN72),"")</f>
        <v>0</v>
      </c>
      <c r="AP72" s="41" t="str">
        <f>IF(AP21="","",MAX(0,AT72+AT73-AT26))</f>
        <v/>
      </c>
      <c r="AQ72" s="41">
        <f t="shared" ref="AQ72:AR72" si="400">MAX(0,AU72+AU73-AU26)</f>
        <v>0</v>
      </c>
      <c r="AR72" s="41">
        <f t="shared" si="400"/>
        <v>0</v>
      </c>
      <c r="AS72" s="41">
        <f t="shared" ref="AS72:AS73" si="423">IFERROR(IF(OR(AQ72="",AR72=""),"",AQ72-AR72),"")</f>
        <v>0</v>
      </c>
      <c r="AT72" s="41">
        <f>IF(AT21="","",MAX(0,AX72+AX73-AX26))</f>
        <v>15000</v>
      </c>
      <c r="AU72" s="41">
        <f t="shared" ref="AU72:AV72" si="401">MAX(0,AY72+AY73-AY26)</f>
        <v>15000</v>
      </c>
      <c r="AV72" s="41">
        <f t="shared" si="401"/>
        <v>0</v>
      </c>
      <c r="AW72" s="41">
        <f t="shared" ref="AW72:AW73" si="425">IFERROR(IF(OR(AU72="",AV72=""),"",AU72-AV72),"")</f>
        <v>15000</v>
      </c>
      <c r="AX72" s="41">
        <f t="shared" ref="AX72:AZ72" si="402">$AX$79*AX13</f>
        <v>25000</v>
      </c>
      <c r="AY72" s="41">
        <f t="shared" si="402"/>
        <v>25000</v>
      </c>
      <c r="AZ72" s="41">
        <f t="shared" si="402"/>
        <v>40000</v>
      </c>
      <c r="BA72" s="41">
        <f t="shared" ref="BA72:BA73" si="427">IFERROR(IF(OR(AY72="",AZ72=""),"",AY72-AZ72),"")</f>
        <v>-15000</v>
      </c>
    </row>
    <row r="73" ht="18.0" hidden="1" customHeight="1">
      <c r="A73" s="2" t="s">
        <v>76</v>
      </c>
      <c r="B73" s="41"/>
      <c r="C73" s="41"/>
      <c r="D73" s="41"/>
      <c r="E73" s="41" t="str">
        <f t="shared" si="403"/>
        <v/>
      </c>
      <c r="F73" s="41">
        <f t="shared" ref="F73:H73" si="404">ROUND(SUM(IF(AND(AX$12&lt;&gt;"",AX$14&lt;&gt;""),IF(EOMONTH($AX$3+INT((DAY(EOMONTH($AX$3,0))-1)/2)+AX$14,0)=EOMONTH($F$3,0),AX$12*AX$13,0),0),IF(AND(AT$12&lt;&gt;"",AT$14&lt;&gt;""),IF(EOMONTH($AT$3+INT((DAY(EOMONTH($AT$3,0))-1)/2)+AT$14,0)=EOMONTH($F$3,0),AT$12*AT$13,0),0),IF(AND(AP$12&lt;&gt;"",AP$14&lt;&gt;""),IF(EOMONTH($AP$3+INT((DAY(EOMONTH($AP$3,0))-1)/2)+AP$14,0)=EOMONTH($F$3,0),AP$12*AP$13,0),0),IF(AND(AL$12&lt;&gt;"",AL$14&lt;&gt;""),IF(EOMONTH($AL$3+INT((DAY(EOMONTH($AL$3,0))-1)/2)+AL$14,0)=EOMONTH($F$3,0),AL$12*AL$13,0),0),IF(AND(AH$12&lt;&gt;"",AH$14&lt;&gt;""),IF(EOMONTH($AH$3+INT((DAY(EOMONTH($AH$3,0))-1)/2)+AH$14,0)=EOMONTH($F$3,0),AH$12*AH$13,0),0),IF(AND(AD$12&lt;&gt;"",AD$14&lt;&gt;""),IF(EOMONTH($AD$3+INT((DAY(EOMONTH($AD$3,0))-1)/2)+AD$14,0)=EOMONTH($F$3,0),AD$12*AD$13,0),0),IF(AND(Z$12&lt;&gt;"",Z$14&lt;&gt;""),IF(EOMONTH($Z$3+INT((DAY(EOMONTH($Z$3,0))-1)/2)+Z$14,0)=EOMONTH($F$3,0),Z$12*Z$13,0),0),IF(AND(V$12&lt;&gt;"",V$14&lt;&gt;""),IF(EOMONTH($V$3+INT((DAY(EOMONTH($V$3,0))-1)/2)+V$14,0)=EOMONTH($F$3,0),V$12*V$13,0),0),IF(AND(R$12&lt;&gt;"",R$14&lt;&gt;""),IF(EOMONTH($R$3+INT((DAY(EOMONTH($R$3,0))-1)/2)+R$14,0)=EOMONTH($F$3,0),R$12*R$13,0),0),IF(AND(N$12&lt;&gt;"",N$14&lt;&gt;""),IF(EOMONTH($N$3+INT((DAY(EOMONTH($N$3,0))-1)/2)+N$14,0)=EOMONTH($F$3,0),N$12*N$13,0),0),IF(AND(J$12&lt;&gt;"",J$14&lt;&gt;""),IF(EOMONTH($J$3+INT((DAY(EOMONTH($J$3,0))-1)/2)+J$14,0)=EOMONTH($F$3,0),J$12*J$13,0),0),IF(AND(F$12&lt;&gt;"",F$14&lt;&gt;""),IF(EOMONTH($F$3+INT((DAY(EOMONTH($F$3,0))-1)/2)+F$14,0)=EOMONTH($F$3,0),F$12*F$13,0),0),IF($AX$75="",0,IF(EOMONTH($AX$75+AX$14,0)=EOMONTH($F$3,0),$AX$77*AX$13,0))),0)</f>
        <v>0</v>
      </c>
      <c r="G73" s="41">
        <f t="shared" si="404"/>
        <v>96000</v>
      </c>
      <c r="H73" s="41">
        <f t="shared" si="404"/>
        <v>96000</v>
      </c>
      <c r="I73" s="41">
        <f t="shared" si="405"/>
        <v>0</v>
      </c>
      <c r="J73" s="41">
        <f t="shared" ref="J73:L73" si="406">ROUND(SUM(IF(AND(AX$12&lt;&gt;"",AX$14&lt;&gt;""),IF(EOMONTH($AX$3+INT((DAY(EOMONTH($AX$3,0))-1)/2)+AX$14,0)=EOMONTH($J$3,0),AX$12*AX$13,0),0),IF(AND(AT$12&lt;&gt;"",AT$14&lt;&gt;""),IF(EOMONTH($AT$3+INT((DAY(EOMONTH($AT$3,0))-1)/2)+AT$14,0)=EOMONTH($J$3,0),AT$12*AT$13,0),0),IF(AND(AP$12&lt;&gt;"",AP$14&lt;&gt;""),IF(EOMONTH($AP$3+INT((DAY(EOMONTH($AP$3,0))-1)/2)+AP$14,0)=EOMONTH($J$3,0),AP$12*AP$13,0),0),IF(AND(AL$12&lt;&gt;"",AL$14&lt;&gt;""),IF(EOMONTH($AL$3+INT((DAY(EOMONTH($AL$3,0))-1)/2)+AL$14,0)=EOMONTH($J$3,0),AL$12*AL$13,0),0),IF(AND(AH$12&lt;&gt;"",AH$14&lt;&gt;""),IF(EOMONTH($AH$3+INT((DAY(EOMONTH($AH$3,0))-1)/2)+AH$14,0)=EOMONTH($J$3,0),AH$12*AH$13,0),0),IF(AND(AD$12&lt;&gt;"",AD$14&lt;&gt;""),IF(EOMONTH($AD$3+INT((DAY(EOMONTH($AD$3,0))-1)/2)+AD$14,0)=EOMONTH($J$3,0),AD$12*AD$13,0),0),IF(AND(Z$12&lt;&gt;"",Z$14&lt;&gt;""),IF(EOMONTH($Z$3+INT((DAY(EOMONTH($Z$3,0))-1)/2)+Z$14,0)=EOMONTH($J$3,0),Z$12*Z$13,0),0),IF(AND(V$12&lt;&gt;"",V$14&lt;&gt;""),IF(EOMONTH($V$3+INT((DAY(EOMONTH($V$3,0))-1)/2)+V$14,0)=EOMONTH($J$3,0),V$12*V$13,0),0),IF(AND(R$12&lt;&gt;"",R$14&lt;&gt;""),IF(EOMONTH($R$3+INT((DAY(EOMONTH($R$3,0))-1)/2)+R$14,0)=EOMONTH($J$3,0),R$12*R$13,0),0),IF(AND(N$12&lt;&gt;"",N$14&lt;&gt;""),IF(EOMONTH($N$3+INT((DAY(EOMONTH($N$3,0))-1)/2)+N$14,0)=EOMONTH($J$3,0),N$12*N$13,0),0),IF(AND(J$12&lt;&gt;"",J$14&lt;&gt;""),IF(EOMONTH($J$3+INT((DAY(EOMONTH($J$3,0))-1)/2)+J$14,0)=EOMONTH($J$3,0),J$12*J$13,0),0),IF(AND(F$12&lt;&gt;"",F$14&lt;&gt;""),IF(EOMONTH($F$3+INT((DAY(EOMONTH($F$3,0))-1)/2)+F$14,0)=EOMONTH($J$3,0),F$12*F$13,0),0),IF($AX$75="",0,IF(EOMONTH($AX$75+AX$14,0)=EOMONTH($J$3,0),$AX$77*AX$13,0))),0)</f>
        <v>0</v>
      </c>
      <c r="K73" s="41">
        <f t="shared" si="406"/>
        <v>96000</v>
      </c>
      <c r="L73" s="41">
        <f t="shared" si="406"/>
        <v>96000</v>
      </c>
      <c r="M73" s="41">
        <f t="shared" si="407"/>
        <v>0</v>
      </c>
      <c r="N73" s="41">
        <f t="shared" ref="N73:P73" si="408">ROUND(SUM(IF(AND(AX$12&lt;&gt;"",AX$14&lt;&gt;""),IF(EOMONTH($AX$3+INT((DAY(EOMONTH($AX$3,0))-1)/2)+AX$14,0)=EOMONTH($N$3,0),AX$12*AX$13,0),0),IF(AND(AT$12&lt;&gt;"",AT$14&lt;&gt;""),IF(EOMONTH($AT$3+INT((DAY(EOMONTH($AT$3,0))-1)/2)+AT$14,0)=EOMONTH($N$3,0),AT$12*AT$13,0),0),IF(AND(AP$12&lt;&gt;"",AP$14&lt;&gt;""),IF(EOMONTH($AP$3+INT((DAY(EOMONTH($AP$3,0))-1)/2)+AP$14,0)=EOMONTH($N$3,0),AP$12*AP$13,0),0),IF(AND(AL$12&lt;&gt;"",AL$14&lt;&gt;""),IF(EOMONTH($AL$3+INT((DAY(EOMONTH($AL$3,0))-1)/2)+AL$14,0)=EOMONTH($N$3,0),AL$12*AL$13,0),0),IF(AND(AH$12&lt;&gt;"",AH$14&lt;&gt;""),IF(EOMONTH($AH$3+INT((DAY(EOMONTH($AH$3,0))-1)/2)+AH$14,0)=EOMONTH($N$3,0),AH$12*AH$13,0),0),IF(AND(AD$12&lt;&gt;"",AD$14&lt;&gt;""),IF(EOMONTH($AD$3+INT((DAY(EOMONTH($AD$3,0))-1)/2)+AD$14,0)=EOMONTH($N$3,0),AD$12*AD$13,0),0),IF(AND(Z$12&lt;&gt;"",Z$14&lt;&gt;""),IF(EOMONTH($Z$3+INT((DAY(EOMONTH($Z$3,0))-1)/2)+Z$14,0)=EOMONTH($N$3,0),Z$12*Z$13,0),0),IF(AND(V$12&lt;&gt;"",V$14&lt;&gt;""),IF(EOMONTH($V$3+INT((DAY(EOMONTH($V$3,0))-1)/2)+V$14,0)=EOMONTH($N$3,0),V$12*V$13,0),0),IF(AND(R$12&lt;&gt;"",R$14&lt;&gt;""),IF(EOMONTH($R$3+INT((DAY(EOMONTH($R$3,0))-1)/2)+R$14,0)=EOMONTH($N$3,0),R$12*R$13,0),0),IF(AND(N$12&lt;&gt;"",N$14&lt;&gt;""),IF(EOMONTH($N$3+INT((DAY(EOMONTH($N$3,0))-1)/2)+N$14,0)=EOMONTH($N$3,0),N$12*N$13,0),0),IF(AND(J$12&lt;&gt;"",J$14&lt;&gt;""),IF(EOMONTH($J$3+INT((DAY(EOMONTH($J$3,0))-1)/2)+J$14,0)=EOMONTH($N$3,0),J$12*J$13,0),0),IF(AND(F$12&lt;&gt;"",F$14&lt;&gt;""),IF(EOMONTH($F$3+INT((DAY(EOMONTH($F$3,0))-1)/2)+F$14,0)=EOMONTH($N$3,0),F$12*F$13,0),0),IF($AX$75="",0,IF(EOMONTH($AX$75+AX$14,0)=EOMONTH($N$3,0),$AX$77*AX$13,0))),0)</f>
        <v>0</v>
      </c>
      <c r="O73" s="41">
        <f t="shared" si="408"/>
        <v>96000</v>
      </c>
      <c r="P73" s="41">
        <f t="shared" si="408"/>
        <v>96000</v>
      </c>
      <c r="Q73" s="41">
        <f t="shared" si="409"/>
        <v>0</v>
      </c>
      <c r="R73" s="41">
        <f t="shared" ref="R73:T73" si="410">ROUND(SUM(IF(AND(AX$12&lt;&gt;"",AX$14&lt;&gt;""),IF(EOMONTH($AX$3+INT((DAY(EOMONTH($AX$3,0))-1)/2)+AX$14,0)=EOMONTH($R$3,0),AX$12*AX$13,0),0),IF(AND(AT$12&lt;&gt;"",AT$14&lt;&gt;""),IF(EOMONTH($AT$3+INT((DAY(EOMONTH($AT$3,0))-1)/2)+AT$14,0)=EOMONTH($R$3,0),AT$12*AT$13,0),0),IF(AND(AP$12&lt;&gt;"",AP$14&lt;&gt;""),IF(EOMONTH($AP$3+INT((DAY(EOMONTH($AP$3,0))-1)/2)+AP$14,0)=EOMONTH($R$3,0),AP$12*AP$13,0),0),IF(AND(AL$12&lt;&gt;"",AL$14&lt;&gt;""),IF(EOMONTH($AL$3+INT((DAY(EOMONTH($AL$3,0))-1)/2)+AL$14,0)=EOMONTH($R$3,0),AL$12*AL$13,0),0),IF(AND(AH$12&lt;&gt;"",AH$14&lt;&gt;""),IF(EOMONTH($AH$3+INT((DAY(EOMONTH($AH$3,0))-1)/2)+AH$14,0)=EOMONTH($R$3,0),AH$12*AH$13,0),0),IF(AND(AD$12&lt;&gt;"",AD$14&lt;&gt;""),IF(EOMONTH($AD$3+INT((DAY(EOMONTH($AD$3,0))-1)/2)+AD$14,0)=EOMONTH($R$3,0),AD$12*AD$13,0),0),IF(AND(Z$12&lt;&gt;"",Z$14&lt;&gt;""),IF(EOMONTH($Z$3+INT((DAY(EOMONTH($Z$3,0))-1)/2)+Z$14,0)=EOMONTH($R$3,0),Z$12*Z$13,0),0),IF(AND(V$12&lt;&gt;"",V$14&lt;&gt;""),IF(EOMONTH($V$3+INT((DAY(EOMONTH($V$3,0))-1)/2)+V$14,0)=EOMONTH($R$3,0),V$12*V$13,0),0),IF(AND(R$12&lt;&gt;"",R$14&lt;&gt;""),IF(EOMONTH($R$3+INT((DAY(EOMONTH($R$3,0))-1)/2)+R$14,0)=EOMONTH($R$3,0),R$12*R$13,0),0),IF(AND(N$12&lt;&gt;"",N$14&lt;&gt;""),IF(EOMONTH($N$3+INT((DAY(EOMONTH($N$3,0))-1)/2)+N$14,0)=EOMONTH($R$3,0),N$12*N$13,0),0),IF(AND(J$12&lt;&gt;"",J$14&lt;&gt;""),IF(EOMONTH($J$3+INT((DAY(EOMONTH($J$3,0))-1)/2)+J$14,0)=EOMONTH($R$3,0),J$12*J$13,0),0),IF(AND(F$12&lt;&gt;"",F$14&lt;&gt;""),IF(EOMONTH($F$3+INT((DAY(EOMONTH($F$3,0))-1)/2)+F$14,0)=EOMONTH($R$3,0),F$12*F$13,0),0),IF($AX$75="",0,IF(EOMONTH($AX$75+AX$14,0)=EOMONTH($R$3,0),$AX$77*AX$13,0))),0)</f>
        <v>0</v>
      </c>
      <c r="S73" s="41">
        <f t="shared" si="410"/>
        <v>96000</v>
      </c>
      <c r="T73" s="41">
        <f t="shared" si="410"/>
        <v>96000</v>
      </c>
      <c r="U73" s="41">
        <f t="shared" si="411"/>
        <v>0</v>
      </c>
      <c r="V73" s="41">
        <f t="shared" ref="V73:X73" si="412">ROUND(SUM(IF(AND(AX$12&lt;&gt;"",AX$14&lt;&gt;""),IF(EOMONTH($AX$3+INT((DAY(EOMONTH($AX$3,0))-1)/2)+AX$14,0)=EOMONTH($V$3,0),AX$12*AX$13,0),0),IF(AND(AT$12&lt;&gt;"",AT$14&lt;&gt;""),IF(EOMONTH($AT$3+INT((DAY(EOMONTH($AT$3,0))-1)/2)+AT$14,0)=EOMONTH($V$3,0),AT$12*AT$13,0),0),IF(AND(AP$12&lt;&gt;"",AP$14&lt;&gt;""),IF(EOMONTH($AP$3+INT((DAY(EOMONTH($AP$3,0))-1)/2)+AP$14,0)=EOMONTH($V$3,0),AP$12*AP$13,0),0),IF(AND(AL$12&lt;&gt;"",AL$14&lt;&gt;""),IF(EOMONTH($AL$3+INT((DAY(EOMONTH($AL$3,0))-1)/2)+AL$14,0)=EOMONTH($V$3,0),AL$12*AL$13,0),0),IF(AND(AH$12&lt;&gt;"",AH$14&lt;&gt;""),IF(EOMONTH($AH$3+INT((DAY(EOMONTH($AH$3,0))-1)/2)+AH$14,0)=EOMONTH($V$3,0),AH$12*AH$13,0),0),IF(AND(AD$12&lt;&gt;"",AD$14&lt;&gt;""),IF(EOMONTH($AD$3+INT((DAY(EOMONTH($AD$3,0))-1)/2)+AD$14,0)=EOMONTH($V$3,0),AD$12*AD$13,0),0),IF(AND(Z$12&lt;&gt;"",Z$14&lt;&gt;""),IF(EOMONTH($Z$3+INT((DAY(EOMONTH($Z$3,0))-1)/2)+Z$14,0)=EOMONTH($V$3,0),Z$12*Z$13,0),0),IF(AND(V$12&lt;&gt;"",V$14&lt;&gt;""),IF(EOMONTH($V$3+INT((DAY(EOMONTH($V$3,0))-1)/2)+V$14,0)=EOMONTH($V$3,0),V$12*V$13,0),0),IF(AND(R$12&lt;&gt;"",R$14&lt;&gt;""),IF(EOMONTH($R$3+INT((DAY(EOMONTH($R$3,0))-1)/2)+R$14,0)=EOMONTH($V$3,0),R$12*R$13,0),0),IF(AND(N$12&lt;&gt;"",N$14&lt;&gt;""),IF(EOMONTH($N$3+INT((DAY(EOMONTH($N$3,0))-1)/2)+N$14,0)=EOMONTH($V$3,0),N$12*N$13,0),0),IF(AND(J$12&lt;&gt;"",J$14&lt;&gt;""),IF(EOMONTH($J$3+INT((DAY(EOMONTH($J$3,0))-1)/2)+J$14,0)=EOMONTH($V$3,0),J$12*J$13,0),0),IF(AND(F$12&lt;&gt;"",F$14&lt;&gt;""),IF(EOMONTH($F$3+INT((DAY(EOMONTH($F$3,0))-1)/2)+F$14,0)=EOMONTH($V$3,0),F$12*F$13,0),0),IF($AX$75="",0,IF(EOMONTH($AX$75+AX$14,0)=EOMONTH($V$3,0),$AX$77*AX$13,0))),0)</f>
        <v>0</v>
      </c>
      <c r="W73" s="41">
        <f t="shared" si="412"/>
        <v>88000</v>
      </c>
      <c r="X73" s="41">
        <f t="shared" si="412"/>
        <v>88000</v>
      </c>
      <c r="Y73" s="41">
        <f t="shared" si="413"/>
        <v>0</v>
      </c>
      <c r="Z73" s="41">
        <f t="shared" ref="Z73:AB73" si="414">ROUND(SUM(IF(AND(AX$12&lt;&gt;"",AX$14&lt;&gt;""),IF(EOMONTH($AX$3+INT((DAY(EOMONTH($AX$3,0))-1)/2)+AX$14,0)=EOMONTH($Z$3,0),AX$12*AX$13,0),0),IF(AND(AT$12&lt;&gt;"",AT$14&lt;&gt;""),IF(EOMONTH($AT$3+INT((DAY(EOMONTH($AT$3,0))-1)/2)+AT$14,0)=EOMONTH($Z$3,0),AT$12*AT$13,0),0),IF(AND(AP$12&lt;&gt;"",AP$14&lt;&gt;""),IF(EOMONTH($AP$3+INT((DAY(EOMONTH($AP$3,0))-1)/2)+AP$14,0)=EOMONTH($Z$3,0),AP$12*AP$13,0),0),IF(AND(AL$12&lt;&gt;"",AL$14&lt;&gt;""),IF(EOMONTH($AL$3+INT((DAY(EOMONTH($AL$3,0))-1)/2)+AL$14,0)=EOMONTH($Z$3,0),AL$12*AL$13,0),0),IF(AND(AH$12&lt;&gt;"",AH$14&lt;&gt;""),IF(EOMONTH($AH$3+INT((DAY(EOMONTH($AH$3,0))-1)/2)+AH$14,0)=EOMONTH($Z$3,0),AH$12*AH$13,0),0),IF(AND(AD$12&lt;&gt;"",AD$14&lt;&gt;""),IF(EOMONTH($AD$3+INT((DAY(EOMONTH($AD$3,0))-1)/2)+AD$14,0)=EOMONTH($Z$3,0),AD$12*AD$13,0),0),IF(AND(Z$12&lt;&gt;"",Z$14&lt;&gt;""),IF(EOMONTH($Z$3+INT((DAY(EOMONTH($Z$3,0))-1)/2)+Z$14,0)=EOMONTH($Z$3,0),Z$12*Z$13,0),0),IF(AND(V$12&lt;&gt;"",V$14&lt;&gt;""),IF(EOMONTH($V$3+INT((DAY(EOMONTH($V$3,0))-1)/2)+V$14,0)=EOMONTH($Z$3,0),V$12*V$13,0),0),IF(AND(R$12&lt;&gt;"",R$14&lt;&gt;""),IF(EOMONTH($R$3+INT((DAY(EOMONTH($R$3,0))-1)/2)+R$14,0)=EOMONTH($Z$3,0),R$12*R$13,0),0),IF(AND(N$12&lt;&gt;"",N$14&lt;&gt;""),IF(EOMONTH($N$3+INT((DAY(EOMONTH($N$3,0))-1)/2)+N$14,0)=EOMONTH($Z$3,0),N$12*N$13,0),0),IF(AND(J$12&lt;&gt;"",J$14&lt;&gt;""),IF(EOMONTH($J$3+INT((DAY(EOMONTH($J$3,0))-1)/2)+J$14,0)=EOMONTH($Z$3,0),J$12*J$13,0),0),IF(AND(F$12&lt;&gt;"",F$14&lt;&gt;""),IF(EOMONTH($F$3+INT((DAY(EOMONTH($F$3,0))-1)/2)+F$14,0)=EOMONTH($Z$3,0),F$12*F$13,0),0),IF($AX$75="",0,IF(EOMONTH($AX$75+AX$14,0)=EOMONTH($Z$3,0),$AX$77*AX$13,0))),0)</f>
        <v>0</v>
      </c>
      <c r="AA73" s="41">
        <f t="shared" si="414"/>
        <v>88000</v>
      </c>
      <c r="AB73" s="41">
        <f t="shared" si="414"/>
        <v>88000</v>
      </c>
      <c r="AC73" s="41">
        <f t="shared" si="415"/>
        <v>0</v>
      </c>
      <c r="AD73" s="41">
        <f t="shared" ref="AD73:AF73" si="416">ROUND(SUM(IF(AND(AX$12&lt;&gt;"",AX$14&lt;&gt;""),IF(EOMONTH($AX$3+INT((DAY(EOMONTH($AX$3,0))-1)/2)+AX$14,0)=EOMONTH($AD$3,0),AX$12*AX$13,0),0),IF(AND(AT$12&lt;&gt;"",AT$14&lt;&gt;""),IF(EOMONTH($AT$3+INT((DAY(EOMONTH($AT$3,0))-1)/2)+AT$14,0)=EOMONTH($AD$3,0),AT$12*AT$13,0),0),IF(AND(AP$12&lt;&gt;"",AP$14&lt;&gt;""),IF(EOMONTH($AP$3+INT((DAY(EOMONTH($AP$3,0))-1)/2)+AP$14,0)=EOMONTH($AD$3,0),AP$12*AP$13,0),0),IF(AND(AL$12&lt;&gt;"",AL$14&lt;&gt;""),IF(EOMONTH($AL$3+INT((DAY(EOMONTH($AL$3,0))-1)/2)+AL$14,0)=EOMONTH($AD$3,0),AL$12*AL$13,0),0),IF(AND(AH$12&lt;&gt;"",AH$14&lt;&gt;""),IF(EOMONTH($AH$3+INT((DAY(EOMONTH($AH$3,0))-1)/2)+AH$14,0)=EOMONTH($AD$3,0),AH$12*AH$13,0),0),IF(AND(AD$12&lt;&gt;"",AD$14&lt;&gt;""),IF(EOMONTH($AD$3+INT((DAY(EOMONTH($AD$3,0))-1)/2)+AD$14,0)=EOMONTH($AD$3,0),AD$12*AD$13,0),0),IF(AND(Z$12&lt;&gt;"",Z$14&lt;&gt;""),IF(EOMONTH($Z$3+INT((DAY(EOMONTH($Z$3,0))-1)/2)+Z$14,0)=EOMONTH($AD$3,0),Z$12*Z$13,0),0),IF(AND(V$12&lt;&gt;"",V$14&lt;&gt;""),IF(EOMONTH($V$3+INT((DAY(EOMONTH($V$3,0))-1)/2)+V$14,0)=EOMONTH($AD$3,0),V$12*V$13,0),0),IF(AND(R$12&lt;&gt;"",R$14&lt;&gt;""),IF(EOMONTH($R$3+INT((DAY(EOMONTH($R$3,0))-1)/2)+R$14,0)=EOMONTH($AD$3,0),R$12*R$13,0),0),IF(AND(N$12&lt;&gt;"",N$14&lt;&gt;""),IF(EOMONTH($N$3+INT((DAY(EOMONTH($N$3,0))-1)/2)+N$14,0)=EOMONTH($AD$3,0),N$12*N$13,0),0),IF(AND(J$12&lt;&gt;"",J$14&lt;&gt;""),IF(EOMONTH($J$3+INT((DAY(EOMONTH($J$3,0))-1)/2)+J$14,0)=EOMONTH($AD$3,0),J$12*J$13,0),0),IF(AND(F$12&lt;&gt;"",F$14&lt;&gt;""),IF(EOMONTH($F$3+INT((DAY(EOMONTH($F$3,0))-1)/2)+F$14,0)=EOMONTH($AD$3,0),F$12*F$13,0),0),IF($AX$75="",0,IF(EOMONTH($AX$75+AX$14,0)=EOMONTH($AD$3,0),$AX$77*AX$13,0))),0)</f>
        <v>0</v>
      </c>
      <c r="AE73" s="41">
        <f t="shared" si="416"/>
        <v>88000</v>
      </c>
      <c r="AF73" s="41">
        <f t="shared" si="416"/>
        <v>88000</v>
      </c>
      <c r="AG73" s="41">
        <f t="shared" si="417"/>
        <v>0</v>
      </c>
      <c r="AH73" s="41">
        <f t="shared" ref="AH73:AJ73" si="418">ROUND(SUM(IF(AND(AX$12&lt;&gt;"",AX$14&lt;&gt;""),IF(EOMONTH($AX$3+INT((DAY(EOMONTH($AX$3,0))-1)/2)+AX$14,0)=EOMONTH($AH$3,0),AX$12*AX$13,0),0),IF(AND(AT$12&lt;&gt;"",AT$14&lt;&gt;""),IF(EOMONTH($AT$3+INT((DAY(EOMONTH($AT$3,0))-1)/2)+AT$14,0)=EOMONTH($AH$3,0),AT$12*AT$13,0),0),IF(AND(AP$12&lt;&gt;"",AP$14&lt;&gt;""),IF(EOMONTH($AP$3+INT((DAY(EOMONTH($AP$3,0))-1)/2)+AP$14,0)=EOMONTH($AH$3,0),AP$12*AP$13,0),0),IF(AND(AL$12&lt;&gt;"",AL$14&lt;&gt;""),IF(EOMONTH($AL$3+INT((DAY(EOMONTH($AL$3,0))-1)/2)+AL$14,0)=EOMONTH($AH$3,0),AL$12*AL$13,0),0),IF(AND(AH$12&lt;&gt;"",AH$14&lt;&gt;""),IF(EOMONTH($AH$3+INT((DAY(EOMONTH($AH$3,0))-1)/2)+AH$14,0)=EOMONTH($AH$3,0),AH$12*AH$13,0),0),IF(AND(AD$12&lt;&gt;"",AD$14&lt;&gt;""),IF(EOMONTH($AD$3+INT((DAY(EOMONTH($AD$3,0))-1)/2)+AD$14,0)=EOMONTH($AH$3,0),AD$12*AD$13,0),0),IF(AND(Z$12&lt;&gt;"",Z$14&lt;&gt;""),IF(EOMONTH($Z$3+INT((DAY(EOMONTH($Z$3,0))-1)/2)+Z$14,0)=EOMONTH($AH$3,0),Z$12*Z$13,0),0),IF(AND(V$12&lt;&gt;"",V$14&lt;&gt;""),IF(EOMONTH($V$3+INT((DAY(EOMONTH($V$3,0))-1)/2)+V$14,0)=EOMONTH($AH$3,0),V$12*V$13,0),0),IF(AND(R$12&lt;&gt;"",R$14&lt;&gt;""),IF(EOMONTH($R$3+INT((DAY(EOMONTH($R$3,0))-1)/2)+R$14,0)=EOMONTH($AH$3,0),R$12*R$13,0),0),IF(AND(N$12&lt;&gt;"",N$14&lt;&gt;""),IF(EOMONTH($N$3+INT((DAY(EOMONTH($N$3,0))-1)/2)+N$14,0)=EOMONTH($AH$3,0),N$12*N$13,0),0),IF(AND(J$12&lt;&gt;"",J$14&lt;&gt;""),IF(EOMONTH($J$3+INT((DAY(EOMONTH($J$3,0))-1)/2)+J$14,0)=EOMONTH($AH$3,0),J$12*J$13,0),0),IF(AND(F$12&lt;&gt;"",F$14&lt;&gt;""),IF(EOMONTH($F$3+INT((DAY(EOMONTH($F$3,0))-1)/2)+F$14,0)=EOMONTH($AH$3,0),F$12*F$13,0),0),IF($AX$75="",0,IF(EOMONTH($AX$75+AX$14,0)=EOMONTH($AH$3,0),$AX$77*AX$13,0))),0)</f>
        <v>0</v>
      </c>
      <c r="AI73" s="41">
        <f t="shared" si="418"/>
        <v>88000</v>
      </c>
      <c r="AJ73" s="41">
        <f t="shared" si="418"/>
        <v>88000</v>
      </c>
      <c r="AK73" s="41">
        <f t="shared" si="419"/>
        <v>0</v>
      </c>
      <c r="AL73" s="41">
        <f t="shared" ref="AL73:AN73" si="420">ROUND(SUM(IF(AND(AX$12&lt;&gt;"",AX$14&lt;&gt;""),IF(EOMONTH($AX$3+INT((DAY(EOMONTH($AX$3,0))-1)/2)+AX$14,0)=EOMONTH($AL$3,0),AX$12*AX$13,0),0),IF(AND(AT$12&lt;&gt;"",AT$14&lt;&gt;""),IF(EOMONTH($AT$3+INT((DAY(EOMONTH($AT$3,0))-1)/2)+AT$14,0)=EOMONTH($AL$3,0),AT$12*AT$13,0),0),IF(AND(AP$12&lt;&gt;"",AP$14&lt;&gt;""),IF(EOMONTH($AP$3+INT((DAY(EOMONTH($AP$3,0))-1)/2)+AP$14,0)=EOMONTH($AL$3,0),AP$12*AP$13,0),0),IF(AND(AL$12&lt;&gt;"",AL$14&lt;&gt;""),IF(EOMONTH($AL$3+INT((DAY(EOMONTH($AL$3,0))-1)/2)+AL$14,0)=EOMONTH($AL$3,0),AL$12*AL$13,0),0),IF(AND(AH$12&lt;&gt;"",AH$14&lt;&gt;""),IF(EOMONTH($AH$3+INT((DAY(EOMONTH($AH$3,0))-1)/2)+AH$14,0)=EOMONTH($AL$3,0),AH$12*AH$13,0),0),IF(AND(AD$12&lt;&gt;"",AD$14&lt;&gt;""),IF(EOMONTH($AD$3+INT((DAY(EOMONTH($AD$3,0))-1)/2)+AD$14,0)=EOMONTH($AL$3,0),AD$12*AD$13,0),0),IF(AND(Z$12&lt;&gt;"",Z$14&lt;&gt;""),IF(EOMONTH($Z$3+INT((DAY(EOMONTH($Z$3,0))-1)/2)+Z$14,0)=EOMONTH($AL$3,0),Z$12*Z$13,0),0),IF(AND(V$12&lt;&gt;"",V$14&lt;&gt;""),IF(EOMONTH($V$3+INT((DAY(EOMONTH($V$3,0))-1)/2)+V$14,0)=EOMONTH($AL$3,0),V$12*V$13,0),0),IF(AND(R$12&lt;&gt;"",R$14&lt;&gt;""),IF(EOMONTH($R$3+INT((DAY(EOMONTH($R$3,0))-1)/2)+R$14,0)=EOMONTH($AL$3,0),R$12*R$13,0),0),IF(AND(N$12&lt;&gt;"",N$14&lt;&gt;""),IF(EOMONTH($N$3+INT((DAY(EOMONTH($N$3,0))-1)/2)+N$14,0)=EOMONTH($AL$3,0),N$12*N$13,0),0),IF(AND(J$12&lt;&gt;"",J$14&lt;&gt;""),IF(EOMONTH($J$3+INT((DAY(EOMONTH($J$3,0))-1)/2)+J$14,0)=EOMONTH($AL$3,0),J$12*J$13,0),0),IF(AND(F$12&lt;&gt;"",F$14&lt;&gt;""),IF(EOMONTH($F$3+INT((DAY(EOMONTH($F$3,0))-1)/2)+F$14,0)=EOMONTH($AL$3,0),F$12*F$13,0),0),IF($AX$75="",0,IF(EOMONTH($AX$75+AX$14,0)=EOMONTH($AL$3,0),$AX$77*AX$13,0))),0)</f>
        <v>0</v>
      </c>
      <c r="AM73" s="41">
        <f t="shared" si="420"/>
        <v>64000</v>
      </c>
      <c r="AN73" s="41">
        <f t="shared" si="420"/>
        <v>80000</v>
      </c>
      <c r="AO73" s="41">
        <f t="shared" si="421"/>
        <v>-16000</v>
      </c>
      <c r="AP73" s="41">
        <f t="shared" ref="AP73:AR73" si="422">ROUND(SUM(IF(AND(AX$12&lt;&gt;"",AX$14&lt;&gt;""),IF(EOMONTH($AX$3+INT((DAY(EOMONTH($AX$3,0))-1)/2)+AX$14,0)=EOMONTH($AP$3,0),AX$12*AX$13,0),0),IF(AND(AT$12&lt;&gt;"",AT$14&lt;&gt;""),IF(EOMONTH($AT$3+INT((DAY(EOMONTH($AT$3,0))-1)/2)+AT$14,0)=EOMONTH($AP$3,0),AT$12*AT$13,0),0),IF(AND(AP$12&lt;&gt;"",AP$14&lt;&gt;""),IF(EOMONTH($AP$3+INT((DAY(EOMONTH($AP$3,0))-1)/2)+AP$14,0)=EOMONTH($AP$3,0),AP$12*AP$13,0),0),IF(AND(AL$12&lt;&gt;"",AL$14&lt;&gt;""),IF(EOMONTH($AL$3+INT((DAY(EOMONTH($AL$3,0))-1)/2)+AL$14,0)=EOMONTH($AP$3,0),AL$12*AL$13,0),0),IF(AND(AH$12&lt;&gt;"",AH$14&lt;&gt;""),IF(EOMONTH($AH$3+INT((DAY(EOMONTH($AH$3,0))-1)/2)+AH$14,0)=EOMONTH($AP$3,0),AH$12*AH$13,0),0),IF(AND(AD$12&lt;&gt;"",AD$14&lt;&gt;""),IF(EOMONTH($AD$3+INT((DAY(EOMONTH($AD$3,0))-1)/2)+AD$14,0)=EOMONTH($AP$3,0),AD$12*AD$13,0),0),IF(AND(Z$12&lt;&gt;"",Z$14&lt;&gt;""),IF(EOMONTH($Z$3+INT((DAY(EOMONTH($Z$3,0))-1)/2)+Z$14,0)=EOMONTH($AP$3,0),Z$12*Z$13,0),0),IF(AND(V$12&lt;&gt;"",V$14&lt;&gt;""),IF(EOMONTH($V$3+INT((DAY(EOMONTH($V$3,0))-1)/2)+V$14,0)=EOMONTH($AP$3,0),V$12*V$13,0),0),IF(AND(R$12&lt;&gt;"",R$14&lt;&gt;""),IF(EOMONTH($R$3+INT((DAY(EOMONTH($R$3,0))-1)/2)+R$14,0)=EOMONTH($AP$3,0),R$12*R$13,0),0),IF(AND(N$12&lt;&gt;"",N$14&lt;&gt;""),IF(EOMONTH($N$3+INT((DAY(EOMONTH($N$3,0))-1)/2)+N$14,0)=EOMONTH($AP$3,0),N$12*N$13,0),0),IF(AND(J$12&lt;&gt;"",J$14&lt;&gt;""),IF(EOMONTH($J$3+INT((DAY(EOMONTH($J$3,0))-1)/2)+J$14,0)=EOMONTH($AP$3,0),J$12*J$13,0),0),IF(AND(F$12&lt;&gt;"",F$14&lt;&gt;""),IF(EOMONTH($F$3+INT((DAY(EOMONTH($F$3,0))-1)/2)+F$14,0)=EOMONTH($AP$3,0),F$12*F$13,0),0),IF($AX$75="",0,IF(EOMONTH($AX$75+AX$14,0)=EOMONTH($AP$3,0),$AX$77*AX$13,0))),0)</f>
        <v>40000</v>
      </c>
      <c r="AQ73" s="41">
        <f t="shared" si="422"/>
        <v>40000</v>
      </c>
      <c r="AR73" s="41">
        <f t="shared" si="422"/>
        <v>80000</v>
      </c>
      <c r="AS73" s="41">
        <f t="shared" si="423"/>
        <v>-40000</v>
      </c>
      <c r="AT73" s="41">
        <f t="shared" ref="AT73:AV73" si="424">ROUND(SUM(IF(AND(AX$12&lt;&gt;"",AX$14&lt;&gt;""),IF(EOMONTH($AX$3+INT((DAY(EOMONTH($AX$3,0))-1)/2)+AX$14,0)=EOMONTH($AT$3,0),AX$12*AX$13,0),0),IF(AND(AT$12&lt;&gt;"",AT$14&lt;&gt;""),IF(EOMONTH($AT$3+INT((DAY(EOMONTH($AT$3,0))-1)/2)+AT$14,0)=EOMONTH($AT$3,0),AT$12*AT$13,0),0),IF(AND(AP$12&lt;&gt;"",AP$14&lt;&gt;""),IF(EOMONTH($AP$3+INT((DAY(EOMONTH($AP$3,0))-1)/2)+AP$14,0)=EOMONTH($AT$3,0),AP$12*AP$13,0),0),IF(AND(AL$12&lt;&gt;"",AL$14&lt;&gt;""),IF(EOMONTH($AL$3+INT((DAY(EOMONTH($AL$3,0))-1)/2)+AL$14,0)=EOMONTH($AT$3,0),AL$12*AL$13,0),0),IF(AND(AH$12&lt;&gt;"",AH$14&lt;&gt;""),IF(EOMONTH($AH$3+INT((DAY(EOMONTH($AH$3,0))-1)/2)+AH$14,0)=EOMONTH($AT$3,0),AH$12*AH$13,0),0),IF(AND(AD$12&lt;&gt;"",AD$14&lt;&gt;""),IF(EOMONTH($AD$3+INT((DAY(EOMONTH($AD$3,0))-1)/2)+AD$14,0)=EOMONTH($AT$3,0),AD$12*AD$13,0),0),IF(AND(Z$12&lt;&gt;"",Z$14&lt;&gt;""),IF(EOMONTH($Z$3+INT((DAY(EOMONTH($Z$3,0))-1)/2)+Z$14,0)=EOMONTH($AT$3,0),Z$12*Z$13,0),0),IF(AND(V$12&lt;&gt;"",V$14&lt;&gt;""),IF(EOMONTH($V$3+INT((DAY(EOMONTH($V$3,0))-1)/2)+V$14,0)=EOMONTH($AT$3,0),V$12*V$13,0),0),IF(AND(R$12&lt;&gt;"",R$14&lt;&gt;""),IF(EOMONTH($R$3+INT((DAY(EOMONTH($R$3,0))-1)/2)+R$14,0)=EOMONTH($AT$3,0),R$12*R$13,0),0),IF(AND(N$12&lt;&gt;"",N$14&lt;&gt;""),IF(EOMONTH($N$3+INT((DAY(EOMONTH($N$3,0))-1)/2)+N$14,0)=EOMONTH($AT$3,0),N$12*N$13,0),0),IF(AND(J$12&lt;&gt;"",J$14&lt;&gt;""),IF(EOMONTH($J$3+INT((DAY(EOMONTH($J$3,0))-1)/2)+J$14,0)=EOMONTH($AT$3,0),J$12*J$13,0),0),IF(AND(F$12&lt;&gt;"",F$14&lt;&gt;""),IF(EOMONTH($F$3+INT((DAY(EOMONTH($F$3,0))-1)/2)+F$14,0)=EOMONTH($AT$3,0),F$12*F$13,0),0),IF($AX$75="",0,IF(EOMONTH($AX$75+AX$14,0)=EOMONTH($AT$3,0),$AX$77*AX$13,0))),0)</f>
        <v>35000</v>
      </c>
      <c r="AU73" s="41">
        <f t="shared" si="424"/>
        <v>35000</v>
      </c>
      <c r="AV73" s="41">
        <f t="shared" si="424"/>
        <v>80000</v>
      </c>
      <c r="AW73" s="41">
        <f t="shared" si="425"/>
        <v>-45000</v>
      </c>
      <c r="AX73" s="41">
        <f t="shared" ref="AX73:AZ73" si="426">ROUND(SUM(IF(AND(AX$12&lt;&gt;"",AX$14&lt;&gt;""),IF(EOMONTH($AX$3+INT((DAY(EOMONTH($AX$3,0))-1)/2)+AX$14,0)=EOMONTH($AX$3,0),AX$12*AX$13,0),0),IF(AND(AT$12&lt;&gt;"",AT$14&lt;&gt;""),IF(EOMONTH($AT$3+INT((DAY(EOMONTH($AT$3,0))-1)/2)+AT$14,0)=EOMONTH($AX$3,0),AT$12*AT$13,0),0),IF(AND(AP$12&lt;&gt;"",AP$14&lt;&gt;""),IF(EOMONTH($AP$3+INT((DAY(EOMONTH($AP$3,0))-1)/2)+AP$14,0)=EOMONTH($AX$3,0),AP$12*AP$13,0),0),IF(AND(AL$12&lt;&gt;"",AL$14&lt;&gt;""),IF(EOMONTH($AL$3+INT((DAY(EOMONTH($AL$3,0))-1)/2)+AL$14,0)=EOMONTH($AX$3,0),AL$12*AL$13,0),0),IF(AND(AH$12&lt;&gt;"",AH$14&lt;&gt;""),IF(EOMONTH($AH$3+INT((DAY(EOMONTH($AH$3,0))-1)/2)+AH$14,0)=EOMONTH($AX$3,0),AH$12*AH$13,0),0),IF(AND(AD$12&lt;&gt;"",AD$14&lt;&gt;""),IF(EOMONTH($AD$3+INT((DAY(EOMONTH($AD$3,0))-1)/2)+AD$14,0)=EOMONTH($AX$3,0),AD$12*AD$13,0),0),IF(AND(Z$12&lt;&gt;"",Z$14&lt;&gt;""),IF(EOMONTH($Z$3+INT((DAY(EOMONTH($Z$3,0))-1)/2)+Z$14,0)=EOMONTH($AX$3,0),Z$12*Z$13,0),0),IF(AND(V$12&lt;&gt;"",V$14&lt;&gt;""),IF(EOMONTH($V$3+INT((DAY(EOMONTH($V$3,0))-1)/2)+V$14,0)=EOMONTH($AX$3,0),V$12*V$13,0),0),IF(AND(R$12&lt;&gt;"",R$14&lt;&gt;""),IF(EOMONTH($R$3+INT((DAY(EOMONTH($R$3,0))-1)/2)+R$14,0)=EOMONTH($AX$3,0),R$12*R$13,0),0),IF(AND(N$12&lt;&gt;"",N$14&lt;&gt;""),IF(EOMONTH($N$3+INT((DAY(EOMONTH($N$3,0))-1)/2)+N$14,0)=EOMONTH($AX$3,0),N$12*N$13,0),0),IF(AND(J$12&lt;&gt;"",J$14&lt;&gt;""),IF(EOMONTH($J$3+INT((DAY(EOMONTH($J$3,0))-1)/2)+J$14,0)=EOMONTH($AX$3,0),J$12*J$13,0),0),IF(AND(F$12&lt;&gt;"",F$14&lt;&gt;""),IF(EOMONTH($F$3+INT((DAY(EOMONTH($F$3,0))-1)/2)+F$14,0)=EOMONTH($AX$3,0),F$12*F$13,0),0),IF($AX$75="",0,IF(EOMONTH($AX$75+AX$14,0)=EOMONTH($AX$3,0),$AX$77*AX$13,0))),0)</f>
        <v>50000</v>
      </c>
      <c r="AY73" s="41">
        <f t="shared" si="426"/>
        <v>50000</v>
      </c>
      <c r="AZ73" s="41">
        <f t="shared" si="426"/>
        <v>80000</v>
      </c>
      <c r="BA73" s="41">
        <f t="shared" si="427"/>
        <v>-30000</v>
      </c>
    </row>
    <row r="74" ht="18.0" customHeight="1">
      <c r="A74" s="12" t="s">
        <v>77</v>
      </c>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row>
    <row r="75" ht="18.0" customHeight="1">
      <c r="A75" s="42" t="s">
        <v>78</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43">
        <v>46388.0</v>
      </c>
    </row>
    <row r="76" ht="18.0" customHeight="1">
      <c r="A76" s="42" t="s">
        <v>79</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44">
        <v>40.0</v>
      </c>
    </row>
    <row r="77" ht="18.0" customHeight="1">
      <c r="A77" s="42" t="s">
        <v>80</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44">
        <v>10.0</v>
      </c>
    </row>
    <row r="78" ht="18.0" customHeight="1">
      <c r="A78" s="42" t="s">
        <v>81</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44">
        <v>10.0</v>
      </c>
    </row>
    <row r="79" ht="18.0" customHeight="1">
      <c r="A79" s="42" t="s">
        <v>22</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44">
        <v>5.0</v>
      </c>
    </row>
    <row r="80" ht="18.0" customHeight="1">
      <c r="A80" s="12" t="s">
        <v>82</v>
      </c>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row>
    <row r="81" ht="18.0" customHeight="1">
      <c r="A81" s="42" t="s">
        <v>83</v>
      </c>
      <c r="B81" s="40" t="str">
        <f>IF(AND(AND(AY8&gt;=0,AY11&gt;=0,AY14&gt;=0,AY23&gt;=0),AND(AZ8&gt;=0,AZ11&gt;=0,AZ14&gt;=0,AZ23&gt;=0),AND(AU8&gt;=0,AU11&gt;=0,AU14&gt;=0,AU23&gt;=0),AND(AV8&gt;=0,AV11&gt;=0,AV14&gt;=0,AV23&gt;=0),AND(AQ8&gt;=0,AQ11&gt;=0,AQ14&gt;=0,AQ23&gt;=0),AND(AR8&gt;=0,AR11&gt;=0,AR14&gt;=0,AR23&gt;=0),AND(AM8&gt;=0,AM11&gt;=0,AM14&gt;=0,AM23&gt;=0),AND(AN8&gt;=0,AN11&gt;=0,AN14&gt;=0,AN23&gt;=0),AND(AI8&gt;=0,AI11&gt;=0,AI14&gt;=0,AI23&gt;=0),AND(AJ8&gt;=0,AJ11&gt;=0,AJ14&gt;=0,AJ23&gt;=0),AND(AE8&gt;=0,AE11&gt;=0,AE14&gt;=0,AE23&gt;=0),AND(AF8&gt;=0,AF11&gt;=0,AF14&gt;=0,AF23&gt;=0),AND(AA8&gt;=0,AA11&gt;=0,AA14&gt;=0,AA23&gt;=0),AND(AB8&gt;=0,AB11&gt;=0,AB14&gt;=0,AB23&gt;=0),AND(W8&gt;=0,W11&gt;=0,W14&gt;=0,W23&gt;=0),AND(X8&gt;=0,X11&gt;=0,X14&gt;=0,X23&gt;=0),AND(S8&gt;=0,S11&gt;=0,S14&gt;=0,S23&gt;=0),AND(T8&gt;=0,T11&gt;=0,T14&gt;=0,T23&gt;=0),AND(O8&gt;=0,O11&gt;=0,O14&gt;=0,O23&gt;=0),AND(P8&gt;=0,P11&gt;=0,P14&gt;=0,P23&gt;=0),AND(K8&gt;=0,K11&gt;=0,K14&gt;=0,K23&gt;=0),AND(L8&gt;=0,L11&gt;=0,L14&gt;=0,L23&gt;=0),AND(G8&gt;=0,G11&gt;=0,G14&gt;=0,G23&gt;=0),AND(H8&gt;=0,H11&gt;=0,H14&gt;=0,H23&gt;=0)),"OK","CHECK")</f>
        <v>OK</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row>
    <row r="82" ht="18.0" customHeight="1">
      <c r="A82" s="42" t="s">
        <v>84</v>
      </c>
      <c r="B82" s="40" t="str">
        <f>IF(AND(AND(AY7&gt;=0,AY7&lt;=1,AY10&gt;=0,AY10&lt;=1),AND(AZ7&gt;=0,AZ7&lt;=1,AZ10&gt;=0,AZ10&lt;=1),AND(AU7&gt;=0,AU7&lt;=1,AU10&gt;=0,AU10&lt;=1),AND(AV7&gt;=0,AV7&lt;=1,AV10&gt;=0,AV10&lt;=1),AND(AQ7&gt;=0,AQ7&lt;=1,AQ10&gt;=0,AQ10&lt;=1),AND(AR7&gt;=0,AR7&lt;=1,AR10&gt;=0,AR10&lt;=1),AND(AM7&gt;=0,AM7&lt;=1,AM10&gt;=0,AM10&lt;=1),AND(AN7&gt;=0,AN7&lt;=1,AN10&gt;=0,AN10&lt;=1),AND(AI7&gt;=0,AI7&lt;=1,AI10&gt;=0,AI10&lt;=1),AND(AJ7&gt;=0,AJ7&lt;=1,AJ10&gt;=0,AJ10&lt;=1),AND(AE7&gt;=0,AE7&lt;=1,AE10&gt;=0,AE10&lt;=1),AND(AF7&gt;=0,AF7&lt;=1,AF10&gt;=0,AF10&lt;=1),AND(AA7&gt;=0,AA7&lt;=1,AA10&gt;=0,AA10&lt;=1),AND(AB7&gt;=0,AB7&lt;=1,AB10&gt;=0,AB10&lt;=1),AND(W7&gt;=0,W7&lt;=1,W10&gt;=0,W10&lt;=1),AND(X7&gt;=0,X7&lt;=1,X10&gt;=0,X10&lt;=1),AND(S7&gt;=0,S7&lt;=1,S10&gt;=0,S10&lt;=1),AND(T7&gt;=0,T7&lt;=1,T10&gt;=0,T10&lt;=1),AND(O7&gt;=0,O7&lt;=1,O10&gt;=0,O10&lt;=1),AND(P7&gt;=0,P7&lt;=1,P10&gt;=0,P10&lt;=1),AND(K7&gt;=0,K7&lt;=1,K10&gt;=0,K10&lt;=1),AND(L7&gt;=0,L7&lt;=1,L10&gt;=0,L10&lt;=1),AND(G7&gt;=0,G7&lt;=1,G10&gt;=0,G10&lt;=1),AND(H7&gt;=0,H7&lt;=1,H10&gt;=0,H10&lt;=1)),"OK","CHECK")</f>
        <v>OK</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row>
    <row r="83" ht="18.0" customHeight="1">
      <c r="A83" s="42" t="s">
        <v>85</v>
      </c>
      <c r="B83" s="40" t="str">
        <f>IF(AND(ISNUMBER($AX$75),COUNT($AX$76:$AX$79)=4,MIN($AX$76:$AX$79)&gt;=0,MIN(AY6,AY13,AY15,AY16,AY18,AY28,AY30,AY31,AY32,AY33,AY38,AY39,AY40,AY41,AY42,AY43,AY44,AY45,AY46,AY47,AY48,AY49,AY50,AY51,AY52,AY60,AY61,AY62,AY63,AY64,AY69)&gt;=0,MIN(AZ6,AZ13,AZ15,AZ16,AZ18,AZ28,AZ30,AZ31,AZ32,AZ33,AZ38,AZ39,AZ40,AZ41,AZ42,AZ43,AZ44,AZ45,AZ46,AZ47,AZ48,AZ49,AZ50,AZ51,AZ52,AZ60,AZ61,AZ62,AZ63,AZ64,AZ69)&gt;=0,MIN(AU6,AU13,AU15,AU16,AU18,AU28,AU30,AU31,AU32,AU33,AU38,AU39,AU40,AU41,AU42,AU43,AU44,AU45,AU46,AU47,AU48,AU49,AU50,AU51,AU52,AU60,AU61,AU62,AU63,AU64,AU69)&gt;=0,MIN(AV6,AV13,AV15,AV16,AV18,AV28,AV30,AV31,AV32,AV33,AV38,AV39,AV40,AV41,AV42,AV43,AV44,AV45,AV46,AV47,AV48,AV49,AV50,AV51,AV52,AV60,AV61,AV62,AV63,AV64,AV69)&gt;=0,MIN(AQ6,AQ13,AQ15,AQ16,AQ18,AQ28,AQ30,AQ31,AQ32,AQ33,AQ38,AQ39,AQ40,AQ41,AQ42,AQ43,AQ44,AQ45,AQ46,AQ47,AQ48,AQ49,AQ50,AQ51,AQ52,AQ60,AQ61,AQ62,AQ63,AQ64,AQ69)&gt;=0,MIN(AR6,AR13,AR15,AR16,AR18,AR28,AR30,AR31,AR32,AR33,AR38,AR39,AR40,AR41,AR42,AR43,AR44,AR45,AR46,AR47,AR48,AR49,AR50,AR51,AR52,AR60,AR61,AR62,AR63,AR64,AR69)&gt;=0,MIN(AM6,AM13,AM15,AM16,AM18,AM28,AM30,AM31,AM32,AM33,AM38,AM39,AM40,AM41,AM42,AM43,AM44,AM45,AM46,AM47,AM48,AM49,AM50,AM51,AM52,AM60,AM61,AM62,AM63,AM64,AM69)&gt;=0,MIN(AN6,AN13,AN15,AN16,AN18,AN28,AN30,AN31,AN32,AN33,AN38,AN39,AN40,AN41,AN42,AN43,AN44,AN45,AN46,AN47,AN48,AN49,AN50,AN51,AN52,AN60,AN61,AN62,AN63,AN64,AN69)&gt;=0,MIN(AI6,AI13,AI15,AI16,AI18,AI28,AI30,AI31,AI32,AI33,AI38,AI39,AI40,AI41,AI42,AI43,AI44,AI45,AI46,AI47,AI48,AI49,AI50,AI51,AI52,AI60,AI61,AI62,AI63,AI64,AI69)&gt;=0,MIN(AJ6,AJ13,AJ15,AJ16,AJ18,AJ28,AJ30,AJ31,AJ32,AJ33,AJ38,AJ39,AJ40,AJ41,AJ42,AJ43,AJ44,AJ45,AJ46,AJ47,AJ48,AJ49,AJ50,AJ51,AJ52,AJ60,AJ61,AJ62,AJ63,AJ64,AJ69)&gt;=0,MIN(AE6,AE13,AE15,AE16,AE18,AE28,AE30,AE31,AE32,AE33,AE38,AE39,AE40,AE41,AE42,AE43,AE44,AE45,AE46,AE47,AE48,AE49,AE50,AE51,AE52,AE60,AE61,AE62,AE63,AE64,AE69)&gt;=0,MIN(AF6,AF13,AF15,AF16,AF18,AF28,AF30,AF31,AF32,AF33,AF38,AF39,AF40,AF41,AF42,AF43,AF44,AF45,AF46,AF47,AF48,AF49,AF50,AF51,AF52,AF60,AF61,AF62,AF63,AF64,AF69)&gt;=0,MIN(AA6,AA13,AA15,AA16,AA18,AA28,AA30,AA31,AA32,AA33,AA38,AA39,AA40,AA41,AA42,AA43,AA44,AA45,AA46,AA47,AA48,AA49,AA50,AA51,AA52,AA60,AA61,AA62,AA63,AA64,AA69)&gt;=0,MIN(AB6,AB13,AB15,AB16,AB18,AB28,AB30,AB31,AB32,AB33,AB38,AB39,AB40,AB41,AB42,AB43,AB44,AB45,AB46,AB47,AB48,AB49,AB50,AB51,AB52,AB60,AB61,AB62,AB63,AB64,AB69)&gt;=0,MIN(W6,W13,W15,W16,W18,W28,W30,W31,W32,W33,W38,W39,W40,W41,W42,W43,W44,W45,W46,W47,W48,W49,W50,W51,W52,W60,W61,W62,W63,W64,W69)&gt;=0,MIN(X6,X13,X15,X16,X18,X28,X30,X31,X32,X33,X38,X39,X40,X41,X42,X43,X44,X45,X46,X47,X48,X49,X50,X51,X52,X60,X61,X62,X63,X64,X69)&gt;=0,MIN(S6,S13,S15,S16,S18,S28,S30,S31,S32,S33,S38,S39,S40,S41,S42,S43,S44,S45,S46,S47,S48,S49,S50,S51,S52,S60,S61,S62,S63,S64,S69)&gt;=0,MIN(T6,T13,T15,T16,T18,T28,T30,T31,T32,T33,T38,T39,T40,T41,T42,T43,T44,T45,T46,T47,T48,T49,T50,T51,T52,T60,T61,T62,T63,T64,T69)&gt;=0,MIN(O6,O13,O15,O16,O18,O28,O30,O31,O32,O33,O38,O39,O40,O41,O42,O43,O44,O45,O46,O47,O48,O49,O50,O51,O52,O60,O61,O62,O63,O64,O69)&gt;=0,MIN(P6,P13,P15,P16,P18,P28,P30,P31,P32,P33,P38,P39,P40,P41,P42,P43,P44,P45,P46,P47,P48,P49,P50,P51,P52,P60,P61,P62,P63,P64,P69)&gt;=0,MIN(K6,K13,K15,K16,K18,K28,K30,K31,K32,K33,K38,K39,K40,K41,K42,K43,K44,K45,K46,K47,K48,K49,K50,K51,K52,K60,K61,K62,K63,K64,K69)&gt;=0,MIN(L6,L13,L15,L16,L18,L28,L30,L31,L32,L33,L38,L39,L40,L41,L42,L43,L44,L45,L46,L47,L48,L49,L50,L51,L52,L60,L61,L62,L63,L64,L69)&gt;=0,MIN(G6,G13,G15,G16,G18,G28,G30,G31,G32,G33,G38,G39,G40,G41,G42,G43,G44,G45,G46,G47,G48,G49,G50,G51,G52,G60,G61,G62,G63,G64,G69)&gt;=0,MIN(H6,H13,H15,H16,H18,H28,H30,H31,H32,H33,H38,H39,H40,H41,H42,H43,H44,H45,H46,H47,H48,H49,H50,H51,H52,H60,H61,H62,H63,H64,H69)&gt;=0),"OK","CHECK")</f>
        <v>OK</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row>
    <row r="84" ht="18.0" customHeight="1">
      <c r="A84" s="42" t="s">
        <v>86</v>
      </c>
      <c r="B84" s="40" t="str">
        <f>IF(AND(OR(AND(AX$57="",COUNT(AX6,AX8,AX9,AX11,AX12,AX13,AX14,AX15,AX16,AX18,AX21,AX23,AX28,AX30,AX31,AX32,AX33,AX38,AX39,AX40,AX41,AX42,AX43,AX44,AX45,AX46,AX47,AX48,AX49,AX50,AX51,AX52,AX57,AX60,AX61,AX62,AX63,AX64,AX69)=0),AND(AX$57&lt;&gt;"",COUNT(AX6,AX8,AX9,AX11,AX12,AX13,AX14,AX15,AX16,AX18,AX21,AX23,AX28,AX30,AX31,AX32,AX33,AX38,AX39,AX40,AX41,AX42,AX43,AX44,AX45,AX46,AX47,AX48,AX49,AX50,AX51,AX52,AX57,AX60,AX61,AX62,AX63,AX64,AX69)=39)),OR(AND(AT$57="",COUNT(AT6,AT8,AT9,AT11,AT12,AT13,AT14,AT15,AT16,AT18,AT21,AT23,AT28,AT30,AT31,AT32,AT33,AT38,AT39,AT40,AT41,AT42,AT43,AT44,AT45,AT46,AT47,AT48,AT49,AT50,AT51,AT52,AT57,AT60,AT61,AT62,AT63,AT64,AT69)=0),AND(AT$57&lt;&gt;"",COUNT(AT6,AT8,AT9,AT11,AT12,AT13,AT14,AT15,AT16,AT18,AT21,AT23,AT28,AT30,AT31,AT32,AT33,AT38,AT39,AT40,AT41,AT42,AT43,AT44,AT45,AT46,AT47,AT48,AT49,AT50,AT51,AT52,AT57,AT60,AT61,AT62,AT63,AT64,AT69)=39)),OR(AND(AP$57="",COUNT(AP6,AP8,AP9,AP11,AP12,AP13,AP14,AP15,AP16,AP18,AP21,AP23,AP28,AP30,AP31,AP32,AP33,AP38,AP39,AP40,AP41,AP42,AP43,AP44,AP45,AP46,AP47,AP48,AP49,AP50,AP51,AP52,AP57,AP60,AP61,AP62,AP63,AP64,AP69)=0),AND(AP$57&lt;&gt;"",COUNT(AP6,AP8,AP9,AP11,AP12,AP13,AP14,AP15,AP16,AP18,AP21,AP23,AP28,AP30,AP31,AP32,AP33,AP38,AP39,AP40,AP41,AP42,AP43,AP44,AP45,AP46,AP47,AP48,AP49,AP50,AP51,AP52,AP57,AP60,AP61,AP62,AP63,AP64,AP69)=39)),OR(AND(AL$57="",COUNT(AL6,AL8,AL9,AL11,AL12,AL13,AL14,AL15,AL16,AL18,AL21,AL23,AL28,AL30,AL31,AL32,AL33,AL38,AL39,AL40,AL41,AL42,AL43,AL44,AL45,AL46,AL47,AL48,AL49,AL50,AL51,AL52,AL57,AL60,AL61,AL62,AL63,AL64,AL69)=0),AND(AL$57&lt;&gt;"",COUNT(AL6,AL8,AL9,AL11,AL12,AL13,AL14,AL15,AL16,AL18,AL21,AL23,AL28,AL30,AL31,AL32,AL33,AL38,AL39,AL40,AL41,AL42,AL43,AL44,AL45,AL46,AL47,AL48,AL49,AL50,AL51,AL52,AL57,AL60,AL61,AL62,AL63,AL64,AL69)=39)),OR(AND(AH$57="",COUNT(AH6,AH8,AH9,AH11,AH12,AH13,AH14,AH15,AH16,AH18,AH21,AH23,AH28,AH30,AH31,AH32,AH33,AH38,AH39,AH40,AH41,AH42,AH43,AH44,AH45,AH46,AH47,AH48,AH49,AH50,AH51,AH52,AH57,AH60,AH61,AH62,AH63,AH64,AH69)=0),AND(AH$57&lt;&gt;"",COUNT(AH6,AH8,AH9,AH11,AH12,AH13,AH14,AH15,AH16,AH18,AH21,AH23,AH28,AH30,AH31,AH32,AH33,AH38,AH39,AH40,AH41,AH42,AH43,AH44,AH45,AH46,AH47,AH48,AH49,AH50,AH51,AH52,AH57,AH60,AH61,AH62,AH63,AH64,AH69)=39)),OR(AND(AD$57="",COUNT(AD6,AD8,AD9,AD11,AD12,AD13,AD14,AD15,AD16,AD18,AD21,AD23,AD28,AD30,AD31,AD32,AD33,AD38,AD39,AD40,AD41,AD42,AD43,AD44,AD45,AD46,AD47,AD48,AD49,AD50,AD51,AD52,AD57,AD60,AD61,AD62,AD63,AD64,AD69)=0),AND(AD$57&lt;&gt;"",COUNT(AD6,AD8,AD9,AD11,AD12,AD13,AD14,AD15,AD16,AD18,AD21,AD23,AD28,AD30,AD31,AD32,AD33,AD38,AD39,AD40,AD41,AD42,AD43,AD44,AD45,AD46,AD47,AD48,AD49,AD50,AD51,AD52,AD57,AD60,AD61,AD62,AD63,AD64,AD69)=39)),OR(AND(Z$57="",COUNT(Z6,Z8,Z9,Z11,Z12,Z13,Z14,Z15,Z16,Z18,Z21,Z23,Z28,Z30,Z31,Z32,Z33,Z38,Z39,Z40,Z41,Z42,Z43,Z44,Z45,Z46,Z47,Z48,Z49,Z50,Z51,Z52,Z57,Z60,Z61,Z62,Z63,Z64,Z69)=0),AND(Z$57&lt;&gt;"",COUNT(Z6,Z8,Z9,Z11,Z12,Z13,Z14,Z15,Z16,Z18,Z21,Z23,Z28,Z30,Z31,Z32,Z33,Z38,Z39,Z40,Z41,Z42,Z43,Z44,Z45,Z46,Z47,Z48,Z49,Z50,Z51,Z52,Z57,Z60,Z61,Z62,Z63,Z64,Z69)=39)),OR(AND(V$57="",COUNT(V6,V8,V9,V11,V12,V13,V14,V15,V16,V18,V21,V23,V28,V30,V31,V32,V33,V38,V39,V40,V41,V42,V43,V44,V45,V46,V47,V48,V49,V50,V51,V52,V57,V60,V61,V62,V63,V64,V69)=0),AND(V$57&lt;&gt;"",COUNT(V6,V8,V9,V11,V12,V13,V14,V15,V16,V18,V21,V23,V28,V30,V31,V32,V33,V38,V39,V40,V41,V42,V43,V44,V45,V46,V47,V48,V49,V50,V51,V52,V57,V60,V61,V62,V63,V64,V69)=39)),OR(AND(R$57="",COUNT(R6,R8,R9,R11,R12,R13,R14,R15,R16,R18,R21,R23,R28,R30,R31,R32,R33,R38,R39,R40,R41,R42,R43,R44,R45,R46,R47,R48,R49,R50,R51,R52,R57,R60,R61,R62,R63,R64,R69)=0),AND(R$57&lt;&gt;"",COUNT(R6,R8,R9,R11,R12,R13,R14,R15,R16,R18,R21,R23,R28,R30,R31,R32,R33,R38,R39,R40,R41,R42,R43,R44,R45,R46,R47,R48,R49,R50,R51,R52,R57,R60,R61,R62,R63,R64,R69)=39)),OR(AND(N$57="",COUNT(N6,N8,N9,N11,N12,N13,N14,N15,N16,N18,N21,N23,N28,N30,N31,N32,N33,N38,N39,N40,N41,N42,N43,N44,N45,N46,N47,N48,N49,N50,N51,N52,N57,N60,N61,N62,N63,N64,N69)=0),AND(N$57&lt;&gt;"",COUNT(N6,N8,N9,N11,N12,N13,N14,N15,N16,N18,N21,N23,N28,N30,N31,N32,N33,N38,N39,N40,N41,N42,N43,N44,N45,N46,N47,N48,N49,N50,N51,N52,N57,N60,N61,N62,N63,N64,N69)=39)),OR(AND(J$57="",COUNT(J6,J8,J9,J11,J12,J13,J14,J15,J16,J18,J21,J23,J28,J30,J31,J32,J33,J38,J39,J40,J41,J42,J43,J44,J45,J46,J47,J48,J49,J50,J51,J52,J57,J60,J61,J62,J63,J64,J69)=0),AND(J$57&lt;&gt;"",COUNT(J6,J8,J9,J11,J12,J13,J14,J15,J16,J18,J21,J23,J28,J30,J31,J32,J33,J38,J39,J40,J41,J42,J43,J44,J45,J46,J47,J48,J49,J50,J51,J52,J57,J60,J61,J62,J63,J64,J69)=39)),OR(AND(F$57="",COUNT(F6,F8,F9,F11,F12,F13,F14,F15,F16,F18,F21,F23,F28,F30,F31,F32,F33,F38,F39,F40,F41,F42,F43,F44,F45,F46,F47,F48,F49,F50,F51,F52,F57,F60,F61,F62,F63,F64,F69)=0),AND(F$57&lt;&gt;"",COUNT(F6,F8,F9,F11,F12,F13,F14,F15,F16,F18,F21,F23,F28,F30,F31,F32,F33,F38,F39,F40,F41,F42,F43,F44,F45,F46,F47,F48,F49,F50,F51,F52,F57,F60,F61,F62,F63,F64,F69)=39)),OR(AT97&lt;&gt;1,AX97=1),OR(AP97&lt;&gt;1,AT97=1),OR(AL97&lt;&gt;1,AP97=1),OR(AH97&lt;&gt;1,AL97=1),OR(AD97&lt;&gt;1,AH97=1),OR(Z97&lt;&gt;1,AD97=1),OR(V97&lt;&gt;1,Z97=1),OR(R97&lt;&gt;1,V97=1),OR(N97&lt;&gt;1,R97=1),OR(J97&lt;&gt;1,N97=1),OR(F97&lt;&gt;1,J97=1)),"OK","CHECK")</f>
        <v>OK</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row>
    <row r="85" ht="18.0" customHeight="1">
      <c r="A85" s="42" t="s">
        <v>87</v>
      </c>
      <c r="B85" s="40" t="str">
        <f>IF(AND(ABS(AY17-AY15*AY16)&lt;0.01,ABS(AZ17-AZ15*AZ16)&lt;0.01,ABS(AU17-AU15*AU16)&lt;0.01,ABS(AV17-AV15*AV16)&lt;0.01,ABS(AQ17-AQ15*AQ16)&lt;0.01,ABS(AR17-AR15*AR16)&lt;0.01,ABS(AM17-AM15*AM16)&lt;0.01,ABS(AN17-AN15*AN16)&lt;0.01,ABS(AI17-AI15*AI16)&lt;0.01,ABS(AJ17-AJ15*AJ16)&lt;0.01,ABS(AE17-AE15*AE16)&lt;0.01,ABS(AF17-AF15*AF16)&lt;0.01,ABS(AA17-AA15*AA16)&lt;0.01,ABS(AB17-AB15*AB16)&lt;0.01,ABS(W17-W15*W16)&lt;0.01,ABS(X17-X15*X16)&lt;0.01,ABS(S17-S15*S16)&lt;0.01,ABS(T17-T15*T16)&lt;0.01,ABS(O17-O15*O16)&lt;0.01,ABS(P17-P15*P16)&lt;0.01,ABS(K17-K15*K16)&lt;0.01,ABS(L17-L15*L16)&lt;0.01,ABS(G17-G15*G16)&lt;0.01,ABS(H17-H15*H16)&lt;0.01),"OK","CHECK")</f>
        <v>OK</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row>
    <row r="86" ht="18.0" customHeight="1">
      <c r="A86" s="42" t="s">
        <v>88</v>
      </c>
      <c r="B86" s="40" t="str">
        <f>IF(AND(AY21&lt;=AY17,AZ21&lt;=AZ17,AU21&lt;=AU17,AV21&lt;=AV17,AQ21&lt;=AQ17,AR21&lt;=AR17,AM21&lt;=AM17,AN21&lt;=AN17,AI21&lt;=AI17,AJ21&lt;=AJ17,AE21&lt;=AE17,AF21&lt;=AF17,AA21&lt;=AA17,AB21&lt;=AB17,W21&lt;=W17,X21&lt;=X17,S21&lt;=S17,T21&lt;=T17,O21&lt;=O17,P21&lt;=P17,K21&lt;=K17,L21&lt;=L17,G21&lt;=G17,H21&lt;=H17),"OK","CHECK")</f>
        <v>OK</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row>
    <row r="87" ht="18.0" customHeight="1">
      <c r="A87" s="42" t="s">
        <v>89</v>
      </c>
      <c r="B87" s="40" t="str">
        <f>IF(AND(ABS(AY22-MAX(0,AY19+AY20-AY21))&lt;0.01,ABS(AZ22-MAX(0,AZ19+AZ20-AZ21))&lt;0.01,ABS(AU22-MAX(0,AU19+AU20-AU21))&lt;0.01,ABS(AV22-MAX(0,AV19+AV20-AV21))&lt;0.01,ABS(AQ22-MAX(0,AQ19+AQ20-AQ21))&lt;0.01,ABS(AR22-MAX(0,AR19+AR20-AR21))&lt;0.01,ABS(AM22-MAX(0,AM19+AM20-AM21))&lt;0.01,ABS(AN22-MAX(0,AN19+AN20-AN21))&lt;0.01,ABS(AI22-MAX(0,AI19+AI20-AI21))&lt;0.01,ABS(AJ22-MAX(0,AJ19+AJ20-AJ21))&lt;0.01,ABS(AE22-MAX(0,AE19+AE20-AE21))&lt;0.01,ABS(AF22-MAX(0,AF19+AF20-AF21))&lt;0.01,ABS(AA22-MAX(0,AA19+AA20-AA21))&lt;0.01,ABS(AB22-MAX(0,AB19+AB20-AB21))&lt;0.01,ABS(W22-MAX(0,W19+W20-W21))&lt;0.01,ABS(X22-MAX(0,X19+X20-X21))&lt;0.01,ABS(S22-MAX(0,S19+S20-S21))&lt;0.01,ABS(T22-MAX(0,T19+T20-T21))&lt;0.01,ABS(O22-MAX(0,O19+O20-O21))&lt;0.01,ABS(P22-MAX(0,P19+P20-P21))&lt;0.01,ABS(K22-MAX(0,K19+K20-K21))&lt;0.01,ABS(L22-MAX(0,L19+L20-L21))&lt;0.01,ABS(G22-MAX(0,G19+G20-G21))&lt;0.01,ABS(H22-MAX(0,H19+H20-H21))&lt;0.01),"OK","CHECK")</f>
        <v>OK</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row>
    <row r="88" ht="18.0" customHeight="1">
      <c r="A88" s="42" t="s">
        <v>90</v>
      </c>
      <c r="B88" s="40" t="str">
        <f>IF(AND(ABS(AY26-IF((AY19+AY20)=0,0,ROUND(AY21*(AY72+AY73)/(AY19+AY20),0)))&lt;0.01,ABS(AZ26-IF((AZ19+AZ20)=0,0,ROUND(AZ21*(AZ72+AZ73)/(AZ19+AZ20),0)))&lt;0.01,ABS(AU26-IF((AU19+AU20)=0,0,ROUND(AU21*(AU72+AU73)/(AU19+AU20),0)))&lt;0.01,ABS(AU72-MAX(0,AY72+AY73-AY26))&lt;0.01,ABS(AV26-IF((AV19+AV20)=0,0,ROUND(AV21*(AV72+AV73)/(AV19+AV20),0)))&lt;0.01,ABS(AV72-MAX(0,AZ72+AZ73-AZ26))&lt;0.01,ABS(AQ26-IF((AQ19+AQ20)=0,0,ROUND(AQ21*(AQ72+AQ73)/(AQ19+AQ20),0)))&lt;0.01,ABS(AQ72-MAX(0,AU72+AU73-AU26))&lt;0.01,ABS(AR26-IF((AR19+AR20)=0,0,ROUND(AR21*(AR72+AR73)/(AR19+AR20),0)))&lt;0.01,ABS(AR72-MAX(0,AV72+AV73-AV26))&lt;0.01,ABS(AM26-IF((AM19+AM20)=0,0,ROUND(AM21*(AM72+AM73)/(AM19+AM20),0)))&lt;0.01,ABS(AM72-MAX(0,AQ72+AQ73-AQ26))&lt;0.01,ABS(AN26-IF((AN19+AN20)=0,0,ROUND(AN21*(AN72+AN73)/(AN19+AN20),0)))&lt;0.01,ABS(AN72-MAX(0,AR72+AR73-AR26))&lt;0.01,ABS(AI26-IF((AI19+AI20)=0,0,ROUND(AI21*(AI72+AI73)/(AI19+AI20),0)))&lt;0.01,ABS(AI72-MAX(0,AM72+AM73-AM26))&lt;0.01,ABS(AJ26-IF((AJ19+AJ20)=0,0,ROUND(AJ21*(AJ72+AJ73)/(AJ19+AJ20),0)))&lt;0.01,ABS(AJ72-MAX(0,AN72+AN73-AN26))&lt;0.01,ABS(AE26-IF((AE19+AE20)=0,0,ROUND(AE21*(AE72+AE73)/(AE19+AE20),0)))&lt;0.01,ABS(AE72-MAX(0,AI72+AI73-AI26))&lt;0.01,ABS(AF26-IF((AF19+AF20)=0,0,ROUND(AF21*(AF72+AF73)/(AF19+AF20),0)))&lt;0.01,ABS(AF72-MAX(0,AJ72+AJ73-AJ26))&lt;0.01,ABS(AA26-IF((AA19+AA20)=0,0,ROUND(AA21*(AA72+AA73)/(AA19+AA20),0)))&lt;0.01,ABS(AA72-MAX(0,AE72+AE73-AE26))&lt;0.01,ABS(AB26-IF((AB19+AB20)=0,0,ROUND(AB21*(AB72+AB73)/(AB19+AB20),0)))&lt;0.01,ABS(AB72-MAX(0,AF72+AF73-AF26))&lt;0.01,ABS(W26-IF((W19+W20)=0,0,ROUND(W21*(W72+W73)/(W19+W20),0)))&lt;0.01,ABS(W72-MAX(0,AA72+AA73-AA26))&lt;0.01,ABS(X26-IF((X19+X20)=0,0,ROUND(X21*(X72+X73)/(X19+X20),0)))&lt;0.01,ABS(X72-MAX(0,AB72+AB73-AB26))&lt;0.01,ABS(S26-IF((S19+S20)=0,0,ROUND(S21*(S72+S73)/(S19+S20),0)))&lt;0.01,ABS(S72-MAX(0,W72+W73-W26))&lt;0.01,ABS(T26-IF((T19+T20)=0,0,ROUND(T21*(T72+T73)/(T19+T20),0)))&lt;0.01,ABS(T72-MAX(0,X72+X73-X26))&lt;0.01,ABS(O26-IF((O19+O20)=0,0,ROUND(O21*(O72+O73)/(O19+O20),0)))&lt;0.01,ABS(O72-MAX(0,S72+S73-S26))&lt;0.01,ABS(P26-IF((P19+P20)=0,0,ROUND(P21*(P72+P73)/(P19+P20),0)))&lt;0.01,ABS(P72-MAX(0,T72+T73-T26))&lt;0.01,ABS(K26-IF((K19+K20)=0,0,ROUND(K21*(K72+K73)/(K19+K20),0)))&lt;0.01,ABS(K72-MAX(0,O72+O73-O26))&lt;0.01,ABS(L26-IF((L19+L20)=0,0,ROUND(L21*(L72+L73)/(L19+L20),0)))&lt;0.01,ABS(L72-MAX(0,P72+P73-P26))&lt;0.01,ABS(G26-IF((G19+G20)=0,0,ROUND(G21*(G72+G73)/(G19+G20),0)))&lt;0.01,ABS(G72-MAX(0,K72+K73-K26))&lt;0.01,ABS(H26-IF((H19+H20)=0,0,ROUND(H21*(H72+H73)/(H19+H20),0)))&lt;0.01,ABS(H72-MAX(0,L72+L73-L26))&lt;0.01),"OK","CHECK")</f>
        <v>OK</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row>
    <row r="89" ht="18.0" customHeight="1">
      <c r="A89" s="42" t="s">
        <v>91</v>
      </c>
      <c r="B89" s="40" t="str">
        <f>IF(AND(ABS(AY34-SUM(AY28:AY33))&lt;0.01,ABS(AZ34-SUM(AZ28:AZ33))&lt;0.01,ABS(AU34-SUM(AU28:AU33))&lt;0.01,ABS(AV34-SUM(AV28:AV33))&lt;0.01,ABS(AQ34-SUM(AQ28:AQ33))&lt;0.01,ABS(AR34-SUM(AR28:AR33))&lt;0.01,ABS(AM34-SUM(AM28:AM33))&lt;0.01,ABS(AN34-SUM(AN28:AN33))&lt;0.01,ABS(AI34-SUM(AI28:AI33))&lt;0.01,ABS(AJ34-SUM(AJ28:AJ33))&lt;0.01,ABS(AE34-SUM(AE28:AE33))&lt;0.01,ABS(AF34-SUM(AF28:AF33))&lt;0.01,ABS(AA34-SUM(AA28:AA33))&lt;0.01,ABS(AB34-SUM(AB28:AB33))&lt;0.01,ABS(W34-SUM(W28:W33))&lt;0.01,ABS(X34-SUM(X28:X33))&lt;0.01,ABS(S34-SUM(S28:S33))&lt;0.01,ABS(T34-SUM(T28:T33))&lt;0.01,ABS(O34-SUM(O28:O33))&lt;0.01,ABS(P34-SUM(P28:P33))&lt;0.01,ABS(K34-SUM(K28:K33))&lt;0.01,ABS(L34-SUM(L28:L33))&lt;0.01,ABS(G34-SUM(G28:G33))&lt;0.01,ABS(H34-SUM(H28:H33))&lt;0.01),"OK","CHECK")</f>
        <v>OK</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row>
    <row r="90" ht="18.0" customHeight="1">
      <c r="A90" s="42" t="s">
        <v>92</v>
      </c>
      <c r="B90" s="40" t="str">
        <f>IF(AND(ABS(AY53-SUM(AY38:AY52))&lt;0.01,ABS(AZ53-SUM(AZ38:AZ52))&lt;0.01,ABS(AU53-SUM(AU38:AU52))&lt;0.01,ABS(AV53-SUM(AV38:AV52))&lt;0.01,ABS(AQ53-SUM(AQ38:AQ52))&lt;0.01,ABS(AR53-SUM(AR38:AR52))&lt;0.01,ABS(AM53-SUM(AM38:AM52))&lt;0.01,ABS(AN53-SUM(AN38:AN52))&lt;0.01,ABS(AI53-SUM(AI38:AI52))&lt;0.01,ABS(AJ53-SUM(AJ38:AJ52))&lt;0.01,ABS(AE53-SUM(AE38:AE52))&lt;0.01,ABS(AF53-SUM(AF38:AF52))&lt;0.01,ABS(AA53-SUM(AA38:AA52))&lt;0.01,ABS(AB53-SUM(AB38:AB52))&lt;0.01,ABS(W53-SUM(W38:W52))&lt;0.01,ABS(X53-SUM(X38:X52))&lt;0.01,ABS(S53-SUM(S38:S52))&lt;0.01,ABS(T53-SUM(T38:T52))&lt;0.01,ABS(O53-SUM(O38:O52))&lt;0.01,ABS(P53-SUM(P38:P52))&lt;0.01,ABS(K53-SUM(K38:K52))&lt;0.01,ABS(L53-SUM(L38:L52))&lt;0.01,ABS(G53-SUM(G38:G52))&lt;0.01,ABS(H53-SUM(H38:H52))&lt;0.01),"OK","CHECK")</f>
        <v>OK</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row>
    <row r="91" ht="18.0" customHeight="1">
      <c r="A91" s="42" t="s">
        <v>93</v>
      </c>
      <c r="B91" s="40" t="str">
        <f>IF(AND(ABS(AY55-(AY36-AY53))&lt;0.01,ABS(AZ55-(AZ36-AZ53))&lt;0.01,ABS(AU55-(AU36-AU53))&lt;0.01,ABS(AV55-(AV36-AV53))&lt;0.01,ABS(AQ55-(AQ36-AQ53))&lt;0.01,ABS(AR55-(AR36-AR53))&lt;0.01,ABS(AM55-(AM36-AM53))&lt;0.01,ABS(AN55-(AN36-AN53))&lt;0.01,ABS(AI55-(AI36-AI53))&lt;0.01,ABS(AJ55-(AJ36-AJ53))&lt;0.01,ABS(AE55-(AE36-AE53))&lt;0.01,ABS(AF55-(AF36-AF53))&lt;0.01,ABS(AA55-(AA36-AA53))&lt;0.01,ABS(AB55-(AB36-AB53))&lt;0.01,ABS(W55-(W36-W53))&lt;0.01,ABS(X55-(X36-X53))&lt;0.01,ABS(S55-(S36-S53))&lt;0.01,ABS(T55-(T36-T53))&lt;0.01,ABS(O55-(O36-O53))&lt;0.01,ABS(P55-(P36-P53))&lt;0.01,ABS(K55-(K36-K53))&lt;0.01,ABS(L55-(L36-L53))&lt;0.01,ABS(G55-(G36-G53))&lt;0.01,ABS(H55-(H36-H53))&lt;0.01),"OK","CHECK")</f>
        <v>OK</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row>
    <row r="92" ht="18.0" customHeight="1">
      <c r="A92" s="42" t="s">
        <v>94</v>
      </c>
      <c r="B92" s="40" t="str">
        <f>IF(AND(ABS(AY66-(SUM(AY57,AY60)-SUM(AY58,AY59,AY65)))&lt;0.01,ABS(AZ66-(SUM(AZ57,AZ60)-SUM(AZ58,AZ59,AZ65)))&lt;0.01,ABS(AU66-(SUM(AU57,AU60)-SUM(AU58,AU59,AU65)))&lt;0.01,ABS(AV66-(SUM(AV57,AV60)-SUM(AV58,AV59,AV65)))&lt;0.01,ABS(AQ66-(SUM(AQ57,AQ60)-SUM(AQ58,AQ59,AQ65)))&lt;0.01,ABS(AR66-(SUM(AR57,AR60)-SUM(AR58,AR59,AR65)))&lt;0.01,ABS(AM66-(SUM(AM57,AM60)-SUM(AM58,AM59,AM65)))&lt;0.01,ABS(AN66-(SUM(AN57,AN60)-SUM(AN58,AN59,AN65)))&lt;0.01,ABS(AI66-(SUM(AI57,AI60)-SUM(AI58,AI59,AI65)))&lt;0.01,ABS(AJ66-(SUM(AJ57,AJ60)-SUM(AJ58,AJ59,AJ65)))&lt;0.01,ABS(AE66-(SUM(AE57,AE60)-SUM(AE58,AE59,AE65)))&lt;0.01,ABS(AF66-(SUM(AF57,AF60)-SUM(AF58,AF59,AF65)))&lt;0.01,ABS(AA66-(SUM(AA57,AA60)-SUM(AA58,AA59,AA65)))&lt;0.01,ABS(AB66-(SUM(AB57,AB60)-SUM(AB58,AB59,AB65)))&lt;0.01,ABS(W66-(SUM(W57,W60)-SUM(W58,W59,W65)))&lt;0.01,ABS(X66-(SUM(X57,X60)-SUM(X58,X59,X65)))&lt;0.01,ABS(S66-(SUM(S57,S60)-SUM(S58,S59,S65)))&lt;0.01,ABS(T66-(SUM(T57,T60)-SUM(T58,T59,T65)))&lt;0.01,ABS(O66-(SUM(O57,O60)-SUM(O58,O59,O65)))&lt;0.01,ABS(P66-(SUM(P57,P60)-SUM(P58,P59,P65)))&lt;0.01,ABS(K66-(SUM(K57,K60)-SUM(K58,K59,K65)))&lt;0.01,ABS(L66-(SUM(L57,L60)-SUM(L58,L59,L65)))&lt;0.01,ABS(G66-(SUM(G57,G60)-SUM(G58,G59,G65)))&lt;0.01,ABS(H66-(SUM(H57,H60)-SUM(H58,H59,H65)))&lt;0.01),"OK","CHECK")</f>
        <v>OK</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row>
    <row r="93" ht="18.0" customHeight="1">
      <c r="A93" s="42" t="s">
        <v>95</v>
      </c>
      <c r="B93" s="40" t="str">
        <f>IF(AND(ABS(AY68-(AY67+AY66))&lt;0.01,ABS(AZ68-(AZ67+AZ66))&lt;0.01,ABS(AU68-(AU67+AU66))&lt;0.01,ABS(AV68-(AV67+AV66))&lt;0.01,ABS(AQ68-(AQ67+AQ66))&lt;0.01,ABS(AR68-(AR67+AR66))&lt;0.01,ABS(AM68-(AM67+AM66))&lt;0.01,ABS(AN68-(AN67+AN66))&lt;0.01,ABS(AI68-(AI67+AI66))&lt;0.01,ABS(AJ68-(AJ67+AJ66))&lt;0.01,ABS(AE68-(AE67+AE66))&lt;0.01,ABS(AF68-(AF67+AF66))&lt;0.01,ABS(AA68-(AA67+AA66))&lt;0.01,ABS(AB68-(AB67+AB66))&lt;0.01,ABS(W68-(W67+W66))&lt;0.01,ABS(X68-(X67+X66))&lt;0.01,ABS(S68-(S67+S66))&lt;0.01,ABS(T68-(T67+T66))&lt;0.01,ABS(O68-(O67+O66))&lt;0.01,ABS(P68-(P67+P66))&lt;0.01,ABS(K68-(K67+K66))&lt;0.01,ABS(L68-(L67+L66))&lt;0.01,ABS(G68-(G67+G66))&lt;0.01,ABS(H68-(H67+H66))&lt;0.01),"OK","CHECK")</f>
        <v>OK</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row>
    <row r="94" ht="18.0" customHeight="1">
      <c r="A94" s="42" t="s">
        <v>96</v>
      </c>
      <c r="B94" s="40" t="str">
        <f>IF(AND(ABS(AY24-SUM(AY8,AY11,AY14,AY23))&lt;0.01,ABS(AZ24-SUM(AZ8,AZ11,AZ14,AZ23))&lt;0.01,ABS(AU24-SUM(AU8,AU11,AU14,AU23))&lt;0.01,ABS(AV24-SUM(AV8,AV11,AV14,AV23))&lt;0.01,ABS(AQ24-SUM(AQ8,AQ11,AQ14,AQ23))&lt;0.01,ABS(AR24-SUM(AR8,AR11,AR14,AR23))&lt;0.01,ABS(AM24-SUM(AM8,AM11,AM14,AM23))&lt;0.01,ABS(AN24-SUM(AN8,AN11,AN14,AN23))&lt;0.01,ABS(AI24-SUM(AI8,AI11,AI14,AI23))&lt;0.01,ABS(AJ24-SUM(AJ8,AJ11,AJ14,AJ23))&lt;0.01,ABS(AE24-SUM(AE8,AE11,AE14,AE23))&lt;0.01,ABS(AF24-SUM(AF8,AF11,AF14,AF23))&lt;0.01,ABS(AA24-SUM(AA8,AA11,AA14,AA23))&lt;0.01,ABS(AB24-SUM(AB8,AB11,AB14,AB23))&lt;0.01,ABS(W24-SUM(W8,W11,W14,W23))&lt;0.01,ABS(X24-SUM(X8,X11,X14,X23))&lt;0.01,ABS(S24-SUM(S8,S11,S14,S23))&lt;0.01,ABS(T24-SUM(T8,T11,T14,T23))&lt;0.01,ABS(O24-SUM(O8,O11,O14,O23))&lt;0.01,ABS(P24-SUM(P8,P11,P14,P23))&lt;0.01,ABS(K24-SUM(K8,K11,K14,K23))&lt;0.01,ABS(L24-SUM(L8,L11,L14,L23))&lt;0.01,ABS(G24-SUM(G8,G11,G14,G23))&lt;0.01,ABS(H24-SUM(H8,H11,H14,H23))&lt;0.01),"OK","CHECK")</f>
        <v>OK</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row>
    <row r="95" ht="18.0" customHeight="1">
      <c r="A95" s="42" t="s">
        <v>97</v>
      </c>
      <c r="B95" s="40" t="str">
        <f>IF(SUMPRODUCT(--ISERROR(B3:BA73))=0,"OK","CHECK")</f>
        <v>OK</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row>
    <row r="96" ht="18.0" customHeight="1">
      <c r="A96" s="42" t="s">
        <v>98</v>
      </c>
      <c r="B96" s="40" t="str">
        <f>IF($AX$75="","NOT STARTED",IF(COUNTIF(B81:B95,"OK")=15,"PASS","CHECK"))</f>
        <v>PASS</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row>
    <row r="97" ht="18.0" hidden="1" customHeight="1">
      <c r="A97" s="2" t="s">
        <v>99</v>
      </c>
      <c r="B97" s="2"/>
      <c r="C97" s="2"/>
      <c r="D97" s="2"/>
      <c r="E97" s="2"/>
      <c r="F97" s="2">
        <f>IF(AND(F$57&lt;&gt;"",COUNT(F6,F8,F9,F11,F12,F13,F14,F15,F16,F18,F21,F23,F28,F30,F31,F32,F33,F38,F39,F40,F41,F42,F43,F44,F45,F46,F47,F48,F49,F50,F51,F52,F57,F60,F61,F62,F63,F64,F69)=39),1,0)</f>
        <v>0</v>
      </c>
      <c r="G97" s="2"/>
      <c r="H97" s="2"/>
      <c r="I97" s="2"/>
      <c r="J97" s="2">
        <f>IF(AND(J$57&lt;&gt;"",COUNT(J6,J8,J9,J11,J12,J13,J14,J15,J16,J18,J21,J23,J28,J30,J31,J32,J33,J38,J39,J40,J41,J42,J43,J44,J45,J46,J47,J48,J49,J50,J51,J52,J57,J60,J61,J62,J63,J64,J69)=39),1,0)</f>
        <v>0</v>
      </c>
      <c r="K97" s="2"/>
      <c r="L97" s="2"/>
      <c r="M97" s="2"/>
      <c r="N97" s="2">
        <f>IF(AND(N$57&lt;&gt;"",COUNT(N6,N8,N9,N11,N12,N13,N14,N15,N16,N18,N21,N23,N28,N30,N31,N32,N33,N38,N39,N40,N41,N42,N43,N44,N45,N46,N47,N48,N49,N50,N51,N52,N57,N60,N61,N62,N63,N64,N69)=39),1,0)</f>
        <v>0</v>
      </c>
      <c r="O97" s="2"/>
      <c r="P97" s="2"/>
      <c r="Q97" s="2"/>
      <c r="R97" s="2">
        <f>IF(AND(R$57&lt;&gt;"",COUNT(R6,R8,R9,R11,R12,R13,R14,R15,R16,R18,R21,R23,R28,R30,R31,R32,R33,R38,R39,R40,R41,R42,R43,R44,R45,R46,R47,R48,R49,R50,R51,R52,R57,R60,R61,R62,R63,R64,R69)=39),1,0)</f>
        <v>0</v>
      </c>
      <c r="S97" s="2"/>
      <c r="T97" s="2"/>
      <c r="U97" s="2"/>
      <c r="V97" s="2">
        <f>IF(AND(V$57&lt;&gt;"",COUNT(V6,V8,V9,V11,V12,V13,V14,V15,V16,V18,V21,V23,V28,V30,V31,V32,V33,V38,V39,V40,V41,V42,V43,V44,V45,V46,V47,V48,V49,V50,V51,V52,V57,V60,V61,V62,V63,V64,V69)=39),1,0)</f>
        <v>0</v>
      </c>
      <c r="W97" s="2"/>
      <c r="X97" s="2"/>
      <c r="Y97" s="2"/>
      <c r="Z97" s="2">
        <f>IF(AND(Z$57&lt;&gt;"",COUNT(Z6,Z8,Z9,Z11,Z12,Z13,Z14,Z15,Z16,Z18,Z21,Z23,Z28,Z30,Z31,Z32,Z33,Z38,Z39,Z40,Z41,Z42,Z43,Z44,Z45,Z46,Z47,Z48,Z49,Z50,Z51,Z52,Z57,Z60,Z61,Z62,Z63,Z64,Z69)=39),1,0)</f>
        <v>0</v>
      </c>
      <c r="AA97" s="2"/>
      <c r="AB97" s="2"/>
      <c r="AC97" s="2"/>
      <c r="AD97" s="2">
        <f>IF(AND(AD$57&lt;&gt;"",COUNT(AD6,AD8,AD9,AD11,AD12,AD13,AD14,AD15,AD16,AD18,AD21,AD23,AD28,AD30,AD31,AD32,AD33,AD38,AD39,AD40,AD41,AD42,AD43,AD44,AD45,AD46,AD47,AD48,AD49,AD50,AD51,AD52,AD57,AD60,AD61,AD62,AD63,AD64,AD69)=39),1,0)</f>
        <v>0</v>
      </c>
      <c r="AE97" s="2"/>
      <c r="AF97" s="2"/>
      <c r="AG97" s="2"/>
      <c r="AH97" s="2">
        <f>IF(AND(AH$57&lt;&gt;"",COUNT(AH6,AH8,AH9,AH11,AH12,AH13,AH14,AH15,AH16,AH18,AH21,AH23,AH28,AH30,AH31,AH32,AH33,AH38,AH39,AH40,AH41,AH42,AH43,AH44,AH45,AH46,AH47,AH48,AH49,AH50,AH51,AH52,AH57,AH60,AH61,AH62,AH63,AH64,AH69)=39),1,0)</f>
        <v>0</v>
      </c>
      <c r="AI97" s="2"/>
      <c r="AJ97" s="2"/>
      <c r="AK97" s="2"/>
      <c r="AL97" s="2">
        <f>IF(AND(AL$57&lt;&gt;"",COUNT(AL6,AL8,AL9,AL11,AL12,AL13,AL14,AL15,AL16,AL18,AL21,AL23,AL28,AL30,AL31,AL32,AL33,AL38,AL39,AL40,AL41,AL42,AL43,AL44,AL45,AL46,AL47,AL48,AL49,AL50,AL51,AL52,AL57,AL60,AL61,AL62,AL63,AL64,AL69)=39),1,0)</f>
        <v>0</v>
      </c>
      <c r="AM97" s="2"/>
      <c r="AN97" s="2"/>
      <c r="AO97" s="2"/>
      <c r="AP97" s="2">
        <f>IF(AND(AP$57&lt;&gt;"",COUNT(AP6,AP8,AP9,AP11,AP12,AP13,AP14,AP15,AP16,AP18,AP21,AP23,AP28,AP30,AP31,AP32,AP33,AP38,AP39,AP40,AP41,AP42,AP43,AP44,AP45,AP46,AP47,AP48,AP49,AP50,AP51,AP52,AP57,AP60,AP61,AP62,AP63,AP64,AP69)=39),1,0)</f>
        <v>0</v>
      </c>
      <c r="AQ97" s="2"/>
      <c r="AR97" s="2"/>
      <c r="AS97" s="2"/>
      <c r="AT97" s="2">
        <f>IF(AND(AT$57&lt;&gt;"",COUNT(AT6,AT8,AT9,AT11,AT12,AT13,AT14,AT15,AT16,AT18,AT21,AT23,AT28,AT30,AT31,AT32,AT33,AT38,AT39,AT40,AT41,AT42,AT43,AT44,AT45,AT46,AT47,AT48,AT49,AT50,AT51,AT52,AT57,AT60,AT61,AT62,AT63,AT64,AT69)=39),1,0)</f>
        <v>1</v>
      </c>
      <c r="AU97" s="2"/>
      <c r="AV97" s="2"/>
      <c r="AW97" s="2"/>
      <c r="AX97" s="2">
        <f>IF(AND(AX$57&lt;&gt;"",COUNT(AX6,AX8,AX9,AX11,AX12,AX13,AX14,AX15,AX16,AX18,AX21,AX23,AX28,AX30,AX31,AX32,AX33,AX38,AX39,AX40,AX41,AX42,AX43,AX44,AX45,AX46,AX47,AX48,AX49,AX50,AX51,AX52,AX57,AX60,AX61,AX62,AX63,AX64,AX69)=39),1,0)</f>
        <v>1</v>
      </c>
      <c r="AY97" s="2"/>
      <c r="AZ97" s="2"/>
      <c r="BA97" s="2"/>
    </row>
    <row r="98" ht="18.0" hidden="1" customHeight="1">
      <c r="A98" s="2" t="s">
        <v>100</v>
      </c>
      <c r="B98" s="2"/>
      <c r="C98" s="2"/>
      <c r="D98" s="2"/>
      <c r="E98" s="2"/>
      <c r="F98" s="2">
        <f>IF(AND(J98=1,F97=1),1,0)</f>
        <v>0</v>
      </c>
      <c r="G98" s="2"/>
      <c r="H98" s="2"/>
      <c r="I98" s="2"/>
      <c r="J98" s="2">
        <f>IF(AND(N98=1,J97=1),1,0)</f>
        <v>0</v>
      </c>
      <c r="K98" s="2"/>
      <c r="L98" s="2"/>
      <c r="M98" s="2"/>
      <c r="N98" s="2">
        <f>IF(AND(R98=1,N97=1),1,0)</f>
        <v>0</v>
      </c>
      <c r="O98" s="2"/>
      <c r="P98" s="2"/>
      <c r="Q98" s="2"/>
      <c r="R98" s="2">
        <f>IF(AND(V98=1,R97=1),1,0)</f>
        <v>0</v>
      </c>
      <c r="S98" s="2"/>
      <c r="T98" s="2"/>
      <c r="U98" s="2"/>
      <c r="V98" s="2">
        <f>IF(AND(Z98=1,V97=1),1,0)</f>
        <v>0</v>
      </c>
      <c r="W98" s="2"/>
      <c r="X98" s="2"/>
      <c r="Y98" s="2"/>
      <c r="Z98" s="2">
        <f>IF(AND(AD98=1,Z97=1),1,0)</f>
        <v>0</v>
      </c>
      <c r="AA98" s="2"/>
      <c r="AB98" s="2"/>
      <c r="AC98" s="2"/>
      <c r="AD98" s="2">
        <f>IF(AND(AH98=1,AD97=1),1,0)</f>
        <v>0</v>
      </c>
      <c r="AE98" s="2"/>
      <c r="AF98" s="2"/>
      <c r="AG98" s="2"/>
      <c r="AH98" s="2">
        <f>IF(AND(AL98=1,AH97=1),1,0)</f>
        <v>0</v>
      </c>
      <c r="AI98" s="2"/>
      <c r="AJ98" s="2"/>
      <c r="AK98" s="2"/>
      <c r="AL98" s="2">
        <f>IF(AND(AP98=1,AL97=1),1,0)</f>
        <v>0</v>
      </c>
      <c r="AM98" s="2"/>
      <c r="AN98" s="2"/>
      <c r="AO98" s="2"/>
      <c r="AP98" s="2">
        <f>IF(AND(AT98=1,AP97=1),1,0)</f>
        <v>0</v>
      </c>
      <c r="AQ98" s="2"/>
      <c r="AR98" s="2"/>
      <c r="AS98" s="2"/>
      <c r="AT98" s="2">
        <f>IF(AND(AX98=1,AT97=1),1,0)</f>
        <v>1</v>
      </c>
      <c r="AU98" s="2"/>
      <c r="AV98" s="2"/>
      <c r="AW98" s="2"/>
      <c r="AX98" s="2">
        <f>AX97</f>
        <v>1</v>
      </c>
      <c r="AY98" s="2"/>
      <c r="AZ98" s="2"/>
      <c r="BA98" s="2"/>
    </row>
  </sheetData>
  <mergeCells count="19">
    <mergeCell ref="AD3:AG3"/>
    <mergeCell ref="Z3:AC3"/>
    <mergeCell ref="AX75:BA75"/>
    <mergeCell ref="AX76:BA76"/>
    <mergeCell ref="AX77:BA77"/>
    <mergeCell ref="AX78:BA78"/>
    <mergeCell ref="AX79:BA79"/>
    <mergeCell ref="V3:Y3"/>
    <mergeCell ref="R3:U3"/>
    <mergeCell ref="N3:Q3"/>
    <mergeCell ref="J3:M3"/>
    <mergeCell ref="A3:A4"/>
    <mergeCell ref="B3:E3"/>
    <mergeCell ref="AX3:BA3"/>
    <mergeCell ref="AT3:AW3"/>
    <mergeCell ref="AP3:AS3"/>
    <mergeCell ref="AL3:AO3"/>
    <mergeCell ref="AH3:AK3"/>
    <mergeCell ref="F3:I3"/>
  </mergeCells>
  <conditionalFormatting sqref="B70:BA70">
    <cfRule type="cellIs" dxfId="0" priority="1" stopIfTrue="1" operator="lessThan">
      <formula>0</formula>
    </cfRule>
  </conditionalFormatting>
  <conditionalFormatting sqref="B71:BA71">
    <cfRule type="containsText" dxfId="0" priority="2" stopIfTrue="1" operator="containsText" text="ACTION">
      <formula>NOT(ISERROR(SEARCH(("ACTION"),(B71))))</formula>
    </cfRule>
  </conditionalFormatting>
  <dataValidations>
    <dataValidation type="decimal" operator="greaterThanOrEqual" allowBlank="1" showErrorMessage="1" sqref="F6 H6 J6 L6 N6 P6 R6 T6 V6 X6 Z6 AB6 AD6 AF6 AH6 AJ6 AL6 AN6 AP6 AR6 AT6 AV6 AX6 AZ6 H8 L8 P8 T8 X8 AB8 AF8 AJ8 AN8 AR8 AV8 AZ8 F8:F9 J8:J9 N8:N9 R8:R9 V8:V9 Z8:Z9 AD8:AD9 AH8:AH9 AL8:AL9 AP8:AP9 AT8:AT9 AX8:AX9 H11 L11 P11 T11 X11 AB11 AF11 AJ11 AN11 AR11 AV11 AZ11 F11:F16 H13:H16 J11:J16 L13:L16 N11:N16 P13:P16 R11:R16 T13:T16 V11:V16 X13:X16 Z11:Z16 AB13:AB16 AD11:AD16 AF13:AF16 AH11:AH16 AJ13:AJ16 AL11:AL16 AN13:AN16 AP11:AP16 AR13:AR16 AT11:AT16 AV13:AV16 AX11:AX16 AZ13:AZ16 F18 H18 J18 L18 N18 P18 R18 T18 V18 X18 Z18 AB18 AD18 AF18 AH18 AJ18 AL18 AN18 AP18 AR18 AT18 AV18 AX18 AZ18 F21 J21 N21 R21 V21 Z21 AD21 AH21 AL21 AP21 AT21 AX21 F23 H23 J23 L23 N23 P23 R23 T23 V23 X23 Z23 AB23 AD23 AF23 AH23 AJ23 AL23 AN23 AP23 AR23 AT23 AV23 AX23 AZ23 F28 H28 J28 L28 N28 P28 R28 T28 V28 X28 Z28 AB28 AD28 AF28 AH28 AJ28 AL28 AN28 AP28 AR28 AT28 AV28 AX28 AZ28 F30:F33 H30:H33 J30:J33 L30:L33 N30:N33 P30:P33 R30:R33 T30:T33 V30:V33 X30:X33 Z30:Z33 AB30:AB33 AD30:AD33 AF30:AF33 AH30:AH33 AJ30:AJ33 AL30:AL33 AN30:AN33 AP30:AP33 AR30:AR33 AT30:AT33 AV30:AV33 AX30:AX33 AZ30:AZ33 F38:F52 H38:H52 J38:J52 L38:L52 N38:N52 P38:P52 R38:R52 T38:T52 V38:V52 X38:X52 Z38:Z52 AB38:AB52 AD38:AD52 AF38:AF52 AH38:AH52 AJ38:AJ52 AL38:AL52 AN38:AN52 AP38:AP52 AR38:AR52 AT38:AT52 AV38:AV52 AX38:AX52 AZ38:AZ52 F57 J57 N57 R57 V57 Z57 AD57 AH57 AL57 AP57 AT57 AX57 F60:F64 H60:H64 J60:J64 L60:L64 N60:N64 P60:P64 R60:R64 T60:T64 V60:V64 X60:X64 Z60:Z64 AB60:AB64 AD60:AD64 AF60:AF64 AH60:AH64 AJ60:AJ64 AL60:AL64 AN60:AN64 AP60:AP64 AR60:AR64 AT60:AT64 AV60:AV64 AX60:AX64 AZ60:AZ64 F69 H69 J69 L69 N69 P69 R69 T69 V69 X69 Z69 AB69 AD69 AF69 AH69 AJ69 AL69 AN69 AP69 AR69 AT69 AV69 AX69 AZ69 AX76:AX79">
      <formula1>0.0</formula1>
    </dataValidation>
    <dataValidation type="decimal" allowBlank="1" showErrorMessage="1" sqref="H7 L7 P7 T7 X7 AB7 AF7 AJ7 AN7 AR7 AV7 AZ7 H10 L10 P10 T10 X10 AB10 AF10 AJ10 AN10 AR10 AV10 AZ10">
      <formula1>0.0</formula1>
      <formula2>1.0</formula2>
    </dataValidation>
  </dataValidations>
  <drawing r:id="rId1"/>
</worksheet>
</file>