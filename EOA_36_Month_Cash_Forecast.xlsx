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6-Month Cash Forecast" sheetId="1" r:id="rId5"/>
    <sheet state="visible" name="Example" sheetId="2" r:id="rId6"/>
  </sheets>
  <definedNames/>
  <calcPr/>
</workbook>
</file>

<file path=xl/sharedStrings.xml><?xml version="1.0" encoding="utf-8"?>
<sst xmlns="http://schemas.openxmlformats.org/spreadsheetml/2006/main" count="490" uniqueCount="101">
  <si>
    <t>EO Accelerator 36-Month Cash Forecast</t>
  </si>
  <si>
    <t>Model row</t>
  </si>
  <si>
    <t>36-Month Total</t>
  </si>
  <si>
    <t>Actual</t>
  </si>
  <si>
    <t>Rolling</t>
  </si>
  <si>
    <t>Approved</t>
  </si>
  <si>
    <t>Variance</t>
  </si>
  <si>
    <t>KFFM CASH DRIVERS</t>
  </si>
  <si>
    <t>Prospect enquiries [count]</t>
  </si>
  <si>
    <t>Enquiry-to-qualified-lead conversion [%]</t>
  </si>
  <si>
    <t>Average lead qualification time [days]</t>
  </si>
  <si>
    <t>Qualified leads [count]</t>
  </si>
  <si>
    <t>Qualified-lead-to-contract conversion [%]</t>
  </si>
  <si>
    <t>Average sales close time [days]</t>
  </si>
  <si>
    <t>Signed contracts [count]</t>
  </si>
  <si>
    <t>Average revenue per signed contract [$]</t>
  </si>
  <si>
    <t>Average delivery completion time [days]</t>
  </si>
  <si>
    <t>Delivery resources available [count]</t>
  </si>
  <si>
    <t>Delivery capacity per resource [contracts/month]</t>
  </si>
  <si>
    <t>Total delivery capacity [contracts/month]</t>
  </si>
  <si>
    <t>Variable cost per completed contract [$]</t>
  </si>
  <si>
    <t>Opening delivery backlog [contracts]</t>
  </si>
  <si>
    <t>Contracts scheduled for completion [count]</t>
  </si>
  <si>
    <t>Contracts completed [count]</t>
  </si>
  <si>
    <t>Closing delivery backlog [contracts]</t>
  </si>
  <si>
    <t>Average customer payment time [days]</t>
  </si>
  <si>
    <t>Total time from prospect enquiry to Cash [days]</t>
  </si>
  <si>
    <t>REVENUE</t>
  </si>
  <si>
    <t>Revenue from completed contracts</t>
  </si>
  <si>
    <t>COST OF GOODS SOLD</t>
  </si>
  <si>
    <t>Direct Delivery Contractors and Freelancers</t>
  </si>
  <si>
    <t>Materials and Direct Inputs</t>
  </si>
  <si>
    <t>Freight, Fulfilment and Shipping</t>
  </si>
  <si>
    <t>Direct Hosting and Transaction Fees</t>
  </si>
  <si>
    <t>Direct Equipment Rental</t>
  </si>
  <si>
    <t>Sales Commissions</t>
  </si>
  <si>
    <t>Total Cost of Goods Sold</t>
  </si>
  <si>
    <t>GROSS PROFIT</t>
  </si>
  <si>
    <t>Gross Profit</t>
  </si>
  <si>
    <t>EXPENSES</t>
  </si>
  <si>
    <t>Salaries and Wages</t>
  </si>
  <si>
    <t>Contractors and Freelancers</t>
  </si>
  <si>
    <t>Recruiting</t>
  </si>
  <si>
    <t>Training and Development</t>
  </si>
  <si>
    <t>Software Subscriptions</t>
  </si>
  <si>
    <t>Dues and Subscriptions</t>
  </si>
  <si>
    <t>Travel, Meals and Entertainment</t>
  </si>
  <si>
    <t>Advertising and Paid Media</t>
  </si>
  <si>
    <t>Content and Creative Production</t>
  </si>
  <si>
    <t>Website and SEO</t>
  </si>
  <si>
    <t>Events and Trade Shows</t>
  </si>
  <si>
    <t>Facilities and Rent</t>
  </si>
  <si>
    <t>Banking and Merchant Fees</t>
  </si>
  <si>
    <t>Insurance</t>
  </si>
  <si>
    <t>Legal and Professional Services</t>
  </si>
  <si>
    <t>Total Expenses</t>
  </si>
  <si>
    <t>OPERATING RESULT</t>
  </si>
  <si>
    <t>Operating Profit / (Loss)</t>
  </si>
  <si>
    <t>CASH FORECAST</t>
  </si>
  <si>
    <t>Cash collected</t>
  </si>
  <si>
    <t>Cost of Goods Sold paid</t>
  </si>
  <si>
    <t>Expenses paid</t>
  </si>
  <si>
    <t>Other Cash in</t>
  </si>
  <si>
    <t>Income Tax Paid</t>
  </si>
  <si>
    <t>Equipment Purchases</t>
  </si>
  <si>
    <t>Debt Principal and Interest</t>
  </si>
  <si>
    <t>Owner Distributions</t>
  </si>
  <si>
    <t>Total Other Cash Out</t>
  </si>
  <si>
    <t>Net Change in Cash</t>
  </si>
  <si>
    <t>Opening Cash</t>
  </si>
  <si>
    <t>Closing Cash</t>
  </si>
  <si>
    <t>Minimum Cash Reserve</t>
  </si>
  <si>
    <t>Cash Above / (Below) Reserve</t>
  </si>
  <si>
    <t>Status</t>
  </si>
  <si>
    <t>Opening delivery backlog value</t>
  </si>
  <si>
    <t>Contracts scheduled value</t>
  </si>
  <si>
    <t>OPENING POSITION</t>
  </si>
  <si>
    <t>Forecast start month</t>
  </si>
  <si>
    <t>Qualified leads at model start [count]</t>
  </si>
  <si>
    <t>Signed contracts at model start [count]</t>
  </si>
  <si>
    <t>Completed contracts awaiting collection [count]</t>
  </si>
  <si>
    <t>MODEL CHECKS</t>
  </si>
  <si>
    <t>Timing inputs are non-negative days</t>
  </si>
  <si>
    <t>Conversion inputs are between 0% and 100%</t>
  </si>
  <si>
    <t>Operating and opening inputs are non-negative</t>
  </si>
  <si>
    <t>Actual months are complete, empty, and consecutive</t>
  </si>
  <si>
    <t>Delivery capacity equals resources times capacity</t>
  </si>
  <si>
    <t>Completed contracts do not exceed capacity</t>
  </si>
  <si>
    <t>Delivery backlog carries forward</t>
  </si>
  <si>
    <t>Signed-contract value follows delivery</t>
  </si>
  <si>
    <t>COGS equals detailed accounts</t>
  </si>
  <si>
    <t>Expenses equal detailed accounts</t>
  </si>
  <si>
    <t>Operating result equals Gross Profit less Expenses</t>
  </si>
  <si>
    <t>Net Cash change reconciles</t>
  </si>
  <si>
    <t>Closing Cash carries forward</t>
  </si>
  <si>
    <t>Total Cash timing equals four timing inputs</t>
  </si>
  <si>
    <t>No visible formula errors</t>
  </si>
  <si>
    <t>Model status</t>
  </si>
  <si>
    <t>Month closed (all Actual inputs entered)</t>
  </si>
  <si>
    <t>Month usable (this and every earlier month closed)</t>
  </si>
  <si>
    <t>EO Accelerator 36-Month Cash Forecast: Example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</si>
</sst>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 yyyy"/>
    <numFmt numFmtId="165" formatCode="#,##0;[Red](#,##0);-"/>
    <numFmt numFmtId="166" formatCode="0.0%;[Red](0.0%);-"/>
    <numFmt numFmtId="167" formatCode="$#,##0;[Red]($#,##0);-"/>
  </numFmts>
  <fonts count="11">
    <font>
      <sz val="10.0"/>
      <color rgb="FF000000"/>
      <name val="Arial"/>
      <scheme val="minor"/>
    </font>
    <font>
      <b/>
      <sz val="20.0"/>
      <color rgb="FFFFFFFF"/>
      <name val="Carlito"/>
    </font>
    <font>
      <sz val="11.0"/>
      <color rgb="FF303030"/>
      <name val="Carlito"/>
    </font>
    <font>
      <b/>
      <sz val="11.0"/>
      <color rgb="FF303030"/>
      <name val="Carlito"/>
    </font>
    <font/>
    <font>
      <b/>
      <sz val="11.0"/>
      <color rgb="FFFFFFFF"/>
      <name val="Carlito"/>
    </font>
    <font>
      <b/>
      <sz val="10.0"/>
      <color rgb="FFFFFFFF"/>
      <name val="Carlito"/>
    </font>
    <font>
      <color theme="1"/>
      <name val="Arial"/>
      <scheme val="minor"/>
    </font>
    <font>
      <i/>
      <sz val="11.0"/>
      <color rgb="FF676767"/>
      <name val="Carlito"/>
    </font>
    <font>
      <sz val="11.0"/>
      <color rgb="FF0000FF"/>
      <name val="Carlito"/>
    </font>
    <font>
      <b/>
      <sz val="11.0"/>
      <color rgb="FF2E7F49"/>
      <name val="Carlito"/>
    </font>
  </fonts>
  <fills count="12">
    <fill>
      <patternFill patternType="none"/>
    </fill>
    <fill>
      <patternFill patternType="lightGray"/>
    </fill>
    <fill>
      <patternFill patternType="solid">
        <fgColor rgb="FF303030"/>
        <bgColor rgb="FF303030"/>
      </patternFill>
    </fill>
    <fill>
      <patternFill patternType="solid">
        <fgColor rgb="FFFFFFFF"/>
        <bgColor rgb="FFFFFFFF"/>
      </patternFill>
    </fill>
    <fill>
      <patternFill patternType="solid">
        <fgColor rgb="FFF7F7F4"/>
        <bgColor rgb="FFF7F7F4"/>
      </patternFill>
    </fill>
    <fill>
      <patternFill patternType="solid">
        <fgColor rgb="FFB7B7B2"/>
        <bgColor rgb="FFB7B7B2"/>
      </patternFill>
    </fill>
    <fill>
      <patternFill patternType="solid">
        <fgColor rgb="FF2E7F49"/>
        <bgColor rgb="FF2E7F49"/>
      </patternFill>
    </fill>
    <fill>
      <patternFill patternType="solid">
        <fgColor rgb="FF326AB5"/>
        <bgColor rgb="FF326AB5"/>
      </patternFill>
    </fill>
    <fill>
      <patternFill patternType="solid">
        <fgColor rgb="FF676767"/>
        <bgColor rgb="FF676767"/>
      </patternFill>
    </fill>
    <fill>
      <patternFill patternType="solid">
        <fgColor rgb="FFF0F0ED"/>
        <bgColor rgb="FFF0F0ED"/>
      </patternFill>
    </fill>
    <fill>
      <patternFill patternType="solid">
        <fgColor rgb="FFEAF6ED"/>
        <bgColor rgb="FFEAF6ED"/>
      </patternFill>
    </fill>
    <fill>
      <patternFill patternType="solid">
        <fgColor rgb="FFEAF1FA"/>
        <bgColor rgb="FFEAF1FA"/>
      </patternFill>
    </fill>
  </fills>
  <borders count="3">
    <border/>
    <border>
      <bottom style="thin">
        <color rgb="FFD9D9D4"/>
      </bottom>
    </border>
    <border>
      <top style="thin">
        <color rgb="FF303030"/>
      </top>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vertical="center"/>
    </xf>
    <xf borderId="0" fillId="3" fontId="2" numFmtId="0" xfId="0" applyAlignment="1" applyFill="1" applyFont="1">
      <alignment vertical="center"/>
    </xf>
    <xf borderId="0" fillId="4" fontId="3" numFmtId="0" xfId="0" applyAlignment="1" applyFill="1" applyFont="1">
      <alignment vertical="center"/>
    </xf>
    <xf borderId="1" fillId="4" fontId="3" numFmtId="0" xfId="0" applyAlignment="1" applyBorder="1" applyFill="1" applyFont="1">
      <alignment horizontal="center"/>
    </xf>
    <xf borderId="1" fillId="0" fontId="4" numFmtId="0" xfId="0" applyBorder="1" applyFont="1"/>
    <xf borderId="1" fillId="3" fontId="3" numFmtId="164" xfId="0" applyAlignment="1" applyBorder="1" applyFill="1" applyFont="1" applyNumberFormat="1">
      <alignment horizontal="center"/>
    </xf>
    <xf borderId="1" fillId="4" fontId="3" numFmtId="164" xfId="0" applyAlignment="1" applyBorder="1" applyFill="1" applyFont="1" applyNumberFormat="1">
      <alignment horizontal="center"/>
    </xf>
    <xf borderId="0" fillId="5" fontId="5" numFmtId="0" xfId="0" applyAlignment="1" applyFill="1" applyFont="1">
      <alignment horizontal="center"/>
    </xf>
    <xf borderId="0" fillId="6" fontId="5" numFmtId="0" xfId="0" applyAlignment="1" applyFill="1" applyFont="1">
      <alignment horizontal="center"/>
    </xf>
    <xf borderId="0" fillId="7" fontId="5" numFmtId="0" xfId="0" applyAlignment="1" applyFill="1" applyFont="1">
      <alignment horizontal="center"/>
    </xf>
    <xf borderId="0" fillId="8" fontId="5" numFmtId="0" xfId="0" applyAlignment="1" applyFill="1" applyFont="1">
      <alignment horizontal="center"/>
    </xf>
    <xf borderId="0" fillId="2" fontId="6" numFmtId="0" xfId="0" applyAlignment="1" applyFill="1" applyFont="1">
      <alignment vertical="center"/>
    </xf>
    <xf borderId="0" fillId="9" fontId="7" numFmtId="165" xfId="0" applyAlignment="1" applyFill="1" applyFont="1" applyNumberFormat="1">
      <alignment horizontal="right"/>
    </xf>
    <xf borderId="0" fillId="10" fontId="7" numFmtId="165" xfId="0" applyAlignment="1" applyFill="1" applyFont="1" applyNumberFormat="1">
      <alignment horizontal="right"/>
    </xf>
    <xf borderId="0" fillId="11" fontId="7" numFmtId="165" xfId="0" applyAlignment="1" applyFill="1" applyFont="1" applyNumberFormat="1">
      <alignment horizontal="right"/>
    </xf>
    <xf borderId="0" fillId="3" fontId="8" numFmtId="165" xfId="0" applyAlignment="1" applyFill="1" applyFont="1" applyNumberFormat="1">
      <alignment horizontal="right"/>
    </xf>
    <xf borderId="0" fillId="9" fontId="9" numFmtId="165" xfId="0" applyAlignment="1" applyFill="1" applyFont="1" applyNumberFormat="1">
      <alignment horizontal="right"/>
    </xf>
    <xf borderId="0" fillId="11" fontId="9" numFmtId="165" xfId="0" applyAlignment="1" applyFill="1" applyFont="1" applyNumberFormat="1">
      <alignment horizontal="right"/>
    </xf>
    <xf borderId="0" fillId="9" fontId="7" numFmtId="166" xfId="0" applyAlignment="1" applyFill="1" applyFont="1" applyNumberFormat="1">
      <alignment horizontal="right"/>
    </xf>
    <xf borderId="0" fillId="10" fontId="7" numFmtId="166" xfId="0" applyAlignment="1" applyFill="1" applyFont="1" applyNumberFormat="1">
      <alignment horizontal="right"/>
    </xf>
    <xf borderId="0" fillId="11" fontId="7" numFmtId="166" xfId="0" applyAlignment="1" applyFill="1" applyFont="1" applyNumberFormat="1">
      <alignment horizontal="right"/>
    </xf>
    <xf borderId="0" fillId="3" fontId="8" numFmtId="166" xfId="0" applyAlignment="1" applyFill="1" applyFont="1" applyNumberFormat="1">
      <alignment horizontal="right"/>
    </xf>
    <xf borderId="0" fillId="11" fontId="9" numFmtId="166" xfId="0" applyAlignment="1" applyFill="1" applyFont="1" applyNumberFormat="1">
      <alignment horizontal="right"/>
    </xf>
    <xf borderId="0" fillId="9" fontId="7" numFmtId="1" xfId="0" applyAlignment="1" applyFill="1" applyFont="1" applyNumberFormat="1">
      <alignment horizontal="right"/>
    </xf>
    <xf borderId="0" fillId="10" fontId="7" numFmtId="1" xfId="0" applyAlignment="1" applyFill="1" applyFont="1" applyNumberFormat="1">
      <alignment horizontal="right"/>
    </xf>
    <xf borderId="0" fillId="11" fontId="7" numFmtId="1" xfId="0" applyAlignment="1" applyFill="1" applyFont="1" applyNumberFormat="1">
      <alignment horizontal="right"/>
    </xf>
    <xf borderId="0" fillId="3" fontId="8" numFmtId="1" xfId="0" applyAlignment="1" applyFill="1" applyFont="1" applyNumberFormat="1">
      <alignment horizontal="right"/>
    </xf>
    <xf borderId="0" fillId="9" fontId="9" numFmtId="1" xfId="0" applyAlignment="1" applyFill="1" applyFont="1" applyNumberFormat="1">
      <alignment horizontal="right"/>
    </xf>
    <xf borderId="0" fillId="11" fontId="9" numFmtId="1" xfId="0" applyAlignment="1" applyFill="1" applyFont="1" applyNumberFormat="1">
      <alignment horizontal="right"/>
    </xf>
    <xf borderId="0" fillId="9" fontId="7" numFmtId="167" xfId="0" applyAlignment="1" applyFill="1" applyFont="1" applyNumberFormat="1">
      <alignment horizontal="right"/>
    </xf>
    <xf borderId="0" fillId="10" fontId="7" numFmtId="167" xfId="0" applyAlignment="1" applyFill="1" applyFont="1" applyNumberFormat="1">
      <alignment horizontal="right"/>
    </xf>
    <xf borderId="0" fillId="11" fontId="7" numFmtId="167" xfId="0" applyAlignment="1" applyFill="1" applyFont="1" applyNumberFormat="1">
      <alignment horizontal="right"/>
    </xf>
    <xf borderId="0" fillId="3" fontId="8" numFmtId="167" xfId="0" applyAlignment="1" applyFill="1" applyFont="1" applyNumberFormat="1">
      <alignment horizontal="right"/>
    </xf>
    <xf borderId="0" fillId="9" fontId="9" numFmtId="167" xfId="0" applyAlignment="1" applyFill="1" applyFont="1" applyNumberFormat="1">
      <alignment horizontal="right"/>
    </xf>
    <xf borderId="0" fillId="11" fontId="9" numFmtId="167" xfId="0" applyAlignment="1" applyFill="1" applyFont="1" applyNumberFormat="1">
      <alignment horizontal="right"/>
    </xf>
    <xf borderId="2" fillId="0" fontId="3" numFmtId="0" xfId="0" applyBorder="1" applyFont="1"/>
    <xf borderId="2" fillId="0" fontId="3" numFmtId="1" xfId="0" applyBorder="1" applyFont="1" applyNumberFormat="1"/>
    <xf borderId="0" fillId="2" fontId="6" numFmtId="167" xfId="0" applyAlignment="1" applyFill="1" applyFont="1" applyNumberFormat="1">
      <alignment vertical="center"/>
    </xf>
    <xf borderId="2" fillId="0" fontId="3" numFmtId="167" xfId="0" applyBorder="1" applyFont="1" applyNumberFormat="1"/>
    <xf borderId="0" fillId="0" fontId="10" numFmtId="0" xfId="0" applyAlignment="1" applyFont="1">
      <alignment horizontal="center"/>
    </xf>
    <xf borderId="0" fillId="3" fontId="2" numFmtId="167" xfId="0" applyAlignment="1" applyFill="1" applyFont="1" applyNumberFormat="1">
      <alignment vertical="center"/>
    </xf>
    <xf borderId="0" fillId="0" fontId="3" numFmtId="0" xfId="0" applyFont="1"/>
    <xf borderId="0" fillId="4" fontId="9" numFmtId="164" xfId="0" applyAlignment="1" applyFill="1" applyFont="1" applyNumberFormat="1">
      <alignment horizontal="center"/>
    </xf>
    <xf borderId="0" fillId="4" fontId="9" numFmtId="165" xfId="0" applyAlignment="1" applyFill="1" applyFont="1" applyNumberFormat="1">
      <alignment horizontal="center"/>
    </xf>
  </cellXfs>
  <cellStyles count="1">
    <cellStyle xfId="0" name="Normal" builtinId="0"/>
  </cellStyles>
  <dxfs count="1">
    <dxf>
      <font>
        <b/>
        <color rgb="FFB64A4A"/>
      </font>
      <fill>
        <patternFill patternType="solid">
          <fgColor rgb="FFFAEEEE"/>
          <bgColor rgb="FFFAEEE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50.13"/>
    <col customWidth="1" min="2" max="5" width="11.63"/>
    <col customWidth="1" min="6" max="149" width="10.38"/>
  </cols>
  <sheetData>
    <row r="1" ht="28.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row>
    <row r="2" ht="18.0"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row>
    <row r="3" ht="18.0" customHeight="1">
      <c r="A3" s="3" t="s">
        <v>1</v>
      </c>
      <c r="B3" s="4" t="s">
        <v>2</v>
      </c>
      <c r="C3" s="5"/>
      <c r="D3" s="5"/>
      <c r="E3" s="5"/>
      <c r="F3" s="6" t="str">
        <f>IF(J$3="","",EDATE(J$3,1))</f>
        <v/>
      </c>
      <c r="G3" s="5"/>
      <c r="H3" s="5"/>
      <c r="I3" s="5"/>
      <c r="J3" s="7" t="str">
        <f>IF(N$3="","",EDATE(N$3,1))</f>
        <v/>
      </c>
      <c r="K3" s="5"/>
      <c r="L3" s="5"/>
      <c r="M3" s="5"/>
      <c r="N3" s="6" t="str">
        <f>IF(R$3="","",EDATE(R$3,1))</f>
        <v/>
      </c>
      <c r="O3" s="5"/>
      <c r="P3" s="5"/>
      <c r="Q3" s="5"/>
      <c r="R3" s="7" t="str">
        <f>IF(V$3="","",EDATE(V$3,1))</f>
        <v/>
      </c>
      <c r="S3" s="5"/>
      <c r="T3" s="5"/>
      <c r="U3" s="5"/>
      <c r="V3" s="6" t="str">
        <f>IF(Z$3="","",EDATE(Z$3,1))</f>
        <v/>
      </c>
      <c r="W3" s="5"/>
      <c r="X3" s="5"/>
      <c r="Y3" s="5"/>
      <c r="Z3" s="7" t="str">
        <f>IF(AD$3="","",EDATE(AD$3,1))</f>
        <v/>
      </c>
      <c r="AA3" s="5"/>
      <c r="AB3" s="5"/>
      <c r="AC3" s="5"/>
      <c r="AD3" s="6" t="str">
        <f>IF(AH$3="","",EDATE(AH$3,1))</f>
        <v/>
      </c>
      <c r="AE3" s="5"/>
      <c r="AF3" s="5"/>
      <c r="AG3" s="5"/>
      <c r="AH3" s="7" t="str">
        <f>IF(AL$3="","",EDATE(AL$3,1))</f>
        <v/>
      </c>
      <c r="AI3" s="5"/>
      <c r="AJ3" s="5"/>
      <c r="AK3" s="5"/>
      <c r="AL3" s="6" t="str">
        <f>IF(AP$3="","",EDATE(AP$3,1))</f>
        <v/>
      </c>
      <c r="AM3" s="5"/>
      <c r="AN3" s="5"/>
      <c r="AO3" s="5"/>
      <c r="AP3" s="7" t="str">
        <f>IF(AT$3="","",EDATE(AT$3,1))</f>
        <v/>
      </c>
      <c r="AQ3" s="5"/>
      <c r="AR3" s="5"/>
      <c r="AS3" s="5"/>
      <c r="AT3" s="6" t="str">
        <f>IF(AX$3="","",EDATE(AX$3,1))</f>
        <v/>
      </c>
      <c r="AU3" s="5"/>
      <c r="AV3" s="5"/>
      <c r="AW3" s="5"/>
      <c r="AX3" s="7" t="str">
        <f>IF(BB$3="","",EDATE(BB$3,1))</f>
        <v/>
      </c>
      <c r="AY3" s="5"/>
      <c r="AZ3" s="5"/>
      <c r="BA3" s="5"/>
      <c r="BB3" s="6" t="str">
        <f>IF(BF$3="","",EDATE(BF$3,1))</f>
        <v/>
      </c>
      <c r="BC3" s="5"/>
      <c r="BD3" s="5"/>
      <c r="BE3" s="5"/>
      <c r="BF3" s="7" t="str">
        <f>IF(BJ$3="","",EDATE(BJ$3,1))</f>
        <v/>
      </c>
      <c r="BG3" s="5"/>
      <c r="BH3" s="5"/>
      <c r="BI3" s="5"/>
      <c r="BJ3" s="6" t="str">
        <f>IF(BN$3="","",EDATE(BN$3,1))</f>
        <v/>
      </c>
      <c r="BK3" s="5"/>
      <c r="BL3" s="5"/>
      <c r="BM3" s="5"/>
      <c r="BN3" s="7" t="str">
        <f>IF(BR$3="","",EDATE(BR$3,1))</f>
        <v/>
      </c>
      <c r="BO3" s="5"/>
      <c r="BP3" s="5"/>
      <c r="BQ3" s="5"/>
      <c r="BR3" s="6" t="str">
        <f>IF(BV$3="","",EDATE(BV$3,1))</f>
        <v/>
      </c>
      <c r="BS3" s="5"/>
      <c r="BT3" s="5"/>
      <c r="BU3" s="5"/>
      <c r="BV3" s="7" t="str">
        <f>IF(BZ$3="","",EDATE(BZ$3,1))</f>
        <v/>
      </c>
      <c r="BW3" s="5"/>
      <c r="BX3" s="5"/>
      <c r="BY3" s="5"/>
      <c r="BZ3" s="6" t="str">
        <f>IF(CD$3="","",EDATE(CD$3,1))</f>
        <v/>
      </c>
      <c r="CA3" s="5"/>
      <c r="CB3" s="5"/>
      <c r="CC3" s="5"/>
      <c r="CD3" s="7" t="str">
        <f>IF(CH$3="","",EDATE(CH$3,1))</f>
        <v/>
      </c>
      <c r="CE3" s="5"/>
      <c r="CF3" s="5"/>
      <c r="CG3" s="5"/>
      <c r="CH3" s="6" t="str">
        <f>IF(CL$3="","",EDATE(CL$3,1))</f>
        <v/>
      </c>
      <c r="CI3" s="5"/>
      <c r="CJ3" s="5"/>
      <c r="CK3" s="5"/>
      <c r="CL3" s="7" t="str">
        <f>IF(CP$3="","",EDATE(CP$3,1))</f>
        <v/>
      </c>
      <c r="CM3" s="5"/>
      <c r="CN3" s="5"/>
      <c r="CO3" s="5"/>
      <c r="CP3" s="6" t="str">
        <f>IF(CT$3="","",EDATE(CT$3,1))</f>
        <v/>
      </c>
      <c r="CQ3" s="5"/>
      <c r="CR3" s="5"/>
      <c r="CS3" s="5"/>
      <c r="CT3" s="7" t="str">
        <f>IF(CX$3="","",EDATE(CX$3,1))</f>
        <v/>
      </c>
      <c r="CU3" s="5"/>
      <c r="CV3" s="5"/>
      <c r="CW3" s="5"/>
      <c r="CX3" s="6" t="str">
        <f>IF(DB$3="","",EDATE(DB$3,1))</f>
        <v/>
      </c>
      <c r="CY3" s="5"/>
      <c r="CZ3" s="5"/>
      <c r="DA3" s="5"/>
      <c r="DB3" s="7" t="str">
        <f>IF(DF$3="","",EDATE(DF$3,1))</f>
        <v/>
      </c>
      <c r="DC3" s="5"/>
      <c r="DD3" s="5"/>
      <c r="DE3" s="5"/>
      <c r="DF3" s="6" t="str">
        <f>IF(DJ$3="","",EDATE(DJ$3,1))</f>
        <v/>
      </c>
      <c r="DG3" s="5"/>
      <c r="DH3" s="5"/>
      <c r="DI3" s="5"/>
      <c r="DJ3" s="7" t="str">
        <f>IF(DN$3="","",EDATE(DN$3,1))</f>
        <v/>
      </c>
      <c r="DK3" s="5"/>
      <c r="DL3" s="5"/>
      <c r="DM3" s="5"/>
      <c r="DN3" s="6" t="str">
        <f>IF(DR$3="","",EDATE(DR$3,1))</f>
        <v/>
      </c>
      <c r="DO3" s="5"/>
      <c r="DP3" s="5"/>
      <c r="DQ3" s="5"/>
      <c r="DR3" s="7" t="str">
        <f>IF(DV$3="","",EDATE(DV$3,1))</f>
        <v/>
      </c>
      <c r="DS3" s="5"/>
      <c r="DT3" s="5"/>
      <c r="DU3" s="5"/>
      <c r="DV3" s="6" t="str">
        <f>IF(DZ$3="","",EDATE(DZ$3,1))</f>
        <v/>
      </c>
      <c r="DW3" s="5"/>
      <c r="DX3" s="5"/>
      <c r="DY3" s="5"/>
      <c r="DZ3" s="7" t="str">
        <f>IF(ED$3="","",EDATE(ED$3,1))</f>
        <v/>
      </c>
      <c r="EA3" s="5"/>
      <c r="EB3" s="5"/>
      <c r="EC3" s="5"/>
      <c r="ED3" s="6" t="str">
        <f>IF(EH$3="","",EDATE(EH$3,1))</f>
        <v/>
      </c>
      <c r="EE3" s="5"/>
      <c r="EF3" s="5"/>
      <c r="EG3" s="5"/>
      <c r="EH3" s="7" t="str">
        <f>IF(EL$3="","",EDATE(EL$3,1))</f>
        <v/>
      </c>
      <c r="EI3" s="5"/>
      <c r="EJ3" s="5"/>
      <c r="EK3" s="5"/>
      <c r="EL3" s="6" t="str">
        <f>IF(EP$3="","",EDATE(EP$3,1))</f>
        <v/>
      </c>
      <c r="EM3" s="5"/>
      <c r="EN3" s="5"/>
      <c r="EO3" s="5"/>
      <c r="EP3" s="7" t="str">
        <f>IF($EP$75="","",$EP$75)</f>
        <v/>
      </c>
      <c r="EQ3" s="5"/>
      <c r="ER3" s="5"/>
      <c r="ES3" s="5"/>
    </row>
    <row r="4" ht="18.0" customHeight="1">
      <c r="B4" s="8" t="s">
        <v>3</v>
      </c>
      <c r="C4" s="9" t="s">
        <v>4</v>
      </c>
      <c r="D4" s="10" t="s">
        <v>5</v>
      </c>
      <c r="E4" s="11" t="s">
        <v>6</v>
      </c>
      <c r="F4" s="8" t="s">
        <v>3</v>
      </c>
      <c r="G4" s="9" t="s">
        <v>4</v>
      </c>
      <c r="H4" s="10" t="s">
        <v>5</v>
      </c>
      <c r="I4" s="11" t="s">
        <v>6</v>
      </c>
      <c r="J4" s="8" t="s">
        <v>3</v>
      </c>
      <c r="K4" s="9" t="s">
        <v>4</v>
      </c>
      <c r="L4" s="10" t="s">
        <v>5</v>
      </c>
      <c r="M4" s="11" t="s">
        <v>6</v>
      </c>
      <c r="N4" s="8" t="s">
        <v>3</v>
      </c>
      <c r="O4" s="9" t="s">
        <v>4</v>
      </c>
      <c r="P4" s="10" t="s">
        <v>5</v>
      </c>
      <c r="Q4" s="11" t="s">
        <v>6</v>
      </c>
      <c r="R4" s="8" t="s">
        <v>3</v>
      </c>
      <c r="S4" s="9" t="s">
        <v>4</v>
      </c>
      <c r="T4" s="10" t="s">
        <v>5</v>
      </c>
      <c r="U4" s="11" t="s">
        <v>6</v>
      </c>
      <c r="V4" s="8" t="s">
        <v>3</v>
      </c>
      <c r="W4" s="9" t="s">
        <v>4</v>
      </c>
      <c r="X4" s="10" t="s">
        <v>5</v>
      </c>
      <c r="Y4" s="11" t="s">
        <v>6</v>
      </c>
      <c r="Z4" s="8" t="s">
        <v>3</v>
      </c>
      <c r="AA4" s="9" t="s">
        <v>4</v>
      </c>
      <c r="AB4" s="10" t="s">
        <v>5</v>
      </c>
      <c r="AC4" s="11" t="s">
        <v>6</v>
      </c>
      <c r="AD4" s="8" t="s">
        <v>3</v>
      </c>
      <c r="AE4" s="9" t="s">
        <v>4</v>
      </c>
      <c r="AF4" s="10" t="s">
        <v>5</v>
      </c>
      <c r="AG4" s="11" t="s">
        <v>6</v>
      </c>
      <c r="AH4" s="8" t="s">
        <v>3</v>
      </c>
      <c r="AI4" s="9" t="s">
        <v>4</v>
      </c>
      <c r="AJ4" s="10" t="s">
        <v>5</v>
      </c>
      <c r="AK4" s="11" t="s">
        <v>6</v>
      </c>
      <c r="AL4" s="8" t="s">
        <v>3</v>
      </c>
      <c r="AM4" s="9" t="s">
        <v>4</v>
      </c>
      <c r="AN4" s="10" t="s">
        <v>5</v>
      </c>
      <c r="AO4" s="11" t="s">
        <v>6</v>
      </c>
      <c r="AP4" s="8" t="s">
        <v>3</v>
      </c>
      <c r="AQ4" s="9" t="s">
        <v>4</v>
      </c>
      <c r="AR4" s="10" t="s">
        <v>5</v>
      </c>
      <c r="AS4" s="11" t="s">
        <v>6</v>
      </c>
      <c r="AT4" s="8" t="s">
        <v>3</v>
      </c>
      <c r="AU4" s="9" t="s">
        <v>4</v>
      </c>
      <c r="AV4" s="10" t="s">
        <v>5</v>
      </c>
      <c r="AW4" s="11" t="s">
        <v>6</v>
      </c>
      <c r="AX4" s="8" t="s">
        <v>3</v>
      </c>
      <c r="AY4" s="9" t="s">
        <v>4</v>
      </c>
      <c r="AZ4" s="10" t="s">
        <v>5</v>
      </c>
      <c r="BA4" s="11" t="s">
        <v>6</v>
      </c>
      <c r="BB4" s="8" t="s">
        <v>3</v>
      </c>
      <c r="BC4" s="9" t="s">
        <v>4</v>
      </c>
      <c r="BD4" s="10" t="s">
        <v>5</v>
      </c>
      <c r="BE4" s="11" t="s">
        <v>6</v>
      </c>
      <c r="BF4" s="8" t="s">
        <v>3</v>
      </c>
      <c r="BG4" s="9" t="s">
        <v>4</v>
      </c>
      <c r="BH4" s="10" t="s">
        <v>5</v>
      </c>
      <c r="BI4" s="11" t="s">
        <v>6</v>
      </c>
      <c r="BJ4" s="8" t="s">
        <v>3</v>
      </c>
      <c r="BK4" s="9" t="s">
        <v>4</v>
      </c>
      <c r="BL4" s="10" t="s">
        <v>5</v>
      </c>
      <c r="BM4" s="11" t="s">
        <v>6</v>
      </c>
      <c r="BN4" s="8" t="s">
        <v>3</v>
      </c>
      <c r="BO4" s="9" t="s">
        <v>4</v>
      </c>
      <c r="BP4" s="10" t="s">
        <v>5</v>
      </c>
      <c r="BQ4" s="11" t="s">
        <v>6</v>
      </c>
      <c r="BR4" s="8" t="s">
        <v>3</v>
      </c>
      <c r="BS4" s="9" t="s">
        <v>4</v>
      </c>
      <c r="BT4" s="10" t="s">
        <v>5</v>
      </c>
      <c r="BU4" s="11" t="s">
        <v>6</v>
      </c>
      <c r="BV4" s="8" t="s">
        <v>3</v>
      </c>
      <c r="BW4" s="9" t="s">
        <v>4</v>
      </c>
      <c r="BX4" s="10" t="s">
        <v>5</v>
      </c>
      <c r="BY4" s="11" t="s">
        <v>6</v>
      </c>
      <c r="BZ4" s="8" t="s">
        <v>3</v>
      </c>
      <c r="CA4" s="9" t="s">
        <v>4</v>
      </c>
      <c r="CB4" s="10" t="s">
        <v>5</v>
      </c>
      <c r="CC4" s="11" t="s">
        <v>6</v>
      </c>
      <c r="CD4" s="8" t="s">
        <v>3</v>
      </c>
      <c r="CE4" s="9" t="s">
        <v>4</v>
      </c>
      <c r="CF4" s="10" t="s">
        <v>5</v>
      </c>
      <c r="CG4" s="11" t="s">
        <v>6</v>
      </c>
      <c r="CH4" s="8" t="s">
        <v>3</v>
      </c>
      <c r="CI4" s="9" t="s">
        <v>4</v>
      </c>
      <c r="CJ4" s="10" t="s">
        <v>5</v>
      </c>
      <c r="CK4" s="11" t="s">
        <v>6</v>
      </c>
      <c r="CL4" s="8" t="s">
        <v>3</v>
      </c>
      <c r="CM4" s="9" t="s">
        <v>4</v>
      </c>
      <c r="CN4" s="10" t="s">
        <v>5</v>
      </c>
      <c r="CO4" s="11" t="s">
        <v>6</v>
      </c>
      <c r="CP4" s="8" t="s">
        <v>3</v>
      </c>
      <c r="CQ4" s="9" t="s">
        <v>4</v>
      </c>
      <c r="CR4" s="10" t="s">
        <v>5</v>
      </c>
      <c r="CS4" s="11" t="s">
        <v>6</v>
      </c>
      <c r="CT4" s="8" t="s">
        <v>3</v>
      </c>
      <c r="CU4" s="9" t="s">
        <v>4</v>
      </c>
      <c r="CV4" s="10" t="s">
        <v>5</v>
      </c>
      <c r="CW4" s="11" t="s">
        <v>6</v>
      </c>
      <c r="CX4" s="8" t="s">
        <v>3</v>
      </c>
      <c r="CY4" s="9" t="s">
        <v>4</v>
      </c>
      <c r="CZ4" s="10" t="s">
        <v>5</v>
      </c>
      <c r="DA4" s="11" t="s">
        <v>6</v>
      </c>
      <c r="DB4" s="8" t="s">
        <v>3</v>
      </c>
      <c r="DC4" s="9" t="s">
        <v>4</v>
      </c>
      <c r="DD4" s="10" t="s">
        <v>5</v>
      </c>
      <c r="DE4" s="11" t="s">
        <v>6</v>
      </c>
      <c r="DF4" s="8" t="s">
        <v>3</v>
      </c>
      <c r="DG4" s="9" t="s">
        <v>4</v>
      </c>
      <c r="DH4" s="10" t="s">
        <v>5</v>
      </c>
      <c r="DI4" s="11" t="s">
        <v>6</v>
      </c>
      <c r="DJ4" s="8" t="s">
        <v>3</v>
      </c>
      <c r="DK4" s="9" t="s">
        <v>4</v>
      </c>
      <c r="DL4" s="10" t="s">
        <v>5</v>
      </c>
      <c r="DM4" s="11" t="s">
        <v>6</v>
      </c>
      <c r="DN4" s="8" t="s">
        <v>3</v>
      </c>
      <c r="DO4" s="9" t="s">
        <v>4</v>
      </c>
      <c r="DP4" s="10" t="s">
        <v>5</v>
      </c>
      <c r="DQ4" s="11" t="s">
        <v>6</v>
      </c>
      <c r="DR4" s="8" t="s">
        <v>3</v>
      </c>
      <c r="DS4" s="9" t="s">
        <v>4</v>
      </c>
      <c r="DT4" s="10" t="s">
        <v>5</v>
      </c>
      <c r="DU4" s="11" t="s">
        <v>6</v>
      </c>
      <c r="DV4" s="8" t="s">
        <v>3</v>
      </c>
      <c r="DW4" s="9" t="s">
        <v>4</v>
      </c>
      <c r="DX4" s="10" t="s">
        <v>5</v>
      </c>
      <c r="DY4" s="11" t="s">
        <v>6</v>
      </c>
      <c r="DZ4" s="8" t="s">
        <v>3</v>
      </c>
      <c r="EA4" s="9" t="s">
        <v>4</v>
      </c>
      <c r="EB4" s="10" t="s">
        <v>5</v>
      </c>
      <c r="EC4" s="11" t="s">
        <v>6</v>
      </c>
      <c r="ED4" s="8" t="s">
        <v>3</v>
      </c>
      <c r="EE4" s="9" t="s">
        <v>4</v>
      </c>
      <c r="EF4" s="10" t="s">
        <v>5</v>
      </c>
      <c r="EG4" s="11" t="s">
        <v>6</v>
      </c>
      <c r="EH4" s="8" t="s">
        <v>3</v>
      </c>
      <c r="EI4" s="9" t="s">
        <v>4</v>
      </c>
      <c r="EJ4" s="10" t="s">
        <v>5</v>
      </c>
      <c r="EK4" s="11" t="s">
        <v>6</v>
      </c>
      <c r="EL4" s="8" t="s">
        <v>3</v>
      </c>
      <c r="EM4" s="9" t="s">
        <v>4</v>
      </c>
      <c r="EN4" s="10" t="s">
        <v>5</v>
      </c>
      <c r="EO4" s="11" t="s">
        <v>6</v>
      </c>
      <c r="EP4" s="8" t="s">
        <v>3</v>
      </c>
      <c r="EQ4" s="9" t="s">
        <v>4</v>
      </c>
      <c r="ER4" s="10" t="s">
        <v>5</v>
      </c>
      <c r="ES4" s="11" t="s">
        <v>6</v>
      </c>
    </row>
    <row r="5" ht="18.0" customHeight="1">
      <c r="A5" s="12" t="s">
        <v>7</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row>
    <row r="6" ht="18.0" customHeight="1">
      <c r="A6" s="2" t="s">
        <v>8</v>
      </c>
      <c r="B6" s="13">
        <f t="shared" ref="B6:D6" si="1">SUM(EP6,EL6,EH6,ED6,DZ6,DV6,DR6,DN6,DJ6,DF6,DB6,CX6,CT6,CP6,CL6,CH6,CD6,BZ6,BV6,BR6,BN6,BJ6,BF6,BB6,AX6,AT6,AP6,AL6,AH6,AD6,Z6,V6,R6,N6,J6,F6)</f>
        <v>0</v>
      </c>
      <c r="C6" s="14">
        <f t="shared" si="1"/>
        <v>0</v>
      </c>
      <c r="D6" s="15">
        <f t="shared" si="1"/>
        <v>0</v>
      </c>
      <c r="E6" s="16">
        <f t="shared" ref="E6:E24" si="3">IFERROR(IF(OR(C6="",D6=""),"",C6-D6),"")</f>
        <v>0</v>
      </c>
      <c r="F6" s="17"/>
      <c r="G6" s="14" t="str">
        <f t="shared" ref="G6:G8" si="4">IF(F$98=1,F6,H6)</f>
        <v/>
      </c>
      <c r="H6" s="18"/>
      <c r="I6" s="16" t="str">
        <f t="shared" ref="I6:I24" si="5">IFERROR(IF(OR(G6="",H6=""),"",G6-H6),"")</f>
        <v/>
      </c>
      <c r="J6" s="17"/>
      <c r="K6" s="14" t="str">
        <f t="shared" ref="K6:K8" si="6">IF(J$98=1,J6,L6)</f>
        <v/>
      </c>
      <c r="L6" s="18"/>
      <c r="M6" s="16" t="str">
        <f t="shared" ref="M6:M24" si="7">IFERROR(IF(OR(K6="",L6=""),"",K6-L6),"")</f>
        <v/>
      </c>
      <c r="N6" s="17"/>
      <c r="O6" s="14" t="str">
        <f t="shared" ref="O6:O8" si="8">IF(N$98=1,N6,P6)</f>
        <v/>
      </c>
      <c r="P6" s="18"/>
      <c r="Q6" s="16" t="str">
        <f t="shared" ref="Q6:Q24" si="9">IFERROR(IF(OR(O6="",P6=""),"",O6-P6),"")</f>
        <v/>
      </c>
      <c r="R6" s="17"/>
      <c r="S6" s="14" t="str">
        <f t="shared" ref="S6:S8" si="10">IF(R$98=1,R6,T6)</f>
        <v/>
      </c>
      <c r="T6" s="18"/>
      <c r="U6" s="16" t="str">
        <f t="shared" ref="U6:U24" si="11">IFERROR(IF(OR(S6="",T6=""),"",S6-T6),"")</f>
        <v/>
      </c>
      <c r="V6" s="17"/>
      <c r="W6" s="14" t="str">
        <f t="shared" ref="W6:W8" si="12">IF(V$98=1,V6,X6)</f>
        <v/>
      </c>
      <c r="X6" s="18"/>
      <c r="Y6" s="16" t="str">
        <f t="shared" ref="Y6:Y24" si="13">IFERROR(IF(OR(W6="",X6=""),"",W6-X6),"")</f>
        <v/>
      </c>
      <c r="Z6" s="17"/>
      <c r="AA6" s="14" t="str">
        <f t="shared" ref="AA6:AA8" si="14">IF(Z$98=1,Z6,AB6)</f>
        <v/>
      </c>
      <c r="AB6" s="18"/>
      <c r="AC6" s="16" t="str">
        <f t="shared" ref="AC6:AC24" si="15">IFERROR(IF(OR(AA6="",AB6=""),"",AA6-AB6),"")</f>
        <v/>
      </c>
      <c r="AD6" s="17"/>
      <c r="AE6" s="14" t="str">
        <f t="shared" ref="AE6:AE8" si="16">IF(AD$98=1,AD6,AF6)</f>
        <v/>
      </c>
      <c r="AF6" s="18"/>
      <c r="AG6" s="16" t="str">
        <f t="shared" ref="AG6:AG24" si="17">IFERROR(IF(OR(AE6="",AF6=""),"",AE6-AF6),"")</f>
        <v/>
      </c>
      <c r="AH6" s="17"/>
      <c r="AI6" s="14" t="str">
        <f t="shared" ref="AI6:AI8" si="18">IF(AH$98=1,AH6,AJ6)</f>
        <v/>
      </c>
      <c r="AJ6" s="18"/>
      <c r="AK6" s="16" t="str">
        <f t="shared" ref="AK6:AK24" si="19">IFERROR(IF(OR(AI6="",AJ6=""),"",AI6-AJ6),"")</f>
        <v/>
      </c>
      <c r="AL6" s="17"/>
      <c r="AM6" s="14" t="str">
        <f t="shared" ref="AM6:AM8" si="20">IF(AL$98=1,AL6,AN6)</f>
        <v/>
      </c>
      <c r="AN6" s="18"/>
      <c r="AO6" s="16" t="str">
        <f t="shared" ref="AO6:AO24" si="21">IFERROR(IF(OR(AM6="",AN6=""),"",AM6-AN6),"")</f>
        <v/>
      </c>
      <c r="AP6" s="17"/>
      <c r="AQ6" s="14" t="str">
        <f t="shared" ref="AQ6:AQ8" si="22">IF(AP$98=1,AP6,AR6)</f>
        <v/>
      </c>
      <c r="AR6" s="18"/>
      <c r="AS6" s="16" t="str">
        <f t="shared" ref="AS6:AS24" si="23">IFERROR(IF(OR(AQ6="",AR6=""),"",AQ6-AR6),"")</f>
        <v/>
      </c>
      <c r="AT6" s="17"/>
      <c r="AU6" s="14" t="str">
        <f t="shared" ref="AU6:AU8" si="24">IF(AT$98=1,AT6,AV6)</f>
        <v/>
      </c>
      <c r="AV6" s="18"/>
      <c r="AW6" s="16" t="str">
        <f t="shared" ref="AW6:AW24" si="25">IFERROR(IF(OR(AU6="",AV6=""),"",AU6-AV6),"")</f>
        <v/>
      </c>
      <c r="AX6" s="17"/>
      <c r="AY6" s="14" t="str">
        <f t="shared" ref="AY6:AY8" si="26">IF(AX$98=1,AX6,AZ6)</f>
        <v/>
      </c>
      <c r="AZ6" s="18"/>
      <c r="BA6" s="16" t="str">
        <f t="shared" ref="BA6:BA24" si="27">IFERROR(IF(OR(AY6="",AZ6=""),"",AY6-AZ6),"")</f>
        <v/>
      </c>
      <c r="BB6" s="17"/>
      <c r="BC6" s="14" t="str">
        <f t="shared" ref="BC6:BC8" si="28">IF(BB$98=1,BB6,BD6)</f>
        <v/>
      </c>
      <c r="BD6" s="18"/>
      <c r="BE6" s="16" t="str">
        <f t="shared" ref="BE6:BE24" si="29">IFERROR(IF(OR(BC6="",BD6=""),"",BC6-BD6),"")</f>
        <v/>
      </c>
      <c r="BF6" s="17"/>
      <c r="BG6" s="14" t="str">
        <f t="shared" ref="BG6:BG8" si="30">IF(BF$98=1,BF6,BH6)</f>
        <v/>
      </c>
      <c r="BH6" s="18"/>
      <c r="BI6" s="16" t="str">
        <f t="shared" ref="BI6:BI24" si="31">IFERROR(IF(OR(BG6="",BH6=""),"",BG6-BH6),"")</f>
        <v/>
      </c>
      <c r="BJ6" s="17"/>
      <c r="BK6" s="14" t="str">
        <f t="shared" ref="BK6:BK8" si="32">IF(BJ$98=1,BJ6,BL6)</f>
        <v/>
      </c>
      <c r="BL6" s="18"/>
      <c r="BM6" s="16" t="str">
        <f t="shared" ref="BM6:BM24" si="33">IFERROR(IF(OR(BK6="",BL6=""),"",BK6-BL6),"")</f>
        <v/>
      </c>
      <c r="BN6" s="17"/>
      <c r="BO6" s="14" t="str">
        <f t="shared" ref="BO6:BO8" si="34">IF(BN$98=1,BN6,BP6)</f>
        <v/>
      </c>
      <c r="BP6" s="18"/>
      <c r="BQ6" s="16" t="str">
        <f t="shared" ref="BQ6:BQ24" si="35">IFERROR(IF(OR(BO6="",BP6=""),"",BO6-BP6),"")</f>
        <v/>
      </c>
      <c r="BR6" s="17"/>
      <c r="BS6" s="14" t="str">
        <f t="shared" ref="BS6:BS8" si="36">IF(BR$98=1,BR6,BT6)</f>
        <v/>
      </c>
      <c r="BT6" s="18"/>
      <c r="BU6" s="16" t="str">
        <f t="shared" ref="BU6:BU24" si="37">IFERROR(IF(OR(BS6="",BT6=""),"",BS6-BT6),"")</f>
        <v/>
      </c>
      <c r="BV6" s="17"/>
      <c r="BW6" s="14" t="str">
        <f t="shared" ref="BW6:BW8" si="38">IF(BV$98=1,BV6,BX6)</f>
        <v/>
      </c>
      <c r="BX6" s="18"/>
      <c r="BY6" s="16" t="str">
        <f t="shared" ref="BY6:BY24" si="39">IFERROR(IF(OR(BW6="",BX6=""),"",BW6-BX6),"")</f>
        <v/>
      </c>
      <c r="BZ6" s="17"/>
      <c r="CA6" s="14" t="str">
        <f t="shared" ref="CA6:CA8" si="40">IF(BZ$98=1,BZ6,CB6)</f>
        <v/>
      </c>
      <c r="CB6" s="18"/>
      <c r="CC6" s="16" t="str">
        <f t="shared" ref="CC6:CC24" si="41">IFERROR(IF(OR(CA6="",CB6=""),"",CA6-CB6),"")</f>
        <v/>
      </c>
      <c r="CD6" s="17"/>
      <c r="CE6" s="14" t="str">
        <f t="shared" ref="CE6:CE8" si="42">IF(CD$98=1,CD6,CF6)</f>
        <v/>
      </c>
      <c r="CF6" s="18"/>
      <c r="CG6" s="16" t="str">
        <f t="shared" ref="CG6:CG24" si="43">IFERROR(IF(OR(CE6="",CF6=""),"",CE6-CF6),"")</f>
        <v/>
      </c>
      <c r="CH6" s="17"/>
      <c r="CI6" s="14" t="str">
        <f t="shared" ref="CI6:CI8" si="44">IF(CH$98=1,CH6,CJ6)</f>
        <v/>
      </c>
      <c r="CJ6" s="18"/>
      <c r="CK6" s="16" t="str">
        <f t="shared" ref="CK6:CK24" si="45">IFERROR(IF(OR(CI6="",CJ6=""),"",CI6-CJ6),"")</f>
        <v/>
      </c>
      <c r="CL6" s="17"/>
      <c r="CM6" s="14" t="str">
        <f t="shared" ref="CM6:CM8" si="46">IF(CL$98=1,CL6,CN6)</f>
        <v/>
      </c>
      <c r="CN6" s="18"/>
      <c r="CO6" s="16" t="str">
        <f t="shared" ref="CO6:CO24" si="47">IFERROR(IF(OR(CM6="",CN6=""),"",CM6-CN6),"")</f>
        <v/>
      </c>
      <c r="CP6" s="17"/>
      <c r="CQ6" s="14" t="str">
        <f t="shared" ref="CQ6:CQ8" si="48">IF(CP$98=1,CP6,CR6)</f>
        <v/>
      </c>
      <c r="CR6" s="18"/>
      <c r="CS6" s="16" t="str">
        <f t="shared" ref="CS6:CS24" si="49">IFERROR(IF(OR(CQ6="",CR6=""),"",CQ6-CR6),"")</f>
        <v/>
      </c>
      <c r="CT6" s="17"/>
      <c r="CU6" s="14" t="str">
        <f t="shared" ref="CU6:CU8" si="50">IF(CT$98=1,CT6,CV6)</f>
        <v/>
      </c>
      <c r="CV6" s="18"/>
      <c r="CW6" s="16" t="str">
        <f t="shared" ref="CW6:CW24" si="51">IFERROR(IF(OR(CU6="",CV6=""),"",CU6-CV6),"")</f>
        <v/>
      </c>
      <c r="CX6" s="17"/>
      <c r="CY6" s="14" t="str">
        <f t="shared" ref="CY6:CY8" si="52">IF(CX$98=1,CX6,CZ6)</f>
        <v/>
      </c>
      <c r="CZ6" s="18"/>
      <c r="DA6" s="16" t="str">
        <f t="shared" ref="DA6:DA24" si="53">IFERROR(IF(OR(CY6="",CZ6=""),"",CY6-CZ6),"")</f>
        <v/>
      </c>
      <c r="DB6" s="17"/>
      <c r="DC6" s="14" t="str">
        <f t="shared" ref="DC6:DC8" si="54">IF(DB$98=1,DB6,DD6)</f>
        <v/>
      </c>
      <c r="DD6" s="18"/>
      <c r="DE6" s="16" t="str">
        <f t="shared" ref="DE6:DE24" si="55">IFERROR(IF(OR(DC6="",DD6=""),"",DC6-DD6),"")</f>
        <v/>
      </c>
      <c r="DF6" s="17"/>
      <c r="DG6" s="14" t="str">
        <f t="shared" ref="DG6:DG8" si="56">IF(DF$98=1,DF6,DH6)</f>
        <v/>
      </c>
      <c r="DH6" s="18"/>
      <c r="DI6" s="16" t="str">
        <f t="shared" ref="DI6:DI24" si="57">IFERROR(IF(OR(DG6="",DH6=""),"",DG6-DH6),"")</f>
        <v/>
      </c>
      <c r="DJ6" s="17"/>
      <c r="DK6" s="14" t="str">
        <f t="shared" ref="DK6:DK8" si="58">IF(DJ$98=1,DJ6,DL6)</f>
        <v/>
      </c>
      <c r="DL6" s="18"/>
      <c r="DM6" s="16" t="str">
        <f t="shared" ref="DM6:DM24" si="59">IFERROR(IF(OR(DK6="",DL6=""),"",DK6-DL6),"")</f>
        <v/>
      </c>
      <c r="DN6" s="17"/>
      <c r="DO6" s="14" t="str">
        <f t="shared" ref="DO6:DO8" si="60">IF(DN$98=1,DN6,DP6)</f>
        <v/>
      </c>
      <c r="DP6" s="18"/>
      <c r="DQ6" s="16" t="str">
        <f t="shared" ref="DQ6:DQ24" si="61">IFERROR(IF(OR(DO6="",DP6=""),"",DO6-DP6),"")</f>
        <v/>
      </c>
      <c r="DR6" s="17"/>
      <c r="DS6" s="14" t="str">
        <f t="shared" ref="DS6:DS8" si="62">IF(DR$98=1,DR6,DT6)</f>
        <v/>
      </c>
      <c r="DT6" s="18"/>
      <c r="DU6" s="16" t="str">
        <f t="shared" ref="DU6:DU24" si="63">IFERROR(IF(OR(DS6="",DT6=""),"",DS6-DT6),"")</f>
        <v/>
      </c>
      <c r="DV6" s="17"/>
      <c r="DW6" s="14" t="str">
        <f t="shared" ref="DW6:DW8" si="64">IF(DV$98=1,DV6,DX6)</f>
        <v/>
      </c>
      <c r="DX6" s="18"/>
      <c r="DY6" s="16" t="str">
        <f t="shared" ref="DY6:DY24" si="65">IFERROR(IF(OR(DW6="",DX6=""),"",DW6-DX6),"")</f>
        <v/>
      </c>
      <c r="DZ6" s="17"/>
      <c r="EA6" s="14" t="str">
        <f t="shared" ref="EA6:EA8" si="66">IF(DZ$98=1,DZ6,EB6)</f>
        <v/>
      </c>
      <c r="EB6" s="18"/>
      <c r="EC6" s="16" t="str">
        <f t="shared" ref="EC6:EC24" si="67">IFERROR(IF(OR(EA6="",EB6=""),"",EA6-EB6),"")</f>
        <v/>
      </c>
      <c r="ED6" s="17"/>
      <c r="EE6" s="14" t="str">
        <f t="shared" ref="EE6:EE8" si="68">IF(ED$98=1,ED6,EF6)</f>
        <v/>
      </c>
      <c r="EF6" s="18"/>
      <c r="EG6" s="16" t="str">
        <f t="shared" ref="EG6:EG24" si="69">IFERROR(IF(OR(EE6="",EF6=""),"",EE6-EF6),"")</f>
        <v/>
      </c>
      <c r="EH6" s="17"/>
      <c r="EI6" s="14" t="str">
        <f t="shared" ref="EI6:EI8" si="70">IF(EH$98=1,EH6,EJ6)</f>
        <v/>
      </c>
      <c r="EJ6" s="18"/>
      <c r="EK6" s="16" t="str">
        <f t="shared" ref="EK6:EK24" si="71">IFERROR(IF(OR(EI6="",EJ6=""),"",EI6-EJ6),"")</f>
        <v/>
      </c>
      <c r="EL6" s="17"/>
      <c r="EM6" s="14" t="str">
        <f t="shared" ref="EM6:EM8" si="72">IF(EL$98=1,EL6,EN6)</f>
        <v/>
      </c>
      <c r="EN6" s="18"/>
      <c r="EO6" s="16" t="str">
        <f t="shared" ref="EO6:EO24" si="73">IFERROR(IF(OR(EM6="",EN6=""),"",EM6-EN6),"")</f>
        <v/>
      </c>
      <c r="EP6" s="17"/>
      <c r="EQ6" s="14" t="str">
        <f t="shared" ref="EQ6:EQ8" si="74">IF(EP$98=1,EP6,ER6)</f>
        <v/>
      </c>
      <c r="ER6" s="18"/>
      <c r="ES6" s="16" t="str">
        <f t="shared" ref="ES6:ES24" si="75">IFERROR(IF(OR(EQ6="",ER6=""),"",EQ6-ER6),"")</f>
        <v/>
      </c>
    </row>
    <row r="7" ht="18.0" customHeight="1">
      <c r="A7" s="2" t="s">
        <v>9</v>
      </c>
      <c r="B7" s="19" t="str">
        <f t="shared" ref="B7:D7" si="2">IFERROR(B9/B6,"")</f>
        <v/>
      </c>
      <c r="C7" s="20" t="str">
        <f t="shared" si="2"/>
        <v/>
      </c>
      <c r="D7" s="21" t="str">
        <f t="shared" si="2"/>
        <v/>
      </c>
      <c r="E7" s="22" t="str">
        <f t="shared" si="3"/>
        <v/>
      </c>
      <c r="F7" s="19" t="str">
        <f>IFERROR(IF(F9="","",F9/F6),"")</f>
        <v/>
      </c>
      <c r="G7" s="20" t="str">
        <f t="shared" si="4"/>
        <v/>
      </c>
      <c r="H7" s="23"/>
      <c r="I7" s="22" t="str">
        <f t="shared" si="5"/>
        <v/>
      </c>
      <c r="J7" s="19" t="str">
        <f>IFERROR(IF(J9="","",J9/J6),"")</f>
        <v/>
      </c>
      <c r="K7" s="20" t="str">
        <f t="shared" si="6"/>
        <v/>
      </c>
      <c r="L7" s="23"/>
      <c r="M7" s="22" t="str">
        <f t="shared" si="7"/>
        <v/>
      </c>
      <c r="N7" s="19" t="str">
        <f>IFERROR(IF(N9="","",N9/N6),"")</f>
        <v/>
      </c>
      <c r="O7" s="20" t="str">
        <f t="shared" si="8"/>
        <v/>
      </c>
      <c r="P7" s="23"/>
      <c r="Q7" s="22" t="str">
        <f t="shared" si="9"/>
        <v/>
      </c>
      <c r="R7" s="19" t="str">
        <f>IFERROR(IF(R9="","",R9/R6),"")</f>
        <v/>
      </c>
      <c r="S7" s="20" t="str">
        <f t="shared" si="10"/>
        <v/>
      </c>
      <c r="T7" s="23"/>
      <c r="U7" s="22" t="str">
        <f t="shared" si="11"/>
        <v/>
      </c>
      <c r="V7" s="19" t="str">
        <f>IFERROR(IF(V9="","",V9/V6),"")</f>
        <v/>
      </c>
      <c r="W7" s="20" t="str">
        <f t="shared" si="12"/>
        <v/>
      </c>
      <c r="X7" s="23"/>
      <c r="Y7" s="22" t="str">
        <f t="shared" si="13"/>
        <v/>
      </c>
      <c r="Z7" s="19" t="str">
        <f>IFERROR(IF(Z9="","",Z9/Z6),"")</f>
        <v/>
      </c>
      <c r="AA7" s="20" t="str">
        <f t="shared" si="14"/>
        <v/>
      </c>
      <c r="AB7" s="23"/>
      <c r="AC7" s="22" t="str">
        <f t="shared" si="15"/>
        <v/>
      </c>
      <c r="AD7" s="19" t="str">
        <f>IFERROR(IF(AD9="","",AD9/AD6),"")</f>
        <v/>
      </c>
      <c r="AE7" s="20" t="str">
        <f t="shared" si="16"/>
        <v/>
      </c>
      <c r="AF7" s="23"/>
      <c r="AG7" s="22" t="str">
        <f t="shared" si="17"/>
        <v/>
      </c>
      <c r="AH7" s="19" t="str">
        <f>IFERROR(IF(AH9="","",AH9/AH6),"")</f>
        <v/>
      </c>
      <c r="AI7" s="20" t="str">
        <f t="shared" si="18"/>
        <v/>
      </c>
      <c r="AJ7" s="23"/>
      <c r="AK7" s="22" t="str">
        <f t="shared" si="19"/>
        <v/>
      </c>
      <c r="AL7" s="19" t="str">
        <f>IFERROR(IF(AL9="","",AL9/AL6),"")</f>
        <v/>
      </c>
      <c r="AM7" s="20" t="str">
        <f t="shared" si="20"/>
        <v/>
      </c>
      <c r="AN7" s="23"/>
      <c r="AO7" s="22" t="str">
        <f t="shared" si="21"/>
        <v/>
      </c>
      <c r="AP7" s="19" t="str">
        <f>IFERROR(IF(AP9="","",AP9/AP6),"")</f>
        <v/>
      </c>
      <c r="AQ7" s="20" t="str">
        <f t="shared" si="22"/>
        <v/>
      </c>
      <c r="AR7" s="23"/>
      <c r="AS7" s="22" t="str">
        <f t="shared" si="23"/>
        <v/>
      </c>
      <c r="AT7" s="19" t="str">
        <f>IFERROR(IF(AT9="","",AT9/AT6),"")</f>
        <v/>
      </c>
      <c r="AU7" s="20" t="str">
        <f t="shared" si="24"/>
        <v/>
      </c>
      <c r="AV7" s="23"/>
      <c r="AW7" s="22" t="str">
        <f t="shared" si="25"/>
        <v/>
      </c>
      <c r="AX7" s="19" t="str">
        <f>IFERROR(IF(AX9="","",AX9/AX6),"")</f>
        <v/>
      </c>
      <c r="AY7" s="20" t="str">
        <f t="shared" si="26"/>
        <v/>
      </c>
      <c r="AZ7" s="23"/>
      <c r="BA7" s="22" t="str">
        <f t="shared" si="27"/>
        <v/>
      </c>
      <c r="BB7" s="19" t="str">
        <f>IFERROR(IF(BB9="","",BB9/BB6),"")</f>
        <v/>
      </c>
      <c r="BC7" s="20" t="str">
        <f t="shared" si="28"/>
        <v/>
      </c>
      <c r="BD7" s="23"/>
      <c r="BE7" s="22" t="str">
        <f t="shared" si="29"/>
        <v/>
      </c>
      <c r="BF7" s="19" t="str">
        <f>IFERROR(IF(BF9="","",BF9/BF6),"")</f>
        <v/>
      </c>
      <c r="BG7" s="20" t="str">
        <f t="shared" si="30"/>
        <v/>
      </c>
      <c r="BH7" s="23"/>
      <c r="BI7" s="22" t="str">
        <f t="shared" si="31"/>
        <v/>
      </c>
      <c r="BJ7" s="19" t="str">
        <f>IFERROR(IF(BJ9="","",BJ9/BJ6),"")</f>
        <v/>
      </c>
      <c r="BK7" s="20" t="str">
        <f t="shared" si="32"/>
        <v/>
      </c>
      <c r="BL7" s="23"/>
      <c r="BM7" s="22" t="str">
        <f t="shared" si="33"/>
        <v/>
      </c>
      <c r="BN7" s="19" t="str">
        <f>IFERROR(IF(BN9="","",BN9/BN6),"")</f>
        <v/>
      </c>
      <c r="BO7" s="20" t="str">
        <f t="shared" si="34"/>
        <v/>
      </c>
      <c r="BP7" s="23"/>
      <c r="BQ7" s="22" t="str">
        <f t="shared" si="35"/>
        <v/>
      </c>
      <c r="BR7" s="19" t="str">
        <f>IFERROR(IF(BR9="","",BR9/BR6),"")</f>
        <v/>
      </c>
      <c r="BS7" s="20" t="str">
        <f t="shared" si="36"/>
        <v/>
      </c>
      <c r="BT7" s="23"/>
      <c r="BU7" s="22" t="str">
        <f t="shared" si="37"/>
        <v/>
      </c>
      <c r="BV7" s="19" t="str">
        <f>IFERROR(IF(BV9="","",BV9/BV6),"")</f>
        <v/>
      </c>
      <c r="BW7" s="20" t="str">
        <f t="shared" si="38"/>
        <v/>
      </c>
      <c r="BX7" s="23"/>
      <c r="BY7" s="22" t="str">
        <f t="shared" si="39"/>
        <v/>
      </c>
      <c r="BZ7" s="19" t="str">
        <f>IFERROR(IF(BZ9="","",BZ9/BZ6),"")</f>
        <v/>
      </c>
      <c r="CA7" s="20" t="str">
        <f t="shared" si="40"/>
        <v/>
      </c>
      <c r="CB7" s="23"/>
      <c r="CC7" s="22" t="str">
        <f t="shared" si="41"/>
        <v/>
      </c>
      <c r="CD7" s="19" t="str">
        <f>IFERROR(IF(CD9="","",CD9/CD6),"")</f>
        <v/>
      </c>
      <c r="CE7" s="20" t="str">
        <f t="shared" si="42"/>
        <v/>
      </c>
      <c r="CF7" s="23"/>
      <c r="CG7" s="22" t="str">
        <f t="shared" si="43"/>
        <v/>
      </c>
      <c r="CH7" s="19" t="str">
        <f>IFERROR(IF(CH9="","",CH9/CH6),"")</f>
        <v/>
      </c>
      <c r="CI7" s="20" t="str">
        <f t="shared" si="44"/>
        <v/>
      </c>
      <c r="CJ7" s="23"/>
      <c r="CK7" s="22" t="str">
        <f t="shared" si="45"/>
        <v/>
      </c>
      <c r="CL7" s="19" t="str">
        <f>IFERROR(IF(CL9="","",CL9/CL6),"")</f>
        <v/>
      </c>
      <c r="CM7" s="20" t="str">
        <f t="shared" si="46"/>
        <v/>
      </c>
      <c r="CN7" s="23"/>
      <c r="CO7" s="22" t="str">
        <f t="shared" si="47"/>
        <v/>
      </c>
      <c r="CP7" s="19" t="str">
        <f>IFERROR(IF(CP9="","",CP9/CP6),"")</f>
        <v/>
      </c>
      <c r="CQ7" s="20" t="str">
        <f t="shared" si="48"/>
        <v/>
      </c>
      <c r="CR7" s="23"/>
      <c r="CS7" s="22" t="str">
        <f t="shared" si="49"/>
        <v/>
      </c>
      <c r="CT7" s="19" t="str">
        <f>IFERROR(IF(CT9="","",CT9/CT6),"")</f>
        <v/>
      </c>
      <c r="CU7" s="20" t="str">
        <f t="shared" si="50"/>
        <v/>
      </c>
      <c r="CV7" s="23"/>
      <c r="CW7" s="22" t="str">
        <f t="shared" si="51"/>
        <v/>
      </c>
      <c r="CX7" s="19" t="str">
        <f>IFERROR(IF(CX9="","",CX9/CX6),"")</f>
        <v/>
      </c>
      <c r="CY7" s="20" t="str">
        <f t="shared" si="52"/>
        <v/>
      </c>
      <c r="CZ7" s="23"/>
      <c r="DA7" s="22" t="str">
        <f t="shared" si="53"/>
        <v/>
      </c>
      <c r="DB7" s="19" t="str">
        <f>IFERROR(IF(DB9="","",DB9/DB6),"")</f>
        <v/>
      </c>
      <c r="DC7" s="20" t="str">
        <f t="shared" si="54"/>
        <v/>
      </c>
      <c r="DD7" s="23"/>
      <c r="DE7" s="22" t="str">
        <f t="shared" si="55"/>
        <v/>
      </c>
      <c r="DF7" s="19" t="str">
        <f>IFERROR(IF(DF9="","",DF9/DF6),"")</f>
        <v/>
      </c>
      <c r="DG7" s="20" t="str">
        <f t="shared" si="56"/>
        <v/>
      </c>
      <c r="DH7" s="23"/>
      <c r="DI7" s="22" t="str">
        <f t="shared" si="57"/>
        <v/>
      </c>
      <c r="DJ7" s="19" t="str">
        <f>IFERROR(IF(DJ9="","",DJ9/DJ6),"")</f>
        <v/>
      </c>
      <c r="DK7" s="20" t="str">
        <f t="shared" si="58"/>
        <v/>
      </c>
      <c r="DL7" s="23"/>
      <c r="DM7" s="22" t="str">
        <f t="shared" si="59"/>
        <v/>
      </c>
      <c r="DN7" s="19" t="str">
        <f>IFERROR(IF(DN9="","",DN9/DN6),"")</f>
        <v/>
      </c>
      <c r="DO7" s="20" t="str">
        <f t="shared" si="60"/>
        <v/>
      </c>
      <c r="DP7" s="23"/>
      <c r="DQ7" s="22" t="str">
        <f t="shared" si="61"/>
        <v/>
      </c>
      <c r="DR7" s="19" t="str">
        <f>IFERROR(IF(DR9="","",DR9/DR6),"")</f>
        <v/>
      </c>
      <c r="DS7" s="20" t="str">
        <f t="shared" si="62"/>
        <v/>
      </c>
      <c r="DT7" s="23"/>
      <c r="DU7" s="22" t="str">
        <f t="shared" si="63"/>
        <v/>
      </c>
      <c r="DV7" s="19" t="str">
        <f>IFERROR(IF(DV9="","",DV9/DV6),"")</f>
        <v/>
      </c>
      <c r="DW7" s="20" t="str">
        <f t="shared" si="64"/>
        <v/>
      </c>
      <c r="DX7" s="23"/>
      <c r="DY7" s="22" t="str">
        <f t="shared" si="65"/>
        <v/>
      </c>
      <c r="DZ7" s="19" t="str">
        <f>IFERROR(IF(DZ9="","",DZ9/DZ6),"")</f>
        <v/>
      </c>
      <c r="EA7" s="20" t="str">
        <f t="shared" si="66"/>
        <v/>
      </c>
      <c r="EB7" s="23"/>
      <c r="EC7" s="22" t="str">
        <f t="shared" si="67"/>
        <v/>
      </c>
      <c r="ED7" s="19" t="str">
        <f>IFERROR(IF(ED9="","",ED9/ED6),"")</f>
        <v/>
      </c>
      <c r="EE7" s="20" t="str">
        <f t="shared" si="68"/>
        <v/>
      </c>
      <c r="EF7" s="23"/>
      <c r="EG7" s="22" t="str">
        <f t="shared" si="69"/>
        <v/>
      </c>
      <c r="EH7" s="19" t="str">
        <f>IFERROR(IF(EH9="","",EH9/EH6),"")</f>
        <v/>
      </c>
      <c r="EI7" s="20" t="str">
        <f t="shared" si="70"/>
        <v/>
      </c>
      <c r="EJ7" s="23"/>
      <c r="EK7" s="22" t="str">
        <f t="shared" si="71"/>
        <v/>
      </c>
      <c r="EL7" s="19" t="str">
        <f>IFERROR(IF(EL9="","",EL9/EL6),"")</f>
        <v/>
      </c>
      <c r="EM7" s="20" t="str">
        <f t="shared" si="72"/>
        <v/>
      </c>
      <c r="EN7" s="23"/>
      <c r="EO7" s="22" t="str">
        <f t="shared" si="73"/>
        <v/>
      </c>
      <c r="EP7" s="19" t="str">
        <f>IFERROR(IF(EP9="","",EP9/EP6),"")</f>
        <v/>
      </c>
      <c r="EQ7" s="20" t="str">
        <f t="shared" si="74"/>
        <v/>
      </c>
      <c r="ER7" s="23"/>
      <c r="ES7" s="22" t="str">
        <f t="shared" si="75"/>
        <v/>
      </c>
    </row>
    <row r="8" ht="18.0" customHeight="1">
      <c r="A8" s="2" t="s">
        <v>10</v>
      </c>
      <c r="B8" s="24" t="str">
        <f t="shared" ref="B8:D8" si="76">IFERROR(SUM(EP8*EP6,EL8*EL6,EH8*EH6,ED8*ED6,DZ8*DZ6,DV8*DV6,DR8*DR6,DN8*DN6,DJ8*DJ6,DF8*DF6,DB8*DB6,CX8*CX6,CT8*CT6,CP8*CP6,CL8*CL6,CH8*CH6,CD8*CD6,BZ8*BZ6,BV8*BV6,BR8*BR6,BN8*BN6,BJ8*BJ6,BF8*BF6,BB8*BB6,AX8*AX6,AT8*AT6,AP8*AP6,AL8*AL6,AH8*AH6,AD8*AD6,Z8*Z6,V8*V6,R8*R6,N8*N6,J8*J6,F8*F6)/SUM(EP6,EL6,EH6,ED6,DZ6,DV6,DR6,DN6,DJ6,DF6,DB6,CX6,CT6,CP6,CL6,CH6,CD6,BZ6,BV6,BR6,BN6,BJ6,BF6,BB6,AX6,AT6,AP6,AL6,AH6,AD6,Z6,V6,R6,N6,J6,F6),"")</f>
        <v/>
      </c>
      <c r="C8" s="25" t="str">
        <f t="shared" si="76"/>
        <v/>
      </c>
      <c r="D8" s="26" t="str">
        <f t="shared" si="76"/>
        <v/>
      </c>
      <c r="E8" s="27" t="str">
        <f t="shared" si="3"/>
        <v/>
      </c>
      <c r="F8" s="28"/>
      <c r="G8" s="25" t="str">
        <f t="shared" si="4"/>
        <v/>
      </c>
      <c r="H8" s="29"/>
      <c r="I8" s="27" t="str">
        <f t="shared" si="5"/>
        <v/>
      </c>
      <c r="J8" s="28"/>
      <c r="K8" s="25" t="str">
        <f t="shared" si="6"/>
        <v/>
      </c>
      <c r="L8" s="29"/>
      <c r="M8" s="27" t="str">
        <f t="shared" si="7"/>
        <v/>
      </c>
      <c r="N8" s="28"/>
      <c r="O8" s="25" t="str">
        <f t="shared" si="8"/>
        <v/>
      </c>
      <c r="P8" s="29"/>
      <c r="Q8" s="27" t="str">
        <f t="shared" si="9"/>
        <v/>
      </c>
      <c r="R8" s="28"/>
      <c r="S8" s="25" t="str">
        <f t="shared" si="10"/>
        <v/>
      </c>
      <c r="T8" s="29"/>
      <c r="U8" s="27" t="str">
        <f t="shared" si="11"/>
        <v/>
      </c>
      <c r="V8" s="28"/>
      <c r="W8" s="25" t="str">
        <f t="shared" si="12"/>
        <v/>
      </c>
      <c r="X8" s="29"/>
      <c r="Y8" s="27" t="str">
        <f t="shared" si="13"/>
        <v/>
      </c>
      <c r="Z8" s="28"/>
      <c r="AA8" s="25" t="str">
        <f t="shared" si="14"/>
        <v/>
      </c>
      <c r="AB8" s="29"/>
      <c r="AC8" s="27" t="str">
        <f t="shared" si="15"/>
        <v/>
      </c>
      <c r="AD8" s="28"/>
      <c r="AE8" s="25" t="str">
        <f t="shared" si="16"/>
        <v/>
      </c>
      <c r="AF8" s="29"/>
      <c r="AG8" s="27" t="str">
        <f t="shared" si="17"/>
        <v/>
      </c>
      <c r="AH8" s="28"/>
      <c r="AI8" s="25" t="str">
        <f t="shared" si="18"/>
        <v/>
      </c>
      <c r="AJ8" s="29"/>
      <c r="AK8" s="27" t="str">
        <f t="shared" si="19"/>
        <v/>
      </c>
      <c r="AL8" s="28"/>
      <c r="AM8" s="25" t="str">
        <f t="shared" si="20"/>
        <v/>
      </c>
      <c r="AN8" s="29"/>
      <c r="AO8" s="27" t="str">
        <f t="shared" si="21"/>
        <v/>
      </c>
      <c r="AP8" s="28"/>
      <c r="AQ8" s="25" t="str">
        <f t="shared" si="22"/>
        <v/>
      </c>
      <c r="AR8" s="29"/>
      <c r="AS8" s="27" t="str">
        <f t="shared" si="23"/>
        <v/>
      </c>
      <c r="AT8" s="28"/>
      <c r="AU8" s="25" t="str">
        <f t="shared" si="24"/>
        <v/>
      </c>
      <c r="AV8" s="29"/>
      <c r="AW8" s="27" t="str">
        <f t="shared" si="25"/>
        <v/>
      </c>
      <c r="AX8" s="28"/>
      <c r="AY8" s="25" t="str">
        <f t="shared" si="26"/>
        <v/>
      </c>
      <c r="AZ8" s="29"/>
      <c r="BA8" s="27" t="str">
        <f t="shared" si="27"/>
        <v/>
      </c>
      <c r="BB8" s="28"/>
      <c r="BC8" s="25" t="str">
        <f t="shared" si="28"/>
        <v/>
      </c>
      <c r="BD8" s="29"/>
      <c r="BE8" s="27" t="str">
        <f t="shared" si="29"/>
        <v/>
      </c>
      <c r="BF8" s="28"/>
      <c r="BG8" s="25" t="str">
        <f t="shared" si="30"/>
        <v/>
      </c>
      <c r="BH8" s="29"/>
      <c r="BI8" s="27" t="str">
        <f t="shared" si="31"/>
        <v/>
      </c>
      <c r="BJ8" s="28"/>
      <c r="BK8" s="25" t="str">
        <f t="shared" si="32"/>
        <v/>
      </c>
      <c r="BL8" s="29"/>
      <c r="BM8" s="27" t="str">
        <f t="shared" si="33"/>
        <v/>
      </c>
      <c r="BN8" s="28"/>
      <c r="BO8" s="25" t="str">
        <f t="shared" si="34"/>
        <v/>
      </c>
      <c r="BP8" s="29"/>
      <c r="BQ8" s="27" t="str">
        <f t="shared" si="35"/>
        <v/>
      </c>
      <c r="BR8" s="28"/>
      <c r="BS8" s="25" t="str">
        <f t="shared" si="36"/>
        <v/>
      </c>
      <c r="BT8" s="29"/>
      <c r="BU8" s="27" t="str">
        <f t="shared" si="37"/>
        <v/>
      </c>
      <c r="BV8" s="28"/>
      <c r="BW8" s="25" t="str">
        <f t="shared" si="38"/>
        <v/>
      </c>
      <c r="BX8" s="29"/>
      <c r="BY8" s="27" t="str">
        <f t="shared" si="39"/>
        <v/>
      </c>
      <c r="BZ8" s="28"/>
      <c r="CA8" s="25" t="str">
        <f t="shared" si="40"/>
        <v/>
      </c>
      <c r="CB8" s="29"/>
      <c r="CC8" s="27" t="str">
        <f t="shared" si="41"/>
        <v/>
      </c>
      <c r="CD8" s="28"/>
      <c r="CE8" s="25" t="str">
        <f t="shared" si="42"/>
        <v/>
      </c>
      <c r="CF8" s="29"/>
      <c r="CG8" s="27" t="str">
        <f t="shared" si="43"/>
        <v/>
      </c>
      <c r="CH8" s="28"/>
      <c r="CI8" s="25" t="str">
        <f t="shared" si="44"/>
        <v/>
      </c>
      <c r="CJ8" s="29"/>
      <c r="CK8" s="27" t="str">
        <f t="shared" si="45"/>
        <v/>
      </c>
      <c r="CL8" s="28"/>
      <c r="CM8" s="25" t="str">
        <f t="shared" si="46"/>
        <v/>
      </c>
      <c r="CN8" s="29"/>
      <c r="CO8" s="27" t="str">
        <f t="shared" si="47"/>
        <v/>
      </c>
      <c r="CP8" s="28"/>
      <c r="CQ8" s="25" t="str">
        <f t="shared" si="48"/>
        <v/>
      </c>
      <c r="CR8" s="29"/>
      <c r="CS8" s="27" t="str">
        <f t="shared" si="49"/>
        <v/>
      </c>
      <c r="CT8" s="28"/>
      <c r="CU8" s="25" t="str">
        <f t="shared" si="50"/>
        <v/>
      </c>
      <c r="CV8" s="29"/>
      <c r="CW8" s="27" t="str">
        <f t="shared" si="51"/>
        <v/>
      </c>
      <c r="CX8" s="28"/>
      <c r="CY8" s="25" t="str">
        <f t="shared" si="52"/>
        <v/>
      </c>
      <c r="CZ8" s="29"/>
      <c r="DA8" s="27" t="str">
        <f t="shared" si="53"/>
        <v/>
      </c>
      <c r="DB8" s="28"/>
      <c r="DC8" s="25" t="str">
        <f t="shared" si="54"/>
        <v/>
      </c>
      <c r="DD8" s="29"/>
      <c r="DE8" s="27" t="str">
        <f t="shared" si="55"/>
        <v/>
      </c>
      <c r="DF8" s="28"/>
      <c r="DG8" s="25" t="str">
        <f t="shared" si="56"/>
        <v/>
      </c>
      <c r="DH8" s="29"/>
      <c r="DI8" s="27" t="str">
        <f t="shared" si="57"/>
        <v/>
      </c>
      <c r="DJ8" s="28"/>
      <c r="DK8" s="25" t="str">
        <f t="shared" si="58"/>
        <v/>
      </c>
      <c r="DL8" s="29"/>
      <c r="DM8" s="27" t="str">
        <f t="shared" si="59"/>
        <v/>
      </c>
      <c r="DN8" s="28"/>
      <c r="DO8" s="25" t="str">
        <f t="shared" si="60"/>
        <v/>
      </c>
      <c r="DP8" s="29"/>
      <c r="DQ8" s="27" t="str">
        <f t="shared" si="61"/>
        <v/>
      </c>
      <c r="DR8" s="28"/>
      <c r="DS8" s="25" t="str">
        <f t="shared" si="62"/>
        <v/>
      </c>
      <c r="DT8" s="29"/>
      <c r="DU8" s="27" t="str">
        <f t="shared" si="63"/>
        <v/>
      </c>
      <c r="DV8" s="28"/>
      <c r="DW8" s="25" t="str">
        <f t="shared" si="64"/>
        <v/>
      </c>
      <c r="DX8" s="29"/>
      <c r="DY8" s="27" t="str">
        <f t="shared" si="65"/>
        <v/>
      </c>
      <c r="DZ8" s="28"/>
      <c r="EA8" s="25" t="str">
        <f t="shared" si="66"/>
        <v/>
      </c>
      <c r="EB8" s="29"/>
      <c r="EC8" s="27" t="str">
        <f t="shared" si="67"/>
        <v/>
      </c>
      <c r="ED8" s="28"/>
      <c r="EE8" s="25" t="str">
        <f t="shared" si="68"/>
        <v/>
      </c>
      <c r="EF8" s="29"/>
      <c r="EG8" s="27" t="str">
        <f t="shared" si="69"/>
        <v/>
      </c>
      <c r="EH8" s="28"/>
      <c r="EI8" s="25" t="str">
        <f t="shared" si="70"/>
        <v/>
      </c>
      <c r="EJ8" s="29"/>
      <c r="EK8" s="27" t="str">
        <f t="shared" si="71"/>
        <v/>
      </c>
      <c r="EL8" s="28"/>
      <c r="EM8" s="25" t="str">
        <f t="shared" si="72"/>
        <v/>
      </c>
      <c r="EN8" s="29"/>
      <c r="EO8" s="27" t="str">
        <f t="shared" si="73"/>
        <v/>
      </c>
      <c r="EP8" s="28"/>
      <c r="EQ8" s="25" t="str">
        <f t="shared" si="74"/>
        <v/>
      </c>
      <c r="ER8" s="29"/>
      <c r="ES8" s="27" t="str">
        <f t="shared" si="75"/>
        <v/>
      </c>
    </row>
    <row r="9" ht="18.0" customHeight="1">
      <c r="A9" s="2" t="s">
        <v>11</v>
      </c>
      <c r="B9" s="13">
        <f t="shared" ref="B9:D9" si="77">SUM(EP9,EL9,EH9,ED9,DZ9,DV9,DR9,DN9,DJ9,DF9,DB9,CX9,CT9,CP9,CL9,CH9,CD9,BZ9,BV9,BR9,BN9,BJ9,BF9,BB9,AX9,AT9,AP9,AL9,AH9,AD9,Z9,V9,R9,N9,J9,F9)</f>
        <v>0</v>
      </c>
      <c r="C9" s="14">
        <f t="shared" si="77"/>
        <v>0</v>
      </c>
      <c r="D9" s="15">
        <f t="shared" si="77"/>
        <v>0</v>
      </c>
      <c r="E9" s="16">
        <f t="shared" si="3"/>
        <v>0</v>
      </c>
      <c r="F9" s="17"/>
      <c r="G9" s="14">
        <f>IF(F$98=1,F9,ROUND(SUM(IF(AND(EQ$6&lt;&gt;"",EQ$8&lt;&gt;""),IF(EOMONTH($EP$3+INT((DAY(EOMONTH($EP$3,0))-1)/2)+EQ$8,0)=EOMONTH($F$3,0),EQ$6*EQ$7,0),0),IF(AND(EM$6&lt;&gt;"",EM$8&lt;&gt;""),IF(EOMONTH($EL$3+INT((DAY(EOMONTH($EL$3,0))-1)/2)+EM$8,0)=EOMONTH($F$3,0),EM$6*EM$7,0),0),IF(AND(EI$6&lt;&gt;"",EI$8&lt;&gt;""),IF(EOMONTH($EH$3+INT((DAY(EOMONTH($EH$3,0))-1)/2)+EI$8,0)=EOMONTH($F$3,0),EI$6*EI$7,0),0),IF(AND(EE$6&lt;&gt;"",EE$8&lt;&gt;""),IF(EOMONTH($ED$3+INT((DAY(EOMONTH($ED$3,0))-1)/2)+EE$8,0)=EOMONTH($F$3,0),EE$6*EE$7,0),0),IF(AND(EA$6&lt;&gt;"",EA$8&lt;&gt;""),IF(EOMONTH($DZ$3+INT((DAY(EOMONTH($DZ$3,0))-1)/2)+EA$8,0)=EOMONTH($F$3,0),EA$6*EA$7,0),0),IF(AND(DW$6&lt;&gt;"",DW$8&lt;&gt;""),IF(EOMONTH($DV$3+INT((DAY(EOMONTH($DV$3,0))-1)/2)+DW$8,0)=EOMONTH($F$3,0),DW$6*DW$7,0),0),IF(AND(DS$6&lt;&gt;"",DS$8&lt;&gt;""),IF(EOMONTH($DR$3+INT((DAY(EOMONTH($DR$3,0))-1)/2)+DS$8,0)=EOMONTH($F$3,0),DS$6*DS$7,0),0),IF(AND(DO$6&lt;&gt;"",DO$8&lt;&gt;""),IF(EOMONTH($DN$3+INT((DAY(EOMONTH($DN$3,0))-1)/2)+DO$8,0)=EOMONTH($F$3,0),DO$6*DO$7,0),0),IF(AND(DK$6&lt;&gt;"",DK$8&lt;&gt;""),IF(EOMONTH($DJ$3+INT((DAY(EOMONTH($DJ$3,0))-1)/2)+DK$8,0)=EOMONTH($F$3,0),DK$6*DK$7,0),0),IF(AND(DG$6&lt;&gt;"",DG$8&lt;&gt;""),IF(EOMONTH($DF$3+INT((DAY(EOMONTH($DF$3,0))-1)/2)+DG$8,0)=EOMONTH($F$3,0),DG$6*DG$7,0),0),IF(AND(DC$6&lt;&gt;"",DC$8&lt;&gt;""),IF(EOMONTH($DB$3+INT((DAY(EOMONTH($DB$3,0))-1)/2)+DC$8,0)=EOMONTH($F$3,0),DC$6*DC$7,0),0),IF(AND(CY$6&lt;&gt;"",CY$8&lt;&gt;""),IF(EOMONTH($CX$3+INT((DAY(EOMONTH($CX$3,0))-1)/2)+CY$8,0)=EOMONTH($F$3,0),CY$6*CY$7,0),0),IF(AND(CU$6&lt;&gt;"",CU$8&lt;&gt;""),IF(EOMONTH($CT$3+INT((DAY(EOMONTH($CT$3,0))-1)/2)+CU$8,0)=EOMONTH($F$3,0),CU$6*CU$7,0),0),IF(AND(CQ$6&lt;&gt;"",CQ$8&lt;&gt;""),IF(EOMONTH($CP$3+INT((DAY(EOMONTH($CP$3,0))-1)/2)+CQ$8,0)=EOMONTH($F$3,0),CQ$6*CQ$7,0),0),IF(AND(CM$6&lt;&gt;"",CM$8&lt;&gt;""),IF(EOMONTH($CL$3+INT((DAY(EOMONTH($CL$3,0))-1)/2)+CM$8,0)=EOMONTH($F$3,0),CM$6*CM$7,0),0),IF(AND(CI$6&lt;&gt;"",CI$8&lt;&gt;""),IF(EOMONTH($CH$3+INT((DAY(EOMONTH($CH$3,0))-1)/2)+CI$8,0)=EOMONTH($F$3,0),CI$6*CI$7,0),0),IF(AND(CE$6&lt;&gt;"",CE$8&lt;&gt;""),IF(EOMONTH($CD$3+INT((DAY(EOMONTH($CD$3,0))-1)/2)+CE$8,0)=EOMONTH($F$3,0),CE$6*CE$7,0),0),IF(AND(CA$6&lt;&gt;"",CA$8&lt;&gt;""),IF(EOMONTH($BZ$3+INT((DAY(EOMONTH($BZ$3,0))-1)/2)+CA$8,0)=EOMONTH($F$3,0),CA$6*CA$7,0),0),IF(AND(BW$6&lt;&gt;"",BW$8&lt;&gt;""),IF(EOMONTH($BV$3+INT((DAY(EOMONTH($BV$3,0))-1)/2)+BW$8,0)=EOMONTH($F$3,0),BW$6*BW$7,0),0),IF(AND(BS$6&lt;&gt;"",BS$8&lt;&gt;""),IF(EOMONTH($BR$3+INT((DAY(EOMONTH($BR$3,0))-1)/2)+BS$8,0)=EOMONTH($F$3,0),BS$6*BS$7,0),0),IF(AND(BO$6&lt;&gt;"",BO$8&lt;&gt;""),IF(EOMONTH($BN$3+INT((DAY(EOMONTH($BN$3,0))-1)/2)+BO$8,0)=EOMONTH($F$3,0),BO$6*BO$7,0),0),IF(AND(BK$6&lt;&gt;"",BK$8&lt;&gt;""),IF(EOMONTH($BJ$3+INT((DAY(EOMONTH($BJ$3,0))-1)/2)+BK$8,0)=EOMONTH($F$3,0),BK$6*BK$7,0),0),IF(AND(BG$6&lt;&gt;"",BG$8&lt;&gt;""),IF(EOMONTH($BF$3+INT((DAY(EOMONTH($BF$3,0))-1)/2)+BG$8,0)=EOMONTH($F$3,0),BG$6*BG$7,0),0),IF(AND(BC$6&lt;&gt;"",BC$8&lt;&gt;""),IF(EOMONTH($BB$3+INT((DAY(EOMONTH($BB$3,0))-1)/2)+BC$8,0)=EOMONTH($F$3,0),BC$6*BC$7,0),0),IF(AND(AY$6&lt;&gt;"",AY$8&lt;&gt;""),IF(EOMONTH($AX$3+INT((DAY(EOMONTH($AX$3,0))-1)/2)+AY$8,0)=EOMONTH($F$3,0),AY$6*AY$7,0),0),IF(AND(AU$6&lt;&gt;"",AU$8&lt;&gt;""),IF(EOMONTH($AT$3+INT((DAY(EOMONTH($AT$3,0))-1)/2)+AU$8,0)=EOMONTH($F$3,0),AU$6*AU$7,0),0),IF(AND(AQ$6&lt;&gt;"",AQ$8&lt;&gt;""),IF(EOMONTH($AP$3+INT((DAY(EOMONTH($AP$3,0))-1)/2)+AQ$8,0)=EOMONTH($F$3,0),AQ$6*AQ$7,0),0),IF(AND(AM$6&lt;&gt;"",AM$8&lt;&gt;""),IF(EOMONTH($AL$3+INT((DAY(EOMONTH($AL$3,0))-1)/2)+AM$8,0)=EOMONTH($F$3,0),AM$6*AM$7,0),0),IF(AND(AI$6&lt;&gt;"",AI$8&lt;&gt;""),IF(EOMONTH($AH$3+INT((DAY(EOMONTH($AH$3,0))-1)/2)+AI$8,0)=EOMONTH($F$3,0),AI$6*AI$7,0),0),IF(AND(AE$6&lt;&gt;"",AE$8&lt;&gt;""),IF(EOMONTH($AD$3+INT((DAY(EOMONTH($AD$3,0))-1)/2)+AE$8,0)=EOMONTH($F$3,0),AE$6*AE$7,0),0),IF(AND(AA$6&lt;&gt;"",AA$8&lt;&gt;""),IF(EOMONTH($Z$3+INT((DAY(EOMONTH($Z$3,0))-1)/2)+AA$8,0)=EOMONTH($F$3,0),AA$6*AA$7,0),0),IF(AND(W$6&lt;&gt;"",W$8&lt;&gt;""),IF(EOMONTH($V$3+INT((DAY(EOMONTH($V$3,0))-1)/2)+W$8,0)=EOMONTH($F$3,0),W$6*W$7,0),0),IF(AND(S$6&lt;&gt;"",S$8&lt;&gt;""),IF(EOMONTH($R$3+INT((DAY(EOMONTH($R$3,0))-1)/2)+S$8,0)=EOMONTH($F$3,0),S$6*S$7,0),0),IF(AND(O$6&lt;&gt;"",O$8&lt;&gt;""),IF(EOMONTH($N$3+INT((DAY(EOMONTH($N$3,0))-1)/2)+O$8,0)=EOMONTH($F$3,0),O$6*O$7,0),0),IF(AND(K$6&lt;&gt;"",K$8&lt;&gt;""),IF(EOMONTH($J$3+INT((DAY(EOMONTH($J$3,0))-1)/2)+K$8,0)=EOMONTH($F$3,0),K$6*K$7,0),0),IF(AND(G$6&lt;&gt;"",G$8&lt;&gt;""),IF(EOMONTH($F$3+INT((DAY(EOMONTH($F$3,0))-1)/2)+G$8,0)=EOMONTH($F$3,0),G$6*G$7,0),0)),0))</f>
        <v>0</v>
      </c>
      <c r="H9" s="15">
        <f>ROUND(SUM(IF(AND(ER$6&lt;&gt;"",ER$8&lt;&gt;""),IF(EOMONTH($EP$3+INT((DAY(EOMONTH($EP$3,0))-1)/2)+ER$8,0)=EOMONTH($F$3,0),ER$6*ER$7,0),0),IF(AND(EN$6&lt;&gt;"",EN$8&lt;&gt;""),IF(EOMONTH($EL$3+INT((DAY(EOMONTH($EL$3,0))-1)/2)+EN$8,0)=EOMONTH($F$3,0),EN$6*EN$7,0),0),IF(AND(EJ$6&lt;&gt;"",EJ$8&lt;&gt;""),IF(EOMONTH($EH$3+INT((DAY(EOMONTH($EH$3,0))-1)/2)+EJ$8,0)=EOMONTH($F$3,0),EJ$6*EJ$7,0),0),IF(AND(EF$6&lt;&gt;"",EF$8&lt;&gt;""),IF(EOMONTH($ED$3+INT((DAY(EOMONTH($ED$3,0))-1)/2)+EF$8,0)=EOMONTH($F$3,0),EF$6*EF$7,0),0),IF(AND(EB$6&lt;&gt;"",EB$8&lt;&gt;""),IF(EOMONTH($DZ$3+INT((DAY(EOMONTH($DZ$3,0))-1)/2)+EB$8,0)=EOMONTH($F$3,0),EB$6*EB$7,0),0),IF(AND(DX$6&lt;&gt;"",DX$8&lt;&gt;""),IF(EOMONTH($DV$3+INT((DAY(EOMONTH($DV$3,0))-1)/2)+DX$8,0)=EOMONTH($F$3,0),DX$6*DX$7,0),0),IF(AND(DT$6&lt;&gt;"",DT$8&lt;&gt;""),IF(EOMONTH($DR$3+INT((DAY(EOMONTH($DR$3,0))-1)/2)+DT$8,0)=EOMONTH($F$3,0),DT$6*DT$7,0),0),IF(AND(DP$6&lt;&gt;"",DP$8&lt;&gt;""),IF(EOMONTH($DN$3+INT((DAY(EOMONTH($DN$3,0))-1)/2)+DP$8,0)=EOMONTH($F$3,0),DP$6*DP$7,0),0),IF(AND(DL$6&lt;&gt;"",DL$8&lt;&gt;""),IF(EOMONTH($DJ$3+INT((DAY(EOMONTH($DJ$3,0))-1)/2)+DL$8,0)=EOMONTH($F$3,0),DL$6*DL$7,0),0),IF(AND(DH$6&lt;&gt;"",DH$8&lt;&gt;""),IF(EOMONTH($DF$3+INT((DAY(EOMONTH($DF$3,0))-1)/2)+DH$8,0)=EOMONTH($F$3,0),DH$6*DH$7,0),0),IF(AND(DD$6&lt;&gt;"",DD$8&lt;&gt;""),IF(EOMONTH($DB$3+INT((DAY(EOMONTH($DB$3,0))-1)/2)+DD$8,0)=EOMONTH($F$3,0),DD$6*DD$7,0),0),IF(AND(CZ$6&lt;&gt;"",CZ$8&lt;&gt;""),IF(EOMONTH($CX$3+INT((DAY(EOMONTH($CX$3,0))-1)/2)+CZ$8,0)=EOMONTH($F$3,0),CZ$6*CZ$7,0),0),IF(AND(CV$6&lt;&gt;"",CV$8&lt;&gt;""),IF(EOMONTH($CT$3+INT((DAY(EOMONTH($CT$3,0))-1)/2)+CV$8,0)=EOMONTH($F$3,0),CV$6*CV$7,0),0),IF(AND(CR$6&lt;&gt;"",CR$8&lt;&gt;""),IF(EOMONTH($CP$3+INT((DAY(EOMONTH($CP$3,0))-1)/2)+CR$8,0)=EOMONTH($F$3,0),CR$6*CR$7,0),0),IF(AND(CN$6&lt;&gt;"",CN$8&lt;&gt;""),IF(EOMONTH($CL$3+INT((DAY(EOMONTH($CL$3,0))-1)/2)+CN$8,0)=EOMONTH($F$3,0),CN$6*CN$7,0),0),IF(AND(CJ$6&lt;&gt;"",CJ$8&lt;&gt;""),IF(EOMONTH($CH$3+INT((DAY(EOMONTH($CH$3,0))-1)/2)+CJ$8,0)=EOMONTH($F$3,0),CJ$6*CJ$7,0),0),IF(AND(CF$6&lt;&gt;"",CF$8&lt;&gt;""),IF(EOMONTH($CD$3+INT((DAY(EOMONTH($CD$3,0))-1)/2)+CF$8,0)=EOMONTH($F$3,0),CF$6*CF$7,0),0),IF(AND(CB$6&lt;&gt;"",CB$8&lt;&gt;""),IF(EOMONTH($BZ$3+INT((DAY(EOMONTH($BZ$3,0))-1)/2)+CB$8,0)=EOMONTH($F$3,0),CB$6*CB$7,0),0),IF(AND(BX$6&lt;&gt;"",BX$8&lt;&gt;""),IF(EOMONTH($BV$3+INT((DAY(EOMONTH($BV$3,0))-1)/2)+BX$8,0)=EOMONTH($F$3,0),BX$6*BX$7,0),0),IF(AND(BT$6&lt;&gt;"",BT$8&lt;&gt;""),IF(EOMONTH($BR$3+INT((DAY(EOMONTH($BR$3,0))-1)/2)+BT$8,0)=EOMONTH($F$3,0),BT$6*BT$7,0),0),IF(AND(BP$6&lt;&gt;"",BP$8&lt;&gt;""),IF(EOMONTH($BN$3+INT((DAY(EOMONTH($BN$3,0))-1)/2)+BP$8,0)=EOMONTH($F$3,0),BP$6*BP$7,0),0),IF(AND(BL$6&lt;&gt;"",BL$8&lt;&gt;""),IF(EOMONTH($BJ$3+INT((DAY(EOMONTH($BJ$3,0))-1)/2)+BL$8,0)=EOMONTH($F$3,0),BL$6*BL$7,0),0),IF(AND(BH$6&lt;&gt;"",BH$8&lt;&gt;""),IF(EOMONTH($BF$3+INT((DAY(EOMONTH($BF$3,0))-1)/2)+BH$8,0)=EOMONTH($F$3,0),BH$6*BH$7,0),0),IF(AND(BD$6&lt;&gt;"",BD$8&lt;&gt;""),IF(EOMONTH($BB$3+INT((DAY(EOMONTH($BB$3,0))-1)/2)+BD$8,0)=EOMONTH($F$3,0),BD$6*BD$7,0),0),IF(AND(AZ$6&lt;&gt;"",AZ$8&lt;&gt;""),IF(EOMONTH($AX$3+INT((DAY(EOMONTH($AX$3,0))-1)/2)+AZ$8,0)=EOMONTH($F$3,0),AZ$6*AZ$7,0),0),IF(AND(AV$6&lt;&gt;"",AV$8&lt;&gt;""),IF(EOMONTH($AT$3+INT((DAY(EOMONTH($AT$3,0))-1)/2)+AV$8,0)=EOMONTH($F$3,0),AV$6*AV$7,0),0),IF(AND(AR$6&lt;&gt;"",AR$8&lt;&gt;""),IF(EOMONTH($AP$3+INT((DAY(EOMONTH($AP$3,0))-1)/2)+AR$8,0)=EOMONTH($F$3,0),AR$6*AR$7,0),0),IF(AND(AN$6&lt;&gt;"",AN$8&lt;&gt;""),IF(EOMONTH($AL$3+INT((DAY(EOMONTH($AL$3,0))-1)/2)+AN$8,0)=EOMONTH($F$3,0),AN$6*AN$7,0),0),IF(AND(AJ$6&lt;&gt;"",AJ$8&lt;&gt;""),IF(EOMONTH($AH$3+INT((DAY(EOMONTH($AH$3,0))-1)/2)+AJ$8,0)=EOMONTH($F$3,0),AJ$6*AJ$7,0),0),IF(AND(AF$6&lt;&gt;"",AF$8&lt;&gt;""),IF(EOMONTH($AD$3+INT((DAY(EOMONTH($AD$3,0))-1)/2)+AF$8,0)=EOMONTH($F$3,0),AF$6*AF$7,0),0),IF(AND(AB$6&lt;&gt;"",AB$8&lt;&gt;""),IF(EOMONTH($Z$3+INT((DAY(EOMONTH($Z$3,0))-1)/2)+AB$8,0)=EOMONTH($F$3,0),AB$6*AB$7,0),0),IF(AND(X$6&lt;&gt;"",X$8&lt;&gt;""),IF(EOMONTH($V$3+INT((DAY(EOMONTH($V$3,0))-1)/2)+X$8,0)=EOMONTH($F$3,0),X$6*X$7,0),0),IF(AND(T$6&lt;&gt;"",T$8&lt;&gt;""),IF(EOMONTH($R$3+INT((DAY(EOMONTH($R$3,0))-1)/2)+T$8,0)=EOMONTH($F$3,0),T$6*T$7,0),0),IF(AND(P$6&lt;&gt;"",P$8&lt;&gt;""),IF(EOMONTH($N$3+INT((DAY(EOMONTH($N$3,0))-1)/2)+P$8,0)=EOMONTH($F$3,0),P$6*P$7,0),0),IF(AND(L$6&lt;&gt;"",L$8&lt;&gt;""),IF(EOMONTH($J$3+INT((DAY(EOMONTH($J$3,0))-1)/2)+L$8,0)=EOMONTH($F$3,0),L$6*L$7,0),0),IF(AND(H$6&lt;&gt;"",H$8&lt;&gt;""),IF(EOMONTH($F$3+INT((DAY(EOMONTH($F$3,0))-1)/2)+H$8,0)=EOMONTH($F$3,0),H$6*H$7,0),0)),0)</f>
        <v>0</v>
      </c>
      <c r="I9" s="16">
        <f t="shared" si="5"/>
        <v>0</v>
      </c>
      <c r="J9" s="17"/>
      <c r="K9" s="14">
        <f>IF(J$98=1,J9,ROUND(SUM(IF(AND(EQ$6&lt;&gt;"",EQ$8&lt;&gt;""),IF(EOMONTH($EP$3+INT((DAY(EOMONTH($EP$3,0))-1)/2)+EQ$8,0)=EOMONTH($J$3,0),EQ$6*EQ$7,0),0),IF(AND(EM$6&lt;&gt;"",EM$8&lt;&gt;""),IF(EOMONTH($EL$3+INT((DAY(EOMONTH($EL$3,0))-1)/2)+EM$8,0)=EOMONTH($J$3,0),EM$6*EM$7,0),0),IF(AND(EI$6&lt;&gt;"",EI$8&lt;&gt;""),IF(EOMONTH($EH$3+INT((DAY(EOMONTH($EH$3,0))-1)/2)+EI$8,0)=EOMONTH($J$3,0),EI$6*EI$7,0),0),IF(AND(EE$6&lt;&gt;"",EE$8&lt;&gt;""),IF(EOMONTH($ED$3+INT((DAY(EOMONTH($ED$3,0))-1)/2)+EE$8,0)=EOMONTH($J$3,0),EE$6*EE$7,0),0),IF(AND(EA$6&lt;&gt;"",EA$8&lt;&gt;""),IF(EOMONTH($DZ$3+INT((DAY(EOMONTH($DZ$3,0))-1)/2)+EA$8,0)=EOMONTH($J$3,0),EA$6*EA$7,0),0),IF(AND(DW$6&lt;&gt;"",DW$8&lt;&gt;""),IF(EOMONTH($DV$3+INT((DAY(EOMONTH($DV$3,0))-1)/2)+DW$8,0)=EOMONTH($J$3,0),DW$6*DW$7,0),0),IF(AND(DS$6&lt;&gt;"",DS$8&lt;&gt;""),IF(EOMONTH($DR$3+INT((DAY(EOMONTH($DR$3,0))-1)/2)+DS$8,0)=EOMONTH($J$3,0),DS$6*DS$7,0),0),IF(AND(DO$6&lt;&gt;"",DO$8&lt;&gt;""),IF(EOMONTH($DN$3+INT((DAY(EOMONTH($DN$3,0))-1)/2)+DO$8,0)=EOMONTH($J$3,0),DO$6*DO$7,0),0),IF(AND(DK$6&lt;&gt;"",DK$8&lt;&gt;""),IF(EOMONTH($DJ$3+INT((DAY(EOMONTH($DJ$3,0))-1)/2)+DK$8,0)=EOMONTH($J$3,0),DK$6*DK$7,0),0),IF(AND(DG$6&lt;&gt;"",DG$8&lt;&gt;""),IF(EOMONTH($DF$3+INT((DAY(EOMONTH($DF$3,0))-1)/2)+DG$8,0)=EOMONTH($J$3,0),DG$6*DG$7,0),0),IF(AND(DC$6&lt;&gt;"",DC$8&lt;&gt;""),IF(EOMONTH($DB$3+INT((DAY(EOMONTH($DB$3,0))-1)/2)+DC$8,0)=EOMONTH($J$3,0),DC$6*DC$7,0),0),IF(AND(CY$6&lt;&gt;"",CY$8&lt;&gt;""),IF(EOMONTH($CX$3+INT((DAY(EOMONTH($CX$3,0))-1)/2)+CY$8,0)=EOMONTH($J$3,0),CY$6*CY$7,0),0),IF(AND(CU$6&lt;&gt;"",CU$8&lt;&gt;""),IF(EOMONTH($CT$3+INT((DAY(EOMONTH($CT$3,0))-1)/2)+CU$8,0)=EOMONTH($J$3,0),CU$6*CU$7,0),0),IF(AND(CQ$6&lt;&gt;"",CQ$8&lt;&gt;""),IF(EOMONTH($CP$3+INT((DAY(EOMONTH($CP$3,0))-1)/2)+CQ$8,0)=EOMONTH($J$3,0),CQ$6*CQ$7,0),0),IF(AND(CM$6&lt;&gt;"",CM$8&lt;&gt;""),IF(EOMONTH($CL$3+INT((DAY(EOMONTH($CL$3,0))-1)/2)+CM$8,0)=EOMONTH($J$3,0),CM$6*CM$7,0),0),IF(AND(CI$6&lt;&gt;"",CI$8&lt;&gt;""),IF(EOMONTH($CH$3+INT((DAY(EOMONTH($CH$3,0))-1)/2)+CI$8,0)=EOMONTH($J$3,0),CI$6*CI$7,0),0),IF(AND(CE$6&lt;&gt;"",CE$8&lt;&gt;""),IF(EOMONTH($CD$3+INT((DAY(EOMONTH($CD$3,0))-1)/2)+CE$8,0)=EOMONTH($J$3,0),CE$6*CE$7,0),0),IF(AND(CA$6&lt;&gt;"",CA$8&lt;&gt;""),IF(EOMONTH($BZ$3+INT((DAY(EOMONTH($BZ$3,0))-1)/2)+CA$8,0)=EOMONTH($J$3,0),CA$6*CA$7,0),0),IF(AND(BW$6&lt;&gt;"",BW$8&lt;&gt;""),IF(EOMONTH($BV$3+INT((DAY(EOMONTH($BV$3,0))-1)/2)+BW$8,0)=EOMONTH($J$3,0),BW$6*BW$7,0),0),IF(AND(BS$6&lt;&gt;"",BS$8&lt;&gt;""),IF(EOMONTH($BR$3+INT((DAY(EOMONTH($BR$3,0))-1)/2)+BS$8,0)=EOMONTH($J$3,0),BS$6*BS$7,0),0),IF(AND(BO$6&lt;&gt;"",BO$8&lt;&gt;""),IF(EOMONTH($BN$3+INT((DAY(EOMONTH($BN$3,0))-1)/2)+BO$8,0)=EOMONTH($J$3,0),BO$6*BO$7,0),0),IF(AND(BK$6&lt;&gt;"",BK$8&lt;&gt;""),IF(EOMONTH($BJ$3+INT((DAY(EOMONTH($BJ$3,0))-1)/2)+BK$8,0)=EOMONTH($J$3,0),BK$6*BK$7,0),0),IF(AND(BG$6&lt;&gt;"",BG$8&lt;&gt;""),IF(EOMONTH($BF$3+INT((DAY(EOMONTH($BF$3,0))-1)/2)+BG$8,0)=EOMONTH($J$3,0),BG$6*BG$7,0),0),IF(AND(BC$6&lt;&gt;"",BC$8&lt;&gt;""),IF(EOMONTH($BB$3+INT((DAY(EOMONTH($BB$3,0))-1)/2)+BC$8,0)=EOMONTH($J$3,0),BC$6*BC$7,0),0),IF(AND(AY$6&lt;&gt;"",AY$8&lt;&gt;""),IF(EOMONTH($AX$3+INT((DAY(EOMONTH($AX$3,0))-1)/2)+AY$8,0)=EOMONTH($J$3,0),AY$6*AY$7,0),0),IF(AND(AU$6&lt;&gt;"",AU$8&lt;&gt;""),IF(EOMONTH($AT$3+INT((DAY(EOMONTH($AT$3,0))-1)/2)+AU$8,0)=EOMONTH($J$3,0),AU$6*AU$7,0),0),IF(AND(AQ$6&lt;&gt;"",AQ$8&lt;&gt;""),IF(EOMONTH($AP$3+INT((DAY(EOMONTH($AP$3,0))-1)/2)+AQ$8,0)=EOMONTH($J$3,0),AQ$6*AQ$7,0),0),IF(AND(AM$6&lt;&gt;"",AM$8&lt;&gt;""),IF(EOMONTH($AL$3+INT((DAY(EOMONTH($AL$3,0))-1)/2)+AM$8,0)=EOMONTH($J$3,0),AM$6*AM$7,0),0),IF(AND(AI$6&lt;&gt;"",AI$8&lt;&gt;""),IF(EOMONTH($AH$3+INT((DAY(EOMONTH($AH$3,0))-1)/2)+AI$8,0)=EOMONTH($J$3,0),AI$6*AI$7,0),0),IF(AND(AE$6&lt;&gt;"",AE$8&lt;&gt;""),IF(EOMONTH($AD$3+INT((DAY(EOMONTH($AD$3,0))-1)/2)+AE$8,0)=EOMONTH($J$3,0),AE$6*AE$7,0),0),IF(AND(AA$6&lt;&gt;"",AA$8&lt;&gt;""),IF(EOMONTH($Z$3+INT((DAY(EOMONTH($Z$3,0))-1)/2)+AA$8,0)=EOMONTH($J$3,0),AA$6*AA$7,0),0),IF(AND(W$6&lt;&gt;"",W$8&lt;&gt;""),IF(EOMONTH($V$3+INT((DAY(EOMONTH($V$3,0))-1)/2)+W$8,0)=EOMONTH($J$3,0),W$6*W$7,0),0),IF(AND(S$6&lt;&gt;"",S$8&lt;&gt;""),IF(EOMONTH($R$3+INT((DAY(EOMONTH($R$3,0))-1)/2)+S$8,0)=EOMONTH($J$3,0),S$6*S$7,0),0),IF(AND(O$6&lt;&gt;"",O$8&lt;&gt;""),IF(EOMONTH($N$3+INT((DAY(EOMONTH($N$3,0))-1)/2)+O$8,0)=EOMONTH($J$3,0),O$6*O$7,0),0),IF(AND(K$6&lt;&gt;"",K$8&lt;&gt;""),IF(EOMONTH($J$3+INT((DAY(EOMONTH($J$3,0))-1)/2)+K$8,0)=EOMONTH($J$3,0),K$6*K$7,0),0),IF(AND(G$6&lt;&gt;"",G$8&lt;&gt;""),IF(EOMONTH($F$3+INT((DAY(EOMONTH($F$3,0))-1)/2)+G$8,0)=EOMONTH($J$3,0),G$6*G$7,0),0)),0))</f>
        <v>0</v>
      </c>
      <c r="L9" s="15">
        <f>ROUND(SUM(IF(AND(ER$6&lt;&gt;"",ER$8&lt;&gt;""),IF(EOMONTH($EP$3+INT((DAY(EOMONTH($EP$3,0))-1)/2)+ER$8,0)=EOMONTH($J$3,0),ER$6*ER$7,0),0),IF(AND(EN$6&lt;&gt;"",EN$8&lt;&gt;""),IF(EOMONTH($EL$3+INT((DAY(EOMONTH($EL$3,0))-1)/2)+EN$8,0)=EOMONTH($J$3,0),EN$6*EN$7,0),0),IF(AND(EJ$6&lt;&gt;"",EJ$8&lt;&gt;""),IF(EOMONTH($EH$3+INT((DAY(EOMONTH($EH$3,0))-1)/2)+EJ$8,0)=EOMONTH($J$3,0),EJ$6*EJ$7,0),0),IF(AND(EF$6&lt;&gt;"",EF$8&lt;&gt;""),IF(EOMONTH($ED$3+INT((DAY(EOMONTH($ED$3,0))-1)/2)+EF$8,0)=EOMONTH($J$3,0),EF$6*EF$7,0),0),IF(AND(EB$6&lt;&gt;"",EB$8&lt;&gt;""),IF(EOMONTH($DZ$3+INT((DAY(EOMONTH($DZ$3,0))-1)/2)+EB$8,0)=EOMONTH($J$3,0),EB$6*EB$7,0),0),IF(AND(DX$6&lt;&gt;"",DX$8&lt;&gt;""),IF(EOMONTH($DV$3+INT((DAY(EOMONTH($DV$3,0))-1)/2)+DX$8,0)=EOMONTH($J$3,0),DX$6*DX$7,0),0),IF(AND(DT$6&lt;&gt;"",DT$8&lt;&gt;""),IF(EOMONTH($DR$3+INT((DAY(EOMONTH($DR$3,0))-1)/2)+DT$8,0)=EOMONTH($J$3,0),DT$6*DT$7,0),0),IF(AND(DP$6&lt;&gt;"",DP$8&lt;&gt;""),IF(EOMONTH($DN$3+INT((DAY(EOMONTH($DN$3,0))-1)/2)+DP$8,0)=EOMONTH($J$3,0),DP$6*DP$7,0),0),IF(AND(DL$6&lt;&gt;"",DL$8&lt;&gt;""),IF(EOMONTH($DJ$3+INT((DAY(EOMONTH($DJ$3,0))-1)/2)+DL$8,0)=EOMONTH($J$3,0),DL$6*DL$7,0),0),IF(AND(DH$6&lt;&gt;"",DH$8&lt;&gt;""),IF(EOMONTH($DF$3+INT((DAY(EOMONTH($DF$3,0))-1)/2)+DH$8,0)=EOMONTH($J$3,0),DH$6*DH$7,0),0),IF(AND(DD$6&lt;&gt;"",DD$8&lt;&gt;""),IF(EOMONTH($DB$3+INT((DAY(EOMONTH($DB$3,0))-1)/2)+DD$8,0)=EOMONTH($J$3,0),DD$6*DD$7,0),0),IF(AND(CZ$6&lt;&gt;"",CZ$8&lt;&gt;""),IF(EOMONTH($CX$3+INT((DAY(EOMONTH($CX$3,0))-1)/2)+CZ$8,0)=EOMONTH($J$3,0),CZ$6*CZ$7,0),0),IF(AND(CV$6&lt;&gt;"",CV$8&lt;&gt;""),IF(EOMONTH($CT$3+INT((DAY(EOMONTH($CT$3,0))-1)/2)+CV$8,0)=EOMONTH($J$3,0),CV$6*CV$7,0),0),IF(AND(CR$6&lt;&gt;"",CR$8&lt;&gt;""),IF(EOMONTH($CP$3+INT((DAY(EOMONTH($CP$3,0))-1)/2)+CR$8,0)=EOMONTH($J$3,0),CR$6*CR$7,0),0),IF(AND(CN$6&lt;&gt;"",CN$8&lt;&gt;""),IF(EOMONTH($CL$3+INT((DAY(EOMONTH($CL$3,0))-1)/2)+CN$8,0)=EOMONTH($J$3,0),CN$6*CN$7,0),0),IF(AND(CJ$6&lt;&gt;"",CJ$8&lt;&gt;""),IF(EOMONTH($CH$3+INT((DAY(EOMONTH($CH$3,0))-1)/2)+CJ$8,0)=EOMONTH($J$3,0),CJ$6*CJ$7,0),0),IF(AND(CF$6&lt;&gt;"",CF$8&lt;&gt;""),IF(EOMONTH($CD$3+INT((DAY(EOMONTH($CD$3,0))-1)/2)+CF$8,0)=EOMONTH($J$3,0),CF$6*CF$7,0),0),IF(AND(CB$6&lt;&gt;"",CB$8&lt;&gt;""),IF(EOMONTH($BZ$3+INT((DAY(EOMONTH($BZ$3,0))-1)/2)+CB$8,0)=EOMONTH($J$3,0),CB$6*CB$7,0),0),IF(AND(BX$6&lt;&gt;"",BX$8&lt;&gt;""),IF(EOMONTH($BV$3+INT((DAY(EOMONTH($BV$3,0))-1)/2)+BX$8,0)=EOMONTH($J$3,0),BX$6*BX$7,0),0),IF(AND(BT$6&lt;&gt;"",BT$8&lt;&gt;""),IF(EOMONTH($BR$3+INT((DAY(EOMONTH($BR$3,0))-1)/2)+BT$8,0)=EOMONTH($J$3,0),BT$6*BT$7,0),0),IF(AND(BP$6&lt;&gt;"",BP$8&lt;&gt;""),IF(EOMONTH($BN$3+INT((DAY(EOMONTH($BN$3,0))-1)/2)+BP$8,0)=EOMONTH($J$3,0),BP$6*BP$7,0),0),IF(AND(BL$6&lt;&gt;"",BL$8&lt;&gt;""),IF(EOMONTH($BJ$3+INT((DAY(EOMONTH($BJ$3,0))-1)/2)+BL$8,0)=EOMONTH($J$3,0),BL$6*BL$7,0),0),IF(AND(BH$6&lt;&gt;"",BH$8&lt;&gt;""),IF(EOMONTH($BF$3+INT((DAY(EOMONTH($BF$3,0))-1)/2)+BH$8,0)=EOMONTH($J$3,0),BH$6*BH$7,0),0),IF(AND(BD$6&lt;&gt;"",BD$8&lt;&gt;""),IF(EOMONTH($BB$3+INT((DAY(EOMONTH($BB$3,0))-1)/2)+BD$8,0)=EOMONTH($J$3,0),BD$6*BD$7,0),0),IF(AND(AZ$6&lt;&gt;"",AZ$8&lt;&gt;""),IF(EOMONTH($AX$3+INT((DAY(EOMONTH($AX$3,0))-1)/2)+AZ$8,0)=EOMONTH($J$3,0),AZ$6*AZ$7,0),0),IF(AND(AV$6&lt;&gt;"",AV$8&lt;&gt;""),IF(EOMONTH($AT$3+INT((DAY(EOMONTH($AT$3,0))-1)/2)+AV$8,0)=EOMONTH($J$3,0),AV$6*AV$7,0),0),IF(AND(AR$6&lt;&gt;"",AR$8&lt;&gt;""),IF(EOMONTH($AP$3+INT((DAY(EOMONTH($AP$3,0))-1)/2)+AR$8,0)=EOMONTH($J$3,0),AR$6*AR$7,0),0),IF(AND(AN$6&lt;&gt;"",AN$8&lt;&gt;""),IF(EOMONTH($AL$3+INT((DAY(EOMONTH($AL$3,0))-1)/2)+AN$8,0)=EOMONTH($J$3,0),AN$6*AN$7,0),0),IF(AND(AJ$6&lt;&gt;"",AJ$8&lt;&gt;""),IF(EOMONTH($AH$3+INT((DAY(EOMONTH($AH$3,0))-1)/2)+AJ$8,0)=EOMONTH($J$3,0),AJ$6*AJ$7,0),0),IF(AND(AF$6&lt;&gt;"",AF$8&lt;&gt;""),IF(EOMONTH($AD$3+INT((DAY(EOMONTH($AD$3,0))-1)/2)+AF$8,0)=EOMONTH($J$3,0),AF$6*AF$7,0),0),IF(AND(AB$6&lt;&gt;"",AB$8&lt;&gt;""),IF(EOMONTH($Z$3+INT((DAY(EOMONTH($Z$3,0))-1)/2)+AB$8,0)=EOMONTH($J$3,0),AB$6*AB$7,0),0),IF(AND(X$6&lt;&gt;"",X$8&lt;&gt;""),IF(EOMONTH($V$3+INT((DAY(EOMONTH($V$3,0))-1)/2)+X$8,0)=EOMONTH($J$3,0),X$6*X$7,0),0),IF(AND(T$6&lt;&gt;"",T$8&lt;&gt;""),IF(EOMONTH($R$3+INT((DAY(EOMONTH($R$3,0))-1)/2)+T$8,0)=EOMONTH($J$3,0),T$6*T$7,0),0),IF(AND(P$6&lt;&gt;"",P$8&lt;&gt;""),IF(EOMONTH($N$3+INT((DAY(EOMONTH($N$3,0))-1)/2)+P$8,0)=EOMONTH($J$3,0),P$6*P$7,0),0),IF(AND(L$6&lt;&gt;"",L$8&lt;&gt;""),IF(EOMONTH($J$3+INT((DAY(EOMONTH($J$3,0))-1)/2)+L$8,0)=EOMONTH($J$3,0),L$6*L$7,0),0),IF(AND(H$6&lt;&gt;"",H$8&lt;&gt;""),IF(EOMONTH($F$3+INT((DAY(EOMONTH($F$3,0))-1)/2)+H$8,0)=EOMONTH($J$3,0),H$6*H$7,0),0)),0)</f>
        <v>0</v>
      </c>
      <c r="M9" s="16">
        <f t="shared" si="7"/>
        <v>0</v>
      </c>
      <c r="N9" s="17"/>
      <c r="O9" s="14">
        <f>IF(N$98=1,N9,ROUND(SUM(IF(AND(EQ$6&lt;&gt;"",EQ$8&lt;&gt;""),IF(EOMONTH($EP$3+INT((DAY(EOMONTH($EP$3,0))-1)/2)+EQ$8,0)=EOMONTH($N$3,0),EQ$6*EQ$7,0),0),IF(AND(EM$6&lt;&gt;"",EM$8&lt;&gt;""),IF(EOMONTH($EL$3+INT((DAY(EOMONTH($EL$3,0))-1)/2)+EM$8,0)=EOMONTH($N$3,0),EM$6*EM$7,0),0),IF(AND(EI$6&lt;&gt;"",EI$8&lt;&gt;""),IF(EOMONTH($EH$3+INT((DAY(EOMONTH($EH$3,0))-1)/2)+EI$8,0)=EOMONTH($N$3,0),EI$6*EI$7,0),0),IF(AND(EE$6&lt;&gt;"",EE$8&lt;&gt;""),IF(EOMONTH($ED$3+INT((DAY(EOMONTH($ED$3,0))-1)/2)+EE$8,0)=EOMONTH($N$3,0),EE$6*EE$7,0),0),IF(AND(EA$6&lt;&gt;"",EA$8&lt;&gt;""),IF(EOMONTH($DZ$3+INT((DAY(EOMONTH($DZ$3,0))-1)/2)+EA$8,0)=EOMONTH($N$3,0),EA$6*EA$7,0),0),IF(AND(DW$6&lt;&gt;"",DW$8&lt;&gt;""),IF(EOMONTH($DV$3+INT((DAY(EOMONTH($DV$3,0))-1)/2)+DW$8,0)=EOMONTH($N$3,0),DW$6*DW$7,0),0),IF(AND(DS$6&lt;&gt;"",DS$8&lt;&gt;""),IF(EOMONTH($DR$3+INT((DAY(EOMONTH($DR$3,0))-1)/2)+DS$8,0)=EOMONTH($N$3,0),DS$6*DS$7,0),0),IF(AND(DO$6&lt;&gt;"",DO$8&lt;&gt;""),IF(EOMONTH($DN$3+INT((DAY(EOMONTH($DN$3,0))-1)/2)+DO$8,0)=EOMONTH($N$3,0),DO$6*DO$7,0),0),IF(AND(DK$6&lt;&gt;"",DK$8&lt;&gt;""),IF(EOMONTH($DJ$3+INT((DAY(EOMONTH($DJ$3,0))-1)/2)+DK$8,0)=EOMONTH($N$3,0),DK$6*DK$7,0),0),IF(AND(DG$6&lt;&gt;"",DG$8&lt;&gt;""),IF(EOMONTH($DF$3+INT((DAY(EOMONTH($DF$3,0))-1)/2)+DG$8,0)=EOMONTH($N$3,0),DG$6*DG$7,0),0),IF(AND(DC$6&lt;&gt;"",DC$8&lt;&gt;""),IF(EOMONTH($DB$3+INT((DAY(EOMONTH($DB$3,0))-1)/2)+DC$8,0)=EOMONTH($N$3,0),DC$6*DC$7,0),0),IF(AND(CY$6&lt;&gt;"",CY$8&lt;&gt;""),IF(EOMONTH($CX$3+INT((DAY(EOMONTH($CX$3,0))-1)/2)+CY$8,0)=EOMONTH($N$3,0),CY$6*CY$7,0),0),IF(AND(CU$6&lt;&gt;"",CU$8&lt;&gt;""),IF(EOMONTH($CT$3+INT((DAY(EOMONTH($CT$3,0))-1)/2)+CU$8,0)=EOMONTH($N$3,0),CU$6*CU$7,0),0),IF(AND(CQ$6&lt;&gt;"",CQ$8&lt;&gt;""),IF(EOMONTH($CP$3+INT((DAY(EOMONTH($CP$3,0))-1)/2)+CQ$8,0)=EOMONTH($N$3,0),CQ$6*CQ$7,0),0),IF(AND(CM$6&lt;&gt;"",CM$8&lt;&gt;""),IF(EOMONTH($CL$3+INT((DAY(EOMONTH($CL$3,0))-1)/2)+CM$8,0)=EOMONTH($N$3,0),CM$6*CM$7,0),0),IF(AND(CI$6&lt;&gt;"",CI$8&lt;&gt;""),IF(EOMONTH($CH$3+INT((DAY(EOMONTH($CH$3,0))-1)/2)+CI$8,0)=EOMONTH($N$3,0),CI$6*CI$7,0),0),IF(AND(CE$6&lt;&gt;"",CE$8&lt;&gt;""),IF(EOMONTH($CD$3+INT((DAY(EOMONTH($CD$3,0))-1)/2)+CE$8,0)=EOMONTH($N$3,0),CE$6*CE$7,0),0),IF(AND(CA$6&lt;&gt;"",CA$8&lt;&gt;""),IF(EOMONTH($BZ$3+INT((DAY(EOMONTH($BZ$3,0))-1)/2)+CA$8,0)=EOMONTH($N$3,0),CA$6*CA$7,0),0),IF(AND(BW$6&lt;&gt;"",BW$8&lt;&gt;""),IF(EOMONTH($BV$3+INT((DAY(EOMONTH($BV$3,0))-1)/2)+BW$8,0)=EOMONTH($N$3,0),BW$6*BW$7,0),0),IF(AND(BS$6&lt;&gt;"",BS$8&lt;&gt;""),IF(EOMONTH($BR$3+INT((DAY(EOMONTH($BR$3,0))-1)/2)+BS$8,0)=EOMONTH($N$3,0),BS$6*BS$7,0),0),IF(AND(BO$6&lt;&gt;"",BO$8&lt;&gt;""),IF(EOMONTH($BN$3+INT((DAY(EOMONTH($BN$3,0))-1)/2)+BO$8,0)=EOMONTH($N$3,0),BO$6*BO$7,0),0),IF(AND(BK$6&lt;&gt;"",BK$8&lt;&gt;""),IF(EOMONTH($BJ$3+INT((DAY(EOMONTH($BJ$3,0))-1)/2)+BK$8,0)=EOMONTH($N$3,0),BK$6*BK$7,0),0),IF(AND(BG$6&lt;&gt;"",BG$8&lt;&gt;""),IF(EOMONTH($BF$3+INT((DAY(EOMONTH($BF$3,0))-1)/2)+BG$8,0)=EOMONTH($N$3,0),BG$6*BG$7,0),0),IF(AND(BC$6&lt;&gt;"",BC$8&lt;&gt;""),IF(EOMONTH($BB$3+INT((DAY(EOMONTH($BB$3,0))-1)/2)+BC$8,0)=EOMONTH($N$3,0),BC$6*BC$7,0),0),IF(AND(AY$6&lt;&gt;"",AY$8&lt;&gt;""),IF(EOMONTH($AX$3+INT((DAY(EOMONTH($AX$3,0))-1)/2)+AY$8,0)=EOMONTH($N$3,0),AY$6*AY$7,0),0),IF(AND(AU$6&lt;&gt;"",AU$8&lt;&gt;""),IF(EOMONTH($AT$3+INT((DAY(EOMONTH($AT$3,0))-1)/2)+AU$8,0)=EOMONTH($N$3,0),AU$6*AU$7,0),0),IF(AND(AQ$6&lt;&gt;"",AQ$8&lt;&gt;""),IF(EOMONTH($AP$3+INT((DAY(EOMONTH($AP$3,0))-1)/2)+AQ$8,0)=EOMONTH($N$3,0),AQ$6*AQ$7,0),0),IF(AND(AM$6&lt;&gt;"",AM$8&lt;&gt;""),IF(EOMONTH($AL$3+INT((DAY(EOMONTH($AL$3,0))-1)/2)+AM$8,0)=EOMONTH($N$3,0),AM$6*AM$7,0),0),IF(AND(AI$6&lt;&gt;"",AI$8&lt;&gt;""),IF(EOMONTH($AH$3+INT((DAY(EOMONTH($AH$3,0))-1)/2)+AI$8,0)=EOMONTH($N$3,0),AI$6*AI$7,0),0),IF(AND(AE$6&lt;&gt;"",AE$8&lt;&gt;""),IF(EOMONTH($AD$3+INT((DAY(EOMONTH($AD$3,0))-1)/2)+AE$8,0)=EOMONTH($N$3,0),AE$6*AE$7,0),0),IF(AND(AA$6&lt;&gt;"",AA$8&lt;&gt;""),IF(EOMONTH($Z$3+INT((DAY(EOMONTH($Z$3,0))-1)/2)+AA$8,0)=EOMONTH($N$3,0),AA$6*AA$7,0),0),IF(AND(W$6&lt;&gt;"",W$8&lt;&gt;""),IF(EOMONTH($V$3+INT((DAY(EOMONTH($V$3,0))-1)/2)+W$8,0)=EOMONTH($N$3,0),W$6*W$7,0),0),IF(AND(S$6&lt;&gt;"",S$8&lt;&gt;""),IF(EOMONTH($R$3+INT((DAY(EOMONTH($R$3,0))-1)/2)+S$8,0)=EOMONTH($N$3,0),S$6*S$7,0),0),IF(AND(O$6&lt;&gt;"",O$8&lt;&gt;""),IF(EOMONTH($N$3+INT((DAY(EOMONTH($N$3,0))-1)/2)+O$8,0)=EOMONTH($N$3,0),O$6*O$7,0),0),IF(AND(K$6&lt;&gt;"",K$8&lt;&gt;""),IF(EOMONTH($J$3+INT((DAY(EOMONTH($J$3,0))-1)/2)+K$8,0)=EOMONTH($N$3,0),K$6*K$7,0),0),IF(AND(G$6&lt;&gt;"",G$8&lt;&gt;""),IF(EOMONTH($F$3+INT((DAY(EOMONTH($F$3,0))-1)/2)+G$8,0)=EOMONTH($N$3,0),G$6*G$7,0),0)),0))</f>
        <v>0</v>
      </c>
      <c r="P9" s="15">
        <f>ROUND(SUM(IF(AND(ER$6&lt;&gt;"",ER$8&lt;&gt;""),IF(EOMONTH($EP$3+INT((DAY(EOMONTH($EP$3,0))-1)/2)+ER$8,0)=EOMONTH($N$3,0),ER$6*ER$7,0),0),IF(AND(EN$6&lt;&gt;"",EN$8&lt;&gt;""),IF(EOMONTH($EL$3+INT((DAY(EOMONTH($EL$3,0))-1)/2)+EN$8,0)=EOMONTH($N$3,0),EN$6*EN$7,0),0),IF(AND(EJ$6&lt;&gt;"",EJ$8&lt;&gt;""),IF(EOMONTH($EH$3+INT((DAY(EOMONTH($EH$3,0))-1)/2)+EJ$8,0)=EOMONTH($N$3,0),EJ$6*EJ$7,0),0),IF(AND(EF$6&lt;&gt;"",EF$8&lt;&gt;""),IF(EOMONTH($ED$3+INT((DAY(EOMONTH($ED$3,0))-1)/2)+EF$8,0)=EOMONTH($N$3,0),EF$6*EF$7,0),0),IF(AND(EB$6&lt;&gt;"",EB$8&lt;&gt;""),IF(EOMONTH($DZ$3+INT((DAY(EOMONTH($DZ$3,0))-1)/2)+EB$8,0)=EOMONTH($N$3,0),EB$6*EB$7,0),0),IF(AND(DX$6&lt;&gt;"",DX$8&lt;&gt;""),IF(EOMONTH($DV$3+INT((DAY(EOMONTH($DV$3,0))-1)/2)+DX$8,0)=EOMONTH($N$3,0),DX$6*DX$7,0),0),IF(AND(DT$6&lt;&gt;"",DT$8&lt;&gt;""),IF(EOMONTH($DR$3+INT((DAY(EOMONTH($DR$3,0))-1)/2)+DT$8,0)=EOMONTH($N$3,0),DT$6*DT$7,0),0),IF(AND(DP$6&lt;&gt;"",DP$8&lt;&gt;""),IF(EOMONTH($DN$3+INT((DAY(EOMONTH($DN$3,0))-1)/2)+DP$8,0)=EOMONTH($N$3,0),DP$6*DP$7,0),0),IF(AND(DL$6&lt;&gt;"",DL$8&lt;&gt;""),IF(EOMONTH($DJ$3+INT((DAY(EOMONTH($DJ$3,0))-1)/2)+DL$8,0)=EOMONTH($N$3,0),DL$6*DL$7,0),0),IF(AND(DH$6&lt;&gt;"",DH$8&lt;&gt;""),IF(EOMONTH($DF$3+INT((DAY(EOMONTH($DF$3,0))-1)/2)+DH$8,0)=EOMONTH($N$3,0),DH$6*DH$7,0),0),IF(AND(DD$6&lt;&gt;"",DD$8&lt;&gt;""),IF(EOMONTH($DB$3+INT((DAY(EOMONTH($DB$3,0))-1)/2)+DD$8,0)=EOMONTH($N$3,0),DD$6*DD$7,0),0),IF(AND(CZ$6&lt;&gt;"",CZ$8&lt;&gt;""),IF(EOMONTH($CX$3+INT((DAY(EOMONTH($CX$3,0))-1)/2)+CZ$8,0)=EOMONTH($N$3,0),CZ$6*CZ$7,0),0),IF(AND(CV$6&lt;&gt;"",CV$8&lt;&gt;""),IF(EOMONTH($CT$3+INT((DAY(EOMONTH($CT$3,0))-1)/2)+CV$8,0)=EOMONTH($N$3,0),CV$6*CV$7,0),0),IF(AND(CR$6&lt;&gt;"",CR$8&lt;&gt;""),IF(EOMONTH($CP$3+INT((DAY(EOMONTH($CP$3,0))-1)/2)+CR$8,0)=EOMONTH($N$3,0),CR$6*CR$7,0),0),IF(AND(CN$6&lt;&gt;"",CN$8&lt;&gt;""),IF(EOMONTH($CL$3+INT((DAY(EOMONTH($CL$3,0))-1)/2)+CN$8,0)=EOMONTH($N$3,0),CN$6*CN$7,0),0),IF(AND(CJ$6&lt;&gt;"",CJ$8&lt;&gt;""),IF(EOMONTH($CH$3+INT((DAY(EOMONTH($CH$3,0))-1)/2)+CJ$8,0)=EOMONTH($N$3,0),CJ$6*CJ$7,0),0),IF(AND(CF$6&lt;&gt;"",CF$8&lt;&gt;""),IF(EOMONTH($CD$3+INT((DAY(EOMONTH($CD$3,0))-1)/2)+CF$8,0)=EOMONTH($N$3,0),CF$6*CF$7,0),0),IF(AND(CB$6&lt;&gt;"",CB$8&lt;&gt;""),IF(EOMONTH($BZ$3+INT((DAY(EOMONTH($BZ$3,0))-1)/2)+CB$8,0)=EOMONTH($N$3,0),CB$6*CB$7,0),0),IF(AND(BX$6&lt;&gt;"",BX$8&lt;&gt;""),IF(EOMONTH($BV$3+INT((DAY(EOMONTH($BV$3,0))-1)/2)+BX$8,0)=EOMONTH($N$3,0),BX$6*BX$7,0),0),IF(AND(BT$6&lt;&gt;"",BT$8&lt;&gt;""),IF(EOMONTH($BR$3+INT((DAY(EOMONTH($BR$3,0))-1)/2)+BT$8,0)=EOMONTH($N$3,0),BT$6*BT$7,0),0),IF(AND(BP$6&lt;&gt;"",BP$8&lt;&gt;""),IF(EOMONTH($BN$3+INT((DAY(EOMONTH($BN$3,0))-1)/2)+BP$8,0)=EOMONTH($N$3,0),BP$6*BP$7,0),0),IF(AND(BL$6&lt;&gt;"",BL$8&lt;&gt;""),IF(EOMONTH($BJ$3+INT((DAY(EOMONTH($BJ$3,0))-1)/2)+BL$8,0)=EOMONTH($N$3,0),BL$6*BL$7,0),0),IF(AND(BH$6&lt;&gt;"",BH$8&lt;&gt;""),IF(EOMONTH($BF$3+INT((DAY(EOMONTH($BF$3,0))-1)/2)+BH$8,0)=EOMONTH($N$3,0),BH$6*BH$7,0),0),IF(AND(BD$6&lt;&gt;"",BD$8&lt;&gt;""),IF(EOMONTH($BB$3+INT((DAY(EOMONTH($BB$3,0))-1)/2)+BD$8,0)=EOMONTH($N$3,0),BD$6*BD$7,0),0),IF(AND(AZ$6&lt;&gt;"",AZ$8&lt;&gt;""),IF(EOMONTH($AX$3+INT((DAY(EOMONTH($AX$3,0))-1)/2)+AZ$8,0)=EOMONTH($N$3,0),AZ$6*AZ$7,0),0),IF(AND(AV$6&lt;&gt;"",AV$8&lt;&gt;""),IF(EOMONTH($AT$3+INT((DAY(EOMONTH($AT$3,0))-1)/2)+AV$8,0)=EOMONTH($N$3,0),AV$6*AV$7,0),0),IF(AND(AR$6&lt;&gt;"",AR$8&lt;&gt;""),IF(EOMONTH($AP$3+INT((DAY(EOMONTH($AP$3,0))-1)/2)+AR$8,0)=EOMONTH($N$3,0),AR$6*AR$7,0),0),IF(AND(AN$6&lt;&gt;"",AN$8&lt;&gt;""),IF(EOMONTH($AL$3+INT((DAY(EOMONTH($AL$3,0))-1)/2)+AN$8,0)=EOMONTH($N$3,0),AN$6*AN$7,0),0),IF(AND(AJ$6&lt;&gt;"",AJ$8&lt;&gt;""),IF(EOMONTH($AH$3+INT((DAY(EOMONTH($AH$3,0))-1)/2)+AJ$8,0)=EOMONTH($N$3,0),AJ$6*AJ$7,0),0),IF(AND(AF$6&lt;&gt;"",AF$8&lt;&gt;""),IF(EOMONTH($AD$3+INT((DAY(EOMONTH($AD$3,0))-1)/2)+AF$8,0)=EOMONTH($N$3,0),AF$6*AF$7,0),0),IF(AND(AB$6&lt;&gt;"",AB$8&lt;&gt;""),IF(EOMONTH($Z$3+INT((DAY(EOMONTH($Z$3,0))-1)/2)+AB$8,0)=EOMONTH($N$3,0),AB$6*AB$7,0),0),IF(AND(X$6&lt;&gt;"",X$8&lt;&gt;""),IF(EOMONTH($V$3+INT((DAY(EOMONTH($V$3,0))-1)/2)+X$8,0)=EOMONTH($N$3,0),X$6*X$7,0),0),IF(AND(T$6&lt;&gt;"",T$8&lt;&gt;""),IF(EOMONTH($R$3+INT((DAY(EOMONTH($R$3,0))-1)/2)+T$8,0)=EOMONTH($N$3,0),T$6*T$7,0),0),IF(AND(P$6&lt;&gt;"",P$8&lt;&gt;""),IF(EOMONTH($N$3+INT((DAY(EOMONTH($N$3,0))-1)/2)+P$8,0)=EOMONTH($N$3,0),P$6*P$7,0),0),IF(AND(L$6&lt;&gt;"",L$8&lt;&gt;""),IF(EOMONTH($J$3+INT((DAY(EOMONTH($J$3,0))-1)/2)+L$8,0)=EOMONTH($N$3,0),L$6*L$7,0),0),IF(AND(H$6&lt;&gt;"",H$8&lt;&gt;""),IF(EOMONTH($F$3+INT((DAY(EOMONTH($F$3,0))-1)/2)+H$8,0)=EOMONTH($N$3,0),H$6*H$7,0),0)),0)</f>
        <v>0</v>
      </c>
      <c r="Q9" s="16">
        <f t="shared" si="9"/>
        <v>0</v>
      </c>
      <c r="R9" s="17"/>
      <c r="S9" s="14">
        <f>IF(R$98=1,R9,ROUND(SUM(IF(AND(EQ$6&lt;&gt;"",EQ$8&lt;&gt;""),IF(EOMONTH($EP$3+INT((DAY(EOMONTH($EP$3,0))-1)/2)+EQ$8,0)=EOMONTH($R$3,0),EQ$6*EQ$7,0),0),IF(AND(EM$6&lt;&gt;"",EM$8&lt;&gt;""),IF(EOMONTH($EL$3+INT((DAY(EOMONTH($EL$3,0))-1)/2)+EM$8,0)=EOMONTH($R$3,0),EM$6*EM$7,0),0),IF(AND(EI$6&lt;&gt;"",EI$8&lt;&gt;""),IF(EOMONTH($EH$3+INT((DAY(EOMONTH($EH$3,0))-1)/2)+EI$8,0)=EOMONTH($R$3,0),EI$6*EI$7,0),0),IF(AND(EE$6&lt;&gt;"",EE$8&lt;&gt;""),IF(EOMONTH($ED$3+INT((DAY(EOMONTH($ED$3,0))-1)/2)+EE$8,0)=EOMONTH($R$3,0),EE$6*EE$7,0),0),IF(AND(EA$6&lt;&gt;"",EA$8&lt;&gt;""),IF(EOMONTH($DZ$3+INT((DAY(EOMONTH($DZ$3,0))-1)/2)+EA$8,0)=EOMONTH($R$3,0),EA$6*EA$7,0),0),IF(AND(DW$6&lt;&gt;"",DW$8&lt;&gt;""),IF(EOMONTH($DV$3+INT((DAY(EOMONTH($DV$3,0))-1)/2)+DW$8,0)=EOMONTH($R$3,0),DW$6*DW$7,0),0),IF(AND(DS$6&lt;&gt;"",DS$8&lt;&gt;""),IF(EOMONTH($DR$3+INT((DAY(EOMONTH($DR$3,0))-1)/2)+DS$8,0)=EOMONTH($R$3,0),DS$6*DS$7,0),0),IF(AND(DO$6&lt;&gt;"",DO$8&lt;&gt;""),IF(EOMONTH($DN$3+INT((DAY(EOMONTH($DN$3,0))-1)/2)+DO$8,0)=EOMONTH($R$3,0),DO$6*DO$7,0),0),IF(AND(DK$6&lt;&gt;"",DK$8&lt;&gt;""),IF(EOMONTH($DJ$3+INT((DAY(EOMONTH($DJ$3,0))-1)/2)+DK$8,0)=EOMONTH($R$3,0),DK$6*DK$7,0),0),IF(AND(DG$6&lt;&gt;"",DG$8&lt;&gt;""),IF(EOMONTH($DF$3+INT((DAY(EOMONTH($DF$3,0))-1)/2)+DG$8,0)=EOMONTH($R$3,0),DG$6*DG$7,0),0),IF(AND(DC$6&lt;&gt;"",DC$8&lt;&gt;""),IF(EOMONTH($DB$3+INT((DAY(EOMONTH($DB$3,0))-1)/2)+DC$8,0)=EOMONTH($R$3,0),DC$6*DC$7,0),0),IF(AND(CY$6&lt;&gt;"",CY$8&lt;&gt;""),IF(EOMONTH($CX$3+INT((DAY(EOMONTH($CX$3,0))-1)/2)+CY$8,0)=EOMONTH($R$3,0),CY$6*CY$7,0),0),IF(AND(CU$6&lt;&gt;"",CU$8&lt;&gt;""),IF(EOMONTH($CT$3+INT((DAY(EOMONTH($CT$3,0))-1)/2)+CU$8,0)=EOMONTH($R$3,0),CU$6*CU$7,0),0),IF(AND(CQ$6&lt;&gt;"",CQ$8&lt;&gt;""),IF(EOMONTH($CP$3+INT((DAY(EOMONTH($CP$3,0))-1)/2)+CQ$8,0)=EOMONTH($R$3,0),CQ$6*CQ$7,0),0),IF(AND(CM$6&lt;&gt;"",CM$8&lt;&gt;""),IF(EOMONTH($CL$3+INT((DAY(EOMONTH($CL$3,0))-1)/2)+CM$8,0)=EOMONTH($R$3,0),CM$6*CM$7,0),0),IF(AND(CI$6&lt;&gt;"",CI$8&lt;&gt;""),IF(EOMONTH($CH$3+INT((DAY(EOMONTH($CH$3,0))-1)/2)+CI$8,0)=EOMONTH($R$3,0),CI$6*CI$7,0),0),IF(AND(CE$6&lt;&gt;"",CE$8&lt;&gt;""),IF(EOMONTH($CD$3+INT((DAY(EOMONTH($CD$3,0))-1)/2)+CE$8,0)=EOMONTH($R$3,0),CE$6*CE$7,0),0),IF(AND(CA$6&lt;&gt;"",CA$8&lt;&gt;""),IF(EOMONTH($BZ$3+INT((DAY(EOMONTH($BZ$3,0))-1)/2)+CA$8,0)=EOMONTH($R$3,0),CA$6*CA$7,0),0),IF(AND(BW$6&lt;&gt;"",BW$8&lt;&gt;""),IF(EOMONTH($BV$3+INT((DAY(EOMONTH($BV$3,0))-1)/2)+BW$8,0)=EOMONTH($R$3,0),BW$6*BW$7,0),0),IF(AND(BS$6&lt;&gt;"",BS$8&lt;&gt;""),IF(EOMONTH($BR$3+INT((DAY(EOMONTH($BR$3,0))-1)/2)+BS$8,0)=EOMONTH($R$3,0),BS$6*BS$7,0),0),IF(AND(BO$6&lt;&gt;"",BO$8&lt;&gt;""),IF(EOMONTH($BN$3+INT((DAY(EOMONTH($BN$3,0))-1)/2)+BO$8,0)=EOMONTH($R$3,0),BO$6*BO$7,0),0),IF(AND(BK$6&lt;&gt;"",BK$8&lt;&gt;""),IF(EOMONTH($BJ$3+INT((DAY(EOMONTH($BJ$3,0))-1)/2)+BK$8,0)=EOMONTH($R$3,0),BK$6*BK$7,0),0),IF(AND(BG$6&lt;&gt;"",BG$8&lt;&gt;""),IF(EOMONTH($BF$3+INT((DAY(EOMONTH($BF$3,0))-1)/2)+BG$8,0)=EOMONTH($R$3,0),BG$6*BG$7,0),0),IF(AND(BC$6&lt;&gt;"",BC$8&lt;&gt;""),IF(EOMONTH($BB$3+INT((DAY(EOMONTH($BB$3,0))-1)/2)+BC$8,0)=EOMONTH($R$3,0),BC$6*BC$7,0),0),IF(AND(AY$6&lt;&gt;"",AY$8&lt;&gt;""),IF(EOMONTH($AX$3+INT((DAY(EOMONTH($AX$3,0))-1)/2)+AY$8,0)=EOMONTH($R$3,0),AY$6*AY$7,0),0),IF(AND(AU$6&lt;&gt;"",AU$8&lt;&gt;""),IF(EOMONTH($AT$3+INT((DAY(EOMONTH($AT$3,0))-1)/2)+AU$8,0)=EOMONTH($R$3,0),AU$6*AU$7,0),0),IF(AND(AQ$6&lt;&gt;"",AQ$8&lt;&gt;""),IF(EOMONTH($AP$3+INT((DAY(EOMONTH($AP$3,0))-1)/2)+AQ$8,0)=EOMONTH($R$3,0),AQ$6*AQ$7,0),0),IF(AND(AM$6&lt;&gt;"",AM$8&lt;&gt;""),IF(EOMONTH($AL$3+INT((DAY(EOMONTH($AL$3,0))-1)/2)+AM$8,0)=EOMONTH($R$3,0),AM$6*AM$7,0),0),IF(AND(AI$6&lt;&gt;"",AI$8&lt;&gt;""),IF(EOMONTH($AH$3+INT((DAY(EOMONTH($AH$3,0))-1)/2)+AI$8,0)=EOMONTH($R$3,0),AI$6*AI$7,0),0),IF(AND(AE$6&lt;&gt;"",AE$8&lt;&gt;""),IF(EOMONTH($AD$3+INT((DAY(EOMONTH($AD$3,0))-1)/2)+AE$8,0)=EOMONTH($R$3,0),AE$6*AE$7,0),0),IF(AND(AA$6&lt;&gt;"",AA$8&lt;&gt;""),IF(EOMONTH($Z$3+INT((DAY(EOMONTH($Z$3,0))-1)/2)+AA$8,0)=EOMONTH($R$3,0),AA$6*AA$7,0),0),IF(AND(W$6&lt;&gt;"",W$8&lt;&gt;""),IF(EOMONTH($V$3+INT((DAY(EOMONTH($V$3,0))-1)/2)+W$8,0)=EOMONTH($R$3,0),W$6*W$7,0),0),IF(AND(S$6&lt;&gt;"",S$8&lt;&gt;""),IF(EOMONTH($R$3+INT((DAY(EOMONTH($R$3,0))-1)/2)+S$8,0)=EOMONTH($R$3,0),S$6*S$7,0),0),IF(AND(O$6&lt;&gt;"",O$8&lt;&gt;""),IF(EOMONTH($N$3+INT((DAY(EOMONTH($N$3,0))-1)/2)+O$8,0)=EOMONTH($R$3,0),O$6*O$7,0),0),IF(AND(K$6&lt;&gt;"",K$8&lt;&gt;""),IF(EOMONTH($J$3+INT((DAY(EOMONTH($J$3,0))-1)/2)+K$8,0)=EOMONTH($R$3,0),K$6*K$7,0),0),IF(AND(G$6&lt;&gt;"",G$8&lt;&gt;""),IF(EOMONTH($F$3+INT((DAY(EOMONTH($F$3,0))-1)/2)+G$8,0)=EOMONTH($R$3,0),G$6*G$7,0),0)),0))</f>
        <v>0</v>
      </c>
      <c r="T9" s="15">
        <f>ROUND(SUM(IF(AND(ER$6&lt;&gt;"",ER$8&lt;&gt;""),IF(EOMONTH($EP$3+INT((DAY(EOMONTH($EP$3,0))-1)/2)+ER$8,0)=EOMONTH($R$3,0),ER$6*ER$7,0),0),IF(AND(EN$6&lt;&gt;"",EN$8&lt;&gt;""),IF(EOMONTH($EL$3+INT((DAY(EOMONTH($EL$3,0))-1)/2)+EN$8,0)=EOMONTH($R$3,0),EN$6*EN$7,0),0),IF(AND(EJ$6&lt;&gt;"",EJ$8&lt;&gt;""),IF(EOMONTH($EH$3+INT((DAY(EOMONTH($EH$3,0))-1)/2)+EJ$8,0)=EOMONTH($R$3,0),EJ$6*EJ$7,0),0),IF(AND(EF$6&lt;&gt;"",EF$8&lt;&gt;""),IF(EOMONTH($ED$3+INT((DAY(EOMONTH($ED$3,0))-1)/2)+EF$8,0)=EOMONTH($R$3,0),EF$6*EF$7,0),0),IF(AND(EB$6&lt;&gt;"",EB$8&lt;&gt;""),IF(EOMONTH($DZ$3+INT((DAY(EOMONTH($DZ$3,0))-1)/2)+EB$8,0)=EOMONTH($R$3,0),EB$6*EB$7,0),0),IF(AND(DX$6&lt;&gt;"",DX$8&lt;&gt;""),IF(EOMONTH($DV$3+INT((DAY(EOMONTH($DV$3,0))-1)/2)+DX$8,0)=EOMONTH($R$3,0),DX$6*DX$7,0),0),IF(AND(DT$6&lt;&gt;"",DT$8&lt;&gt;""),IF(EOMONTH($DR$3+INT((DAY(EOMONTH($DR$3,0))-1)/2)+DT$8,0)=EOMONTH($R$3,0),DT$6*DT$7,0),0),IF(AND(DP$6&lt;&gt;"",DP$8&lt;&gt;""),IF(EOMONTH($DN$3+INT((DAY(EOMONTH($DN$3,0))-1)/2)+DP$8,0)=EOMONTH($R$3,0),DP$6*DP$7,0),0),IF(AND(DL$6&lt;&gt;"",DL$8&lt;&gt;""),IF(EOMONTH($DJ$3+INT((DAY(EOMONTH($DJ$3,0))-1)/2)+DL$8,0)=EOMONTH($R$3,0),DL$6*DL$7,0),0),IF(AND(DH$6&lt;&gt;"",DH$8&lt;&gt;""),IF(EOMONTH($DF$3+INT((DAY(EOMONTH($DF$3,0))-1)/2)+DH$8,0)=EOMONTH($R$3,0),DH$6*DH$7,0),0),IF(AND(DD$6&lt;&gt;"",DD$8&lt;&gt;""),IF(EOMONTH($DB$3+INT((DAY(EOMONTH($DB$3,0))-1)/2)+DD$8,0)=EOMONTH($R$3,0),DD$6*DD$7,0),0),IF(AND(CZ$6&lt;&gt;"",CZ$8&lt;&gt;""),IF(EOMONTH($CX$3+INT((DAY(EOMONTH($CX$3,0))-1)/2)+CZ$8,0)=EOMONTH($R$3,0),CZ$6*CZ$7,0),0),IF(AND(CV$6&lt;&gt;"",CV$8&lt;&gt;""),IF(EOMONTH($CT$3+INT((DAY(EOMONTH($CT$3,0))-1)/2)+CV$8,0)=EOMONTH($R$3,0),CV$6*CV$7,0),0),IF(AND(CR$6&lt;&gt;"",CR$8&lt;&gt;""),IF(EOMONTH($CP$3+INT((DAY(EOMONTH($CP$3,0))-1)/2)+CR$8,0)=EOMONTH($R$3,0),CR$6*CR$7,0),0),IF(AND(CN$6&lt;&gt;"",CN$8&lt;&gt;""),IF(EOMONTH($CL$3+INT((DAY(EOMONTH($CL$3,0))-1)/2)+CN$8,0)=EOMONTH($R$3,0),CN$6*CN$7,0),0),IF(AND(CJ$6&lt;&gt;"",CJ$8&lt;&gt;""),IF(EOMONTH($CH$3+INT((DAY(EOMONTH($CH$3,0))-1)/2)+CJ$8,0)=EOMONTH($R$3,0),CJ$6*CJ$7,0),0),IF(AND(CF$6&lt;&gt;"",CF$8&lt;&gt;""),IF(EOMONTH($CD$3+INT((DAY(EOMONTH($CD$3,0))-1)/2)+CF$8,0)=EOMONTH($R$3,0),CF$6*CF$7,0),0),IF(AND(CB$6&lt;&gt;"",CB$8&lt;&gt;""),IF(EOMONTH($BZ$3+INT((DAY(EOMONTH($BZ$3,0))-1)/2)+CB$8,0)=EOMONTH($R$3,0),CB$6*CB$7,0),0),IF(AND(BX$6&lt;&gt;"",BX$8&lt;&gt;""),IF(EOMONTH($BV$3+INT((DAY(EOMONTH($BV$3,0))-1)/2)+BX$8,0)=EOMONTH($R$3,0),BX$6*BX$7,0),0),IF(AND(BT$6&lt;&gt;"",BT$8&lt;&gt;""),IF(EOMONTH($BR$3+INT((DAY(EOMONTH($BR$3,0))-1)/2)+BT$8,0)=EOMONTH($R$3,0),BT$6*BT$7,0),0),IF(AND(BP$6&lt;&gt;"",BP$8&lt;&gt;""),IF(EOMONTH($BN$3+INT((DAY(EOMONTH($BN$3,0))-1)/2)+BP$8,0)=EOMONTH($R$3,0),BP$6*BP$7,0),0),IF(AND(BL$6&lt;&gt;"",BL$8&lt;&gt;""),IF(EOMONTH($BJ$3+INT((DAY(EOMONTH($BJ$3,0))-1)/2)+BL$8,0)=EOMONTH($R$3,0),BL$6*BL$7,0),0),IF(AND(BH$6&lt;&gt;"",BH$8&lt;&gt;""),IF(EOMONTH($BF$3+INT((DAY(EOMONTH($BF$3,0))-1)/2)+BH$8,0)=EOMONTH($R$3,0),BH$6*BH$7,0),0),IF(AND(BD$6&lt;&gt;"",BD$8&lt;&gt;""),IF(EOMONTH($BB$3+INT((DAY(EOMONTH($BB$3,0))-1)/2)+BD$8,0)=EOMONTH($R$3,0),BD$6*BD$7,0),0),IF(AND(AZ$6&lt;&gt;"",AZ$8&lt;&gt;""),IF(EOMONTH($AX$3+INT((DAY(EOMONTH($AX$3,0))-1)/2)+AZ$8,0)=EOMONTH($R$3,0),AZ$6*AZ$7,0),0),IF(AND(AV$6&lt;&gt;"",AV$8&lt;&gt;""),IF(EOMONTH($AT$3+INT((DAY(EOMONTH($AT$3,0))-1)/2)+AV$8,0)=EOMONTH($R$3,0),AV$6*AV$7,0),0),IF(AND(AR$6&lt;&gt;"",AR$8&lt;&gt;""),IF(EOMONTH($AP$3+INT((DAY(EOMONTH($AP$3,0))-1)/2)+AR$8,0)=EOMONTH($R$3,0),AR$6*AR$7,0),0),IF(AND(AN$6&lt;&gt;"",AN$8&lt;&gt;""),IF(EOMONTH($AL$3+INT((DAY(EOMONTH($AL$3,0))-1)/2)+AN$8,0)=EOMONTH($R$3,0),AN$6*AN$7,0),0),IF(AND(AJ$6&lt;&gt;"",AJ$8&lt;&gt;""),IF(EOMONTH($AH$3+INT((DAY(EOMONTH($AH$3,0))-1)/2)+AJ$8,0)=EOMONTH($R$3,0),AJ$6*AJ$7,0),0),IF(AND(AF$6&lt;&gt;"",AF$8&lt;&gt;""),IF(EOMONTH($AD$3+INT((DAY(EOMONTH($AD$3,0))-1)/2)+AF$8,0)=EOMONTH($R$3,0),AF$6*AF$7,0),0),IF(AND(AB$6&lt;&gt;"",AB$8&lt;&gt;""),IF(EOMONTH($Z$3+INT((DAY(EOMONTH($Z$3,0))-1)/2)+AB$8,0)=EOMONTH($R$3,0),AB$6*AB$7,0),0),IF(AND(X$6&lt;&gt;"",X$8&lt;&gt;""),IF(EOMONTH($V$3+INT((DAY(EOMONTH($V$3,0))-1)/2)+X$8,0)=EOMONTH($R$3,0),X$6*X$7,0),0),IF(AND(T$6&lt;&gt;"",T$8&lt;&gt;""),IF(EOMONTH($R$3+INT((DAY(EOMONTH($R$3,0))-1)/2)+T$8,0)=EOMONTH($R$3,0),T$6*T$7,0),0),IF(AND(P$6&lt;&gt;"",P$8&lt;&gt;""),IF(EOMONTH($N$3+INT((DAY(EOMONTH($N$3,0))-1)/2)+P$8,0)=EOMONTH($R$3,0),P$6*P$7,0),0),IF(AND(L$6&lt;&gt;"",L$8&lt;&gt;""),IF(EOMONTH($J$3+INT((DAY(EOMONTH($J$3,0))-1)/2)+L$8,0)=EOMONTH($R$3,0),L$6*L$7,0),0),IF(AND(H$6&lt;&gt;"",H$8&lt;&gt;""),IF(EOMONTH($F$3+INT((DAY(EOMONTH($F$3,0))-1)/2)+H$8,0)=EOMONTH($R$3,0),H$6*H$7,0),0)),0)</f>
        <v>0</v>
      </c>
      <c r="U9" s="16">
        <f t="shared" si="11"/>
        <v>0</v>
      </c>
      <c r="V9" s="17"/>
      <c r="W9" s="14">
        <f>IF(V$98=1,V9,ROUND(SUM(IF(AND(EQ$6&lt;&gt;"",EQ$8&lt;&gt;""),IF(EOMONTH($EP$3+INT((DAY(EOMONTH($EP$3,0))-1)/2)+EQ$8,0)=EOMONTH($V$3,0),EQ$6*EQ$7,0),0),IF(AND(EM$6&lt;&gt;"",EM$8&lt;&gt;""),IF(EOMONTH($EL$3+INT((DAY(EOMONTH($EL$3,0))-1)/2)+EM$8,0)=EOMONTH($V$3,0),EM$6*EM$7,0),0),IF(AND(EI$6&lt;&gt;"",EI$8&lt;&gt;""),IF(EOMONTH($EH$3+INT((DAY(EOMONTH($EH$3,0))-1)/2)+EI$8,0)=EOMONTH($V$3,0),EI$6*EI$7,0),0),IF(AND(EE$6&lt;&gt;"",EE$8&lt;&gt;""),IF(EOMONTH($ED$3+INT((DAY(EOMONTH($ED$3,0))-1)/2)+EE$8,0)=EOMONTH($V$3,0),EE$6*EE$7,0),0),IF(AND(EA$6&lt;&gt;"",EA$8&lt;&gt;""),IF(EOMONTH($DZ$3+INT((DAY(EOMONTH($DZ$3,0))-1)/2)+EA$8,0)=EOMONTH($V$3,0),EA$6*EA$7,0),0),IF(AND(DW$6&lt;&gt;"",DW$8&lt;&gt;""),IF(EOMONTH($DV$3+INT((DAY(EOMONTH($DV$3,0))-1)/2)+DW$8,0)=EOMONTH($V$3,0),DW$6*DW$7,0),0),IF(AND(DS$6&lt;&gt;"",DS$8&lt;&gt;""),IF(EOMONTH($DR$3+INT((DAY(EOMONTH($DR$3,0))-1)/2)+DS$8,0)=EOMONTH($V$3,0),DS$6*DS$7,0),0),IF(AND(DO$6&lt;&gt;"",DO$8&lt;&gt;""),IF(EOMONTH($DN$3+INT((DAY(EOMONTH($DN$3,0))-1)/2)+DO$8,0)=EOMONTH($V$3,0),DO$6*DO$7,0),0),IF(AND(DK$6&lt;&gt;"",DK$8&lt;&gt;""),IF(EOMONTH($DJ$3+INT((DAY(EOMONTH($DJ$3,0))-1)/2)+DK$8,0)=EOMONTH($V$3,0),DK$6*DK$7,0),0),IF(AND(DG$6&lt;&gt;"",DG$8&lt;&gt;""),IF(EOMONTH($DF$3+INT((DAY(EOMONTH($DF$3,0))-1)/2)+DG$8,0)=EOMONTH($V$3,0),DG$6*DG$7,0),0),IF(AND(DC$6&lt;&gt;"",DC$8&lt;&gt;""),IF(EOMONTH($DB$3+INT((DAY(EOMONTH($DB$3,0))-1)/2)+DC$8,0)=EOMONTH($V$3,0),DC$6*DC$7,0),0),IF(AND(CY$6&lt;&gt;"",CY$8&lt;&gt;""),IF(EOMONTH($CX$3+INT((DAY(EOMONTH($CX$3,0))-1)/2)+CY$8,0)=EOMONTH($V$3,0),CY$6*CY$7,0),0),IF(AND(CU$6&lt;&gt;"",CU$8&lt;&gt;""),IF(EOMONTH($CT$3+INT((DAY(EOMONTH($CT$3,0))-1)/2)+CU$8,0)=EOMONTH($V$3,0),CU$6*CU$7,0),0),IF(AND(CQ$6&lt;&gt;"",CQ$8&lt;&gt;""),IF(EOMONTH($CP$3+INT((DAY(EOMONTH($CP$3,0))-1)/2)+CQ$8,0)=EOMONTH($V$3,0),CQ$6*CQ$7,0),0),IF(AND(CM$6&lt;&gt;"",CM$8&lt;&gt;""),IF(EOMONTH($CL$3+INT((DAY(EOMONTH($CL$3,0))-1)/2)+CM$8,0)=EOMONTH($V$3,0),CM$6*CM$7,0),0),IF(AND(CI$6&lt;&gt;"",CI$8&lt;&gt;""),IF(EOMONTH($CH$3+INT((DAY(EOMONTH($CH$3,0))-1)/2)+CI$8,0)=EOMONTH($V$3,0),CI$6*CI$7,0),0),IF(AND(CE$6&lt;&gt;"",CE$8&lt;&gt;""),IF(EOMONTH($CD$3+INT((DAY(EOMONTH($CD$3,0))-1)/2)+CE$8,0)=EOMONTH($V$3,0),CE$6*CE$7,0),0),IF(AND(CA$6&lt;&gt;"",CA$8&lt;&gt;""),IF(EOMONTH($BZ$3+INT((DAY(EOMONTH($BZ$3,0))-1)/2)+CA$8,0)=EOMONTH($V$3,0),CA$6*CA$7,0),0),IF(AND(BW$6&lt;&gt;"",BW$8&lt;&gt;""),IF(EOMONTH($BV$3+INT((DAY(EOMONTH($BV$3,0))-1)/2)+BW$8,0)=EOMONTH($V$3,0),BW$6*BW$7,0),0),IF(AND(BS$6&lt;&gt;"",BS$8&lt;&gt;""),IF(EOMONTH($BR$3+INT((DAY(EOMONTH($BR$3,0))-1)/2)+BS$8,0)=EOMONTH($V$3,0),BS$6*BS$7,0),0),IF(AND(BO$6&lt;&gt;"",BO$8&lt;&gt;""),IF(EOMONTH($BN$3+INT((DAY(EOMONTH($BN$3,0))-1)/2)+BO$8,0)=EOMONTH($V$3,0),BO$6*BO$7,0),0),IF(AND(BK$6&lt;&gt;"",BK$8&lt;&gt;""),IF(EOMONTH($BJ$3+INT((DAY(EOMONTH($BJ$3,0))-1)/2)+BK$8,0)=EOMONTH($V$3,0),BK$6*BK$7,0),0),IF(AND(BG$6&lt;&gt;"",BG$8&lt;&gt;""),IF(EOMONTH($BF$3+INT((DAY(EOMONTH($BF$3,0))-1)/2)+BG$8,0)=EOMONTH($V$3,0),BG$6*BG$7,0),0),IF(AND(BC$6&lt;&gt;"",BC$8&lt;&gt;""),IF(EOMONTH($BB$3+INT((DAY(EOMONTH($BB$3,0))-1)/2)+BC$8,0)=EOMONTH($V$3,0),BC$6*BC$7,0),0),IF(AND(AY$6&lt;&gt;"",AY$8&lt;&gt;""),IF(EOMONTH($AX$3+INT((DAY(EOMONTH($AX$3,0))-1)/2)+AY$8,0)=EOMONTH($V$3,0),AY$6*AY$7,0),0),IF(AND(AU$6&lt;&gt;"",AU$8&lt;&gt;""),IF(EOMONTH($AT$3+INT((DAY(EOMONTH($AT$3,0))-1)/2)+AU$8,0)=EOMONTH($V$3,0),AU$6*AU$7,0),0),IF(AND(AQ$6&lt;&gt;"",AQ$8&lt;&gt;""),IF(EOMONTH($AP$3+INT((DAY(EOMONTH($AP$3,0))-1)/2)+AQ$8,0)=EOMONTH($V$3,0),AQ$6*AQ$7,0),0),IF(AND(AM$6&lt;&gt;"",AM$8&lt;&gt;""),IF(EOMONTH($AL$3+INT((DAY(EOMONTH($AL$3,0))-1)/2)+AM$8,0)=EOMONTH($V$3,0),AM$6*AM$7,0),0),IF(AND(AI$6&lt;&gt;"",AI$8&lt;&gt;""),IF(EOMONTH($AH$3+INT((DAY(EOMONTH($AH$3,0))-1)/2)+AI$8,0)=EOMONTH($V$3,0),AI$6*AI$7,0),0),IF(AND(AE$6&lt;&gt;"",AE$8&lt;&gt;""),IF(EOMONTH($AD$3+INT((DAY(EOMONTH($AD$3,0))-1)/2)+AE$8,0)=EOMONTH($V$3,0),AE$6*AE$7,0),0),IF(AND(AA$6&lt;&gt;"",AA$8&lt;&gt;""),IF(EOMONTH($Z$3+INT((DAY(EOMONTH($Z$3,0))-1)/2)+AA$8,0)=EOMONTH($V$3,0),AA$6*AA$7,0),0),IF(AND(W$6&lt;&gt;"",W$8&lt;&gt;""),IF(EOMONTH($V$3+INT((DAY(EOMONTH($V$3,0))-1)/2)+W$8,0)=EOMONTH($V$3,0),W$6*W$7,0),0),IF(AND(S$6&lt;&gt;"",S$8&lt;&gt;""),IF(EOMONTH($R$3+INT((DAY(EOMONTH($R$3,0))-1)/2)+S$8,0)=EOMONTH($V$3,0),S$6*S$7,0),0),IF(AND(O$6&lt;&gt;"",O$8&lt;&gt;""),IF(EOMONTH($N$3+INT((DAY(EOMONTH($N$3,0))-1)/2)+O$8,0)=EOMONTH($V$3,0),O$6*O$7,0),0),IF(AND(K$6&lt;&gt;"",K$8&lt;&gt;""),IF(EOMONTH($J$3+INT((DAY(EOMONTH($J$3,0))-1)/2)+K$8,0)=EOMONTH($V$3,0),K$6*K$7,0),0),IF(AND(G$6&lt;&gt;"",G$8&lt;&gt;""),IF(EOMONTH($F$3+INT((DAY(EOMONTH($F$3,0))-1)/2)+G$8,0)=EOMONTH($V$3,0),G$6*G$7,0),0)),0))</f>
        <v>0</v>
      </c>
      <c r="X9" s="15">
        <f>ROUND(SUM(IF(AND(ER$6&lt;&gt;"",ER$8&lt;&gt;""),IF(EOMONTH($EP$3+INT((DAY(EOMONTH($EP$3,0))-1)/2)+ER$8,0)=EOMONTH($V$3,0),ER$6*ER$7,0),0),IF(AND(EN$6&lt;&gt;"",EN$8&lt;&gt;""),IF(EOMONTH($EL$3+INT((DAY(EOMONTH($EL$3,0))-1)/2)+EN$8,0)=EOMONTH($V$3,0),EN$6*EN$7,0),0),IF(AND(EJ$6&lt;&gt;"",EJ$8&lt;&gt;""),IF(EOMONTH($EH$3+INT((DAY(EOMONTH($EH$3,0))-1)/2)+EJ$8,0)=EOMONTH($V$3,0),EJ$6*EJ$7,0),0),IF(AND(EF$6&lt;&gt;"",EF$8&lt;&gt;""),IF(EOMONTH($ED$3+INT((DAY(EOMONTH($ED$3,0))-1)/2)+EF$8,0)=EOMONTH($V$3,0),EF$6*EF$7,0),0),IF(AND(EB$6&lt;&gt;"",EB$8&lt;&gt;""),IF(EOMONTH($DZ$3+INT((DAY(EOMONTH($DZ$3,0))-1)/2)+EB$8,0)=EOMONTH($V$3,0),EB$6*EB$7,0),0),IF(AND(DX$6&lt;&gt;"",DX$8&lt;&gt;""),IF(EOMONTH($DV$3+INT((DAY(EOMONTH($DV$3,0))-1)/2)+DX$8,0)=EOMONTH($V$3,0),DX$6*DX$7,0),0),IF(AND(DT$6&lt;&gt;"",DT$8&lt;&gt;""),IF(EOMONTH($DR$3+INT((DAY(EOMONTH($DR$3,0))-1)/2)+DT$8,0)=EOMONTH($V$3,0),DT$6*DT$7,0),0),IF(AND(DP$6&lt;&gt;"",DP$8&lt;&gt;""),IF(EOMONTH($DN$3+INT((DAY(EOMONTH($DN$3,0))-1)/2)+DP$8,0)=EOMONTH($V$3,0),DP$6*DP$7,0),0),IF(AND(DL$6&lt;&gt;"",DL$8&lt;&gt;""),IF(EOMONTH($DJ$3+INT((DAY(EOMONTH($DJ$3,0))-1)/2)+DL$8,0)=EOMONTH($V$3,0),DL$6*DL$7,0),0),IF(AND(DH$6&lt;&gt;"",DH$8&lt;&gt;""),IF(EOMONTH($DF$3+INT((DAY(EOMONTH($DF$3,0))-1)/2)+DH$8,0)=EOMONTH($V$3,0),DH$6*DH$7,0),0),IF(AND(DD$6&lt;&gt;"",DD$8&lt;&gt;""),IF(EOMONTH($DB$3+INT((DAY(EOMONTH($DB$3,0))-1)/2)+DD$8,0)=EOMONTH($V$3,0),DD$6*DD$7,0),0),IF(AND(CZ$6&lt;&gt;"",CZ$8&lt;&gt;""),IF(EOMONTH($CX$3+INT((DAY(EOMONTH($CX$3,0))-1)/2)+CZ$8,0)=EOMONTH($V$3,0),CZ$6*CZ$7,0),0),IF(AND(CV$6&lt;&gt;"",CV$8&lt;&gt;""),IF(EOMONTH($CT$3+INT((DAY(EOMONTH($CT$3,0))-1)/2)+CV$8,0)=EOMONTH($V$3,0),CV$6*CV$7,0),0),IF(AND(CR$6&lt;&gt;"",CR$8&lt;&gt;""),IF(EOMONTH($CP$3+INT((DAY(EOMONTH($CP$3,0))-1)/2)+CR$8,0)=EOMONTH($V$3,0),CR$6*CR$7,0),0),IF(AND(CN$6&lt;&gt;"",CN$8&lt;&gt;""),IF(EOMONTH($CL$3+INT((DAY(EOMONTH($CL$3,0))-1)/2)+CN$8,0)=EOMONTH($V$3,0),CN$6*CN$7,0),0),IF(AND(CJ$6&lt;&gt;"",CJ$8&lt;&gt;""),IF(EOMONTH($CH$3+INT((DAY(EOMONTH($CH$3,0))-1)/2)+CJ$8,0)=EOMONTH($V$3,0),CJ$6*CJ$7,0),0),IF(AND(CF$6&lt;&gt;"",CF$8&lt;&gt;""),IF(EOMONTH($CD$3+INT((DAY(EOMONTH($CD$3,0))-1)/2)+CF$8,0)=EOMONTH($V$3,0),CF$6*CF$7,0),0),IF(AND(CB$6&lt;&gt;"",CB$8&lt;&gt;""),IF(EOMONTH($BZ$3+INT((DAY(EOMONTH($BZ$3,0))-1)/2)+CB$8,0)=EOMONTH($V$3,0),CB$6*CB$7,0),0),IF(AND(BX$6&lt;&gt;"",BX$8&lt;&gt;""),IF(EOMONTH($BV$3+INT((DAY(EOMONTH($BV$3,0))-1)/2)+BX$8,0)=EOMONTH($V$3,0),BX$6*BX$7,0),0),IF(AND(BT$6&lt;&gt;"",BT$8&lt;&gt;""),IF(EOMONTH($BR$3+INT((DAY(EOMONTH($BR$3,0))-1)/2)+BT$8,0)=EOMONTH($V$3,0),BT$6*BT$7,0),0),IF(AND(BP$6&lt;&gt;"",BP$8&lt;&gt;""),IF(EOMONTH($BN$3+INT((DAY(EOMONTH($BN$3,0))-1)/2)+BP$8,0)=EOMONTH($V$3,0),BP$6*BP$7,0),0),IF(AND(BL$6&lt;&gt;"",BL$8&lt;&gt;""),IF(EOMONTH($BJ$3+INT((DAY(EOMONTH($BJ$3,0))-1)/2)+BL$8,0)=EOMONTH($V$3,0),BL$6*BL$7,0),0),IF(AND(BH$6&lt;&gt;"",BH$8&lt;&gt;""),IF(EOMONTH($BF$3+INT((DAY(EOMONTH($BF$3,0))-1)/2)+BH$8,0)=EOMONTH($V$3,0),BH$6*BH$7,0),0),IF(AND(BD$6&lt;&gt;"",BD$8&lt;&gt;""),IF(EOMONTH($BB$3+INT((DAY(EOMONTH($BB$3,0))-1)/2)+BD$8,0)=EOMONTH($V$3,0),BD$6*BD$7,0),0),IF(AND(AZ$6&lt;&gt;"",AZ$8&lt;&gt;""),IF(EOMONTH($AX$3+INT((DAY(EOMONTH($AX$3,0))-1)/2)+AZ$8,0)=EOMONTH($V$3,0),AZ$6*AZ$7,0),0),IF(AND(AV$6&lt;&gt;"",AV$8&lt;&gt;""),IF(EOMONTH($AT$3+INT((DAY(EOMONTH($AT$3,0))-1)/2)+AV$8,0)=EOMONTH($V$3,0),AV$6*AV$7,0),0),IF(AND(AR$6&lt;&gt;"",AR$8&lt;&gt;""),IF(EOMONTH($AP$3+INT((DAY(EOMONTH($AP$3,0))-1)/2)+AR$8,0)=EOMONTH($V$3,0),AR$6*AR$7,0),0),IF(AND(AN$6&lt;&gt;"",AN$8&lt;&gt;""),IF(EOMONTH($AL$3+INT((DAY(EOMONTH($AL$3,0))-1)/2)+AN$8,0)=EOMONTH($V$3,0),AN$6*AN$7,0),0),IF(AND(AJ$6&lt;&gt;"",AJ$8&lt;&gt;""),IF(EOMONTH($AH$3+INT((DAY(EOMONTH($AH$3,0))-1)/2)+AJ$8,0)=EOMONTH($V$3,0),AJ$6*AJ$7,0),0),IF(AND(AF$6&lt;&gt;"",AF$8&lt;&gt;""),IF(EOMONTH($AD$3+INT((DAY(EOMONTH($AD$3,0))-1)/2)+AF$8,0)=EOMONTH($V$3,0),AF$6*AF$7,0),0),IF(AND(AB$6&lt;&gt;"",AB$8&lt;&gt;""),IF(EOMONTH($Z$3+INT((DAY(EOMONTH($Z$3,0))-1)/2)+AB$8,0)=EOMONTH($V$3,0),AB$6*AB$7,0),0),IF(AND(X$6&lt;&gt;"",X$8&lt;&gt;""),IF(EOMONTH($V$3+INT((DAY(EOMONTH($V$3,0))-1)/2)+X$8,0)=EOMONTH($V$3,0),X$6*X$7,0),0),IF(AND(T$6&lt;&gt;"",T$8&lt;&gt;""),IF(EOMONTH($R$3+INT((DAY(EOMONTH($R$3,0))-1)/2)+T$8,0)=EOMONTH($V$3,0),T$6*T$7,0),0),IF(AND(P$6&lt;&gt;"",P$8&lt;&gt;""),IF(EOMONTH($N$3+INT((DAY(EOMONTH($N$3,0))-1)/2)+P$8,0)=EOMONTH($V$3,0),P$6*P$7,0),0),IF(AND(L$6&lt;&gt;"",L$8&lt;&gt;""),IF(EOMONTH($J$3+INT((DAY(EOMONTH($J$3,0))-1)/2)+L$8,0)=EOMONTH($V$3,0),L$6*L$7,0),0),IF(AND(H$6&lt;&gt;"",H$8&lt;&gt;""),IF(EOMONTH($F$3+INT((DAY(EOMONTH($F$3,0))-1)/2)+H$8,0)=EOMONTH($V$3,0),H$6*H$7,0),0)),0)</f>
        <v>0</v>
      </c>
      <c r="Y9" s="16">
        <f t="shared" si="13"/>
        <v>0</v>
      </c>
      <c r="Z9" s="17"/>
      <c r="AA9" s="14">
        <f>IF(Z$98=1,Z9,ROUND(SUM(IF(AND(EQ$6&lt;&gt;"",EQ$8&lt;&gt;""),IF(EOMONTH($EP$3+INT((DAY(EOMONTH($EP$3,0))-1)/2)+EQ$8,0)=EOMONTH($Z$3,0),EQ$6*EQ$7,0),0),IF(AND(EM$6&lt;&gt;"",EM$8&lt;&gt;""),IF(EOMONTH($EL$3+INT((DAY(EOMONTH($EL$3,0))-1)/2)+EM$8,0)=EOMONTH($Z$3,0),EM$6*EM$7,0),0),IF(AND(EI$6&lt;&gt;"",EI$8&lt;&gt;""),IF(EOMONTH($EH$3+INT((DAY(EOMONTH($EH$3,0))-1)/2)+EI$8,0)=EOMONTH($Z$3,0),EI$6*EI$7,0),0),IF(AND(EE$6&lt;&gt;"",EE$8&lt;&gt;""),IF(EOMONTH($ED$3+INT((DAY(EOMONTH($ED$3,0))-1)/2)+EE$8,0)=EOMONTH($Z$3,0),EE$6*EE$7,0),0),IF(AND(EA$6&lt;&gt;"",EA$8&lt;&gt;""),IF(EOMONTH($DZ$3+INT((DAY(EOMONTH($DZ$3,0))-1)/2)+EA$8,0)=EOMONTH($Z$3,0),EA$6*EA$7,0),0),IF(AND(DW$6&lt;&gt;"",DW$8&lt;&gt;""),IF(EOMONTH($DV$3+INT((DAY(EOMONTH($DV$3,0))-1)/2)+DW$8,0)=EOMONTH($Z$3,0),DW$6*DW$7,0),0),IF(AND(DS$6&lt;&gt;"",DS$8&lt;&gt;""),IF(EOMONTH($DR$3+INT((DAY(EOMONTH($DR$3,0))-1)/2)+DS$8,0)=EOMONTH($Z$3,0),DS$6*DS$7,0),0),IF(AND(DO$6&lt;&gt;"",DO$8&lt;&gt;""),IF(EOMONTH($DN$3+INT((DAY(EOMONTH($DN$3,0))-1)/2)+DO$8,0)=EOMONTH($Z$3,0),DO$6*DO$7,0),0),IF(AND(DK$6&lt;&gt;"",DK$8&lt;&gt;""),IF(EOMONTH($DJ$3+INT((DAY(EOMONTH($DJ$3,0))-1)/2)+DK$8,0)=EOMONTH($Z$3,0),DK$6*DK$7,0),0),IF(AND(DG$6&lt;&gt;"",DG$8&lt;&gt;""),IF(EOMONTH($DF$3+INT((DAY(EOMONTH($DF$3,0))-1)/2)+DG$8,0)=EOMONTH($Z$3,0),DG$6*DG$7,0),0),IF(AND(DC$6&lt;&gt;"",DC$8&lt;&gt;""),IF(EOMONTH($DB$3+INT((DAY(EOMONTH($DB$3,0))-1)/2)+DC$8,0)=EOMONTH($Z$3,0),DC$6*DC$7,0),0),IF(AND(CY$6&lt;&gt;"",CY$8&lt;&gt;""),IF(EOMONTH($CX$3+INT((DAY(EOMONTH($CX$3,0))-1)/2)+CY$8,0)=EOMONTH($Z$3,0),CY$6*CY$7,0),0),IF(AND(CU$6&lt;&gt;"",CU$8&lt;&gt;""),IF(EOMONTH($CT$3+INT((DAY(EOMONTH($CT$3,0))-1)/2)+CU$8,0)=EOMONTH($Z$3,0),CU$6*CU$7,0),0),IF(AND(CQ$6&lt;&gt;"",CQ$8&lt;&gt;""),IF(EOMONTH($CP$3+INT((DAY(EOMONTH($CP$3,0))-1)/2)+CQ$8,0)=EOMONTH($Z$3,0),CQ$6*CQ$7,0),0),IF(AND(CM$6&lt;&gt;"",CM$8&lt;&gt;""),IF(EOMONTH($CL$3+INT((DAY(EOMONTH($CL$3,0))-1)/2)+CM$8,0)=EOMONTH($Z$3,0),CM$6*CM$7,0),0),IF(AND(CI$6&lt;&gt;"",CI$8&lt;&gt;""),IF(EOMONTH($CH$3+INT((DAY(EOMONTH($CH$3,0))-1)/2)+CI$8,0)=EOMONTH($Z$3,0),CI$6*CI$7,0),0),IF(AND(CE$6&lt;&gt;"",CE$8&lt;&gt;""),IF(EOMONTH($CD$3+INT((DAY(EOMONTH($CD$3,0))-1)/2)+CE$8,0)=EOMONTH($Z$3,0),CE$6*CE$7,0),0),IF(AND(CA$6&lt;&gt;"",CA$8&lt;&gt;""),IF(EOMONTH($BZ$3+INT((DAY(EOMONTH($BZ$3,0))-1)/2)+CA$8,0)=EOMONTH($Z$3,0),CA$6*CA$7,0),0),IF(AND(BW$6&lt;&gt;"",BW$8&lt;&gt;""),IF(EOMONTH($BV$3+INT((DAY(EOMONTH($BV$3,0))-1)/2)+BW$8,0)=EOMONTH($Z$3,0),BW$6*BW$7,0),0),IF(AND(BS$6&lt;&gt;"",BS$8&lt;&gt;""),IF(EOMONTH($BR$3+INT((DAY(EOMONTH($BR$3,0))-1)/2)+BS$8,0)=EOMONTH($Z$3,0),BS$6*BS$7,0),0),IF(AND(BO$6&lt;&gt;"",BO$8&lt;&gt;""),IF(EOMONTH($BN$3+INT((DAY(EOMONTH($BN$3,0))-1)/2)+BO$8,0)=EOMONTH($Z$3,0),BO$6*BO$7,0),0),IF(AND(BK$6&lt;&gt;"",BK$8&lt;&gt;""),IF(EOMONTH($BJ$3+INT((DAY(EOMONTH($BJ$3,0))-1)/2)+BK$8,0)=EOMONTH($Z$3,0),BK$6*BK$7,0),0),IF(AND(BG$6&lt;&gt;"",BG$8&lt;&gt;""),IF(EOMONTH($BF$3+INT((DAY(EOMONTH($BF$3,0))-1)/2)+BG$8,0)=EOMONTH($Z$3,0),BG$6*BG$7,0),0),IF(AND(BC$6&lt;&gt;"",BC$8&lt;&gt;""),IF(EOMONTH($BB$3+INT((DAY(EOMONTH($BB$3,0))-1)/2)+BC$8,0)=EOMONTH($Z$3,0),BC$6*BC$7,0),0),IF(AND(AY$6&lt;&gt;"",AY$8&lt;&gt;""),IF(EOMONTH($AX$3+INT((DAY(EOMONTH($AX$3,0))-1)/2)+AY$8,0)=EOMONTH($Z$3,0),AY$6*AY$7,0),0),IF(AND(AU$6&lt;&gt;"",AU$8&lt;&gt;""),IF(EOMONTH($AT$3+INT((DAY(EOMONTH($AT$3,0))-1)/2)+AU$8,0)=EOMONTH($Z$3,0),AU$6*AU$7,0),0),IF(AND(AQ$6&lt;&gt;"",AQ$8&lt;&gt;""),IF(EOMONTH($AP$3+INT((DAY(EOMONTH($AP$3,0))-1)/2)+AQ$8,0)=EOMONTH($Z$3,0),AQ$6*AQ$7,0),0),IF(AND(AM$6&lt;&gt;"",AM$8&lt;&gt;""),IF(EOMONTH($AL$3+INT((DAY(EOMONTH($AL$3,0))-1)/2)+AM$8,0)=EOMONTH($Z$3,0),AM$6*AM$7,0),0),IF(AND(AI$6&lt;&gt;"",AI$8&lt;&gt;""),IF(EOMONTH($AH$3+INT((DAY(EOMONTH($AH$3,0))-1)/2)+AI$8,0)=EOMONTH($Z$3,0),AI$6*AI$7,0),0),IF(AND(AE$6&lt;&gt;"",AE$8&lt;&gt;""),IF(EOMONTH($AD$3+INT((DAY(EOMONTH($AD$3,0))-1)/2)+AE$8,0)=EOMONTH($Z$3,0),AE$6*AE$7,0),0),IF(AND(AA$6&lt;&gt;"",AA$8&lt;&gt;""),IF(EOMONTH($Z$3+INT((DAY(EOMONTH($Z$3,0))-1)/2)+AA$8,0)=EOMONTH($Z$3,0),AA$6*AA$7,0),0),IF(AND(W$6&lt;&gt;"",W$8&lt;&gt;""),IF(EOMONTH($V$3+INT((DAY(EOMONTH($V$3,0))-1)/2)+W$8,0)=EOMONTH($Z$3,0),W$6*W$7,0),0),IF(AND(S$6&lt;&gt;"",S$8&lt;&gt;""),IF(EOMONTH($R$3+INT((DAY(EOMONTH($R$3,0))-1)/2)+S$8,0)=EOMONTH($Z$3,0),S$6*S$7,0),0),IF(AND(O$6&lt;&gt;"",O$8&lt;&gt;""),IF(EOMONTH($N$3+INT((DAY(EOMONTH($N$3,0))-1)/2)+O$8,0)=EOMONTH($Z$3,0),O$6*O$7,0),0),IF(AND(K$6&lt;&gt;"",K$8&lt;&gt;""),IF(EOMONTH($J$3+INT((DAY(EOMONTH($J$3,0))-1)/2)+K$8,0)=EOMONTH($Z$3,0),K$6*K$7,0),0),IF(AND(G$6&lt;&gt;"",G$8&lt;&gt;""),IF(EOMONTH($F$3+INT((DAY(EOMONTH($F$3,0))-1)/2)+G$8,0)=EOMONTH($Z$3,0),G$6*G$7,0),0)),0))</f>
        <v>0</v>
      </c>
      <c r="AB9" s="15">
        <f>ROUND(SUM(IF(AND(ER$6&lt;&gt;"",ER$8&lt;&gt;""),IF(EOMONTH($EP$3+INT((DAY(EOMONTH($EP$3,0))-1)/2)+ER$8,0)=EOMONTH($Z$3,0),ER$6*ER$7,0),0),IF(AND(EN$6&lt;&gt;"",EN$8&lt;&gt;""),IF(EOMONTH($EL$3+INT((DAY(EOMONTH($EL$3,0))-1)/2)+EN$8,0)=EOMONTH($Z$3,0),EN$6*EN$7,0),0),IF(AND(EJ$6&lt;&gt;"",EJ$8&lt;&gt;""),IF(EOMONTH($EH$3+INT((DAY(EOMONTH($EH$3,0))-1)/2)+EJ$8,0)=EOMONTH($Z$3,0),EJ$6*EJ$7,0),0),IF(AND(EF$6&lt;&gt;"",EF$8&lt;&gt;""),IF(EOMONTH($ED$3+INT((DAY(EOMONTH($ED$3,0))-1)/2)+EF$8,0)=EOMONTH($Z$3,0),EF$6*EF$7,0),0),IF(AND(EB$6&lt;&gt;"",EB$8&lt;&gt;""),IF(EOMONTH($DZ$3+INT((DAY(EOMONTH($DZ$3,0))-1)/2)+EB$8,0)=EOMONTH($Z$3,0),EB$6*EB$7,0),0),IF(AND(DX$6&lt;&gt;"",DX$8&lt;&gt;""),IF(EOMONTH($DV$3+INT((DAY(EOMONTH($DV$3,0))-1)/2)+DX$8,0)=EOMONTH($Z$3,0),DX$6*DX$7,0),0),IF(AND(DT$6&lt;&gt;"",DT$8&lt;&gt;""),IF(EOMONTH($DR$3+INT((DAY(EOMONTH($DR$3,0))-1)/2)+DT$8,0)=EOMONTH($Z$3,0),DT$6*DT$7,0),0),IF(AND(DP$6&lt;&gt;"",DP$8&lt;&gt;""),IF(EOMONTH($DN$3+INT((DAY(EOMONTH($DN$3,0))-1)/2)+DP$8,0)=EOMONTH($Z$3,0),DP$6*DP$7,0),0),IF(AND(DL$6&lt;&gt;"",DL$8&lt;&gt;""),IF(EOMONTH($DJ$3+INT((DAY(EOMONTH($DJ$3,0))-1)/2)+DL$8,0)=EOMONTH($Z$3,0),DL$6*DL$7,0),0),IF(AND(DH$6&lt;&gt;"",DH$8&lt;&gt;""),IF(EOMONTH($DF$3+INT((DAY(EOMONTH($DF$3,0))-1)/2)+DH$8,0)=EOMONTH($Z$3,0),DH$6*DH$7,0),0),IF(AND(DD$6&lt;&gt;"",DD$8&lt;&gt;""),IF(EOMONTH($DB$3+INT((DAY(EOMONTH($DB$3,0))-1)/2)+DD$8,0)=EOMONTH($Z$3,0),DD$6*DD$7,0),0),IF(AND(CZ$6&lt;&gt;"",CZ$8&lt;&gt;""),IF(EOMONTH($CX$3+INT((DAY(EOMONTH($CX$3,0))-1)/2)+CZ$8,0)=EOMONTH($Z$3,0),CZ$6*CZ$7,0),0),IF(AND(CV$6&lt;&gt;"",CV$8&lt;&gt;""),IF(EOMONTH($CT$3+INT((DAY(EOMONTH($CT$3,0))-1)/2)+CV$8,0)=EOMONTH($Z$3,0),CV$6*CV$7,0),0),IF(AND(CR$6&lt;&gt;"",CR$8&lt;&gt;""),IF(EOMONTH($CP$3+INT((DAY(EOMONTH($CP$3,0))-1)/2)+CR$8,0)=EOMONTH($Z$3,0),CR$6*CR$7,0),0),IF(AND(CN$6&lt;&gt;"",CN$8&lt;&gt;""),IF(EOMONTH($CL$3+INT((DAY(EOMONTH($CL$3,0))-1)/2)+CN$8,0)=EOMONTH($Z$3,0),CN$6*CN$7,0),0),IF(AND(CJ$6&lt;&gt;"",CJ$8&lt;&gt;""),IF(EOMONTH($CH$3+INT((DAY(EOMONTH($CH$3,0))-1)/2)+CJ$8,0)=EOMONTH($Z$3,0),CJ$6*CJ$7,0),0),IF(AND(CF$6&lt;&gt;"",CF$8&lt;&gt;""),IF(EOMONTH($CD$3+INT((DAY(EOMONTH($CD$3,0))-1)/2)+CF$8,0)=EOMONTH($Z$3,0),CF$6*CF$7,0),0),IF(AND(CB$6&lt;&gt;"",CB$8&lt;&gt;""),IF(EOMONTH($BZ$3+INT((DAY(EOMONTH($BZ$3,0))-1)/2)+CB$8,0)=EOMONTH($Z$3,0),CB$6*CB$7,0),0),IF(AND(BX$6&lt;&gt;"",BX$8&lt;&gt;""),IF(EOMONTH($BV$3+INT((DAY(EOMONTH($BV$3,0))-1)/2)+BX$8,0)=EOMONTH($Z$3,0),BX$6*BX$7,0),0),IF(AND(BT$6&lt;&gt;"",BT$8&lt;&gt;""),IF(EOMONTH($BR$3+INT((DAY(EOMONTH($BR$3,0))-1)/2)+BT$8,0)=EOMONTH($Z$3,0),BT$6*BT$7,0),0),IF(AND(BP$6&lt;&gt;"",BP$8&lt;&gt;""),IF(EOMONTH($BN$3+INT((DAY(EOMONTH($BN$3,0))-1)/2)+BP$8,0)=EOMONTH($Z$3,0),BP$6*BP$7,0),0),IF(AND(BL$6&lt;&gt;"",BL$8&lt;&gt;""),IF(EOMONTH($BJ$3+INT((DAY(EOMONTH($BJ$3,0))-1)/2)+BL$8,0)=EOMONTH($Z$3,0),BL$6*BL$7,0),0),IF(AND(BH$6&lt;&gt;"",BH$8&lt;&gt;""),IF(EOMONTH($BF$3+INT((DAY(EOMONTH($BF$3,0))-1)/2)+BH$8,0)=EOMONTH($Z$3,0),BH$6*BH$7,0),0),IF(AND(BD$6&lt;&gt;"",BD$8&lt;&gt;""),IF(EOMONTH($BB$3+INT((DAY(EOMONTH($BB$3,0))-1)/2)+BD$8,0)=EOMONTH($Z$3,0),BD$6*BD$7,0),0),IF(AND(AZ$6&lt;&gt;"",AZ$8&lt;&gt;""),IF(EOMONTH($AX$3+INT((DAY(EOMONTH($AX$3,0))-1)/2)+AZ$8,0)=EOMONTH($Z$3,0),AZ$6*AZ$7,0),0),IF(AND(AV$6&lt;&gt;"",AV$8&lt;&gt;""),IF(EOMONTH($AT$3+INT((DAY(EOMONTH($AT$3,0))-1)/2)+AV$8,0)=EOMONTH($Z$3,0),AV$6*AV$7,0),0),IF(AND(AR$6&lt;&gt;"",AR$8&lt;&gt;""),IF(EOMONTH($AP$3+INT((DAY(EOMONTH($AP$3,0))-1)/2)+AR$8,0)=EOMONTH($Z$3,0),AR$6*AR$7,0),0),IF(AND(AN$6&lt;&gt;"",AN$8&lt;&gt;""),IF(EOMONTH($AL$3+INT((DAY(EOMONTH($AL$3,0))-1)/2)+AN$8,0)=EOMONTH($Z$3,0),AN$6*AN$7,0),0),IF(AND(AJ$6&lt;&gt;"",AJ$8&lt;&gt;""),IF(EOMONTH($AH$3+INT((DAY(EOMONTH($AH$3,0))-1)/2)+AJ$8,0)=EOMONTH($Z$3,0),AJ$6*AJ$7,0),0),IF(AND(AF$6&lt;&gt;"",AF$8&lt;&gt;""),IF(EOMONTH($AD$3+INT((DAY(EOMONTH($AD$3,0))-1)/2)+AF$8,0)=EOMONTH($Z$3,0),AF$6*AF$7,0),0),IF(AND(AB$6&lt;&gt;"",AB$8&lt;&gt;""),IF(EOMONTH($Z$3+INT((DAY(EOMONTH($Z$3,0))-1)/2)+AB$8,0)=EOMONTH($Z$3,0),AB$6*AB$7,0),0),IF(AND(X$6&lt;&gt;"",X$8&lt;&gt;""),IF(EOMONTH($V$3+INT((DAY(EOMONTH($V$3,0))-1)/2)+X$8,0)=EOMONTH($Z$3,0),X$6*X$7,0),0),IF(AND(T$6&lt;&gt;"",T$8&lt;&gt;""),IF(EOMONTH($R$3+INT((DAY(EOMONTH($R$3,0))-1)/2)+T$8,0)=EOMONTH($Z$3,0),T$6*T$7,0),0),IF(AND(P$6&lt;&gt;"",P$8&lt;&gt;""),IF(EOMONTH($N$3+INT((DAY(EOMONTH($N$3,0))-1)/2)+P$8,0)=EOMONTH($Z$3,0),P$6*P$7,0),0),IF(AND(L$6&lt;&gt;"",L$8&lt;&gt;""),IF(EOMONTH($J$3+INT((DAY(EOMONTH($J$3,0))-1)/2)+L$8,0)=EOMONTH($Z$3,0),L$6*L$7,0),0),IF(AND(H$6&lt;&gt;"",H$8&lt;&gt;""),IF(EOMONTH($F$3+INT((DAY(EOMONTH($F$3,0))-1)/2)+H$8,0)=EOMONTH($Z$3,0),H$6*H$7,0),0)),0)</f>
        <v>0</v>
      </c>
      <c r="AC9" s="16">
        <f t="shared" si="15"/>
        <v>0</v>
      </c>
      <c r="AD9" s="17"/>
      <c r="AE9" s="14">
        <f>IF(AD$98=1,AD9,ROUND(SUM(IF(AND(EQ$6&lt;&gt;"",EQ$8&lt;&gt;""),IF(EOMONTH($EP$3+INT((DAY(EOMONTH($EP$3,0))-1)/2)+EQ$8,0)=EOMONTH($AD$3,0),EQ$6*EQ$7,0),0),IF(AND(EM$6&lt;&gt;"",EM$8&lt;&gt;""),IF(EOMONTH($EL$3+INT((DAY(EOMONTH($EL$3,0))-1)/2)+EM$8,0)=EOMONTH($AD$3,0),EM$6*EM$7,0),0),IF(AND(EI$6&lt;&gt;"",EI$8&lt;&gt;""),IF(EOMONTH($EH$3+INT((DAY(EOMONTH($EH$3,0))-1)/2)+EI$8,0)=EOMONTH($AD$3,0),EI$6*EI$7,0),0),IF(AND(EE$6&lt;&gt;"",EE$8&lt;&gt;""),IF(EOMONTH($ED$3+INT((DAY(EOMONTH($ED$3,0))-1)/2)+EE$8,0)=EOMONTH($AD$3,0),EE$6*EE$7,0),0),IF(AND(EA$6&lt;&gt;"",EA$8&lt;&gt;""),IF(EOMONTH($DZ$3+INT((DAY(EOMONTH($DZ$3,0))-1)/2)+EA$8,0)=EOMONTH($AD$3,0),EA$6*EA$7,0),0),IF(AND(DW$6&lt;&gt;"",DW$8&lt;&gt;""),IF(EOMONTH($DV$3+INT((DAY(EOMONTH($DV$3,0))-1)/2)+DW$8,0)=EOMONTH($AD$3,0),DW$6*DW$7,0),0),IF(AND(DS$6&lt;&gt;"",DS$8&lt;&gt;""),IF(EOMONTH($DR$3+INT((DAY(EOMONTH($DR$3,0))-1)/2)+DS$8,0)=EOMONTH($AD$3,0),DS$6*DS$7,0),0),IF(AND(DO$6&lt;&gt;"",DO$8&lt;&gt;""),IF(EOMONTH($DN$3+INT((DAY(EOMONTH($DN$3,0))-1)/2)+DO$8,0)=EOMONTH($AD$3,0),DO$6*DO$7,0),0),IF(AND(DK$6&lt;&gt;"",DK$8&lt;&gt;""),IF(EOMONTH($DJ$3+INT((DAY(EOMONTH($DJ$3,0))-1)/2)+DK$8,0)=EOMONTH($AD$3,0),DK$6*DK$7,0),0),IF(AND(DG$6&lt;&gt;"",DG$8&lt;&gt;""),IF(EOMONTH($DF$3+INT((DAY(EOMONTH($DF$3,0))-1)/2)+DG$8,0)=EOMONTH($AD$3,0),DG$6*DG$7,0),0),IF(AND(DC$6&lt;&gt;"",DC$8&lt;&gt;""),IF(EOMONTH($DB$3+INT((DAY(EOMONTH($DB$3,0))-1)/2)+DC$8,0)=EOMONTH($AD$3,0),DC$6*DC$7,0),0),IF(AND(CY$6&lt;&gt;"",CY$8&lt;&gt;""),IF(EOMONTH($CX$3+INT((DAY(EOMONTH($CX$3,0))-1)/2)+CY$8,0)=EOMONTH($AD$3,0),CY$6*CY$7,0),0),IF(AND(CU$6&lt;&gt;"",CU$8&lt;&gt;""),IF(EOMONTH($CT$3+INT((DAY(EOMONTH($CT$3,0))-1)/2)+CU$8,0)=EOMONTH($AD$3,0),CU$6*CU$7,0),0),IF(AND(CQ$6&lt;&gt;"",CQ$8&lt;&gt;""),IF(EOMONTH($CP$3+INT((DAY(EOMONTH($CP$3,0))-1)/2)+CQ$8,0)=EOMONTH($AD$3,0),CQ$6*CQ$7,0),0),IF(AND(CM$6&lt;&gt;"",CM$8&lt;&gt;""),IF(EOMONTH($CL$3+INT((DAY(EOMONTH($CL$3,0))-1)/2)+CM$8,0)=EOMONTH($AD$3,0),CM$6*CM$7,0),0),IF(AND(CI$6&lt;&gt;"",CI$8&lt;&gt;""),IF(EOMONTH($CH$3+INT((DAY(EOMONTH($CH$3,0))-1)/2)+CI$8,0)=EOMONTH($AD$3,0),CI$6*CI$7,0),0),IF(AND(CE$6&lt;&gt;"",CE$8&lt;&gt;""),IF(EOMONTH($CD$3+INT((DAY(EOMONTH($CD$3,0))-1)/2)+CE$8,0)=EOMONTH($AD$3,0),CE$6*CE$7,0),0),IF(AND(CA$6&lt;&gt;"",CA$8&lt;&gt;""),IF(EOMONTH($BZ$3+INT((DAY(EOMONTH($BZ$3,0))-1)/2)+CA$8,0)=EOMONTH($AD$3,0),CA$6*CA$7,0),0),IF(AND(BW$6&lt;&gt;"",BW$8&lt;&gt;""),IF(EOMONTH($BV$3+INT((DAY(EOMONTH($BV$3,0))-1)/2)+BW$8,0)=EOMONTH($AD$3,0),BW$6*BW$7,0),0),IF(AND(BS$6&lt;&gt;"",BS$8&lt;&gt;""),IF(EOMONTH($BR$3+INT((DAY(EOMONTH($BR$3,0))-1)/2)+BS$8,0)=EOMONTH($AD$3,0),BS$6*BS$7,0),0),IF(AND(BO$6&lt;&gt;"",BO$8&lt;&gt;""),IF(EOMONTH($BN$3+INT((DAY(EOMONTH($BN$3,0))-1)/2)+BO$8,0)=EOMONTH($AD$3,0),BO$6*BO$7,0),0),IF(AND(BK$6&lt;&gt;"",BK$8&lt;&gt;""),IF(EOMONTH($BJ$3+INT((DAY(EOMONTH($BJ$3,0))-1)/2)+BK$8,0)=EOMONTH($AD$3,0),BK$6*BK$7,0),0),IF(AND(BG$6&lt;&gt;"",BG$8&lt;&gt;""),IF(EOMONTH($BF$3+INT((DAY(EOMONTH($BF$3,0))-1)/2)+BG$8,0)=EOMONTH($AD$3,0),BG$6*BG$7,0),0),IF(AND(BC$6&lt;&gt;"",BC$8&lt;&gt;""),IF(EOMONTH($BB$3+INT((DAY(EOMONTH($BB$3,0))-1)/2)+BC$8,0)=EOMONTH($AD$3,0),BC$6*BC$7,0),0),IF(AND(AY$6&lt;&gt;"",AY$8&lt;&gt;""),IF(EOMONTH($AX$3+INT((DAY(EOMONTH($AX$3,0))-1)/2)+AY$8,0)=EOMONTH($AD$3,0),AY$6*AY$7,0),0),IF(AND(AU$6&lt;&gt;"",AU$8&lt;&gt;""),IF(EOMONTH($AT$3+INT((DAY(EOMONTH($AT$3,0))-1)/2)+AU$8,0)=EOMONTH($AD$3,0),AU$6*AU$7,0),0),IF(AND(AQ$6&lt;&gt;"",AQ$8&lt;&gt;""),IF(EOMONTH($AP$3+INT((DAY(EOMONTH($AP$3,0))-1)/2)+AQ$8,0)=EOMONTH($AD$3,0),AQ$6*AQ$7,0),0),IF(AND(AM$6&lt;&gt;"",AM$8&lt;&gt;""),IF(EOMONTH($AL$3+INT((DAY(EOMONTH($AL$3,0))-1)/2)+AM$8,0)=EOMONTH($AD$3,0),AM$6*AM$7,0),0),IF(AND(AI$6&lt;&gt;"",AI$8&lt;&gt;""),IF(EOMONTH($AH$3+INT((DAY(EOMONTH($AH$3,0))-1)/2)+AI$8,0)=EOMONTH($AD$3,0),AI$6*AI$7,0),0),IF(AND(AE$6&lt;&gt;"",AE$8&lt;&gt;""),IF(EOMONTH($AD$3+INT((DAY(EOMONTH($AD$3,0))-1)/2)+AE$8,0)=EOMONTH($AD$3,0),AE$6*AE$7,0),0),IF(AND(AA$6&lt;&gt;"",AA$8&lt;&gt;""),IF(EOMONTH($Z$3+INT((DAY(EOMONTH($Z$3,0))-1)/2)+AA$8,0)=EOMONTH($AD$3,0),AA$6*AA$7,0),0),IF(AND(W$6&lt;&gt;"",W$8&lt;&gt;""),IF(EOMONTH($V$3+INT((DAY(EOMONTH($V$3,0))-1)/2)+W$8,0)=EOMONTH($AD$3,0),W$6*W$7,0),0),IF(AND(S$6&lt;&gt;"",S$8&lt;&gt;""),IF(EOMONTH($R$3+INT((DAY(EOMONTH($R$3,0))-1)/2)+S$8,0)=EOMONTH($AD$3,0),S$6*S$7,0),0),IF(AND(O$6&lt;&gt;"",O$8&lt;&gt;""),IF(EOMONTH($N$3+INT((DAY(EOMONTH($N$3,0))-1)/2)+O$8,0)=EOMONTH($AD$3,0),O$6*O$7,0),0),IF(AND(K$6&lt;&gt;"",K$8&lt;&gt;""),IF(EOMONTH($J$3+INT((DAY(EOMONTH($J$3,0))-1)/2)+K$8,0)=EOMONTH($AD$3,0),K$6*K$7,0),0),IF(AND(G$6&lt;&gt;"",G$8&lt;&gt;""),IF(EOMONTH($F$3+INT((DAY(EOMONTH($F$3,0))-1)/2)+G$8,0)=EOMONTH($AD$3,0),G$6*G$7,0),0)),0))</f>
        <v>0</v>
      </c>
      <c r="AF9" s="15">
        <f>ROUND(SUM(IF(AND(ER$6&lt;&gt;"",ER$8&lt;&gt;""),IF(EOMONTH($EP$3+INT((DAY(EOMONTH($EP$3,0))-1)/2)+ER$8,0)=EOMONTH($AD$3,0),ER$6*ER$7,0),0),IF(AND(EN$6&lt;&gt;"",EN$8&lt;&gt;""),IF(EOMONTH($EL$3+INT((DAY(EOMONTH($EL$3,0))-1)/2)+EN$8,0)=EOMONTH($AD$3,0),EN$6*EN$7,0),0),IF(AND(EJ$6&lt;&gt;"",EJ$8&lt;&gt;""),IF(EOMONTH($EH$3+INT((DAY(EOMONTH($EH$3,0))-1)/2)+EJ$8,0)=EOMONTH($AD$3,0),EJ$6*EJ$7,0),0),IF(AND(EF$6&lt;&gt;"",EF$8&lt;&gt;""),IF(EOMONTH($ED$3+INT((DAY(EOMONTH($ED$3,0))-1)/2)+EF$8,0)=EOMONTH($AD$3,0),EF$6*EF$7,0),0),IF(AND(EB$6&lt;&gt;"",EB$8&lt;&gt;""),IF(EOMONTH($DZ$3+INT((DAY(EOMONTH($DZ$3,0))-1)/2)+EB$8,0)=EOMONTH($AD$3,0),EB$6*EB$7,0),0),IF(AND(DX$6&lt;&gt;"",DX$8&lt;&gt;""),IF(EOMONTH($DV$3+INT((DAY(EOMONTH($DV$3,0))-1)/2)+DX$8,0)=EOMONTH($AD$3,0),DX$6*DX$7,0),0),IF(AND(DT$6&lt;&gt;"",DT$8&lt;&gt;""),IF(EOMONTH($DR$3+INT((DAY(EOMONTH($DR$3,0))-1)/2)+DT$8,0)=EOMONTH($AD$3,0),DT$6*DT$7,0),0),IF(AND(DP$6&lt;&gt;"",DP$8&lt;&gt;""),IF(EOMONTH($DN$3+INT((DAY(EOMONTH($DN$3,0))-1)/2)+DP$8,0)=EOMONTH($AD$3,0),DP$6*DP$7,0),0),IF(AND(DL$6&lt;&gt;"",DL$8&lt;&gt;""),IF(EOMONTH($DJ$3+INT((DAY(EOMONTH($DJ$3,0))-1)/2)+DL$8,0)=EOMONTH($AD$3,0),DL$6*DL$7,0),0),IF(AND(DH$6&lt;&gt;"",DH$8&lt;&gt;""),IF(EOMONTH($DF$3+INT((DAY(EOMONTH($DF$3,0))-1)/2)+DH$8,0)=EOMONTH($AD$3,0),DH$6*DH$7,0),0),IF(AND(DD$6&lt;&gt;"",DD$8&lt;&gt;""),IF(EOMONTH($DB$3+INT((DAY(EOMONTH($DB$3,0))-1)/2)+DD$8,0)=EOMONTH($AD$3,0),DD$6*DD$7,0),0),IF(AND(CZ$6&lt;&gt;"",CZ$8&lt;&gt;""),IF(EOMONTH($CX$3+INT((DAY(EOMONTH($CX$3,0))-1)/2)+CZ$8,0)=EOMONTH($AD$3,0),CZ$6*CZ$7,0),0),IF(AND(CV$6&lt;&gt;"",CV$8&lt;&gt;""),IF(EOMONTH($CT$3+INT((DAY(EOMONTH($CT$3,0))-1)/2)+CV$8,0)=EOMONTH($AD$3,0),CV$6*CV$7,0),0),IF(AND(CR$6&lt;&gt;"",CR$8&lt;&gt;""),IF(EOMONTH($CP$3+INT((DAY(EOMONTH($CP$3,0))-1)/2)+CR$8,0)=EOMONTH($AD$3,0),CR$6*CR$7,0),0),IF(AND(CN$6&lt;&gt;"",CN$8&lt;&gt;""),IF(EOMONTH($CL$3+INT((DAY(EOMONTH($CL$3,0))-1)/2)+CN$8,0)=EOMONTH($AD$3,0),CN$6*CN$7,0),0),IF(AND(CJ$6&lt;&gt;"",CJ$8&lt;&gt;""),IF(EOMONTH($CH$3+INT((DAY(EOMONTH($CH$3,0))-1)/2)+CJ$8,0)=EOMONTH($AD$3,0),CJ$6*CJ$7,0),0),IF(AND(CF$6&lt;&gt;"",CF$8&lt;&gt;""),IF(EOMONTH($CD$3+INT((DAY(EOMONTH($CD$3,0))-1)/2)+CF$8,0)=EOMONTH($AD$3,0),CF$6*CF$7,0),0),IF(AND(CB$6&lt;&gt;"",CB$8&lt;&gt;""),IF(EOMONTH($BZ$3+INT((DAY(EOMONTH($BZ$3,0))-1)/2)+CB$8,0)=EOMONTH($AD$3,0),CB$6*CB$7,0),0),IF(AND(BX$6&lt;&gt;"",BX$8&lt;&gt;""),IF(EOMONTH($BV$3+INT((DAY(EOMONTH($BV$3,0))-1)/2)+BX$8,0)=EOMONTH($AD$3,0),BX$6*BX$7,0),0),IF(AND(BT$6&lt;&gt;"",BT$8&lt;&gt;""),IF(EOMONTH($BR$3+INT((DAY(EOMONTH($BR$3,0))-1)/2)+BT$8,0)=EOMONTH($AD$3,0),BT$6*BT$7,0),0),IF(AND(BP$6&lt;&gt;"",BP$8&lt;&gt;""),IF(EOMONTH($BN$3+INT((DAY(EOMONTH($BN$3,0))-1)/2)+BP$8,0)=EOMONTH($AD$3,0),BP$6*BP$7,0),0),IF(AND(BL$6&lt;&gt;"",BL$8&lt;&gt;""),IF(EOMONTH($BJ$3+INT((DAY(EOMONTH($BJ$3,0))-1)/2)+BL$8,0)=EOMONTH($AD$3,0),BL$6*BL$7,0),0),IF(AND(BH$6&lt;&gt;"",BH$8&lt;&gt;""),IF(EOMONTH($BF$3+INT((DAY(EOMONTH($BF$3,0))-1)/2)+BH$8,0)=EOMONTH($AD$3,0),BH$6*BH$7,0),0),IF(AND(BD$6&lt;&gt;"",BD$8&lt;&gt;""),IF(EOMONTH($BB$3+INT((DAY(EOMONTH($BB$3,0))-1)/2)+BD$8,0)=EOMONTH($AD$3,0),BD$6*BD$7,0),0),IF(AND(AZ$6&lt;&gt;"",AZ$8&lt;&gt;""),IF(EOMONTH($AX$3+INT((DAY(EOMONTH($AX$3,0))-1)/2)+AZ$8,0)=EOMONTH($AD$3,0),AZ$6*AZ$7,0),0),IF(AND(AV$6&lt;&gt;"",AV$8&lt;&gt;""),IF(EOMONTH($AT$3+INT((DAY(EOMONTH($AT$3,0))-1)/2)+AV$8,0)=EOMONTH($AD$3,0),AV$6*AV$7,0),0),IF(AND(AR$6&lt;&gt;"",AR$8&lt;&gt;""),IF(EOMONTH($AP$3+INT((DAY(EOMONTH($AP$3,0))-1)/2)+AR$8,0)=EOMONTH($AD$3,0),AR$6*AR$7,0),0),IF(AND(AN$6&lt;&gt;"",AN$8&lt;&gt;""),IF(EOMONTH($AL$3+INT((DAY(EOMONTH($AL$3,0))-1)/2)+AN$8,0)=EOMONTH($AD$3,0),AN$6*AN$7,0),0),IF(AND(AJ$6&lt;&gt;"",AJ$8&lt;&gt;""),IF(EOMONTH($AH$3+INT((DAY(EOMONTH($AH$3,0))-1)/2)+AJ$8,0)=EOMONTH($AD$3,0),AJ$6*AJ$7,0),0),IF(AND(AF$6&lt;&gt;"",AF$8&lt;&gt;""),IF(EOMONTH($AD$3+INT((DAY(EOMONTH($AD$3,0))-1)/2)+AF$8,0)=EOMONTH($AD$3,0),AF$6*AF$7,0),0),IF(AND(AB$6&lt;&gt;"",AB$8&lt;&gt;""),IF(EOMONTH($Z$3+INT((DAY(EOMONTH($Z$3,0))-1)/2)+AB$8,0)=EOMONTH($AD$3,0),AB$6*AB$7,0),0),IF(AND(X$6&lt;&gt;"",X$8&lt;&gt;""),IF(EOMONTH($V$3+INT((DAY(EOMONTH($V$3,0))-1)/2)+X$8,0)=EOMONTH($AD$3,0),X$6*X$7,0),0),IF(AND(T$6&lt;&gt;"",T$8&lt;&gt;""),IF(EOMONTH($R$3+INT((DAY(EOMONTH($R$3,0))-1)/2)+T$8,0)=EOMONTH($AD$3,0),T$6*T$7,0),0),IF(AND(P$6&lt;&gt;"",P$8&lt;&gt;""),IF(EOMONTH($N$3+INT((DAY(EOMONTH($N$3,0))-1)/2)+P$8,0)=EOMONTH($AD$3,0),P$6*P$7,0),0),IF(AND(L$6&lt;&gt;"",L$8&lt;&gt;""),IF(EOMONTH($J$3+INT((DAY(EOMONTH($J$3,0))-1)/2)+L$8,0)=EOMONTH($AD$3,0),L$6*L$7,0),0),IF(AND(H$6&lt;&gt;"",H$8&lt;&gt;""),IF(EOMONTH($F$3+INT((DAY(EOMONTH($F$3,0))-1)/2)+H$8,0)=EOMONTH($AD$3,0),H$6*H$7,0),0)),0)</f>
        <v>0</v>
      </c>
      <c r="AG9" s="16">
        <f t="shared" si="17"/>
        <v>0</v>
      </c>
      <c r="AH9" s="17"/>
      <c r="AI9" s="14">
        <f>IF(AH$98=1,AH9,ROUND(SUM(IF(AND(EQ$6&lt;&gt;"",EQ$8&lt;&gt;""),IF(EOMONTH($EP$3+INT((DAY(EOMONTH($EP$3,0))-1)/2)+EQ$8,0)=EOMONTH($AH$3,0),EQ$6*EQ$7,0),0),IF(AND(EM$6&lt;&gt;"",EM$8&lt;&gt;""),IF(EOMONTH($EL$3+INT((DAY(EOMONTH($EL$3,0))-1)/2)+EM$8,0)=EOMONTH($AH$3,0),EM$6*EM$7,0),0),IF(AND(EI$6&lt;&gt;"",EI$8&lt;&gt;""),IF(EOMONTH($EH$3+INT((DAY(EOMONTH($EH$3,0))-1)/2)+EI$8,0)=EOMONTH($AH$3,0),EI$6*EI$7,0),0),IF(AND(EE$6&lt;&gt;"",EE$8&lt;&gt;""),IF(EOMONTH($ED$3+INT((DAY(EOMONTH($ED$3,0))-1)/2)+EE$8,0)=EOMONTH($AH$3,0),EE$6*EE$7,0),0),IF(AND(EA$6&lt;&gt;"",EA$8&lt;&gt;""),IF(EOMONTH($DZ$3+INT((DAY(EOMONTH($DZ$3,0))-1)/2)+EA$8,0)=EOMONTH($AH$3,0),EA$6*EA$7,0),0),IF(AND(DW$6&lt;&gt;"",DW$8&lt;&gt;""),IF(EOMONTH($DV$3+INT((DAY(EOMONTH($DV$3,0))-1)/2)+DW$8,0)=EOMONTH($AH$3,0),DW$6*DW$7,0),0),IF(AND(DS$6&lt;&gt;"",DS$8&lt;&gt;""),IF(EOMONTH($DR$3+INT((DAY(EOMONTH($DR$3,0))-1)/2)+DS$8,0)=EOMONTH($AH$3,0),DS$6*DS$7,0),0),IF(AND(DO$6&lt;&gt;"",DO$8&lt;&gt;""),IF(EOMONTH($DN$3+INT((DAY(EOMONTH($DN$3,0))-1)/2)+DO$8,0)=EOMONTH($AH$3,0),DO$6*DO$7,0),0),IF(AND(DK$6&lt;&gt;"",DK$8&lt;&gt;""),IF(EOMONTH($DJ$3+INT((DAY(EOMONTH($DJ$3,0))-1)/2)+DK$8,0)=EOMONTH($AH$3,0),DK$6*DK$7,0),0),IF(AND(DG$6&lt;&gt;"",DG$8&lt;&gt;""),IF(EOMONTH($DF$3+INT((DAY(EOMONTH($DF$3,0))-1)/2)+DG$8,0)=EOMONTH($AH$3,0),DG$6*DG$7,0),0),IF(AND(DC$6&lt;&gt;"",DC$8&lt;&gt;""),IF(EOMONTH($DB$3+INT((DAY(EOMONTH($DB$3,0))-1)/2)+DC$8,0)=EOMONTH($AH$3,0),DC$6*DC$7,0),0),IF(AND(CY$6&lt;&gt;"",CY$8&lt;&gt;""),IF(EOMONTH($CX$3+INT((DAY(EOMONTH($CX$3,0))-1)/2)+CY$8,0)=EOMONTH($AH$3,0),CY$6*CY$7,0),0),IF(AND(CU$6&lt;&gt;"",CU$8&lt;&gt;""),IF(EOMONTH($CT$3+INT((DAY(EOMONTH($CT$3,0))-1)/2)+CU$8,0)=EOMONTH($AH$3,0),CU$6*CU$7,0),0),IF(AND(CQ$6&lt;&gt;"",CQ$8&lt;&gt;""),IF(EOMONTH($CP$3+INT((DAY(EOMONTH($CP$3,0))-1)/2)+CQ$8,0)=EOMONTH($AH$3,0),CQ$6*CQ$7,0),0),IF(AND(CM$6&lt;&gt;"",CM$8&lt;&gt;""),IF(EOMONTH($CL$3+INT((DAY(EOMONTH($CL$3,0))-1)/2)+CM$8,0)=EOMONTH($AH$3,0),CM$6*CM$7,0),0),IF(AND(CI$6&lt;&gt;"",CI$8&lt;&gt;""),IF(EOMONTH($CH$3+INT((DAY(EOMONTH($CH$3,0))-1)/2)+CI$8,0)=EOMONTH($AH$3,0),CI$6*CI$7,0),0),IF(AND(CE$6&lt;&gt;"",CE$8&lt;&gt;""),IF(EOMONTH($CD$3+INT((DAY(EOMONTH($CD$3,0))-1)/2)+CE$8,0)=EOMONTH($AH$3,0),CE$6*CE$7,0),0),IF(AND(CA$6&lt;&gt;"",CA$8&lt;&gt;""),IF(EOMONTH($BZ$3+INT((DAY(EOMONTH($BZ$3,0))-1)/2)+CA$8,0)=EOMONTH($AH$3,0),CA$6*CA$7,0),0),IF(AND(BW$6&lt;&gt;"",BW$8&lt;&gt;""),IF(EOMONTH($BV$3+INT((DAY(EOMONTH($BV$3,0))-1)/2)+BW$8,0)=EOMONTH($AH$3,0),BW$6*BW$7,0),0),IF(AND(BS$6&lt;&gt;"",BS$8&lt;&gt;""),IF(EOMONTH($BR$3+INT((DAY(EOMONTH($BR$3,0))-1)/2)+BS$8,0)=EOMONTH($AH$3,0),BS$6*BS$7,0),0),IF(AND(BO$6&lt;&gt;"",BO$8&lt;&gt;""),IF(EOMONTH($BN$3+INT((DAY(EOMONTH($BN$3,0))-1)/2)+BO$8,0)=EOMONTH($AH$3,0),BO$6*BO$7,0),0),IF(AND(BK$6&lt;&gt;"",BK$8&lt;&gt;""),IF(EOMONTH($BJ$3+INT((DAY(EOMONTH($BJ$3,0))-1)/2)+BK$8,0)=EOMONTH($AH$3,0),BK$6*BK$7,0),0),IF(AND(BG$6&lt;&gt;"",BG$8&lt;&gt;""),IF(EOMONTH($BF$3+INT((DAY(EOMONTH($BF$3,0))-1)/2)+BG$8,0)=EOMONTH($AH$3,0),BG$6*BG$7,0),0),IF(AND(BC$6&lt;&gt;"",BC$8&lt;&gt;""),IF(EOMONTH($BB$3+INT((DAY(EOMONTH($BB$3,0))-1)/2)+BC$8,0)=EOMONTH($AH$3,0),BC$6*BC$7,0),0),IF(AND(AY$6&lt;&gt;"",AY$8&lt;&gt;""),IF(EOMONTH($AX$3+INT((DAY(EOMONTH($AX$3,0))-1)/2)+AY$8,0)=EOMONTH($AH$3,0),AY$6*AY$7,0),0),IF(AND(AU$6&lt;&gt;"",AU$8&lt;&gt;""),IF(EOMONTH($AT$3+INT((DAY(EOMONTH($AT$3,0))-1)/2)+AU$8,0)=EOMONTH($AH$3,0),AU$6*AU$7,0),0),IF(AND(AQ$6&lt;&gt;"",AQ$8&lt;&gt;""),IF(EOMONTH($AP$3+INT((DAY(EOMONTH($AP$3,0))-1)/2)+AQ$8,0)=EOMONTH($AH$3,0),AQ$6*AQ$7,0),0),IF(AND(AM$6&lt;&gt;"",AM$8&lt;&gt;""),IF(EOMONTH($AL$3+INT((DAY(EOMONTH($AL$3,0))-1)/2)+AM$8,0)=EOMONTH($AH$3,0),AM$6*AM$7,0),0),IF(AND(AI$6&lt;&gt;"",AI$8&lt;&gt;""),IF(EOMONTH($AH$3+INT((DAY(EOMONTH($AH$3,0))-1)/2)+AI$8,0)=EOMONTH($AH$3,0),AI$6*AI$7,0),0),IF(AND(AE$6&lt;&gt;"",AE$8&lt;&gt;""),IF(EOMONTH($AD$3+INT((DAY(EOMONTH($AD$3,0))-1)/2)+AE$8,0)=EOMONTH($AH$3,0),AE$6*AE$7,0),0),IF(AND(AA$6&lt;&gt;"",AA$8&lt;&gt;""),IF(EOMONTH($Z$3+INT((DAY(EOMONTH($Z$3,0))-1)/2)+AA$8,0)=EOMONTH($AH$3,0),AA$6*AA$7,0),0),IF(AND(W$6&lt;&gt;"",W$8&lt;&gt;""),IF(EOMONTH($V$3+INT((DAY(EOMONTH($V$3,0))-1)/2)+W$8,0)=EOMONTH($AH$3,0),W$6*W$7,0),0),IF(AND(S$6&lt;&gt;"",S$8&lt;&gt;""),IF(EOMONTH($R$3+INT((DAY(EOMONTH($R$3,0))-1)/2)+S$8,0)=EOMONTH($AH$3,0),S$6*S$7,0),0),IF(AND(O$6&lt;&gt;"",O$8&lt;&gt;""),IF(EOMONTH($N$3+INT((DAY(EOMONTH($N$3,0))-1)/2)+O$8,0)=EOMONTH($AH$3,0),O$6*O$7,0),0),IF(AND(K$6&lt;&gt;"",K$8&lt;&gt;""),IF(EOMONTH($J$3+INT((DAY(EOMONTH($J$3,0))-1)/2)+K$8,0)=EOMONTH($AH$3,0),K$6*K$7,0),0),IF(AND(G$6&lt;&gt;"",G$8&lt;&gt;""),IF(EOMONTH($F$3+INT((DAY(EOMONTH($F$3,0))-1)/2)+G$8,0)=EOMONTH($AH$3,0),G$6*G$7,0),0)),0))</f>
        <v>0</v>
      </c>
      <c r="AJ9" s="15">
        <f>ROUND(SUM(IF(AND(ER$6&lt;&gt;"",ER$8&lt;&gt;""),IF(EOMONTH($EP$3+INT((DAY(EOMONTH($EP$3,0))-1)/2)+ER$8,0)=EOMONTH($AH$3,0),ER$6*ER$7,0),0),IF(AND(EN$6&lt;&gt;"",EN$8&lt;&gt;""),IF(EOMONTH($EL$3+INT((DAY(EOMONTH($EL$3,0))-1)/2)+EN$8,0)=EOMONTH($AH$3,0),EN$6*EN$7,0),0),IF(AND(EJ$6&lt;&gt;"",EJ$8&lt;&gt;""),IF(EOMONTH($EH$3+INT((DAY(EOMONTH($EH$3,0))-1)/2)+EJ$8,0)=EOMONTH($AH$3,0),EJ$6*EJ$7,0),0),IF(AND(EF$6&lt;&gt;"",EF$8&lt;&gt;""),IF(EOMONTH($ED$3+INT((DAY(EOMONTH($ED$3,0))-1)/2)+EF$8,0)=EOMONTH($AH$3,0),EF$6*EF$7,0),0),IF(AND(EB$6&lt;&gt;"",EB$8&lt;&gt;""),IF(EOMONTH($DZ$3+INT((DAY(EOMONTH($DZ$3,0))-1)/2)+EB$8,0)=EOMONTH($AH$3,0),EB$6*EB$7,0),0),IF(AND(DX$6&lt;&gt;"",DX$8&lt;&gt;""),IF(EOMONTH($DV$3+INT((DAY(EOMONTH($DV$3,0))-1)/2)+DX$8,0)=EOMONTH($AH$3,0),DX$6*DX$7,0),0),IF(AND(DT$6&lt;&gt;"",DT$8&lt;&gt;""),IF(EOMONTH($DR$3+INT((DAY(EOMONTH($DR$3,0))-1)/2)+DT$8,0)=EOMONTH($AH$3,0),DT$6*DT$7,0),0),IF(AND(DP$6&lt;&gt;"",DP$8&lt;&gt;""),IF(EOMONTH($DN$3+INT((DAY(EOMONTH($DN$3,0))-1)/2)+DP$8,0)=EOMONTH($AH$3,0),DP$6*DP$7,0),0),IF(AND(DL$6&lt;&gt;"",DL$8&lt;&gt;""),IF(EOMONTH($DJ$3+INT((DAY(EOMONTH($DJ$3,0))-1)/2)+DL$8,0)=EOMONTH($AH$3,0),DL$6*DL$7,0),0),IF(AND(DH$6&lt;&gt;"",DH$8&lt;&gt;""),IF(EOMONTH($DF$3+INT((DAY(EOMONTH($DF$3,0))-1)/2)+DH$8,0)=EOMONTH($AH$3,0),DH$6*DH$7,0),0),IF(AND(DD$6&lt;&gt;"",DD$8&lt;&gt;""),IF(EOMONTH($DB$3+INT((DAY(EOMONTH($DB$3,0))-1)/2)+DD$8,0)=EOMONTH($AH$3,0),DD$6*DD$7,0),0),IF(AND(CZ$6&lt;&gt;"",CZ$8&lt;&gt;""),IF(EOMONTH($CX$3+INT((DAY(EOMONTH($CX$3,0))-1)/2)+CZ$8,0)=EOMONTH($AH$3,0),CZ$6*CZ$7,0),0),IF(AND(CV$6&lt;&gt;"",CV$8&lt;&gt;""),IF(EOMONTH($CT$3+INT((DAY(EOMONTH($CT$3,0))-1)/2)+CV$8,0)=EOMONTH($AH$3,0),CV$6*CV$7,0),0),IF(AND(CR$6&lt;&gt;"",CR$8&lt;&gt;""),IF(EOMONTH($CP$3+INT((DAY(EOMONTH($CP$3,0))-1)/2)+CR$8,0)=EOMONTH($AH$3,0),CR$6*CR$7,0),0),IF(AND(CN$6&lt;&gt;"",CN$8&lt;&gt;""),IF(EOMONTH($CL$3+INT((DAY(EOMONTH($CL$3,0))-1)/2)+CN$8,0)=EOMONTH($AH$3,0),CN$6*CN$7,0),0),IF(AND(CJ$6&lt;&gt;"",CJ$8&lt;&gt;""),IF(EOMONTH($CH$3+INT((DAY(EOMONTH($CH$3,0))-1)/2)+CJ$8,0)=EOMONTH($AH$3,0),CJ$6*CJ$7,0),0),IF(AND(CF$6&lt;&gt;"",CF$8&lt;&gt;""),IF(EOMONTH($CD$3+INT((DAY(EOMONTH($CD$3,0))-1)/2)+CF$8,0)=EOMONTH($AH$3,0),CF$6*CF$7,0),0),IF(AND(CB$6&lt;&gt;"",CB$8&lt;&gt;""),IF(EOMONTH($BZ$3+INT((DAY(EOMONTH($BZ$3,0))-1)/2)+CB$8,0)=EOMONTH($AH$3,0),CB$6*CB$7,0),0),IF(AND(BX$6&lt;&gt;"",BX$8&lt;&gt;""),IF(EOMONTH($BV$3+INT((DAY(EOMONTH($BV$3,0))-1)/2)+BX$8,0)=EOMONTH($AH$3,0),BX$6*BX$7,0),0),IF(AND(BT$6&lt;&gt;"",BT$8&lt;&gt;""),IF(EOMONTH($BR$3+INT((DAY(EOMONTH($BR$3,0))-1)/2)+BT$8,0)=EOMONTH($AH$3,0),BT$6*BT$7,0),0),IF(AND(BP$6&lt;&gt;"",BP$8&lt;&gt;""),IF(EOMONTH($BN$3+INT((DAY(EOMONTH($BN$3,0))-1)/2)+BP$8,0)=EOMONTH($AH$3,0),BP$6*BP$7,0),0),IF(AND(BL$6&lt;&gt;"",BL$8&lt;&gt;""),IF(EOMONTH($BJ$3+INT((DAY(EOMONTH($BJ$3,0))-1)/2)+BL$8,0)=EOMONTH($AH$3,0),BL$6*BL$7,0),0),IF(AND(BH$6&lt;&gt;"",BH$8&lt;&gt;""),IF(EOMONTH($BF$3+INT((DAY(EOMONTH($BF$3,0))-1)/2)+BH$8,0)=EOMONTH($AH$3,0),BH$6*BH$7,0),0),IF(AND(BD$6&lt;&gt;"",BD$8&lt;&gt;""),IF(EOMONTH($BB$3+INT((DAY(EOMONTH($BB$3,0))-1)/2)+BD$8,0)=EOMONTH($AH$3,0),BD$6*BD$7,0),0),IF(AND(AZ$6&lt;&gt;"",AZ$8&lt;&gt;""),IF(EOMONTH($AX$3+INT((DAY(EOMONTH($AX$3,0))-1)/2)+AZ$8,0)=EOMONTH($AH$3,0),AZ$6*AZ$7,0),0),IF(AND(AV$6&lt;&gt;"",AV$8&lt;&gt;""),IF(EOMONTH($AT$3+INT((DAY(EOMONTH($AT$3,0))-1)/2)+AV$8,0)=EOMONTH($AH$3,0),AV$6*AV$7,0),0),IF(AND(AR$6&lt;&gt;"",AR$8&lt;&gt;""),IF(EOMONTH($AP$3+INT((DAY(EOMONTH($AP$3,0))-1)/2)+AR$8,0)=EOMONTH($AH$3,0),AR$6*AR$7,0),0),IF(AND(AN$6&lt;&gt;"",AN$8&lt;&gt;""),IF(EOMONTH($AL$3+INT((DAY(EOMONTH($AL$3,0))-1)/2)+AN$8,0)=EOMONTH($AH$3,0),AN$6*AN$7,0),0),IF(AND(AJ$6&lt;&gt;"",AJ$8&lt;&gt;""),IF(EOMONTH($AH$3+INT((DAY(EOMONTH($AH$3,0))-1)/2)+AJ$8,0)=EOMONTH($AH$3,0),AJ$6*AJ$7,0),0),IF(AND(AF$6&lt;&gt;"",AF$8&lt;&gt;""),IF(EOMONTH($AD$3+INT((DAY(EOMONTH($AD$3,0))-1)/2)+AF$8,0)=EOMONTH($AH$3,0),AF$6*AF$7,0),0),IF(AND(AB$6&lt;&gt;"",AB$8&lt;&gt;""),IF(EOMONTH($Z$3+INT((DAY(EOMONTH($Z$3,0))-1)/2)+AB$8,0)=EOMONTH($AH$3,0),AB$6*AB$7,0),0),IF(AND(X$6&lt;&gt;"",X$8&lt;&gt;""),IF(EOMONTH($V$3+INT((DAY(EOMONTH($V$3,0))-1)/2)+X$8,0)=EOMONTH($AH$3,0),X$6*X$7,0),0),IF(AND(T$6&lt;&gt;"",T$8&lt;&gt;""),IF(EOMONTH($R$3+INT((DAY(EOMONTH($R$3,0))-1)/2)+T$8,0)=EOMONTH($AH$3,0),T$6*T$7,0),0),IF(AND(P$6&lt;&gt;"",P$8&lt;&gt;""),IF(EOMONTH($N$3+INT((DAY(EOMONTH($N$3,0))-1)/2)+P$8,0)=EOMONTH($AH$3,0),P$6*P$7,0),0),IF(AND(L$6&lt;&gt;"",L$8&lt;&gt;""),IF(EOMONTH($J$3+INT((DAY(EOMONTH($J$3,0))-1)/2)+L$8,0)=EOMONTH($AH$3,0),L$6*L$7,0),0),IF(AND(H$6&lt;&gt;"",H$8&lt;&gt;""),IF(EOMONTH($F$3+INT((DAY(EOMONTH($F$3,0))-1)/2)+H$8,0)=EOMONTH($AH$3,0),H$6*H$7,0),0)),0)</f>
        <v>0</v>
      </c>
      <c r="AK9" s="16">
        <f t="shared" si="19"/>
        <v>0</v>
      </c>
      <c r="AL9" s="17"/>
      <c r="AM9" s="14">
        <f>IF(AL$98=1,AL9,ROUND(SUM(IF(AND(EQ$6&lt;&gt;"",EQ$8&lt;&gt;""),IF(EOMONTH($EP$3+INT((DAY(EOMONTH($EP$3,0))-1)/2)+EQ$8,0)=EOMONTH($AL$3,0),EQ$6*EQ$7,0),0),IF(AND(EM$6&lt;&gt;"",EM$8&lt;&gt;""),IF(EOMONTH($EL$3+INT((DAY(EOMONTH($EL$3,0))-1)/2)+EM$8,0)=EOMONTH($AL$3,0),EM$6*EM$7,0),0),IF(AND(EI$6&lt;&gt;"",EI$8&lt;&gt;""),IF(EOMONTH($EH$3+INT((DAY(EOMONTH($EH$3,0))-1)/2)+EI$8,0)=EOMONTH($AL$3,0),EI$6*EI$7,0),0),IF(AND(EE$6&lt;&gt;"",EE$8&lt;&gt;""),IF(EOMONTH($ED$3+INT((DAY(EOMONTH($ED$3,0))-1)/2)+EE$8,0)=EOMONTH($AL$3,0),EE$6*EE$7,0),0),IF(AND(EA$6&lt;&gt;"",EA$8&lt;&gt;""),IF(EOMONTH($DZ$3+INT((DAY(EOMONTH($DZ$3,0))-1)/2)+EA$8,0)=EOMONTH($AL$3,0),EA$6*EA$7,0),0),IF(AND(DW$6&lt;&gt;"",DW$8&lt;&gt;""),IF(EOMONTH($DV$3+INT((DAY(EOMONTH($DV$3,0))-1)/2)+DW$8,0)=EOMONTH($AL$3,0),DW$6*DW$7,0),0),IF(AND(DS$6&lt;&gt;"",DS$8&lt;&gt;""),IF(EOMONTH($DR$3+INT((DAY(EOMONTH($DR$3,0))-1)/2)+DS$8,0)=EOMONTH($AL$3,0),DS$6*DS$7,0),0),IF(AND(DO$6&lt;&gt;"",DO$8&lt;&gt;""),IF(EOMONTH($DN$3+INT((DAY(EOMONTH($DN$3,0))-1)/2)+DO$8,0)=EOMONTH($AL$3,0),DO$6*DO$7,0),0),IF(AND(DK$6&lt;&gt;"",DK$8&lt;&gt;""),IF(EOMONTH($DJ$3+INT((DAY(EOMONTH($DJ$3,0))-1)/2)+DK$8,0)=EOMONTH($AL$3,0),DK$6*DK$7,0),0),IF(AND(DG$6&lt;&gt;"",DG$8&lt;&gt;""),IF(EOMONTH($DF$3+INT((DAY(EOMONTH($DF$3,0))-1)/2)+DG$8,0)=EOMONTH($AL$3,0),DG$6*DG$7,0),0),IF(AND(DC$6&lt;&gt;"",DC$8&lt;&gt;""),IF(EOMONTH($DB$3+INT((DAY(EOMONTH($DB$3,0))-1)/2)+DC$8,0)=EOMONTH($AL$3,0),DC$6*DC$7,0),0),IF(AND(CY$6&lt;&gt;"",CY$8&lt;&gt;""),IF(EOMONTH($CX$3+INT((DAY(EOMONTH($CX$3,0))-1)/2)+CY$8,0)=EOMONTH($AL$3,0),CY$6*CY$7,0),0),IF(AND(CU$6&lt;&gt;"",CU$8&lt;&gt;""),IF(EOMONTH($CT$3+INT((DAY(EOMONTH($CT$3,0))-1)/2)+CU$8,0)=EOMONTH($AL$3,0),CU$6*CU$7,0),0),IF(AND(CQ$6&lt;&gt;"",CQ$8&lt;&gt;""),IF(EOMONTH($CP$3+INT((DAY(EOMONTH($CP$3,0))-1)/2)+CQ$8,0)=EOMONTH($AL$3,0),CQ$6*CQ$7,0),0),IF(AND(CM$6&lt;&gt;"",CM$8&lt;&gt;""),IF(EOMONTH($CL$3+INT((DAY(EOMONTH($CL$3,0))-1)/2)+CM$8,0)=EOMONTH($AL$3,0),CM$6*CM$7,0),0),IF(AND(CI$6&lt;&gt;"",CI$8&lt;&gt;""),IF(EOMONTH($CH$3+INT((DAY(EOMONTH($CH$3,0))-1)/2)+CI$8,0)=EOMONTH($AL$3,0),CI$6*CI$7,0),0),IF(AND(CE$6&lt;&gt;"",CE$8&lt;&gt;""),IF(EOMONTH($CD$3+INT((DAY(EOMONTH($CD$3,0))-1)/2)+CE$8,0)=EOMONTH($AL$3,0),CE$6*CE$7,0),0),IF(AND(CA$6&lt;&gt;"",CA$8&lt;&gt;""),IF(EOMONTH($BZ$3+INT((DAY(EOMONTH($BZ$3,0))-1)/2)+CA$8,0)=EOMONTH($AL$3,0),CA$6*CA$7,0),0),IF(AND(BW$6&lt;&gt;"",BW$8&lt;&gt;""),IF(EOMONTH($BV$3+INT((DAY(EOMONTH($BV$3,0))-1)/2)+BW$8,0)=EOMONTH($AL$3,0),BW$6*BW$7,0),0),IF(AND(BS$6&lt;&gt;"",BS$8&lt;&gt;""),IF(EOMONTH($BR$3+INT((DAY(EOMONTH($BR$3,0))-1)/2)+BS$8,0)=EOMONTH($AL$3,0),BS$6*BS$7,0),0),IF(AND(BO$6&lt;&gt;"",BO$8&lt;&gt;""),IF(EOMONTH($BN$3+INT((DAY(EOMONTH($BN$3,0))-1)/2)+BO$8,0)=EOMONTH($AL$3,0),BO$6*BO$7,0),0),IF(AND(BK$6&lt;&gt;"",BK$8&lt;&gt;""),IF(EOMONTH($BJ$3+INT((DAY(EOMONTH($BJ$3,0))-1)/2)+BK$8,0)=EOMONTH($AL$3,0),BK$6*BK$7,0),0),IF(AND(BG$6&lt;&gt;"",BG$8&lt;&gt;""),IF(EOMONTH($BF$3+INT((DAY(EOMONTH($BF$3,0))-1)/2)+BG$8,0)=EOMONTH($AL$3,0),BG$6*BG$7,0),0),IF(AND(BC$6&lt;&gt;"",BC$8&lt;&gt;""),IF(EOMONTH($BB$3+INT((DAY(EOMONTH($BB$3,0))-1)/2)+BC$8,0)=EOMONTH($AL$3,0),BC$6*BC$7,0),0),IF(AND(AY$6&lt;&gt;"",AY$8&lt;&gt;""),IF(EOMONTH($AX$3+INT((DAY(EOMONTH($AX$3,0))-1)/2)+AY$8,0)=EOMONTH($AL$3,0),AY$6*AY$7,0),0),IF(AND(AU$6&lt;&gt;"",AU$8&lt;&gt;""),IF(EOMONTH($AT$3+INT((DAY(EOMONTH($AT$3,0))-1)/2)+AU$8,0)=EOMONTH($AL$3,0),AU$6*AU$7,0),0),IF(AND(AQ$6&lt;&gt;"",AQ$8&lt;&gt;""),IF(EOMONTH($AP$3+INT((DAY(EOMONTH($AP$3,0))-1)/2)+AQ$8,0)=EOMONTH($AL$3,0),AQ$6*AQ$7,0),0),IF(AND(AM$6&lt;&gt;"",AM$8&lt;&gt;""),IF(EOMONTH($AL$3+INT((DAY(EOMONTH($AL$3,0))-1)/2)+AM$8,0)=EOMONTH($AL$3,0),AM$6*AM$7,0),0),IF(AND(AI$6&lt;&gt;"",AI$8&lt;&gt;""),IF(EOMONTH($AH$3+INT((DAY(EOMONTH($AH$3,0))-1)/2)+AI$8,0)=EOMONTH($AL$3,0),AI$6*AI$7,0),0),IF(AND(AE$6&lt;&gt;"",AE$8&lt;&gt;""),IF(EOMONTH($AD$3+INT((DAY(EOMONTH($AD$3,0))-1)/2)+AE$8,0)=EOMONTH($AL$3,0),AE$6*AE$7,0),0),IF(AND(AA$6&lt;&gt;"",AA$8&lt;&gt;""),IF(EOMONTH($Z$3+INT((DAY(EOMONTH($Z$3,0))-1)/2)+AA$8,0)=EOMONTH($AL$3,0),AA$6*AA$7,0),0),IF(AND(W$6&lt;&gt;"",W$8&lt;&gt;""),IF(EOMONTH($V$3+INT((DAY(EOMONTH($V$3,0))-1)/2)+W$8,0)=EOMONTH($AL$3,0),W$6*W$7,0),0),IF(AND(S$6&lt;&gt;"",S$8&lt;&gt;""),IF(EOMONTH($R$3+INT((DAY(EOMONTH($R$3,0))-1)/2)+S$8,0)=EOMONTH($AL$3,0),S$6*S$7,0),0),IF(AND(O$6&lt;&gt;"",O$8&lt;&gt;""),IF(EOMONTH($N$3+INT((DAY(EOMONTH($N$3,0))-1)/2)+O$8,0)=EOMONTH($AL$3,0),O$6*O$7,0),0),IF(AND(K$6&lt;&gt;"",K$8&lt;&gt;""),IF(EOMONTH($J$3+INT((DAY(EOMONTH($J$3,0))-1)/2)+K$8,0)=EOMONTH($AL$3,0),K$6*K$7,0),0),IF(AND(G$6&lt;&gt;"",G$8&lt;&gt;""),IF(EOMONTH($F$3+INT((DAY(EOMONTH($F$3,0))-1)/2)+G$8,0)=EOMONTH($AL$3,0),G$6*G$7,0),0)),0))</f>
        <v>0</v>
      </c>
      <c r="AN9" s="15">
        <f>ROUND(SUM(IF(AND(ER$6&lt;&gt;"",ER$8&lt;&gt;""),IF(EOMONTH($EP$3+INT((DAY(EOMONTH($EP$3,0))-1)/2)+ER$8,0)=EOMONTH($AL$3,0),ER$6*ER$7,0),0),IF(AND(EN$6&lt;&gt;"",EN$8&lt;&gt;""),IF(EOMONTH($EL$3+INT((DAY(EOMONTH($EL$3,0))-1)/2)+EN$8,0)=EOMONTH($AL$3,0),EN$6*EN$7,0),0),IF(AND(EJ$6&lt;&gt;"",EJ$8&lt;&gt;""),IF(EOMONTH($EH$3+INT((DAY(EOMONTH($EH$3,0))-1)/2)+EJ$8,0)=EOMONTH($AL$3,0),EJ$6*EJ$7,0),0),IF(AND(EF$6&lt;&gt;"",EF$8&lt;&gt;""),IF(EOMONTH($ED$3+INT((DAY(EOMONTH($ED$3,0))-1)/2)+EF$8,0)=EOMONTH($AL$3,0),EF$6*EF$7,0),0),IF(AND(EB$6&lt;&gt;"",EB$8&lt;&gt;""),IF(EOMONTH($DZ$3+INT((DAY(EOMONTH($DZ$3,0))-1)/2)+EB$8,0)=EOMONTH($AL$3,0),EB$6*EB$7,0),0),IF(AND(DX$6&lt;&gt;"",DX$8&lt;&gt;""),IF(EOMONTH($DV$3+INT((DAY(EOMONTH($DV$3,0))-1)/2)+DX$8,0)=EOMONTH($AL$3,0),DX$6*DX$7,0),0),IF(AND(DT$6&lt;&gt;"",DT$8&lt;&gt;""),IF(EOMONTH($DR$3+INT((DAY(EOMONTH($DR$3,0))-1)/2)+DT$8,0)=EOMONTH($AL$3,0),DT$6*DT$7,0),0),IF(AND(DP$6&lt;&gt;"",DP$8&lt;&gt;""),IF(EOMONTH($DN$3+INT((DAY(EOMONTH($DN$3,0))-1)/2)+DP$8,0)=EOMONTH($AL$3,0),DP$6*DP$7,0),0),IF(AND(DL$6&lt;&gt;"",DL$8&lt;&gt;""),IF(EOMONTH($DJ$3+INT((DAY(EOMONTH($DJ$3,0))-1)/2)+DL$8,0)=EOMONTH($AL$3,0),DL$6*DL$7,0),0),IF(AND(DH$6&lt;&gt;"",DH$8&lt;&gt;""),IF(EOMONTH($DF$3+INT((DAY(EOMONTH($DF$3,0))-1)/2)+DH$8,0)=EOMONTH($AL$3,0),DH$6*DH$7,0),0),IF(AND(DD$6&lt;&gt;"",DD$8&lt;&gt;""),IF(EOMONTH($DB$3+INT((DAY(EOMONTH($DB$3,0))-1)/2)+DD$8,0)=EOMONTH($AL$3,0),DD$6*DD$7,0),0),IF(AND(CZ$6&lt;&gt;"",CZ$8&lt;&gt;""),IF(EOMONTH($CX$3+INT((DAY(EOMONTH($CX$3,0))-1)/2)+CZ$8,0)=EOMONTH($AL$3,0),CZ$6*CZ$7,0),0),IF(AND(CV$6&lt;&gt;"",CV$8&lt;&gt;""),IF(EOMONTH($CT$3+INT((DAY(EOMONTH($CT$3,0))-1)/2)+CV$8,0)=EOMONTH($AL$3,0),CV$6*CV$7,0),0),IF(AND(CR$6&lt;&gt;"",CR$8&lt;&gt;""),IF(EOMONTH($CP$3+INT((DAY(EOMONTH($CP$3,0))-1)/2)+CR$8,0)=EOMONTH($AL$3,0),CR$6*CR$7,0),0),IF(AND(CN$6&lt;&gt;"",CN$8&lt;&gt;""),IF(EOMONTH($CL$3+INT((DAY(EOMONTH($CL$3,0))-1)/2)+CN$8,0)=EOMONTH($AL$3,0),CN$6*CN$7,0),0),IF(AND(CJ$6&lt;&gt;"",CJ$8&lt;&gt;""),IF(EOMONTH($CH$3+INT((DAY(EOMONTH($CH$3,0))-1)/2)+CJ$8,0)=EOMONTH($AL$3,0),CJ$6*CJ$7,0),0),IF(AND(CF$6&lt;&gt;"",CF$8&lt;&gt;""),IF(EOMONTH($CD$3+INT((DAY(EOMONTH($CD$3,0))-1)/2)+CF$8,0)=EOMONTH($AL$3,0),CF$6*CF$7,0),0),IF(AND(CB$6&lt;&gt;"",CB$8&lt;&gt;""),IF(EOMONTH($BZ$3+INT((DAY(EOMONTH($BZ$3,0))-1)/2)+CB$8,0)=EOMONTH($AL$3,0),CB$6*CB$7,0),0),IF(AND(BX$6&lt;&gt;"",BX$8&lt;&gt;""),IF(EOMONTH($BV$3+INT((DAY(EOMONTH($BV$3,0))-1)/2)+BX$8,0)=EOMONTH($AL$3,0),BX$6*BX$7,0),0),IF(AND(BT$6&lt;&gt;"",BT$8&lt;&gt;""),IF(EOMONTH($BR$3+INT((DAY(EOMONTH($BR$3,0))-1)/2)+BT$8,0)=EOMONTH($AL$3,0),BT$6*BT$7,0),0),IF(AND(BP$6&lt;&gt;"",BP$8&lt;&gt;""),IF(EOMONTH($BN$3+INT((DAY(EOMONTH($BN$3,0))-1)/2)+BP$8,0)=EOMONTH($AL$3,0),BP$6*BP$7,0),0),IF(AND(BL$6&lt;&gt;"",BL$8&lt;&gt;""),IF(EOMONTH($BJ$3+INT((DAY(EOMONTH($BJ$3,0))-1)/2)+BL$8,0)=EOMONTH($AL$3,0),BL$6*BL$7,0),0),IF(AND(BH$6&lt;&gt;"",BH$8&lt;&gt;""),IF(EOMONTH($BF$3+INT((DAY(EOMONTH($BF$3,0))-1)/2)+BH$8,0)=EOMONTH($AL$3,0),BH$6*BH$7,0),0),IF(AND(BD$6&lt;&gt;"",BD$8&lt;&gt;""),IF(EOMONTH($BB$3+INT((DAY(EOMONTH($BB$3,0))-1)/2)+BD$8,0)=EOMONTH($AL$3,0),BD$6*BD$7,0),0),IF(AND(AZ$6&lt;&gt;"",AZ$8&lt;&gt;""),IF(EOMONTH($AX$3+INT((DAY(EOMONTH($AX$3,0))-1)/2)+AZ$8,0)=EOMONTH($AL$3,0),AZ$6*AZ$7,0),0),IF(AND(AV$6&lt;&gt;"",AV$8&lt;&gt;""),IF(EOMONTH($AT$3+INT((DAY(EOMONTH($AT$3,0))-1)/2)+AV$8,0)=EOMONTH($AL$3,0),AV$6*AV$7,0),0),IF(AND(AR$6&lt;&gt;"",AR$8&lt;&gt;""),IF(EOMONTH($AP$3+INT((DAY(EOMONTH($AP$3,0))-1)/2)+AR$8,0)=EOMONTH($AL$3,0),AR$6*AR$7,0),0),IF(AND(AN$6&lt;&gt;"",AN$8&lt;&gt;""),IF(EOMONTH($AL$3+INT((DAY(EOMONTH($AL$3,0))-1)/2)+AN$8,0)=EOMONTH($AL$3,0),AN$6*AN$7,0),0),IF(AND(AJ$6&lt;&gt;"",AJ$8&lt;&gt;""),IF(EOMONTH($AH$3+INT((DAY(EOMONTH($AH$3,0))-1)/2)+AJ$8,0)=EOMONTH($AL$3,0),AJ$6*AJ$7,0),0),IF(AND(AF$6&lt;&gt;"",AF$8&lt;&gt;""),IF(EOMONTH($AD$3+INT((DAY(EOMONTH($AD$3,0))-1)/2)+AF$8,0)=EOMONTH($AL$3,0),AF$6*AF$7,0),0),IF(AND(AB$6&lt;&gt;"",AB$8&lt;&gt;""),IF(EOMONTH($Z$3+INT((DAY(EOMONTH($Z$3,0))-1)/2)+AB$8,0)=EOMONTH($AL$3,0),AB$6*AB$7,0),0),IF(AND(X$6&lt;&gt;"",X$8&lt;&gt;""),IF(EOMONTH($V$3+INT((DAY(EOMONTH($V$3,0))-1)/2)+X$8,0)=EOMONTH($AL$3,0),X$6*X$7,0),0),IF(AND(T$6&lt;&gt;"",T$8&lt;&gt;""),IF(EOMONTH($R$3+INT((DAY(EOMONTH($R$3,0))-1)/2)+T$8,0)=EOMONTH($AL$3,0),T$6*T$7,0),0),IF(AND(P$6&lt;&gt;"",P$8&lt;&gt;""),IF(EOMONTH($N$3+INT((DAY(EOMONTH($N$3,0))-1)/2)+P$8,0)=EOMONTH($AL$3,0),P$6*P$7,0),0),IF(AND(L$6&lt;&gt;"",L$8&lt;&gt;""),IF(EOMONTH($J$3+INT((DAY(EOMONTH($J$3,0))-1)/2)+L$8,0)=EOMONTH($AL$3,0),L$6*L$7,0),0),IF(AND(H$6&lt;&gt;"",H$8&lt;&gt;""),IF(EOMONTH($F$3+INT((DAY(EOMONTH($F$3,0))-1)/2)+H$8,0)=EOMONTH($AL$3,0),H$6*H$7,0),0)),0)</f>
        <v>0</v>
      </c>
      <c r="AO9" s="16">
        <f t="shared" si="21"/>
        <v>0</v>
      </c>
      <c r="AP9" s="17"/>
      <c r="AQ9" s="14">
        <f>IF(AP$98=1,AP9,ROUND(SUM(IF(AND(EQ$6&lt;&gt;"",EQ$8&lt;&gt;""),IF(EOMONTH($EP$3+INT((DAY(EOMONTH($EP$3,0))-1)/2)+EQ$8,0)=EOMONTH($AP$3,0),EQ$6*EQ$7,0),0),IF(AND(EM$6&lt;&gt;"",EM$8&lt;&gt;""),IF(EOMONTH($EL$3+INT((DAY(EOMONTH($EL$3,0))-1)/2)+EM$8,0)=EOMONTH($AP$3,0),EM$6*EM$7,0),0),IF(AND(EI$6&lt;&gt;"",EI$8&lt;&gt;""),IF(EOMONTH($EH$3+INT((DAY(EOMONTH($EH$3,0))-1)/2)+EI$8,0)=EOMONTH($AP$3,0),EI$6*EI$7,0),0),IF(AND(EE$6&lt;&gt;"",EE$8&lt;&gt;""),IF(EOMONTH($ED$3+INT((DAY(EOMONTH($ED$3,0))-1)/2)+EE$8,0)=EOMONTH($AP$3,0),EE$6*EE$7,0),0),IF(AND(EA$6&lt;&gt;"",EA$8&lt;&gt;""),IF(EOMONTH($DZ$3+INT((DAY(EOMONTH($DZ$3,0))-1)/2)+EA$8,0)=EOMONTH($AP$3,0),EA$6*EA$7,0),0),IF(AND(DW$6&lt;&gt;"",DW$8&lt;&gt;""),IF(EOMONTH($DV$3+INT((DAY(EOMONTH($DV$3,0))-1)/2)+DW$8,0)=EOMONTH($AP$3,0),DW$6*DW$7,0),0),IF(AND(DS$6&lt;&gt;"",DS$8&lt;&gt;""),IF(EOMONTH($DR$3+INT((DAY(EOMONTH($DR$3,0))-1)/2)+DS$8,0)=EOMONTH($AP$3,0),DS$6*DS$7,0),0),IF(AND(DO$6&lt;&gt;"",DO$8&lt;&gt;""),IF(EOMONTH($DN$3+INT((DAY(EOMONTH($DN$3,0))-1)/2)+DO$8,0)=EOMONTH($AP$3,0),DO$6*DO$7,0),0),IF(AND(DK$6&lt;&gt;"",DK$8&lt;&gt;""),IF(EOMONTH($DJ$3+INT((DAY(EOMONTH($DJ$3,0))-1)/2)+DK$8,0)=EOMONTH($AP$3,0),DK$6*DK$7,0),0),IF(AND(DG$6&lt;&gt;"",DG$8&lt;&gt;""),IF(EOMONTH($DF$3+INT((DAY(EOMONTH($DF$3,0))-1)/2)+DG$8,0)=EOMONTH($AP$3,0),DG$6*DG$7,0),0),IF(AND(DC$6&lt;&gt;"",DC$8&lt;&gt;""),IF(EOMONTH($DB$3+INT((DAY(EOMONTH($DB$3,0))-1)/2)+DC$8,0)=EOMONTH($AP$3,0),DC$6*DC$7,0),0),IF(AND(CY$6&lt;&gt;"",CY$8&lt;&gt;""),IF(EOMONTH($CX$3+INT((DAY(EOMONTH($CX$3,0))-1)/2)+CY$8,0)=EOMONTH($AP$3,0),CY$6*CY$7,0),0),IF(AND(CU$6&lt;&gt;"",CU$8&lt;&gt;""),IF(EOMONTH($CT$3+INT((DAY(EOMONTH($CT$3,0))-1)/2)+CU$8,0)=EOMONTH($AP$3,0),CU$6*CU$7,0),0),IF(AND(CQ$6&lt;&gt;"",CQ$8&lt;&gt;""),IF(EOMONTH($CP$3+INT((DAY(EOMONTH($CP$3,0))-1)/2)+CQ$8,0)=EOMONTH($AP$3,0),CQ$6*CQ$7,0),0),IF(AND(CM$6&lt;&gt;"",CM$8&lt;&gt;""),IF(EOMONTH($CL$3+INT((DAY(EOMONTH($CL$3,0))-1)/2)+CM$8,0)=EOMONTH($AP$3,0),CM$6*CM$7,0),0),IF(AND(CI$6&lt;&gt;"",CI$8&lt;&gt;""),IF(EOMONTH($CH$3+INT((DAY(EOMONTH($CH$3,0))-1)/2)+CI$8,0)=EOMONTH($AP$3,0),CI$6*CI$7,0),0),IF(AND(CE$6&lt;&gt;"",CE$8&lt;&gt;""),IF(EOMONTH($CD$3+INT((DAY(EOMONTH($CD$3,0))-1)/2)+CE$8,0)=EOMONTH($AP$3,0),CE$6*CE$7,0),0),IF(AND(CA$6&lt;&gt;"",CA$8&lt;&gt;""),IF(EOMONTH($BZ$3+INT((DAY(EOMONTH($BZ$3,0))-1)/2)+CA$8,0)=EOMONTH($AP$3,0),CA$6*CA$7,0),0),IF(AND(BW$6&lt;&gt;"",BW$8&lt;&gt;""),IF(EOMONTH($BV$3+INT((DAY(EOMONTH($BV$3,0))-1)/2)+BW$8,0)=EOMONTH($AP$3,0),BW$6*BW$7,0),0),IF(AND(BS$6&lt;&gt;"",BS$8&lt;&gt;""),IF(EOMONTH($BR$3+INT((DAY(EOMONTH($BR$3,0))-1)/2)+BS$8,0)=EOMONTH($AP$3,0),BS$6*BS$7,0),0),IF(AND(BO$6&lt;&gt;"",BO$8&lt;&gt;""),IF(EOMONTH($BN$3+INT((DAY(EOMONTH($BN$3,0))-1)/2)+BO$8,0)=EOMONTH($AP$3,0),BO$6*BO$7,0),0),IF(AND(BK$6&lt;&gt;"",BK$8&lt;&gt;""),IF(EOMONTH($BJ$3+INT((DAY(EOMONTH($BJ$3,0))-1)/2)+BK$8,0)=EOMONTH($AP$3,0),BK$6*BK$7,0),0),IF(AND(BG$6&lt;&gt;"",BG$8&lt;&gt;""),IF(EOMONTH($BF$3+INT((DAY(EOMONTH($BF$3,0))-1)/2)+BG$8,0)=EOMONTH($AP$3,0),BG$6*BG$7,0),0),IF(AND(BC$6&lt;&gt;"",BC$8&lt;&gt;""),IF(EOMONTH($BB$3+INT((DAY(EOMONTH($BB$3,0))-1)/2)+BC$8,0)=EOMONTH($AP$3,0),BC$6*BC$7,0),0),IF(AND(AY$6&lt;&gt;"",AY$8&lt;&gt;""),IF(EOMONTH($AX$3+INT((DAY(EOMONTH($AX$3,0))-1)/2)+AY$8,0)=EOMONTH($AP$3,0),AY$6*AY$7,0),0),IF(AND(AU$6&lt;&gt;"",AU$8&lt;&gt;""),IF(EOMONTH($AT$3+INT((DAY(EOMONTH($AT$3,0))-1)/2)+AU$8,0)=EOMONTH($AP$3,0),AU$6*AU$7,0),0),IF(AND(AQ$6&lt;&gt;"",AQ$8&lt;&gt;""),IF(EOMONTH($AP$3+INT((DAY(EOMONTH($AP$3,0))-1)/2)+AQ$8,0)=EOMONTH($AP$3,0),AQ$6*AQ$7,0),0),IF(AND(AM$6&lt;&gt;"",AM$8&lt;&gt;""),IF(EOMONTH($AL$3+INT((DAY(EOMONTH($AL$3,0))-1)/2)+AM$8,0)=EOMONTH($AP$3,0),AM$6*AM$7,0),0),IF(AND(AI$6&lt;&gt;"",AI$8&lt;&gt;""),IF(EOMONTH($AH$3+INT((DAY(EOMONTH($AH$3,0))-1)/2)+AI$8,0)=EOMONTH($AP$3,0),AI$6*AI$7,0),0),IF(AND(AE$6&lt;&gt;"",AE$8&lt;&gt;""),IF(EOMONTH($AD$3+INT((DAY(EOMONTH($AD$3,0))-1)/2)+AE$8,0)=EOMONTH($AP$3,0),AE$6*AE$7,0),0),IF(AND(AA$6&lt;&gt;"",AA$8&lt;&gt;""),IF(EOMONTH($Z$3+INT((DAY(EOMONTH($Z$3,0))-1)/2)+AA$8,0)=EOMONTH($AP$3,0),AA$6*AA$7,0),0),IF(AND(W$6&lt;&gt;"",W$8&lt;&gt;""),IF(EOMONTH($V$3+INT((DAY(EOMONTH($V$3,0))-1)/2)+W$8,0)=EOMONTH($AP$3,0),W$6*W$7,0),0),IF(AND(S$6&lt;&gt;"",S$8&lt;&gt;""),IF(EOMONTH($R$3+INT((DAY(EOMONTH($R$3,0))-1)/2)+S$8,0)=EOMONTH($AP$3,0),S$6*S$7,0),0),IF(AND(O$6&lt;&gt;"",O$8&lt;&gt;""),IF(EOMONTH($N$3+INT((DAY(EOMONTH($N$3,0))-1)/2)+O$8,0)=EOMONTH($AP$3,0),O$6*O$7,0),0),IF(AND(K$6&lt;&gt;"",K$8&lt;&gt;""),IF(EOMONTH($J$3+INT((DAY(EOMONTH($J$3,0))-1)/2)+K$8,0)=EOMONTH($AP$3,0),K$6*K$7,0),0),IF(AND(G$6&lt;&gt;"",G$8&lt;&gt;""),IF(EOMONTH($F$3+INT((DAY(EOMONTH($F$3,0))-1)/2)+G$8,0)=EOMONTH($AP$3,0),G$6*G$7,0),0)),0))</f>
        <v>0</v>
      </c>
      <c r="AR9" s="15">
        <f>ROUND(SUM(IF(AND(ER$6&lt;&gt;"",ER$8&lt;&gt;""),IF(EOMONTH($EP$3+INT((DAY(EOMONTH($EP$3,0))-1)/2)+ER$8,0)=EOMONTH($AP$3,0),ER$6*ER$7,0),0),IF(AND(EN$6&lt;&gt;"",EN$8&lt;&gt;""),IF(EOMONTH($EL$3+INT((DAY(EOMONTH($EL$3,0))-1)/2)+EN$8,0)=EOMONTH($AP$3,0),EN$6*EN$7,0),0),IF(AND(EJ$6&lt;&gt;"",EJ$8&lt;&gt;""),IF(EOMONTH($EH$3+INT((DAY(EOMONTH($EH$3,0))-1)/2)+EJ$8,0)=EOMONTH($AP$3,0),EJ$6*EJ$7,0),0),IF(AND(EF$6&lt;&gt;"",EF$8&lt;&gt;""),IF(EOMONTH($ED$3+INT((DAY(EOMONTH($ED$3,0))-1)/2)+EF$8,0)=EOMONTH($AP$3,0),EF$6*EF$7,0),0),IF(AND(EB$6&lt;&gt;"",EB$8&lt;&gt;""),IF(EOMONTH($DZ$3+INT((DAY(EOMONTH($DZ$3,0))-1)/2)+EB$8,0)=EOMONTH($AP$3,0),EB$6*EB$7,0),0),IF(AND(DX$6&lt;&gt;"",DX$8&lt;&gt;""),IF(EOMONTH($DV$3+INT((DAY(EOMONTH($DV$3,0))-1)/2)+DX$8,0)=EOMONTH($AP$3,0),DX$6*DX$7,0),0),IF(AND(DT$6&lt;&gt;"",DT$8&lt;&gt;""),IF(EOMONTH($DR$3+INT((DAY(EOMONTH($DR$3,0))-1)/2)+DT$8,0)=EOMONTH($AP$3,0),DT$6*DT$7,0),0),IF(AND(DP$6&lt;&gt;"",DP$8&lt;&gt;""),IF(EOMONTH($DN$3+INT((DAY(EOMONTH($DN$3,0))-1)/2)+DP$8,0)=EOMONTH($AP$3,0),DP$6*DP$7,0),0),IF(AND(DL$6&lt;&gt;"",DL$8&lt;&gt;""),IF(EOMONTH($DJ$3+INT((DAY(EOMONTH($DJ$3,0))-1)/2)+DL$8,0)=EOMONTH($AP$3,0),DL$6*DL$7,0),0),IF(AND(DH$6&lt;&gt;"",DH$8&lt;&gt;""),IF(EOMONTH($DF$3+INT((DAY(EOMONTH($DF$3,0))-1)/2)+DH$8,0)=EOMONTH($AP$3,0),DH$6*DH$7,0),0),IF(AND(DD$6&lt;&gt;"",DD$8&lt;&gt;""),IF(EOMONTH($DB$3+INT((DAY(EOMONTH($DB$3,0))-1)/2)+DD$8,0)=EOMONTH($AP$3,0),DD$6*DD$7,0),0),IF(AND(CZ$6&lt;&gt;"",CZ$8&lt;&gt;""),IF(EOMONTH($CX$3+INT((DAY(EOMONTH($CX$3,0))-1)/2)+CZ$8,0)=EOMONTH($AP$3,0),CZ$6*CZ$7,0),0),IF(AND(CV$6&lt;&gt;"",CV$8&lt;&gt;""),IF(EOMONTH($CT$3+INT((DAY(EOMONTH($CT$3,0))-1)/2)+CV$8,0)=EOMONTH($AP$3,0),CV$6*CV$7,0),0),IF(AND(CR$6&lt;&gt;"",CR$8&lt;&gt;""),IF(EOMONTH($CP$3+INT((DAY(EOMONTH($CP$3,0))-1)/2)+CR$8,0)=EOMONTH($AP$3,0),CR$6*CR$7,0),0),IF(AND(CN$6&lt;&gt;"",CN$8&lt;&gt;""),IF(EOMONTH($CL$3+INT((DAY(EOMONTH($CL$3,0))-1)/2)+CN$8,0)=EOMONTH($AP$3,0),CN$6*CN$7,0),0),IF(AND(CJ$6&lt;&gt;"",CJ$8&lt;&gt;""),IF(EOMONTH($CH$3+INT((DAY(EOMONTH($CH$3,0))-1)/2)+CJ$8,0)=EOMONTH($AP$3,0),CJ$6*CJ$7,0),0),IF(AND(CF$6&lt;&gt;"",CF$8&lt;&gt;""),IF(EOMONTH($CD$3+INT((DAY(EOMONTH($CD$3,0))-1)/2)+CF$8,0)=EOMONTH($AP$3,0),CF$6*CF$7,0),0),IF(AND(CB$6&lt;&gt;"",CB$8&lt;&gt;""),IF(EOMONTH($BZ$3+INT((DAY(EOMONTH($BZ$3,0))-1)/2)+CB$8,0)=EOMONTH($AP$3,0),CB$6*CB$7,0),0),IF(AND(BX$6&lt;&gt;"",BX$8&lt;&gt;""),IF(EOMONTH($BV$3+INT((DAY(EOMONTH($BV$3,0))-1)/2)+BX$8,0)=EOMONTH($AP$3,0),BX$6*BX$7,0),0),IF(AND(BT$6&lt;&gt;"",BT$8&lt;&gt;""),IF(EOMONTH($BR$3+INT((DAY(EOMONTH($BR$3,0))-1)/2)+BT$8,0)=EOMONTH($AP$3,0),BT$6*BT$7,0),0),IF(AND(BP$6&lt;&gt;"",BP$8&lt;&gt;""),IF(EOMONTH($BN$3+INT((DAY(EOMONTH($BN$3,0))-1)/2)+BP$8,0)=EOMONTH($AP$3,0),BP$6*BP$7,0),0),IF(AND(BL$6&lt;&gt;"",BL$8&lt;&gt;""),IF(EOMONTH($BJ$3+INT((DAY(EOMONTH($BJ$3,0))-1)/2)+BL$8,0)=EOMONTH($AP$3,0),BL$6*BL$7,0),0),IF(AND(BH$6&lt;&gt;"",BH$8&lt;&gt;""),IF(EOMONTH($BF$3+INT((DAY(EOMONTH($BF$3,0))-1)/2)+BH$8,0)=EOMONTH($AP$3,0),BH$6*BH$7,0),0),IF(AND(BD$6&lt;&gt;"",BD$8&lt;&gt;""),IF(EOMONTH($BB$3+INT((DAY(EOMONTH($BB$3,0))-1)/2)+BD$8,0)=EOMONTH($AP$3,0),BD$6*BD$7,0),0),IF(AND(AZ$6&lt;&gt;"",AZ$8&lt;&gt;""),IF(EOMONTH($AX$3+INT((DAY(EOMONTH($AX$3,0))-1)/2)+AZ$8,0)=EOMONTH($AP$3,0),AZ$6*AZ$7,0),0),IF(AND(AV$6&lt;&gt;"",AV$8&lt;&gt;""),IF(EOMONTH($AT$3+INT((DAY(EOMONTH($AT$3,0))-1)/2)+AV$8,0)=EOMONTH($AP$3,0),AV$6*AV$7,0),0),IF(AND(AR$6&lt;&gt;"",AR$8&lt;&gt;""),IF(EOMONTH($AP$3+INT((DAY(EOMONTH($AP$3,0))-1)/2)+AR$8,0)=EOMONTH($AP$3,0),AR$6*AR$7,0),0),IF(AND(AN$6&lt;&gt;"",AN$8&lt;&gt;""),IF(EOMONTH($AL$3+INT((DAY(EOMONTH($AL$3,0))-1)/2)+AN$8,0)=EOMONTH($AP$3,0),AN$6*AN$7,0),0),IF(AND(AJ$6&lt;&gt;"",AJ$8&lt;&gt;""),IF(EOMONTH($AH$3+INT((DAY(EOMONTH($AH$3,0))-1)/2)+AJ$8,0)=EOMONTH($AP$3,0),AJ$6*AJ$7,0),0),IF(AND(AF$6&lt;&gt;"",AF$8&lt;&gt;""),IF(EOMONTH($AD$3+INT((DAY(EOMONTH($AD$3,0))-1)/2)+AF$8,0)=EOMONTH($AP$3,0),AF$6*AF$7,0),0),IF(AND(AB$6&lt;&gt;"",AB$8&lt;&gt;""),IF(EOMONTH($Z$3+INT((DAY(EOMONTH($Z$3,0))-1)/2)+AB$8,0)=EOMONTH($AP$3,0),AB$6*AB$7,0),0),IF(AND(X$6&lt;&gt;"",X$8&lt;&gt;""),IF(EOMONTH($V$3+INT((DAY(EOMONTH($V$3,0))-1)/2)+X$8,0)=EOMONTH($AP$3,0),X$6*X$7,0),0),IF(AND(T$6&lt;&gt;"",T$8&lt;&gt;""),IF(EOMONTH($R$3+INT((DAY(EOMONTH($R$3,0))-1)/2)+T$8,0)=EOMONTH($AP$3,0),T$6*T$7,0),0),IF(AND(P$6&lt;&gt;"",P$8&lt;&gt;""),IF(EOMONTH($N$3+INT((DAY(EOMONTH($N$3,0))-1)/2)+P$8,0)=EOMONTH($AP$3,0),P$6*P$7,0),0),IF(AND(L$6&lt;&gt;"",L$8&lt;&gt;""),IF(EOMONTH($J$3+INT((DAY(EOMONTH($J$3,0))-1)/2)+L$8,0)=EOMONTH($AP$3,0),L$6*L$7,0),0),IF(AND(H$6&lt;&gt;"",H$8&lt;&gt;""),IF(EOMONTH($F$3+INT((DAY(EOMONTH($F$3,0))-1)/2)+H$8,0)=EOMONTH($AP$3,0),H$6*H$7,0),0)),0)</f>
        <v>0</v>
      </c>
      <c r="AS9" s="16">
        <f t="shared" si="23"/>
        <v>0</v>
      </c>
      <c r="AT9" s="17"/>
      <c r="AU9" s="14">
        <f>IF(AT$98=1,AT9,ROUND(SUM(IF(AND(EQ$6&lt;&gt;"",EQ$8&lt;&gt;""),IF(EOMONTH($EP$3+INT((DAY(EOMONTH($EP$3,0))-1)/2)+EQ$8,0)=EOMONTH($AT$3,0),EQ$6*EQ$7,0),0),IF(AND(EM$6&lt;&gt;"",EM$8&lt;&gt;""),IF(EOMONTH($EL$3+INT((DAY(EOMONTH($EL$3,0))-1)/2)+EM$8,0)=EOMONTH($AT$3,0),EM$6*EM$7,0),0),IF(AND(EI$6&lt;&gt;"",EI$8&lt;&gt;""),IF(EOMONTH($EH$3+INT((DAY(EOMONTH($EH$3,0))-1)/2)+EI$8,0)=EOMONTH($AT$3,0),EI$6*EI$7,0),0),IF(AND(EE$6&lt;&gt;"",EE$8&lt;&gt;""),IF(EOMONTH($ED$3+INT((DAY(EOMONTH($ED$3,0))-1)/2)+EE$8,0)=EOMONTH($AT$3,0),EE$6*EE$7,0),0),IF(AND(EA$6&lt;&gt;"",EA$8&lt;&gt;""),IF(EOMONTH($DZ$3+INT((DAY(EOMONTH($DZ$3,0))-1)/2)+EA$8,0)=EOMONTH($AT$3,0),EA$6*EA$7,0),0),IF(AND(DW$6&lt;&gt;"",DW$8&lt;&gt;""),IF(EOMONTH($DV$3+INT((DAY(EOMONTH($DV$3,0))-1)/2)+DW$8,0)=EOMONTH($AT$3,0),DW$6*DW$7,0),0),IF(AND(DS$6&lt;&gt;"",DS$8&lt;&gt;""),IF(EOMONTH($DR$3+INT((DAY(EOMONTH($DR$3,0))-1)/2)+DS$8,0)=EOMONTH($AT$3,0),DS$6*DS$7,0),0),IF(AND(DO$6&lt;&gt;"",DO$8&lt;&gt;""),IF(EOMONTH($DN$3+INT((DAY(EOMONTH($DN$3,0))-1)/2)+DO$8,0)=EOMONTH($AT$3,0),DO$6*DO$7,0),0),IF(AND(DK$6&lt;&gt;"",DK$8&lt;&gt;""),IF(EOMONTH($DJ$3+INT((DAY(EOMONTH($DJ$3,0))-1)/2)+DK$8,0)=EOMONTH($AT$3,0),DK$6*DK$7,0),0),IF(AND(DG$6&lt;&gt;"",DG$8&lt;&gt;""),IF(EOMONTH($DF$3+INT((DAY(EOMONTH($DF$3,0))-1)/2)+DG$8,0)=EOMONTH($AT$3,0),DG$6*DG$7,0),0),IF(AND(DC$6&lt;&gt;"",DC$8&lt;&gt;""),IF(EOMONTH($DB$3+INT((DAY(EOMONTH($DB$3,0))-1)/2)+DC$8,0)=EOMONTH($AT$3,0),DC$6*DC$7,0),0),IF(AND(CY$6&lt;&gt;"",CY$8&lt;&gt;""),IF(EOMONTH($CX$3+INT((DAY(EOMONTH($CX$3,0))-1)/2)+CY$8,0)=EOMONTH($AT$3,0),CY$6*CY$7,0),0),IF(AND(CU$6&lt;&gt;"",CU$8&lt;&gt;""),IF(EOMONTH($CT$3+INT((DAY(EOMONTH($CT$3,0))-1)/2)+CU$8,0)=EOMONTH($AT$3,0),CU$6*CU$7,0),0),IF(AND(CQ$6&lt;&gt;"",CQ$8&lt;&gt;""),IF(EOMONTH($CP$3+INT((DAY(EOMONTH($CP$3,0))-1)/2)+CQ$8,0)=EOMONTH($AT$3,0),CQ$6*CQ$7,0),0),IF(AND(CM$6&lt;&gt;"",CM$8&lt;&gt;""),IF(EOMONTH($CL$3+INT((DAY(EOMONTH($CL$3,0))-1)/2)+CM$8,0)=EOMONTH($AT$3,0),CM$6*CM$7,0),0),IF(AND(CI$6&lt;&gt;"",CI$8&lt;&gt;""),IF(EOMONTH($CH$3+INT((DAY(EOMONTH($CH$3,0))-1)/2)+CI$8,0)=EOMONTH($AT$3,0),CI$6*CI$7,0),0),IF(AND(CE$6&lt;&gt;"",CE$8&lt;&gt;""),IF(EOMONTH($CD$3+INT((DAY(EOMONTH($CD$3,0))-1)/2)+CE$8,0)=EOMONTH($AT$3,0),CE$6*CE$7,0),0),IF(AND(CA$6&lt;&gt;"",CA$8&lt;&gt;""),IF(EOMONTH($BZ$3+INT((DAY(EOMONTH($BZ$3,0))-1)/2)+CA$8,0)=EOMONTH($AT$3,0),CA$6*CA$7,0),0),IF(AND(BW$6&lt;&gt;"",BW$8&lt;&gt;""),IF(EOMONTH($BV$3+INT((DAY(EOMONTH($BV$3,0))-1)/2)+BW$8,0)=EOMONTH($AT$3,0),BW$6*BW$7,0),0),IF(AND(BS$6&lt;&gt;"",BS$8&lt;&gt;""),IF(EOMONTH($BR$3+INT((DAY(EOMONTH($BR$3,0))-1)/2)+BS$8,0)=EOMONTH($AT$3,0),BS$6*BS$7,0),0),IF(AND(BO$6&lt;&gt;"",BO$8&lt;&gt;""),IF(EOMONTH($BN$3+INT((DAY(EOMONTH($BN$3,0))-1)/2)+BO$8,0)=EOMONTH($AT$3,0),BO$6*BO$7,0),0),IF(AND(BK$6&lt;&gt;"",BK$8&lt;&gt;""),IF(EOMONTH($BJ$3+INT((DAY(EOMONTH($BJ$3,0))-1)/2)+BK$8,0)=EOMONTH($AT$3,0),BK$6*BK$7,0),0),IF(AND(BG$6&lt;&gt;"",BG$8&lt;&gt;""),IF(EOMONTH($BF$3+INT((DAY(EOMONTH($BF$3,0))-1)/2)+BG$8,0)=EOMONTH($AT$3,0),BG$6*BG$7,0),0),IF(AND(BC$6&lt;&gt;"",BC$8&lt;&gt;""),IF(EOMONTH($BB$3+INT((DAY(EOMONTH($BB$3,0))-1)/2)+BC$8,0)=EOMONTH($AT$3,0),BC$6*BC$7,0),0),IF(AND(AY$6&lt;&gt;"",AY$8&lt;&gt;""),IF(EOMONTH($AX$3+INT((DAY(EOMONTH($AX$3,0))-1)/2)+AY$8,0)=EOMONTH($AT$3,0),AY$6*AY$7,0),0),IF(AND(AU$6&lt;&gt;"",AU$8&lt;&gt;""),IF(EOMONTH($AT$3+INT((DAY(EOMONTH($AT$3,0))-1)/2)+AU$8,0)=EOMONTH($AT$3,0),AU$6*AU$7,0),0),IF(AND(AQ$6&lt;&gt;"",AQ$8&lt;&gt;""),IF(EOMONTH($AP$3+INT((DAY(EOMONTH($AP$3,0))-1)/2)+AQ$8,0)=EOMONTH($AT$3,0),AQ$6*AQ$7,0),0),IF(AND(AM$6&lt;&gt;"",AM$8&lt;&gt;""),IF(EOMONTH($AL$3+INT((DAY(EOMONTH($AL$3,0))-1)/2)+AM$8,0)=EOMONTH($AT$3,0),AM$6*AM$7,0),0),IF(AND(AI$6&lt;&gt;"",AI$8&lt;&gt;""),IF(EOMONTH($AH$3+INT((DAY(EOMONTH($AH$3,0))-1)/2)+AI$8,0)=EOMONTH($AT$3,0),AI$6*AI$7,0),0),IF(AND(AE$6&lt;&gt;"",AE$8&lt;&gt;""),IF(EOMONTH($AD$3+INT((DAY(EOMONTH($AD$3,0))-1)/2)+AE$8,0)=EOMONTH($AT$3,0),AE$6*AE$7,0),0),IF(AND(AA$6&lt;&gt;"",AA$8&lt;&gt;""),IF(EOMONTH($Z$3+INT((DAY(EOMONTH($Z$3,0))-1)/2)+AA$8,0)=EOMONTH($AT$3,0),AA$6*AA$7,0),0),IF(AND(W$6&lt;&gt;"",W$8&lt;&gt;""),IF(EOMONTH($V$3+INT((DAY(EOMONTH($V$3,0))-1)/2)+W$8,0)=EOMONTH($AT$3,0),W$6*W$7,0),0),IF(AND(S$6&lt;&gt;"",S$8&lt;&gt;""),IF(EOMONTH($R$3+INT((DAY(EOMONTH($R$3,0))-1)/2)+S$8,0)=EOMONTH($AT$3,0),S$6*S$7,0),0),IF(AND(O$6&lt;&gt;"",O$8&lt;&gt;""),IF(EOMONTH($N$3+INT((DAY(EOMONTH($N$3,0))-1)/2)+O$8,0)=EOMONTH($AT$3,0),O$6*O$7,0),0),IF(AND(K$6&lt;&gt;"",K$8&lt;&gt;""),IF(EOMONTH($J$3+INT((DAY(EOMONTH($J$3,0))-1)/2)+K$8,0)=EOMONTH($AT$3,0),K$6*K$7,0),0),IF(AND(G$6&lt;&gt;"",G$8&lt;&gt;""),IF(EOMONTH($F$3+INT((DAY(EOMONTH($F$3,0))-1)/2)+G$8,0)=EOMONTH($AT$3,0),G$6*G$7,0),0)),0))</f>
        <v>0</v>
      </c>
      <c r="AV9" s="15">
        <f>ROUND(SUM(IF(AND(ER$6&lt;&gt;"",ER$8&lt;&gt;""),IF(EOMONTH($EP$3+INT((DAY(EOMONTH($EP$3,0))-1)/2)+ER$8,0)=EOMONTH($AT$3,0),ER$6*ER$7,0),0),IF(AND(EN$6&lt;&gt;"",EN$8&lt;&gt;""),IF(EOMONTH($EL$3+INT((DAY(EOMONTH($EL$3,0))-1)/2)+EN$8,0)=EOMONTH($AT$3,0),EN$6*EN$7,0),0),IF(AND(EJ$6&lt;&gt;"",EJ$8&lt;&gt;""),IF(EOMONTH($EH$3+INT((DAY(EOMONTH($EH$3,0))-1)/2)+EJ$8,0)=EOMONTH($AT$3,0),EJ$6*EJ$7,0),0),IF(AND(EF$6&lt;&gt;"",EF$8&lt;&gt;""),IF(EOMONTH($ED$3+INT((DAY(EOMONTH($ED$3,0))-1)/2)+EF$8,0)=EOMONTH($AT$3,0),EF$6*EF$7,0),0),IF(AND(EB$6&lt;&gt;"",EB$8&lt;&gt;""),IF(EOMONTH($DZ$3+INT((DAY(EOMONTH($DZ$3,0))-1)/2)+EB$8,0)=EOMONTH($AT$3,0),EB$6*EB$7,0),0),IF(AND(DX$6&lt;&gt;"",DX$8&lt;&gt;""),IF(EOMONTH($DV$3+INT((DAY(EOMONTH($DV$3,0))-1)/2)+DX$8,0)=EOMONTH($AT$3,0),DX$6*DX$7,0),0),IF(AND(DT$6&lt;&gt;"",DT$8&lt;&gt;""),IF(EOMONTH($DR$3+INT((DAY(EOMONTH($DR$3,0))-1)/2)+DT$8,0)=EOMONTH($AT$3,0),DT$6*DT$7,0),0),IF(AND(DP$6&lt;&gt;"",DP$8&lt;&gt;""),IF(EOMONTH($DN$3+INT((DAY(EOMONTH($DN$3,0))-1)/2)+DP$8,0)=EOMONTH($AT$3,0),DP$6*DP$7,0),0),IF(AND(DL$6&lt;&gt;"",DL$8&lt;&gt;""),IF(EOMONTH($DJ$3+INT((DAY(EOMONTH($DJ$3,0))-1)/2)+DL$8,0)=EOMONTH($AT$3,0),DL$6*DL$7,0),0),IF(AND(DH$6&lt;&gt;"",DH$8&lt;&gt;""),IF(EOMONTH($DF$3+INT((DAY(EOMONTH($DF$3,0))-1)/2)+DH$8,0)=EOMONTH($AT$3,0),DH$6*DH$7,0),0),IF(AND(DD$6&lt;&gt;"",DD$8&lt;&gt;""),IF(EOMONTH($DB$3+INT((DAY(EOMONTH($DB$3,0))-1)/2)+DD$8,0)=EOMONTH($AT$3,0),DD$6*DD$7,0),0),IF(AND(CZ$6&lt;&gt;"",CZ$8&lt;&gt;""),IF(EOMONTH($CX$3+INT((DAY(EOMONTH($CX$3,0))-1)/2)+CZ$8,0)=EOMONTH($AT$3,0),CZ$6*CZ$7,0),0),IF(AND(CV$6&lt;&gt;"",CV$8&lt;&gt;""),IF(EOMONTH($CT$3+INT((DAY(EOMONTH($CT$3,0))-1)/2)+CV$8,0)=EOMONTH($AT$3,0),CV$6*CV$7,0),0),IF(AND(CR$6&lt;&gt;"",CR$8&lt;&gt;""),IF(EOMONTH($CP$3+INT((DAY(EOMONTH($CP$3,0))-1)/2)+CR$8,0)=EOMONTH($AT$3,0),CR$6*CR$7,0),0),IF(AND(CN$6&lt;&gt;"",CN$8&lt;&gt;""),IF(EOMONTH($CL$3+INT((DAY(EOMONTH($CL$3,0))-1)/2)+CN$8,0)=EOMONTH($AT$3,0),CN$6*CN$7,0),0),IF(AND(CJ$6&lt;&gt;"",CJ$8&lt;&gt;""),IF(EOMONTH($CH$3+INT((DAY(EOMONTH($CH$3,0))-1)/2)+CJ$8,0)=EOMONTH($AT$3,0),CJ$6*CJ$7,0),0),IF(AND(CF$6&lt;&gt;"",CF$8&lt;&gt;""),IF(EOMONTH($CD$3+INT((DAY(EOMONTH($CD$3,0))-1)/2)+CF$8,0)=EOMONTH($AT$3,0),CF$6*CF$7,0),0),IF(AND(CB$6&lt;&gt;"",CB$8&lt;&gt;""),IF(EOMONTH($BZ$3+INT((DAY(EOMONTH($BZ$3,0))-1)/2)+CB$8,0)=EOMONTH($AT$3,0),CB$6*CB$7,0),0),IF(AND(BX$6&lt;&gt;"",BX$8&lt;&gt;""),IF(EOMONTH($BV$3+INT((DAY(EOMONTH($BV$3,0))-1)/2)+BX$8,0)=EOMONTH($AT$3,0),BX$6*BX$7,0),0),IF(AND(BT$6&lt;&gt;"",BT$8&lt;&gt;""),IF(EOMONTH($BR$3+INT((DAY(EOMONTH($BR$3,0))-1)/2)+BT$8,0)=EOMONTH($AT$3,0),BT$6*BT$7,0),0),IF(AND(BP$6&lt;&gt;"",BP$8&lt;&gt;""),IF(EOMONTH($BN$3+INT((DAY(EOMONTH($BN$3,0))-1)/2)+BP$8,0)=EOMONTH($AT$3,0),BP$6*BP$7,0),0),IF(AND(BL$6&lt;&gt;"",BL$8&lt;&gt;""),IF(EOMONTH($BJ$3+INT((DAY(EOMONTH($BJ$3,0))-1)/2)+BL$8,0)=EOMONTH($AT$3,0),BL$6*BL$7,0),0),IF(AND(BH$6&lt;&gt;"",BH$8&lt;&gt;""),IF(EOMONTH($BF$3+INT((DAY(EOMONTH($BF$3,0))-1)/2)+BH$8,0)=EOMONTH($AT$3,0),BH$6*BH$7,0),0),IF(AND(BD$6&lt;&gt;"",BD$8&lt;&gt;""),IF(EOMONTH($BB$3+INT((DAY(EOMONTH($BB$3,0))-1)/2)+BD$8,0)=EOMONTH($AT$3,0),BD$6*BD$7,0),0),IF(AND(AZ$6&lt;&gt;"",AZ$8&lt;&gt;""),IF(EOMONTH($AX$3+INT((DAY(EOMONTH($AX$3,0))-1)/2)+AZ$8,0)=EOMONTH($AT$3,0),AZ$6*AZ$7,0),0),IF(AND(AV$6&lt;&gt;"",AV$8&lt;&gt;""),IF(EOMONTH($AT$3+INT((DAY(EOMONTH($AT$3,0))-1)/2)+AV$8,0)=EOMONTH($AT$3,0),AV$6*AV$7,0),0),IF(AND(AR$6&lt;&gt;"",AR$8&lt;&gt;""),IF(EOMONTH($AP$3+INT((DAY(EOMONTH($AP$3,0))-1)/2)+AR$8,0)=EOMONTH($AT$3,0),AR$6*AR$7,0),0),IF(AND(AN$6&lt;&gt;"",AN$8&lt;&gt;""),IF(EOMONTH($AL$3+INT((DAY(EOMONTH($AL$3,0))-1)/2)+AN$8,0)=EOMONTH($AT$3,0),AN$6*AN$7,0),0),IF(AND(AJ$6&lt;&gt;"",AJ$8&lt;&gt;""),IF(EOMONTH($AH$3+INT((DAY(EOMONTH($AH$3,0))-1)/2)+AJ$8,0)=EOMONTH($AT$3,0),AJ$6*AJ$7,0),0),IF(AND(AF$6&lt;&gt;"",AF$8&lt;&gt;""),IF(EOMONTH($AD$3+INT((DAY(EOMONTH($AD$3,0))-1)/2)+AF$8,0)=EOMONTH($AT$3,0),AF$6*AF$7,0),0),IF(AND(AB$6&lt;&gt;"",AB$8&lt;&gt;""),IF(EOMONTH($Z$3+INT((DAY(EOMONTH($Z$3,0))-1)/2)+AB$8,0)=EOMONTH($AT$3,0),AB$6*AB$7,0),0),IF(AND(X$6&lt;&gt;"",X$8&lt;&gt;""),IF(EOMONTH($V$3+INT((DAY(EOMONTH($V$3,0))-1)/2)+X$8,0)=EOMONTH($AT$3,0),X$6*X$7,0),0),IF(AND(T$6&lt;&gt;"",T$8&lt;&gt;""),IF(EOMONTH($R$3+INT((DAY(EOMONTH($R$3,0))-1)/2)+T$8,0)=EOMONTH($AT$3,0),T$6*T$7,0),0),IF(AND(P$6&lt;&gt;"",P$8&lt;&gt;""),IF(EOMONTH($N$3+INT((DAY(EOMONTH($N$3,0))-1)/2)+P$8,0)=EOMONTH($AT$3,0),P$6*P$7,0),0),IF(AND(L$6&lt;&gt;"",L$8&lt;&gt;""),IF(EOMONTH($J$3+INT((DAY(EOMONTH($J$3,0))-1)/2)+L$8,0)=EOMONTH($AT$3,0),L$6*L$7,0),0),IF(AND(H$6&lt;&gt;"",H$8&lt;&gt;""),IF(EOMONTH($F$3+INT((DAY(EOMONTH($F$3,0))-1)/2)+H$8,0)=EOMONTH($AT$3,0),H$6*H$7,0),0)),0)</f>
        <v>0</v>
      </c>
      <c r="AW9" s="16">
        <f t="shared" si="25"/>
        <v>0</v>
      </c>
      <c r="AX9" s="17"/>
      <c r="AY9" s="14">
        <f>IF(AX$98=1,AX9,ROUND(SUM(IF(AND(EQ$6&lt;&gt;"",EQ$8&lt;&gt;""),IF(EOMONTH($EP$3+INT((DAY(EOMONTH($EP$3,0))-1)/2)+EQ$8,0)=EOMONTH($AX$3,0),EQ$6*EQ$7,0),0),IF(AND(EM$6&lt;&gt;"",EM$8&lt;&gt;""),IF(EOMONTH($EL$3+INT((DAY(EOMONTH($EL$3,0))-1)/2)+EM$8,0)=EOMONTH($AX$3,0),EM$6*EM$7,0),0),IF(AND(EI$6&lt;&gt;"",EI$8&lt;&gt;""),IF(EOMONTH($EH$3+INT((DAY(EOMONTH($EH$3,0))-1)/2)+EI$8,0)=EOMONTH($AX$3,0),EI$6*EI$7,0),0),IF(AND(EE$6&lt;&gt;"",EE$8&lt;&gt;""),IF(EOMONTH($ED$3+INT((DAY(EOMONTH($ED$3,0))-1)/2)+EE$8,0)=EOMONTH($AX$3,0),EE$6*EE$7,0),0),IF(AND(EA$6&lt;&gt;"",EA$8&lt;&gt;""),IF(EOMONTH($DZ$3+INT((DAY(EOMONTH($DZ$3,0))-1)/2)+EA$8,0)=EOMONTH($AX$3,0),EA$6*EA$7,0),0),IF(AND(DW$6&lt;&gt;"",DW$8&lt;&gt;""),IF(EOMONTH($DV$3+INT((DAY(EOMONTH($DV$3,0))-1)/2)+DW$8,0)=EOMONTH($AX$3,0),DW$6*DW$7,0),0),IF(AND(DS$6&lt;&gt;"",DS$8&lt;&gt;""),IF(EOMONTH($DR$3+INT((DAY(EOMONTH($DR$3,0))-1)/2)+DS$8,0)=EOMONTH($AX$3,0),DS$6*DS$7,0),0),IF(AND(DO$6&lt;&gt;"",DO$8&lt;&gt;""),IF(EOMONTH($DN$3+INT((DAY(EOMONTH($DN$3,0))-1)/2)+DO$8,0)=EOMONTH($AX$3,0),DO$6*DO$7,0),0),IF(AND(DK$6&lt;&gt;"",DK$8&lt;&gt;""),IF(EOMONTH($DJ$3+INT((DAY(EOMONTH($DJ$3,0))-1)/2)+DK$8,0)=EOMONTH($AX$3,0),DK$6*DK$7,0),0),IF(AND(DG$6&lt;&gt;"",DG$8&lt;&gt;""),IF(EOMONTH($DF$3+INT((DAY(EOMONTH($DF$3,0))-1)/2)+DG$8,0)=EOMONTH($AX$3,0),DG$6*DG$7,0),0),IF(AND(DC$6&lt;&gt;"",DC$8&lt;&gt;""),IF(EOMONTH($DB$3+INT((DAY(EOMONTH($DB$3,0))-1)/2)+DC$8,0)=EOMONTH($AX$3,0),DC$6*DC$7,0),0),IF(AND(CY$6&lt;&gt;"",CY$8&lt;&gt;""),IF(EOMONTH($CX$3+INT((DAY(EOMONTH($CX$3,0))-1)/2)+CY$8,0)=EOMONTH($AX$3,0),CY$6*CY$7,0),0),IF(AND(CU$6&lt;&gt;"",CU$8&lt;&gt;""),IF(EOMONTH($CT$3+INT((DAY(EOMONTH($CT$3,0))-1)/2)+CU$8,0)=EOMONTH($AX$3,0),CU$6*CU$7,0),0),IF(AND(CQ$6&lt;&gt;"",CQ$8&lt;&gt;""),IF(EOMONTH($CP$3+INT((DAY(EOMONTH($CP$3,0))-1)/2)+CQ$8,0)=EOMONTH($AX$3,0),CQ$6*CQ$7,0),0),IF(AND(CM$6&lt;&gt;"",CM$8&lt;&gt;""),IF(EOMONTH($CL$3+INT((DAY(EOMONTH($CL$3,0))-1)/2)+CM$8,0)=EOMONTH($AX$3,0),CM$6*CM$7,0),0),IF(AND(CI$6&lt;&gt;"",CI$8&lt;&gt;""),IF(EOMONTH($CH$3+INT((DAY(EOMONTH($CH$3,0))-1)/2)+CI$8,0)=EOMONTH($AX$3,0),CI$6*CI$7,0),0),IF(AND(CE$6&lt;&gt;"",CE$8&lt;&gt;""),IF(EOMONTH($CD$3+INT((DAY(EOMONTH($CD$3,0))-1)/2)+CE$8,0)=EOMONTH($AX$3,0),CE$6*CE$7,0),0),IF(AND(CA$6&lt;&gt;"",CA$8&lt;&gt;""),IF(EOMONTH($BZ$3+INT((DAY(EOMONTH($BZ$3,0))-1)/2)+CA$8,0)=EOMONTH($AX$3,0),CA$6*CA$7,0),0),IF(AND(BW$6&lt;&gt;"",BW$8&lt;&gt;""),IF(EOMONTH($BV$3+INT((DAY(EOMONTH($BV$3,0))-1)/2)+BW$8,0)=EOMONTH($AX$3,0),BW$6*BW$7,0),0),IF(AND(BS$6&lt;&gt;"",BS$8&lt;&gt;""),IF(EOMONTH($BR$3+INT((DAY(EOMONTH($BR$3,0))-1)/2)+BS$8,0)=EOMONTH($AX$3,0),BS$6*BS$7,0),0),IF(AND(BO$6&lt;&gt;"",BO$8&lt;&gt;""),IF(EOMONTH($BN$3+INT((DAY(EOMONTH($BN$3,0))-1)/2)+BO$8,0)=EOMONTH($AX$3,0),BO$6*BO$7,0),0),IF(AND(BK$6&lt;&gt;"",BK$8&lt;&gt;""),IF(EOMONTH($BJ$3+INT((DAY(EOMONTH($BJ$3,0))-1)/2)+BK$8,0)=EOMONTH($AX$3,0),BK$6*BK$7,0),0),IF(AND(BG$6&lt;&gt;"",BG$8&lt;&gt;""),IF(EOMONTH($BF$3+INT((DAY(EOMONTH($BF$3,0))-1)/2)+BG$8,0)=EOMONTH($AX$3,0),BG$6*BG$7,0),0),IF(AND(BC$6&lt;&gt;"",BC$8&lt;&gt;""),IF(EOMONTH($BB$3+INT((DAY(EOMONTH($BB$3,0))-1)/2)+BC$8,0)=EOMONTH($AX$3,0),BC$6*BC$7,0),0),IF(AND(AY$6&lt;&gt;"",AY$8&lt;&gt;""),IF(EOMONTH($AX$3+INT((DAY(EOMONTH($AX$3,0))-1)/2)+AY$8,0)=EOMONTH($AX$3,0),AY$6*AY$7,0),0),IF(AND(AU$6&lt;&gt;"",AU$8&lt;&gt;""),IF(EOMONTH($AT$3+INT((DAY(EOMONTH($AT$3,0))-1)/2)+AU$8,0)=EOMONTH($AX$3,0),AU$6*AU$7,0),0),IF(AND(AQ$6&lt;&gt;"",AQ$8&lt;&gt;""),IF(EOMONTH($AP$3+INT((DAY(EOMONTH($AP$3,0))-1)/2)+AQ$8,0)=EOMONTH($AX$3,0),AQ$6*AQ$7,0),0),IF(AND(AM$6&lt;&gt;"",AM$8&lt;&gt;""),IF(EOMONTH($AL$3+INT((DAY(EOMONTH($AL$3,0))-1)/2)+AM$8,0)=EOMONTH($AX$3,0),AM$6*AM$7,0),0),IF(AND(AI$6&lt;&gt;"",AI$8&lt;&gt;""),IF(EOMONTH($AH$3+INT((DAY(EOMONTH($AH$3,0))-1)/2)+AI$8,0)=EOMONTH($AX$3,0),AI$6*AI$7,0),0),IF(AND(AE$6&lt;&gt;"",AE$8&lt;&gt;""),IF(EOMONTH($AD$3+INT((DAY(EOMONTH($AD$3,0))-1)/2)+AE$8,0)=EOMONTH($AX$3,0),AE$6*AE$7,0),0),IF(AND(AA$6&lt;&gt;"",AA$8&lt;&gt;""),IF(EOMONTH($Z$3+INT((DAY(EOMONTH($Z$3,0))-1)/2)+AA$8,0)=EOMONTH($AX$3,0),AA$6*AA$7,0),0),IF(AND(W$6&lt;&gt;"",W$8&lt;&gt;""),IF(EOMONTH($V$3+INT((DAY(EOMONTH($V$3,0))-1)/2)+W$8,0)=EOMONTH($AX$3,0),W$6*W$7,0),0),IF(AND(S$6&lt;&gt;"",S$8&lt;&gt;""),IF(EOMONTH($R$3+INT((DAY(EOMONTH($R$3,0))-1)/2)+S$8,0)=EOMONTH($AX$3,0),S$6*S$7,0),0),IF(AND(O$6&lt;&gt;"",O$8&lt;&gt;""),IF(EOMONTH($N$3+INT((DAY(EOMONTH($N$3,0))-1)/2)+O$8,0)=EOMONTH($AX$3,0),O$6*O$7,0),0),IF(AND(K$6&lt;&gt;"",K$8&lt;&gt;""),IF(EOMONTH($J$3+INT((DAY(EOMONTH($J$3,0))-1)/2)+K$8,0)=EOMONTH($AX$3,0),K$6*K$7,0),0),IF(AND(G$6&lt;&gt;"",G$8&lt;&gt;""),IF(EOMONTH($F$3+INT((DAY(EOMONTH($F$3,0))-1)/2)+G$8,0)=EOMONTH($AX$3,0),G$6*G$7,0),0)),0))</f>
        <v>0</v>
      </c>
      <c r="AZ9" s="15">
        <f>ROUND(SUM(IF(AND(ER$6&lt;&gt;"",ER$8&lt;&gt;""),IF(EOMONTH($EP$3+INT((DAY(EOMONTH($EP$3,0))-1)/2)+ER$8,0)=EOMONTH($AX$3,0),ER$6*ER$7,0),0),IF(AND(EN$6&lt;&gt;"",EN$8&lt;&gt;""),IF(EOMONTH($EL$3+INT((DAY(EOMONTH($EL$3,0))-1)/2)+EN$8,0)=EOMONTH($AX$3,0),EN$6*EN$7,0),0),IF(AND(EJ$6&lt;&gt;"",EJ$8&lt;&gt;""),IF(EOMONTH($EH$3+INT((DAY(EOMONTH($EH$3,0))-1)/2)+EJ$8,0)=EOMONTH($AX$3,0),EJ$6*EJ$7,0),0),IF(AND(EF$6&lt;&gt;"",EF$8&lt;&gt;""),IF(EOMONTH($ED$3+INT((DAY(EOMONTH($ED$3,0))-1)/2)+EF$8,0)=EOMONTH($AX$3,0),EF$6*EF$7,0),0),IF(AND(EB$6&lt;&gt;"",EB$8&lt;&gt;""),IF(EOMONTH($DZ$3+INT((DAY(EOMONTH($DZ$3,0))-1)/2)+EB$8,0)=EOMONTH($AX$3,0),EB$6*EB$7,0),0),IF(AND(DX$6&lt;&gt;"",DX$8&lt;&gt;""),IF(EOMONTH($DV$3+INT((DAY(EOMONTH($DV$3,0))-1)/2)+DX$8,0)=EOMONTH($AX$3,0),DX$6*DX$7,0),0),IF(AND(DT$6&lt;&gt;"",DT$8&lt;&gt;""),IF(EOMONTH($DR$3+INT((DAY(EOMONTH($DR$3,0))-1)/2)+DT$8,0)=EOMONTH($AX$3,0),DT$6*DT$7,0),0),IF(AND(DP$6&lt;&gt;"",DP$8&lt;&gt;""),IF(EOMONTH($DN$3+INT((DAY(EOMONTH($DN$3,0))-1)/2)+DP$8,0)=EOMONTH($AX$3,0),DP$6*DP$7,0),0),IF(AND(DL$6&lt;&gt;"",DL$8&lt;&gt;""),IF(EOMONTH($DJ$3+INT((DAY(EOMONTH($DJ$3,0))-1)/2)+DL$8,0)=EOMONTH($AX$3,0),DL$6*DL$7,0),0),IF(AND(DH$6&lt;&gt;"",DH$8&lt;&gt;""),IF(EOMONTH($DF$3+INT((DAY(EOMONTH($DF$3,0))-1)/2)+DH$8,0)=EOMONTH($AX$3,0),DH$6*DH$7,0),0),IF(AND(DD$6&lt;&gt;"",DD$8&lt;&gt;""),IF(EOMONTH($DB$3+INT((DAY(EOMONTH($DB$3,0))-1)/2)+DD$8,0)=EOMONTH($AX$3,0),DD$6*DD$7,0),0),IF(AND(CZ$6&lt;&gt;"",CZ$8&lt;&gt;""),IF(EOMONTH($CX$3+INT((DAY(EOMONTH($CX$3,0))-1)/2)+CZ$8,0)=EOMONTH($AX$3,0),CZ$6*CZ$7,0),0),IF(AND(CV$6&lt;&gt;"",CV$8&lt;&gt;""),IF(EOMONTH($CT$3+INT((DAY(EOMONTH($CT$3,0))-1)/2)+CV$8,0)=EOMONTH($AX$3,0),CV$6*CV$7,0),0),IF(AND(CR$6&lt;&gt;"",CR$8&lt;&gt;""),IF(EOMONTH($CP$3+INT((DAY(EOMONTH($CP$3,0))-1)/2)+CR$8,0)=EOMONTH($AX$3,0),CR$6*CR$7,0),0),IF(AND(CN$6&lt;&gt;"",CN$8&lt;&gt;""),IF(EOMONTH($CL$3+INT((DAY(EOMONTH($CL$3,0))-1)/2)+CN$8,0)=EOMONTH($AX$3,0),CN$6*CN$7,0),0),IF(AND(CJ$6&lt;&gt;"",CJ$8&lt;&gt;""),IF(EOMONTH($CH$3+INT((DAY(EOMONTH($CH$3,0))-1)/2)+CJ$8,0)=EOMONTH($AX$3,0),CJ$6*CJ$7,0),0),IF(AND(CF$6&lt;&gt;"",CF$8&lt;&gt;""),IF(EOMONTH($CD$3+INT((DAY(EOMONTH($CD$3,0))-1)/2)+CF$8,0)=EOMONTH($AX$3,0),CF$6*CF$7,0),0),IF(AND(CB$6&lt;&gt;"",CB$8&lt;&gt;""),IF(EOMONTH($BZ$3+INT((DAY(EOMONTH($BZ$3,0))-1)/2)+CB$8,0)=EOMONTH($AX$3,0),CB$6*CB$7,0),0),IF(AND(BX$6&lt;&gt;"",BX$8&lt;&gt;""),IF(EOMONTH($BV$3+INT((DAY(EOMONTH($BV$3,0))-1)/2)+BX$8,0)=EOMONTH($AX$3,0),BX$6*BX$7,0),0),IF(AND(BT$6&lt;&gt;"",BT$8&lt;&gt;""),IF(EOMONTH($BR$3+INT((DAY(EOMONTH($BR$3,0))-1)/2)+BT$8,0)=EOMONTH($AX$3,0),BT$6*BT$7,0),0),IF(AND(BP$6&lt;&gt;"",BP$8&lt;&gt;""),IF(EOMONTH($BN$3+INT((DAY(EOMONTH($BN$3,0))-1)/2)+BP$8,0)=EOMONTH($AX$3,0),BP$6*BP$7,0),0),IF(AND(BL$6&lt;&gt;"",BL$8&lt;&gt;""),IF(EOMONTH($BJ$3+INT((DAY(EOMONTH($BJ$3,0))-1)/2)+BL$8,0)=EOMONTH($AX$3,0),BL$6*BL$7,0),0),IF(AND(BH$6&lt;&gt;"",BH$8&lt;&gt;""),IF(EOMONTH($BF$3+INT((DAY(EOMONTH($BF$3,0))-1)/2)+BH$8,0)=EOMONTH($AX$3,0),BH$6*BH$7,0),0),IF(AND(BD$6&lt;&gt;"",BD$8&lt;&gt;""),IF(EOMONTH($BB$3+INT((DAY(EOMONTH($BB$3,0))-1)/2)+BD$8,0)=EOMONTH($AX$3,0),BD$6*BD$7,0),0),IF(AND(AZ$6&lt;&gt;"",AZ$8&lt;&gt;""),IF(EOMONTH($AX$3+INT((DAY(EOMONTH($AX$3,0))-1)/2)+AZ$8,0)=EOMONTH($AX$3,0),AZ$6*AZ$7,0),0),IF(AND(AV$6&lt;&gt;"",AV$8&lt;&gt;""),IF(EOMONTH($AT$3+INT((DAY(EOMONTH($AT$3,0))-1)/2)+AV$8,0)=EOMONTH($AX$3,0),AV$6*AV$7,0),0),IF(AND(AR$6&lt;&gt;"",AR$8&lt;&gt;""),IF(EOMONTH($AP$3+INT((DAY(EOMONTH($AP$3,0))-1)/2)+AR$8,0)=EOMONTH($AX$3,0),AR$6*AR$7,0),0),IF(AND(AN$6&lt;&gt;"",AN$8&lt;&gt;""),IF(EOMONTH($AL$3+INT((DAY(EOMONTH($AL$3,0))-1)/2)+AN$8,0)=EOMONTH($AX$3,0),AN$6*AN$7,0),0),IF(AND(AJ$6&lt;&gt;"",AJ$8&lt;&gt;""),IF(EOMONTH($AH$3+INT((DAY(EOMONTH($AH$3,0))-1)/2)+AJ$8,0)=EOMONTH($AX$3,0),AJ$6*AJ$7,0),0),IF(AND(AF$6&lt;&gt;"",AF$8&lt;&gt;""),IF(EOMONTH($AD$3+INT((DAY(EOMONTH($AD$3,0))-1)/2)+AF$8,0)=EOMONTH($AX$3,0),AF$6*AF$7,0),0),IF(AND(AB$6&lt;&gt;"",AB$8&lt;&gt;""),IF(EOMONTH($Z$3+INT((DAY(EOMONTH($Z$3,0))-1)/2)+AB$8,0)=EOMONTH($AX$3,0),AB$6*AB$7,0),0),IF(AND(X$6&lt;&gt;"",X$8&lt;&gt;""),IF(EOMONTH($V$3+INT((DAY(EOMONTH($V$3,0))-1)/2)+X$8,0)=EOMONTH($AX$3,0),X$6*X$7,0),0),IF(AND(T$6&lt;&gt;"",T$8&lt;&gt;""),IF(EOMONTH($R$3+INT((DAY(EOMONTH($R$3,0))-1)/2)+T$8,0)=EOMONTH($AX$3,0),T$6*T$7,0),0),IF(AND(P$6&lt;&gt;"",P$8&lt;&gt;""),IF(EOMONTH($N$3+INT((DAY(EOMONTH($N$3,0))-1)/2)+P$8,0)=EOMONTH($AX$3,0),P$6*P$7,0),0),IF(AND(L$6&lt;&gt;"",L$8&lt;&gt;""),IF(EOMONTH($J$3+INT((DAY(EOMONTH($J$3,0))-1)/2)+L$8,0)=EOMONTH($AX$3,0),L$6*L$7,0),0),IF(AND(H$6&lt;&gt;"",H$8&lt;&gt;""),IF(EOMONTH($F$3+INT((DAY(EOMONTH($F$3,0))-1)/2)+H$8,0)=EOMONTH($AX$3,0),H$6*H$7,0),0)),0)</f>
        <v>0</v>
      </c>
      <c r="BA9" s="16">
        <f t="shared" si="27"/>
        <v>0</v>
      </c>
      <c r="BB9" s="17"/>
      <c r="BC9" s="14">
        <f>IF(BB$98=1,BB9,ROUND(SUM(IF(AND(EQ$6&lt;&gt;"",EQ$8&lt;&gt;""),IF(EOMONTH($EP$3+INT((DAY(EOMONTH($EP$3,0))-1)/2)+EQ$8,0)=EOMONTH($BB$3,0),EQ$6*EQ$7,0),0),IF(AND(EM$6&lt;&gt;"",EM$8&lt;&gt;""),IF(EOMONTH($EL$3+INT((DAY(EOMONTH($EL$3,0))-1)/2)+EM$8,0)=EOMONTH($BB$3,0),EM$6*EM$7,0),0),IF(AND(EI$6&lt;&gt;"",EI$8&lt;&gt;""),IF(EOMONTH($EH$3+INT((DAY(EOMONTH($EH$3,0))-1)/2)+EI$8,0)=EOMONTH($BB$3,0),EI$6*EI$7,0),0),IF(AND(EE$6&lt;&gt;"",EE$8&lt;&gt;""),IF(EOMONTH($ED$3+INT((DAY(EOMONTH($ED$3,0))-1)/2)+EE$8,0)=EOMONTH($BB$3,0),EE$6*EE$7,0),0),IF(AND(EA$6&lt;&gt;"",EA$8&lt;&gt;""),IF(EOMONTH($DZ$3+INT((DAY(EOMONTH($DZ$3,0))-1)/2)+EA$8,0)=EOMONTH($BB$3,0),EA$6*EA$7,0),0),IF(AND(DW$6&lt;&gt;"",DW$8&lt;&gt;""),IF(EOMONTH($DV$3+INT((DAY(EOMONTH($DV$3,0))-1)/2)+DW$8,0)=EOMONTH($BB$3,0),DW$6*DW$7,0),0),IF(AND(DS$6&lt;&gt;"",DS$8&lt;&gt;""),IF(EOMONTH($DR$3+INT((DAY(EOMONTH($DR$3,0))-1)/2)+DS$8,0)=EOMONTH($BB$3,0),DS$6*DS$7,0),0),IF(AND(DO$6&lt;&gt;"",DO$8&lt;&gt;""),IF(EOMONTH($DN$3+INT((DAY(EOMONTH($DN$3,0))-1)/2)+DO$8,0)=EOMONTH($BB$3,0),DO$6*DO$7,0),0),IF(AND(DK$6&lt;&gt;"",DK$8&lt;&gt;""),IF(EOMONTH($DJ$3+INT((DAY(EOMONTH($DJ$3,0))-1)/2)+DK$8,0)=EOMONTH($BB$3,0),DK$6*DK$7,0),0),IF(AND(DG$6&lt;&gt;"",DG$8&lt;&gt;""),IF(EOMONTH($DF$3+INT((DAY(EOMONTH($DF$3,0))-1)/2)+DG$8,0)=EOMONTH($BB$3,0),DG$6*DG$7,0),0),IF(AND(DC$6&lt;&gt;"",DC$8&lt;&gt;""),IF(EOMONTH($DB$3+INT((DAY(EOMONTH($DB$3,0))-1)/2)+DC$8,0)=EOMONTH($BB$3,0),DC$6*DC$7,0),0),IF(AND(CY$6&lt;&gt;"",CY$8&lt;&gt;""),IF(EOMONTH($CX$3+INT((DAY(EOMONTH($CX$3,0))-1)/2)+CY$8,0)=EOMONTH($BB$3,0),CY$6*CY$7,0),0),IF(AND(CU$6&lt;&gt;"",CU$8&lt;&gt;""),IF(EOMONTH($CT$3+INT((DAY(EOMONTH($CT$3,0))-1)/2)+CU$8,0)=EOMONTH($BB$3,0),CU$6*CU$7,0),0),IF(AND(CQ$6&lt;&gt;"",CQ$8&lt;&gt;""),IF(EOMONTH($CP$3+INT((DAY(EOMONTH($CP$3,0))-1)/2)+CQ$8,0)=EOMONTH($BB$3,0),CQ$6*CQ$7,0),0),IF(AND(CM$6&lt;&gt;"",CM$8&lt;&gt;""),IF(EOMONTH($CL$3+INT((DAY(EOMONTH($CL$3,0))-1)/2)+CM$8,0)=EOMONTH($BB$3,0),CM$6*CM$7,0),0),IF(AND(CI$6&lt;&gt;"",CI$8&lt;&gt;""),IF(EOMONTH($CH$3+INT((DAY(EOMONTH($CH$3,0))-1)/2)+CI$8,0)=EOMONTH($BB$3,0),CI$6*CI$7,0),0),IF(AND(CE$6&lt;&gt;"",CE$8&lt;&gt;""),IF(EOMONTH($CD$3+INT((DAY(EOMONTH($CD$3,0))-1)/2)+CE$8,0)=EOMONTH($BB$3,0),CE$6*CE$7,0),0),IF(AND(CA$6&lt;&gt;"",CA$8&lt;&gt;""),IF(EOMONTH($BZ$3+INT((DAY(EOMONTH($BZ$3,0))-1)/2)+CA$8,0)=EOMONTH($BB$3,0),CA$6*CA$7,0),0),IF(AND(BW$6&lt;&gt;"",BW$8&lt;&gt;""),IF(EOMONTH($BV$3+INT((DAY(EOMONTH($BV$3,0))-1)/2)+BW$8,0)=EOMONTH($BB$3,0),BW$6*BW$7,0),0),IF(AND(BS$6&lt;&gt;"",BS$8&lt;&gt;""),IF(EOMONTH($BR$3+INT((DAY(EOMONTH($BR$3,0))-1)/2)+BS$8,0)=EOMONTH($BB$3,0),BS$6*BS$7,0),0),IF(AND(BO$6&lt;&gt;"",BO$8&lt;&gt;""),IF(EOMONTH($BN$3+INT((DAY(EOMONTH($BN$3,0))-1)/2)+BO$8,0)=EOMONTH($BB$3,0),BO$6*BO$7,0),0),IF(AND(BK$6&lt;&gt;"",BK$8&lt;&gt;""),IF(EOMONTH($BJ$3+INT((DAY(EOMONTH($BJ$3,0))-1)/2)+BK$8,0)=EOMONTH($BB$3,0),BK$6*BK$7,0),0),IF(AND(BG$6&lt;&gt;"",BG$8&lt;&gt;""),IF(EOMONTH($BF$3+INT((DAY(EOMONTH($BF$3,0))-1)/2)+BG$8,0)=EOMONTH($BB$3,0),BG$6*BG$7,0),0),IF(AND(BC$6&lt;&gt;"",BC$8&lt;&gt;""),IF(EOMONTH($BB$3+INT((DAY(EOMONTH($BB$3,0))-1)/2)+BC$8,0)=EOMONTH($BB$3,0),BC$6*BC$7,0),0),IF(AND(AY$6&lt;&gt;"",AY$8&lt;&gt;""),IF(EOMONTH($AX$3+INT((DAY(EOMONTH($AX$3,0))-1)/2)+AY$8,0)=EOMONTH($BB$3,0),AY$6*AY$7,0),0),IF(AND(AU$6&lt;&gt;"",AU$8&lt;&gt;""),IF(EOMONTH($AT$3+INT((DAY(EOMONTH($AT$3,0))-1)/2)+AU$8,0)=EOMONTH($BB$3,0),AU$6*AU$7,0),0),IF(AND(AQ$6&lt;&gt;"",AQ$8&lt;&gt;""),IF(EOMONTH($AP$3+INT((DAY(EOMONTH($AP$3,0))-1)/2)+AQ$8,0)=EOMONTH($BB$3,0),AQ$6*AQ$7,0),0),IF(AND(AM$6&lt;&gt;"",AM$8&lt;&gt;""),IF(EOMONTH($AL$3+INT((DAY(EOMONTH($AL$3,0))-1)/2)+AM$8,0)=EOMONTH($BB$3,0),AM$6*AM$7,0),0),IF(AND(AI$6&lt;&gt;"",AI$8&lt;&gt;""),IF(EOMONTH($AH$3+INT((DAY(EOMONTH($AH$3,0))-1)/2)+AI$8,0)=EOMONTH($BB$3,0),AI$6*AI$7,0),0),IF(AND(AE$6&lt;&gt;"",AE$8&lt;&gt;""),IF(EOMONTH($AD$3+INT((DAY(EOMONTH($AD$3,0))-1)/2)+AE$8,0)=EOMONTH($BB$3,0),AE$6*AE$7,0),0),IF(AND(AA$6&lt;&gt;"",AA$8&lt;&gt;""),IF(EOMONTH($Z$3+INT((DAY(EOMONTH($Z$3,0))-1)/2)+AA$8,0)=EOMONTH($BB$3,0),AA$6*AA$7,0),0),IF(AND(W$6&lt;&gt;"",W$8&lt;&gt;""),IF(EOMONTH($V$3+INT((DAY(EOMONTH($V$3,0))-1)/2)+W$8,0)=EOMONTH($BB$3,0),W$6*W$7,0),0),IF(AND(S$6&lt;&gt;"",S$8&lt;&gt;""),IF(EOMONTH($R$3+INT((DAY(EOMONTH($R$3,0))-1)/2)+S$8,0)=EOMONTH($BB$3,0),S$6*S$7,0),0),IF(AND(O$6&lt;&gt;"",O$8&lt;&gt;""),IF(EOMONTH($N$3+INT((DAY(EOMONTH($N$3,0))-1)/2)+O$8,0)=EOMONTH($BB$3,0),O$6*O$7,0),0),IF(AND(K$6&lt;&gt;"",K$8&lt;&gt;""),IF(EOMONTH($J$3+INT((DAY(EOMONTH($J$3,0))-1)/2)+K$8,0)=EOMONTH($BB$3,0),K$6*K$7,0),0),IF(AND(G$6&lt;&gt;"",G$8&lt;&gt;""),IF(EOMONTH($F$3+INT((DAY(EOMONTH($F$3,0))-1)/2)+G$8,0)=EOMONTH($BB$3,0),G$6*G$7,0),0)),0))</f>
        <v>0</v>
      </c>
      <c r="BD9" s="15">
        <f>ROUND(SUM(IF(AND(ER$6&lt;&gt;"",ER$8&lt;&gt;""),IF(EOMONTH($EP$3+INT((DAY(EOMONTH($EP$3,0))-1)/2)+ER$8,0)=EOMONTH($BB$3,0),ER$6*ER$7,0),0),IF(AND(EN$6&lt;&gt;"",EN$8&lt;&gt;""),IF(EOMONTH($EL$3+INT((DAY(EOMONTH($EL$3,0))-1)/2)+EN$8,0)=EOMONTH($BB$3,0),EN$6*EN$7,0),0),IF(AND(EJ$6&lt;&gt;"",EJ$8&lt;&gt;""),IF(EOMONTH($EH$3+INT((DAY(EOMONTH($EH$3,0))-1)/2)+EJ$8,0)=EOMONTH($BB$3,0),EJ$6*EJ$7,0),0),IF(AND(EF$6&lt;&gt;"",EF$8&lt;&gt;""),IF(EOMONTH($ED$3+INT((DAY(EOMONTH($ED$3,0))-1)/2)+EF$8,0)=EOMONTH($BB$3,0),EF$6*EF$7,0),0),IF(AND(EB$6&lt;&gt;"",EB$8&lt;&gt;""),IF(EOMONTH($DZ$3+INT((DAY(EOMONTH($DZ$3,0))-1)/2)+EB$8,0)=EOMONTH($BB$3,0),EB$6*EB$7,0),0),IF(AND(DX$6&lt;&gt;"",DX$8&lt;&gt;""),IF(EOMONTH($DV$3+INT((DAY(EOMONTH($DV$3,0))-1)/2)+DX$8,0)=EOMONTH($BB$3,0),DX$6*DX$7,0),0),IF(AND(DT$6&lt;&gt;"",DT$8&lt;&gt;""),IF(EOMONTH($DR$3+INT((DAY(EOMONTH($DR$3,0))-1)/2)+DT$8,0)=EOMONTH($BB$3,0),DT$6*DT$7,0),0),IF(AND(DP$6&lt;&gt;"",DP$8&lt;&gt;""),IF(EOMONTH($DN$3+INT((DAY(EOMONTH($DN$3,0))-1)/2)+DP$8,0)=EOMONTH($BB$3,0),DP$6*DP$7,0),0),IF(AND(DL$6&lt;&gt;"",DL$8&lt;&gt;""),IF(EOMONTH($DJ$3+INT((DAY(EOMONTH($DJ$3,0))-1)/2)+DL$8,0)=EOMONTH($BB$3,0),DL$6*DL$7,0),0),IF(AND(DH$6&lt;&gt;"",DH$8&lt;&gt;""),IF(EOMONTH($DF$3+INT((DAY(EOMONTH($DF$3,0))-1)/2)+DH$8,0)=EOMONTH($BB$3,0),DH$6*DH$7,0),0),IF(AND(DD$6&lt;&gt;"",DD$8&lt;&gt;""),IF(EOMONTH($DB$3+INT((DAY(EOMONTH($DB$3,0))-1)/2)+DD$8,0)=EOMONTH($BB$3,0),DD$6*DD$7,0),0),IF(AND(CZ$6&lt;&gt;"",CZ$8&lt;&gt;""),IF(EOMONTH($CX$3+INT((DAY(EOMONTH($CX$3,0))-1)/2)+CZ$8,0)=EOMONTH($BB$3,0),CZ$6*CZ$7,0),0),IF(AND(CV$6&lt;&gt;"",CV$8&lt;&gt;""),IF(EOMONTH($CT$3+INT((DAY(EOMONTH($CT$3,0))-1)/2)+CV$8,0)=EOMONTH($BB$3,0),CV$6*CV$7,0),0),IF(AND(CR$6&lt;&gt;"",CR$8&lt;&gt;""),IF(EOMONTH($CP$3+INT((DAY(EOMONTH($CP$3,0))-1)/2)+CR$8,0)=EOMONTH($BB$3,0),CR$6*CR$7,0),0),IF(AND(CN$6&lt;&gt;"",CN$8&lt;&gt;""),IF(EOMONTH($CL$3+INT((DAY(EOMONTH($CL$3,0))-1)/2)+CN$8,0)=EOMONTH($BB$3,0),CN$6*CN$7,0),0),IF(AND(CJ$6&lt;&gt;"",CJ$8&lt;&gt;""),IF(EOMONTH($CH$3+INT((DAY(EOMONTH($CH$3,0))-1)/2)+CJ$8,0)=EOMONTH($BB$3,0),CJ$6*CJ$7,0),0),IF(AND(CF$6&lt;&gt;"",CF$8&lt;&gt;""),IF(EOMONTH($CD$3+INT((DAY(EOMONTH($CD$3,0))-1)/2)+CF$8,0)=EOMONTH($BB$3,0),CF$6*CF$7,0),0),IF(AND(CB$6&lt;&gt;"",CB$8&lt;&gt;""),IF(EOMONTH($BZ$3+INT((DAY(EOMONTH($BZ$3,0))-1)/2)+CB$8,0)=EOMONTH($BB$3,0),CB$6*CB$7,0),0),IF(AND(BX$6&lt;&gt;"",BX$8&lt;&gt;""),IF(EOMONTH($BV$3+INT((DAY(EOMONTH($BV$3,0))-1)/2)+BX$8,0)=EOMONTH($BB$3,0),BX$6*BX$7,0),0),IF(AND(BT$6&lt;&gt;"",BT$8&lt;&gt;""),IF(EOMONTH($BR$3+INT((DAY(EOMONTH($BR$3,0))-1)/2)+BT$8,0)=EOMONTH($BB$3,0),BT$6*BT$7,0),0),IF(AND(BP$6&lt;&gt;"",BP$8&lt;&gt;""),IF(EOMONTH($BN$3+INT((DAY(EOMONTH($BN$3,0))-1)/2)+BP$8,0)=EOMONTH($BB$3,0),BP$6*BP$7,0),0),IF(AND(BL$6&lt;&gt;"",BL$8&lt;&gt;""),IF(EOMONTH($BJ$3+INT((DAY(EOMONTH($BJ$3,0))-1)/2)+BL$8,0)=EOMONTH($BB$3,0),BL$6*BL$7,0),0),IF(AND(BH$6&lt;&gt;"",BH$8&lt;&gt;""),IF(EOMONTH($BF$3+INT((DAY(EOMONTH($BF$3,0))-1)/2)+BH$8,0)=EOMONTH($BB$3,0),BH$6*BH$7,0),0),IF(AND(BD$6&lt;&gt;"",BD$8&lt;&gt;""),IF(EOMONTH($BB$3+INT((DAY(EOMONTH($BB$3,0))-1)/2)+BD$8,0)=EOMONTH($BB$3,0),BD$6*BD$7,0),0),IF(AND(AZ$6&lt;&gt;"",AZ$8&lt;&gt;""),IF(EOMONTH($AX$3+INT((DAY(EOMONTH($AX$3,0))-1)/2)+AZ$8,0)=EOMONTH($BB$3,0),AZ$6*AZ$7,0),0),IF(AND(AV$6&lt;&gt;"",AV$8&lt;&gt;""),IF(EOMONTH($AT$3+INT((DAY(EOMONTH($AT$3,0))-1)/2)+AV$8,0)=EOMONTH($BB$3,0),AV$6*AV$7,0),0),IF(AND(AR$6&lt;&gt;"",AR$8&lt;&gt;""),IF(EOMONTH($AP$3+INT((DAY(EOMONTH($AP$3,0))-1)/2)+AR$8,0)=EOMONTH($BB$3,0),AR$6*AR$7,0),0),IF(AND(AN$6&lt;&gt;"",AN$8&lt;&gt;""),IF(EOMONTH($AL$3+INT((DAY(EOMONTH($AL$3,0))-1)/2)+AN$8,0)=EOMONTH($BB$3,0),AN$6*AN$7,0),0),IF(AND(AJ$6&lt;&gt;"",AJ$8&lt;&gt;""),IF(EOMONTH($AH$3+INT((DAY(EOMONTH($AH$3,0))-1)/2)+AJ$8,0)=EOMONTH($BB$3,0),AJ$6*AJ$7,0),0),IF(AND(AF$6&lt;&gt;"",AF$8&lt;&gt;""),IF(EOMONTH($AD$3+INT((DAY(EOMONTH($AD$3,0))-1)/2)+AF$8,0)=EOMONTH($BB$3,0),AF$6*AF$7,0),0),IF(AND(AB$6&lt;&gt;"",AB$8&lt;&gt;""),IF(EOMONTH($Z$3+INT((DAY(EOMONTH($Z$3,0))-1)/2)+AB$8,0)=EOMONTH($BB$3,0),AB$6*AB$7,0),0),IF(AND(X$6&lt;&gt;"",X$8&lt;&gt;""),IF(EOMONTH($V$3+INT((DAY(EOMONTH($V$3,0))-1)/2)+X$8,0)=EOMONTH($BB$3,0),X$6*X$7,0),0),IF(AND(T$6&lt;&gt;"",T$8&lt;&gt;""),IF(EOMONTH($R$3+INT((DAY(EOMONTH($R$3,0))-1)/2)+T$8,0)=EOMONTH($BB$3,0),T$6*T$7,0),0),IF(AND(P$6&lt;&gt;"",P$8&lt;&gt;""),IF(EOMONTH($N$3+INT((DAY(EOMONTH($N$3,0))-1)/2)+P$8,0)=EOMONTH($BB$3,0),P$6*P$7,0),0),IF(AND(L$6&lt;&gt;"",L$8&lt;&gt;""),IF(EOMONTH($J$3+INT((DAY(EOMONTH($J$3,0))-1)/2)+L$8,0)=EOMONTH($BB$3,0),L$6*L$7,0),0),IF(AND(H$6&lt;&gt;"",H$8&lt;&gt;""),IF(EOMONTH($F$3+INT((DAY(EOMONTH($F$3,0))-1)/2)+H$8,0)=EOMONTH($BB$3,0),H$6*H$7,0),0)),0)</f>
        <v>0</v>
      </c>
      <c r="BE9" s="16">
        <f t="shared" si="29"/>
        <v>0</v>
      </c>
      <c r="BF9" s="17"/>
      <c r="BG9" s="14">
        <f>IF(BF$98=1,BF9,ROUND(SUM(IF(AND(EQ$6&lt;&gt;"",EQ$8&lt;&gt;""),IF(EOMONTH($EP$3+INT((DAY(EOMONTH($EP$3,0))-1)/2)+EQ$8,0)=EOMONTH($BF$3,0),EQ$6*EQ$7,0),0),IF(AND(EM$6&lt;&gt;"",EM$8&lt;&gt;""),IF(EOMONTH($EL$3+INT((DAY(EOMONTH($EL$3,0))-1)/2)+EM$8,0)=EOMONTH($BF$3,0),EM$6*EM$7,0),0),IF(AND(EI$6&lt;&gt;"",EI$8&lt;&gt;""),IF(EOMONTH($EH$3+INT((DAY(EOMONTH($EH$3,0))-1)/2)+EI$8,0)=EOMONTH($BF$3,0),EI$6*EI$7,0),0),IF(AND(EE$6&lt;&gt;"",EE$8&lt;&gt;""),IF(EOMONTH($ED$3+INT((DAY(EOMONTH($ED$3,0))-1)/2)+EE$8,0)=EOMONTH($BF$3,0),EE$6*EE$7,0),0),IF(AND(EA$6&lt;&gt;"",EA$8&lt;&gt;""),IF(EOMONTH($DZ$3+INT((DAY(EOMONTH($DZ$3,0))-1)/2)+EA$8,0)=EOMONTH($BF$3,0),EA$6*EA$7,0),0),IF(AND(DW$6&lt;&gt;"",DW$8&lt;&gt;""),IF(EOMONTH($DV$3+INT((DAY(EOMONTH($DV$3,0))-1)/2)+DW$8,0)=EOMONTH($BF$3,0),DW$6*DW$7,0),0),IF(AND(DS$6&lt;&gt;"",DS$8&lt;&gt;""),IF(EOMONTH($DR$3+INT((DAY(EOMONTH($DR$3,0))-1)/2)+DS$8,0)=EOMONTH($BF$3,0),DS$6*DS$7,0),0),IF(AND(DO$6&lt;&gt;"",DO$8&lt;&gt;""),IF(EOMONTH($DN$3+INT((DAY(EOMONTH($DN$3,0))-1)/2)+DO$8,0)=EOMONTH($BF$3,0),DO$6*DO$7,0),0),IF(AND(DK$6&lt;&gt;"",DK$8&lt;&gt;""),IF(EOMONTH($DJ$3+INT((DAY(EOMONTH($DJ$3,0))-1)/2)+DK$8,0)=EOMONTH($BF$3,0),DK$6*DK$7,0),0),IF(AND(DG$6&lt;&gt;"",DG$8&lt;&gt;""),IF(EOMONTH($DF$3+INT((DAY(EOMONTH($DF$3,0))-1)/2)+DG$8,0)=EOMONTH($BF$3,0),DG$6*DG$7,0),0),IF(AND(DC$6&lt;&gt;"",DC$8&lt;&gt;""),IF(EOMONTH($DB$3+INT((DAY(EOMONTH($DB$3,0))-1)/2)+DC$8,0)=EOMONTH($BF$3,0),DC$6*DC$7,0),0),IF(AND(CY$6&lt;&gt;"",CY$8&lt;&gt;""),IF(EOMONTH($CX$3+INT((DAY(EOMONTH($CX$3,0))-1)/2)+CY$8,0)=EOMONTH($BF$3,0),CY$6*CY$7,0),0),IF(AND(CU$6&lt;&gt;"",CU$8&lt;&gt;""),IF(EOMONTH($CT$3+INT((DAY(EOMONTH($CT$3,0))-1)/2)+CU$8,0)=EOMONTH($BF$3,0),CU$6*CU$7,0),0),IF(AND(CQ$6&lt;&gt;"",CQ$8&lt;&gt;""),IF(EOMONTH($CP$3+INT((DAY(EOMONTH($CP$3,0))-1)/2)+CQ$8,0)=EOMONTH($BF$3,0),CQ$6*CQ$7,0),0),IF(AND(CM$6&lt;&gt;"",CM$8&lt;&gt;""),IF(EOMONTH($CL$3+INT((DAY(EOMONTH($CL$3,0))-1)/2)+CM$8,0)=EOMONTH($BF$3,0),CM$6*CM$7,0),0),IF(AND(CI$6&lt;&gt;"",CI$8&lt;&gt;""),IF(EOMONTH($CH$3+INT((DAY(EOMONTH($CH$3,0))-1)/2)+CI$8,0)=EOMONTH($BF$3,0),CI$6*CI$7,0),0),IF(AND(CE$6&lt;&gt;"",CE$8&lt;&gt;""),IF(EOMONTH($CD$3+INT((DAY(EOMONTH($CD$3,0))-1)/2)+CE$8,0)=EOMONTH($BF$3,0),CE$6*CE$7,0),0),IF(AND(CA$6&lt;&gt;"",CA$8&lt;&gt;""),IF(EOMONTH($BZ$3+INT((DAY(EOMONTH($BZ$3,0))-1)/2)+CA$8,0)=EOMONTH($BF$3,0),CA$6*CA$7,0),0),IF(AND(BW$6&lt;&gt;"",BW$8&lt;&gt;""),IF(EOMONTH($BV$3+INT((DAY(EOMONTH($BV$3,0))-1)/2)+BW$8,0)=EOMONTH($BF$3,0),BW$6*BW$7,0),0),IF(AND(BS$6&lt;&gt;"",BS$8&lt;&gt;""),IF(EOMONTH($BR$3+INT((DAY(EOMONTH($BR$3,0))-1)/2)+BS$8,0)=EOMONTH($BF$3,0),BS$6*BS$7,0),0),IF(AND(BO$6&lt;&gt;"",BO$8&lt;&gt;""),IF(EOMONTH($BN$3+INT((DAY(EOMONTH($BN$3,0))-1)/2)+BO$8,0)=EOMONTH($BF$3,0),BO$6*BO$7,0),0),IF(AND(BK$6&lt;&gt;"",BK$8&lt;&gt;""),IF(EOMONTH($BJ$3+INT((DAY(EOMONTH($BJ$3,0))-1)/2)+BK$8,0)=EOMONTH($BF$3,0),BK$6*BK$7,0),0),IF(AND(BG$6&lt;&gt;"",BG$8&lt;&gt;""),IF(EOMONTH($BF$3+INT((DAY(EOMONTH($BF$3,0))-1)/2)+BG$8,0)=EOMONTH($BF$3,0),BG$6*BG$7,0),0),IF(AND(BC$6&lt;&gt;"",BC$8&lt;&gt;""),IF(EOMONTH($BB$3+INT((DAY(EOMONTH($BB$3,0))-1)/2)+BC$8,0)=EOMONTH($BF$3,0),BC$6*BC$7,0),0),IF(AND(AY$6&lt;&gt;"",AY$8&lt;&gt;""),IF(EOMONTH($AX$3+INT((DAY(EOMONTH($AX$3,0))-1)/2)+AY$8,0)=EOMONTH($BF$3,0),AY$6*AY$7,0),0),IF(AND(AU$6&lt;&gt;"",AU$8&lt;&gt;""),IF(EOMONTH($AT$3+INT((DAY(EOMONTH($AT$3,0))-1)/2)+AU$8,0)=EOMONTH($BF$3,0),AU$6*AU$7,0),0),IF(AND(AQ$6&lt;&gt;"",AQ$8&lt;&gt;""),IF(EOMONTH($AP$3+INT((DAY(EOMONTH($AP$3,0))-1)/2)+AQ$8,0)=EOMONTH($BF$3,0),AQ$6*AQ$7,0),0),IF(AND(AM$6&lt;&gt;"",AM$8&lt;&gt;""),IF(EOMONTH($AL$3+INT((DAY(EOMONTH($AL$3,0))-1)/2)+AM$8,0)=EOMONTH($BF$3,0),AM$6*AM$7,0),0),IF(AND(AI$6&lt;&gt;"",AI$8&lt;&gt;""),IF(EOMONTH($AH$3+INT((DAY(EOMONTH($AH$3,0))-1)/2)+AI$8,0)=EOMONTH($BF$3,0),AI$6*AI$7,0),0),IF(AND(AE$6&lt;&gt;"",AE$8&lt;&gt;""),IF(EOMONTH($AD$3+INT((DAY(EOMONTH($AD$3,0))-1)/2)+AE$8,0)=EOMONTH($BF$3,0),AE$6*AE$7,0),0),IF(AND(AA$6&lt;&gt;"",AA$8&lt;&gt;""),IF(EOMONTH($Z$3+INT((DAY(EOMONTH($Z$3,0))-1)/2)+AA$8,0)=EOMONTH($BF$3,0),AA$6*AA$7,0),0),IF(AND(W$6&lt;&gt;"",W$8&lt;&gt;""),IF(EOMONTH($V$3+INT((DAY(EOMONTH($V$3,0))-1)/2)+W$8,0)=EOMONTH($BF$3,0),W$6*W$7,0),0),IF(AND(S$6&lt;&gt;"",S$8&lt;&gt;""),IF(EOMONTH($R$3+INT((DAY(EOMONTH($R$3,0))-1)/2)+S$8,0)=EOMONTH($BF$3,0),S$6*S$7,0),0),IF(AND(O$6&lt;&gt;"",O$8&lt;&gt;""),IF(EOMONTH($N$3+INT((DAY(EOMONTH($N$3,0))-1)/2)+O$8,0)=EOMONTH($BF$3,0),O$6*O$7,0),0),IF(AND(K$6&lt;&gt;"",K$8&lt;&gt;""),IF(EOMONTH($J$3+INT((DAY(EOMONTH($J$3,0))-1)/2)+K$8,0)=EOMONTH($BF$3,0),K$6*K$7,0),0),IF(AND(G$6&lt;&gt;"",G$8&lt;&gt;""),IF(EOMONTH($F$3+INT((DAY(EOMONTH($F$3,0))-1)/2)+G$8,0)=EOMONTH($BF$3,0),G$6*G$7,0),0)),0))</f>
        <v>0</v>
      </c>
      <c r="BH9" s="15">
        <f>ROUND(SUM(IF(AND(ER$6&lt;&gt;"",ER$8&lt;&gt;""),IF(EOMONTH($EP$3+INT((DAY(EOMONTH($EP$3,0))-1)/2)+ER$8,0)=EOMONTH($BF$3,0),ER$6*ER$7,0),0),IF(AND(EN$6&lt;&gt;"",EN$8&lt;&gt;""),IF(EOMONTH($EL$3+INT((DAY(EOMONTH($EL$3,0))-1)/2)+EN$8,0)=EOMONTH($BF$3,0),EN$6*EN$7,0),0),IF(AND(EJ$6&lt;&gt;"",EJ$8&lt;&gt;""),IF(EOMONTH($EH$3+INT((DAY(EOMONTH($EH$3,0))-1)/2)+EJ$8,0)=EOMONTH($BF$3,0),EJ$6*EJ$7,0),0),IF(AND(EF$6&lt;&gt;"",EF$8&lt;&gt;""),IF(EOMONTH($ED$3+INT((DAY(EOMONTH($ED$3,0))-1)/2)+EF$8,0)=EOMONTH($BF$3,0),EF$6*EF$7,0),0),IF(AND(EB$6&lt;&gt;"",EB$8&lt;&gt;""),IF(EOMONTH($DZ$3+INT((DAY(EOMONTH($DZ$3,0))-1)/2)+EB$8,0)=EOMONTH($BF$3,0),EB$6*EB$7,0),0),IF(AND(DX$6&lt;&gt;"",DX$8&lt;&gt;""),IF(EOMONTH($DV$3+INT((DAY(EOMONTH($DV$3,0))-1)/2)+DX$8,0)=EOMONTH($BF$3,0),DX$6*DX$7,0),0),IF(AND(DT$6&lt;&gt;"",DT$8&lt;&gt;""),IF(EOMONTH($DR$3+INT((DAY(EOMONTH($DR$3,0))-1)/2)+DT$8,0)=EOMONTH($BF$3,0),DT$6*DT$7,0),0),IF(AND(DP$6&lt;&gt;"",DP$8&lt;&gt;""),IF(EOMONTH($DN$3+INT((DAY(EOMONTH($DN$3,0))-1)/2)+DP$8,0)=EOMONTH($BF$3,0),DP$6*DP$7,0),0),IF(AND(DL$6&lt;&gt;"",DL$8&lt;&gt;""),IF(EOMONTH($DJ$3+INT((DAY(EOMONTH($DJ$3,0))-1)/2)+DL$8,0)=EOMONTH($BF$3,0),DL$6*DL$7,0),0),IF(AND(DH$6&lt;&gt;"",DH$8&lt;&gt;""),IF(EOMONTH($DF$3+INT((DAY(EOMONTH($DF$3,0))-1)/2)+DH$8,0)=EOMONTH($BF$3,0),DH$6*DH$7,0),0),IF(AND(DD$6&lt;&gt;"",DD$8&lt;&gt;""),IF(EOMONTH($DB$3+INT((DAY(EOMONTH($DB$3,0))-1)/2)+DD$8,0)=EOMONTH($BF$3,0),DD$6*DD$7,0),0),IF(AND(CZ$6&lt;&gt;"",CZ$8&lt;&gt;""),IF(EOMONTH($CX$3+INT((DAY(EOMONTH($CX$3,0))-1)/2)+CZ$8,0)=EOMONTH($BF$3,0),CZ$6*CZ$7,0),0),IF(AND(CV$6&lt;&gt;"",CV$8&lt;&gt;""),IF(EOMONTH($CT$3+INT((DAY(EOMONTH($CT$3,0))-1)/2)+CV$8,0)=EOMONTH($BF$3,0),CV$6*CV$7,0),0),IF(AND(CR$6&lt;&gt;"",CR$8&lt;&gt;""),IF(EOMONTH($CP$3+INT((DAY(EOMONTH($CP$3,0))-1)/2)+CR$8,0)=EOMONTH($BF$3,0),CR$6*CR$7,0),0),IF(AND(CN$6&lt;&gt;"",CN$8&lt;&gt;""),IF(EOMONTH($CL$3+INT((DAY(EOMONTH($CL$3,0))-1)/2)+CN$8,0)=EOMONTH($BF$3,0),CN$6*CN$7,0),0),IF(AND(CJ$6&lt;&gt;"",CJ$8&lt;&gt;""),IF(EOMONTH($CH$3+INT((DAY(EOMONTH($CH$3,0))-1)/2)+CJ$8,0)=EOMONTH($BF$3,0),CJ$6*CJ$7,0),0),IF(AND(CF$6&lt;&gt;"",CF$8&lt;&gt;""),IF(EOMONTH($CD$3+INT((DAY(EOMONTH($CD$3,0))-1)/2)+CF$8,0)=EOMONTH($BF$3,0),CF$6*CF$7,0),0),IF(AND(CB$6&lt;&gt;"",CB$8&lt;&gt;""),IF(EOMONTH($BZ$3+INT((DAY(EOMONTH($BZ$3,0))-1)/2)+CB$8,0)=EOMONTH($BF$3,0),CB$6*CB$7,0),0),IF(AND(BX$6&lt;&gt;"",BX$8&lt;&gt;""),IF(EOMONTH($BV$3+INT((DAY(EOMONTH($BV$3,0))-1)/2)+BX$8,0)=EOMONTH($BF$3,0),BX$6*BX$7,0),0),IF(AND(BT$6&lt;&gt;"",BT$8&lt;&gt;""),IF(EOMONTH($BR$3+INT((DAY(EOMONTH($BR$3,0))-1)/2)+BT$8,0)=EOMONTH($BF$3,0),BT$6*BT$7,0),0),IF(AND(BP$6&lt;&gt;"",BP$8&lt;&gt;""),IF(EOMONTH($BN$3+INT((DAY(EOMONTH($BN$3,0))-1)/2)+BP$8,0)=EOMONTH($BF$3,0),BP$6*BP$7,0),0),IF(AND(BL$6&lt;&gt;"",BL$8&lt;&gt;""),IF(EOMONTH($BJ$3+INT((DAY(EOMONTH($BJ$3,0))-1)/2)+BL$8,0)=EOMONTH($BF$3,0),BL$6*BL$7,0),0),IF(AND(BH$6&lt;&gt;"",BH$8&lt;&gt;""),IF(EOMONTH($BF$3+INT((DAY(EOMONTH($BF$3,0))-1)/2)+BH$8,0)=EOMONTH($BF$3,0),BH$6*BH$7,0),0),IF(AND(BD$6&lt;&gt;"",BD$8&lt;&gt;""),IF(EOMONTH($BB$3+INT((DAY(EOMONTH($BB$3,0))-1)/2)+BD$8,0)=EOMONTH($BF$3,0),BD$6*BD$7,0),0),IF(AND(AZ$6&lt;&gt;"",AZ$8&lt;&gt;""),IF(EOMONTH($AX$3+INT((DAY(EOMONTH($AX$3,0))-1)/2)+AZ$8,0)=EOMONTH($BF$3,0),AZ$6*AZ$7,0),0),IF(AND(AV$6&lt;&gt;"",AV$8&lt;&gt;""),IF(EOMONTH($AT$3+INT((DAY(EOMONTH($AT$3,0))-1)/2)+AV$8,0)=EOMONTH($BF$3,0),AV$6*AV$7,0),0),IF(AND(AR$6&lt;&gt;"",AR$8&lt;&gt;""),IF(EOMONTH($AP$3+INT((DAY(EOMONTH($AP$3,0))-1)/2)+AR$8,0)=EOMONTH($BF$3,0),AR$6*AR$7,0),0),IF(AND(AN$6&lt;&gt;"",AN$8&lt;&gt;""),IF(EOMONTH($AL$3+INT((DAY(EOMONTH($AL$3,0))-1)/2)+AN$8,0)=EOMONTH($BF$3,0),AN$6*AN$7,0),0),IF(AND(AJ$6&lt;&gt;"",AJ$8&lt;&gt;""),IF(EOMONTH($AH$3+INT((DAY(EOMONTH($AH$3,0))-1)/2)+AJ$8,0)=EOMONTH($BF$3,0),AJ$6*AJ$7,0),0),IF(AND(AF$6&lt;&gt;"",AF$8&lt;&gt;""),IF(EOMONTH($AD$3+INT((DAY(EOMONTH($AD$3,0))-1)/2)+AF$8,0)=EOMONTH($BF$3,0),AF$6*AF$7,0),0),IF(AND(AB$6&lt;&gt;"",AB$8&lt;&gt;""),IF(EOMONTH($Z$3+INT((DAY(EOMONTH($Z$3,0))-1)/2)+AB$8,0)=EOMONTH($BF$3,0),AB$6*AB$7,0),0),IF(AND(X$6&lt;&gt;"",X$8&lt;&gt;""),IF(EOMONTH($V$3+INT((DAY(EOMONTH($V$3,0))-1)/2)+X$8,0)=EOMONTH($BF$3,0),X$6*X$7,0),0),IF(AND(T$6&lt;&gt;"",T$8&lt;&gt;""),IF(EOMONTH($R$3+INT((DAY(EOMONTH($R$3,0))-1)/2)+T$8,0)=EOMONTH($BF$3,0),T$6*T$7,0),0),IF(AND(P$6&lt;&gt;"",P$8&lt;&gt;""),IF(EOMONTH($N$3+INT((DAY(EOMONTH($N$3,0))-1)/2)+P$8,0)=EOMONTH($BF$3,0),P$6*P$7,0),0),IF(AND(L$6&lt;&gt;"",L$8&lt;&gt;""),IF(EOMONTH($J$3+INT((DAY(EOMONTH($J$3,0))-1)/2)+L$8,0)=EOMONTH($BF$3,0),L$6*L$7,0),0),IF(AND(H$6&lt;&gt;"",H$8&lt;&gt;""),IF(EOMONTH($F$3+INT((DAY(EOMONTH($F$3,0))-1)/2)+H$8,0)=EOMONTH($BF$3,0),H$6*H$7,0),0)),0)</f>
        <v>0</v>
      </c>
      <c r="BI9" s="16">
        <f t="shared" si="31"/>
        <v>0</v>
      </c>
      <c r="BJ9" s="17"/>
      <c r="BK9" s="14">
        <f>IF(BJ$98=1,BJ9,ROUND(SUM(IF(AND(EQ$6&lt;&gt;"",EQ$8&lt;&gt;""),IF(EOMONTH($EP$3+INT((DAY(EOMONTH($EP$3,0))-1)/2)+EQ$8,0)=EOMONTH($BJ$3,0),EQ$6*EQ$7,0),0),IF(AND(EM$6&lt;&gt;"",EM$8&lt;&gt;""),IF(EOMONTH($EL$3+INT((DAY(EOMONTH($EL$3,0))-1)/2)+EM$8,0)=EOMONTH($BJ$3,0),EM$6*EM$7,0),0),IF(AND(EI$6&lt;&gt;"",EI$8&lt;&gt;""),IF(EOMONTH($EH$3+INT((DAY(EOMONTH($EH$3,0))-1)/2)+EI$8,0)=EOMONTH($BJ$3,0),EI$6*EI$7,0),0),IF(AND(EE$6&lt;&gt;"",EE$8&lt;&gt;""),IF(EOMONTH($ED$3+INT((DAY(EOMONTH($ED$3,0))-1)/2)+EE$8,0)=EOMONTH($BJ$3,0),EE$6*EE$7,0),0),IF(AND(EA$6&lt;&gt;"",EA$8&lt;&gt;""),IF(EOMONTH($DZ$3+INT((DAY(EOMONTH($DZ$3,0))-1)/2)+EA$8,0)=EOMONTH($BJ$3,0),EA$6*EA$7,0),0),IF(AND(DW$6&lt;&gt;"",DW$8&lt;&gt;""),IF(EOMONTH($DV$3+INT((DAY(EOMONTH($DV$3,0))-1)/2)+DW$8,0)=EOMONTH($BJ$3,0),DW$6*DW$7,0),0),IF(AND(DS$6&lt;&gt;"",DS$8&lt;&gt;""),IF(EOMONTH($DR$3+INT((DAY(EOMONTH($DR$3,0))-1)/2)+DS$8,0)=EOMONTH($BJ$3,0),DS$6*DS$7,0),0),IF(AND(DO$6&lt;&gt;"",DO$8&lt;&gt;""),IF(EOMONTH($DN$3+INT((DAY(EOMONTH($DN$3,0))-1)/2)+DO$8,0)=EOMONTH($BJ$3,0),DO$6*DO$7,0),0),IF(AND(DK$6&lt;&gt;"",DK$8&lt;&gt;""),IF(EOMONTH($DJ$3+INT((DAY(EOMONTH($DJ$3,0))-1)/2)+DK$8,0)=EOMONTH($BJ$3,0),DK$6*DK$7,0),0),IF(AND(DG$6&lt;&gt;"",DG$8&lt;&gt;""),IF(EOMONTH($DF$3+INT((DAY(EOMONTH($DF$3,0))-1)/2)+DG$8,0)=EOMONTH($BJ$3,0),DG$6*DG$7,0),0),IF(AND(DC$6&lt;&gt;"",DC$8&lt;&gt;""),IF(EOMONTH($DB$3+INT((DAY(EOMONTH($DB$3,0))-1)/2)+DC$8,0)=EOMONTH($BJ$3,0),DC$6*DC$7,0),0),IF(AND(CY$6&lt;&gt;"",CY$8&lt;&gt;""),IF(EOMONTH($CX$3+INT((DAY(EOMONTH($CX$3,0))-1)/2)+CY$8,0)=EOMONTH($BJ$3,0),CY$6*CY$7,0),0),IF(AND(CU$6&lt;&gt;"",CU$8&lt;&gt;""),IF(EOMONTH($CT$3+INT((DAY(EOMONTH($CT$3,0))-1)/2)+CU$8,0)=EOMONTH($BJ$3,0),CU$6*CU$7,0),0),IF(AND(CQ$6&lt;&gt;"",CQ$8&lt;&gt;""),IF(EOMONTH($CP$3+INT((DAY(EOMONTH($CP$3,0))-1)/2)+CQ$8,0)=EOMONTH($BJ$3,0),CQ$6*CQ$7,0),0),IF(AND(CM$6&lt;&gt;"",CM$8&lt;&gt;""),IF(EOMONTH($CL$3+INT((DAY(EOMONTH($CL$3,0))-1)/2)+CM$8,0)=EOMONTH($BJ$3,0),CM$6*CM$7,0),0),IF(AND(CI$6&lt;&gt;"",CI$8&lt;&gt;""),IF(EOMONTH($CH$3+INT((DAY(EOMONTH($CH$3,0))-1)/2)+CI$8,0)=EOMONTH($BJ$3,0),CI$6*CI$7,0),0),IF(AND(CE$6&lt;&gt;"",CE$8&lt;&gt;""),IF(EOMONTH($CD$3+INT((DAY(EOMONTH($CD$3,0))-1)/2)+CE$8,0)=EOMONTH($BJ$3,0),CE$6*CE$7,0),0),IF(AND(CA$6&lt;&gt;"",CA$8&lt;&gt;""),IF(EOMONTH($BZ$3+INT((DAY(EOMONTH($BZ$3,0))-1)/2)+CA$8,0)=EOMONTH($BJ$3,0),CA$6*CA$7,0),0),IF(AND(BW$6&lt;&gt;"",BW$8&lt;&gt;""),IF(EOMONTH($BV$3+INT((DAY(EOMONTH($BV$3,0))-1)/2)+BW$8,0)=EOMONTH($BJ$3,0),BW$6*BW$7,0),0),IF(AND(BS$6&lt;&gt;"",BS$8&lt;&gt;""),IF(EOMONTH($BR$3+INT((DAY(EOMONTH($BR$3,0))-1)/2)+BS$8,0)=EOMONTH($BJ$3,0),BS$6*BS$7,0),0),IF(AND(BO$6&lt;&gt;"",BO$8&lt;&gt;""),IF(EOMONTH($BN$3+INT((DAY(EOMONTH($BN$3,0))-1)/2)+BO$8,0)=EOMONTH($BJ$3,0),BO$6*BO$7,0),0),IF(AND(BK$6&lt;&gt;"",BK$8&lt;&gt;""),IF(EOMONTH($BJ$3+INT((DAY(EOMONTH($BJ$3,0))-1)/2)+BK$8,0)=EOMONTH($BJ$3,0),BK$6*BK$7,0),0),IF(AND(BG$6&lt;&gt;"",BG$8&lt;&gt;""),IF(EOMONTH($BF$3+INT((DAY(EOMONTH($BF$3,0))-1)/2)+BG$8,0)=EOMONTH($BJ$3,0),BG$6*BG$7,0),0),IF(AND(BC$6&lt;&gt;"",BC$8&lt;&gt;""),IF(EOMONTH($BB$3+INT((DAY(EOMONTH($BB$3,0))-1)/2)+BC$8,0)=EOMONTH($BJ$3,0),BC$6*BC$7,0),0),IF(AND(AY$6&lt;&gt;"",AY$8&lt;&gt;""),IF(EOMONTH($AX$3+INT((DAY(EOMONTH($AX$3,0))-1)/2)+AY$8,0)=EOMONTH($BJ$3,0),AY$6*AY$7,0),0),IF(AND(AU$6&lt;&gt;"",AU$8&lt;&gt;""),IF(EOMONTH($AT$3+INT((DAY(EOMONTH($AT$3,0))-1)/2)+AU$8,0)=EOMONTH($BJ$3,0),AU$6*AU$7,0),0),IF(AND(AQ$6&lt;&gt;"",AQ$8&lt;&gt;""),IF(EOMONTH($AP$3+INT((DAY(EOMONTH($AP$3,0))-1)/2)+AQ$8,0)=EOMONTH($BJ$3,0),AQ$6*AQ$7,0),0),IF(AND(AM$6&lt;&gt;"",AM$8&lt;&gt;""),IF(EOMONTH($AL$3+INT((DAY(EOMONTH($AL$3,0))-1)/2)+AM$8,0)=EOMONTH($BJ$3,0),AM$6*AM$7,0),0),IF(AND(AI$6&lt;&gt;"",AI$8&lt;&gt;""),IF(EOMONTH($AH$3+INT((DAY(EOMONTH($AH$3,0))-1)/2)+AI$8,0)=EOMONTH($BJ$3,0),AI$6*AI$7,0),0),IF(AND(AE$6&lt;&gt;"",AE$8&lt;&gt;""),IF(EOMONTH($AD$3+INT((DAY(EOMONTH($AD$3,0))-1)/2)+AE$8,0)=EOMONTH($BJ$3,0),AE$6*AE$7,0),0),IF(AND(AA$6&lt;&gt;"",AA$8&lt;&gt;""),IF(EOMONTH($Z$3+INT((DAY(EOMONTH($Z$3,0))-1)/2)+AA$8,0)=EOMONTH($BJ$3,0),AA$6*AA$7,0),0),IF(AND(W$6&lt;&gt;"",W$8&lt;&gt;""),IF(EOMONTH($V$3+INT((DAY(EOMONTH($V$3,0))-1)/2)+W$8,0)=EOMONTH($BJ$3,0),W$6*W$7,0),0),IF(AND(S$6&lt;&gt;"",S$8&lt;&gt;""),IF(EOMONTH($R$3+INT((DAY(EOMONTH($R$3,0))-1)/2)+S$8,0)=EOMONTH($BJ$3,0),S$6*S$7,0),0),IF(AND(O$6&lt;&gt;"",O$8&lt;&gt;""),IF(EOMONTH($N$3+INT((DAY(EOMONTH($N$3,0))-1)/2)+O$8,0)=EOMONTH($BJ$3,0),O$6*O$7,0),0),IF(AND(K$6&lt;&gt;"",K$8&lt;&gt;""),IF(EOMONTH($J$3+INT((DAY(EOMONTH($J$3,0))-1)/2)+K$8,0)=EOMONTH($BJ$3,0),K$6*K$7,0),0),IF(AND(G$6&lt;&gt;"",G$8&lt;&gt;""),IF(EOMONTH($F$3+INT((DAY(EOMONTH($F$3,0))-1)/2)+G$8,0)=EOMONTH($BJ$3,0),G$6*G$7,0),0)),0))</f>
        <v>0</v>
      </c>
      <c r="BL9" s="15">
        <f>ROUND(SUM(IF(AND(ER$6&lt;&gt;"",ER$8&lt;&gt;""),IF(EOMONTH($EP$3+INT((DAY(EOMONTH($EP$3,0))-1)/2)+ER$8,0)=EOMONTH($BJ$3,0),ER$6*ER$7,0),0),IF(AND(EN$6&lt;&gt;"",EN$8&lt;&gt;""),IF(EOMONTH($EL$3+INT((DAY(EOMONTH($EL$3,0))-1)/2)+EN$8,0)=EOMONTH($BJ$3,0),EN$6*EN$7,0),0),IF(AND(EJ$6&lt;&gt;"",EJ$8&lt;&gt;""),IF(EOMONTH($EH$3+INT((DAY(EOMONTH($EH$3,0))-1)/2)+EJ$8,0)=EOMONTH($BJ$3,0),EJ$6*EJ$7,0),0),IF(AND(EF$6&lt;&gt;"",EF$8&lt;&gt;""),IF(EOMONTH($ED$3+INT((DAY(EOMONTH($ED$3,0))-1)/2)+EF$8,0)=EOMONTH($BJ$3,0),EF$6*EF$7,0),0),IF(AND(EB$6&lt;&gt;"",EB$8&lt;&gt;""),IF(EOMONTH($DZ$3+INT((DAY(EOMONTH($DZ$3,0))-1)/2)+EB$8,0)=EOMONTH($BJ$3,0),EB$6*EB$7,0),0),IF(AND(DX$6&lt;&gt;"",DX$8&lt;&gt;""),IF(EOMONTH($DV$3+INT((DAY(EOMONTH($DV$3,0))-1)/2)+DX$8,0)=EOMONTH($BJ$3,0),DX$6*DX$7,0),0),IF(AND(DT$6&lt;&gt;"",DT$8&lt;&gt;""),IF(EOMONTH($DR$3+INT((DAY(EOMONTH($DR$3,0))-1)/2)+DT$8,0)=EOMONTH($BJ$3,0),DT$6*DT$7,0),0),IF(AND(DP$6&lt;&gt;"",DP$8&lt;&gt;""),IF(EOMONTH($DN$3+INT((DAY(EOMONTH($DN$3,0))-1)/2)+DP$8,0)=EOMONTH($BJ$3,0),DP$6*DP$7,0),0),IF(AND(DL$6&lt;&gt;"",DL$8&lt;&gt;""),IF(EOMONTH($DJ$3+INT((DAY(EOMONTH($DJ$3,0))-1)/2)+DL$8,0)=EOMONTH($BJ$3,0),DL$6*DL$7,0),0),IF(AND(DH$6&lt;&gt;"",DH$8&lt;&gt;""),IF(EOMONTH($DF$3+INT((DAY(EOMONTH($DF$3,0))-1)/2)+DH$8,0)=EOMONTH($BJ$3,0),DH$6*DH$7,0),0),IF(AND(DD$6&lt;&gt;"",DD$8&lt;&gt;""),IF(EOMONTH($DB$3+INT((DAY(EOMONTH($DB$3,0))-1)/2)+DD$8,0)=EOMONTH($BJ$3,0),DD$6*DD$7,0),0),IF(AND(CZ$6&lt;&gt;"",CZ$8&lt;&gt;""),IF(EOMONTH($CX$3+INT((DAY(EOMONTH($CX$3,0))-1)/2)+CZ$8,0)=EOMONTH($BJ$3,0),CZ$6*CZ$7,0),0),IF(AND(CV$6&lt;&gt;"",CV$8&lt;&gt;""),IF(EOMONTH($CT$3+INT((DAY(EOMONTH($CT$3,0))-1)/2)+CV$8,0)=EOMONTH($BJ$3,0),CV$6*CV$7,0),0),IF(AND(CR$6&lt;&gt;"",CR$8&lt;&gt;""),IF(EOMONTH($CP$3+INT((DAY(EOMONTH($CP$3,0))-1)/2)+CR$8,0)=EOMONTH($BJ$3,0),CR$6*CR$7,0),0),IF(AND(CN$6&lt;&gt;"",CN$8&lt;&gt;""),IF(EOMONTH($CL$3+INT((DAY(EOMONTH($CL$3,0))-1)/2)+CN$8,0)=EOMONTH($BJ$3,0),CN$6*CN$7,0),0),IF(AND(CJ$6&lt;&gt;"",CJ$8&lt;&gt;""),IF(EOMONTH($CH$3+INT((DAY(EOMONTH($CH$3,0))-1)/2)+CJ$8,0)=EOMONTH($BJ$3,0),CJ$6*CJ$7,0),0),IF(AND(CF$6&lt;&gt;"",CF$8&lt;&gt;""),IF(EOMONTH($CD$3+INT((DAY(EOMONTH($CD$3,0))-1)/2)+CF$8,0)=EOMONTH($BJ$3,0),CF$6*CF$7,0),0),IF(AND(CB$6&lt;&gt;"",CB$8&lt;&gt;""),IF(EOMONTH($BZ$3+INT((DAY(EOMONTH($BZ$3,0))-1)/2)+CB$8,0)=EOMONTH($BJ$3,0),CB$6*CB$7,0),0),IF(AND(BX$6&lt;&gt;"",BX$8&lt;&gt;""),IF(EOMONTH($BV$3+INT((DAY(EOMONTH($BV$3,0))-1)/2)+BX$8,0)=EOMONTH($BJ$3,0),BX$6*BX$7,0),0),IF(AND(BT$6&lt;&gt;"",BT$8&lt;&gt;""),IF(EOMONTH($BR$3+INT((DAY(EOMONTH($BR$3,0))-1)/2)+BT$8,0)=EOMONTH($BJ$3,0),BT$6*BT$7,0),0),IF(AND(BP$6&lt;&gt;"",BP$8&lt;&gt;""),IF(EOMONTH($BN$3+INT((DAY(EOMONTH($BN$3,0))-1)/2)+BP$8,0)=EOMONTH($BJ$3,0),BP$6*BP$7,0),0),IF(AND(BL$6&lt;&gt;"",BL$8&lt;&gt;""),IF(EOMONTH($BJ$3+INT((DAY(EOMONTH($BJ$3,0))-1)/2)+BL$8,0)=EOMONTH($BJ$3,0),BL$6*BL$7,0),0),IF(AND(BH$6&lt;&gt;"",BH$8&lt;&gt;""),IF(EOMONTH($BF$3+INT((DAY(EOMONTH($BF$3,0))-1)/2)+BH$8,0)=EOMONTH($BJ$3,0),BH$6*BH$7,0),0),IF(AND(BD$6&lt;&gt;"",BD$8&lt;&gt;""),IF(EOMONTH($BB$3+INT((DAY(EOMONTH($BB$3,0))-1)/2)+BD$8,0)=EOMONTH($BJ$3,0),BD$6*BD$7,0),0),IF(AND(AZ$6&lt;&gt;"",AZ$8&lt;&gt;""),IF(EOMONTH($AX$3+INT((DAY(EOMONTH($AX$3,0))-1)/2)+AZ$8,0)=EOMONTH($BJ$3,0),AZ$6*AZ$7,0),0),IF(AND(AV$6&lt;&gt;"",AV$8&lt;&gt;""),IF(EOMONTH($AT$3+INT((DAY(EOMONTH($AT$3,0))-1)/2)+AV$8,0)=EOMONTH($BJ$3,0),AV$6*AV$7,0),0),IF(AND(AR$6&lt;&gt;"",AR$8&lt;&gt;""),IF(EOMONTH($AP$3+INT((DAY(EOMONTH($AP$3,0))-1)/2)+AR$8,0)=EOMONTH($BJ$3,0),AR$6*AR$7,0),0),IF(AND(AN$6&lt;&gt;"",AN$8&lt;&gt;""),IF(EOMONTH($AL$3+INT((DAY(EOMONTH($AL$3,0))-1)/2)+AN$8,0)=EOMONTH($BJ$3,0),AN$6*AN$7,0),0),IF(AND(AJ$6&lt;&gt;"",AJ$8&lt;&gt;""),IF(EOMONTH($AH$3+INT((DAY(EOMONTH($AH$3,0))-1)/2)+AJ$8,0)=EOMONTH($BJ$3,0),AJ$6*AJ$7,0),0),IF(AND(AF$6&lt;&gt;"",AF$8&lt;&gt;""),IF(EOMONTH($AD$3+INT((DAY(EOMONTH($AD$3,0))-1)/2)+AF$8,0)=EOMONTH($BJ$3,0),AF$6*AF$7,0),0),IF(AND(AB$6&lt;&gt;"",AB$8&lt;&gt;""),IF(EOMONTH($Z$3+INT((DAY(EOMONTH($Z$3,0))-1)/2)+AB$8,0)=EOMONTH($BJ$3,0),AB$6*AB$7,0),0),IF(AND(X$6&lt;&gt;"",X$8&lt;&gt;""),IF(EOMONTH($V$3+INT((DAY(EOMONTH($V$3,0))-1)/2)+X$8,0)=EOMONTH($BJ$3,0),X$6*X$7,0),0),IF(AND(T$6&lt;&gt;"",T$8&lt;&gt;""),IF(EOMONTH($R$3+INT((DAY(EOMONTH($R$3,0))-1)/2)+T$8,0)=EOMONTH($BJ$3,0),T$6*T$7,0),0),IF(AND(P$6&lt;&gt;"",P$8&lt;&gt;""),IF(EOMONTH($N$3+INT((DAY(EOMONTH($N$3,0))-1)/2)+P$8,0)=EOMONTH($BJ$3,0),P$6*P$7,0),0),IF(AND(L$6&lt;&gt;"",L$8&lt;&gt;""),IF(EOMONTH($J$3+INT((DAY(EOMONTH($J$3,0))-1)/2)+L$8,0)=EOMONTH($BJ$3,0),L$6*L$7,0),0),IF(AND(H$6&lt;&gt;"",H$8&lt;&gt;""),IF(EOMONTH($F$3+INT((DAY(EOMONTH($F$3,0))-1)/2)+H$8,0)=EOMONTH($BJ$3,0),H$6*H$7,0),0)),0)</f>
        <v>0</v>
      </c>
      <c r="BM9" s="16">
        <f t="shared" si="33"/>
        <v>0</v>
      </c>
      <c r="BN9" s="17"/>
      <c r="BO9" s="14">
        <f>IF(BN$98=1,BN9,ROUND(SUM(IF(AND(EQ$6&lt;&gt;"",EQ$8&lt;&gt;""),IF(EOMONTH($EP$3+INT((DAY(EOMONTH($EP$3,0))-1)/2)+EQ$8,0)=EOMONTH($BN$3,0),EQ$6*EQ$7,0),0),IF(AND(EM$6&lt;&gt;"",EM$8&lt;&gt;""),IF(EOMONTH($EL$3+INT((DAY(EOMONTH($EL$3,0))-1)/2)+EM$8,0)=EOMONTH($BN$3,0),EM$6*EM$7,0),0),IF(AND(EI$6&lt;&gt;"",EI$8&lt;&gt;""),IF(EOMONTH($EH$3+INT((DAY(EOMONTH($EH$3,0))-1)/2)+EI$8,0)=EOMONTH($BN$3,0),EI$6*EI$7,0),0),IF(AND(EE$6&lt;&gt;"",EE$8&lt;&gt;""),IF(EOMONTH($ED$3+INT((DAY(EOMONTH($ED$3,0))-1)/2)+EE$8,0)=EOMONTH($BN$3,0),EE$6*EE$7,0),0),IF(AND(EA$6&lt;&gt;"",EA$8&lt;&gt;""),IF(EOMONTH($DZ$3+INT((DAY(EOMONTH($DZ$3,0))-1)/2)+EA$8,0)=EOMONTH($BN$3,0),EA$6*EA$7,0),0),IF(AND(DW$6&lt;&gt;"",DW$8&lt;&gt;""),IF(EOMONTH($DV$3+INT((DAY(EOMONTH($DV$3,0))-1)/2)+DW$8,0)=EOMONTH($BN$3,0),DW$6*DW$7,0),0),IF(AND(DS$6&lt;&gt;"",DS$8&lt;&gt;""),IF(EOMONTH($DR$3+INT((DAY(EOMONTH($DR$3,0))-1)/2)+DS$8,0)=EOMONTH($BN$3,0),DS$6*DS$7,0),0),IF(AND(DO$6&lt;&gt;"",DO$8&lt;&gt;""),IF(EOMONTH($DN$3+INT((DAY(EOMONTH($DN$3,0))-1)/2)+DO$8,0)=EOMONTH($BN$3,0),DO$6*DO$7,0),0),IF(AND(DK$6&lt;&gt;"",DK$8&lt;&gt;""),IF(EOMONTH($DJ$3+INT((DAY(EOMONTH($DJ$3,0))-1)/2)+DK$8,0)=EOMONTH($BN$3,0),DK$6*DK$7,0),0),IF(AND(DG$6&lt;&gt;"",DG$8&lt;&gt;""),IF(EOMONTH($DF$3+INT((DAY(EOMONTH($DF$3,0))-1)/2)+DG$8,0)=EOMONTH($BN$3,0),DG$6*DG$7,0),0),IF(AND(DC$6&lt;&gt;"",DC$8&lt;&gt;""),IF(EOMONTH($DB$3+INT((DAY(EOMONTH($DB$3,0))-1)/2)+DC$8,0)=EOMONTH($BN$3,0),DC$6*DC$7,0),0),IF(AND(CY$6&lt;&gt;"",CY$8&lt;&gt;""),IF(EOMONTH($CX$3+INT((DAY(EOMONTH($CX$3,0))-1)/2)+CY$8,0)=EOMONTH($BN$3,0),CY$6*CY$7,0),0),IF(AND(CU$6&lt;&gt;"",CU$8&lt;&gt;""),IF(EOMONTH($CT$3+INT((DAY(EOMONTH($CT$3,0))-1)/2)+CU$8,0)=EOMONTH($BN$3,0),CU$6*CU$7,0),0),IF(AND(CQ$6&lt;&gt;"",CQ$8&lt;&gt;""),IF(EOMONTH($CP$3+INT((DAY(EOMONTH($CP$3,0))-1)/2)+CQ$8,0)=EOMONTH($BN$3,0),CQ$6*CQ$7,0),0),IF(AND(CM$6&lt;&gt;"",CM$8&lt;&gt;""),IF(EOMONTH($CL$3+INT((DAY(EOMONTH($CL$3,0))-1)/2)+CM$8,0)=EOMONTH($BN$3,0),CM$6*CM$7,0),0),IF(AND(CI$6&lt;&gt;"",CI$8&lt;&gt;""),IF(EOMONTH($CH$3+INT((DAY(EOMONTH($CH$3,0))-1)/2)+CI$8,0)=EOMONTH($BN$3,0),CI$6*CI$7,0),0),IF(AND(CE$6&lt;&gt;"",CE$8&lt;&gt;""),IF(EOMONTH($CD$3+INT((DAY(EOMONTH($CD$3,0))-1)/2)+CE$8,0)=EOMONTH($BN$3,0),CE$6*CE$7,0),0),IF(AND(CA$6&lt;&gt;"",CA$8&lt;&gt;""),IF(EOMONTH($BZ$3+INT((DAY(EOMONTH($BZ$3,0))-1)/2)+CA$8,0)=EOMONTH($BN$3,0),CA$6*CA$7,0),0),IF(AND(BW$6&lt;&gt;"",BW$8&lt;&gt;""),IF(EOMONTH($BV$3+INT((DAY(EOMONTH($BV$3,0))-1)/2)+BW$8,0)=EOMONTH($BN$3,0),BW$6*BW$7,0),0),IF(AND(BS$6&lt;&gt;"",BS$8&lt;&gt;""),IF(EOMONTH($BR$3+INT((DAY(EOMONTH($BR$3,0))-1)/2)+BS$8,0)=EOMONTH($BN$3,0),BS$6*BS$7,0),0),IF(AND(BO$6&lt;&gt;"",BO$8&lt;&gt;""),IF(EOMONTH($BN$3+INT((DAY(EOMONTH($BN$3,0))-1)/2)+BO$8,0)=EOMONTH($BN$3,0),BO$6*BO$7,0),0),IF(AND(BK$6&lt;&gt;"",BK$8&lt;&gt;""),IF(EOMONTH($BJ$3+INT((DAY(EOMONTH($BJ$3,0))-1)/2)+BK$8,0)=EOMONTH($BN$3,0),BK$6*BK$7,0),0),IF(AND(BG$6&lt;&gt;"",BG$8&lt;&gt;""),IF(EOMONTH($BF$3+INT((DAY(EOMONTH($BF$3,0))-1)/2)+BG$8,0)=EOMONTH($BN$3,0),BG$6*BG$7,0),0),IF(AND(BC$6&lt;&gt;"",BC$8&lt;&gt;""),IF(EOMONTH($BB$3+INT((DAY(EOMONTH($BB$3,0))-1)/2)+BC$8,0)=EOMONTH($BN$3,0),BC$6*BC$7,0),0),IF(AND(AY$6&lt;&gt;"",AY$8&lt;&gt;""),IF(EOMONTH($AX$3+INT((DAY(EOMONTH($AX$3,0))-1)/2)+AY$8,0)=EOMONTH($BN$3,0),AY$6*AY$7,0),0),IF(AND(AU$6&lt;&gt;"",AU$8&lt;&gt;""),IF(EOMONTH($AT$3+INT((DAY(EOMONTH($AT$3,0))-1)/2)+AU$8,0)=EOMONTH($BN$3,0),AU$6*AU$7,0),0),IF(AND(AQ$6&lt;&gt;"",AQ$8&lt;&gt;""),IF(EOMONTH($AP$3+INT((DAY(EOMONTH($AP$3,0))-1)/2)+AQ$8,0)=EOMONTH($BN$3,0),AQ$6*AQ$7,0),0),IF(AND(AM$6&lt;&gt;"",AM$8&lt;&gt;""),IF(EOMONTH($AL$3+INT((DAY(EOMONTH($AL$3,0))-1)/2)+AM$8,0)=EOMONTH($BN$3,0),AM$6*AM$7,0),0),IF(AND(AI$6&lt;&gt;"",AI$8&lt;&gt;""),IF(EOMONTH($AH$3+INT((DAY(EOMONTH($AH$3,0))-1)/2)+AI$8,0)=EOMONTH($BN$3,0),AI$6*AI$7,0),0),IF(AND(AE$6&lt;&gt;"",AE$8&lt;&gt;""),IF(EOMONTH($AD$3+INT((DAY(EOMONTH($AD$3,0))-1)/2)+AE$8,0)=EOMONTH($BN$3,0),AE$6*AE$7,0),0),IF(AND(AA$6&lt;&gt;"",AA$8&lt;&gt;""),IF(EOMONTH($Z$3+INT((DAY(EOMONTH($Z$3,0))-1)/2)+AA$8,0)=EOMONTH($BN$3,0),AA$6*AA$7,0),0),IF(AND(W$6&lt;&gt;"",W$8&lt;&gt;""),IF(EOMONTH($V$3+INT((DAY(EOMONTH($V$3,0))-1)/2)+W$8,0)=EOMONTH($BN$3,0),W$6*W$7,0),0),IF(AND(S$6&lt;&gt;"",S$8&lt;&gt;""),IF(EOMONTH($R$3+INT((DAY(EOMONTH($R$3,0))-1)/2)+S$8,0)=EOMONTH($BN$3,0),S$6*S$7,0),0),IF(AND(O$6&lt;&gt;"",O$8&lt;&gt;""),IF(EOMONTH($N$3+INT((DAY(EOMONTH($N$3,0))-1)/2)+O$8,0)=EOMONTH($BN$3,0),O$6*O$7,0),0),IF(AND(K$6&lt;&gt;"",K$8&lt;&gt;""),IF(EOMONTH($J$3+INT((DAY(EOMONTH($J$3,0))-1)/2)+K$8,0)=EOMONTH($BN$3,0),K$6*K$7,0),0),IF(AND(G$6&lt;&gt;"",G$8&lt;&gt;""),IF(EOMONTH($F$3+INT((DAY(EOMONTH($F$3,0))-1)/2)+G$8,0)=EOMONTH($BN$3,0),G$6*G$7,0),0)),0))</f>
        <v>0</v>
      </c>
      <c r="BP9" s="15">
        <f>ROUND(SUM(IF(AND(ER$6&lt;&gt;"",ER$8&lt;&gt;""),IF(EOMONTH($EP$3+INT((DAY(EOMONTH($EP$3,0))-1)/2)+ER$8,0)=EOMONTH($BN$3,0),ER$6*ER$7,0),0),IF(AND(EN$6&lt;&gt;"",EN$8&lt;&gt;""),IF(EOMONTH($EL$3+INT((DAY(EOMONTH($EL$3,0))-1)/2)+EN$8,0)=EOMONTH($BN$3,0),EN$6*EN$7,0),0),IF(AND(EJ$6&lt;&gt;"",EJ$8&lt;&gt;""),IF(EOMONTH($EH$3+INT((DAY(EOMONTH($EH$3,0))-1)/2)+EJ$8,0)=EOMONTH($BN$3,0),EJ$6*EJ$7,0),0),IF(AND(EF$6&lt;&gt;"",EF$8&lt;&gt;""),IF(EOMONTH($ED$3+INT((DAY(EOMONTH($ED$3,0))-1)/2)+EF$8,0)=EOMONTH($BN$3,0),EF$6*EF$7,0),0),IF(AND(EB$6&lt;&gt;"",EB$8&lt;&gt;""),IF(EOMONTH($DZ$3+INT((DAY(EOMONTH($DZ$3,0))-1)/2)+EB$8,0)=EOMONTH($BN$3,0),EB$6*EB$7,0),0),IF(AND(DX$6&lt;&gt;"",DX$8&lt;&gt;""),IF(EOMONTH($DV$3+INT((DAY(EOMONTH($DV$3,0))-1)/2)+DX$8,0)=EOMONTH($BN$3,0),DX$6*DX$7,0),0),IF(AND(DT$6&lt;&gt;"",DT$8&lt;&gt;""),IF(EOMONTH($DR$3+INT((DAY(EOMONTH($DR$3,0))-1)/2)+DT$8,0)=EOMONTH($BN$3,0),DT$6*DT$7,0),0),IF(AND(DP$6&lt;&gt;"",DP$8&lt;&gt;""),IF(EOMONTH($DN$3+INT((DAY(EOMONTH($DN$3,0))-1)/2)+DP$8,0)=EOMONTH($BN$3,0),DP$6*DP$7,0),0),IF(AND(DL$6&lt;&gt;"",DL$8&lt;&gt;""),IF(EOMONTH($DJ$3+INT((DAY(EOMONTH($DJ$3,0))-1)/2)+DL$8,0)=EOMONTH($BN$3,0),DL$6*DL$7,0),0),IF(AND(DH$6&lt;&gt;"",DH$8&lt;&gt;""),IF(EOMONTH($DF$3+INT((DAY(EOMONTH($DF$3,0))-1)/2)+DH$8,0)=EOMONTH($BN$3,0),DH$6*DH$7,0),0),IF(AND(DD$6&lt;&gt;"",DD$8&lt;&gt;""),IF(EOMONTH($DB$3+INT((DAY(EOMONTH($DB$3,0))-1)/2)+DD$8,0)=EOMONTH($BN$3,0),DD$6*DD$7,0),0),IF(AND(CZ$6&lt;&gt;"",CZ$8&lt;&gt;""),IF(EOMONTH($CX$3+INT((DAY(EOMONTH($CX$3,0))-1)/2)+CZ$8,0)=EOMONTH($BN$3,0),CZ$6*CZ$7,0),0),IF(AND(CV$6&lt;&gt;"",CV$8&lt;&gt;""),IF(EOMONTH($CT$3+INT((DAY(EOMONTH($CT$3,0))-1)/2)+CV$8,0)=EOMONTH($BN$3,0),CV$6*CV$7,0),0),IF(AND(CR$6&lt;&gt;"",CR$8&lt;&gt;""),IF(EOMONTH($CP$3+INT((DAY(EOMONTH($CP$3,0))-1)/2)+CR$8,0)=EOMONTH($BN$3,0),CR$6*CR$7,0),0),IF(AND(CN$6&lt;&gt;"",CN$8&lt;&gt;""),IF(EOMONTH($CL$3+INT((DAY(EOMONTH($CL$3,0))-1)/2)+CN$8,0)=EOMONTH($BN$3,0),CN$6*CN$7,0),0),IF(AND(CJ$6&lt;&gt;"",CJ$8&lt;&gt;""),IF(EOMONTH($CH$3+INT((DAY(EOMONTH($CH$3,0))-1)/2)+CJ$8,0)=EOMONTH($BN$3,0),CJ$6*CJ$7,0),0),IF(AND(CF$6&lt;&gt;"",CF$8&lt;&gt;""),IF(EOMONTH($CD$3+INT((DAY(EOMONTH($CD$3,0))-1)/2)+CF$8,0)=EOMONTH($BN$3,0),CF$6*CF$7,0),0),IF(AND(CB$6&lt;&gt;"",CB$8&lt;&gt;""),IF(EOMONTH($BZ$3+INT((DAY(EOMONTH($BZ$3,0))-1)/2)+CB$8,0)=EOMONTH($BN$3,0),CB$6*CB$7,0),0),IF(AND(BX$6&lt;&gt;"",BX$8&lt;&gt;""),IF(EOMONTH($BV$3+INT((DAY(EOMONTH($BV$3,0))-1)/2)+BX$8,0)=EOMONTH($BN$3,0),BX$6*BX$7,0),0),IF(AND(BT$6&lt;&gt;"",BT$8&lt;&gt;""),IF(EOMONTH($BR$3+INT((DAY(EOMONTH($BR$3,0))-1)/2)+BT$8,0)=EOMONTH($BN$3,0),BT$6*BT$7,0),0),IF(AND(BP$6&lt;&gt;"",BP$8&lt;&gt;""),IF(EOMONTH($BN$3+INT((DAY(EOMONTH($BN$3,0))-1)/2)+BP$8,0)=EOMONTH($BN$3,0),BP$6*BP$7,0),0),IF(AND(BL$6&lt;&gt;"",BL$8&lt;&gt;""),IF(EOMONTH($BJ$3+INT((DAY(EOMONTH($BJ$3,0))-1)/2)+BL$8,0)=EOMONTH($BN$3,0),BL$6*BL$7,0),0),IF(AND(BH$6&lt;&gt;"",BH$8&lt;&gt;""),IF(EOMONTH($BF$3+INT((DAY(EOMONTH($BF$3,0))-1)/2)+BH$8,0)=EOMONTH($BN$3,0),BH$6*BH$7,0),0),IF(AND(BD$6&lt;&gt;"",BD$8&lt;&gt;""),IF(EOMONTH($BB$3+INT((DAY(EOMONTH($BB$3,0))-1)/2)+BD$8,0)=EOMONTH($BN$3,0),BD$6*BD$7,0),0),IF(AND(AZ$6&lt;&gt;"",AZ$8&lt;&gt;""),IF(EOMONTH($AX$3+INT((DAY(EOMONTH($AX$3,0))-1)/2)+AZ$8,0)=EOMONTH($BN$3,0),AZ$6*AZ$7,0),0),IF(AND(AV$6&lt;&gt;"",AV$8&lt;&gt;""),IF(EOMONTH($AT$3+INT((DAY(EOMONTH($AT$3,0))-1)/2)+AV$8,0)=EOMONTH($BN$3,0),AV$6*AV$7,0),0),IF(AND(AR$6&lt;&gt;"",AR$8&lt;&gt;""),IF(EOMONTH($AP$3+INT((DAY(EOMONTH($AP$3,0))-1)/2)+AR$8,0)=EOMONTH($BN$3,0),AR$6*AR$7,0),0),IF(AND(AN$6&lt;&gt;"",AN$8&lt;&gt;""),IF(EOMONTH($AL$3+INT((DAY(EOMONTH($AL$3,0))-1)/2)+AN$8,0)=EOMONTH($BN$3,0),AN$6*AN$7,0),0),IF(AND(AJ$6&lt;&gt;"",AJ$8&lt;&gt;""),IF(EOMONTH($AH$3+INT((DAY(EOMONTH($AH$3,0))-1)/2)+AJ$8,0)=EOMONTH($BN$3,0),AJ$6*AJ$7,0),0),IF(AND(AF$6&lt;&gt;"",AF$8&lt;&gt;""),IF(EOMONTH($AD$3+INT((DAY(EOMONTH($AD$3,0))-1)/2)+AF$8,0)=EOMONTH($BN$3,0),AF$6*AF$7,0),0),IF(AND(AB$6&lt;&gt;"",AB$8&lt;&gt;""),IF(EOMONTH($Z$3+INT((DAY(EOMONTH($Z$3,0))-1)/2)+AB$8,0)=EOMONTH($BN$3,0),AB$6*AB$7,0),0),IF(AND(X$6&lt;&gt;"",X$8&lt;&gt;""),IF(EOMONTH($V$3+INT((DAY(EOMONTH($V$3,0))-1)/2)+X$8,0)=EOMONTH($BN$3,0),X$6*X$7,0),0),IF(AND(T$6&lt;&gt;"",T$8&lt;&gt;""),IF(EOMONTH($R$3+INT((DAY(EOMONTH($R$3,0))-1)/2)+T$8,0)=EOMONTH($BN$3,0),T$6*T$7,0),0),IF(AND(P$6&lt;&gt;"",P$8&lt;&gt;""),IF(EOMONTH($N$3+INT((DAY(EOMONTH($N$3,0))-1)/2)+P$8,0)=EOMONTH($BN$3,0),P$6*P$7,0),0),IF(AND(L$6&lt;&gt;"",L$8&lt;&gt;""),IF(EOMONTH($J$3+INT((DAY(EOMONTH($J$3,0))-1)/2)+L$8,0)=EOMONTH($BN$3,0),L$6*L$7,0),0),IF(AND(H$6&lt;&gt;"",H$8&lt;&gt;""),IF(EOMONTH($F$3+INT((DAY(EOMONTH($F$3,0))-1)/2)+H$8,0)=EOMONTH($BN$3,0),H$6*H$7,0),0)),0)</f>
        <v>0</v>
      </c>
      <c r="BQ9" s="16">
        <f t="shared" si="35"/>
        <v>0</v>
      </c>
      <c r="BR9" s="17"/>
      <c r="BS9" s="14">
        <f>IF(BR$98=1,BR9,ROUND(SUM(IF(AND(EQ$6&lt;&gt;"",EQ$8&lt;&gt;""),IF(EOMONTH($EP$3+INT((DAY(EOMONTH($EP$3,0))-1)/2)+EQ$8,0)=EOMONTH($BR$3,0),EQ$6*EQ$7,0),0),IF(AND(EM$6&lt;&gt;"",EM$8&lt;&gt;""),IF(EOMONTH($EL$3+INT((DAY(EOMONTH($EL$3,0))-1)/2)+EM$8,0)=EOMONTH($BR$3,0),EM$6*EM$7,0),0),IF(AND(EI$6&lt;&gt;"",EI$8&lt;&gt;""),IF(EOMONTH($EH$3+INT((DAY(EOMONTH($EH$3,0))-1)/2)+EI$8,0)=EOMONTH($BR$3,0),EI$6*EI$7,0),0),IF(AND(EE$6&lt;&gt;"",EE$8&lt;&gt;""),IF(EOMONTH($ED$3+INT((DAY(EOMONTH($ED$3,0))-1)/2)+EE$8,0)=EOMONTH($BR$3,0),EE$6*EE$7,0),0),IF(AND(EA$6&lt;&gt;"",EA$8&lt;&gt;""),IF(EOMONTH($DZ$3+INT((DAY(EOMONTH($DZ$3,0))-1)/2)+EA$8,0)=EOMONTH($BR$3,0),EA$6*EA$7,0),0),IF(AND(DW$6&lt;&gt;"",DW$8&lt;&gt;""),IF(EOMONTH($DV$3+INT((DAY(EOMONTH($DV$3,0))-1)/2)+DW$8,0)=EOMONTH($BR$3,0),DW$6*DW$7,0),0),IF(AND(DS$6&lt;&gt;"",DS$8&lt;&gt;""),IF(EOMONTH($DR$3+INT((DAY(EOMONTH($DR$3,0))-1)/2)+DS$8,0)=EOMONTH($BR$3,0),DS$6*DS$7,0),0),IF(AND(DO$6&lt;&gt;"",DO$8&lt;&gt;""),IF(EOMONTH($DN$3+INT((DAY(EOMONTH($DN$3,0))-1)/2)+DO$8,0)=EOMONTH($BR$3,0),DO$6*DO$7,0),0),IF(AND(DK$6&lt;&gt;"",DK$8&lt;&gt;""),IF(EOMONTH($DJ$3+INT((DAY(EOMONTH($DJ$3,0))-1)/2)+DK$8,0)=EOMONTH($BR$3,0),DK$6*DK$7,0),0),IF(AND(DG$6&lt;&gt;"",DG$8&lt;&gt;""),IF(EOMONTH($DF$3+INT((DAY(EOMONTH($DF$3,0))-1)/2)+DG$8,0)=EOMONTH($BR$3,0),DG$6*DG$7,0),0),IF(AND(DC$6&lt;&gt;"",DC$8&lt;&gt;""),IF(EOMONTH($DB$3+INT((DAY(EOMONTH($DB$3,0))-1)/2)+DC$8,0)=EOMONTH($BR$3,0),DC$6*DC$7,0),0),IF(AND(CY$6&lt;&gt;"",CY$8&lt;&gt;""),IF(EOMONTH($CX$3+INT((DAY(EOMONTH($CX$3,0))-1)/2)+CY$8,0)=EOMONTH($BR$3,0),CY$6*CY$7,0),0),IF(AND(CU$6&lt;&gt;"",CU$8&lt;&gt;""),IF(EOMONTH($CT$3+INT((DAY(EOMONTH($CT$3,0))-1)/2)+CU$8,0)=EOMONTH($BR$3,0),CU$6*CU$7,0),0),IF(AND(CQ$6&lt;&gt;"",CQ$8&lt;&gt;""),IF(EOMONTH($CP$3+INT((DAY(EOMONTH($CP$3,0))-1)/2)+CQ$8,0)=EOMONTH($BR$3,0),CQ$6*CQ$7,0),0),IF(AND(CM$6&lt;&gt;"",CM$8&lt;&gt;""),IF(EOMONTH($CL$3+INT((DAY(EOMONTH($CL$3,0))-1)/2)+CM$8,0)=EOMONTH($BR$3,0),CM$6*CM$7,0),0),IF(AND(CI$6&lt;&gt;"",CI$8&lt;&gt;""),IF(EOMONTH($CH$3+INT((DAY(EOMONTH($CH$3,0))-1)/2)+CI$8,0)=EOMONTH($BR$3,0),CI$6*CI$7,0),0),IF(AND(CE$6&lt;&gt;"",CE$8&lt;&gt;""),IF(EOMONTH($CD$3+INT((DAY(EOMONTH($CD$3,0))-1)/2)+CE$8,0)=EOMONTH($BR$3,0),CE$6*CE$7,0),0),IF(AND(CA$6&lt;&gt;"",CA$8&lt;&gt;""),IF(EOMONTH($BZ$3+INT((DAY(EOMONTH($BZ$3,0))-1)/2)+CA$8,0)=EOMONTH($BR$3,0),CA$6*CA$7,0),0),IF(AND(BW$6&lt;&gt;"",BW$8&lt;&gt;""),IF(EOMONTH($BV$3+INT((DAY(EOMONTH($BV$3,0))-1)/2)+BW$8,0)=EOMONTH($BR$3,0),BW$6*BW$7,0),0),IF(AND(BS$6&lt;&gt;"",BS$8&lt;&gt;""),IF(EOMONTH($BR$3+INT((DAY(EOMONTH($BR$3,0))-1)/2)+BS$8,0)=EOMONTH($BR$3,0),BS$6*BS$7,0),0),IF(AND(BO$6&lt;&gt;"",BO$8&lt;&gt;""),IF(EOMONTH($BN$3+INT((DAY(EOMONTH($BN$3,0))-1)/2)+BO$8,0)=EOMONTH($BR$3,0),BO$6*BO$7,0),0),IF(AND(BK$6&lt;&gt;"",BK$8&lt;&gt;""),IF(EOMONTH($BJ$3+INT((DAY(EOMONTH($BJ$3,0))-1)/2)+BK$8,0)=EOMONTH($BR$3,0),BK$6*BK$7,0),0),IF(AND(BG$6&lt;&gt;"",BG$8&lt;&gt;""),IF(EOMONTH($BF$3+INT((DAY(EOMONTH($BF$3,0))-1)/2)+BG$8,0)=EOMONTH($BR$3,0),BG$6*BG$7,0),0),IF(AND(BC$6&lt;&gt;"",BC$8&lt;&gt;""),IF(EOMONTH($BB$3+INT((DAY(EOMONTH($BB$3,0))-1)/2)+BC$8,0)=EOMONTH($BR$3,0),BC$6*BC$7,0),0),IF(AND(AY$6&lt;&gt;"",AY$8&lt;&gt;""),IF(EOMONTH($AX$3+INT((DAY(EOMONTH($AX$3,0))-1)/2)+AY$8,0)=EOMONTH($BR$3,0),AY$6*AY$7,0),0),IF(AND(AU$6&lt;&gt;"",AU$8&lt;&gt;""),IF(EOMONTH($AT$3+INT((DAY(EOMONTH($AT$3,0))-1)/2)+AU$8,0)=EOMONTH($BR$3,0),AU$6*AU$7,0),0),IF(AND(AQ$6&lt;&gt;"",AQ$8&lt;&gt;""),IF(EOMONTH($AP$3+INT((DAY(EOMONTH($AP$3,0))-1)/2)+AQ$8,0)=EOMONTH($BR$3,0),AQ$6*AQ$7,0),0),IF(AND(AM$6&lt;&gt;"",AM$8&lt;&gt;""),IF(EOMONTH($AL$3+INT((DAY(EOMONTH($AL$3,0))-1)/2)+AM$8,0)=EOMONTH($BR$3,0),AM$6*AM$7,0),0),IF(AND(AI$6&lt;&gt;"",AI$8&lt;&gt;""),IF(EOMONTH($AH$3+INT((DAY(EOMONTH($AH$3,0))-1)/2)+AI$8,0)=EOMONTH($BR$3,0),AI$6*AI$7,0),0),IF(AND(AE$6&lt;&gt;"",AE$8&lt;&gt;""),IF(EOMONTH($AD$3+INT((DAY(EOMONTH($AD$3,0))-1)/2)+AE$8,0)=EOMONTH($BR$3,0),AE$6*AE$7,0),0),IF(AND(AA$6&lt;&gt;"",AA$8&lt;&gt;""),IF(EOMONTH($Z$3+INT((DAY(EOMONTH($Z$3,0))-1)/2)+AA$8,0)=EOMONTH($BR$3,0),AA$6*AA$7,0),0),IF(AND(W$6&lt;&gt;"",W$8&lt;&gt;""),IF(EOMONTH($V$3+INT((DAY(EOMONTH($V$3,0))-1)/2)+W$8,0)=EOMONTH($BR$3,0),W$6*W$7,0),0),IF(AND(S$6&lt;&gt;"",S$8&lt;&gt;""),IF(EOMONTH($R$3+INT((DAY(EOMONTH($R$3,0))-1)/2)+S$8,0)=EOMONTH($BR$3,0),S$6*S$7,0),0),IF(AND(O$6&lt;&gt;"",O$8&lt;&gt;""),IF(EOMONTH($N$3+INT((DAY(EOMONTH($N$3,0))-1)/2)+O$8,0)=EOMONTH($BR$3,0),O$6*O$7,0),0),IF(AND(K$6&lt;&gt;"",K$8&lt;&gt;""),IF(EOMONTH($J$3+INT((DAY(EOMONTH($J$3,0))-1)/2)+K$8,0)=EOMONTH($BR$3,0),K$6*K$7,0),0),IF(AND(G$6&lt;&gt;"",G$8&lt;&gt;""),IF(EOMONTH($F$3+INT((DAY(EOMONTH($F$3,0))-1)/2)+G$8,0)=EOMONTH($BR$3,0),G$6*G$7,0),0)),0))</f>
        <v>0</v>
      </c>
      <c r="BT9" s="15">
        <f>ROUND(SUM(IF(AND(ER$6&lt;&gt;"",ER$8&lt;&gt;""),IF(EOMONTH($EP$3+INT((DAY(EOMONTH($EP$3,0))-1)/2)+ER$8,0)=EOMONTH($BR$3,0),ER$6*ER$7,0),0),IF(AND(EN$6&lt;&gt;"",EN$8&lt;&gt;""),IF(EOMONTH($EL$3+INT((DAY(EOMONTH($EL$3,0))-1)/2)+EN$8,0)=EOMONTH($BR$3,0),EN$6*EN$7,0),0),IF(AND(EJ$6&lt;&gt;"",EJ$8&lt;&gt;""),IF(EOMONTH($EH$3+INT((DAY(EOMONTH($EH$3,0))-1)/2)+EJ$8,0)=EOMONTH($BR$3,0),EJ$6*EJ$7,0),0),IF(AND(EF$6&lt;&gt;"",EF$8&lt;&gt;""),IF(EOMONTH($ED$3+INT((DAY(EOMONTH($ED$3,0))-1)/2)+EF$8,0)=EOMONTH($BR$3,0),EF$6*EF$7,0),0),IF(AND(EB$6&lt;&gt;"",EB$8&lt;&gt;""),IF(EOMONTH($DZ$3+INT((DAY(EOMONTH($DZ$3,0))-1)/2)+EB$8,0)=EOMONTH($BR$3,0),EB$6*EB$7,0),0),IF(AND(DX$6&lt;&gt;"",DX$8&lt;&gt;""),IF(EOMONTH($DV$3+INT((DAY(EOMONTH($DV$3,0))-1)/2)+DX$8,0)=EOMONTH($BR$3,0),DX$6*DX$7,0),0),IF(AND(DT$6&lt;&gt;"",DT$8&lt;&gt;""),IF(EOMONTH($DR$3+INT((DAY(EOMONTH($DR$3,0))-1)/2)+DT$8,0)=EOMONTH($BR$3,0),DT$6*DT$7,0),0),IF(AND(DP$6&lt;&gt;"",DP$8&lt;&gt;""),IF(EOMONTH($DN$3+INT((DAY(EOMONTH($DN$3,0))-1)/2)+DP$8,0)=EOMONTH($BR$3,0),DP$6*DP$7,0),0),IF(AND(DL$6&lt;&gt;"",DL$8&lt;&gt;""),IF(EOMONTH($DJ$3+INT((DAY(EOMONTH($DJ$3,0))-1)/2)+DL$8,0)=EOMONTH($BR$3,0),DL$6*DL$7,0),0),IF(AND(DH$6&lt;&gt;"",DH$8&lt;&gt;""),IF(EOMONTH($DF$3+INT((DAY(EOMONTH($DF$3,0))-1)/2)+DH$8,0)=EOMONTH($BR$3,0),DH$6*DH$7,0),0),IF(AND(DD$6&lt;&gt;"",DD$8&lt;&gt;""),IF(EOMONTH($DB$3+INT((DAY(EOMONTH($DB$3,0))-1)/2)+DD$8,0)=EOMONTH($BR$3,0),DD$6*DD$7,0),0),IF(AND(CZ$6&lt;&gt;"",CZ$8&lt;&gt;""),IF(EOMONTH($CX$3+INT((DAY(EOMONTH($CX$3,0))-1)/2)+CZ$8,0)=EOMONTH($BR$3,0),CZ$6*CZ$7,0),0),IF(AND(CV$6&lt;&gt;"",CV$8&lt;&gt;""),IF(EOMONTH($CT$3+INT((DAY(EOMONTH($CT$3,0))-1)/2)+CV$8,0)=EOMONTH($BR$3,0),CV$6*CV$7,0),0),IF(AND(CR$6&lt;&gt;"",CR$8&lt;&gt;""),IF(EOMONTH($CP$3+INT((DAY(EOMONTH($CP$3,0))-1)/2)+CR$8,0)=EOMONTH($BR$3,0),CR$6*CR$7,0),0),IF(AND(CN$6&lt;&gt;"",CN$8&lt;&gt;""),IF(EOMONTH($CL$3+INT((DAY(EOMONTH($CL$3,0))-1)/2)+CN$8,0)=EOMONTH($BR$3,0),CN$6*CN$7,0),0),IF(AND(CJ$6&lt;&gt;"",CJ$8&lt;&gt;""),IF(EOMONTH($CH$3+INT((DAY(EOMONTH($CH$3,0))-1)/2)+CJ$8,0)=EOMONTH($BR$3,0),CJ$6*CJ$7,0),0),IF(AND(CF$6&lt;&gt;"",CF$8&lt;&gt;""),IF(EOMONTH($CD$3+INT((DAY(EOMONTH($CD$3,0))-1)/2)+CF$8,0)=EOMONTH($BR$3,0),CF$6*CF$7,0),0),IF(AND(CB$6&lt;&gt;"",CB$8&lt;&gt;""),IF(EOMONTH($BZ$3+INT((DAY(EOMONTH($BZ$3,0))-1)/2)+CB$8,0)=EOMONTH($BR$3,0),CB$6*CB$7,0),0),IF(AND(BX$6&lt;&gt;"",BX$8&lt;&gt;""),IF(EOMONTH($BV$3+INT((DAY(EOMONTH($BV$3,0))-1)/2)+BX$8,0)=EOMONTH($BR$3,0),BX$6*BX$7,0),0),IF(AND(BT$6&lt;&gt;"",BT$8&lt;&gt;""),IF(EOMONTH($BR$3+INT((DAY(EOMONTH($BR$3,0))-1)/2)+BT$8,0)=EOMONTH($BR$3,0),BT$6*BT$7,0),0),IF(AND(BP$6&lt;&gt;"",BP$8&lt;&gt;""),IF(EOMONTH($BN$3+INT((DAY(EOMONTH($BN$3,0))-1)/2)+BP$8,0)=EOMONTH($BR$3,0),BP$6*BP$7,0),0),IF(AND(BL$6&lt;&gt;"",BL$8&lt;&gt;""),IF(EOMONTH($BJ$3+INT((DAY(EOMONTH($BJ$3,0))-1)/2)+BL$8,0)=EOMONTH($BR$3,0),BL$6*BL$7,0),0),IF(AND(BH$6&lt;&gt;"",BH$8&lt;&gt;""),IF(EOMONTH($BF$3+INT((DAY(EOMONTH($BF$3,0))-1)/2)+BH$8,0)=EOMONTH($BR$3,0),BH$6*BH$7,0),0),IF(AND(BD$6&lt;&gt;"",BD$8&lt;&gt;""),IF(EOMONTH($BB$3+INT((DAY(EOMONTH($BB$3,0))-1)/2)+BD$8,0)=EOMONTH($BR$3,0),BD$6*BD$7,0),0),IF(AND(AZ$6&lt;&gt;"",AZ$8&lt;&gt;""),IF(EOMONTH($AX$3+INT((DAY(EOMONTH($AX$3,0))-1)/2)+AZ$8,0)=EOMONTH($BR$3,0),AZ$6*AZ$7,0),0),IF(AND(AV$6&lt;&gt;"",AV$8&lt;&gt;""),IF(EOMONTH($AT$3+INT((DAY(EOMONTH($AT$3,0))-1)/2)+AV$8,0)=EOMONTH($BR$3,0),AV$6*AV$7,0),0),IF(AND(AR$6&lt;&gt;"",AR$8&lt;&gt;""),IF(EOMONTH($AP$3+INT((DAY(EOMONTH($AP$3,0))-1)/2)+AR$8,0)=EOMONTH($BR$3,0),AR$6*AR$7,0),0),IF(AND(AN$6&lt;&gt;"",AN$8&lt;&gt;""),IF(EOMONTH($AL$3+INT((DAY(EOMONTH($AL$3,0))-1)/2)+AN$8,0)=EOMONTH($BR$3,0),AN$6*AN$7,0),0),IF(AND(AJ$6&lt;&gt;"",AJ$8&lt;&gt;""),IF(EOMONTH($AH$3+INT((DAY(EOMONTH($AH$3,0))-1)/2)+AJ$8,0)=EOMONTH($BR$3,0),AJ$6*AJ$7,0),0),IF(AND(AF$6&lt;&gt;"",AF$8&lt;&gt;""),IF(EOMONTH($AD$3+INT((DAY(EOMONTH($AD$3,0))-1)/2)+AF$8,0)=EOMONTH($BR$3,0),AF$6*AF$7,0),0),IF(AND(AB$6&lt;&gt;"",AB$8&lt;&gt;""),IF(EOMONTH($Z$3+INT((DAY(EOMONTH($Z$3,0))-1)/2)+AB$8,0)=EOMONTH($BR$3,0),AB$6*AB$7,0),0),IF(AND(X$6&lt;&gt;"",X$8&lt;&gt;""),IF(EOMONTH($V$3+INT((DAY(EOMONTH($V$3,0))-1)/2)+X$8,0)=EOMONTH($BR$3,0),X$6*X$7,0),0),IF(AND(T$6&lt;&gt;"",T$8&lt;&gt;""),IF(EOMONTH($R$3+INT((DAY(EOMONTH($R$3,0))-1)/2)+T$8,0)=EOMONTH($BR$3,0),T$6*T$7,0),0),IF(AND(P$6&lt;&gt;"",P$8&lt;&gt;""),IF(EOMONTH($N$3+INT((DAY(EOMONTH($N$3,0))-1)/2)+P$8,0)=EOMONTH($BR$3,0),P$6*P$7,0),0),IF(AND(L$6&lt;&gt;"",L$8&lt;&gt;""),IF(EOMONTH($J$3+INT((DAY(EOMONTH($J$3,0))-1)/2)+L$8,0)=EOMONTH($BR$3,0),L$6*L$7,0),0),IF(AND(H$6&lt;&gt;"",H$8&lt;&gt;""),IF(EOMONTH($F$3+INT((DAY(EOMONTH($F$3,0))-1)/2)+H$8,0)=EOMONTH($BR$3,0),H$6*H$7,0),0)),0)</f>
        <v>0</v>
      </c>
      <c r="BU9" s="16">
        <f t="shared" si="37"/>
        <v>0</v>
      </c>
      <c r="BV9" s="17"/>
      <c r="BW9" s="14">
        <f>IF(BV$98=1,BV9,ROUND(SUM(IF(AND(EQ$6&lt;&gt;"",EQ$8&lt;&gt;""),IF(EOMONTH($EP$3+INT((DAY(EOMONTH($EP$3,0))-1)/2)+EQ$8,0)=EOMONTH($BV$3,0),EQ$6*EQ$7,0),0),IF(AND(EM$6&lt;&gt;"",EM$8&lt;&gt;""),IF(EOMONTH($EL$3+INT((DAY(EOMONTH($EL$3,0))-1)/2)+EM$8,0)=EOMONTH($BV$3,0),EM$6*EM$7,0),0),IF(AND(EI$6&lt;&gt;"",EI$8&lt;&gt;""),IF(EOMONTH($EH$3+INT((DAY(EOMONTH($EH$3,0))-1)/2)+EI$8,0)=EOMONTH($BV$3,0),EI$6*EI$7,0),0),IF(AND(EE$6&lt;&gt;"",EE$8&lt;&gt;""),IF(EOMONTH($ED$3+INT((DAY(EOMONTH($ED$3,0))-1)/2)+EE$8,0)=EOMONTH($BV$3,0),EE$6*EE$7,0),0),IF(AND(EA$6&lt;&gt;"",EA$8&lt;&gt;""),IF(EOMONTH($DZ$3+INT((DAY(EOMONTH($DZ$3,0))-1)/2)+EA$8,0)=EOMONTH($BV$3,0),EA$6*EA$7,0),0),IF(AND(DW$6&lt;&gt;"",DW$8&lt;&gt;""),IF(EOMONTH($DV$3+INT((DAY(EOMONTH($DV$3,0))-1)/2)+DW$8,0)=EOMONTH($BV$3,0),DW$6*DW$7,0),0),IF(AND(DS$6&lt;&gt;"",DS$8&lt;&gt;""),IF(EOMONTH($DR$3+INT((DAY(EOMONTH($DR$3,0))-1)/2)+DS$8,0)=EOMONTH($BV$3,0),DS$6*DS$7,0),0),IF(AND(DO$6&lt;&gt;"",DO$8&lt;&gt;""),IF(EOMONTH($DN$3+INT((DAY(EOMONTH($DN$3,0))-1)/2)+DO$8,0)=EOMONTH($BV$3,0),DO$6*DO$7,0),0),IF(AND(DK$6&lt;&gt;"",DK$8&lt;&gt;""),IF(EOMONTH($DJ$3+INT((DAY(EOMONTH($DJ$3,0))-1)/2)+DK$8,0)=EOMONTH($BV$3,0),DK$6*DK$7,0),0),IF(AND(DG$6&lt;&gt;"",DG$8&lt;&gt;""),IF(EOMONTH($DF$3+INT((DAY(EOMONTH($DF$3,0))-1)/2)+DG$8,0)=EOMONTH($BV$3,0),DG$6*DG$7,0),0),IF(AND(DC$6&lt;&gt;"",DC$8&lt;&gt;""),IF(EOMONTH($DB$3+INT((DAY(EOMONTH($DB$3,0))-1)/2)+DC$8,0)=EOMONTH($BV$3,0),DC$6*DC$7,0),0),IF(AND(CY$6&lt;&gt;"",CY$8&lt;&gt;""),IF(EOMONTH($CX$3+INT((DAY(EOMONTH($CX$3,0))-1)/2)+CY$8,0)=EOMONTH($BV$3,0),CY$6*CY$7,0),0),IF(AND(CU$6&lt;&gt;"",CU$8&lt;&gt;""),IF(EOMONTH($CT$3+INT((DAY(EOMONTH($CT$3,0))-1)/2)+CU$8,0)=EOMONTH($BV$3,0),CU$6*CU$7,0),0),IF(AND(CQ$6&lt;&gt;"",CQ$8&lt;&gt;""),IF(EOMONTH($CP$3+INT((DAY(EOMONTH($CP$3,0))-1)/2)+CQ$8,0)=EOMONTH($BV$3,0),CQ$6*CQ$7,0),0),IF(AND(CM$6&lt;&gt;"",CM$8&lt;&gt;""),IF(EOMONTH($CL$3+INT((DAY(EOMONTH($CL$3,0))-1)/2)+CM$8,0)=EOMONTH($BV$3,0),CM$6*CM$7,0),0),IF(AND(CI$6&lt;&gt;"",CI$8&lt;&gt;""),IF(EOMONTH($CH$3+INT((DAY(EOMONTH($CH$3,0))-1)/2)+CI$8,0)=EOMONTH($BV$3,0),CI$6*CI$7,0),0),IF(AND(CE$6&lt;&gt;"",CE$8&lt;&gt;""),IF(EOMONTH($CD$3+INT((DAY(EOMONTH($CD$3,0))-1)/2)+CE$8,0)=EOMONTH($BV$3,0),CE$6*CE$7,0),0),IF(AND(CA$6&lt;&gt;"",CA$8&lt;&gt;""),IF(EOMONTH($BZ$3+INT((DAY(EOMONTH($BZ$3,0))-1)/2)+CA$8,0)=EOMONTH($BV$3,0),CA$6*CA$7,0),0),IF(AND(BW$6&lt;&gt;"",BW$8&lt;&gt;""),IF(EOMONTH($BV$3+INT((DAY(EOMONTH($BV$3,0))-1)/2)+BW$8,0)=EOMONTH($BV$3,0),BW$6*BW$7,0),0),IF(AND(BS$6&lt;&gt;"",BS$8&lt;&gt;""),IF(EOMONTH($BR$3+INT((DAY(EOMONTH($BR$3,0))-1)/2)+BS$8,0)=EOMONTH($BV$3,0),BS$6*BS$7,0),0),IF(AND(BO$6&lt;&gt;"",BO$8&lt;&gt;""),IF(EOMONTH($BN$3+INT((DAY(EOMONTH($BN$3,0))-1)/2)+BO$8,0)=EOMONTH($BV$3,0),BO$6*BO$7,0),0),IF(AND(BK$6&lt;&gt;"",BK$8&lt;&gt;""),IF(EOMONTH($BJ$3+INT((DAY(EOMONTH($BJ$3,0))-1)/2)+BK$8,0)=EOMONTH($BV$3,0),BK$6*BK$7,0),0),IF(AND(BG$6&lt;&gt;"",BG$8&lt;&gt;""),IF(EOMONTH($BF$3+INT((DAY(EOMONTH($BF$3,0))-1)/2)+BG$8,0)=EOMONTH($BV$3,0),BG$6*BG$7,0),0),IF(AND(BC$6&lt;&gt;"",BC$8&lt;&gt;""),IF(EOMONTH($BB$3+INT((DAY(EOMONTH($BB$3,0))-1)/2)+BC$8,0)=EOMONTH($BV$3,0),BC$6*BC$7,0),0),IF(AND(AY$6&lt;&gt;"",AY$8&lt;&gt;""),IF(EOMONTH($AX$3+INT((DAY(EOMONTH($AX$3,0))-1)/2)+AY$8,0)=EOMONTH($BV$3,0),AY$6*AY$7,0),0),IF(AND(AU$6&lt;&gt;"",AU$8&lt;&gt;""),IF(EOMONTH($AT$3+INT((DAY(EOMONTH($AT$3,0))-1)/2)+AU$8,0)=EOMONTH($BV$3,0),AU$6*AU$7,0),0),IF(AND(AQ$6&lt;&gt;"",AQ$8&lt;&gt;""),IF(EOMONTH($AP$3+INT((DAY(EOMONTH($AP$3,0))-1)/2)+AQ$8,0)=EOMONTH($BV$3,0),AQ$6*AQ$7,0),0),IF(AND(AM$6&lt;&gt;"",AM$8&lt;&gt;""),IF(EOMONTH($AL$3+INT((DAY(EOMONTH($AL$3,0))-1)/2)+AM$8,0)=EOMONTH($BV$3,0),AM$6*AM$7,0),0),IF(AND(AI$6&lt;&gt;"",AI$8&lt;&gt;""),IF(EOMONTH($AH$3+INT((DAY(EOMONTH($AH$3,0))-1)/2)+AI$8,0)=EOMONTH($BV$3,0),AI$6*AI$7,0),0),IF(AND(AE$6&lt;&gt;"",AE$8&lt;&gt;""),IF(EOMONTH($AD$3+INT((DAY(EOMONTH($AD$3,0))-1)/2)+AE$8,0)=EOMONTH($BV$3,0),AE$6*AE$7,0),0),IF(AND(AA$6&lt;&gt;"",AA$8&lt;&gt;""),IF(EOMONTH($Z$3+INT((DAY(EOMONTH($Z$3,0))-1)/2)+AA$8,0)=EOMONTH($BV$3,0),AA$6*AA$7,0),0),IF(AND(W$6&lt;&gt;"",W$8&lt;&gt;""),IF(EOMONTH($V$3+INT((DAY(EOMONTH($V$3,0))-1)/2)+W$8,0)=EOMONTH($BV$3,0),W$6*W$7,0),0),IF(AND(S$6&lt;&gt;"",S$8&lt;&gt;""),IF(EOMONTH($R$3+INT((DAY(EOMONTH($R$3,0))-1)/2)+S$8,0)=EOMONTH($BV$3,0),S$6*S$7,0),0),IF(AND(O$6&lt;&gt;"",O$8&lt;&gt;""),IF(EOMONTH($N$3+INT((DAY(EOMONTH($N$3,0))-1)/2)+O$8,0)=EOMONTH($BV$3,0),O$6*O$7,0),0),IF(AND(K$6&lt;&gt;"",K$8&lt;&gt;""),IF(EOMONTH($J$3+INT((DAY(EOMONTH($J$3,0))-1)/2)+K$8,0)=EOMONTH($BV$3,0),K$6*K$7,0),0),IF(AND(G$6&lt;&gt;"",G$8&lt;&gt;""),IF(EOMONTH($F$3+INT((DAY(EOMONTH($F$3,0))-1)/2)+G$8,0)=EOMONTH($BV$3,0),G$6*G$7,0),0)),0))</f>
        <v>0</v>
      </c>
      <c r="BX9" s="15">
        <f>ROUND(SUM(IF(AND(ER$6&lt;&gt;"",ER$8&lt;&gt;""),IF(EOMONTH($EP$3+INT((DAY(EOMONTH($EP$3,0))-1)/2)+ER$8,0)=EOMONTH($BV$3,0),ER$6*ER$7,0),0),IF(AND(EN$6&lt;&gt;"",EN$8&lt;&gt;""),IF(EOMONTH($EL$3+INT((DAY(EOMONTH($EL$3,0))-1)/2)+EN$8,0)=EOMONTH($BV$3,0),EN$6*EN$7,0),0),IF(AND(EJ$6&lt;&gt;"",EJ$8&lt;&gt;""),IF(EOMONTH($EH$3+INT((DAY(EOMONTH($EH$3,0))-1)/2)+EJ$8,0)=EOMONTH($BV$3,0),EJ$6*EJ$7,0),0),IF(AND(EF$6&lt;&gt;"",EF$8&lt;&gt;""),IF(EOMONTH($ED$3+INT((DAY(EOMONTH($ED$3,0))-1)/2)+EF$8,0)=EOMONTH($BV$3,0),EF$6*EF$7,0),0),IF(AND(EB$6&lt;&gt;"",EB$8&lt;&gt;""),IF(EOMONTH($DZ$3+INT((DAY(EOMONTH($DZ$3,0))-1)/2)+EB$8,0)=EOMONTH($BV$3,0),EB$6*EB$7,0),0),IF(AND(DX$6&lt;&gt;"",DX$8&lt;&gt;""),IF(EOMONTH($DV$3+INT((DAY(EOMONTH($DV$3,0))-1)/2)+DX$8,0)=EOMONTH($BV$3,0),DX$6*DX$7,0),0),IF(AND(DT$6&lt;&gt;"",DT$8&lt;&gt;""),IF(EOMONTH($DR$3+INT((DAY(EOMONTH($DR$3,0))-1)/2)+DT$8,0)=EOMONTH($BV$3,0),DT$6*DT$7,0),0),IF(AND(DP$6&lt;&gt;"",DP$8&lt;&gt;""),IF(EOMONTH($DN$3+INT((DAY(EOMONTH($DN$3,0))-1)/2)+DP$8,0)=EOMONTH($BV$3,0),DP$6*DP$7,0),0),IF(AND(DL$6&lt;&gt;"",DL$8&lt;&gt;""),IF(EOMONTH($DJ$3+INT((DAY(EOMONTH($DJ$3,0))-1)/2)+DL$8,0)=EOMONTH($BV$3,0),DL$6*DL$7,0),0),IF(AND(DH$6&lt;&gt;"",DH$8&lt;&gt;""),IF(EOMONTH($DF$3+INT((DAY(EOMONTH($DF$3,0))-1)/2)+DH$8,0)=EOMONTH($BV$3,0),DH$6*DH$7,0),0),IF(AND(DD$6&lt;&gt;"",DD$8&lt;&gt;""),IF(EOMONTH($DB$3+INT((DAY(EOMONTH($DB$3,0))-1)/2)+DD$8,0)=EOMONTH($BV$3,0),DD$6*DD$7,0),0),IF(AND(CZ$6&lt;&gt;"",CZ$8&lt;&gt;""),IF(EOMONTH($CX$3+INT((DAY(EOMONTH($CX$3,0))-1)/2)+CZ$8,0)=EOMONTH($BV$3,0),CZ$6*CZ$7,0),0),IF(AND(CV$6&lt;&gt;"",CV$8&lt;&gt;""),IF(EOMONTH($CT$3+INT((DAY(EOMONTH($CT$3,0))-1)/2)+CV$8,0)=EOMONTH($BV$3,0),CV$6*CV$7,0),0),IF(AND(CR$6&lt;&gt;"",CR$8&lt;&gt;""),IF(EOMONTH($CP$3+INT((DAY(EOMONTH($CP$3,0))-1)/2)+CR$8,0)=EOMONTH($BV$3,0),CR$6*CR$7,0),0),IF(AND(CN$6&lt;&gt;"",CN$8&lt;&gt;""),IF(EOMONTH($CL$3+INT((DAY(EOMONTH($CL$3,0))-1)/2)+CN$8,0)=EOMONTH($BV$3,0),CN$6*CN$7,0),0),IF(AND(CJ$6&lt;&gt;"",CJ$8&lt;&gt;""),IF(EOMONTH($CH$3+INT((DAY(EOMONTH($CH$3,0))-1)/2)+CJ$8,0)=EOMONTH($BV$3,0),CJ$6*CJ$7,0),0),IF(AND(CF$6&lt;&gt;"",CF$8&lt;&gt;""),IF(EOMONTH($CD$3+INT((DAY(EOMONTH($CD$3,0))-1)/2)+CF$8,0)=EOMONTH($BV$3,0),CF$6*CF$7,0),0),IF(AND(CB$6&lt;&gt;"",CB$8&lt;&gt;""),IF(EOMONTH($BZ$3+INT((DAY(EOMONTH($BZ$3,0))-1)/2)+CB$8,0)=EOMONTH($BV$3,0),CB$6*CB$7,0),0),IF(AND(BX$6&lt;&gt;"",BX$8&lt;&gt;""),IF(EOMONTH($BV$3+INT((DAY(EOMONTH($BV$3,0))-1)/2)+BX$8,0)=EOMONTH($BV$3,0),BX$6*BX$7,0),0),IF(AND(BT$6&lt;&gt;"",BT$8&lt;&gt;""),IF(EOMONTH($BR$3+INT((DAY(EOMONTH($BR$3,0))-1)/2)+BT$8,0)=EOMONTH($BV$3,0),BT$6*BT$7,0),0),IF(AND(BP$6&lt;&gt;"",BP$8&lt;&gt;""),IF(EOMONTH($BN$3+INT((DAY(EOMONTH($BN$3,0))-1)/2)+BP$8,0)=EOMONTH($BV$3,0),BP$6*BP$7,0),0),IF(AND(BL$6&lt;&gt;"",BL$8&lt;&gt;""),IF(EOMONTH($BJ$3+INT((DAY(EOMONTH($BJ$3,0))-1)/2)+BL$8,0)=EOMONTH($BV$3,0),BL$6*BL$7,0),0),IF(AND(BH$6&lt;&gt;"",BH$8&lt;&gt;""),IF(EOMONTH($BF$3+INT((DAY(EOMONTH($BF$3,0))-1)/2)+BH$8,0)=EOMONTH($BV$3,0),BH$6*BH$7,0),0),IF(AND(BD$6&lt;&gt;"",BD$8&lt;&gt;""),IF(EOMONTH($BB$3+INT((DAY(EOMONTH($BB$3,0))-1)/2)+BD$8,0)=EOMONTH($BV$3,0),BD$6*BD$7,0),0),IF(AND(AZ$6&lt;&gt;"",AZ$8&lt;&gt;""),IF(EOMONTH($AX$3+INT((DAY(EOMONTH($AX$3,0))-1)/2)+AZ$8,0)=EOMONTH($BV$3,0),AZ$6*AZ$7,0),0),IF(AND(AV$6&lt;&gt;"",AV$8&lt;&gt;""),IF(EOMONTH($AT$3+INT((DAY(EOMONTH($AT$3,0))-1)/2)+AV$8,0)=EOMONTH($BV$3,0),AV$6*AV$7,0),0),IF(AND(AR$6&lt;&gt;"",AR$8&lt;&gt;""),IF(EOMONTH($AP$3+INT((DAY(EOMONTH($AP$3,0))-1)/2)+AR$8,0)=EOMONTH($BV$3,0),AR$6*AR$7,0),0),IF(AND(AN$6&lt;&gt;"",AN$8&lt;&gt;""),IF(EOMONTH($AL$3+INT((DAY(EOMONTH($AL$3,0))-1)/2)+AN$8,0)=EOMONTH($BV$3,0),AN$6*AN$7,0),0),IF(AND(AJ$6&lt;&gt;"",AJ$8&lt;&gt;""),IF(EOMONTH($AH$3+INT((DAY(EOMONTH($AH$3,0))-1)/2)+AJ$8,0)=EOMONTH($BV$3,0),AJ$6*AJ$7,0),0),IF(AND(AF$6&lt;&gt;"",AF$8&lt;&gt;""),IF(EOMONTH($AD$3+INT((DAY(EOMONTH($AD$3,0))-1)/2)+AF$8,0)=EOMONTH($BV$3,0),AF$6*AF$7,0),0),IF(AND(AB$6&lt;&gt;"",AB$8&lt;&gt;""),IF(EOMONTH($Z$3+INT((DAY(EOMONTH($Z$3,0))-1)/2)+AB$8,0)=EOMONTH($BV$3,0),AB$6*AB$7,0),0),IF(AND(X$6&lt;&gt;"",X$8&lt;&gt;""),IF(EOMONTH($V$3+INT((DAY(EOMONTH($V$3,0))-1)/2)+X$8,0)=EOMONTH($BV$3,0),X$6*X$7,0),0),IF(AND(T$6&lt;&gt;"",T$8&lt;&gt;""),IF(EOMONTH($R$3+INT((DAY(EOMONTH($R$3,0))-1)/2)+T$8,0)=EOMONTH($BV$3,0),T$6*T$7,0),0),IF(AND(P$6&lt;&gt;"",P$8&lt;&gt;""),IF(EOMONTH($N$3+INT((DAY(EOMONTH($N$3,0))-1)/2)+P$8,0)=EOMONTH($BV$3,0),P$6*P$7,0),0),IF(AND(L$6&lt;&gt;"",L$8&lt;&gt;""),IF(EOMONTH($J$3+INT((DAY(EOMONTH($J$3,0))-1)/2)+L$8,0)=EOMONTH($BV$3,0),L$6*L$7,0),0),IF(AND(H$6&lt;&gt;"",H$8&lt;&gt;""),IF(EOMONTH($F$3+INT((DAY(EOMONTH($F$3,0))-1)/2)+H$8,0)=EOMONTH($BV$3,0),H$6*H$7,0),0)),0)</f>
        <v>0</v>
      </c>
      <c r="BY9" s="16">
        <f t="shared" si="39"/>
        <v>0</v>
      </c>
      <c r="BZ9" s="17"/>
      <c r="CA9" s="14">
        <f>IF(BZ$98=1,BZ9,ROUND(SUM(IF(AND(EQ$6&lt;&gt;"",EQ$8&lt;&gt;""),IF(EOMONTH($EP$3+INT((DAY(EOMONTH($EP$3,0))-1)/2)+EQ$8,0)=EOMONTH($BZ$3,0),EQ$6*EQ$7,0),0),IF(AND(EM$6&lt;&gt;"",EM$8&lt;&gt;""),IF(EOMONTH($EL$3+INT((DAY(EOMONTH($EL$3,0))-1)/2)+EM$8,0)=EOMONTH($BZ$3,0),EM$6*EM$7,0),0),IF(AND(EI$6&lt;&gt;"",EI$8&lt;&gt;""),IF(EOMONTH($EH$3+INT((DAY(EOMONTH($EH$3,0))-1)/2)+EI$8,0)=EOMONTH($BZ$3,0),EI$6*EI$7,0),0),IF(AND(EE$6&lt;&gt;"",EE$8&lt;&gt;""),IF(EOMONTH($ED$3+INT((DAY(EOMONTH($ED$3,0))-1)/2)+EE$8,0)=EOMONTH($BZ$3,0),EE$6*EE$7,0),0),IF(AND(EA$6&lt;&gt;"",EA$8&lt;&gt;""),IF(EOMONTH($DZ$3+INT((DAY(EOMONTH($DZ$3,0))-1)/2)+EA$8,0)=EOMONTH($BZ$3,0),EA$6*EA$7,0),0),IF(AND(DW$6&lt;&gt;"",DW$8&lt;&gt;""),IF(EOMONTH($DV$3+INT((DAY(EOMONTH($DV$3,0))-1)/2)+DW$8,0)=EOMONTH($BZ$3,0),DW$6*DW$7,0),0),IF(AND(DS$6&lt;&gt;"",DS$8&lt;&gt;""),IF(EOMONTH($DR$3+INT((DAY(EOMONTH($DR$3,0))-1)/2)+DS$8,0)=EOMONTH($BZ$3,0),DS$6*DS$7,0),0),IF(AND(DO$6&lt;&gt;"",DO$8&lt;&gt;""),IF(EOMONTH($DN$3+INT((DAY(EOMONTH($DN$3,0))-1)/2)+DO$8,0)=EOMONTH($BZ$3,0),DO$6*DO$7,0),0),IF(AND(DK$6&lt;&gt;"",DK$8&lt;&gt;""),IF(EOMONTH($DJ$3+INT((DAY(EOMONTH($DJ$3,0))-1)/2)+DK$8,0)=EOMONTH($BZ$3,0),DK$6*DK$7,0),0),IF(AND(DG$6&lt;&gt;"",DG$8&lt;&gt;""),IF(EOMONTH($DF$3+INT((DAY(EOMONTH($DF$3,0))-1)/2)+DG$8,0)=EOMONTH($BZ$3,0),DG$6*DG$7,0),0),IF(AND(DC$6&lt;&gt;"",DC$8&lt;&gt;""),IF(EOMONTH($DB$3+INT((DAY(EOMONTH($DB$3,0))-1)/2)+DC$8,0)=EOMONTH($BZ$3,0),DC$6*DC$7,0),0),IF(AND(CY$6&lt;&gt;"",CY$8&lt;&gt;""),IF(EOMONTH($CX$3+INT((DAY(EOMONTH($CX$3,0))-1)/2)+CY$8,0)=EOMONTH($BZ$3,0),CY$6*CY$7,0),0),IF(AND(CU$6&lt;&gt;"",CU$8&lt;&gt;""),IF(EOMONTH($CT$3+INT((DAY(EOMONTH($CT$3,0))-1)/2)+CU$8,0)=EOMONTH($BZ$3,0),CU$6*CU$7,0),0),IF(AND(CQ$6&lt;&gt;"",CQ$8&lt;&gt;""),IF(EOMONTH($CP$3+INT((DAY(EOMONTH($CP$3,0))-1)/2)+CQ$8,0)=EOMONTH($BZ$3,0),CQ$6*CQ$7,0),0),IF(AND(CM$6&lt;&gt;"",CM$8&lt;&gt;""),IF(EOMONTH($CL$3+INT((DAY(EOMONTH($CL$3,0))-1)/2)+CM$8,0)=EOMONTH($BZ$3,0),CM$6*CM$7,0),0),IF(AND(CI$6&lt;&gt;"",CI$8&lt;&gt;""),IF(EOMONTH($CH$3+INT((DAY(EOMONTH($CH$3,0))-1)/2)+CI$8,0)=EOMONTH($BZ$3,0),CI$6*CI$7,0),0),IF(AND(CE$6&lt;&gt;"",CE$8&lt;&gt;""),IF(EOMONTH($CD$3+INT((DAY(EOMONTH($CD$3,0))-1)/2)+CE$8,0)=EOMONTH($BZ$3,0),CE$6*CE$7,0),0),IF(AND(CA$6&lt;&gt;"",CA$8&lt;&gt;""),IF(EOMONTH($BZ$3+INT((DAY(EOMONTH($BZ$3,0))-1)/2)+CA$8,0)=EOMONTH($BZ$3,0),CA$6*CA$7,0),0),IF(AND(BW$6&lt;&gt;"",BW$8&lt;&gt;""),IF(EOMONTH($BV$3+INT((DAY(EOMONTH($BV$3,0))-1)/2)+BW$8,0)=EOMONTH($BZ$3,0),BW$6*BW$7,0),0),IF(AND(BS$6&lt;&gt;"",BS$8&lt;&gt;""),IF(EOMONTH($BR$3+INT((DAY(EOMONTH($BR$3,0))-1)/2)+BS$8,0)=EOMONTH($BZ$3,0),BS$6*BS$7,0),0),IF(AND(BO$6&lt;&gt;"",BO$8&lt;&gt;""),IF(EOMONTH($BN$3+INT((DAY(EOMONTH($BN$3,0))-1)/2)+BO$8,0)=EOMONTH($BZ$3,0),BO$6*BO$7,0),0),IF(AND(BK$6&lt;&gt;"",BK$8&lt;&gt;""),IF(EOMONTH($BJ$3+INT((DAY(EOMONTH($BJ$3,0))-1)/2)+BK$8,0)=EOMONTH($BZ$3,0),BK$6*BK$7,0),0),IF(AND(BG$6&lt;&gt;"",BG$8&lt;&gt;""),IF(EOMONTH($BF$3+INT((DAY(EOMONTH($BF$3,0))-1)/2)+BG$8,0)=EOMONTH($BZ$3,0),BG$6*BG$7,0),0),IF(AND(BC$6&lt;&gt;"",BC$8&lt;&gt;""),IF(EOMONTH($BB$3+INT((DAY(EOMONTH($BB$3,0))-1)/2)+BC$8,0)=EOMONTH($BZ$3,0),BC$6*BC$7,0),0),IF(AND(AY$6&lt;&gt;"",AY$8&lt;&gt;""),IF(EOMONTH($AX$3+INT((DAY(EOMONTH($AX$3,0))-1)/2)+AY$8,0)=EOMONTH($BZ$3,0),AY$6*AY$7,0),0),IF(AND(AU$6&lt;&gt;"",AU$8&lt;&gt;""),IF(EOMONTH($AT$3+INT((DAY(EOMONTH($AT$3,0))-1)/2)+AU$8,0)=EOMONTH($BZ$3,0),AU$6*AU$7,0),0),IF(AND(AQ$6&lt;&gt;"",AQ$8&lt;&gt;""),IF(EOMONTH($AP$3+INT((DAY(EOMONTH($AP$3,0))-1)/2)+AQ$8,0)=EOMONTH($BZ$3,0),AQ$6*AQ$7,0),0),IF(AND(AM$6&lt;&gt;"",AM$8&lt;&gt;""),IF(EOMONTH($AL$3+INT((DAY(EOMONTH($AL$3,0))-1)/2)+AM$8,0)=EOMONTH($BZ$3,0),AM$6*AM$7,0),0),IF(AND(AI$6&lt;&gt;"",AI$8&lt;&gt;""),IF(EOMONTH($AH$3+INT((DAY(EOMONTH($AH$3,0))-1)/2)+AI$8,0)=EOMONTH($BZ$3,0),AI$6*AI$7,0),0),IF(AND(AE$6&lt;&gt;"",AE$8&lt;&gt;""),IF(EOMONTH($AD$3+INT((DAY(EOMONTH($AD$3,0))-1)/2)+AE$8,0)=EOMONTH($BZ$3,0),AE$6*AE$7,0),0),IF(AND(AA$6&lt;&gt;"",AA$8&lt;&gt;""),IF(EOMONTH($Z$3+INT((DAY(EOMONTH($Z$3,0))-1)/2)+AA$8,0)=EOMONTH($BZ$3,0),AA$6*AA$7,0),0),IF(AND(W$6&lt;&gt;"",W$8&lt;&gt;""),IF(EOMONTH($V$3+INT((DAY(EOMONTH($V$3,0))-1)/2)+W$8,0)=EOMONTH($BZ$3,0),W$6*W$7,0),0),IF(AND(S$6&lt;&gt;"",S$8&lt;&gt;""),IF(EOMONTH($R$3+INT((DAY(EOMONTH($R$3,0))-1)/2)+S$8,0)=EOMONTH($BZ$3,0),S$6*S$7,0),0),IF(AND(O$6&lt;&gt;"",O$8&lt;&gt;""),IF(EOMONTH($N$3+INT((DAY(EOMONTH($N$3,0))-1)/2)+O$8,0)=EOMONTH($BZ$3,0),O$6*O$7,0),0),IF(AND(K$6&lt;&gt;"",K$8&lt;&gt;""),IF(EOMONTH($J$3+INT((DAY(EOMONTH($J$3,0))-1)/2)+K$8,0)=EOMONTH($BZ$3,0),K$6*K$7,0),0),IF(AND(G$6&lt;&gt;"",G$8&lt;&gt;""),IF(EOMONTH($F$3+INT((DAY(EOMONTH($F$3,0))-1)/2)+G$8,0)=EOMONTH($BZ$3,0),G$6*G$7,0),0)),0))</f>
        <v>0</v>
      </c>
      <c r="CB9" s="15">
        <f>ROUND(SUM(IF(AND(ER$6&lt;&gt;"",ER$8&lt;&gt;""),IF(EOMONTH($EP$3+INT((DAY(EOMONTH($EP$3,0))-1)/2)+ER$8,0)=EOMONTH($BZ$3,0),ER$6*ER$7,0),0),IF(AND(EN$6&lt;&gt;"",EN$8&lt;&gt;""),IF(EOMONTH($EL$3+INT((DAY(EOMONTH($EL$3,0))-1)/2)+EN$8,0)=EOMONTH($BZ$3,0),EN$6*EN$7,0),0),IF(AND(EJ$6&lt;&gt;"",EJ$8&lt;&gt;""),IF(EOMONTH($EH$3+INT((DAY(EOMONTH($EH$3,0))-1)/2)+EJ$8,0)=EOMONTH($BZ$3,0),EJ$6*EJ$7,0),0),IF(AND(EF$6&lt;&gt;"",EF$8&lt;&gt;""),IF(EOMONTH($ED$3+INT((DAY(EOMONTH($ED$3,0))-1)/2)+EF$8,0)=EOMONTH($BZ$3,0),EF$6*EF$7,0),0),IF(AND(EB$6&lt;&gt;"",EB$8&lt;&gt;""),IF(EOMONTH($DZ$3+INT((DAY(EOMONTH($DZ$3,0))-1)/2)+EB$8,0)=EOMONTH($BZ$3,0),EB$6*EB$7,0),0),IF(AND(DX$6&lt;&gt;"",DX$8&lt;&gt;""),IF(EOMONTH($DV$3+INT((DAY(EOMONTH($DV$3,0))-1)/2)+DX$8,0)=EOMONTH($BZ$3,0),DX$6*DX$7,0),0),IF(AND(DT$6&lt;&gt;"",DT$8&lt;&gt;""),IF(EOMONTH($DR$3+INT((DAY(EOMONTH($DR$3,0))-1)/2)+DT$8,0)=EOMONTH($BZ$3,0),DT$6*DT$7,0),0),IF(AND(DP$6&lt;&gt;"",DP$8&lt;&gt;""),IF(EOMONTH($DN$3+INT((DAY(EOMONTH($DN$3,0))-1)/2)+DP$8,0)=EOMONTH($BZ$3,0),DP$6*DP$7,0),0),IF(AND(DL$6&lt;&gt;"",DL$8&lt;&gt;""),IF(EOMONTH($DJ$3+INT((DAY(EOMONTH($DJ$3,0))-1)/2)+DL$8,0)=EOMONTH($BZ$3,0),DL$6*DL$7,0),0),IF(AND(DH$6&lt;&gt;"",DH$8&lt;&gt;""),IF(EOMONTH($DF$3+INT((DAY(EOMONTH($DF$3,0))-1)/2)+DH$8,0)=EOMONTH($BZ$3,0),DH$6*DH$7,0),0),IF(AND(DD$6&lt;&gt;"",DD$8&lt;&gt;""),IF(EOMONTH($DB$3+INT((DAY(EOMONTH($DB$3,0))-1)/2)+DD$8,0)=EOMONTH($BZ$3,0),DD$6*DD$7,0),0),IF(AND(CZ$6&lt;&gt;"",CZ$8&lt;&gt;""),IF(EOMONTH($CX$3+INT((DAY(EOMONTH($CX$3,0))-1)/2)+CZ$8,0)=EOMONTH($BZ$3,0),CZ$6*CZ$7,0),0),IF(AND(CV$6&lt;&gt;"",CV$8&lt;&gt;""),IF(EOMONTH($CT$3+INT((DAY(EOMONTH($CT$3,0))-1)/2)+CV$8,0)=EOMONTH($BZ$3,0),CV$6*CV$7,0),0),IF(AND(CR$6&lt;&gt;"",CR$8&lt;&gt;""),IF(EOMONTH($CP$3+INT((DAY(EOMONTH($CP$3,0))-1)/2)+CR$8,0)=EOMONTH($BZ$3,0),CR$6*CR$7,0),0),IF(AND(CN$6&lt;&gt;"",CN$8&lt;&gt;""),IF(EOMONTH($CL$3+INT((DAY(EOMONTH($CL$3,0))-1)/2)+CN$8,0)=EOMONTH($BZ$3,0),CN$6*CN$7,0),0),IF(AND(CJ$6&lt;&gt;"",CJ$8&lt;&gt;""),IF(EOMONTH($CH$3+INT((DAY(EOMONTH($CH$3,0))-1)/2)+CJ$8,0)=EOMONTH($BZ$3,0),CJ$6*CJ$7,0),0),IF(AND(CF$6&lt;&gt;"",CF$8&lt;&gt;""),IF(EOMONTH($CD$3+INT((DAY(EOMONTH($CD$3,0))-1)/2)+CF$8,0)=EOMONTH($BZ$3,0),CF$6*CF$7,0),0),IF(AND(CB$6&lt;&gt;"",CB$8&lt;&gt;""),IF(EOMONTH($BZ$3+INT((DAY(EOMONTH($BZ$3,0))-1)/2)+CB$8,0)=EOMONTH($BZ$3,0),CB$6*CB$7,0),0),IF(AND(BX$6&lt;&gt;"",BX$8&lt;&gt;""),IF(EOMONTH($BV$3+INT((DAY(EOMONTH($BV$3,0))-1)/2)+BX$8,0)=EOMONTH($BZ$3,0),BX$6*BX$7,0),0),IF(AND(BT$6&lt;&gt;"",BT$8&lt;&gt;""),IF(EOMONTH($BR$3+INT((DAY(EOMONTH($BR$3,0))-1)/2)+BT$8,0)=EOMONTH($BZ$3,0),BT$6*BT$7,0),0),IF(AND(BP$6&lt;&gt;"",BP$8&lt;&gt;""),IF(EOMONTH($BN$3+INT((DAY(EOMONTH($BN$3,0))-1)/2)+BP$8,0)=EOMONTH($BZ$3,0),BP$6*BP$7,0),0),IF(AND(BL$6&lt;&gt;"",BL$8&lt;&gt;""),IF(EOMONTH($BJ$3+INT((DAY(EOMONTH($BJ$3,0))-1)/2)+BL$8,0)=EOMONTH($BZ$3,0),BL$6*BL$7,0),0),IF(AND(BH$6&lt;&gt;"",BH$8&lt;&gt;""),IF(EOMONTH($BF$3+INT((DAY(EOMONTH($BF$3,0))-1)/2)+BH$8,0)=EOMONTH($BZ$3,0),BH$6*BH$7,0),0),IF(AND(BD$6&lt;&gt;"",BD$8&lt;&gt;""),IF(EOMONTH($BB$3+INT((DAY(EOMONTH($BB$3,0))-1)/2)+BD$8,0)=EOMONTH($BZ$3,0),BD$6*BD$7,0),0),IF(AND(AZ$6&lt;&gt;"",AZ$8&lt;&gt;""),IF(EOMONTH($AX$3+INT((DAY(EOMONTH($AX$3,0))-1)/2)+AZ$8,0)=EOMONTH($BZ$3,0),AZ$6*AZ$7,0),0),IF(AND(AV$6&lt;&gt;"",AV$8&lt;&gt;""),IF(EOMONTH($AT$3+INT((DAY(EOMONTH($AT$3,0))-1)/2)+AV$8,0)=EOMONTH($BZ$3,0),AV$6*AV$7,0),0),IF(AND(AR$6&lt;&gt;"",AR$8&lt;&gt;""),IF(EOMONTH($AP$3+INT((DAY(EOMONTH($AP$3,0))-1)/2)+AR$8,0)=EOMONTH($BZ$3,0),AR$6*AR$7,0),0),IF(AND(AN$6&lt;&gt;"",AN$8&lt;&gt;""),IF(EOMONTH($AL$3+INT((DAY(EOMONTH($AL$3,0))-1)/2)+AN$8,0)=EOMONTH($BZ$3,0),AN$6*AN$7,0),0),IF(AND(AJ$6&lt;&gt;"",AJ$8&lt;&gt;""),IF(EOMONTH($AH$3+INT((DAY(EOMONTH($AH$3,0))-1)/2)+AJ$8,0)=EOMONTH($BZ$3,0),AJ$6*AJ$7,0),0),IF(AND(AF$6&lt;&gt;"",AF$8&lt;&gt;""),IF(EOMONTH($AD$3+INT((DAY(EOMONTH($AD$3,0))-1)/2)+AF$8,0)=EOMONTH($BZ$3,0),AF$6*AF$7,0),0),IF(AND(AB$6&lt;&gt;"",AB$8&lt;&gt;""),IF(EOMONTH($Z$3+INT((DAY(EOMONTH($Z$3,0))-1)/2)+AB$8,0)=EOMONTH($BZ$3,0),AB$6*AB$7,0),0),IF(AND(X$6&lt;&gt;"",X$8&lt;&gt;""),IF(EOMONTH($V$3+INT((DAY(EOMONTH($V$3,0))-1)/2)+X$8,0)=EOMONTH($BZ$3,0),X$6*X$7,0),0),IF(AND(T$6&lt;&gt;"",T$8&lt;&gt;""),IF(EOMONTH($R$3+INT((DAY(EOMONTH($R$3,0))-1)/2)+T$8,0)=EOMONTH($BZ$3,0),T$6*T$7,0),0),IF(AND(P$6&lt;&gt;"",P$8&lt;&gt;""),IF(EOMONTH($N$3+INT((DAY(EOMONTH($N$3,0))-1)/2)+P$8,0)=EOMONTH($BZ$3,0),P$6*P$7,0),0),IF(AND(L$6&lt;&gt;"",L$8&lt;&gt;""),IF(EOMONTH($J$3+INT((DAY(EOMONTH($J$3,0))-1)/2)+L$8,0)=EOMONTH($BZ$3,0),L$6*L$7,0),0),IF(AND(H$6&lt;&gt;"",H$8&lt;&gt;""),IF(EOMONTH($F$3+INT((DAY(EOMONTH($F$3,0))-1)/2)+H$8,0)=EOMONTH($BZ$3,0),H$6*H$7,0),0)),0)</f>
        <v>0</v>
      </c>
      <c r="CC9" s="16">
        <f t="shared" si="41"/>
        <v>0</v>
      </c>
      <c r="CD9" s="17"/>
      <c r="CE9" s="14">
        <f>IF(CD$98=1,CD9,ROUND(SUM(IF(AND(EQ$6&lt;&gt;"",EQ$8&lt;&gt;""),IF(EOMONTH($EP$3+INT((DAY(EOMONTH($EP$3,0))-1)/2)+EQ$8,0)=EOMONTH($CD$3,0),EQ$6*EQ$7,0),0),IF(AND(EM$6&lt;&gt;"",EM$8&lt;&gt;""),IF(EOMONTH($EL$3+INT((DAY(EOMONTH($EL$3,0))-1)/2)+EM$8,0)=EOMONTH($CD$3,0),EM$6*EM$7,0),0),IF(AND(EI$6&lt;&gt;"",EI$8&lt;&gt;""),IF(EOMONTH($EH$3+INT((DAY(EOMONTH($EH$3,0))-1)/2)+EI$8,0)=EOMONTH($CD$3,0),EI$6*EI$7,0),0),IF(AND(EE$6&lt;&gt;"",EE$8&lt;&gt;""),IF(EOMONTH($ED$3+INT((DAY(EOMONTH($ED$3,0))-1)/2)+EE$8,0)=EOMONTH($CD$3,0),EE$6*EE$7,0),0),IF(AND(EA$6&lt;&gt;"",EA$8&lt;&gt;""),IF(EOMONTH($DZ$3+INT((DAY(EOMONTH($DZ$3,0))-1)/2)+EA$8,0)=EOMONTH($CD$3,0),EA$6*EA$7,0),0),IF(AND(DW$6&lt;&gt;"",DW$8&lt;&gt;""),IF(EOMONTH($DV$3+INT((DAY(EOMONTH($DV$3,0))-1)/2)+DW$8,0)=EOMONTH($CD$3,0),DW$6*DW$7,0),0),IF(AND(DS$6&lt;&gt;"",DS$8&lt;&gt;""),IF(EOMONTH($DR$3+INT((DAY(EOMONTH($DR$3,0))-1)/2)+DS$8,0)=EOMONTH($CD$3,0),DS$6*DS$7,0),0),IF(AND(DO$6&lt;&gt;"",DO$8&lt;&gt;""),IF(EOMONTH($DN$3+INT((DAY(EOMONTH($DN$3,0))-1)/2)+DO$8,0)=EOMONTH($CD$3,0),DO$6*DO$7,0),0),IF(AND(DK$6&lt;&gt;"",DK$8&lt;&gt;""),IF(EOMONTH($DJ$3+INT((DAY(EOMONTH($DJ$3,0))-1)/2)+DK$8,0)=EOMONTH($CD$3,0),DK$6*DK$7,0),0),IF(AND(DG$6&lt;&gt;"",DG$8&lt;&gt;""),IF(EOMONTH($DF$3+INT((DAY(EOMONTH($DF$3,0))-1)/2)+DG$8,0)=EOMONTH($CD$3,0),DG$6*DG$7,0),0),IF(AND(DC$6&lt;&gt;"",DC$8&lt;&gt;""),IF(EOMONTH($DB$3+INT((DAY(EOMONTH($DB$3,0))-1)/2)+DC$8,0)=EOMONTH($CD$3,0),DC$6*DC$7,0),0),IF(AND(CY$6&lt;&gt;"",CY$8&lt;&gt;""),IF(EOMONTH($CX$3+INT((DAY(EOMONTH($CX$3,0))-1)/2)+CY$8,0)=EOMONTH($CD$3,0),CY$6*CY$7,0),0),IF(AND(CU$6&lt;&gt;"",CU$8&lt;&gt;""),IF(EOMONTH($CT$3+INT((DAY(EOMONTH($CT$3,0))-1)/2)+CU$8,0)=EOMONTH($CD$3,0),CU$6*CU$7,0),0),IF(AND(CQ$6&lt;&gt;"",CQ$8&lt;&gt;""),IF(EOMONTH($CP$3+INT((DAY(EOMONTH($CP$3,0))-1)/2)+CQ$8,0)=EOMONTH($CD$3,0),CQ$6*CQ$7,0),0),IF(AND(CM$6&lt;&gt;"",CM$8&lt;&gt;""),IF(EOMONTH($CL$3+INT((DAY(EOMONTH($CL$3,0))-1)/2)+CM$8,0)=EOMONTH($CD$3,0),CM$6*CM$7,0),0),IF(AND(CI$6&lt;&gt;"",CI$8&lt;&gt;""),IF(EOMONTH($CH$3+INT((DAY(EOMONTH($CH$3,0))-1)/2)+CI$8,0)=EOMONTH($CD$3,0),CI$6*CI$7,0),0),IF(AND(CE$6&lt;&gt;"",CE$8&lt;&gt;""),IF(EOMONTH($CD$3+INT((DAY(EOMONTH($CD$3,0))-1)/2)+CE$8,0)=EOMONTH($CD$3,0),CE$6*CE$7,0),0),IF(AND(CA$6&lt;&gt;"",CA$8&lt;&gt;""),IF(EOMONTH($BZ$3+INT((DAY(EOMONTH($BZ$3,0))-1)/2)+CA$8,0)=EOMONTH($CD$3,0),CA$6*CA$7,0),0),IF(AND(BW$6&lt;&gt;"",BW$8&lt;&gt;""),IF(EOMONTH($BV$3+INT((DAY(EOMONTH($BV$3,0))-1)/2)+BW$8,0)=EOMONTH($CD$3,0),BW$6*BW$7,0),0),IF(AND(BS$6&lt;&gt;"",BS$8&lt;&gt;""),IF(EOMONTH($BR$3+INT((DAY(EOMONTH($BR$3,0))-1)/2)+BS$8,0)=EOMONTH($CD$3,0),BS$6*BS$7,0),0),IF(AND(BO$6&lt;&gt;"",BO$8&lt;&gt;""),IF(EOMONTH($BN$3+INT((DAY(EOMONTH($BN$3,0))-1)/2)+BO$8,0)=EOMONTH($CD$3,0),BO$6*BO$7,0),0),IF(AND(BK$6&lt;&gt;"",BK$8&lt;&gt;""),IF(EOMONTH($BJ$3+INT((DAY(EOMONTH($BJ$3,0))-1)/2)+BK$8,0)=EOMONTH($CD$3,0),BK$6*BK$7,0),0),IF(AND(BG$6&lt;&gt;"",BG$8&lt;&gt;""),IF(EOMONTH($BF$3+INT((DAY(EOMONTH($BF$3,0))-1)/2)+BG$8,0)=EOMONTH($CD$3,0),BG$6*BG$7,0),0),IF(AND(BC$6&lt;&gt;"",BC$8&lt;&gt;""),IF(EOMONTH($BB$3+INT((DAY(EOMONTH($BB$3,0))-1)/2)+BC$8,0)=EOMONTH($CD$3,0),BC$6*BC$7,0),0),IF(AND(AY$6&lt;&gt;"",AY$8&lt;&gt;""),IF(EOMONTH($AX$3+INT((DAY(EOMONTH($AX$3,0))-1)/2)+AY$8,0)=EOMONTH($CD$3,0),AY$6*AY$7,0),0),IF(AND(AU$6&lt;&gt;"",AU$8&lt;&gt;""),IF(EOMONTH($AT$3+INT((DAY(EOMONTH($AT$3,0))-1)/2)+AU$8,0)=EOMONTH($CD$3,0),AU$6*AU$7,0),0),IF(AND(AQ$6&lt;&gt;"",AQ$8&lt;&gt;""),IF(EOMONTH($AP$3+INT((DAY(EOMONTH($AP$3,0))-1)/2)+AQ$8,0)=EOMONTH($CD$3,0),AQ$6*AQ$7,0),0),IF(AND(AM$6&lt;&gt;"",AM$8&lt;&gt;""),IF(EOMONTH($AL$3+INT((DAY(EOMONTH($AL$3,0))-1)/2)+AM$8,0)=EOMONTH($CD$3,0),AM$6*AM$7,0),0),IF(AND(AI$6&lt;&gt;"",AI$8&lt;&gt;""),IF(EOMONTH($AH$3+INT((DAY(EOMONTH($AH$3,0))-1)/2)+AI$8,0)=EOMONTH($CD$3,0),AI$6*AI$7,0),0),IF(AND(AE$6&lt;&gt;"",AE$8&lt;&gt;""),IF(EOMONTH($AD$3+INT((DAY(EOMONTH($AD$3,0))-1)/2)+AE$8,0)=EOMONTH($CD$3,0),AE$6*AE$7,0),0),IF(AND(AA$6&lt;&gt;"",AA$8&lt;&gt;""),IF(EOMONTH($Z$3+INT((DAY(EOMONTH($Z$3,0))-1)/2)+AA$8,0)=EOMONTH($CD$3,0),AA$6*AA$7,0),0),IF(AND(W$6&lt;&gt;"",W$8&lt;&gt;""),IF(EOMONTH($V$3+INT((DAY(EOMONTH($V$3,0))-1)/2)+W$8,0)=EOMONTH($CD$3,0),W$6*W$7,0),0),IF(AND(S$6&lt;&gt;"",S$8&lt;&gt;""),IF(EOMONTH($R$3+INT((DAY(EOMONTH($R$3,0))-1)/2)+S$8,0)=EOMONTH($CD$3,0),S$6*S$7,0),0),IF(AND(O$6&lt;&gt;"",O$8&lt;&gt;""),IF(EOMONTH($N$3+INT((DAY(EOMONTH($N$3,0))-1)/2)+O$8,0)=EOMONTH($CD$3,0),O$6*O$7,0),0),IF(AND(K$6&lt;&gt;"",K$8&lt;&gt;""),IF(EOMONTH($J$3+INT((DAY(EOMONTH($J$3,0))-1)/2)+K$8,0)=EOMONTH($CD$3,0),K$6*K$7,0),0),IF(AND(G$6&lt;&gt;"",G$8&lt;&gt;""),IF(EOMONTH($F$3+INT((DAY(EOMONTH($F$3,0))-1)/2)+G$8,0)=EOMONTH($CD$3,0),G$6*G$7,0),0)),0))</f>
        <v>0</v>
      </c>
      <c r="CF9" s="15">
        <f>ROUND(SUM(IF(AND(ER$6&lt;&gt;"",ER$8&lt;&gt;""),IF(EOMONTH($EP$3+INT((DAY(EOMONTH($EP$3,0))-1)/2)+ER$8,0)=EOMONTH($CD$3,0),ER$6*ER$7,0),0),IF(AND(EN$6&lt;&gt;"",EN$8&lt;&gt;""),IF(EOMONTH($EL$3+INT((DAY(EOMONTH($EL$3,0))-1)/2)+EN$8,0)=EOMONTH($CD$3,0),EN$6*EN$7,0),0),IF(AND(EJ$6&lt;&gt;"",EJ$8&lt;&gt;""),IF(EOMONTH($EH$3+INT((DAY(EOMONTH($EH$3,0))-1)/2)+EJ$8,0)=EOMONTH($CD$3,0),EJ$6*EJ$7,0),0),IF(AND(EF$6&lt;&gt;"",EF$8&lt;&gt;""),IF(EOMONTH($ED$3+INT((DAY(EOMONTH($ED$3,0))-1)/2)+EF$8,0)=EOMONTH($CD$3,0),EF$6*EF$7,0),0),IF(AND(EB$6&lt;&gt;"",EB$8&lt;&gt;""),IF(EOMONTH($DZ$3+INT((DAY(EOMONTH($DZ$3,0))-1)/2)+EB$8,0)=EOMONTH($CD$3,0),EB$6*EB$7,0),0),IF(AND(DX$6&lt;&gt;"",DX$8&lt;&gt;""),IF(EOMONTH($DV$3+INT((DAY(EOMONTH($DV$3,0))-1)/2)+DX$8,0)=EOMONTH($CD$3,0),DX$6*DX$7,0),0),IF(AND(DT$6&lt;&gt;"",DT$8&lt;&gt;""),IF(EOMONTH($DR$3+INT((DAY(EOMONTH($DR$3,0))-1)/2)+DT$8,0)=EOMONTH($CD$3,0),DT$6*DT$7,0),0),IF(AND(DP$6&lt;&gt;"",DP$8&lt;&gt;""),IF(EOMONTH($DN$3+INT((DAY(EOMONTH($DN$3,0))-1)/2)+DP$8,0)=EOMONTH($CD$3,0),DP$6*DP$7,0),0),IF(AND(DL$6&lt;&gt;"",DL$8&lt;&gt;""),IF(EOMONTH($DJ$3+INT((DAY(EOMONTH($DJ$3,0))-1)/2)+DL$8,0)=EOMONTH($CD$3,0),DL$6*DL$7,0),0),IF(AND(DH$6&lt;&gt;"",DH$8&lt;&gt;""),IF(EOMONTH($DF$3+INT((DAY(EOMONTH($DF$3,0))-1)/2)+DH$8,0)=EOMONTH($CD$3,0),DH$6*DH$7,0),0),IF(AND(DD$6&lt;&gt;"",DD$8&lt;&gt;""),IF(EOMONTH($DB$3+INT((DAY(EOMONTH($DB$3,0))-1)/2)+DD$8,0)=EOMONTH($CD$3,0),DD$6*DD$7,0),0),IF(AND(CZ$6&lt;&gt;"",CZ$8&lt;&gt;""),IF(EOMONTH($CX$3+INT((DAY(EOMONTH($CX$3,0))-1)/2)+CZ$8,0)=EOMONTH($CD$3,0),CZ$6*CZ$7,0),0),IF(AND(CV$6&lt;&gt;"",CV$8&lt;&gt;""),IF(EOMONTH($CT$3+INT((DAY(EOMONTH($CT$3,0))-1)/2)+CV$8,0)=EOMONTH($CD$3,0),CV$6*CV$7,0),0),IF(AND(CR$6&lt;&gt;"",CR$8&lt;&gt;""),IF(EOMONTH($CP$3+INT((DAY(EOMONTH($CP$3,0))-1)/2)+CR$8,0)=EOMONTH($CD$3,0),CR$6*CR$7,0),0),IF(AND(CN$6&lt;&gt;"",CN$8&lt;&gt;""),IF(EOMONTH($CL$3+INT((DAY(EOMONTH($CL$3,0))-1)/2)+CN$8,0)=EOMONTH($CD$3,0),CN$6*CN$7,0),0),IF(AND(CJ$6&lt;&gt;"",CJ$8&lt;&gt;""),IF(EOMONTH($CH$3+INT((DAY(EOMONTH($CH$3,0))-1)/2)+CJ$8,0)=EOMONTH($CD$3,0),CJ$6*CJ$7,0),0),IF(AND(CF$6&lt;&gt;"",CF$8&lt;&gt;""),IF(EOMONTH($CD$3+INT((DAY(EOMONTH($CD$3,0))-1)/2)+CF$8,0)=EOMONTH($CD$3,0),CF$6*CF$7,0),0),IF(AND(CB$6&lt;&gt;"",CB$8&lt;&gt;""),IF(EOMONTH($BZ$3+INT((DAY(EOMONTH($BZ$3,0))-1)/2)+CB$8,0)=EOMONTH($CD$3,0),CB$6*CB$7,0),0),IF(AND(BX$6&lt;&gt;"",BX$8&lt;&gt;""),IF(EOMONTH($BV$3+INT((DAY(EOMONTH($BV$3,0))-1)/2)+BX$8,0)=EOMONTH($CD$3,0),BX$6*BX$7,0),0),IF(AND(BT$6&lt;&gt;"",BT$8&lt;&gt;""),IF(EOMONTH($BR$3+INT((DAY(EOMONTH($BR$3,0))-1)/2)+BT$8,0)=EOMONTH($CD$3,0),BT$6*BT$7,0),0),IF(AND(BP$6&lt;&gt;"",BP$8&lt;&gt;""),IF(EOMONTH($BN$3+INT((DAY(EOMONTH($BN$3,0))-1)/2)+BP$8,0)=EOMONTH($CD$3,0),BP$6*BP$7,0),0),IF(AND(BL$6&lt;&gt;"",BL$8&lt;&gt;""),IF(EOMONTH($BJ$3+INT((DAY(EOMONTH($BJ$3,0))-1)/2)+BL$8,0)=EOMONTH($CD$3,0),BL$6*BL$7,0),0),IF(AND(BH$6&lt;&gt;"",BH$8&lt;&gt;""),IF(EOMONTH($BF$3+INT((DAY(EOMONTH($BF$3,0))-1)/2)+BH$8,0)=EOMONTH($CD$3,0),BH$6*BH$7,0),0),IF(AND(BD$6&lt;&gt;"",BD$8&lt;&gt;""),IF(EOMONTH($BB$3+INT((DAY(EOMONTH($BB$3,0))-1)/2)+BD$8,0)=EOMONTH($CD$3,0),BD$6*BD$7,0),0),IF(AND(AZ$6&lt;&gt;"",AZ$8&lt;&gt;""),IF(EOMONTH($AX$3+INT((DAY(EOMONTH($AX$3,0))-1)/2)+AZ$8,0)=EOMONTH($CD$3,0),AZ$6*AZ$7,0),0),IF(AND(AV$6&lt;&gt;"",AV$8&lt;&gt;""),IF(EOMONTH($AT$3+INT((DAY(EOMONTH($AT$3,0))-1)/2)+AV$8,0)=EOMONTH($CD$3,0),AV$6*AV$7,0),0),IF(AND(AR$6&lt;&gt;"",AR$8&lt;&gt;""),IF(EOMONTH($AP$3+INT((DAY(EOMONTH($AP$3,0))-1)/2)+AR$8,0)=EOMONTH($CD$3,0),AR$6*AR$7,0),0),IF(AND(AN$6&lt;&gt;"",AN$8&lt;&gt;""),IF(EOMONTH($AL$3+INT((DAY(EOMONTH($AL$3,0))-1)/2)+AN$8,0)=EOMONTH($CD$3,0),AN$6*AN$7,0),0),IF(AND(AJ$6&lt;&gt;"",AJ$8&lt;&gt;""),IF(EOMONTH($AH$3+INT((DAY(EOMONTH($AH$3,0))-1)/2)+AJ$8,0)=EOMONTH($CD$3,0),AJ$6*AJ$7,0),0),IF(AND(AF$6&lt;&gt;"",AF$8&lt;&gt;""),IF(EOMONTH($AD$3+INT((DAY(EOMONTH($AD$3,0))-1)/2)+AF$8,0)=EOMONTH($CD$3,0),AF$6*AF$7,0),0),IF(AND(AB$6&lt;&gt;"",AB$8&lt;&gt;""),IF(EOMONTH($Z$3+INT((DAY(EOMONTH($Z$3,0))-1)/2)+AB$8,0)=EOMONTH($CD$3,0),AB$6*AB$7,0),0),IF(AND(X$6&lt;&gt;"",X$8&lt;&gt;""),IF(EOMONTH($V$3+INT((DAY(EOMONTH($V$3,0))-1)/2)+X$8,0)=EOMONTH($CD$3,0),X$6*X$7,0),0),IF(AND(T$6&lt;&gt;"",T$8&lt;&gt;""),IF(EOMONTH($R$3+INT((DAY(EOMONTH($R$3,0))-1)/2)+T$8,0)=EOMONTH($CD$3,0),T$6*T$7,0),0),IF(AND(P$6&lt;&gt;"",P$8&lt;&gt;""),IF(EOMONTH($N$3+INT((DAY(EOMONTH($N$3,0))-1)/2)+P$8,0)=EOMONTH($CD$3,0),P$6*P$7,0),0),IF(AND(L$6&lt;&gt;"",L$8&lt;&gt;""),IF(EOMONTH($J$3+INT((DAY(EOMONTH($J$3,0))-1)/2)+L$8,0)=EOMONTH($CD$3,0),L$6*L$7,0),0),IF(AND(H$6&lt;&gt;"",H$8&lt;&gt;""),IF(EOMONTH($F$3+INT((DAY(EOMONTH($F$3,0))-1)/2)+H$8,0)=EOMONTH($CD$3,0),H$6*H$7,0),0)),0)</f>
        <v>0</v>
      </c>
      <c r="CG9" s="16">
        <f t="shared" si="43"/>
        <v>0</v>
      </c>
      <c r="CH9" s="17"/>
      <c r="CI9" s="14">
        <f>IF(CH$98=1,CH9,ROUND(SUM(IF(AND(EQ$6&lt;&gt;"",EQ$8&lt;&gt;""),IF(EOMONTH($EP$3+INT((DAY(EOMONTH($EP$3,0))-1)/2)+EQ$8,0)=EOMONTH($CH$3,0),EQ$6*EQ$7,0),0),IF(AND(EM$6&lt;&gt;"",EM$8&lt;&gt;""),IF(EOMONTH($EL$3+INT((DAY(EOMONTH($EL$3,0))-1)/2)+EM$8,0)=EOMONTH($CH$3,0),EM$6*EM$7,0),0),IF(AND(EI$6&lt;&gt;"",EI$8&lt;&gt;""),IF(EOMONTH($EH$3+INT((DAY(EOMONTH($EH$3,0))-1)/2)+EI$8,0)=EOMONTH($CH$3,0),EI$6*EI$7,0),0),IF(AND(EE$6&lt;&gt;"",EE$8&lt;&gt;""),IF(EOMONTH($ED$3+INT((DAY(EOMONTH($ED$3,0))-1)/2)+EE$8,0)=EOMONTH($CH$3,0),EE$6*EE$7,0),0),IF(AND(EA$6&lt;&gt;"",EA$8&lt;&gt;""),IF(EOMONTH($DZ$3+INT((DAY(EOMONTH($DZ$3,0))-1)/2)+EA$8,0)=EOMONTH($CH$3,0),EA$6*EA$7,0),0),IF(AND(DW$6&lt;&gt;"",DW$8&lt;&gt;""),IF(EOMONTH($DV$3+INT((DAY(EOMONTH($DV$3,0))-1)/2)+DW$8,0)=EOMONTH($CH$3,0),DW$6*DW$7,0),0),IF(AND(DS$6&lt;&gt;"",DS$8&lt;&gt;""),IF(EOMONTH($DR$3+INT((DAY(EOMONTH($DR$3,0))-1)/2)+DS$8,0)=EOMONTH($CH$3,0),DS$6*DS$7,0),0),IF(AND(DO$6&lt;&gt;"",DO$8&lt;&gt;""),IF(EOMONTH($DN$3+INT((DAY(EOMONTH($DN$3,0))-1)/2)+DO$8,0)=EOMONTH($CH$3,0),DO$6*DO$7,0),0),IF(AND(DK$6&lt;&gt;"",DK$8&lt;&gt;""),IF(EOMONTH($DJ$3+INT((DAY(EOMONTH($DJ$3,0))-1)/2)+DK$8,0)=EOMONTH($CH$3,0),DK$6*DK$7,0),0),IF(AND(DG$6&lt;&gt;"",DG$8&lt;&gt;""),IF(EOMONTH($DF$3+INT((DAY(EOMONTH($DF$3,0))-1)/2)+DG$8,0)=EOMONTH($CH$3,0),DG$6*DG$7,0),0),IF(AND(DC$6&lt;&gt;"",DC$8&lt;&gt;""),IF(EOMONTH($DB$3+INT((DAY(EOMONTH($DB$3,0))-1)/2)+DC$8,0)=EOMONTH($CH$3,0),DC$6*DC$7,0),0),IF(AND(CY$6&lt;&gt;"",CY$8&lt;&gt;""),IF(EOMONTH($CX$3+INT((DAY(EOMONTH($CX$3,0))-1)/2)+CY$8,0)=EOMONTH($CH$3,0),CY$6*CY$7,0),0),IF(AND(CU$6&lt;&gt;"",CU$8&lt;&gt;""),IF(EOMONTH($CT$3+INT((DAY(EOMONTH($CT$3,0))-1)/2)+CU$8,0)=EOMONTH($CH$3,0),CU$6*CU$7,0),0),IF(AND(CQ$6&lt;&gt;"",CQ$8&lt;&gt;""),IF(EOMONTH($CP$3+INT((DAY(EOMONTH($CP$3,0))-1)/2)+CQ$8,0)=EOMONTH($CH$3,0),CQ$6*CQ$7,0),0),IF(AND(CM$6&lt;&gt;"",CM$8&lt;&gt;""),IF(EOMONTH($CL$3+INT((DAY(EOMONTH($CL$3,0))-1)/2)+CM$8,0)=EOMONTH($CH$3,0),CM$6*CM$7,0),0),IF(AND(CI$6&lt;&gt;"",CI$8&lt;&gt;""),IF(EOMONTH($CH$3+INT((DAY(EOMONTH($CH$3,0))-1)/2)+CI$8,0)=EOMONTH($CH$3,0),CI$6*CI$7,0),0),IF(AND(CE$6&lt;&gt;"",CE$8&lt;&gt;""),IF(EOMONTH($CD$3+INT((DAY(EOMONTH($CD$3,0))-1)/2)+CE$8,0)=EOMONTH($CH$3,0),CE$6*CE$7,0),0),IF(AND(CA$6&lt;&gt;"",CA$8&lt;&gt;""),IF(EOMONTH($BZ$3+INT((DAY(EOMONTH($BZ$3,0))-1)/2)+CA$8,0)=EOMONTH($CH$3,0),CA$6*CA$7,0),0),IF(AND(BW$6&lt;&gt;"",BW$8&lt;&gt;""),IF(EOMONTH($BV$3+INT((DAY(EOMONTH($BV$3,0))-1)/2)+BW$8,0)=EOMONTH($CH$3,0),BW$6*BW$7,0),0),IF(AND(BS$6&lt;&gt;"",BS$8&lt;&gt;""),IF(EOMONTH($BR$3+INT((DAY(EOMONTH($BR$3,0))-1)/2)+BS$8,0)=EOMONTH($CH$3,0),BS$6*BS$7,0),0),IF(AND(BO$6&lt;&gt;"",BO$8&lt;&gt;""),IF(EOMONTH($BN$3+INT((DAY(EOMONTH($BN$3,0))-1)/2)+BO$8,0)=EOMONTH($CH$3,0),BO$6*BO$7,0),0),IF(AND(BK$6&lt;&gt;"",BK$8&lt;&gt;""),IF(EOMONTH($BJ$3+INT((DAY(EOMONTH($BJ$3,0))-1)/2)+BK$8,0)=EOMONTH($CH$3,0),BK$6*BK$7,0),0),IF(AND(BG$6&lt;&gt;"",BG$8&lt;&gt;""),IF(EOMONTH($BF$3+INT((DAY(EOMONTH($BF$3,0))-1)/2)+BG$8,0)=EOMONTH($CH$3,0),BG$6*BG$7,0),0),IF(AND(BC$6&lt;&gt;"",BC$8&lt;&gt;""),IF(EOMONTH($BB$3+INT((DAY(EOMONTH($BB$3,0))-1)/2)+BC$8,0)=EOMONTH($CH$3,0),BC$6*BC$7,0),0),IF(AND(AY$6&lt;&gt;"",AY$8&lt;&gt;""),IF(EOMONTH($AX$3+INT((DAY(EOMONTH($AX$3,0))-1)/2)+AY$8,0)=EOMONTH($CH$3,0),AY$6*AY$7,0),0),IF(AND(AU$6&lt;&gt;"",AU$8&lt;&gt;""),IF(EOMONTH($AT$3+INT((DAY(EOMONTH($AT$3,0))-1)/2)+AU$8,0)=EOMONTH($CH$3,0),AU$6*AU$7,0),0),IF(AND(AQ$6&lt;&gt;"",AQ$8&lt;&gt;""),IF(EOMONTH($AP$3+INT((DAY(EOMONTH($AP$3,0))-1)/2)+AQ$8,0)=EOMONTH($CH$3,0),AQ$6*AQ$7,0),0),IF(AND(AM$6&lt;&gt;"",AM$8&lt;&gt;""),IF(EOMONTH($AL$3+INT((DAY(EOMONTH($AL$3,0))-1)/2)+AM$8,0)=EOMONTH($CH$3,0),AM$6*AM$7,0),0),IF(AND(AI$6&lt;&gt;"",AI$8&lt;&gt;""),IF(EOMONTH($AH$3+INT((DAY(EOMONTH($AH$3,0))-1)/2)+AI$8,0)=EOMONTH($CH$3,0),AI$6*AI$7,0),0),IF(AND(AE$6&lt;&gt;"",AE$8&lt;&gt;""),IF(EOMONTH($AD$3+INT((DAY(EOMONTH($AD$3,0))-1)/2)+AE$8,0)=EOMONTH($CH$3,0),AE$6*AE$7,0),0),IF(AND(AA$6&lt;&gt;"",AA$8&lt;&gt;""),IF(EOMONTH($Z$3+INT((DAY(EOMONTH($Z$3,0))-1)/2)+AA$8,0)=EOMONTH($CH$3,0),AA$6*AA$7,0),0),IF(AND(W$6&lt;&gt;"",W$8&lt;&gt;""),IF(EOMONTH($V$3+INT((DAY(EOMONTH($V$3,0))-1)/2)+W$8,0)=EOMONTH($CH$3,0),W$6*W$7,0),0),IF(AND(S$6&lt;&gt;"",S$8&lt;&gt;""),IF(EOMONTH($R$3+INT((DAY(EOMONTH($R$3,0))-1)/2)+S$8,0)=EOMONTH($CH$3,0),S$6*S$7,0),0),IF(AND(O$6&lt;&gt;"",O$8&lt;&gt;""),IF(EOMONTH($N$3+INT((DAY(EOMONTH($N$3,0))-1)/2)+O$8,0)=EOMONTH($CH$3,0),O$6*O$7,0),0),IF(AND(K$6&lt;&gt;"",K$8&lt;&gt;""),IF(EOMONTH($J$3+INT((DAY(EOMONTH($J$3,0))-1)/2)+K$8,0)=EOMONTH($CH$3,0),K$6*K$7,0),0),IF(AND(G$6&lt;&gt;"",G$8&lt;&gt;""),IF(EOMONTH($F$3+INT((DAY(EOMONTH($F$3,0))-1)/2)+G$8,0)=EOMONTH($CH$3,0),G$6*G$7,0),0)),0))</f>
        <v>0</v>
      </c>
      <c r="CJ9" s="15">
        <f>ROUND(SUM(IF(AND(ER$6&lt;&gt;"",ER$8&lt;&gt;""),IF(EOMONTH($EP$3+INT((DAY(EOMONTH($EP$3,0))-1)/2)+ER$8,0)=EOMONTH($CH$3,0),ER$6*ER$7,0),0),IF(AND(EN$6&lt;&gt;"",EN$8&lt;&gt;""),IF(EOMONTH($EL$3+INT((DAY(EOMONTH($EL$3,0))-1)/2)+EN$8,0)=EOMONTH($CH$3,0),EN$6*EN$7,0),0),IF(AND(EJ$6&lt;&gt;"",EJ$8&lt;&gt;""),IF(EOMONTH($EH$3+INT((DAY(EOMONTH($EH$3,0))-1)/2)+EJ$8,0)=EOMONTH($CH$3,0),EJ$6*EJ$7,0),0),IF(AND(EF$6&lt;&gt;"",EF$8&lt;&gt;""),IF(EOMONTH($ED$3+INT((DAY(EOMONTH($ED$3,0))-1)/2)+EF$8,0)=EOMONTH($CH$3,0),EF$6*EF$7,0),0),IF(AND(EB$6&lt;&gt;"",EB$8&lt;&gt;""),IF(EOMONTH($DZ$3+INT((DAY(EOMONTH($DZ$3,0))-1)/2)+EB$8,0)=EOMONTH($CH$3,0),EB$6*EB$7,0),0),IF(AND(DX$6&lt;&gt;"",DX$8&lt;&gt;""),IF(EOMONTH($DV$3+INT((DAY(EOMONTH($DV$3,0))-1)/2)+DX$8,0)=EOMONTH($CH$3,0),DX$6*DX$7,0),0),IF(AND(DT$6&lt;&gt;"",DT$8&lt;&gt;""),IF(EOMONTH($DR$3+INT((DAY(EOMONTH($DR$3,0))-1)/2)+DT$8,0)=EOMONTH($CH$3,0),DT$6*DT$7,0),0),IF(AND(DP$6&lt;&gt;"",DP$8&lt;&gt;""),IF(EOMONTH($DN$3+INT((DAY(EOMONTH($DN$3,0))-1)/2)+DP$8,0)=EOMONTH($CH$3,0),DP$6*DP$7,0),0),IF(AND(DL$6&lt;&gt;"",DL$8&lt;&gt;""),IF(EOMONTH($DJ$3+INT((DAY(EOMONTH($DJ$3,0))-1)/2)+DL$8,0)=EOMONTH($CH$3,0),DL$6*DL$7,0),0),IF(AND(DH$6&lt;&gt;"",DH$8&lt;&gt;""),IF(EOMONTH($DF$3+INT((DAY(EOMONTH($DF$3,0))-1)/2)+DH$8,0)=EOMONTH($CH$3,0),DH$6*DH$7,0),0),IF(AND(DD$6&lt;&gt;"",DD$8&lt;&gt;""),IF(EOMONTH($DB$3+INT((DAY(EOMONTH($DB$3,0))-1)/2)+DD$8,0)=EOMONTH($CH$3,0),DD$6*DD$7,0),0),IF(AND(CZ$6&lt;&gt;"",CZ$8&lt;&gt;""),IF(EOMONTH($CX$3+INT((DAY(EOMONTH($CX$3,0))-1)/2)+CZ$8,0)=EOMONTH($CH$3,0),CZ$6*CZ$7,0),0),IF(AND(CV$6&lt;&gt;"",CV$8&lt;&gt;""),IF(EOMONTH($CT$3+INT((DAY(EOMONTH($CT$3,0))-1)/2)+CV$8,0)=EOMONTH($CH$3,0),CV$6*CV$7,0),0),IF(AND(CR$6&lt;&gt;"",CR$8&lt;&gt;""),IF(EOMONTH($CP$3+INT((DAY(EOMONTH($CP$3,0))-1)/2)+CR$8,0)=EOMONTH($CH$3,0),CR$6*CR$7,0),0),IF(AND(CN$6&lt;&gt;"",CN$8&lt;&gt;""),IF(EOMONTH($CL$3+INT((DAY(EOMONTH($CL$3,0))-1)/2)+CN$8,0)=EOMONTH($CH$3,0),CN$6*CN$7,0),0),IF(AND(CJ$6&lt;&gt;"",CJ$8&lt;&gt;""),IF(EOMONTH($CH$3+INT((DAY(EOMONTH($CH$3,0))-1)/2)+CJ$8,0)=EOMONTH($CH$3,0),CJ$6*CJ$7,0),0),IF(AND(CF$6&lt;&gt;"",CF$8&lt;&gt;""),IF(EOMONTH($CD$3+INT((DAY(EOMONTH($CD$3,0))-1)/2)+CF$8,0)=EOMONTH($CH$3,0),CF$6*CF$7,0),0),IF(AND(CB$6&lt;&gt;"",CB$8&lt;&gt;""),IF(EOMONTH($BZ$3+INT((DAY(EOMONTH($BZ$3,0))-1)/2)+CB$8,0)=EOMONTH($CH$3,0),CB$6*CB$7,0),0),IF(AND(BX$6&lt;&gt;"",BX$8&lt;&gt;""),IF(EOMONTH($BV$3+INT((DAY(EOMONTH($BV$3,0))-1)/2)+BX$8,0)=EOMONTH($CH$3,0),BX$6*BX$7,0),0),IF(AND(BT$6&lt;&gt;"",BT$8&lt;&gt;""),IF(EOMONTH($BR$3+INT((DAY(EOMONTH($BR$3,0))-1)/2)+BT$8,0)=EOMONTH($CH$3,0),BT$6*BT$7,0),0),IF(AND(BP$6&lt;&gt;"",BP$8&lt;&gt;""),IF(EOMONTH($BN$3+INT((DAY(EOMONTH($BN$3,0))-1)/2)+BP$8,0)=EOMONTH($CH$3,0),BP$6*BP$7,0),0),IF(AND(BL$6&lt;&gt;"",BL$8&lt;&gt;""),IF(EOMONTH($BJ$3+INT((DAY(EOMONTH($BJ$3,0))-1)/2)+BL$8,0)=EOMONTH($CH$3,0),BL$6*BL$7,0),0),IF(AND(BH$6&lt;&gt;"",BH$8&lt;&gt;""),IF(EOMONTH($BF$3+INT((DAY(EOMONTH($BF$3,0))-1)/2)+BH$8,0)=EOMONTH($CH$3,0),BH$6*BH$7,0),0),IF(AND(BD$6&lt;&gt;"",BD$8&lt;&gt;""),IF(EOMONTH($BB$3+INT((DAY(EOMONTH($BB$3,0))-1)/2)+BD$8,0)=EOMONTH($CH$3,0),BD$6*BD$7,0),0),IF(AND(AZ$6&lt;&gt;"",AZ$8&lt;&gt;""),IF(EOMONTH($AX$3+INT((DAY(EOMONTH($AX$3,0))-1)/2)+AZ$8,0)=EOMONTH($CH$3,0),AZ$6*AZ$7,0),0),IF(AND(AV$6&lt;&gt;"",AV$8&lt;&gt;""),IF(EOMONTH($AT$3+INT((DAY(EOMONTH($AT$3,0))-1)/2)+AV$8,0)=EOMONTH($CH$3,0),AV$6*AV$7,0),0),IF(AND(AR$6&lt;&gt;"",AR$8&lt;&gt;""),IF(EOMONTH($AP$3+INT((DAY(EOMONTH($AP$3,0))-1)/2)+AR$8,0)=EOMONTH($CH$3,0),AR$6*AR$7,0),0),IF(AND(AN$6&lt;&gt;"",AN$8&lt;&gt;""),IF(EOMONTH($AL$3+INT((DAY(EOMONTH($AL$3,0))-1)/2)+AN$8,0)=EOMONTH($CH$3,0),AN$6*AN$7,0),0),IF(AND(AJ$6&lt;&gt;"",AJ$8&lt;&gt;""),IF(EOMONTH($AH$3+INT((DAY(EOMONTH($AH$3,0))-1)/2)+AJ$8,0)=EOMONTH($CH$3,0),AJ$6*AJ$7,0),0),IF(AND(AF$6&lt;&gt;"",AF$8&lt;&gt;""),IF(EOMONTH($AD$3+INT((DAY(EOMONTH($AD$3,0))-1)/2)+AF$8,0)=EOMONTH($CH$3,0),AF$6*AF$7,0),0),IF(AND(AB$6&lt;&gt;"",AB$8&lt;&gt;""),IF(EOMONTH($Z$3+INT((DAY(EOMONTH($Z$3,0))-1)/2)+AB$8,0)=EOMONTH($CH$3,0),AB$6*AB$7,0),0),IF(AND(X$6&lt;&gt;"",X$8&lt;&gt;""),IF(EOMONTH($V$3+INT((DAY(EOMONTH($V$3,0))-1)/2)+X$8,0)=EOMONTH($CH$3,0),X$6*X$7,0),0),IF(AND(T$6&lt;&gt;"",T$8&lt;&gt;""),IF(EOMONTH($R$3+INT((DAY(EOMONTH($R$3,0))-1)/2)+T$8,0)=EOMONTH($CH$3,0),T$6*T$7,0),0),IF(AND(P$6&lt;&gt;"",P$8&lt;&gt;""),IF(EOMONTH($N$3+INT((DAY(EOMONTH($N$3,0))-1)/2)+P$8,0)=EOMONTH($CH$3,0),P$6*P$7,0),0),IF(AND(L$6&lt;&gt;"",L$8&lt;&gt;""),IF(EOMONTH($J$3+INT((DAY(EOMONTH($J$3,0))-1)/2)+L$8,0)=EOMONTH($CH$3,0),L$6*L$7,0),0),IF(AND(H$6&lt;&gt;"",H$8&lt;&gt;""),IF(EOMONTH($F$3+INT((DAY(EOMONTH($F$3,0))-1)/2)+H$8,0)=EOMONTH($CH$3,0),H$6*H$7,0),0)),0)</f>
        <v>0</v>
      </c>
      <c r="CK9" s="16">
        <f t="shared" si="45"/>
        <v>0</v>
      </c>
      <c r="CL9" s="17"/>
      <c r="CM9" s="14">
        <f>IF(CL$98=1,CL9,ROUND(SUM(IF(AND(EQ$6&lt;&gt;"",EQ$8&lt;&gt;""),IF(EOMONTH($EP$3+INT((DAY(EOMONTH($EP$3,0))-1)/2)+EQ$8,0)=EOMONTH($CL$3,0),EQ$6*EQ$7,0),0),IF(AND(EM$6&lt;&gt;"",EM$8&lt;&gt;""),IF(EOMONTH($EL$3+INT((DAY(EOMONTH($EL$3,0))-1)/2)+EM$8,0)=EOMONTH($CL$3,0),EM$6*EM$7,0),0),IF(AND(EI$6&lt;&gt;"",EI$8&lt;&gt;""),IF(EOMONTH($EH$3+INT((DAY(EOMONTH($EH$3,0))-1)/2)+EI$8,0)=EOMONTH($CL$3,0),EI$6*EI$7,0),0),IF(AND(EE$6&lt;&gt;"",EE$8&lt;&gt;""),IF(EOMONTH($ED$3+INT((DAY(EOMONTH($ED$3,0))-1)/2)+EE$8,0)=EOMONTH($CL$3,0),EE$6*EE$7,0),0),IF(AND(EA$6&lt;&gt;"",EA$8&lt;&gt;""),IF(EOMONTH($DZ$3+INT((DAY(EOMONTH($DZ$3,0))-1)/2)+EA$8,0)=EOMONTH($CL$3,0),EA$6*EA$7,0),0),IF(AND(DW$6&lt;&gt;"",DW$8&lt;&gt;""),IF(EOMONTH($DV$3+INT((DAY(EOMONTH($DV$3,0))-1)/2)+DW$8,0)=EOMONTH($CL$3,0),DW$6*DW$7,0),0),IF(AND(DS$6&lt;&gt;"",DS$8&lt;&gt;""),IF(EOMONTH($DR$3+INT((DAY(EOMONTH($DR$3,0))-1)/2)+DS$8,0)=EOMONTH($CL$3,0),DS$6*DS$7,0),0),IF(AND(DO$6&lt;&gt;"",DO$8&lt;&gt;""),IF(EOMONTH($DN$3+INT((DAY(EOMONTH($DN$3,0))-1)/2)+DO$8,0)=EOMONTH($CL$3,0),DO$6*DO$7,0),0),IF(AND(DK$6&lt;&gt;"",DK$8&lt;&gt;""),IF(EOMONTH($DJ$3+INT((DAY(EOMONTH($DJ$3,0))-1)/2)+DK$8,0)=EOMONTH($CL$3,0),DK$6*DK$7,0),0),IF(AND(DG$6&lt;&gt;"",DG$8&lt;&gt;""),IF(EOMONTH($DF$3+INT((DAY(EOMONTH($DF$3,0))-1)/2)+DG$8,0)=EOMONTH($CL$3,0),DG$6*DG$7,0),0),IF(AND(DC$6&lt;&gt;"",DC$8&lt;&gt;""),IF(EOMONTH($DB$3+INT((DAY(EOMONTH($DB$3,0))-1)/2)+DC$8,0)=EOMONTH($CL$3,0),DC$6*DC$7,0),0),IF(AND(CY$6&lt;&gt;"",CY$8&lt;&gt;""),IF(EOMONTH($CX$3+INT((DAY(EOMONTH($CX$3,0))-1)/2)+CY$8,0)=EOMONTH($CL$3,0),CY$6*CY$7,0),0),IF(AND(CU$6&lt;&gt;"",CU$8&lt;&gt;""),IF(EOMONTH($CT$3+INT((DAY(EOMONTH($CT$3,0))-1)/2)+CU$8,0)=EOMONTH($CL$3,0),CU$6*CU$7,0),0),IF(AND(CQ$6&lt;&gt;"",CQ$8&lt;&gt;""),IF(EOMONTH($CP$3+INT((DAY(EOMONTH($CP$3,0))-1)/2)+CQ$8,0)=EOMONTH($CL$3,0),CQ$6*CQ$7,0),0),IF(AND(CM$6&lt;&gt;"",CM$8&lt;&gt;""),IF(EOMONTH($CL$3+INT((DAY(EOMONTH($CL$3,0))-1)/2)+CM$8,0)=EOMONTH($CL$3,0),CM$6*CM$7,0),0),IF(AND(CI$6&lt;&gt;"",CI$8&lt;&gt;""),IF(EOMONTH($CH$3+INT((DAY(EOMONTH($CH$3,0))-1)/2)+CI$8,0)=EOMONTH($CL$3,0),CI$6*CI$7,0),0),IF(AND(CE$6&lt;&gt;"",CE$8&lt;&gt;""),IF(EOMONTH($CD$3+INT((DAY(EOMONTH($CD$3,0))-1)/2)+CE$8,0)=EOMONTH($CL$3,0),CE$6*CE$7,0),0),IF(AND(CA$6&lt;&gt;"",CA$8&lt;&gt;""),IF(EOMONTH($BZ$3+INT((DAY(EOMONTH($BZ$3,0))-1)/2)+CA$8,0)=EOMONTH($CL$3,0),CA$6*CA$7,0),0),IF(AND(BW$6&lt;&gt;"",BW$8&lt;&gt;""),IF(EOMONTH($BV$3+INT((DAY(EOMONTH($BV$3,0))-1)/2)+BW$8,0)=EOMONTH($CL$3,0),BW$6*BW$7,0),0),IF(AND(BS$6&lt;&gt;"",BS$8&lt;&gt;""),IF(EOMONTH($BR$3+INT((DAY(EOMONTH($BR$3,0))-1)/2)+BS$8,0)=EOMONTH($CL$3,0),BS$6*BS$7,0),0),IF(AND(BO$6&lt;&gt;"",BO$8&lt;&gt;""),IF(EOMONTH($BN$3+INT((DAY(EOMONTH($BN$3,0))-1)/2)+BO$8,0)=EOMONTH($CL$3,0),BO$6*BO$7,0),0),IF(AND(BK$6&lt;&gt;"",BK$8&lt;&gt;""),IF(EOMONTH($BJ$3+INT((DAY(EOMONTH($BJ$3,0))-1)/2)+BK$8,0)=EOMONTH($CL$3,0),BK$6*BK$7,0),0),IF(AND(BG$6&lt;&gt;"",BG$8&lt;&gt;""),IF(EOMONTH($BF$3+INT((DAY(EOMONTH($BF$3,0))-1)/2)+BG$8,0)=EOMONTH($CL$3,0),BG$6*BG$7,0),0),IF(AND(BC$6&lt;&gt;"",BC$8&lt;&gt;""),IF(EOMONTH($BB$3+INT((DAY(EOMONTH($BB$3,0))-1)/2)+BC$8,0)=EOMONTH($CL$3,0),BC$6*BC$7,0),0),IF(AND(AY$6&lt;&gt;"",AY$8&lt;&gt;""),IF(EOMONTH($AX$3+INT((DAY(EOMONTH($AX$3,0))-1)/2)+AY$8,0)=EOMONTH($CL$3,0),AY$6*AY$7,0),0),IF(AND(AU$6&lt;&gt;"",AU$8&lt;&gt;""),IF(EOMONTH($AT$3+INT((DAY(EOMONTH($AT$3,0))-1)/2)+AU$8,0)=EOMONTH($CL$3,0),AU$6*AU$7,0),0),IF(AND(AQ$6&lt;&gt;"",AQ$8&lt;&gt;""),IF(EOMONTH($AP$3+INT((DAY(EOMONTH($AP$3,0))-1)/2)+AQ$8,0)=EOMONTH($CL$3,0),AQ$6*AQ$7,0),0),IF(AND(AM$6&lt;&gt;"",AM$8&lt;&gt;""),IF(EOMONTH($AL$3+INT((DAY(EOMONTH($AL$3,0))-1)/2)+AM$8,0)=EOMONTH($CL$3,0),AM$6*AM$7,0),0),IF(AND(AI$6&lt;&gt;"",AI$8&lt;&gt;""),IF(EOMONTH($AH$3+INT((DAY(EOMONTH($AH$3,0))-1)/2)+AI$8,0)=EOMONTH($CL$3,0),AI$6*AI$7,0),0),IF(AND(AE$6&lt;&gt;"",AE$8&lt;&gt;""),IF(EOMONTH($AD$3+INT((DAY(EOMONTH($AD$3,0))-1)/2)+AE$8,0)=EOMONTH($CL$3,0),AE$6*AE$7,0),0),IF(AND(AA$6&lt;&gt;"",AA$8&lt;&gt;""),IF(EOMONTH($Z$3+INT((DAY(EOMONTH($Z$3,0))-1)/2)+AA$8,0)=EOMONTH($CL$3,0),AA$6*AA$7,0),0),IF(AND(W$6&lt;&gt;"",W$8&lt;&gt;""),IF(EOMONTH($V$3+INT((DAY(EOMONTH($V$3,0))-1)/2)+W$8,0)=EOMONTH($CL$3,0),W$6*W$7,0),0),IF(AND(S$6&lt;&gt;"",S$8&lt;&gt;""),IF(EOMONTH($R$3+INT((DAY(EOMONTH($R$3,0))-1)/2)+S$8,0)=EOMONTH($CL$3,0),S$6*S$7,0),0),IF(AND(O$6&lt;&gt;"",O$8&lt;&gt;""),IF(EOMONTH($N$3+INT((DAY(EOMONTH($N$3,0))-1)/2)+O$8,0)=EOMONTH($CL$3,0),O$6*O$7,0),0),IF(AND(K$6&lt;&gt;"",K$8&lt;&gt;""),IF(EOMONTH($J$3+INT((DAY(EOMONTH($J$3,0))-1)/2)+K$8,0)=EOMONTH($CL$3,0),K$6*K$7,0),0),IF(AND(G$6&lt;&gt;"",G$8&lt;&gt;""),IF(EOMONTH($F$3+INT((DAY(EOMONTH($F$3,0))-1)/2)+G$8,0)=EOMONTH($CL$3,0),G$6*G$7,0),0)),0))</f>
        <v>0</v>
      </c>
      <c r="CN9" s="15">
        <f>ROUND(SUM(IF(AND(ER$6&lt;&gt;"",ER$8&lt;&gt;""),IF(EOMONTH($EP$3+INT((DAY(EOMONTH($EP$3,0))-1)/2)+ER$8,0)=EOMONTH($CL$3,0),ER$6*ER$7,0),0),IF(AND(EN$6&lt;&gt;"",EN$8&lt;&gt;""),IF(EOMONTH($EL$3+INT((DAY(EOMONTH($EL$3,0))-1)/2)+EN$8,0)=EOMONTH($CL$3,0),EN$6*EN$7,0),0),IF(AND(EJ$6&lt;&gt;"",EJ$8&lt;&gt;""),IF(EOMONTH($EH$3+INT((DAY(EOMONTH($EH$3,0))-1)/2)+EJ$8,0)=EOMONTH($CL$3,0),EJ$6*EJ$7,0),0),IF(AND(EF$6&lt;&gt;"",EF$8&lt;&gt;""),IF(EOMONTH($ED$3+INT((DAY(EOMONTH($ED$3,0))-1)/2)+EF$8,0)=EOMONTH($CL$3,0),EF$6*EF$7,0),0),IF(AND(EB$6&lt;&gt;"",EB$8&lt;&gt;""),IF(EOMONTH($DZ$3+INT((DAY(EOMONTH($DZ$3,0))-1)/2)+EB$8,0)=EOMONTH($CL$3,0),EB$6*EB$7,0),0),IF(AND(DX$6&lt;&gt;"",DX$8&lt;&gt;""),IF(EOMONTH($DV$3+INT((DAY(EOMONTH($DV$3,0))-1)/2)+DX$8,0)=EOMONTH($CL$3,0),DX$6*DX$7,0),0),IF(AND(DT$6&lt;&gt;"",DT$8&lt;&gt;""),IF(EOMONTH($DR$3+INT((DAY(EOMONTH($DR$3,0))-1)/2)+DT$8,0)=EOMONTH($CL$3,0),DT$6*DT$7,0),0),IF(AND(DP$6&lt;&gt;"",DP$8&lt;&gt;""),IF(EOMONTH($DN$3+INT((DAY(EOMONTH($DN$3,0))-1)/2)+DP$8,0)=EOMONTH($CL$3,0),DP$6*DP$7,0),0),IF(AND(DL$6&lt;&gt;"",DL$8&lt;&gt;""),IF(EOMONTH($DJ$3+INT((DAY(EOMONTH($DJ$3,0))-1)/2)+DL$8,0)=EOMONTH($CL$3,0),DL$6*DL$7,0),0),IF(AND(DH$6&lt;&gt;"",DH$8&lt;&gt;""),IF(EOMONTH($DF$3+INT((DAY(EOMONTH($DF$3,0))-1)/2)+DH$8,0)=EOMONTH($CL$3,0),DH$6*DH$7,0),0),IF(AND(DD$6&lt;&gt;"",DD$8&lt;&gt;""),IF(EOMONTH($DB$3+INT((DAY(EOMONTH($DB$3,0))-1)/2)+DD$8,0)=EOMONTH($CL$3,0),DD$6*DD$7,0),0),IF(AND(CZ$6&lt;&gt;"",CZ$8&lt;&gt;""),IF(EOMONTH($CX$3+INT((DAY(EOMONTH($CX$3,0))-1)/2)+CZ$8,0)=EOMONTH($CL$3,0),CZ$6*CZ$7,0),0),IF(AND(CV$6&lt;&gt;"",CV$8&lt;&gt;""),IF(EOMONTH($CT$3+INT((DAY(EOMONTH($CT$3,0))-1)/2)+CV$8,0)=EOMONTH($CL$3,0),CV$6*CV$7,0),0),IF(AND(CR$6&lt;&gt;"",CR$8&lt;&gt;""),IF(EOMONTH($CP$3+INT((DAY(EOMONTH($CP$3,0))-1)/2)+CR$8,0)=EOMONTH($CL$3,0),CR$6*CR$7,0),0),IF(AND(CN$6&lt;&gt;"",CN$8&lt;&gt;""),IF(EOMONTH($CL$3+INT((DAY(EOMONTH($CL$3,0))-1)/2)+CN$8,0)=EOMONTH($CL$3,0),CN$6*CN$7,0),0),IF(AND(CJ$6&lt;&gt;"",CJ$8&lt;&gt;""),IF(EOMONTH($CH$3+INT((DAY(EOMONTH($CH$3,0))-1)/2)+CJ$8,0)=EOMONTH($CL$3,0),CJ$6*CJ$7,0),0),IF(AND(CF$6&lt;&gt;"",CF$8&lt;&gt;""),IF(EOMONTH($CD$3+INT((DAY(EOMONTH($CD$3,0))-1)/2)+CF$8,0)=EOMONTH($CL$3,0),CF$6*CF$7,0),0),IF(AND(CB$6&lt;&gt;"",CB$8&lt;&gt;""),IF(EOMONTH($BZ$3+INT((DAY(EOMONTH($BZ$3,0))-1)/2)+CB$8,0)=EOMONTH($CL$3,0),CB$6*CB$7,0),0),IF(AND(BX$6&lt;&gt;"",BX$8&lt;&gt;""),IF(EOMONTH($BV$3+INT((DAY(EOMONTH($BV$3,0))-1)/2)+BX$8,0)=EOMONTH($CL$3,0),BX$6*BX$7,0),0),IF(AND(BT$6&lt;&gt;"",BT$8&lt;&gt;""),IF(EOMONTH($BR$3+INT((DAY(EOMONTH($BR$3,0))-1)/2)+BT$8,0)=EOMONTH($CL$3,0),BT$6*BT$7,0),0),IF(AND(BP$6&lt;&gt;"",BP$8&lt;&gt;""),IF(EOMONTH($BN$3+INT((DAY(EOMONTH($BN$3,0))-1)/2)+BP$8,0)=EOMONTH($CL$3,0),BP$6*BP$7,0),0),IF(AND(BL$6&lt;&gt;"",BL$8&lt;&gt;""),IF(EOMONTH($BJ$3+INT((DAY(EOMONTH($BJ$3,0))-1)/2)+BL$8,0)=EOMONTH($CL$3,0),BL$6*BL$7,0),0),IF(AND(BH$6&lt;&gt;"",BH$8&lt;&gt;""),IF(EOMONTH($BF$3+INT((DAY(EOMONTH($BF$3,0))-1)/2)+BH$8,0)=EOMONTH($CL$3,0),BH$6*BH$7,0),0),IF(AND(BD$6&lt;&gt;"",BD$8&lt;&gt;""),IF(EOMONTH($BB$3+INT((DAY(EOMONTH($BB$3,0))-1)/2)+BD$8,0)=EOMONTH($CL$3,0),BD$6*BD$7,0),0),IF(AND(AZ$6&lt;&gt;"",AZ$8&lt;&gt;""),IF(EOMONTH($AX$3+INT((DAY(EOMONTH($AX$3,0))-1)/2)+AZ$8,0)=EOMONTH($CL$3,0),AZ$6*AZ$7,0),0),IF(AND(AV$6&lt;&gt;"",AV$8&lt;&gt;""),IF(EOMONTH($AT$3+INT((DAY(EOMONTH($AT$3,0))-1)/2)+AV$8,0)=EOMONTH($CL$3,0),AV$6*AV$7,0),0),IF(AND(AR$6&lt;&gt;"",AR$8&lt;&gt;""),IF(EOMONTH($AP$3+INT((DAY(EOMONTH($AP$3,0))-1)/2)+AR$8,0)=EOMONTH($CL$3,0),AR$6*AR$7,0),0),IF(AND(AN$6&lt;&gt;"",AN$8&lt;&gt;""),IF(EOMONTH($AL$3+INT((DAY(EOMONTH($AL$3,0))-1)/2)+AN$8,0)=EOMONTH($CL$3,0),AN$6*AN$7,0),0),IF(AND(AJ$6&lt;&gt;"",AJ$8&lt;&gt;""),IF(EOMONTH($AH$3+INT((DAY(EOMONTH($AH$3,0))-1)/2)+AJ$8,0)=EOMONTH($CL$3,0),AJ$6*AJ$7,0),0),IF(AND(AF$6&lt;&gt;"",AF$8&lt;&gt;""),IF(EOMONTH($AD$3+INT((DAY(EOMONTH($AD$3,0))-1)/2)+AF$8,0)=EOMONTH($CL$3,0),AF$6*AF$7,0),0),IF(AND(AB$6&lt;&gt;"",AB$8&lt;&gt;""),IF(EOMONTH($Z$3+INT((DAY(EOMONTH($Z$3,0))-1)/2)+AB$8,0)=EOMONTH($CL$3,0),AB$6*AB$7,0),0),IF(AND(X$6&lt;&gt;"",X$8&lt;&gt;""),IF(EOMONTH($V$3+INT((DAY(EOMONTH($V$3,0))-1)/2)+X$8,0)=EOMONTH($CL$3,0),X$6*X$7,0),0),IF(AND(T$6&lt;&gt;"",T$8&lt;&gt;""),IF(EOMONTH($R$3+INT((DAY(EOMONTH($R$3,0))-1)/2)+T$8,0)=EOMONTH($CL$3,0),T$6*T$7,0),0),IF(AND(P$6&lt;&gt;"",P$8&lt;&gt;""),IF(EOMONTH($N$3+INT((DAY(EOMONTH($N$3,0))-1)/2)+P$8,0)=EOMONTH($CL$3,0),P$6*P$7,0),0),IF(AND(L$6&lt;&gt;"",L$8&lt;&gt;""),IF(EOMONTH($J$3+INT((DAY(EOMONTH($J$3,0))-1)/2)+L$8,0)=EOMONTH($CL$3,0),L$6*L$7,0),0),IF(AND(H$6&lt;&gt;"",H$8&lt;&gt;""),IF(EOMONTH($F$3+INT((DAY(EOMONTH($F$3,0))-1)/2)+H$8,0)=EOMONTH($CL$3,0),H$6*H$7,0),0)),0)</f>
        <v>0</v>
      </c>
      <c r="CO9" s="16">
        <f t="shared" si="47"/>
        <v>0</v>
      </c>
      <c r="CP9" s="17"/>
      <c r="CQ9" s="14">
        <f>IF(CP$98=1,CP9,ROUND(SUM(IF(AND(EQ$6&lt;&gt;"",EQ$8&lt;&gt;""),IF(EOMONTH($EP$3+INT((DAY(EOMONTH($EP$3,0))-1)/2)+EQ$8,0)=EOMONTH($CP$3,0),EQ$6*EQ$7,0),0),IF(AND(EM$6&lt;&gt;"",EM$8&lt;&gt;""),IF(EOMONTH($EL$3+INT((DAY(EOMONTH($EL$3,0))-1)/2)+EM$8,0)=EOMONTH($CP$3,0),EM$6*EM$7,0),0),IF(AND(EI$6&lt;&gt;"",EI$8&lt;&gt;""),IF(EOMONTH($EH$3+INT((DAY(EOMONTH($EH$3,0))-1)/2)+EI$8,0)=EOMONTH($CP$3,0),EI$6*EI$7,0),0),IF(AND(EE$6&lt;&gt;"",EE$8&lt;&gt;""),IF(EOMONTH($ED$3+INT((DAY(EOMONTH($ED$3,0))-1)/2)+EE$8,0)=EOMONTH($CP$3,0),EE$6*EE$7,0),0),IF(AND(EA$6&lt;&gt;"",EA$8&lt;&gt;""),IF(EOMONTH($DZ$3+INT((DAY(EOMONTH($DZ$3,0))-1)/2)+EA$8,0)=EOMONTH($CP$3,0),EA$6*EA$7,0),0),IF(AND(DW$6&lt;&gt;"",DW$8&lt;&gt;""),IF(EOMONTH($DV$3+INT((DAY(EOMONTH($DV$3,0))-1)/2)+DW$8,0)=EOMONTH($CP$3,0),DW$6*DW$7,0),0),IF(AND(DS$6&lt;&gt;"",DS$8&lt;&gt;""),IF(EOMONTH($DR$3+INT((DAY(EOMONTH($DR$3,0))-1)/2)+DS$8,0)=EOMONTH($CP$3,0),DS$6*DS$7,0),0),IF(AND(DO$6&lt;&gt;"",DO$8&lt;&gt;""),IF(EOMONTH($DN$3+INT((DAY(EOMONTH($DN$3,0))-1)/2)+DO$8,0)=EOMONTH($CP$3,0),DO$6*DO$7,0),0),IF(AND(DK$6&lt;&gt;"",DK$8&lt;&gt;""),IF(EOMONTH($DJ$3+INT((DAY(EOMONTH($DJ$3,0))-1)/2)+DK$8,0)=EOMONTH($CP$3,0),DK$6*DK$7,0),0),IF(AND(DG$6&lt;&gt;"",DG$8&lt;&gt;""),IF(EOMONTH($DF$3+INT((DAY(EOMONTH($DF$3,0))-1)/2)+DG$8,0)=EOMONTH($CP$3,0),DG$6*DG$7,0),0),IF(AND(DC$6&lt;&gt;"",DC$8&lt;&gt;""),IF(EOMONTH($DB$3+INT((DAY(EOMONTH($DB$3,0))-1)/2)+DC$8,0)=EOMONTH($CP$3,0),DC$6*DC$7,0),0),IF(AND(CY$6&lt;&gt;"",CY$8&lt;&gt;""),IF(EOMONTH($CX$3+INT((DAY(EOMONTH($CX$3,0))-1)/2)+CY$8,0)=EOMONTH($CP$3,0),CY$6*CY$7,0),0),IF(AND(CU$6&lt;&gt;"",CU$8&lt;&gt;""),IF(EOMONTH($CT$3+INT((DAY(EOMONTH($CT$3,0))-1)/2)+CU$8,0)=EOMONTH($CP$3,0),CU$6*CU$7,0),0),IF(AND(CQ$6&lt;&gt;"",CQ$8&lt;&gt;""),IF(EOMONTH($CP$3+INT((DAY(EOMONTH($CP$3,0))-1)/2)+CQ$8,0)=EOMONTH($CP$3,0),CQ$6*CQ$7,0),0),IF(AND(CM$6&lt;&gt;"",CM$8&lt;&gt;""),IF(EOMONTH($CL$3+INT((DAY(EOMONTH($CL$3,0))-1)/2)+CM$8,0)=EOMONTH($CP$3,0),CM$6*CM$7,0),0),IF(AND(CI$6&lt;&gt;"",CI$8&lt;&gt;""),IF(EOMONTH($CH$3+INT((DAY(EOMONTH($CH$3,0))-1)/2)+CI$8,0)=EOMONTH($CP$3,0),CI$6*CI$7,0),0),IF(AND(CE$6&lt;&gt;"",CE$8&lt;&gt;""),IF(EOMONTH($CD$3+INT((DAY(EOMONTH($CD$3,0))-1)/2)+CE$8,0)=EOMONTH($CP$3,0),CE$6*CE$7,0),0),IF(AND(CA$6&lt;&gt;"",CA$8&lt;&gt;""),IF(EOMONTH($BZ$3+INT((DAY(EOMONTH($BZ$3,0))-1)/2)+CA$8,0)=EOMONTH($CP$3,0),CA$6*CA$7,0),0),IF(AND(BW$6&lt;&gt;"",BW$8&lt;&gt;""),IF(EOMONTH($BV$3+INT((DAY(EOMONTH($BV$3,0))-1)/2)+BW$8,0)=EOMONTH($CP$3,0),BW$6*BW$7,0),0),IF(AND(BS$6&lt;&gt;"",BS$8&lt;&gt;""),IF(EOMONTH($BR$3+INT((DAY(EOMONTH($BR$3,0))-1)/2)+BS$8,0)=EOMONTH($CP$3,0),BS$6*BS$7,0),0),IF(AND(BO$6&lt;&gt;"",BO$8&lt;&gt;""),IF(EOMONTH($BN$3+INT((DAY(EOMONTH($BN$3,0))-1)/2)+BO$8,0)=EOMONTH($CP$3,0),BO$6*BO$7,0),0),IF(AND(BK$6&lt;&gt;"",BK$8&lt;&gt;""),IF(EOMONTH($BJ$3+INT((DAY(EOMONTH($BJ$3,0))-1)/2)+BK$8,0)=EOMONTH($CP$3,0),BK$6*BK$7,0),0),IF(AND(BG$6&lt;&gt;"",BG$8&lt;&gt;""),IF(EOMONTH($BF$3+INT((DAY(EOMONTH($BF$3,0))-1)/2)+BG$8,0)=EOMONTH($CP$3,0),BG$6*BG$7,0),0),IF(AND(BC$6&lt;&gt;"",BC$8&lt;&gt;""),IF(EOMONTH($BB$3+INT((DAY(EOMONTH($BB$3,0))-1)/2)+BC$8,0)=EOMONTH($CP$3,0),BC$6*BC$7,0),0),IF(AND(AY$6&lt;&gt;"",AY$8&lt;&gt;""),IF(EOMONTH($AX$3+INT((DAY(EOMONTH($AX$3,0))-1)/2)+AY$8,0)=EOMONTH($CP$3,0),AY$6*AY$7,0),0),IF(AND(AU$6&lt;&gt;"",AU$8&lt;&gt;""),IF(EOMONTH($AT$3+INT((DAY(EOMONTH($AT$3,0))-1)/2)+AU$8,0)=EOMONTH($CP$3,0),AU$6*AU$7,0),0),IF(AND(AQ$6&lt;&gt;"",AQ$8&lt;&gt;""),IF(EOMONTH($AP$3+INT((DAY(EOMONTH($AP$3,0))-1)/2)+AQ$8,0)=EOMONTH($CP$3,0),AQ$6*AQ$7,0),0),IF(AND(AM$6&lt;&gt;"",AM$8&lt;&gt;""),IF(EOMONTH($AL$3+INT((DAY(EOMONTH($AL$3,0))-1)/2)+AM$8,0)=EOMONTH($CP$3,0),AM$6*AM$7,0),0),IF(AND(AI$6&lt;&gt;"",AI$8&lt;&gt;""),IF(EOMONTH($AH$3+INT((DAY(EOMONTH($AH$3,0))-1)/2)+AI$8,0)=EOMONTH($CP$3,0),AI$6*AI$7,0),0),IF(AND(AE$6&lt;&gt;"",AE$8&lt;&gt;""),IF(EOMONTH($AD$3+INT((DAY(EOMONTH($AD$3,0))-1)/2)+AE$8,0)=EOMONTH($CP$3,0),AE$6*AE$7,0),0),IF(AND(AA$6&lt;&gt;"",AA$8&lt;&gt;""),IF(EOMONTH($Z$3+INT((DAY(EOMONTH($Z$3,0))-1)/2)+AA$8,0)=EOMONTH($CP$3,0),AA$6*AA$7,0),0),IF(AND(W$6&lt;&gt;"",W$8&lt;&gt;""),IF(EOMONTH($V$3+INT((DAY(EOMONTH($V$3,0))-1)/2)+W$8,0)=EOMONTH($CP$3,0),W$6*W$7,0),0),IF(AND(S$6&lt;&gt;"",S$8&lt;&gt;""),IF(EOMONTH($R$3+INT((DAY(EOMONTH($R$3,0))-1)/2)+S$8,0)=EOMONTH($CP$3,0),S$6*S$7,0),0),IF(AND(O$6&lt;&gt;"",O$8&lt;&gt;""),IF(EOMONTH($N$3+INT((DAY(EOMONTH($N$3,0))-1)/2)+O$8,0)=EOMONTH($CP$3,0),O$6*O$7,0),0),IF(AND(K$6&lt;&gt;"",K$8&lt;&gt;""),IF(EOMONTH($J$3+INT((DAY(EOMONTH($J$3,0))-1)/2)+K$8,0)=EOMONTH($CP$3,0),K$6*K$7,0),0),IF(AND(G$6&lt;&gt;"",G$8&lt;&gt;""),IF(EOMONTH($F$3+INT((DAY(EOMONTH($F$3,0))-1)/2)+G$8,0)=EOMONTH($CP$3,0),G$6*G$7,0),0)),0))</f>
        <v>0</v>
      </c>
      <c r="CR9" s="15">
        <f>ROUND(SUM(IF(AND(ER$6&lt;&gt;"",ER$8&lt;&gt;""),IF(EOMONTH($EP$3+INT((DAY(EOMONTH($EP$3,0))-1)/2)+ER$8,0)=EOMONTH($CP$3,0),ER$6*ER$7,0),0),IF(AND(EN$6&lt;&gt;"",EN$8&lt;&gt;""),IF(EOMONTH($EL$3+INT((DAY(EOMONTH($EL$3,0))-1)/2)+EN$8,0)=EOMONTH($CP$3,0),EN$6*EN$7,0),0),IF(AND(EJ$6&lt;&gt;"",EJ$8&lt;&gt;""),IF(EOMONTH($EH$3+INT((DAY(EOMONTH($EH$3,0))-1)/2)+EJ$8,0)=EOMONTH($CP$3,0),EJ$6*EJ$7,0),0),IF(AND(EF$6&lt;&gt;"",EF$8&lt;&gt;""),IF(EOMONTH($ED$3+INT((DAY(EOMONTH($ED$3,0))-1)/2)+EF$8,0)=EOMONTH($CP$3,0),EF$6*EF$7,0),0),IF(AND(EB$6&lt;&gt;"",EB$8&lt;&gt;""),IF(EOMONTH($DZ$3+INT((DAY(EOMONTH($DZ$3,0))-1)/2)+EB$8,0)=EOMONTH($CP$3,0),EB$6*EB$7,0),0),IF(AND(DX$6&lt;&gt;"",DX$8&lt;&gt;""),IF(EOMONTH($DV$3+INT((DAY(EOMONTH($DV$3,0))-1)/2)+DX$8,0)=EOMONTH($CP$3,0),DX$6*DX$7,0),0),IF(AND(DT$6&lt;&gt;"",DT$8&lt;&gt;""),IF(EOMONTH($DR$3+INT((DAY(EOMONTH($DR$3,0))-1)/2)+DT$8,0)=EOMONTH($CP$3,0),DT$6*DT$7,0),0),IF(AND(DP$6&lt;&gt;"",DP$8&lt;&gt;""),IF(EOMONTH($DN$3+INT((DAY(EOMONTH($DN$3,0))-1)/2)+DP$8,0)=EOMONTH($CP$3,0),DP$6*DP$7,0),0),IF(AND(DL$6&lt;&gt;"",DL$8&lt;&gt;""),IF(EOMONTH($DJ$3+INT((DAY(EOMONTH($DJ$3,0))-1)/2)+DL$8,0)=EOMONTH($CP$3,0),DL$6*DL$7,0),0),IF(AND(DH$6&lt;&gt;"",DH$8&lt;&gt;""),IF(EOMONTH($DF$3+INT((DAY(EOMONTH($DF$3,0))-1)/2)+DH$8,0)=EOMONTH($CP$3,0),DH$6*DH$7,0),0),IF(AND(DD$6&lt;&gt;"",DD$8&lt;&gt;""),IF(EOMONTH($DB$3+INT((DAY(EOMONTH($DB$3,0))-1)/2)+DD$8,0)=EOMONTH($CP$3,0),DD$6*DD$7,0),0),IF(AND(CZ$6&lt;&gt;"",CZ$8&lt;&gt;""),IF(EOMONTH($CX$3+INT((DAY(EOMONTH($CX$3,0))-1)/2)+CZ$8,0)=EOMONTH($CP$3,0),CZ$6*CZ$7,0),0),IF(AND(CV$6&lt;&gt;"",CV$8&lt;&gt;""),IF(EOMONTH($CT$3+INT((DAY(EOMONTH($CT$3,0))-1)/2)+CV$8,0)=EOMONTH($CP$3,0),CV$6*CV$7,0),0),IF(AND(CR$6&lt;&gt;"",CR$8&lt;&gt;""),IF(EOMONTH($CP$3+INT((DAY(EOMONTH($CP$3,0))-1)/2)+CR$8,0)=EOMONTH($CP$3,0),CR$6*CR$7,0),0),IF(AND(CN$6&lt;&gt;"",CN$8&lt;&gt;""),IF(EOMONTH($CL$3+INT((DAY(EOMONTH($CL$3,0))-1)/2)+CN$8,0)=EOMONTH($CP$3,0),CN$6*CN$7,0),0),IF(AND(CJ$6&lt;&gt;"",CJ$8&lt;&gt;""),IF(EOMONTH($CH$3+INT((DAY(EOMONTH($CH$3,0))-1)/2)+CJ$8,0)=EOMONTH($CP$3,0),CJ$6*CJ$7,0),0),IF(AND(CF$6&lt;&gt;"",CF$8&lt;&gt;""),IF(EOMONTH($CD$3+INT((DAY(EOMONTH($CD$3,0))-1)/2)+CF$8,0)=EOMONTH($CP$3,0),CF$6*CF$7,0),0),IF(AND(CB$6&lt;&gt;"",CB$8&lt;&gt;""),IF(EOMONTH($BZ$3+INT((DAY(EOMONTH($BZ$3,0))-1)/2)+CB$8,0)=EOMONTH($CP$3,0),CB$6*CB$7,0),0),IF(AND(BX$6&lt;&gt;"",BX$8&lt;&gt;""),IF(EOMONTH($BV$3+INT((DAY(EOMONTH($BV$3,0))-1)/2)+BX$8,0)=EOMONTH($CP$3,0),BX$6*BX$7,0),0),IF(AND(BT$6&lt;&gt;"",BT$8&lt;&gt;""),IF(EOMONTH($BR$3+INT((DAY(EOMONTH($BR$3,0))-1)/2)+BT$8,0)=EOMONTH($CP$3,0),BT$6*BT$7,0),0),IF(AND(BP$6&lt;&gt;"",BP$8&lt;&gt;""),IF(EOMONTH($BN$3+INT((DAY(EOMONTH($BN$3,0))-1)/2)+BP$8,0)=EOMONTH($CP$3,0),BP$6*BP$7,0),0),IF(AND(BL$6&lt;&gt;"",BL$8&lt;&gt;""),IF(EOMONTH($BJ$3+INT((DAY(EOMONTH($BJ$3,0))-1)/2)+BL$8,0)=EOMONTH($CP$3,0),BL$6*BL$7,0),0),IF(AND(BH$6&lt;&gt;"",BH$8&lt;&gt;""),IF(EOMONTH($BF$3+INT((DAY(EOMONTH($BF$3,0))-1)/2)+BH$8,0)=EOMONTH($CP$3,0),BH$6*BH$7,0),0),IF(AND(BD$6&lt;&gt;"",BD$8&lt;&gt;""),IF(EOMONTH($BB$3+INT((DAY(EOMONTH($BB$3,0))-1)/2)+BD$8,0)=EOMONTH($CP$3,0),BD$6*BD$7,0),0),IF(AND(AZ$6&lt;&gt;"",AZ$8&lt;&gt;""),IF(EOMONTH($AX$3+INT((DAY(EOMONTH($AX$3,0))-1)/2)+AZ$8,0)=EOMONTH($CP$3,0),AZ$6*AZ$7,0),0),IF(AND(AV$6&lt;&gt;"",AV$8&lt;&gt;""),IF(EOMONTH($AT$3+INT((DAY(EOMONTH($AT$3,0))-1)/2)+AV$8,0)=EOMONTH($CP$3,0),AV$6*AV$7,0),0),IF(AND(AR$6&lt;&gt;"",AR$8&lt;&gt;""),IF(EOMONTH($AP$3+INT((DAY(EOMONTH($AP$3,0))-1)/2)+AR$8,0)=EOMONTH($CP$3,0),AR$6*AR$7,0),0),IF(AND(AN$6&lt;&gt;"",AN$8&lt;&gt;""),IF(EOMONTH($AL$3+INT((DAY(EOMONTH($AL$3,0))-1)/2)+AN$8,0)=EOMONTH($CP$3,0),AN$6*AN$7,0),0),IF(AND(AJ$6&lt;&gt;"",AJ$8&lt;&gt;""),IF(EOMONTH($AH$3+INT((DAY(EOMONTH($AH$3,0))-1)/2)+AJ$8,0)=EOMONTH($CP$3,0),AJ$6*AJ$7,0),0),IF(AND(AF$6&lt;&gt;"",AF$8&lt;&gt;""),IF(EOMONTH($AD$3+INT((DAY(EOMONTH($AD$3,0))-1)/2)+AF$8,0)=EOMONTH($CP$3,0),AF$6*AF$7,0),0),IF(AND(AB$6&lt;&gt;"",AB$8&lt;&gt;""),IF(EOMONTH($Z$3+INT((DAY(EOMONTH($Z$3,0))-1)/2)+AB$8,0)=EOMONTH($CP$3,0),AB$6*AB$7,0),0),IF(AND(X$6&lt;&gt;"",X$8&lt;&gt;""),IF(EOMONTH($V$3+INT((DAY(EOMONTH($V$3,0))-1)/2)+X$8,0)=EOMONTH($CP$3,0),X$6*X$7,0),0),IF(AND(T$6&lt;&gt;"",T$8&lt;&gt;""),IF(EOMONTH($R$3+INT((DAY(EOMONTH($R$3,0))-1)/2)+T$8,0)=EOMONTH($CP$3,0),T$6*T$7,0),0),IF(AND(P$6&lt;&gt;"",P$8&lt;&gt;""),IF(EOMONTH($N$3+INT((DAY(EOMONTH($N$3,0))-1)/2)+P$8,0)=EOMONTH($CP$3,0),P$6*P$7,0),0),IF(AND(L$6&lt;&gt;"",L$8&lt;&gt;""),IF(EOMONTH($J$3+INT((DAY(EOMONTH($J$3,0))-1)/2)+L$8,0)=EOMONTH($CP$3,0),L$6*L$7,0),0),IF(AND(H$6&lt;&gt;"",H$8&lt;&gt;""),IF(EOMONTH($F$3+INT((DAY(EOMONTH($F$3,0))-1)/2)+H$8,0)=EOMONTH($CP$3,0),H$6*H$7,0),0)),0)</f>
        <v>0</v>
      </c>
      <c r="CS9" s="16">
        <f t="shared" si="49"/>
        <v>0</v>
      </c>
      <c r="CT9" s="17"/>
      <c r="CU9" s="14">
        <f>IF(CT$98=1,CT9,ROUND(SUM(IF(AND(EQ$6&lt;&gt;"",EQ$8&lt;&gt;""),IF(EOMONTH($EP$3+INT((DAY(EOMONTH($EP$3,0))-1)/2)+EQ$8,0)=EOMONTH($CT$3,0),EQ$6*EQ$7,0),0),IF(AND(EM$6&lt;&gt;"",EM$8&lt;&gt;""),IF(EOMONTH($EL$3+INT((DAY(EOMONTH($EL$3,0))-1)/2)+EM$8,0)=EOMONTH($CT$3,0),EM$6*EM$7,0),0),IF(AND(EI$6&lt;&gt;"",EI$8&lt;&gt;""),IF(EOMONTH($EH$3+INT((DAY(EOMONTH($EH$3,0))-1)/2)+EI$8,0)=EOMONTH($CT$3,0),EI$6*EI$7,0),0),IF(AND(EE$6&lt;&gt;"",EE$8&lt;&gt;""),IF(EOMONTH($ED$3+INT((DAY(EOMONTH($ED$3,0))-1)/2)+EE$8,0)=EOMONTH($CT$3,0),EE$6*EE$7,0),0),IF(AND(EA$6&lt;&gt;"",EA$8&lt;&gt;""),IF(EOMONTH($DZ$3+INT((DAY(EOMONTH($DZ$3,0))-1)/2)+EA$8,0)=EOMONTH($CT$3,0),EA$6*EA$7,0),0),IF(AND(DW$6&lt;&gt;"",DW$8&lt;&gt;""),IF(EOMONTH($DV$3+INT((DAY(EOMONTH($DV$3,0))-1)/2)+DW$8,0)=EOMONTH($CT$3,0),DW$6*DW$7,0),0),IF(AND(DS$6&lt;&gt;"",DS$8&lt;&gt;""),IF(EOMONTH($DR$3+INT((DAY(EOMONTH($DR$3,0))-1)/2)+DS$8,0)=EOMONTH($CT$3,0),DS$6*DS$7,0),0),IF(AND(DO$6&lt;&gt;"",DO$8&lt;&gt;""),IF(EOMONTH($DN$3+INT((DAY(EOMONTH($DN$3,0))-1)/2)+DO$8,0)=EOMONTH($CT$3,0),DO$6*DO$7,0),0),IF(AND(DK$6&lt;&gt;"",DK$8&lt;&gt;""),IF(EOMONTH($DJ$3+INT((DAY(EOMONTH($DJ$3,0))-1)/2)+DK$8,0)=EOMONTH($CT$3,0),DK$6*DK$7,0),0),IF(AND(DG$6&lt;&gt;"",DG$8&lt;&gt;""),IF(EOMONTH($DF$3+INT((DAY(EOMONTH($DF$3,0))-1)/2)+DG$8,0)=EOMONTH($CT$3,0),DG$6*DG$7,0),0),IF(AND(DC$6&lt;&gt;"",DC$8&lt;&gt;""),IF(EOMONTH($DB$3+INT((DAY(EOMONTH($DB$3,0))-1)/2)+DC$8,0)=EOMONTH($CT$3,0),DC$6*DC$7,0),0),IF(AND(CY$6&lt;&gt;"",CY$8&lt;&gt;""),IF(EOMONTH($CX$3+INT((DAY(EOMONTH($CX$3,0))-1)/2)+CY$8,0)=EOMONTH($CT$3,0),CY$6*CY$7,0),0),IF(AND(CU$6&lt;&gt;"",CU$8&lt;&gt;""),IF(EOMONTH($CT$3+INT((DAY(EOMONTH($CT$3,0))-1)/2)+CU$8,0)=EOMONTH($CT$3,0),CU$6*CU$7,0),0),IF(AND(CQ$6&lt;&gt;"",CQ$8&lt;&gt;""),IF(EOMONTH($CP$3+INT((DAY(EOMONTH($CP$3,0))-1)/2)+CQ$8,0)=EOMONTH($CT$3,0),CQ$6*CQ$7,0),0),IF(AND(CM$6&lt;&gt;"",CM$8&lt;&gt;""),IF(EOMONTH($CL$3+INT((DAY(EOMONTH($CL$3,0))-1)/2)+CM$8,0)=EOMONTH($CT$3,0),CM$6*CM$7,0),0),IF(AND(CI$6&lt;&gt;"",CI$8&lt;&gt;""),IF(EOMONTH($CH$3+INT((DAY(EOMONTH($CH$3,0))-1)/2)+CI$8,0)=EOMONTH($CT$3,0),CI$6*CI$7,0),0),IF(AND(CE$6&lt;&gt;"",CE$8&lt;&gt;""),IF(EOMONTH($CD$3+INT((DAY(EOMONTH($CD$3,0))-1)/2)+CE$8,0)=EOMONTH($CT$3,0),CE$6*CE$7,0),0),IF(AND(CA$6&lt;&gt;"",CA$8&lt;&gt;""),IF(EOMONTH($BZ$3+INT((DAY(EOMONTH($BZ$3,0))-1)/2)+CA$8,0)=EOMONTH($CT$3,0),CA$6*CA$7,0),0),IF(AND(BW$6&lt;&gt;"",BW$8&lt;&gt;""),IF(EOMONTH($BV$3+INT((DAY(EOMONTH($BV$3,0))-1)/2)+BW$8,0)=EOMONTH($CT$3,0),BW$6*BW$7,0),0),IF(AND(BS$6&lt;&gt;"",BS$8&lt;&gt;""),IF(EOMONTH($BR$3+INT((DAY(EOMONTH($BR$3,0))-1)/2)+BS$8,0)=EOMONTH($CT$3,0),BS$6*BS$7,0),0),IF(AND(BO$6&lt;&gt;"",BO$8&lt;&gt;""),IF(EOMONTH($BN$3+INT((DAY(EOMONTH($BN$3,0))-1)/2)+BO$8,0)=EOMONTH($CT$3,0),BO$6*BO$7,0),0),IF(AND(BK$6&lt;&gt;"",BK$8&lt;&gt;""),IF(EOMONTH($BJ$3+INT((DAY(EOMONTH($BJ$3,0))-1)/2)+BK$8,0)=EOMONTH($CT$3,0),BK$6*BK$7,0),0),IF(AND(BG$6&lt;&gt;"",BG$8&lt;&gt;""),IF(EOMONTH($BF$3+INT((DAY(EOMONTH($BF$3,0))-1)/2)+BG$8,0)=EOMONTH($CT$3,0),BG$6*BG$7,0),0),IF(AND(BC$6&lt;&gt;"",BC$8&lt;&gt;""),IF(EOMONTH($BB$3+INT((DAY(EOMONTH($BB$3,0))-1)/2)+BC$8,0)=EOMONTH($CT$3,0),BC$6*BC$7,0),0),IF(AND(AY$6&lt;&gt;"",AY$8&lt;&gt;""),IF(EOMONTH($AX$3+INT((DAY(EOMONTH($AX$3,0))-1)/2)+AY$8,0)=EOMONTH($CT$3,0),AY$6*AY$7,0),0),IF(AND(AU$6&lt;&gt;"",AU$8&lt;&gt;""),IF(EOMONTH($AT$3+INT((DAY(EOMONTH($AT$3,0))-1)/2)+AU$8,0)=EOMONTH($CT$3,0),AU$6*AU$7,0),0),IF(AND(AQ$6&lt;&gt;"",AQ$8&lt;&gt;""),IF(EOMONTH($AP$3+INT((DAY(EOMONTH($AP$3,0))-1)/2)+AQ$8,0)=EOMONTH($CT$3,0),AQ$6*AQ$7,0),0),IF(AND(AM$6&lt;&gt;"",AM$8&lt;&gt;""),IF(EOMONTH($AL$3+INT((DAY(EOMONTH($AL$3,0))-1)/2)+AM$8,0)=EOMONTH($CT$3,0),AM$6*AM$7,0),0),IF(AND(AI$6&lt;&gt;"",AI$8&lt;&gt;""),IF(EOMONTH($AH$3+INT((DAY(EOMONTH($AH$3,0))-1)/2)+AI$8,0)=EOMONTH($CT$3,0),AI$6*AI$7,0),0),IF(AND(AE$6&lt;&gt;"",AE$8&lt;&gt;""),IF(EOMONTH($AD$3+INT((DAY(EOMONTH($AD$3,0))-1)/2)+AE$8,0)=EOMONTH($CT$3,0),AE$6*AE$7,0),0),IF(AND(AA$6&lt;&gt;"",AA$8&lt;&gt;""),IF(EOMONTH($Z$3+INT((DAY(EOMONTH($Z$3,0))-1)/2)+AA$8,0)=EOMONTH($CT$3,0),AA$6*AA$7,0),0),IF(AND(W$6&lt;&gt;"",W$8&lt;&gt;""),IF(EOMONTH($V$3+INT((DAY(EOMONTH($V$3,0))-1)/2)+W$8,0)=EOMONTH($CT$3,0),W$6*W$7,0),0),IF(AND(S$6&lt;&gt;"",S$8&lt;&gt;""),IF(EOMONTH($R$3+INT((DAY(EOMONTH($R$3,0))-1)/2)+S$8,0)=EOMONTH($CT$3,0),S$6*S$7,0),0),IF(AND(O$6&lt;&gt;"",O$8&lt;&gt;""),IF(EOMONTH($N$3+INT((DAY(EOMONTH($N$3,0))-1)/2)+O$8,0)=EOMONTH($CT$3,0),O$6*O$7,0),0),IF(AND(K$6&lt;&gt;"",K$8&lt;&gt;""),IF(EOMONTH($J$3+INT((DAY(EOMONTH($J$3,0))-1)/2)+K$8,0)=EOMONTH($CT$3,0),K$6*K$7,0),0),IF(AND(G$6&lt;&gt;"",G$8&lt;&gt;""),IF(EOMONTH($F$3+INT((DAY(EOMONTH($F$3,0))-1)/2)+G$8,0)=EOMONTH($CT$3,0),G$6*G$7,0),0)),0))</f>
        <v>0</v>
      </c>
      <c r="CV9" s="15">
        <f>ROUND(SUM(IF(AND(ER$6&lt;&gt;"",ER$8&lt;&gt;""),IF(EOMONTH($EP$3+INT((DAY(EOMONTH($EP$3,0))-1)/2)+ER$8,0)=EOMONTH($CT$3,0),ER$6*ER$7,0),0),IF(AND(EN$6&lt;&gt;"",EN$8&lt;&gt;""),IF(EOMONTH($EL$3+INT((DAY(EOMONTH($EL$3,0))-1)/2)+EN$8,0)=EOMONTH($CT$3,0),EN$6*EN$7,0),0),IF(AND(EJ$6&lt;&gt;"",EJ$8&lt;&gt;""),IF(EOMONTH($EH$3+INT((DAY(EOMONTH($EH$3,0))-1)/2)+EJ$8,0)=EOMONTH($CT$3,0),EJ$6*EJ$7,0),0),IF(AND(EF$6&lt;&gt;"",EF$8&lt;&gt;""),IF(EOMONTH($ED$3+INT((DAY(EOMONTH($ED$3,0))-1)/2)+EF$8,0)=EOMONTH($CT$3,0),EF$6*EF$7,0),0),IF(AND(EB$6&lt;&gt;"",EB$8&lt;&gt;""),IF(EOMONTH($DZ$3+INT((DAY(EOMONTH($DZ$3,0))-1)/2)+EB$8,0)=EOMONTH($CT$3,0),EB$6*EB$7,0),0),IF(AND(DX$6&lt;&gt;"",DX$8&lt;&gt;""),IF(EOMONTH($DV$3+INT((DAY(EOMONTH($DV$3,0))-1)/2)+DX$8,0)=EOMONTH($CT$3,0),DX$6*DX$7,0),0),IF(AND(DT$6&lt;&gt;"",DT$8&lt;&gt;""),IF(EOMONTH($DR$3+INT((DAY(EOMONTH($DR$3,0))-1)/2)+DT$8,0)=EOMONTH($CT$3,0),DT$6*DT$7,0),0),IF(AND(DP$6&lt;&gt;"",DP$8&lt;&gt;""),IF(EOMONTH($DN$3+INT((DAY(EOMONTH($DN$3,0))-1)/2)+DP$8,0)=EOMONTH($CT$3,0),DP$6*DP$7,0),0),IF(AND(DL$6&lt;&gt;"",DL$8&lt;&gt;""),IF(EOMONTH($DJ$3+INT((DAY(EOMONTH($DJ$3,0))-1)/2)+DL$8,0)=EOMONTH($CT$3,0),DL$6*DL$7,0),0),IF(AND(DH$6&lt;&gt;"",DH$8&lt;&gt;""),IF(EOMONTH($DF$3+INT((DAY(EOMONTH($DF$3,0))-1)/2)+DH$8,0)=EOMONTH($CT$3,0),DH$6*DH$7,0),0),IF(AND(DD$6&lt;&gt;"",DD$8&lt;&gt;""),IF(EOMONTH($DB$3+INT((DAY(EOMONTH($DB$3,0))-1)/2)+DD$8,0)=EOMONTH($CT$3,0),DD$6*DD$7,0),0),IF(AND(CZ$6&lt;&gt;"",CZ$8&lt;&gt;""),IF(EOMONTH($CX$3+INT((DAY(EOMONTH($CX$3,0))-1)/2)+CZ$8,0)=EOMONTH($CT$3,0),CZ$6*CZ$7,0),0),IF(AND(CV$6&lt;&gt;"",CV$8&lt;&gt;""),IF(EOMONTH($CT$3+INT((DAY(EOMONTH($CT$3,0))-1)/2)+CV$8,0)=EOMONTH($CT$3,0),CV$6*CV$7,0),0),IF(AND(CR$6&lt;&gt;"",CR$8&lt;&gt;""),IF(EOMONTH($CP$3+INT((DAY(EOMONTH($CP$3,0))-1)/2)+CR$8,0)=EOMONTH($CT$3,0),CR$6*CR$7,0),0),IF(AND(CN$6&lt;&gt;"",CN$8&lt;&gt;""),IF(EOMONTH($CL$3+INT((DAY(EOMONTH($CL$3,0))-1)/2)+CN$8,0)=EOMONTH($CT$3,0),CN$6*CN$7,0),0),IF(AND(CJ$6&lt;&gt;"",CJ$8&lt;&gt;""),IF(EOMONTH($CH$3+INT((DAY(EOMONTH($CH$3,0))-1)/2)+CJ$8,0)=EOMONTH($CT$3,0),CJ$6*CJ$7,0),0),IF(AND(CF$6&lt;&gt;"",CF$8&lt;&gt;""),IF(EOMONTH($CD$3+INT((DAY(EOMONTH($CD$3,0))-1)/2)+CF$8,0)=EOMONTH($CT$3,0),CF$6*CF$7,0),0),IF(AND(CB$6&lt;&gt;"",CB$8&lt;&gt;""),IF(EOMONTH($BZ$3+INT((DAY(EOMONTH($BZ$3,0))-1)/2)+CB$8,0)=EOMONTH($CT$3,0),CB$6*CB$7,0),0),IF(AND(BX$6&lt;&gt;"",BX$8&lt;&gt;""),IF(EOMONTH($BV$3+INT((DAY(EOMONTH($BV$3,0))-1)/2)+BX$8,0)=EOMONTH($CT$3,0),BX$6*BX$7,0),0),IF(AND(BT$6&lt;&gt;"",BT$8&lt;&gt;""),IF(EOMONTH($BR$3+INT((DAY(EOMONTH($BR$3,0))-1)/2)+BT$8,0)=EOMONTH($CT$3,0),BT$6*BT$7,0),0),IF(AND(BP$6&lt;&gt;"",BP$8&lt;&gt;""),IF(EOMONTH($BN$3+INT((DAY(EOMONTH($BN$3,0))-1)/2)+BP$8,0)=EOMONTH($CT$3,0),BP$6*BP$7,0),0),IF(AND(BL$6&lt;&gt;"",BL$8&lt;&gt;""),IF(EOMONTH($BJ$3+INT((DAY(EOMONTH($BJ$3,0))-1)/2)+BL$8,0)=EOMONTH($CT$3,0),BL$6*BL$7,0),0),IF(AND(BH$6&lt;&gt;"",BH$8&lt;&gt;""),IF(EOMONTH($BF$3+INT((DAY(EOMONTH($BF$3,0))-1)/2)+BH$8,0)=EOMONTH($CT$3,0),BH$6*BH$7,0),0),IF(AND(BD$6&lt;&gt;"",BD$8&lt;&gt;""),IF(EOMONTH($BB$3+INT((DAY(EOMONTH($BB$3,0))-1)/2)+BD$8,0)=EOMONTH($CT$3,0),BD$6*BD$7,0),0),IF(AND(AZ$6&lt;&gt;"",AZ$8&lt;&gt;""),IF(EOMONTH($AX$3+INT((DAY(EOMONTH($AX$3,0))-1)/2)+AZ$8,0)=EOMONTH($CT$3,0),AZ$6*AZ$7,0),0),IF(AND(AV$6&lt;&gt;"",AV$8&lt;&gt;""),IF(EOMONTH($AT$3+INT((DAY(EOMONTH($AT$3,0))-1)/2)+AV$8,0)=EOMONTH($CT$3,0),AV$6*AV$7,0),0),IF(AND(AR$6&lt;&gt;"",AR$8&lt;&gt;""),IF(EOMONTH($AP$3+INT((DAY(EOMONTH($AP$3,0))-1)/2)+AR$8,0)=EOMONTH($CT$3,0),AR$6*AR$7,0),0),IF(AND(AN$6&lt;&gt;"",AN$8&lt;&gt;""),IF(EOMONTH($AL$3+INT((DAY(EOMONTH($AL$3,0))-1)/2)+AN$8,0)=EOMONTH($CT$3,0),AN$6*AN$7,0),0),IF(AND(AJ$6&lt;&gt;"",AJ$8&lt;&gt;""),IF(EOMONTH($AH$3+INT((DAY(EOMONTH($AH$3,0))-1)/2)+AJ$8,0)=EOMONTH($CT$3,0),AJ$6*AJ$7,0),0),IF(AND(AF$6&lt;&gt;"",AF$8&lt;&gt;""),IF(EOMONTH($AD$3+INT((DAY(EOMONTH($AD$3,0))-1)/2)+AF$8,0)=EOMONTH($CT$3,0),AF$6*AF$7,0),0),IF(AND(AB$6&lt;&gt;"",AB$8&lt;&gt;""),IF(EOMONTH($Z$3+INT((DAY(EOMONTH($Z$3,0))-1)/2)+AB$8,0)=EOMONTH($CT$3,0),AB$6*AB$7,0),0),IF(AND(X$6&lt;&gt;"",X$8&lt;&gt;""),IF(EOMONTH($V$3+INT((DAY(EOMONTH($V$3,0))-1)/2)+X$8,0)=EOMONTH($CT$3,0),X$6*X$7,0),0),IF(AND(T$6&lt;&gt;"",T$8&lt;&gt;""),IF(EOMONTH($R$3+INT((DAY(EOMONTH($R$3,0))-1)/2)+T$8,0)=EOMONTH($CT$3,0),T$6*T$7,0),0),IF(AND(P$6&lt;&gt;"",P$8&lt;&gt;""),IF(EOMONTH($N$3+INT((DAY(EOMONTH($N$3,0))-1)/2)+P$8,0)=EOMONTH($CT$3,0),P$6*P$7,0),0),IF(AND(L$6&lt;&gt;"",L$8&lt;&gt;""),IF(EOMONTH($J$3+INT((DAY(EOMONTH($J$3,0))-1)/2)+L$8,0)=EOMONTH($CT$3,0),L$6*L$7,0),0),IF(AND(H$6&lt;&gt;"",H$8&lt;&gt;""),IF(EOMONTH($F$3+INT((DAY(EOMONTH($F$3,0))-1)/2)+H$8,0)=EOMONTH($CT$3,0),H$6*H$7,0),0)),0)</f>
        <v>0</v>
      </c>
      <c r="CW9" s="16">
        <f t="shared" si="51"/>
        <v>0</v>
      </c>
      <c r="CX9" s="17"/>
      <c r="CY9" s="14">
        <f>IF(CX$98=1,CX9,ROUND(SUM(IF(AND(EQ$6&lt;&gt;"",EQ$8&lt;&gt;""),IF(EOMONTH($EP$3+INT((DAY(EOMONTH($EP$3,0))-1)/2)+EQ$8,0)=EOMONTH($CX$3,0),EQ$6*EQ$7,0),0),IF(AND(EM$6&lt;&gt;"",EM$8&lt;&gt;""),IF(EOMONTH($EL$3+INT((DAY(EOMONTH($EL$3,0))-1)/2)+EM$8,0)=EOMONTH($CX$3,0),EM$6*EM$7,0),0),IF(AND(EI$6&lt;&gt;"",EI$8&lt;&gt;""),IF(EOMONTH($EH$3+INT((DAY(EOMONTH($EH$3,0))-1)/2)+EI$8,0)=EOMONTH($CX$3,0),EI$6*EI$7,0),0),IF(AND(EE$6&lt;&gt;"",EE$8&lt;&gt;""),IF(EOMONTH($ED$3+INT((DAY(EOMONTH($ED$3,0))-1)/2)+EE$8,0)=EOMONTH($CX$3,0),EE$6*EE$7,0),0),IF(AND(EA$6&lt;&gt;"",EA$8&lt;&gt;""),IF(EOMONTH($DZ$3+INT((DAY(EOMONTH($DZ$3,0))-1)/2)+EA$8,0)=EOMONTH($CX$3,0),EA$6*EA$7,0),0),IF(AND(DW$6&lt;&gt;"",DW$8&lt;&gt;""),IF(EOMONTH($DV$3+INT((DAY(EOMONTH($DV$3,0))-1)/2)+DW$8,0)=EOMONTH($CX$3,0),DW$6*DW$7,0),0),IF(AND(DS$6&lt;&gt;"",DS$8&lt;&gt;""),IF(EOMONTH($DR$3+INT((DAY(EOMONTH($DR$3,0))-1)/2)+DS$8,0)=EOMONTH($CX$3,0),DS$6*DS$7,0),0),IF(AND(DO$6&lt;&gt;"",DO$8&lt;&gt;""),IF(EOMONTH($DN$3+INT((DAY(EOMONTH($DN$3,0))-1)/2)+DO$8,0)=EOMONTH($CX$3,0),DO$6*DO$7,0),0),IF(AND(DK$6&lt;&gt;"",DK$8&lt;&gt;""),IF(EOMONTH($DJ$3+INT((DAY(EOMONTH($DJ$3,0))-1)/2)+DK$8,0)=EOMONTH($CX$3,0),DK$6*DK$7,0),0),IF(AND(DG$6&lt;&gt;"",DG$8&lt;&gt;""),IF(EOMONTH($DF$3+INT((DAY(EOMONTH($DF$3,0))-1)/2)+DG$8,0)=EOMONTH($CX$3,0),DG$6*DG$7,0),0),IF(AND(DC$6&lt;&gt;"",DC$8&lt;&gt;""),IF(EOMONTH($DB$3+INT((DAY(EOMONTH($DB$3,0))-1)/2)+DC$8,0)=EOMONTH($CX$3,0),DC$6*DC$7,0),0),IF(AND(CY$6&lt;&gt;"",CY$8&lt;&gt;""),IF(EOMONTH($CX$3+INT((DAY(EOMONTH($CX$3,0))-1)/2)+CY$8,0)=EOMONTH($CX$3,0),CY$6*CY$7,0),0),IF(AND(CU$6&lt;&gt;"",CU$8&lt;&gt;""),IF(EOMONTH($CT$3+INT((DAY(EOMONTH($CT$3,0))-1)/2)+CU$8,0)=EOMONTH($CX$3,0),CU$6*CU$7,0),0),IF(AND(CQ$6&lt;&gt;"",CQ$8&lt;&gt;""),IF(EOMONTH($CP$3+INT((DAY(EOMONTH($CP$3,0))-1)/2)+CQ$8,0)=EOMONTH($CX$3,0),CQ$6*CQ$7,0),0),IF(AND(CM$6&lt;&gt;"",CM$8&lt;&gt;""),IF(EOMONTH($CL$3+INT((DAY(EOMONTH($CL$3,0))-1)/2)+CM$8,0)=EOMONTH($CX$3,0),CM$6*CM$7,0),0),IF(AND(CI$6&lt;&gt;"",CI$8&lt;&gt;""),IF(EOMONTH($CH$3+INT((DAY(EOMONTH($CH$3,0))-1)/2)+CI$8,0)=EOMONTH($CX$3,0),CI$6*CI$7,0),0),IF(AND(CE$6&lt;&gt;"",CE$8&lt;&gt;""),IF(EOMONTH($CD$3+INT((DAY(EOMONTH($CD$3,0))-1)/2)+CE$8,0)=EOMONTH($CX$3,0),CE$6*CE$7,0),0),IF(AND(CA$6&lt;&gt;"",CA$8&lt;&gt;""),IF(EOMONTH($BZ$3+INT((DAY(EOMONTH($BZ$3,0))-1)/2)+CA$8,0)=EOMONTH($CX$3,0),CA$6*CA$7,0),0),IF(AND(BW$6&lt;&gt;"",BW$8&lt;&gt;""),IF(EOMONTH($BV$3+INT((DAY(EOMONTH($BV$3,0))-1)/2)+BW$8,0)=EOMONTH($CX$3,0),BW$6*BW$7,0),0),IF(AND(BS$6&lt;&gt;"",BS$8&lt;&gt;""),IF(EOMONTH($BR$3+INT((DAY(EOMONTH($BR$3,0))-1)/2)+BS$8,0)=EOMONTH($CX$3,0),BS$6*BS$7,0),0),IF(AND(BO$6&lt;&gt;"",BO$8&lt;&gt;""),IF(EOMONTH($BN$3+INT((DAY(EOMONTH($BN$3,0))-1)/2)+BO$8,0)=EOMONTH($CX$3,0),BO$6*BO$7,0),0),IF(AND(BK$6&lt;&gt;"",BK$8&lt;&gt;""),IF(EOMONTH($BJ$3+INT((DAY(EOMONTH($BJ$3,0))-1)/2)+BK$8,0)=EOMONTH($CX$3,0),BK$6*BK$7,0),0),IF(AND(BG$6&lt;&gt;"",BG$8&lt;&gt;""),IF(EOMONTH($BF$3+INT((DAY(EOMONTH($BF$3,0))-1)/2)+BG$8,0)=EOMONTH($CX$3,0),BG$6*BG$7,0),0),IF(AND(BC$6&lt;&gt;"",BC$8&lt;&gt;""),IF(EOMONTH($BB$3+INT((DAY(EOMONTH($BB$3,0))-1)/2)+BC$8,0)=EOMONTH($CX$3,0),BC$6*BC$7,0),0),IF(AND(AY$6&lt;&gt;"",AY$8&lt;&gt;""),IF(EOMONTH($AX$3+INT((DAY(EOMONTH($AX$3,0))-1)/2)+AY$8,0)=EOMONTH($CX$3,0),AY$6*AY$7,0),0),IF(AND(AU$6&lt;&gt;"",AU$8&lt;&gt;""),IF(EOMONTH($AT$3+INT((DAY(EOMONTH($AT$3,0))-1)/2)+AU$8,0)=EOMONTH($CX$3,0),AU$6*AU$7,0),0),IF(AND(AQ$6&lt;&gt;"",AQ$8&lt;&gt;""),IF(EOMONTH($AP$3+INT((DAY(EOMONTH($AP$3,0))-1)/2)+AQ$8,0)=EOMONTH($CX$3,0),AQ$6*AQ$7,0),0),IF(AND(AM$6&lt;&gt;"",AM$8&lt;&gt;""),IF(EOMONTH($AL$3+INT((DAY(EOMONTH($AL$3,0))-1)/2)+AM$8,0)=EOMONTH($CX$3,0),AM$6*AM$7,0),0),IF(AND(AI$6&lt;&gt;"",AI$8&lt;&gt;""),IF(EOMONTH($AH$3+INT((DAY(EOMONTH($AH$3,0))-1)/2)+AI$8,0)=EOMONTH($CX$3,0),AI$6*AI$7,0),0),IF(AND(AE$6&lt;&gt;"",AE$8&lt;&gt;""),IF(EOMONTH($AD$3+INT((DAY(EOMONTH($AD$3,0))-1)/2)+AE$8,0)=EOMONTH($CX$3,0),AE$6*AE$7,0),0),IF(AND(AA$6&lt;&gt;"",AA$8&lt;&gt;""),IF(EOMONTH($Z$3+INT((DAY(EOMONTH($Z$3,0))-1)/2)+AA$8,0)=EOMONTH($CX$3,0),AA$6*AA$7,0),0),IF(AND(W$6&lt;&gt;"",W$8&lt;&gt;""),IF(EOMONTH($V$3+INT((DAY(EOMONTH($V$3,0))-1)/2)+W$8,0)=EOMONTH($CX$3,0),W$6*W$7,0),0),IF(AND(S$6&lt;&gt;"",S$8&lt;&gt;""),IF(EOMONTH($R$3+INT((DAY(EOMONTH($R$3,0))-1)/2)+S$8,0)=EOMONTH($CX$3,0),S$6*S$7,0),0),IF(AND(O$6&lt;&gt;"",O$8&lt;&gt;""),IF(EOMONTH($N$3+INT((DAY(EOMONTH($N$3,0))-1)/2)+O$8,0)=EOMONTH($CX$3,0),O$6*O$7,0),0),IF(AND(K$6&lt;&gt;"",K$8&lt;&gt;""),IF(EOMONTH($J$3+INT((DAY(EOMONTH($J$3,0))-1)/2)+K$8,0)=EOMONTH($CX$3,0),K$6*K$7,0),0),IF(AND(G$6&lt;&gt;"",G$8&lt;&gt;""),IF(EOMONTH($F$3+INT((DAY(EOMONTH($F$3,0))-1)/2)+G$8,0)=EOMONTH($CX$3,0),G$6*G$7,0),0)),0))</f>
        <v>0</v>
      </c>
      <c r="CZ9" s="15">
        <f>ROUND(SUM(IF(AND(ER$6&lt;&gt;"",ER$8&lt;&gt;""),IF(EOMONTH($EP$3+INT((DAY(EOMONTH($EP$3,0))-1)/2)+ER$8,0)=EOMONTH($CX$3,0),ER$6*ER$7,0),0),IF(AND(EN$6&lt;&gt;"",EN$8&lt;&gt;""),IF(EOMONTH($EL$3+INT((DAY(EOMONTH($EL$3,0))-1)/2)+EN$8,0)=EOMONTH($CX$3,0),EN$6*EN$7,0),0),IF(AND(EJ$6&lt;&gt;"",EJ$8&lt;&gt;""),IF(EOMONTH($EH$3+INT((DAY(EOMONTH($EH$3,0))-1)/2)+EJ$8,0)=EOMONTH($CX$3,0),EJ$6*EJ$7,0),0),IF(AND(EF$6&lt;&gt;"",EF$8&lt;&gt;""),IF(EOMONTH($ED$3+INT((DAY(EOMONTH($ED$3,0))-1)/2)+EF$8,0)=EOMONTH($CX$3,0),EF$6*EF$7,0),0),IF(AND(EB$6&lt;&gt;"",EB$8&lt;&gt;""),IF(EOMONTH($DZ$3+INT((DAY(EOMONTH($DZ$3,0))-1)/2)+EB$8,0)=EOMONTH($CX$3,0),EB$6*EB$7,0),0),IF(AND(DX$6&lt;&gt;"",DX$8&lt;&gt;""),IF(EOMONTH($DV$3+INT((DAY(EOMONTH($DV$3,0))-1)/2)+DX$8,0)=EOMONTH($CX$3,0),DX$6*DX$7,0),0),IF(AND(DT$6&lt;&gt;"",DT$8&lt;&gt;""),IF(EOMONTH($DR$3+INT((DAY(EOMONTH($DR$3,0))-1)/2)+DT$8,0)=EOMONTH($CX$3,0),DT$6*DT$7,0),0),IF(AND(DP$6&lt;&gt;"",DP$8&lt;&gt;""),IF(EOMONTH($DN$3+INT((DAY(EOMONTH($DN$3,0))-1)/2)+DP$8,0)=EOMONTH($CX$3,0),DP$6*DP$7,0),0),IF(AND(DL$6&lt;&gt;"",DL$8&lt;&gt;""),IF(EOMONTH($DJ$3+INT((DAY(EOMONTH($DJ$3,0))-1)/2)+DL$8,0)=EOMONTH($CX$3,0),DL$6*DL$7,0),0),IF(AND(DH$6&lt;&gt;"",DH$8&lt;&gt;""),IF(EOMONTH($DF$3+INT((DAY(EOMONTH($DF$3,0))-1)/2)+DH$8,0)=EOMONTH($CX$3,0),DH$6*DH$7,0),0),IF(AND(DD$6&lt;&gt;"",DD$8&lt;&gt;""),IF(EOMONTH($DB$3+INT((DAY(EOMONTH($DB$3,0))-1)/2)+DD$8,0)=EOMONTH($CX$3,0),DD$6*DD$7,0),0),IF(AND(CZ$6&lt;&gt;"",CZ$8&lt;&gt;""),IF(EOMONTH($CX$3+INT((DAY(EOMONTH($CX$3,0))-1)/2)+CZ$8,0)=EOMONTH($CX$3,0),CZ$6*CZ$7,0),0),IF(AND(CV$6&lt;&gt;"",CV$8&lt;&gt;""),IF(EOMONTH($CT$3+INT((DAY(EOMONTH($CT$3,0))-1)/2)+CV$8,0)=EOMONTH($CX$3,0),CV$6*CV$7,0),0),IF(AND(CR$6&lt;&gt;"",CR$8&lt;&gt;""),IF(EOMONTH($CP$3+INT((DAY(EOMONTH($CP$3,0))-1)/2)+CR$8,0)=EOMONTH($CX$3,0),CR$6*CR$7,0),0),IF(AND(CN$6&lt;&gt;"",CN$8&lt;&gt;""),IF(EOMONTH($CL$3+INT((DAY(EOMONTH($CL$3,0))-1)/2)+CN$8,0)=EOMONTH($CX$3,0),CN$6*CN$7,0),0),IF(AND(CJ$6&lt;&gt;"",CJ$8&lt;&gt;""),IF(EOMONTH($CH$3+INT((DAY(EOMONTH($CH$3,0))-1)/2)+CJ$8,0)=EOMONTH($CX$3,0),CJ$6*CJ$7,0),0),IF(AND(CF$6&lt;&gt;"",CF$8&lt;&gt;""),IF(EOMONTH($CD$3+INT((DAY(EOMONTH($CD$3,0))-1)/2)+CF$8,0)=EOMONTH($CX$3,0),CF$6*CF$7,0),0),IF(AND(CB$6&lt;&gt;"",CB$8&lt;&gt;""),IF(EOMONTH($BZ$3+INT((DAY(EOMONTH($BZ$3,0))-1)/2)+CB$8,0)=EOMONTH($CX$3,0),CB$6*CB$7,0),0),IF(AND(BX$6&lt;&gt;"",BX$8&lt;&gt;""),IF(EOMONTH($BV$3+INT((DAY(EOMONTH($BV$3,0))-1)/2)+BX$8,0)=EOMONTH($CX$3,0),BX$6*BX$7,0),0),IF(AND(BT$6&lt;&gt;"",BT$8&lt;&gt;""),IF(EOMONTH($BR$3+INT((DAY(EOMONTH($BR$3,0))-1)/2)+BT$8,0)=EOMONTH($CX$3,0),BT$6*BT$7,0),0),IF(AND(BP$6&lt;&gt;"",BP$8&lt;&gt;""),IF(EOMONTH($BN$3+INT((DAY(EOMONTH($BN$3,0))-1)/2)+BP$8,0)=EOMONTH($CX$3,0),BP$6*BP$7,0),0),IF(AND(BL$6&lt;&gt;"",BL$8&lt;&gt;""),IF(EOMONTH($BJ$3+INT((DAY(EOMONTH($BJ$3,0))-1)/2)+BL$8,0)=EOMONTH($CX$3,0),BL$6*BL$7,0),0),IF(AND(BH$6&lt;&gt;"",BH$8&lt;&gt;""),IF(EOMONTH($BF$3+INT((DAY(EOMONTH($BF$3,0))-1)/2)+BH$8,0)=EOMONTH($CX$3,0),BH$6*BH$7,0),0),IF(AND(BD$6&lt;&gt;"",BD$8&lt;&gt;""),IF(EOMONTH($BB$3+INT((DAY(EOMONTH($BB$3,0))-1)/2)+BD$8,0)=EOMONTH($CX$3,0),BD$6*BD$7,0),0),IF(AND(AZ$6&lt;&gt;"",AZ$8&lt;&gt;""),IF(EOMONTH($AX$3+INT((DAY(EOMONTH($AX$3,0))-1)/2)+AZ$8,0)=EOMONTH($CX$3,0),AZ$6*AZ$7,0),0),IF(AND(AV$6&lt;&gt;"",AV$8&lt;&gt;""),IF(EOMONTH($AT$3+INT((DAY(EOMONTH($AT$3,0))-1)/2)+AV$8,0)=EOMONTH($CX$3,0),AV$6*AV$7,0),0),IF(AND(AR$6&lt;&gt;"",AR$8&lt;&gt;""),IF(EOMONTH($AP$3+INT((DAY(EOMONTH($AP$3,0))-1)/2)+AR$8,0)=EOMONTH($CX$3,0),AR$6*AR$7,0),0),IF(AND(AN$6&lt;&gt;"",AN$8&lt;&gt;""),IF(EOMONTH($AL$3+INT((DAY(EOMONTH($AL$3,0))-1)/2)+AN$8,0)=EOMONTH($CX$3,0),AN$6*AN$7,0),0),IF(AND(AJ$6&lt;&gt;"",AJ$8&lt;&gt;""),IF(EOMONTH($AH$3+INT((DAY(EOMONTH($AH$3,0))-1)/2)+AJ$8,0)=EOMONTH($CX$3,0),AJ$6*AJ$7,0),0),IF(AND(AF$6&lt;&gt;"",AF$8&lt;&gt;""),IF(EOMONTH($AD$3+INT((DAY(EOMONTH($AD$3,0))-1)/2)+AF$8,0)=EOMONTH($CX$3,0),AF$6*AF$7,0),0),IF(AND(AB$6&lt;&gt;"",AB$8&lt;&gt;""),IF(EOMONTH($Z$3+INT((DAY(EOMONTH($Z$3,0))-1)/2)+AB$8,0)=EOMONTH($CX$3,0),AB$6*AB$7,0),0),IF(AND(X$6&lt;&gt;"",X$8&lt;&gt;""),IF(EOMONTH($V$3+INT((DAY(EOMONTH($V$3,0))-1)/2)+X$8,0)=EOMONTH($CX$3,0),X$6*X$7,0),0),IF(AND(T$6&lt;&gt;"",T$8&lt;&gt;""),IF(EOMONTH($R$3+INT((DAY(EOMONTH($R$3,0))-1)/2)+T$8,0)=EOMONTH($CX$3,0),T$6*T$7,0),0),IF(AND(P$6&lt;&gt;"",P$8&lt;&gt;""),IF(EOMONTH($N$3+INT((DAY(EOMONTH($N$3,0))-1)/2)+P$8,0)=EOMONTH($CX$3,0),P$6*P$7,0),0),IF(AND(L$6&lt;&gt;"",L$8&lt;&gt;""),IF(EOMONTH($J$3+INT((DAY(EOMONTH($J$3,0))-1)/2)+L$8,0)=EOMONTH($CX$3,0),L$6*L$7,0),0),IF(AND(H$6&lt;&gt;"",H$8&lt;&gt;""),IF(EOMONTH($F$3+INT((DAY(EOMONTH($F$3,0))-1)/2)+H$8,0)=EOMONTH($CX$3,0),H$6*H$7,0),0)),0)</f>
        <v>0</v>
      </c>
      <c r="DA9" s="16">
        <f t="shared" si="53"/>
        <v>0</v>
      </c>
      <c r="DB9" s="17"/>
      <c r="DC9" s="14">
        <f>IF(DB$98=1,DB9,ROUND(SUM(IF(AND(EQ$6&lt;&gt;"",EQ$8&lt;&gt;""),IF(EOMONTH($EP$3+INT((DAY(EOMONTH($EP$3,0))-1)/2)+EQ$8,0)=EOMONTH($DB$3,0),EQ$6*EQ$7,0),0),IF(AND(EM$6&lt;&gt;"",EM$8&lt;&gt;""),IF(EOMONTH($EL$3+INT((DAY(EOMONTH($EL$3,0))-1)/2)+EM$8,0)=EOMONTH($DB$3,0),EM$6*EM$7,0),0),IF(AND(EI$6&lt;&gt;"",EI$8&lt;&gt;""),IF(EOMONTH($EH$3+INT((DAY(EOMONTH($EH$3,0))-1)/2)+EI$8,0)=EOMONTH($DB$3,0),EI$6*EI$7,0),0),IF(AND(EE$6&lt;&gt;"",EE$8&lt;&gt;""),IF(EOMONTH($ED$3+INT((DAY(EOMONTH($ED$3,0))-1)/2)+EE$8,0)=EOMONTH($DB$3,0),EE$6*EE$7,0),0),IF(AND(EA$6&lt;&gt;"",EA$8&lt;&gt;""),IF(EOMONTH($DZ$3+INT((DAY(EOMONTH($DZ$3,0))-1)/2)+EA$8,0)=EOMONTH($DB$3,0),EA$6*EA$7,0),0),IF(AND(DW$6&lt;&gt;"",DW$8&lt;&gt;""),IF(EOMONTH($DV$3+INT((DAY(EOMONTH($DV$3,0))-1)/2)+DW$8,0)=EOMONTH($DB$3,0),DW$6*DW$7,0),0),IF(AND(DS$6&lt;&gt;"",DS$8&lt;&gt;""),IF(EOMONTH($DR$3+INT((DAY(EOMONTH($DR$3,0))-1)/2)+DS$8,0)=EOMONTH($DB$3,0),DS$6*DS$7,0),0),IF(AND(DO$6&lt;&gt;"",DO$8&lt;&gt;""),IF(EOMONTH($DN$3+INT((DAY(EOMONTH($DN$3,0))-1)/2)+DO$8,0)=EOMONTH($DB$3,0),DO$6*DO$7,0),0),IF(AND(DK$6&lt;&gt;"",DK$8&lt;&gt;""),IF(EOMONTH($DJ$3+INT((DAY(EOMONTH($DJ$3,0))-1)/2)+DK$8,0)=EOMONTH($DB$3,0),DK$6*DK$7,0),0),IF(AND(DG$6&lt;&gt;"",DG$8&lt;&gt;""),IF(EOMONTH($DF$3+INT((DAY(EOMONTH($DF$3,0))-1)/2)+DG$8,0)=EOMONTH($DB$3,0),DG$6*DG$7,0),0),IF(AND(DC$6&lt;&gt;"",DC$8&lt;&gt;""),IF(EOMONTH($DB$3+INT((DAY(EOMONTH($DB$3,0))-1)/2)+DC$8,0)=EOMONTH($DB$3,0),DC$6*DC$7,0),0),IF(AND(CY$6&lt;&gt;"",CY$8&lt;&gt;""),IF(EOMONTH($CX$3+INT((DAY(EOMONTH($CX$3,0))-1)/2)+CY$8,0)=EOMONTH($DB$3,0),CY$6*CY$7,0),0),IF(AND(CU$6&lt;&gt;"",CU$8&lt;&gt;""),IF(EOMONTH($CT$3+INT((DAY(EOMONTH($CT$3,0))-1)/2)+CU$8,0)=EOMONTH($DB$3,0),CU$6*CU$7,0),0),IF(AND(CQ$6&lt;&gt;"",CQ$8&lt;&gt;""),IF(EOMONTH($CP$3+INT((DAY(EOMONTH($CP$3,0))-1)/2)+CQ$8,0)=EOMONTH($DB$3,0),CQ$6*CQ$7,0),0),IF(AND(CM$6&lt;&gt;"",CM$8&lt;&gt;""),IF(EOMONTH($CL$3+INT((DAY(EOMONTH($CL$3,0))-1)/2)+CM$8,0)=EOMONTH($DB$3,0),CM$6*CM$7,0),0),IF(AND(CI$6&lt;&gt;"",CI$8&lt;&gt;""),IF(EOMONTH($CH$3+INT((DAY(EOMONTH($CH$3,0))-1)/2)+CI$8,0)=EOMONTH($DB$3,0),CI$6*CI$7,0),0),IF(AND(CE$6&lt;&gt;"",CE$8&lt;&gt;""),IF(EOMONTH($CD$3+INT((DAY(EOMONTH($CD$3,0))-1)/2)+CE$8,0)=EOMONTH($DB$3,0),CE$6*CE$7,0),0),IF(AND(CA$6&lt;&gt;"",CA$8&lt;&gt;""),IF(EOMONTH($BZ$3+INT((DAY(EOMONTH($BZ$3,0))-1)/2)+CA$8,0)=EOMONTH($DB$3,0),CA$6*CA$7,0),0),IF(AND(BW$6&lt;&gt;"",BW$8&lt;&gt;""),IF(EOMONTH($BV$3+INT((DAY(EOMONTH($BV$3,0))-1)/2)+BW$8,0)=EOMONTH($DB$3,0),BW$6*BW$7,0),0),IF(AND(BS$6&lt;&gt;"",BS$8&lt;&gt;""),IF(EOMONTH($BR$3+INT((DAY(EOMONTH($BR$3,0))-1)/2)+BS$8,0)=EOMONTH($DB$3,0),BS$6*BS$7,0),0),IF(AND(BO$6&lt;&gt;"",BO$8&lt;&gt;""),IF(EOMONTH($BN$3+INT((DAY(EOMONTH($BN$3,0))-1)/2)+BO$8,0)=EOMONTH($DB$3,0),BO$6*BO$7,0),0),IF(AND(BK$6&lt;&gt;"",BK$8&lt;&gt;""),IF(EOMONTH($BJ$3+INT((DAY(EOMONTH($BJ$3,0))-1)/2)+BK$8,0)=EOMONTH($DB$3,0),BK$6*BK$7,0),0),IF(AND(BG$6&lt;&gt;"",BG$8&lt;&gt;""),IF(EOMONTH($BF$3+INT((DAY(EOMONTH($BF$3,0))-1)/2)+BG$8,0)=EOMONTH($DB$3,0),BG$6*BG$7,0),0),IF(AND(BC$6&lt;&gt;"",BC$8&lt;&gt;""),IF(EOMONTH($BB$3+INT((DAY(EOMONTH($BB$3,0))-1)/2)+BC$8,0)=EOMONTH($DB$3,0),BC$6*BC$7,0),0),IF(AND(AY$6&lt;&gt;"",AY$8&lt;&gt;""),IF(EOMONTH($AX$3+INT((DAY(EOMONTH($AX$3,0))-1)/2)+AY$8,0)=EOMONTH($DB$3,0),AY$6*AY$7,0),0),IF(AND(AU$6&lt;&gt;"",AU$8&lt;&gt;""),IF(EOMONTH($AT$3+INT((DAY(EOMONTH($AT$3,0))-1)/2)+AU$8,0)=EOMONTH($DB$3,0),AU$6*AU$7,0),0),IF(AND(AQ$6&lt;&gt;"",AQ$8&lt;&gt;""),IF(EOMONTH($AP$3+INT((DAY(EOMONTH($AP$3,0))-1)/2)+AQ$8,0)=EOMONTH($DB$3,0),AQ$6*AQ$7,0),0),IF(AND(AM$6&lt;&gt;"",AM$8&lt;&gt;""),IF(EOMONTH($AL$3+INT((DAY(EOMONTH($AL$3,0))-1)/2)+AM$8,0)=EOMONTH($DB$3,0),AM$6*AM$7,0),0),IF(AND(AI$6&lt;&gt;"",AI$8&lt;&gt;""),IF(EOMONTH($AH$3+INT((DAY(EOMONTH($AH$3,0))-1)/2)+AI$8,0)=EOMONTH($DB$3,0),AI$6*AI$7,0),0),IF(AND(AE$6&lt;&gt;"",AE$8&lt;&gt;""),IF(EOMONTH($AD$3+INT((DAY(EOMONTH($AD$3,0))-1)/2)+AE$8,0)=EOMONTH($DB$3,0),AE$6*AE$7,0),0),IF(AND(AA$6&lt;&gt;"",AA$8&lt;&gt;""),IF(EOMONTH($Z$3+INT((DAY(EOMONTH($Z$3,0))-1)/2)+AA$8,0)=EOMONTH($DB$3,0),AA$6*AA$7,0),0),IF(AND(W$6&lt;&gt;"",W$8&lt;&gt;""),IF(EOMONTH($V$3+INT((DAY(EOMONTH($V$3,0))-1)/2)+W$8,0)=EOMONTH($DB$3,0),W$6*W$7,0),0),IF(AND(S$6&lt;&gt;"",S$8&lt;&gt;""),IF(EOMONTH($R$3+INT((DAY(EOMONTH($R$3,0))-1)/2)+S$8,0)=EOMONTH($DB$3,0),S$6*S$7,0),0),IF(AND(O$6&lt;&gt;"",O$8&lt;&gt;""),IF(EOMONTH($N$3+INT((DAY(EOMONTH($N$3,0))-1)/2)+O$8,0)=EOMONTH($DB$3,0),O$6*O$7,0),0),IF(AND(K$6&lt;&gt;"",K$8&lt;&gt;""),IF(EOMONTH($J$3+INT((DAY(EOMONTH($J$3,0))-1)/2)+K$8,0)=EOMONTH($DB$3,0),K$6*K$7,0),0),IF(AND(G$6&lt;&gt;"",G$8&lt;&gt;""),IF(EOMONTH($F$3+INT((DAY(EOMONTH($F$3,0))-1)/2)+G$8,0)=EOMONTH($DB$3,0),G$6*G$7,0),0)),0))</f>
        <v>0</v>
      </c>
      <c r="DD9" s="15">
        <f>ROUND(SUM(IF(AND(ER$6&lt;&gt;"",ER$8&lt;&gt;""),IF(EOMONTH($EP$3+INT((DAY(EOMONTH($EP$3,0))-1)/2)+ER$8,0)=EOMONTH($DB$3,0),ER$6*ER$7,0),0),IF(AND(EN$6&lt;&gt;"",EN$8&lt;&gt;""),IF(EOMONTH($EL$3+INT((DAY(EOMONTH($EL$3,0))-1)/2)+EN$8,0)=EOMONTH($DB$3,0),EN$6*EN$7,0),0),IF(AND(EJ$6&lt;&gt;"",EJ$8&lt;&gt;""),IF(EOMONTH($EH$3+INT((DAY(EOMONTH($EH$3,0))-1)/2)+EJ$8,0)=EOMONTH($DB$3,0),EJ$6*EJ$7,0),0),IF(AND(EF$6&lt;&gt;"",EF$8&lt;&gt;""),IF(EOMONTH($ED$3+INT((DAY(EOMONTH($ED$3,0))-1)/2)+EF$8,0)=EOMONTH($DB$3,0),EF$6*EF$7,0),0),IF(AND(EB$6&lt;&gt;"",EB$8&lt;&gt;""),IF(EOMONTH($DZ$3+INT((DAY(EOMONTH($DZ$3,0))-1)/2)+EB$8,0)=EOMONTH($DB$3,0),EB$6*EB$7,0),0),IF(AND(DX$6&lt;&gt;"",DX$8&lt;&gt;""),IF(EOMONTH($DV$3+INT((DAY(EOMONTH($DV$3,0))-1)/2)+DX$8,0)=EOMONTH($DB$3,0),DX$6*DX$7,0),0),IF(AND(DT$6&lt;&gt;"",DT$8&lt;&gt;""),IF(EOMONTH($DR$3+INT((DAY(EOMONTH($DR$3,0))-1)/2)+DT$8,0)=EOMONTH($DB$3,0),DT$6*DT$7,0),0),IF(AND(DP$6&lt;&gt;"",DP$8&lt;&gt;""),IF(EOMONTH($DN$3+INT((DAY(EOMONTH($DN$3,0))-1)/2)+DP$8,0)=EOMONTH($DB$3,0),DP$6*DP$7,0),0),IF(AND(DL$6&lt;&gt;"",DL$8&lt;&gt;""),IF(EOMONTH($DJ$3+INT((DAY(EOMONTH($DJ$3,0))-1)/2)+DL$8,0)=EOMONTH($DB$3,0),DL$6*DL$7,0),0),IF(AND(DH$6&lt;&gt;"",DH$8&lt;&gt;""),IF(EOMONTH($DF$3+INT((DAY(EOMONTH($DF$3,0))-1)/2)+DH$8,0)=EOMONTH($DB$3,0),DH$6*DH$7,0),0),IF(AND(DD$6&lt;&gt;"",DD$8&lt;&gt;""),IF(EOMONTH($DB$3+INT((DAY(EOMONTH($DB$3,0))-1)/2)+DD$8,0)=EOMONTH($DB$3,0),DD$6*DD$7,0),0),IF(AND(CZ$6&lt;&gt;"",CZ$8&lt;&gt;""),IF(EOMONTH($CX$3+INT((DAY(EOMONTH($CX$3,0))-1)/2)+CZ$8,0)=EOMONTH($DB$3,0),CZ$6*CZ$7,0),0),IF(AND(CV$6&lt;&gt;"",CV$8&lt;&gt;""),IF(EOMONTH($CT$3+INT((DAY(EOMONTH($CT$3,0))-1)/2)+CV$8,0)=EOMONTH($DB$3,0),CV$6*CV$7,0),0),IF(AND(CR$6&lt;&gt;"",CR$8&lt;&gt;""),IF(EOMONTH($CP$3+INT((DAY(EOMONTH($CP$3,0))-1)/2)+CR$8,0)=EOMONTH($DB$3,0),CR$6*CR$7,0),0),IF(AND(CN$6&lt;&gt;"",CN$8&lt;&gt;""),IF(EOMONTH($CL$3+INT((DAY(EOMONTH($CL$3,0))-1)/2)+CN$8,0)=EOMONTH($DB$3,0),CN$6*CN$7,0),0),IF(AND(CJ$6&lt;&gt;"",CJ$8&lt;&gt;""),IF(EOMONTH($CH$3+INT((DAY(EOMONTH($CH$3,0))-1)/2)+CJ$8,0)=EOMONTH($DB$3,0),CJ$6*CJ$7,0),0),IF(AND(CF$6&lt;&gt;"",CF$8&lt;&gt;""),IF(EOMONTH($CD$3+INT((DAY(EOMONTH($CD$3,0))-1)/2)+CF$8,0)=EOMONTH($DB$3,0),CF$6*CF$7,0),0),IF(AND(CB$6&lt;&gt;"",CB$8&lt;&gt;""),IF(EOMONTH($BZ$3+INT((DAY(EOMONTH($BZ$3,0))-1)/2)+CB$8,0)=EOMONTH($DB$3,0),CB$6*CB$7,0),0),IF(AND(BX$6&lt;&gt;"",BX$8&lt;&gt;""),IF(EOMONTH($BV$3+INT((DAY(EOMONTH($BV$3,0))-1)/2)+BX$8,0)=EOMONTH($DB$3,0),BX$6*BX$7,0),0),IF(AND(BT$6&lt;&gt;"",BT$8&lt;&gt;""),IF(EOMONTH($BR$3+INT((DAY(EOMONTH($BR$3,0))-1)/2)+BT$8,0)=EOMONTH($DB$3,0),BT$6*BT$7,0),0),IF(AND(BP$6&lt;&gt;"",BP$8&lt;&gt;""),IF(EOMONTH($BN$3+INT((DAY(EOMONTH($BN$3,0))-1)/2)+BP$8,0)=EOMONTH($DB$3,0),BP$6*BP$7,0),0),IF(AND(BL$6&lt;&gt;"",BL$8&lt;&gt;""),IF(EOMONTH($BJ$3+INT((DAY(EOMONTH($BJ$3,0))-1)/2)+BL$8,0)=EOMONTH($DB$3,0),BL$6*BL$7,0),0),IF(AND(BH$6&lt;&gt;"",BH$8&lt;&gt;""),IF(EOMONTH($BF$3+INT((DAY(EOMONTH($BF$3,0))-1)/2)+BH$8,0)=EOMONTH($DB$3,0),BH$6*BH$7,0),0),IF(AND(BD$6&lt;&gt;"",BD$8&lt;&gt;""),IF(EOMONTH($BB$3+INT((DAY(EOMONTH($BB$3,0))-1)/2)+BD$8,0)=EOMONTH($DB$3,0),BD$6*BD$7,0),0),IF(AND(AZ$6&lt;&gt;"",AZ$8&lt;&gt;""),IF(EOMONTH($AX$3+INT((DAY(EOMONTH($AX$3,0))-1)/2)+AZ$8,0)=EOMONTH($DB$3,0),AZ$6*AZ$7,0),0),IF(AND(AV$6&lt;&gt;"",AV$8&lt;&gt;""),IF(EOMONTH($AT$3+INT((DAY(EOMONTH($AT$3,0))-1)/2)+AV$8,0)=EOMONTH($DB$3,0),AV$6*AV$7,0),0),IF(AND(AR$6&lt;&gt;"",AR$8&lt;&gt;""),IF(EOMONTH($AP$3+INT((DAY(EOMONTH($AP$3,0))-1)/2)+AR$8,0)=EOMONTH($DB$3,0),AR$6*AR$7,0),0),IF(AND(AN$6&lt;&gt;"",AN$8&lt;&gt;""),IF(EOMONTH($AL$3+INT((DAY(EOMONTH($AL$3,0))-1)/2)+AN$8,0)=EOMONTH($DB$3,0),AN$6*AN$7,0),0),IF(AND(AJ$6&lt;&gt;"",AJ$8&lt;&gt;""),IF(EOMONTH($AH$3+INT((DAY(EOMONTH($AH$3,0))-1)/2)+AJ$8,0)=EOMONTH($DB$3,0),AJ$6*AJ$7,0),0),IF(AND(AF$6&lt;&gt;"",AF$8&lt;&gt;""),IF(EOMONTH($AD$3+INT((DAY(EOMONTH($AD$3,0))-1)/2)+AF$8,0)=EOMONTH($DB$3,0),AF$6*AF$7,0),0),IF(AND(AB$6&lt;&gt;"",AB$8&lt;&gt;""),IF(EOMONTH($Z$3+INT((DAY(EOMONTH($Z$3,0))-1)/2)+AB$8,0)=EOMONTH($DB$3,0),AB$6*AB$7,0),0),IF(AND(X$6&lt;&gt;"",X$8&lt;&gt;""),IF(EOMONTH($V$3+INT((DAY(EOMONTH($V$3,0))-1)/2)+X$8,0)=EOMONTH($DB$3,0),X$6*X$7,0),0),IF(AND(T$6&lt;&gt;"",T$8&lt;&gt;""),IF(EOMONTH($R$3+INT((DAY(EOMONTH($R$3,0))-1)/2)+T$8,0)=EOMONTH($DB$3,0),T$6*T$7,0),0),IF(AND(P$6&lt;&gt;"",P$8&lt;&gt;""),IF(EOMONTH($N$3+INT((DAY(EOMONTH($N$3,0))-1)/2)+P$8,0)=EOMONTH($DB$3,0),P$6*P$7,0),0),IF(AND(L$6&lt;&gt;"",L$8&lt;&gt;""),IF(EOMONTH($J$3+INT((DAY(EOMONTH($J$3,0))-1)/2)+L$8,0)=EOMONTH($DB$3,0),L$6*L$7,0),0),IF(AND(H$6&lt;&gt;"",H$8&lt;&gt;""),IF(EOMONTH($F$3+INT((DAY(EOMONTH($F$3,0))-1)/2)+H$8,0)=EOMONTH($DB$3,0),H$6*H$7,0),0)),0)</f>
        <v>0</v>
      </c>
      <c r="DE9" s="16">
        <f t="shared" si="55"/>
        <v>0</v>
      </c>
      <c r="DF9" s="17"/>
      <c r="DG9" s="14">
        <f>IF(DF$98=1,DF9,ROUND(SUM(IF(AND(EQ$6&lt;&gt;"",EQ$8&lt;&gt;""),IF(EOMONTH($EP$3+INT((DAY(EOMONTH($EP$3,0))-1)/2)+EQ$8,0)=EOMONTH($DF$3,0),EQ$6*EQ$7,0),0),IF(AND(EM$6&lt;&gt;"",EM$8&lt;&gt;""),IF(EOMONTH($EL$3+INT((DAY(EOMONTH($EL$3,0))-1)/2)+EM$8,0)=EOMONTH($DF$3,0),EM$6*EM$7,0),0),IF(AND(EI$6&lt;&gt;"",EI$8&lt;&gt;""),IF(EOMONTH($EH$3+INT((DAY(EOMONTH($EH$3,0))-1)/2)+EI$8,0)=EOMONTH($DF$3,0),EI$6*EI$7,0),0),IF(AND(EE$6&lt;&gt;"",EE$8&lt;&gt;""),IF(EOMONTH($ED$3+INT((DAY(EOMONTH($ED$3,0))-1)/2)+EE$8,0)=EOMONTH($DF$3,0),EE$6*EE$7,0),0),IF(AND(EA$6&lt;&gt;"",EA$8&lt;&gt;""),IF(EOMONTH($DZ$3+INT((DAY(EOMONTH($DZ$3,0))-1)/2)+EA$8,0)=EOMONTH($DF$3,0),EA$6*EA$7,0),0),IF(AND(DW$6&lt;&gt;"",DW$8&lt;&gt;""),IF(EOMONTH($DV$3+INT((DAY(EOMONTH($DV$3,0))-1)/2)+DW$8,0)=EOMONTH($DF$3,0),DW$6*DW$7,0),0),IF(AND(DS$6&lt;&gt;"",DS$8&lt;&gt;""),IF(EOMONTH($DR$3+INT((DAY(EOMONTH($DR$3,0))-1)/2)+DS$8,0)=EOMONTH($DF$3,0),DS$6*DS$7,0),0),IF(AND(DO$6&lt;&gt;"",DO$8&lt;&gt;""),IF(EOMONTH($DN$3+INT((DAY(EOMONTH($DN$3,0))-1)/2)+DO$8,0)=EOMONTH($DF$3,0),DO$6*DO$7,0),0),IF(AND(DK$6&lt;&gt;"",DK$8&lt;&gt;""),IF(EOMONTH($DJ$3+INT((DAY(EOMONTH($DJ$3,0))-1)/2)+DK$8,0)=EOMONTH($DF$3,0),DK$6*DK$7,0),0),IF(AND(DG$6&lt;&gt;"",DG$8&lt;&gt;""),IF(EOMONTH($DF$3+INT((DAY(EOMONTH($DF$3,0))-1)/2)+DG$8,0)=EOMONTH($DF$3,0),DG$6*DG$7,0),0),IF(AND(DC$6&lt;&gt;"",DC$8&lt;&gt;""),IF(EOMONTH($DB$3+INT((DAY(EOMONTH($DB$3,0))-1)/2)+DC$8,0)=EOMONTH($DF$3,0),DC$6*DC$7,0),0),IF(AND(CY$6&lt;&gt;"",CY$8&lt;&gt;""),IF(EOMONTH($CX$3+INT((DAY(EOMONTH($CX$3,0))-1)/2)+CY$8,0)=EOMONTH($DF$3,0),CY$6*CY$7,0),0),IF(AND(CU$6&lt;&gt;"",CU$8&lt;&gt;""),IF(EOMONTH($CT$3+INT((DAY(EOMONTH($CT$3,0))-1)/2)+CU$8,0)=EOMONTH($DF$3,0),CU$6*CU$7,0),0),IF(AND(CQ$6&lt;&gt;"",CQ$8&lt;&gt;""),IF(EOMONTH($CP$3+INT((DAY(EOMONTH($CP$3,0))-1)/2)+CQ$8,0)=EOMONTH($DF$3,0),CQ$6*CQ$7,0),0),IF(AND(CM$6&lt;&gt;"",CM$8&lt;&gt;""),IF(EOMONTH($CL$3+INT((DAY(EOMONTH($CL$3,0))-1)/2)+CM$8,0)=EOMONTH($DF$3,0),CM$6*CM$7,0),0),IF(AND(CI$6&lt;&gt;"",CI$8&lt;&gt;""),IF(EOMONTH($CH$3+INT((DAY(EOMONTH($CH$3,0))-1)/2)+CI$8,0)=EOMONTH($DF$3,0),CI$6*CI$7,0),0),IF(AND(CE$6&lt;&gt;"",CE$8&lt;&gt;""),IF(EOMONTH($CD$3+INT((DAY(EOMONTH($CD$3,0))-1)/2)+CE$8,0)=EOMONTH($DF$3,0),CE$6*CE$7,0),0),IF(AND(CA$6&lt;&gt;"",CA$8&lt;&gt;""),IF(EOMONTH($BZ$3+INT((DAY(EOMONTH($BZ$3,0))-1)/2)+CA$8,0)=EOMONTH($DF$3,0),CA$6*CA$7,0),0),IF(AND(BW$6&lt;&gt;"",BW$8&lt;&gt;""),IF(EOMONTH($BV$3+INT((DAY(EOMONTH($BV$3,0))-1)/2)+BW$8,0)=EOMONTH($DF$3,0),BW$6*BW$7,0),0),IF(AND(BS$6&lt;&gt;"",BS$8&lt;&gt;""),IF(EOMONTH($BR$3+INT((DAY(EOMONTH($BR$3,0))-1)/2)+BS$8,0)=EOMONTH($DF$3,0),BS$6*BS$7,0),0),IF(AND(BO$6&lt;&gt;"",BO$8&lt;&gt;""),IF(EOMONTH($BN$3+INT((DAY(EOMONTH($BN$3,0))-1)/2)+BO$8,0)=EOMONTH($DF$3,0),BO$6*BO$7,0),0),IF(AND(BK$6&lt;&gt;"",BK$8&lt;&gt;""),IF(EOMONTH($BJ$3+INT((DAY(EOMONTH($BJ$3,0))-1)/2)+BK$8,0)=EOMONTH($DF$3,0),BK$6*BK$7,0),0),IF(AND(BG$6&lt;&gt;"",BG$8&lt;&gt;""),IF(EOMONTH($BF$3+INT((DAY(EOMONTH($BF$3,0))-1)/2)+BG$8,0)=EOMONTH($DF$3,0),BG$6*BG$7,0),0),IF(AND(BC$6&lt;&gt;"",BC$8&lt;&gt;""),IF(EOMONTH($BB$3+INT((DAY(EOMONTH($BB$3,0))-1)/2)+BC$8,0)=EOMONTH($DF$3,0),BC$6*BC$7,0),0),IF(AND(AY$6&lt;&gt;"",AY$8&lt;&gt;""),IF(EOMONTH($AX$3+INT((DAY(EOMONTH($AX$3,0))-1)/2)+AY$8,0)=EOMONTH($DF$3,0),AY$6*AY$7,0),0),IF(AND(AU$6&lt;&gt;"",AU$8&lt;&gt;""),IF(EOMONTH($AT$3+INT((DAY(EOMONTH($AT$3,0))-1)/2)+AU$8,0)=EOMONTH($DF$3,0),AU$6*AU$7,0),0),IF(AND(AQ$6&lt;&gt;"",AQ$8&lt;&gt;""),IF(EOMONTH($AP$3+INT((DAY(EOMONTH($AP$3,0))-1)/2)+AQ$8,0)=EOMONTH($DF$3,0),AQ$6*AQ$7,0),0),IF(AND(AM$6&lt;&gt;"",AM$8&lt;&gt;""),IF(EOMONTH($AL$3+INT((DAY(EOMONTH($AL$3,0))-1)/2)+AM$8,0)=EOMONTH($DF$3,0),AM$6*AM$7,0),0),IF(AND(AI$6&lt;&gt;"",AI$8&lt;&gt;""),IF(EOMONTH($AH$3+INT((DAY(EOMONTH($AH$3,0))-1)/2)+AI$8,0)=EOMONTH($DF$3,0),AI$6*AI$7,0),0),IF(AND(AE$6&lt;&gt;"",AE$8&lt;&gt;""),IF(EOMONTH($AD$3+INT((DAY(EOMONTH($AD$3,0))-1)/2)+AE$8,0)=EOMONTH($DF$3,0),AE$6*AE$7,0),0),IF(AND(AA$6&lt;&gt;"",AA$8&lt;&gt;""),IF(EOMONTH($Z$3+INT((DAY(EOMONTH($Z$3,0))-1)/2)+AA$8,0)=EOMONTH($DF$3,0),AA$6*AA$7,0),0),IF(AND(W$6&lt;&gt;"",W$8&lt;&gt;""),IF(EOMONTH($V$3+INT((DAY(EOMONTH($V$3,0))-1)/2)+W$8,0)=EOMONTH($DF$3,0),W$6*W$7,0),0),IF(AND(S$6&lt;&gt;"",S$8&lt;&gt;""),IF(EOMONTH($R$3+INT((DAY(EOMONTH($R$3,0))-1)/2)+S$8,0)=EOMONTH($DF$3,0),S$6*S$7,0),0),IF(AND(O$6&lt;&gt;"",O$8&lt;&gt;""),IF(EOMONTH($N$3+INT((DAY(EOMONTH($N$3,0))-1)/2)+O$8,0)=EOMONTH($DF$3,0),O$6*O$7,0),0),IF(AND(K$6&lt;&gt;"",K$8&lt;&gt;""),IF(EOMONTH($J$3+INT((DAY(EOMONTH($J$3,0))-1)/2)+K$8,0)=EOMONTH($DF$3,0),K$6*K$7,0),0),IF(AND(G$6&lt;&gt;"",G$8&lt;&gt;""),IF(EOMONTH($F$3+INT((DAY(EOMONTH($F$3,0))-1)/2)+G$8,0)=EOMONTH($DF$3,0),G$6*G$7,0),0)),0))</f>
        <v>0</v>
      </c>
      <c r="DH9" s="15">
        <f>ROUND(SUM(IF(AND(ER$6&lt;&gt;"",ER$8&lt;&gt;""),IF(EOMONTH($EP$3+INT((DAY(EOMONTH($EP$3,0))-1)/2)+ER$8,0)=EOMONTH($DF$3,0),ER$6*ER$7,0),0),IF(AND(EN$6&lt;&gt;"",EN$8&lt;&gt;""),IF(EOMONTH($EL$3+INT((DAY(EOMONTH($EL$3,0))-1)/2)+EN$8,0)=EOMONTH($DF$3,0),EN$6*EN$7,0),0),IF(AND(EJ$6&lt;&gt;"",EJ$8&lt;&gt;""),IF(EOMONTH($EH$3+INT((DAY(EOMONTH($EH$3,0))-1)/2)+EJ$8,0)=EOMONTH($DF$3,0),EJ$6*EJ$7,0),0),IF(AND(EF$6&lt;&gt;"",EF$8&lt;&gt;""),IF(EOMONTH($ED$3+INT((DAY(EOMONTH($ED$3,0))-1)/2)+EF$8,0)=EOMONTH($DF$3,0),EF$6*EF$7,0),0),IF(AND(EB$6&lt;&gt;"",EB$8&lt;&gt;""),IF(EOMONTH($DZ$3+INT((DAY(EOMONTH($DZ$3,0))-1)/2)+EB$8,0)=EOMONTH($DF$3,0),EB$6*EB$7,0),0),IF(AND(DX$6&lt;&gt;"",DX$8&lt;&gt;""),IF(EOMONTH($DV$3+INT((DAY(EOMONTH($DV$3,0))-1)/2)+DX$8,0)=EOMONTH($DF$3,0),DX$6*DX$7,0),0),IF(AND(DT$6&lt;&gt;"",DT$8&lt;&gt;""),IF(EOMONTH($DR$3+INT((DAY(EOMONTH($DR$3,0))-1)/2)+DT$8,0)=EOMONTH($DF$3,0),DT$6*DT$7,0),0),IF(AND(DP$6&lt;&gt;"",DP$8&lt;&gt;""),IF(EOMONTH($DN$3+INT((DAY(EOMONTH($DN$3,0))-1)/2)+DP$8,0)=EOMONTH($DF$3,0),DP$6*DP$7,0),0),IF(AND(DL$6&lt;&gt;"",DL$8&lt;&gt;""),IF(EOMONTH($DJ$3+INT((DAY(EOMONTH($DJ$3,0))-1)/2)+DL$8,0)=EOMONTH($DF$3,0),DL$6*DL$7,0),0),IF(AND(DH$6&lt;&gt;"",DH$8&lt;&gt;""),IF(EOMONTH($DF$3+INT((DAY(EOMONTH($DF$3,0))-1)/2)+DH$8,0)=EOMONTH($DF$3,0),DH$6*DH$7,0),0),IF(AND(DD$6&lt;&gt;"",DD$8&lt;&gt;""),IF(EOMONTH($DB$3+INT((DAY(EOMONTH($DB$3,0))-1)/2)+DD$8,0)=EOMONTH($DF$3,0),DD$6*DD$7,0),0),IF(AND(CZ$6&lt;&gt;"",CZ$8&lt;&gt;""),IF(EOMONTH($CX$3+INT((DAY(EOMONTH($CX$3,0))-1)/2)+CZ$8,0)=EOMONTH($DF$3,0),CZ$6*CZ$7,0),0),IF(AND(CV$6&lt;&gt;"",CV$8&lt;&gt;""),IF(EOMONTH($CT$3+INT((DAY(EOMONTH($CT$3,0))-1)/2)+CV$8,0)=EOMONTH($DF$3,0),CV$6*CV$7,0),0),IF(AND(CR$6&lt;&gt;"",CR$8&lt;&gt;""),IF(EOMONTH($CP$3+INT((DAY(EOMONTH($CP$3,0))-1)/2)+CR$8,0)=EOMONTH($DF$3,0),CR$6*CR$7,0),0),IF(AND(CN$6&lt;&gt;"",CN$8&lt;&gt;""),IF(EOMONTH($CL$3+INT((DAY(EOMONTH($CL$3,0))-1)/2)+CN$8,0)=EOMONTH($DF$3,0),CN$6*CN$7,0),0),IF(AND(CJ$6&lt;&gt;"",CJ$8&lt;&gt;""),IF(EOMONTH($CH$3+INT((DAY(EOMONTH($CH$3,0))-1)/2)+CJ$8,0)=EOMONTH($DF$3,0),CJ$6*CJ$7,0),0),IF(AND(CF$6&lt;&gt;"",CF$8&lt;&gt;""),IF(EOMONTH($CD$3+INT((DAY(EOMONTH($CD$3,0))-1)/2)+CF$8,0)=EOMONTH($DF$3,0),CF$6*CF$7,0),0),IF(AND(CB$6&lt;&gt;"",CB$8&lt;&gt;""),IF(EOMONTH($BZ$3+INT((DAY(EOMONTH($BZ$3,0))-1)/2)+CB$8,0)=EOMONTH($DF$3,0),CB$6*CB$7,0),0),IF(AND(BX$6&lt;&gt;"",BX$8&lt;&gt;""),IF(EOMONTH($BV$3+INT((DAY(EOMONTH($BV$3,0))-1)/2)+BX$8,0)=EOMONTH($DF$3,0),BX$6*BX$7,0),0),IF(AND(BT$6&lt;&gt;"",BT$8&lt;&gt;""),IF(EOMONTH($BR$3+INT((DAY(EOMONTH($BR$3,0))-1)/2)+BT$8,0)=EOMONTH($DF$3,0),BT$6*BT$7,0),0),IF(AND(BP$6&lt;&gt;"",BP$8&lt;&gt;""),IF(EOMONTH($BN$3+INT((DAY(EOMONTH($BN$3,0))-1)/2)+BP$8,0)=EOMONTH($DF$3,0),BP$6*BP$7,0),0),IF(AND(BL$6&lt;&gt;"",BL$8&lt;&gt;""),IF(EOMONTH($BJ$3+INT((DAY(EOMONTH($BJ$3,0))-1)/2)+BL$8,0)=EOMONTH($DF$3,0),BL$6*BL$7,0),0),IF(AND(BH$6&lt;&gt;"",BH$8&lt;&gt;""),IF(EOMONTH($BF$3+INT((DAY(EOMONTH($BF$3,0))-1)/2)+BH$8,0)=EOMONTH($DF$3,0),BH$6*BH$7,0),0),IF(AND(BD$6&lt;&gt;"",BD$8&lt;&gt;""),IF(EOMONTH($BB$3+INT((DAY(EOMONTH($BB$3,0))-1)/2)+BD$8,0)=EOMONTH($DF$3,0),BD$6*BD$7,0),0),IF(AND(AZ$6&lt;&gt;"",AZ$8&lt;&gt;""),IF(EOMONTH($AX$3+INT((DAY(EOMONTH($AX$3,0))-1)/2)+AZ$8,0)=EOMONTH($DF$3,0),AZ$6*AZ$7,0),0),IF(AND(AV$6&lt;&gt;"",AV$8&lt;&gt;""),IF(EOMONTH($AT$3+INT((DAY(EOMONTH($AT$3,0))-1)/2)+AV$8,0)=EOMONTH($DF$3,0),AV$6*AV$7,0),0),IF(AND(AR$6&lt;&gt;"",AR$8&lt;&gt;""),IF(EOMONTH($AP$3+INT((DAY(EOMONTH($AP$3,0))-1)/2)+AR$8,0)=EOMONTH($DF$3,0),AR$6*AR$7,0),0),IF(AND(AN$6&lt;&gt;"",AN$8&lt;&gt;""),IF(EOMONTH($AL$3+INT((DAY(EOMONTH($AL$3,0))-1)/2)+AN$8,0)=EOMONTH($DF$3,0),AN$6*AN$7,0),0),IF(AND(AJ$6&lt;&gt;"",AJ$8&lt;&gt;""),IF(EOMONTH($AH$3+INT((DAY(EOMONTH($AH$3,0))-1)/2)+AJ$8,0)=EOMONTH($DF$3,0),AJ$6*AJ$7,0),0),IF(AND(AF$6&lt;&gt;"",AF$8&lt;&gt;""),IF(EOMONTH($AD$3+INT((DAY(EOMONTH($AD$3,0))-1)/2)+AF$8,0)=EOMONTH($DF$3,0),AF$6*AF$7,0),0),IF(AND(AB$6&lt;&gt;"",AB$8&lt;&gt;""),IF(EOMONTH($Z$3+INT((DAY(EOMONTH($Z$3,0))-1)/2)+AB$8,0)=EOMONTH($DF$3,0),AB$6*AB$7,0),0),IF(AND(X$6&lt;&gt;"",X$8&lt;&gt;""),IF(EOMONTH($V$3+INT((DAY(EOMONTH($V$3,0))-1)/2)+X$8,0)=EOMONTH($DF$3,0),X$6*X$7,0),0),IF(AND(T$6&lt;&gt;"",T$8&lt;&gt;""),IF(EOMONTH($R$3+INT((DAY(EOMONTH($R$3,0))-1)/2)+T$8,0)=EOMONTH($DF$3,0),T$6*T$7,0),0),IF(AND(P$6&lt;&gt;"",P$8&lt;&gt;""),IF(EOMONTH($N$3+INT((DAY(EOMONTH($N$3,0))-1)/2)+P$8,0)=EOMONTH($DF$3,0),P$6*P$7,0),0),IF(AND(L$6&lt;&gt;"",L$8&lt;&gt;""),IF(EOMONTH($J$3+INT((DAY(EOMONTH($J$3,0))-1)/2)+L$8,0)=EOMONTH($DF$3,0),L$6*L$7,0),0),IF(AND(H$6&lt;&gt;"",H$8&lt;&gt;""),IF(EOMONTH($F$3+INT((DAY(EOMONTH($F$3,0))-1)/2)+H$8,0)=EOMONTH($DF$3,0),H$6*H$7,0),0)),0)</f>
        <v>0</v>
      </c>
      <c r="DI9" s="16">
        <f t="shared" si="57"/>
        <v>0</v>
      </c>
      <c r="DJ9" s="17"/>
      <c r="DK9" s="14">
        <f>IF(DJ$98=1,DJ9,ROUND(SUM(IF(AND(EQ$6&lt;&gt;"",EQ$8&lt;&gt;""),IF(EOMONTH($EP$3+INT((DAY(EOMONTH($EP$3,0))-1)/2)+EQ$8,0)=EOMONTH($DJ$3,0),EQ$6*EQ$7,0),0),IF(AND(EM$6&lt;&gt;"",EM$8&lt;&gt;""),IF(EOMONTH($EL$3+INT((DAY(EOMONTH($EL$3,0))-1)/2)+EM$8,0)=EOMONTH($DJ$3,0),EM$6*EM$7,0),0),IF(AND(EI$6&lt;&gt;"",EI$8&lt;&gt;""),IF(EOMONTH($EH$3+INT((DAY(EOMONTH($EH$3,0))-1)/2)+EI$8,0)=EOMONTH($DJ$3,0),EI$6*EI$7,0),0),IF(AND(EE$6&lt;&gt;"",EE$8&lt;&gt;""),IF(EOMONTH($ED$3+INT((DAY(EOMONTH($ED$3,0))-1)/2)+EE$8,0)=EOMONTH($DJ$3,0),EE$6*EE$7,0),0),IF(AND(EA$6&lt;&gt;"",EA$8&lt;&gt;""),IF(EOMONTH($DZ$3+INT((DAY(EOMONTH($DZ$3,0))-1)/2)+EA$8,0)=EOMONTH($DJ$3,0),EA$6*EA$7,0),0),IF(AND(DW$6&lt;&gt;"",DW$8&lt;&gt;""),IF(EOMONTH($DV$3+INT((DAY(EOMONTH($DV$3,0))-1)/2)+DW$8,0)=EOMONTH($DJ$3,0),DW$6*DW$7,0),0),IF(AND(DS$6&lt;&gt;"",DS$8&lt;&gt;""),IF(EOMONTH($DR$3+INT((DAY(EOMONTH($DR$3,0))-1)/2)+DS$8,0)=EOMONTH($DJ$3,0),DS$6*DS$7,0),0),IF(AND(DO$6&lt;&gt;"",DO$8&lt;&gt;""),IF(EOMONTH($DN$3+INT((DAY(EOMONTH($DN$3,0))-1)/2)+DO$8,0)=EOMONTH($DJ$3,0),DO$6*DO$7,0),0),IF(AND(DK$6&lt;&gt;"",DK$8&lt;&gt;""),IF(EOMONTH($DJ$3+INT((DAY(EOMONTH($DJ$3,0))-1)/2)+DK$8,0)=EOMONTH($DJ$3,0),DK$6*DK$7,0),0),IF(AND(DG$6&lt;&gt;"",DG$8&lt;&gt;""),IF(EOMONTH($DF$3+INT((DAY(EOMONTH($DF$3,0))-1)/2)+DG$8,0)=EOMONTH($DJ$3,0),DG$6*DG$7,0),0),IF(AND(DC$6&lt;&gt;"",DC$8&lt;&gt;""),IF(EOMONTH($DB$3+INT((DAY(EOMONTH($DB$3,0))-1)/2)+DC$8,0)=EOMONTH($DJ$3,0),DC$6*DC$7,0),0),IF(AND(CY$6&lt;&gt;"",CY$8&lt;&gt;""),IF(EOMONTH($CX$3+INT((DAY(EOMONTH($CX$3,0))-1)/2)+CY$8,0)=EOMONTH($DJ$3,0),CY$6*CY$7,0),0),IF(AND(CU$6&lt;&gt;"",CU$8&lt;&gt;""),IF(EOMONTH($CT$3+INT((DAY(EOMONTH($CT$3,0))-1)/2)+CU$8,0)=EOMONTH($DJ$3,0),CU$6*CU$7,0),0),IF(AND(CQ$6&lt;&gt;"",CQ$8&lt;&gt;""),IF(EOMONTH($CP$3+INT((DAY(EOMONTH($CP$3,0))-1)/2)+CQ$8,0)=EOMONTH($DJ$3,0),CQ$6*CQ$7,0),0),IF(AND(CM$6&lt;&gt;"",CM$8&lt;&gt;""),IF(EOMONTH($CL$3+INT((DAY(EOMONTH($CL$3,0))-1)/2)+CM$8,0)=EOMONTH($DJ$3,0),CM$6*CM$7,0),0),IF(AND(CI$6&lt;&gt;"",CI$8&lt;&gt;""),IF(EOMONTH($CH$3+INT((DAY(EOMONTH($CH$3,0))-1)/2)+CI$8,0)=EOMONTH($DJ$3,0),CI$6*CI$7,0),0),IF(AND(CE$6&lt;&gt;"",CE$8&lt;&gt;""),IF(EOMONTH($CD$3+INT((DAY(EOMONTH($CD$3,0))-1)/2)+CE$8,0)=EOMONTH($DJ$3,0),CE$6*CE$7,0),0),IF(AND(CA$6&lt;&gt;"",CA$8&lt;&gt;""),IF(EOMONTH($BZ$3+INT((DAY(EOMONTH($BZ$3,0))-1)/2)+CA$8,0)=EOMONTH($DJ$3,0),CA$6*CA$7,0),0),IF(AND(BW$6&lt;&gt;"",BW$8&lt;&gt;""),IF(EOMONTH($BV$3+INT((DAY(EOMONTH($BV$3,0))-1)/2)+BW$8,0)=EOMONTH($DJ$3,0),BW$6*BW$7,0),0),IF(AND(BS$6&lt;&gt;"",BS$8&lt;&gt;""),IF(EOMONTH($BR$3+INT((DAY(EOMONTH($BR$3,0))-1)/2)+BS$8,0)=EOMONTH($DJ$3,0),BS$6*BS$7,0),0),IF(AND(BO$6&lt;&gt;"",BO$8&lt;&gt;""),IF(EOMONTH($BN$3+INT((DAY(EOMONTH($BN$3,0))-1)/2)+BO$8,0)=EOMONTH($DJ$3,0),BO$6*BO$7,0),0),IF(AND(BK$6&lt;&gt;"",BK$8&lt;&gt;""),IF(EOMONTH($BJ$3+INT((DAY(EOMONTH($BJ$3,0))-1)/2)+BK$8,0)=EOMONTH($DJ$3,0),BK$6*BK$7,0),0),IF(AND(BG$6&lt;&gt;"",BG$8&lt;&gt;""),IF(EOMONTH($BF$3+INT((DAY(EOMONTH($BF$3,0))-1)/2)+BG$8,0)=EOMONTH($DJ$3,0),BG$6*BG$7,0),0),IF(AND(BC$6&lt;&gt;"",BC$8&lt;&gt;""),IF(EOMONTH($BB$3+INT((DAY(EOMONTH($BB$3,0))-1)/2)+BC$8,0)=EOMONTH($DJ$3,0),BC$6*BC$7,0),0),IF(AND(AY$6&lt;&gt;"",AY$8&lt;&gt;""),IF(EOMONTH($AX$3+INT((DAY(EOMONTH($AX$3,0))-1)/2)+AY$8,0)=EOMONTH($DJ$3,0),AY$6*AY$7,0),0),IF(AND(AU$6&lt;&gt;"",AU$8&lt;&gt;""),IF(EOMONTH($AT$3+INT((DAY(EOMONTH($AT$3,0))-1)/2)+AU$8,0)=EOMONTH($DJ$3,0),AU$6*AU$7,0),0),IF(AND(AQ$6&lt;&gt;"",AQ$8&lt;&gt;""),IF(EOMONTH($AP$3+INT((DAY(EOMONTH($AP$3,0))-1)/2)+AQ$8,0)=EOMONTH($DJ$3,0),AQ$6*AQ$7,0),0),IF(AND(AM$6&lt;&gt;"",AM$8&lt;&gt;""),IF(EOMONTH($AL$3+INT((DAY(EOMONTH($AL$3,0))-1)/2)+AM$8,0)=EOMONTH($DJ$3,0),AM$6*AM$7,0),0),IF(AND(AI$6&lt;&gt;"",AI$8&lt;&gt;""),IF(EOMONTH($AH$3+INT((DAY(EOMONTH($AH$3,0))-1)/2)+AI$8,0)=EOMONTH($DJ$3,0),AI$6*AI$7,0),0),IF(AND(AE$6&lt;&gt;"",AE$8&lt;&gt;""),IF(EOMONTH($AD$3+INT((DAY(EOMONTH($AD$3,0))-1)/2)+AE$8,0)=EOMONTH($DJ$3,0),AE$6*AE$7,0),0),IF(AND(AA$6&lt;&gt;"",AA$8&lt;&gt;""),IF(EOMONTH($Z$3+INT((DAY(EOMONTH($Z$3,0))-1)/2)+AA$8,0)=EOMONTH($DJ$3,0),AA$6*AA$7,0),0),IF(AND(W$6&lt;&gt;"",W$8&lt;&gt;""),IF(EOMONTH($V$3+INT((DAY(EOMONTH($V$3,0))-1)/2)+W$8,0)=EOMONTH($DJ$3,0),W$6*W$7,0),0),IF(AND(S$6&lt;&gt;"",S$8&lt;&gt;""),IF(EOMONTH($R$3+INT((DAY(EOMONTH($R$3,0))-1)/2)+S$8,0)=EOMONTH($DJ$3,0),S$6*S$7,0),0),IF(AND(O$6&lt;&gt;"",O$8&lt;&gt;""),IF(EOMONTH($N$3+INT((DAY(EOMONTH($N$3,0))-1)/2)+O$8,0)=EOMONTH($DJ$3,0),O$6*O$7,0),0),IF(AND(K$6&lt;&gt;"",K$8&lt;&gt;""),IF(EOMONTH($J$3+INT((DAY(EOMONTH($J$3,0))-1)/2)+K$8,0)=EOMONTH($DJ$3,0),K$6*K$7,0),0),IF(AND(G$6&lt;&gt;"",G$8&lt;&gt;""),IF(EOMONTH($F$3+INT((DAY(EOMONTH($F$3,0))-1)/2)+G$8,0)=EOMONTH($DJ$3,0),G$6*G$7,0),0)),0))</f>
        <v>0</v>
      </c>
      <c r="DL9" s="15">
        <f>ROUND(SUM(IF(AND(ER$6&lt;&gt;"",ER$8&lt;&gt;""),IF(EOMONTH($EP$3+INT((DAY(EOMONTH($EP$3,0))-1)/2)+ER$8,0)=EOMONTH($DJ$3,0),ER$6*ER$7,0),0),IF(AND(EN$6&lt;&gt;"",EN$8&lt;&gt;""),IF(EOMONTH($EL$3+INT((DAY(EOMONTH($EL$3,0))-1)/2)+EN$8,0)=EOMONTH($DJ$3,0),EN$6*EN$7,0),0),IF(AND(EJ$6&lt;&gt;"",EJ$8&lt;&gt;""),IF(EOMONTH($EH$3+INT((DAY(EOMONTH($EH$3,0))-1)/2)+EJ$8,0)=EOMONTH($DJ$3,0),EJ$6*EJ$7,0),0),IF(AND(EF$6&lt;&gt;"",EF$8&lt;&gt;""),IF(EOMONTH($ED$3+INT((DAY(EOMONTH($ED$3,0))-1)/2)+EF$8,0)=EOMONTH($DJ$3,0),EF$6*EF$7,0),0),IF(AND(EB$6&lt;&gt;"",EB$8&lt;&gt;""),IF(EOMONTH($DZ$3+INT((DAY(EOMONTH($DZ$3,0))-1)/2)+EB$8,0)=EOMONTH($DJ$3,0),EB$6*EB$7,0),0),IF(AND(DX$6&lt;&gt;"",DX$8&lt;&gt;""),IF(EOMONTH($DV$3+INT((DAY(EOMONTH($DV$3,0))-1)/2)+DX$8,0)=EOMONTH($DJ$3,0),DX$6*DX$7,0),0),IF(AND(DT$6&lt;&gt;"",DT$8&lt;&gt;""),IF(EOMONTH($DR$3+INT((DAY(EOMONTH($DR$3,0))-1)/2)+DT$8,0)=EOMONTH($DJ$3,0),DT$6*DT$7,0),0),IF(AND(DP$6&lt;&gt;"",DP$8&lt;&gt;""),IF(EOMONTH($DN$3+INT((DAY(EOMONTH($DN$3,0))-1)/2)+DP$8,0)=EOMONTH($DJ$3,0),DP$6*DP$7,0),0),IF(AND(DL$6&lt;&gt;"",DL$8&lt;&gt;""),IF(EOMONTH($DJ$3+INT((DAY(EOMONTH($DJ$3,0))-1)/2)+DL$8,0)=EOMONTH($DJ$3,0),DL$6*DL$7,0),0),IF(AND(DH$6&lt;&gt;"",DH$8&lt;&gt;""),IF(EOMONTH($DF$3+INT((DAY(EOMONTH($DF$3,0))-1)/2)+DH$8,0)=EOMONTH($DJ$3,0),DH$6*DH$7,0),0),IF(AND(DD$6&lt;&gt;"",DD$8&lt;&gt;""),IF(EOMONTH($DB$3+INT((DAY(EOMONTH($DB$3,0))-1)/2)+DD$8,0)=EOMONTH($DJ$3,0),DD$6*DD$7,0),0),IF(AND(CZ$6&lt;&gt;"",CZ$8&lt;&gt;""),IF(EOMONTH($CX$3+INT((DAY(EOMONTH($CX$3,0))-1)/2)+CZ$8,0)=EOMONTH($DJ$3,0),CZ$6*CZ$7,0),0),IF(AND(CV$6&lt;&gt;"",CV$8&lt;&gt;""),IF(EOMONTH($CT$3+INT((DAY(EOMONTH($CT$3,0))-1)/2)+CV$8,0)=EOMONTH($DJ$3,0),CV$6*CV$7,0),0),IF(AND(CR$6&lt;&gt;"",CR$8&lt;&gt;""),IF(EOMONTH($CP$3+INT((DAY(EOMONTH($CP$3,0))-1)/2)+CR$8,0)=EOMONTH($DJ$3,0),CR$6*CR$7,0),0),IF(AND(CN$6&lt;&gt;"",CN$8&lt;&gt;""),IF(EOMONTH($CL$3+INT((DAY(EOMONTH($CL$3,0))-1)/2)+CN$8,0)=EOMONTH($DJ$3,0),CN$6*CN$7,0),0),IF(AND(CJ$6&lt;&gt;"",CJ$8&lt;&gt;""),IF(EOMONTH($CH$3+INT((DAY(EOMONTH($CH$3,0))-1)/2)+CJ$8,0)=EOMONTH($DJ$3,0),CJ$6*CJ$7,0),0),IF(AND(CF$6&lt;&gt;"",CF$8&lt;&gt;""),IF(EOMONTH($CD$3+INT((DAY(EOMONTH($CD$3,0))-1)/2)+CF$8,0)=EOMONTH($DJ$3,0),CF$6*CF$7,0),0),IF(AND(CB$6&lt;&gt;"",CB$8&lt;&gt;""),IF(EOMONTH($BZ$3+INT((DAY(EOMONTH($BZ$3,0))-1)/2)+CB$8,0)=EOMONTH($DJ$3,0),CB$6*CB$7,0),0),IF(AND(BX$6&lt;&gt;"",BX$8&lt;&gt;""),IF(EOMONTH($BV$3+INT((DAY(EOMONTH($BV$3,0))-1)/2)+BX$8,0)=EOMONTH($DJ$3,0),BX$6*BX$7,0),0),IF(AND(BT$6&lt;&gt;"",BT$8&lt;&gt;""),IF(EOMONTH($BR$3+INT((DAY(EOMONTH($BR$3,0))-1)/2)+BT$8,0)=EOMONTH($DJ$3,0),BT$6*BT$7,0),0),IF(AND(BP$6&lt;&gt;"",BP$8&lt;&gt;""),IF(EOMONTH($BN$3+INT((DAY(EOMONTH($BN$3,0))-1)/2)+BP$8,0)=EOMONTH($DJ$3,0),BP$6*BP$7,0),0),IF(AND(BL$6&lt;&gt;"",BL$8&lt;&gt;""),IF(EOMONTH($BJ$3+INT((DAY(EOMONTH($BJ$3,0))-1)/2)+BL$8,0)=EOMONTH($DJ$3,0),BL$6*BL$7,0),0),IF(AND(BH$6&lt;&gt;"",BH$8&lt;&gt;""),IF(EOMONTH($BF$3+INT((DAY(EOMONTH($BF$3,0))-1)/2)+BH$8,0)=EOMONTH($DJ$3,0),BH$6*BH$7,0),0),IF(AND(BD$6&lt;&gt;"",BD$8&lt;&gt;""),IF(EOMONTH($BB$3+INT((DAY(EOMONTH($BB$3,0))-1)/2)+BD$8,0)=EOMONTH($DJ$3,0),BD$6*BD$7,0),0),IF(AND(AZ$6&lt;&gt;"",AZ$8&lt;&gt;""),IF(EOMONTH($AX$3+INT((DAY(EOMONTH($AX$3,0))-1)/2)+AZ$8,0)=EOMONTH($DJ$3,0),AZ$6*AZ$7,0),0),IF(AND(AV$6&lt;&gt;"",AV$8&lt;&gt;""),IF(EOMONTH($AT$3+INT((DAY(EOMONTH($AT$3,0))-1)/2)+AV$8,0)=EOMONTH($DJ$3,0),AV$6*AV$7,0),0),IF(AND(AR$6&lt;&gt;"",AR$8&lt;&gt;""),IF(EOMONTH($AP$3+INT((DAY(EOMONTH($AP$3,0))-1)/2)+AR$8,0)=EOMONTH($DJ$3,0),AR$6*AR$7,0),0),IF(AND(AN$6&lt;&gt;"",AN$8&lt;&gt;""),IF(EOMONTH($AL$3+INT((DAY(EOMONTH($AL$3,0))-1)/2)+AN$8,0)=EOMONTH($DJ$3,0),AN$6*AN$7,0),0),IF(AND(AJ$6&lt;&gt;"",AJ$8&lt;&gt;""),IF(EOMONTH($AH$3+INT((DAY(EOMONTH($AH$3,0))-1)/2)+AJ$8,0)=EOMONTH($DJ$3,0),AJ$6*AJ$7,0),0),IF(AND(AF$6&lt;&gt;"",AF$8&lt;&gt;""),IF(EOMONTH($AD$3+INT((DAY(EOMONTH($AD$3,0))-1)/2)+AF$8,0)=EOMONTH($DJ$3,0),AF$6*AF$7,0),0),IF(AND(AB$6&lt;&gt;"",AB$8&lt;&gt;""),IF(EOMONTH($Z$3+INT((DAY(EOMONTH($Z$3,0))-1)/2)+AB$8,0)=EOMONTH($DJ$3,0),AB$6*AB$7,0),0),IF(AND(X$6&lt;&gt;"",X$8&lt;&gt;""),IF(EOMONTH($V$3+INT((DAY(EOMONTH($V$3,0))-1)/2)+X$8,0)=EOMONTH($DJ$3,0),X$6*X$7,0),0),IF(AND(T$6&lt;&gt;"",T$8&lt;&gt;""),IF(EOMONTH($R$3+INT((DAY(EOMONTH($R$3,0))-1)/2)+T$8,0)=EOMONTH($DJ$3,0),T$6*T$7,0),0),IF(AND(P$6&lt;&gt;"",P$8&lt;&gt;""),IF(EOMONTH($N$3+INT((DAY(EOMONTH($N$3,0))-1)/2)+P$8,0)=EOMONTH($DJ$3,0),P$6*P$7,0),0),IF(AND(L$6&lt;&gt;"",L$8&lt;&gt;""),IF(EOMONTH($J$3+INT((DAY(EOMONTH($J$3,0))-1)/2)+L$8,0)=EOMONTH($DJ$3,0),L$6*L$7,0),0),IF(AND(H$6&lt;&gt;"",H$8&lt;&gt;""),IF(EOMONTH($F$3+INT((DAY(EOMONTH($F$3,0))-1)/2)+H$8,0)=EOMONTH($DJ$3,0),H$6*H$7,0),0)),0)</f>
        <v>0</v>
      </c>
      <c r="DM9" s="16">
        <f t="shared" si="59"/>
        <v>0</v>
      </c>
      <c r="DN9" s="17"/>
      <c r="DO9" s="14">
        <f>IF(DN$98=1,DN9,ROUND(SUM(IF(AND(EQ$6&lt;&gt;"",EQ$8&lt;&gt;""),IF(EOMONTH($EP$3+INT((DAY(EOMONTH($EP$3,0))-1)/2)+EQ$8,0)=EOMONTH($DN$3,0),EQ$6*EQ$7,0),0),IF(AND(EM$6&lt;&gt;"",EM$8&lt;&gt;""),IF(EOMONTH($EL$3+INT((DAY(EOMONTH($EL$3,0))-1)/2)+EM$8,0)=EOMONTH($DN$3,0),EM$6*EM$7,0),0),IF(AND(EI$6&lt;&gt;"",EI$8&lt;&gt;""),IF(EOMONTH($EH$3+INT((DAY(EOMONTH($EH$3,0))-1)/2)+EI$8,0)=EOMONTH($DN$3,0),EI$6*EI$7,0),0),IF(AND(EE$6&lt;&gt;"",EE$8&lt;&gt;""),IF(EOMONTH($ED$3+INT((DAY(EOMONTH($ED$3,0))-1)/2)+EE$8,0)=EOMONTH($DN$3,0),EE$6*EE$7,0),0),IF(AND(EA$6&lt;&gt;"",EA$8&lt;&gt;""),IF(EOMONTH($DZ$3+INT((DAY(EOMONTH($DZ$3,0))-1)/2)+EA$8,0)=EOMONTH($DN$3,0),EA$6*EA$7,0),0),IF(AND(DW$6&lt;&gt;"",DW$8&lt;&gt;""),IF(EOMONTH($DV$3+INT((DAY(EOMONTH($DV$3,0))-1)/2)+DW$8,0)=EOMONTH($DN$3,0),DW$6*DW$7,0),0),IF(AND(DS$6&lt;&gt;"",DS$8&lt;&gt;""),IF(EOMONTH($DR$3+INT((DAY(EOMONTH($DR$3,0))-1)/2)+DS$8,0)=EOMONTH($DN$3,0),DS$6*DS$7,0),0),IF(AND(DO$6&lt;&gt;"",DO$8&lt;&gt;""),IF(EOMONTH($DN$3+INT((DAY(EOMONTH($DN$3,0))-1)/2)+DO$8,0)=EOMONTH($DN$3,0),DO$6*DO$7,0),0),IF(AND(DK$6&lt;&gt;"",DK$8&lt;&gt;""),IF(EOMONTH($DJ$3+INT((DAY(EOMONTH($DJ$3,0))-1)/2)+DK$8,0)=EOMONTH($DN$3,0),DK$6*DK$7,0),0),IF(AND(DG$6&lt;&gt;"",DG$8&lt;&gt;""),IF(EOMONTH($DF$3+INT((DAY(EOMONTH($DF$3,0))-1)/2)+DG$8,0)=EOMONTH($DN$3,0),DG$6*DG$7,0),0),IF(AND(DC$6&lt;&gt;"",DC$8&lt;&gt;""),IF(EOMONTH($DB$3+INT((DAY(EOMONTH($DB$3,0))-1)/2)+DC$8,0)=EOMONTH($DN$3,0),DC$6*DC$7,0),0),IF(AND(CY$6&lt;&gt;"",CY$8&lt;&gt;""),IF(EOMONTH($CX$3+INT((DAY(EOMONTH($CX$3,0))-1)/2)+CY$8,0)=EOMONTH($DN$3,0),CY$6*CY$7,0),0),IF(AND(CU$6&lt;&gt;"",CU$8&lt;&gt;""),IF(EOMONTH($CT$3+INT((DAY(EOMONTH($CT$3,0))-1)/2)+CU$8,0)=EOMONTH($DN$3,0),CU$6*CU$7,0),0),IF(AND(CQ$6&lt;&gt;"",CQ$8&lt;&gt;""),IF(EOMONTH($CP$3+INT((DAY(EOMONTH($CP$3,0))-1)/2)+CQ$8,0)=EOMONTH($DN$3,0),CQ$6*CQ$7,0),0),IF(AND(CM$6&lt;&gt;"",CM$8&lt;&gt;""),IF(EOMONTH($CL$3+INT((DAY(EOMONTH($CL$3,0))-1)/2)+CM$8,0)=EOMONTH($DN$3,0),CM$6*CM$7,0),0),IF(AND(CI$6&lt;&gt;"",CI$8&lt;&gt;""),IF(EOMONTH($CH$3+INT((DAY(EOMONTH($CH$3,0))-1)/2)+CI$8,0)=EOMONTH($DN$3,0),CI$6*CI$7,0),0),IF(AND(CE$6&lt;&gt;"",CE$8&lt;&gt;""),IF(EOMONTH($CD$3+INT((DAY(EOMONTH($CD$3,0))-1)/2)+CE$8,0)=EOMONTH($DN$3,0),CE$6*CE$7,0),0),IF(AND(CA$6&lt;&gt;"",CA$8&lt;&gt;""),IF(EOMONTH($BZ$3+INT((DAY(EOMONTH($BZ$3,0))-1)/2)+CA$8,0)=EOMONTH($DN$3,0),CA$6*CA$7,0),0),IF(AND(BW$6&lt;&gt;"",BW$8&lt;&gt;""),IF(EOMONTH($BV$3+INT((DAY(EOMONTH($BV$3,0))-1)/2)+BW$8,0)=EOMONTH($DN$3,0),BW$6*BW$7,0),0),IF(AND(BS$6&lt;&gt;"",BS$8&lt;&gt;""),IF(EOMONTH($BR$3+INT((DAY(EOMONTH($BR$3,0))-1)/2)+BS$8,0)=EOMONTH($DN$3,0),BS$6*BS$7,0),0),IF(AND(BO$6&lt;&gt;"",BO$8&lt;&gt;""),IF(EOMONTH($BN$3+INT((DAY(EOMONTH($BN$3,0))-1)/2)+BO$8,0)=EOMONTH($DN$3,0),BO$6*BO$7,0),0),IF(AND(BK$6&lt;&gt;"",BK$8&lt;&gt;""),IF(EOMONTH($BJ$3+INT((DAY(EOMONTH($BJ$3,0))-1)/2)+BK$8,0)=EOMONTH($DN$3,0),BK$6*BK$7,0),0),IF(AND(BG$6&lt;&gt;"",BG$8&lt;&gt;""),IF(EOMONTH($BF$3+INT((DAY(EOMONTH($BF$3,0))-1)/2)+BG$8,0)=EOMONTH($DN$3,0),BG$6*BG$7,0),0),IF(AND(BC$6&lt;&gt;"",BC$8&lt;&gt;""),IF(EOMONTH($BB$3+INT((DAY(EOMONTH($BB$3,0))-1)/2)+BC$8,0)=EOMONTH($DN$3,0),BC$6*BC$7,0),0),IF(AND(AY$6&lt;&gt;"",AY$8&lt;&gt;""),IF(EOMONTH($AX$3+INT((DAY(EOMONTH($AX$3,0))-1)/2)+AY$8,0)=EOMONTH($DN$3,0),AY$6*AY$7,0),0),IF(AND(AU$6&lt;&gt;"",AU$8&lt;&gt;""),IF(EOMONTH($AT$3+INT((DAY(EOMONTH($AT$3,0))-1)/2)+AU$8,0)=EOMONTH($DN$3,0),AU$6*AU$7,0),0),IF(AND(AQ$6&lt;&gt;"",AQ$8&lt;&gt;""),IF(EOMONTH($AP$3+INT((DAY(EOMONTH($AP$3,0))-1)/2)+AQ$8,0)=EOMONTH($DN$3,0),AQ$6*AQ$7,0),0),IF(AND(AM$6&lt;&gt;"",AM$8&lt;&gt;""),IF(EOMONTH($AL$3+INT((DAY(EOMONTH($AL$3,0))-1)/2)+AM$8,0)=EOMONTH($DN$3,0),AM$6*AM$7,0),0),IF(AND(AI$6&lt;&gt;"",AI$8&lt;&gt;""),IF(EOMONTH($AH$3+INT((DAY(EOMONTH($AH$3,0))-1)/2)+AI$8,0)=EOMONTH($DN$3,0),AI$6*AI$7,0),0),IF(AND(AE$6&lt;&gt;"",AE$8&lt;&gt;""),IF(EOMONTH($AD$3+INT((DAY(EOMONTH($AD$3,0))-1)/2)+AE$8,0)=EOMONTH($DN$3,0),AE$6*AE$7,0),0),IF(AND(AA$6&lt;&gt;"",AA$8&lt;&gt;""),IF(EOMONTH($Z$3+INT((DAY(EOMONTH($Z$3,0))-1)/2)+AA$8,0)=EOMONTH($DN$3,0),AA$6*AA$7,0),0),IF(AND(W$6&lt;&gt;"",W$8&lt;&gt;""),IF(EOMONTH($V$3+INT((DAY(EOMONTH($V$3,0))-1)/2)+W$8,0)=EOMONTH($DN$3,0),W$6*W$7,0),0),IF(AND(S$6&lt;&gt;"",S$8&lt;&gt;""),IF(EOMONTH($R$3+INT((DAY(EOMONTH($R$3,0))-1)/2)+S$8,0)=EOMONTH($DN$3,0),S$6*S$7,0),0),IF(AND(O$6&lt;&gt;"",O$8&lt;&gt;""),IF(EOMONTH($N$3+INT((DAY(EOMONTH($N$3,0))-1)/2)+O$8,0)=EOMONTH($DN$3,0),O$6*O$7,0),0),IF(AND(K$6&lt;&gt;"",K$8&lt;&gt;""),IF(EOMONTH($J$3+INT((DAY(EOMONTH($J$3,0))-1)/2)+K$8,0)=EOMONTH($DN$3,0),K$6*K$7,0),0),IF(AND(G$6&lt;&gt;"",G$8&lt;&gt;""),IF(EOMONTH($F$3+INT((DAY(EOMONTH($F$3,0))-1)/2)+G$8,0)=EOMONTH($DN$3,0),G$6*G$7,0),0)),0))</f>
        <v>0</v>
      </c>
      <c r="DP9" s="15">
        <f>ROUND(SUM(IF(AND(ER$6&lt;&gt;"",ER$8&lt;&gt;""),IF(EOMONTH($EP$3+INT((DAY(EOMONTH($EP$3,0))-1)/2)+ER$8,0)=EOMONTH($DN$3,0),ER$6*ER$7,0),0),IF(AND(EN$6&lt;&gt;"",EN$8&lt;&gt;""),IF(EOMONTH($EL$3+INT((DAY(EOMONTH($EL$3,0))-1)/2)+EN$8,0)=EOMONTH($DN$3,0),EN$6*EN$7,0),0),IF(AND(EJ$6&lt;&gt;"",EJ$8&lt;&gt;""),IF(EOMONTH($EH$3+INT((DAY(EOMONTH($EH$3,0))-1)/2)+EJ$8,0)=EOMONTH($DN$3,0),EJ$6*EJ$7,0),0),IF(AND(EF$6&lt;&gt;"",EF$8&lt;&gt;""),IF(EOMONTH($ED$3+INT((DAY(EOMONTH($ED$3,0))-1)/2)+EF$8,0)=EOMONTH($DN$3,0),EF$6*EF$7,0),0),IF(AND(EB$6&lt;&gt;"",EB$8&lt;&gt;""),IF(EOMONTH($DZ$3+INT((DAY(EOMONTH($DZ$3,0))-1)/2)+EB$8,0)=EOMONTH($DN$3,0),EB$6*EB$7,0),0),IF(AND(DX$6&lt;&gt;"",DX$8&lt;&gt;""),IF(EOMONTH($DV$3+INT((DAY(EOMONTH($DV$3,0))-1)/2)+DX$8,0)=EOMONTH($DN$3,0),DX$6*DX$7,0),0),IF(AND(DT$6&lt;&gt;"",DT$8&lt;&gt;""),IF(EOMONTH($DR$3+INT((DAY(EOMONTH($DR$3,0))-1)/2)+DT$8,0)=EOMONTH($DN$3,0),DT$6*DT$7,0),0),IF(AND(DP$6&lt;&gt;"",DP$8&lt;&gt;""),IF(EOMONTH($DN$3+INT((DAY(EOMONTH($DN$3,0))-1)/2)+DP$8,0)=EOMONTH($DN$3,0),DP$6*DP$7,0),0),IF(AND(DL$6&lt;&gt;"",DL$8&lt;&gt;""),IF(EOMONTH($DJ$3+INT((DAY(EOMONTH($DJ$3,0))-1)/2)+DL$8,0)=EOMONTH($DN$3,0),DL$6*DL$7,0),0),IF(AND(DH$6&lt;&gt;"",DH$8&lt;&gt;""),IF(EOMONTH($DF$3+INT((DAY(EOMONTH($DF$3,0))-1)/2)+DH$8,0)=EOMONTH($DN$3,0),DH$6*DH$7,0),0),IF(AND(DD$6&lt;&gt;"",DD$8&lt;&gt;""),IF(EOMONTH($DB$3+INT((DAY(EOMONTH($DB$3,0))-1)/2)+DD$8,0)=EOMONTH($DN$3,0),DD$6*DD$7,0),0),IF(AND(CZ$6&lt;&gt;"",CZ$8&lt;&gt;""),IF(EOMONTH($CX$3+INT((DAY(EOMONTH($CX$3,0))-1)/2)+CZ$8,0)=EOMONTH($DN$3,0),CZ$6*CZ$7,0),0),IF(AND(CV$6&lt;&gt;"",CV$8&lt;&gt;""),IF(EOMONTH($CT$3+INT((DAY(EOMONTH($CT$3,0))-1)/2)+CV$8,0)=EOMONTH($DN$3,0),CV$6*CV$7,0),0),IF(AND(CR$6&lt;&gt;"",CR$8&lt;&gt;""),IF(EOMONTH($CP$3+INT((DAY(EOMONTH($CP$3,0))-1)/2)+CR$8,0)=EOMONTH($DN$3,0),CR$6*CR$7,0),0),IF(AND(CN$6&lt;&gt;"",CN$8&lt;&gt;""),IF(EOMONTH($CL$3+INT((DAY(EOMONTH($CL$3,0))-1)/2)+CN$8,0)=EOMONTH($DN$3,0),CN$6*CN$7,0),0),IF(AND(CJ$6&lt;&gt;"",CJ$8&lt;&gt;""),IF(EOMONTH($CH$3+INT((DAY(EOMONTH($CH$3,0))-1)/2)+CJ$8,0)=EOMONTH($DN$3,0),CJ$6*CJ$7,0),0),IF(AND(CF$6&lt;&gt;"",CF$8&lt;&gt;""),IF(EOMONTH($CD$3+INT((DAY(EOMONTH($CD$3,0))-1)/2)+CF$8,0)=EOMONTH($DN$3,0),CF$6*CF$7,0),0),IF(AND(CB$6&lt;&gt;"",CB$8&lt;&gt;""),IF(EOMONTH($BZ$3+INT((DAY(EOMONTH($BZ$3,0))-1)/2)+CB$8,0)=EOMONTH($DN$3,0),CB$6*CB$7,0),0),IF(AND(BX$6&lt;&gt;"",BX$8&lt;&gt;""),IF(EOMONTH($BV$3+INT((DAY(EOMONTH($BV$3,0))-1)/2)+BX$8,0)=EOMONTH($DN$3,0),BX$6*BX$7,0),0),IF(AND(BT$6&lt;&gt;"",BT$8&lt;&gt;""),IF(EOMONTH($BR$3+INT((DAY(EOMONTH($BR$3,0))-1)/2)+BT$8,0)=EOMONTH($DN$3,0),BT$6*BT$7,0),0),IF(AND(BP$6&lt;&gt;"",BP$8&lt;&gt;""),IF(EOMONTH($BN$3+INT((DAY(EOMONTH($BN$3,0))-1)/2)+BP$8,0)=EOMONTH($DN$3,0),BP$6*BP$7,0),0),IF(AND(BL$6&lt;&gt;"",BL$8&lt;&gt;""),IF(EOMONTH($BJ$3+INT((DAY(EOMONTH($BJ$3,0))-1)/2)+BL$8,0)=EOMONTH($DN$3,0),BL$6*BL$7,0),0),IF(AND(BH$6&lt;&gt;"",BH$8&lt;&gt;""),IF(EOMONTH($BF$3+INT((DAY(EOMONTH($BF$3,0))-1)/2)+BH$8,0)=EOMONTH($DN$3,0),BH$6*BH$7,0),0),IF(AND(BD$6&lt;&gt;"",BD$8&lt;&gt;""),IF(EOMONTH($BB$3+INT((DAY(EOMONTH($BB$3,0))-1)/2)+BD$8,0)=EOMONTH($DN$3,0),BD$6*BD$7,0),0),IF(AND(AZ$6&lt;&gt;"",AZ$8&lt;&gt;""),IF(EOMONTH($AX$3+INT((DAY(EOMONTH($AX$3,0))-1)/2)+AZ$8,0)=EOMONTH($DN$3,0),AZ$6*AZ$7,0),0),IF(AND(AV$6&lt;&gt;"",AV$8&lt;&gt;""),IF(EOMONTH($AT$3+INT((DAY(EOMONTH($AT$3,0))-1)/2)+AV$8,0)=EOMONTH($DN$3,0),AV$6*AV$7,0),0),IF(AND(AR$6&lt;&gt;"",AR$8&lt;&gt;""),IF(EOMONTH($AP$3+INT((DAY(EOMONTH($AP$3,0))-1)/2)+AR$8,0)=EOMONTH($DN$3,0),AR$6*AR$7,0),0),IF(AND(AN$6&lt;&gt;"",AN$8&lt;&gt;""),IF(EOMONTH($AL$3+INT((DAY(EOMONTH($AL$3,0))-1)/2)+AN$8,0)=EOMONTH($DN$3,0),AN$6*AN$7,0),0),IF(AND(AJ$6&lt;&gt;"",AJ$8&lt;&gt;""),IF(EOMONTH($AH$3+INT((DAY(EOMONTH($AH$3,0))-1)/2)+AJ$8,0)=EOMONTH($DN$3,0),AJ$6*AJ$7,0),0),IF(AND(AF$6&lt;&gt;"",AF$8&lt;&gt;""),IF(EOMONTH($AD$3+INT((DAY(EOMONTH($AD$3,0))-1)/2)+AF$8,0)=EOMONTH($DN$3,0),AF$6*AF$7,0),0),IF(AND(AB$6&lt;&gt;"",AB$8&lt;&gt;""),IF(EOMONTH($Z$3+INT((DAY(EOMONTH($Z$3,0))-1)/2)+AB$8,0)=EOMONTH($DN$3,0),AB$6*AB$7,0),0),IF(AND(X$6&lt;&gt;"",X$8&lt;&gt;""),IF(EOMONTH($V$3+INT((DAY(EOMONTH($V$3,0))-1)/2)+X$8,0)=EOMONTH($DN$3,0),X$6*X$7,0),0),IF(AND(T$6&lt;&gt;"",T$8&lt;&gt;""),IF(EOMONTH($R$3+INT((DAY(EOMONTH($R$3,0))-1)/2)+T$8,0)=EOMONTH($DN$3,0),T$6*T$7,0),0),IF(AND(P$6&lt;&gt;"",P$8&lt;&gt;""),IF(EOMONTH($N$3+INT((DAY(EOMONTH($N$3,0))-1)/2)+P$8,0)=EOMONTH($DN$3,0),P$6*P$7,0),0),IF(AND(L$6&lt;&gt;"",L$8&lt;&gt;""),IF(EOMONTH($J$3+INT((DAY(EOMONTH($J$3,0))-1)/2)+L$8,0)=EOMONTH($DN$3,0),L$6*L$7,0),0),IF(AND(H$6&lt;&gt;"",H$8&lt;&gt;""),IF(EOMONTH($F$3+INT((DAY(EOMONTH($F$3,0))-1)/2)+H$8,0)=EOMONTH($DN$3,0),H$6*H$7,0),0)),0)</f>
        <v>0</v>
      </c>
      <c r="DQ9" s="16">
        <f t="shared" si="61"/>
        <v>0</v>
      </c>
      <c r="DR9" s="17"/>
      <c r="DS9" s="14">
        <f>IF(DR$98=1,DR9,ROUND(SUM(IF(AND(EQ$6&lt;&gt;"",EQ$8&lt;&gt;""),IF(EOMONTH($EP$3+INT((DAY(EOMONTH($EP$3,0))-1)/2)+EQ$8,0)=EOMONTH($DR$3,0),EQ$6*EQ$7,0),0),IF(AND(EM$6&lt;&gt;"",EM$8&lt;&gt;""),IF(EOMONTH($EL$3+INT((DAY(EOMONTH($EL$3,0))-1)/2)+EM$8,0)=EOMONTH($DR$3,0),EM$6*EM$7,0),0),IF(AND(EI$6&lt;&gt;"",EI$8&lt;&gt;""),IF(EOMONTH($EH$3+INT((DAY(EOMONTH($EH$3,0))-1)/2)+EI$8,0)=EOMONTH($DR$3,0),EI$6*EI$7,0),0),IF(AND(EE$6&lt;&gt;"",EE$8&lt;&gt;""),IF(EOMONTH($ED$3+INT((DAY(EOMONTH($ED$3,0))-1)/2)+EE$8,0)=EOMONTH($DR$3,0),EE$6*EE$7,0),0),IF(AND(EA$6&lt;&gt;"",EA$8&lt;&gt;""),IF(EOMONTH($DZ$3+INT((DAY(EOMONTH($DZ$3,0))-1)/2)+EA$8,0)=EOMONTH($DR$3,0),EA$6*EA$7,0),0),IF(AND(DW$6&lt;&gt;"",DW$8&lt;&gt;""),IF(EOMONTH($DV$3+INT((DAY(EOMONTH($DV$3,0))-1)/2)+DW$8,0)=EOMONTH($DR$3,0),DW$6*DW$7,0),0),IF(AND(DS$6&lt;&gt;"",DS$8&lt;&gt;""),IF(EOMONTH($DR$3+INT((DAY(EOMONTH($DR$3,0))-1)/2)+DS$8,0)=EOMONTH($DR$3,0),DS$6*DS$7,0),0),IF(AND(DO$6&lt;&gt;"",DO$8&lt;&gt;""),IF(EOMONTH($DN$3+INT((DAY(EOMONTH($DN$3,0))-1)/2)+DO$8,0)=EOMONTH($DR$3,0),DO$6*DO$7,0),0),IF(AND(DK$6&lt;&gt;"",DK$8&lt;&gt;""),IF(EOMONTH($DJ$3+INT((DAY(EOMONTH($DJ$3,0))-1)/2)+DK$8,0)=EOMONTH($DR$3,0),DK$6*DK$7,0),0),IF(AND(DG$6&lt;&gt;"",DG$8&lt;&gt;""),IF(EOMONTH($DF$3+INT((DAY(EOMONTH($DF$3,0))-1)/2)+DG$8,0)=EOMONTH($DR$3,0),DG$6*DG$7,0),0),IF(AND(DC$6&lt;&gt;"",DC$8&lt;&gt;""),IF(EOMONTH($DB$3+INT((DAY(EOMONTH($DB$3,0))-1)/2)+DC$8,0)=EOMONTH($DR$3,0),DC$6*DC$7,0),0),IF(AND(CY$6&lt;&gt;"",CY$8&lt;&gt;""),IF(EOMONTH($CX$3+INT((DAY(EOMONTH($CX$3,0))-1)/2)+CY$8,0)=EOMONTH($DR$3,0),CY$6*CY$7,0),0),IF(AND(CU$6&lt;&gt;"",CU$8&lt;&gt;""),IF(EOMONTH($CT$3+INT((DAY(EOMONTH($CT$3,0))-1)/2)+CU$8,0)=EOMONTH($DR$3,0),CU$6*CU$7,0),0),IF(AND(CQ$6&lt;&gt;"",CQ$8&lt;&gt;""),IF(EOMONTH($CP$3+INT((DAY(EOMONTH($CP$3,0))-1)/2)+CQ$8,0)=EOMONTH($DR$3,0),CQ$6*CQ$7,0),0),IF(AND(CM$6&lt;&gt;"",CM$8&lt;&gt;""),IF(EOMONTH($CL$3+INT((DAY(EOMONTH($CL$3,0))-1)/2)+CM$8,0)=EOMONTH($DR$3,0),CM$6*CM$7,0),0),IF(AND(CI$6&lt;&gt;"",CI$8&lt;&gt;""),IF(EOMONTH($CH$3+INT((DAY(EOMONTH($CH$3,0))-1)/2)+CI$8,0)=EOMONTH($DR$3,0),CI$6*CI$7,0),0),IF(AND(CE$6&lt;&gt;"",CE$8&lt;&gt;""),IF(EOMONTH($CD$3+INT((DAY(EOMONTH($CD$3,0))-1)/2)+CE$8,0)=EOMONTH($DR$3,0),CE$6*CE$7,0),0),IF(AND(CA$6&lt;&gt;"",CA$8&lt;&gt;""),IF(EOMONTH($BZ$3+INT((DAY(EOMONTH($BZ$3,0))-1)/2)+CA$8,0)=EOMONTH($DR$3,0),CA$6*CA$7,0),0),IF(AND(BW$6&lt;&gt;"",BW$8&lt;&gt;""),IF(EOMONTH($BV$3+INT((DAY(EOMONTH($BV$3,0))-1)/2)+BW$8,0)=EOMONTH($DR$3,0),BW$6*BW$7,0),0),IF(AND(BS$6&lt;&gt;"",BS$8&lt;&gt;""),IF(EOMONTH($BR$3+INT((DAY(EOMONTH($BR$3,0))-1)/2)+BS$8,0)=EOMONTH($DR$3,0),BS$6*BS$7,0),0),IF(AND(BO$6&lt;&gt;"",BO$8&lt;&gt;""),IF(EOMONTH($BN$3+INT((DAY(EOMONTH($BN$3,0))-1)/2)+BO$8,0)=EOMONTH($DR$3,0),BO$6*BO$7,0),0),IF(AND(BK$6&lt;&gt;"",BK$8&lt;&gt;""),IF(EOMONTH($BJ$3+INT((DAY(EOMONTH($BJ$3,0))-1)/2)+BK$8,0)=EOMONTH($DR$3,0),BK$6*BK$7,0),0),IF(AND(BG$6&lt;&gt;"",BG$8&lt;&gt;""),IF(EOMONTH($BF$3+INT((DAY(EOMONTH($BF$3,0))-1)/2)+BG$8,0)=EOMONTH($DR$3,0),BG$6*BG$7,0),0),IF(AND(BC$6&lt;&gt;"",BC$8&lt;&gt;""),IF(EOMONTH($BB$3+INT((DAY(EOMONTH($BB$3,0))-1)/2)+BC$8,0)=EOMONTH($DR$3,0),BC$6*BC$7,0),0),IF(AND(AY$6&lt;&gt;"",AY$8&lt;&gt;""),IF(EOMONTH($AX$3+INT((DAY(EOMONTH($AX$3,0))-1)/2)+AY$8,0)=EOMONTH($DR$3,0),AY$6*AY$7,0),0),IF(AND(AU$6&lt;&gt;"",AU$8&lt;&gt;""),IF(EOMONTH($AT$3+INT((DAY(EOMONTH($AT$3,0))-1)/2)+AU$8,0)=EOMONTH($DR$3,0),AU$6*AU$7,0),0),IF(AND(AQ$6&lt;&gt;"",AQ$8&lt;&gt;""),IF(EOMONTH($AP$3+INT((DAY(EOMONTH($AP$3,0))-1)/2)+AQ$8,0)=EOMONTH($DR$3,0),AQ$6*AQ$7,0),0),IF(AND(AM$6&lt;&gt;"",AM$8&lt;&gt;""),IF(EOMONTH($AL$3+INT((DAY(EOMONTH($AL$3,0))-1)/2)+AM$8,0)=EOMONTH($DR$3,0),AM$6*AM$7,0),0),IF(AND(AI$6&lt;&gt;"",AI$8&lt;&gt;""),IF(EOMONTH($AH$3+INT((DAY(EOMONTH($AH$3,0))-1)/2)+AI$8,0)=EOMONTH($DR$3,0),AI$6*AI$7,0),0),IF(AND(AE$6&lt;&gt;"",AE$8&lt;&gt;""),IF(EOMONTH($AD$3+INT((DAY(EOMONTH($AD$3,0))-1)/2)+AE$8,0)=EOMONTH($DR$3,0),AE$6*AE$7,0),0),IF(AND(AA$6&lt;&gt;"",AA$8&lt;&gt;""),IF(EOMONTH($Z$3+INT((DAY(EOMONTH($Z$3,0))-1)/2)+AA$8,0)=EOMONTH($DR$3,0),AA$6*AA$7,0),0),IF(AND(W$6&lt;&gt;"",W$8&lt;&gt;""),IF(EOMONTH($V$3+INT((DAY(EOMONTH($V$3,0))-1)/2)+W$8,0)=EOMONTH($DR$3,0),W$6*W$7,0),0),IF(AND(S$6&lt;&gt;"",S$8&lt;&gt;""),IF(EOMONTH($R$3+INT((DAY(EOMONTH($R$3,0))-1)/2)+S$8,0)=EOMONTH($DR$3,0),S$6*S$7,0),0),IF(AND(O$6&lt;&gt;"",O$8&lt;&gt;""),IF(EOMONTH($N$3+INT((DAY(EOMONTH($N$3,0))-1)/2)+O$8,0)=EOMONTH($DR$3,0),O$6*O$7,0),0),IF(AND(K$6&lt;&gt;"",K$8&lt;&gt;""),IF(EOMONTH($J$3+INT((DAY(EOMONTH($J$3,0))-1)/2)+K$8,0)=EOMONTH($DR$3,0),K$6*K$7,0),0),IF(AND(G$6&lt;&gt;"",G$8&lt;&gt;""),IF(EOMONTH($F$3+INT((DAY(EOMONTH($F$3,0))-1)/2)+G$8,0)=EOMONTH($DR$3,0),G$6*G$7,0),0)),0))</f>
        <v>0</v>
      </c>
      <c r="DT9" s="15">
        <f>ROUND(SUM(IF(AND(ER$6&lt;&gt;"",ER$8&lt;&gt;""),IF(EOMONTH($EP$3+INT((DAY(EOMONTH($EP$3,0))-1)/2)+ER$8,0)=EOMONTH($DR$3,0),ER$6*ER$7,0),0),IF(AND(EN$6&lt;&gt;"",EN$8&lt;&gt;""),IF(EOMONTH($EL$3+INT((DAY(EOMONTH($EL$3,0))-1)/2)+EN$8,0)=EOMONTH($DR$3,0),EN$6*EN$7,0),0),IF(AND(EJ$6&lt;&gt;"",EJ$8&lt;&gt;""),IF(EOMONTH($EH$3+INT((DAY(EOMONTH($EH$3,0))-1)/2)+EJ$8,0)=EOMONTH($DR$3,0),EJ$6*EJ$7,0),0),IF(AND(EF$6&lt;&gt;"",EF$8&lt;&gt;""),IF(EOMONTH($ED$3+INT((DAY(EOMONTH($ED$3,0))-1)/2)+EF$8,0)=EOMONTH($DR$3,0),EF$6*EF$7,0),0),IF(AND(EB$6&lt;&gt;"",EB$8&lt;&gt;""),IF(EOMONTH($DZ$3+INT((DAY(EOMONTH($DZ$3,0))-1)/2)+EB$8,0)=EOMONTH($DR$3,0),EB$6*EB$7,0),0),IF(AND(DX$6&lt;&gt;"",DX$8&lt;&gt;""),IF(EOMONTH($DV$3+INT((DAY(EOMONTH($DV$3,0))-1)/2)+DX$8,0)=EOMONTH($DR$3,0),DX$6*DX$7,0),0),IF(AND(DT$6&lt;&gt;"",DT$8&lt;&gt;""),IF(EOMONTH($DR$3+INT((DAY(EOMONTH($DR$3,0))-1)/2)+DT$8,0)=EOMONTH($DR$3,0),DT$6*DT$7,0),0),IF(AND(DP$6&lt;&gt;"",DP$8&lt;&gt;""),IF(EOMONTH($DN$3+INT((DAY(EOMONTH($DN$3,0))-1)/2)+DP$8,0)=EOMONTH($DR$3,0),DP$6*DP$7,0),0),IF(AND(DL$6&lt;&gt;"",DL$8&lt;&gt;""),IF(EOMONTH($DJ$3+INT((DAY(EOMONTH($DJ$3,0))-1)/2)+DL$8,0)=EOMONTH($DR$3,0),DL$6*DL$7,0),0),IF(AND(DH$6&lt;&gt;"",DH$8&lt;&gt;""),IF(EOMONTH($DF$3+INT((DAY(EOMONTH($DF$3,0))-1)/2)+DH$8,0)=EOMONTH($DR$3,0),DH$6*DH$7,0),0),IF(AND(DD$6&lt;&gt;"",DD$8&lt;&gt;""),IF(EOMONTH($DB$3+INT((DAY(EOMONTH($DB$3,0))-1)/2)+DD$8,0)=EOMONTH($DR$3,0),DD$6*DD$7,0),0),IF(AND(CZ$6&lt;&gt;"",CZ$8&lt;&gt;""),IF(EOMONTH($CX$3+INT((DAY(EOMONTH($CX$3,0))-1)/2)+CZ$8,0)=EOMONTH($DR$3,0),CZ$6*CZ$7,0),0),IF(AND(CV$6&lt;&gt;"",CV$8&lt;&gt;""),IF(EOMONTH($CT$3+INT((DAY(EOMONTH($CT$3,0))-1)/2)+CV$8,0)=EOMONTH($DR$3,0),CV$6*CV$7,0),0),IF(AND(CR$6&lt;&gt;"",CR$8&lt;&gt;""),IF(EOMONTH($CP$3+INT((DAY(EOMONTH($CP$3,0))-1)/2)+CR$8,0)=EOMONTH($DR$3,0),CR$6*CR$7,0),0),IF(AND(CN$6&lt;&gt;"",CN$8&lt;&gt;""),IF(EOMONTH($CL$3+INT((DAY(EOMONTH($CL$3,0))-1)/2)+CN$8,0)=EOMONTH($DR$3,0),CN$6*CN$7,0),0),IF(AND(CJ$6&lt;&gt;"",CJ$8&lt;&gt;""),IF(EOMONTH($CH$3+INT((DAY(EOMONTH($CH$3,0))-1)/2)+CJ$8,0)=EOMONTH($DR$3,0),CJ$6*CJ$7,0),0),IF(AND(CF$6&lt;&gt;"",CF$8&lt;&gt;""),IF(EOMONTH($CD$3+INT((DAY(EOMONTH($CD$3,0))-1)/2)+CF$8,0)=EOMONTH($DR$3,0),CF$6*CF$7,0),0),IF(AND(CB$6&lt;&gt;"",CB$8&lt;&gt;""),IF(EOMONTH($BZ$3+INT((DAY(EOMONTH($BZ$3,0))-1)/2)+CB$8,0)=EOMONTH($DR$3,0),CB$6*CB$7,0),0),IF(AND(BX$6&lt;&gt;"",BX$8&lt;&gt;""),IF(EOMONTH($BV$3+INT((DAY(EOMONTH($BV$3,0))-1)/2)+BX$8,0)=EOMONTH($DR$3,0),BX$6*BX$7,0),0),IF(AND(BT$6&lt;&gt;"",BT$8&lt;&gt;""),IF(EOMONTH($BR$3+INT((DAY(EOMONTH($BR$3,0))-1)/2)+BT$8,0)=EOMONTH($DR$3,0),BT$6*BT$7,0),0),IF(AND(BP$6&lt;&gt;"",BP$8&lt;&gt;""),IF(EOMONTH($BN$3+INT((DAY(EOMONTH($BN$3,0))-1)/2)+BP$8,0)=EOMONTH($DR$3,0),BP$6*BP$7,0),0),IF(AND(BL$6&lt;&gt;"",BL$8&lt;&gt;""),IF(EOMONTH($BJ$3+INT((DAY(EOMONTH($BJ$3,0))-1)/2)+BL$8,0)=EOMONTH($DR$3,0),BL$6*BL$7,0),0),IF(AND(BH$6&lt;&gt;"",BH$8&lt;&gt;""),IF(EOMONTH($BF$3+INT((DAY(EOMONTH($BF$3,0))-1)/2)+BH$8,0)=EOMONTH($DR$3,0),BH$6*BH$7,0),0),IF(AND(BD$6&lt;&gt;"",BD$8&lt;&gt;""),IF(EOMONTH($BB$3+INT((DAY(EOMONTH($BB$3,0))-1)/2)+BD$8,0)=EOMONTH($DR$3,0),BD$6*BD$7,0),0),IF(AND(AZ$6&lt;&gt;"",AZ$8&lt;&gt;""),IF(EOMONTH($AX$3+INT((DAY(EOMONTH($AX$3,0))-1)/2)+AZ$8,0)=EOMONTH($DR$3,0),AZ$6*AZ$7,0),0),IF(AND(AV$6&lt;&gt;"",AV$8&lt;&gt;""),IF(EOMONTH($AT$3+INT((DAY(EOMONTH($AT$3,0))-1)/2)+AV$8,0)=EOMONTH($DR$3,0),AV$6*AV$7,0),0),IF(AND(AR$6&lt;&gt;"",AR$8&lt;&gt;""),IF(EOMONTH($AP$3+INT((DAY(EOMONTH($AP$3,0))-1)/2)+AR$8,0)=EOMONTH($DR$3,0),AR$6*AR$7,0),0),IF(AND(AN$6&lt;&gt;"",AN$8&lt;&gt;""),IF(EOMONTH($AL$3+INT((DAY(EOMONTH($AL$3,0))-1)/2)+AN$8,0)=EOMONTH($DR$3,0),AN$6*AN$7,0),0),IF(AND(AJ$6&lt;&gt;"",AJ$8&lt;&gt;""),IF(EOMONTH($AH$3+INT((DAY(EOMONTH($AH$3,0))-1)/2)+AJ$8,0)=EOMONTH($DR$3,0),AJ$6*AJ$7,0),0),IF(AND(AF$6&lt;&gt;"",AF$8&lt;&gt;""),IF(EOMONTH($AD$3+INT((DAY(EOMONTH($AD$3,0))-1)/2)+AF$8,0)=EOMONTH($DR$3,0),AF$6*AF$7,0),0),IF(AND(AB$6&lt;&gt;"",AB$8&lt;&gt;""),IF(EOMONTH($Z$3+INT((DAY(EOMONTH($Z$3,0))-1)/2)+AB$8,0)=EOMONTH($DR$3,0),AB$6*AB$7,0),0),IF(AND(X$6&lt;&gt;"",X$8&lt;&gt;""),IF(EOMONTH($V$3+INT((DAY(EOMONTH($V$3,0))-1)/2)+X$8,0)=EOMONTH($DR$3,0),X$6*X$7,0),0),IF(AND(T$6&lt;&gt;"",T$8&lt;&gt;""),IF(EOMONTH($R$3+INT((DAY(EOMONTH($R$3,0))-1)/2)+T$8,0)=EOMONTH($DR$3,0),T$6*T$7,0),0),IF(AND(P$6&lt;&gt;"",P$8&lt;&gt;""),IF(EOMONTH($N$3+INT((DAY(EOMONTH($N$3,0))-1)/2)+P$8,0)=EOMONTH($DR$3,0),P$6*P$7,0),0),IF(AND(L$6&lt;&gt;"",L$8&lt;&gt;""),IF(EOMONTH($J$3+INT((DAY(EOMONTH($J$3,0))-1)/2)+L$8,0)=EOMONTH($DR$3,0),L$6*L$7,0),0),IF(AND(H$6&lt;&gt;"",H$8&lt;&gt;""),IF(EOMONTH($F$3+INT((DAY(EOMONTH($F$3,0))-1)/2)+H$8,0)=EOMONTH($DR$3,0),H$6*H$7,0),0)),0)</f>
        <v>0</v>
      </c>
      <c r="DU9" s="16">
        <f t="shared" si="63"/>
        <v>0</v>
      </c>
      <c r="DV9" s="17"/>
      <c r="DW9" s="14">
        <f>IF(DV$98=1,DV9,ROUND(SUM(IF(AND(EQ$6&lt;&gt;"",EQ$8&lt;&gt;""),IF(EOMONTH($EP$3+INT((DAY(EOMONTH($EP$3,0))-1)/2)+EQ$8,0)=EOMONTH($DV$3,0),EQ$6*EQ$7,0),0),IF(AND(EM$6&lt;&gt;"",EM$8&lt;&gt;""),IF(EOMONTH($EL$3+INT((DAY(EOMONTH($EL$3,0))-1)/2)+EM$8,0)=EOMONTH($DV$3,0),EM$6*EM$7,0),0),IF(AND(EI$6&lt;&gt;"",EI$8&lt;&gt;""),IF(EOMONTH($EH$3+INT((DAY(EOMONTH($EH$3,0))-1)/2)+EI$8,0)=EOMONTH($DV$3,0),EI$6*EI$7,0),0),IF(AND(EE$6&lt;&gt;"",EE$8&lt;&gt;""),IF(EOMONTH($ED$3+INT((DAY(EOMONTH($ED$3,0))-1)/2)+EE$8,0)=EOMONTH($DV$3,0),EE$6*EE$7,0),0),IF(AND(EA$6&lt;&gt;"",EA$8&lt;&gt;""),IF(EOMONTH($DZ$3+INT((DAY(EOMONTH($DZ$3,0))-1)/2)+EA$8,0)=EOMONTH($DV$3,0),EA$6*EA$7,0),0),IF(AND(DW$6&lt;&gt;"",DW$8&lt;&gt;""),IF(EOMONTH($DV$3+INT((DAY(EOMONTH($DV$3,0))-1)/2)+DW$8,0)=EOMONTH($DV$3,0),DW$6*DW$7,0),0),IF(AND(DS$6&lt;&gt;"",DS$8&lt;&gt;""),IF(EOMONTH($DR$3+INT((DAY(EOMONTH($DR$3,0))-1)/2)+DS$8,0)=EOMONTH($DV$3,0),DS$6*DS$7,0),0),IF(AND(DO$6&lt;&gt;"",DO$8&lt;&gt;""),IF(EOMONTH($DN$3+INT((DAY(EOMONTH($DN$3,0))-1)/2)+DO$8,0)=EOMONTH($DV$3,0),DO$6*DO$7,0),0),IF(AND(DK$6&lt;&gt;"",DK$8&lt;&gt;""),IF(EOMONTH($DJ$3+INT((DAY(EOMONTH($DJ$3,0))-1)/2)+DK$8,0)=EOMONTH($DV$3,0),DK$6*DK$7,0),0),IF(AND(DG$6&lt;&gt;"",DG$8&lt;&gt;""),IF(EOMONTH($DF$3+INT((DAY(EOMONTH($DF$3,0))-1)/2)+DG$8,0)=EOMONTH($DV$3,0),DG$6*DG$7,0),0),IF(AND(DC$6&lt;&gt;"",DC$8&lt;&gt;""),IF(EOMONTH($DB$3+INT((DAY(EOMONTH($DB$3,0))-1)/2)+DC$8,0)=EOMONTH($DV$3,0),DC$6*DC$7,0),0),IF(AND(CY$6&lt;&gt;"",CY$8&lt;&gt;""),IF(EOMONTH($CX$3+INT((DAY(EOMONTH($CX$3,0))-1)/2)+CY$8,0)=EOMONTH($DV$3,0),CY$6*CY$7,0),0),IF(AND(CU$6&lt;&gt;"",CU$8&lt;&gt;""),IF(EOMONTH($CT$3+INT((DAY(EOMONTH($CT$3,0))-1)/2)+CU$8,0)=EOMONTH($DV$3,0),CU$6*CU$7,0),0),IF(AND(CQ$6&lt;&gt;"",CQ$8&lt;&gt;""),IF(EOMONTH($CP$3+INT((DAY(EOMONTH($CP$3,0))-1)/2)+CQ$8,0)=EOMONTH($DV$3,0),CQ$6*CQ$7,0),0),IF(AND(CM$6&lt;&gt;"",CM$8&lt;&gt;""),IF(EOMONTH($CL$3+INT((DAY(EOMONTH($CL$3,0))-1)/2)+CM$8,0)=EOMONTH($DV$3,0),CM$6*CM$7,0),0),IF(AND(CI$6&lt;&gt;"",CI$8&lt;&gt;""),IF(EOMONTH($CH$3+INT((DAY(EOMONTH($CH$3,0))-1)/2)+CI$8,0)=EOMONTH($DV$3,0),CI$6*CI$7,0),0),IF(AND(CE$6&lt;&gt;"",CE$8&lt;&gt;""),IF(EOMONTH($CD$3+INT((DAY(EOMONTH($CD$3,0))-1)/2)+CE$8,0)=EOMONTH($DV$3,0),CE$6*CE$7,0),0),IF(AND(CA$6&lt;&gt;"",CA$8&lt;&gt;""),IF(EOMONTH($BZ$3+INT((DAY(EOMONTH($BZ$3,0))-1)/2)+CA$8,0)=EOMONTH($DV$3,0),CA$6*CA$7,0),0),IF(AND(BW$6&lt;&gt;"",BW$8&lt;&gt;""),IF(EOMONTH($BV$3+INT((DAY(EOMONTH($BV$3,0))-1)/2)+BW$8,0)=EOMONTH($DV$3,0),BW$6*BW$7,0),0),IF(AND(BS$6&lt;&gt;"",BS$8&lt;&gt;""),IF(EOMONTH($BR$3+INT((DAY(EOMONTH($BR$3,0))-1)/2)+BS$8,0)=EOMONTH($DV$3,0),BS$6*BS$7,0),0),IF(AND(BO$6&lt;&gt;"",BO$8&lt;&gt;""),IF(EOMONTH($BN$3+INT((DAY(EOMONTH($BN$3,0))-1)/2)+BO$8,0)=EOMONTH($DV$3,0),BO$6*BO$7,0),0),IF(AND(BK$6&lt;&gt;"",BK$8&lt;&gt;""),IF(EOMONTH($BJ$3+INT((DAY(EOMONTH($BJ$3,0))-1)/2)+BK$8,0)=EOMONTH($DV$3,0),BK$6*BK$7,0),0),IF(AND(BG$6&lt;&gt;"",BG$8&lt;&gt;""),IF(EOMONTH($BF$3+INT((DAY(EOMONTH($BF$3,0))-1)/2)+BG$8,0)=EOMONTH($DV$3,0),BG$6*BG$7,0),0),IF(AND(BC$6&lt;&gt;"",BC$8&lt;&gt;""),IF(EOMONTH($BB$3+INT((DAY(EOMONTH($BB$3,0))-1)/2)+BC$8,0)=EOMONTH($DV$3,0),BC$6*BC$7,0),0),IF(AND(AY$6&lt;&gt;"",AY$8&lt;&gt;""),IF(EOMONTH($AX$3+INT((DAY(EOMONTH($AX$3,0))-1)/2)+AY$8,0)=EOMONTH($DV$3,0),AY$6*AY$7,0),0),IF(AND(AU$6&lt;&gt;"",AU$8&lt;&gt;""),IF(EOMONTH($AT$3+INT((DAY(EOMONTH($AT$3,0))-1)/2)+AU$8,0)=EOMONTH($DV$3,0),AU$6*AU$7,0),0),IF(AND(AQ$6&lt;&gt;"",AQ$8&lt;&gt;""),IF(EOMONTH($AP$3+INT((DAY(EOMONTH($AP$3,0))-1)/2)+AQ$8,0)=EOMONTH($DV$3,0),AQ$6*AQ$7,0),0),IF(AND(AM$6&lt;&gt;"",AM$8&lt;&gt;""),IF(EOMONTH($AL$3+INT((DAY(EOMONTH($AL$3,0))-1)/2)+AM$8,0)=EOMONTH($DV$3,0),AM$6*AM$7,0),0),IF(AND(AI$6&lt;&gt;"",AI$8&lt;&gt;""),IF(EOMONTH($AH$3+INT((DAY(EOMONTH($AH$3,0))-1)/2)+AI$8,0)=EOMONTH($DV$3,0),AI$6*AI$7,0),0),IF(AND(AE$6&lt;&gt;"",AE$8&lt;&gt;""),IF(EOMONTH($AD$3+INT((DAY(EOMONTH($AD$3,0))-1)/2)+AE$8,0)=EOMONTH($DV$3,0),AE$6*AE$7,0),0),IF(AND(AA$6&lt;&gt;"",AA$8&lt;&gt;""),IF(EOMONTH($Z$3+INT((DAY(EOMONTH($Z$3,0))-1)/2)+AA$8,0)=EOMONTH($DV$3,0),AA$6*AA$7,0),0),IF(AND(W$6&lt;&gt;"",W$8&lt;&gt;""),IF(EOMONTH($V$3+INT((DAY(EOMONTH($V$3,0))-1)/2)+W$8,0)=EOMONTH($DV$3,0),W$6*W$7,0),0),IF(AND(S$6&lt;&gt;"",S$8&lt;&gt;""),IF(EOMONTH($R$3+INT((DAY(EOMONTH($R$3,0))-1)/2)+S$8,0)=EOMONTH($DV$3,0),S$6*S$7,0),0),IF(AND(O$6&lt;&gt;"",O$8&lt;&gt;""),IF(EOMONTH($N$3+INT((DAY(EOMONTH($N$3,0))-1)/2)+O$8,0)=EOMONTH($DV$3,0),O$6*O$7,0),0),IF(AND(K$6&lt;&gt;"",K$8&lt;&gt;""),IF(EOMONTH($J$3+INT((DAY(EOMONTH($J$3,0))-1)/2)+K$8,0)=EOMONTH($DV$3,0),K$6*K$7,0),0),IF(AND(G$6&lt;&gt;"",G$8&lt;&gt;""),IF(EOMONTH($F$3+INT((DAY(EOMONTH($F$3,0))-1)/2)+G$8,0)=EOMONTH($DV$3,0),G$6*G$7,0),0)),0))</f>
        <v>0</v>
      </c>
      <c r="DX9" s="15">
        <f>ROUND(SUM(IF(AND(ER$6&lt;&gt;"",ER$8&lt;&gt;""),IF(EOMONTH($EP$3+INT((DAY(EOMONTH($EP$3,0))-1)/2)+ER$8,0)=EOMONTH($DV$3,0),ER$6*ER$7,0),0),IF(AND(EN$6&lt;&gt;"",EN$8&lt;&gt;""),IF(EOMONTH($EL$3+INT((DAY(EOMONTH($EL$3,0))-1)/2)+EN$8,0)=EOMONTH($DV$3,0),EN$6*EN$7,0),0),IF(AND(EJ$6&lt;&gt;"",EJ$8&lt;&gt;""),IF(EOMONTH($EH$3+INT((DAY(EOMONTH($EH$3,0))-1)/2)+EJ$8,0)=EOMONTH($DV$3,0),EJ$6*EJ$7,0),0),IF(AND(EF$6&lt;&gt;"",EF$8&lt;&gt;""),IF(EOMONTH($ED$3+INT((DAY(EOMONTH($ED$3,0))-1)/2)+EF$8,0)=EOMONTH($DV$3,0),EF$6*EF$7,0),0),IF(AND(EB$6&lt;&gt;"",EB$8&lt;&gt;""),IF(EOMONTH($DZ$3+INT((DAY(EOMONTH($DZ$3,0))-1)/2)+EB$8,0)=EOMONTH($DV$3,0),EB$6*EB$7,0),0),IF(AND(DX$6&lt;&gt;"",DX$8&lt;&gt;""),IF(EOMONTH($DV$3+INT((DAY(EOMONTH($DV$3,0))-1)/2)+DX$8,0)=EOMONTH($DV$3,0),DX$6*DX$7,0),0),IF(AND(DT$6&lt;&gt;"",DT$8&lt;&gt;""),IF(EOMONTH($DR$3+INT((DAY(EOMONTH($DR$3,0))-1)/2)+DT$8,0)=EOMONTH($DV$3,0),DT$6*DT$7,0),0),IF(AND(DP$6&lt;&gt;"",DP$8&lt;&gt;""),IF(EOMONTH($DN$3+INT((DAY(EOMONTH($DN$3,0))-1)/2)+DP$8,0)=EOMONTH($DV$3,0),DP$6*DP$7,0),0),IF(AND(DL$6&lt;&gt;"",DL$8&lt;&gt;""),IF(EOMONTH($DJ$3+INT((DAY(EOMONTH($DJ$3,0))-1)/2)+DL$8,0)=EOMONTH($DV$3,0),DL$6*DL$7,0),0),IF(AND(DH$6&lt;&gt;"",DH$8&lt;&gt;""),IF(EOMONTH($DF$3+INT((DAY(EOMONTH($DF$3,0))-1)/2)+DH$8,0)=EOMONTH($DV$3,0),DH$6*DH$7,0),0),IF(AND(DD$6&lt;&gt;"",DD$8&lt;&gt;""),IF(EOMONTH($DB$3+INT((DAY(EOMONTH($DB$3,0))-1)/2)+DD$8,0)=EOMONTH($DV$3,0),DD$6*DD$7,0),0),IF(AND(CZ$6&lt;&gt;"",CZ$8&lt;&gt;""),IF(EOMONTH($CX$3+INT((DAY(EOMONTH($CX$3,0))-1)/2)+CZ$8,0)=EOMONTH($DV$3,0),CZ$6*CZ$7,0),0),IF(AND(CV$6&lt;&gt;"",CV$8&lt;&gt;""),IF(EOMONTH($CT$3+INT((DAY(EOMONTH($CT$3,0))-1)/2)+CV$8,0)=EOMONTH($DV$3,0),CV$6*CV$7,0),0),IF(AND(CR$6&lt;&gt;"",CR$8&lt;&gt;""),IF(EOMONTH($CP$3+INT((DAY(EOMONTH($CP$3,0))-1)/2)+CR$8,0)=EOMONTH($DV$3,0),CR$6*CR$7,0),0),IF(AND(CN$6&lt;&gt;"",CN$8&lt;&gt;""),IF(EOMONTH($CL$3+INT((DAY(EOMONTH($CL$3,0))-1)/2)+CN$8,0)=EOMONTH($DV$3,0),CN$6*CN$7,0),0),IF(AND(CJ$6&lt;&gt;"",CJ$8&lt;&gt;""),IF(EOMONTH($CH$3+INT((DAY(EOMONTH($CH$3,0))-1)/2)+CJ$8,0)=EOMONTH($DV$3,0),CJ$6*CJ$7,0),0),IF(AND(CF$6&lt;&gt;"",CF$8&lt;&gt;""),IF(EOMONTH($CD$3+INT((DAY(EOMONTH($CD$3,0))-1)/2)+CF$8,0)=EOMONTH($DV$3,0),CF$6*CF$7,0),0),IF(AND(CB$6&lt;&gt;"",CB$8&lt;&gt;""),IF(EOMONTH($BZ$3+INT((DAY(EOMONTH($BZ$3,0))-1)/2)+CB$8,0)=EOMONTH($DV$3,0),CB$6*CB$7,0),0),IF(AND(BX$6&lt;&gt;"",BX$8&lt;&gt;""),IF(EOMONTH($BV$3+INT((DAY(EOMONTH($BV$3,0))-1)/2)+BX$8,0)=EOMONTH($DV$3,0),BX$6*BX$7,0),0),IF(AND(BT$6&lt;&gt;"",BT$8&lt;&gt;""),IF(EOMONTH($BR$3+INT((DAY(EOMONTH($BR$3,0))-1)/2)+BT$8,0)=EOMONTH($DV$3,0),BT$6*BT$7,0),0),IF(AND(BP$6&lt;&gt;"",BP$8&lt;&gt;""),IF(EOMONTH($BN$3+INT((DAY(EOMONTH($BN$3,0))-1)/2)+BP$8,0)=EOMONTH($DV$3,0),BP$6*BP$7,0),0),IF(AND(BL$6&lt;&gt;"",BL$8&lt;&gt;""),IF(EOMONTH($BJ$3+INT((DAY(EOMONTH($BJ$3,0))-1)/2)+BL$8,0)=EOMONTH($DV$3,0),BL$6*BL$7,0),0),IF(AND(BH$6&lt;&gt;"",BH$8&lt;&gt;""),IF(EOMONTH($BF$3+INT((DAY(EOMONTH($BF$3,0))-1)/2)+BH$8,0)=EOMONTH($DV$3,0),BH$6*BH$7,0),0),IF(AND(BD$6&lt;&gt;"",BD$8&lt;&gt;""),IF(EOMONTH($BB$3+INT((DAY(EOMONTH($BB$3,0))-1)/2)+BD$8,0)=EOMONTH($DV$3,0),BD$6*BD$7,0),0),IF(AND(AZ$6&lt;&gt;"",AZ$8&lt;&gt;""),IF(EOMONTH($AX$3+INT((DAY(EOMONTH($AX$3,0))-1)/2)+AZ$8,0)=EOMONTH($DV$3,0),AZ$6*AZ$7,0),0),IF(AND(AV$6&lt;&gt;"",AV$8&lt;&gt;""),IF(EOMONTH($AT$3+INT((DAY(EOMONTH($AT$3,0))-1)/2)+AV$8,0)=EOMONTH($DV$3,0),AV$6*AV$7,0),0),IF(AND(AR$6&lt;&gt;"",AR$8&lt;&gt;""),IF(EOMONTH($AP$3+INT((DAY(EOMONTH($AP$3,0))-1)/2)+AR$8,0)=EOMONTH($DV$3,0),AR$6*AR$7,0),0),IF(AND(AN$6&lt;&gt;"",AN$8&lt;&gt;""),IF(EOMONTH($AL$3+INT((DAY(EOMONTH($AL$3,0))-1)/2)+AN$8,0)=EOMONTH($DV$3,0),AN$6*AN$7,0),0),IF(AND(AJ$6&lt;&gt;"",AJ$8&lt;&gt;""),IF(EOMONTH($AH$3+INT((DAY(EOMONTH($AH$3,0))-1)/2)+AJ$8,0)=EOMONTH($DV$3,0),AJ$6*AJ$7,0),0),IF(AND(AF$6&lt;&gt;"",AF$8&lt;&gt;""),IF(EOMONTH($AD$3+INT((DAY(EOMONTH($AD$3,0))-1)/2)+AF$8,0)=EOMONTH($DV$3,0),AF$6*AF$7,0),0),IF(AND(AB$6&lt;&gt;"",AB$8&lt;&gt;""),IF(EOMONTH($Z$3+INT((DAY(EOMONTH($Z$3,0))-1)/2)+AB$8,0)=EOMONTH($DV$3,0),AB$6*AB$7,0),0),IF(AND(X$6&lt;&gt;"",X$8&lt;&gt;""),IF(EOMONTH($V$3+INT((DAY(EOMONTH($V$3,0))-1)/2)+X$8,0)=EOMONTH($DV$3,0),X$6*X$7,0),0),IF(AND(T$6&lt;&gt;"",T$8&lt;&gt;""),IF(EOMONTH($R$3+INT((DAY(EOMONTH($R$3,0))-1)/2)+T$8,0)=EOMONTH($DV$3,0),T$6*T$7,0),0),IF(AND(P$6&lt;&gt;"",P$8&lt;&gt;""),IF(EOMONTH($N$3+INT((DAY(EOMONTH($N$3,0))-1)/2)+P$8,0)=EOMONTH($DV$3,0),P$6*P$7,0),0),IF(AND(L$6&lt;&gt;"",L$8&lt;&gt;""),IF(EOMONTH($J$3+INT((DAY(EOMONTH($J$3,0))-1)/2)+L$8,0)=EOMONTH($DV$3,0),L$6*L$7,0),0),IF(AND(H$6&lt;&gt;"",H$8&lt;&gt;""),IF(EOMONTH($F$3+INT((DAY(EOMONTH($F$3,0))-1)/2)+H$8,0)=EOMONTH($DV$3,0),H$6*H$7,0),0)),0)</f>
        <v>0</v>
      </c>
      <c r="DY9" s="16">
        <f t="shared" si="65"/>
        <v>0</v>
      </c>
      <c r="DZ9" s="17"/>
      <c r="EA9" s="14">
        <f>IF(DZ$98=1,DZ9,ROUND(SUM(IF(AND(EQ$6&lt;&gt;"",EQ$8&lt;&gt;""),IF(EOMONTH($EP$3+INT((DAY(EOMONTH($EP$3,0))-1)/2)+EQ$8,0)=EOMONTH($DZ$3,0),EQ$6*EQ$7,0),0),IF(AND(EM$6&lt;&gt;"",EM$8&lt;&gt;""),IF(EOMONTH($EL$3+INT((DAY(EOMONTH($EL$3,0))-1)/2)+EM$8,0)=EOMONTH($DZ$3,0),EM$6*EM$7,0),0),IF(AND(EI$6&lt;&gt;"",EI$8&lt;&gt;""),IF(EOMONTH($EH$3+INT((DAY(EOMONTH($EH$3,0))-1)/2)+EI$8,0)=EOMONTH($DZ$3,0),EI$6*EI$7,0),0),IF(AND(EE$6&lt;&gt;"",EE$8&lt;&gt;""),IF(EOMONTH($ED$3+INT((DAY(EOMONTH($ED$3,0))-1)/2)+EE$8,0)=EOMONTH($DZ$3,0),EE$6*EE$7,0),0),IF(AND(EA$6&lt;&gt;"",EA$8&lt;&gt;""),IF(EOMONTH($DZ$3+INT((DAY(EOMONTH($DZ$3,0))-1)/2)+EA$8,0)=EOMONTH($DZ$3,0),EA$6*EA$7,0),0),IF(AND(DW$6&lt;&gt;"",DW$8&lt;&gt;""),IF(EOMONTH($DV$3+INT((DAY(EOMONTH($DV$3,0))-1)/2)+DW$8,0)=EOMONTH($DZ$3,0),DW$6*DW$7,0),0),IF(AND(DS$6&lt;&gt;"",DS$8&lt;&gt;""),IF(EOMONTH($DR$3+INT((DAY(EOMONTH($DR$3,0))-1)/2)+DS$8,0)=EOMONTH($DZ$3,0),DS$6*DS$7,0),0),IF(AND(DO$6&lt;&gt;"",DO$8&lt;&gt;""),IF(EOMONTH($DN$3+INT((DAY(EOMONTH($DN$3,0))-1)/2)+DO$8,0)=EOMONTH($DZ$3,0),DO$6*DO$7,0),0),IF(AND(DK$6&lt;&gt;"",DK$8&lt;&gt;""),IF(EOMONTH($DJ$3+INT((DAY(EOMONTH($DJ$3,0))-1)/2)+DK$8,0)=EOMONTH($DZ$3,0),DK$6*DK$7,0),0),IF(AND(DG$6&lt;&gt;"",DG$8&lt;&gt;""),IF(EOMONTH($DF$3+INT((DAY(EOMONTH($DF$3,0))-1)/2)+DG$8,0)=EOMONTH($DZ$3,0),DG$6*DG$7,0),0),IF(AND(DC$6&lt;&gt;"",DC$8&lt;&gt;""),IF(EOMONTH($DB$3+INT((DAY(EOMONTH($DB$3,0))-1)/2)+DC$8,0)=EOMONTH($DZ$3,0),DC$6*DC$7,0),0),IF(AND(CY$6&lt;&gt;"",CY$8&lt;&gt;""),IF(EOMONTH($CX$3+INT((DAY(EOMONTH($CX$3,0))-1)/2)+CY$8,0)=EOMONTH($DZ$3,0),CY$6*CY$7,0),0),IF(AND(CU$6&lt;&gt;"",CU$8&lt;&gt;""),IF(EOMONTH($CT$3+INT((DAY(EOMONTH($CT$3,0))-1)/2)+CU$8,0)=EOMONTH($DZ$3,0),CU$6*CU$7,0),0),IF(AND(CQ$6&lt;&gt;"",CQ$8&lt;&gt;""),IF(EOMONTH($CP$3+INT((DAY(EOMONTH($CP$3,0))-1)/2)+CQ$8,0)=EOMONTH($DZ$3,0),CQ$6*CQ$7,0),0),IF(AND(CM$6&lt;&gt;"",CM$8&lt;&gt;""),IF(EOMONTH($CL$3+INT((DAY(EOMONTH($CL$3,0))-1)/2)+CM$8,0)=EOMONTH($DZ$3,0),CM$6*CM$7,0),0),IF(AND(CI$6&lt;&gt;"",CI$8&lt;&gt;""),IF(EOMONTH($CH$3+INT((DAY(EOMONTH($CH$3,0))-1)/2)+CI$8,0)=EOMONTH($DZ$3,0),CI$6*CI$7,0),0),IF(AND(CE$6&lt;&gt;"",CE$8&lt;&gt;""),IF(EOMONTH($CD$3+INT((DAY(EOMONTH($CD$3,0))-1)/2)+CE$8,0)=EOMONTH($DZ$3,0),CE$6*CE$7,0),0),IF(AND(CA$6&lt;&gt;"",CA$8&lt;&gt;""),IF(EOMONTH($BZ$3+INT((DAY(EOMONTH($BZ$3,0))-1)/2)+CA$8,0)=EOMONTH($DZ$3,0),CA$6*CA$7,0),0),IF(AND(BW$6&lt;&gt;"",BW$8&lt;&gt;""),IF(EOMONTH($BV$3+INT((DAY(EOMONTH($BV$3,0))-1)/2)+BW$8,0)=EOMONTH($DZ$3,0),BW$6*BW$7,0),0),IF(AND(BS$6&lt;&gt;"",BS$8&lt;&gt;""),IF(EOMONTH($BR$3+INT((DAY(EOMONTH($BR$3,0))-1)/2)+BS$8,0)=EOMONTH($DZ$3,0),BS$6*BS$7,0),0),IF(AND(BO$6&lt;&gt;"",BO$8&lt;&gt;""),IF(EOMONTH($BN$3+INT((DAY(EOMONTH($BN$3,0))-1)/2)+BO$8,0)=EOMONTH($DZ$3,0),BO$6*BO$7,0),0),IF(AND(BK$6&lt;&gt;"",BK$8&lt;&gt;""),IF(EOMONTH($BJ$3+INT((DAY(EOMONTH($BJ$3,0))-1)/2)+BK$8,0)=EOMONTH($DZ$3,0),BK$6*BK$7,0),0),IF(AND(BG$6&lt;&gt;"",BG$8&lt;&gt;""),IF(EOMONTH($BF$3+INT((DAY(EOMONTH($BF$3,0))-1)/2)+BG$8,0)=EOMONTH($DZ$3,0),BG$6*BG$7,0),0),IF(AND(BC$6&lt;&gt;"",BC$8&lt;&gt;""),IF(EOMONTH($BB$3+INT((DAY(EOMONTH($BB$3,0))-1)/2)+BC$8,0)=EOMONTH($DZ$3,0),BC$6*BC$7,0),0),IF(AND(AY$6&lt;&gt;"",AY$8&lt;&gt;""),IF(EOMONTH($AX$3+INT((DAY(EOMONTH($AX$3,0))-1)/2)+AY$8,0)=EOMONTH($DZ$3,0),AY$6*AY$7,0),0),IF(AND(AU$6&lt;&gt;"",AU$8&lt;&gt;""),IF(EOMONTH($AT$3+INT((DAY(EOMONTH($AT$3,0))-1)/2)+AU$8,0)=EOMONTH($DZ$3,0),AU$6*AU$7,0),0),IF(AND(AQ$6&lt;&gt;"",AQ$8&lt;&gt;""),IF(EOMONTH($AP$3+INT((DAY(EOMONTH($AP$3,0))-1)/2)+AQ$8,0)=EOMONTH($DZ$3,0),AQ$6*AQ$7,0),0),IF(AND(AM$6&lt;&gt;"",AM$8&lt;&gt;""),IF(EOMONTH($AL$3+INT((DAY(EOMONTH($AL$3,0))-1)/2)+AM$8,0)=EOMONTH($DZ$3,0),AM$6*AM$7,0),0),IF(AND(AI$6&lt;&gt;"",AI$8&lt;&gt;""),IF(EOMONTH($AH$3+INT((DAY(EOMONTH($AH$3,0))-1)/2)+AI$8,0)=EOMONTH($DZ$3,0),AI$6*AI$7,0),0),IF(AND(AE$6&lt;&gt;"",AE$8&lt;&gt;""),IF(EOMONTH($AD$3+INT((DAY(EOMONTH($AD$3,0))-1)/2)+AE$8,0)=EOMONTH($DZ$3,0),AE$6*AE$7,0),0),IF(AND(AA$6&lt;&gt;"",AA$8&lt;&gt;""),IF(EOMONTH($Z$3+INT((DAY(EOMONTH($Z$3,0))-1)/2)+AA$8,0)=EOMONTH($DZ$3,0),AA$6*AA$7,0),0),IF(AND(W$6&lt;&gt;"",W$8&lt;&gt;""),IF(EOMONTH($V$3+INT((DAY(EOMONTH($V$3,0))-1)/2)+W$8,0)=EOMONTH($DZ$3,0),W$6*W$7,0),0),IF(AND(S$6&lt;&gt;"",S$8&lt;&gt;""),IF(EOMONTH($R$3+INT((DAY(EOMONTH($R$3,0))-1)/2)+S$8,0)=EOMONTH($DZ$3,0),S$6*S$7,0),0),IF(AND(O$6&lt;&gt;"",O$8&lt;&gt;""),IF(EOMONTH($N$3+INT((DAY(EOMONTH($N$3,0))-1)/2)+O$8,0)=EOMONTH($DZ$3,0),O$6*O$7,0),0),IF(AND(K$6&lt;&gt;"",K$8&lt;&gt;""),IF(EOMONTH($J$3+INT((DAY(EOMONTH($J$3,0))-1)/2)+K$8,0)=EOMONTH($DZ$3,0),K$6*K$7,0),0),IF(AND(G$6&lt;&gt;"",G$8&lt;&gt;""),IF(EOMONTH($F$3+INT((DAY(EOMONTH($F$3,0))-1)/2)+G$8,0)=EOMONTH($DZ$3,0),G$6*G$7,0),0)),0))</f>
        <v>0</v>
      </c>
      <c r="EB9" s="15">
        <f>ROUND(SUM(IF(AND(ER$6&lt;&gt;"",ER$8&lt;&gt;""),IF(EOMONTH($EP$3+INT((DAY(EOMONTH($EP$3,0))-1)/2)+ER$8,0)=EOMONTH($DZ$3,0),ER$6*ER$7,0),0),IF(AND(EN$6&lt;&gt;"",EN$8&lt;&gt;""),IF(EOMONTH($EL$3+INT((DAY(EOMONTH($EL$3,0))-1)/2)+EN$8,0)=EOMONTH($DZ$3,0),EN$6*EN$7,0),0),IF(AND(EJ$6&lt;&gt;"",EJ$8&lt;&gt;""),IF(EOMONTH($EH$3+INT((DAY(EOMONTH($EH$3,0))-1)/2)+EJ$8,0)=EOMONTH($DZ$3,0),EJ$6*EJ$7,0),0),IF(AND(EF$6&lt;&gt;"",EF$8&lt;&gt;""),IF(EOMONTH($ED$3+INT((DAY(EOMONTH($ED$3,0))-1)/2)+EF$8,0)=EOMONTH($DZ$3,0),EF$6*EF$7,0),0),IF(AND(EB$6&lt;&gt;"",EB$8&lt;&gt;""),IF(EOMONTH($DZ$3+INT((DAY(EOMONTH($DZ$3,0))-1)/2)+EB$8,0)=EOMONTH($DZ$3,0),EB$6*EB$7,0),0),IF(AND(DX$6&lt;&gt;"",DX$8&lt;&gt;""),IF(EOMONTH($DV$3+INT((DAY(EOMONTH($DV$3,0))-1)/2)+DX$8,0)=EOMONTH($DZ$3,0),DX$6*DX$7,0),0),IF(AND(DT$6&lt;&gt;"",DT$8&lt;&gt;""),IF(EOMONTH($DR$3+INT((DAY(EOMONTH($DR$3,0))-1)/2)+DT$8,0)=EOMONTH($DZ$3,0),DT$6*DT$7,0),0),IF(AND(DP$6&lt;&gt;"",DP$8&lt;&gt;""),IF(EOMONTH($DN$3+INT((DAY(EOMONTH($DN$3,0))-1)/2)+DP$8,0)=EOMONTH($DZ$3,0),DP$6*DP$7,0),0),IF(AND(DL$6&lt;&gt;"",DL$8&lt;&gt;""),IF(EOMONTH($DJ$3+INT((DAY(EOMONTH($DJ$3,0))-1)/2)+DL$8,0)=EOMONTH($DZ$3,0),DL$6*DL$7,0),0),IF(AND(DH$6&lt;&gt;"",DH$8&lt;&gt;""),IF(EOMONTH($DF$3+INT((DAY(EOMONTH($DF$3,0))-1)/2)+DH$8,0)=EOMONTH($DZ$3,0),DH$6*DH$7,0),0),IF(AND(DD$6&lt;&gt;"",DD$8&lt;&gt;""),IF(EOMONTH($DB$3+INT((DAY(EOMONTH($DB$3,0))-1)/2)+DD$8,0)=EOMONTH($DZ$3,0),DD$6*DD$7,0),0),IF(AND(CZ$6&lt;&gt;"",CZ$8&lt;&gt;""),IF(EOMONTH($CX$3+INT((DAY(EOMONTH($CX$3,0))-1)/2)+CZ$8,0)=EOMONTH($DZ$3,0),CZ$6*CZ$7,0),0),IF(AND(CV$6&lt;&gt;"",CV$8&lt;&gt;""),IF(EOMONTH($CT$3+INT((DAY(EOMONTH($CT$3,0))-1)/2)+CV$8,0)=EOMONTH($DZ$3,0),CV$6*CV$7,0),0),IF(AND(CR$6&lt;&gt;"",CR$8&lt;&gt;""),IF(EOMONTH($CP$3+INT((DAY(EOMONTH($CP$3,0))-1)/2)+CR$8,0)=EOMONTH($DZ$3,0),CR$6*CR$7,0),0),IF(AND(CN$6&lt;&gt;"",CN$8&lt;&gt;""),IF(EOMONTH($CL$3+INT((DAY(EOMONTH($CL$3,0))-1)/2)+CN$8,0)=EOMONTH($DZ$3,0),CN$6*CN$7,0),0),IF(AND(CJ$6&lt;&gt;"",CJ$8&lt;&gt;""),IF(EOMONTH($CH$3+INT((DAY(EOMONTH($CH$3,0))-1)/2)+CJ$8,0)=EOMONTH($DZ$3,0),CJ$6*CJ$7,0),0),IF(AND(CF$6&lt;&gt;"",CF$8&lt;&gt;""),IF(EOMONTH($CD$3+INT((DAY(EOMONTH($CD$3,0))-1)/2)+CF$8,0)=EOMONTH($DZ$3,0),CF$6*CF$7,0),0),IF(AND(CB$6&lt;&gt;"",CB$8&lt;&gt;""),IF(EOMONTH($BZ$3+INT((DAY(EOMONTH($BZ$3,0))-1)/2)+CB$8,0)=EOMONTH($DZ$3,0),CB$6*CB$7,0),0),IF(AND(BX$6&lt;&gt;"",BX$8&lt;&gt;""),IF(EOMONTH($BV$3+INT((DAY(EOMONTH($BV$3,0))-1)/2)+BX$8,0)=EOMONTH($DZ$3,0),BX$6*BX$7,0),0),IF(AND(BT$6&lt;&gt;"",BT$8&lt;&gt;""),IF(EOMONTH($BR$3+INT((DAY(EOMONTH($BR$3,0))-1)/2)+BT$8,0)=EOMONTH($DZ$3,0),BT$6*BT$7,0),0),IF(AND(BP$6&lt;&gt;"",BP$8&lt;&gt;""),IF(EOMONTH($BN$3+INT((DAY(EOMONTH($BN$3,0))-1)/2)+BP$8,0)=EOMONTH($DZ$3,0),BP$6*BP$7,0),0),IF(AND(BL$6&lt;&gt;"",BL$8&lt;&gt;""),IF(EOMONTH($BJ$3+INT((DAY(EOMONTH($BJ$3,0))-1)/2)+BL$8,0)=EOMONTH($DZ$3,0),BL$6*BL$7,0),0),IF(AND(BH$6&lt;&gt;"",BH$8&lt;&gt;""),IF(EOMONTH($BF$3+INT((DAY(EOMONTH($BF$3,0))-1)/2)+BH$8,0)=EOMONTH($DZ$3,0),BH$6*BH$7,0),0),IF(AND(BD$6&lt;&gt;"",BD$8&lt;&gt;""),IF(EOMONTH($BB$3+INT((DAY(EOMONTH($BB$3,0))-1)/2)+BD$8,0)=EOMONTH($DZ$3,0),BD$6*BD$7,0),0),IF(AND(AZ$6&lt;&gt;"",AZ$8&lt;&gt;""),IF(EOMONTH($AX$3+INT((DAY(EOMONTH($AX$3,0))-1)/2)+AZ$8,0)=EOMONTH($DZ$3,0),AZ$6*AZ$7,0),0),IF(AND(AV$6&lt;&gt;"",AV$8&lt;&gt;""),IF(EOMONTH($AT$3+INT((DAY(EOMONTH($AT$3,0))-1)/2)+AV$8,0)=EOMONTH($DZ$3,0),AV$6*AV$7,0),0),IF(AND(AR$6&lt;&gt;"",AR$8&lt;&gt;""),IF(EOMONTH($AP$3+INT((DAY(EOMONTH($AP$3,0))-1)/2)+AR$8,0)=EOMONTH($DZ$3,0),AR$6*AR$7,0),0),IF(AND(AN$6&lt;&gt;"",AN$8&lt;&gt;""),IF(EOMONTH($AL$3+INT((DAY(EOMONTH($AL$3,0))-1)/2)+AN$8,0)=EOMONTH($DZ$3,0),AN$6*AN$7,0),0),IF(AND(AJ$6&lt;&gt;"",AJ$8&lt;&gt;""),IF(EOMONTH($AH$3+INT((DAY(EOMONTH($AH$3,0))-1)/2)+AJ$8,0)=EOMONTH($DZ$3,0),AJ$6*AJ$7,0),0),IF(AND(AF$6&lt;&gt;"",AF$8&lt;&gt;""),IF(EOMONTH($AD$3+INT((DAY(EOMONTH($AD$3,0))-1)/2)+AF$8,0)=EOMONTH($DZ$3,0),AF$6*AF$7,0),0),IF(AND(AB$6&lt;&gt;"",AB$8&lt;&gt;""),IF(EOMONTH($Z$3+INT((DAY(EOMONTH($Z$3,0))-1)/2)+AB$8,0)=EOMONTH($DZ$3,0),AB$6*AB$7,0),0),IF(AND(X$6&lt;&gt;"",X$8&lt;&gt;""),IF(EOMONTH($V$3+INT((DAY(EOMONTH($V$3,0))-1)/2)+X$8,0)=EOMONTH($DZ$3,0),X$6*X$7,0),0),IF(AND(T$6&lt;&gt;"",T$8&lt;&gt;""),IF(EOMONTH($R$3+INT((DAY(EOMONTH($R$3,0))-1)/2)+T$8,0)=EOMONTH($DZ$3,0),T$6*T$7,0),0),IF(AND(P$6&lt;&gt;"",P$8&lt;&gt;""),IF(EOMONTH($N$3+INT((DAY(EOMONTH($N$3,0))-1)/2)+P$8,0)=EOMONTH($DZ$3,0),P$6*P$7,0),0),IF(AND(L$6&lt;&gt;"",L$8&lt;&gt;""),IF(EOMONTH($J$3+INT((DAY(EOMONTH($J$3,0))-1)/2)+L$8,0)=EOMONTH($DZ$3,0),L$6*L$7,0),0),IF(AND(H$6&lt;&gt;"",H$8&lt;&gt;""),IF(EOMONTH($F$3+INT((DAY(EOMONTH($F$3,0))-1)/2)+H$8,0)=EOMONTH($DZ$3,0),H$6*H$7,0),0)),0)</f>
        <v>0</v>
      </c>
      <c r="EC9" s="16">
        <f t="shared" si="67"/>
        <v>0</v>
      </c>
      <c r="ED9" s="17"/>
      <c r="EE9" s="14">
        <f>IF(ED$98=1,ED9,ROUND(SUM(IF(AND(EQ$6&lt;&gt;"",EQ$8&lt;&gt;""),IF(EOMONTH($EP$3+INT((DAY(EOMONTH($EP$3,0))-1)/2)+EQ$8,0)=EOMONTH($ED$3,0),EQ$6*EQ$7,0),0),IF(AND(EM$6&lt;&gt;"",EM$8&lt;&gt;""),IF(EOMONTH($EL$3+INT((DAY(EOMONTH($EL$3,0))-1)/2)+EM$8,0)=EOMONTH($ED$3,0),EM$6*EM$7,0),0),IF(AND(EI$6&lt;&gt;"",EI$8&lt;&gt;""),IF(EOMONTH($EH$3+INT((DAY(EOMONTH($EH$3,0))-1)/2)+EI$8,0)=EOMONTH($ED$3,0),EI$6*EI$7,0),0),IF(AND(EE$6&lt;&gt;"",EE$8&lt;&gt;""),IF(EOMONTH($ED$3+INT((DAY(EOMONTH($ED$3,0))-1)/2)+EE$8,0)=EOMONTH($ED$3,0),EE$6*EE$7,0),0),IF(AND(EA$6&lt;&gt;"",EA$8&lt;&gt;""),IF(EOMONTH($DZ$3+INT((DAY(EOMONTH($DZ$3,0))-1)/2)+EA$8,0)=EOMONTH($ED$3,0),EA$6*EA$7,0),0),IF(AND(DW$6&lt;&gt;"",DW$8&lt;&gt;""),IF(EOMONTH($DV$3+INT((DAY(EOMONTH($DV$3,0))-1)/2)+DW$8,0)=EOMONTH($ED$3,0),DW$6*DW$7,0),0),IF(AND(DS$6&lt;&gt;"",DS$8&lt;&gt;""),IF(EOMONTH($DR$3+INT((DAY(EOMONTH($DR$3,0))-1)/2)+DS$8,0)=EOMONTH($ED$3,0),DS$6*DS$7,0),0),IF(AND(DO$6&lt;&gt;"",DO$8&lt;&gt;""),IF(EOMONTH($DN$3+INT((DAY(EOMONTH($DN$3,0))-1)/2)+DO$8,0)=EOMONTH($ED$3,0),DO$6*DO$7,0),0),IF(AND(DK$6&lt;&gt;"",DK$8&lt;&gt;""),IF(EOMONTH($DJ$3+INT((DAY(EOMONTH($DJ$3,0))-1)/2)+DK$8,0)=EOMONTH($ED$3,0),DK$6*DK$7,0),0),IF(AND(DG$6&lt;&gt;"",DG$8&lt;&gt;""),IF(EOMONTH($DF$3+INT((DAY(EOMONTH($DF$3,0))-1)/2)+DG$8,0)=EOMONTH($ED$3,0),DG$6*DG$7,0),0),IF(AND(DC$6&lt;&gt;"",DC$8&lt;&gt;""),IF(EOMONTH($DB$3+INT((DAY(EOMONTH($DB$3,0))-1)/2)+DC$8,0)=EOMONTH($ED$3,0),DC$6*DC$7,0),0),IF(AND(CY$6&lt;&gt;"",CY$8&lt;&gt;""),IF(EOMONTH($CX$3+INT((DAY(EOMONTH($CX$3,0))-1)/2)+CY$8,0)=EOMONTH($ED$3,0),CY$6*CY$7,0),0),IF(AND(CU$6&lt;&gt;"",CU$8&lt;&gt;""),IF(EOMONTH($CT$3+INT((DAY(EOMONTH($CT$3,0))-1)/2)+CU$8,0)=EOMONTH($ED$3,0),CU$6*CU$7,0),0),IF(AND(CQ$6&lt;&gt;"",CQ$8&lt;&gt;""),IF(EOMONTH($CP$3+INT((DAY(EOMONTH($CP$3,0))-1)/2)+CQ$8,0)=EOMONTH($ED$3,0),CQ$6*CQ$7,0),0),IF(AND(CM$6&lt;&gt;"",CM$8&lt;&gt;""),IF(EOMONTH($CL$3+INT((DAY(EOMONTH($CL$3,0))-1)/2)+CM$8,0)=EOMONTH($ED$3,0),CM$6*CM$7,0),0),IF(AND(CI$6&lt;&gt;"",CI$8&lt;&gt;""),IF(EOMONTH($CH$3+INT((DAY(EOMONTH($CH$3,0))-1)/2)+CI$8,0)=EOMONTH($ED$3,0),CI$6*CI$7,0),0),IF(AND(CE$6&lt;&gt;"",CE$8&lt;&gt;""),IF(EOMONTH($CD$3+INT((DAY(EOMONTH($CD$3,0))-1)/2)+CE$8,0)=EOMONTH($ED$3,0),CE$6*CE$7,0),0),IF(AND(CA$6&lt;&gt;"",CA$8&lt;&gt;""),IF(EOMONTH($BZ$3+INT((DAY(EOMONTH($BZ$3,0))-1)/2)+CA$8,0)=EOMONTH($ED$3,0),CA$6*CA$7,0),0),IF(AND(BW$6&lt;&gt;"",BW$8&lt;&gt;""),IF(EOMONTH($BV$3+INT((DAY(EOMONTH($BV$3,0))-1)/2)+BW$8,0)=EOMONTH($ED$3,0),BW$6*BW$7,0),0),IF(AND(BS$6&lt;&gt;"",BS$8&lt;&gt;""),IF(EOMONTH($BR$3+INT((DAY(EOMONTH($BR$3,0))-1)/2)+BS$8,0)=EOMONTH($ED$3,0),BS$6*BS$7,0),0),IF(AND(BO$6&lt;&gt;"",BO$8&lt;&gt;""),IF(EOMONTH($BN$3+INT((DAY(EOMONTH($BN$3,0))-1)/2)+BO$8,0)=EOMONTH($ED$3,0),BO$6*BO$7,0),0),IF(AND(BK$6&lt;&gt;"",BK$8&lt;&gt;""),IF(EOMONTH($BJ$3+INT((DAY(EOMONTH($BJ$3,0))-1)/2)+BK$8,0)=EOMONTH($ED$3,0),BK$6*BK$7,0),0),IF(AND(BG$6&lt;&gt;"",BG$8&lt;&gt;""),IF(EOMONTH($BF$3+INT((DAY(EOMONTH($BF$3,0))-1)/2)+BG$8,0)=EOMONTH($ED$3,0),BG$6*BG$7,0),0),IF(AND(BC$6&lt;&gt;"",BC$8&lt;&gt;""),IF(EOMONTH($BB$3+INT((DAY(EOMONTH($BB$3,0))-1)/2)+BC$8,0)=EOMONTH($ED$3,0),BC$6*BC$7,0),0),IF(AND(AY$6&lt;&gt;"",AY$8&lt;&gt;""),IF(EOMONTH($AX$3+INT((DAY(EOMONTH($AX$3,0))-1)/2)+AY$8,0)=EOMONTH($ED$3,0),AY$6*AY$7,0),0),IF(AND(AU$6&lt;&gt;"",AU$8&lt;&gt;""),IF(EOMONTH($AT$3+INT((DAY(EOMONTH($AT$3,0))-1)/2)+AU$8,0)=EOMONTH($ED$3,0),AU$6*AU$7,0),0),IF(AND(AQ$6&lt;&gt;"",AQ$8&lt;&gt;""),IF(EOMONTH($AP$3+INT((DAY(EOMONTH($AP$3,0))-1)/2)+AQ$8,0)=EOMONTH($ED$3,0),AQ$6*AQ$7,0),0),IF(AND(AM$6&lt;&gt;"",AM$8&lt;&gt;""),IF(EOMONTH($AL$3+INT((DAY(EOMONTH($AL$3,0))-1)/2)+AM$8,0)=EOMONTH($ED$3,0),AM$6*AM$7,0),0),IF(AND(AI$6&lt;&gt;"",AI$8&lt;&gt;""),IF(EOMONTH($AH$3+INT((DAY(EOMONTH($AH$3,0))-1)/2)+AI$8,0)=EOMONTH($ED$3,0),AI$6*AI$7,0),0),IF(AND(AE$6&lt;&gt;"",AE$8&lt;&gt;""),IF(EOMONTH($AD$3+INT((DAY(EOMONTH($AD$3,0))-1)/2)+AE$8,0)=EOMONTH($ED$3,0),AE$6*AE$7,0),0),IF(AND(AA$6&lt;&gt;"",AA$8&lt;&gt;""),IF(EOMONTH($Z$3+INT((DAY(EOMONTH($Z$3,0))-1)/2)+AA$8,0)=EOMONTH($ED$3,0),AA$6*AA$7,0),0),IF(AND(W$6&lt;&gt;"",W$8&lt;&gt;""),IF(EOMONTH($V$3+INT((DAY(EOMONTH($V$3,0))-1)/2)+W$8,0)=EOMONTH($ED$3,0),W$6*W$7,0),0),IF(AND(S$6&lt;&gt;"",S$8&lt;&gt;""),IF(EOMONTH($R$3+INT((DAY(EOMONTH($R$3,0))-1)/2)+S$8,0)=EOMONTH($ED$3,0),S$6*S$7,0),0),IF(AND(O$6&lt;&gt;"",O$8&lt;&gt;""),IF(EOMONTH($N$3+INT((DAY(EOMONTH($N$3,0))-1)/2)+O$8,0)=EOMONTH($ED$3,0),O$6*O$7,0),0),IF(AND(K$6&lt;&gt;"",K$8&lt;&gt;""),IF(EOMONTH($J$3+INT((DAY(EOMONTH($J$3,0))-1)/2)+K$8,0)=EOMONTH($ED$3,0),K$6*K$7,0),0),IF(AND(G$6&lt;&gt;"",G$8&lt;&gt;""),IF(EOMONTH($F$3+INT((DAY(EOMONTH($F$3,0))-1)/2)+G$8,0)=EOMONTH($ED$3,0),G$6*G$7,0),0)),0))</f>
        <v>0</v>
      </c>
      <c r="EF9" s="15">
        <f>ROUND(SUM(IF(AND(ER$6&lt;&gt;"",ER$8&lt;&gt;""),IF(EOMONTH($EP$3+INT((DAY(EOMONTH($EP$3,0))-1)/2)+ER$8,0)=EOMONTH($ED$3,0),ER$6*ER$7,0),0),IF(AND(EN$6&lt;&gt;"",EN$8&lt;&gt;""),IF(EOMONTH($EL$3+INT((DAY(EOMONTH($EL$3,0))-1)/2)+EN$8,0)=EOMONTH($ED$3,0),EN$6*EN$7,0),0),IF(AND(EJ$6&lt;&gt;"",EJ$8&lt;&gt;""),IF(EOMONTH($EH$3+INT((DAY(EOMONTH($EH$3,0))-1)/2)+EJ$8,0)=EOMONTH($ED$3,0),EJ$6*EJ$7,0),0),IF(AND(EF$6&lt;&gt;"",EF$8&lt;&gt;""),IF(EOMONTH($ED$3+INT((DAY(EOMONTH($ED$3,0))-1)/2)+EF$8,0)=EOMONTH($ED$3,0),EF$6*EF$7,0),0),IF(AND(EB$6&lt;&gt;"",EB$8&lt;&gt;""),IF(EOMONTH($DZ$3+INT((DAY(EOMONTH($DZ$3,0))-1)/2)+EB$8,0)=EOMONTH($ED$3,0),EB$6*EB$7,0),0),IF(AND(DX$6&lt;&gt;"",DX$8&lt;&gt;""),IF(EOMONTH($DV$3+INT((DAY(EOMONTH($DV$3,0))-1)/2)+DX$8,0)=EOMONTH($ED$3,0),DX$6*DX$7,0),0),IF(AND(DT$6&lt;&gt;"",DT$8&lt;&gt;""),IF(EOMONTH($DR$3+INT((DAY(EOMONTH($DR$3,0))-1)/2)+DT$8,0)=EOMONTH($ED$3,0),DT$6*DT$7,0),0),IF(AND(DP$6&lt;&gt;"",DP$8&lt;&gt;""),IF(EOMONTH($DN$3+INT((DAY(EOMONTH($DN$3,0))-1)/2)+DP$8,0)=EOMONTH($ED$3,0),DP$6*DP$7,0),0),IF(AND(DL$6&lt;&gt;"",DL$8&lt;&gt;""),IF(EOMONTH($DJ$3+INT((DAY(EOMONTH($DJ$3,0))-1)/2)+DL$8,0)=EOMONTH($ED$3,0),DL$6*DL$7,0),0),IF(AND(DH$6&lt;&gt;"",DH$8&lt;&gt;""),IF(EOMONTH($DF$3+INT((DAY(EOMONTH($DF$3,0))-1)/2)+DH$8,0)=EOMONTH($ED$3,0),DH$6*DH$7,0),0),IF(AND(DD$6&lt;&gt;"",DD$8&lt;&gt;""),IF(EOMONTH($DB$3+INT((DAY(EOMONTH($DB$3,0))-1)/2)+DD$8,0)=EOMONTH($ED$3,0),DD$6*DD$7,0),0),IF(AND(CZ$6&lt;&gt;"",CZ$8&lt;&gt;""),IF(EOMONTH($CX$3+INT((DAY(EOMONTH($CX$3,0))-1)/2)+CZ$8,0)=EOMONTH($ED$3,0),CZ$6*CZ$7,0),0),IF(AND(CV$6&lt;&gt;"",CV$8&lt;&gt;""),IF(EOMONTH($CT$3+INT((DAY(EOMONTH($CT$3,0))-1)/2)+CV$8,0)=EOMONTH($ED$3,0),CV$6*CV$7,0),0),IF(AND(CR$6&lt;&gt;"",CR$8&lt;&gt;""),IF(EOMONTH($CP$3+INT((DAY(EOMONTH($CP$3,0))-1)/2)+CR$8,0)=EOMONTH($ED$3,0),CR$6*CR$7,0),0),IF(AND(CN$6&lt;&gt;"",CN$8&lt;&gt;""),IF(EOMONTH($CL$3+INT((DAY(EOMONTH($CL$3,0))-1)/2)+CN$8,0)=EOMONTH($ED$3,0),CN$6*CN$7,0),0),IF(AND(CJ$6&lt;&gt;"",CJ$8&lt;&gt;""),IF(EOMONTH($CH$3+INT((DAY(EOMONTH($CH$3,0))-1)/2)+CJ$8,0)=EOMONTH($ED$3,0),CJ$6*CJ$7,0),0),IF(AND(CF$6&lt;&gt;"",CF$8&lt;&gt;""),IF(EOMONTH($CD$3+INT((DAY(EOMONTH($CD$3,0))-1)/2)+CF$8,0)=EOMONTH($ED$3,0),CF$6*CF$7,0),0),IF(AND(CB$6&lt;&gt;"",CB$8&lt;&gt;""),IF(EOMONTH($BZ$3+INT((DAY(EOMONTH($BZ$3,0))-1)/2)+CB$8,0)=EOMONTH($ED$3,0),CB$6*CB$7,0),0),IF(AND(BX$6&lt;&gt;"",BX$8&lt;&gt;""),IF(EOMONTH($BV$3+INT((DAY(EOMONTH($BV$3,0))-1)/2)+BX$8,0)=EOMONTH($ED$3,0),BX$6*BX$7,0),0),IF(AND(BT$6&lt;&gt;"",BT$8&lt;&gt;""),IF(EOMONTH($BR$3+INT((DAY(EOMONTH($BR$3,0))-1)/2)+BT$8,0)=EOMONTH($ED$3,0),BT$6*BT$7,0),0),IF(AND(BP$6&lt;&gt;"",BP$8&lt;&gt;""),IF(EOMONTH($BN$3+INT((DAY(EOMONTH($BN$3,0))-1)/2)+BP$8,0)=EOMONTH($ED$3,0),BP$6*BP$7,0),0),IF(AND(BL$6&lt;&gt;"",BL$8&lt;&gt;""),IF(EOMONTH($BJ$3+INT((DAY(EOMONTH($BJ$3,0))-1)/2)+BL$8,0)=EOMONTH($ED$3,0),BL$6*BL$7,0),0),IF(AND(BH$6&lt;&gt;"",BH$8&lt;&gt;""),IF(EOMONTH($BF$3+INT((DAY(EOMONTH($BF$3,0))-1)/2)+BH$8,0)=EOMONTH($ED$3,0),BH$6*BH$7,0),0),IF(AND(BD$6&lt;&gt;"",BD$8&lt;&gt;""),IF(EOMONTH($BB$3+INT((DAY(EOMONTH($BB$3,0))-1)/2)+BD$8,0)=EOMONTH($ED$3,0),BD$6*BD$7,0),0),IF(AND(AZ$6&lt;&gt;"",AZ$8&lt;&gt;""),IF(EOMONTH($AX$3+INT((DAY(EOMONTH($AX$3,0))-1)/2)+AZ$8,0)=EOMONTH($ED$3,0),AZ$6*AZ$7,0),0),IF(AND(AV$6&lt;&gt;"",AV$8&lt;&gt;""),IF(EOMONTH($AT$3+INT((DAY(EOMONTH($AT$3,0))-1)/2)+AV$8,0)=EOMONTH($ED$3,0),AV$6*AV$7,0),0),IF(AND(AR$6&lt;&gt;"",AR$8&lt;&gt;""),IF(EOMONTH($AP$3+INT((DAY(EOMONTH($AP$3,0))-1)/2)+AR$8,0)=EOMONTH($ED$3,0),AR$6*AR$7,0),0),IF(AND(AN$6&lt;&gt;"",AN$8&lt;&gt;""),IF(EOMONTH($AL$3+INT((DAY(EOMONTH($AL$3,0))-1)/2)+AN$8,0)=EOMONTH($ED$3,0),AN$6*AN$7,0),0),IF(AND(AJ$6&lt;&gt;"",AJ$8&lt;&gt;""),IF(EOMONTH($AH$3+INT((DAY(EOMONTH($AH$3,0))-1)/2)+AJ$8,0)=EOMONTH($ED$3,0),AJ$6*AJ$7,0),0),IF(AND(AF$6&lt;&gt;"",AF$8&lt;&gt;""),IF(EOMONTH($AD$3+INT((DAY(EOMONTH($AD$3,0))-1)/2)+AF$8,0)=EOMONTH($ED$3,0),AF$6*AF$7,0),0),IF(AND(AB$6&lt;&gt;"",AB$8&lt;&gt;""),IF(EOMONTH($Z$3+INT((DAY(EOMONTH($Z$3,0))-1)/2)+AB$8,0)=EOMONTH($ED$3,0),AB$6*AB$7,0),0),IF(AND(X$6&lt;&gt;"",X$8&lt;&gt;""),IF(EOMONTH($V$3+INT((DAY(EOMONTH($V$3,0))-1)/2)+X$8,0)=EOMONTH($ED$3,0),X$6*X$7,0),0),IF(AND(T$6&lt;&gt;"",T$8&lt;&gt;""),IF(EOMONTH($R$3+INT((DAY(EOMONTH($R$3,0))-1)/2)+T$8,0)=EOMONTH($ED$3,0),T$6*T$7,0),0),IF(AND(P$6&lt;&gt;"",P$8&lt;&gt;""),IF(EOMONTH($N$3+INT((DAY(EOMONTH($N$3,0))-1)/2)+P$8,0)=EOMONTH($ED$3,0),P$6*P$7,0),0),IF(AND(L$6&lt;&gt;"",L$8&lt;&gt;""),IF(EOMONTH($J$3+INT((DAY(EOMONTH($J$3,0))-1)/2)+L$8,0)=EOMONTH($ED$3,0),L$6*L$7,0),0),IF(AND(H$6&lt;&gt;"",H$8&lt;&gt;""),IF(EOMONTH($F$3+INT((DAY(EOMONTH($F$3,0))-1)/2)+H$8,0)=EOMONTH($ED$3,0),H$6*H$7,0),0)),0)</f>
        <v>0</v>
      </c>
      <c r="EG9" s="16">
        <f t="shared" si="69"/>
        <v>0</v>
      </c>
      <c r="EH9" s="17"/>
      <c r="EI9" s="14">
        <f>IF(EH$98=1,EH9,ROUND(SUM(IF(AND(EQ$6&lt;&gt;"",EQ$8&lt;&gt;""),IF(EOMONTH($EP$3+INT((DAY(EOMONTH($EP$3,0))-1)/2)+EQ$8,0)=EOMONTH($EH$3,0),EQ$6*EQ$7,0),0),IF(AND(EM$6&lt;&gt;"",EM$8&lt;&gt;""),IF(EOMONTH($EL$3+INT((DAY(EOMONTH($EL$3,0))-1)/2)+EM$8,0)=EOMONTH($EH$3,0),EM$6*EM$7,0),0),IF(AND(EI$6&lt;&gt;"",EI$8&lt;&gt;""),IF(EOMONTH($EH$3+INT((DAY(EOMONTH($EH$3,0))-1)/2)+EI$8,0)=EOMONTH($EH$3,0),EI$6*EI$7,0),0),IF(AND(EE$6&lt;&gt;"",EE$8&lt;&gt;""),IF(EOMONTH($ED$3+INT((DAY(EOMONTH($ED$3,0))-1)/2)+EE$8,0)=EOMONTH($EH$3,0),EE$6*EE$7,0),0),IF(AND(EA$6&lt;&gt;"",EA$8&lt;&gt;""),IF(EOMONTH($DZ$3+INT((DAY(EOMONTH($DZ$3,0))-1)/2)+EA$8,0)=EOMONTH($EH$3,0),EA$6*EA$7,0),0),IF(AND(DW$6&lt;&gt;"",DW$8&lt;&gt;""),IF(EOMONTH($DV$3+INT((DAY(EOMONTH($DV$3,0))-1)/2)+DW$8,0)=EOMONTH($EH$3,0),DW$6*DW$7,0),0),IF(AND(DS$6&lt;&gt;"",DS$8&lt;&gt;""),IF(EOMONTH($DR$3+INT((DAY(EOMONTH($DR$3,0))-1)/2)+DS$8,0)=EOMONTH($EH$3,0),DS$6*DS$7,0),0),IF(AND(DO$6&lt;&gt;"",DO$8&lt;&gt;""),IF(EOMONTH($DN$3+INT((DAY(EOMONTH($DN$3,0))-1)/2)+DO$8,0)=EOMONTH($EH$3,0),DO$6*DO$7,0),0),IF(AND(DK$6&lt;&gt;"",DK$8&lt;&gt;""),IF(EOMONTH($DJ$3+INT((DAY(EOMONTH($DJ$3,0))-1)/2)+DK$8,0)=EOMONTH($EH$3,0),DK$6*DK$7,0),0),IF(AND(DG$6&lt;&gt;"",DG$8&lt;&gt;""),IF(EOMONTH($DF$3+INT((DAY(EOMONTH($DF$3,0))-1)/2)+DG$8,0)=EOMONTH($EH$3,0),DG$6*DG$7,0),0),IF(AND(DC$6&lt;&gt;"",DC$8&lt;&gt;""),IF(EOMONTH($DB$3+INT((DAY(EOMONTH($DB$3,0))-1)/2)+DC$8,0)=EOMONTH($EH$3,0),DC$6*DC$7,0),0),IF(AND(CY$6&lt;&gt;"",CY$8&lt;&gt;""),IF(EOMONTH($CX$3+INT((DAY(EOMONTH($CX$3,0))-1)/2)+CY$8,0)=EOMONTH($EH$3,0),CY$6*CY$7,0),0),IF(AND(CU$6&lt;&gt;"",CU$8&lt;&gt;""),IF(EOMONTH($CT$3+INT((DAY(EOMONTH($CT$3,0))-1)/2)+CU$8,0)=EOMONTH($EH$3,0),CU$6*CU$7,0),0),IF(AND(CQ$6&lt;&gt;"",CQ$8&lt;&gt;""),IF(EOMONTH($CP$3+INT((DAY(EOMONTH($CP$3,0))-1)/2)+CQ$8,0)=EOMONTH($EH$3,0),CQ$6*CQ$7,0),0),IF(AND(CM$6&lt;&gt;"",CM$8&lt;&gt;""),IF(EOMONTH($CL$3+INT((DAY(EOMONTH($CL$3,0))-1)/2)+CM$8,0)=EOMONTH($EH$3,0),CM$6*CM$7,0),0),IF(AND(CI$6&lt;&gt;"",CI$8&lt;&gt;""),IF(EOMONTH($CH$3+INT((DAY(EOMONTH($CH$3,0))-1)/2)+CI$8,0)=EOMONTH($EH$3,0),CI$6*CI$7,0),0),IF(AND(CE$6&lt;&gt;"",CE$8&lt;&gt;""),IF(EOMONTH($CD$3+INT((DAY(EOMONTH($CD$3,0))-1)/2)+CE$8,0)=EOMONTH($EH$3,0),CE$6*CE$7,0),0),IF(AND(CA$6&lt;&gt;"",CA$8&lt;&gt;""),IF(EOMONTH($BZ$3+INT((DAY(EOMONTH($BZ$3,0))-1)/2)+CA$8,0)=EOMONTH($EH$3,0),CA$6*CA$7,0),0),IF(AND(BW$6&lt;&gt;"",BW$8&lt;&gt;""),IF(EOMONTH($BV$3+INT((DAY(EOMONTH($BV$3,0))-1)/2)+BW$8,0)=EOMONTH($EH$3,0),BW$6*BW$7,0),0),IF(AND(BS$6&lt;&gt;"",BS$8&lt;&gt;""),IF(EOMONTH($BR$3+INT((DAY(EOMONTH($BR$3,0))-1)/2)+BS$8,0)=EOMONTH($EH$3,0),BS$6*BS$7,0),0),IF(AND(BO$6&lt;&gt;"",BO$8&lt;&gt;""),IF(EOMONTH($BN$3+INT((DAY(EOMONTH($BN$3,0))-1)/2)+BO$8,0)=EOMONTH($EH$3,0),BO$6*BO$7,0),0),IF(AND(BK$6&lt;&gt;"",BK$8&lt;&gt;""),IF(EOMONTH($BJ$3+INT((DAY(EOMONTH($BJ$3,0))-1)/2)+BK$8,0)=EOMONTH($EH$3,0),BK$6*BK$7,0),0),IF(AND(BG$6&lt;&gt;"",BG$8&lt;&gt;""),IF(EOMONTH($BF$3+INT((DAY(EOMONTH($BF$3,0))-1)/2)+BG$8,0)=EOMONTH($EH$3,0),BG$6*BG$7,0),0),IF(AND(BC$6&lt;&gt;"",BC$8&lt;&gt;""),IF(EOMONTH($BB$3+INT((DAY(EOMONTH($BB$3,0))-1)/2)+BC$8,0)=EOMONTH($EH$3,0),BC$6*BC$7,0),0),IF(AND(AY$6&lt;&gt;"",AY$8&lt;&gt;""),IF(EOMONTH($AX$3+INT((DAY(EOMONTH($AX$3,0))-1)/2)+AY$8,0)=EOMONTH($EH$3,0),AY$6*AY$7,0),0),IF(AND(AU$6&lt;&gt;"",AU$8&lt;&gt;""),IF(EOMONTH($AT$3+INT((DAY(EOMONTH($AT$3,0))-1)/2)+AU$8,0)=EOMONTH($EH$3,0),AU$6*AU$7,0),0),IF(AND(AQ$6&lt;&gt;"",AQ$8&lt;&gt;""),IF(EOMONTH($AP$3+INT((DAY(EOMONTH($AP$3,0))-1)/2)+AQ$8,0)=EOMONTH($EH$3,0),AQ$6*AQ$7,0),0),IF(AND(AM$6&lt;&gt;"",AM$8&lt;&gt;""),IF(EOMONTH($AL$3+INT((DAY(EOMONTH($AL$3,0))-1)/2)+AM$8,0)=EOMONTH($EH$3,0),AM$6*AM$7,0),0),IF(AND(AI$6&lt;&gt;"",AI$8&lt;&gt;""),IF(EOMONTH($AH$3+INT((DAY(EOMONTH($AH$3,0))-1)/2)+AI$8,0)=EOMONTH($EH$3,0),AI$6*AI$7,0),0),IF(AND(AE$6&lt;&gt;"",AE$8&lt;&gt;""),IF(EOMONTH($AD$3+INT((DAY(EOMONTH($AD$3,0))-1)/2)+AE$8,0)=EOMONTH($EH$3,0),AE$6*AE$7,0),0),IF(AND(AA$6&lt;&gt;"",AA$8&lt;&gt;""),IF(EOMONTH($Z$3+INT((DAY(EOMONTH($Z$3,0))-1)/2)+AA$8,0)=EOMONTH($EH$3,0),AA$6*AA$7,0),0),IF(AND(W$6&lt;&gt;"",W$8&lt;&gt;""),IF(EOMONTH($V$3+INT((DAY(EOMONTH($V$3,0))-1)/2)+W$8,0)=EOMONTH($EH$3,0),W$6*W$7,0),0),IF(AND(S$6&lt;&gt;"",S$8&lt;&gt;""),IF(EOMONTH($R$3+INT((DAY(EOMONTH($R$3,0))-1)/2)+S$8,0)=EOMONTH($EH$3,0),S$6*S$7,0),0),IF(AND(O$6&lt;&gt;"",O$8&lt;&gt;""),IF(EOMONTH($N$3+INT((DAY(EOMONTH($N$3,0))-1)/2)+O$8,0)=EOMONTH($EH$3,0),O$6*O$7,0),0),IF(AND(K$6&lt;&gt;"",K$8&lt;&gt;""),IF(EOMONTH($J$3+INT((DAY(EOMONTH($J$3,0))-1)/2)+K$8,0)=EOMONTH($EH$3,0),K$6*K$7,0),0),IF(AND(G$6&lt;&gt;"",G$8&lt;&gt;""),IF(EOMONTH($F$3+INT((DAY(EOMONTH($F$3,0))-1)/2)+G$8,0)=EOMONTH($EH$3,0),G$6*G$7,0),0)),0))</f>
        <v>0</v>
      </c>
      <c r="EJ9" s="15">
        <f>ROUND(SUM(IF(AND(ER$6&lt;&gt;"",ER$8&lt;&gt;""),IF(EOMONTH($EP$3+INT((DAY(EOMONTH($EP$3,0))-1)/2)+ER$8,0)=EOMONTH($EH$3,0),ER$6*ER$7,0),0),IF(AND(EN$6&lt;&gt;"",EN$8&lt;&gt;""),IF(EOMONTH($EL$3+INT((DAY(EOMONTH($EL$3,0))-1)/2)+EN$8,0)=EOMONTH($EH$3,0),EN$6*EN$7,0),0),IF(AND(EJ$6&lt;&gt;"",EJ$8&lt;&gt;""),IF(EOMONTH($EH$3+INT((DAY(EOMONTH($EH$3,0))-1)/2)+EJ$8,0)=EOMONTH($EH$3,0),EJ$6*EJ$7,0),0),IF(AND(EF$6&lt;&gt;"",EF$8&lt;&gt;""),IF(EOMONTH($ED$3+INT((DAY(EOMONTH($ED$3,0))-1)/2)+EF$8,0)=EOMONTH($EH$3,0),EF$6*EF$7,0),0),IF(AND(EB$6&lt;&gt;"",EB$8&lt;&gt;""),IF(EOMONTH($DZ$3+INT((DAY(EOMONTH($DZ$3,0))-1)/2)+EB$8,0)=EOMONTH($EH$3,0),EB$6*EB$7,0),0),IF(AND(DX$6&lt;&gt;"",DX$8&lt;&gt;""),IF(EOMONTH($DV$3+INT((DAY(EOMONTH($DV$3,0))-1)/2)+DX$8,0)=EOMONTH($EH$3,0),DX$6*DX$7,0),0),IF(AND(DT$6&lt;&gt;"",DT$8&lt;&gt;""),IF(EOMONTH($DR$3+INT((DAY(EOMONTH($DR$3,0))-1)/2)+DT$8,0)=EOMONTH($EH$3,0),DT$6*DT$7,0),0),IF(AND(DP$6&lt;&gt;"",DP$8&lt;&gt;""),IF(EOMONTH($DN$3+INT((DAY(EOMONTH($DN$3,0))-1)/2)+DP$8,0)=EOMONTH($EH$3,0),DP$6*DP$7,0),0),IF(AND(DL$6&lt;&gt;"",DL$8&lt;&gt;""),IF(EOMONTH($DJ$3+INT((DAY(EOMONTH($DJ$3,0))-1)/2)+DL$8,0)=EOMONTH($EH$3,0),DL$6*DL$7,0),0),IF(AND(DH$6&lt;&gt;"",DH$8&lt;&gt;""),IF(EOMONTH($DF$3+INT((DAY(EOMONTH($DF$3,0))-1)/2)+DH$8,0)=EOMONTH($EH$3,0),DH$6*DH$7,0),0),IF(AND(DD$6&lt;&gt;"",DD$8&lt;&gt;""),IF(EOMONTH($DB$3+INT((DAY(EOMONTH($DB$3,0))-1)/2)+DD$8,0)=EOMONTH($EH$3,0),DD$6*DD$7,0),0),IF(AND(CZ$6&lt;&gt;"",CZ$8&lt;&gt;""),IF(EOMONTH($CX$3+INT((DAY(EOMONTH($CX$3,0))-1)/2)+CZ$8,0)=EOMONTH($EH$3,0),CZ$6*CZ$7,0),0),IF(AND(CV$6&lt;&gt;"",CV$8&lt;&gt;""),IF(EOMONTH($CT$3+INT((DAY(EOMONTH($CT$3,0))-1)/2)+CV$8,0)=EOMONTH($EH$3,0),CV$6*CV$7,0),0),IF(AND(CR$6&lt;&gt;"",CR$8&lt;&gt;""),IF(EOMONTH($CP$3+INT((DAY(EOMONTH($CP$3,0))-1)/2)+CR$8,0)=EOMONTH($EH$3,0),CR$6*CR$7,0),0),IF(AND(CN$6&lt;&gt;"",CN$8&lt;&gt;""),IF(EOMONTH($CL$3+INT((DAY(EOMONTH($CL$3,0))-1)/2)+CN$8,0)=EOMONTH($EH$3,0),CN$6*CN$7,0),0),IF(AND(CJ$6&lt;&gt;"",CJ$8&lt;&gt;""),IF(EOMONTH($CH$3+INT((DAY(EOMONTH($CH$3,0))-1)/2)+CJ$8,0)=EOMONTH($EH$3,0),CJ$6*CJ$7,0),0),IF(AND(CF$6&lt;&gt;"",CF$8&lt;&gt;""),IF(EOMONTH($CD$3+INT((DAY(EOMONTH($CD$3,0))-1)/2)+CF$8,0)=EOMONTH($EH$3,0),CF$6*CF$7,0),0),IF(AND(CB$6&lt;&gt;"",CB$8&lt;&gt;""),IF(EOMONTH($BZ$3+INT((DAY(EOMONTH($BZ$3,0))-1)/2)+CB$8,0)=EOMONTH($EH$3,0),CB$6*CB$7,0),0),IF(AND(BX$6&lt;&gt;"",BX$8&lt;&gt;""),IF(EOMONTH($BV$3+INT((DAY(EOMONTH($BV$3,0))-1)/2)+BX$8,0)=EOMONTH($EH$3,0),BX$6*BX$7,0),0),IF(AND(BT$6&lt;&gt;"",BT$8&lt;&gt;""),IF(EOMONTH($BR$3+INT((DAY(EOMONTH($BR$3,0))-1)/2)+BT$8,0)=EOMONTH($EH$3,0),BT$6*BT$7,0),0),IF(AND(BP$6&lt;&gt;"",BP$8&lt;&gt;""),IF(EOMONTH($BN$3+INT((DAY(EOMONTH($BN$3,0))-1)/2)+BP$8,0)=EOMONTH($EH$3,0),BP$6*BP$7,0),0),IF(AND(BL$6&lt;&gt;"",BL$8&lt;&gt;""),IF(EOMONTH($BJ$3+INT((DAY(EOMONTH($BJ$3,0))-1)/2)+BL$8,0)=EOMONTH($EH$3,0),BL$6*BL$7,0),0),IF(AND(BH$6&lt;&gt;"",BH$8&lt;&gt;""),IF(EOMONTH($BF$3+INT((DAY(EOMONTH($BF$3,0))-1)/2)+BH$8,0)=EOMONTH($EH$3,0),BH$6*BH$7,0),0),IF(AND(BD$6&lt;&gt;"",BD$8&lt;&gt;""),IF(EOMONTH($BB$3+INT((DAY(EOMONTH($BB$3,0))-1)/2)+BD$8,0)=EOMONTH($EH$3,0),BD$6*BD$7,0),0),IF(AND(AZ$6&lt;&gt;"",AZ$8&lt;&gt;""),IF(EOMONTH($AX$3+INT((DAY(EOMONTH($AX$3,0))-1)/2)+AZ$8,0)=EOMONTH($EH$3,0),AZ$6*AZ$7,0),0),IF(AND(AV$6&lt;&gt;"",AV$8&lt;&gt;""),IF(EOMONTH($AT$3+INT((DAY(EOMONTH($AT$3,0))-1)/2)+AV$8,0)=EOMONTH($EH$3,0),AV$6*AV$7,0),0),IF(AND(AR$6&lt;&gt;"",AR$8&lt;&gt;""),IF(EOMONTH($AP$3+INT((DAY(EOMONTH($AP$3,0))-1)/2)+AR$8,0)=EOMONTH($EH$3,0),AR$6*AR$7,0),0),IF(AND(AN$6&lt;&gt;"",AN$8&lt;&gt;""),IF(EOMONTH($AL$3+INT((DAY(EOMONTH($AL$3,0))-1)/2)+AN$8,0)=EOMONTH($EH$3,0),AN$6*AN$7,0),0),IF(AND(AJ$6&lt;&gt;"",AJ$8&lt;&gt;""),IF(EOMONTH($AH$3+INT((DAY(EOMONTH($AH$3,0))-1)/2)+AJ$8,0)=EOMONTH($EH$3,0),AJ$6*AJ$7,0),0),IF(AND(AF$6&lt;&gt;"",AF$8&lt;&gt;""),IF(EOMONTH($AD$3+INT((DAY(EOMONTH($AD$3,0))-1)/2)+AF$8,0)=EOMONTH($EH$3,0),AF$6*AF$7,0),0),IF(AND(AB$6&lt;&gt;"",AB$8&lt;&gt;""),IF(EOMONTH($Z$3+INT((DAY(EOMONTH($Z$3,0))-1)/2)+AB$8,0)=EOMONTH($EH$3,0),AB$6*AB$7,0),0),IF(AND(X$6&lt;&gt;"",X$8&lt;&gt;""),IF(EOMONTH($V$3+INT((DAY(EOMONTH($V$3,0))-1)/2)+X$8,0)=EOMONTH($EH$3,0),X$6*X$7,0),0),IF(AND(T$6&lt;&gt;"",T$8&lt;&gt;""),IF(EOMONTH($R$3+INT((DAY(EOMONTH($R$3,0))-1)/2)+T$8,0)=EOMONTH($EH$3,0),T$6*T$7,0),0),IF(AND(P$6&lt;&gt;"",P$8&lt;&gt;""),IF(EOMONTH($N$3+INT((DAY(EOMONTH($N$3,0))-1)/2)+P$8,0)=EOMONTH($EH$3,0),P$6*P$7,0),0),IF(AND(L$6&lt;&gt;"",L$8&lt;&gt;""),IF(EOMONTH($J$3+INT((DAY(EOMONTH($J$3,0))-1)/2)+L$8,0)=EOMONTH($EH$3,0),L$6*L$7,0),0),IF(AND(H$6&lt;&gt;"",H$8&lt;&gt;""),IF(EOMONTH($F$3+INT((DAY(EOMONTH($F$3,0))-1)/2)+H$8,0)=EOMONTH($EH$3,0),H$6*H$7,0),0)),0)</f>
        <v>0</v>
      </c>
      <c r="EK9" s="16">
        <f t="shared" si="71"/>
        <v>0</v>
      </c>
      <c r="EL9" s="17"/>
      <c r="EM9" s="14">
        <f>IF(EL$98=1,EL9,ROUND(SUM(IF(AND(EQ$6&lt;&gt;"",EQ$8&lt;&gt;""),IF(EOMONTH($EP$3+INT((DAY(EOMONTH($EP$3,0))-1)/2)+EQ$8,0)=EOMONTH($EL$3,0),EQ$6*EQ$7,0),0),IF(AND(EM$6&lt;&gt;"",EM$8&lt;&gt;""),IF(EOMONTH($EL$3+INT((DAY(EOMONTH($EL$3,0))-1)/2)+EM$8,0)=EOMONTH($EL$3,0),EM$6*EM$7,0),0),IF(AND(EI$6&lt;&gt;"",EI$8&lt;&gt;""),IF(EOMONTH($EH$3+INT((DAY(EOMONTH($EH$3,0))-1)/2)+EI$8,0)=EOMONTH($EL$3,0),EI$6*EI$7,0),0),IF(AND(EE$6&lt;&gt;"",EE$8&lt;&gt;""),IF(EOMONTH($ED$3+INT((DAY(EOMONTH($ED$3,0))-1)/2)+EE$8,0)=EOMONTH($EL$3,0),EE$6*EE$7,0),0),IF(AND(EA$6&lt;&gt;"",EA$8&lt;&gt;""),IF(EOMONTH($DZ$3+INT((DAY(EOMONTH($DZ$3,0))-1)/2)+EA$8,0)=EOMONTH($EL$3,0),EA$6*EA$7,0),0),IF(AND(DW$6&lt;&gt;"",DW$8&lt;&gt;""),IF(EOMONTH($DV$3+INT((DAY(EOMONTH($DV$3,0))-1)/2)+DW$8,0)=EOMONTH($EL$3,0),DW$6*DW$7,0),0),IF(AND(DS$6&lt;&gt;"",DS$8&lt;&gt;""),IF(EOMONTH($DR$3+INT((DAY(EOMONTH($DR$3,0))-1)/2)+DS$8,0)=EOMONTH($EL$3,0),DS$6*DS$7,0),0),IF(AND(DO$6&lt;&gt;"",DO$8&lt;&gt;""),IF(EOMONTH($DN$3+INT((DAY(EOMONTH($DN$3,0))-1)/2)+DO$8,0)=EOMONTH($EL$3,0),DO$6*DO$7,0),0),IF(AND(DK$6&lt;&gt;"",DK$8&lt;&gt;""),IF(EOMONTH($DJ$3+INT((DAY(EOMONTH($DJ$3,0))-1)/2)+DK$8,0)=EOMONTH($EL$3,0),DK$6*DK$7,0),0),IF(AND(DG$6&lt;&gt;"",DG$8&lt;&gt;""),IF(EOMONTH($DF$3+INT((DAY(EOMONTH($DF$3,0))-1)/2)+DG$8,0)=EOMONTH($EL$3,0),DG$6*DG$7,0),0),IF(AND(DC$6&lt;&gt;"",DC$8&lt;&gt;""),IF(EOMONTH($DB$3+INT((DAY(EOMONTH($DB$3,0))-1)/2)+DC$8,0)=EOMONTH($EL$3,0),DC$6*DC$7,0),0),IF(AND(CY$6&lt;&gt;"",CY$8&lt;&gt;""),IF(EOMONTH($CX$3+INT((DAY(EOMONTH($CX$3,0))-1)/2)+CY$8,0)=EOMONTH($EL$3,0),CY$6*CY$7,0),0),IF(AND(CU$6&lt;&gt;"",CU$8&lt;&gt;""),IF(EOMONTH($CT$3+INT((DAY(EOMONTH($CT$3,0))-1)/2)+CU$8,0)=EOMONTH($EL$3,0),CU$6*CU$7,0),0),IF(AND(CQ$6&lt;&gt;"",CQ$8&lt;&gt;""),IF(EOMONTH($CP$3+INT((DAY(EOMONTH($CP$3,0))-1)/2)+CQ$8,0)=EOMONTH($EL$3,0),CQ$6*CQ$7,0),0),IF(AND(CM$6&lt;&gt;"",CM$8&lt;&gt;""),IF(EOMONTH($CL$3+INT((DAY(EOMONTH($CL$3,0))-1)/2)+CM$8,0)=EOMONTH($EL$3,0),CM$6*CM$7,0),0),IF(AND(CI$6&lt;&gt;"",CI$8&lt;&gt;""),IF(EOMONTH($CH$3+INT((DAY(EOMONTH($CH$3,0))-1)/2)+CI$8,0)=EOMONTH($EL$3,0),CI$6*CI$7,0),0),IF(AND(CE$6&lt;&gt;"",CE$8&lt;&gt;""),IF(EOMONTH($CD$3+INT((DAY(EOMONTH($CD$3,0))-1)/2)+CE$8,0)=EOMONTH($EL$3,0),CE$6*CE$7,0),0),IF(AND(CA$6&lt;&gt;"",CA$8&lt;&gt;""),IF(EOMONTH($BZ$3+INT((DAY(EOMONTH($BZ$3,0))-1)/2)+CA$8,0)=EOMONTH($EL$3,0),CA$6*CA$7,0),0),IF(AND(BW$6&lt;&gt;"",BW$8&lt;&gt;""),IF(EOMONTH($BV$3+INT((DAY(EOMONTH($BV$3,0))-1)/2)+BW$8,0)=EOMONTH($EL$3,0),BW$6*BW$7,0),0),IF(AND(BS$6&lt;&gt;"",BS$8&lt;&gt;""),IF(EOMONTH($BR$3+INT((DAY(EOMONTH($BR$3,0))-1)/2)+BS$8,0)=EOMONTH($EL$3,0),BS$6*BS$7,0),0),IF(AND(BO$6&lt;&gt;"",BO$8&lt;&gt;""),IF(EOMONTH($BN$3+INT((DAY(EOMONTH($BN$3,0))-1)/2)+BO$8,0)=EOMONTH($EL$3,0),BO$6*BO$7,0),0),IF(AND(BK$6&lt;&gt;"",BK$8&lt;&gt;""),IF(EOMONTH($BJ$3+INT((DAY(EOMONTH($BJ$3,0))-1)/2)+BK$8,0)=EOMONTH($EL$3,0),BK$6*BK$7,0),0),IF(AND(BG$6&lt;&gt;"",BG$8&lt;&gt;""),IF(EOMONTH($BF$3+INT((DAY(EOMONTH($BF$3,0))-1)/2)+BG$8,0)=EOMONTH($EL$3,0),BG$6*BG$7,0),0),IF(AND(BC$6&lt;&gt;"",BC$8&lt;&gt;""),IF(EOMONTH($BB$3+INT((DAY(EOMONTH($BB$3,0))-1)/2)+BC$8,0)=EOMONTH($EL$3,0),BC$6*BC$7,0),0),IF(AND(AY$6&lt;&gt;"",AY$8&lt;&gt;""),IF(EOMONTH($AX$3+INT((DAY(EOMONTH($AX$3,0))-1)/2)+AY$8,0)=EOMONTH($EL$3,0),AY$6*AY$7,0),0),IF(AND(AU$6&lt;&gt;"",AU$8&lt;&gt;""),IF(EOMONTH($AT$3+INT((DAY(EOMONTH($AT$3,0))-1)/2)+AU$8,0)=EOMONTH($EL$3,0),AU$6*AU$7,0),0),IF(AND(AQ$6&lt;&gt;"",AQ$8&lt;&gt;""),IF(EOMONTH($AP$3+INT((DAY(EOMONTH($AP$3,0))-1)/2)+AQ$8,0)=EOMONTH($EL$3,0),AQ$6*AQ$7,0),0),IF(AND(AM$6&lt;&gt;"",AM$8&lt;&gt;""),IF(EOMONTH($AL$3+INT((DAY(EOMONTH($AL$3,0))-1)/2)+AM$8,0)=EOMONTH($EL$3,0),AM$6*AM$7,0),0),IF(AND(AI$6&lt;&gt;"",AI$8&lt;&gt;""),IF(EOMONTH($AH$3+INT((DAY(EOMONTH($AH$3,0))-1)/2)+AI$8,0)=EOMONTH($EL$3,0),AI$6*AI$7,0),0),IF(AND(AE$6&lt;&gt;"",AE$8&lt;&gt;""),IF(EOMONTH($AD$3+INT((DAY(EOMONTH($AD$3,0))-1)/2)+AE$8,0)=EOMONTH($EL$3,0),AE$6*AE$7,0),0),IF(AND(AA$6&lt;&gt;"",AA$8&lt;&gt;""),IF(EOMONTH($Z$3+INT((DAY(EOMONTH($Z$3,0))-1)/2)+AA$8,0)=EOMONTH($EL$3,0),AA$6*AA$7,0),0),IF(AND(W$6&lt;&gt;"",W$8&lt;&gt;""),IF(EOMONTH($V$3+INT((DAY(EOMONTH($V$3,0))-1)/2)+W$8,0)=EOMONTH($EL$3,0),W$6*W$7,0),0),IF(AND(S$6&lt;&gt;"",S$8&lt;&gt;""),IF(EOMONTH($R$3+INT((DAY(EOMONTH($R$3,0))-1)/2)+S$8,0)=EOMONTH($EL$3,0),S$6*S$7,0),0),IF(AND(O$6&lt;&gt;"",O$8&lt;&gt;""),IF(EOMONTH($N$3+INT((DAY(EOMONTH($N$3,0))-1)/2)+O$8,0)=EOMONTH($EL$3,0),O$6*O$7,0),0),IF(AND(K$6&lt;&gt;"",K$8&lt;&gt;""),IF(EOMONTH($J$3+INT((DAY(EOMONTH($J$3,0))-1)/2)+K$8,0)=EOMONTH($EL$3,0),K$6*K$7,0),0),IF(AND(G$6&lt;&gt;"",G$8&lt;&gt;""),IF(EOMONTH($F$3+INT((DAY(EOMONTH($F$3,0))-1)/2)+G$8,0)=EOMONTH($EL$3,0),G$6*G$7,0),0)),0))</f>
        <v>0</v>
      </c>
      <c r="EN9" s="15">
        <f>ROUND(SUM(IF(AND(ER$6&lt;&gt;"",ER$8&lt;&gt;""),IF(EOMONTH($EP$3+INT((DAY(EOMONTH($EP$3,0))-1)/2)+ER$8,0)=EOMONTH($EL$3,0),ER$6*ER$7,0),0),IF(AND(EN$6&lt;&gt;"",EN$8&lt;&gt;""),IF(EOMONTH($EL$3+INT((DAY(EOMONTH($EL$3,0))-1)/2)+EN$8,0)=EOMONTH($EL$3,0),EN$6*EN$7,0),0),IF(AND(EJ$6&lt;&gt;"",EJ$8&lt;&gt;""),IF(EOMONTH($EH$3+INT((DAY(EOMONTH($EH$3,0))-1)/2)+EJ$8,0)=EOMONTH($EL$3,0),EJ$6*EJ$7,0),0),IF(AND(EF$6&lt;&gt;"",EF$8&lt;&gt;""),IF(EOMONTH($ED$3+INT((DAY(EOMONTH($ED$3,0))-1)/2)+EF$8,0)=EOMONTH($EL$3,0),EF$6*EF$7,0),0),IF(AND(EB$6&lt;&gt;"",EB$8&lt;&gt;""),IF(EOMONTH($DZ$3+INT((DAY(EOMONTH($DZ$3,0))-1)/2)+EB$8,0)=EOMONTH($EL$3,0),EB$6*EB$7,0),0),IF(AND(DX$6&lt;&gt;"",DX$8&lt;&gt;""),IF(EOMONTH($DV$3+INT((DAY(EOMONTH($DV$3,0))-1)/2)+DX$8,0)=EOMONTH($EL$3,0),DX$6*DX$7,0),0),IF(AND(DT$6&lt;&gt;"",DT$8&lt;&gt;""),IF(EOMONTH($DR$3+INT((DAY(EOMONTH($DR$3,0))-1)/2)+DT$8,0)=EOMONTH($EL$3,0),DT$6*DT$7,0),0),IF(AND(DP$6&lt;&gt;"",DP$8&lt;&gt;""),IF(EOMONTH($DN$3+INT((DAY(EOMONTH($DN$3,0))-1)/2)+DP$8,0)=EOMONTH($EL$3,0),DP$6*DP$7,0),0),IF(AND(DL$6&lt;&gt;"",DL$8&lt;&gt;""),IF(EOMONTH($DJ$3+INT((DAY(EOMONTH($DJ$3,0))-1)/2)+DL$8,0)=EOMONTH($EL$3,0),DL$6*DL$7,0),0),IF(AND(DH$6&lt;&gt;"",DH$8&lt;&gt;""),IF(EOMONTH($DF$3+INT((DAY(EOMONTH($DF$3,0))-1)/2)+DH$8,0)=EOMONTH($EL$3,0),DH$6*DH$7,0),0),IF(AND(DD$6&lt;&gt;"",DD$8&lt;&gt;""),IF(EOMONTH($DB$3+INT((DAY(EOMONTH($DB$3,0))-1)/2)+DD$8,0)=EOMONTH($EL$3,0),DD$6*DD$7,0),0),IF(AND(CZ$6&lt;&gt;"",CZ$8&lt;&gt;""),IF(EOMONTH($CX$3+INT((DAY(EOMONTH($CX$3,0))-1)/2)+CZ$8,0)=EOMONTH($EL$3,0),CZ$6*CZ$7,0),0),IF(AND(CV$6&lt;&gt;"",CV$8&lt;&gt;""),IF(EOMONTH($CT$3+INT((DAY(EOMONTH($CT$3,0))-1)/2)+CV$8,0)=EOMONTH($EL$3,0),CV$6*CV$7,0),0),IF(AND(CR$6&lt;&gt;"",CR$8&lt;&gt;""),IF(EOMONTH($CP$3+INT((DAY(EOMONTH($CP$3,0))-1)/2)+CR$8,0)=EOMONTH($EL$3,0),CR$6*CR$7,0),0),IF(AND(CN$6&lt;&gt;"",CN$8&lt;&gt;""),IF(EOMONTH($CL$3+INT((DAY(EOMONTH($CL$3,0))-1)/2)+CN$8,0)=EOMONTH($EL$3,0),CN$6*CN$7,0),0),IF(AND(CJ$6&lt;&gt;"",CJ$8&lt;&gt;""),IF(EOMONTH($CH$3+INT((DAY(EOMONTH($CH$3,0))-1)/2)+CJ$8,0)=EOMONTH($EL$3,0),CJ$6*CJ$7,0),0),IF(AND(CF$6&lt;&gt;"",CF$8&lt;&gt;""),IF(EOMONTH($CD$3+INT((DAY(EOMONTH($CD$3,0))-1)/2)+CF$8,0)=EOMONTH($EL$3,0),CF$6*CF$7,0),0),IF(AND(CB$6&lt;&gt;"",CB$8&lt;&gt;""),IF(EOMONTH($BZ$3+INT((DAY(EOMONTH($BZ$3,0))-1)/2)+CB$8,0)=EOMONTH($EL$3,0),CB$6*CB$7,0),0),IF(AND(BX$6&lt;&gt;"",BX$8&lt;&gt;""),IF(EOMONTH($BV$3+INT((DAY(EOMONTH($BV$3,0))-1)/2)+BX$8,0)=EOMONTH($EL$3,0),BX$6*BX$7,0),0),IF(AND(BT$6&lt;&gt;"",BT$8&lt;&gt;""),IF(EOMONTH($BR$3+INT((DAY(EOMONTH($BR$3,0))-1)/2)+BT$8,0)=EOMONTH($EL$3,0),BT$6*BT$7,0),0),IF(AND(BP$6&lt;&gt;"",BP$8&lt;&gt;""),IF(EOMONTH($BN$3+INT((DAY(EOMONTH($BN$3,0))-1)/2)+BP$8,0)=EOMONTH($EL$3,0),BP$6*BP$7,0),0),IF(AND(BL$6&lt;&gt;"",BL$8&lt;&gt;""),IF(EOMONTH($BJ$3+INT((DAY(EOMONTH($BJ$3,0))-1)/2)+BL$8,0)=EOMONTH($EL$3,0),BL$6*BL$7,0),0),IF(AND(BH$6&lt;&gt;"",BH$8&lt;&gt;""),IF(EOMONTH($BF$3+INT((DAY(EOMONTH($BF$3,0))-1)/2)+BH$8,0)=EOMONTH($EL$3,0),BH$6*BH$7,0),0),IF(AND(BD$6&lt;&gt;"",BD$8&lt;&gt;""),IF(EOMONTH($BB$3+INT((DAY(EOMONTH($BB$3,0))-1)/2)+BD$8,0)=EOMONTH($EL$3,0),BD$6*BD$7,0),0),IF(AND(AZ$6&lt;&gt;"",AZ$8&lt;&gt;""),IF(EOMONTH($AX$3+INT((DAY(EOMONTH($AX$3,0))-1)/2)+AZ$8,0)=EOMONTH($EL$3,0),AZ$6*AZ$7,0),0),IF(AND(AV$6&lt;&gt;"",AV$8&lt;&gt;""),IF(EOMONTH($AT$3+INT((DAY(EOMONTH($AT$3,0))-1)/2)+AV$8,0)=EOMONTH($EL$3,0),AV$6*AV$7,0),0),IF(AND(AR$6&lt;&gt;"",AR$8&lt;&gt;""),IF(EOMONTH($AP$3+INT((DAY(EOMONTH($AP$3,0))-1)/2)+AR$8,0)=EOMONTH($EL$3,0),AR$6*AR$7,0),0),IF(AND(AN$6&lt;&gt;"",AN$8&lt;&gt;""),IF(EOMONTH($AL$3+INT((DAY(EOMONTH($AL$3,0))-1)/2)+AN$8,0)=EOMONTH($EL$3,0),AN$6*AN$7,0),0),IF(AND(AJ$6&lt;&gt;"",AJ$8&lt;&gt;""),IF(EOMONTH($AH$3+INT((DAY(EOMONTH($AH$3,0))-1)/2)+AJ$8,0)=EOMONTH($EL$3,0),AJ$6*AJ$7,0),0),IF(AND(AF$6&lt;&gt;"",AF$8&lt;&gt;""),IF(EOMONTH($AD$3+INT((DAY(EOMONTH($AD$3,0))-1)/2)+AF$8,0)=EOMONTH($EL$3,0),AF$6*AF$7,0),0),IF(AND(AB$6&lt;&gt;"",AB$8&lt;&gt;""),IF(EOMONTH($Z$3+INT((DAY(EOMONTH($Z$3,0))-1)/2)+AB$8,0)=EOMONTH($EL$3,0),AB$6*AB$7,0),0),IF(AND(X$6&lt;&gt;"",X$8&lt;&gt;""),IF(EOMONTH($V$3+INT((DAY(EOMONTH($V$3,0))-1)/2)+X$8,0)=EOMONTH($EL$3,0),X$6*X$7,0),0),IF(AND(T$6&lt;&gt;"",T$8&lt;&gt;""),IF(EOMONTH($R$3+INT((DAY(EOMONTH($R$3,0))-1)/2)+T$8,0)=EOMONTH($EL$3,0),T$6*T$7,0),0),IF(AND(P$6&lt;&gt;"",P$8&lt;&gt;""),IF(EOMONTH($N$3+INT((DAY(EOMONTH($N$3,0))-1)/2)+P$8,0)=EOMONTH($EL$3,0),P$6*P$7,0),0),IF(AND(L$6&lt;&gt;"",L$8&lt;&gt;""),IF(EOMONTH($J$3+INT((DAY(EOMONTH($J$3,0))-1)/2)+L$8,0)=EOMONTH($EL$3,0),L$6*L$7,0),0),IF(AND(H$6&lt;&gt;"",H$8&lt;&gt;""),IF(EOMONTH($F$3+INT((DAY(EOMONTH($F$3,0))-1)/2)+H$8,0)=EOMONTH($EL$3,0),H$6*H$7,0),0)),0)</f>
        <v>0</v>
      </c>
      <c r="EO9" s="16">
        <f t="shared" si="73"/>
        <v>0</v>
      </c>
      <c r="EP9" s="17"/>
      <c r="EQ9" s="14">
        <f>IF(EP$98=1,EP9,ROUND(SUM(IF(AND(EQ$6&lt;&gt;"",EQ$8&lt;&gt;""),IF(EOMONTH($EP$3+INT((DAY(EOMONTH($EP$3,0))-1)/2)+EQ$8,0)=EOMONTH($EP$3,0),EQ$6*EQ$7,0),0),IF(AND(EM$6&lt;&gt;"",EM$8&lt;&gt;""),IF(EOMONTH($EL$3+INT((DAY(EOMONTH($EL$3,0))-1)/2)+EM$8,0)=EOMONTH($EP$3,0),EM$6*EM$7,0),0),IF(AND(EI$6&lt;&gt;"",EI$8&lt;&gt;""),IF(EOMONTH($EH$3+INT((DAY(EOMONTH($EH$3,0))-1)/2)+EI$8,0)=EOMONTH($EP$3,0),EI$6*EI$7,0),0),IF(AND(EE$6&lt;&gt;"",EE$8&lt;&gt;""),IF(EOMONTH($ED$3+INT((DAY(EOMONTH($ED$3,0))-1)/2)+EE$8,0)=EOMONTH($EP$3,0),EE$6*EE$7,0),0),IF(AND(EA$6&lt;&gt;"",EA$8&lt;&gt;""),IF(EOMONTH($DZ$3+INT((DAY(EOMONTH($DZ$3,0))-1)/2)+EA$8,0)=EOMONTH($EP$3,0),EA$6*EA$7,0),0),IF(AND(DW$6&lt;&gt;"",DW$8&lt;&gt;""),IF(EOMONTH($DV$3+INT((DAY(EOMONTH($DV$3,0))-1)/2)+DW$8,0)=EOMONTH($EP$3,0),DW$6*DW$7,0),0),IF(AND(DS$6&lt;&gt;"",DS$8&lt;&gt;""),IF(EOMONTH($DR$3+INT((DAY(EOMONTH($DR$3,0))-1)/2)+DS$8,0)=EOMONTH($EP$3,0),DS$6*DS$7,0),0),IF(AND(DO$6&lt;&gt;"",DO$8&lt;&gt;""),IF(EOMONTH($DN$3+INT((DAY(EOMONTH($DN$3,0))-1)/2)+DO$8,0)=EOMONTH($EP$3,0),DO$6*DO$7,0),0),IF(AND(DK$6&lt;&gt;"",DK$8&lt;&gt;""),IF(EOMONTH($DJ$3+INT((DAY(EOMONTH($DJ$3,0))-1)/2)+DK$8,0)=EOMONTH($EP$3,0),DK$6*DK$7,0),0),IF(AND(DG$6&lt;&gt;"",DG$8&lt;&gt;""),IF(EOMONTH($DF$3+INT((DAY(EOMONTH($DF$3,0))-1)/2)+DG$8,0)=EOMONTH($EP$3,0),DG$6*DG$7,0),0),IF(AND(DC$6&lt;&gt;"",DC$8&lt;&gt;""),IF(EOMONTH($DB$3+INT((DAY(EOMONTH($DB$3,0))-1)/2)+DC$8,0)=EOMONTH($EP$3,0),DC$6*DC$7,0),0),IF(AND(CY$6&lt;&gt;"",CY$8&lt;&gt;""),IF(EOMONTH($CX$3+INT((DAY(EOMONTH($CX$3,0))-1)/2)+CY$8,0)=EOMONTH($EP$3,0),CY$6*CY$7,0),0),IF(AND(CU$6&lt;&gt;"",CU$8&lt;&gt;""),IF(EOMONTH($CT$3+INT((DAY(EOMONTH($CT$3,0))-1)/2)+CU$8,0)=EOMONTH($EP$3,0),CU$6*CU$7,0),0),IF(AND(CQ$6&lt;&gt;"",CQ$8&lt;&gt;""),IF(EOMONTH($CP$3+INT((DAY(EOMONTH($CP$3,0))-1)/2)+CQ$8,0)=EOMONTH($EP$3,0),CQ$6*CQ$7,0),0),IF(AND(CM$6&lt;&gt;"",CM$8&lt;&gt;""),IF(EOMONTH($CL$3+INT((DAY(EOMONTH($CL$3,0))-1)/2)+CM$8,0)=EOMONTH($EP$3,0),CM$6*CM$7,0),0),IF(AND(CI$6&lt;&gt;"",CI$8&lt;&gt;""),IF(EOMONTH($CH$3+INT((DAY(EOMONTH($CH$3,0))-1)/2)+CI$8,0)=EOMONTH($EP$3,0),CI$6*CI$7,0),0),IF(AND(CE$6&lt;&gt;"",CE$8&lt;&gt;""),IF(EOMONTH($CD$3+INT((DAY(EOMONTH($CD$3,0))-1)/2)+CE$8,0)=EOMONTH($EP$3,0),CE$6*CE$7,0),0),IF(AND(CA$6&lt;&gt;"",CA$8&lt;&gt;""),IF(EOMONTH($BZ$3+INT((DAY(EOMONTH($BZ$3,0))-1)/2)+CA$8,0)=EOMONTH($EP$3,0),CA$6*CA$7,0),0),IF(AND(BW$6&lt;&gt;"",BW$8&lt;&gt;""),IF(EOMONTH($BV$3+INT((DAY(EOMONTH($BV$3,0))-1)/2)+BW$8,0)=EOMONTH($EP$3,0),BW$6*BW$7,0),0),IF(AND(BS$6&lt;&gt;"",BS$8&lt;&gt;""),IF(EOMONTH($BR$3+INT((DAY(EOMONTH($BR$3,0))-1)/2)+BS$8,0)=EOMONTH($EP$3,0),BS$6*BS$7,0),0),IF(AND(BO$6&lt;&gt;"",BO$8&lt;&gt;""),IF(EOMONTH($BN$3+INT((DAY(EOMONTH($BN$3,0))-1)/2)+BO$8,0)=EOMONTH($EP$3,0),BO$6*BO$7,0),0),IF(AND(BK$6&lt;&gt;"",BK$8&lt;&gt;""),IF(EOMONTH($BJ$3+INT((DAY(EOMONTH($BJ$3,0))-1)/2)+BK$8,0)=EOMONTH($EP$3,0),BK$6*BK$7,0),0),IF(AND(BG$6&lt;&gt;"",BG$8&lt;&gt;""),IF(EOMONTH($BF$3+INT((DAY(EOMONTH($BF$3,0))-1)/2)+BG$8,0)=EOMONTH($EP$3,0),BG$6*BG$7,0),0),IF(AND(BC$6&lt;&gt;"",BC$8&lt;&gt;""),IF(EOMONTH($BB$3+INT((DAY(EOMONTH($BB$3,0))-1)/2)+BC$8,0)=EOMONTH($EP$3,0),BC$6*BC$7,0),0),IF(AND(AY$6&lt;&gt;"",AY$8&lt;&gt;""),IF(EOMONTH($AX$3+INT((DAY(EOMONTH($AX$3,0))-1)/2)+AY$8,0)=EOMONTH($EP$3,0),AY$6*AY$7,0),0),IF(AND(AU$6&lt;&gt;"",AU$8&lt;&gt;""),IF(EOMONTH($AT$3+INT((DAY(EOMONTH($AT$3,0))-1)/2)+AU$8,0)=EOMONTH($EP$3,0),AU$6*AU$7,0),0),IF(AND(AQ$6&lt;&gt;"",AQ$8&lt;&gt;""),IF(EOMONTH($AP$3+INT((DAY(EOMONTH($AP$3,0))-1)/2)+AQ$8,0)=EOMONTH($EP$3,0),AQ$6*AQ$7,0),0),IF(AND(AM$6&lt;&gt;"",AM$8&lt;&gt;""),IF(EOMONTH($AL$3+INT((DAY(EOMONTH($AL$3,0))-1)/2)+AM$8,0)=EOMONTH($EP$3,0),AM$6*AM$7,0),0),IF(AND(AI$6&lt;&gt;"",AI$8&lt;&gt;""),IF(EOMONTH($AH$3+INT((DAY(EOMONTH($AH$3,0))-1)/2)+AI$8,0)=EOMONTH($EP$3,0),AI$6*AI$7,0),0),IF(AND(AE$6&lt;&gt;"",AE$8&lt;&gt;""),IF(EOMONTH($AD$3+INT((DAY(EOMONTH($AD$3,0))-1)/2)+AE$8,0)=EOMONTH($EP$3,0),AE$6*AE$7,0),0),IF(AND(AA$6&lt;&gt;"",AA$8&lt;&gt;""),IF(EOMONTH($Z$3+INT((DAY(EOMONTH($Z$3,0))-1)/2)+AA$8,0)=EOMONTH($EP$3,0),AA$6*AA$7,0),0),IF(AND(W$6&lt;&gt;"",W$8&lt;&gt;""),IF(EOMONTH($V$3+INT((DAY(EOMONTH($V$3,0))-1)/2)+W$8,0)=EOMONTH($EP$3,0),W$6*W$7,0),0),IF(AND(S$6&lt;&gt;"",S$8&lt;&gt;""),IF(EOMONTH($R$3+INT((DAY(EOMONTH($R$3,0))-1)/2)+S$8,0)=EOMONTH($EP$3,0),S$6*S$7,0),0),IF(AND(O$6&lt;&gt;"",O$8&lt;&gt;""),IF(EOMONTH($N$3+INT((DAY(EOMONTH($N$3,0))-1)/2)+O$8,0)=EOMONTH($EP$3,0),O$6*O$7,0),0),IF(AND(K$6&lt;&gt;"",K$8&lt;&gt;""),IF(EOMONTH($J$3+INT((DAY(EOMONTH($J$3,0))-1)/2)+K$8,0)=EOMONTH($EP$3,0),K$6*K$7,0),0),IF(AND(G$6&lt;&gt;"",G$8&lt;&gt;""),IF(EOMONTH($F$3+INT((DAY(EOMONTH($F$3,0))-1)/2)+G$8,0)=EOMONTH($EP$3,0),G$6*G$7,0),0)),0))</f>
        <v>0</v>
      </c>
      <c r="ER9" s="15">
        <f>ROUND(SUM(IF(AND(ER$6&lt;&gt;"",ER$8&lt;&gt;""),IF(EOMONTH($EP$3+INT((DAY(EOMONTH($EP$3,0))-1)/2)+ER$8,0)=EOMONTH($EP$3,0),ER$6*ER$7,0),0),IF(AND(EN$6&lt;&gt;"",EN$8&lt;&gt;""),IF(EOMONTH($EL$3+INT((DAY(EOMONTH($EL$3,0))-1)/2)+EN$8,0)=EOMONTH($EP$3,0),EN$6*EN$7,0),0),IF(AND(EJ$6&lt;&gt;"",EJ$8&lt;&gt;""),IF(EOMONTH($EH$3+INT((DAY(EOMONTH($EH$3,0))-1)/2)+EJ$8,0)=EOMONTH($EP$3,0),EJ$6*EJ$7,0),0),IF(AND(EF$6&lt;&gt;"",EF$8&lt;&gt;""),IF(EOMONTH($ED$3+INT((DAY(EOMONTH($ED$3,0))-1)/2)+EF$8,0)=EOMONTH($EP$3,0),EF$6*EF$7,0),0),IF(AND(EB$6&lt;&gt;"",EB$8&lt;&gt;""),IF(EOMONTH($DZ$3+INT((DAY(EOMONTH($DZ$3,0))-1)/2)+EB$8,0)=EOMONTH($EP$3,0),EB$6*EB$7,0),0),IF(AND(DX$6&lt;&gt;"",DX$8&lt;&gt;""),IF(EOMONTH($DV$3+INT((DAY(EOMONTH($DV$3,0))-1)/2)+DX$8,0)=EOMONTH($EP$3,0),DX$6*DX$7,0),0),IF(AND(DT$6&lt;&gt;"",DT$8&lt;&gt;""),IF(EOMONTH($DR$3+INT((DAY(EOMONTH($DR$3,0))-1)/2)+DT$8,0)=EOMONTH($EP$3,0),DT$6*DT$7,0),0),IF(AND(DP$6&lt;&gt;"",DP$8&lt;&gt;""),IF(EOMONTH($DN$3+INT((DAY(EOMONTH($DN$3,0))-1)/2)+DP$8,0)=EOMONTH($EP$3,0),DP$6*DP$7,0),0),IF(AND(DL$6&lt;&gt;"",DL$8&lt;&gt;""),IF(EOMONTH($DJ$3+INT((DAY(EOMONTH($DJ$3,0))-1)/2)+DL$8,0)=EOMONTH($EP$3,0),DL$6*DL$7,0),0),IF(AND(DH$6&lt;&gt;"",DH$8&lt;&gt;""),IF(EOMONTH($DF$3+INT((DAY(EOMONTH($DF$3,0))-1)/2)+DH$8,0)=EOMONTH($EP$3,0),DH$6*DH$7,0),0),IF(AND(DD$6&lt;&gt;"",DD$8&lt;&gt;""),IF(EOMONTH($DB$3+INT((DAY(EOMONTH($DB$3,0))-1)/2)+DD$8,0)=EOMONTH($EP$3,0),DD$6*DD$7,0),0),IF(AND(CZ$6&lt;&gt;"",CZ$8&lt;&gt;""),IF(EOMONTH($CX$3+INT((DAY(EOMONTH($CX$3,0))-1)/2)+CZ$8,0)=EOMONTH($EP$3,0),CZ$6*CZ$7,0),0),IF(AND(CV$6&lt;&gt;"",CV$8&lt;&gt;""),IF(EOMONTH($CT$3+INT((DAY(EOMONTH($CT$3,0))-1)/2)+CV$8,0)=EOMONTH($EP$3,0),CV$6*CV$7,0),0),IF(AND(CR$6&lt;&gt;"",CR$8&lt;&gt;""),IF(EOMONTH($CP$3+INT((DAY(EOMONTH($CP$3,0))-1)/2)+CR$8,0)=EOMONTH($EP$3,0),CR$6*CR$7,0),0),IF(AND(CN$6&lt;&gt;"",CN$8&lt;&gt;""),IF(EOMONTH($CL$3+INT((DAY(EOMONTH($CL$3,0))-1)/2)+CN$8,0)=EOMONTH($EP$3,0),CN$6*CN$7,0),0),IF(AND(CJ$6&lt;&gt;"",CJ$8&lt;&gt;""),IF(EOMONTH($CH$3+INT((DAY(EOMONTH($CH$3,0))-1)/2)+CJ$8,0)=EOMONTH($EP$3,0),CJ$6*CJ$7,0),0),IF(AND(CF$6&lt;&gt;"",CF$8&lt;&gt;""),IF(EOMONTH($CD$3+INT((DAY(EOMONTH($CD$3,0))-1)/2)+CF$8,0)=EOMONTH($EP$3,0),CF$6*CF$7,0),0),IF(AND(CB$6&lt;&gt;"",CB$8&lt;&gt;""),IF(EOMONTH($BZ$3+INT((DAY(EOMONTH($BZ$3,0))-1)/2)+CB$8,0)=EOMONTH($EP$3,0),CB$6*CB$7,0),0),IF(AND(BX$6&lt;&gt;"",BX$8&lt;&gt;""),IF(EOMONTH($BV$3+INT((DAY(EOMONTH($BV$3,0))-1)/2)+BX$8,0)=EOMONTH($EP$3,0),BX$6*BX$7,0),0),IF(AND(BT$6&lt;&gt;"",BT$8&lt;&gt;""),IF(EOMONTH($BR$3+INT((DAY(EOMONTH($BR$3,0))-1)/2)+BT$8,0)=EOMONTH($EP$3,0),BT$6*BT$7,0),0),IF(AND(BP$6&lt;&gt;"",BP$8&lt;&gt;""),IF(EOMONTH($BN$3+INT((DAY(EOMONTH($BN$3,0))-1)/2)+BP$8,0)=EOMONTH($EP$3,0),BP$6*BP$7,0),0),IF(AND(BL$6&lt;&gt;"",BL$8&lt;&gt;""),IF(EOMONTH($BJ$3+INT((DAY(EOMONTH($BJ$3,0))-1)/2)+BL$8,0)=EOMONTH($EP$3,0),BL$6*BL$7,0),0),IF(AND(BH$6&lt;&gt;"",BH$8&lt;&gt;""),IF(EOMONTH($BF$3+INT((DAY(EOMONTH($BF$3,0))-1)/2)+BH$8,0)=EOMONTH($EP$3,0),BH$6*BH$7,0),0),IF(AND(BD$6&lt;&gt;"",BD$8&lt;&gt;""),IF(EOMONTH($BB$3+INT((DAY(EOMONTH($BB$3,0))-1)/2)+BD$8,0)=EOMONTH($EP$3,0),BD$6*BD$7,0),0),IF(AND(AZ$6&lt;&gt;"",AZ$8&lt;&gt;""),IF(EOMONTH($AX$3+INT((DAY(EOMONTH($AX$3,0))-1)/2)+AZ$8,0)=EOMONTH($EP$3,0),AZ$6*AZ$7,0),0),IF(AND(AV$6&lt;&gt;"",AV$8&lt;&gt;""),IF(EOMONTH($AT$3+INT((DAY(EOMONTH($AT$3,0))-1)/2)+AV$8,0)=EOMONTH($EP$3,0),AV$6*AV$7,0),0),IF(AND(AR$6&lt;&gt;"",AR$8&lt;&gt;""),IF(EOMONTH($AP$3+INT((DAY(EOMONTH($AP$3,0))-1)/2)+AR$8,0)=EOMONTH($EP$3,0),AR$6*AR$7,0),0),IF(AND(AN$6&lt;&gt;"",AN$8&lt;&gt;""),IF(EOMONTH($AL$3+INT((DAY(EOMONTH($AL$3,0))-1)/2)+AN$8,0)=EOMONTH($EP$3,0),AN$6*AN$7,0),0),IF(AND(AJ$6&lt;&gt;"",AJ$8&lt;&gt;""),IF(EOMONTH($AH$3+INT((DAY(EOMONTH($AH$3,0))-1)/2)+AJ$8,0)=EOMONTH($EP$3,0),AJ$6*AJ$7,0),0),IF(AND(AF$6&lt;&gt;"",AF$8&lt;&gt;""),IF(EOMONTH($AD$3+INT((DAY(EOMONTH($AD$3,0))-1)/2)+AF$8,0)=EOMONTH($EP$3,0),AF$6*AF$7,0),0),IF(AND(AB$6&lt;&gt;"",AB$8&lt;&gt;""),IF(EOMONTH($Z$3+INT((DAY(EOMONTH($Z$3,0))-1)/2)+AB$8,0)=EOMONTH($EP$3,0),AB$6*AB$7,0),0),IF(AND(X$6&lt;&gt;"",X$8&lt;&gt;""),IF(EOMONTH($V$3+INT((DAY(EOMONTH($V$3,0))-1)/2)+X$8,0)=EOMONTH($EP$3,0),X$6*X$7,0),0),IF(AND(T$6&lt;&gt;"",T$8&lt;&gt;""),IF(EOMONTH($R$3+INT((DAY(EOMONTH($R$3,0))-1)/2)+T$8,0)=EOMONTH($EP$3,0),T$6*T$7,0),0),IF(AND(P$6&lt;&gt;"",P$8&lt;&gt;""),IF(EOMONTH($N$3+INT((DAY(EOMONTH($N$3,0))-1)/2)+P$8,0)=EOMONTH($EP$3,0),P$6*P$7,0),0),IF(AND(L$6&lt;&gt;"",L$8&lt;&gt;""),IF(EOMONTH($J$3+INT((DAY(EOMONTH($J$3,0))-1)/2)+L$8,0)=EOMONTH($EP$3,0),L$6*L$7,0),0),IF(AND(H$6&lt;&gt;"",H$8&lt;&gt;""),IF(EOMONTH($F$3+INT((DAY(EOMONTH($F$3,0))-1)/2)+H$8,0)=EOMONTH($EP$3,0),H$6*H$7,0),0)),0)</f>
        <v>0</v>
      </c>
      <c r="ES9" s="16">
        <f t="shared" si="75"/>
        <v>0</v>
      </c>
    </row>
    <row r="10" ht="18.0" customHeight="1">
      <c r="A10" s="2" t="s">
        <v>12</v>
      </c>
      <c r="B10" s="19" t="str">
        <f t="shared" ref="B10:D10" si="78">IFERROR(B12/B9,"")</f>
        <v/>
      </c>
      <c r="C10" s="20" t="str">
        <f t="shared" si="78"/>
        <v/>
      </c>
      <c r="D10" s="21" t="str">
        <f t="shared" si="78"/>
        <v/>
      </c>
      <c r="E10" s="22" t="str">
        <f t="shared" si="3"/>
        <v/>
      </c>
      <c r="F10" s="19" t="str">
        <f>IFERROR(IF(OR(F12="",F9=""),"",F12/F9),"")</f>
        <v/>
      </c>
      <c r="G10" s="20" t="str">
        <f t="shared" ref="G10:G11" si="80">IF(F$98=1,F10,H10)</f>
        <v/>
      </c>
      <c r="H10" s="23"/>
      <c r="I10" s="22" t="str">
        <f t="shared" si="5"/>
        <v/>
      </c>
      <c r="J10" s="19" t="str">
        <f>IFERROR(IF(OR(J12="",J9=""),"",J12/J9),"")</f>
        <v/>
      </c>
      <c r="K10" s="20" t="str">
        <f t="shared" ref="K10:K11" si="81">IF(J$98=1,J10,L10)</f>
        <v/>
      </c>
      <c r="L10" s="23"/>
      <c r="M10" s="22" t="str">
        <f t="shared" si="7"/>
        <v/>
      </c>
      <c r="N10" s="19" t="str">
        <f>IFERROR(IF(OR(N12="",N9=""),"",N12/N9),"")</f>
        <v/>
      </c>
      <c r="O10" s="20" t="str">
        <f t="shared" ref="O10:O11" si="82">IF(N$98=1,N10,P10)</f>
        <v/>
      </c>
      <c r="P10" s="23"/>
      <c r="Q10" s="22" t="str">
        <f t="shared" si="9"/>
        <v/>
      </c>
      <c r="R10" s="19" t="str">
        <f>IFERROR(IF(OR(R12="",R9=""),"",R12/R9),"")</f>
        <v/>
      </c>
      <c r="S10" s="20" t="str">
        <f t="shared" ref="S10:S11" si="83">IF(R$98=1,R10,T10)</f>
        <v/>
      </c>
      <c r="T10" s="23"/>
      <c r="U10" s="22" t="str">
        <f t="shared" si="11"/>
        <v/>
      </c>
      <c r="V10" s="19" t="str">
        <f>IFERROR(IF(OR(V12="",V9=""),"",V12/V9),"")</f>
        <v/>
      </c>
      <c r="W10" s="20" t="str">
        <f t="shared" ref="W10:W11" si="84">IF(V$98=1,V10,X10)</f>
        <v/>
      </c>
      <c r="X10" s="23"/>
      <c r="Y10" s="22" t="str">
        <f t="shared" si="13"/>
        <v/>
      </c>
      <c r="Z10" s="19" t="str">
        <f>IFERROR(IF(OR(Z12="",Z9=""),"",Z12/Z9),"")</f>
        <v/>
      </c>
      <c r="AA10" s="20" t="str">
        <f t="shared" ref="AA10:AA11" si="85">IF(Z$98=1,Z10,AB10)</f>
        <v/>
      </c>
      <c r="AB10" s="23"/>
      <c r="AC10" s="22" t="str">
        <f t="shared" si="15"/>
        <v/>
      </c>
      <c r="AD10" s="19" t="str">
        <f>IFERROR(IF(OR(AD12="",AD9=""),"",AD12/AD9),"")</f>
        <v/>
      </c>
      <c r="AE10" s="20" t="str">
        <f t="shared" ref="AE10:AE11" si="86">IF(AD$98=1,AD10,AF10)</f>
        <v/>
      </c>
      <c r="AF10" s="23"/>
      <c r="AG10" s="22" t="str">
        <f t="shared" si="17"/>
        <v/>
      </c>
      <c r="AH10" s="19" t="str">
        <f>IFERROR(IF(OR(AH12="",AH9=""),"",AH12/AH9),"")</f>
        <v/>
      </c>
      <c r="AI10" s="20" t="str">
        <f t="shared" ref="AI10:AI11" si="87">IF(AH$98=1,AH10,AJ10)</f>
        <v/>
      </c>
      <c r="AJ10" s="23"/>
      <c r="AK10" s="22" t="str">
        <f t="shared" si="19"/>
        <v/>
      </c>
      <c r="AL10" s="19" t="str">
        <f>IFERROR(IF(OR(AL12="",AL9=""),"",AL12/AL9),"")</f>
        <v/>
      </c>
      <c r="AM10" s="20" t="str">
        <f t="shared" ref="AM10:AM11" si="88">IF(AL$98=1,AL10,AN10)</f>
        <v/>
      </c>
      <c r="AN10" s="23"/>
      <c r="AO10" s="22" t="str">
        <f t="shared" si="21"/>
        <v/>
      </c>
      <c r="AP10" s="19" t="str">
        <f>IFERROR(IF(OR(AP12="",AP9=""),"",AP12/AP9),"")</f>
        <v/>
      </c>
      <c r="AQ10" s="20" t="str">
        <f t="shared" ref="AQ10:AQ11" si="89">IF(AP$98=1,AP10,AR10)</f>
        <v/>
      </c>
      <c r="AR10" s="23"/>
      <c r="AS10" s="22" t="str">
        <f t="shared" si="23"/>
        <v/>
      </c>
      <c r="AT10" s="19" t="str">
        <f>IFERROR(IF(OR(AT12="",AT9=""),"",AT12/AT9),"")</f>
        <v/>
      </c>
      <c r="AU10" s="20" t="str">
        <f t="shared" ref="AU10:AU11" si="90">IF(AT$98=1,AT10,AV10)</f>
        <v/>
      </c>
      <c r="AV10" s="23"/>
      <c r="AW10" s="22" t="str">
        <f t="shared" si="25"/>
        <v/>
      </c>
      <c r="AX10" s="19" t="str">
        <f>IFERROR(IF(OR(AX12="",AX9=""),"",AX12/AX9),"")</f>
        <v/>
      </c>
      <c r="AY10" s="20" t="str">
        <f t="shared" ref="AY10:AY11" si="91">IF(AX$98=1,AX10,AZ10)</f>
        <v/>
      </c>
      <c r="AZ10" s="23"/>
      <c r="BA10" s="22" t="str">
        <f t="shared" si="27"/>
        <v/>
      </c>
      <c r="BB10" s="19" t="str">
        <f>IFERROR(IF(OR(BB12="",BB9=""),"",BB12/BB9),"")</f>
        <v/>
      </c>
      <c r="BC10" s="20" t="str">
        <f t="shared" ref="BC10:BC11" si="92">IF(BB$98=1,BB10,BD10)</f>
        <v/>
      </c>
      <c r="BD10" s="23"/>
      <c r="BE10" s="22" t="str">
        <f t="shared" si="29"/>
        <v/>
      </c>
      <c r="BF10" s="19" t="str">
        <f>IFERROR(IF(OR(BF12="",BF9=""),"",BF12/BF9),"")</f>
        <v/>
      </c>
      <c r="BG10" s="20" t="str">
        <f t="shared" ref="BG10:BG11" si="93">IF(BF$98=1,BF10,BH10)</f>
        <v/>
      </c>
      <c r="BH10" s="23"/>
      <c r="BI10" s="22" t="str">
        <f t="shared" si="31"/>
        <v/>
      </c>
      <c r="BJ10" s="19" t="str">
        <f>IFERROR(IF(OR(BJ12="",BJ9=""),"",BJ12/BJ9),"")</f>
        <v/>
      </c>
      <c r="BK10" s="20" t="str">
        <f t="shared" ref="BK10:BK11" si="94">IF(BJ$98=1,BJ10,BL10)</f>
        <v/>
      </c>
      <c r="BL10" s="23"/>
      <c r="BM10" s="22" t="str">
        <f t="shared" si="33"/>
        <v/>
      </c>
      <c r="BN10" s="19" t="str">
        <f>IFERROR(IF(OR(BN12="",BN9=""),"",BN12/BN9),"")</f>
        <v/>
      </c>
      <c r="BO10" s="20" t="str">
        <f t="shared" ref="BO10:BO11" si="95">IF(BN$98=1,BN10,BP10)</f>
        <v/>
      </c>
      <c r="BP10" s="23"/>
      <c r="BQ10" s="22" t="str">
        <f t="shared" si="35"/>
        <v/>
      </c>
      <c r="BR10" s="19" t="str">
        <f>IFERROR(IF(OR(BR12="",BR9=""),"",BR12/BR9),"")</f>
        <v/>
      </c>
      <c r="BS10" s="20" t="str">
        <f t="shared" ref="BS10:BS11" si="96">IF(BR$98=1,BR10,BT10)</f>
        <v/>
      </c>
      <c r="BT10" s="23"/>
      <c r="BU10" s="22" t="str">
        <f t="shared" si="37"/>
        <v/>
      </c>
      <c r="BV10" s="19" t="str">
        <f>IFERROR(IF(OR(BV12="",BV9=""),"",BV12/BV9),"")</f>
        <v/>
      </c>
      <c r="BW10" s="20" t="str">
        <f t="shared" ref="BW10:BW11" si="97">IF(BV$98=1,BV10,BX10)</f>
        <v/>
      </c>
      <c r="BX10" s="23"/>
      <c r="BY10" s="22" t="str">
        <f t="shared" si="39"/>
        <v/>
      </c>
      <c r="BZ10" s="19" t="str">
        <f>IFERROR(IF(OR(BZ12="",BZ9=""),"",BZ12/BZ9),"")</f>
        <v/>
      </c>
      <c r="CA10" s="20" t="str">
        <f t="shared" ref="CA10:CA11" si="98">IF(BZ$98=1,BZ10,CB10)</f>
        <v/>
      </c>
      <c r="CB10" s="23"/>
      <c r="CC10" s="22" t="str">
        <f t="shared" si="41"/>
        <v/>
      </c>
      <c r="CD10" s="19" t="str">
        <f>IFERROR(IF(OR(CD12="",CD9=""),"",CD12/CD9),"")</f>
        <v/>
      </c>
      <c r="CE10" s="20" t="str">
        <f t="shared" ref="CE10:CE11" si="99">IF(CD$98=1,CD10,CF10)</f>
        <v/>
      </c>
      <c r="CF10" s="23"/>
      <c r="CG10" s="22" t="str">
        <f t="shared" si="43"/>
        <v/>
      </c>
      <c r="CH10" s="19" t="str">
        <f>IFERROR(IF(OR(CH12="",CH9=""),"",CH12/CH9),"")</f>
        <v/>
      </c>
      <c r="CI10" s="20" t="str">
        <f t="shared" ref="CI10:CI11" si="100">IF(CH$98=1,CH10,CJ10)</f>
        <v/>
      </c>
      <c r="CJ10" s="23"/>
      <c r="CK10" s="22" t="str">
        <f t="shared" si="45"/>
        <v/>
      </c>
      <c r="CL10" s="19" t="str">
        <f>IFERROR(IF(OR(CL12="",CL9=""),"",CL12/CL9),"")</f>
        <v/>
      </c>
      <c r="CM10" s="20" t="str">
        <f t="shared" ref="CM10:CM11" si="101">IF(CL$98=1,CL10,CN10)</f>
        <v/>
      </c>
      <c r="CN10" s="23"/>
      <c r="CO10" s="22" t="str">
        <f t="shared" si="47"/>
        <v/>
      </c>
      <c r="CP10" s="19" t="str">
        <f>IFERROR(IF(OR(CP12="",CP9=""),"",CP12/CP9),"")</f>
        <v/>
      </c>
      <c r="CQ10" s="20" t="str">
        <f t="shared" ref="CQ10:CQ11" si="102">IF(CP$98=1,CP10,CR10)</f>
        <v/>
      </c>
      <c r="CR10" s="23"/>
      <c r="CS10" s="22" t="str">
        <f t="shared" si="49"/>
        <v/>
      </c>
      <c r="CT10" s="19" t="str">
        <f>IFERROR(IF(OR(CT12="",CT9=""),"",CT12/CT9),"")</f>
        <v/>
      </c>
      <c r="CU10" s="20" t="str">
        <f t="shared" ref="CU10:CU11" si="103">IF(CT$98=1,CT10,CV10)</f>
        <v/>
      </c>
      <c r="CV10" s="23"/>
      <c r="CW10" s="22" t="str">
        <f t="shared" si="51"/>
        <v/>
      </c>
      <c r="CX10" s="19" t="str">
        <f>IFERROR(IF(OR(CX12="",CX9=""),"",CX12/CX9),"")</f>
        <v/>
      </c>
      <c r="CY10" s="20" t="str">
        <f t="shared" ref="CY10:CY11" si="104">IF(CX$98=1,CX10,CZ10)</f>
        <v/>
      </c>
      <c r="CZ10" s="23"/>
      <c r="DA10" s="22" t="str">
        <f t="shared" si="53"/>
        <v/>
      </c>
      <c r="DB10" s="19" t="str">
        <f>IFERROR(IF(OR(DB12="",DB9=""),"",DB12/DB9),"")</f>
        <v/>
      </c>
      <c r="DC10" s="20" t="str">
        <f t="shared" ref="DC10:DC11" si="105">IF(DB$98=1,DB10,DD10)</f>
        <v/>
      </c>
      <c r="DD10" s="23"/>
      <c r="DE10" s="22" t="str">
        <f t="shared" si="55"/>
        <v/>
      </c>
      <c r="DF10" s="19" t="str">
        <f>IFERROR(IF(OR(DF12="",DF9=""),"",DF12/DF9),"")</f>
        <v/>
      </c>
      <c r="DG10" s="20" t="str">
        <f t="shared" ref="DG10:DG11" si="106">IF(DF$98=1,DF10,DH10)</f>
        <v/>
      </c>
      <c r="DH10" s="23"/>
      <c r="DI10" s="22" t="str">
        <f t="shared" si="57"/>
        <v/>
      </c>
      <c r="DJ10" s="19" t="str">
        <f>IFERROR(IF(OR(DJ12="",DJ9=""),"",DJ12/DJ9),"")</f>
        <v/>
      </c>
      <c r="DK10" s="20" t="str">
        <f t="shared" ref="DK10:DK11" si="107">IF(DJ$98=1,DJ10,DL10)</f>
        <v/>
      </c>
      <c r="DL10" s="23"/>
      <c r="DM10" s="22" t="str">
        <f t="shared" si="59"/>
        <v/>
      </c>
      <c r="DN10" s="19" t="str">
        <f>IFERROR(IF(OR(DN12="",DN9=""),"",DN12/DN9),"")</f>
        <v/>
      </c>
      <c r="DO10" s="20" t="str">
        <f t="shared" ref="DO10:DO11" si="108">IF(DN$98=1,DN10,DP10)</f>
        <v/>
      </c>
      <c r="DP10" s="23"/>
      <c r="DQ10" s="22" t="str">
        <f t="shared" si="61"/>
        <v/>
      </c>
      <c r="DR10" s="19" t="str">
        <f>IFERROR(IF(OR(DR12="",DR9=""),"",DR12/DR9),"")</f>
        <v/>
      </c>
      <c r="DS10" s="20" t="str">
        <f t="shared" ref="DS10:DS11" si="109">IF(DR$98=1,DR10,DT10)</f>
        <v/>
      </c>
      <c r="DT10" s="23"/>
      <c r="DU10" s="22" t="str">
        <f t="shared" si="63"/>
        <v/>
      </c>
      <c r="DV10" s="19" t="str">
        <f>IFERROR(IF(OR(DV12="",DV9=""),"",DV12/DV9),"")</f>
        <v/>
      </c>
      <c r="DW10" s="20" t="str">
        <f t="shared" ref="DW10:DW11" si="110">IF(DV$98=1,DV10,DX10)</f>
        <v/>
      </c>
      <c r="DX10" s="23"/>
      <c r="DY10" s="22" t="str">
        <f t="shared" si="65"/>
        <v/>
      </c>
      <c r="DZ10" s="19" t="str">
        <f>IFERROR(IF(OR(DZ12="",DZ9=""),"",DZ12/DZ9),"")</f>
        <v/>
      </c>
      <c r="EA10" s="20" t="str">
        <f t="shared" ref="EA10:EA11" si="111">IF(DZ$98=1,DZ10,EB10)</f>
        <v/>
      </c>
      <c r="EB10" s="23"/>
      <c r="EC10" s="22" t="str">
        <f t="shared" si="67"/>
        <v/>
      </c>
      <c r="ED10" s="19" t="str">
        <f>IFERROR(IF(OR(ED12="",ED9=""),"",ED12/ED9),"")</f>
        <v/>
      </c>
      <c r="EE10" s="20" t="str">
        <f t="shared" ref="EE10:EE11" si="112">IF(ED$98=1,ED10,EF10)</f>
        <v/>
      </c>
      <c r="EF10" s="23"/>
      <c r="EG10" s="22" t="str">
        <f t="shared" si="69"/>
        <v/>
      </c>
      <c r="EH10" s="19" t="str">
        <f>IFERROR(IF(OR(EH12="",EH9=""),"",EH12/EH9),"")</f>
        <v/>
      </c>
      <c r="EI10" s="20" t="str">
        <f t="shared" ref="EI10:EI11" si="113">IF(EH$98=1,EH10,EJ10)</f>
        <v/>
      </c>
      <c r="EJ10" s="23"/>
      <c r="EK10" s="22" t="str">
        <f t="shared" si="71"/>
        <v/>
      </c>
      <c r="EL10" s="19" t="str">
        <f>IFERROR(IF(OR(EL12="",EL9=""),"",EL12/EL9),"")</f>
        <v/>
      </c>
      <c r="EM10" s="20" t="str">
        <f t="shared" ref="EM10:EM11" si="114">IF(EL$98=1,EL10,EN10)</f>
        <v/>
      </c>
      <c r="EN10" s="23"/>
      <c r="EO10" s="22" t="str">
        <f t="shared" si="73"/>
        <v/>
      </c>
      <c r="EP10" s="19" t="str">
        <f>IFERROR(IF(OR(EP12="",EP9=""),"",EP12/EP9),"")</f>
        <v/>
      </c>
      <c r="EQ10" s="20" t="str">
        <f t="shared" ref="EQ10:EQ11" si="115">IF(EP$98=1,EP10,ER10)</f>
        <v/>
      </c>
      <c r="ER10" s="23"/>
      <c r="ES10" s="22" t="str">
        <f t="shared" si="75"/>
        <v/>
      </c>
    </row>
    <row r="11" ht="18.0" customHeight="1">
      <c r="A11" s="2" t="s">
        <v>13</v>
      </c>
      <c r="B11" s="24" t="str">
        <f t="shared" ref="B11:D11" si="79">IFERROR(SUM(EP11*EP9,EL11*EL9,EH11*EH9,ED11*ED9,DZ11*DZ9,DV11*DV9,DR11*DR9,DN11*DN9,DJ11*DJ9,DF11*DF9,DB11*DB9,CX11*CX9,CT11*CT9,CP11*CP9,CL11*CL9,CH11*CH9,CD11*CD9,BZ11*BZ9,BV11*BV9,BR11*BR9,BN11*BN9,BJ11*BJ9,BF11*BF9,BB11*BB9,AX11*AX9,AT11*AT9,AP11*AP9,AL11*AL9,AH11*AH9,AD11*AD9,Z11*Z9,V11*V9,R11*R9,N11*N9,J11*J9,F11*F9)/SUM(EP9,EL9,EH9,ED9,DZ9,DV9,DR9,DN9,DJ9,DF9,DB9,CX9,CT9,CP9,CL9,CH9,CD9,BZ9,BV9,BR9,BN9,BJ9,BF9,BB9,AX9,AT9,AP9,AL9,AH9,AD9,Z9,V9,R9,N9,J9,F9),"")</f>
        <v/>
      </c>
      <c r="C11" s="25" t="str">
        <f t="shared" si="79"/>
        <v/>
      </c>
      <c r="D11" s="26" t="str">
        <f t="shared" si="79"/>
        <v/>
      </c>
      <c r="E11" s="27" t="str">
        <f t="shared" si="3"/>
        <v/>
      </c>
      <c r="F11" s="28"/>
      <c r="G11" s="25" t="str">
        <f t="shared" si="80"/>
        <v/>
      </c>
      <c r="H11" s="29"/>
      <c r="I11" s="27" t="str">
        <f t="shared" si="5"/>
        <v/>
      </c>
      <c r="J11" s="28"/>
      <c r="K11" s="25" t="str">
        <f t="shared" si="81"/>
        <v/>
      </c>
      <c r="L11" s="29"/>
      <c r="M11" s="27" t="str">
        <f t="shared" si="7"/>
        <v/>
      </c>
      <c r="N11" s="28"/>
      <c r="O11" s="25" t="str">
        <f t="shared" si="82"/>
        <v/>
      </c>
      <c r="P11" s="29"/>
      <c r="Q11" s="27" t="str">
        <f t="shared" si="9"/>
        <v/>
      </c>
      <c r="R11" s="28"/>
      <c r="S11" s="25" t="str">
        <f t="shared" si="83"/>
        <v/>
      </c>
      <c r="T11" s="29"/>
      <c r="U11" s="27" t="str">
        <f t="shared" si="11"/>
        <v/>
      </c>
      <c r="V11" s="28"/>
      <c r="W11" s="25" t="str">
        <f t="shared" si="84"/>
        <v/>
      </c>
      <c r="X11" s="29"/>
      <c r="Y11" s="27" t="str">
        <f t="shared" si="13"/>
        <v/>
      </c>
      <c r="Z11" s="28"/>
      <c r="AA11" s="25" t="str">
        <f t="shared" si="85"/>
        <v/>
      </c>
      <c r="AB11" s="29"/>
      <c r="AC11" s="27" t="str">
        <f t="shared" si="15"/>
        <v/>
      </c>
      <c r="AD11" s="28"/>
      <c r="AE11" s="25" t="str">
        <f t="shared" si="86"/>
        <v/>
      </c>
      <c r="AF11" s="29"/>
      <c r="AG11" s="27" t="str">
        <f t="shared" si="17"/>
        <v/>
      </c>
      <c r="AH11" s="28"/>
      <c r="AI11" s="25" t="str">
        <f t="shared" si="87"/>
        <v/>
      </c>
      <c r="AJ11" s="29"/>
      <c r="AK11" s="27" t="str">
        <f t="shared" si="19"/>
        <v/>
      </c>
      <c r="AL11" s="28"/>
      <c r="AM11" s="25" t="str">
        <f t="shared" si="88"/>
        <v/>
      </c>
      <c r="AN11" s="29"/>
      <c r="AO11" s="27" t="str">
        <f t="shared" si="21"/>
        <v/>
      </c>
      <c r="AP11" s="28"/>
      <c r="AQ11" s="25" t="str">
        <f t="shared" si="89"/>
        <v/>
      </c>
      <c r="AR11" s="29"/>
      <c r="AS11" s="27" t="str">
        <f t="shared" si="23"/>
        <v/>
      </c>
      <c r="AT11" s="28"/>
      <c r="AU11" s="25" t="str">
        <f t="shared" si="90"/>
        <v/>
      </c>
      <c r="AV11" s="29"/>
      <c r="AW11" s="27" t="str">
        <f t="shared" si="25"/>
        <v/>
      </c>
      <c r="AX11" s="28"/>
      <c r="AY11" s="25" t="str">
        <f t="shared" si="91"/>
        <v/>
      </c>
      <c r="AZ11" s="29"/>
      <c r="BA11" s="27" t="str">
        <f t="shared" si="27"/>
        <v/>
      </c>
      <c r="BB11" s="28"/>
      <c r="BC11" s="25" t="str">
        <f t="shared" si="92"/>
        <v/>
      </c>
      <c r="BD11" s="29"/>
      <c r="BE11" s="27" t="str">
        <f t="shared" si="29"/>
        <v/>
      </c>
      <c r="BF11" s="28"/>
      <c r="BG11" s="25" t="str">
        <f t="shared" si="93"/>
        <v/>
      </c>
      <c r="BH11" s="29"/>
      <c r="BI11" s="27" t="str">
        <f t="shared" si="31"/>
        <v/>
      </c>
      <c r="BJ11" s="28"/>
      <c r="BK11" s="25" t="str">
        <f t="shared" si="94"/>
        <v/>
      </c>
      <c r="BL11" s="29"/>
      <c r="BM11" s="27" t="str">
        <f t="shared" si="33"/>
        <v/>
      </c>
      <c r="BN11" s="28"/>
      <c r="BO11" s="25" t="str">
        <f t="shared" si="95"/>
        <v/>
      </c>
      <c r="BP11" s="29"/>
      <c r="BQ11" s="27" t="str">
        <f t="shared" si="35"/>
        <v/>
      </c>
      <c r="BR11" s="28"/>
      <c r="BS11" s="25" t="str">
        <f t="shared" si="96"/>
        <v/>
      </c>
      <c r="BT11" s="29"/>
      <c r="BU11" s="27" t="str">
        <f t="shared" si="37"/>
        <v/>
      </c>
      <c r="BV11" s="28"/>
      <c r="BW11" s="25" t="str">
        <f t="shared" si="97"/>
        <v/>
      </c>
      <c r="BX11" s="29"/>
      <c r="BY11" s="27" t="str">
        <f t="shared" si="39"/>
        <v/>
      </c>
      <c r="BZ11" s="28"/>
      <c r="CA11" s="25" t="str">
        <f t="shared" si="98"/>
        <v/>
      </c>
      <c r="CB11" s="29"/>
      <c r="CC11" s="27" t="str">
        <f t="shared" si="41"/>
        <v/>
      </c>
      <c r="CD11" s="28"/>
      <c r="CE11" s="25" t="str">
        <f t="shared" si="99"/>
        <v/>
      </c>
      <c r="CF11" s="29"/>
      <c r="CG11" s="27" t="str">
        <f t="shared" si="43"/>
        <v/>
      </c>
      <c r="CH11" s="28"/>
      <c r="CI11" s="25" t="str">
        <f t="shared" si="100"/>
        <v/>
      </c>
      <c r="CJ11" s="29"/>
      <c r="CK11" s="27" t="str">
        <f t="shared" si="45"/>
        <v/>
      </c>
      <c r="CL11" s="28"/>
      <c r="CM11" s="25" t="str">
        <f t="shared" si="101"/>
        <v/>
      </c>
      <c r="CN11" s="29"/>
      <c r="CO11" s="27" t="str">
        <f t="shared" si="47"/>
        <v/>
      </c>
      <c r="CP11" s="28"/>
      <c r="CQ11" s="25" t="str">
        <f t="shared" si="102"/>
        <v/>
      </c>
      <c r="CR11" s="29"/>
      <c r="CS11" s="27" t="str">
        <f t="shared" si="49"/>
        <v/>
      </c>
      <c r="CT11" s="28"/>
      <c r="CU11" s="25" t="str">
        <f t="shared" si="103"/>
        <v/>
      </c>
      <c r="CV11" s="29"/>
      <c r="CW11" s="27" t="str">
        <f t="shared" si="51"/>
        <v/>
      </c>
      <c r="CX11" s="28"/>
      <c r="CY11" s="25" t="str">
        <f t="shared" si="104"/>
        <v/>
      </c>
      <c r="CZ11" s="29"/>
      <c r="DA11" s="27" t="str">
        <f t="shared" si="53"/>
        <v/>
      </c>
      <c r="DB11" s="28"/>
      <c r="DC11" s="25" t="str">
        <f t="shared" si="105"/>
        <v/>
      </c>
      <c r="DD11" s="29"/>
      <c r="DE11" s="27" t="str">
        <f t="shared" si="55"/>
        <v/>
      </c>
      <c r="DF11" s="28"/>
      <c r="DG11" s="25" t="str">
        <f t="shared" si="106"/>
        <v/>
      </c>
      <c r="DH11" s="29"/>
      <c r="DI11" s="27" t="str">
        <f t="shared" si="57"/>
        <v/>
      </c>
      <c r="DJ11" s="28"/>
      <c r="DK11" s="25" t="str">
        <f t="shared" si="107"/>
        <v/>
      </c>
      <c r="DL11" s="29"/>
      <c r="DM11" s="27" t="str">
        <f t="shared" si="59"/>
        <v/>
      </c>
      <c r="DN11" s="28"/>
      <c r="DO11" s="25" t="str">
        <f t="shared" si="108"/>
        <v/>
      </c>
      <c r="DP11" s="29"/>
      <c r="DQ11" s="27" t="str">
        <f t="shared" si="61"/>
        <v/>
      </c>
      <c r="DR11" s="28"/>
      <c r="DS11" s="25" t="str">
        <f t="shared" si="109"/>
        <v/>
      </c>
      <c r="DT11" s="29"/>
      <c r="DU11" s="27" t="str">
        <f t="shared" si="63"/>
        <v/>
      </c>
      <c r="DV11" s="28"/>
      <c r="DW11" s="25" t="str">
        <f t="shared" si="110"/>
        <v/>
      </c>
      <c r="DX11" s="29"/>
      <c r="DY11" s="27" t="str">
        <f t="shared" si="65"/>
        <v/>
      </c>
      <c r="DZ11" s="28"/>
      <c r="EA11" s="25" t="str">
        <f t="shared" si="111"/>
        <v/>
      </c>
      <c r="EB11" s="29"/>
      <c r="EC11" s="27" t="str">
        <f t="shared" si="67"/>
        <v/>
      </c>
      <c r="ED11" s="28"/>
      <c r="EE11" s="25" t="str">
        <f t="shared" si="112"/>
        <v/>
      </c>
      <c r="EF11" s="29"/>
      <c r="EG11" s="27" t="str">
        <f t="shared" si="69"/>
        <v/>
      </c>
      <c r="EH11" s="28"/>
      <c r="EI11" s="25" t="str">
        <f t="shared" si="113"/>
        <v/>
      </c>
      <c r="EJ11" s="29"/>
      <c r="EK11" s="27" t="str">
        <f t="shared" si="71"/>
        <v/>
      </c>
      <c r="EL11" s="28"/>
      <c r="EM11" s="25" t="str">
        <f t="shared" si="114"/>
        <v/>
      </c>
      <c r="EN11" s="29"/>
      <c r="EO11" s="27" t="str">
        <f t="shared" si="73"/>
        <v/>
      </c>
      <c r="EP11" s="28"/>
      <c r="EQ11" s="25" t="str">
        <f t="shared" si="115"/>
        <v/>
      </c>
      <c r="ER11" s="29"/>
      <c r="ES11" s="27" t="str">
        <f t="shared" si="75"/>
        <v/>
      </c>
    </row>
    <row r="12" ht="18.0" customHeight="1">
      <c r="A12" s="2" t="s">
        <v>14</v>
      </c>
      <c r="B12" s="13">
        <f t="shared" ref="B12:D12" si="116">SUM(EP12,EL12,EH12,ED12,DZ12,DV12,DR12,DN12,DJ12,DF12,DB12,CX12,CT12,CP12,CL12,CH12,CD12,BZ12,BV12,BR12,BN12,BJ12,BF12,BB12,AX12,AT12,AP12,AL12,AH12,AD12,Z12,V12,R12,N12,J12,F12)</f>
        <v>0</v>
      </c>
      <c r="C12" s="14">
        <f t="shared" si="116"/>
        <v>0</v>
      </c>
      <c r="D12" s="15">
        <f t="shared" si="116"/>
        <v>0</v>
      </c>
      <c r="E12" s="16">
        <f t="shared" si="3"/>
        <v>0</v>
      </c>
      <c r="F12" s="17"/>
      <c r="G12" s="14">
        <f>IF(F$98=1,F12,ROUND(SUM(IF(AND(EQ$9&lt;&gt;"",EQ$11&lt;&gt;""),IF(EOMONTH($EP$3+INT((DAY(EOMONTH($EP$3,0))-1)/2)+EQ$11,0)=EOMONTH($F$3,0),EQ$9*EQ$10,0),0),IF(AND(EM$9&lt;&gt;"",EM$11&lt;&gt;""),IF(EOMONTH($EL$3+INT((DAY(EOMONTH($EL$3,0))-1)/2)+EM$11,0)=EOMONTH($F$3,0),EM$9*EM$10,0),0),IF(AND(EI$9&lt;&gt;"",EI$11&lt;&gt;""),IF(EOMONTH($EH$3+INT((DAY(EOMONTH($EH$3,0))-1)/2)+EI$11,0)=EOMONTH($F$3,0),EI$9*EI$10,0),0),IF(AND(EE$9&lt;&gt;"",EE$11&lt;&gt;""),IF(EOMONTH($ED$3+INT((DAY(EOMONTH($ED$3,0))-1)/2)+EE$11,0)=EOMONTH($F$3,0),EE$9*EE$10,0),0),IF(AND(EA$9&lt;&gt;"",EA$11&lt;&gt;""),IF(EOMONTH($DZ$3+INT((DAY(EOMONTH($DZ$3,0))-1)/2)+EA$11,0)=EOMONTH($F$3,0),EA$9*EA$10,0),0),IF(AND(DW$9&lt;&gt;"",DW$11&lt;&gt;""),IF(EOMONTH($DV$3+INT((DAY(EOMONTH($DV$3,0))-1)/2)+DW$11,0)=EOMONTH($F$3,0),DW$9*DW$10,0),0),IF(AND(DS$9&lt;&gt;"",DS$11&lt;&gt;""),IF(EOMONTH($DR$3+INT((DAY(EOMONTH($DR$3,0))-1)/2)+DS$11,0)=EOMONTH($F$3,0),DS$9*DS$10,0),0),IF(AND(DO$9&lt;&gt;"",DO$11&lt;&gt;""),IF(EOMONTH($DN$3+INT((DAY(EOMONTH($DN$3,0))-1)/2)+DO$11,0)=EOMONTH($F$3,0),DO$9*DO$10,0),0),IF(AND(DK$9&lt;&gt;"",DK$11&lt;&gt;""),IF(EOMONTH($DJ$3+INT((DAY(EOMONTH($DJ$3,0))-1)/2)+DK$11,0)=EOMONTH($F$3,0),DK$9*DK$10,0),0),IF(AND(DG$9&lt;&gt;"",DG$11&lt;&gt;""),IF(EOMONTH($DF$3+INT((DAY(EOMONTH($DF$3,0))-1)/2)+DG$11,0)=EOMONTH($F$3,0),DG$9*DG$10,0),0),IF(AND(DC$9&lt;&gt;"",DC$11&lt;&gt;""),IF(EOMONTH($DB$3+INT((DAY(EOMONTH($DB$3,0))-1)/2)+DC$11,0)=EOMONTH($F$3,0),DC$9*DC$10,0),0),IF(AND(CY$9&lt;&gt;"",CY$11&lt;&gt;""),IF(EOMONTH($CX$3+INT((DAY(EOMONTH($CX$3,0))-1)/2)+CY$11,0)=EOMONTH($F$3,0),CY$9*CY$10,0),0),IF(AND(CU$9&lt;&gt;"",CU$11&lt;&gt;""),IF(EOMONTH($CT$3+INT((DAY(EOMONTH($CT$3,0))-1)/2)+CU$11,0)=EOMONTH($F$3,0),CU$9*CU$10,0),0),IF(AND(CQ$9&lt;&gt;"",CQ$11&lt;&gt;""),IF(EOMONTH($CP$3+INT((DAY(EOMONTH($CP$3,0))-1)/2)+CQ$11,0)=EOMONTH($F$3,0),CQ$9*CQ$10,0),0),IF(AND(CM$9&lt;&gt;"",CM$11&lt;&gt;""),IF(EOMONTH($CL$3+INT((DAY(EOMONTH($CL$3,0))-1)/2)+CM$11,0)=EOMONTH($F$3,0),CM$9*CM$10,0),0),IF(AND(CI$9&lt;&gt;"",CI$11&lt;&gt;""),IF(EOMONTH($CH$3+INT((DAY(EOMONTH($CH$3,0))-1)/2)+CI$11,0)=EOMONTH($F$3,0),CI$9*CI$10,0),0),IF(AND(CE$9&lt;&gt;"",CE$11&lt;&gt;""),IF(EOMONTH($CD$3+INT((DAY(EOMONTH($CD$3,0))-1)/2)+CE$11,0)=EOMONTH($F$3,0),CE$9*CE$10,0),0),IF(AND(CA$9&lt;&gt;"",CA$11&lt;&gt;""),IF(EOMONTH($BZ$3+INT((DAY(EOMONTH($BZ$3,0))-1)/2)+CA$11,0)=EOMONTH($F$3,0),CA$9*CA$10,0),0),IF(AND(BW$9&lt;&gt;"",BW$11&lt;&gt;""),IF(EOMONTH($BV$3+INT((DAY(EOMONTH($BV$3,0))-1)/2)+BW$11,0)=EOMONTH($F$3,0),BW$9*BW$10,0),0),IF(AND(BS$9&lt;&gt;"",BS$11&lt;&gt;""),IF(EOMONTH($BR$3+INT((DAY(EOMONTH($BR$3,0))-1)/2)+BS$11,0)=EOMONTH($F$3,0),BS$9*BS$10,0),0),IF(AND(BO$9&lt;&gt;"",BO$11&lt;&gt;""),IF(EOMONTH($BN$3+INT((DAY(EOMONTH($BN$3,0))-1)/2)+BO$11,0)=EOMONTH($F$3,0),BO$9*BO$10,0),0),IF(AND(BK$9&lt;&gt;"",BK$11&lt;&gt;""),IF(EOMONTH($BJ$3+INT((DAY(EOMONTH($BJ$3,0))-1)/2)+BK$11,0)=EOMONTH($F$3,0),BK$9*BK$10,0),0),IF(AND(BG$9&lt;&gt;"",BG$11&lt;&gt;""),IF(EOMONTH($BF$3+INT((DAY(EOMONTH($BF$3,0))-1)/2)+BG$11,0)=EOMONTH($F$3,0),BG$9*BG$10,0),0),IF(AND(BC$9&lt;&gt;"",BC$11&lt;&gt;""),IF(EOMONTH($BB$3+INT((DAY(EOMONTH($BB$3,0))-1)/2)+BC$11,0)=EOMONTH($F$3,0),BC$9*BC$10,0),0),IF(AND(AY$9&lt;&gt;"",AY$11&lt;&gt;""),IF(EOMONTH($AX$3+INT((DAY(EOMONTH($AX$3,0))-1)/2)+AY$11,0)=EOMONTH($F$3,0),AY$9*AY$10,0),0),IF(AND(AU$9&lt;&gt;"",AU$11&lt;&gt;""),IF(EOMONTH($AT$3+INT((DAY(EOMONTH($AT$3,0))-1)/2)+AU$11,0)=EOMONTH($F$3,0),AU$9*AU$10,0),0),IF(AND(AQ$9&lt;&gt;"",AQ$11&lt;&gt;""),IF(EOMONTH($AP$3+INT((DAY(EOMONTH($AP$3,0))-1)/2)+AQ$11,0)=EOMONTH($F$3,0),AQ$9*AQ$10,0),0),IF(AND(AM$9&lt;&gt;"",AM$11&lt;&gt;""),IF(EOMONTH($AL$3+INT((DAY(EOMONTH($AL$3,0))-1)/2)+AM$11,0)=EOMONTH($F$3,0),AM$9*AM$10,0),0),IF(AND(AI$9&lt;&gt;"",AI$11&lt;&gt;""),IF(EOMONTH($AH$3+INT((DAY(EOMONTH($AH$3,0))-1)/2)+AI$11,0)=EOMONTH($F$3,0),AI$9*AI$10,0),0),IF(AND(AE$9&lt;&gt;"",AE$11&lt;&gt;""),IF(EOMONTH($AD$3+INT((DAY(EOMONTH($AD$3,0))-1)/2)+AE$11,0)=EOMONTH($F$3,0),AE$9*AE$10,0),0),IF(AND(AA$9&lt;&gt;"",AA$11&lt;&gt;""),IF(EOMONTH($Z$3+INT((DAY(EOMONTH($Z$3,0))-1)/2)+AA$11,0)=EOMONTH($F$3,0),AA$9*AA$10,0),0),IF(AND(W$9&lt;&gt;"",W$11&lt;&gt;""),IF(EOMONTH($V$3+INT((DAY(EOMONTH($V$3,0))-1)/2)+W$11,0)=EOMONTH($F$3,0),W$9*W$10,0),0),IF(AND(S$9&lt;&gt;"",S$11&lt;&gt;""),IF(EOMONTH($R$3+INT((DAY(EOMONTH($R$3,0))-1)/2)+S$11,0)=EOMONTH($F$3,0),S$9*S$10,0),0),IF(AND(O$9&lt;&gt;"",O$11&lt;&gt;""),IF(EOMONTH($N$3+INT((DAY(EOMONTH($N$3,0))-1)/2)+O$11,0)=EOMONTH($F$3,0),O$9*O$10,0),0),IF(AND(K$9&lt;&gt;"",K$11&lt;&gt;""),IF(EOMONTH($J$3+INT((DAY(EOMONTH($J$3,0))-1)/2)+K$11,0)=EOMONTH($F$3,0),K$9*K$10,0),0),IF(AND(G$9&lt;&gt;"",G$11&lt;&gt;""),IF(EOMONTH($F$3+INT((DAY(EOMONTH($F$3,0))-1)/2)+G$11,0)=EOMONTH($F$3,0),G$9*G$10,0),0),IF($EP$75="",0,IF(EOMONTH($EP$75+EQ$11,0)=EOMONTH($F$3,0),$EP$76*EQ$10,0))),0))</f>
        <v>0</v>
      </c>
      <c r="H12" s="15">
        <f>ROUND(SUM(IF(AND(ER$9&lt;&gt;"",ER$11&lt;&gt;""),IF(EOMONTH($EP$3+INT((DAY(EOMONTH($EP$3,0))-1)/2)+ER$11,0)=EOMONTH($F$3,0),ER$9*ER$10,0),0),IF(AND(EN$9&lt;&gt;"",EN$11&lt;&gt;""),IF(EOMONTH($EL$3+INT((DAY(EOMONTH($EL$3,0))-1)/2)+EN$11,0)=EOMONTH($F$3,0),EN$9*EN$10,0),0),IF(AND(EJ$9&lt;&gt;"",EJ$11&lt;&gt;""),IF(EOMONTH($EH$3+INT((DAY(EOMONTH($EH$3,0))-1)/2)+EJ$11,0)=EOMONTH($F$3,0),EJ$9*EJ$10,0),0),IF(AND(EF$9&lt;&gt;"",EF$11&lt;&gt;""),IF(EOMONTH($ED$3+INT((DAY(EOMONTH($ED$3,0))-1)/2)+EF$11,0)=EOMONTH($F$3,0),EF$9*EF$10,0),0),IF(AND(EB$9&lt;&gt;"",EB$11&lt;&gt;""),IF(EOMONTH($DZ$3+INT((DAY(EOMONTH($DZ$3,0))-1)/2)+EB$11,0)=EOMONTH($F$3,0),EB$9*EB$10,0),0),IF(AND(DX$9&lt;&gt;"",DX$11&lt;&gt;""),IF(EOMONTH($DV$3+INT((DAY(EOMONTH($DV$3,0))-1)/2)+DX$11,0)=EOMONTH($F$3,0),DX$9*DX$10,0),0),IF(AND(DT$9&lt;&gt;"",DT$11&lt;&gt;""),IF(EOMONTH($DR$3+INT((DAY(EOMONTH($DR$3,0))-1)/2)+DT$11,0)=EOMONTH($F$3,0),DT$9*DT$10,0),0),IF(AND(DP$9&lt;&gt;"",DP$11&lt;&gt;""),IF(EOMONTH($DN$3+INT((DAY(EOMONTH($DN$3,0))-1)/2)+DP$11,0)=EOMONTH($F$3,0),DP$9*DP$10,0),0),IF(AND(DL$9&lt;&gt;"",DL$11&lt;&gt;""),IF(EOMONTH($DJ$3+INT((DAY(EOMONTH($DJ$3,0))-1)/2)+DL$11,0)=EOMONTH($F$3,0),DL$9*DL$10,0),0),IF(AND(DH$9&lt;&gt;"",DH$11&lt;&gt;""),IF(EOMONTH($DF$3+INT((DAY(EOMONTH($DF$3,0))-1)/2)+DH$11,0)=EOMONTH($F$3,0),DH$9*DH$10,0),0),IF(AND(DD$9&lt;&gt;"",DD$11&lt;&gt;""),IF(EOMONTH($DB$3+INT((DAY(EOMONTH($DB$3,0))-1)/2)+DD$11,0)=EOMONTH($F$3,0),DD$9*DD$10,0),0),IF(AND(CZ$9&lt;&gt;"",CZ$11&lt;&gt;""),IF(EOMONTH($CX$3+INT((DAY(EOMONTH($CX$3,0))-1)/2)+CZ$11,0)=EOMONTH($F$3,0),CZ$9*CZ$10,0),0),IF(AND(CV$9&lt;&gt;"",CV$11&lt;&gt;""),IF(EOMONTH($CT$3+INT((DAY(EOMONTH($CT$3,0))-1)/2)+CV$11,0)=EOMONTH($F$3,0),CV$9*CV$10,0),0),IF(AND(CR$9&lt;&gt;"",CR$11&lt;&gt;""),IF(EOMONTH($CP$3+INT((DAY(EOMONTH($CP$3,0))-1)/2)+CR$11,0)=EOMONTH($F$3,0),CR$9*CR$10,0),0),IF(AND(CN$9&lt;&gt;"",CN$11&lt;&gt;""),IF(EOMONTH($CL$3+INT((DAY(EOMONTH($CL$3,0))-1)/2)+CN$11,0)=EOMONTH($F$3,0),CN$9*CN$10,0),0),IF(AND(CJ$9&lt;&gt;"",CJ$11&lt;&gt;""),IF(EOMONTH($CH$3+INT((DAY(EOMONTH($CH$3,0))-1)/2)+CJ$11,0)=EOMONTH($F$3,0),CJ$9*CJ$10,0),0),IF(AND(CF$9&lt;&gt;"",CF$11&lt;&gt;""),IF(EOMONTH($CD$3+INT((DAY(EOMONTH($CD$3,0))-1)/2)+CF$11,0)=EOMONTH($F$3,0),CF$9*CF$10,0),0),IF(AND(CB$9&lt;&gt;"",CB$11&lt;&gt;""),IF(EOMONTH($BZ$3+INT((DAY(EOMONTH($BZ$3,0))-1)/2)+CB$11,0)=EOMONTH($F$3,0),CB$9*CB$10,0),0),IF(AND(BX$9&lt;&gt;"",BX$11&lt;&gt;""),IF(EOMONTH($BV$3+INT((DAY(EOMONTH($BV$3,0))-1)/2)+BX$11,0)=EOMONTH($F$3,0),BX$9*BX$10,0),0),IF(AND(BT$9&lt;&gt;"",BT$11&lt;&gt;""),IF(EOMONTH($BR$3+INT((DAY(EOMONTH($BR$3,0))-1)/2)+BT$11,0)=EOMONTH($F$3,0),BT$9*BT$10,0),0),IF(AND(BP$9&lt;&gt;"",BP$11&lt;&gt;""),IF(EOMONTH($BN$3+INT((DAY(EOMONTH($BN$3,0))-1)/2)+BP$11,0)=EOMONTH($F$3,0),BP$9*BP$10,0),0),IF(AND(BL$9&lt;&gt;"",BL$11&lt;&gt;""),IF(EOMONTH($BJ$3+INT((DAY(EOMONTH($BJ$3,0))-1)/2)+BL$11,0)=EOMONTH($F$3,0),BL$9*BL$10,0),0),IF(AND(BH$9&lt;&gt;"",BH$11&lt;&gt;""),IF(EOMONTH($BF$3+INT((DAY(EOMONTH($BF$3,0))-1)/2)+BH$11,0)=EOMONTH($F$3,0),BH$9*BH$10,0),0),IF(AND(BD$9&lt;&gt;"",BD$11&lt;&gt;""),IF(EOMONTH($BB$3+INT((DAY(EOMONTH($BB$3,0))-1)/2)+BD$11,0)=EOMONTH($F$3,0),BD$9*BD$10,0),0),IF(AND(AZ$9&lt;&gt;"",AZ$11&lt;&gt;""),IF(EOMONTH($AX$3+INT((DAY(EOMONTH($AX$3,0))-1)/2)+AZ$11,0)=EOMONTH($F$3,0),AZ$9*AZ$10,0),0),IF(AND(AV$9&lt;&gt;"",AV$11&lt;&gt;""),IF(EOMONTH($AT$3+INT((DAY(EOMONTH($AT$3,0))-1)/2)+AV$11,0)=EOMONTH($F$3,0),AV$9*AV$10,0),0),IF(AND(AR$9&lt;&gt;"",AR$11&lt;&gt;""),IF(EOMONTH($AP$3+INT((DAY(EOMONTH($AP$3,0))-1)/2)+AR$11,0)=EOMONTH($F$3,0),AR$9*AR$10,0),0),IF(AND(AN$9&lt;&gt;"",AN$11&lt;&gt;""),IF(EOMONTH($AL$3+INT((DAY(EOMONTH($AL$3,0))-1)/2)+AN$11,0)=EOMONTH($F$3,0),AN$9*AN$10,0),0),IF(AND(AJ$9&lt;&gt;"",AJ$11&lt;&gt;""),IF(EOMONTH($AH$3+INT((DAY(EOMONTH($AH$3,0))-1)/2)+AJ$11,0)=EOMONTH($F$3,0),AJ$9*AJ$10,0),0),IF(AND(AF$9&lt;&gt;"",AF$11&lt;&gt;""),IF(EOMONTH($AD$3+INT((DAY(EOMONTH($AD$3,0))-1)/2)+AF$11,0)=EOMONTH($F$3,0),AF$9*AF$10,0),0),IF(AND(AB$9&lt;&gt;"",AB$11&lt;&gt;""),IF(EOMONTH($Z$3+INT((DAY(EOMONTH($Z$3,0))-1)/2)+AB$11,0)=EOMONTH($F$3,0),AB$9*AB$10,0),0),IF(AND(X$9&lt;&gt;"",X$11&lt;&gt;""),IF(EOMONTH($V$3+INT((DAY(EOMONTH($V$3,0))-1)/2)+X$11,0)=EOMONTH($F$3,0),X$9*X$10,0),0),IF(AND(T$9&lt;&gt;"",T$11&lt;&gt;""),IF(EOMONTH($R$3+INT((DAY(EOMONTH($R$3,0))-1)/2)+T$11,0)=EOMONTH($F$3,0),T$9*T$10,0),0),IF(AND(P$9&lt;&gt;"",P$11&lt;&gt;""),IF(EOMONTH($N$3+INT((DAY(EOMONTH($N$3,0))-1)/2)+P$11,0)=EOMONTH($F$3,0),P$9*P$10,0),0),IF(AND(L$9&lt;&gt;"",L$11&lt;&gt;""),IF(EOMONTH($J$3+INT((DAY(EOMONTH($J$3,0))-1)/2)+L$11,0)=EOMONTH($F$3,0),L$9*L$10,0),0),IF(AND(H$9&lt;&gt;"",H$11&lt;&gt;""),IF(EOMONTH($F$3+INT((DAY(EOMONTH($F$3,0))-1)/2)+H$11,0)=EOMONTH($F$3,0),H$9*H$10,0),0),IF($EP$75="",0,IF(EOMONTH($EP$75+ER$11,0)=EOMONTH($F$3,0),$EP$76*ER$10,0))),0)</f>
        <v>0</v>
      </c>
      <c r="I12" s="16">
        <f t="shared" si="5"/>
        <v>0</v>
      </c>
      <c r="J12" s="17"/>
      <c r="K12" s="14">
        <f>IF(J$98=1,J12,ROUND(SUM(IF(AND(EQ$9&lt;&gt;"",EQ$11&lt;&gt;""),IF(EOMONTH($EP$3+INT((DAY(EOMONTH($EP$3,0))-1)/2)+EQ$11,0)=EOMONTH($J$3,0),EQ$9*EQ$10,0),0),IF(AND(EM$9&lt;&gt;"",EM$11&lt;&gt;""),IF(EOMONTH($EL$3+INT((DAY(EOMONTH($EL$3,0))-1)/2)+EM$11,0)=EOMONTH($J$3,0),EM$9*EM$10,0),0),IF(AND(EI$9&lt;&gt;"",EI$11&lt;&gt;""),IF(EOMONTH($EH$3+INT((DAY(EOMONTH($EH$3,0))-1)/2)+EI$11,0)=EOMONTH($J$3,0),EI$9*EI$10,0),0),IF(AND(EE$9&lt;&gt;"",EE$11&lt;&gt;""),IF(EOMONTH($ED$3+INT((DAY(EOMONTH($ED$3,0))-1)/2)+EE$11,0)=EOMONTH($J$3,0),EE$9*EE$10,0),0),IF(AND(EA$9&lt;&gt;"",EA$11&lt;&gt;""),IF(EOMONTH($DZ$3+INT((DAY(EOMONTH($DZ$3,0))-1)/2)+EA$11,0)=EOMONTH($J$3,0),EA$9*EA$10,0),0),IF(AND(DW$9&lt;&gt;"",DW$11&lt;&gt;""),IF(EOMONTH($DV$3+INT((DAY(EOMONTH($DV$3,0))-1)/2)+DW$11,0)=EOMONTH($J$3,0),DW$9*DW$10,0),0),IF(AND(DS$9&lt;&gt;"",DS$11&lt;&gt;""),IF(EOMONTH($DR$3+INT((DAY(EOMONTH($DR$3,0))-1)/2)+DS$11,0)=EOMONTH($J$3,0),DS$9*DS$10,0),0),IF(AND(DO$9&lt;&gt;"",DO$11&lt;&gt;""),IF(EOMONTH($DN$3+INT((DAY(EOMONTH($DN$3,0))-1)/2)+DO$11,0)=EOMONTH($J$3,0),DO$9*DO$10,0),0),IF(AND(DK$9&lt;&gt;"",DK$11&lt;&gt;""),IF(EOMONTH($DJ$3+INT((DAY(EOMONTH($DJ$3,0))-1)/2)+DK$11,0)=EOMONTH($J$3,0),DK$9*DK$10,0),0),IF(AND(DG$9&lt;&gt;"",DG$11&lt;&gt;""),IF(EOMONTH($DF$3+INT((DAY(EOMONTH($DF$3,0))-1)/2)+DG$11,0)=EOMONTH($J$3,0),DG$9*DG$10,0),0),IF(AND(DC$9&lt;&gt;"",DC$11&lt;&gt;""),IF(EOMONTH($DB$3+INT((DAY(EOMONTH($DB$3,0))-1)/2)+DC$11,0)=EOMONTH($J$3,0),DC$9*DC$10,0),0),IF(AND(CY$9&lt;&gt;"",CY$11&lt;&gt;""),IF(EOMONTH($CX$3+INT((DAY(EOMONTH($CX$3,0))-1)/2)+CY$11,0)=EOMONTH($J$3,0),CY$9*CY$10,0),0),IF(AND(CU$9&lt;&gt;"",CU$11&lt;&gt;""),IF(EOMONTH($CT$3+INT((DAY(EOMONTH($CT$3,0))-1)/2)+CU$11,0)=EOMONTH($J$3,0),CU$9*CU$10,0),0),IF(AND(CQ$9&lt;&gt;"",CQ$11&lt;&gt;""),IF(EOMONTH($CP$3+INT((DAY(EOMONTH($CP$3,0))-1)/2)+CQ$11,0)=EOMONTH($J$3,0),CQ$9*CQ$10,0),0),IF(AND(CM$9&lt;&gt;"",CM$11&lt;&gt;""),IF(EOMONTH($CL$3+INT((DAY(EOMONTH($CL$3,0))-1)/2)+CM$11,0)=EOMONTH($J$3,0),CM$9*CM$10,0),0),IF(AND(CI$9&lt;&gt;"",CI$11&lt;&gt;""),IF(EOMONTH($CH$3+INT((DAY(EOMONTH($CH$3,0))-1)/2)+CI$11,0)=EOMONTH($J$3,0),CI$9*CI$10,0),0),IF(AND(CE$9&lt;&gt;"",CE$11&lt;&gt;""),IF(EOMONTH($CD$3+INT((DAY(EOMONTH($CD$3,0))-1)/2)+CE$11,0)=EOMONTH($J$3,0),CE$9*CE$10,0),0),IF(AND(CA$9&lt;&gt;"",CA$11&lt;&gt;""),IF(EOMONTH($BZ$3+INT((DAY(EOMONTH($BZ$3,0))-1)/2)+CA$11,0)=EOMONTH($J$3,0),CA$9*CA$10,0),0),IF(AND(BW$9&lt;&gt;"",BW$11&lt;&gt;""),IF(EOMONTH($BV$3+INT((DAY(EOMONTH($BV$3,0))-1)/2)+BW$11,0)=EOMONTH($J$3,0),BW$9*BW$10,0),0),IF(AND(BS$9&lt;&gt;"",BS$11&lt;&gt;""),IF(EOMONTH($BR$3+INT((DAY(EOMONTH($BR$3,0))-1)/2)+BS$11,0)=EOMONTH($J$3,0),BS$9*BS$10,0),0),IF(AND(BO$9&lt;&gt;"",BO$11&lt;&gt;""),IF(EOMONTH($BN$3+INT((DAY(EOMONTH($BN$3,0))-1)/2)+BO$11,0)=EOMONTH($J$3,0),BO$9*BO$10,0),0),IF(AND(BK$9&lt;&gt;"",BK$11&lt;&gt;""),IF(EOMONTH($BJ$3+INT((DAY(EOMONTH($BJ$3,0))-1)/2)+BK$11,0)=EOMONTH($J$3,0),BK$9*BK$10,0),0),IF(AND(BG$9&lt;&gt;"",BG$11&lt;&gt;""),IF(EOMONTH($BF$3+INT((DAY(EOMONTH($BF$3,0))-1)/2)+BG$11,0)=EOMONTH($J$3,0),BG$9*BG$10,0),0),IF(AND(BC$9&lt;&gt;"",BC$11&lt;&gt;""),IF(EOMONTH($BB$3+INT((DAY(EOMONTH($BB$3,0))-1)/2)+BC$11,0)=EOMONTH($J$3,0),BC$9*BC$10,0),0),IF(AND(AY$9&lt;&gt;"",AY$11&lt;&gt;""),IF(EOMONTH($AX$3+INT((DAY(EOMONTH($AX$3,0))-1)/2)+AY$11,0)=EOMONTH($J$3,0),AY$9*AY$10,0),0),IF(AND(AU$9&lt;&gt;"",AU$11&lt;&gt;""),IF(EOMONTH($AT$3+INT((DAY(EOMONTH($AT$3,0))-1)/2)+AU$11,0)=EOMONTH($J$3,0),AU$9*AU$10,0),0),IF(AND(AQ$9&lt;&gt;"",AQ$11&lt;&gt;""),IF(EOMONTH($AP$3+INT((DAY(EOMONTH($AP$3,0))-1)/2)+AQ$11,0)=EOMONTH($J$3,0),AQ$9*AQ$10,0),0),IF(AND(AM$9&lt;&gt;"",AM$11&lt;&gt;""),IF(EOMONTH($AL$3+INT((DAY(EOMONTH($AL$3,0))-1)/2)+AM$11,0)=EOMONTH($J$3,0),AM$9*AM$10,0),0),IF(AND(AI$9&lt;&gt;"",AI$11&lt;&gt;""),IF(EOMONTH($AH$3+INT((DAY(EOMONTH($AH$3,0))-1)/2)+AI$11,0)=EOMONTH($J$3,0),AI$9*AI$10,0),0),IF(AND(AE$9&lt;&gt;"",AE$11&lt;&gt;""),IF(EOMONTH($AD$3+INT((DAY(EOMONTH($AD$3,0))-1)/2)+AE$11,0)=EOMONTH($J$3,0),AE$9*AE$10,0),0),IF(AND(AA$9&lt;&gt;"",AA$11&lt;&gt;""),IF(EOMONTH($Z$3+INT((DAY(EOMONTH($Z$3,0))-1)/2)+AA$11,0)=EOMONTH($J$3,0),AA$9*AA$10,0),0),IF(AND(W$9&lt;&gt;"",W$11&lt;&gt;""),IF(EOMONTH($V$3+INT((DAY(EOMONTH($V$3,0))-1)/2)+W$11,0)=EOMONTH($J$3,0),W$9*W$10,0),0),IF(AND(S$9&lt;&gt;"",S$11&lt;&gt;""),IF(EOMONTH($R$3+INT((DAY(EOMONTH($R$3,0))-1)/2)+S$11,0)=EOMONTH($J$3,0),S$9*S$10,0),0),IF(AND(O$9&lt;&gt;"",O$11&lt;&gt;""),IF(EOMONTH($N$3+INT((DAY(EOMONTH($N$3,0))-1)/2)+O$11,0)=EOMONTH($J$3,0),O$9*O$10,0),0),IF(AND(K$9&lt;&gt;"",K$11&lt;&gt;""),IF(EOMONTH($J$3+INT((DAY(EOMONTH($J$3,0))-1)/2)+K$11,0)=EOMONTH($J$3,0),K$9*K$10,0),0),IF(AND(G$9&lt;&gt;"",G$11&lt;&gt;""),IF(EOMONTH($F$3+INT((DAY(EOMONTH($F$3,0))-1)/2)+G$11,0)=EOMONTH($J$3,0),G$9*G$10,0),0),IF($EP$75="",0,IF(EOMONTH($EP$75+EQ$11,0)=EOMONTH($J$3,0),$EP$76*EQ$10,0))),0))</f>
        <v>0</v>
      </c>
      <c r="L12" s="15">
        <f>ROUND(SUM(IF(AND(ER$9&lt;&gt;"",ER$11&lt;&gt;""),IF(EOMONTH($EP$3+INT((DAY(EOMONTH($EP$3,0))-1)/2)+ER$11,0)=EOMONTH($J$3,0),ER$9*ER$10,0),0),IF(AND(EN$9&lt;&gt;"",EN$11&lt;&gt;""),IF(EOMONTH($EL$3+INT((DAY(EOMONTH($EL$3,0))-1)/2)+EN$11,0)=EOMONTH($J$3,0),EN$9*EN$10,0),0),IF(AND(EJ$9&lt;&gt;"",EJ$11&lt;&gt;""),IF(EOMONTH($EH$3+INT((DAY(EOMONTH($EH$3,0))-1)/2)+EJ$11,0)=EOMONTH($J$3,0),EJ$9*EJ$10,0),0),IF(AND(EF$9&lt;&gt;"",EF$11&lt;&gt;""),IF(EOMONTH($ED$3+INT((DAY(EOMONTH($ED$3,0))-1)/2)+EF$11,0)=EOMONTH($J$3,0),EF$9*EF$10,0),0),IF(AND(EB$9&lt;&gt;"",EB$11&lt;&gt;""),IF(EOMONTH($DZ$3+INT((DAY(EOMONTH($DZ$3,0))-1)/2)+EB$11,0)=EOMONTH($J$3,0),EB$9*EB$10,0),0),IF(AND(DX$9&lt;&gt;"",DX$11&lt;&gt;""),IF(EOMONTH($DV$3+INT((DAY(EOMONTH($DV$3,0))-1)/2)+DX$11,0)=EOMONTH($J$3,0),DX$9*DX$10,0),0),IF(AND(DT$9&lt;&gt;"",DT$11&lt;&gt;""),IF(EOMONTH($DR$3+INT((DAY(EOMONTH($DR$3,0))-1)/2)+DT$11,0)=EOMONTH($J$3,0),DT$9*DT$10,0),0),IF(AND(DP$9&lt;&gt;"",DP$11&lt;&gt;""),IF(EOMONTH($DN$3+INT((DAY(EOMONTH($DN$3,0))-1)/2)+DP$11,0)=EOMONTH($J$3,0),DP$9*DP$10,0),0),IF(AND(DL$9&lt;&gt;"",DL$11&lt;&gt;""),IF(EOMONTH($DJ$3+INT((DAY(EOMONTH($DJ$3,0))-1)/2)+DL$11,0)=EOMONTH($J$3,0),DL$9*DL$10,0),0),IF(AND(DH$9&lt;&gt;"",DH$11&lt;&gt;""),IF(EOMONTH($DF$3+INT((DAY(EOMONTH($DF$3,0))-1)/2)+DH$11,0)=EOMONTH($J$3,0),DH$9*DH$10,0),0),IF(AND(DD$9&lt;&gt;"",DD$11&lt;&gt;""),IF(EOMONTH($DB$3+INT((DAY(EOMONTH($DB$3,0))-1)/2)+DD$11,0)=EOMONTH($J$3,0),DD$9*DD$10,0),0),IF(AND(CZ$9&lt;&gt;"",CZ$11&lt;&gt;""),IF(EOMONTH($CX$3+INT((DAY(EOMONTH($CX$3,0))-1)/2)+CZ$11,0)=EOMONTH($J$3,0),CZ$9*CZ$10,0),0),IF(AND(CV$9&lt;&gt;"",CV$11&lt;&gt;""),IF(EOMONTH($CT$3+INT((DAY(EOMONTH($CT$3,0))-1)/2)+CV$11,0)=EOMONTH($J$3,0),CV$9*CV$10,0),0),IF(AND(CR$9&lt;&gt;"",CR$11&lt;&gt;""),IF(EOMONTH($CP$3+INT((DAY(EOMONTH($CP$3,0))-1)/2)+CR$11,0)=EOMONTH($J$3,0),CR$9*CR$10,0),0),IF(AND(CN$9&lt;&gt;"",CN$11&lt;&gt;""),IF(EOMONTH($CL$3+INT((DAY(EOMONTH($CL$3,0))-1)/2)+CN$11,0)=EOMONTH($J$3,0),CN$9*CN$10,0),0),IF(AND(CJ$9&lt;&gt;"",CJ$11&lt;&gt;""),IF(EOMONTH($CH$3+INT((DAY(EOMONTH($CH$3,0))-1)/2)+CJ$11,0)=EOMONTH($J$3,0),CJ$9*CJ$10,0),0),IF(AND(CF$9&lt;&gt;"",CF$11&lt;&gt;""),IF(EOMONTH($CD$3+INT((DAY(EOMONTH($CD$3,0))-1)/2)+CF$11,0)=EOMONTH($J$3,0),CF$9*CF$10,0),0),IF(AND(CB$9&lt;&gt;"",CB$11&lt;&gt;""),IF(EOMONTH($BZ$3+INT((DAY(EOMONTH($BZ$3,0))-1)/2)+CB$11,0)=EOMONTH($J$3,0),CB$9*CB$10,0),0),IF(AND(BX$9&lt;&gt;"",BX$11&lt;&gt;""),IF(EOMONTH($BV$3+INT((DAY(EOMONTH($BV$3,0))-1)/2)+BX$11,0)=EOMONTH($J$3,0),BX$9*BX$10,0),0),IF(AND(BT$9&lt;&gt;"",BT$11&lt;&gt;""),IF(EOMONTH($BR$3+INT((DAY(EOMONTH($BR$3,0))-1)/2)+BT$11,0)=EOMONTH($J$3,0),BT$9*BT$10,0),0),IF(AND(BP$9&lt;&gt;"",BP$11&lt;&gt;""),IF(EOMONTH($BN$3+INT((DAY(EOMONTH($BN$3,0))-1)/2)+BP$11,0)=EOMONTH($J$3,0),BP$9*BP$10,0),0),IF(AND(BL$9&lt;&gt;"",BL$11&lt;&gt;""),IF(EOMONTH($BJ$3+INT((DAY(EOMONTH($BJ$3,0))-1)/2)+BL$11,0)=EOMONTH($J$3,0),BL$9*BL$10,0),0),IF(AND(BH$9&lt;&gt;"",BH$11&lt;&gt;""),IF(EOMONTH($BF$3+INT((DAY(EOMONTH($BF$3,0))-1)/2)+BH$11,0)=EOMONTH($J$3,0),BH$9*BH$10,0),0),IF(AND(BD$9&lt;&gt;"",BD$11&lt;&gt;""),IF(EOMONTH($BB$3+INT((DAY(EOMONTH($BB$3,0))-1)/2)+BD$11,0)=EOMONTH($J$3,0),BD$9*BD$10,0),0),IF(AND(AZ$9&lt;&gt;"",AZ$11&lt;&gt;""),IF(EOMONTH($AX$3+INT((DAY(EOMONTH($AX$3,0))-1)/2)+AZ$11,0)=EOMONTH($J$3,0),AZ$9*AZ$10,0),0),IF(AND(AV$9&lt;&gt;"",AV$11&lt;&gt;""),IF(EOMONTH($AT$3+INT((DAY(EOMONTH($AT$3,0))-1)/2)+AV$11,0)=EOMONTH($J$3,0),AV$9*AV$10,0),0),IF(AND(AR$9&lt;&gt;"",AR$11&lt;&gt;""),IF(EOMONTH($AP$3+INT((DAY(EOMONTH($AP$3,0))-1)/2)+AR$11,0)=EOMONTH($J$3,0),AR$9*AR$10,0),0),IF(AND(AN$9&lt;&gt;"",AN$11&lt;&gt;""),IF(EOMONTH($AL$3+INT((DAY(EOMONTH($AL$3,0))-1)/2)+AN$11,0)=EOMONTH($J$3,0),AN$9*AN$10,0),0),IF(AND(AJ$9&lt;&gt;"",AJ$11&lt;&gt;""),IF(EOMONTH($AH$3+INT((DAY(EOMONTH($AH$3,0))-1)/2)+AJ$11,0)=EOMONTH($J$3,0),AJ$9*AJ$10,0),0),IF(AND(AF$9&lt;&gt;"",AF$11&lt;&gt;""),IF(EOMONTH($AD$3+INT((DAY(EOMONTH($AD$3,0))-1)/2)+AF$11,0)=EOMONTH($J$3,0),AF$9*AF$10,0),0),IF(AND(AB$9&lt;&gt;"",AB$11&lt;&gt;""),IF(EOMONTH($Z$3+INT((DAY(EOMONTH($Z$3,0))-1)/2)+AB$11,0)=EOMONTH($J$3,0),AB$9*AB$10,0),0),IF(AND(X$9&lt;&gt;"",X$11&lt;&gt;""),IF(EOMONTH($V$3+INT((DAY(EOMONTH($V$3,0))-1)/2)+X$11,0)=EOMONTH($J$3,0),X$9*X$10,0),0),IF(AND(T$9&lt;&gt;"",T$11&lt;&gt;""),IF(EOMONTH($R$3+INT((DAY(EOMONTH($R$3,0))-1)/2)+T$11,0)=EOMONTH($J$3,0),T$9*T$10,0),0),IF(AND(P$9&lt;&gt;"",P$11&lt;&gt;""),IF(EOMONTH($N$3+INT((DAY(EOMONTH($N$3,0))-1)/2)+P$11,0)=EOMONTH($J$3,0),P$9*P$10,0),0),IF(AND(L$9&lt;&gt;"",L$11&lt;&gt;""),IF(EOMONTH($J$3+INT((DAY(EOMONTH($J$3,0))-1)/2)+L$11,0)=EOMONTH($J$3,0),L$9*L$10,0),0),IF(AND(H$9&lt;&gt;"",H$11&lt;&gt;""),IF(EOMONTH($F$3+INT((DAY(EOMONTH($F$3,0))-1)/2)+H$11,0)=EOMONTH($J$3,0),H$9*H$10,0),0),IF($EP$75="",0,IF(EOMONTH($EP$75+ER$11,0)=EOMONTH($J$3,0),$EP$76*ER$10,0))),0)</f>
        <v>0</v>
      </c>
      <c r="M12" s="16">
        <f t="shared" si="7"/>
        <v>0</v>
      </c>
      <c r="N12" s="17"/>
      <c r="O12" s="14">
        <f>IF(N$98=1,N12,ROUND(SUM(IF(AND(EQ$9&lt;&gt;"",EQ$11&lt;&gt;""),IF(EOMONTH($EP$3+INT((DAY(EOMONTH($EP$3,0))-1)/2)+EQ$11,0)=EOMONTH($N$3,0),EQ$9*EQ$10,0),0),IF(AND(EM$9&lt;&gt;"",EM$11&lt;&gt;""),IF(EOMONTH($EL$3+INT((DAY(EOMONTH($EL$3,0))-1)/2)+EM$11,0)=EOMONTH($N$3,0),EM$9*EM$10,0),0),IF(AND(EI$9&lt;&gt;"",EI$11&lt;&gt;""),IF(EOMONTH($EH$3+INT((DAY(EOMONTH($EH$3,0))-1)/2)+EI$11,0)=EOMONTH($N$3,0),EI$9*EI$10,0),0),IF(AND(EE$9&lt;&gt;"",EE$11&lt;&gt;""),IF(EOMONTH($ED$3+INT((DAY(EOMONTH($ED$3,0))-1)/2)+EE$11,0)=EOMONTH($N$3,0),EE$9*EE$10,0),0),IF(AND(EA$9&lt;&gt;"",EA$11&lt;&gt;""),IF(EOMONTH($DZ$3+INT((DAY(EOMONTH($DZ$3,0))-1)/2)+EA$11,0)=EOMONTH($N$3,0),EA$9*EA$10,0),0),IF(AND(DW$9&lt;&gt;"",DW$11&lt;&gt;""),IF(EOMONTH($DV$3+INT((DAY(EOMONTH($DV$3,0))-1)/2)+DW$11,0)=EOMONTH($N$3,0),DW$9*DW$10,0),0),IF(AND(DS$9&lt;&gt;"",DS$11&lt;&gt;""),IF(EOMONTH($DR$3+INT((DAY(EOMONTH($DR$3,0))-1)/2)+DS$11,0)=EOMONTH($N$3,0),DS$9*DS$10,0),0),IF(AND(DO$9&lt;&gt;"",DO$11&lt;&gt;""),IF(EOMONTH($DN$3+INT((DAY(EOMONTH($DN$3,0))-1)/2)+DO$11,0)=EOMONTH($N$3,0),DO$9*DO$10,0),0),IF(AND(DK$9&lt;&gt;"",DK$11&lt;&gt;""),IF(EOMONTH($DJ$3+INT((DAY(EOMONTH($DJ$3,0))-1)/2)+DK$11,0)=EOMONTH($N$3,0),DK$9*DK$10,0),0),IF(AND(DG$9&lt;&gt;"",DG$11&lt;&gt;""),IF(EOMONTH($DF$3+INT((DAY(EOMONTH($DF$3,0))-1)/2)+DG$11,0)=EOMONTH($N$3,0),DG$9*DG$10,0),0),IF(AND(DC$9&lt;&gt;"",DC$11&lt;&gt;""),IF(EOMONTH($DB$3+INT((DAY(EOMONTH($DB$3,0))-1)/2)+DC$11,0)=EOMONTH($N$3,0),DC$9*DC$10,0),0),IF(AND(CY$9&lt;&gt;"",CY$11&lt;&gt;""),IF(EOMONTH($CX$3+INT((DAY(EOMONTH($CX$3,0))-1)/2)+CY$11,0)=EOMONTH($N$3,0),CY$9*CY$10,0),0),IF(AND(CU$9&lt;&gt;"",CU$11&lt;&gt;""),IF(EOMONTH($CT$3+INT((DAY(EOMONTH($CT$3,0))-1)/2)+CU$11,0)=EOMONTH($N$3,0),CU$9*CU$10,0),0),IF(AND(CQ$9&lt;&gt;"",CQ$11&lt;&gt;""),IF(EOMONTH($CP$3+INT((DAY(EOMONTH($CP$3,0))-1)/2)+CQ$11,0)=EOMONTH($N$3,0),CQ$9*CQ$10,0),0),IF(AND(CM$9&lt;&gt;"",CM$11&lt;&gt;""),IF(EOMONTH($CL$3+INT((DAY(EOMONTH($CL$3,0))-1)/2)+CM$11,0)=EOMONTH($N$3,0),CM$9*CM$10,0),0),IF(AND(CI$9&lt;&gt;"",CI$11&lt;&gt;""),IF(EOMONTH($CH$3+INT((DAY(EOMONTH($CH$3,0))-1)/2)+CI$11,0)=EOMONTH($N$3,0),CI$9*CI$10,0),0),IF(AND(CE$9&lt;&gt;"",CE$11&lt;&gt;""),IF(EOMONTH($CD$3+INT((DAY(EOMONTH($CD$3,0))-1)/2)+CE$11,0)=EOMONTH($N$3,0),CE$9*CE$10,0),0),IF(AND(CA$9&lt;&gt;"",CA$11&lt;&gt;""),IF(EOMONTH($BZ$3+INT((DAY(EOMONTH($BZ$3,0))-1)/2)+CA$11,0)=EOMONTH($N$3,0),CA$9*CA$10,0),0),IF(AND(BW$9&lt;&gt;"",BW$11&lt;&gt;""),IF(EOMONTH($BV$3+INT((DAY(EOMONTH($BV$3,0))-1)/2)+BW$11,0)=EOMONTH($N$3,0),BW$9*BW$10,0),0),IF(AND(BS$9&lt;&gt;"",BS$11&lt;&gt;""),IF(EOMONTH($BR$3+INT((DAY(EOMONTH($BR$3,0))-1)/2)+BS$11,0)=EOMONTH($N$3,0),BS$9*BS$10,0),0),IF(AND(BO$9&lt;&gt;"",BO$11&lt;&gt;""),IF(EOMONTH($BN$3+INT((DAY(EOMONTH($BN$3,0))-1)/2)+BO$11,0)=EOMONTH($N$3,0),BO$9*BO$10,0),0),IF(AND(BK$9&lt;&gt;"",BK$11&lt;&gt;""),IF(EOMONTH($BJ$3+INT((DAY(EOMONTH($BJ$3,0))-1)/2)+BK$11,0)=EOMONTH($N$3,0),BK$9*BK$10,0),0),IF(AND(BG$9&lt;&gt;"",BG$11&lt;&gt;""),IF(EOMONTH($BF$3+INT((DAY(EOMONTH($BF$3,0))-1)/2)+BG$11,0)=EOMONTH($N$3,0),BG$9*BG$10,0),0),IF(AND(BC$9&lt;&gt;"",BC$11&lt;&gt;""),IF(EOMONTH($BB$3+INT((DAY(EOMONTH($BB$3,0))-1)/2)+BC$11,0)=EOMONTH($N$3,0),BC$9*BC$10,0),0),IF(AND(AY$9&lt;&gt;"",AY$11&lt;&gt;""),IF(EOMONTH($AX$3+INT((DAY(EOMONTH($AX$3,0))-1)/2)+AY$11,0)=EOMONTH($N$3,0),AY$9*AY$10,0),0),IF(AND(AU$9&lt;&gt;"",AU$11&lt;&gt;""),IF(EOMONTH($AT$3+INT((DAY(EOMONTH($AT$3,0))-1)/2)+AU$11,0)=EOMONTH($N$3,0),AU$9*AU$10,0),0),IF(AND(AQ$9&lt;&gt;"",AQ$11&lt;&gt;""),IF(EOMONTH($AP$3+INT((DAY(EOMONTH($AP$3,0))-1)/2)+AQ$11,0)=EOMONTH($N$3,0),AQ$9*AQ$10,0),0),IF(AND(AM$9&lt;&gt;"",AM$11&lt;&gt;""),IF(EOMONTH($AL$3+INT((DAY(EOMONTH($AL$3,0))-1)/2)+AM$11,0)=EOMONTH($N$3,0),AM$9*AM$10,0),0),IF(AND(AI$9&lt;&gt;"",AI$11&lt;&gt;""),IF(EOMONTH($AH$3+INT((DAY(EOMONTH($AH$3,0))-1)/2)+AI$11,0)=EOMONTH($N$3,0),AI$9*AI$10,0),0),IF(AND(AE$9&lt;&gt;"",AE$11&lt;&gt;""),IF(EOMONTH($AD$3+INT((DAY(EOMONTH($AD$3,0))-1)/2)+AE$11,0)=EOMONTH($N$3,0),AE$9*AE$10,0),0),IF(AND(AA$9&lt;&gt;"",AA$11&lt;&gt;""),IF(EOMONTH($Z$3+INT((DAY(EOMONTH($Z$3,0))-1)/2)+AA$11,0)=EOMONTH($N$3,0),AA$9*AA$10,0),0),IF(AND(W$9&lt;&gt;"",W$11&lt;&gt;""),IF(EOMONTH($V$3+INT((DAY(EOMONTH($V$3,0))-1)/2)+W$11,0)=EOMONTH($N$3,0),W$9*W$10,0),0),IF(AND(S$9&lt;&gt;"",S$11&lt;&gt;""),IF(EOMONTH($R$3+INT((DAY(EOMONTH($R$3,0))-1)/2)+S$11,0)=EOMONTH($N$3,0),S$9*S$10,0),0),IF(AND(O$9&lt;&gt;"",O$11&lt;&gt;""),IF(EOMONTH($N$3+INT((DAY(EOMONTH($N$3,0))-1)/2)+O$11,0)=EOMONTH($N$3,0),O$9*O$10,0),0),IF(AND(K$9&lt;&gt;"",K$11&lt;&gt;""),IF(EOMONTH($J$3+INT((DAY(EOMONTH($J$3,0))-1)/2)+K$11,0)=EOMONTH($N$3,0),K$9*K$10,0),0),IF(AND(G$9&lt;&gt;"",G$11&lt;&gt;""),IF(EOMONTH($F$3+INT((DAY(EOMONTH($F$3,0))-1)/2)+G$11,0)=EOMONTH($N$3,0),G$9*G$10,0),0),IF($EP$75="",0,IF(EOMONTH($EP$75+EQ$11,0)=EOMONTH($N$3,0),$EP$76*EQ$10,0))),0))</f>
        <v>0</v>
      </c>
      <c r="P12" s="15">
        <f>ROUND(SUM(IF(AND(ER$9&lt;&gt;"",ER$11&lt;&gt;""),IF(EOMONTH($EP$3+INT((DAY(EOMONTH($EP$3,0))-1)/2)+ER$11,0)=EOMONTH($N$3,0),ER$9*ER$10,0),0),IF(AND(EN$9&lt;&gt;"",EN$11&lt;&gt;""),IF(EOMONTH($EL$3+INT((DAY(EOMONTH($EL$3,0))-1)/2)+EN$11,0)=EOMONTH($N$3,0),EN$9*EN$10,0),0),IF(AND(EJ$9&lt;&gt;"",EJ$11&lt;&gt;""),IF(EOMONTH($EH$3+INT((DAY(EOMONTH($EH$3,0))-1)/2)+EJ$11,0)=EOMONTH($N$3,0),EJ$9*EJ$10,0),0),IF(AND(EF$9&lt;&gt;"",EF$11&lt;&gt;""),IF(EOMONTH($ED$3+INT((DAY(EOMONTH($ED$3,0))-1)/2)+EF$11,0)=EOMONTH($N$3,0),EF$9*EF$10,0),0),IF(AND(EB$9&lt;&gt;"",EB$11&lt;&gt;""),IF(EOMONTH($DZ$3+INT((DAY(EOMONTH($DZ$3,0))-1)/2)+EB$11,0)=EOMONTH($N$3,0),EB$9*EB$10,0),0),IF(AND(DX$9&lt;&gt;"",DX$11&lt;&gt;""),IF(EOMONTH($DV$3+INT((DAY(EOMONTH($DV$3,0))-1)/2)+DX$11,0)=EOMONTH($N$3,0),DX$9*DX$10,0),0),IF(AND(DT$9&lt;&gt;"",DT$11&lt;&gt;""),IF(EOMONTH($DR$3+INT((DAY(EOMONTH($DR$3,0))-1)/2)+DT$11,0)=EOMONTH($N$3,0),DT$9*DT$10,0),0),IF(AND(DP$9&lt;&gt;"",DP$11&lt;&gt;""),IF(EOMONTH($DN$3+INT((DAY(EOMONTH($DN$3,0))-1)/2)+DP$11,0)=EOMONTH($N$3,0),DP$9*DP$10,0),0),IF(AND(DL$9&lt;&gt;"",DL$11&lt;&gt;""),IF(EOMONTH($DJ$3+INT((DAY(EOMONTH($DJ$3,0))-1)/2)+DL$11,0)=EOMONTH($N$3,0),DL$9*DL$10,0),0),IF(AND(DH$9&lt;&gt;"",DH$11&lt;&gt;""),IF(EOMONTH($DF$3+INT((DAY(EOMONTH($DF$3,0))-1)/2)+DH$11,0)=EOMONTH($N$3,0),DH$9*DH$10,0),0),IF(AND(DD$9&lt;&gt;"",DD$11&lt;&gt;""),IF(EOMONTH($DB$3+INT((DAY(EOMONTH($DB$3,0))-1)/2)+DD$11,0)=EOMONTH($N$3,0),DD$9*DD$10,0),0),IF(AND(CZ$9&lt;&gt;"",CZ$11&lt;&gt;""),IF(EOMONTH($CX$3+INT((DAY(EOMONTH($CX$3,0))-1)/2)+CZ$11,0)=EOMONTH($N$3,0),CZ$9*CZ$10,0),0),IF(AND(CV$9&lt;&gt;"",CV$11&lt;&gt;""),IF(EOMONTH($CT$3+INT((DAY(EOMONTH($CT$3,0))-1)/2)+CV$11,0)=EOMONTH($N$3,0),CV$9*CV$10,0),0),IF(AND(CR$9&lt;&gt;"",CR$11&lt;&gt;""),IF(EOMONTH($CP$3+INT((DAY(EOMONTH($CP$3,0))-1)/2)+CR$11,0)=EOMONTH($N$3,0),CR$9*CR$10,0),0),IF(AND(CN$9&lt;&gt;"",CN$11&lt;&gt;""),IF(EOMONTH($CL$3+INT((DAY(EOMONTH($CL$3,0))-1)/2)+CN$11,0)=EOMONTH($N$3,0),CN$9*CN$10,0),0),IF(AND(CJ$9&lt;&gt;"",CJ$11&lt;&gt;""),IF(EOMONTH($CH$3+INT((DAY(EOMONTH($CH$3,0))-1)/2)+CJ$11,0)=EOMONTH($N$3,0),CJ$9*CJ$10,0),0),IF(AND(CF$9&lt;&gt;"",CF$11&lt;&gt;""),IF(EOMONTH($CD$3+INT((DAY(EOMONTH($CD$3,0))-1)/2)+CF$11,0)=EOMONTH($N$3,0),CF$9*CF$10,0),0),IF(AND(CB$9&lt;&gt;"",CB$11&lt;&gt;""),IF(EOMONTH($BZ$3+INT((DAY(EOMONTH($BZ$3,0))-1)/2)+CB$11,0)=EOMONTH($N$3,0),CB$9*CB$10,0),0),IF(AND(BX$9&lt;&gt;"",BX$11&lt;&gt;""),IF(EOMONTH($BV$3+INT((DAY(EOMONTH($BV$3,0))-1)/2)+BX$11,0)=EOMONTH($N$3,0),BX$9*BX$10,0),0),IF(AND(BT$9&lt;&gt;"",BT$11&lt;&gt;""),IF(EOMONTH($BR$3+INT((DAY(EOMONTH($BR$3,0))-1)/2)+BT$11,0)=EOMONTH($N$3,0),BT$9*BT$10,0),0),IF(AND(BP$9&lt;&gt;"",BP$11&lt;&gt;""),IF(EOMONTH($BN$3+INT((DAY(EOMONTH($BN$3,0))-1)/2)+BP$11,0)=EOMONTH($N$3,0),BP$9*BP$10,0),0),IF(AND(BL$9&lt;&gt;"",BL$11&lt;&gt;""),IF(EOMONTH($BJ$3+INT((DAY(EOMONTH($BJ$3,0))-1)/2)+BL$11,0)=EOMONTH($N$3,0),BL$9*BL$10,0),0),IF(AND(BH$9&lt;&gt;"",BH$11&lt;&gt;""),IF(EOMONTH($BF$3+INT((DAY(EOMONTH($BF$3,0))-1)/2)+BH$11,0)=EOMONTH($N$3,0),BH$9*BH$10,0),0),IF(AND(BD$9&lt;&gt;"",BD$11&lt;&gt;""),IF(EOMONTH($BB$3+INT((DAY(EOMONTH($BB$3,0))-1)/2)+BD$11,0)=EOMONTH($N$3,0),BD$9*BD$10,0),0),IF(AND(AZ$9&lt;&gt;"",AZ$11&lt;&gt;""),IF(EOMONTH($AX$3+INT((DAY(EOMONTH($AX$3,0))-1)/2)+AZ$11,0)=EOMONTH($N$3,0),AZ$9*AZ$10,0),0),IF(AND(AV$9&lt;&gt;"",AV$11&lt;&gt;""),IF(EOMONTH($AT$3+INT((DAY(EOMONTH($AT$3,0))-1)/2)+AV$11,0)=EOMONTH($N$3,0),AV$9*AV$10,0),0),IF(AND(AR$9&lt;&gt;"",AR$11&lt;&gt;""),IF(EOMONTH($AP$3+INT((DAY(EOMONTH($AP$3,0))-1)/2)+AR$11,0)=EOMONTH($N$3,0),AR$9*AR$10,0),0),IF(AND(AN$9&lt;&gt;"",AN$11&lt;&gt;""),IF(EOMONTH($AL$3+INT((DAY(EOMONTH($AL$3,0))-1)/2)+AN$11,0)=EOMONTH($N$3,0),AN$9*AN$10,0),0),IF(AND(AJ$9&lt;&gt;"",AJ$11&lt;&gt;""),IF(EOMONTH($AH$3+INT((DAY(EOMONTH($AH$3,0))-1)/2)+AJ$11,0)=EOMONTH($N$3,0),AJ$9*AJ$10,0),0),IF(AND(AF$9&lt;&gt;"",AF$11&lt;&gt;""),IF(EOMONTH($AD$3+INT((DAY(EOMONTH($AD$3,0))-1)/2)+AF$11,0)=EOMONTH($N$3,0),AF$9*AF$10,0),0),IF(AND(AB$9&lt;&gt;"",AB$11&lt;&gt;""),IF(EOMONTH($Z$3+INT((DAY(EOMONTH($Z$3,0))-1)/2)+AB$11,0)=EOMONTH($N$3,0),AB$9*AB$10,0),0),IF(AND(X$9&lt;&gt;"",X$11&lt;&gt;""),IF(EOMONTH($V$3+INT((DAY(EOMONTH($V$3,0))-1)/2)+X$11,0)=EOMONTH($N$3,0),X$9*X$10,0),0),IF(AND(T$9&lt;&gt;"",T$11&lt;&gt;""),IF(EOMONTH($R$3+INT((DAY(EOMONTH($R$3,0))-1)/2)+T$11,0)=EOMONTH($N$3,0),T$9*T$10,0),0),IF(AND(P$9&lt;&gt;"",P$11&lt;&gt;""),IF(EOMONTH($N$3+INT((DAY(EOMONTH($N$3,0))-1)/2)+P$11,0)=EOMONTH($N$3,0),P$9*P$10,0),0),IF(AND(L$9&lt;&gt;"",L$11&lt;&gt;""),IF(EOMONTH($J$3+INT((DAY(EOMONTH($J$3,0))-1)/2)+L$11,0)=EOMONTH($N$3,0),L$9*L$10,0),0),IF(AND(H$9&lt;&gt;"",H$11&lt;&gt;""),IF(EOMONTH($F$3+INT((DAY(EOMONTH($F$3,0))-1)/2)+H$11,0)=EOMONTH($N$3,0),H$9*H$10,0),0),IF($EP$75="",0,IF(EOMONTH($EP$75+ER$11,0)=EOMONTH($N$3,0),$EP$76*ER$10,0))),0)</f>
        <v>0</v>
      </c>
      <c r="Q12" s="16">
        <f t="shared" si="9"/>
        <v>0</v>
      </c>
      <c r="R12" s="17"/>
      <c r="S12" s="14">
        <f>IF(R$98=1,R12,ROUND(SUM(IF(AND(EQ$9&lt;&gt;"",EQ$11&lt;&gt;""),IF(EOMONTH($EP$3+INT((DAY(EOMONTH($EP$3,0))-1)/2)+EQ$11,0)=EOMONTH($R$3,0),EQ$9*EQ$10,0),0),IF(AND(EM$9&lt;&gt;"",EM$11&lt;&gt;""),IF(EOMONTH($EL$3+INT((DAY(EOMONTH($EL$3,0))-1)/2)+EM$11,0)=EOMONTH($R$3,0),EM$9*EM$10,0),0),IF(AND(EI$9&lt;&gt;"",EI$11&lt;&gt;""),IF(EOMONTH($EH$3+INT((DAY(EOMONTH($EH$3,0))-1)/2)+EI$11,0)=EOMONTH($R$3,0),EI$9*EI$10,0),0),IF(AND(EE$9&lt;&gt;"",EE$11&lt;&gt;""),IF(EOMONTH($ED$3+INT((DAY(EOMONTH($ED$3,0))-1)/2)+EE$11,0)=EOMONTH($R$3,0),EE$9*EE$10,0),0),IF(AND(EA$9&lt;&gt;"",EA$11&lt;&gt;""),IF(EOMONTH($DZ$3+INT((DAY(EOMONTH($DZ$3,0))-1)/2)+EA$11,0)=EOMONTH($R$3,0),EA$9*EA$10,0),0),IF(AND(DW$9&lt;&gt;"",DW$11&lt;&gt;""),IF(EOMONTH($DV$3+INT((DAY(EOMONTH($DV$3,0))-1)/2)+DW$11,0)=EOMONTH($R$3,0),DW$9*DW$10,0),0),IF(AND(DS$9&lt;&gt;"",DS$11&lt;&gt;""),IF(EOMONTH($DR$3+INT((DAY(EOMONTH($DR$3,0))-1)/2)+DS$11,0)=EOMONTH($R$3,0),DS$9*DS$10,0),0),IF(AND(DO$9&lt;&gt;"",DO$11&lt;&gt;""),IF(EOMONTH($DN$3+INT((DAY(EOMONTH($DN$3,0))-1)/2)+DO$11,0)=EOMONTH($R$3,0),DO$9*DO$10,0),0),IF(AND(DK$9&lt;&gt;"",DK$11&lt;&gt;""),IF(EOMONTH($DJ$3+INT((DAY(EOMONTH($DJ$3,0))-1)/2)+DK$11,0)=EOMONTH($R$3,0),DK$9*DK$10,0),0),IF(AND(DG$9&lt;&gt;"",DG$11&lt;&gt;""),IF(EOMONTH($DF$3+INT((DAY(EOMONTH($DF$3,0))-1)/2)+DG$11,0)=EOMONTH($R$3,0),DG$9*DG$10,0),0),IF(AND(DC$9&lt;&gt;"",DC$11&lt;&gt;""),IF(EOMONTH($DB$3+INT((DAY(EOMONTH($DB$3,0))-1)/2)+DC$11,0)=EOMONTH($R$3,0),DC$9*DC$10,0),0),IF(AND(CY$9&lt;&gt;"",CY$11&lt;&gt;""),IF(EOMONTH($CX$3+INT((DAY(EOMONTH($CX$3,0))-1)/2)+CY$11,0)=EOMONTH($R$3,0),CY$9*CY$10,0),0),IF(AND(CU$9&lt;&gt;"",CU$11&lt;&gt;""),IF(EOMONTH($CT$3+INT((DAY(EOMONTH($CT$3,0))-1)/2)+CU$11,0)=EOMONTH($R$3,0),CU$9*CU$10,0),0),IF(AND(CQ$9&lt;&gt;"",CQ$11&lt;&gt;""),IF(EOMONTH($CP$3+INT((DAY(EOMONTH($CP$3,0))-1)/2)+CQ$11,0)=EOMONTH($R$3,0),CQ$9*CQ$10,0),0),IF(AND(CM$9&lt;&gt;"",CM$11&lt;&gt;""),IF(EOMONTH($CL$3+INT((DAY(EOMONTH($CL$3,0))-1)/2)+CM$11,0)=EOMONTH($R$3,0),CM$9*CM$10,0),0),IF(AND(CI$9&lt;&gt;"",CI$11&lt;&gt;""),IF(EOMONTH($CH$3+INT((DAY(EOMONTH($CH$3,0))-1)/2)+CI$11,0)=EOMONTH($R$3,0),CI$9*CI$10,0),0),IF(AND(CE$9&lt;&gt;"",CE$11&lt;&gt;""),IF(EOMONTH($CD$3+INT((DAY(EOMONTH($CD$3,0))-1)/2)+CE$11,0)=EOMONTH($R$3,0),CE$9*CE$10,0),0),IF(AND(CA$9&lt;&gt;"",CA$11&lt;&gt;""),IF(EOMONTH($BZ$3+INT((DAY(EOMONTH($BZ$3,0))-1)/2)+CA$11,0)=EOMONTH($R$3,0),CA$9*CA$10,0),0),IF(AND(BW$9&lt;&gt;"",BW$11&lt;&gt;""),IF(EOMONTH($BV$3+INT((DAY(EOMONTH($BV$3,0))-1)/2)+BW$11,0)=EOMONTH($R$3,0),BW$9*BW$10,0),0),IF(AND(BS$9&lt;&gt;"",BS$11&lt;&gt;""),IF(EOMONTH($BR$3+INT((DAY(EOMONTH($BR$3,0))-1)/2)+BS$11,0)=EOMONTH($R$3,0),BS$9*BS$10,0),0),IF(AND(BO$9&lt;&gt;"",BO$11&lt;&gt;""),IF(EOMONTH($BN$3+INT((DAY(EOMONTH($BN$3,0))-1)/2)+BO$11,0)=EOMONTH($R$3,0),BO$9*BO$10,0),0),IF(AND(BK$9&lt;&gt;"",BK$11&lt;&gt;""),IF(EOMONTH($BJ$3+INT((DAY(EOMONTH($BJ$3,0))-1)/2)+BK$11,0)=EOMONTH($R$3,0),BK$9*BK$10,0),0),IF(AND(BG$9&lt;&gt;"",BG$11&lt;&gt;""),IF(EOMONTH($BF$3+INT((DAY(EOMONTH($BF$3,0))-1)/2)+BG$11,0)=EOMONTH($R$3,0),BG$9*BG$10,0),0),IF(AND(BC$9&lt;&gt;"",BC$11&lt;&gt;""),IF(EOMONTH($BB$3+INT((DAY(EOMONTH($BB$3,0))-1)/2)+BC$11,0)=EOMONTH($R$3,0),BC$9*BC$10,0),0),IF(AND(AY$9&lt;&gt;"",AY$11&lt;&gt;""),IF(EOMONTH($AX$3+INT((DAY(EOMONTH($AX$3,0))-1)/2)+AY$11,0)=EOMONTH($R$3,0),AY$9*AY$10,0),0),IF(AND(AU$9&lt;&gt;"",AU$11&lt;&gt;""),IF(EOMONTH($AT$3+INT((DAY(EOMONTH($AT$3,0))-1)/2)+AU$11,0)=EOMONTH($R$3,0),AU$9*AU$10,0),0),IF(AND(AQ$9&lt;&gt;"",AQ$11&lt;&gt;""),IF(EOMONTH($AP$3+INT((DAY(EOMONTH($AP$3,0))-1)/2)+AQ$11,0)=EOMONTH($R$3,0),AQ$9*AQ$10,0),0),IF(AND(AM$9&lt;&gt;"",AM$11&lt;&gt;""),IF(EOMONTH($AL$3+INT((DAY(EOMONTH($AL$3,0))-1)/2)+AM$11,0)=EOMONTH($R$3,0),AM$9*AM$10,0),0),IF(AND(AI$9&lt;&gt;"",AI$11&lt;&gt;""),IF(EOMONTH($AH$3+INT((DAY(EOMONTH($AH$3,0))-1)/2)+AI$11,0)=EOMONTH($R$3,0),AI$9*AI$10,0),0),IF(AND(AE$9&lt;&gt;"",AE$11&lt;&gt;""),IF(EOMONTH($AD$3+INT((DAY(EOMONTH($AD$3,0))-1)/2)+AE$11,0)=EOMONTH($R$3,0),AE$9*AE$10,0),0),IF(AND(AA$9&lt;&gt;"",AA$11&lt;&gt;""),IF(EOMONTH($Z$3+INT((DAY(EOMONTH($Z$3,0))-1)/2)+AA$11,0)=EOMONTH($R$3,0),AA$9*AA$10,0),0),IF(AND(W$9&lt;&gt;"",W$11&lt;&gt;""),IF(EOMONTH($V$3+INT((DAY(EOMONTH($V$3,0))-1)/2)+W$11,0)=EOMONTH($R$3,0),W$9*W$10,0),0),IF(AND(S$9&lt;&gt;"",S$11&lt;&gt;""),IF(EOMONTH($R$3+INT((DAY(EOMONTH($R$3,0))-1)/2)+S$11,0)=EOMONTH($R$3,0),S$9*S$10,0),0),IF(AND(O$9&lt;&gt;"",O$11&lt;&gt;""),IF(EOMONTH($N$3+INT((DAY(EOMONTH($N$3,0))-1)/2)+O$11,0)=EOMONTH($R$3,0),O$9*O$10,0),0),IF(AND(K$9&lt;&gt;"",K$11&lt;&gt;""),IF(EOMONTH($J$3+INT((DAY(EOMONTH($J$3,0))-1)/2)+K$11,0)=EOMONTH($R$3,0),K$9*K$10,0),0),IF(AND(G$9&lt;&gt;"",G$11&lt;&gt;""),IF(EOMONTH($F$3+INT((DAY(EOMONTH($F$3,0))-1)/2)+G$11,0)=EOMONTH($R$3,0),G$9*G$10,0),0),IF($EP$75="",0,IF(EOMONTH($EP$75+EQ$11,0)=EOMONTH($R$3,0),$EP$76*EQ$10,0))),0))</f>
        <v>0</v>
      </c>
      <c r="T12" s="15">
        <f>ROUND(SUM(IF(AND(ER$9&lt;&gt;"",ER$11&lt;&gt;""),IF(EOMONTH($EP$3+INT((DAY(EOMONTH($EP$3,0))-1)/2)+ER$11,0)=EOMONTH($R$3,0),ER$9*ER$10,0),0),IF(AND(EN$9&lt;&gt;"",EN$11&lt;&gt;""),IF(EOMONTH($EL$3+INT((DAY(EOMONTH($EL$3,0))-1)/2)+EN$11,0)=EOMONTH($R$3,0),EN$9*EN$10,0),0),IF(AND(EJ$9&lt;&gt;"",EJ$11&lt;&gt;""),IF(EOMONTH($EH$3+INT((DAY(EOMONTH($EH$3,0))-1)/2)+EJ$11,0)=EOMONTH($R$3,0),EJ$9*EJ$10,0),0),IF(AND(EF$9&lt;&gt;"",EF$11&lt;&gt;""),IF(EOMONTH($ED$3+INT((DAY(EOMONTH($ED$3,0))-1)/2)+EF$11,0)=EOMONTH($R$3,0),EF$9*EF$10,0),0),IF(AND(EB$9&lt;&gt;"",EB$11&lt;&gt;""),IF(EOMONTH($DZ$3+INT((DAY(EOMONTH($DZ$3,0))-1)/2)+EB$11,0)=EOMONTH($R$3,0),EB$9*EB$10,0),0),IF(AND(DX$9&lt;&gt;"",DX$11&lt;&gt;""),IF(EOMONTH($DV$3+INT((DAY(EOMONTH($DV$3,0))-1)/2)+DX$11,0)=EOMONTH($R$3,0),DX$9*DX$10,0),0),IF(AND(DT$9&lt;&gt;"",DT$11&lt;&gt;""),IF(EOMONTH($DR$3+INT((DAY(EOMONTH($DR$3,0))-1)/2)+DT$11,0)=EOMONTH($R$3,0),DT$9*DT$10,0),0),IF(AND(DP$9&lt;&gt;"",DP$11&lt;&gt;""),IF(EOMONTH($DN$3+INT((DAY(EOMONTH($DN$3,0))-1)/2)+DP$11,0)=EOMONTH($R$3,0),DP$9*DP$10,0),0),IF(AND(DL$9&lt;&gt;"",DL$11&lt;&gt;""),IF(EOMONTH($DJ$3+INT((DAY(EOMONTH($DJ$3,0))-1)/2)+DL$11,0)=EOMONTH($R$3,0),DL$9*DL$10,0),0),IF(AND(DH$9&lt;&gt;"",DH$11&lt;&gt;""),IF(EOMONTH($DF$3+INT((DAY(EOMONTH($DF$3,0))-1)/2)+DH$11,0)=EOMONTH($R$3,0),DH$9*DH$10,0),0),IF(AND(DD$9&lt;&gt;"",DD$11&lt;&gt;""),IF(EOMONTH($DB$3+INT((DAY(EOMONTH($DB$3,0))-1)/2)+DD$11,0)=EOMONTH($R$3,0),DD$9*DD$10,0),0),IF(AND(CZ$9&lt;&gt;"",CZ$11&lt;&gt;""),IF(EOMONTH($CX$3+INT((DAY(EOMONTH($CX$3,0))-1)/2)+CZ$11,0)=EOMONTH($R$3,0),CZ$9*CZ$10,0),0),IF(AND(CV$9&lt;&gt;"",CV$11&lt;&gt;""),IF(EOMONTH($CT$3+INT((DAY(EOMONTH($CT$3,0))-1)/2)+CV$11,0)=EOMONTH($R$3,0),CV$9*CV$10,0),0),IF(AND(CR$9&lt;&gt;"",CR$11&lt;&gt;""),IF(EOMONTH($CP$3+INT((DAY(EOMONTH($CP$3,0))-1)/2)+CR$11,0)=EOMONTH($R$3,0),CR$9*CR$10,0),0),IF(AND(CN$9&lt;&gt;"",CN$11&lt;&gt;""),IF(EOMONTH($CL$3+INT((DAY(EOMONTH($CL$3,0))-1)/2)+CN$11,0)=EOMONTH($R$3,0),CN$9*CN$10,0),0),IF(AND(CJ$9&lt;&gt;"",CJ$11&lt;&gt;""),IF(EOMONTH($CH$3+INT((DAY(EOMONTH($CH$3,0))-1)/2)+CJ$11,0)=EOMONTH($R$3,0),CJ$9*CJ$10,0),0),IF(AND(CF$9&lt;&gt;"",CF$11&lt;&gt;""),IF(EOMONTH($CD$3+INT((DAY(EOMONTH($CD$3,0))-1)/2)+CF$11,0)=EOMONTH($R$3,0),CF$9*CF$10,0),0),IF(AND(CB$9&lt;&gt;"",CB$11&lt;&gt;""),IF(EOMONTH($BZ$3+INT((DAY(EOMONTH($BZ$3,0))-1)/2)+CB$11,0)=EOMONTH($R$3,0),CB$9*CB$10,0),0),IF(AND(BX$9&lt;&gt;"",BX$11&lt;&gt;""),IF(EOMONTH($BV$3+INT((DAY(EOMONTH($BV$3,0))-1)/2)+BX$11,0)=EOMONTH($R$3,0),BX$9*BX$10,0),0),IF(AND(BT$9&lt;&gt;"",BT$11&lt;&gt;""),IF(EOMONTH($BR$3+INT((DAY(EOMONTH($BR$3,0))-1)/2)+BT$11,0)=EOMONTH($R$3,0),BT$9*BT$10,0),0),IF(AND(BP$9&lt;&gt;"",BP$11&lt;&gt;""),IF(EOMONTH($BN$3+INT((DAY(EOMONTH($BN$3,0))-1)/2)+BP$11,0)=EOMONTH($R$3,0),BP$9*BP$10,0),0),IF(AND(BL$9&lt;&gt;"",BL$11&lt;&gt;""),IF(EOMONTH($BJ$3+INT((DAY(EOMONTH($BJ$3,0))-1)/2)+BL$11,0)=EOMONTH($R$3,0),BL$9*BL$10,0),0),IF(AND(BH$9&lt;&gt;"",BH$11&lt;&gt;""),IF(EOMONTH($BF$3+INT((DAY(EOMONTH($BF$3,0))-1)/2)+BH$11,0)=EOMONTH($R$3,0),BH$9*BH$10,0),0),IF(AND(BD$9&lt;&gt;"",BD$11&lt;&gt;""),IF(EOMONTH($BB$3+INT((DAY(EOMONTH($BB$3,0))-1)/2)+BD$11,0)=EOMONTH($R$3,0),BD$9*BD$10,0),0),IF(AND(AZ$9&lt;&gt;"",AZ$11&lt;&gt;""),IF(EOMONTH($AX$3+INT((DAY(EOMONTH($AX$3,0))-1)/2)+AZ$11,0)=EOMONTH($R$3,0),AZ$9*AZ$10,0),0),IF(AND(AV$9&lt;&gt;"",AV$11&lt;&gt;""),IF(EOMONTH($AT$3+INT((DAY(EOMONTH($AT$3,0))-1)/2)+AV$11,0)=EOMONTH($R$3,0),AV$9*AV$10,0),0),IF(AND(AR$9&lt;&gt;"",AR$11&lt;&gt;""),IF(EOMONTH($AP$3+INT((DAY(EOMONTH($AP$3,0))-1)/2)+AR$11,0)=EOMONTH($R$3,0),AR$9*AR$10,0),0),IF(AND(AN$9&lt;&gt;"",AN$11&lt;&gt;""),IF(EOMONTH($AL$3+INT((DAY(EOMONTH($AL$3,0))-1)/2)+AN$11,0)=EOMONTH($R$3,0),AN$9*AN$10,0),0),IF(AND(AJ$9&lt;&gt;"",AJ$11&lt;&gt;""),IF(EOMONTH($AH$3+INT((DAY(EOMONTH($AH$3,0))-1)/2)+AJ$11,0)=EOMONTH($R$3,0),AJ$9*AJ$10,0),0),IF(AND(AF$9&lt;&gt;"",AF$11&lt;&gt;""),IF(EOMONTH($AD$3+INT((DAY(EOMONTH($AD$3,0))-1)/2)+AF$11,0)=EOMONTH($R$3,0),AF$9*AF$10,0),0),IF(AND(AB$9&lt;&gt;"",AB$11&lt;&gt;""),IF(EOMONTH($Z$3+INT((DAY(EOMONTH($Z$3,0))-1)/2)+AB$11,0)=EOMONTH($R$3,0),AB$9*AB$10,0),0),IF(AND(X$9&lt;&gt;"",X$11&lt;&gt;""),IF(EOMONTH($V$3+INT((DAY(EOMONTH($V$3,0))-1)/2)+X$11,0)=EOMONTH($R$3,0),X$9*X$10,0),0),IF(AND(T$9&lt;&gt;"",T$11&lt;&gt;""),IF(EOMONTH($R$3+INT((DAY(EOMONTH($R$3,0))-1)/2)+T$11,0)=EOMONTH($R$3,0),T$9*T$10,0),0),IF(AND(P$9&lt;&gt;"",P$11&lt;&gt;""),IF(EOMONTH($N$3+INT((DAY(EOMONTH($N$3,0))-1)/2)+P$11,0)=EOMONTH($R$3,0),P$9*P$10,0),0),IF(AND(L$9&lt;&gt;"",L$11&lt;&gt;""),IF(EOMONTH($J$3+INT((DAY(EOMONTH($J$3,0))-1)/2)+L$11,0)=EOMONTH($R$3,0),L$9*L$10,0),0),IF(AND(H$9&lt;&gt;"",H$11&lt;&gt;""),IF(EOMONTH($F$3+INT((DAY(EOMONTH($F$3,0))-1)/2)+H$11,0)=EOMONTH($R$3,0),H$9*H$10,0),0),IF($EP$75="",0,IF(EOMONTH($EP$75+ER$11,0)=EOMONTH($R$3,0),$EP$76*ER$10,0))),0)</f>
        <v>0</v>
      </c>
      <c r="U12" s="16">
        <f t="shared" si="11"/>
        <v>0</v>
      </c>
      <c r="V12" s="17"/>
      <c r="W12" s="14">
        <f>IF(V$98=1,V12,ROUND(SUM(IF(AND(EQ$9&lt;&gt;"",EQ$11&lt;&gt;""),IF(EOMONTH($EP$3+INT((DAY(EOMONTH($EP$3,0))-1)/2)+EQ$11,0)=EOMONTH($V$3,0),EQ$9*EQ$10,0),0),IF(AND(EM$9&lt;&gt;"",EM$11&lt;&gt;""),IF(EOMONTH($EL$3+INT((DAY(EOMONTH($EL$3,0))-1)/2)+EM$11,0)=EOMONTH($V$3,0),EM$9*EM$10,0),0),IF(AND(EI$9&lt;&gt;"",EI$11&lt;&gt;""),IF(EOMONTH($EH$3+INT((DAY(EOMONTH($EH$3,0))-1)/2)+EI$11,0)=EOMONTH($V$3,0),EI$9*EI$10,0),0),IF(AND(EE$9&lt;&gt;"",EE$11&lt;&gt;""),IF(EOMONTH($ED$3+INT((DAY(EOMONTH($ED$3,0))-1)/2)+EE$11,0)=EOMONTH($V$3,0),EE$9*EE$10,0),0),IF(AND(EA$9&lt;&gt;"",EA$11&lt;&gt;""),IF(EOMONTH($DZ$3+INT((DAY(EOMONTH($DZ$3,0))-1)/2)+EA$11,0)=EOMONTH($V$3,0),EA$9*EA$10,0),0),IF(AND(DW$9&lt;&gt;"",DW$11&lt;&gt;""),IF(EOMONTH($DV$3+INT((DAY(EOMONTH($DV$3,0))-1)/2)+DW$11,0)=EOMONTH($V$3,0),DW$9*DW$10,0),0),IF(AND(DS$9&lt;&gt;"",DS$11&lt;&gt;""),IF(EOMONTH($DR$3+INT((DAY(EOMONTH($DR$3,0))-1)/2)+DS$11,0)=EOMONTH($V$3,0),DS$9*DS$10,0),0),IF(AND(DO$9&lt;&gt;"",DO$11&lt;&gt;""),IF(EOMONTH($DN$3+INT((DAY(EOMONTH($DN$3,0))-1)/2)+DO$11,0)=EOMONTH($V$3,0),DO$9*DO$10,0),0),IF(AND(DK$9&lt;&gt;"",DK$11&lt;&gt;""),IF(EOMONTH($DJ$3+INT((DAY(EOMONTH($DJ$3,0))-1)/2)+DK$11,0)=EOMONTH($V$3,0),DK$9*DK$10,0),0),IF(AND(DG$9&lt;&gt;"",DG$11&lt;&gt;""),IF(EOMONTH($DF$3+INT((DAY(EOMONTH($DF$3,0))-1)/2)+DG$11,0)=EOMONTH($V$3,0),DG$9*DG$10,0),0),IF(AND(DC$9&lt;&gt;"",DC$11&lt;&gt;""),IF(EOMONTH($DB$3+INT((DAY(EOMONTH($DB$3,0))-1)/2)+DC$11,0)=EOMONTH($V$3,0),DC$9*DC$10,0),0),IF(AND(CY$9&lt;&gt;"",CY$11&lt;&gt;""),IF(EOMONTH($CX$3+INT((DAY(EOMONTH($CX$3,0))-1)/2)+CY$11,0)=EOMONTH($V$3,0),CY$9*CY$10,0),0),IF(AND(CU$9&lt;&gt;"",CU$11&lt;&gt;""),IF(EOMONTH($CT$3+INT((DAY(EOMONTH($CT$3,0))-1)/2)+CU$11,0)=EOMONTH($V$3,0),CU$9*CU$10,0),0),IF(AND(CQ$9&lt;&gt;"",CQ$11&lt;&gt;""),IF(EOMONTH($CP$3+INT((DAY(EOMONTH($CP$3,0))-1)/2)+CQ$11,0)=EOMONTH($V$3,0),CQ$9*CQ$10,0),0),IF(AND(CM$9&lt;&gt;"",CM$11&lt;&gt;""),IF(EOMONTH($CL$3+INT((DAY(EOMONTH($CL$3,0))-1)/2)+CM$11,0)=EOMONTH($V$3,0),CM$9*CM$10,0),0),IF(AND(CI$9&lt;&gt;"",CI$11&lt;&gt;""),IF(EOMONTH($CH$3+INT((DAY(EOMONTH($CH$3,0))-1)/2)+CI$11,0)=EOMONTH($V$3,0),CI$9*CI$10,0),0),IF(AND(CE$9&lt;&gt;"",CE$11&lt;&gt;""),IF(EOMONTH($CD$3+INT((DAY(EOMONTH($CD$3,0))-1)/2)+CE$11,0)=EOMONTH($V$3,0),CE$9*CE$10,0),0),IF(AND(CA$9&lt;&gt;"",CA$11&lt;&gt;""),IF(EOMONTH($BZ$3+INT((DAY(EOMONTH($BZ$3,0))-1)/2)+CA$11,0)=EOMONTH($V$3,0),CA$9*CA$10,0),0),IF(AND(BW$9&lt;&gt;"",BW$11&lt;&gt;""),IF(EOMONTH($BV$3+INT((DAY(EOMONTH($BV$3,0))-1)/2)+BW$11,0)=EOMONTH($V$3,0),BW$9*BW$10,0),0),IF(AND(BS$9&lt;&gt;"",BS$11&lt;&gt;""),IF(EOMONTH($BR$3+INT((DAY(EOMONTH($BR$3,0))-1)/2)+BS$11,0)=EOMONTH($V$3,0),BS$9*BS$10,0),0),IF(AND(BO$9&lt;&gt;"",BO$11&lt;&gt;""),IF(EOMONTH($BN$3+INT((DAY(EOMONTH($BN$3,0))-1)/2)+BO$11,0)=EOMONTH($V$3,0),BO$9*BO$10,0),0),IF(AND(BK$9&lt;&gt;"",BK$11&lt;&gt;""),IF(EOMONTH($BJ$3+INT((DAY(EOMONTH($BJ$3,0))-1)/2)+BK$11,0)=EOMONTH($V$3,0),BK$9*BK$10,0),0),IF(AND(BG$9&lt;&gt;"",BG$11&lt;&gt;""),IF(EOMONTH($BF$3+INT((DAY(EOMONTH($BF$3,0))-1)/2)+BG$11,0)=EOMONTH($V$3,0),BG$9*BG$10,0),0),IF(AND(BC$9&lt;&gt;"",BC$11&lt;&gt;""),IF(EOMONTH($BB$3+INT((DAY(EOMONTH($BB$3,0))-1)/2)+BC$11,0)=EOMONTH($V$3,0),BC$9*BC$10,0),0),IF(AND(AY$9&lt;&gt;"",AY$11&lt;&gt;""),IF(EOMONTH($AX$3+INT((DAY(EOMONTH($AX$3,0))-1)/2)+AY$11,0)=EOMONTH($V$3,0),AY$9*AY$10,0),0),IF(AND(AU$9&lt;&gt;"",AU$11&lt;&gt;""),IF(EOMONTH($AT$3+INT((DAY(EOMONTH($AT$3,0))-1)/2)+AU$11,0)=EOMONTH($V$3,0),AU$9*AU$10,0),0),IF(AND(AQ$9&lt;&gt;"",AQ$11&lt;&gt;""),IF(EOMONTH($AP$3+INT((DAY(EOMONTH($AP$3,0))-1)/2)+AQ$11,0)=EOMONTH($V$3,0),AQ$9*AQ$10,0),0),IF(AND(AM$9&lt;&gt;"",AM$11&lt;&gt;""),IF(EOMONTH($AL$3+INT((DAY(EOMONTH($AL$3,0))-1)/2)+AM$11,0)=EOMONTH($V$3,0),AM$9*AM$10,0),0),IF(AND(AI$9&lt;&gt;"",AI$11&lt;&gt;""),IF(EOMONTH($AH$3+INT((DAY(EOMONTH($AH$3,0))-1)/2)+AI$11,0)=EOMONTH($V$3,0),AI$9*AI$10,0),0),IF(AND(AE$9&lt;&gt;"",AE$11&lt;&gt;""),IF(EOMONTH($AD$3+INT((DAY(EOMONTH($AD$3,0))-1)/2)+AE$11,0)=EOMONTH($V$3,0),AE$9*AE$10,0),0),IF(AND(AA$9&lt;&gt;"",AA$11&lt;&gt;""),IF(EOMONTH($Z$3+INT((DAY(EOMONTH($Z$3,0))-1)/2)+AA$11,0)=EOMONTH($V$3,0),AA$9*AA$10,0),0),IF(AND(W$9&lt;&gt;"",W$11&lt;&gt;""),IF(EOMONTH($V$3+INT((DAY(EOMONTH($V$3,0))-1)/2)+W$11,0)=EOMONTH($V$3,0),W$9*W$10,0),0),IF(AND(S$9&lt;&gt;"",S$11&lt;&gt;""),IF(EOMONTH($R$3+INT((DAY(EOMONTH($R$3,0))-1)/2)+S$11,0)=EOMONTH($V$3,0),S$9*S$10,0),0),IF(AND(O$9&lt;&gt;"",O$11&lt;&gt;""),IF(EOMONTH($N$3+INT((DAY(EOMONTH($N$3,0))-1)/2)+O$11,0)=EOMONTH($V$3,0),O$9*O$10,0),0),IF(AND(K$9&lt;&gt;"",K$11&lt;&gt;""),IF(EOMONTH($J$3+INT((DAY(EOMONTH($J$3,0))-1)/2)+K$11,0)=EOMONTH($V$3,0),K$9*K$10,0),0),IF(AND(G$9&lt;&gt;"",G$11&lt;&gt;""),IF(EOMONTH($F$3+INT((DAY(EOMONTH($F$3,0))-1)/2)+G$11,0)=EOMONTH($V$3,0),G$9*G$10,0),0),IF($EP$75="",0,IF(EOMONTH($EP$75+EQ$11,0)=EOMONTH($V$3,0),$EP$76*EQ$10,0))),0))</f>
        <v>0</v>
      </c>
      <c r="X12" s="15">
        <f>ROUND(SUM(IF(AND(ER$9&lt;&gt;"",ER$11&lt;&gt;""),IF(EOMONTH($EP$3+INT((DAY(EOMONTH($EP$3,0))-1)/2)+ER$11,0)=EOMONTH($V$3,0),ER$9*ER$10,0),0),IF(AND(EN$9&lt;&gt;"",EN$11&lt;&gt;""),IF(EOMONTH($EL$3+INT((DAY(EOMONTH($EL$3,0))-1)/2)+EN$11,0)=EOMONTH($V$3,0),EN$9*EN$10,0),0),IF(AND(EJ$9&lt;&gt;"",EJ$11&lt;&gt;""),IF(EOMONTH($EH$3+INT((DAY(EOMONTH($EH$3,0))-1)/2)+EJ$11,0)=EOMONTH($V$3,0),EJ$9*EJ$10,0),0),IF(AND(EF$9&lt;&gt;"",EF$11&lt;&gt;""),IF(EOMONTH($ED$3+INT((DAY(EOMONTH($ED$3,0))-1)/2)+EF$11,0)=EOMONTH($V$3,0),EF$9*EF$10,0),0),IF(AND(EB$9&lt;&gt;"",EB$11&lt;&gt;""),IF(EOMONTH($DZ$3+INT((DAY(EOMONTH($DZ$3,0))-1)/2)+EB$11,0)=EOMONTH($V$3,0),EB$9*EB$10,0),0),IF(AND(DX$9&lt;&gt;"",DX$11&lt;&gt;""),IF(EOMONTH($DV$3+INT((DAY(EOMONTH($DV$3,0))-1)/2)+DX$11,0)=EOMONTH($V$3,0),DX$9*DX$10,0),0),IF(AND(DT$9&lt;&gt;"",DT$11&lt;&gt;""),IF(EOMONTH($DR$3+INT((DAY(EOMONTH($DR$3,0))-1)/2)+DT$11,0)=EOMONTH($V$3,0),DT$9*DT$10,0),0),IF(AND(DP$9&lt;&gt;"",DP$11&lt;&gt;""),IF(EOMONTH($DN$3+INT((DAY(EOMONTH($DN$3,0))-1)/2)+DP$11,0)=EOMONTH($V$3,0),DP$9*DP$10,0),0),IF(AND(DL$9&lt;&gt;"",DL$11&lt;&gt;""),IF(EOMONTH($DJ$3+INT((DAY(EOMONTH($DJ$3,0))-1)/2)+DL$11,0)=EOMONTH($V$3,0),DL$9*DL$10,0),0),IF(AND(DH$9&lt;&gt;"",DH$11&lt;&gt;""),IF(EOMONTH($DF$3+INT((DAY(EOMONTH($DF$3,0))-1)/2)+DH$11,0)=EOMONTH($V$3,0),DH$9*DH$10,0),0),IF(AND(DD$9&lt;&gt;"",DD$11&lt;&gt;""),IF(EOMONTH($DB$3+INT((DAY(EOMONTH($DB$3,0))-1)/2)+DD$11,0)=EOMONTH($V$3,0),DD$9*DD$10,0),0),IF(AND(CZ$9&lt;&gt;"",CZ$11&lt;&gt;""),IF(EOMONTH($CX$3+INT((DAY(EOMONTH($CX$3,0))-1)/2)+CZ$11,0)=EOMONTH($V$3,0),CZ$9*CZ$10,0),0),IF(AND(CV$9&lt;&gt;"",CV$11&lt;&gt;""),IF(EOMONTH($CT$3+INT((DAY(EOMONTH($CT$3,0))-1)/2)+CV$11,0)=EOMONTH($V$3,0),CV$9*CV$10,0),0),IF(AND(CR$9&lt;&gt;"",CR$11&lt;&gt;""),IF(EOMONTH($CP$3+INT((DAY(EOMONTH($CP$3,0))-1)/2)+CR$11,0)=EOMONTH($V$3,0),CR$9*CR$10,0),0),IF(AND(CN$9&lt;&gt;"",CN$11&lt;&gt;""),IF(EOMONTH($CL$3+INT((DAY(EOMONTH($CL$3,0))-1)/2)+CN$11,0)=EOMONTH($V$3,0),CN$9*CN$10,0),0),IF(AND(CJ$9&lt;&gt;"",CJ$11&lt;&gt;""),IF(EOMONTH($CH$3+INT((DAY(EOMONTH($CH$3,0))-1)/2)+CJ$11,0)=EOMONTH($V$3,0),CJ$9*CJ$10,0),0),IF(AND(CF$9&lt;&gt;"",CF$11&lt;&gt;""),IF(EOMONTH($CD$3+INT((DAY(EOMONTH($CD$3,0))-1)/2)+CF$11,0)=EOMONTH($V$3,0),CF$9*CF$10,0),0),IF(AND(CB$9&lt;&gt;"",CB$11&lt;&gt;""),IF(EOMONTH($BZ$3+INT((DAY(EOMONTH($BZ$3,0))-1)/2)+CB$11,0)=EOMONTH($V$3,0),CB$9*CB$10,0),0),IF(AND(BX$9&lt;&gt;"",BX$11&lt;&gt;""),IF(EOMONTH($BV$3+INT((DAY(EOMONTH($BV$3,0))-1)/2)+BX$11,0)=EOMONTH($V$3,0),BX$9*BX$10,0),0),IF(AND(BT$9&lt;&gt;"",BT$11&lt;&gt;""),IF(EOMONTH($BR$3+INT((DAY(EOMONTH($BR$3,0))-1)/2)+BT$11,0)=EOMONTH($V$3,0),BT$9*BT$10,0),0),IF(AND(BP$9&lt;&gt;"",BP$11&lt;&gt;""),IF(EOMONTH($BN$3+INT((DAY(EOMONTH($BN$3,0))-1)/2)+BP$11,0)=EOMONTH($V$3,0),BP$9*BP$10,0),0),IF(AND(BL$9&lt;&gt;"",BL$11&lt;&gt;""),IF(EOMONTH($BJ$3+INT((DAY(EOMONTH($BJ$3,0))-1)/2)+BL$11,0)=EOMONTH($V$3,0),BL$9*BL$10,0),0),IF(AND(BH$9&lt;&gt;"",BH$11&lt;&gt;""),IF(EOMONTH($BF$3+INT((DAY(EOMONTH($BF$3,0))-1)/2)+BH$11,0)=EOMONTH($V$3,0),BH$9*BH$10,0),0),IF(AND(BD$9&lt;&gt;"",BD$11&lt;&gt;""),IF(EOMONTH($BB$3+INT((DAY(EOMONTH($BB$3,0))-1)/2)+BD$11,0)=EOMONTH($V$3,0),BD$9*BD$10,0),0),IF(AND(AZ$9&lt;&gt;"",AZ$11&lt;&gt;""),IF(EOMONTH($AX$3+INT((DAY(EOMONTH($AX$3,0))-1)/2)+AZ$11,0)=EOMONTH($V$3,0),AZ$9*AZ$10,0),0),IF(AND(AV$9&lt;&gt;"",AV$11&lt;&gt;""),IF(EOMONTH($AT$3+INT((DAY(EOMONTH($AT$3,0))-1)/2)+AV$11,0)=EOMONTH($V$3,0),AV$9*AV$10,0),0),IF(AND(AR$9&lt;&gt;"",AR$11&lt;&gt;""),IF(EOMONTH($AP$3+INT((DAY(EOMONTH($AP$3,0))-1)/2)+AR$11,0)=EOMONTH($V$3,0),AR$9*AR$10,0),0),IF(AND(AN$9&lt;&gt;"",AN$11&lt;&gt;""),IF(EOMONTH($AL$3+INT((DAY(EOMONTH($AL$3,0))-1)/2)+AN$11,0)=EOMONTH($V$3,0),AN$9*AN$10,0),0),IF(AND(AJ$9&lt;&gt;"",AJ$11&lt;&gt;""),IF(EOMONTH($AH$3+INT((DAY(EOMONTH($AH$3,0))-1)/2)+AJ$11,0)=EOMONTH($V$3,0),AJ$9*AJ$10,0),0),IF(AND(AF$9&lt;&gt;"",AF$11&lt;&gt;""),IF(EOMONTH($AD$3+INT((DAY(EOMONTH($AD$3,0))-1)/2)+AF$11,0)=EOMONTH($V$3,0),AF$9*AF$10,0),0),IF(AND(AB$9&lt;&gt;"",AB$11&lt;&gt;""),IF(EOMONTH($Z$3+INT((DAY(EOMONTH($Z$3,0))-1)/2)+AB$11,0)=EOMONTH($V$3,0),AB$9*AB$10,0),0),IF(AND(X$9&lt;&gt;"",X$11&lt;&gt;""),IF(EOMONTH($V$3+INT((DAY(EOMONTH($V$3,0))-1)/2)+X$11,0)=EOMONTH($V$3,0),X$9*X$10,0),0),IF(AND(T$9&lt;&gt;"",T$11&lt;&gt;""),IF(EOMONTH($R$3+INT((DAY(EOMONTH($R$3,0))-1)/2)+T$11,0)=EOMONTH($V$3,0),T$9*T$10,0),0),IF(AND(P$9&lt;&gt;"",P$11&lt;&gt;""),IF(EOMONTH($N$3+INT((DAY(EOMONTH($N$3,0))-1)/2)+P$11,0)=EOMONTH($V$3,0),P$9*P$10,0),0),IF(AND(L$9&lt;&gt;"",L$11&lt;&gt;""),IF(EOMONTH($J$3+INT((DAY(EOMONTH($J$3,0))-1)/2)+L$11,0)=EOMONTH($V$3,0),L$9*L$10,0),0),IF(AND(H$9&lt;&gt;"",H$11&lt;&gt;""),IF(EOMONTH($F$3+INT((DAY(EOMONTH($F$3,0))-1)/2)+H$11,0)=EOMONTH($V$3,0),H$9*H$10,0),0),IF($EP$75="",0,IF(EOMONTH($EP$75+ER$11,0)=EOMONTH($V$3,0),$EP$76*ER$10,0))),0)</f>
        <v>0</v>
      </c>
      <c r="Y12" s="16">
        <f t="shared" si="13"/>
        <v>0</v>
      </c>
      <c r="Z12" s="17"/>
      <c r="AA12" s="14">
        <f>IF(Z$98=1,Z12,ROUND(SUM(IF(AND(EQ$9&lt;&gt;"",EQ$11&lt;&gt;""),IF(EOMONTH($EP$3+INT((DAY(EOMONTH($EP$3,0))-1)/2)+EQ$11,0)=EOMONTH($Z$3,0),EQ$9*EQ$10,0),0),IF(AND(EM$9&lt;&gt;"",EM$11&lt;&gt;""),IF(EOMONTH($EL$3+INT((DAY(EOMONTH($EL$3,0))-1)/2)+EM$11,0)=EOMONTH($Z$3,0),EM$9*EM$10,0),0),IF(AND(EI$9&lt;&gt;"",EI$11&lt;&gt;""),IF(EOMONTH($EH$3+INT((DAY(EOMONTH($EH$3,0))-1)/2)+EI$11,0)=EOMONTH($Z$3,0),EI$9*EI$10,0),0),IF(AND(EE$9&lt;&gt;"",EE$11&lt;&gt;""),IF(EOMONTH($ED$3+INT((DAY(EOMONTH($ED$3,0))-1)/2)+EE$11,0)=EOMONTH($Z$3,0),EE$9*EE$10,0),0),IF(AND(EA$9&lt;&gt;"",EA$11&lt;&gt;""),IF(EOMONTH($DZ$3+INT((DAY(EOMONTH($DZ$3,0))-1)/2)+EA$11,0)=EOMONTH($Z$3,0),EA$9*EA$10,0),0),IF(AND(DW$9&lt;&gt;"",DW$11&lt;&gt;""),IF(EOMONTH($DV$3+INT((DAY(EOMONTH($DV$3,0))-1)/2)+DW$11,0)=EOMONTH($Z$3,0),DW$9*DW$10,0),0),IF(AND(DS$9&lt;&gt;"",DS$11&lt;&gt;""),IF(EOMONTH($DR$3+INT((DAY(EOMONTH($DR$3,0))-1)/2)+DS$11,0)=EOMONTH($Z$3,0),DS$9*DS$10,0),0),IF(AND(DO$9&lt;&gt;"",DO$11&lt;&gt;""),IF(EOMONTH($DN$3+INT((DAY(EOMONTH($DN$3,0))-1)/2)+DO$11,0)=EOMONTH($Z$3,0),DO$9*DO$10,0),0),IF(AND(DK$9&lt;&gt;"",DK$11&lt;&gt;""),IF(EOMONTH($DJ$3+INT((DAY(EOMONTH($DJ$3,0))-1)/2)+DK$11,0)=EOMONTH($Z$3,0),DK$9*DK$10,0),0),IF(AND(DG$9&lt;&gt;"",DG$11&lt;&gt;""),IF(EOMONTH($DF$3+INT((DAY(EOMONTH($DF$3,0))-1)/2)+DG$11,0)=EOMONTH($Z$3,0),DG$9*DG$10,0),0),IF(AND(DC$9&lt;&gt;"",DC$11&lt;&gt;""),IF(EOMONTH($DB$3+INT((DAY(EOMONTH($DB$3,0))-1)/2)+DC$11,0)=EOMONTH($Z$3,0),DC$9*DC$10,0),0),IF(AND(CY$9&lt;&gt;"",CY$11&lt;&gt;""),IF(EOMONTH($CX$3+INT((DAY(EOMONTH($CX$3,0))-1)/2)+CY$11,0)=EOMONTH($Z$3,0),CY$9*CY$10,0),0),IF(AND(CU$9&lt;&gt;"",CU$11&lt;&gt;""),IF(EOMONTH($CT$3+INT((DAY(EOMONTH($CT$3,0))-1)/2)+CU$11,0)=EOMONTH($Z$3,0),CU$9*CU$10,0),0),IF(AND(CQ$9&lt;&gt;"",CQ$11&lt;&gt;""),IF(EOMONTH($CP$3+INT((DAY(EOMONTH($CP$3,0))-1)/2)+CQ$11,0)=EOMONTH($Z$3,0),CQ$9*CQ$10,0),0),IF(AND(CM$9&lt;&gt;"",CM$11&lt;&gt;""),IF(EOMONTH($CL$3+INT((DAY(EOMONTH($CL$3,0))-1)/2)+CM$11,0)=EOMONTH($Z$3,0),CM$9*CM$10,0),0),IF(AND(CI$9&lt;&gt;"",CI$11&lt;&gt;""),IF(EOMONTH($CH$3+INT((DAY(EOMONTH($CH$3,0))-1)/2)+CI$11,0)=EOMONTH($Z$3,0),CI$9*CI$10,0),0),IF(AND(CE$9&lt;&gt;"",CE$11&lt;&gt;""),IF(EOMONTH($CD$3+INT((DAY(EOMONTH($CD$3,0))-1)/2)+CE$11,0)=EOMONTH($Z$3,0),CE$9*CE$10,0),0),IF(AND(CA$9&lt;&gt;"",CA$11&lt;&gt;""),IF(EOMONTH($BZ$3+INT((DAY(EOMONTH($BZ$3,0))-1)/2)+CA$11,0)=EOMONTH($Z$3,0),CA$9*CA$10,0),0),IF(AND(BW$9&lt;&gt;"",BW$11&lt;&gt;""),IF(EOMONTH($BV$3+INT((DAY(EOMONTH($BV$3,0))-1)/2)+BW$11,0)=EOMONTH($Z$3,0),BW$9*BW$10,0),0),IF(AND(BS$9&lt;&gt;"",BS$11&lt;&gt;""),IF(EOMONTH($BR$3+INT((DAY(EOMONTH($BR$3,0))-1)/2)+BS$11,0)=EOMONTH($Z$3,0),BS$9*BS$10,0),0),IF(AND(BO$9&lt;&gt;"",BO$11&lt;&gt;""),IF(EOMONTH($BN$3+INT((DAY(EOMONTH($BN$3,0))-1)/2)+BO$11,0)=EOMONTH($Z$3,0),BO$9*BO$10,0),0),IF(AND(BK$9&lt;&gt;"",BK$11&lt;&gt;""),IF(EOMONTH($BJ$3+INT((DAY(EOMONTH($BJ$3,0))-1)/2)+BK$11,0)=EOMONTH($Z$3,0),BK$9*BK$10,0),0),IF(AND(BG$9&lt;&gt;"",BG$11&lt;&gt;""),IF(EOMONTH($BF$3+INT((DAY(EOMONTH($BF$3,0))-1)/2)+BG$11,0)=EOMONTH($Z$3,0),BG$9*BG$10,0),0),IF(AND(BC$9&lt;&gt;"",BC$11&lt;&gt;""),IF(EOMONTH($BB$3+INT((DAY(EOMONTH($BB$3,0))-1)/2)+BC$11,0)=EOMONTH($Z$3,0),BC$9*BC$10,0),0),IF(AND(AY$9&lt;&gt;"",AY$11&lt;&gt;""),IF(EOMONTH($AX$3+INT((DAY(EOMONTH($AX$3,0))-1)/2)+AY$11,0)=EOMONTH($Z$3,0),AY$9*AY$10,0),0),IF(AND(AU$9&lt;&gt;"",AU$11&lt;&gt;""),IF(EOMONTH($AT$3+INT((DAY(EOMONTH($AT$3,0))-1)/2)+AU$11,0)=EOMONTH($Z$3,0),AU$9*AU$10,0),0),IF(AND(AQ$9&lt;&gt;"",AQ$11&lt;&gt;""),IF(EOMONTH($AP$3+INT((DAY(EOMONTH($AP$3,0))-1)/2)+AQ$11,0)=EOMONTH($Z$3,0),AQ$9*AQ$10,0),0),IF(AND(AM$9&lt;&gt;"",AM$11&lt;&gt;""),IF(EOMONTH($AL$3+INT((DAY(EOMONTH($AL$3,0))-1)/2)+AM$11,0)=EOMONTH($Z$3,0),AM$9*AM$10,0),0),IF(AND(AI$9&lt;&gt;"",AI$11&lt;&gt;""),IF(EOMONTH($AH$3+INT((DAY(EOMONTH($AH$3,0))-1)/2)+AI$11,0)=EOMONTH($Z$3,0),AI$9*AI$10,0),0),IF(AND(AE$9&lt;&gt;"",AE$11&lt;&gt;""),IF(EOMONTH($AD$3+INT((DAY(EOMONTH($AD$3,0))-1)/2)+AE$11,0)=EOMONTH($Z$3,0),AE$9*AE$10,0),0),IF(AND(AA$9&lt;&gt;"",AA$11&lt;&gt;""),IF(EOMONTH($Z$3+INT((DAY(EOMONTH($Z$3,0))-1)/2)+AA$11,0)=EOMONTH($Z$3,0),AA$9*AA$10,0),0),IF(AND(W$9&lt;&gt;"",W$11&lt;&gt;""),IF(EOMONTH($V$3+INT((DAY(EOMONTH($V$3,0))-1)/2)+W$11,0)=EOMONTH($Z$3,0),W$9*W$10,0),0),IF(AND(S$9&lt;&gt;"",S$11&lt;&gt;""),IF(EOMONTH($R$3+INT((DAY(EOMONTH($R$3,0))-1)/2)+S$11,0)=EOMONTH($Z$3,0),S$9*S$10,0),0),IF(AND(O$9&lt;&gt;"",O$11&lt;&gt;""),IF(EOMONTH($N$3+INT((DAY(EOMONTH($N$3,0))-1)/2)+O$11,0)=EOMONTH($Z$3,0),O$9*O$10,0),0),IF(AND(K$9&lt;&gt;"",K$11&lt;&gt;""),IF(EOMONTH($J$3+INT((DAY(EOMONTH($J$3,0))-1)/2)+K$11,0)=EOMONTH($Z$3,0),K$9*K$10,0),0),IF(AND(G$9&lt;&gt;"",G$11&lt;&gt;""),IF(EOMONTH($F$3+INT((DAY(EOMONTH($F$3,0))-1)/2)+G$11,0)=EOMONTH($Z$3,0),G$9*G$10,0),0),IF($EP$75="",0,IF(EOMONTH($EP$75+EQ$11,0)=EOMONTH($Z$3,0),$EP$76*EQ$10,0))),0))</f>
        <v>0</v>
      </c>
      <c r="AB12" s="15">
        <f>ROUND(SUM(IF(AND(ER$9&lt;&gt;"",ER$11&lt;&gt;""),IF(EOMONTH($EP$3+INT((DAY(EOMONTH($EP$3,0))-1)/2)+ER$11,0)=EOMONTH($Z$3,0),ER$9*ER$10,0),0),IF(AND(EN$9&lt;&gt;"",EN$11&lt;&gt;""),IF(EOMONTH($EL$3+INT((DAY(EOMONTH($EL$3,0))-1)/2)+EN$11,0)=EOMONTH($Z$3,0),EN$9*EN$10,0),0),IF(AND(EJ$9&lt;&gt;"",EJ$11&lt;&gt;""),IF(EOMONTH($EH$3+INT((DAY(EOMONTH($EH$3,0))-1)/2)+EJ$11,0)=EOMONTH($Z$3,0),EJ$9*EJ$10,0),0),IF(AND(EF$9&lt;&gt;"",EF$11&lt;&gt;""),IF(EOMONTH($ED$3+INT((DAY(EOMONTH($ED$3,0))-1)/2)+EF$11,0)=EOMONTH($Z$3,0),EF$9*EF$10,0),0),IF(AND(EB$9&lt;&gt;"",EB$11&lt;&gt;""),IF(EOMONTH($DZ$3+INT((DAY(EOMONTH($DZ$3,0))-1)/2)+EB$11,0)=EOMONTH($Z$3,0),EB$9*EB$10,0),0),IF(AND(DX$9&lt;&gt;"",DX$11&lt;&gt;""),IF(EOMONTH($DV$3+INT((DAY(EOMONTH($DV$3,0))-1)/2)+DX$11,0)=EOMONTH($Z$3,0),DX$9*DX$10,0),0),IF(AND(DT$9&lt;&gt;"",DT$11&lt;&gt;""),IF(EOMONTH($DR$3+INT((DAY(EOMONTH($DR$3,0))-1)/2)+DT$11,0)=EOMONTH($Z$3,0),DT$9*DT$10,0),0),IF(AND(DP$9&lt;&gt;"",DP$11&lt;&gt;""),IF(EOMONTH($DN$3+INT((DAY(EOMONTH($DN$3,0))-1)/2)+DP$11,0)=EOMONTH($Z$3,0),DP$9*DP$10,0),0),IF(AND(DL$9&lt;&gt;"",DL$11&lt;&gt;""),IF(EOMONTH($DJ$3+INT((DAY(EOMONTH($DJ$3,0))-1)/2)+DL$11,0)=EOMONTH($Z$3,0),DL$9*DL$10,0),0),IF(AND(DH$9&lt;&gt;"",DH$11&lt;&gt;""),IF(EOMONTH($DF$3+INT((DAY(EOMONTH($DF$3,0))-1)/2)+DH$11,0)=EOMONTH($Z$3,0),DH$9*DH$10,0),0),IF(AND(DD$9&lt;&gt;"",DD$11&lt;&gt;""),IF(EOMONTH($DB$3+INT((DAY(EOMONTH($DB$3,0))-1)/2)+DD$11,0)=EOMONTH($Z$3,0),DD$9*DD$10,0),0),IF(AND(CZ$9&lt;&gt;"",CZ$11&lt;&gt;""),IF(EOMONTH($CX$3+INT((DAY(EOMONTH($CX$3,0))-1)/2)+CZ$11,0)=EOMONTH($Z$3,0),CZ$9*CZ$10,0),0),IF(AND(CV$9&lt;&gt;"",CV$11&lt;&gt;""),IF(EOMONTH($CT$3+INT((DAY(EOMONTH($CT$3,0))-1)/2)+CV$11,0)=EOMONTH($Z$3,0),CV$9*CV$10,0),0),IF(AND(CR$9&lt;&gt;"",CR$11&lt;&gt;""),IF(EOMONTH($CP$3+INT((DAY(EOMONTH($CP$3,0))-1)/2)+CR$11,0)=EOMONTH($Z$3,0),CR$9*CR$10,0),0),IF(AND(CN$9&lt;&gt;"",CN$11&lt;&gt;""),IF(EOMONTH($CL$3+INT((DAY(EOMONTH($CL$3,0))-1)/2)+CN$11,0)=EOMONTH($Z$3,0),CN$9*CN$10,0),0),IF(AND(CJ$9&lt;&gt;"",CJ$11&lt;&gt;""),IF(EOMONTH($CH$3+INT((DAY(EOMONTH($CH$3,0))-1)/2)+CJ$11,0)=EOMONTH($Z$3,0),CJ$9*CJ$10,0),0),IF(AND(CF$9&lt;&gt;"",CF$11&lt;&gt;""),IF(EOMONTH($CD$3+INT((DAY(EOMONTH($CD$3,0))-1)/2)+CF$11,0)=EOMONTH($Z$3,0),CF$9*CF$10,0),0),IF(AND(CB$9&lt;&gt;"",CB$11&lt;&gt;""),IF(EOMONTH($BZ$3+INT((DAY(EOMONTH($BZ$3,0))-1)/2)+CB$11,0)=EOMONTH($Z$3,0),CB$9*CB$10,0),0),IF(AND(BX$9&lt;&gt;"",BX$11&lt;&gt;""),IF(EOMONTH($BV$3+INT((DAY(EOMONTH($BV$3,0))-1)/2)+BX$11,0)=EOMONTH($Z$3,0),BX$9*BX$10,0),0),IF(AND(BT$9&lt;&gt;"",BT$11&lt;&gt;""),IF(EOMONTH($BR$3+INT((DAY(EOMONTH($BR$3,0))-1)/2)+BT$11,0)=EOMONTH($Z$3,0),BT$9*BT$10,0),0),IF(AND(BP$9&lt;&gt;"",BP$11&lt;&gt;""),IF(EOMONTH($BN$3+INT((DAY(EOMONTH($BN$3,0))-1)/2)+BP$11,0)=EOMONTH($Z$3,0),BP$9*BP$10,0),0),IF(AND(BL$9&lt;&gt;"",BL$11&lt;&gt;""),IF(EOMONTH($BJ$3+INT((DAY(EOMONTH($BJ$3,0))-1)/2)+BL$11,0)=EOMONTH($Z$3,0),BL$9*BL$10,0),0),IF(AND(BH$9&lt;&gt;"",BH$11&lt;&gt;""),IF(EOMONTH($BF$3+INT((DAY(EOMONTH($BF$3,0))-1)/2)+BH$11,0)=EOMONTH($Z$3,0),BH$9*BH$10,0),0),IF(AND(BD$9&lt;&gt;"",BD$11&lt;&gt;""),IF(EOMONTH($BB$3+INT((DAY(EOMONTH($BB$3,0))-1)/2)+BD$11,0)=EOMONTH($Z$3,0),BD$9*BD$10,0),0),IF(AND(AZ$9&lt;&gt;"",AZ$11&lt;&gt;""),IF(EOMONTH($AX$3+INT((DAY(EOMONTH($AX$3,0))-1)/2)+AZ$11,0)=EOMONTH($Z$3,0),AZ$9*AZ$10,0),0),IF(AND(AV$9&lt;&gt;"",AV$11&lt;&gt;""),IF(EOMONTH($AT$3+INT((DAY(EOMONTH($AT$3,0))-1)/2)+AV$11,0)=EOMONTH($Z$3,0),AV$9*AV$10,0),0),IF(AND(AR$9&lt;&gt;"",AR$11&lt;&gt;""),IF(EOMONTH($AP$3+INT((DAY(EOMONTH($AP$3,0))-1)/2)+AR$11,0)=EOMONTH($Z$3,0),AR$9*AR$10,0),0),IF(AND(AN$9&lt;&gt;"",AN$11&lt;&gt;""),IF(EOMONTH($AL$3+INT((DAY(EOMONTH($AL$3,0))-1)/2)+AN$11,0)=EOMONTH($Z$3,0),AN$9*AN$10,0),0),IF(AND(AJ$9&lt;&gt;"",AJ$11&lt;&gt;""),IF(EOMONTH($AH$3+INT((DAY(EOMONTH($AH$3,0))-1)/2)+AJ$11,0)=EOMONTH($Z$3,0),AJ$9*AJ$10,0),0),IF(AND(AF$9&lt;&gt;"",AF$11&lt;&gt;""),IF(EOMONTH($AD$3+INT((DAY(EOMONTH($AD$3,0))-1)/2)+AF$11,0)=EOMONTH($Z$3,0),AF$9*AF$10,0),0),IF(AND(AB$9&lt;&gt;"",AB$11&lt;&gt;""),IF(EOMONTH($Z$3+INT((DAY(EOMONTH($Z$3,0))-1)/2)+AB$11,0)=EOMONTH($Z$3,0),AB$9*AB$10,0),0),IF(AND(X$9&lt;&gt;"",X$11&lt;&gt;""),IF(EOMONTH($V$3+INT((DAY(EOMONTH($V$3,0))-1)/2)+X$11,0)=EOMONTH($Z$3,0),X$9*X$10,0),0),IF(AND(T$9&lt;&gt;"",T$11&lt;&gt;""),IF(EOMONTH($R$3+INT((DAY(EOMONTH($R$3,0))-1)/2)+T$11,0)=EOMONTH($Z$3,0),T$9*T$10,0),0),IF(AND(P$9&lt;&gt;"",P$11&lt;&gt;""),IF(EOMONTH($N$3+INT((DAY(EOMONTH($N$3,0))-1)/2)+P$11,0)=EOMONTH($Z$3,0),P$9*P$10,0),0),IF(AND(L$9&lt;&gt;"",L$11&lt;&gt;""),IF(EOMONTH($J$3+INT((DAY(EOMONTH($J$3,0))-1)/2)+L$11,0)=EOMONTH($Z$3,0),L$9*L$10,0),0),IF(AND(H$9&lt;&gt;"",H$11&lt;&gt;""),IF(EOMONTH($F$3+INT((DAY(EOMONTH($F$3,0))-1)/2)+H$11,0)=EOMONTH($Z$3,0),H$9*H$10,0),0),IF($EP$75="",0,IF(EOMONTH($EP$75+ER$11,0)=EOMONTH($Z$3,0),$EP$76*ER$10,0))),0)</f>
        <v>0</v>
      </c>
      <c r="AC12" s="16">
        <f t="shared" si="15"/>
        <v>0</v>
      </c>
      <c r="AD12" s="17"/>
      <c r="AE12" s="14">
        <f>IF(AD$98=1,AD12,ROUND(SUM(IF(AND(EQ$9&lt;&gt;"",EQ$11&lt;&gt;""),IF(EOMONTH($EP$3+INT((DAY(EOMONTH($EP$3,0))-1)/2)+EQ$11,0)=EOMONTH($AD$3,0),EQ$9*EQ$10,0),0),IF(AND(EM$9&lt;&gt;"",EM$11&lt;&gt;""),IF(EOMONTH($EL$3+INT((DAY(EOMONTH($EL$3,0))-1)/2)+EM$11,0)=EOMONTH($AD$3,0),EM$9*EM$10,0),0),IF(AND(EI$9&lt;&gt;"",EI$11&lt;&gt;""),IF(EOMONTH($EH$3+INT((DAY(EOMONTH($EH$3,0))-1)/2)+EI$11,0)=EOMONTH($AD$3,0),EI$9*EI$10,0),0),IF(AND(EE$9&lt;&gt;"",EE$11&lt;&gt;""),IF(EOMONTH($ED$3+INT((DAY(EOMONTH($ED$3,0))-1)/2)+EE$11,0)=EOMONTH($AD$3,0),EE$9*EE$10,0),0),IF(AND(EA$9&lt;&gt;"",EA$11&lt;&gt;""),IF(EOMONTH($DZ$3+INT((DAY(EOMONTH($DZ$3,0))-1)/2)+EA$11,0)=EOMONTH($AD$3,0),EA$9*EA$10,0),0),IF(AND(DW$9&lt;&gt;"",DW$11&lt;&gt;""),IF(EOMONTH($DV$3+INT((DAY(EOMONTH($DV$3,0))-1)/2)+DW$11,0)=EOMONTH($AD$3,0),DW$9*DW$10,0),0),IF(AND(DS$9&lt;&gt;"",DS$11&lt;&gt;""),IF(EOMONTH($DR$3+INT((DAY(EOMONTH($DR$3,0))-1)/2)+DS$11,0)=EOMONTH($AD$3,0),DS$9*DS$10,0),0),IF(AND(DO$9&lt;&gt;"",DO$11&lt;&gt;""),IF(EOMONTH($DN$3+INT((DAY(EOMONTH($DN$3,0))-1)/2)+DO$11,0)=EOMONTH($AD$3,0),DO$9*DO$10,0),0),IF(AND(DK$9&lt;&gt;"",DK$11&lt;&gt;""),IF(EOMONTH($DJ$3+INT((DAY(EOMONTH($DJ$3,0))-1)/2)+DK$11,0)=EOMONTH($AD$3,0),DK$9*DK$10,0),0),IF(AND(DG$9&lt;&gt;"",DG$11&lt;&gt;""),IF(EOMONTH($DF$3+INT((DAY(EOMONTH($DF$3,0))-1)/2)+DG$11,0)=EOMONTH($AD$3,0),DG$9*DG$10,0),0),IF(AND(DC$9&lt;&gt;"",DC$11&lt;&gt;""),IF(EOMONTH($DB$3+INT((DAY(EOMONTH($DB$3,0))-1)/2)+DC$11,0)=EOMONTH($AD$3,0),DC$9*DC$10,0),0),IF(AND(CY$9&lt;&gt;"",CY$11&lt;&gt;""),IF(EOMONTH($CX$3+INT((DAY(EOMONTH($CX$3,0))-1)/2)+CY$11,0)=EOMONTH($AD$3,0),CY$9*CY$10,0),0),IF(AND(CU$9&lt;&gt;"",CU$11&lt;&gt;""),IF(EOMONTH($CT$3+INT((DAY(EOMONTH($CT$3,0))-1)/2)+CU$11,0)=EOMONTH($AD$3,0),CU$9*CU$10,0),0),IF(AND(CQ$9&lt;&gt;"",CQ$11&lt;&gt;""),IF(EOMONTH($CP$3+INT((DAY(EOMONTH($CP$3,0))-1)/2)+CQ$11,0)=EOMONTH($AD$3,0),CQ$9*CQ$10,0),0),IF(AND(CM$9&lt;&gt;"",CM$11&lt;&gt;""),IF(EOMONTH($CL$3+INT((DAY(EOMONTH($CL$3,0))-1)/2)+CM$11,0)=EOMONTH($AD$3,0),CM$9*CM$10,0),0),IF(AND(CI$9&lt;&gt;"",CI$11&lt;&gt;""),IF(EOMONTH($CH$3+INT((DAY(EOMONTH($CH$3,0))-1)/2)+CI$11,0)=EOMONTH($AD$3,0),CI$9*CI$10,0),0),IF(AND(CE$9&lt;&gt;"",CE$11&lt;&gt;""),IF(EOMONTH($CD$3+INT((DAY(EOMONTH($CD$3,0))-1)/2)+CE$11,0)=EOMONTH($AD$3,0),CE$9*CE$10,0),0),IF(AND(CA$9&lt;&gt;"",CA$11&lt;&gt;""),IF(EOMONTH($BZ$3+INT((DAY(EOMONTH($BZ$3,0))-1)/2)+CA$11,0)=EOMONTH($AD$3,0),CA$9*CA$10,0),0),IF(AND(BW$9&lt;&gt;"",BW$11&lt;&gt;""),IF(EOMONTH($BV$3+INT((DAY(EOMONTH($BV$3,0))-1)/2)+BW$11,0)=EOMONTH($AD$3,0),BW$9*BW$10,0),0),IF(AND(BS$9&lt;&gt;"",BS$11&lt;&gt;""),IF(EOMONTH($BR$3+INT((DAY(EOMONTH($BR$3,0))-1)/2)+BS$11,0)=EOMONTH($AD$3,0),BS$9*BS$10,0),0),IF(AND(BO$9&lt;&gt;"",BO$11&lt;&gt;""),IF(EOMONTH($BN$3+INT((DAY(EOMONTH($BN$3,0))-1)/2)+BO$11,0)=EOMONTH($AD$3,0),BO$9*BO$10,0),0),IF(AND(BK$9&lt;&gt;"",BK$11&lt;&gt;""),IF(EOMONTH($BJ$3+INT((DAY(EOMONTH($BJ$3,0))-1)/2)+BK$11,0)=EOMONTH($AD$3,0),BK$9*BK$10,0),0),IF(AND(BG$9&lt;&gt;"",BG$11&lt;&gt;""),IF(EOMONTH($BF$3+INT((DAY(EOMONTH($BF$3,0))-1)/2)+BG$11,0)=EOMONTH($AD$3,0),BG$9*BG$10,0),0),IF(AND(BC$9&lt;&gt;"",BC$11&lt;&gt;""),IF(EOMONTH($BB$3+INT((DAY(EOMONTH($BB$3,0))-1)/2)+BC$11,0)=EOMONTH($AD$3,0),BC$9*BC$10,0),0),IF(AND(AY$9&lt;&gt;"",AY$11&lt;&gt;""),IF(EOMONTH($AX$3+INT((DAY(EOMONTH($AX$3,0))-1)/2)+AY$11,0)=EOMONTH($AD$3,0),AY$9*AY$10,0),0),IF(AND(AU$9&lt;&gt;"",AU$11&lt;&gt;""),IF(EOMONTH($AT$3+INT((DAY(EOMONTH($AT$3,0))-1)/2)+AU$11,0)=EOMONTH($AD$3,0),AU$9*AU$10,0),0),IF(AND(AQ$9&lt;&gt;"",AQ$11&lt;&gt;""),IF(EOMONTH($AP$3+INT((DAY(EOMONTH($AP$3,0))-1)/2)+AQ$11,0)=EOMONTH($AD$3,0),AQ$9*AQ$10,0),0),IF(AND(AM$9&lt;&gt;"",AM$11&lt;&gt;""),IF(EOMONTH($AL$3+INT((DAY(EOMONTH($AL$3,0))-1)/2)+AM$11,0)=EOMONTH($AD$3,0),AM$9*AM$10,0),0),IF(AND(AI$9&lt;&gt;"",AI$11&lt;&gt;""),IF(EOMONTH($AH$3+INT((DAY(EOMONTH($AH$3,0))-1)/2)+AI$11,0)=EOMONTH($AD$3,0),AI$9*AI$10,0),0),IF(AND(AE$9&lt;&gt;"",AE$11&lt;&gt;""),IF(EOMONTH($AD$3+INT((DAY(EOMONTH($AD$3,0))-1)/2)+AE$11,0)=EOMONTH($AD$3,0),AE$9*AE$10,0),0),IF(AND(AA$9&lt;&gt;"",AA$11&lt;&gt;""),IF(EOMONTH($Z$3+INT((DAY(EOMONTH($Z$3,0))-1)/2)+AA$11,0)=EOMONTH($AD$3,0),AA$9*AA$10,0),0),IF(AND(W$9&lt;&gt;"",W$11&lt;&gt;""),IF(EOMONTH($V$3+INT((DAY(EOMONTH($V$3,0))-1)/2)+W$11,0)=EOMONTH($AD$3,0),W$9*W$10,0),0),IF(AND(S$9&lt;&gt;"",S$11&lt;&gt;""),IF(EOMONTH($R$3+INT((DAY(EOMONTH($R$3,0))-1)/2)+S$11,0)=EOMONTH($AD$3,0),S$9*S$10,0),0),IF(AND(O$9&lt;&gt;"",O$11&lt;&gt;""),IF(EOMONTH($N$3+INT((DAY(EOMONTH($N$3,0))-1)/2)+O$11,0)=EOMONTH($AD$3,0),O$9*O$10,0),0),IF(AND(K$9&lt;&gt;"",K$11&lt;&gt;""),IF(EOMONTH($J$3+INT((DAY(EOMONTH($J$3,0))-1)/2)+K$11,0)=EOMONTH($AD$3,0),K$9*K$10,0),0),IF(AND(G$9&lt;&gt;"",G$11&lt;&gt;""),IF(EOMONTH($F$3+INT((DAY(EOMONTH($F$3,0))-1)/2)+G$11,0)=EOMONTH($AD$3,0),G$9*G$10,0),0),IF($EP$75="",0,IF(EOMONTH($EP$75+EQ$11,0)=EOMONTH($AD$3,0),$EP$76*EQ$10,0))),0))</f>
        <v>0</v>
      </c>
      <c r="AF12" s="15">
        <f>ROUND(SUM(IF(AND(ER$9&lt;&gt;"",ER$11&lt;&gt;""),IF(EOMONTH($EP$3+INT((DAY(EOMONTH($EP$3,0))-1)/2)+ER$11,0)=EOMONTH($AD$3,0),ER$9*ER$10,0),0),IF(AND(EN$9&lt;&gt;"",EN$11&lt;&gt;""),IF(EOMONTH($EL$3+INT((DAY(EOMONTH($EL$3,0))-1)/2)+EN$11,0)=EOMONTH($AD$3,0),EN$9*EN$10,0),0),IF(AND(EJ$9&lt;&gt;"",EJ$11&lt;&gt;""),IF(EOMONTH($EH$3+INT((DAY(EOMONTH($EH$3,0))-1)/2)+EJ$11,0)=EOMONTH($AD$3,0),EJ$9*EJ$10,0),0),IF(AND(EF$9&lt;&gt;"",EF$11&lt;&gt;""),IF(EOMONTH($ED$3+INT((DAY(EOMONTH($ED$3,0))-1)/2)+EF$11,0)=EOMONTH($AD$3,0),EF$9*EF$10,0),0),IF(AND(EB$9&lt;&gt;"",EB$11&lt;&gt;""),IF(EOMONTH($DZ$3+INT((DAY(EOMONTH($DZ$3,0))-1)/2)+EB$11,0)=EOMONTH($AD$3,0),EB$9*EB$10,0),0),IF(AND(DX$9&lt;&gt;"",DX$11&lt;&gt;""),IF(EOMONTH($DV$3+INT((DAY(EOMONTH($DV$3,0))-1)/2)+DX$11,0)=EOMONTH($AD$3,0),DX$9*DX$10,0),0),IF(AND(DT$9&lt;&gt;"",DT$11&lt;&gt;""),IF(EOMONTH($DR$3+INT((DAY(EOMONTH($DR$3,0))-1)/2)+DT$11,0)=EOMONTH($AD$3,0),DT$9*DT$10,0),0),IF(AND(DP$9&lt;&gt;"",DP$11&lt;&gt;""),IF(EOMONTH($DN$3+INT((DAY(EOMONTH($DN$3,0))-1)/2)+DP$11,0)=EOMONTH($AD$3,0),DP$9*DP$10,0),0),IF(AND(DL$9&lt;&gt;"",DL$11&lt;&gt;""),IF(EOMONTH($DJ$3+INT((DAY(EOMONTH($DJ$3,0))-1)/2)+DL$11,0)=EOMONTH($AD$3,0),DL$9*DL$10,0),0),IF(AND(DH$9&lt;&gt;"",DH$11&lt;&gt;""),IF(EOMONTH($DF$3+INT((DAY(EOMONTH($DF$3,0))-1)/2)+DH$11,0)=EOMONTH($AD$3,0),DH$9*DH$10,0),0),IF(AND(DD$9&lt;&gt;"",DD$11&lt;&gt;""),IF(EOMONTH($DB$3+INT((DAY(EOMONTH($DB$3,0))-1)/2)+DD$11,0)=EOMONTH($AD$3,0),DD$9*DD$10,0),0),IF(AND(CZ$9&lt;&gt;"",CZ$11&lt;&gt;""),IF(EOMONTH($CX$3+INT((DAY(EOMONTH($CX$3,0))-1)/2)+CZ$11,0)=EOMONTH($AD$3,0),CZ$9*CZ$10,0),0),IF(AND(CV$9&lt;&gt;"",CV$11&lt;&gt;""),IF(EOMONTH($CT$3+INT((DAY(EOMONTH($CT$3,0))-1)/2)+CV$11,0)=EOMONTH($AD$3,0),CV$9*CV$10,0),0),IF(AND(CR$9&lt;&gt;"",CR$11&lt;&gt;""),IF(EOMONTH($CP$3+INT((DAY(EOMONTH($CP$3,0))-1)/2)+CR$11,0)=EOMONTH($AD$3,0),CR$9*CR$10,0),0),IF(AND(CN$9&lt;&gt;"",CN$11&lt;&gt;""),IF(EOMONTH($CL$3+INT((DAY(EOMONTH($CL$3,0))-1)/2)+CN$11,0)=EOMONTH($AD$3,0),CN$9*CN$10,0),0),IF(AND(CJ$9&lt;&gt;"",CJ$11&lt;&gt;""),IF(EOMONTH($CH$3+INT((DAY(EOMONTH($CH$3,0))-1)/2)+CJ$11,0)=EOMONTH($AD$3,0),CJ$9*CJ$10,0),0),IF(AND(CF$9&lt;&gt;"",CF$11&lt;&gt;""),IF(EOMONTH($CD$3+INT((DAY(EOMONTH($CD$3,0))-1)/2)+CF$11,0)=EOMONTH($AD$3,0),CF$9*CF$10,0),0),IF(AND(CB$9&lt;&gt;"",CB$11&lt;&gt;""),IF(EOMONTH($BZ$3+INT((DAY(EOMONTH($BZ$3,0))-1)/2)+CB$11,0)=EOMONTH($AD$3,0),CB$9*CB$10,0),0),IF(AND(BX$9&lt;&gt;"",BX$11&lt;&gt;""),IF(EOMONTH($BV$3+INT((DAY(EOMONTH($BV$3,0))-1)/2)+BX$11,0)=EOMONTH($AD$3,0),BX$9*BX$10,0),0),IF(AND(BT$9&lt;&gt;"",BT$11&lt;&gt;""),IF(EOMONTH($BR$3+INT((DAY(EOMONTH($BR$3,0))-1)/2)+BT$11,0)=EOMONTH($AD$3,0),BT$9*BT$10,0),0),IF(AND(BP$9&lt;&gt;"",BP$11&lt;&gt;""),IF(EOMONTH($BN$3+INT((DAY(EOMONTH($BN$3,0))-1)/2)+BP$11,0)=EOMONTH($AD$3,0),BP$9*BP$10,0),0),IF(AND(BL$9&lt;&gt;"",BL$11&lt;&gt;""),IF(EOMONTH($BJ$3+INT((DAY(EOMONTH($BJ$3,0))-1)/2)+BL$11,0)=EOMONTH($AD$3,0),BL$9*BL$10,0),0),IF(AND(BH$9&lt;&gt;"",BH$11&lt;&gt;""),IF(EOMONTH($BF$3+INT((DAY(EOMONTH($BF$3,0))-1)/2)+BH$11,0)=EOMONTH($AD$3,0),BH$9*BH$10,0),0),IF(AND(BD$9&lt;&gt;"",BD$11&lt;&gt;""),IF(EOMONTH($BB$3+INT((DAY(EOMONTH($BB$3,0))-1)/2)+BD$11,0)=EOMONTH($AD$3,0),BD$9*BD$10,0),0),IF(AND(AZ$9&lt;&gt;"",AZ$11&lt;&gt;""),IF(EOMONTH($AX$3+INT((DAY(EOMONTH($AX$3,0))-1)/2)+AZ$11,0)=EOMONTH($AD$3,0),AZ$9*AZ$10,0),0),IF(AND(AV$9&lt;&gt;"",AV$11&lt;&gt;""),IF(EOMONTH($AT$3+INT((DAY(EOMONTH($AT$3,0))-1)/2)+AV$11,0)=EOMONTH($AD$3,0),AV$9*AV$10,0),0),IF(AND(AR$9&lt;&gt;"",AR$11&lt;&gt;""),IF(EOMONTH($AP$3+INT((DAY(EOMONTH($AP$3,0))-1)/2)+AR$11,0)=EOMONTH($AD$3,0),AR$9*AR$10,0),0),IF(AND(AN$9&lt;&gt;"",AN$11&lt;&gt;""),IF(EOMONTH($AL$3+INT((DAY(EOMONTH($AL$3,0))-1)/2)+AN$11,0)=EOMONTH($AD$3,0),AN$9*AN$10,0),0),IF(AND(AJ$9&lt;&gt;"",AJ$11&lt;&gt;""),IF(EOMONTH($AH$3+INT((DAY(EOMONTH($AH$3,0))-1)/2)+AJ$11,0)=EOMONTH($AD$3,0),AJ$9*AJ$10,0),0),IF(AND(AF$9&lt;&gt;"",AF$11&lt;&gt;""),IF(EOMONTH($AD$3+INT((DAY(EOMONTH($AD$3,0))-1)/2)+AF$11,0)=EOMONTH($AD$3,0),AF$9*AF$10,0),0),IF(AND(AB$9&lt;&gt;"",AB$11&lt;&gt;""),IF(EOMONTH($Z$3+INT((DAY(EOMONTH($Z$3,0))-1)/2)+AB$11,0)=EOMONTH($AD$3,0),AB$9*AB$10,0),0),IF(AND(X$9&lt;&gt;"",X$11&lt;&gt;""),IF(EOMONTH($V$3+INT((DAY(EOMONTH($V$3,0))-1)/2)+X$11,0)=EOMONTH($AD$3,0),X$9*X$10,0),0),IF(AND(T$9&lt;&gt;"",T$11&lt;&gt;""),IF(EOMONTH($R$3+INT((DAY(EOMONTH($R$3,0))-1)/2)+T$11,0)=EOMONTH($AD$3,0),T$9*T$10,0),0),IF(AND(P$9&lt;&gt;"",P$11&lt;&gt;""),IF(EOMONTH($N$3+INT((DAY(EOMONTH($N$3,0))-1)/2)+P$11,0)=EOMONTH($AD$3,0),P$9*P$10,0),0),IF(AND(L$9&lt;&gt;"",L$11&lt;&gt;""),IF(EOMONTH($J$3+INT((DAY(EOMONTH($J$3,0))-1)/2)+L$11,0)=EOMONTH($AD$3,0),L$9*L$10,0),0),IF(AND(H$9&lt;&gt;"",H$11&lt;&gt;""),IF(EOMONTH($F$3+INT((DAY(EOMONTH($F$3,0))-1)/2)+H$11,0)=EOMONTH($AD$3,0),H$9*H$10,0),0),IF($EP$75="",0,IF(EOMONTH($EP$75+ER$11,0)=EOMONTH($AD$3,0),$EP$76*ER$10,0))),0)</f>
        <v>0</v>
      </c>
      <c r="AG12" s="16">
        <f t="shared" si="17"/>
        <v>0</v>
      </c>
      <c r="AH12" s="17"/>
      <c r="AI12" s="14">
        <f>IF(AH$98=1,AH12,ROUND(SUM(IF(AND(EQ$9&lt;&gt;"",EQ$11&lt;&gt;""),IF(EOMONTH($EP$3+INT((DAY(EOMONTH($EP$3,0))-1)/2)+EQ$11,0)=EOMONTH($AH$3,0),EQ$9*EQ$10,0),0),IF(AND(EM$9&lt;&gt;"",EM$11&lt;&gt;""),IF(EOMONTH($EL$3+INT((DAY(EOMONTH($EL$3,0))-1)/2)+EM$11,0)=EOMONTH($AH$3,0),EM$9*EM$10,0),0),IF(AND(EI$9&lt;&gt;"",EI$11&lt;&gt;""),IF(EOMONTH($EH$3+INT((DAY(EOMONTH($EH$3,0))-1)/2)+EI$11,0)=EOMONTH($AH$3,0),EI$9*EI$10,0),0),IF(AND(EE$9&lt;&gt;"",EE$11&lt;&gt;""),IF(EOMONTH($ED$3+INT((DAY(EOMONTH($ED$3,0))-1)/2)+EE$11,0)=EOMONTH($AH$3,0),EE$9*EE$10,0),0),IF(AND(EA$9&lt;&gt;"",EA$11&lt;&gt;""),IF(EOMONTH($DZ$3+INT((DAY(EOMONTH($DZ$3,0))-1)/2)+EA$11,0)=EOMONTH($AH$3,0),EA$9*EA$10,0),0),IF(AND(DW$9&lt;&gt;"",DW$11&lt;&gt;""),IF(EOMONTH($DV$3+INT((DAY(EOMONTH($DV$3,0))-1)/2)+DW$11,0)=EOMONTH($AH$3,0),DW$9*DW$10,0),0),IF(AND(DS$9&lt;&gt;"",DS$11&lt;&gt;""),IF(EOMONTH($DR$3+INT((DAY(EOMONTH($DR$3,0))-1)/2)+DS$11,0)=EOMONTH($AH$3,0),DS$9*DS$10,0),0),IF(AND(DO$9&lt;&gt;"",DO$11&lt;&gt;""),IF(EOMONTH($DN$3+INT((DAY(EOMONTH($DN$3,0))-1)/2)+DO$11,0)=EOMONTH($AH$3,0),DO$9*DO$10,0),0),IF(AND(DK$9&lt;&gt;"",DK$11&lt;&gt;""),IF(EOMONTH($DJ$3+INT((DAY(EOMONTH($DJ$3,0))-1)/2)+DK$11,0)=EOMONTH($AH$3,0),DK$9*DK$10,0),0),IF(AND(DG$9&lt;&gt;"",DG$11&lt;&gt;""),IF(EOMONTH($DF$3+INT((DAY(EOMONTH($DF$3,0))-1)/2)+DG$11,0)=EOMONTH($AH$3,0),DG$9*DG$10,0),0),IF(AND(DC$9&lt;&gt;"",DC$11&lt;&gt;""),IF(EOMONTH($DB$3+INT((DAY(EOMONTH($DB$3,0))-1)/2)+DC$11,0)=EOMONTH($AH$3,0),DC$9*DC$10,0),0),IF(AND(CY$9&lt;&gt;"",CY$11&lt;&gt;""),IF(EOMONTH($CX$3+INT((DAY(EOMONTH($CX$3,0))-1)/2)+CY$11,0)=EOMONTH($AH$3,0),CY$9*CY$10,0),0),IF(AND(CU$9&lt;&gt;"",CU$11&lt;&gt;""),IF(EOMONTH($CT$3+INT((DAY(EOMONTH($CT$3,0))-1)/2)+CU$11,0)=EOMONTH($AH$3,0),CU$9*CU$10,0),0),IF(AND(CQ$9&lt;&gt;"",CQ$11&lt;&gt;""),IF(EOMONTH($CP$3+INT((DAY(EOMONTH($CP$3,0))-1)/2)+CQ$11,0)=EOMONTH($AH$3,0),CQ$9*CQ$10,0),0),IF(AND(CM$9&lt;&gt;"",CM$11&lt;&gt;""),IF(EOMONTH($CL$3+INT((DAY(EOMONTH($CL$3,0))-1)/2)+CM$11,0)=EOMONTH($AH$3,0),CM$9*CM$10,0),0),IF(AND(CI$9&lt;&gt;"",CI$11&lt;&gt;""),IF(EOMONTH($CH$3+INT((DAY(EOMONTH($CH$3,0))-1)/2)+CI$11,0)=EOMONTH($AH$3,0),CI$9*CI$10,0),0),IF(AND(CE$9&lt;&gt;"",CE$11&lt;&gt;""),IF(EOMONTH($CD$3+INT((DAY(EOMONTH($CD$3,0))-1)/2)+CE$11,0)=EOMONTH($AH$3,0),CE$9*CE$10,0),0),IF(AND(CA$9&lt;&gt;"",CA$11&lt;&gt;""),IF(EOMONTH($BZ$3+INT((DAY(EOMONTH($BZ$3,0))-1)/2)+CA$11,0)=EOMONTH($AH$3,0),CA$9*CA$10,0),0),IF(AND(BW$9&lt;&gt;"",BW$11&lt;&gt;""),IF(EOMONTH($BV$3+INT((DAY(EOMONTH($BV$3,0))-1)/2)+BW$11,0)=EOMONTH($AH$3,0),BW$9*BW$10,0),0),IF(AND(BS$9&lt;&gt;"",BS$11&lt;&gt;""),IF(EOMONTH($BR$3+INT((DAY(EOMONTH($BR$3,0))-1)/2)+BS$11,0)=EOMONTH($AH$3,0),BS$9*BS$10,0),0),IF(AND(BO$9&lt;&gt;"",BO$11&lt;&gt;""),IF(EOMONTH($BN$3+INT((DAY(EOMONTH($BN$3,0))-1)/2)+BO$11,0)=EOMONTH($AH$3,0),BO$9*BO$10,0),0),IF(AND(BK$9&lt;&gt;"",BK$11&lt;&gt;""),IF(EOMONTH($BJ$3+INT((DAY(EOMONTH($BJ$3,0))-1)/2)+BK$11,0)=EOMONTH($AH$3,0),BK$9*BK$10,0),0),IF(AND(BG$9&lt;&gt;"",BG$11&lt;&gt;""),IF(EOMONTH($BF$3+INT((DAY(EOMONTH($BF$3,0))-1)/2)+BG$11,0)=EOMONTH($AH$3,0),BG$9*BG$10,0),0),IF(AND(BC$9&lt;&gt;"",BC$11&lt;&gt;""),IF(EOMONTH($BB$3+INT((DAY(EOMONTH($BB$3,0))-1)/2)+BC$11,0)=EOMONTH($AH$3,0),BC$9*BC$10,0),0),IF(AND(AY$9&lt;&gt;"",AY$11&lt;&gt;""),IF(EOMONTH($AX$3+INT((DAY(EOMONTH($AX$3,0))-1)/2)+AY$11,0)=EOMONTH($AH$3,0),AY$9*AY$10,0),0),IF(AND(AU$9&lt;&gt;"",AU$11&lt;&gt;""),IF(EOMONTH($AT$3+INT((DAY(EOMONTH($AT$3,0))-1)/2)+AU$11,0)=EOMONTH($AH$3,0),AU$9*AU$10,0),0),IF(AND(AQ$9&lt;&gt;"",AQ$11&lt;&gt;""),IF(EOMONTH($AP$3+INT((DAY(EOMONTH($AP$3,0))-1)/2)+AQ$11,0)=EOMONTH($AH$3,0),AQ$9*AQ$10,0),0),IF(AND(AM$9&lt;&gt;"",AM$11&lt;&gt;""),IF(EOMONTH($AL$3+INT((DAY(EOMONTH($AL$3,0))-1)/2)+AM$11,0)=EOMONTH($AH$3,0),AM$9*AM$10,0),0),IF(AND(AI$9&lt;&gt;"",AI$11&lt;&gt;""),IF(EOMONTH($AH$3+INT((DAY(EOMONTH($AH$3,0))-1)/2)+AI$11,0)=EOMONTH($AH$3,0),AI$9*AI$10,0),0),IF(AND(AE$9&lt;&gt;"",AE$11&lt;&gt;""),IF(EOMONTH($AD$3+INT((DAY(EOMONTH($AD$3,0))-1)/2)+AE$11,0)=EOMONTH($AH$3,0),AE$9*AE$10,0),0),IF(AND(AA$9&lt;&gt;"",AA$11&lt;&gt;""),IF(EOMONTH($Z$3+INT((DAY(EOMONTH($Z$3,0))-1)/2)+AA$11,0)=EOMONTH($AH$3,0),AA$9*AA$10,0),0),IF(AND(W$9&lt;&gt;"",W$11&lt;&gt;""),IF(EOMONTH($V$3+INT((DAY(EOMONTH($V$3,0))-1)/2)+W$11,0)=EOMONTH($AH$3,0),W$9*W$10,0),0),IF(AND(S$9&lt;&gt;"",S$11&lt;&gt;""),IF(EOMONTH($R$3+INT((DAY(EOMONTH($R$3,0))-1)/2)+S$11,0)=EOMONTH($AH$3,0),S$9*S$10,0),0),IF(AND(O$9&lt;&gt;"",O$11&lt;&gt;""),IF(EOMONTH($N$3+INT((DAY(EOMONTH($N$3,0))-1)/2)+O$11,0)=EOMONTH($AH$3,0),O$9*O$10,0),0),IF(AND(K$9&lt;&gt;"",K$11&lt;&gt;""),IF(EOMONTH($J$3+INT((DAY(EOMONTH($J$3,0))-1)/2)+K$11,0)=EOMONTH($AH$3,0),K$9*K$10,0),0),IF(AND(G$9&lt;&gt;"",G$11&lt;&gt;""),IF(EOMONTH($F$3+INT((DAY(EOMONTH($F$3,0))-1)/2)+G$11,0)=EOMONTH($AH$3,0),G$9*G$10,0),0),IF($EP$75="",0,IF(EOMONTH($EP$75+EQ$11,0)=EOMONTH($AH$3,0),$EP$76*EQ$10,0))),0))</f>
        <v>0</v>
      </c>
      <c r="AJ12" s="15">
        <f>ROUND(SUM(IF(AND(ER$9&lt;&gt;"",ER$11&lt;&gt;""),IF(EOMONTH($EP$3+INT((DAY(EOMONTH($EP$3,0))-1)/2)+ER$11,0)=EOMONTH($AH$3,0),ER$9*ER$10,0),0),IF(AND(EN$9&lt;&gt;"",EN$11&lt;&gt;""),IF(EOMONTH($EL$3+INT((DAY(EOMONTH($EL$3,0))-1)/2)+EN$11,0)=EOMONTH($AH$3,0),EN$9*EN$10,0),0),IF(AND(EJ$9&lt;&gt;"",EJ$11&lt;&gt;""),IF(EOMONTH($EH$3+INT((DAY(EOMONTH($EH$3,0))-1)/2)+EJ$11,0)=EOMONTH($AH$3,0),EJ$9*EJ$10,0),0),IF(AND(EF$9&lt;&gt;"",EF$11&lt;&gt;""),IF(EOMONTH($ED$3+INT((DAY(EOMONTH($ED$3,0))-1)/2)+EF$11,0)=EOMONTH($AH$3,0),EF$9*EF$10,0),0),IF(AND(EB$9&lt;&gt;"",EB$11&lt;&gt;""),IF(EOMONTH($DZ$3+INT((DAY(EOMONTH($DZ$3,0))-1)/2)+EB$11,0)=EOMONTH($AH$3,0),EB$9*EB$10,0),0),IF(AND(DX$9&lt;&gt;"",DX$11&lt;&gt;""),IF(EOMONTH($DV$3+INT((DAY(EOMONTH($DV$3,0))-1)/2)+DX$11,0)=EOMONTH($AH$3,0),DX$9*DX$10,0),0),IF(AND(DT$9&lt;&gt;"",DT$11&lt;&gt;""),IF(EOMONTH($DR$3+INT((DAY(EOMONTH($DR$3,0))-1)/2)+DT$11,0)=EOMONTH($AH$3,0),DT$9*DT$10,0),0),IF(AND(DP$9&lt;&gt;"",DP$11&lt;&gt;""),IF(EOMONTH($DN$3+INT((DAY(EOMONTH($DN$3,0))-1)/2)+DP$11,0)=EOMONTH($AH$3,0),DP$9*DP$10,0),0),IF(AND(DL$9&lt;&gt;"",DL$11&lt;&gt;""),IF(EOMONTH($DJ$3+INT((DAY(EOMONTH($DJ$3,0))-1)/2)+DL$11,0)=EOMONTH($AH$3,0),DL$9*DL$10,0),0),IF(AND(DH$9&lt;&gt;"",DH$11&lt;&gt;""),IF(EOMONTH($DF$3+INT((DAY(EOMONTH($DF$3,0))-1)/2)+DH$11,0)=EOMONTH($AH$3,0),DH$9*DH$10,0),0),IF(AND(DD$9&lt;&gt;"",DD$11&lt;&gt;""),IF(EOMONTH($DB$3+INT((DAY(EOMONTH($DB$3,0))-1)/2)+DD$11,0)=EOMONTH($AH$3,0),DD$9*DD$10,0),0),IF(AND(CZ$9&lt;&gt;"",CZ$11&lt;&gt;""),IF(EOMONTH($CX$3+INT((DAY(EOMONTH($CX$3,0))-1)/2)+CZ$11,0)=EOMONTH($AH$3,0),CZ$9*CZ$10,0),0),IF(AND(CV$9&lt;&gt;"",CV$11&lt;&gt;""),IF(EOMONTH($CT$3+INT((DAY(EOMONTH($CT$3,0))-1)/2)+CV$11,0)=EOMONTH($AH$3,0),CV$9*CV$10,0),0),IF(AND(CR$9&lt;&gt;"",CR$11&lt;&gt;""),IF(EOMONTH($CP$3+INT((DAY(EOMONTH($CP$3,0))-1)/2)+CR$11,0)=EOMONTH($AH$3,0),CR$9*CR$10,0),0),IF(AND(CN$9&lt;&gt;"",CN$11&lt;&gt;""),IF(EOMONTH($CL$3+INT((DAY(EOMONTH($CL$3,0))-1)/2)+CN$11,0)=EOMONTH($AH$3,0),CN$9*CN$10,0),0),IF(AND(CJ$9&lt;&gt;"",CJ$11&lt;&gt;""),IF(EOMONTH($CH$3+INT((DAY(EOMONTH($CH$3,0))-1)/2)+CJ$11,0)=EOMONTH($AH$3,0),CJ$9*CJ$10,0),0),IF(AND(CF$9&lt;&gt;"",CF$11&lt;&gt;""),IF(EOMONTH($CD$3+INT((DAY(EOMONTH($CD$3,0))-1)/2)+CF$11,0)=EOMONTH($AH$3,0),CF$9*CF$10,0),0),IF(AND(CB$9&lt;&gt;"",CB$11&lt;&gt;""),IF(EOMONTH($BZ$3+INT((DAY(EOMONTH($BZ$3,0))-1)/2)+CB$11,0)=EOMONTH($AH$3,0),CB$9*CB$10,0),0),IF(AND(BX$9&lt;&gt;"",BX$11&lt;&gt;""),IF(EOMONTH($BV$3+INT((DAY(EOMONTH($BV$3,0))-1)/2)+BX$11,0)=EOMONTH($AH$3,0),BX$9*BX$10,0),0),IF(AND(BT$9&lt;&gt;"",BT$11&lt;&gt;""),IF(EOMONTH($BR$3+INT((DAY(EOMONTH($BR$3,0))-1)/2)+BT$11,0)=EOMONTH($AH$3,0),BT$9*BT$10,0),0),IF(AND(BP$9&lt;&gt;"",BP$11&lt;&gt;""),IF(EOMONTH($BN$3+INT((DAY(EOMONTH($BN$3,0))-1)/2)+BP$11,0)=EOMONTH($AH$3,0),BP$9*BP$10,0),0),IF(AND(BL$9&lt;&gt;"",BL$11&lt;&gt;""),IF(EOMONTH($BJ$3+INT((DAY(EOMONTH($BJ$3,0))-1)/2)+BL$11,0)=EOMONTH($AH$3,0),BL$9*BL$10,0),0),IF(AND(BH$9&lt;&gt;"",BH$11&lt;&gt;""),IF(EOMONTH($BF$3+INT((DAY(EOMONTH($BF$3,0))-1)/2)+BH$11,0)=EOMONTH($AH$3,0),BH$9*BH$10,0),0),IF(AND(BD$9&lt;&gt;"",BD$11&lt;&gt;""),IF(EOMONTH($BB$3+INT((DAY(EOMONTH($BB$3,0))-1)/2)+BD$11,0)=EOMONTH($AH$3,0),BD$9*BD$10,0),0),IF(AND(AZ$9&lt;&gt;"",AZ$11&lt;&gt;""),IF(EOMONTH($AX$3+INT((DAY(EOMONTH($AX$3,0))-1)/2)+AZ$11,0)=EOMONTH($AH$3,0),AZ$9*AZ$10,0),0),IF(AND(AV$9&lt;&gt;"",AV$11&lt;&gt;""),IF(EOMONTH($AT$3+INT((DAY(EOMONTH($AT$3,0))-1)/2)+AV$11,0)=EOMONTH($AH$3,0),AV$9*AV$10,0),0),IF(AND(AR$9&lt;&gt;"",AR$11&lt;&gt;""),IF(EOMONTH($AP$3+INT((DAY(EOMONTH($AP$3,0))-1)/2)+AR$11,0)=EOMONTH($AH$3,0),AR$9*AR$10,0),0),IF(AND(AN$9&lt;&gt;"",AN$11&lt;&gt;""),IF(EOMONTH($AL$3+INT((DAY(EOMONTH($AL$3,0))-1)/2)+AN$11,0)=EOMONTH($AH$3,0),AN$9*AN$10,0),0),IF(AND(AJ$9&lt;&gt;"",AJ$11&lt;&gt;""),IF(EOMONTH($AH$3+INT((DAY(EOMONTH($AH$3,0))-1)/2)+AJ$11,0)=EOMONTH($AH$3,0),AJ$9*AJ$10,0),0),IF(AND(AF$9&lt;&gt;"",AF$11&lt;&gt;""),IF(EOMONTH($AD$3+INT((DAY(EOMONTH($AD$3,0))-1)/2)+AF$11,0)=EOMONTH($AH$3,0),AF$9*AF$10,0),0),IF(AND(AB$9&lt;&gt;"",AB$11&lt;&gt;""),IF(EOMONTH($Z$3+INT((DAY(EOMONTH($Z$3,0))-1)/2)+AB$11,0)=EOMONTH($AH$3,0),AB$9*AB$10,0),0),IF(AND(X$9&lt;&gt;"",X$11&lt;&gt;""),IF(EOMONTH($V$3+INT((DAY(EOMONTH($V$3,0))-1)/2)+X$11,0)=EOMONTH($AH$3,0),X$9*X$10,0),0),IF(AND(T$9&lt;&gt;"",T$11&lt;&gt;""),IF(EOMONTH($R$3+INT((DAY(EOMONTH($R$3,0))-1)/2)+T$11,0)=EOMONTH($AH$3,0),T$9*T$10,0),0),IF(AND(P$9&lt;&gt;"",P$11&lt;&gt;""),IF(EOMONTH($N$3+INT((DAY(EOMONTH($N$3,0))-1)/2)+P$11,0)=EOMONTH($AH$3,0),P$9*P$10,0),0),IF(AND(L$9&lt;&gt;"",L$11&lt;&gt;""),IF(EOMONTH($J$3+INT((DAY(EOMONTH($J$3,0))-1)/2)+L$11,0)=EOMONTH($AH$3,0),L$9*L$10,0),0),IF(AND(H$9&lt;&gt;"",H$11&lt;&gt;""),IF(EOMONTH($F$3+INT((DAY(EOMONTH($F$3,0))-1)/2)+H$11,0)=EOMONTH($AH$3,0),H$9*H$10,0),0),IF($EP$75="",0,IF(EOMONTH($EP$75+ER$11,0)=EOMONTH($AH$3,0),$EP$76*ER$10,0))),0)</f>
        <v>0</v>
      </c>
      <c r="AK12" s="16">
        <f t="shared" si="19"/>
        <v>0</v>
      </c>
      <c r="AL12" s="17"/>
      <c r="AM12" s="14">
        <f>IF(AL$98=1,AL12,ROUND(SUM(IF(AND(EQ$9&lt;&gt;"",EQ$11&lt;&gt;""),IF(EOMONTH($EP$3+INT((DAY(EOMONTH($EP$3,0))-1)/2)+EQ$11,0)=EOMONTH($AL$3,0),EQ$9*EQ$10,0),0),IF(AND(EM$9&lt;&gt;"",EM$11&lt;&gt;""),IF(EOMONTH($EL$3+INT((DAY(EOMONTH($EL$3,0))-1)/2)+EM$11,0)=EOMONTH($AL$3,0),EM$9*EM$10,0),0),IF(AND(EI$9&lt;&gt;"",EI$11&lt;&gt;""),IF(EOMONTH($EH$3+INT((DAY(EOMONTH($EH$3,0))-1)/2)+EI$11,0)=EOMONTH($AL$3,0),EI$9*EI$10,0),0),IF(AND(EE$9&lt;&gt;"",EE$11&lt;&gt;""),IF(EOMONTH($ED$3+INT((DAY(EOMONTH($ED$3,0))-1)/2)+EE$11,0)=EOMONTH($AL$3,0),EE$9*EE$10,0),0),IF(AND(EA$9&lt;&gt;"",EA$11&lt;&gt;""),IF(EOMONTH($DZ$3+INT((DAY(EOMONTH($DZ$3,0))-1)/2)+EA$11,0)=EOMONTH($AL$3,0),EA$9*EA$10,0),0),IF(AND(DW$9&lt;&gt;"",DW$11&lt;&gt;""),IF(EOMONTH($DV$3+INT((DAY(EOMONTH($DV$3,0))-1)/2)+DW$11,0)=EOMONTH($AL$3,0),DW$9*DW$10,0),0),IF(AND(DS$9&lt;&gt;"",DS$11&lt;&gt;""),IF(EOMONTH($DR$3+INT((DAY(EOMONTH($DR$3,0))-1)/2)+DS$11,0)=EOMONTH($AL$3,0),DS$9*DS$10,0),0),IF(AND(DO$9&lt;&gt;"",DO$11&lt;&gt;""),IF(EOMONTH($DN$3+INT((DAY(EOMONTH($DN$3,0))-1)/2)+DO$11,0)=EOMONTH($AL$3,0),DO$9*DO$10,0),0),IF(AND(DK$9&lt;&gt;"",DK$11&lt;&gt;""),IF(EOMONTH($DJ$3+INT((DAY(EOMONTH($DJ$3,0))-1)/2)+DK$11,0)=EOMONTH($AL$3,0),DK$9*DK$10,0),0),IF(AND(DG$9&lt;&gt;"",DG$11&lt;&gt;""),IF(EOMONTH($DF$3+INT((DAY(EOMONTH($DF$3,0))-1)/2)+DG$11,0)=EOMONTH($AL$3,0),DG$9*DG$10,0),0),IF(AND(DC$9&lt;&gt;"",DC$11&lt;&gt;""),IF(EOMONTH($DB$3+INT((DAY(EOMONTH($DB$3,0))-1)/2)+DC$11,0)=EOMONTH($AL$3,0),DC$9*DC$10,0),0),IF(AND(CY$9&lt;&gt;"",CY$11&lt;&gt;""),IF(EOMONTH($CX$3+INT((DAY(EOMONTH($CX$3,0))-1)/2)+CY$11,0)=EOMONTH($AL$3,0),CY$9*CY$10,0),0),IF(AND(CU$9&lt;&gt;"",CU$11&lt;&gt;""),IF(EOMONTH($CT$3+INT((DAY(EOMONTH($CT$3,0))-1)/2)+CU$11,0)=EOMONTH($AL$3,0),CU$9*CU$10,0),0),IF(AND(CQ$9&lt;&gt;"",CQ$11&lt;&gt;""),IF(EOMONTH($CP$3+INT((DAY(EOMONTH($CP$3,0))-1)/2)+CQ$11,0)=EOMONTH($AL$3,0),CQ$9*CQ$10,0),0),IF(AND(CM$9&lt;&gt;"",CM$11&lt;&gt;""),IF(EOMONTH($CL$3+INT((DAY(EOMONTH($CL$3,0))-1)/2)+CM$11,0)=EOMONTH($AL$3,0),CM$9*CM$10,0),0),IF(AND(CI$9&lt;&gt;"",CI$11&lt;&gt;""),IF(EOMONTH($CH$3+INT((DAY(EOMONTH($CH$3,0))-1)/2)+CI$11,0)=EOMONTH($AL$3,0),CI$9*CI$10,0),0),IF(AND(CE$9&lt;&gt;"",CE$11&lt;&gt;""),IF(EOMONTH($CD$3+INT((DAY(EOMONTH($CD$3,0))-1)/2)+CE$11,0)=EOMONTH($AL$3,0),CE$9*CE$10,0),0),IF(AND(CA$9&lt;&gt;"",CA$11&lt;&gt;""),IF(EOMONTH($BZ$3+INT((DAY(EOMONTH($BZ$3,0))-1)/2)+CA$11,0)=EOMONTH($AL$3,0),CA$9*CA$10,0),0),IF(AND(BW$9&lt;&gt;"",BW$11&lt;&gt;""),IF(EOMONTH($BV$3+INT((DAY(EOMONTH($BV$3,0))-1)/2)+BW$11,0)=EOMONTH($AL$3,0),BW$9*BW$10,0),0),IF(AND(BS$9&lt;&gt;"",BS$11&lt;&gt;""),IF(EOMONTH($BR$3+INT((DAY(EOMONTH($BR$3,0))-1)/2)+BS$11,0)=EOMONTH($AL$3,0),BS$9*BS$10,0),0),IF(AND(BO$9&lt;&gt;"",BO$11&lt;&gt;""),IF(EOMONTH($BN$3+INT((DAY(EOMONTH($BN$3,0))-1)/2)+BO$11,0)=EOMONTH($AL$3,0),BO$9*BO$10,0),0),IF(AND(BK$9&lt;&gt;"",BK$11&lt;&gt;""),IF(EOMONTH($BJ$3+INT((DAY(EOMONTH($BJ$3,0))-1)/2)+BK$11,0)=EOMONTH($AL$3,0),BK$9*BK$10,0),0),IF(AND(BG$9&lt;&gt;"",BG$11&lt;&gt;""),IF(EOMONTH($BF$3+INT((DAY(EOMONTH($BF$3,0))-1)/2)+BG$11,0)=EOMONTH($AL$3,0),BG$9*BG$10,0),0),IF(AND(BC$9&lt;&gt;"",BC$11&lt;&gt;""),IF(EOMONTH($BB$3+INT((DAY(EOMONTH($BB$3,0))-1)/2)+BC$11,0)=EOMONTH($AL$3,0),BC$9*BC$10,0),0),IF(AND(AY$9&lt;&gt;"",AY$11&lt;&gt;""),IF(EOMONTH($AX$3+INT((DAY(EOMONTH($AX$3,0))-1)/2)+AY$11,0)=EOMONTH($AL$3,0),AY$9*AY$10,0),0),IF(AND(AU$9&lt;&gt;"",AU$11&lt;&gt;""),IF(EOMONTH($AT$3+INT((DAY(EOMONTH($AT$3,0))-1)/2)+AU$11,0)=EOMONTH($AL$3,0),AU$9*AU$10,0),0),IF(AND(AQ$9&lt;&gt;"",AQ$11&lt;&gt;""),IF(EOMONTH($AP$3+INT((DAY(EOMONTH($AP$3,0))-1)/2)+AQ$11,0)=EOMONTH($AL$3,0),AQ$9*AQ$10,0),0),IF(AND(AM$9&lt;&gt;"",AM$11&lt;&gt;""),IF(EOMONTH($AL$3+INT((DAY(EOMONTH($AL$3,0))-1)/2)+AM$11,0)=EOMONTH($AL$3,0),AM$9*AM$10,0),0),IF(AND(AI$9&lt;&gt;"",AI$11&lt;&gt;""),IF(EOMONTH($AH$3+INT((DAY(EOMONTH($AH$3,0))-1)/2)+AI$11,0)=EOMONTH($AL$3,0),AI$9*AI$10,0),0),IF(AND(AE$9&lt;&gt;"",AE$11&lt;&gt;""),IF(EOMONTH($AD$3+INT((DAY(EOMONTH($AD$3,0))-1)/2)+AE$11,0)=EOMONTH($AL$3,0),AE$9*AE$10,0),0),IF(AND(AA$9&lt;&gt;"",AA$11&lt;&gt;""),IF(EOMONTH($Z$3+INT((DAY(EOMONTH($Z$3,0))-1)/2)+AA$11,0)=EOMONTH($AL$3,0),AA$9*AA$10,0),0),IF(AND(W$9&lt;&gt;"",W$11&lt;&gt;""),IF(EOMONTH($V$3+INT((DAY(EOMONTH($V$3,0))-1)/2)+W$11,0)=EOMONTH($AL$3,0),W$9*W$10,0),0),IF(AND(S$9&lt;&gt;"",S$11&lt;&gt;""),IF(EOMONTH($R$3+INT((DAY(EOMONTH($R$3,0))-1)/2)+S$11,0)=EOMONTH($AL$3,0),S$9*S$10,0),0),IF(AND(O$9&lt;&gt;"",O$11&lt;&gt;""),IF(EOMONTH($N$3+INT((DAY(EOMONTH($N$3,0))-1)/2)+O$11,0)=EOMONTH($AL$3,0),O$9*O$10,0),0),IF(AND(K$9&lt;&gt;"",K$11&lt;&gt;""),IF(EOMONTH($J$3+INT((DAY(EOMONTH($J$3,0))-1)/2)+K$11,0)=EOMONTH($AL$3,0),K$9*K$10,0),0),IF(AND(G$9&lt;&gt;"",G$11&lt;&gt;""),IF(EOMONTH($F$3+INT((DAY(EOMONTH($F$3,0))-1)/2)+G$11,0)=EOMONTH($AL$3,0),G$9*G$10,0),0),IF($EP$75="",0,IF(EOMONTH($EP$75+EQ$11,0)=EOMONTH($AL$3,0),$EP$76*EQ$10,0))),0))</f>
        <v>0</v>
      </c>
      <c r="AN12" s="15">
        <f>ROUND(SUM(IF(AND(ER$9&lt;&gt;"",ER$11&lt;&gt;""),IF(EOMONTH($EP$3+INT((DAY(EOMONTH($EP$3,0))-1)/2)+ER$11,0)=EOMONTH($AL$3,0),ER$9*ER$10,0),0),IF(AND(EN$9&lt;&gt;"",EN$11&lt;&gt;""),IF(EOMONTH($EL$3+INT((DAY(EOMONTH($EL$3,0))-1)/2)+EN$11,0)=EOMONTH($AL$3,0),EN$9*EN$10,0),0),IF(AND(EJ$9&lt;&gt;"",EJ$11&lt;&gt;""),IF(EOMONTH($EH$3+INT((DAY(EOMONTH($EH$3,0))-1)/2)+EJ$11,0)=EOMONTH($AL$3,0),EJ$9*EJ$10,0),0),IF(AND(EF$9&lt;&gt;"",EF$11&lt;&gt;""),IF(EOMONTH($ED$3+INT((DAY(EOMONTH($ED$3,0))-1)/2)+EF$11,0)=EOMONTH($AL$3,0),EF$9*EF$10,0),0),IF(AND(EB$9&lt;&gt;"",EB$11&lt;&gt;""),IF(EOMONTH($DZ$3+INT((DAY(EOMONTH($DZ$3,0))-1)/2)+EB$11,0)=EOMONTH($AL$3,0),EB$9*EB$10,0),0),IF(AND(DX$9&lt;&gt;"",DX$11&lt;&gt;""),IF(EOMONTH($DV$3+INT((DAY(EOMONTH($DV$3,0))-1)/2)+DX$11,0)=EOMONTH($AL$3,0),DX$9*DX$10,0),0),IF(AND(DT$9&lt;&gt;"",DT$11&lt;&gt;""),IF(EOMONTH($DR$3+INT((DAY(EOMONTH($DR$3,0))-1)/2)+DT$11,0)=EOMONTH($AL$3,0),DT$9*DT$10,0),0),IF(AND(DP$9&lt;&gt;"",DP$11&lt;&gt;""),IF(EOMONTH($DN$3+INT((DAY(EOMONTH($DN$3,0))-1)/2)+DP$11,0)=EOMONTH($AL$3,0),DP$9*DP$10,0),0),IF(AND(DL$9&lt;&gt;"",DL$11&lt;&gt;""),IF(EOMONTH($DJ$3+INT((DAY(EOMONTH($DJ$3,0))-1)/2)+DL$11,0)=EOMONTH($AL$3,0),DL$9*DL$10,0),0),IF(AND(DH$9&lt;&gt;"",DH$11&lt;&gt;""),IF(EOMONTH($DF$3+INT((DAY(EOMONTH($DF$3,0))-1)/2)+DH$11,0)=EOMONTH($AL$3,0),DH$9*DH$10,0),0),IF(AND(DD$9&lt;&gt;"",DD$11&lt;&gt;""),IF(EOMONTH($DB$3+INT((DAY(EOMONTH($DB$3,0))-1)/2)+DD$11,0)=EOMONTH($AL$3,0),DD$9*DD$10,0),0),IF(AND(CZ$9&lt;&gt;"",CZ$11&lt;&gt;""),IF(EOMONTH($CX$3+INT((DAY(EOMONTH($CX$3,0))-1)/2)+CZ$11,0)=EOMONTH($AL$3,0),CZ$9*CZ$10,0),0),IF(AND(CV$9&lt;&gt;"",CV$11&lt;&gt;""),IF(EOMONTH($CT$3+INT((DAY(EOMONTH($CT$3,0))-1)/2)+CV$11,0)=EOMONTH($AL$3,0),CV$9*CV$10,0),0),IF(AND(CR$9&lt;&gt;"",CR$11&lt;&gt;""),IF(EOMONTH($CP$3+INT((DAY(EOMONTH($CP$3,0))-1)/2)+CR$11,0)=EOMONTH($AL$3,0),CR$9*CR$10,0),0),IF(AND(CN$9&lt;&gt;"",CN$11&lt;&gt;""),IF(EOMONTH($CL$3+INT((DAY(EOMONTH($CL$3,0))-1)/2)+CN$11,0)=EOMONTH($AL$3,0),CN$9*CN$10,0),0),IF(AND(CJ$9&lt;&gt;"",CJ$11&lt;&gt;""),IF(EOMONTH($CH$3+INT((DAY(EOMONTH($CH$3,0))-1)/2)+CJ$11,0)=EOMONTH($AL$3,0),CJ$9*CJ$10,0),0),IF(AND(CF$9&lt;&gt;"",CF$11&lt;&gt;""),IF(EOMONTH($CD$3+INT((DAY(EOMONTH($CD$3,0))-1)/2)+CF$11,0)=EOMONTH($AL$3,0),CF$9*CF$10,0),0),IF(AND(CB$9&lt;&gt;"",CB$11&lt;&gt;""),IF(EOMONTH($BZ$3+INT((DAY(EOMONTH($BZ$3,0))-1)/2)+CB$11,0)=EOMONTH($AL$3,0),CB$9*CB$10,0),0),IF(AND(BX$9&lt;&gt;"",BX$11&lt;&gt;""),IF(EOMONTH($BV$3+INT((DAY(EOMONTH($BV$3,0))-1)/2)+BX$11,0)=EOMONTH($AL$3,0),BX$9*BX$10,0),0),IF(AND(BT$9&lt;&gt;"",BT$11&lt;&gt;""),IF(EOMONTH($BR$3+INT((DAY(EOMONTH($BR$3,0))-1)/2)+BT$11,0)=EOMONTH($AL$3,0),BT$9*BT$10,0),0),IF(AND(BP$9&lt;&gt;"",BP$11&lt;&gt;""),IF(EOMONTH($BN$3+INT((DAY(EOMONTH($BN$3,0))-1)/2)+BP$11,0)=EOMONTH($AL$3,0),BP$9*BP$10,0),0),IF(AND(BL$9&lt;&gt;"",BL$11&lt;&gt;""),IF(EOMONTH($BJ$3+INT((DAY(EOMONTH($BJ$3,0))-1)/2)+BL$11,0)=EOMONTH($AL$3,0),BL$9*BL$10,0),0),IF(AND(BH$9&lt;&gt;"",BH$11&lt;&gt;""),IF(EOMONTH($BF$3+INT((DAY(EOMONTH($BF$3,0))-1)/2)+BH$11,0)=EOMONTH($AL$3,0),BH$9*BH$10,0),0),IF(AND(BD$9&lt;&gt;"",BD$11&lt;&gt;""),IF(EOMONTH($BB$3+INT((DAY(EOMONTH($BB$3,0))-1)/2)+BD$11,0)=EOMONTH($AL$3,0),BD$9*BD$10,0),0),IF(AND(AZ$9&lt;&gt;"",AZ$11&lt;&gt;""),IF(EOMONTH($AX$3+INT((DAY(EOMONTH($AX$3,0))-1)/2)+AZ$11,0)=EOMONTH($AL$3,0),AZ$9*AZ$10,0),0),IF(AND(AV$9&lt;&gt;"",AV$11&lt;&gt;""),IF(EOMONTH($AT$3+INT((DAY(EOMONTH($AT$3,0))-1)/2)+AV$11,0)=EOMONTH($AL$3,0),AV$9*AV$10,0),0),IF(AND(AR$9&lt;&gt;"",AR$11&lt;&gt;""),IF(EOMONTH($AP$3+INT((DAY(EOMONTH($AP$3,0))-1)/2)+AR$11,0)=EOMONTH($AL$3,0),AR$9*AR$10,0),0),IF(AND(AN$9&lt;&gt;"",AN$11&lt;&gt;""),IF(EOMONTH($AL$3+INT((DAY(EOMONTH($AL$3,0))-1)/2)+AN$11,0)=EOMONTH($AL$3,0),AN$9*AN$10,0),0),IF(AND(AJ$9&lt;&gt;"",AJ$11&lt;&gt;""),IF(EOMONTH($AH$3+INT((DAY(EOMONTH($AH$3,0))-1)/2)+AJ$11,0)=EOMONTH($AL$3,0),AJ$9*AJ$10,0),0),IF(AND(AF$9&lt;&gt;"",AF$11&lt;&gt;""),IF(EOMONTH($AD$3+INT((DAY(EOMONTH($AD$3,0))-1)/2)+AF$11,0)=EOMONTH($AL$3,0),AF$9*AF$10,0),0),IF(AND(AB$9&lt;&gt;"",AB$11&lt;&gt;""),IF(EOMONTH($Z$3+INT((DAY(EOMONTH($Z$3,0))-1)/2)+AB$11,0)=EOMONTH($AL$3,0),AB$9*AB$10,0),0),IF(AND(X$9&lt;&gt;"",X$11&lt;&gt;""),IF(EOMONTH($V$3+INT((DAY(EOMONTH($V$3,0))-1)/2)+X$11,0)=EOMONTH($AL$3,0),X$9*X$10,0),0),IF(AND(T$9&lt;&gt;"",T$11&lt;&gt;""),IF(EOMONTH($R$3+INT((DAY(EOMONTH($R$3,0))-1)/2)+T$11,0)=EOMONTH($AL$3,0),T$9*T$10,0),0),IF(AND(P$9&lt;&gt;"",P$11&lt;&gt;""),IF(EOMONTH($N$3+INT((DAY(EOMONTH($N$3,0))-1)/2)+P$11,0)=EOMONTH($AL$3,0),P$9*P$10,0),0),IF(AND(L$9&lt;&gt;"",L$11&lt;&gt;""),IF(EOMONTH($J$3+INT((DAY(EOMONTH($J$3,0))-1)/2)+L$11,0)=EOMONTH($AL$3,0),L$9*L$10,0),0),IF(AND(H$9&lt;&gt;"",H$11&lt;&gt;""),IF(EOMONTH($F$3+INT((DAY(EOMONTH($F$3,0))-1)/2)+H$11,0)=EOMONTH($AL$3,0),H$9*H$10,0),0),IF($EP$75="",0,IF(EOMONTH($EP$75+ER$11,0)=EOMONTH($AL$3,0),$EP$76*ER$10,0))),0)</f>
        <v>0</v>
      </c>
      <c r="AO12" s="16">
        <f t="shared" si="21"/>
        <v>0</v>
      </c>
      <c r="AP12" s="17"/>
      <c r="AQ12" s="14">
        <f>IF(AP$98=1,AP12,ROUND(SUM(IF(AND(EQ$9&lt;&gt;"",EQ$11&lt;&gt;""),IF(EOMONTH($EP$3+INT((DAY(EOMONTH($EP$3,0))-1)/2)+EQ$11,0)=EOMONTH($AP$3,0),EQ$9*EQ$10,0),0),IF(AND(EM$9&lt;&gt;"",EM$11&lt;&gt;""),IF(EOMONTH($EL$3+INT((DAY(EOMONTH($EL$3,0))-1)/2)+EM$11,0)=EOMONTH($AP$3,0),EM$9*EM$10,0),0),IF(AND(EI$9&lt;&gt;"",EI$11&lt;&gt;""),IF(EOMONTH($EH$3+INT((DAY(EOMONTH($EH$3,0))-1)/2)+EI$11,0)=EOMONTH($AP$3,0),EI$9*EI$10,0),0),IF(AND(EE$9&lt;&gt;"",EE$11&lt;&gt;""),IF(EOMONTH($ED$3+INT((DAY(EOMONTH($ED$3,0))-1)/2)+EE$11,0)=EOMONTH($AP$3,0),EE$9*EE$10,0),0),IF(AND(EA$9&lt;&gt;"",EA$11&lt;&gt;""),IF(EOMONTH($DZ$3+INT((DAY(EOMONTH($DZ$3,0))-1)/2)+EA$11,0)=EOMONTH($AP$3,0),EA$9*EA$10,0),0),IF(AND(DW$9&lt;&gt;"",DW$11&lt;&gt;""),IF(EOMONTH($DV$3+INT((DAY(EOMONTH($DV$3,0))-1)/2)+DW$11,0)=EOMONTH($AP$3,0),DW$9*DW$10,0),0),IF(AND(DS$9&lt;&gt;"",DS$11&lt;&gt;""),IF(EOMONTH($DR$3+INT((DAY(EOMONTH($DR$3,0))-1)/2)+DS$11,0)=EOMONTH($AP$3,0),DS$9*DS$10,0),0),IF(AND(DO$9&lt;&gt;"",DO$11&lt;&gt;""),IF(EOMONTH($DN$3+INT((DAY(EOMONTH($DN$3,0))-1)/2)+DO$11,0)=EOMONTH($AP$3,0),DO$9*DO$10,0),0),IF(AND(DK$9&lt;&gt;"",DK$11&lt;&gt;""),IF(EOMONTH($DJ$3+INT((DAY(EOMONTH($DJ$3,0))-1)/2)+DK$11,0)=EOMONTH($AP$3,0),DK$9*DK$10,0),0),IF(AND(DG$9&lt;&gt;"",DG$11&lt;&gt;""),IF(EOMONTH($DF$3+INT((DAY(EOMONTH($DF$3,0))-1)/2)+DG$11,0)=EOMONTH($AP$3,0),DG$9*DG$10,0),0),IF(AND(DC$9&lt;&gt;"",DC$11&lt;&gt;""),IF(EOMONTH($DB$3+INT((DAY(EOMONTH($DB$3,0))-1)/2)+DC$11,0)=EOMONTH($AP$3,0),DC$9*DC$10,0),0),IF(AND(CY$9&lt;&gt;"",CY$11&lt;&gt;""),IF(EOMONTH($CX$3+INT((DAY(EOMONTH($CX$3,0))-1)/2)+CY$11,0)=EOMONTH($AP$3,0),CY$9*CY$10,0),0),IF(AND(CU$9&lt;&gt;"",CU$11&lt;&gt;""),IF(EOMONTH($CT$3+INT((DAY(EOMONTH($CT$3,0))-1)/2)+CU$11,0)=EOMONTH($AP$3,0),CU$9*CU$10,0),0),IF(AND(CQ$9&lt;&gt;"",CQ$11&lt;&gt;""),IF(EOMONTH($CP$3+INT((DAY(EOMONTH($CP$3,0))-1)/2)+CQ$11,0)=EOMONTH($AP$3,0),CQ$9*CQ$10,0),0),IF(AND(CM$9&lt;&gt;"",CM$11&lt;&gt;""),IF(EOMONTH($CL$3+INT((DAY(EOMONTH($CL$3,0))-1)/2)+CM$11,0)=EOMONTH($AP$3,0),CM$9*CM$10,0),0),IF(AND(CI$9&lt;&gt;"",CI$11&lt;&gt;""),IF(EOMONTH($CH$3+INT((DAY(EOMONTH($CH$3,0))-1)/2)+CI$11,0)=EOMONTH($AP$3,0),CI$9*CI$10,0),0),IF(AND(CE$9&lt;&gt;"",CE$11&lt;&gt;""),IF(EOMONTH($CD$3+INT((DAY(EOMONTH($CD$3,0))-1)/2)+CE$11,0)=EOMONTH($AP$3,0),CE$9*CE$10,0),0),IF(AND(CA$9&lt;&gt;"",CA$11&lt;&gt;""),IF(EOMONTH($BZ$3+INT((DAY(EOMONTH($BZ$3,0))-1)/2)+CA$11,0)=EOMONTH($AP$3,0),CA$9*CA$10,0),0),IF(AND(BW$9&lt;&gt;"",BW$11&lt;&gt;""),IF(EOMONTH($BV$3+INT((DAY(EOMONTH($BV$3,0))-1)/2)+BW$11,0)=EOMONTH($AP$3,0),BW$9*BW$10,0),0),IF(AND(BS$9&lt;&gt;"",BS$11&lt;&gt;""),IF(EOMONTH($BR$3+INT((DAY(EOMONTH($BR$3,0))-1)/2)+BS$11,0)=EOMONTH($AP$3,0),BS$9*BS$10,0),0),IF(AND(BO$9&lt;&gt;"",BO$11&lt;&gt;""),IF(EOMONTH($BN$3+INT((DAY(EOMONTH($BN$3,0))-1)/2)+BO$11,0)=EOMONTH($AP$3,0),BO$9*BO$10,0),0),IF(AND(BK$9&lt;&gt;"",BK$11&lt;&gt;""),IF(EOMONTH($BJ$3+INT((DAY(EOMONTH($BJ$3,0))-1)/2)+BK$11,0)=EOMONTH($AP$3,0),BK$9*BK$10,0),0),IF(AND(BG$9&lt;&gt;"",BG$11&lt;&gt;""),IF(EOMONTH($BF$3+INT((DAY(EOMONTH($BF$3,0))-1)/2)+BG$11,0)=EOMONTH($AP$3,0),BG$9*BG$10,0),0),IF(AND(BC$9&lt;&gt;"",BC$11&lt;&gt;""),IF(EOMONTH($BB$3+INT((DAY(EOMONTH($BB$3,0))-1)/2)+BC$11,0)=EOMONTH($AP$3,0),BC$9*BC$10,0),0),IF(AND(AY$9&lt;&gt;"",AY$11&lt;&gt;""),IF(EOMONTH($AX$3+INT((DAY(EOMONTH($AX$3,0))-1)/2)+AY$11,0)=EOMONTH($AP$3,0),AY$9*AY$10,0),0),IF(AND(AU$9&lt;&gt;"",AU$11&lt;&gt;""),IF(EOMONTH($AT$3+INT((DAY(EOMONTH($AT$3,0))-1)/2)+AU$11,0)=EOMONTH($AP$3,0),AU$9*AU$10,0),0),IF(AND(AQ$9&lt;&gt;"",AQ$11&lt;&gt;""),IF(EOMONTH($AP$3+INT((DAY(EOMONTH($AP$3,0))-1)/2)+AQ$11,0)=EOMONTH($AP$3,0),AQ$9*AQ$10,0),0),IF(AND(AM$9&lt;&gt;"",AM$11&lt;&gt;""),IF(EOMONTH($AL$3+INT((DAY(EOMONTH($AL$3,0))-1)/2)+AM$11,0)=EOMONTH($AP$3,0),AM$9*AM$10,0),0),IF(AND(AI$9&lt;&gt;"",AI$11&lt;&gt;""),IF(EOMONTH($AH$3+INT((DAY(EOMONTH($AH$3,0))-1)/2)+AI$11,0)=EOMONTH($AP$3,0),AI$9*AI$10,0),0),IF(AND(AE$9&lt;&gt;"",AE$11&lt;&gt;""),IF(EOMONTH($AD$3+INT((DAY(EOMONTH($AD$3,0))-1)/2)+AE$11,0)=EOMONTH($AP$3,0),AE$9*AE$10,0),0),IF(AND(AA$9&lt;&gt;"",AA$11&lt;&gt;""),IF(EOMONTH($Z$3+INT((DAY(EOMONTH($Z$3,0))-1)/2)+AA$11,0)=EOMONTH($AP$3,0),AA$9*AA$10,0),0),IF(AND(W$9&lt;&gt;"",W$11&lt;&gt;""),IF(EOMONTH($V$3+INT((DAY(EOMONTH($V$3,0))-1)/2)+W$11,0)=EOMONTH($AP$3,0),W$9*W$10,0),0),IF(AND(S$9&lt;&gt;"",S$11&lt;&gt;""),IF(EOMONTH($R$3+INT((DAY(EOMONTH($R$3,0))-1)/2)+S$11,0)=EOMONTH($AP$3,0),S$9*S$10,0),0),IF(AND(O$9&lt;&gt;"",O$11&lt;&gt;""),IF(EOMONTH($N$3+INT((DAY(EOMONTH($N$3,0))-1)/2)+O$11,0)=EOMONTH($AP$3,0),O$9*O$10,0),0),IF(AND(K$9&lt;&gt;"",K$11&lt;&gt;""),IF(EOMONTH($J$3+INT((DAY(EOMONTH($J$3,0))-1)/2)+K$11,0)=EOMONTH($AP$3,0),K$9*K$10,0),0),IF(AND(G$9&lt;&gt;"",G$11&lt;&gt;""),IF(EOMONTH($F$3+INT((DAY(EOMONTH($F$3,0))-1)/2)+G$11,0)=EOMONTH($AP$3,0),G$9*G$10,0),0),IF($EP$75="",0,IF(EOMONTH($EP$75+EQ$11,0)=EOMONTH($AP$3,0),$EP$76*EQ$10,0))),0))</f>
        <v>0</v>
      </c>
      <c r="AR12" s="15">
        <f>ROUND(SUM(IF(AND(ER$9&lt;&gt;"",ER$11&lt;&gt;""),IF(EOMONTH($EP$3+INT((DAY(EOMONTH($EP$3,0))-1)/2)+ER$11,0)=EOMONTH($AP$3,0),ER$9*ER$10,0),0),IF(AND(EN$9&lt;&gt;"",EN$11&lt;&gt;""),IF(EOMONTH($EL$3+INT((DAY(EOMONTH($EL$3,0))-1)/2)+EN$11,0)=EOMONTH($AP$3,0),EN$9*EN$10,0),0),IF(AND(EJ$9&lt;&gt;"",EJ$11&lt;&gt;""),IF(EOMONTH($EH$3+INT((DAY(EOMONTH($EH$3,0))-1)/2)+EJ$11,0)=EOMONTH($AP$3,0),EJ$9*EJ$10,0),0),IF(AND(EF$9&lt;&gt;"",EF$11&lt;&gt;""),IF(EOMONTH($ED$3+INT((DAY(EOMONTH($ED$3,0))-1)/2)+EF$11,0)=EOMONTH($AP$3,0),EF$9*EF$10,0),0),IF(AND(EB$9&lt;&gt;"",EB$11&lt;&gt;""),IF(EOMONTH($DZ$3+INT((DAY(EOMONTH($DZ$3,0))-1)/2)+EB$11,0)=EOMONTH($AP$3,0),EB$9*EB$10,0),0),IF(AND(DX$9&lt;&gt;"",DX$11&lt;&gt;""),IF(EOMONTH($DV$3+INT((DAY(EOMONTH($DV$3,0))-1)/2)+DX$11,0)=EOMONTH($AP$3,0),DX$9*DX$10,0),0),IF(AND(DT$9&lt;&gt;"",DT$11&lt;&gt;""),IF(EOMONTH($DR$3+INT((DAY(EOMONTH($DR$3,0))-1)/2)+DT$11,0)=EOMONTH($AP$3,0),DT$9*DT$10,0),0),IF(AND(DP$9&lt;&gt;"",DP$11&lt;&gt;""),IF(EOMONTH($DN$3+INT((DAY(EOMONTH($DN$3,0))-1)/2)+DP$11,0)=EOMONTH($AP$3,0),DP$9*DP$10,0),0),IF(AND(DL$9&lt;&gt;"",DL$11&lt;&gt;""),IF(EOMONTH($DJ$3+INT((DAY(EOMONTH($DJ$3,0))-1)/2)+DL$11,0)=EOMONTH($AP$3,0),DL$9*DL$10,0),0),IF(AND(DH$9&lt;&gt;"",DH$11&lt;&gt;""),IF(EOMONTH($DF$3+INT((DAY(EOMONTH($DF$3,0))-1)/2)+DH$11,0)=EOMONTH($AP$3,0),DH$9*DH$10,0),0),IF(AND(DD$9&lt;&gt;"",DD$11&lt;&gt;""),IF(EOMONTH($DB$3+INT((DAY(EOMONTH($DB$3,0))-1)/2)+DD$11,0)=EOMONTH($AP$3,0),DD$9*DD$10,0),0),IF(AND(CZ$9&lt;&gt;"",CZ$11&lt;&gt;""),IF(EOMONTH($CX$3+INT((DAY(EOMONTH($CX$3,0))-1)/2)+CZ$11,0)=EOMONTH($AP$3,0),CZ$9*CZ$10,0),0),IF(AND(CV$9&lt;&gt;"",CV$11&lt;&gt;""),IF(EOMONTH($CT$3+INT((DAY(EOMONTH($CT$3,0))-1)/2)+CV$11,0)=EOMONTH($AP$3,0),CV$9*CV$10,0),0),IF(AND(CR$9&lt;&gt;"",CR$11&lt;&gt;""),IF(EOMONTH($CP$3+INT((DAY(EOMONTH($CP$3,0))-1)/2)+CR$11,0)=EOMONTH($AP$3,0),CR$9*CR$10,0),0),IF(AND(CN$9&lt;&gt;"",CN$11&lt;&gt;""),IF(EOMONTH($CL$3+INT((DAY(EOMONTH($CL$3,0))-1)/2)+CN$11,0)=EOMONTH($AP$3,0),CN$9*CN$10,0),0),IF(AND(CJ$9&lt;&gt;"",CJ$11&lt;&gt;""),IF(EOMONTH($CH$3+INT((DAY(EOMONTH($CH$3,0))-1)/2)+CJ$11,0)=EOMONTH($AP$3,0),CJ$9*CJ$10,0),0),IF(AND(CF$9&lt;&gt;"",CF$11&lt;&gt;""),IF(EOMONTH($CD$3+INT((DAY(EOMONTH($CD$3,0))-1)/2)+CF$11,0)=EOMONTH($AP$3,0),CF$9*CF$10,0),0),IF(AND(CB$9&lt;&gt;"",CB$11&lt;&gt;""),IF(EOMONTH($BZ$3+INT((DAY(EOMONTH($BZ$3,0))-1)/2)+CB$11,0)=EOMONTH($AP$3,0),CB$9*CB$10,0),0),IF(AND(BX$9&lt;&gt;"",BX$11&lt;&gt;""),IF(EOMONTH($BV$3+INT((DAY(EOMONTH($BV$3,0))-1)/2)+BX$11,0)=EOMONTH($AP$3,0),BX$9*BX$10,0),0),IF(AND(BT$9&lt;&gt;"",BT$11&lt;&gt;""),IF(EOMONTH($BR$3+INT((DAY(EOMONTH($BR$3,0))-1)/2)+BT$11,0)=EOMONTH($AP$3,0),BT$9*BT$10,0),0),IF(AND(BP$9&lt;&gt;"",BP$11&lt;&gt;""),IF(EOMONTH($BN$3+INT((DAY(EOMONTH($BN$3,0))-1)/2)+BP$11,0)=EOMONTH($AP$3,0),BP$9*BP$10,0),0),IF(AND(BL$9&lt;&gt;"",BL$11&lt;&gt;""),IF(EOMONTH($BJ$3+INT((DAY(EOMONTH($BJ$3,0))-1)/2)+BL$11,0)=EOMONTH($AP$3,0),BL$9*BL$10,0),0),IF(AND(BH$9&lt;&gt;"",BH$11&lt;&gt;""),IF(EOMONTH($BF$3+INT((DAY(EOMONTH($BF$3,0))-1)/2)+BH$11,0)=EOMONTH($AP$3,0),BH$9*BH$10,0),0),IF(AND(BD$9&lt;&gt;"",BD$11&lt;&gt;""),IF(EOMONTH($BB$3+INT((DAY(EOMONTH($BB$3,0))-1)/2)+BD$11,0)=EOMONTH($AP$3,0),BD$9*BD$10,0),0),IF(AND(AZ$9&lt;&gt;"",AZ$11&lt;&gt;""),IF(EOMONTH($AX$3+INT((DAY(EOMONTH($AX$3,0))-1)/2)+AZ$11,0)=EOMONTH($AP$3,0),AZ$9*AZ$10,0),0),IF(AND(AV$9&lt;&gt;"",AV$11&lt;&gt;""),IF(EOMONTH($AT$3+INT((DAY(EOMONTH($AT$3,0))-1)/2)+AV$11,0)=EOMONTH($AP$3,0),AV$9*AV$10,0),0),IF(AND(AR$9&lt;&gt;"",AR$11&lt;&gt;""),IF(EOMONTH($AP$3+INT((DAY(EOMONTH($AP$3,0))-1)/2)+AR$11,0)=EOMONTH($AP$3,0),AR$9*AR$10,0),0),IF(AND(AN$9&lt;&gt;"",AN$11&lt;&gt;""),IF(EOMONTH($AL$3+INT((DAY(EOMONTH($AL$3,0))-1)/2)+AN$11,0)=EOMONTH($AP$3,0),AN$9*AN$10,0),0),IF(AND(AJ$9&lt;&gt;"",AJ$11&lt;&gt;""),IF(EOMONTH($AH$3+INT((DAY(EOMONTH($AH$3,0))-1)/2)+AJ$11,0)=EOMONTH($AP$3,0),AJ$9*AJ$10,0),0),IF(AND(AF$9&lt;&gt;"",AF$11&lt;&gt;""),IF(EOMONTH($AD$3+INT((DAY(EOMONTH($AD$3,0))-1)/2)+AF$11,0)=EOMONTH($AP$3,0),AF$9*AF$10,0),0),IF(AND(AB$9&lt;&gt;"",AB$11&lt;&gt;""),IF(EOMONTH($Z$3+INT((DAY(EOMONTH($Z$3,0))-1)/2)+AB$11,0)=EOMONTH($AP$3,0),AB$9*AB$10,0),0),IF(AND(X$9&lt;&gt;"",X$11&lt;&gt;""),IF(EOMONTH($V$3+INT((DAY(EOMONTH($V$3,0))-1)/2)+X$11,0)=EOMONTH($AP$3,0),X$9*X$10,0),0),IF(AND(T$9&lt;&gt;"",T$11&lt;&gt;""),IF(EOMONTH($R$3+INT((DAY(EOMONTH($R$3,0))-1)/2)+T$11,0)=EOMONTH($AP$3,0),T$9*T$10,0),0),IF(AND(P$9&lt;&gt;"",P$11&lt;&gt;""),IF(EOMONTH($N$3+INT((DAY(EOMONTH($N$3,0))-1)/2)+P$11,0)=EOMONTH($AP$3,0),P$9*P$10,0),0),IF(AND(L$9&lt;&gt;"",L$11&lt;&gt;""),IF(EOMONTH($J$3+INT((DAY(EOMONTH($J$3,0))-1)/2)+L$11,0)=EOMONTH($AP$3,0),L$9*L$10,0),0),IF(AND(H$9&lt;&gt;"",H$11&lt;&gt;""),IF(EOMONTH($F$3+INT((DAY(EOMONTH($F$3,0))-1)/2)+H$11,0)=EOMONTH($AP$3,0),H$9*H$10,0),0),IF($EP$75="",0,IF(EOMONTH($EP$75+ER$11,0)=EOMONTH($AP$3,0),$EP$76*ER$10,0))),0)</f>
        <v>0</v>
      </c>
      <c r="AS12" s="16">
        <f t="shared" si="23"/>
        <v>0</v>
      </c>
      <c r="AT12" s="17"/>
      <c r="AU12" s="14">
        <f>IF(AT$98=1,AT12,ROUND(SUM(IF(AND(EQ$9&lt;&gt;"",EQ$11&lt;&gt;""),IF(EOMONTH($EP$3+INT((DAY(EOMONTH($EP$3,0))-1)/2)+EQ$11,0)=EOMONTH($AT$3,0),EQ$9*EQ$10,0),0),IF(AND(EM$9&lt;&gt;"",EM$11&lt;&gt;""),IF(EOMONTH($EL$3+INT((DAY(EOMONTH($EL$3,0))-1)/2)+EM$11,0)=EOMONTH($AT$3,0),EM$9*EM$10,0),0),IF(AND(EI$9&lt;&gt;"",EI$11&lt;&gt;""),IF(EOMONTH($EH$3+INT((DAY(EOMONTH($EH$3,0))-1)/2)+EI$11,0)=EOMONTH($AT$3,0),EI$9*EI$10,0),0),IF(AND(EE$9&lt;&gt;"",EE$11&lt;&gt;""),IF(EOMONTH($ED$3+INT((DAY(EOMONTH($ED$3,0))-1)/2)+EE$11,0)=EOMONTH($AT$3,0),EE$9*EE$10,0),0),IF(AND(EA$9&lt;&gt;"",EA$11&lt;&gt;""),IF(EOMONTH($DZ$3+INT((DAY(EOMONTH($DZ$3,0))-1)/2)+EA$11,0)=EOMONTH($AT$3,0),EA$9*EA$10,0),0),IF(AND(DW$9&lt;&gt;"",DW$11&lt;&gt;""),IF(EOMONTH($DV$3+INT((DAY(EOMONTH($DV$3,0))-1)/2)+DW$11,0)=EOMONTH($AT$3,0),DW$9*DW$10,0),0),IF(AND(DS$9&lt;&gt;"",DS$11&lt;&gt;""),IF(EOMONTH($DR$3+INT((DAY(EOMONTH($DR$3,0))-1)/2)+DS$11,0)=EOMONTH($AT$3,0),DS$9*DS$10,0),0),IF(AND(DO$9&lt;&gt;"",DO$11&lt;&gt;""),IF(EOMONTH($DN$3+INT((DAY(EOMONTH($DN$3,0))-1)/2)+DO$11,0)=EOMONTH($AT$3,0),DO$9*DO$10,0),0),IF(AND(DK$9&lt;&gt;"",DK$11&lt;&gt;""),IF(EOMONTH($DJ$3+INT((DAY(EOMONTH($DJ$3,0))-1)/2)+DK$11,0)=EOMONTH($AT$3,0),DK$9*DK$10,0),0),IF(AND(DG$9&lt;&gt;"",DG$11&lt;&gt;""),IF(EOMONTH($DF$3+INT((DAY(EOMONTH($DF$3,0))-1)/2)+DG$11,0)=EOMONTH($AT$3,0),DG$9*DG$10,0),0),IF(AND(DC$9&lt;&gt;"",DC$11&lt;&gt;""),IF(EOMONTH($DB$3+INT((DAY(EOMONTH($DB$3,0))-1)/2)+DC$11,0)=EOMONTH($AT$3,0),DC$9*DC$10,0),0),IF(AND(CY$9&lt;&gt;"",CY$11&lt;&gt;""),IF(EOMONTH($CX$3+INT((DAY(EOMONTH($CX$3,0))-1)/2)+CY$11,0)=EOMONTH($AT$3,0),CY$9*CY$10,0),0),IF(AND(CU$9&lt;&gt;"",CU$11&lt;&gt;""),IF(EOMONTH($CT$3+INT((DAY(EOMONTH($CT$3,0))-1)/2)+CU$11,0)=EOMONTH($AT$3,0),CU$9*CU$10,0),0),IF(AND(CQ$9&lt;&gt;"",CQ$11&lt;&gt;""),IF(EOMONTH($CP$3+INT((DAY(EOMONTH($CP$3,0))-1)/2)+CQ$11,0)=EOMONTH($AT$3,0),CQ$9*CQ$10,0),0),IF(AND(CM$9&lt;&gt;"",CM$11&lt;&gt;""),IF(EOMONTH($CL$3+INT((DAY(EOMONTH($CL$3,0))-1)/2)+CM$11,0)=EOMONTH($AT$3,0),CM$9*CM$10,0),0),IF(AND(CI$9&lt;&gt;"",CI$11&lt;&gt;""),IF(EOMONTH($CH$3+INT((DAY(EOMONTH($CH$3,0))-1)/2)+CI$11,0)=EOMONTH($AT$3,0),CI$9*CI$10,0),0),IF(AND(CE$9&lt;&gt;"",CE$11&lt;&gt;""),IF(EOMONTH($CD$3+INT((DAY(EOMONTH($CD$3,0))-1)/2)+CE$11,0)=EOMONTH($AT$3,0),CE$9*CE$10,0),0),IF(AND(CA$9&lt;&gt;"",CA$11&lt;&gt;""),IF(EOMONTH($BZ$3+INT((DAY(EOMONTH($BZ$3,0))-1)/2)+CA$11,0)=EOMONTH($AT$3,0),CA$9*CA$10,0),0),IF(AND(BW$9&lt;&gt;"",BW$11&lt;&gt;""),IF(EOMONTH($BV$3+INT((DAY(EOMONTH($BV$3,0))-1)/2)+BW$11,0)=EOMONTH($AT$3,0),BW$9*BW$10,0),0),IF(AND(BS$9&lt;&gt;"",BS$11&lt;&gt;""),IF(EOMONTH($BR$3+INT((DAY(EOMONTH($BR$3,0))-1)/2)+BS$11,0)=EOMONTH($AT$3,0),BS$9*BS$10,0),0),IF(AND(BO$9&lt;&gt;"",BO$11&lt;&gt;""),IF(EOMONTH($BN$3+INT((DAY(EOMONTH($BN$3,0))-1)/2)+BO$11,0)=EOMONTH($AT$3,0),BO$9*BO$10,0),0),IF(AND(BK$9&lt;&gt;"",BK$11&lt;&gt;""),IF(EOMONTH($BJ$3+INT((DAY(EOMONTH($BJ$3,0))-1)/2)+BK$11,0)=EOMONTH($AT$3,0),BK$9*BK$10,0),0),IF(AND(BG$9&lt;&gt;"",BG$11&lt;&gt;""),IF(EOMONTH($BF$3+INT((DAY(EOMONTH($BF$3,0))-1)/2)+BG$11,0)=EOMONTH($AT$3,0),BG$9*BG$10,0),0),IF(AND(BC$9&lt;&gt;"",BC$11&lt;&gt;""),IF(EOMONTH($BB$3+INT((DAY(EOMONTH($BB$3,0))-1)/2)+BC$11,0)=EOMONTH($AT$3,0),BC$9*BC$10,0),0),IF(AND(AY$9&lt;&gt;"",AY$11&lt;&gt;""),IF(EOMONTH($AX$3+INT((DAY(EOMONTH($AX$3,0))-1)/2)+AY$11,0)=EOMONTH($AT$3,0),AY$9*AY$10,0),0),IF(AND(AU$9&lt;&gt;"",AU$11&lt;&gt;""),IF(EOMONTH($AT$3+INT((DAY(EOMONTH($AT$3,0))-1)/2)+AU$11,0)=EOMONTH($AT$3,0),AU$9*AU$10,0),0),IF(AND(AQ$9&lt;&gt;"",AQ$11&lt;&gt;""),IF(EOMONTH($AP$3+INT((DAY(EOMONTH($AP$3,0))-1)/2)+AQ$11,0)=EOMONTH($AT$3,0),AQ$9*AQ$10,0),0),IF(AND(AM$9&lt;&gt;"",AM$11&lt;&gt;""),IF(EOMONTH($AL$3+INT((DAY(EOMONTH($AL$3,0))-1)/2)+AM$11,0)=EOMONTH($AT$3,0),AM$9*AM$10,0),0),IF(AND(AI$9&lt;&gt;"",AI$11&lt;&gt;""),IF(EOMONTH($AH$3+INT((DAY(EOMONTH($AH$3,0))-1)/2)+AI$11,0)=EOMONTH($AT$3,0),AI$9*AI$10,0),0),IF(AND(AE$9&lt;&gt;"",AE$11&lt;&gt;""),IF(EOMONTH($AD$3+INT((DAY(EOMONTH($AD$3,0))-1)/2)+AE$11,0)=EOMONTH($AT$3,0),AE$9*AE$10,0),0),IF(AND(AA$9&lt;&gt;"",AA$11&lt;&gt;""),IF(EOMONTH($Z$3+INT((DAY(EOMONTH($Z$3,0))-1)/2)+AA$11,0)=EOMONTH($AT$3,0),AA$9*AA$10,0),0),IF(AND(W$9&lt;&gt;"",W$11&lt;&gt;""),IF(EOMONTH($V$3+INT((DAY(EOMONTH($V$3,0))-1)/2)+W$11,0)=EOMONTH($AT$3,0),W$9*W$10,0),0),IF(AND(S$9&lt;&gt;"",S$11&lt;&gt;""),IF(EOMONTH($R$3+INT((DAY(EOMONTH($R$3,0))-1)/2)+S$11,0)=EOMONTH($AT$3,0),S$9*S$10,0),0),IF(AND(O$9&lt;&gt;"",O$11&lt;&gt;""),IF(EOMONTH($N$3+INT((DAY(EOMONTH($N$3,0))-1)/2)+O$11,0)=EOMONTH($AT$3,0),O$9*O$10,0),0),IF(AND(K$9&lt;&gt;"",K$11&lt;&gt;""),IF(EOMONTH($J$3+INT((DAY(EOMONTH($J$3,0))-1)/2)+K$11,0)=EOMONTH($AT$3,0),K$9*K$10,0),0),IF(AND(G$9&lt;&gt;"",G$11&lt;&gt;""),IF(EOMONTH($F$3+INT((DAY(EOMONTH($F$3,0))-1)/2)+G$11,0)=EOMONTH($AT$3,0),G$9*G$10,0),0),IF($EP$75="",0,IF(EOMONTH($EP$75+EQ$11,0)=EOMONTH($AT$3,0),$EP$76*EQ$10,0))),0))</f>
        <v>0</v>
      </c>
      <c r="AV12" s="15">
        <f>ROUND(SUM(IF(AND(ER$9&lt;&gt;"",ER$11&lt;&gt;""),IF(EOMONTH($EP$3+INT((DAY(EOMONTH($EP$3,0))-1)/2)+ER$11,0)=EOMONTH($AT$3,0),ER$9*ER$10,0),0),IF(AND(EN$9&lt;&gt;"",EN$11&lt;&gt;""),IF(EOMONTH($EL$3+INT((DAY(EOMONTH($EL$3,0))-1)/2)+EN$11,0)=EOMONTH($AT$3,0),EN$9*EN$10,0),0),IF(AND(EJ$9&lt;&gt;"",EJ$11&lt;&gt;""),IF(EOMONTH($EH$3+INT((DAY(EOMONTH($EH$3,0))-1)/2)+EJ$11,0)=EOMONTH($AT$3,0),EJ$9*EJ$10,0),0),IF(AND(EF$9&lt;&gt;"",EF$11&lt;&gt;""),IF(EOMONTH($ED$3+INT((DAY(EOMONTH($ED$3,0))-1)/2)+EF$11,0)=EOMONTH($AT$3,0),EF$9*EF$10,0),0),IF(AND(EB$9&lt;&gt;"",EB$11&lt;&gt;""),IF(EOMONTH($DZ$3+INT((DAY(EOMONTH($DZ$3,0))-1)/2)+EB$11,0)=EOMONTH($AT$3,0),EB$9*EB$10,0),0),IF(AND(DX$9&lt;&gt;"",DX$11&lt;&gt;""),IF(EOMONTH($DV$3+INT((DAY(EOMONTH($DV$3,0))-1)/2)+DX$11,0)=EOMONTH($AT$3,0),DX$9*DX$10,0),0),IF(AND(DT$9&lt;&gt;"",DT$11&lt;&gt;""),IF(EOMONTH($DR$3+INT((DAY(EOMONTH($DR$3,0))-1)/2)+DT$11,0)=EOMONTH($AT$3,0),DT$9*DT$10,0),0),IF(AND(DP$9&lt;&gt;"",DP$11&lt;&gt;""),IF(EOMONTH($DN$3+INT((DAY(EOMONTH($DN$3,0))-1)/2)+DP$11,0)=EOMONTH($AT$3,0),DP$9*DP$10,0),0),IF(AND(DL$9&lt;&gt;"",DL$11&lt;&gt;""),IF(EOMONTH($DJ$3+INT((DAY(EOMONTH($DJ$3,0))-1)/2)+DL$11,0)=EOMONTH($AT$3,0),DL$9*DL$10,0),0),IF(AND(DH$9&lt;&gt;"",DH$11&lt;&gt;""),IF(EOMONTH($DF$3+INT((DAY(EOMONTH($DF$3,0))-1)/2)+DH$11,0)=EOMONTH($AT$3,0),DH$9*DH$10,0),0),IF(AND(DD$9&lt;&gt;"",DD$11&lt;&gt;""),IF(EOMONTH($DB$3+INT((DAY(EOMONTH($DB$3,0))-1)/2)+DD$11,0)=EOMONTH($AT$3,0),DD$9*DD$10,0),0),IF(AND(CZ$9&lt;&gt;"",CZ$11&lt;&gt;""),IF(EOMONTH($CX$3+INT((DAY(EOMONTH($CX$3,0))-1)/2)+CZ$11,0)=EOMONTH($AT$3,0),CZ$9*CZ$10,0),0),IF(AND(CV$9&lt;&gt;"",CV$11&lt;&gt;""),IF(EOMONTH($CT$3+INT((DAY(EOMONTH($CT$3,0))-1)/2)+CV$11,0)=EOMONTH($AT$3,0),CV$9*CV$10,0),0),IF(AND(CR$9&lt;&gt;"",CR$11&lt;&gt;""),IF(EOMONTH($CP$3+INT((DAY(EOMONTH($CP$3,0))-1)/2)+CR$11,0)=EOMONTH($AT$3,0),CR$9*CR$10,0),0),IF(AND(CN$9&lt;&gt;"",CN$11&lt;&gt;""),IF(EOMONTH($CL$3+INT((DAY(EOMONTH($CL$3,0))-1)/2)+CN$11,0)=EOMONTH($AT$3,0),CN$9*CN$10,0),0),IF(AND(CJ$9&lt;&gt;"",CJ$11&lt;&gt;""),IF(EOMONTH($CH$3+INT((DAY(EOMONTH($CH$3,0))-1)/2)+CJ$11,0)=EOMONTH($AT$3,0),CJ$9*CJ$10,0),0),IF(AND(CF$9&lt;&gt;"",CF$11&lt;&gt;""),IF(EOMONTH($CD$3+INT((DAY(EOMONTH($CD$3,0))-1)/2)+CF$11,0)=EOMONTH($AT$3,0),CF$9*CF$10,0),0),IF(AND(CB$9&lt;&gt;"",CB$11&lt;&gt;""),IF(EOMONTH($BZ$3+INT((DAY(EOMONTH($BZ$3,0))-1)/2)+CB$11,0)=EOMONTH($AT$3,0),CB$9*CB$10,0),0),IF(AND(BX$9&lt;&gt;"",BX$11&lt;&gt;""),IF(EOMONTH($BV$3+INT((DAY(EOMONTH($BV$3,0))-1)/2)+BX$11,0)=EOMONTH($AT$3,0),BX$9*BX$10,0),0),IF(AND(BT$9&lt;&gt;"",BT$11&lt;&gt;""),IF(EOMONTH($BR$3+INT((DAY(EOMONTH($BR$3,0))-1)/2)+BT$11,0)=EOMONTH($AT$3,0),BT$9*BT$10,0),0),IF(AND(BP$9&lt;&gt;"",BP$11&lt;&gt;""),IF(EOMONTH($BN$3+INT((DAY(EOMONTH($BN$3,0))-1)/2)+BP$11,0)=EOMONTH($AT$3,0),BP$9*BP$10,0),0),IF(AND(BL$9&lt;&gt;"",BL$11&lt;&gt;""),IF(EOMONTH($BJ$3+INT((DAY(EOMONTH($BJ$3,0))-1)/2)+BL$11,0)=EOMONTH($AT$3,0),BL$9*BL$10,0),0),IF(AND(BH$9&lt;&gt;"",BH$11&lt;&gt;""),IF(EOMONTH($BF$3+INT((DAY(EOMONTH($BF$3,0))-1)/2)+BH$11,0)=EOMONTH($AT$3,0),BH$9*BH$10,0),0),IF(AND(BD$9&lt;&gt;"",BD$11&lt;&gt;""),IF(EOMONTH($BB$3+INT((DAY(EOMONTH($BB$3,0))-1)/2)+BD$11,0)=EOMONTH($AT$3,0),BD$9*BD$10,0),0),IF(AND(AZ$9&lt;&gt;"",AZ$11&lt;&gt;""),IF(EOMONTH($AX$3+INT((DAY(EOMONTH($AX$3,0))-1)/2)+AZ$11,0)=EOMONTH($AT$3,0),AZ$9*AZ$10,0),0),IF(AND(AV$9&lt;&gt;"",AV$11&lt;&gt;""),IF(EOMONTH($AT$3+INT((DAY(EOMONTH($AT$3,0))-1)/2)+AV$11,0)=EOMONTH($AT$3,0),AV$9*AV$10,0),0),IF(AND(AR$9&lt;&gt;"",AR$11&lt;&gt;""),IF(EOMONTH($AP$3+INT((DAY(EOMONTH($AP$3,0))-1)/2)+AR$11,0)=EOMONTH($AT$3,0),AR$9*AR$10,0),0),IF(AND(AN$9&lt;&gt;"",AN$11&lt;&gt;""),IF(EOMONTH($AL$3+INT((DAY(EOMONTH($AL$3,0))-1)/2)+AN$11,0)=EOMONTH($AT$3,0),AN$9*AN$10,0),0),IF(AND(AJ$9&lt;&gt;"",AJ$11&lt;&gt;""),IF(EOMONTH($AH$3+INT((DAY(EOMONTH($AH$3,0))-1)/2)+AJ$11,0)=EOMONTH($AT$3,0),AJ$9*AJ$10,0),0),IF(AND(AF$9&lt;&gt;"",AF$11&lt;&gt;""),IF(EOMONTH($AD$3+INT((DAY(EOMONTH($AD$3,0))-1)/2)+AF$11,0)=EOMONTH($AT$3,0),AF$9*AF$10,0),0),IF(AND(AB$9&lt;&gt;"",AB$11&lt;&gt;""),IF(EOMONTH($Z$3+INT((DAY(EOMONTH($Z$3,0))-1)/2)+AB$11,0)=EOMONTH($AT$3,0),AB$9*AB$10,0),0),IF(AND(X$9&lt;&gt;"",X$11&lt;&gt;""),IF(EOMONTH($V$3+INT((DAY(EOMONTH($V$3,0))-1)/2)+X$11,0)=EOMONTH($AT$3,0),X$9*X$10,0),0),IF(AND(T$9&lt;&gt;"",T$11&lt;&gt;""),IF(EOMONTH($R$3+INT((DAY(EOMONTH($R$3,0))-1)/2)+T$11,0)=EOMONTH($AT$3,0),T$9*T$10,0),0),IF(AND(P$9&lt;&gt;"",P$11&lt;&gt;""),IF(EOMONTH($N$3+INT((DAY(EOMONTH($N$3,0))-1)/2)+P$11,0)=EOMONTH($AT$3,0),P$9*P$10,0),0),IF(AND(L$9&lt;&gt;"",L$11&lt;&gt;""),IF(EOMONTH($J$3+INT((DAY(EOMONTH($J$3,0))-1)/2)+L$11,0)=EOMONTH($AT$3,0),L$9*L$10,0),0),IF(AND(H$9&lt;&gt;"",H$11&lt;&gt;""),IF(EOMONTH($F$3+INT((DAY(EOMONTH($F$3,0))-1)/2)+H$11,0)=EOMONTH($AT$3,0),H$9*H$10,0),0),IF($EP$75="",0,IF(EOMONTH($EP$75+ER$11,0)=EOMONTH($AT$3,0),$EP$76*ER$10,0))),0)</f>
        <v>0</v>
      </c>
      <c r="AW12" s="16">
        <f t="shared" si="25"/>
        <v>0</v>
      </c>
      <c r="AX12" s="17"/>
      <c r="AY12" s="14">
        <f>IF(AX$98=1,AX12,ROUND(SUM(IF(AND(EQ$9&lt;&gt;"",EQ$11&lt;&gt;""),IF(EOMONTH($EP$3+INT((DAY(EOMONTH($EP$3,0))-1)/2)+EQ$11,0)=EOMONTH($AX$3,0),EQ$9*EQ$10,0),0),IF(AND(EM$9&lt;&gt;"",EM$11&lt;&gt;""),IF(EOMONTH($EL$3+INT((DAY(EOMONTH($EL$3,0))-1)/2)+EM$11,0)=EOMONTH($AX$3,0),EM$9*EM$10,0),0),IF(AND(EI$9&lt;&gt;"",EI$11&lt;&gt;""),IF(EOMONTH($EH$3+INT((DAY(EOMONTH($EH$3,0))-1)/2)+EI$11,0)=EOMONTH($AX$3,0),EI$9*EI$10,0),0),IF(AND(EE$9&lt;&gt;"",EE$11&lt;&gt;""),IF(EOMONTH($ED$3+INT((DAY(EOMONTH($ED$3,0))-1)/2)+EE$11,0)=EOMONTH($AX$3,0),EE$9*EE$10,0),0),IF(AND(EA$9&lt;&gt;"",EA$11&lt;&gt;""),IF(EOMONTH($DZ$3+INT((DAY(EOMONTH($DZ$3,0))-1)/2)+EA$11,0)=EOMONTH($AX$3,0),EA$9*EA$10,0),0),IF(AND(DW$9&lt;&gt;"",DW$11&lt;&gt;""),IF(EOMONTH($DV$3+INT((DAY(EOMONTH($DV$3,0))-1)/2)+DW$11,0)=EOMONTH($AX$3,0),DW$9*DW$10,0),0),IF(AND(DS$9&lt;&gt;"",DS$11&lt;&gt;""),IF(EOMONTH($DR$3+INT((DAY(EOMONTH($DR$3,0))-1)/2)+DS$11,0)=EOMONTH($AX$3,0),DS$9*DS$10,0),0),IF(AND(DO$9&lt;&gt;"",DO$11&lt;&gt;""),IF(EOMONTH($DN$3+INT((DAY(EOMONTH($DN$3,0))-1)/2)+DO$11,0)=EOMONTH($AX$3,0),DO$9*DO$10,0),0),IF(AND(DK$9&lt;&gt;"",DK$11&lt;&gt;""),IF(EOMONTH($DJ$3+INT((DAY(EOMONTH($DJ$3,0))-1)/2)+DK$11,0)=EOMONTH($AX$3,0),DK$9*DK$10,0),0),IF(AND(DG$9&lt;&gt;"",DG$11&lt;&gt;""),IF(EOMONTH($DF$3+INT((DAY(EOMONTH($DF$3,0))-1)/2)+DG$11,0)=EOMONTH($AX$3,0),DG$9*DG$10,0),0),IF(AND(DC$9&lt;&gt;"",DC$11&lt;&gt;""),IF(EOMONTH($DB$3+INT((DAY(EOMONTH($DB$3,0))-1)/2)+DC$11,0)=EOMONTH($AX$3,0),DC$9*DC$10,0),0),IF(AND(CY$9&lt;&gt;"",CY$11&lt;&gt;""),IF(EOMONTH($CX$3+INT((DAY(EOMONTH($CX$3,0))-1)/2)+CY$11,0)=EOMONTH($AX$3,0),CY$9*CY$10,0),0),IF(AND(CU$9&lt;&gt;"",CU$11&lt;&gt;""),IF(EOMONTH($CT$3+INT((DAY(EOMONTH($CT$3,0))-1)/2)+CU$11,0)=EOMONTH($AX$3,0),CU$9*CU$10,0),0),IF(AND(CQ$9&lt;&gt;"",CQ$11&lt;&gt;""),IF(EOMONTH($CP$3+INT((DAY(EOMONTH($CP$3,0))-1)/2)+CQ$11,0)=EOMONTH($AX$3,0),CQ$9*CQ$10,0),0),IF(AND(CM$9&lt;&gt;"",CM$11&lt;&gt;""),IF(EOMONTH($CL$3+INT((DAY(EOMONTH($CL$3,0))-1)/2)+CM$11,0)=EOMONTH($AX$3,0),CM$9*CM$10,0),0),IF(AND(CI$9&lt;&gt;"",CI$11&lt;&gt;""),IF(EOMONTH($CH$3+INT((DAY(EOMONTH($CH$3,0))-1)/2)+CI$11,0)=EOMONTH($AX$3,0),CI$9*CI$10,0),0),IF(AND(CE$9&lt;&gt;"",CE$11&lt;&gt;""),IF(EOMONTH($CD$3+INT((DAY(EOMONTH($CD$3,0))-1)/2)+CE$11,0)=EOMONTH($AX$3,0),CE$9*CE$10,0),0),IF(AND(CA$9&lt;&gt;"",CA$11&lt;&gt;""),IF(EOMONTH($BZ$3+INT((DAY(EOMONTH($BZ$3,0))-1)/2)+CA$11,0)=EOMONTH($AX$3,0),CA$9*CA$10,0),0),IF(AND(BW$9&lt;&gt;"",BW$11&lt;&gt;""),IF(EOMONTH($BV$3+INT((DAY(EOMONTH($BV$3,0))-1)/2)+BW$11,0)=EOMONTH($AX$3,0),BW$9*BW$10,0),0),IF(AND(BS$9&lt;&gt;"",BS$11&lt;&gt;""),IF(EOMONTH($BR$3+INT((DAY(EOMONTH($BR$3,0))-1)/2)+BS$11,0)=EOMONTH($AX$3,0),BS$9*BS$10,0),0),IF(AND(BO$9&lt;&gt;"",BO$11&lt;&gt;""),IF(EOMONTH($BN$3+INT((DAY(EOMONTH($BN$3,0))-1)/2)+BO$11,0)=EOMONTH($AX$3,0),BO$9*BO$10,0),0),IF(AND(BK$9&lt;&gt;"",BK$11&lt;&gt;""),IF(EOMONTH($BJ$3+INT((DAY(EOMONTH($BJ$3,0))-1)/2)+BK$11,0)=EOMONTH($AX$3,0),BK$9*BK$10,0),0),IF(AND(BG$9&lt;&gt;"",BG$11&lt;&gt;""),IF(EOMONTH($BF$3+INT((DAY(EOMONTH($BF$3,0))-1)/2)+BG$11,0)=EOMONTH($AX$3,0),BG$9*BG$10,0),0),IF(AND(BC$9&lt;&gt;"",BC$11&lt;&gt;""),IF(EOMONTH($BB$3+INT((DAY(EOMONTH($BB$3,0))-1)/2)+BC$11,0)=EOMONTH($AX$3,0),BC$9*BC$10,0),0),IF(AND(AY$9&lt;&gt;"",AY$11&lt;&gt;""),IF(EOMONTH($AX$3+INT((DAY(EOMONTH($AX$3,0))-1)/2)+AY$11,0)=EOMONTH($AX$3,0),AY$9*AY$10,0),0),IF(AND(AU$9&lt;&gt;"",AU$11&lt;&gt;""),IF(EOMONTH($AT$3+INT((DAY(EOMONTH($AT$3,0))-1)/2)+AU$11,0)=EOMONTH($AX$3,0),AU$9*AU$10,0),0),IF(AND(AQ$9&lt;&gt;"",AQ$11&lt;&gt;""),IF(EOMONTH($AP$3+INT((DAY(EOMONTH($AP$3,0))-1)/2)+AQ$11,0)=EOMONTH($AX$3,0),AQ$9*AQ$10,0),0),IF(AND(AM$9&lt;&gt;"",AM$11&lt;&gt;""),IF(EOMONTH($AL$3+INT((DAY(EOMONTH($AL$3,0))-1)/2)+AM$11,0)=EOMONTH($AX$3,0),AM$9*AM$10,0),0),IF(AND(AI$9&lt;&gt;"",AI$11&lt;&gt;""),IF(EOMONTH($AH$3+INT((DAY(EOMONTH($AH$3,0))-1)/2)+AI$11,0)=EOMONTH($AX$3,0),AI$9*AI$10,0),0),IF(AND(AE$9&lt;&gt;"",AE$11&lt;&gt;""),IF(EOMONTH($AD$3+INT((DAY(EOMONTH($AD$3,0))-1)/2)+AE$11,0)=EOMONTH($AX$3,0),AE$9*AE$10,0),0),IF(AND(AA$9&lt;&gt;"",AA$11&lt;&gt;""),IF(EOMONTH($Z$3+INT((DAY(EOMONTH($Z$3,0))-1)/2)+AA$11,0)=EOMONTH($AX$3,0),AA$9*AA$10,0),0),IF(AND(W$9&lt;&gt;"",W$11&lt;&gt;""),IF(EOMONTH($V$3+INT((DAY(EOMONTH($V$3,0))-1)/2)+W$11,0)=EOMONTH($AX$3,0),W$9*W$10,0),0),IF(AND(S$9&lt;&gt;"",S$11&lt;&gt;""),IF(EOMONTH($R$3+INT((DAY(EOMONTH($R$3,0))-1)/2)+S$11,0)=EOMONTH($AX$3,0),S$9*S$10,0),0),IF(AND(O$9&lt;&gt;"",O$11&lt;&gt;""),IF(EOMONTH($N$3+INT((DAY(EOMONTH($N$3,0))-1)/2)+O$11,0)=EOMONTH($AX$3,0),O$9*O$10,0),0),IF(AND(K$9&lt;&gt;"",K$11&lt;&gt;""),IF(EOMONTH($J$3+INT((DAY(EOMONTH($J$3,0))-1)/2)+K$11,0)=EOMONTH($AX$3,0),K$9*K$10,0),0),IF(AND(G$9&lt;&gt;"",G$11&lt;&gt;""),IF(EOMONTH($F$3+INT((DAY(EOMONTH($F$3,0))-1)/2)+G$11,0)=EOMONTH($AX$3,0),G$9*G$10,0),0),IF($EP$75="",0,IF(EOMONTH($EP$75+EQ$11,0)=EOMONTH($AX$3,0),$EP$76*EQ$10,0))),0))</f>
        <v>0</v>
      </c>
      <c r="AZ12" s="15">
        <f>ROUND(SUM(IF(AND(ER$9&lt;&gt;"",ER$11&lt;&gt;""),IF(EOMONTH($EP$3+INT((DAY(EOMONTH($EP$3,0))-1)/2)+ER$11,0)=EOMONTH($AX$3,0),ER$9*ER$10,0),0),IF(AND(EN$9&lt;&gt;"",EN$11&lt;&gt;""),IF(EOMONTH($EL$3+INT((DAY(EOMONTH($EL$3,0))-1)/2)+EN$11,0)=EOMONTH($AX$3,0),EN$9*EN$10,0),0),IF(AND(EJ$9&lt;&gt;"",EJ$11&lt;&gt;""),IF(EOMONTH($EH$3+INT((DAY(EOMONTH($EH$3,0))-1)/2)+EJ$11,0)=EOMONTH($AX$3,0),EJ$9*EJ$10,0),0),IF(AND(EF$9&lt;&gt;"",EF$11&lt;&gt;""),IF(EOMONTH($ED$3+INT((DAY(EOMONTH($ED$3,0))-1)/2)+EF$11,0)=EOMONTH($AX$3,0),EF$9*EF$10,0),0),IF(AND(EB$9&lt;&gt;"",EB$11&lt;&gt;""),IF(EOMONTH($DZ$3+INT((DAY(EOMONTH($DZ$3,0))-1)/2)+EB$11,0)=EOMONTH($AX$3,0),EB$9*EB$10,0),0),IF(AND(DX$9&lt;&gt;"",DX$11&lt;&gt;""),IF(EOMONTH($DV$3+INT((DAY(EOMONTH($DV$3,0))-1)/2)+DX$11,0)=EOMONTH($AX$3,0),DX$9*DX$10,0),0),IF(AND(DT$9&lt;&gt;"",DT$11&lt;&gt;""),IF(EOMONTH($DR$3+INT((DAY(EOMONTH($DR$3,0))-1)/2)+DT$11,0)=EOMONTH($AX$3,0),DT$9*DT$10,0),0),IF(AND(DP$9&lt;&gt;"",DP$11&lt;&gt;""),IF(EOMONTH($DN$3+INT((DAY(EOMONTH($DN$3,0))-1)/2)+DP$11,0)=EOMONTH($AX$3,0),DP$9*DP$10,0),0),IF(AND(DL$9&lt;&gt;"",DL$11&lt;&gt;""),IF(EOMONTH($DJ$3+INT((DAY(EOMONTH($DJ$3,0))-1)/2)+DL$11,0)=EOMONTH($AX$3,0),DL$9*DL$10,0),0),IF(AND(DH$9&lt;&gt;"",DH$11&lt;&gt;""),IF(EOMONTH($DF$3+INT((DAY(EOMONTH($DF$3,0))-1)/2)+DH$11,0)=EOMONTH($AX$3,0),DH$9*DH$10,0),0),IF(AND(DD$9&lt;&gt;"",DD$11&lt;&gt;""),IF(EOMONTH($DB$3+INT((DAY(EOMONTH($DB$3,0))-1)/2)+DD$11,0)=EOMONTH($AX$3,0),DD$9*DD$10,0),0),IF(AND(CZ$9&lt;&gt;"",CZ$11&lt;&gt;""),IF(EOMONTH($CX$3+INT((DAY(EOMONTH($CX$3,0))-1)/2)+CZ$11,0)=EOMONTH($AX$3,0),CZ$9*CZ$10,0),0),IF(AND(CV$9&lt;&gt;"",CV$11&lt;&gt;""),IF(EOMONTH($CT$3+INT((DAY(EOMONTH($CT$3,0))-1)/2)+CV$11,0)=EOMONTH($AX$3,0),CV$9*CV$10,0),0),IF(AND(CR$9&lt;&gt;"",CR$11&lt;&gt;""),IF(EOMONTH($CP$3+INT((DAY(EOMONTH($CP$3,0))-1)/2)+CR$11,0)=EOMONTH($AX$3,0),CR$9*CR$10,0),0),IF(AND(CN$9&lt;&gt;"",CN$11&lt;&gt;""),IF(EOMONTH($CL$3+INT((DAY(EOMONTH($CL$3,0))-1)/2)+CN$11,0)=EOMONTH($AX$3,0),CN$9*CN$10,0),0),IF(AND(CJ$9&lt;&gt;"",CJ$11&lt;&gt;""),IF(EOMONTH($CH$3+INT((DAY(EOMONTH($CH$3,0))-1)/2)+CJ$11,0)=EOMONTH($AX$3,0),CJ$9*CJ$10,0),0),IF(AND(CF$9&lt;&gt;"",CF$11&lt;&gt;""),IF(EOMONTH($CD$3+INT((DAY(EOMONTH($CD$3,0))-1)/2)+CF$11,0)=EOMONTH($AX$3,0),CF$9*CF$10,0),0),IF(AND(CB$9&lt;&gt;"",CB$11&lt;&gt;""),IF(EOMONTH($BZ$3+INT((DAY(EOMONTH($BZ$3,0))-1)/2)+CB$11,0)=EOMONTH($AX$3,0),CB$9*CB$10,0),0),IF(AND(BX$9&lt;&gt;"",BX$11&lt;&gt;""),IF(EOMONTH($BV$3+INT((DAY(EOMONTH($BV$3,0))-1)/2)+BX$11,0)=EOMONTH($AX$3,0),BX$9*BX$10,0),0),IF(AND(BT$9&lt;&gt;"",BT$11&lt;&gt;""),IF(EOMONTH($BR$3+INT((DAY(EOMONTH($BR$3,0))-1)/2)+BT$11,0)=EOMONTH($AX$3,0),BT$9*BT$10,0),0),IF(AND(BP$9&lt;&gt;"",BP$11&lt;&gt;""),IF(EOMONTH($BN$3+INT((DAY(EOMONTH($BN$3,0))-1)/2)+BP$11,0)=EOMONTH($AX$3,0),BP$9*BP$10,0),0),IF(AND(BL$9&lt;&gt;"",BL$11&lt;&gt;""),IF(EOMONTH($BJ$3+INT((DAY(EOMONTH($BJ$3,0))-1)/2)+BL$11,0)=EOMONTH($AX$3,0),BL$9*BL$10,0),0),IF(AND(BH$9&lt;&gt;"",BH$11&lt;&gt;""),IF(EOMONTH($BF$3+INT((DAY(EOMONTH($BF$3,0))-1)/2)+BH$11,0)=EOMONTH($AX$3,0),BH$9*BH$10,0),0),IF(AND(BD$9&lt;&gt;"",BD$11&lt;&gt;""),IF(EOMONTH($BB$3+INT((DAY(EOMONTH($BB$3,0))-1)/2)+BD$11,0)=EOMONTH($AX$3,0),BD$9*BD$10,0),0),IF(AND(AZ$9&lt;&gt;"",AZ$11&lt;&gt;""),IF(EOMONTH($AX$3+INT((DAY(EOMONTH($AX$3,0))-1)/2)+AZ$11,0)=EOMONTH($AX$3,0),AZ$9*AZ$10,0),0),IF(AND(AV$9&lt;&gt;"",AV$11&lt;&gt;""),IF(EOMONTH($AT$3+INT((DAY(EOMONTH($AT$3,0))-1)/2)+AV$11,0)=EOMONTH($AX$3,0),AV$9*AV$10,0),0),IF(AND(AR$9&lt;&gt;"",AR$11&lt;&gt;""),IF(EOMONTH($AP$3+INT((DAY(EOMONTH($AP$3,0))-1)/2)+AR$11,0)=EOMONTH($AX$3,0),AR$9*AR$10,0),0),IF(AND(AN$9&lt;&gt;"",AN$11&lt;&gt;""),IF(EOMONTH($AL$3+INT((DAY(EOMONTH($AL$3,0))-1)/2)+AN$11,0)=EOMONTH($AX$3,0),AN$9*AN$10,0),0),IF(AND(AJ$9&lt;&gt;"",AJ$11&lt;&gt;""),IF(EOMONTH($AH$3+INT((DAY(EOMONTH($AH$3,0))-1)/2)+AJ$11,0)=EOMONTH($AX$3,0),AJ$9*AJ$10,0),0),IF(AND(AF$9&lt;&gt;"",AF$11&lt;&gt;""),IF(EOMONTH($AD$3+INT((DAY(EOMONTH($AD$3,0))-1)/2)+AF$11,0)=EOMONTH($AX$3,0),AF$9*AF$10,0),0),IF(AND(AB$9&lt;&gt;"",AB$11&lt;&gt;""),IF(EOMONTH($Z$3+INT((DAY(EOMONTH($Z$3,0))-1)/2)+AB$11,0)=EOMONTH($AX$3,0),AB$9*AB$10,0),0),IF(AND(X$9&lt;&gt;"",X$11&lt;&gt;""),IF(EOMONTH($V$3+INT((DAY(EOMONTH($V$3,0))-1)/2)+X$11,0)=EOMONTH($AX$3,0),X$9*X$10,0),0),IF(AND(T$9&lt;&gt;"",T$11&lt;&gt;""),IF(EOMONTH($R$3+INT((DAY(EOMONTH($R$3,0))-1)/2)+T$11,0)=EOMONTH($AX$3,0),T$9*T$10,0),0),IF(AND(P$9&lt;&gt;"",P$11&lt;&gt;""),IF(EOMONTH($N$3+INT((DAY(EOMONTH($N$3,0))-1)/2)+P$11,0)=EOMONTH($AX$3,0),P$9*P$10,0),0),IF(AND(L$9&lt;&gt;"",L$11&lt;&gt;""),IF(EOMONTH($J$3+INT((DAY(EOMONTH($J$3,0))-1)/2)+L$11,0)=EOMONTH($AX$3,0),L$9*L$10,0),0),IF(AND(H$9&lt;&gt;"",H$11&lt;&gt;""),IF(EOMONTH($F$3+INT((DAY(EOMONTH($F$3,0))-1)/2)+H$11,0)=EOMONTH($AX$3,0),H$9*H$10,0),0),IF($EP$75="",0,IF(EOMONTH($EP$75+ER$11,0)=EOMONTH($AX$3,0),$EP$76*ER$10,0))),0)</f>
        <v>0</v>
      </c>
      <c r="BA12" s="16">
        <f t="shared" si="27"/>
        <v>0</v>
      </c>
      <c r="BB12" s="17"/>
      <c r="BC12" s="14">
        <f>IF(BB$98=1,BB12,ROUND(SUM(IF(AND(EQ$9&lt;&gt;"",EQ$11&lt;&gt;""),IF(EOMONTH($EP$3+INT((DAY(EOMONTH($EP$3,0))-1)/2)+EQ$11,0)=EOMONTH($BB$3,0),EQ$9*EQ$10,0),0),IF(AND(EM$9&lt;&gt;"",EM$11&lt;&gt;""),IF(EOMONTH($EL$3+INT((DAY(EOMONTH($EL$3,0))-1)/2)+EM$11,0)=EOMONTH($BB$3,0),EM$9*EM$10,0),0),IF(AND(EI$9&lt;&gt;"",EI$11&lt;&gt;""),IF(EOMONTH($EH$3+INT((DAY(EOMONTH($EH$3,0))-1)/2)+EI$11,0)=EOMONTH($BB$3,0),EI$9*EI$10,0),0),IF(AND(EE$9&lt;&gt;"",EE$11&lt;&gt;""),IF(EOMONTH($ED$3+INT((DAY(EOMONTH($ED$3,0))-1)/2)+EE$11,0)=EOMONTH($BB$3,0),EE$9*EE$10,0),0),IF(AND(EA$9&lt;&gt;"",EA$11&lt;&gt;""),IF(EOMONTH($DZ$3+INT((DAY(EOMONTH($DZ$3,0))-1)/2)+EA$11,0)=EOMONTH($BB$3,0),EA$9*EA$10,0),0),IF(AND(DW$9&lt;&gt;"",DW$11&lt;&gt;""),IF(EOMONTH($DV$3+INT((DAY(EOMONTH($DV$3,0))-1)/2)+DW$11,0)=EOMONTH($BB$3,0),DW$9*DW$10,0),0),IF(AND(DS$9&lt;&gt;"",DS$11&lt;&gt;""),IF(EOMONTH($DR$3+INT((DAY(EOMONTH($DR$3,0))-1)/2)+DS$11,0)=EOMONTH($BB$3,0),DS$9*DS$10,0),0),IF(AND(DO$9&lt;&gt;"",DO$11&lt;&gt;""),IF(EOMONTH($DN$3+INT((DAY(EOMONTH($DN$3,0))-1)/2)+DO$11,0)=EOMONTH($BB$3,0),DO$9*DO$10,0),0),IF(AND(DK$9&lt;&gt;"",DK$11&lt;&gt;""),IF(EOMONTH($DJ$3+INT((DAY(EOMONTH($DJ$3,0))-1)/2)+DK$11,0)=EOMONTH($BB$3,0),DK$9*DK$10,0),0),IF(AND(DG$9&lt;&gt;"",DG$11&lt;&gt;""),IF(EOMONTH($DF$3+INT((DAY(EOMONTH($DF$3,0))-1)/2)+DG$11,0)=EOMONTH($BB$3,0),DG$9*DG$10,0),0),IF(AND(DC$9&lt;&gt;"",DC$11&lt;&gt;""),IF(EOMONTH($DB$3+INT((DAY(EOMONTH($DB$3,0))-1)/2)+DC$11,0)=EOMONTH($BB$3,0),DC$9*DC$10,0),0),IF(AND(CY$9&lt;&gt;"",CY$11&lt;&gt;""),IF(EOMONTH($CX$3+INT((DAY(EOMONTH($CX$3,0))-1)/2)+CY$11,0)=EOMONTH($BB$3,0),CY$9*CY$10,0),0),IF(AND(CU$9&lt;&gt;"",CU$11&lt;&gt;""),IF(EOMONTH($CT$3+INT((DAY(EOMONTH($CT$3,0))-1)/2)+CU$11,0)=EOMONTH($BB$3,0),CU$9*CU$10,0),0),IF(AND(CQ$9&lt;&gt;"",CQ$11&lt;&gt;""),IF(EOMONTH($CP$3+INT((DAY(EOMONTH($CP$3,0))-1)/2)+CQ$11,0)=EOMONTH($BB$3,0),CQ$9*CQ$10,0),0),IF(AND(CM$9&lt;&gt;"",CM$11&lt;&gt;""),IF(EOMONTH($CL$3+INT((DAY(EOMONTH($CL$3,0))-1)/2)+CM$11,0)=EOMONTH($BB$3,0),CM$9*CM$10,0),0),IF(AND(CI$9&lt;&gt;"",CI$11&lt;&gt;""),IF(EOMONTH($CH$3+INT((DAY(EOMONTH($CH$3,0))-1)/2)+CI$11,0)=EOMONTH($BB$3,0),CI$9*CI$10,0),0),IF(AND(CE$9&lt;&gt;"",CE$11&lt;&gt;""),IF(EOMONTH($CD$3+INT((DAY(EOMONTH($CD$3,0))-1)/2)+CE$11,0)=EOMONTH($BB$3,0),CE$9*CE$10,0),0),IF(AND(CA$9&lt;&gt;"",CA$11&lt;&gt;""),IF(EOMONTH($BZ$3+INT((DAY(EOMONTH($BZ$3,0))-1)/2)+CA$11,0)=EOMONTH($BB$3,0),CA$9*CA$10,0),0),IF(AND(BW$9&lt;&gt;"",BW$11&lt;&gt;""),IF(EOMONTH($BV$3+INT((DAY(EOMONTH($BV$3,0))-1)/2)+BW$11,0)=EOMONTH($BB$3,0),BW$9*BW$10,0),0),IF(AND(BS$9&lt;&gt;"",BS$11&lt;&gt;""),IF(EOMONTH($BR$3+INT((DAY(EOMONTH($BR$3,0))-1)/2)+BS$11,0)=EOMONTH($BB$3,0),BS$9*BS$10,0),0),IF(AND(BO$9&lt;&gt;"",BO$11&lt;&gt;""),IF(EOMONTH($BN$3+INT((DAY(EOMONTH($BN$3,0))-1)/2)+BO$11,0)=EOMONTH($BB$3,0),BO$9*BO$10,0),0),IF(AND(BK$9&lt;&gt;"",BK$11&lt;&gt;""),IF(EOMONTH($BJ$3+INT((DAY(EOMONTH($BJ$3,0))-1)/2)+BK$11,0)=EOMONTH($BB$3,0),BK$9*BK$10,0),0),IF(AND(BG$9&lt;&gt;"",BG$11&lt;&gt;""),IF(EOMONTH($BF$3+INT((DAY(EOMONTH($BF$3,0))-1)/2)+BG$11,0)=EOMONTH($BB$3,0),BG$9*BG$10,0),0),IF(AND(BC$9&lt;&gt;"",BC$11&lt;&gt;""),IF(EOMONTH($BB$3+INT((DAY(EOMONTH($BB$3,0))-1)/2)+BC$11,0)=EOMONTH($BB$3,0),BC$9*BC$10,0),0),IF(AND(AY$9&lt;&gt;"",AY$11&lt;&gt;""),IF(EOMONTH($AX$3+INT((DAY(EOMONTH($AX$3,0))-1)/2)+AY$11,0)=EOMONTH($BB$3,0),AY$9*AY$10,0),0),IF(AND(AU$9&lt;&gt;"",AU$11&lt;&gt;""),IF(EOMONTH($AT$3+INT((DAY(EOMONTH($AT$3,0))-1)/2)+AU$11,0)=EOMONTH($BB$3,0),AU$9*AU$10,0),0),IF(AND(AQ$9&lt;&gt;"",AQ$11&lt;&gt;""),IF(EOMONTH($AP$3+INT((DAY(EOMONTH($AP$3,0))-1)/2)+AQ$11,0)=EOMONTH($BB$3,0),AQ$9*AQ$10,0),0),IF(AND(AM$9&lt;&gt;"",AM$11&lt;&gt;""),IF(EOMONTH($AL$3+INT((DAY(EOMONTH($AL$3,0))-1)/2)+AM$11,0)=EOMONTH($BB$3,0),AM$9*AM$10,0),0),IF(AND(AI$9&lt;&gt;"",AI$11&lt;&gt;""),IF(EOMONTH($AH$3+INT((DAY(EOMONTH($AH$3,0))-1)/2)+AI$11,0)=EOMONTH($BB$3,0),AI$9*AI$10,0),0),IF(AND(AE$9&lt;&gt;"",AE$11&lt;&gt;""),IF(EOMONTH($AD$3+INT((DAY(EOMONTH($AD$3,0))-1)/2)+AE$11,0)=EOMONTH($BB$3,0),AE$9*AE$10,0),0),IF(AND(AA$9&lt;&gt;"",AA$11&lt;&gt;""),IF(EOMONTH($Z$3+INT((DAY(EOMONTH($Z$3,0))-1)/2)+AA$11,0)=EOMONTH($BB$3,0),AA$9*AA$10,0),0),IF(AND(W$9&lt;&gt;"",W$11&lt;&gt;""),IF(EOMONTH($V$3+INT((DAY(EOMONTH($V$3,0))-1)/2)+W$11,0)=EOMONTH($BB$3,0),W$9*W$10,0),0),IF(AND(S$9&lt;&gt;"",S$11&lt;&gt;""),IF(EOMONTH($R$3+INT((DAY(EOMONTH($R$3,0))-1)/2)+S$11,0)=EOMONTH($BB$3,0),S$9*S$10,0),0),IF(AND(O$9&lt;&gt;"",O$11&lt;&gt;""),IF(EOMONTH($N$3+INT((DAY(EOMONTH($N$3,0))-1)/2)+O$11,0)=EOMONTH($BB$3,0),O$9*O$10,0),0),IF(AND(K$9&lt;&gt;"",K$11&lt;&gt;""),IF(EOMONTH($J$3+INT((DAY(EOMONTH($J$3,0))-1)/2)+K$11,0)=EOMONTH($BB$3,0),K$9*K$10,0),0),IF(AND(G$9&lt;&gt;"",G$11&lt;&gt;""),IF(EOMONTH($F$3+INT((DAY(EOMONTH($F$3,0))-1)/2)+G$11,0)=EOMONTH($BB$3,0),G$9*G$10,0),0),IF($EP$75="",0,IF(EOMONTH($EP$75+EQ$11,0)=EOMONTH($BB$3,0),$EP$76*EQ$10,0))),0))</f>
        <v>0</v>
      </c>
      <c r="BD12" s="15">
        <f>ROUND(SUM(IF(AND(ER$9&lt;&gt;"",ER$11&lt;&gt;""),IF(EOMONTH($EP$3+INT((DAY(EOMONTH($EP$3,0))-1)/2)+ER$11,0)=EOMONTH($BB$3,0),ER$9*ER$10,0),0),IF(AND(EN$9&lt;&gt;"",EN$11&lt;&gt;""),IF(EOMONTH($EL$3+INT((DAY(EOMONTH($EL$3,0))-1)/2)+EN$11,0)=EOMONTH($BB$3,0),EN$9*EN$10,0),0),IF(AND(EJ$9&lt;&gt;"",EJ$11&lt;&gt;""),IF(EOMONTH($EH$3+INT((DAY(EOMONTH($EH$3,0))-1)/2)+EJ$11,0)=EOMONTH($BB$3,0),EJ$9*EJ$10,0),0),IF(AND(EF$9&lt;&gt;"",EF$11&lt;&gt;""),IF(EOMONTH($ED$3+INT((DAY(EOMONTH($ED$3,0))-1)/2)+EF$11,0)=EOMONTH($BB$3,0),EF$9*EF$10,0),0),IF(AND(EB$9&lt;&gt;"",EB$11&lt;&gt;""),IF(EOMONTH($DZ$3+INT((DAY(EOMONTH($DZ$3,0))-1)/2)+EB$11,0)=EOMONTH($BB$3,0),EB$9*EB$10,0),0),IF(AND(DX$9&lt;&gt;"",DX$11&lt;&gt;""),IF(EOMONTH($DV$3+INT((DAY(EOMONTH($DV$3,0))-1)/2)+DX$11,0)=EOMONTH($BB$3,0),DX$9*DX$10,0),0),IF(AND(DT$9&lt;&gt;"",DT$11&lt;&gt;""),IF(EOMONTH($DR$3+INT((DAY(EOMONTH($DR$3,0))-1)/2)+DT$11,0)=EOMONTH($BB$3,0),DT$9*DT$10,0),0),IF(AND(DP$9&lt;&gt;"",DP$11&lt;&gt;""),IF(EOMONTH($DN$3+INT((DAY(EOMONTH($DN$3,0))-1)/2)+DP$11,0)=EOMONTH($BB$3,0),DP$9*DP$10,0),0),IF(AND(DL$9&lt;&gt;"",DL$11&lt;&gt;""),IF(EOMONTH($DJ$3+INT((DAY(EOMONTH($DJ$3,0))-1)/2)+DL$11,0)=EOMONTH($BB$3,0),DL$9*DL$10,0),0),IF(AND(DH$9&lt;&gt;"",DH$11&lt;&gt;""),IF(EOMONTH($DF$3+INT((DAY(EOMONTH($DF$3,0))-1)/2)+DH$11,0)=EOMONTH($BB$3,0),DH$9*DH$10,0),0),IF(AND(DD$9&lt;&gt;"",DD$11&lt;&gt;""),IF(EOMONTH($DB$3+INT((DAY(EOMONTH($DB$3,0))-1)/2)+DD$11,0)=EOMONTH($BB$3,0),DD$9*DD$10,0),0),IF(AND(CZ$9&lt;&gt;"",CZ$11&lt;&gt;""),IF(EOMONTH($CX$3+INT((DAY(EOMONTH($CX$3,0))-1)/2)+CZ$11,0)=EOMONTH($BB$3,0),CZ$9*CZ$10,0),0),IF(AND(CV$9&lt;&gt;"",CV$11&lt;&gt;""),IF(EOMONTH($CT$3+INT((DAY(EOMONTH($CT$3,0))-1)/2)+CV$11,0)=EOMONTH($BB$3,0),CV$9*CV$10,0),0),IF(AND(CR$9&lt;&gt;"",CR$11&lt;&gt;""),IF(EOMONTH($CP$3+INT((DAY(EOMONTH($CP$3,0))-1)/2)+CR$11,0)=EOMONTH($BB$3,0),CR$9*CR$10,0),0),IF(AND(CN$9&lt;&gt;"",CN$11&lt;&gt;""),IF(EOMONTH($CL$3+INT((DAY(EOMONTH($CL$3,0))-1)/2)+CN$11,0)=EOMONTH($BB$3,0),CN$9*CN$10,0),0),IF(AND(CJ$9&lt;&gt;"",CJ$11&lt;&gt;""),IF(EOMONTH($CH$3+INT((DAY(EOMONTH($CH$3,0))-1)/2)+CJ$11,0)=EOMONTH($BB$3,0),CJ$9*CJ$10,0),0),IF(AND(CF$9&lt;&gt;"",CF$11&lt;&gt;""),IF(EOMONTH($CD$3+INT((DAY(EOMONTH($CD$3,0))-1)/2)+CF$11,0)=EOMONTH($BB$3,0),CF$9*CF$10,0),0),IF(AND(CB$9&lt;&gt;"",CB$11&lt;&gt;""),IF(EOMONTH($BZ$3+INT((DAY(EOMONTH($BZ$3,0))-1)/2)+CB$11,0)=EOMONTH($BB$3,0),CB$9*CB$10,0),0),IF(AND(BX$9&lt;&gt;"",BX$11&lt;&gt;""),IF(EOMONTH($BV$3+INT((DAY(EOMONTH($BV$3,0))-1)/2)+BX$11,0)=EOMONTH($BB$3,0),BX$9*BX$10,0),0),IF(AND(BT$9&lt;&gt;"",BT$11&lt;&gt;""),IF(EOMONTH($BR$3+INT((DAY(EOMONTH($BR$3,0))-1)/2)+BT$11,0)=EOMONTH($BB$3,0),BT$9*BT$10,0),0),IF(AND(BP$9&lt;&gt;"",BP$11&lt;&gt;""),IF(EOMONTH($BN$3+INT((DAY(EOMONTH($BN$3,0))-1)/2)+BP$11,0)=EOMONTH($BB$3,0),BP$9*BP$10,0),0),IF(AND(BL$9&lt;&gt;"",BL$11&lt;&gt;""),IF(EOMONTH($BJ$3+INT((DAY(EOMONTH($BJ$3,0))-1)/2)+BL$11,0)=EOMONTH($BB$3,0),BL$9*BL$10,0),0),IF(AND(BH$9&lt;&gt;"",BH$11&lt;&gt;""),IF(EOMONTH($BF$3+INT((DAY(EOMONTH($BF$3,0))-1)/2)+BH$11,0)=EOMONTH($BB$3,0),BH$9*BH$10,0),0),IF(AND(BD$9&lt;&gt;"",BD$11&lt;&gt;""),IF(EOMONTH($BB$3+INT((DAY(EOMONTH($BB$3,0))-1)/2)+BD$11,0)=EOMONTH($BB$3,0),BD$9*BD$10,0),0),IF(AND(AZ$9&lt;&gt;"",AZ$11&lt;&gt;""),IF(EOMONTH($AX$3+INT((DAY(EOMONTH($AX$3,0))-1)/2)+AZ$11,0)=EOMONTH($BB$3,0),AZ$9*AZ$10,0),0),IF(AND(AV$9&lt;&gt;"",AV$11&lt;&gt;""),IF(EOMONTH($AT$3+INT((DAY(EOMONTH($AT$3,0))-1)/2)+AV$11,0)=EOMONTH($BB$3,0),AV$9*AV$10,0),0),IF(AND(AR$9&lt;&gt;"",AR$11&lt;&gt;""),IF(EOMONTH($AP$3+INT((DAY(EOMONTH($AP$3,0))-1)/2)+AR$11,0)=EOMONTH($BB$3,0),AR$9*AR$10,0),0),IF(AND(AN$9&lt;&gt;"",AN$11&lt;&gt;""),IF(EOMONTH($AL$3+INT((DAY(EOMONTH($AL$3,0))-1)/2)+AN$11,0)=EOMONTH($BB$3,0),AN$9*AN$10,0),0),IF(AND(AJ$9&lt;&gt;"",AJ$11&lt;&gt;""),IF(EOMONTH($AH$3+INT((DAY(EOMONTH($AH$3,0))-1)/2)+AJ$11,0)=EOMONTH($BB$3,0),AJ$9*AJ$10,0),0),IF(AND(AF$9&lt;&gt;"",AF$11&lt;&gt;""),IF(EOMONTH($AD$3+INT((DAY(EOMONTH($AD$3,0))-1)/2)+AF$11,0)=EOMONTH($BB$3,0),AF$9*AF$10,0),0),IF(AND(AB$9&lt;&gt;"",AB$11&lt;&gt;""),IF(EOMONTH($Z$3+INT((DAY(EOMONTH($Z$3,0))-1)/2)+AB$11,0)=EOMONTH($BB$3,0),AB$9*AB$10,0),0),IF(AND(X$9&lt;&gt;"",X$11&lt;&gt;""),IF(EOMONTH($V$3+INT((DAY(EOMONTH($V$3,0))-1)/2)+X$11,0)=EOMONTH($BB$3,0),X$9*X$10,0),0),IF(AND(T$9&lt;&gt;"",T$11&lt;&gt;""),IF(EOMONTH($R$3+INT((DAY(EOMONTH($R$3,0))-1)/2)+T$11,0)=EOMONTH($BB$3,0),T$9*T$10,0),0),IF(AND(P$9&lt;&gt;"",P$11&lt;&gt;""),IF(EOMONTH($N$3+INT((DAY(EOMONTH($N$3,0))-1)/2)+P$11,0)=EOMONTH($BB$3,0),P$9*P$10,0),0),IF(AND(L$9&lt;&gt;"",L$11&lt;&gt;""),IF(EOMONTH($J$3+INT((DAY(EOMONTH($J$3,0))-1)/2)+L$11,0)=EOMONTH($BB$3,0),L$9*L$10,0),0),IF(AND(H$9&lt;&gt;"",H$11&lt;&gt;""),IF(EOMONTH($F$3+INT((DAY(EOMONTH($F$3,0))-1)/2)+H$11,0)=EOMONTH($BB$3,0),H$9*H$10,0),0),IF($EP$75="",0,IF(EOMONTH($EP$75+ER$11,0)=EOMONTH($BB$3,0),$EP$76*ER$10,0))),0)</f>
        <v>0</v>
      </c>
      <c r="BE12" s="16">
        <f t="shared" si="29"/>
        <v>0</v>
      </c>
      <c r="BF12" s="17"/>
      <c r="BG12" s="14">
        <f>IF(BF$98=1,BF12,ROUND(SUM(IF(AND(EQ$9&lt;&gt;"",EQ$11&lt;&gt;""),IF(EOMONTH($EP$3+INT((DAY(EOMONTH($EP$3,0))-1)/2)+EQ$11,0)=EOMONTH($BF$3,0),EQ$9*EQ$10,0),0),IF(AND(EM$9&lt;&gt;"",EM$11&lt;&gt;""),IF(EOMONTH($EL$3+INT((DAY(EOMONTH($EL$3,0))-1)/2)+EM$11,0)=EOMONTH($BF$3,0),EM$9*EM$10,0),0),IF(AND(EI$9&lt;&gt;"",EI$11&lt;&gt;""),IF(EOMONTH($EH$3+INT((DAY(EOMONTH($EH$3,0))-1)/2)+EI$11,0)=EOMONTH($BF$3,0),EI$9*EI$10,0),0),IF(AND(EE$9&lt;&gt;"",EE$11&lt;&gt;""),IF(EOMONTH($ED$3+INT((DAY(EOMONTH($ED$3,0))-1)/2)+EE$11,0)=EOMONTH($BF$3,0),EE$9*EE$10,0),0),IF(AND(EA$9&lt;&gt;"",EA$11&lt;&gt;""),IF(EOMONTH($DZ$3+INT((DAY(EOMONTH($DZ$3,0))-1)/2)+EA$11,0)=EOMONTH($BF$3,0),EA$9*EA$10,0),0),IF(AND(DW$9&lt;&gt;"",DW$11&lt;&gt;""),IF(EOMONTH($DV$3+INT((DAY(EOMONTH($DV$3,0))-1)/2)+DW$11,0)=EOMONTH($BF$3,0),DW$9*DW$10,0),0),IF(AND(DS$9&lt;&gt;"",DS$11&lt;&gt;""),IF(EOMONTH($DR$3+INT((DAY(EOMONTH($DR$3,0))-1)/2)+DS$11,0)=EOMONTH($BF$3,0),DS$9*DS$10,0),0),IF(AND(DO$9&lt;&gt;"",DO$11&lt;&gt;""),IF(EOMONTH($DN$3+INT((DAY(EOMONTH($DN$3,0))-1)/2)+DO$11,0)=EOMONTH($BF$3,0),DO$9*DO$10,0),0),IF(AND(DK$9&lt;&gt;"",DK$11&lt;&gt;""),IF(EOMONTH($DJ$3+INT((DAY(EOMONTH($DJ$3,0))-1)/2)+DK$11,0)=EOMONTH($BF$3,0),DK$9*DK$10,0),0),IF(AND(DG$9&lt;&gt;"",DG$11&lt;&gt;""),IF(EOMONTH($DF$3+INT((DAY(EOMONTH($DF$3,0))-1)/2)+DG$11,0)=EOMONTH($BF$3,0),DG$9*DG$10,0),0),IF(AND(DC$9&lt;&gt;"",DC$11&lt;&gt;""),IF(EOMONTH($DB$3+INT((DAY(EOMONTH($DB$3,0))-1)/2)+DC$11,0)=EOMONTH($BF$3,0),DC$9*DC$10,0),0),IF(AND(CY$9&lt;&gt;"",CY$11&lt;&gt;""),IF(EOMONTH($CX$3+INT((DAY(EOMONTH($CX$3,0))-1)/2)+CY$11,0)=EOMONTH($BF$3,0),CY$9*CY$10,0),0),IF(AND(CU$9&lt;&gt;"",CU$11&lt;&gt;""),IF(EOMONTH($CT$3+INT((DAY(EOMONTH($CT$3,0))-1)/2)+CU$11,0)=EOMONTH($BF$3,0),CU$9*CU$10,0),0),IF(AND(CQ$9&lt;&gt;"",CQ$11&lt;&gt;""),IF(EOMONTH($CP$3+INT((DAY(EOMONTH($CP$3,0))-1)/2)+CQ$11,0)=EOMONTH($BF$3,0),CQ$9*CQ$10,0),0),IF(AND(CM$9&lt;&gt;"",CM$11&lt;&gt;""),IF(EOMONTH($CL$3+INT((DAY(EOMONTH($CL$3,0))-1)/2)+CM$11,0)=EOMONTH($BF$3,0),CM$9*CM$10,0),0),IF(AND(CI$9&lt;&gt;"",CI$11&lt;&gt;""),IF(EOMONTH($CH$3+INT((DAY(EOMONTH($CH$3,0))-1)/2)+CI$11,0)=EOMONTH($BF$3,0),CI$9*CI$10,0),0),IF(AND(CE$9&lt;&gt;"",CE$11&lt;&gt;""),IF(EOMONTH($CD$3+INT((DAY(EOMONTH($CD$3,0))-1)/2)+CE$11,0)=EOMONTH($BF$3,0),CE$9*CE$10,0),0),IF(AND(CA$9&lt;&gt;"",CA$11&lt;&gt;""),IF(EOMONTH($BZ$3+INT((DAY(EOMONTH($BZ$3,0))-1)/2)+CA$11,0)=EOMONTH($BF$3,0),CA$9*CA$10,0),0),IF(AND(BW$9&lt;&gt;"",BW$11&lt;&gt;""),IF(EOMONTH($BV$3+INT((DAY(EOMONTH($BV$3,0))-1)/2)+BW$11,0)=EOMONTH($BF$3,0),BW$9*BW$10,0),0),IF(AND(BS$9&lt;&gt;"",BS$11&lt;&gt;""),IF(EOMONTH($BR$3+INT((DAY(EOMONTH($BR$3,0))-1)/2)+BS$11,0)=EOMONTH($BF$3,0),BS$9*BS$10,0),0),IF(AND(BO$9&lt;&gt;"",BO$11&lt;&gt;""),IF(EOMONTH($BN$3+INT((DAY(EOMONTH($BN$3,0))-1)/2)+BO$11,0)=EOMONTH($BF$3,0),BO$9*BO$10,0),0),IF(AND(BK$9&lt;&gt;"",BK$11&lt;&gt;""),IF(EOMONTH($BJ$3+INT((DAY(EOMONTH($BJ$3,0))-1)/2)+BK$11,0)=EOMONTH($BF$3,0),BK$9*BK$10,0),0),IF(AND(BG$9&lt;&gt;"",BG$11&lt;&gt;""),IF(EOMONTH($BF$3+INT((DAY(EOMONTH($BF$3,0))-1)/2)+BG$11,0)=EOMONTH($BF$3,0),BG$9*BG$10,0),0),IF(AND(BC$9&lt;&gt;"",BC$11&lt;&gt;""),IF(EOMONTH($BB$3+INT((DAY(EOMONTH($BB$3,0))-1)/2)+BC$11,0)=EOMONTH($BF$3,0),BC$9*BC$10,0),0),IF(AND(AY$9&lt;&gt;"",AY$11&lt;&gt;""),IF(EOMONTH($AX$3+INT((DAY(EOMONTH($AX$3,0))-1)/2)+AY$11,0)=EOMONTH($BF$3,0),AY$9*AY$10,0),0),IF(AND(AU$9&lt;&gt;"",AU$11&lt;&gt;""),IF(EOMONTH($AT$3+INT((DAY(EOMONTH($AT$3,0))-1)/2)+AU$11,0)=EOMONTH($BF$3,0),AU$9*AU$10,0),0),IF(AND(AQ$9&lt;&gt;"",AQ$11&lt;&gt;""),IF(EOMONTH($AP$3+INT((DAY(EOMONTH($AP$3,0))-1)/2)+AQ$11,0)=EOMONTH($BF$3,0),AQ$9*AQ$10,0),0),IF(AND(AM$9&lt;&gt;"",AM$11&lt;&gt;""),IF(EOMONTH($AL$3+INT((DAY(EOMONTH($AL$3,0))-1)/2)+AM$11,0)=EOMONTH($BF$3,0),AM$9*AM$10,0),0),IF(AND(AI$9&lt;&gt;"",AI$11&lt;&gt;""),IF(EOMONTH($AH$3+INT((DAY(EOMONTH($AH$3,0))-1)/2)+AI$11,0)=EOMONTH($BF$3,0),AI$9*AI$10,0),0),IF(AND(AE$9&lt;&gt;"",AE$11&lt;&gt;""),IF(EOMONTH($AD$3+INT((DAY(EOMONTH($AD$3,0))-1)/2)+AE$11,0)=EOMONTH($BF$3,0),AE$9*AE$10,0),0),IF(AND(AA$9&lt;&gt;"",AA$11&lt;&gt;""),IF(EOMONTH($Z$3+INT((DAY(EOMONTH($Z$3,0))-1)/2)+AA$11,0)=EOMONTH($BF$3,0),AA$9*AA$10,0),0),IF(AND(W$9&lt;&gt;"",W$11&lt;&gt;""),IF(EOMONTH($V$3+INT((DAY(EOMONTH($V$3,0))-1)/2)+W$11,0)=EOMONTH($BF$3,0),W$9*W$10,0),0),IF(AND(S$9&lt;&gt;"",S$11&lt;&gt;""),IF(EOMONTH($R$3+INT((DAY(EOMONTH($R$3,0))-1)/2)+S$11,0)=EOMONTH($BF$3,0),S$9*S$10,0),0),IF(AND(O$9&lt;&gt;"",O$11&lt;&gt;""),IF(EOMONTH($N$3+INT((DAY(EOMONTH($N$3,0))-1)/2)+O$11,0)=EOMONTH($BF$3,0),O$9*O$10,0),0),IF(AND(K$9&lt;&gt;"",K$11&lt;&gt;""),IF(EOMONTH($J$3+INT((DAY(EOMONTH($J$3,0))-1)/2)+K$11,0)=EOMONTH($BF$3,0),K$9*K$10,0),0),IF(AND(G$9&lt;&gt;"",G$11&lt;&gt;""),IF(EOMONTH($F$3+INT((DAY(EOMONTH($F$3,0))-1)/2)+G$11,0)=EOMONTH($BF$3,0),G$9*G$10,0),0),IF($EP$75="",0,IF(EOMONTH($EP$75+EQ$11,0)=EOMONTH($BF$3,0),$EP$76*EQ$10,0))),0))</f>
        <v>0</v>
      </c>
      <c r="BH12" s="15">
        <f>ROUND(SUM(IF(AND(ER$9&lt;&gt;"",ER$11&lt;&gt;""),IF(EOMONTH($EP$3+INT((DAY(EOMONTH($EP$3,0))-1)/2)+ER$11,0)=EOMONTH($BF$3,0),ER$9*ER$10,0),0),IF(AND(EN$9&lt;&gt;"",EN$11&lt;&gt;""),IF(EOMONTH($EL$3+INT((DAY(EOMONTH($EL$3,0))-1)/2)+EN$11,0)=EOMONTH($BF$3,0),EN$9*EN$10,0),0),IF(AND(EJ$9&lt;&gt;"",EJ$11&lt;&gt;""),IF(EOMONTH($EH$3+INT((DAY(EOMONTH($EH$3,0))-1)/2)+EJ$11,0)=EOMONTH($BF$3,0),EJ$9*EJ$10,0),0),IF(AND(EF$9&lt;&gt;"",EF$11&lt;&gt;""),IF(EOMONTH($ED$3+INT((DAY(EOMONTH($ED$3,0))-1)/2)+EF$11,0)=EOMONTH($BF$3,0),EF$9*EF$10,0),0),IF(AND(EB$9&lt;&gt;"",EB$11&lt;&gt;""),IF(EOMONTH($DZ$3+INT((DAY(EOMONTH($DZ$3,0))-1)/2)+EB$11,0)=EOMONTH($BF$3,0),EB$9*EB$10,0),0),IF(AND(DX$9&lt;&gt;"",DX$11&lt;&gt;""),IF(EOMONTH($DV$3+INT((DAY(EOMONTH($DV$3,0))-1)/2)+DX$11,0)=EOMONTH($BF$3,0),DX$9*DX$10,0),0),IF(AND(DT$9&lt;&gt;"",DT$11&lt;&gt;""),IF(EOMONTH($DR$3+INT((DAY(EOMONTH($DR$3,0))-1)/2)+DT$11,0)=EOMONTH($BF$3,0),DT$9*DT$10,0),0),IF(AND(DP$9&lt;&gt;"",DP$11&lt;&gt;""),IF(EOMONTH($DN$3+INT((DAY(EOMONTH($DN$3,0))-1)/2)+DP$11,0)=EOMONTH($BF$3,0),DP$9*DP$10,0),0),IF(AND(DL$9&lt;&gt;"",DL$11&lt;&gt;""),IF(EOMONTH($DJ$3+INT((DAY(EOMONTH($DJ$3,0))-1)/2)+DL$11,0)=EOMONTH($BF$3,0),DL$9*DL$10,0),0),IF(AND(DH$9&lt;&gt;"",DH$11&lt;&gt;""),IF(EOMONTH($DF$3+INT((DAY(EOMONTH($DF$3,0))-1)/2)+DH$11,0)=EOMONTH($BF$3,0),DH$9*DH$10,0),0),IF(AND(DD$9&lt;&gt;"",DD$11&lt;&gt;""),IF(EOMONTH($DB$3+INT((DAY(EOMONTH($DB$3,0))-1)/2)+DD$11,0)=EOMONTH($BF$3,0),DD$9*DD$10,0),0),IF(AND(CZ$9&lt;&gt;"",CZ$11&lt;&gt;""),IF(EOMONTH($CX$3+INT((DAY(EOMONTH($CX$3,0))-1)/2)+CZ$11,0)=EOMONTH($BF$3,0),CZ$9*CZ$10,0),0),IF(AND(CV$9&lt;&gt;"",CV$11&lt;&gt;""),IF(EOMONTH($CT$3+INT((DAY(EOMONTH($CT$3,0))-1)/2)+CV$11,0)=EOMONTH($BF$3,0),CV$9*CV$10,0),0),IF(AND(CR$9&lt;&gt;"",CR$11&lt;&gt;""),IF(EOMONTH($CP$3+INT((DAY(EOMONTH($CP$3,0))-1)/2)+CR$11,0)=EOMONTH($BF$3,0),CR$9*CR$10,0),0),IF(AND(CN$9&lt;&gt;"",CN$11&lt;&gt;""),IF(EOMONTH($CL$3+INT((DAY(EOMONTH($CL$3,0))-1)/2)+CN$11,0)=EOMONTH($BF$3,0),CN$9*CN$10,0),0),IF(AND(CJ$9&lt;&gt;"",CJ$11&lt;&gt;""),IF(EOMONTH($CH$3+INT((DAY(EOMONTH($CH$3,0))-1)/2)+CJ$11,0)=EOMONTH($BF$3,0),CJ$9*CJ$10,0),0),IF(AND(CF$9&lt;&gt;"",CF$11&lt;&gt;""),IF(EOMONTH($CD$3+INT((DAY(EOMONTH($CD$3,0))-1)/2)+CF$11,0)=EOMONTH($BF$3,0),CF$9*CF$10,0),0),IF(AND(CB$9&lt;&gt;"",CB$11&lt;&gt;""),IF(EOMONTH($BZ$3+INT((DAY(EOMONTH($BZ$3,0))-1)/2)+CB$11,0)=EOMONTH($BF$3,0),CB$9*CB$10,0),0),IF(AND(BX$9&lt;&gt;"",BX$11&lt;&gt;""),IF(EOMONTH($BV$3+INT((DAY(EOMONTH($BV$3,0))-1)/2)+BX$11,0)=EOMONTH($BF$3,0),BX$9*BX$10,0),0),IF(AND(BT$9&lt;&gt;"",BT$11&lt;&gt;""),IF(EOMONTH($BR$3+INT((DAY(EOMONTH($BR$3,0))-1)/2)+BT$11,0)=EOMONTH($BF$3,0),BT$9*BT$10,0),0),IF(AND(BP$9&lt;&gt;"",BP$11&lt;&gt;""),IF(EOMONTH($BN$3+INT((DAY(EOMONTH($BN$3,0))-1)/2)+BP$11,0)=EOMONTH($BF$3,0),BP$9*BP$10,0),0),IF(AND(BL$9&lt;&gt;"",BL$11&lt;&gt;""),IF(EOMONTH($BJ$3+INT((DAY(EOMONTH($BJ$3,0))-1)/2)+BL$11,0)=EOMONTH($BF$3,0),BL$9*BL$10,0),0),IF(AND(BH$9&lt;&gt;"",BH$11&lt;&gt;""),IF(EOMONTH($BF$3+INT((DAY(EOMONTH($BF$3,0))-1)/2)+BH$11,0)=EOMONTH($BF$3,0),BH$9*BH$10,0),0),IF(AND(BD$9&lt;&gt;"",BD$11&lt;&gt;""),IF(EOMONTH($BB$3+INT((DAY(EOMONTH($BB$3,0))-1)/2)+BD$11,0)=EOMONTH($BF$3,0),BD$9*BD$10,0),0),IF(AND(AZ$9&lt;&gt;"",AZ$11&lt;&gt;""),IF(EOMONTH($AX$3+INT((DAY(EOMONTH($AX$3,0))-1)/2)+AZ$11,0)=EOMONTH($BF$3,0),AZ$9*AZ$10,0),0),IF(AND(AV$9&lt;&gt;"",AV$11&lt;&gt;""),IF(EOMONTH($AT$3+INT((DAY(EOMONTH($AT$3,0))-1)/2)+AV$11,0)=EOMONTH($BF$3,0),AV$9*AV$10,0),0),IF(AND(AR$9&lt;&gt;"",AR$11&lt;&gt;""),IF(EOMONTH($AP$3+INT((DAY(EOMONTH($AP$3,0))-1)/2)+AR$11,0)=EOMONTH($BF$3,0),AR$9*AR$10,0),0),IF(AND(AN$9&lt;&gt;"",AN$11&lt;&gt;""),IF(EOMONTH($AL$3+INT((DAY(EOMONTH($AL$3,0))-1)/2)+AN$11,0)=EOMONTH($BF$3,0),AN$9*AN$10,0),0),IF(AND(AJ$9&lt;&gt;"",AJ$11&lt;&gt;""),IF(EOMONTH($AH$3+INT((DAY(EOMONTH($AH$3,0))-1)/2)+AJ$11,0)=EOMONTH($BF$3,0),AJ$9*AJ$10,0),0),IF(AND(AF$9&lt;&gt;"",AF$11&lt;&gt;""),IF(EOMONTH($AD$3+INT((DAY(EOMONTH($AD$3,0))-1)/2)+AF$11,0)=EOMONTH($BF$3,0),AF$9*AF$10,0),0),IF(AND(AB$9&lt;&gt;"",AB$11&lt;&gt;""),IF(EOMONTH($Z$3+INT((DAY(EOMONTH($Z$3,0))-1)/2)+AB$11,0)=EOMONTH($BF$3,0),AB$9*AB$10,0),0),IF(AND(X$9&lt;&gt;"",X$11&lt;&gt;""),IF(EOMONTH($V$3+INT((DAY(EOMONTH($V$3,0))-1)/2)+X$11,0)=EOMONTH($BF$3,0),X$9*X$10,0),0),IF(AND(T$9&lt;&gt;"",T$11&lt;&gt;""),IF(EOMONTH($R$3+INT((DAY(EOMONTH($R$3,0))-1)/2)+T$11,0)=EOMONTH($BF$3,0),T$9*T$10,0),0),IF(AND(P$9&lt;&gt;"",P$11&lt;&gt;""),IF(EOMONTH($N$3+INT((DAY(EOMONTH($N$3,0))-1)/2)+P$11,0)=EOMONTH($BF$3,0),P$9*P$10,0),0),IF(AND(L$9&lt;&gt;"",L$11&lt;&gt;""),IF(EOMONTH($J$3+INT((DAY(EOMONTH($J$3,0))-1)/2)+L$11,0)=EOMONTH($BF$3,0),L$9*L$10,0),0),IF(AND(H$9&lt;&gt;"",H$11&lt;&gt;""),IF(EOMONTH($F$3+INT((DAY(EOMONTH($F$3,0))-1)/2)+H$11,0)=EOMONTH($BF$3,0),H$9*H$10,0),0),IF($EP$75="",0,IF(EOMONTH($EP$75+ER$11,0)=EOMONTH($BF$3,0),$EP$76*ER$10,0))),0)</f>
        <v>0</v>
      </c>
      <c r="BI12" s="16">
        <f t="shared" si="31"/>
        <v>0</v>
      </c>
      <c r="BJ12" s="17"/>
      <c r="BK12" s="14">
        <f>IF(BJ$98=1,BJ12,ROUND(SUM(IF(AND(EQ$9&lt;&gt;"",EQ$11&lt;&gt;""),IF(EOMONTH($EP$3+INT((DAY(EOMONTH($EP$3,0))-1)/2)+EQ$11,0)=EOMONTH($BJ$3,0),EQ$9*EQ$10,0),0),IF(AND(EM$9&lt;&gt;"",EM$11&lt;&gt;""),IF(EOMONTH($EL$3+INT((DAY(EOMONTH($EL$3,0))-1)/2)+EM$11,0)=EOMONTH($BJ$3,0),EM$9*EM$10,0),0),IF(AND(EI$9&lt;&gt;"",EI$11&lt;&gt;""),IF(EOMONTH($EH$3+INT((DAY(EOMONTH($EH$3,0))-1)/2)+EI$11,0)=EOMONTH($BJ$3,0),EI$9*EI$10,0),0),IF(AND(EE$9&lt;&gt;"",EE$11&lt;&gt;""),IF(EOMONTH($ED$3+INT((DAY(EOMONTH($ED$3,0))-1)/2)+EE$11,0)=EOMONTH($BJ$3,0),EE$9*EE$10,0),0),IF(AND(EA$9&lt;&gt;"",EA$11&lt;&gt;""),IF(EOMONTH($DZ$3+INT((DAY(EOMONTH($DZ$3,0))-1)/2)+EA$11,0)=EOMONTH($BJ$3,0),EA$9*EA$10,0),0),IF(AND(DW$9&lt;&gt;"",DW$11&lt;&gt;""),IF(EOMONTH($DV$3+INT((DAY(EOMONTH($DV$3,0))-1)/2)+DW$11,0)=EOMONTH($BJ$3,0),DW$9*DW$10,0),0),IF(AND(DS$9&lt;&gt;"",DS$11&lt;&gt;""),IF(EOMONTH($DR$3+INT((DAY(EOMONTH($DR$3,0))-1)/2)+DS$11,0)=EOMONTH($BJ$3,0),DS$9*DS$10,0),0),IF(AND(DO$9&lt;&gt;"",DO$11&lt;&gt;""),IF(EOMONTH($DN$3+INT((DAY(EOMONTH($DN$3,0))-1)/2)+DO$11,0)=EOMONTH($BJ$3,0),DO$9*DO$10,0),0),IF(AND(DK$9&lt;&gt;"",DK$11&lt;&gt;""),IF(EOMONTH($DJ$3+INT((DAY(EOMONTH($DJ$3,0))-1)/2)+DK$11,0)=EOMONTH($BJ$3,0),DK$9*DK$10,0),0),IF(AND(DG$9&lt;&gt;"",DG$11&lt;&gt;""),IF(EOMONTH($DF$3+INT((DAY(EOMONTH($DF$3,0))-1)/2)+DG$11,0)=EOMONTH($BJ$3,0),DG$9*DG$10,0),0),IF(AND(DC$9&lt;&gt;"",DC$11&lt;&gt;""),IF(EOMONTH($DB$3+INT((DAY(EOMONTH($DB$3,0))-1)/2)+DC$11,0)=EOMONTH($BJ$3,0),DC$9*DC$10,0),0),IF(AND(CY$9&lt;&gt;"",CY$11&lt;&gt;""),IF(EOMONTH($CX$3+INT((DAY(EOMONTH($CX$3,0))-1)/2)+CY$11,0)=EOMONTH($BJ$3,0),CY$9*CY$10,0),0),IF(AND(CU$9&lt;&gt;"",CU$11&lt;&gt;""),IF(EOMONTH($CT$3+INT((DAY(EOMONTH($CT$3,0))-1)/2)+CU$11,0)=EOMONTH($BJ$3,0),CU$9*CU$10,0),0),IF(AND(CQ$9&lt;&gt;"",CQ$11&lt;&gt;""),IF(EOMONTH($CP$3+INT((DAY(EOMONTH($CP$3,0))-1)/2)+CQ$11,0)=EOMONTH($BJ$3,0),CQ$9*CQ$10,0),0),IF(AND(CM$9&lt;&gt;"",CM$11&lt;&gt;""),IF(EOMONTH($CL$3+INT((DAY(EOMONTH($CL$3,0))-1)/2)+CM$11,0)=EOMONTH($BJ$3,0),CM$9*CM$10,0),0),IF(AND(CI$9&lt;&gt;"",CI$11&lt;&gt;""),IF(EOMONTH($CH$3+INT((DAY(EOMONTH($CH$3,0))-1)/2)+CI$11,0)=EOMONTH($BJ$3,0),CI$9*CI$10,0),0),IF(AND(CE$9&lt;&gt;"",CE$11&lt;&gt;""),IF(EOMONTH($CD$3+INT((DAY(EOMONTH($CD$3,0))-1)/2)+CE$11,0)=EOMONTH($BJ$3,0),CE$9*CE$10,0),0),IF(AND(CA$9&lt;&gt;"",CA$11&lt;&gt;""),IF(EOMONTH($BZ$3+INT((DAY(EOMONTH($BZ$3,0))-1)/2)+CA$11,0)=EOMONTH($BJ$3,0),CA$9*CA$10,0),0),IF(AND(BW$9&lt;&gt;"",BW$11&lt;&gt;""),IF(EOMONTH($BV$3+INT((DAY(EOMONTH($BV$3,0))-1)/2)+BW$11,0)=EOMONTH($BJ$3,0),BW$9*BW$10,0),0),IF(AND(BS$9&lt;&gt;"",BS$11&lt;&gt;""),IF(EOMONTH($BR$3+INT((DAY(EOMONTH($BR$3,0))-1)/2)+BS$11,0)=EOMONTH($BJ$3,0),BS$9*BS$10,0),0),IF(AND(BO$9&lt;&gt;"",BO$11&lt;&gt;""),IF(EOMONTH($BN$3+INT((DAY(EOMONTH($BN$3,0))-1)/2)+BO$11,0)=EOMONTH($BJ$3,0),BO$9*BO$10,0),0),IF(AND(BK$9&lt;&gt;"",BK$11&lt;&gt;""),IF(EOMONTH($BJ$3+INT((DAY(EOMONTH($BJ$3,0))-1)/2)+BK$11,0)=EOMONTH($BJ$3,0),BK$9*BK$10,0),0),IF(AND(BG$9&lt;&gt;"",BG$11&lt;&gt;""),IF(EOMONTH($BF$3+INT((DAY(EOMONTH($BF$3,0))-1)/2)+BG$11,0)=EOMONTH($BJ$3,0),BG$9*BG$10,0),0),IF(AND(BC$9&lt;&gt;"",BC$11&lt;&gt;""),IF(EOMONTH($BB$3+INT((DAY(EOMONTH($BB$3,0))-1)/2)+BC$11,0)=EOMONTH($BJ$3,0),BC$9*BC$10,0),0),IF(AND(AY$9&lt;&gt;"",AY$11&lt;&gt;""),IF(EOMONTH($AX$3+INT((DAY(EOMONTH($AX$3,0))-1)/2)+AY$11,0)=EOMONTH($BJ$3,0),AY$9*AY$10,0),0),IF(AND(AU$9&lt;&gt;"",AU$11&lt;&gt;""),IF(EOMONTH($AT$3+INT((DAY(EOMONTH($AT$3,0))-1)/2)+AU$11,0)=EOMONTH($BJ$3,0),AU$9*AU$10,0),0),IF(AND(AQ$9&lt;&gt;"",AQ$11&lt;&gt;""),IF(EOMONTH($AP$3+INT((DAY(EOMONTH($AP$3,0))-1)/2)+AQ$11,0)=EOMONTH($BJ$3,0),AQ$9*AQ$10,0),0),IF(AND(AM$9&lt;&gt;"",AM$11&lt;&gt;""),IF(EOMONTH($AL$3+INT((DAY(EOMONTH($AL$3,0))-1)/2)+AM$11,0)=EOMONTH($BJ$3,0),AM$9*AM$10,0),0),IF(AND(AI$9&lt;&gt;"",AI$11&lt;&gt;""),IF(EOMONTH($AH$3+INT((DAY(EOMONTH($AH$3,0))-1)/2)+AI$11,0)=EOMONTH($BJ$3,0),AI$9*AI$10,0),0),IF(AND(AE$9&lt;&gt;"",AE$11&lt;&gt;""),IF(EOMONTH($AD$3+INT((DAY(EOMONTH($AD$3,0))-1)/2)+AE$11,0)=EOMONTH($BJ$3,0),AE$9*AE$10,0),0),IF(AND(AA$9&lt;&gt;"",AA$11&lt;&gt;""),IF(EOMONTH($Z$3+INT((DAY(EOMONTH($Z$3,0))-1)/2)+AA$11,0)=EOMONTH($BJ$3,0),AA$9*AA$10,0),0),IF(AND(W$9&lt;&gt;"",W$11&lt;&gt;""),IF(EOMONTH($V$3+INT((DAY(EOMONTH($V$3,0))-1)/2)+W$11,0)=EOMONTH($BJ$3,0),W$9*W$10,0),0),IF(AND(S$9&lt;&gt;"",S$11&lt;&gt;""),IF(EOMONTH($R$3+INT((DAY(EOMONTH($R$3,0))-1)/2)+S$11,0)=EOMONTH($BJ$3,0),S$9*S$10,0),0),IF(AND(O$9&lt;&gt;"",O$11&lt;&gt;""),IF(EOMONTH($N$3+INT((DAY(EOMONTH($N$3,0))-1)/2)+O$11,0)=EOMONTH($BJ$3,0),O$9*O$10,0),0),IF(AND(K$9&lt;&gt;"",K$11&lt;&gt;""),IF(EOMONTH($J$3+INT((DAY(EOMONTH($J$3,0))-1)/2)+K$11,0)=EOMONTH($BJ$3,0),K$9*K$10,0),0),IF(AND(G$9&lt;&gt;"",G$11&lt;&gt;""),IF(EOMONTH($F$3+INT((DAY(EOMONTH($F$3,0))-1)/2)+G$11,0)=EOMONTH($BJ$3,0),G$9*G$10,0),0),IF($EP$75="",0,IF(EOMONTH($EP$75+EQ$11,0)=EOMONTH($BJ$3,0),$EP$76*EQ$10,0))),0))</f>
        <v>0</v>
      </c>
      <c r="BL12" s="15">
        <f>ROUND(SUM(IF(AND(ER$9&lt;&gt;"",ER$11&lt;&gt;""),IF(EOMONTH($EP$3+INT((DAY(EOMONTH($EP$3,0))-1)/2)+ER$11,0)=EOMONTH($BJ$3,0),ER$9*ER$10,0),0),IF(AND(EN$9&lt;&gt;"",EN$11&lt;&gt;""),IF(EOMONTH($EL$3+INT((DAY(EOMONTH($EL$3,0))-1)/2)+EN$11,0)=EOMONTH($BJ$3,0),EN$9*EN$10,0),0),IF(AND(EJ$9&lt;&gt;"",EJ$11&lt;&gt;""),IF(EOMONTH($EH$3+INT((DAY(EOMONTH($EH$3,0))-1)/2)+EJ$11,0)=EOMONTH($BJ$3,0),EJ$9*EJ$10,0),0),IF(AND(EF$9&lt;&gt;"",EF$11&lt;&gt;""),IF(EOMONTH($ED$3+INT((DAY(EOMONTH($ED$3,0))-1)/2)+EF$11,0)=EOMONTH($BJ$3,0),EF$9*EF$10,0),0),IF(AND(EB$9&lt;&gt;"",EB$11&lt;&gt;""),IF(EOMONTH($DZ$3+INT((DAY(EOMONTH($DZ$3,0))-1)/2)+EB$11,0)=EOMONTH($BJ$3,0),EB$9*EB$10,0),0),IF(AND(DX$9&lt;&gt;"",DX$11&lt;&gt;""),IF(EOMONTH($DV$3+INT((DAY(EOMONTH($DV$3,0))-1)/2)+DX$11,0)=EOMONTH($BJ$3,0),DX$9*DX$10,0),0),IF(AND(DT$9&lt;&gt;"",DT$11&lt;&gt;""),IF(EOMONTH($DR$3+INT((DAY(EOMONTH($DR$3,0))-1)/2)+DT$11,0)=EOMONTH($BJ$3,0),DT$9*DT$10,0),0),IF(AND(DP$9&lt;&gt;"",DP$11&lt;&gt;""),IF(EOMONTH($DN$3+INT((DAY(EOMONTH($DN$3,0))-1)/2)+DP$11,0)=EOMONTH($BJ$3,0),DP$9*DP$10,0),0),IF(AND(DL$9&lt;&gt;"",DL$11&lt;&gt;""),IF(EOMONTH($DJ$3+INT((DAY(EOMONTH($DJ$3,0))-1)/2)+DL$11,0)=EOMONTH($BJ$3,0),DL$9*DL$10,0),0),IF(AND(DH$9&lt;&gt;"",DH$11&lt;&gt;""),IF(EOMONTH($DF$3+INT((DAY(EOMONTH($DF$3,0))-1)/2)+DH$11,0)=EOMONTH($BJ$3,0),DH$9*DH$10,0),0),IF(AND(DD$9&lt;&gt;"",DD$11&lt;&gt;""),IF(EOMONTH($DB$3+INT((DAY(EOMONTH($DB$3,0))-1)/2)+DD$11,0)=EOMONTH($BJ$3,0),DD$9*DD$10,0),0),IF(AND(CZ$9&lt;&gt;"",CZ$11&lt;&gt;""),IF(EOMONTH($CX$3+INT((DAY(EOMONTH($CX$3,0))-1)/2)+CZ$11,0)=EOMONTH($BJ$3,0),CZ$9*CZ$10,0),0),IF(AND(CV$9&lt;&gt;"",CV$11&lt;&gt;""),IF(EOMONTH($CT$3+INT((DAY(EOMONTH($CT$3,0))-1)/2)+CV$11,0)=EOMONTH($BJ$3,0),CV$9*CV$10,0),0),IF(AND(CR$9&lt;&gt;"",CR$11&lt;&gt;""),IF(EOMONTH($CP$3+INT((DAY(EOMONTH($CP$3,0))-1)/2)+CR$11,0)=EOMONTH($BJ$3,0),CR$9*CR$10,0),0),IF(AND(CN$9&lt;&gt;"",CN$11&lt;&gt;""),IF(EOMONTH($CL$3+INT((DAY(EOMONTH($CL$3,0))-1)/2)+CN$11,0)=EOMONTH($BJ$3,0),CN$9*CN$10,0),0),IF(AND(CJ$9&lt;&gt;"",CJ$11&lt;&gt;""),IF(EOMONTH($CH$3+INT((DAY(EOMONTH($CH$3,0))-1)/2)+CJ$11,0)=EOMONTH($BJ$3,0),CJ$9*CJ$10,0),0),IF(AND(CF$9&lt;&gt;"",CF$11&lt;&gt;""),IF(EOMONTH($CD$3+INT((DAY(EOMONTH($CD$3,0))-1)/2)+CF$11,0)=EOMONTH($BJ$3,0),CF$9*CF$10,0),0),IF(AND(CB$9&lt;&gt;"",CB$11&lt;&gt;""),IF(EOMONTH($BZ$3+INT((DAY(EOMONTH($BZ$3,0))-1)/2)+CB$11,0)=EOMONTH($BJ$3,0),CB$9*CB$10,0),0),IF(AND(BX$9&lt;&gt;"",BX$11&lt;&gt;""),IF(EOMONTH($BV$3+INT((DAY(EOMONTH($BV$3,0))-1)/2)+BX$11,0)=EOMONTH($BJ$3,0),BX$9*BX$10,0),0),IF(AND(BT$9&lt;&gt;"",BT$11&lt;&gt;""),IF(EOMONTH($BR$3+INT((DAY(EOMONTH($BR$3,0))-1)/2)+BT$11,0)=EOMONTH($BJ$3,0),BT$9*BT$10,0),0),IF(AND(BP$9&lt;&gt;"",BP$11&lt;&gt;""),IF(EOMONTH($BN$3+INT((DAY(EOMONTH($BN$3,0))-1)/2)+BP$11,0)=EOMONTH($BJ$3,0),BP$9*BP$10,0),0),IF(AND(BL$9&lt;&gt;"",BL$11&lt;&gt;""),IF(EOMONTH($BJ$3+INT((DAY(EOMONTH($BJ$3,0))-1)/2)+BL$11,0)=EOMONTH($BJ$3,0),BL$9*BL$10,0),0),IF(AND(BH$9&lt;&gt;"",BH$11&lt;&gt;""),IF(EOMONTH($BF$3+INT((DAY(EOMONTH($BF$3,0))-1)/2)+BH$11,0)=EOMONTH($BJ$3,0),BH$9*BH$10,0),0),IF(AND(BD$9&lt;&gt;"",BD$11&lt;&gt;""),IF(EOMONTH($BB$3+INT((DAY(EOMONTH($BB$3,0))-1)/2)+BD$11,0)=EOMONTH($BJ$3,0),BD$9*BD$10,0),0),IF(AND(AZ$9&lt;&gt;"",AZ$11&lt;&gt;""),IF(EOMONTH($AX$3+INT((DAY(EOMONTH($AX$3,0))-1)/2)+AZ$11,0)=EOMONTH($BJ$3,0),AZ$9*AZ$10,0),0),IF(AND(AV$9&lt;&gt;"",AV$11&lt;&gt;""),IF(EOMONTH($AT$3+INT((DAY(EOMONTH($AT$3,0))-1)/2)+AV$11,0)=EOMONTH($BJ$3,0),AV$9*AV$10,0),0),IF(AND(AR$9&lt;&gt;"",AR$11&lt;&gt;""),IF(EOMONTH($AP$3+INT((DAY(EOMONTH($AP$3,0))-1)/2)+AR$11,0)=EOMONTH($BJ$3,0),AR$9*AR$10,0),0),IF(AND(AN$9&lt;&gt;"",AN$11&lt;&gt;""),IF(EOMONTH($AL$3+INT((DAY(EOMONTH($AL$3,0))-1)/2)+AN$11,0)=EOMONTH($BJ$3,0),AN$9*AN$10,0),0),IF(AND(AJ$9&lt;&gt;"",AJ$11&lt;&gt;""),IF(EOMONTH($AH$3+INT((DAY(EOMONTH($AH$3,0))-1)/2)+AJ$11,0)=EOMONTH($BJ$3,0),AJ$9*AJ$10,0),0),IF(AND(AF$9&lt;&gt;"",AF$11&lt;&gt;""),IF(EOMONTH($AD$3+INT((DAY(EOMONTH($AD$3,0))-1)/2)+AF$11,0)=EOMONTH($BJ$3,0),AF$9*AF$10,0),0),IF(AND(AB$9&lt;&gt;"",AB$11&lt;&gt;""),IF(EOMONTH($Z$3+INT((DAY(EOMONTH($Z$3,0))-1)/2)+AB$11,0)=EOMONTH($BJ$3,0),AB$9*AB$10,0),0),IF(AND(X$9&lt;&gt;"",X$11&lt;&gt;""),IF(EOMONTH($V$3+INT((DAY(EOMONTH($V$3,0))-1)/2)+X$11,0)=EOMONTH($BJ$3,0),X$9*X$10,0),0),IF(AND(T$9&lt;&gt;"",T$11&lt;&gt;""),IF(EOMONTH($R$3+INT((DAY(EOMONTH($R$3,0))-1)/2)+T$11,0)=EOMONTH($BJ$3,0),T$9*T$10,0),0),IF(AND(P$9&lt;&gt;"",P$11&lt;&gt;""),IF(EOMONTH($N$3+INT((DAY(EOMONTH($N$3,0))-1)/2)+P$11,0)=EOMONTH($BJ$3,0),P$9*P$10,0),0),IF(AND(L$9&lt;&gt;"",L$11&lt;&gt;""),IF(EOMONTH($J$3+INT((DAY(EOMONTH($J$3,0))-1)/2)+L$11,0)=EOMONTH($BJ$3,0),L$9*L$10,0),0),IF(AND(H$9&lt;&gt;"",H$11&lt;&gt;""),IF(EOMONTH($F$3+INT((DAY(EOMONTH($F$3,0))-1)/2)+H$11,0)=EOMONTH($BJ$3,0),H$9*H$10,0),0),IF($EP$75="",0,IF(EOMONTH($EP$75+ER$11,0)=EOMONTH($BJ$3,0),$EP$76*ER$10,0))),0)</f>
        <v>0</v>
      </c>
      <c r="BM12" s="16">
        <f t="shared" si="33"/>
        <v>0</v>
      </c>
      <c r="BN12" s="17"/>
      <c r="BO12" s="14">
        <f>IF(BN$98=1,BN12,ROUND(SUM(IF(AND(EQ$9&lt;&gt;"",EQ$11&lt;&gt;""),IF(EOMONTH($EP$3+INT((DAY(EOMONTH($EP$3,0))-1)/2)+EQ$11,0)=EOMONTH($BN$3,0),EQ$9*EQ$10,0),0),IF(AND(EM$9&lt;&gt;"",EM$11&lt;&gt;""),IF(EOMONTH($EL$3+INT((DAY(EOMONTH($EL$3,0))-1)/2)+EM$11,0)=EOMONTH($BN$3,0),EM$9*EM$10,0),0),IF(AND(EI$9&lt;&gt;"",EI$11&lt;&gt;""),IF(EOMONTH($EH$3+INT((DAY(EOMONTH($EH$3,0))-1)/2)+EI$11,0)=EOMONTH($BN$3,0),EI$9*EI$10,0),0),IF(AND(EE$9&lt;&gt;"",EE$11&lt;&gt;""),IF(EOMONTH($ED$3+INT((DAY(EOMONTH($ED$3,0))-1)/2)+EE$11,0)=EOMONTH($BN$3,0),EE$9*EE$10,0),0),IF(AND(EA$9&lt;&gt;"",EA$11&lt;&gt;""),IF(EOMONTH($DZ$3+INT((DAY(EOMONTH($DZ$3,0))-1)/2)+EA$11,0)=EOMONTH($BN$3,0),EA$9*EA$10,0),0),IF(AND(DW$9&lt;&gt;"",DW$11&lt;&gt;""),IF(EOMONTH($DV$3+INT((DAY(EOMONTH($DV$3,0))-1)/2)+DW$11,0)=EOMONTH($BN$3,0),DW$9*DW$10,0),0),IF(AND(DS$9&lt;&gt;"",DS$11&lt;&gt;""),IF(EOMONTH($DR$3+INT((DAY(EOMONTH($DR$3,0))-1)/2)+DS$11,0)=EOMONTH($BN$3,0),DS$9*DS$10,0),0),IF(AND(DO$9&lt;&gt;"",DO$11&lt;&gt;""),IF(EOMONTH($DN$3+INT((DAY(EOMONTH($DN$3,0))-1)/2)+DO$11,0)=EOMONTH($BN$3,0),DO$9*DO$10,0),0),IF(AND(DK$9&lt;&gt;"",DK$11&lt;&gt;""),IF(EOMONTH($DJ$3+INT((DAY(EOMONTH($DJ$3,0))-1)/2)+DK$11,0)=EOMONTH($BN$3,0),DK$9*DK$10,0),0),IF(AND(DG$9&lt;&gt;"",DG$11&lt;&gt;""),IF(EOMONTH($DF$3+INT((DAY(EOMONTH($DF$3,0))-1)/2)+DG$11,0)=EOMONTH($BN$3,0),DG$9*DG$10,0),0),IF(AND(DC$9&lt;&gt;"",DC$11&lt;&gt;""),IF(EOMONTH($DB$3+INT((DAY(EOMONTH($DB$3,0))-1)/2)+DC$11,0)=EOMONTH($BN$3,0),DC$9*DC$10,0),0),IF(AND(CY$9&lt;&gt;"",CY$11&lt;&gt;""),IF(EOMONTH($CX$3+INT((DAY(EOMONTH($CX$3,0))-1)/2)+CY$11,0)=EOMONTH($BN$3,0),CY$9*CY$10,0),0),IF(AND(CU$9&lt;&gt;"",CU$11&lt;&gt;""),IF(EOMONTH($CT$3+INT((DAY(EOMONTH($CT$3,0))-1)/2)+CU$11,0)=EOMONTH($BN$3,0),CU$9*CU$10,0),0),IF(AND(CQ$9&lt;&gt;"",CQ$11&lt;&gt;""),IF(EOMONTH($CP$3+INT((DAY(EOMONTH($CP$3,0))-1)/2)+CQ$11,0)=EOMONTH($BN$3,0),CQ$9*CQ$10,0),0),IF(AND(CM$9&lt;&gt;"",CM$11&lt;&gt;""),IF(EOMONTH($CL$3+INT((DAY(EOMONTH($CL$3,0))-1)/2)+CM$11,0)=EOMONTH($BN$3,0),CM$9*CM$10,0),0),IF(AND(CI$9&lt;&gt;"",CI$11&lt;&gt;""),IF(EOMONTH($CH$3+INT((DAY(EOMONTH($CH$3,0))-1)/2)+CI$11,0)=EOMONTH($BN$3,0),CI$9*CI$10,0),0),IF(AND(CE$9&lt;&gt;"",CE$11&lt;&gt;""),IF(EOMONTH($CD$3+INT((DAY(EOMONTH($CD$3,0))-1)/2)+CE$11,0)=EOMONTH($BN$3,0),CE$9*CE$10,0),0),IF(AND(CA$9&lt;&gt;"",CA$11&lt;&gt;""),IF(EOMONTH($BZ$3+INT((DAY(EOMONTH($BZ$3,0))-1)/2)+CA$11,0)=EOMONTH($BN$3,0),CA$9*CA$10,0),0),IF(AND(BW$9&lt;&gt;"",BW$11&lt;&gt;""),IF(EOMONTH($BV$3+INT((DAY(EOMONTH($BV$3,0))-1)/2)+BW$11,0)=EOMONTH($BN$3,0),BW$9*BW$10,0),0),IF(AND(BS$9&lt;&gt;"",BS$11&lt;&gt;""),IF(EOMONTH($BR$3+INT((DAY(EOMONTH($BR$3,0))-1)/2)+BS$11,0)=EOMONTH($BN$3,0),BS$9*BS$10,0),0),IF(AND(BO$9&lt;&gt;"",BO$11&lt;&gt;""),IF(EOMONTH($BN$3+INT((DAY(EOMONTH($BN$3,0))-1)/2)+BO$11,0)=EOMONTH($BN$3,0),BO$9*BO$10,0),0),IF(AND(BK$9&lt;&gt;"",BK$11&lt;&gt;""),IF(EOMONTH($BJ$3+INT((DAY(EOMONTH($BJ$3,0))-1)/2)+BK$11,0)=EOMONTH($BN$3,0),BK$9*BK$10,0),0),IF(AND(BG$9&lt;&gt;"",BG$11&lt;&gt;""),IF(EOMONTH($BF$3+INT((DAY(EOMONTH($BF$3,0))-1)/2)+BG$11,0)=EOMONTH($BN$3,0),BG$9*BG$10,0),0),IF(AND(BC$9&lt;&gt;"",BC$11&lt;&gt;""),IF(EOMONTH($BB$3+INT((DAY(EOMONTH($BB$3,0))-1)/2)+BC$11,0)=EOMONTH($BN$3,0),BC$9*BC$10,0),0),IF(AND(AY$9&lt;&gt;"",AY$11&lt;&gt;""),IF(EOMONTH($AX$3+INT((DAY(EOMONTH($AX$3,0))-1)/2)+AY$11,0)=EOMONTH($BN$3,0),AY$9*AY$10,0),0),IF(AND(AU$9&lt;&gt;"",AU$11&lt;&gt;""),IF(EOMONTH($AT$3+INT((DAY(EOMONTH($AT$3,0))-1)/2)+AU$11,0)=EOMONTH($BN$3,0),AU$9*AU$10,0),0),IF(AND(AQ$9&lt;&gt;"",AQ$11&lt;&gt;""),IF(EOMONTH($AP$3+INT((DAY(EOMONTH($AP$3,0))-1)/2)+AQ$11,0)=EOMONTH($BN$3,0),AQ$9*AQ$10,0),0),IF(AND(AM$9&lt;&gt;"",AM$11&lt;&gt;""),IF(EOMONTH($AL$3+INT((DAY(EOMONTH($AL$3,0))-1)/2)+AM$11,0)=EOMONTH($BN$3,0),AM$9*AM$10,0),0),IF(AND(AI$9&lt;&gt;"",AI$11&lt;&gt;""),IF(EOMONTH($AH$3+INT((DAY(EOMONTH($AH$3,0))-1)/2)+AI$11,0)=EOMONTH($BN$3,0),AI$9*AI$10,0),0),IF(AND(AE$9&lt;&gt;"",AE$11&lt;&gt;""),IF(EOMONTH($AD$3+INT((DAY(EOMONTH($AD$3,0))-1)/2)+AE$11,0)=EOMONTH($BN$3,0),AE$9*AE$10,0),0),IF(AND(AA$9&lt;&gt;"",AA$11&lt;&gt;""),IF(EOMONTH($Z$3+INT((DAY(EOMONTH($Z$3,0))-1)/2)+AA$11,0)=EOMONTH($BN$3,0),AA$9*AA$10,0),0),IF(AND(W$9&lt;&gt;"",W$11&lt;&gt;""),IF(EOMONTH($V$3+INT((DAY(EOMONTH($V$3,0))-1)/2)+W$11,0)=EOMONTH($BN$3,0),W$9*W$10,0),0),IF(AND(S$9&lt;&gt;"",S$11&lt;&gt;""),IF(EOMONTH($R$3+INT((DAY(EOMONTH($R$3,0))-1)/2)+S$11,0)=EOMONTH($BN$3,0),S$9*S$10,0),0),IF(AND(O$9&lt;&gt;"",O$11&lt;&gt;""),IF(EOMONTH($N$3+INT((DAY(EOMONTH($N$3,0))-1)/2)+O$11,0)=EOMONTH($BN$3,0),O$9*O$10,0),0),IF(AND(K$9&lt;&gt;"",K$11&lt;&gt;""),IF(EOMONTH($J$3+INT((DAY(EOMONTH($J$3,0))-1)/2)+K$11,0)=EOMONTH($BN$3,0),K$9*K$10,0),0),IF(AND(G$9&lt;&gt;"",G$11&lt;&gt;""),IF(EOMONTH($F$3+INT((DAY(EOMONTH($F$3,0))-1)/2)+G$11,0)=EOMONTH($BN$3,0),G$9*G$10,0),0),IF($EP$75="",0,IF(EOMONTH($EP$75+EQ$11,0)=EOMONTH($BN$3,0),$EP$76*EQ$10,0))),0))</f>
        <v>0</v>
      </c>
      <c r="BP12" s="15">
        <f>ROUND(SUM(IF(AND(ER$9&lt;&gt;"",ER$11&lt;&gt;""),IF(EOMONTH($EP$3+INT((DAY(EOMONTH($EP$3,0))-1)/2)+ER$11,0)=EOMONTH($BN$3,0),ER$9*ER$10,0),0),IF(AND(EN$9&lt;&gt;"",EN$11&lt;&gt;""),IF(EOMONTH($EL$3+INT((DAY(EOMONTH($EL$3,0))-1)/2)+EN$11,0)=EOMONTH($BN$3,0),EN$9*EN$10,0),0),IF(AND(EJ$9&lt;&gt;"",EJ$11&lt;&gt;""),IF(EOMONTH($EH$3+INT((DAY(EOMONTH($EH$3,0))-1)/2)+EJ$11,0)=EOMONTH($BN$3,0),EJ$9*EJ$10,0),0),IF(AND(EF$9&lt;&gt;"",EF$11&lt;&gt;""),IF(EOMONTH($ED$3+INT((DAY(EOMONTH($ED$3,0))-1)/2)+EF$11,0)=EOMONTH($BN$3,0),EF$9*EF$10,0),0),IF(AND(EB$9&lt;&gt;"",EB$11&lt;&gt;""),IF(EOMONTH($DZ$3+INT((DAY(EOMONTH($DZ$3,0))-1)/2)+EB$11,0)=EOMONTH($BN$3,0),EB$9*EB$10,0),0),IF(AND(DX$9&lt;&gt;"",DX$11&lt;&gt;""),IF(EOMONTH($DV$3+INT((DAY(EOMONTH($DV$3,0))-1)/2)+DX$11,0)=EOMONTH($BN$3,0),DX$9*DX$10,0),0),IF(AND(DT$9&lt;&gt;"",DT$11&lt;&gt;""),IF(EOMONTH($DR$3+INT((DAY(EOMONTH($DR$3,0))-1)/2)+DT$11,0)=EOMONTH($BN$3,0),DT$9*DT$10,0),0),IF(AND(DP$9&lt;&gt;"",DP$11&lt;&gt;""),IF(EOMONTH($DN$3+INT((DAY(EOMONTH($DN$3,0))-1)/2)+DP$11,0)=EOMONTH($BN$3,0),DP$9*DP$10,0),0),IF(AND(DL$9&lt;&gt;"",DL$11&lt;&gt;""),IF(EOMONTH($DJ$3+INT((DAY(EOMONTH($DJ$3,0))-1)/2)+DL$11,0)=EOMONTH($BN$3,0),DL$9*DL$10,0),0),IF(AND(DH$9&lt;&gt;"",DH$11&lt;&gt;""),IF(EOMONTH($DF$3+INT((DAY(EOMONTH($DF$3,0))-1)/2)+DH$11,0)=EOMONTH($BN$3,0),DH$9*DH$10,0),0),IF(AND(DD$9&lt;&gt;"",DD$11&lt;&gt;""),IF(EOMONTH($DB$3+INT((DAY(EOMONTH($DB$3,0))-1)/2)+DD$11,0)=EOMONTH($BN$3,0),DD$9*DD$10,0),0),IF(AND(CZ$9&lt;&gt;"",CZ$11&lt;&gt;""),IF(EOMONTH($CX$3+INT((DAY(EOMONTH($CX$3,0))-1)/2)+CZ$11,0)=EOMONTH($BN$3,0),CZ$9*CZ$10,0),0),IF(AND(CV$9&lt;&gt;"",CV$11&lt;&gt;""),IF(EOMONTH($CT$3+INT((DAY(EOMONTH($CT$3,0))-1)/2)+CV$11,0)=EOMONTH($BN$3,0),CV$9*CV$10,0),0),IF(AND(CR$9&lt;&gt;"",CR$11&lt;&gt;""),IF(EOMONTH($CP$3+INT((DAY(EOMONTH($CP$3,0))-1)/2)+CR$11,0)=EOMONTH($BN$3,0),CR$9*CR$10,0),0),IF(AND(CN$9&lt;&gt;"",CN$11&lt;&gt;""),IF(EOMONTH($CL$3+INT((DAY(EOMONTH($CL$3,0))-1)/2)+CN$11,0)=EOMONTH($BN$3,0),CN$9*CN$10,0),0),IF(AND(CJ$9&lt;&gt;"",CJ$11&lt;&gt;""),IF(EOMONTH($CH$3+INT((DAY(EOMONTH($CH$3,0))-1)/2)+CJ$11,0)=EOMONTH($BN$3,0),CJ$9*CJ$10,0),0),IF(AND(CF$9&lt;&gt;"",CF$11&lt;&gt;""),IF(EOMONTH($CD$3+INT((DAY(EOMONTH($CD$3,0))-1)/2)+CF$11,0)=EOMONTH($BN$3,0),CF$9*CF$10,0),0),IF(AND(CB$9&lt;&gt;"",CB$11&lt;&gt;""),IF(EOMONTH($BZ$3+INT((DAY(EOMONTH($BZ$3,0))-1)/2)+CB$11,0)=EOMONTH($BN$3,0),CB$9*CB$10,0),0),IF(AND(BX$9&lt;&gt;"",BX$11&lt;&gt;""),IF(EOMONTH($BV$3+INT((DAY(EOMONTH($BV$3,0))-1)/2)+BX$11,0)=EOMONTH($BN$3,0),BX$9*BX$10,0),0),IF(AND(BT$9&lt;&gt;"",BT$11&lt;&gt;""),IF(EOMONTH($BR$3+INT((DAY(EOMONTH($BR$3,0))-1)/2)+BT$11,0)=EOMONTH($BN$3,0),BT$9*BT$10,0),0),IF(AND(BP$9&lt;&gt;"",BP$11&lt;&gt;""),IF(EOMONTH($BN$3+INT((DAY(EOMONTH($BN$3,0))-1)/2)+BP$11,0)=EOMONTH($BN$3,0),BP$9*BP$10,0),0),IF(AND(BL$9&lt;&gt;"",BL$11&lt;&gt;""),IF(EOMONTH($BJ$3+INT((DAY(EOMONTH($BJ$3,0))-1)/2)+BL$11,0)=EOMONTH($BN$3,0),BL$9*BL$10,0),0),IF(AND(BH$9&lt;&gt;"",BH$11&lt;&gt;""),IF(EOMONTH($BF$3+INT((DAY(EOMONTH($BF$3,0))-1)/2)+BH$11,0)=EOMONTH($BN$3,0),BH$9*BH$10,0),0),IF(AND(BD$9&lt;&gt;"",BD$11&lt;&gt;""),IF(EOMONTH($BB$3+INT((DAY(EOMONTH($BB$3,0))-1)/2)+BD$11,0)=EOMONTH($BN$3,0),BD$9*BD$10,0),0),IF(AND(AZ$9&lt;&gt;"",AZ$11&lt;&gt;""),IF(EOMONTH($AX$3+INT((DAY(EOMONTH($AX$3,0))-1)/2)+AZ$11,0)=EOMONTH($BN$3,0),AZ$9*AZ$10,0),0),IF(AND(AV$9&lt;&gt;"",AV$11&lt;&gt;""),IF(EOMONTH($AT$3+INT((DAY(EOMONTH($AT$3,0))-1)/2)+AV$11,0)=EOMONTH($BN$3,0),AV$9*AV$10,0),0),IF(AND(AR$9&lt;&gt;"",AR$11&lt;&gt;""),IF(EOMONTH($AP$3+INT((DAY(EOMONTH($AP$3,0))-1)/2)+AR$11,0)=EOMONTH($BN$3,0),AR$9*AR$10,0),0),IF(AND(AN$9&lt;&gt;"",AN$11&lt;&gt;""),IF(EOMONTH($AL$3+INT((DAY(EOMONTH($AL$3,0))-1)/2)+AN$11,0)=EOMONTH($BN$3,0),AN$9*AN$10,0),0),IF(AND(AJ$9&lt;&gt;"",AJ$11&lt;&gt;""),IF(EOMONTH($AH$3+INT((DAY(EOMONTH($AH$3,0))-1)/2)+AJ$11,0)=EOMONTH($BN$3,0),AJ$9*AJ$10,0),0),IF(AND(AF$9&lt;&gt;"",AF$11&lt;&gt;""),IF(EOMONTH($AD$3+INT((DAY(EOMONTH($AD$3,0))-1)/2)+AF$11,0)=EOMONTH($BN$3,0),AF$9*AF$10,0),0),IF(AND(AB$9&lt;&gt;"",AB$11&lt;&gt;""),IF(EOMONTH($Z$3+INT((DAY(EOMONTH($Z$3,0))-1)/2)+AB$11,0)=EOMONTH($BN$3,0),AB$9*AB$10,0),0),IF(AND(X$9&lt;&gt;"",X$11&lt;&gt;""),IF(EOMONTH($V$3+INT((DAY(EOMONTH($V$3,0))-1)/2)+X$11,0)=EOMONTH($BN$3,0),X$9*X$10,0),0),IF(AND(T$9&lt;&gt;"",T$11&lt;&gt;""),IF(EOMONTH($R$3+INT((DAY(EOMONTH($R$3,0))-1)/2)+T$11,0)=EOMONTH($BN$3,0),T$9*T$10,0),0),IF(AND(P$9&lt;&gt;"",P$11&lt;&gt;""),IF(EOMONTH($N$3+INT((DAY(EOMONTH($N$3,0))-1)/2)+P$11,0)=EOMONTH($BN$3,0),P$9*P$10,0),0),IF(AND(L$9&lt;&gt;"",L$11&lt;&gt;""),IF(EOMONTH($J$3+INT((DAY(EOMONTH($J$3,0))-1)/2)+L$11,0)=EOMONTH($BN$3,0),L$9*L$10,0),0),IF(AND(H$9&lt;&gt;"",H$11&lt;&gt;""),IF(EOMONTH($F$3+INT((DAY(EOMONTH($F$3,0))-1)/2)+H$11,0)=EOMONTH($BN$3,0),H$9*H$10,0),0),IF($EP$75="",0,IF(EOMONTH($EP$75+ER$11,0)=EOMONTH($BN$3,0),$EP$76*ER$10,0))),0)</f>
        <v>0</v>
      </c>
      <c r="BQ12" s="16">
        <f t="shared" si="35"/>
        <v>0</v>
      </c>
      <c r="BR12" s="17"/>
      <c r="BS12" s="14">
        <f>IF(BR$98=1,BR12,ROUND(SUM(IF(AND(EQ$9&lt;&gt;"",EQ$11&lt;&gt;""),IF(EOMONTH($EP$3+INT((DAY(EOMONTH($EP$3,0))-1)/2)+EQ$11,0)=EOMONTH($BR$3,0),EQ$9*EQ$10,0),0),IF(AND(EM$9&lt;&gt;"",EM$11&lt;&gt;""),IF(EOMONTH($EL$3+INT((DAY(EOMONTH($EL$3,0))-1)/2)+EM$11,0)=EOMONTH($BR$3,0),EM$9*EM$10,0),0),IF(AND(EI$9&lt;&gt;"",EI$11&lt;&gt;""),IF(EOMONTH($EH$3+INT((DAY(EOMONTH($EH$3,0))-1)/2)+EI$11,0)=EOMONTH($BR$3,0),EI$9*EI$10,0),0),IF(AND(EE$9&lt;&gt;"",EE$11&lt;&gt;""),IF(EOMONTH($ED$3+INT((DAY(EOMONTH($ED$3,0))-1)/2)+EE$11,0)=EOMONTH($BR$3,0),EE$9*EE$10,0),0),IF(AND(EA$9&lt;&gt;"",EA$11&lt;&gt;""),IF(EOMONTH($DZ$3+INT((DAY(EOMONTH($DZ$3,0))-1)/2)+EA$11,0)=EOMONTH($BR$3,0),EA$9*EA$10,0),0),IF(AND(DW$9&lt;&gt;"",DW$11&lt;&gt;""),IF(EOMONTH($DV$3+INT((DAY(EOMONTH($DV$3,0))-1)/2)+DW$11,0)=EOMONTH($BR$3,0),DW$9*DW$10,0),0),IF(AND(DS$9&lt;&gt;"",DS$11&lt;&gt;""),IF(EOMONTH($DR$3+INT((DAY(EOMONTH($DR$3,0))-1)/2)+DS$11,0)=EOMONTH($BR$3,0),DS$9*DS$10,0),0),IF(AND(DO$9&lt;&gt;"",DO$11&lt;&gt;""),IF(EOMONTH($DN$3+INT((DAY(EOMONTH($DN$3,0))-1)/2)+DO$11,0)=EOMONTH($BR$3,0),DO$9*DO$10,0),0),IF(AND(DK$9&lt;&gt;"",DK$11&lt;&gt;""),IF(EOMONTH($DJ$3+INT((DAY(EOMONTH($DJ$3,0))-1)/2)+DK$11,0)=EOMONTH($BR$3,0),DK$9*DK$10,0),0),IF(AND(DG$9&lt;&gt;"",DG$11&lt;&gt;""),IF(EOMONTH($DF$3+INT((DAY(EOMONTH($DF$3,0))-1)/2)+DG$11,0)=EOMONTH($BR$3,0),DG$9*DG$10,0),0),IF(AND(DC$9&lt;&gt;"",DC$11&lt;&gt;""),IF(EOMONTH($DB$3+INT((DAY(EOMONTH($DB$3,0))-1)/2)+DC$11,0)=EOMONTH($BR$3,0),DC$9*DC$10,0),0),IF(AND(CY$9&lt;&gt;"",CY$11&lt;&gt;""),IF(EOMONTH($CX$3+INT((DAY(EOMONTH($CX$3,0))-1)/2)+CY$11,0)=EOMONTH($BR$3,0),CY$9*CY$10,0),0),IF(AND(CU$9&lt;&gt;"",CU$11&lt;&gt;""),IF(EOMONTH($CT$3+INT((DAY(EOMONTH($CT$3,0))-1)/2)+CU$11,0)=EOMONTH($BR$3,0),CU$9*CU$10,0),0),IF(AND(CQ$9&lt;&gt;"",CQ$11&lt;&gt;""),IF(EOMONTH($CP$3+INT((DAY(EOMONTH($CP$3,0))-1)/2)+CQ$11,0)=EOMONTH($BR$3,0),CQ$9*CQ$10,0),0),IF(AND(CM$9&lt;&gt;"",CM$11&lt;&gt;""),IF(EOMONTH($CL$3+INT((DAY(EOMONTH($CL$3,0))-1)/2)+CM$11,0)=EOMONTH($BR$3,0),CM$9*CM$10,0),0),IF(AND(CI$9&lt;&gt;"",CI$11&lt;&gt;""),IF(EOMONTH($CH$3+INT((DAY(EOMONTH($CH$3,0))-1)/2)+CI$11,0)=EOMONTH($BR$3,0),CI$9*CI$10,0),0),IF(AND(CE$9&lt;&gt;"",CE$11&lt;&gt;""),IF(EOMONTH($CD$3+INT((DAY(EOMONTH($CD$3,0))-1)/2)+CE$11,0)=EOMONTH($BR$3,0),CE$9*CE$10,0),0),IF(AND(CA$9&lt;&gt;"",CA$11&lt;&gt;""),IF(EOMONTH($BZ$3+INT((DAY(EOMONTH($BZ$3,0))-1)/2)+CA$11,0)=EOMONTH($BR$3,0),CA$9*CA$10,0),0),IF(AND(BW$9&lt;&gt;"",BW$11&lt;&gt;""),IF(EOMONTH($BV$3+INT((DAY(EOMONTH($BV$3,0))-1)/2)+BW$11,0)=EOMONTH($BR$3,0),BW$9*BW$10,0),0),IF(AND(BS$9&lt;&gt;"",BS$11&lt;&gt;""),IF(EOMONTH($BR$3+INT((DAY(EOMONTH($BR$3,0))-1)/2)+BS$11,0)=EOMONTH($BR$3,0),BS$9*BS$10,0),0),IF(AND(BO$9&lt;&gt;"",BO$11&lt;&gt;""),IF(EOMONTH($BN$3+INT((DAY(EOMONTH($BN$3,0))-1)/2)+BO$11,0)=EOMONTH($BR$3,0),BO$9*BO$10,0),0),IF(AND(BK$9&lt;&gt;"",BK$11&lt;&gt;""),IF(EOMONTH($BJ$3+INT((DAY(EOMONTH($BJ$3,0))-1)/2)+BK$11,0)=EOMONTH($BR$3,0),BK$9*BK$10,0),0),IF(AND(BG$9&lt;&gt;"",BG$11&lt;&gt;""),IF(EOMONTH($BF$3+INT((DAY(EOMONTH($BF$3,0))-1)/2)+BG$11,0)=EOMONTH($BR$3,0),BG$9*BG$10,0),0),IF(AND(BC$9&lt;&gt;"",BC$11&lt;&gt;""),IF(EOMONTH($BB$3+INT((DAY(EOMONTH($BB$3,0))-1)/2)+BC$11,0)=EOMONTH($BR$3,0),BC$9*BC$10,0),0),IF(AND(AY$9&lt;&gt;"",AY$11&lt;&gt;""),IF(EOMONTH($AX$3+INT((DAY(EOMONTH($AX$3,0))-1)/2)+AY$11,0)=EOMONTH($BR$3,0),AY$9*AY$10,0),0),IF(AND(AU$9&lt;&gt;"",AU$11&lt;&gt;""),IF(EOMONTH($AT$3+INT((DAY(EOMONTH($AT$3,0))-1)/2)+AU$11,0)=EOMONTH($BR$3,0),AU$9*AU$10,0),0),IF(AND(AQ$9&lt;&gt;"",AQ$11&lt;&gt;""),IF(EOMONTH($AP$3+INT((DAY(EOMONTH($AP$3,0))-1)/2)+AQ$11,0)=EOMONTH($BR$3,0),AQ$9*AQ$10,0),0),IF(AND(AM$9&lt;&gt;"",AM$11&lt;&gt;""),IF(EOMONTH($AL$3+INT((DAY(EOMONTH($AL$3,0))-1)/2)+AM$11,0)=EOMONTH($BR$3,0),AM$9*AM$10,0),0),IF(AND(AI$9&lt;&gt;"",AI$11&lt;&gt;""),IF(EOMONTH($AH$3+INT((DAY(EOMONTH($AH$3,0))-1)/2)+AI$11,0)=EOMONTH($BR$3,0),AI$9*AI$10,0),0),IF(AND(AE$9&lt;&gt;"",AE$11&lt;&gt;""),IF(EOMONTH($AD$3+INT((DAY(EOMONTH($AD$3,0))-1)/2)+AE$11,0)=EOMONTH($BR$3,0),AE$9*AE$10,0),0),IF(AND(AA$9&lt;&gt;"",AA$11&lt;&gt;""),IF(EOMONTH($Z$3+INT((DAY(EOMONTH($Z$3,0))-1)/2)+AA$11,0)=EOMONTH($BR$3,0),AA$9*AA$10,0),0),IF(AND(W$9&lt;&gt;"",W$11&lt;&gt;""),IF(EOMONTH($V$3+INT((DAY(EOMONTH($V$3,0))-1)/2)+W$11,0)=EOMONTH($BR$3,0),W$9*W$10,0),0),IF(AND(S$9&lt;&gt;"",S$11&lt;&gt;""),IF(EOMONTH($R$3+INT((DAY(EOMONTH($R$3,0))-1)/2)+S$11,0)=EOMONTH($BR$3,0),S$9*S$10,0),0),IF(AND(O$9&lt;&gt;"",O$11&lt;&gt;""),IF(EOMONTH($N$3+INT((DAY(EOMONTH($N$3,0))-1)/2)+O$11,0)=EOMONTH($BR$3,0),O$9*O$10,0),0),IF(AND(K$9&lt;&gt;"",K$11&lt;&gt;""),IF(EOMONTH($J$3+INT((DAY(EOMONTH($J$3,0))-1)/2)+K$11,0)=EOMONTH($BR$3,0),K$9*K$10,0),0),IF(AND(G$9&lt;&gt;"",G$11&lt;&gt;""),IF(EOMONTH($F$3+INT((DAY(EOMONTH($F$3,0))-1)/2)+G$11,0)=EOMONTH($BR$3,0),G$9*G$10,0),0),IF($EP$75="",0,IF(EOMONTH($EP$75+EQ$11,0)=EOMONTH($BR$3,0),$EP$76*EQ$10,0))),0))</f>
        <v>0</v>
      </c>
      <c r="BT12" s="15">
        <f>ROUND(SUM(IF(AND(ER$9&lt;&gt;"",ER$11&lt;&gt;""),IF(EOMONTH($EP$3+INT((DAY(EOMONTH($EP$3,0))-1)/2)+ER$11,0)=EOMONTH($BR$3,0),ER$9*ER$10,0),0),IF(AND(EN$9&lt;&gt;"",EN$11&lt;&gt;""),IF(EOMONTH($EL$3+INT((DAY(EOMONTH($EL$3,0))-1)/2)+EN$11,0)=EOMONTH($BR$3,0),EN$9*EN$10,0),0),IF(AND(EJ$9&lt;&gt;"",EJ$11&lt;&gt;""),IF(EOMONTH($EH$3+INT((DAY(EOMONTH($EH$3,0))-1)/2)+EJ$11,0)=EOMONTH($BR$3,0),EJ$9*EJ$10,0),0),IF(AND(EF$9&lt;&gt;"",EF$11&lt;&gt;""),IF(EOMONTH($ED$3+INT((DAY(EOMONTH($ED$3,0))-1)/2)+EF$11,0)=EOMONTH($BR$3,0),EF$9*EF$10,0),0),IF(AND(EB$9&lt;&gt;"",EB$11&lt;&gt;""),IF(EOMONTH($DZ$3+INT((DAY(EOMONTH($DZ$3,0))-1)/2)+EB$11,0)=EOMONTH($BR$3,0),EB$9*EB$10,0),0),IF(AND(DX$9&lt;&gt;"",DX$11&lt;&gt;""),IF(EOMONTH($DV$3+INT((DAY(EOMONTH($DV$3,0))-1)/2)+DX$11,0)=EOMONTH($BR$3,0),DX$9*DX$10,0),0),IF(AND(DT$9&lt;&gt;"",DT$11&lt;&gt;""),IF(EOMONTH($DR$3+INT((DAY(EOMONTH($DR$3,0))-1)/2)+DT$11,0)=EOMONTH($BR$3,0),DT$9*DT$10,0),0),IF(AND(DP$9&lt;&gt;"",DP$11&lt;&gt;""),IF(EOMONTH($DN$3+INT((DAY(EOMONTH($DN$3,0))-1)/2)+DP$11,0)=EOMONTH($BR$3,0),DP$9*DP$10,0),0),IF(AND(DL$9&lt;&gt;"",DL$11&lt;&gt;""),IF(EOMONTH($DJ$3+INT((DAY(EOMONTH($DJ$3,0))-1)/2)+DL$11,0)=EOMONTH($BR$3,0),DL$9*DL$10,0),0),IF(AND(DH$9&lt;&gt;"",DH$11&lt;&gt;""),IF(EOMONTH($DF$3+INT((DAY(EOMONTH($DF$3,0))-1)/2)+DH$11,0)=EOMONTH($BR$3,0),DH$9*DH$10,0),0),IF(AND(DD$9&lt;&gt;"",DD$11&lt;&gt;""),IF(EOMONTH($DB$3+INT((DAY(EOMONTH($DB$3,0))-1)/2)+DD$11,0)=EOMONTH($BR$3,0),DD$9*DD$10,0),0),IF(AND(CZ$9&lt;&gt;"",CZ$11&lt;&gt;""),IF(EOMONTH($CX$3+INT((DAY(EOMONTH($CX$3,0))-1)/2)+CZ$11,0)=EOMONTH($BR$3,0),CZ$9*CZ$10,0),0),IF(AND(CV$9&lt;&gt;"",CV$11&lt;&gt;""),IF(EOMONTH($CT$3+INT((DAY(EOMONTH($CT$3,0))-1)/2)+CV$11,0)=EOMONTH($BR$3,0),CV$9*CV$10,0),0),IF(AND(CR$9&lt;&gt;"",CR$11&lt;&gt;""),IF(EOMONTH($CP$3+INT((DAY(EOMONTH($CP$3,0))-1)/2)+CR$11,0)=EOMONTH($BR$3,0),CR$9*CR$10,0),0),IF(AND(CN$9&lt;&gt;"",CN$11&lt;&gt;""),IF(EOMONTH($CL$3+INT((DAY(EOMONTH($CL$3,0))-1)/2)+CN$11,0)=EOMONTH($BR$3,0),CN$9*CN$10,0),0),IF(AND(CJ$9&lt;&gt;"",CJ$11&lt;&gt;""),IF(EOMONTH($CH$3+INT((DAY(EOMONTH($CH$3,0))-1)/2)+CJ$11,0)=EOMONTH($BR$3,0),CJ$9*CJ$10,0),0),IF(AND(CF$9&lt;&gt;"",CF$11&lt;&gt;""),IF(EOMONTH($CD$3+INT((DAY(EOMONTH($CD$3,0))-1)/2)+CF$11,0)=EOMONTH($BR$3,0),CF$9*CF$10,0),0),IF(AND(CB$9&lt;&gt;"",CB$11&lt;&gt;""),IF(EOMONTH($BZ$3+INT((DAY(EOMONTH($BZ$3,0))-1)/2)+CB$11,0)=EOMONTH($BR$3,0),CB$9*CB$10,0),0),IF(AND(BX$9&lt;&gt;"",BX$11&lt;&gt;""),IF(EOMONTH($BV$3+INT((DAY(EOMONTH($BV$3,0))-1)/2)+BX$11,0)=EOMONTH($BR$3,0),BX$9*BX$10,0),0),IF(AND(BT$9&lt;&gt;"",BT$11&lt;&gt;""),IF(EOMONTH($BR$3+INT((DAY(EOMONTH($BR$3,0))-1)/2)+BT$11,0)=EOMONTH($BR$3,0),BT$9*BT$10,0),0),IF(AND(BP$9&lt;&gt;"",BP$11&lt;&gt;""),IF(EOMONTH($BN$3+INT((DAY(EOMONTH($BN$3,0))-1)/2)+BP$11,0)=EOMONTH($BR$3,0),BP$9*BP$10,0),0),IF(AND(BL$9&lt;&gt;"",BL$11&lt;&gt;""),IF(EOMONTH($BJ$3+INT((DAY(EOMONTH($BJ$3,0))-1)/2)+BL$11,0)=EOMONTH($BR$3,0),BL$9*BL$10,0),0),IF(AND(BH$9&lt;&gt;"",BH$11&lt;&gt;""),IF(EOMONTH($BF$3+INT((DAY(EOMONTH($BF$3,0))-1)/2)+BH$11,0)=EOMONTH($BR$3,0),BH$9*BH$10,0),0),IF(AND(BD$9&lt;&gt;"",BD$11&lt;&gt;""),IF(EOMONTH($BB$3+INT((DAY(EOMONTH($BB$3,0))-1)/2)+BD$11,0)=EOMONTH($BR$3,0),BD$9*BD$10,0),0),IF(AND(AZ$9&lt;&gt;"",AZ$11&lt;&gt;""),IF(EOMONTH($AX$3+INT((DAY(EOMONTH($AX$3,0))-1)/2)+AZ$11,0)=EOMONTH($BR$3,0),AZ$9*AZ$10,0),0),IF(AND(AV$9&lt;&gt;"",AV$11&lt;&gt;""),IF(EOMONTH($AT$3+INT((DAY(EOMONTH($AT$3,0))-1)/2)+AV$11,0)=EOMONTH($BR$3,0),AV$9*AV$10,0),0),IF(AND(AR$9&lt;&gt;"",AR$11&lt;&gt;""),IF(EOMONTH($AP$3+INT((DAY(EOMONTH($AP$3,0))-1)/2)+AR$11,0)=EOMONTH($BR$3,0),AR$9*AR$10,0),0),IF(AND(AN$9&lt;&gt;"",AN$11&lt;&gt;""),IF(EOMONTH($AL$3+INT((DAY(EOMONTH($AL$3,0))-1)/2)+AN$11,0)=EOMONTH($BR$3,0),AN$9*AN$10,0),0),IF(AND(AJ$9&lt;&gt;"",AJ$11&lt;&gt;""),IF(EOMONTH($AH$3+INT((DAY(EOMONTH($AH$3,0))-1)/2)+AJ$11,0)=EOMONTH($BR$3,0),AJ$9*AJ$10,0),0),IF(AND(AF$9&lt;&gt;"",AF$11&lt;&gt;""),IF(EOMONTH($AD$3+INT((DAY(EOMONTH($AD$3,0))-1)/2)+AF$11,0)=EOMONTH($BR$3,0),AF$9*AF$10,0),0),IF(AND(AB$9&lt;&gt;"",AB$11&lt;&gt;""),IF(EOMONTH($Z$3+INT((DAY(EOMONTH($Z$3,0))-1)/2)+AB$11,0)=EOMONTH($BR$3,0),AB$9*AB$10,0),0),IF(AND(X$9&lt;&gt;"",X$11&lt;&gt;""),IF(EOMONTH($V$3+INT((DAY(EOMONTH($V$3,0))-1)/2)+X$11,0)=EOMONTH($BR$3,0),X$9*X$10,0),0),IF(AND(T$9&lt;&gt;"",T$11&lt;&gt;""),IF(EOMONTH($R$3+INT((DAY(EOMONTH($R$3,0))-1)/2)+T$11,0)=EOMONTH($BR$3,0),T$9*T$10,0),0),IF(AND(P$9&lt;&gt;"",P$11&lt;&gt;""),IF(EOMONTH($N$3+INT((DAY(EOMONTH($N$3,0))-1)/2)+P$11,0)=EOMONTH($BR$3,0),P$9*P$10,0),0),IF(AND(L$9&lt;&gt;"",L$11&lt;&gt;""),IF(EOMONTH($J$3+INT((DAY(EOMONTH($J$3,0))-1)/2)+L$11,0)=EOMONTH($BR$3,0),L$9*L$10,0),0),IF(AND(H$9&lt;&gt;"",H$11&lt;&gt;""),IF(EOMONTH($F$3+INT((DAY(EOMONTH($F$3,0))-1)/2)+H$11,0)=EOMONTH($BR$3,0),H$9*H$10,0),0),IF($EP$75="",0,IF(EOMONTH($EP$75+ER$11,0)=EOMONTH($BR$3,0),$EP$76*ER$10,0))),0)</f>
        <v>0</v>
      </c>
      <c r="BU12" s="16">
        <f t="shared" si="37"/>
        <v>0</v>
      </c>
      <c r="BV12" s="17"/>
      <c r="BW12" s="14">
        <f>IF(BV$98=1,BV12,ROUND(SUM(IF(AND(EQ$9&lt;&gt;"",EQ$11&lt;&gt;""),IF(EOMONTH($EP$3+INT((DAY(EOMONTH($EP$3,0))-1)/2)+EQ$11,0)=EOMONTH($BV$3,0),EQ$9*EQ$10,0),0),IF(AND(EM$9&lt;&gt;"",EM$11&lt;&gt;""),IF(EOMONTH($EL$3+INT((DAY(EOMONTH($EL$3,0))-1)/2)+EM$11,0)=EOMONTH($BV$3,0),EM$9*EM$10,0),0),IF(AND(EI$9&lt;&gt;"",EI$11&lt;&gt;""),IF(EOMONTH($EH$3+INT((DAY(EOMONTH($EH$3,0))-1)/2)+EI$11,0)=EOMONTH($BV$3,0),EI$9*EI$10,0),0),IF(AND(EE$9&lt;&gt;"",EE$11&lt;&gt;""),IF(EOMONTH($ED$3+INT((DAY(EOMONTH($ED$3,0))-1)/2)+EE$11,0)=EOMONTH($BV$3,0),EE$9*EE$10,0),0),IF(AND(EA$9&lt;&gt;"",EA$11&lt;&gt;""),IF(EOMONTH($DZ$3+INT((DAY(EOMONTH($DZ$3,0))-1)/2)+EA$11,0)=EOMONTH($BV$3,0),EA$9*EA$10,0),0),IF(AND(DW$9&lt;&gt;"",DW$11&lt;&gt;""),IF(EOMONTH($DV$3+INT((DAY(EOMONTH($DV$3,0))-1)/2)+DW$11,0)=EOMONTH($BV$3,0),DW$9*DW$10,0),0),IF(AND(DS$9&lt;&gt;"",DS$11&lt;&gt;""),IF(EOMONTH($DR$3+INT((DAY(EOMONTH($DR$3,0))-1)/2)+DS$11,0)=EOMONTH($BV$3,0),DS$9*DS$10,0),0),IF(AND(DO$9&lt;&gt;"",DO$11&lt;&gt;""),IF(EOMONTH($DN$3+INT((DAY(EOMONTH($DN$3,0))-1)/2)+DO$11,0)=EOMONTH($BV$3,0),DO$9*DO$10,0),0),IF(AND(DK$9&lt;&gt;"",DK$11&lt;&gt;""),IF(EOMONTH($DJ$3+INT((DAY(EOMONTH($DJ$3,0))-1)/2)+DK$11,0)=EOMONTH($BV$3,0),DK$9*DK$10,0),0),IF(AND(DG$9&lt;&gt;"",DG$11&lt;&gt;""),IF(EOMONTH($DF$3+INT((DAY(EOMONTH($DF$3,0))-1)/2)+DG$11,0)=EOMONTH($BV$3,0),DG$9*DG$10,0),0),IF(AND(DC$9&lt;&gt;"",DC$11&lt;&gt;""),IF(EOMONTH($DB$3+INT((DAY(EOMONTH($DB$3,0))-1)/2)+DC$11,0)=EOMONTH($BV$3,0),DC$9*DC$10,0),0),IF(AND(CY$9&lt;&gt;"",CY$11&lt;&gt;""),IF(EOMONTH($CX$3+INT((DAY(EOMONTH($CX$3,0))-1)/2)+CY$11,0)=EOMONTH($BV$3,0),CY$9*CY$10,0),0),IF(AND(CU$9&lt;&gt;"",CU$11&lt;&gt;""),IF(EOMONTH($CT$3+INT((DAY(EOMONTH($CT$3,0))-1)/2)+CU$11,0)=EOMONTH($BV$3,0),CU$9*CU$10,0),0),IF(AND(CQ$9&lt;&gt;"",CQ$11&lt;&gt;""),IF(EOMONTH($CP$3+INT((DAY(EOMONTH($CP$3,0))-1)/2)+CQ$11,0)=EOMONTH($BV$3,0),CQ$9*CQ$10,0),0),IF(AND(CM$9&lt;&gt;"",CM$11&lt;&gt;""),IF(EOMONTH($CL$3+INT((DAY(EOMONTH($CL$3,0))-1)/2)+CM$11,0)=EOMONTH($BV$3,0),CM$9*CM$10,0),0),IF(AND(CI$9&lt;&gt;"",CI$11&lt;&gt;""),IF(EOMONTH($CH$3+INT((DAY(EOMONTH($CH$3,0))-1)/2)+CI$11,0)=EOMONTH($BV$3,0),CI$9*CI$10,0),0),IF(AND(CE$9&lt;&gt;"",CE$11&lt;&gt;""),IF(EOMONTH($CD$3+INT((DAY(EOMONTH($CD$3,0))-1)/2)+CE$11,0)=EOMONTH($BV$3,0),CE$9*CE$10,0),0),IF(AND(CA$9&lt;&gt;"",CA$11&lt;&gt;""),IF(EOMONTH($BZ$3+INT((DAY(EOMONTH($BZ$3,0))-1)/2)+CA$11,0)=EOMONTH($BV$3,0),CA$9*CA$10,0),0),IF(AND(BW$9&lt;&gt;"",BW$11&lt;&gt;""),IF(EOMONTH($BV$3+INT((DAY(EOMONTH($BV$3,0))-1)/2)+BW$11,0)=EOMONTH($BV$3,0),BW$9*BW$10,0),0),IF(AND(BS$9&lt;&gt;"",BS$11&lt;&gt;""),IF(EOMONTH($BR$3+INT((DAY(EOMONTH($BR$3,0))-1)/2)+BS$11,0)=EOMONTH($BV$3,0),BS$9*BS$10,0),0),IF(AND(BO$9&lt;&gt;"",BO$11&lt;&gt;""),IF(EOMONTH($BN$3+INT((DAY(EOMONTH($BN$3,0))-1)/2)+BO$11,0)=EOMONTH($BV$3,0),BO$9*BO$10,0),0),IF(AND(BK$9&lt;&gt;"",BK$11&lt;&gt;""),IF(EOMONTH($BJ$3+INT((DAY(EOMONTH($BJ$3,0))-1)/2)+BK$11,0)=EOMONTH($BV$3,0),BK$9*BK$10,0),0),IF(AND(BG$9&lt;&gt;"",BG$11&lt;&gt;""),IF(EOMONTH($BF$3+INT((DAY(EOMONTH($BF$3,0))-1)/2)+BG$11,0)=EOMONTH($BV$3,0),BG$9*BG$10,0),0),IF(AND(BC$9&lt;&gt;"",BC$11&lt;&gt;""),IF(EOMONTH($BB$3+INT((DAY(EOMONTH($BB$3,0))-1)/2)+BC$11,0)=EOMONTH($BV$3,0),BC$9*BC$10,0),0),IF(AND(AY$9&lt;&gt;"",AY$11&lt;&gt;""),IF(EOMONTH($AX$3+INT((DAY(EOMONTH($AX$3,0))-1)/2)+AY$11,0)=EOMONTH($BV$3,0),AY$9*AY$10,0),0),IF(AND(AU$9&lt;&gt;"",AU$11&lt;&gt;""),IF(EOMONTH($AT$3+INT((DAY(EOMONTH($AT$3,0))-1)/2)+AU$11,0)=EOMONTH($BV$3,0),AU$9*AU$10,0),0),IF(AND(AQ$9&lt;&gt;"",AQ$11&lt;&gt;""),IF(EOMONTH($AP$3+INT((DAY(EOMONTH($AP$3,0))-1)/2)+AQ$11,0)=EOMONTH($BV$3,0),AQ$9*AQ$10,0),0),IF(AND(AM$9&lt;&gt;"",AM$11&lt;&gt;""),IF(EOMONTH($AL$3+INT((DAY(EOMONTH($AL$3,0))-1)/2)+AM$11,0)=EOMONTH($BV$3,0),AM$9*AM$10,0),0),IF(AND(AI$9&lt;&gt;"",AI$11&lt;&gt;""),IF(EOMONTH($AH$3+INT((DAY(EOMONTH($AH$3,0))-1)/2)+AI$11,0)=EOMONTH($BV$3,0),AI$9*AI$10,0),0),IF(AND(AE$9&lt;&gt;"",AE$11&lt;&gt;""),IF(EOMONTH($AD$3+INT((DAY(EOMONTH($AD$3,0))-1)/2)+AE$11,0)=EOMONTH($BV$3,0),AE$9*AE$10,0),0),IF(AND(AA$9&lt;&gt;"",AA$11&lt;&gt;""),IF(EOMONTH($Z$3+INT((DAY(EOMONTH($Z$3,0))-1)/2)+AA$11,0)=EOMONTH($BV$3,0),AA$9*AA$10,0),0),IF(AND(W$9&lt;&gt;"",W$11&lt;&gt;""),IF(EOMONTH($V$3+INT((DAY(EOMONTH($V$3,0))-1)/2)+W$11,0)=EOMONTH($BV$3,0),W$9*W$10,0),0),IF(AND(S$9&lt;&gt;"",S$11&lt;&gt;""),IF(EOMONTH($R$3+INT((DAY(EOMONTH($R$3,0))-1)/2)+S$11,0)=EOMONTH($BV$3,0),S$9*S$10,0),0),IF(AND(O$9&lt;&gt;"",O$11&lt;&gt;""),IF(EOMONTH($N$3+INT((DAY(EOMONTH($N$3,0))-1)/2)+O$11,0)=EOMONTH($BV$3,0),O$9*O$10,0),0),IF(AND(K$9&lt;&gt;"",K$11&lt;&gt;""),IF(EOMONTH($J$3+INT((DAY(EOMONTH($J$3,0))-1)/2)+K$11,0)=EOMONTH($BV$3,0),K$9*K$10,0),0),IF(AND(G$9&lt;&gt;"",G$11&lt;&gt;""),IF(EOMONTH($F$3+INT((DAY(EOMONTH($F$3,0))-1)/2)+G$11,0)=EOMONTH($BV$3,0),G$9*G$10,0),0),IF($EP$75="",0,IF(EOMONTH($EP$75+EQ$11,0)=EOMONTH($BV$3,0),$EP$76*EQ$10,0))),0))</f>
        <v>0</v>
      </c>
      <c r="BX12" s="15">
        <f>ROUND(SUM(IF(AND(ER$9&lt;&gt;"",ER$11&lt;&gt;""),IF(EOMONTH($EP$3+INT((DAY(EOMONTH($EP$3,0))-1)/2)+ER$11,0)=EOMONTH($BV$3,0),ER$9*ER$10,0),0),IF(AND(EN$9&lt;&gt;"",EN$11&lt;&gt;""),IF(EOMONTH($EL$3+INT((DAY(EOMONTH($EL$3,0))-1)/2)+EN$11,0)=EOMONTH($BV$3,0),EN$9*EN$10,0),0),IF(AND(EJ$9&lt;&gt;"",EJ$11&lt;&gt;""),IF(EOMONTH($EH$3+INT((DAY(EOMONTH($EH$3,0))-1)/2)+EJ$11,0)=EOMONTH($BV$3,0),EJ$9*EJ$10,0),0),IF(AND(EF$9&lt;&gt;"",EF$11&lt;&gt;""),IF(EOMONTH($ED$3+INT((DAY(EOMONTH($ED$3,0))-1)/2)+EF$11,0)=EOMONTH($BV$3,0),EF$9*EF$10,0),0),IF(AND(EB$9&lt;&gt;"",EB$11&lt;&gt;""),IF(EOMONTH($DZ$3+INT((DAY(EOMONTH($DZ$3,0))-1)/2)+EB$11,0)=EOMONTH($BV$3,0),EB$9*EB$10,0),0),IF(AND(DX$9&lt;&gt;"",DX$11&lt;&gt;""),IF(EOMONTH($DV$3+INT((DAY(EOMONTH($DV$3,0))-1)/2)+DX$11,0)=EOMONTH($BV$3,0),DX$9*DX$10,0),0),IF(AND(DT$9&lt;&gt;"",DT$11&lt;&gt;""),IF(EOMONTH($DR$3+INT((DAY(EOMONTH($DR$3,0))-1)/2)+DT$11,0)=EOMONTH($BV$3,0),DT$9*DT$10,0),0),IF(AND(DP$9&lt;&gt;"",DP$11&lt;&gt;""),IF(EOMONTH($DN$3+INT((DAY(EOMONTH($DN$3,0))-1)/2)+DP$11,0)=EOMONTH($BV$3,0),DP$9*DP$10,0),0),IF(AND(DL$9&lt;&gt;"",DL$11&lt;&gt;""),IF(EOMONTH($DJ$3+INT((DAY(EOMONTH($DJ$3,0))-1)/2)+DL$11,0)=EOMONTH($BV$3,0),DL$9*DL$10,0),0),IF(AND(DH$9&lt;&gt;"",DH$11&lt;&gt;""),IF(EOMONTH($DF$3+INT((DAY(EOMONTH($DF$3,0))-1)/2)+DH$11,0)=EOMONTH($BV$3,0),DH$9*DH$10,0),0),IF(AND(DD$9&lt;&gt;"",DD$11&lt;&gt;""),IF(EOMONTH($DB$3+INT((DAY(EOMONTH($DB$3,0))-1)/2)+DD$11,0)=EOMONTH($BV$3,0),DD$9*DD$10,0),0),IF(AND(CZ$9&lt;&gt;"",CZ$11&lt;&gt;""),IF(EOMONTH($CX$3+INT((DAY(EOMONTH($CX$3,0))-1)/2)+CZ$11,0)=EOMONTH($BV$3,0),CZ$9*CZ$10,0),0),IF(AND(CV$9&lt;&gt;"",CV$11&lt;&gt;""),IF(EOMONTH($CT$3+INT((DAY(EOMONTH($CT$3,0))-1)/2)+CV$11,0)=EOMONTH($BV$3,0),CV$9*CV$10,0),0),IF(AND(CR$9&lt;&gt;"",CR$11&lt;&gt;""),IF(EOMONTH($CP$3+INT((DAY(EOMONTH($CP$3,0))-1)/2)+CR$11,0)=EOMONTH($BV$3,0),CR$9*CR$10,0),0),IF(AND(CN$9&lt;&gt;"",CN$11&lt;&gt;""),IF(EOMONTH($CL$3+INT((DAY(EOMONTH($CL$3,0))-1)/2)+CN$11,0)=EOMONTH($BV$3,0),CN$9*CN$10,0),0),IF(AND(CJ$9&lt;&gt;"",CJ$11&lt;&gt;""),IF(EOMONTH($CH$3+INT((DAY(EOMONTH($CH$3,0))-1)/2)+CJ$11,0)=EOMONTH($BV$3,0),CJ$9*CJ$10,0),0),IF(AND(CF$9&lt;&gt;"",CF$11&lt;&gt;""),IF(EOMONTH($CD$3+INT((DAY(EOMONTH($CD$3,0))-1)/2)+CF$11,0)=EOMONTH($BV$3,0),CF$9*CF$10,0),0),IF(AND(CB$9&lt;&gt;"",CB$11&lt;&gt;""),IF(EOMONTH($BZ$3+INT((DAY(EOMONTH($BZ$3,0))-1)/2)+CB$11,0)=EOMONTH($BV$3,0),CB$9*CB$10,0),0),IF(AND(BX$9&lt;&gt;"",BX$11&lt;&gt;""),IF(EOMONTH($BV$3+INT((DAY(EOMONTH($BV$3,0))-1)/2)+BX$11,0)=EOMONTH($BV$3,0),BX$9*BX$10,0),0),IF(AND(BT$9&lt;&gt;"",BT$11&lt;&gt;""),IF(EOMONTH($BR$3+INT((DAY(EOMONTH($BR$3,0))-1)/2)+BT$11,0)=EOMONTH($BV$3,0),BT$9*BT$10,0),0),IF(AND(BP$9&lt;&gt;"",BP$11&lt;&gt;""),IF(EOMONTH($BN$3+INT((DAY(EOMONTH($BN$3,0))-1)/2)+BP$11,0)=EOMONTH($BV$3,0),BP$9*BP$10,0),0),IF(AND(BL$9&lt;&gt;"",BL$11&lt;&gt;""),IF(EOMONTH($BJ$3+INT((DAY(EOMONTH($BJ$3,0))-1)/2)+BL$11,0)=EOMONTH($BV$3,0),BL$9*BL$10,0),0),IF(AND(BH$9&lt;&gt;"",BH$11&lt;&gt;""),IF(EOMONTH($BF$3+INT((DAY(EOMONTH($BF$3,0))-1)/2)+BH$11,0)=EOMONTH($BV$3,0),BH$9*BH$10,0),0),IF(AND(BD$9&lt;&gt;"",BD$11&lt;&gt;""),IF(EOMONTH($BB$3+INT((DAY(EOMONTH($BB$3,0))-1)/2)+BD$11,0)=EOMONTH($BV$3,0),BD$9*BD$10,0),0),IF(AND(AZ$9&lt;&gt;"",AZ$11&lt;&gt;""),IF(EOMONTH($AX$3+INT((DAY(EOMONTH($AX$3,0))-1)/2)+AZ$11,0)=EOMONTH($BV$3,0),AZ$9*AZ$10,0),0),IF(AND(AV$9&lt;&gt;"",AV$11&lt;&gt;""),IF(EOMONTH($AT$3+INT((DAY(EOMONTH($AT$3,0))-1)/2)+AV$11,0)=EOMONTH($BV$3,0),AV$9*AV$10,0),0),IF(AND(AR$9&lt;&gt;"",AR$11&lt;&gt;""),IF(EOMONTH($AP$3+INT((DAY(EOMONTH($AP$3,0))-1)/2)+AR$11,0)=EOMONTH($BV$3,0),AR$9*AR$10,0),0),IF(AND(AN$9&lt;&gt;"",AN$11&lt;&gt;""),IF(EOMONTH($AL$3+INT((DAY(EOMONTH($AL$3,0))-1)/2)+AN$11,0)=EOMONTH($BV$3,0),AN$9*AN$10,0),0),IF(AND(AJ$9&lt;&gt;"",AJ$11&lt;&gt;""),IF(EOMONTH($AH$3+INT((DAY(EOMONTH($AH$3,0))-1)/2)+AJ$11,0)=EOMONTH($BV$3,0),AJ$9*AJ$10,0),0),IF(AND(AF$9&lt;&gt;"",AF$11&lt;&gt;""),IF(EOMONTH($AD$3+INT((DAY(EOMONTH($AD$3,0))-1)/2)+AF$11,0)=EOMONTH($BV$3,0),AF$9*AF$10,0),0),IF(AND(AB$9&lt;&gt;"",AB$11&lt;&gt;""),IF(EOMONTH($Z$3+INT((DAY(EOMONTH($Z$3,0))-1)/2)+AB$11,0)=EOMONTH($BV$3,0),AB$9*AB$10,0),0),IF(AND(X$9&lt;&gt;"",X$11&lt;&gt;""),IF(EOMONTH($V$3+INT((DAY(EOMONTH($V$3,0))-1)/2)+X$11,0)=EOMONTH($BV$3,0),X$9*X$10,0),0),IF(AND(T$9&lt;&gt;"",T$11&lt;&gt;""),IF(EOMONTH($R$3+INT((DAY(EOMONTH($R$3,0))-1)/2)+T$11,0)=EOMONTH($BV$3,0),T$9*T$10,0),0),IF(AND(P$9&lt;&gt;"",P$11&lt;&gt;""),IF(EOMONTH($N$3+INT((DAY(EOMONTH($N$3,0))-1)/2)+P$11,0)=EOMONTH($BV$3,0),P$9*P$10,0),0),IF(AND(L$9&lt;&gt;"",L$11&lt;&gt;""),IF(EOMONTH($J$3+INT((DAY(EOMONTH($J$3,0))-1)/2)+L$11,0)=EOMONTH($BV$3,0),L$9*L$10,0),0),IF(AND(H$9&lt;&gt;"",H$11&lt;&gt;""),IF(EOMONTH($F$3+INT((DAY(EOMONTH($F$3,0))-1)/2)+H$11,0)=EOMONTH($BV$3,0),H$9*H$10,0),0),IF($EP$75="",0,IF(EOMONTH($EP$75+ER$11,0)=EOMONTH($BV$3,0),$EP$76*ER$10,0))),0)</f>
        <v>0</v>
      </c>
      <c r="BY12" s="16">
        <f t="shared" si="39"/>
        <v>0</v>
      </c>
      <c r="BZ12" s="17"/>
      <c r="CA12" s="14">
        <f>IF(BZ$98=1,BZ12,ROUND(SUM(IF(AND(EQ$9&lt;&gt;"",EQ$11&lt;&gt;""),IF(EOMONTH($EP$3+INT((DAY(EOMONTH($EP$3,0))-1)/2)+EQ$11,0)=EOMONTH($BZ$3,0),EQ$9*EQ$10,0),0),IF(AND(EM$9&lt;&gt;"",EM$11&lt;&gt;""),IF(EOMONTH($EL$3+INT((DAY(EOMONTH($EL$3,0))-1)/2)+EM$11,0)=EOMONTH($BZ$3,0),EM$9*EM$10,0),0),IF(AND(EI$9&lt;&gt;"",EI$11&lt;&gt;""),IF(EOMONTH($EH$3+INT((DAY(EOMONTH($EH$3,0))-1)/2)+EI$11,0)=EOMONTH($BZ$3,0),EI$9*EI$10,0),0),IF(AND(EE$9&lt;&gt;"",EE$11&lt;&gt;""),IF(EOMONTH($ED$3+INT((DAY(EOMONTH($ED$3,0))-1)/2)+EE$11,0)=EOMONTH($BZ$3,0),EE$9*EE$10,0),0),IF(AND(EA$9&lt;&gt;"",EA$11&lt;&gt;""),IF(EOMONTH($DZ$3+INT((DAY(EOMONTH($DZ$3,0))-1)/2)+EA$11,0)=EOMONTH($BZ$3,0),EA$9*EA$10,0),0),IF(AND(DW$9&lt;&gt;"",DW$11&lt;&gt;""),IF(EOMONTH($DV$3+INT((DAY(EOMONTH($DV$3,0))-1)/2)+DW$11,0)=EOMONTH($BZ$3,0),DW$9*DW$10,0),0),IF(AND(DS$9&lt;&gt;"",DS$11&lt;&gt;""),IF(EOMONTH($DR$3+INT((DAY(EOMONTH($DR$3,0))-1)/2)+DS$11,0)=EOMONTH($BZ$3,0),DS$9*DS$10,0),0),IF(AND(DO$9&lt;&gt;"",DO$11&lt;&gt;""),IF(EOMONTH($DN$3+INT((DAY(EOMONTH($DN$3,0))-1)/2)+DO$11,0)=EOMONTH($BZ$3,0),DO$9*DO$10,0),0),IF(AND(DK$9&lt;&gt;"",DK$11&lt;&gt;""),IF(EOMONTH($DJ$3+INT((DAY(EOMONTH($DJ$3,0))-1)/2)+DK$11,0)=EOMONTH($BZ$3,0),DK$9*DK$10,0),0),IF(AND(DG$9&lt;&gt;"",DG$11&lt;&gt;""),IF(EOMONTH($DF$3+INT((DAY(EOMONTH($DF$3,0))-1)/2)+DG$11,0)=EOMONTH($BZ$3,0),DG$9*DG$10,0),0),IF(AND(DC$9&lt;&gt;"",DC$11&lt;&gt;""),IF(EOMONTH($DB$3+INT((DAY(EOMONTH($DB$3,0))-1)/2)+DC$11,0)=EOMONTH($BZ$3,0),DC$9*DC$10,0),0),IF(AND(CY$9&lt;&gt;"",CY$11&lt;&gt;""),IF(EOMONTH($CX$3+INT((DAY(EOMONTH($CX$3,0))-1)/2)+CY$11,0)=EOMONTH($BZ$3,0),CY$9*CY$10,0),0),IF(AND(CU$9&lt;&gt;"",CU$11&lt;&gt;""),IF(EOMONTH($CT$3+INT((DAY(EOMONTH($CT$3,0))-1)/2)+CU$11,0)=EOMONTH($BZ$3,0),CU$9*CU$10,0),0),IF(AND(CQ$9&lt;&gt;"",CQ$11&lt;&gt;""),IF(EOMONTH($CP$3+INT((DAY(EOMONTH($CP$3,0))-1)/2)+CQ$11,0)=EOMONTH($BZ$3,0),CQ$9*CQ$10,0),0),IF(AND(CM$9&lt;&gt;"",CM$11&lt;&gt;""),IF(EOMONTH($CL$3+INT((DAY(EOMONTH($CL$3,0))-1)/2)+CM$11,0)=EOMONTH($BZ$3,0),CM$9*CM$10,0),0),IF(AND(CI$9&lt;&gt;"",CI$11&lt;&gt;""),IF(EOMONTH($CH$3+INT((DAY(EOMONTH($CH$3,0))-1)/2)+CI$11,0)=EOMONTH($BZ$3,0),CI$9*CI$10,0),0),IF(AND(CE$9&lt;&gt;"",CE$11&lt;&gt;""),IF(EOMONTH($CD$3+INT((DAY(EOMONTH($CD$3,0))-1)/2)+CE$11,0)=EOMONTH($BZ$3,0),CE$9*CE$10,0),0),IF(AND(CA$9&lt;&gt;"",CA$11&lt;&gt;""),IF(EOMONTH($BZ$3+INT((DAY(EOMONTH($BZ$3,0))-1)/2)+CA$11,0)=EOMONTH($BZ$3,0),CA$9*CA$10,0),0),IF(AND(BW$9&lt;&gt;"",BW$11&lt;&gt;""),IF(EOMONTH($BV$3+INT((DAY(EOMONTH($BV$3,0))-1)/2)+BW$11,0)=EOMONTH($BZ$3,0),BW$9*BW$10,0),0),IF(AND(BS$9&lt;&gt;"",BS$11&lt;&gt;""),IF(EOMONTH($BR$3+INT((DAY(EOMONTH($BR$3,0))-1)/2)+BS$11,0)=EOMONTH($BZ$3,0),BS$9*BS$10,0),0),IF(AND(BO$9&lt;&gt;"",BO$11&lt;&gt;""),IF(EOMONTH($BN$3+INT((DAY(EOMONTH($BN$3,0))-1)/2)+BO$11,0)=EOMONTH($BZ$3,0),BO$9*BO$10,0),0),IF(AND(BK$9&lt;&gt;"",BK$11&lt;&gt;""),IF(EOMONTH($BJ$3+INT((DAY(EOMONTH($BJ$3,0))-1)/2)+BK$11,0)=EOMONTH($BZ$3,0),BK$9*BK$10,0),0),IF(AND(BG$9&lt;&gt;"",BG$11&lt;&gt;""),IF(EOMONTH($BF$3+INT((DAY(EOMONTH($BF$3,0))-1)/2)+BG$11,0)=EOMONTH($BZ$3,0),BG$9*BG$10,0),0),IF(AND(BC$9&lt;&gt;"",BC$11&lt;&gt;""),IF(EOMONTH($BB$3+INT((DAY(EOMONTH($BB$3,0))-1)/2)+BC$11,0)=EOMONTH($BZ$3,0),BC$9*BC$10,0),0),IF(AND(AY$9&lt;&gt;"",AY$11&lt;&gt;""),IF(EOMONTH($AX$3+INT((DAY(EOMONTH($AX$3,0))-1)/2)+AY$11,0)=EOMONTH($BZ$3,0),AY$9*AY$10,0),0),IF(AND(AU$9&lt;&gt;"",AU$11&lt;&gt;""),IF(EOMONTH($AT$3+INT((DAY(EOMONTH($AT$3,0))-1)/2)+AU$11,0)=EOMONTH($BZ$3,0),AU$9*AU$10,0),0),IF(AND(AQ$9&lt;&gt;"",AQ$11&lt;&gt;""),IF(EOMONTH($AP$3+INT((DAY(EOMONTH($AP$3,0))-1)/2)+AQ$11,0)=EOMONTH($BZ$3,0),AQ$9*AQ$10,0),0),IF(AND(AM$9&lt;&gt;"",AM$11&lt;&gt;""),IF(EOMONTH($AL$3+INT((DAY(EOMONTH($AL$3,0))-1)/2)+AM$11,0)=EOMONTH($BZ$3,0),AM$9*AM$10,0),0),IF(AND(AI$9&lt;&gt;"",AI$11&lt;&gt;""),IF(EOMONTH($AH$3+INT((DAY(EOMONTH($AH$3,0))-1)/2)+AI$11,0)=EOMONTH($BZ$3,0),AI$9*AI$10,0),0),IF(AND(AE$9&lt;&gt;"",AE$11&lt;&gt;""),IF(EOMONTH($AD$3+INT((DAY(EOMONTH($AD$3,0))-1)/2)+AE$11,0)=EOMONTH($BZ$3,0),AE$9*AE$10,0),0),IF(AND(AA$9&lt;&gt;"",AA$11&lt;&gt;""),IF(EOMONTH($Z$3+INT((DAY(EOMONTH($Z$3,0))-1)/2)+AA$11,0)=EOMONTH($BZ$3,0),AA$9*AA$10,0),0),IF(AND(W$9&lt;&gt;"",W$11&lt;&gt;""),IF(EOMONTH($V$3+INT((DAY(EOMONTH($V$3,0))-1)/2)+W$11,0)=EOMONTH($BZ$3,0),W$9*W$10,0),0),IF(AND(S$9&lt;&gt;"",S$11&lt;&gt;""),IF(EOMONTH($R$3+INT((DAY(EOMONTH($R$3,0))-1)/2)+S$11,0)=EOMONTH($BZ$3,0),S$9*S$10,0),0),IF(AND(O$9&lt;&gt;"",O$11&lt;&gt;""),IF(EOMONTH($N$3+INT((DAY(EOMONTH($N$3,0))-1)/2)+O$11,0)=EOMONTH($BZ$3,0),O$9*O$10,0),0),IF(AND(K$9&lt;&gt;"",K$11&lt;&gt;""),IF(EOMONTH($J$3+INT((DAY(EOMONTH($J$3,0))-1)/2)+K$11,0)=EOMONTH($BZ$3,0),K$9*K$10,0),0),IF(AND(G$9&lt;&gt;"",G$11&lt;&gt;""),IF(EOMONTH($F$3+INT((DAY(EOMONTH($F$3,0))-1)/2)+G$11,0)=EOMONTH($BZ$3,0),G$9*G$10,0),0),IF($EP$75="",0,IF(EOMONTH($EP$75+EQ$11,0)=EOMONTH($BZ$3,0),$EP$76*EQ$10,0))),0))</f>
        <v>0</v>
      </c>
      <c r="CB12" s="15">
        <f>ROUND(SUM(IF(AND(ER$9&lt;&gt;"",ER$11&lt;&gt;""),IF(EOMONTH($EP$3+INT((DAY(EOMONTH($EP$3,0))-1)/2)+ER$11,0)=EOMONTH($BZ$3,0),ER$9*ER$10,0),0),IF(AND(EN$9&lt;&gt;"",EN$11&lt;&gt;""),IF(EOMONTH($EL$3+INT((DAY(EOMONTH($EL$3,0))-1)/2)+EN$11,0)=EOMONTH($BZ$3,0),EN$9*EN$10,0),0),IF(AND(EJ$9&lt;&gt;"",EJ$11&lt;&gt;""),IF(EOMONTH($EH$3+INT((DAY(EOMONTH($EH$3,0))-1)/2)+EJ$11,0)=EOMONTH($BZ$3,0),EJ$9*EJ$10,0),0),IF(AND(EF$9&lt;&gt;"",EF$11&lt;&gt;""),IF(EOMONTH($ED$3+INT((DAY(EOMONTH($ED$3,0))-1)/2)+EF$11,0)=EOMONTH($BZ$3,0),EF$9*EF$10,0),0),IF(AND(EB$9&lt;&gt;"",EB$11&lt;&gt;""),IF(EOMONTH($DZ$3+INT((DAY(EOMONTH($DZ$3,0))-1)/2)+EB$11,0)=EOMONTH($BZ$3,0),EB$9*EB$10,0),0),IF(AND(DX$9&lt;&gt;"",DX$11&lt;&gt;""),IF(EOMONTH($DV$3+INT((DAY(EOMONTH($DV$3,0))-1)/2)+DX$11,0)=EOMONTH($BZ$3,0),DX$9*DX$10,0),0),IF(AND(DT$9&lt;&gt;"",DT$11&lt;&gt;""),IF(EOMONTH($DR$3+INT((DAY(EOMONTH($DR$3,0))-1)/2)+DT$11,0)=EOMONTH($BZ$3,0),DT$9*DT$10,0),0),IF(AND(DP$9&lt;&gt;"",DP$11&lt;&gt;""),IF(EOMONTH($DN$3+INT((DAY(EOMONTH($DN$3,0))-1)/2)+DP$11,0)=EOMONTH($BZ$3,0),DP$9*DP$10,0),0),IF(AND(DL$9&lt;&gt;"",DL$11&lt;&gt;""),IF(EOMONTH($DJ$3+INT((DAY(EOMONTH($DJ$3,0))-1)/2)+DL$11,0)=EOMONTH($BZ$3,0),DL$9*DL$10,0),0),IF(AND(DH$9&lt;&gt;"",DH$11&lt;&gt;""),IF(EOMONTH($DF$3+INT((DAY(EOMONTH($DF$3,0))-1)/2)+DH$11,0)=EOMONTH($BZ$3,0),DH$9*DH$10,0),0),IF(AND(DD$9&lt;&gt;"",DD$11&lt;&gt;""),IF(EOMONTH($DB$3+INT((DAY(EOMONTH($DB$3,0))-1)/2)+DD$11,0)=EOMONTH($BZ$3,0),DD$9*DD$10,0),0),IF(AND(CZ$9&lt;&gt;"",CZ$11&lt;&gt;""),IF(EOMONTH($CX$3+INT((DAY(EOMONTH($CX$3,0))-1)/2)+CZ$11,0)=EOMONTH($BZ$3,0),CZ$9*CZ$10,0),0),IF(AND(CV$9&lt;&gt;"",CV$11&lt;&gt;""),IF(EOMONTH($CT$3+INT((DAY(EOMONTH($CT$3,0))-1)/2)+CV$11,0)=EOMONTH($BZ$3,0),CV$9*CV$10,0),0),IF(AND(CR$9&lt;&gt;"",CR$11&lt;&gt;""),IF(EOMONTH($CP$3+INT((DAY(EOMONTH($CP$3,0))-1)/2)+CR$11,0)=EOMONTH($BZ$3,0),CR$9*CR$10,0),0),IF(AND(CN$9&lt;&gt;"",CN$11&lt;&gt;""),IF(EOMONTH($CL$3+INT((DAY(EOMONTH($CL$3,0))-1)/2)+CN$11,0)=EOMONTH($BZ$3,0),CN$9*CN$10,0),0),IF(AND(CJ$9&lt;&gt;"",CJ$11&lt;&gt;""),IF(EOMONTH($CH$3+INT((DAY(EOMONTH($CH$3,0))-1)/2)+CJ$11,0)=EOMONTH($BZ$3,0),CJ$9*CJ$10,0),0),IF(AND(CF$9&lt;&gt;"",CF$11&lt;&gt;""),IF(EOMONTH($CD$3+INT((DAY(EOMONTH($CD$3,0))-1)/2)+CF$11,0)=EOMONTH($BZ$3,0),CF$9*CF$10,0),0),IF(AND(CB$9&lt;&gt;"",CB$11&lt;&gt;""),IF(EOMONTH($BZ$3+INT((DAY(EOMONTH($BZ$3,0))-1)/2)+CB$11,0)=EOMONTH($BZ$3,0),CB$9*CB$10,0),0),IF(AND(BX$9&lt;&gt;"",BX$11&lt;&gt;""),IF(EOMONTH($BV$3+INT((DAY(EOMONTH($BV$3,0))-1)/2)+BX$11,0)=EOMONTH($BZ$3,0),BX$9*BX$10,0),0),IF(AND(BT$9&lt;&gt;"",BT$11&lt;&gt;""),IF(EOMONTH($BR$3+INT((DAY(EOMONTH($BR$3,0))-1)/2)+BT$11,0)=EOMONTH($BZ$3,0),BT$9*BT$10,0),0),IF(AND(BP$9&lt;&gt;"",BP$11&lt;&gt;""),IF(EOMONTH($BN$3+INT((DAY(EOMONTH($BN$3,0))-1)/2)+BP$11,0)=EOMONTH($BZ$3,0),BP$9*BP$10,0),0),IF(AND(BL$9&lt;&gt;"",BL$11&lt;&gt;""),IF(EOMONTH($BJ$3+INT((DAY(EOMONTH($BJ$3,0))-1)/2)+BL$11,0)=EOMONTH($BZ$3,0),BL$9*BL$10,0),0),IF(AND(BH$9&lt;&gt;"",BH$11&lt;&gt;""),IF(EOMONTH($BF$3+INT((DAY(EOMONTH($BF$3,0))-1)/2)+BH$11,0)=EOMONTH($BZ$3,0),BH$9*BH$10,0),0),IF(AND(BD$9&lt;&gt;"",BD$11&lt;&gt;""),IF(EOMONTH($BB$3+INT((DAY(EOMONTH($BB$3,0))-1)/2)+BD$11,0)=EOMONTH($BZ$3,0),BD$9*BD$10,0),0),IF(AND(AZ$9&lt;&gt;"",AZ$11&lt;&gt;""),IF(EOMONTH($AX$3+INT((DAY(EOMONTH($AX$3,0))-1)/2)+AZ$11,0)=EOMONTH($BZ$3,0),AZ$9*AZ$10,0),0),IF(AND(AV$9&lt;&gt;"",AV$11&lt;&gt;""),IF(EOMONTH($AT$3+INT((DAY(EOMONTH($AT$3,0))-1)/2)+AV$11,0)=EOMONTH($BZ$3,0),AV$9*AV$10,0),0),IF(AND(AR$9&lt;&gt;"",AR$11&lt;&gt;""),IF(EOMONTH($AP$3+INT((DAY(EOMONTH($AP$3,0))-1)/2)+AR$11,0)=EOMONTH($BZ$3,0),AR$9*AR$10,0),0),IF(AND(AN$9&lt;&gt;"",AN$11&lt;&gt;""),IF(EOMONTH($AL$3+INT((DAY(EOMONTH($AL$3,0))-1)/2)+AN$11,0)=EOMONTH($BZ$3,0),AN$9*AN$10,0),0),IF(AND(AJ$9&lt;&gt;"",AJ$11&lt;&gt;""),IF(EOMONTH($AH$3+INT((DAY(EOMONTH($AH$3,0))-1)/2)+AJ$11,0)=EOMONTH($BZ$3,0),AJ$9*AJ$10,0),0),IF(AND(AF$9&lt;&gt;"",AF$11&lt;&gt;""),IF(EOMONTH($AD$3+INT((DAY(EOMONTH($AD$3,0))-1)/2)+AF$11,0)=EOMONTH($BZ$3,0),AF$9*AF$10,0),0),IF(AND(AB$9&lt;&gt;"",AB$11&lt;&gt;""),IF(EOMONTH($Z$3+INT((DAY(EOMONTH($Z$3,0))-1)/2)+AB$11,0)=EOMONTH($BZ$3,0),AB$9*AB$10,0),0),IF(AND(X$9&lt;&gt;"",X$11&lt;&gt;""),IF(EOMONTH($V$3+INT((DAY(EOMONTH($V$3,0))-1)/2)+X$11,0)=EOMONTH($BZ$3,0),X$9*X$10,0),0),IF(AND(T$9&lt;&gt;"",T$11&lt;&gt;""),IF(EOMONTH($R$3+INT((DAY(EOMONTH($R$3,0))-1)/2)+T$11,0)=EOMONTH($BZ$3,0),T$9*T$10,0),0),IF(AND(P$9&lt;&gt;"",P$11&lt;&gt;""),IF(EOMONTH($N$3+INT((DAY(EOMONTH($N$3,0))-1)/2)+P$11,0)=EOMONTH($BZ$3,0),P$9*P$10,0),0),IF(AND(L$9&lt;&gt;"",L$11&lt;&gt;""),IF(EOMONTH($J$3+INT((DAY(EOMONTH($J$3,0))-1)/2)+L$11,0)=EOMONTH($BZ$3,0),L$9*L$10,0),0),IF(AND(H$9&lt;&gt;"",H$11&lt;&gt;""),IF(EOMONTH($F$3+INT((DAY(EOMONTH($F$3,0))-1)/2)+H$11,0)=EOMONTH($BZ$3,0),H$9*H$10,0),0),IF($EP$75="",0,IF(EOMONTH($EP$75+ER$11,0)=EOMONTH($BZ$3,0),$EP$76*ER$10,0))),0)</f>
        <v>0</v>
      </c>
      <c r="CC12" s="16">
        <f t="shared" si="41"/>
        <v>0</v>
      </c>
      <c r="CD12" s="17"/>
      <c r="CE12" s="14">
        <f>IF(CD$98=1,CD12,ROUND(SUM(IF(AND(EQ$9&lt;&gt;"",EQ$11&lt;&gt;""),IF(EOMONTH($EP$3+INT((DAY(EOMONTH($EP$3,0))-1)/2)+EQ$11,0)=EOMONTH($CD$3,0),EQ$9*EQ$10,0),0),IF(AND(EM$9&lt;&gt;"",EM$11&lt;&gt;""),IF(EOMONTH($EL$3+INT((DAY(EOMONTH($EL$3,0))-1)/2)+EM$11,0)=EOMONTH($CD$3,0),EM$9*EM$10,0),0),IF(AND(EI$9&lt;&gt;"",EI$11&lt;&gt;""),IF(EOMONTH($EH$3+INT((DAY(EOMONTH($EH$3,0))-1)/2)+EI$11,0)=EOMONTH($CD$3,0),EI$9*EI$10,0),0),IF(AND(EE$9&lt;&gt;"",EE$11&lt;&gt;""),IF(EOMONTH($ED$3+INT((DAY(EOMONTH($ED$3,0))-1)/2)+EE$11,0)=EOMONTH($CD$3,0),EE$9*EE$10,0),0),IF(AND(EA$9&lt;&gt;"",EA$11&lt;&gt;""),IF(EOMONTH($DZ$3+INT((DAY(EOMONTH($DZ$3,0))-1)/2)+EA$11,0)=EOMONTH($CD$3,0),EA$9*EA$10,0),0),IF(AND(DW$9&lt;&gt;"",DW$11&lt;&gt;""),IF(EOMONTH($DV$3+INT((DAY(EOMONTH($DV$3,0))-1)/2)+DW$11,0)=EOMONTH($CD$3,0),DW$9*DW$10,0),0),IF(AND(DS$9&lt;&gt;"",DS$11&lt;&gt;""),IF(EOMONTH($DR$3+INT((DAY(EOMONTH($DR$3,0))-1)/2)+DS$11,0)=EOMONTH($CD$3,0),DS$9*DS$10,0),0),IF(AND(DO$9&lt;&gt;"",DO$11&lt;&gt;""),IF(EOMONTH($DN$3+INT((DAY(EOMONTH($DN$3,0))-1)/2)+DO$11,0)=EOMONTH($CD$3,0),DO$9*DO$10,0),0),IF(AND(DK$9&lt;&gt;"",DK$11&lt;&gt;""),IF(EOMONTH($DJ$3+INT((DAY(EOMONTH($DJ$3,0))-1)/2)+DK$11,0)=EOMONTH($CD$3,0),DK$9*DK$10,0),0),IF(AND(DG$9&lt;&gt;"",DG$11&lt;&gt;""),IF(EOMONTH($DF$3+INT((DAY(EOMONTH($DF$3,0))-1)/2)+DG$11,0)=EOMONTH($CD$3,0),DG$9*DG$10,0),0),IF(AND(DC$9&lt;&gt;"",DC$11&lt;&gt;""),IF(EOMONTH($DB$3+INT((DAY(EOMONTH($DB$3,0))-1)/2)+DC$11,0)=EOMONTH($CD$3,0),DC$9*DC$10,0),0),IF(AND(CY$9&lt;&gt;"",CY$11&lt;&gt;""),IF(EOMONTH($CX$3+INT((DAY(EOMONTH($CX$3,0))-1)/2)+CY$11,0)=EOMONTH($CD$3,0),CY$9*CY$10,0),0),IF(AND(CU$9&lt;&gt;"",CU$11&lt;&gt;""),IF(EOMONTH($CT$3+INT((DAY(EOMONTH($CT$3,0))-1)/2)+CU$11,0)=EOMONTH($CD$3,0),CU$9*CU$10,0),0),IF(AND(CQ$9&lt;&gt;"",CQ$11&lt;&gt;""),IF(EOMONTH($CP$3+INT((DAY(EOMONTH($CP$3,0))-1)/2)+CQ$11,0)=EOMONTH($CD$3,0),CQ$9*CQ$10,0),0),IF(AND(CM$9&lt;&gt;"",CM$11&lt;&gt;""),IF(EOMONTH($CL$3+INT((DAY(EOMONTH($CL$3,0))-1)/2)+CM$11,0)=EOMONTH($CD$3,0),CM$9*CM$10,0),0),IF(AND(CI$9&lt;&gt;"",CI$11&lt;&gt;""),IF(EOMONTH($CH$3+INT((DAY(EOMONTH($CH$3,0))-1)/2)+CI$11,0)=EOMONTH($CD$3,0),CI$9*CI$10,0),0),IF(AND(CE$9&lt;&gt;"",CE$11&lt;&gt;""),IF(EOMONTH($CD$3+INT((DAY(EOMONTH($CD$3,0))-1)/2)+CE$11,0)=EOMONTH($CD$3,0),CE$9*CE$10,0),0),IF(AND(CA$9&lt;&gt;"",CA$11&lt;&gt;""),IF(EOMONTH($BZ$3+INT((DAY(EOMONTH($BZ$3,0))-1)/2)+CA$11,0)=EOMONTH($CD$3,0),CA$9*CA$10,0),0),IF(AND(BW$9&lt;&gt;"",BW$11&lt;&gt;""),IF(EOMONTH($BV$3+INT((DAY(EOMONTH($BV$3,0))-1)/2)+BW$11,0)=EOMONTH($CD$3,0),BW$9*BW$10,0),0),IF(AND(BS$9&lt;&gt;"",BS$11&lt;&gt;""),IF(EOMONTH($BR$3+INT((DAY(EOMONTH($BR$3,0))-1)/2)+BS$11,0)=EOMONTH($CD$3,0),BS$9*BS$10,0),0),IF(AND(BO$9&lt;&gt;"",BO$11&lt;&gt;""),IF(EOMONTH($BN$3+INT((DAY(EOMONTH($BN$3,0))-1)/2)+BO$11,0)=EOMONTH($CD$3,0),BO$9*BO$10,0),0),IF(AND(BK$9&lt;&gt;"",BK$11&lt;&gt;""),IF(EOMONTH($BJ$3+INT((DAY(EOMONTH($BJ$3,0))-1)/2)+BK$11,0)=EOMONTH($CD$3,0),BK$9*BK$10,0),0),IF(AND(BG$9&lt;&gt;"",BG$11&lt;&gt;""),IF(EOMONTH($BF$3+INT((DAY(EOMONTH($BF$3,0))-1)/2)+BG$11,0)=EOMONTH($CD$3,0),BG$9*BG$10,0),0),IF(AND(BC$9&lt;&gt;"",BC$11&lt;&gt;""),IF(EOMONTH($BB$3+INT((DAY(EOMONTH($BB$3,0))-1)/2)+BC$11,0)=EOMONTH($CD$3,0),BC$9*BC$10,0),0),IF(AND(AY$9&lt;&gt;"",AY$11&lt;&gt;""),IF(EOMONTH($AX$3+INT((DAY(EOMONTH($AX$3,0))-1)/2)+AY$11,0)=EOMONTH($CD$3,0),AY$9*AY$10,0),0),IF(AND(AU$9&lt;&gt;"",AU$11&lt;&gt;""),IF(EOMONTH($AT$3+INT((DAY(EOMONTH($AT$3,0))-1)/2)+AU$11,0)=EOMONTH($CD$3,0),AU$9*AU$10,0),0),IF(AND(AQ$9&lt;&gt;"",AQ$11&lt;&gt;""),IF(EOMONTH($AP$3+INT((DAY(EOMONTH($AP$3,0))-1)/2)+AQ$11,0)=EOMONTH($CD$3,0),AQ$9*AQ$10,0),0),IF(AND(AM$9&lt;&gt;"",AM$11&lt;&gt;""),IF(EOMONTH($AL$3+INT((DAY(EOMONTH($AL$3,0))-1)/2)+AM$11,0)=EOMONTH($CD$3,0),AM$9*AM$10,0),0),IF(AND(AI$9&lt;&gt;"",AI$11&lt;&gt;""),IF(EOMONTH($AH$3+INT((DAY(EOMONTH($AH$3,0))-1)/2)+AI$11,0)=EOMONTH($CD$3,0),AI$9*AI$10,0),0),IF(AND(AE$9&lt;&gt;"",AE$11&lt;&gt;""),IF(EOMONTH($AD$3+INT((DAY(EOMONTH($AD$3,0))-1)/2)+AE$11,0)=EOMONTH($CD$3,0),AE$9*AE$10,0),0),IF(AND(AA$9&lt;&gt;"",AA$11&lt;&gt;""),IF(EOMONTH($Z$3+INT((DAY(EOMONTH($Z$3,0))-1)/2)+AA$11,0)=EOMONTH($CD$3,0),AA$9*AA$10,0),0),IF(AND(W$9&lt;&gt;"",W$11&lt;&gt;""),IF(EOMONTH($V$3+INT((DAY(EOMONTH($V$3,0))-1)/2)+W$11,0)=EOMONTH($CD$3,0),W$9*W$10,0),0),IF(AND(S$9&lt;&gt;"",S$11&lt;&gt;""),IF(EOMONTH($R$3+INT((DAY(EOMONTH($R$3,0))-1)/2)+S$11,0)=EOMONTH($CD$3,0),S$9*S$10,0),0),IF(AND(O$9&lt;&gt;"",O$11&lt;&gt;""),IF(EOMONTH($N$3+INT((DAY(EOMONTH($N$3,0))-1)/2)+O$11,0)=EOMONTH($CD$3,0),O$9*O$10,0),0),IF(AND(K$9&lt;&gt;"",K$11&lt;&gt;""),IF(EOMONTH($J$3+INT((DAY(EOMONTH($J$3,0))-1)/2)+K$11,0)=EOMONTH($CD$3,0),K$9*K$10,0),0),IF(AND(G$9&lt;&gt;"",G$11&lt;&gt;""),IF(EOMONTH($F$3+INT((DAY(EOMONTH($F$3,0))-1)/2)+G$11,0)=EOMONTH($CD$3,0),G$9*G$10,0),0),IF($EP$75="",0,IF(EOMONTH($EP$75+EQ$11,0)=EOMONTH($CD$3,0),$EP$76*EQ$10,0))),0))</f>
        <v>0</v>
      </c>
      <c r="CF12" s="15">
        <f>ROUND(SUM(IF(AND(ER$9&lt;&gt;"",ER$11&lt;&gt;""),IF(EOMONTH($EP$3+INT((DAY(EOMONTH($EP$3,0))-1)/2)+ER$11,0)=EOMONTH($CD$3,0),ER$9*ER$10,0),0),IF(AND(EN$9&lt;&gt;"",EN$11&lt;&gt;""),IF(EOMONTH($EL$3+INT((DAY(EOMONTH($EL$3,0))-1)/2)+EN$11,0)=EOMONTH($CD$3,0),EN$9*EN$10,0),0),IF(AND(EJ$9&lt;&gt;"",EJ$11&lt;&gt;""),IF(EOMONTH($EH$3+INT((DAY(EOMONTH($EH$3,0))-1)/2)+EJ$11,0)=EOMONTH($CD$3,0),EJ$9*EJ$10,0),0),IF(AND(EF$9&lt;&gt;"",EF$11&lt;&gt;""),IF(EOMONTH($ED$3+INT((DAY(EOMONTH($ED$3,0))-1)/2)+EF$11,0)=EOMONTH($CD$3,0),EF$9*EF$10,0),0),IF(AND(EB$9&lt;&gt;"",EB$11&lt;&gt;""),IF(EOMONTH($DZ$3+INT((DAY(EOMONTH($DZ$3,0))-1)/2)+EB$11,0)=EOMONTH($CD$3,0),EB$9*EB$10,0),0),IF(AND(DX$9&lt;&gt;"",DX$11&lt;&gt;""),IF(EOMONTH($DV$3+INT((DAY(EOMONTH($DV$3,0))-1)/2)+DX$11,0)=EOMONTH($CD$3,0),DX$9*DX$10,0),0),IF(AND(DT$9&lt;&gt;"",DT$11&lt;&gt;""),IF(EOMONTH($DR$3+INT((DAY(EOMONTH($DR$3,0))-1)/2)+DT$11,0)=EOMONTH($CD$3,0),DT$9*DT$10,0),0),IF(AND(DP$9&lt;&gt;"",DP$11&lt;&gt;""),IF(EOMONTH($DN$3+INT((DAY(EOMONTH($DN$3,0))-1)/2)+DP$11,0)=EOMONTH($CD$3,0),DP$9*DP$10,0),0),IF(AND(DL$9&lt;&gt;"",DL$11&lt;&gt;""),IF(EOMONTH($DJ$3+INT((DAY(EOMONTH($DJ$3,0))-1)/2)+DL$11,0)=EOMONTH($CD$3,0),DL$9*DL$10,0),0),IF(AND(DH$9&lt;&gt;"",DH$11&lt;&gt;""),IF(EOMONTH($DF$3+INT((DAY(EOMONTH($DF$3,0))-1)/2)+DH$11,0)=EOMONTH($CD$3,0),DH$9*DH$10,0),0),IF(AND(DD$9&lt;&gt;"",DD$11&lt;&gt;""),IF(EOMONTH($DB$3+INT((DAY(EOMONTH($DB$3,0))-1)/2)+DD$11,0)=EOMONTH($CD$3,0),DD$9*DD$10,0),0),IF(AND(CZ$9&lt;&gt;"",CZ$11&lt;&gt;""),IF(EOMONTH($CX$3+INT((DAY(EOMONTH($CX$3,0))-1)/2)+CZ$11,0)=EOMONTH($CD$3,0),CZ$9*CZ$10,0),0),IF(AND(CV$9&lt;&gt;"",CV$11&lt;&gt;""),IF(EOMONTH($CT$3+INT((DAY(EOMONTH($CT$3,0))-1)/2)+CV$11,0)=EOMONTH($CD$3,0),CV$9*CV$10,0),0),IF(AND(CR$9&lt;&gt;"",CR$11&lt;&gt;""),IF(EOMONTH($CP$3+INT((DAY(EOMONTH($CP$3,0))-1)/2)+CR$11,0)=EOMONTH($CD$3,0),CR$9*CR$10,0),0),IF(AND(CN$9&lt;&gt;"",CN$11&lt;&gt;""),IF(EOMONTH($CL$3+INT((DAY(EOMONTH($CL$3,0))-1)/2)+CN$11,0)=EOMONTH($CD$3,0),CN$9*CN$10,0),0),IF(AND(CJ$9&lt;&gt;"",CJ$11&lt;&gt;""),IF(EOMONTH($CH$3+INT((DAY(EOMONTH($CH$3,0))-1)/2)+CJ$11,0)=EOMONTH($CD$3,0),CJ$9*CJ$10,0),0),IF(AND(CF$9&lt;&gt;"",CF$11&lt;&gt;""),IF(EOMONTH($CD$3+INT((DAY(EOMONTH($CD$3,0))-1)/2)+CF$11,0)=EOMONTH($CD$3,0),CF$9*CF$10,0),0),IF(AND(CB$9&lt;&gt;"",CB$11&lt;&gt;""),IF(EOMONTH($BZ$3+INT((DAY(EOMONTH($BZ$3,0))-1)/2)+CB$11,0)=EOMONTH($CD$3,0),CB$9*CB$10,0),0),IF(AND(BX$9&lt;&gt;"",BX$11&lt;&gt;""),IF(EOMONTH($BV$3+INT((DAY(EOMONTH($BV$3,0))-1)/2)+BX$11,0)=EOMONTH($CD$3,0),BX$9*BX$10,0),0),IF(AND(BT$9&lt;&gt;"",BT$11&lt;&gt;""),IF(EOMONTH($BR$3+INT((DAY(EOMONTH($BR$3,0))-1)/2)+BT$11,0)=EOMONTH($CD$3,0),BT$9*BT$10,0),0),IF(AND(BP$9&lt;&gt;"",BP$11&lt;&gt;""),IF(EOMONTH($BN$3+INT((DAY(EOMONTH($BN$3,0))-1)/2)+BP$11,0)=EOMONTH($CD$3,0),BP$9*BP$10,0),0),IF(AND(BL$9&lt;&gt;"",BL$11&lt;&gt;""),IF(EOMONTH($BJ$3+INT((DAY(EOMONTH($BJ$3,0))-1)/2)+BL$11,0)=EOMONTH($CD$3,0),BL$9*BL$10,0),0),IF(AND(BH$9&lt;&gt;"",BH$11&lt;&gt;""),IF(EOMONTH($BF$3+INT((DAY(EOMONTH($BF$3,0))-1)/2)+BH$11,0)=EOMONTH($CD$3,0),BH$9*BH$10,0),0),IF(AND(BD$9&lt;&gt;"",BD$11&lt;&gt;""),IF(EOMONTH($BB$3+INT((DAY(EOMONTH($BB$3,0))-1)/2)+BD$11,0)=EOMONTH($CD$3,0),BD$9*BD$10,0),0),IF(AND(AZ$9&lt;&gt;"",AZ$11&lt;&gt;""),IF(EOMONTH($AX$3+INT((DAY(EOMONTH($AX$3,0))-1)/2)+AZ$11,0)=EOMONTH($CD$3,0),AZ$9*AZ$10,0),0),IF(AND(AV$9&lt;&gt;"",AV$11&lt;&gt;""),IF(EOMONTH($AT$3+INT((DAY(EOMONTH($AT$3,0))-1)/2)+AV$11,0)=EOMONTH($CD$3,0),AV$9*AV$10,0),0),IF(AND(AR$9&lt;&gt;"",AR$11&lt;&gt;""),IF(EOMONTH($AP$3+INT((DAY(EOMONTH($AP$3,0))-1)/2)+AR$11,0)=EOMONTH($CD$3,0),AR$9*AR$10,0),0),IF(AND(AN$9&lt;&gt;"",AN$11&lt;&gt;""),IF(EOMONTH($AL$3+INT((DAY(EOMONTH($AL$3,0))-1)/2)+AN$11,0)=EOMONTH($CD$3,0),AN$9*AN$10,0),0),IF(AND(AJ$9&lt;&gt;"",AJ$11&lt;&gt;""),IF(EOMONTH($AH$3+INT((DAY(EOMONTH($AH$3,0))-1)/2)+AJ$11,0)=EOMONTH($CD$3,0),AJ$9*AJ$10,0),0),IF(AND(AF$9&lt;&gt;"",AF$11&lt;&gt;""),IF(EOMONTH($AD$3+INT((DAY(EOMONTH($AD$3,0))-1)/2)+AF$11,0)=EOMONTH($CD$3,0),AF$9*AF$10,0),0),IF(AND(AB$9&lt;&gt;"",AB$11&lt;&gt;""),IF(EOMONTH($Z$3+INT((DAY(EOMONTH($Z$3,0))-1)/2)+AB$11,0)=EOMONTH($CD$3,0),AB$9*AB$10,0),0),IF(AND(X$9&lt;&gt;"",X$11&lt;&gt;""),IF(EOMONTH($V$3+INT((DAY(EOMONTH($V$3,0))-1)/2)+X$11,0)=EOMONTH($CD$3,0),X$9*X$10,0),0),IF(AND(T$9&lt;&gt;"",T$11&lt;&gt;""),IF(EOMONTH($R$3+INT((DAY(EOMONTH($R$3,0))-1)/2)+T$11,0)=EOMONTH($CD$3,0),T$9*T$10,0),0),IF(AND(P$9&lt;&gt;"",P$11&lt;&gt;""),IF(EOMONTH($N$3+INT((DAY(EOMONTH($N$3,0))-1)/2)+P$11,0)=EOMONTH($CD$3,0),P$9*P$10,0),0),IF(AND(L$9&lt;&gt;"",L$11&lt;&gt;""),IF(EOMONTH($J$3+INT((DAY(EOMONTH($J$3,0))-1)/2)+L$11,0)=EOMONTH($CD$3,0),L$9*L$10,0),0),IF(AND(H$9&lt;&gt;"",H$11&lt;&gt;""),IF(EOMONTH($F$3+INT((DAY(EOMONTH($F$3,0))-1)/2)+H$11,0)=EOMONTH($CD$3,0),H$9*H$10,0),0),IF($EP$75="",0,IF(EOMONTH($EP$75+ER$11,0)=EOMONTH($CD$3,0),$EP$76*ER$10,0))),0)</f>
        <v>0</v>
      </c>
      <c r="CG12" s="16">
        <f t="shared" si="43"/>
        <v>0</v>
      </c>
      <c r="CH12" s="17"/>
      <c r="CI12" s="14">
        <f>IF(CH$98=1,CH12,ROUND(SUM(IF(AND(EQ$9&lt;&gt;"",EQ$11&lt;&gt;""),IF(EOMONTH($EP$3+INT((DAY(EOMONTH($EP$3,0))-1)/2)+EQ$11,0)=EOMONTH($CH$3,0),EQ$9*EQ$10,0),0),IF(AND(EM$9&lt;&gt;"",EM$11&lt;&gt;""),IF(EOMONTH($EL$3+INT((DAY(EOMONTH($EL$3,0))-1)/2)+EM$11,0)=EOMONTH($CH$3,0),EM$9*EM$10,0),0),IF(AND(EI$9&lt;&gt;"",EI$11&lt;&gt;""),IF(EOMONTH($EH$3+INT((DAY(EOMONTH($EH$3,0))-1)/2)+EI$11,0)=EOMONTH($CH$3,0),EI$9*EI$10,0),0),IF(AND(EE$9&lt;&gt;"",EE$11&lt;&gt;""),IF(EOMONTH($ED$3+INT((DAY(EOMONTH($ED$3,0))-1)/2)+EE$11,0)=EOMONTH($CH$3,0),EE$9*EE$10,0),0),IF(AND(EA$9&lt;&gt;"",EA$11&lt;&gt;""),IF(EOMONTH($DZ$3+INT((DAY(EOMONTH($DZ$3,0))-1)/2)+EA$11,0)=EOMONTH($CH$3,0),EA$9*EA$10,0),0),IF(AND(DW$9&lt;&gt;"",DW$11&lt;&gt;""),IF(EOMONTH($DV$3+INT((DAY(EOMONTH($DV$3,0))-1)/2)+DW$11,0)=EOMONTH($CH$3,0),DW$9*DW$10,0),0),IF(AND(DS$9&lt;&gt;"",DS$11&lt;&gt;""),IF(EOMONTH($DR$3+INT((DAY(EOMONTH($DR$3,0))-1)/2)+DS$11,0)=EOMONTH($CH$3,0),DS$9*DS$10,0),0),IF(AND(DO$9&lt;&gt;"",DO$11&lt;&gt;""),IF(EOMONTH($DN$3+INT((DAY(EOMONTH($DN$3,0))-1)/2)+DO$11,0)=EOMONTH($CH$3,0),DO$9*DO$10,0),0),IF(AND(DK$9&lt;&gt;"",DK$11&lt;&gt;""),IF(EOMONTH($DJ$3+INT((DAY(EOMONTH($DJ$3,0))-1)/2)+DK$11,0)=EOMONTH($CH$3,0),DK$9*DK$10,0),0),IF(AND(DG$9&lt;&gt;"",DG$11&lt;&gt;""),IF(EOMONTH($DF$3+INT((DAY(EOMONTH($DF$3,0))-1)/2)+DG$11,0)=EOMONTH($CH$3,0),DG$9*DG$10,0),0),IF(AND(DC$9&lt;&gt;"",DC$11&lt;&gt;""),IF(EOMONTH($DB$3+INT((DAY(EOMONTH($DB$3,0))-1)/2)+DC$11,0)=EOMONTH($CH$3,0),DC$9*DC$10,0),0),IF(AND(CY$9&lt;&gt;"",CY$11&lt;&gt;""),IF(EOMONTH($CX$3+INT((DAY(EOMONTH($CX$3,0))-1)/2)+CY$11,0)=EOMONTH($CH$3,0),CY$9*CY$10,0),0),IF(AND(CU$9&lt;&gt;"",CU$11&lt;&gt;""),IF(EOMONTH($CT$3+INT((DAY(EOMONTH($CT$3,0))-1)/2)+CU$11,0)=EOMONTH($CH$3,0),CU$9*CU$10,0),0),IF(AND(CQ$9&lt;&gt;"",CQ$11&lt;&gt;""),IF(EOMONTH($CP$3+INT((DAY(EOMONTH($CP$3,0))-1)/2)+CQ$11,0)=EOMONTH($CH$3,0),CQ$9*CQ$10,0),0),IF(AND(CM$9&lt;&gt;"",CM$11&lt;&gt;""),IF(EOMONTH($CL$3+INT((DAY(EOMONTH($CL$3,0))-1)/2)+CM$11,0)=EOMONTH($CH$3,0),CM$9*CM$10,0),0),IF(AND(CI$9&lt;&gt;"",CI$11&lt;&gt;""),IF(EOMONTH($CH$3+INT((DAY(EOMONTH($CH$3,0))-1)/2)+CI$11,0)=EOMONTH($CH$3,0),CI$9*CI$10,0),0),IF(AND(CE$9&lt;&gt;"",CE$11&lt;&gt;""),IF(EOMONTH($CD$3+INT((DAY(EOMONTH($CD$3,0))-1)/2)+CE$11,0)=EOMONTH($CH$3,0),CE$9*CE$10,0),0),IF(AND(CA$9&lt;&gt;"",CA$11&lt;&gt;""),IF(EOMONTH($BZ$3+INT((DAY(EOMONTH($BZ$3,0))-1)/2)+CA$11,0)=EOMONTH($CH$3,0),CA$9*CA$10,0),0),IF(AND(BW$9&lt;&gt;"",BW$11&lt;&gt;""),IF(EOMONTH($BV$3+INT((DAY(EOMONTH($BV$3,0))-1)/2)+BW$11,0)=EOMONTH($CH$3,0),BW$9*BW$10,0),0),IF(AND(BS$9&lt;&gt;"",BS$11&lt;&gt;""),IF(EOMONTH($BR$3+INT((DAY(EOMONTH($BR$3,0))-1)/2)+BS$11,0)=EOMONTH($CH$3,0),BS$9*BS$10,0),0),IF(AND(BO$9&lt;&gt;"",BO$11&lt;&gt;""),IF(EOMONTH($BN$3+INT((DAY(EOMONTH($BN$3,0))-1)/2)+BO$11,0)=EOMONTH($CH$3,0),BO$9*BO$10,0),0),IF(AND(BK$9&lt;&gt;"",BK$11&lt;&gt;""),IF(EOMONTH($BJ$3+INT((DAY(EOMONTH($BJ$3,0))-1)/2)+BK$11,0)=EOMONTH($CH$3,0),BK$9*BK$10,0),0),IF(AND(BG$9&lt;&gt;"",BG$11&lt;&gt;""),IF(EOMONTH($BF$3+INT((DAY(EOMONTH($BF$3,0))-1)/2)+BG$11,0)=EOMONTH($CH$3,0),BG$9*BG$10,0),0),IF(AND(BC$9&lt;&gt;"",BC$11&lt;&gt;""),IF(EOMONTH($BB$3+INT((DAY(EOMONTH($BB$3,0))-1)/2)+BC$11,0)=EOMONTH($CH$3,0),BC$9*BC$10,0),0),IF(AND(AY$9&lt;&gt;"",AY$11&lt;&gt;""),IF(EOMONTH($AX$3+INT((DAY(EOMONTH($AX$3,0))-1)/2)+AY$11,0)=EOMONTH($CH$3,0),AY$9*AY$10,0),0),IF(AND(AU$9&lt;&gt;"",AU$11&lt;&gt;""),IF(EOMONTH($AT$3+INT((DAY(EOMONTH($AT$3,0))-1)/2)+AU$11,0)=EOMONTH($CH$3,0),AU$9*AU$10,0),0),IF(AND(AQ$9&lt;&gt;"",AQ$11&lt;&gt;""),IF(EOMONTH($AP$3+INT((DAY(EOMONTH($AP$3,0))-1)/2)+AQ$11,0)=EOMONTH($CH$3,0),AQ$9*AQ$10,0),0),IF(AND(AM$9&lt;&gt;"",AM$11&lt;&gt;""),IF(EOMONTH($AL$3+INT((DAY(EOMONTH($AL$3,0))-1)/2)+AM$11,0)=EOMONTH($CH$3,0),AM$9*AM$10,0),0),IF(AND(AI$9&lt;&gt;"",AI$11&lt;&gt;""),IF(EOMONTH($AH$3+INT((DAY(EOMONTH($AH$3,0))-1)/2)+AI$11,0)=EOMONTH($CH$3,0),AI$9*AI$10,0),0),IF(AND(AE$9&lt;&gt;"",AE$11&lt;&gt;""),IF(EOMONTH($AD$3+INT((DAY(EOMONTH($AD$3,0))-1)/2)+AE$11,0)=EOMONTH($CH$3,0),AE$9*AE$10,0),0),IF(AND(AA$9&lt;&gt;"",AA$11&lt;&gt;""),IF(EOMONTH($Z$3+INT((DAY(EOMONTH($Z$3,0))-1)/2)+AA$11,0)=EOMONTH($CH$3,0),AA$9*AA$10,0),0),IF(AND(W$9&lt;&gt;"",W$11&lt;&gt;""),IF(EOMONTH($V$3+INT((DAY(EOMONTH($V$3,0))-1)/2)+W$11,0)=EOMONTH($CH$3,0),W$9*W$10,0),0),IF(AND(S$9&lt;&gt;"",S$11&lt;&gt;""),IF(EOMONTH($R$3+INT((DAY(EOMONTH($R$3,0))-1)/2)+S$11,0)=EOMONTH($CH$3,0),S$9*S$10,0),0),IF(AND(O$9&lt;&gt;"",O$11&lt;&gt;""),IF(EOMONTH($N$3+INT((DAY(EOMONTH($N$3,0))-1)/2)+O$11,0)=EOMONTH($CH$3,0),O$9*O$10,0),0),IF(AND(K$9&lt;&gt;"",K$11&lt;&gt;""),IF(EOMONTH($J$3+INT((DAY(EOMONTH($J$3,0))-1)/2)+K$11,0)=EOMONTH($CH$3,0),K$9*K$10,0),0),IF(AND(G$9&lt;&gt;"",G$11&lt;&gt;""),IF(EOMONTH($F$3+INT((DAY(EOMONTH($F$3,0))-1)/2)+G$11,0)=EOMONTH($CH$3,0),G$9*G$10,0),0),IF($EP$75="",0,IF(EOMONTH($EP$75+EQ$11,0)=EOMONTH($CH$3,0),$EP$76*EQ$10,0))),0))</f>
        <v>0</v>
      </c>
      <c r="CJ12" s="15">
        <f>ROUND(SUM(IF(AND(ER$9&lt;&gt;"",ER$11&lt;&gt;""),IF(EOMONTH($EP$3+INT((DAY(EOMONTH($EP$3,0))-1)/2)+ER$11,0)=EOMONTH($CH$3,0),ER$9*ER$10,0),0),IF(AND(EN$9&lt;&gt;"",EN$11&lt;&gt;""),IF(EOMONTH($EL$3+INT((DAY(EOMONTH($EL$3,0))-1)/2)+EN$11,0)=EOMONTH($CH$3,0),EN$9*EN$10,0),0),IF(AND(EJ$9&lt;&gt;"",EJ$11&lt;&gt;""),IF(EOMONTH($EH$3+INT((DAY(EOMONTH($EH$3,0))-1)/2)+EJ$11,0)=EOMONTH($CH$3,0),EJ$9*EJ$10,0),0),IF(AND(EF$9&lt;&gt;"",EF$11&lt;&gt;""),IF(EOMONTH($ED$3+INT((DAY(EOMONTH($ED$3,0))-1)/2)+EF$11,0)=EOMONTH($CH$3,0),EF$9*EF$10,0),0),IF(AND(EB$9&lt;&gt;"",EB$11&lt;&gt;""),IF(EOMONTH($DZ$3+INT((DAY(EOMONTH($DZ$3,0))-1)/2)+EB$11,0)=EOMONTH($CH$3,0),EB$9*EB$10,0),0),IF(AND(DX$9&lt;&gt;"",DX$11&lt;&gt;""),IF(EOMONTH($DV$3+INT((DAY(EOMONTH($DV$3,0))-1)/2)+DX$11,0)=EOMONTH($CH$3,0),DX$9*DX$10,0),0),IF(AND(DT$9&lt;&gt;"",DT$11&lt;&gt;""),IF(EOMONTH($DR$3+INT((DAY(EOMONTH($DR$3,0))-1)/2)+DT$11,0)=EOMONTH($CH$3,0),DT$9*DT$10,0),0),IF(AND(DP$9&lt;&gt;"",DP$11&lt;&gt;""),IF(EOMONTH($DN$3+INT((DAY(EOMONTH($DN$3,0))-1)/2)+DP$11,0)=EOMONTH($CH$3,0),DP$9*DP$10,0),0),IF(AND(DL$9&lt;&gt;"",DL$11&lt;&gt;""),IF(EOMONTH($DJ$3+INT((DAY(EOMONTH($DJ$3,0))-1)/2)+DL$11,0)=EOMONTH($CH$3,0),DL$9*DL$10,0),0),IF(AND(DH$9&lt;&gt;"",DH$11&lt;&gt;""),IF(EOMONTH($DF$3+INT((DAY(EOMONTH($DF$3,0))-1)/2)+DH$11,0)=EOMONTH($CH$3,0),DH$9*DH$10,0),0),IF(AND(DD$9&lt;&gt;"",DD$11&lt;&gt;""),IF(EOMONTH($DB$3+INT((DAY(EOMONTH($DB$3,0))-1)/2)+DD$11,0)=EOMONTH($CH$3,0),DD$9*DD$10,0),0),IF(AND(CZ$9&lt;&gt;"",CZ$11&lt;&gt;""),IF(EOMONTH($CX$3+INT((DAY(EOMONTH($CX$3,0))-1)/2)+CZ$11,0)=EOMONTH($CH$3,0),CZ$9*CZ$10,0),0),IF(AND(CV$9&lt;&gt;"",CV$11&lt;&gt;""),IF(EOMONTH($CT$3+INT((DAY(EOMONTH($CT$3,0))-1)/2)+CV$11,0)=EOMONTH($CH$3,0),CV$9*CV$10,0),0),IF(AND(CR$9&lt;&gt;"",CR$11&lt;&gt;""),IF(EOMONTH($CP$3+INT((DAY(EOMONTH($CP$3,0))-1)/2)+CR$11,0)=EOMONTH($CH$3,0),CR$9*CR$10,0),0),IF(AND(CN$9&lt;&gt;"",CN$11&lt;&gt;""),IF(EOMONTH($CL$3+INT((DAY(EOMONTH($CL$3,0))-1)/2)+CN$11,0)=EOMONTH($CH$3,0),CN$9*CN$10,0),0),IF(AND(CJ$9&lt;&gt;"",CJ$11&lt;&gt;""),IF(EOMONTH($CH$3+INT((DAY(EOMONTH($CH$3,0))-1)/2)+CJ$11,0)=EOMONTH($CH$3,0),CJ$9*CJ$10,0),0),IF(AND(CF$9&lt;&gt;"",CF$11&lt;&gt;""),IF(EOMONTH($CD$3+INT((DAY(EOMONTH($CD$3,0))-1)/2)+CF$11,0)=EOMONTH($CH$3,0),CF$9*CF$10,0),0),IF(AND(CB$9&lt;&gt;"",CB$11&lt;&gt;""),IF(EOMONTH($BZ$3+INT((DAY(EOMONTH($BZ$3,0))-1)/2)+CB$11,0)=EOMONTH($CH$3,0),CB$9*CB$10,0),0),IF(AND(BX$9&lt;&gt;"",BX$11&lt;&gt;""),IF(EOMONTH($BV$3+INT((DAY(EOMONTH($BV$3,0))-1)/2)+BX$11,0)=EOMONTH($CH$3,0),BX$9*BX$10,0),0),IF(AND(BT$9&lt;&gt;"",BT$11&lt;&gt;""),IF(EOMONTH($BR$3+INT((DAY(EOMONTH($BR$3,0))-1)/2)+BT$11,0)=EOMONTH($CH$3,0),BT$9*BT$10,0),0),IF(AND(BP$9&lt;&gt;"",BP$11&lt;&gt;""),IF(EOMONTH($BN$3+INT((DAY(EOMONTH($BN$3,0))-1)/2)+BP$11,0)=EOMONTH($CH$3,0),BP$9*BP$10,0),0),IF(AND(BL$9&lt;&gt;"",BL$11&lt;&gt;""),IF(EOMONTH($BJ$3+INT((DAY(EOMONTH($BJ$3,0))-1)/2)+BL$11,0)=EOMONTH($CH$3,0),BL$9*BL$10,0),0),IF(AND(BH$9&lt;&gt;"",BH$11&lt;&gt;""),IF(EOMONTH($BF$3+INT((DAY(EOMONTH($BF$3,0))-1)/2)+BH$11,0)=EOMONTH($CH$3,0),BH$9*BH$10,0),0),IF(AND(BD$9&lt;&gt;"",BD$11&lt;&gt;""),IF(EOMONTH($BB$3+INT((DAY(EOMONTH($BB$3,0))-1)/2)+BD$11,0)=EOMONTH($CH$3,0),BD$9*BD$10,0),0),IF(AND(AZ$9&lt;&gt;"",AZ$11&lt;&gt;""),IF(EOMONTH($AX$3+INT((DAY(EOMONTH($AX$3,0))-1)/2)+AZ$11,0)=EOMONTH($CH$3,0),AZ$9*AZ$10,0),0),IF(AND(AV$9&lt;&gt;"",AV$11&lt;&gt;""),IF(EOMONTH($AT$3+INT((DAY(EOMONTH($AT$3,0))-1)/2)+AV$11,0)=EOMONTH($CH$3,0),AV$9*AV$10,0),0),IF(AND(AR$9&lt;&gt;"",AR$11&lt;&gt;""),IF(EOMONTH($AP$3+INT((DAY(EOMONTH($AP$3,0))-1)/2)+AR$11,0)=EOMONTH($CH$3,0),AR$9*AR$10,0),0),IF(AND(AN$9&lt;&gt;"",AN$11&lt;&gt;""),IF(EOMONTH($AL$3+INT((DAY(EOMONTH($AL$3,0))-1)/2)+AN$11,0)=EOMONTH($CH$3,0),AN$9*AN$10,0),0),IF(AND(AJ$9&lt;&gt;"",AJ$11&lt;&gt;""),IF(EOMONTH($AH$3+INT((DAY(EOMONTH($AH$3,0))-1)/2)+AJ$11,0)=EOMONTH($CH$3,0),AJ$9*AJ$10,0),0),IF(AND(AF$9&lt;&gt;"",AF$11&lt;&gt;""),IF(EOMONTH($AD$3+INT((DAY(EOMONTH($AD$3,0))-1)/2)+AF$11,0)=EOMONTH($CH$3,0),AF$9*AF$10,0),0),IF(AND(AB$9&lt;&gt;"",AB$11&lt;&gt;""),IF(EOMONTH($Z$3+INT((DAY(EOMONTH($Z$3,0))-1)/2)+AB$11,0)=EOMONTH($CH$3,0),AB$9*AB$10,0),0),IF(AND(X$9&lt;&gt;"",X$11&lt;&gt;""),IF(EOMONTH($V$3+INT((DAY(EOMONTH($V$3,0))-1)/2)+X$11,0)=EOMONTH($CH$3,0),X$9*X$10,0),0),IF(AND(T$9&lt;&gt;"",T$11&lt;&gt;""),IF(EOMONTH($R$3+INT((DAY(EOMONTH($R$3,0))-1)/2)+T$11,0)=EOMONTH($CH$3,0),T$9*T$10,0),0),IF(AND(P$9&lt;&gt;"",P$11&lt;&gt;""),IF(EOMONTH($N$3+INT((DAY(EOMONTH($N$3,0))-1)/2)+P$11,0)=EOMONTH($CH$3,0),P$9*P$10,0),0),IF(AND(L$9&lt;&gt;"",L$11&lt;&gt;""),IF(EOMONTH($J$3+INT((DAY(EOMONTH($J$3,0))-1)/2)+L$11,0)=EOMONTH($CH$3,0),L$9*L$10,0),0),IF(AND(H$9&lt;&gt;"",H$11&lt;&gt;""),IF(EOMONTH($F$3+INT((DAY(EOMONTH($F$3,0))-1)/2)+H$11,0)=EOMONTH($CH$3,0),H$9*H$10,0),0),IF($EP$75="",0,IF(EOMONTH($EP$75+ER$11,0)=EOMONTH($CH$3,0),$EP$76*ER$10,0))),0)</f>
        <v>0</v>
      </c>
      <c r="CK12" s="16">
        <f t="shared" si="45"/>
        <v>0</v>
      </c>
      <c r="CL12" s="17"/>
      <c r="CM12" s="14">
        <f>IF(CL$98=1,CL12,ROUND(SUM(IF(AND(EQ$9&lt;&gt;"",EQ$11&lt;&gt;""),IF(EOMONTH($EP$3+INT((DAY(EOMONTH($EP$3,0))-1)/2)+EQ$11,0)=EOMONTH($CL$3,0),EQ$9*EQ$10,0),0),IF(AND(EM$9&lt;&gt;"",EM$11&lt;&gt;""),IF(EOMONTH($EL$3+INT((DAY(EOMONTH($EL$3,0))-1)/2)+EM$11,0)=EOMONTH($CL$3,0),EM$9*EM$10,0),0),IF(AND(EI$9&lt;&gt;"",EI$11&lt;&gt;""),IF(EOMONTH($EH$3+INT((DAY(EOMONTH($EH$3,0))-1)/2)+EI$11,0)=EOMONTH($CL$3,0),EI$9*EI$10,0),0),IF(AND(EE$9&lt;&gt;"",EE$11&lt;&gt;""),IF(EOMONTH($ED$3+INT((DAY(EOMONTH($ED$3,0))-1)/2)+EE$11,0)=EOMONTH($CL$3,0),EE$9*EE$10,0),0),IF(AND(EA$9&lt;&gt;"",EA$11&lt;&gt;""),IF(EOMONTH($DZ$3+INT((DAY(EOMONTH($DZ$3,0))-1)/2)+EA$11,0)=EOMONTH($CL$3,0),EA$9*EA$10,0),0),IF(AND(DW$9&lt;&gt;"",DW$11&lt;&gt;""),IF(EOMONTH($DV$3+INT((DAY(EOMONTH($DV$3,0))-1)/2)+DW$11,0)=EOMONTH($CL$3,0),DW$9*DW$10,0),0),IF(AND(DS$9&lt;&gt;"",DS$11&lt;&gt;""),IF(EOMONTH($DR$3+INT((DAY(EOMONTH($DR$3,0))-1)/2)+DS$11,0)=EOMONTH($CL$3,0),DS$9*DS$10,0),0),IF(AND(DO$9&lt;&gt;"",DO$11&lt;&gt;""),IF(EOMONTH($DN$3+INT((DAY(EOMONTH($DN$3,0))-1)/2)+DO$11,0)=EOMONTH($CL$3,0),DO$9*DO$10,0),0),IF(AND(DK$9&lt;&gt;"",DK$11&lt;&gt;""),IF(EOMONTH($DJ$3+INT((DAY(EOMONTH($DJ$3,0))-1)/2)+DK$11,0)=EOMONTH($CL$3,0),DK$9*DK$10,0),0),IF(AND(DG$9&lt;&gt;"",DG$11&lt;&gt;""),IF(EOMONTH($DF$3+INT((DAY(EOMONTH($DF$3,0))-1)/2)+DG$11,0)=EOMONTH($CL$3,0),DG$9*DG$10,0),0),IF(AND(DC$9&lt;&gt;"",DC$11&lt;&gt;""),IF(EOMONTH($DB$3+INT((DAY(EOMONTH($DB$3,0))-1)/2)+DC$11,0)=EOMONTH($CL$3,0),DC$9*DC$10,0),0),IF(AND(CY$9&lt;&gt;"",CY$11&lt;&gt;""),IF(EOMONTH($CX$3+INT((DAY(EOMONTH($CX$3,0))-1)/2)+CY$11,0)=EOMONTH($CL$3,0),CY$9*CY$10,0),0),IF(AND(CU$9&lt;&gt;"",CU$11&lt;&gt;""),IF(EOMONTH($CT$3+INT((DAY(EOMONTH($CT$3,0))-1)/2)+CU$11,0)=EOMONTH($CL$3,0),CU$9*CU$10,0),0),IF(AND(CQ$9&lt;&gt;"",CQ$11&lt;&gt;""),IF(EOMONTH($CP$3+INT((DAY(EOMONTH($CP$3,0))-1)/2)+CQ$11,0)=EOMONTH($CL$3,0),CQ$9*CQ$10,0),0),IF(AND(CM$9&lt;&gt;"",CM$11&lt;&gt;""),IF(EOMONTH($CL$3+INT((DAY(EOMONTH($CL$3,0))-1)/2)+CM$11,0)=EOMONTH($CL$3,0),CM$9*CM$10,0),0),IF(AND(CI$9&lt;&gt;"",CI$11&lt;&gt;""),IF(EOMONTH($CH$3+INT((DAY(EOMONTH($CH$3,0))-1)/2)+CI$11,0)=EOMONTH($CL$3,0),CI$9*CI$10,0),0),IF(AND(CE$9&lt;&gt;"",CE$11&lt;&gt;""),IF(EOMONTH($CD$3+INT((DAY(EOMONTH($CD$3,0))-1)/2)+CE$11,0)=EOMONTH($CL$3,0),CE$9*CE$10,0),0),IF(AND(CA$9&lt;&gt;"",CA$11&lt;&gt;""),IF(EOMONTH($BZ$3+INT((DAY(EOMONTH($BZ$3,0))-1)/2)+CA$11,0)=EOMONTH($CL$3,0),CA$9*CA$10,0),0),IF(AND(BW$9&lt;&gt;"",BW$11&lt;&gt;""),IF(EOMONTH($BV$3+INT((DAY(EOMONTH($BV$3,0))-1)/2)+BW$11,0)=EOMONTH($CL$3,0),BW$9*BW$10,0),0),IF(AND(BS$9&lt;&gt;"",BS$11&lt;&gt;""),IF(EOMONTH($BR$3+INT((DAY(EOMONTH($BR$3,0))-1)/2)+BS$11,0)=EOMONTH($CL$3,0),BS$9*BS$10,0),0),IF(AND(BO$9&lt;&gt;"",BO$11&lt;&gt;""),IF(EOMONTH($BN$3+INT((DAY(EOMONTH($BN$3,0))-1)/2)+BO$11,0)=EOMONTH($CL$3,0),BO$9*BO$10,0),0),IF(AND(BK$9&lt;&gt;"",BK$11&lt;&gt;""),IF(EOMONTH($BJ$3+INT((DAY(EOMONTH($BJ$3,0))-1)/2)+BK$11,0)=EOMONTH($CL$3,0),BK$9*BK$10,0),0),IF(AND(BG$9&lt;&gt;"",BG$11&lt;&gt;""),IF(EOMONTH($BF$3+INT((DAY(EOMONTH($BF$3,0))-1)/2)+BG$11,0)=EOMONTH($CL$3,0),BG$9*BG$10,0),0),IF(AND(BC$9&lt;&gt;"",BC$11&lt;&gt;""),IF(EOMONTH($BB$3+INT((DAY(EOMONTH($BB$3,0))-1)/2)+BC$11,0)=EOMONTH($CL$3,0),BC$9*BC$10,0),0),IF(AND(AY$9&lt;&gt;"",AY$11&lt;&gt;""),IF(EOMONTH($AX$3+INT((DAY(EOMONTH($AX$3,0))-1)/2)+AY$11,0)=EOMONTH($CL$3,0),AY$9*AY$10,0),0),IF(AND(AU$9&lt;&gt;"",AU$11&lt;&gt;""),IF(EOMONTH($AT$3+INT((DAY(EOMONTH($AT$3,0))-1)/2)+AU$11,0)=EOMONTH($CL$3,0),AU$9*AU$10,0),0),IF(AND(AQ$9&lt;&gt;"",AQ$11&lt;&gt;""),IF(EOMONTH($AP$3+INT((DAY(EOMONTH($AP$3,0))-1)/2)+AQ$11,0)=EOMONTH($CL$3,0),AQ$9*AQ$10,0),0),IF(AND(AM$9&lt;&gt;"",AM$11&lt;&gt;""),IF(EOMONTH($AL$3+INT((DAY(EOMONTH($AL$3,0))-1)/2)+AM$11,0)=EOMONTH($CL$3,0),AM$9*AM$10,0),0),IF(AND(AI$9&lt;&gt;"",AI$11&lt;&gt;""),IF(EOMONTH($AH$3+INT((DAY(EOMONTH($AH$3,0))-1)/2)+AI$11,0)=EOMONTH($CL$3,0),AI$9*AI$10,0),0),IF(AND(AE$9&lt;&gt;"",AE$11&lt;&gt;""),IF(EOMONTH($AD$3+INT((DAY(EOMONTH($AD$3,0))-1)/2)+AE$11,0)=EOMONTH($CL$3,0),AE$9*AE$10,0),0),IF(AND(AA$9&lt;&gt;"",AA$11&lt;&gt;""),IF(EOMONTH($Z$3+INT((DAY(EOMONTH($Z$3,0))-1)/2)+AA$11,0)=EOMONTH($CL$3,0),AA$9*AA$10,0),0),IF(AND(W$9&lt;&gt;"",W$11&lt;&gt;""),IF(EOMONTH($V$3+INT((DAY(EOMONTH($V$3,0))-1)/2)+W$11,0)=EOMONTH($CL$3,0),W$9*W$10,0),0),IF(AND(S$9&lt;&gt;"",S$11&lt;&gt;""),IF(EOMONTH($R$3+INT((DAY(EOMONTH($R$3,0))-1)/2)+S$11,0)=EOMONTH($CL$3,0),S$9*S$10,0),0),IF(AND(O$9&lt;&gt;"",O$11&lt;&gt;""),IF(EOMONTH($N$3+INT((DAY(EOMONTH($N$3,0))-1)/2)+O$11,0)=EOMONTH($CL$3,0),O$9*O$10,0),0),IF(AND(K$9&lt;&gt;"",K$11&lt;&gt;""),IF(EOMONTH($J$3+INT((DAY(EOMONTH($J$3,0))-1)/2)+K$11,0)=EOMONTH($CL$3,0),K$9*K$10,0),0),IF(AND(G$9&lt;&gt;"",G$11&lt;&gt;""),IF(EOMONTH($F$3+INT((DAY(EOMONTH($F$3,0))-1)/2)+G$11,0)=EOMONTH($CL$3,0),G$9*G$10,0),0),IF($EP$75="",0,IF(EOMONTH($EP$75+EQ$11,0)=EOMONTH($CL$3,0),$EP$76*EQ$10,0))),0))</f>
        <v>0</v>
      </c>
      <c r="CN12" s="15">
        <f>ROUND(SUM(IF(AND(ER$9&lt;&gt;"",ER$11&lt;&gt;""),IF(EOMONTH($EP$3+INT((DAY(EOMONTH($EP$3,0))-1)/2)+ER$11,0)=EOMONTH($CL$3,0),ER$9*ER$10,0),0),IF(AND(EN$9&lt;&gt;"",EN$11&lt;&gt;""),IF(EOMONTH($EL$3+INT((DAY(EOMONTH($EL$3,0))-1)/2)+EN$11,0)=EOMONTH($CL$3,0),EN$9*EN$10,0),0),IF(AND(EJ$9&lt;&gt;"",EJ$11&lt;&gt;""),IF(EOMONTH($EH$3+INT((DAY(EOMONTH($EH$3,0))-1)/2)+EJ$11,0)=EOMONTH($CL$3,0),EJ$9*EJ$10,0),0),IF(AND(EF$9&lt;&gt;"",EF$11&lt;&gt;""),IF(EOMONTH($ED$3+INT((DAY(EOMONTH($ED$3,0))-1)/2)+EF$11,0)=EOMONTH($CL$3,0),EF$9*EF$10,0),0),IF(AND(EB$9&lt;&gt;"",EB$11&lt;&gt;""),IF(EOMONTH($DZ$3+INT((DAY(EOMONTH($DZ$3,0))-1)/2)+EB$11,0)=EOMONTH($CL$3,0),EB$9*EB$10,0),0),IF(AND(DX$9&lt;&gt;"",DX$11&lt;&gt;""),IF(EOMONTH($DV$3+INT((DAY(EOMONTH($DV$3,0))-1)/2)+DX$11,0)=EOMONTH($CL$3,0),DX$9*DX$10,0),0),IF(AND(DT$9&lt;&gt;"",DT$11&lt;&gt;""),IF(EOMONTH($DR$3+INT((DAY(EOMONTH($DR$3,0))-1)/2)+DT$11,0)=EOMONTH($CL$3,0),DT$9*DT$10,0),0),IF(AND(DP$9&lt;&gt;"",DP$11&lt;&gt;""),IF(EOMONTH($DN$3+INT((DAY(EOMONTH($DN$3,0))-1)/2)+DP$11,0)=EOMONTH($CL$3,0),DP$9*DP$10,0),0),IF(AND(DL$9&lt;&gt;"",DL$11&lt;&gt;""),IF(EOMONTH($DJ$3+INT((DAY(EOMONTH($DJ$3,0))-1)/2)+DL$11,0)=EOMONTH($CL$3,0),DL$9*DL$10,0),0),IF(AND(DH$9&lt;&gt;"",DH$11&lt;&gt;""),IF(EOMONTH($DF$3+INT((DAY(EOMONTH($DF$3,0))-1)/2)+DH$11,0)=EOMONTH($CL$3,0),DH$9*DH$10,0),0),IF(AND(DD$9&lt;&gt;"",DD$11&lt;&gt;""),IF(EOMONTH($DB$3+INT((DAY(EOMONTH($DB$3,0))-1)/2)+DD$11,0)=EOMONTH($CL$3,0),DD$9*DD$10,0),0),IF(AND(CZ$9&lt;&gt;"",CZ$11&lt;&gt;""),IF(EOMONTH($CX$3+INT((DAY(EOMONTH($CX$3,0))-1)/2)+CZ$11,0)=EOMONTH($CL$3,0),CZ$9*CZ$10,0),0),IF(AND(CV$9&lt;&gt;"",CV$11&lt;&gt;""),IF(EOMONTH($CT$3+INT((DAY(EOMONTH($CT$3,0))-1)/2)+CV$11,0)=EOMONTH($CL$3,0),CV$9*CV$10,0),0),IF(AND(CR$9&lt;&gt;"",CR$11&lt;&gt;""),IF(EOMONTH($CP$3+INT((DAY(EOMONTH($CP$3,0))-1)/2)+CR$11,0)=EOMONTH($CL$3,0),CR$9*CR$10,0),0),IF(AND(CN$9&lt;&gt;"",CN$11&lt;&gt;""),IF(EOMONTH($CL$3+INT((DAY(EOMONTH($CL$3,0))-1)/2)+CN$11,0)=EOMONTH($CL$3,0),CN$9*CN$10,0),0),IF(AND(CJ$9&lt;&gt;"",CJ$11&lt;&gt;""),IF(EOMONTH($CH$3+INT((DAY(EOMONTH($CH$3,0))-1)/2)+CJ$11,0)=EOMONTH($CL$3,0),CJ$9*CJ$10,0),0),IF(AND(CF$9&lt;&gt;"",CF$11&lt;&gt;""),IF(EOMONTH($CD$3+INT((DAY(EOMONTH($CD$3,0))-1)/2)+CF$11,0)=EOMONTH($CL$3,0),CF$9*CF$10,0),0),IF(AND(CB$9&lt;&gt;"",CB$11&lt;&gt;""),IF(EOMONTH($BZ$3+INT((DAY(EOMONTH($BZ$3,0))-1)/2)+CB$11,0)=EOMONTH($CL$3,0),CB$9*CB$10,0),0),IF(AND(BX$9&lt;&gt;"",BX$11&lt;&gt;""),IF(EOMONTH($BV$3+INT((DAY(EOMONTH($BV$3,0))-1)/2)+BX$11,0)=EOMONTH($CL$3,0),BX$9*BX$10,0),0),IF(AND(BT$9&lt;&gt;"",BT$11&lt;&gt;""),IF(EOMONTH($BR$3+INT((DAY(EOMONTH($BR$3,0))-1)/2)+BT$11,0)=EOMONTH($CL$3,0),BT$9*BT$10,0),0),IF(AND(BP$9&lt;&gt;"",BP$11&lt;&gt;""),IF(EOMONTH($BN$3+INT((DAY(EOMONTH($BN$3,0))-1)/2)+BP$11,0)=EOMONTH($CL$3,0),BP$9*BP$10,0),0),IF(AND(BL$9&lt;&gt;"",BL$11&lt;&gt;""),IF(EOMONTH($BJ$3+INT((DAY(EOMONTH($BJ$3,0))-1)/2)+BL$11,0)=EOMONTH($CL$3,0),BL$9*BL$10,0),0),IF(AND(BH$9&lt;&gt;"",BH$11&lt;&gt;""),IF(EOMONTH($BF$3+INT((DAY(EOMONTH($BF$3,0))-1)/2)+BH$11,0)=EOMONTH($CL$3,0),BH$9*BH$10,0),0),IF(AND(BD$9&lt;&gt;"",BD$11&lt;&gt;""),IF(EOMONTH($BB$3+INT((DAY(EOMONTH($BB$3,0))-1)/2)+BD$11,0)=EOMONTH($CL$3,0),BD$9*BD$10,0),0),IF(AND(AZ$9&lt;&gt;"",AZ$11&lt;&gt;""),IF(EOMONTH($AX$3+INT((DAY(EOMONTH($AX$3,0))-1)/2)+AZ$11,0)=EOMONTH($CL$3,0),AZ$9*AZ$10,0),0),IF(AND(AV$9&lt;&gt;"",AV$11&lt;&gt;""),IF(EOMONTH($AT$3+INT((DAY(EOMONTH($AT$3,0))-1)/2)+AV$11,0)=EOMONTH($CL$3,0),AV$9*AV$10,0),0),IF(AND(AR$9&lt;&gt;"",AR$11&lt;&gt;""),IF(EOMONTH($AP$3+INT((DAY(EOMONTH($AP$3,0))-1)/2)+AR$11,0)=EOMONTH($CL$3,0),AR$9*AR$10,0),0),IF(AND(AN$9&lt;&gt;"",AN$11&lt;&gt;""),IF(EOMONTH($AL$3+INT((DAY(EOMONTH($AL$3,0))-1)/2)+AN$11,0)=EOMONTH($CL$3,0),AN$9*AN$10,0),0),IF(AND(AJ$9&lt;&gt;"",AJ$11&lt;&gt;""),IF(EOMONTH($AH$3+INT((DAY(EOMONTH($AH$3,0))-1)/2)+AJ$11,0)=EOMONTH($CL$3,0),AJ$9*AJ$10,0),0),IF(AND(AF$9&lt;&gt;"",AF$11&lt;&gt;""),IF(EOMONTH($AD$3+INT((DAY(EOMONTH($AD$3,0))-1)/2)+AF$11,0)=EOMONTH($CL$3,0),AF$9*AF$10,0),0),IF(AND(AB$9&lt;&gt;"",AB$11&lt;&gt;""),IF(EOMONTH($Z$3+INT((DAY(EOMONTH($Z$3,0))-1)/2)+AB$11,0)=EOMONTH($CL$3,0),AB$9*AB$10,0),0),IF(AND(X$9&lt;&gt;"",X$11&lt;&gt;""),IF(EOMONTH($V$3+INT((DAY(EOMONTH($V$3,0))-1)/2)+X$11,0)=EOMONTH($CL$3,0),X$9*X$10,0),0),IF(AND(T$9&lt;&gt;"",T$11&lt;&gt;""),IF(EOMONTH($R$3+INT((DAY(EOMONTH($R$3,0))-1)/2)+T$11,0)=EOMONTH($CL$3,0),T$9*T$10,0),0),IF(AND(P$9&lt;&gt;"",P$11&lt;&gt;""),IF(EOMONTH($N$3+INT((DAY(EOMONTH($N$3,0))-1)/2)+P$11,0)=EOMONTH($CL$3,0),P$9*P$10,0),0),IF(AND(L$9&lt;&gt;"",L$11&lt;&gt;""),IF(EOMONTH($J$3+INT((DAY(EOMONTH($J$3,0))-1)/2)+L$11,0)=EOMONTH($CL$3,0),L$9*L$10,0),0),IF(AND(H$9&lt;&gt;"",H$11&lt;&gt;""),IF(EOMONTH($F$3+INT((DAY(EOMONTH($F$3,0))-1)/2)+H$11,0)=EOMONTH($CL$3,0),H$9*H$10,0),0),IF($EP$75="",0,IF(EOMONTH($EP$75+ER$11,0)=EOMONTH($CL$3,0),$EP$76*ER$10,0))),0)</f>
        <v>0</v>
      </c>
      <c r="CO12" s="16">
        <f t="shared" si="47"/>
        <v>0</v>
      </c>
      <c r="CP12" s="17"/>
      <c r="CQ12" s="14">
        <f>IF(CP$98=1,CP12,ROUND(SUM(IF(AND(EQ$9&lt;&gt;"",EQ$11&lt;&gt;""),IF(EOMONTH($EP$3+INT((DAY(EOMONTH($EP$3,0))-1)/2)+EQ$11,0)=EOMONTH($CP$3,0),EQ$9*EQ$10,0),0),IF(AND(EM$9&lt;&gt;"",EM$11&lt;&gt;""),IF(EOMONTH($EL$3+INT((DAY(EOMONTH($EL$3,0))-1)/2)+EM$11,0)=EOMONTH($CP$3,0),EM$9*EM$10,0),0),IF(AND(EI$9&lt;&gt;"",EI$11&lt;&gt;""),IF(EOMONTH($EH$3+INT((DAY(EOMONTH($EH$3,0))-1)/2)+EI$11,0)=EOMONTH($CP$3,0),EI$9*EI$10,0),0),IF(AND(EE$9&lt;&gt;"",EE$11&lt;&gt;""),IF(EOMONTH($ED$3+INT((DAY(EOMONTH($ED$3,0))-1)/2)+EE$11,0)=EOMONTH($CP$3,0),EE$9*EE$10,0),0),IF(AND(EA$9&lt;&gt;"",EA$11&lt;&gt;""),IF(EOMONTH($DZ$3+INT((DAY(EOMONTH($DZ$3,0))-1)/2)+EA$11,0)=EOMONTH($CP$3,0),EA$9*EA$10,0),0),IF(AND(DW$9&lt;&gt;"",DW$11&lt;&gt;""),IF(EOMONTH($DV$3+INT((DAY(EOMONTH($DV$3,0))-1)/2)+DW$11,0)=EOMONTH($CP$3,0),DW$9*DW$10,0),0),IF(AND(DS$9&lt;&gt;"",DS$11&lt;&gt;""),IF(EOMONTH($DR$3+INT((DAY(EOMONTH($DR$3,0))-1)/2)+DS$11,0)=EOMONTH($CP$3,0),DS$9*DS$10,0),0),IF(AND(DO$9&lt;&gt;"",DO$11&lt;&gt;""),IF(EOMONTH($DN$3+INT((DAY(EOMONTH($DN$3,0))-1)/2)+DO$11,0)=EOMONTH($CP$3,0),DO$9*DO$10,0),0),IF(AND(DK$9&lt;&gt;"",DK$11&lt;&gt;""),IF(EOMONTH($DJ$3+INT((DAY(EOMONTH($DJ$3,0))-1)/2)+DK$11,0)=EOMONTH($CP$3,0),DK$9*DK$10,0),0),IF(AND(DG$9&lt;&gt;"",DG$11&lt;&gt;""),IF(EOMONTH($DF$3+INT((DAY(EOMONTH($DF$3,0))-1)/2)+DG$11,0)=EOMONTH($CP$3,0),DG$9*DG$10,0),0),IF(AND(DC$9&lt;&gt;"",DC$11&lt;&gt;""),IF(EOMONTH($DB$3+INT((DAY(EOMONTH($DB$3,0))-1)/2)+DC$11,0)=EOMONTH($CP$3,0),DC$9*DC$10,0),0),IF(AND(CY$9&lt;&gt;"",CY$11&lt;&gt;""),IF(EOMONTH($CX$3+INT((DAY(EOMONTH($CX$3,0))-1)/2)+CY$11,0)=EOMONTH($CP$3,0),CY$9*CY$10,0),0),IF(AND(CU$9&lt;&gt;"",CU$11&lt;&gt;""),IF(EOMONTH($CT$3+INT((DAY(EOMONTH($CT$3,0))-1)/2)+CU$11,0)=EOMONTH($CP$3,0),CU$9*CU$10,0),0),IF(AND(CQ$9&lt;&gt;"",CQ$11&lt;&gt;""),IF(EOMONTH($CP$3+INT((DAY(EOMONTH($CP$3,0))-1)/2)+CQ$11,0)=EOMONTH($CP$3,0),CQ$9*CQ$10,0),0),IF(AND(CM$9&lt;&gt;"",CM$11&lt;&gt;""),IF(EOMONTH($CL$3+INT((DAY(EOMONTH($CL$3,0))-1)/2)+CM$11,0)=EOMONTH($CP$3,0),CM$9*CM$10,0),0),IF(AND(CI$9&lt;&gt;"",CI$11&lt;&gt;""),IF(EOMONTH($CH$3+INT((DAY(EOMONTH($CH$3,0))-1)/2)+CI$11,0)=EOMONTH($CP$3,0),CI$9*CI$10,0),0),IF(AND(CE$9&lt;&gt;"",CE$11&lt;&gt;""),IF(EOMONTH($CD$3+INT((DAY(EOMONTH($CD$3,0))-1)/2)+CE$11,0)=EOMONTH($CP$3,0),CE$9*CE$10,0),0),IF(AND(CA$9&lt;&gt;"",CA$11&lt;&gt;""),IF(EOMONTH($BZ$3+INT((DAY(EOMONTH($BZ$3,0))-1)/2)+CA$11,0)=EOMONTH($CP$3,0),CA$9*CA$10,0),0),IF(AND(BW$9&lt;&gt;"",BW$11&lt;&gt;""),IF(EOMONTH($BV$3+INT((DAY(EOMONTH($BV$3,0))-1)/2)+BW$11,0)=EOMONTH($CP$3,0),BW$9*BW$10,0),0),IF(AND(BS$9&lt;&gt;"",BS$11&lt;&gt;""),IF(EOMONTH($BR$3+INT((DAY(EOMONTH($BR$3,0))-1)/2)+BS$11,0)=EOMONTH($CP$3,0),BS$9*BS$10,0),0),IF(AND(BO$9&lt;&gt;"",BO$11&lt;&gt;""),IF(EOMONTH($BN$3+INT((DAY(EOMONTH($BN$3,0))-1)/2)+BO$11,0)=EOMONTH($CP$3,0),BO$9*BO$10,0),0),IF(AND(BK$9&lt;&gt;"",BK$11&lt;&gt;""),IF(EOMONTH($BJ$3+INT((DAY(EOMONTH($BJ$3,0))-1)/2)+BK$11,0)=EOMONTH($CP$3,0),BK$9*BK$10,0),0),IF(AND(BG$9&lt;&gt;"",BG$11&lt;&gt;""),IF(EOMONTH($BF$3+INT((DAY(EOMONTH($BF$3,0))-1)/2)+BG$11,0)=EOMONTH($CP$3,0),BG$9*BG$10,0),0),IF(AND(BC$9&lt;&gt;"",BC$11&lt;&gt;""),IF(EOMONTH($BB$3+INT((DAY(EOMONTH($BB$3,0))-1)/2)+BC$11,0)=EOMONTH($CP$3,0),BC$9*BC$10,0),0),IF(AND(AY$9&lt;&gt;"",AY$11&lt;&gt;""),IF(EOMONTH($AX$3+INT((DAY(EOMONTH($AX$3,0))-1)/2)+AY$11,0)=EOMONTH($CP$3,0),AY$9*AY$10,0),0),IF(AND(AU$9&lt;&gt;"",AU$11&lt;&gt;""),IF(EOMONTH($AT$3+INT((DAY(EOMONTH($AT$3,0))-1)/2)+AU$11,0)=EOMONTH($CP$3,0),AU$9*AU$10,0),0),IF(AND(AQ$9&lt;&gt;"",AQ$11&lt;&gt;""),IF(EOMONTH($AP$3+INT((DAY(EOMONTH($AP$3,0))-1)/2)+AQ$11,0)=EOMONTH($CP$3,0),AQ$9*AQ$10,0),0),IF(AND(AM$9&lt;&gt;"",AM$11&lt;&gt;""),IF(EOMONTH($AL$3+INT((DAY(EOMONTH($AL$3,0))-1)/2)+AM$11,0)=EOMONTH($CP$3,0),AM$9*AM$10,0),0),IF(AND(AI$9&lt;&gt;"",AI$11&lt;&gt;""),IF(EOMONTH($AH$3+INT((DAY(EOMONTH($AH$3,0))-1)/2)+AI$11,0)=EOMONTH($CP$3,0),AI$9*AI$10,0),0),IF(AND(AE$9&lt;&gt;"",AE$11&lt;&gt;""),IF(EOMONTH($AD$3+INT((DAY(EOMONTH($AD$3,0))-1)/2)+AE$11,0)=EOMONTH($CP$3,0),AE$9*AE$10,0),0),IF(AND(AA$9&lt;&gt;"",AA$11&lt;&gt;""),IF(EOMONTH($Z$3+INT((DAY(EOMONTH($Z$3,0))-1)/2)+AA$11,0)=EOMONTH($CP$3,0),AA$9*AA$10,0),0),IF(AND(W$9&lt;&gt;"",W$11&lt;&gt;""),IF(EOMONTH($V$3+INT((DAY(EOMONTH($V$3,0))-1)/2)+W$11,0)=EOMONTH($CP$3,0),W$9*W$10,0),0),IF(AND(S$9&lt;&gt;"",S$11&lt;&gt;""),IF(EOMONTH($R$3+INT((DAY(EOMONTH($R$3,0))-1)/2)+S$11,0)=EOMONTH($CP$3,0),S$9*S$10,0),0),IF(AND(O$9&lt;&gt;"",O$11&lt;&gt;""),IF(EOMONTH($N$3+INT((DAY(EOMONTH($N$3,0))-1)/2)+O$11,0)=EOMONTH($CP$3,0),O$9*O$10,0),0),IF(AND(K$9&lt;&gt;"",K$11&lt;&gt;""),IF(EOMONTH($J$3+INT((DAY(EOMONTH($J$3,0))-1)/2)+K$11,0)=EOMONTH($CP$3,0),K$9*K$10,0),0),IF(AND(G$9&lt;&gt;"",G$11&lt;&gt;""),IF(EOMONTH($F$3+INT((DAY(EOMONTH($F$3,0))-1)/2)+G$11,0)=EOMONTH($CP$3,0),G$9*G$10,0),0),IF($EP$75="",0,IF(EOMONTH($EP$75+EQ$11,0)=EOMONTH($CP$3,0),$EP$76*EQ$10,0))),0))</f>
        <v>0</v>
      </c>
      <c r="CR12" s="15">
        <f>ROUND(SUM(IF(AND(ER$9&lt;&gt;"",ER$11&lt;&gt;""),IF(EOMONTH($EP$3+INT((DAY(EOMONTH($EP$3,0))-1)/2)+ER$11,0)=EOMONTH($CP$3,0),ER$9*ER$10,0),0),IF(AND(EN$9&lt;&gt;"",EN$11&lt;&gt;""),IF(EOMONTH($EL$3+INT((DAY(EOMONTH($EL$3,0))-1)/2)+EN$11,0)=EOMONTH($CP$3,0),EN$9*EN$10,0),0),IF(AND(EJ$9&lt;&gt;"",EJ$11&lt;&gt;""),IF(EOMONTH($EH$3+INT((DAY(EOMONTH($EH$3,0))-1)/2)+EJ$11,0)=EOMONTH($CP$3,0),EJ$9*EJ$10,0),0),IF(AND(EF$9&lt;&gt;"",EF$11&lt;&gt;""),IF(EOMONTH($ED$3+INT((DAY(EOMONTH($ED$3,0))-1)/2)+EF$11,0)=EOMONTH($CP$3,0),EF$9*EF$10,0),0),IF(AND(EB$9&lt;&gt;"",EB$11&lt;&gt;""),IF(EOMONTH($DZ$3+INT((DAY(EOMONTH($DZ$3,0))-1)/2)+EB$11,0)=EOMONTH($CP$3,0),EB$9*EB$10,0),0),IF(AND(DX$9&lt;&gt;"",DX$11&lt;&gt;""),IF(EOMONTH($DV$3+INT((DAY(EOMONTH($DV$3,0))-1)/2)+DX$11,0)=EOMONTH($CP$3,0),DX$9*DX$10,0),0),IF(AND(DT$9&lt;&gt;"",DT$11&lt;&gt;""),IF(EOMONTH($DR$3+INT((DAY(EOMONTH($DR$3,0))-1)/2)+DT$11,0)=EOMONTH($CP$3,0),DT$9*DT$10,0),0),IF(AND(DP$9&lt;&gt;"",DP$11&lt;&gt;""),IF(EOMONTH($DN$3+INT((DAY(EOMONTH($DN$3,0))-1)/2)+DP$11,0)=EOMONTH($CP$3,0),DP$9*DP$10,0),0),IF(AND(DL$9&lt;&gt;"",DL$11&lt;&gt;""),IF(EOMONTH($DJ$3+INT((DAY(EOMONTH($DJ$3,0))-1)/2)+DL$11,0)=EOMONTH($CP$3,0),DL$9*DL$10,0),0),IF(AND(DH$9&lt;&gt;"",DH$11&lt;&gt;""),IF(EOMONTH($DF$3+INT((DAY(EOMONTH($DF$3,0))-1)/2)+DH$11,0)=EOMONTH($CP$3,0),DH$9*DH$10,0),0),IF(AND(DD$9&lt;&gt;"",DD$11&lt;&gt;""),IF(EOMONTH($DB$3+INT((DAY(EOMONTH($DB$3,0))-1)/2)+DD$11,0)=EOMONTH($CP$3,0),DD$9*DD$10,0),0),IF(AND(CZ$9&lt;&gt;"",CZ$11&lt;&gt;""),IF(EOMONTH($CX$3+INT((DAY(EOMONTH($CX$3,0))-1)/2)+CZ$11,0)=EOMONTH($CP$3,0),CZ$9*CZ$10,0),0),IF(AND(CV$9&lt;&gt;"",CV$11&lt;&gt;""),IF(EOMONTH($CT$3+INT((DAY(EOMONTH($CT$3,0))-1)/2)+CV$11,0)=EOMONTH($CP$3,0),CV$9*CV$10,0),0),IF(AND(CR$9&lt;&gt;"",CR$11&lt;&gt;""),IF(EOMONTH($CP$3+INT((DAY(EOMONTH($CP$3,0))-1)/2)+CR$11,0)=EOMONTH($CP$3,0),CR$9*CR$10,0),0),IF(AND(CN$9&lt;&gt;"",CN$11&lt;&gt;""),IF(EOMONTH($CL$3+INT((DAY(EOMONTH($CL$3,0))-1)/2)+CN$11,0)=EOMONTH($CP$3,0),CN$9*CN$10,0),0),IF(AND(CJ$9&lt;&gt;"",CJ$11&lt;&gt;""),IF(EOMONTH($CH$3+INT((DAY(EOMONTH($CH$3,0))-1)/2)+CJ$11,0)=EOMONTH($CP$3,0),CJ$9*CJ$10,0),0),IF(AND(CF$9&lt;&gt;"",CF$11&lt;&gt;""),IF(EOMONTH($CD$3+INT((DAY(EOMONTH($CD$3,0))-1)/2)+CF$11,0)=EOMONTH($CP$3,0),CF$9*CF$10,0),0),IF(AND(CB$9&lt;&gt;"",CB$11&lt;&gt;""),IF(EOMONTH($BZ$3+INT((DAY(EOMONTH($BZ$3,0))-1)/2)+CB$11,0)=EOMONTH($CP$3,0),CB$9*CB$10,0),0),IF(AND(BX$9&lt;&gt;"",BX$11&lt;&gt;""),IF(EOMONTH($BV$3+INT((DAY(EOMONTH($BV$3,0))-1)/2)+BX$11,0)=EOMONTH($CP$3,0),BX$9*BX$10,0),0),IF(AND(BT$9&lt;&gt;"",BT$11&lt;&gt;""),IF(EOMONTH($BR$3+INT((DAY(EOMONTH($BR$3,0))-1)/2)+BT$11,0)=EOMONTH($CP$3,0),BT$9*BT$10,0),0),IF(AND(BP$9&lt;&gt;"",BP$11&lt;&gt;""),IF(EOMONTH($BN$3+INT((DAY(EOMONTH($BN$3,0))-1)/2)+BP$11,0)=EOMONTH($CP$3,0),BP$9*BP$10,0),0),IF(AND(BL$9&lt;&gt;"",BL$11&lt;&gt;""),IF(EOMONTH($BJ$3+INT((DAY(EOMONTH($BJ$3,0))-1)/2)+BL$11,0)=EOMONTH($CP$3,0),BL$9*BL$10,0),0),IF(AND(BH$9&lt;&gt;"",BH$11&lt;&gt;""),IF(EOMONTH($BF$3+INT((DAY(EOMONTH($BF$3,0))-1)/2)+BH$11,0)=EOMONTH($CP$3,0),BH$9*BH$10,0),0),IF(AND(BD$9&lt;&gt;"",BD$11&lt;&gt;""),IF(EOMONTH($BB$3+INT((DAY(EOMONTH($BB$3,0))-1)/2)+BD$11,0)=EOMONTH($CP$3,0),BD$9*BD$10,0),0),IF(AND(AZ$9&lt;&gt;"",AZ$11&lt;&gt;""),IF(EOMONTH($AX$3+INT((DAY(EOMONTH($AX$3,0))-1)/2)+AZ$11,0)=EOMONTH($CP$3,0),AZ$9*AZ$10,0),0),IF(AND(AV$9&lt;&gt;"",AV$11&lt;&gt;""),IF(EOMONTH($AT$3+INT((DAY(EOMONTH($AT$3,0))-1)/2)+AV$11,0)=EOMONTH($CP$3,0),AV$9*AV$10,0),0),IF(AND(AR$9&lt;&gt;"",AR$11&lt;&gt;""),IF(EOMONTH($AP$3+INT((DAY(EOMONTH($AP$3,0))-1)/2)+AR$11,0)=EOMONTH($CP$3,0),AR$9*AR$10,0),0),IF(AND(AN$9&lt;&gt;"",AN$11&lt;&gt;""),IF(EOMONTH($AL$3+INT((DAY(EOMONTH($AL$3,0))-1)/2)+AN$11,0)=EOMONTH($CP$3,0),AN$9*AN$10,0),0),IF(AND(AJ$9&lt;&gt;"",AJ$11&lt;&gt;""),IF(EOMONTH($AH$3+INT((DAY(EOMONTH($AH$3,0))-1)/2)+AJ$11,0)=EOMONTH($CP$3,0),AJ$9*AJ$10,0),0),IF(AND(AF$9&lt;&gt;"",AF$11&lt;&gt;""),IF(EOMONTH($AD$3+INT((DAY(EOMONTH($AD$3,0))-1)/2)+AF$11,0)=EOMONTH($CP$3,0),AF$9*AF$10,0),0),IF(AND(AB$9&lt;&gt;"",AB$11&lt;&gt;""),IF(EOMONTH($Z$3+INT((DAY(EOMONTH($Z$3,0))-1)/2)+AB$11,0)=EOMONTH($CP$3,0),AB$9*AB$10,0),0),IF(AND(X$9&lt;&gt;"",X$11&lt;&gt;""),IF(EOMONTH($V$3+INT((DAY(EOMONTH($V$3,0))-1)/2)+X$11,0)=EOMONTH($CP$3,0),X$9*X$10,0),0),IF(AND(T$9&lt;&gt;"",T$11&lt;&gt;""),IF(EOMONTH($R$3+INT((DAY(EOMONTH($R$3,0))-1)/2)+T$11,0)=EOMONTH($CP$3,0),T$9*T$10,0),0),IF(AND(P$9&lt;&gt;"",P$11&lt;&gt;""),IF(EOMONTH($N$3+INT((DAY(EOMONTH($N$3,0))-1)/2)+P$11,0)=EOMONTH($CP$3,0),P$9*P$10,0),0),IF(AND(L$9&lt;&gt;"",L$11&lt;&gt;""),IF(EOMONTH($J$3+INT((DAY(EOMONTH($J$3,0))-1)/2)+L$11,0)=EOMONTH($CP$3,0),L$9*L$10,0),0),IF(AND(H$9&lt;&gt;"",H$11&lt;&gt;""),IF(EOMONTH($F$3+INT((DAY(EOMONTH($F$3,0))-1)/2)+H$11,0)=EOMONTH($CP$3,0),H$9*H$10,0),0),IF($EP$75="",0,IF(EOMONTH($EP$75+ER$11,0)=EOMONTH($CP$3,0),$EP$76*ER$10,0))),0)</f>
        <v>0</v>
      </c>
      <c r="CS12" s="16">
        <f t="shared" si="49"/>
        <v>0</v>
      </c>
      <c r="CT12" s="17"/>
      <c r="CU12" s="14">
        <f>IF(CT$98=1,CT12,ROUND(SUM(IF(AND(EQ$9&lt;&gt;"",EQ$11&lt;&gt;""),IF(EOMONTH($EP$3+INT((DAY(EOMONTH($EP$3,0))-1)/2)+EQ$11,0)=EOMONTH($CT$3,0),EQ$9*EQ$10,0),0),IF(AND(EM$9&lt;&gt;"",EM$11&lt;&gt;""),IF(EOMONTH($EL$3+INT((DAY(EOMONTH($EL$3,0))-1)/2)+EM$11,0)=EOMONTH($CT$3,0),EM$9*EM$10,0),0),IF(AND(EI$9&lt;&gt;"",EI$11&lt;&gt;""),IF(EOMONTH($EH$3+INT((DAY(EOMONTH($EH$3,0))-1)/2)+EI$11,0)=EOMONTH($CT$3,0),EI$9*EI$10,0),0),IF(AND(EE$9&lt;&gt;"",EE$11&lt;&gt;""),IF(EOMONTH($ED$3+INT((DAY(EOMONTH($ED$3,0))-1)/2)+EE$11,0)=EOMONTH($CT$3,0),EE$9*EE$10,0),0),IF(AND(EA$9&lt;&gt;"",EA$11&lt;&gt;""),IF(EOMONTH($DZ$3+INT((DAY(EOMONTH($DZ$3,0))-1)/2)+EA$11,0)=EOMONTH($CT$3,0),EA$9*EA$10,0),0),IF(AND(DW$9&lt;&gt;"",DW$11&lt;&gt;""),IF(EOMONTH($DV$3+INT((DAY(EOMONTH($DV$3,0))-1)/2)+DW$11,0)=EOMONTH($CT$3,0),DW$9*DW$10,0),0),IF(AND(DS$9&lt;&gt;"",DS$11&lt;&gt;""),IF(EOMONTH($DR$3+INT((DAY(EOMONTH($DR$3,0))-1)/2)+DS$11,0)=EOMONTH($CT$3,0),DS$9*DS$10,0),0),IF(AND(DO$9&lt;&gt;"",DO$11&lt;&gt;""),IF(EOMONTH($DN$3+INT((DAY(EOMONTH($DN$3,0))-1)/2)+DO$11,0)=EOMONTH($CT$3,0),DO$9*DO$10,0),0),IF(AND(DK$9&lt;&gt;"",DK$11&lt;&gt;""),IF(EOMONTH($DJ$3+INT((DAY(EOMONTH($DJ$3,0))-1)/2)+DK$11,0)=EOMONTH($CT$3,0),DK$9*DK$10,0),0),IF(AND(DG$9&lt;&gt;"",DG$11&lt;&gt;""),IF(EOMONTH($DF$3+INT((DAY(EOMONTH($DF$3,0))-1)/2)+DG$11,0)=EOMONTH($CT$3,0),DG$9*DG$10,0),0),IF(AND(DC$9&lt;&gt;"",DC$11&lt;&gt;""),IF(EOMONTH($DB$3+INT((DAY(EOMONTH($DB$3,0))-1)/2)+DC$11,0)=EOMONTH($CT$3,0),DC$9*DC$10,0),0),IF(AND(CY$9&lt;&gt;"",CY$11&lt;&gt;""),IF(EOMONTH($CX$3+INT((DAY(EOMONTH($CX$3,0))-1)/2)+CY$11,0)=EOMONTH($CT$3,0),CY$9*CY$10,0),0),IF(AND(CU$9&lt;&gt;"",CU$11&lt;&gt;""),IF(EOMONTH($CT$3+INT((DAY(EOMONTH($CT$3,0))-1)/2)+CU$11,0)=EOMONTH($CT$3,0),CU$9*CU$10,0),0),IF(AND(CQ$9&lt;&gt;"",CQ$11&lt;&gt;""),IF(EOMONTH($CP$3+INT((DAY(EOMONTH($CP$3,0))-1)/2)+CQ$11,0)=EOMONTH($CT$3,0),CQ$9*CQ$10,0),0),IF(AND(CM$9&lt;&gt;"",CM$11&lt;&gt;""),IF(EOMONTH($CL$3+INT((DAY(EOMONTH($CL$3,0))-1)/2)+CM$11,0)=EOMONTH($CT$3,0),CM$9*CM$10,0),0),IF(AND(CI$9&lt;&gt;"",CI$11&lt;&gt;""),IF(EOMONTH($CH$3+INT((DAY(EOMONTH($CH$3,0))-1)/2)+CI$11,0)=EOMONTH($CT$3,0),CI$9*CI$10,0),0),IF(AND(CE$9&lt;&gt;"",CE$11&lt;&gt;""),IF(EOMONTH($CD$3+INT((DAY(EOMONTH($CD$3,0))-1)/2)+CE$11,0)=EOMONTH($CT$3,0),CE$9*CE$10,0),0),IF(AND(CA$9&lt;&gt;"",CA$11&lt;&gt;""),IF(EOMONTH($BZ$3+INT((DAY(EOMONTH($BZ$3,0))-1)/2)+CA$11,0)=EOMONTH($CT$3,0),CA$9*CA$10,0),0),IF(AND(BW$9&lt;&gt;"",BW$11&lt;&gt;""),IF(EOMONTH($BV$3+INT((DAY(EOMONTH($BV$3,0))-1)/2)+BW$11,0)=EOMONTH($CT$3,0),BW$9*BW$10,0),0),IF(AND(BS$9&lt;&gt;"",BS$11&lt;&gt;""),IF(EOMONTH($BR$3+INT((DAY(EOMONTH($BR$3,0))-1)/2)+BS$11,0)=EOMONTH($CT$3,0),BS$9*BS$10,0),0),IF(AND(BO$9&lt;&gt;"",BO$11&lt;&gt;""),IF(EOMONTH($BN$3+INT((DAY(EOMONTH($BN$3,0))-1)/2)+BO$11,0)=EOMONTH($CT$3,0),BO$9*BO$10,0),0),IF(AND(BK$9&lt;&gt;"",BK$11&lt;&gt;""),IF(EOMONTH($BJ$3+INT((DAY(EOMONTH($BJ$3,0))-1)/2)+BK$11,0)=EOMONTH($CT$3,0),BK$9*BK$10,0),0),IF(AND(BG$9&lt;&gt;"",BG$11&lt;&gt;""),IF(EOMONTH($BF$3+INT((DAY(EOMONTH($BF$3,0))-1)/2)+BG$11,0)=EOMONTH($CT$3,0),BG$9*BG$10,0),0),IF(AND(BC$9&lt;&gt;"",BC$11&lt;&gt;""),IF(EOMONTH($BB$3+INT((DAY(EOMONTH($BB$3,0))-1)/2)+BC$11,0)=EOMONTH($CT$3,0),BC$9*BC$10,0),0),IF(AND(AY$9&lt;&gt;"",AY$11&lt;&gt;""),IF(EOMONTH($AX$3+INT((DAY(EOMONTH($AX$3,0))-1)/2)+AY$11,0)=EOMONTH($CT$3,0),AY$9*AY$10,0),0),IF(AND(AU$9&lt;&gt;"",AU$11&lt;&gt;""),IF(EOMONTH($AT$3+INT((DAY(EOMONTH($AT$3,0))-1)/2)+AU$11,0)=EOMONTH($CT$3,0),AU$9*AU$10,0),0),IF(AND(AQ$9&lt;&gt;"",AQ$11&lt;&gt;""),IF(EOMONTH($AP$3+INT((DAY(EOMONTH($AP$3,0))-1)/2)+AQ$11,0)=EOMONTH($CT$3,0),AQ$9*AQ$10,0),0),IF(AND(AM$9&lt;&gt;"",AM$11&lt;&gt;""),IF(EOMONTH($AL$3+INT((DAY(EOMONTH($AL$3,0))-1)/2)+AM$11,0)=EOMONTH($CT$3,0),AM$9*AM$10,0),0),IF(AND(AI$9&lt;&gt;"",AI$11&lt;&gt;""),IF(EOMONTH($AH$3+INT((DAY(EOMONTH($AH$3,0))-1)/2)+AI$11,0)=EOMONTH($CT$3,0),AI$9*AI$10,0),0),IF(AND(AE$9&lt;&gt;"",AE$11&lt;&gt;""),IF(EOMONTH($AD$3+INT((DAY(EOMONTH($AD$3,0))-1)/2)+AE$11,0)=EOMONTH($CT$3,0),AE$9*AE$10,0),0),IF(AND(AA$9&lt;&gt;"",AA$11&lt;&gt;""),IF(EOMONTH($Z$3+INT((DAY(EOMONTH($Z$3,0))-1)/2)+AA$11,0)=EOMONTH($CT$3,0),AA$9*AA$10,0),0),IF(AND(W$9&lt;&gt;"",W$11&lt;&gt;""),IF(EOMONTH($V$3+INT((DAY(EOMONTH($V$3,0))-1)/2)+W$11,0)=EOMONTH($CT$3,0),W$9*W$10,0),0),IF(AND(S$9&lt;&gt;"",S$11&lt;&gt;""),IF(EOMONTH($R$3+INT((DAY(EOMONTH($R$3,0))-1)/2)+S$11,0)=EOMONTH($CT$3,0),S$9*S$10,0),0),IF(AND(O$9&lt;&gt;"",O$11&lt;&gt;""),IF(EOMONTH($N$3+INT((DAY(EOMONTH($N$3,0))-1)/2)+O$11,0)=EOMONTH($CT$3,0),O$9*O$10,0),0),IF(AND(K$9&lt;&gt;"",K$11&lt;&gt;""),IF(EOMONTH($J$3+INT((DAY(EOMONTH($J$3,0))-1)/2)+K$11,0)=EOMONTH($CT$3,0),K$9*K$10,0),0),IF(AND(G$9&lt;&gt;"",G$11&lt;&gt;""),IF(EOMONTH($F$3+INT((DAY(EOMONTH($F$3,0))-1)/2)+G$11,0)=EOMONTH($CT$3,0),G$9*G$10,0),0),IF($EP$75="",0,IF(EOMONTH($EP$75+EQ$11,0)=EOMONTH($CT$3,0),$EP$76*EQ$10,0))),0))</f>
        <v>0</v>
      </c>
      <c r="CV12" s="15">
        <f>ROUND(SUM(IF(AND(ER$9&lt;&gt;"",ER$11&lt;&gt;""),IF(EOMONTH($EP$3+INT((DAY(EOMONTH($EP$3,0))-1)/2)+ER$11,0)=EOMONTH($CT$3,0),ER$9*ER$10,0),0),IF(AND(EN$9&lt;&gt;"",EN$11&lt;&gt;""),IF(EOMONTH($EL$3+INT((DAY(EOMONTH($EL$3,0))-1)/2)+EN$11,0)=EOMONTH($CT$3,0),EN$9*EN$10,0),0),IF(AND(EJ$9&lt;&gt;"",EJ$11&lt;&gt;""),IF(EOMONTH($EH$3+INT((DAY(EOMONTH($EH$3,0))-1)/2)+EJ$11,0)=EOMONTH($CT$3,0),EJ$9*EJ$10,0),0),IF(AND(EF$9&lt;&gt;"",EF$11&lt;&gt;""),IF(EOMONTH($ED$3+INT((DAY(EOMONTH($ED$3,0))-1)/2)+EF$11,0)=EOMONTH($CT$3,0),EF$9*EF$10,0),0),IF(AND(EB$9&lt;&gt;"",EB$11&lt;&gt;""),IF(EOMONTH($DZ$3+INT((DAY(EOMONTH($DZ$3,0))-1)/2)+EB$11,0)=EOMONTH($CT$3,0),EB$9*EB$10,0),0),IF(AND(DX$9&lt;&gt;"",DX$11&lt;&gt;""),IF(EOMONTH($DV$3+INT((DAY(EOMONTH($DV$3,0))-1)/2)+DX$11,0)=EOMONTH($CT$3,0),DX$9*DX$10,0),0),IF(AND(DT$9&lt;&gt;"",DT$11&lt;&gt;""),IF(EOMONTH($DR$3+INT((DAY(EOMONTH($DR$3,0))-1)/2)+DT$11,0)=EOMONTH($CT$3,0),DT$9*DT$10,0),0),IF(AND(DP$9&lt;&gt;"",DP$11&lt;&gt;""),IF(EOMONTH($DN$3+INT((DAY(EOMONTH($DN$3,0))-1)/2)+DP$11,0)=EOMONTH($CT$3,0),DP$9*DP$10,0),0),IF(AND(DL$9&lt;&gt;"",DL$11&lt;&gt;""),IF(EOMONTH($DJ$3+INT((DAY(EOMONTH($DJ$3,0))-1)/2)+DL$11,0)=EOMONTH($CT$3,0),DL$9*DL$10,0),0),IF(AND(DH$9&lt;&gt;"",DH$11&lt;&gt;""),IF(EOMONTH($DF$3+INT((DAY(EOMONTH($DF$3,0))-1)/2)+DH$11,0)=EOMONTH($CT$3,0),DH$9*DH$10,0),0),IF(AND(DD$9&lt;&gt;"",DD$11&lt;&gt;""),IF(EOMONTH($DB$3+INT((DAY(EOMONTH($DB$3,0))-1)/2)+DD$11,0)=EOMONTH($CT$3,0),DD$9*DD$10,0),0),IF(AND(CZ$9&lt;&gt;"",CZ$11&lt;&gt;""),IF(EOMONTH($CX$3+INT((DAY(EOMONTH($CX$3,0))-1)/2)+CZ$11,0)=EOMONTH($CT$3,0),CZ$9*CZ$10,0),0),IF(AND(CV$9&lt;&gt;"",CV$11&lt;&gt;""),IF(EOMONTH($CT$3+INT((DAY(EOMONTH($CT$3,0))-1)/2)+CV$11,0)=EOMONTH($CT$3,0),CV$9*CV$10,0),0),IF(AND(CR$9&lt;&gt;"",CR$11&lt;&gt;""),IF(EOMONTH($CP$3+INT((DAY(EOMONTH($CP$3,0))-1)/2)+CR$11,0)=EOMONTH($CT$3,0),CR$9*CR$10,0),0),IF(AND(CN$9&lt;&gt;"",CN$11&lt;&gt;""),IF(EOMONTH($CL$3+INT((DAY(EOMONTH($CL$3,0))-1)/2)+CN$11,0)=EOMONTH($CT$3,0),CN$9*CN$10,0),0),IF(AND(CJ$9&lt;&gt;"",CJ$11&lt;&gt;""),IF(EOMONTH($CH$3+INT((DAY(EOMONTH($CH$3,0))-1)/2)+CJ$11,0)=EOMONTH($CT$3,0),CJ$9*CJ$10,0),0),IF(AND(CF$9&lt;&gt;"",CF$11&lt;&gt;""),IF(EOMONTH($CD$3+INT((DAY(EOMONTH($CD$3,0))-1)/2)+CF$11,0)=EOMONTH($CT$3,0),CF$9*CF$10,0),0),IF(AND(CB$9&lt;&gt;"",CB$11&lt;&gt;""),IF(EOMONTH($BZ$3+INT((DAY(EOMONTH($BZ$3,0))-1)/2)+CB$11,0)=EOMONTH($CT$3,0),CB$9*CB$10,0),0),IF(AND(BX$9&lt;&gt;"",BX$11&lt;&gt;""),IF(EOMONTH($BV$3+INT((DAY(EOMONTH($BV$3,0))-1)/2)+BX$11,0)=EOMONTH($CT$3,0),BX$9*BX$10,0),0),IF(AND(BT$9&lt;&gt;"",BT$11&lt;&gt;""),IF(EOMONTH($BR$3+INT((DAY(EOMONTH($BR$3,0))-1)/2)+BT$11,0)=EOMONTH($CT$3,0),BT$9*BT$10,0),0),IF(AND(BP$9&lt;&gt;"",BP$11&lt;&gt;""),IF(EOMONTH($BN$3+INT((DAY(EOMONTH($BN$3,0))-1)/2)+BP$11,0)=EOMONTH($CT$3,0),BP$9*BP$10,0),0),IF(AND(BL$9&lt;&gt;"",BL$11&lt;&gt;""),IF(EOMONTH($BJ$3+INT((DAY(EOMONTH($BJ$3,0))-1)/2)+BL$11,0)=EOMONTH($CT$3,0),BL$9*BL$10,0),0),IF(AND(BH$9&lt;&gt;"",BH$11&lt;&gt;""),IF(EOMONTH($BF$3+INT((DAY(EOMONTH($BF$3,0))-1)/2)+BH$11,0)=EOMONTH($CT$3,0),BH$9*BH$10,0),0),IF(AND(BD$9&lt;&gt;"",BD$11&lt;&gt;""),IF(EOMONTH($BB$3+INT((DAY(EOMONTH($BB$3,0))-1)/2)+BD$11,0)=EOMONTH($CT$3,0),BD$9*BD$10,0),0),IF(AND(AZ$9&lt;&gt;"",AZ$11&lt;&gt;""),IF(EOMONTH($AX$3+INT((DAY(EOMONTH($AX$3,0))-1)/2)+AZ$11,0)=EOMONTH($CT$3,0),AZ$9*AZ$10,0),0),IF(AND(AV$9&lt;&gt;"",AV$11&lt;&gt;""),IF(EOMONTH($AT$3+INT((DAY(EOMONTH($AT$3,0))-1)/2)+AV$11,0)=EOMONTH($CT$3,0),AV$9*AV$10,0),0),IF(AND(AR$9&lt;&gt;"",AR$11&lt;&gt;""),IF(EOMONTH($AP$3+INT((DAY(EOMONTH($AP$3,0))-1)/2)+AR$11,0)=EOMONTH($CT$3,0),AR$9*AR$10,0),0),IF(AND(AN$9&lt;&gt;"",AN$11&lt;&gt;""),IF(EOMONTH($AL$3+INT((DAY(EOMONTH($AL$3,0))-1)/2)+AN$11,0)=EOMONTH($CT$3,0),AN$9*AN$10,0),0),IF(AND(AJ$9&lt;&gt;"",AJ$11&lt;&gt;""),IF(EOMONTH($AH$3+INT((DAY(EOMONTH($AH$3,0))-1)/2)+AJ$11,0)=EOMONTH($CT$3,0),AJ$9*AJ$10,0),0),IF(AND(AF$9&lt;&gt;"",AF$11&lt;&gt;""),IF(EOMONTH($AD$3+INT((DAY(EOMONTH($AD$3,0))-1)/2)+AF$11,0)=EOMONTH($CT$3,0),AF$9*AF$10,0),0),IF(AND(AB$9&lt;&gt;"",AB$11&lt;&gt;""),IF(EOMONTH($Z$3+INT((DAY(EOMONTH($Z$3,0))-1)/2)+AB$11,0)=EOMONTH($CT$3,0),AB$9*AB$10,0),0),IF(AND(X$9&lt;&gt;"",X$11&lt;&gt;""),IF(EOMONTH($V$3+INT((DAY(EOMONTH($V$3,0))-1)/2)+X$11,0)=EOMONTH($CT$3,0),X$9*X$10,0),0),IF(AND(T$9&lt;&gt;"",T$11&lt;&gt;""),IF(EOMONTH($R$3+INT((DAY(EOMONTH($R$3,0))-1)/2)+T$11,0)=EOMONTH($CT$3,0),T$9*T$10,0),0),IF(AND(P$9&lt;&gt;"",P$11&lt;&gt;""),IF(EOMONTH($N$3+INT((DAY(EOMONTH($N$3,0))-1)/2)+P$11,0)=EOMONTH($CT$3,0),P$9*P$10,0),0),IF(AND(L$9&lt;&gt;"",L$11&lt;&gt;""),IF(EOMONTH($J$3+INT((DAY(EOMONTH($J$3,0))-1)/2)+L$11,0)=EOMONTH($CT$3,0),L$9*L$10,0),0),IF(AND(H$9&lt;&gt;"",H$11&lt;&gt;""),IF(EOMONTH($F$3+INT((DAY(EOMONTH($F$3,0))-1)/2)+H$11,0)=EOMONTH($CT$3,0),H$9*H$10,0),0),IF($EP$75="",0,IF(EOMONTH($EP$75+ER$11,0)=EOMONTH($CT$3,0),$EP$76*ER$10,0))),0)</f>
        <v>0</v>
      </c>
      <c r="CW12" s="16">
        <f t="shared" si="51"/>
        <v>0</v>
      </c>
      <c r="CX12" s="17"/>
      <c r="CY12" s="14">
        <f>IF(CX$98=1,CX12,ROUND(SUM(IF(AND(EQ$9&lt;&gt;"",EQ$11&lt;&gt;""),IF(EOMONTH($EP$3+INT((DAY(EOMONTH($EP$3,0))-1)/2)+EQ$11,0)=EOMONTH($CX$3,0),EQ$9*EQ$10,0),0),IF(AND(EM$9&lt;&gt;"",EM$11&lt;&gt;""),IF(EOMONTH($EL$3+INT((DAY(EOMONTH($EL$3,0))-1)/2)+EM$11,0)=EOMONTH($CX$3,0),EM$9*EM$10,0),0),IF(AND(EI$9&lt;&gt;"",EI$11&lt;&gt;""),IF(EOMONTH($EH$3+INT((DAY(EOMONTH($EH$3,0))-1)/2)+EI$11,0)=EOMONTH($CX$3,0),EI$9*EI$10,0),0),IF(AND(EE$9&lt;&gt;"",EE$11&lt;&gt;""),IF(EOMONTH($ED$3+INT((DAY(EOMONTH($ED$3,0))-1)/2)+EE$11,0)=EOMONTH($CX$3,0),EE$9*EE$10,0),0),IF(AND(EA$9&lt;&gt;"",EA$11&lt;&gt;""),IF(EOMONTH($DZ$3+INT((DAY(EOMONTH($DZ$3,0))-1)/2)+EA$11,0)=EOMONTH($CX$3,0),EA$9*EA$10,0),0),IF(AND(DW$9&lt;&gt;"",DW$11&lt;&gt;""),IF(EOMONTH($DV$3+INT((DAY(EOMONTH($DV$3,0))-1)/2)+DW$11,0)=EOMONTH($CX$3,0),DW$9*DW$10,0),0),IF(AND(DS$9&lt;&gt;"",DS$11&lt;&gt;""),IF(EOMONTH($DR$3+INT((DAY(EOMONTH($DR$3,0))-1)/2)+DS$11,0)=EOMONTH($CX$3,0),DS$9*DS$10,0),0),IF(AND(DO$9&lt;&gt;"",DO$11&lt;&gt;""),IF(EOMONTH($DN$3+INT((DAY(EOMONTH($DN$3,0))-1)/2)+DO$11,0)=EOMONTH($CX$3,0),DO$9*DO$10,0),0),IF(AND(DK$9&lt;&gt;"",DK$11&lt;&gt;""),IF(EOMONTH($DJ$3+INT((DAY(EOMONTH($DJ$3,0))-1)/2)+DK$11,0)=EOMONTH($CX$3,0),DK$9*DK$10,0),0),IF(AND(DG$9&lt;&gt;"",DG$11&lt;&gt;""),IF(EOMONTH($DF$3+INT((DAY(EOMONTH($DF$3,0))-1)/2)+DG$11,0)=EOMONTH($CX$3,0),DG$9*DG$10,0),0),IF(AND(DC$9&lt;&gt;"",DC$11&lt;&gt;""),IF(EOMONTH($DB$3+INT((DAY(EOMONTH($DB$3,0))-1)/2)+DC$11,0)=EOMONTH($CX$3,0),DC$9*DC$10,0),0),IF(AND(CY$9&lt;&gt;"",CY$11&lt;&gt;""),IF(EOMONTH($CX$3+INT((DAY(EOMONTH($CX$3,0))-1)/2)+CY$11,0)=EOMONTH($CX$3,0),CY$9*CY$10,0),0),IF(AND(CU$9&lt;&gt;"",CU$11&lt;&gt;""),IF(EOMONTH($CT$3+INT((DAY(EOMONTH($CT$3,0))-1)/2)+CU$11,0)=EOMONTH($CX$3,0),CU$9*CU$10,0),0),IF(AND(CQ$9&lt;&gt;"",CQ$11&lt;&gt;""),IF(EOMONTH($CP$3+INT((DAY(EOMONTH($CP$3,0))-1)/2)+CQ$11,0)=EOMONTH($CX$3,0),CQ$9*CQ$10,0),0),IF(AND(CM$9&lt;&gt;"",CM$11&lt;&gt;""),IF(EOMONTH($CL$3+INT((DAY(EOMONTH($CL$3,0))-1)/2)+CM$11,0)=EOMONTH($CX$3,0),CM$9*CM$10,0),0),IF(AND(CI$9&lt;&gt;"",CI$11&lt;&gt;""),IF(EOMONTH($CH$3+INT((DAY(EOMONTH($CH$3,0))-1)/2)+CI$11,0)=EOMONTH($CX$3,0),CI$9*CI$10,0),0),IF(AND(CE$9&lt;&gt;"",CE$11&lt;&gt;""),IF(EOMONTH($CD$3+INT((DAY(EOMONTH($CD$3,0))-1)/2)+CE$11,0)=EOMONTH($CX$3,0),CE$9*CE$10,0),0),IF(AND(CA$9&lt;&gt;"",CA$11&lt;&gt;""),IF(EOMONTH($BZ$3+INT((DAY(EOMONTH($BZ$3,0))-1)/2)+CA$11,0)=EOMONTH($CX$3,0),CA$9*CA$10,0),0),IF(AND(BW$9&lt;&gt;"",BW$11&lt;&gt;""),IF(EOMONTH($BV$3+INT((DAY(EOMONTH($BV$3,0))-1)/2)+BW$11,0)=EOMONTH($CX$3,0),BW$9*BW$10,0),0),IF(AND(BS$9&lt;&gt;"",BS$11&lt;&gt;""),IF(EOMONTH($BR$3+INT((DAY(EOMONTH($BR$3,0))-1)/2)+BS$11,0)=EOMONTH($CX$3,0),BS$9*BS$10,0),0),IF(AND(BO$9&lt;&gt;"",BO$11&lt;&gt;""),IF(EOMONTH($BN$3+INT((DAY(EOMONTH($BN$3,0))-1)/2)+BO$11,0)=EOMONTH($CX$3,0),BO$9*BO$10,0),0),IF(AND(BK$9&lt;&gt;"",BK$11&lt;&gt;""),IF(EOMONTH($BJ$3+INT((DAY(EOMONTH($BJ$3,0))-1)/2)+BK$11,0)=EOMONTH($CX$3,0),BK$9*BK$10,0),0),IF(AND(BG$9&lt;&gt;"",BG$11&lt;&gt;""),IF(EOMONTH($BF$3+INT((DAY(EOMONTH($BF$3,0))-1)/2)+BG$11,0)=EOMONTH($CX$3,0),BG$9*BG$10,0),0),IF(AND(BC$9&lt;&gt;"",BC$11&lt;&gt;""),IF(EOMONTH($BB$3+INT((DAY(EOMONTH($BB$3,0))-1)/2)+BC$11,0)=EOMONTH($CX$3,0),BC$9*BC$10,0),0),IF(AND(AY$9&lt;&gt;"",AY$11&lt;&gt;""),IF(EOMONTH($AX$3+INT((DAY(EOMONTH($AX$3,0))-1)/2)+AY$11,0)=EOMONTH($CX$3,0),AY$9*AY$10,0),0),IF(AND(AU$9&lt;&gt;"",AU$11&lt;&gt;""),IF(EOMONTH($AT$3+INT((DAY(EOMONTH($AT$3,0))-1)/2)+AU$11,0)=EOMONTH($CX$3,0),AU$9*AU$10,0),0),IF(AND(AQ$9&lt;&gt;"",AQ$11&lt;&gt;""),IF(EOMONTH($AP$3+INT((DAY(EOMONTH($AP$3,0))-1)/2)+AQ$11,0)=EOMONTH($CX$3,0),AQ$9*AQ$10,0),0),IF(AND(AM$9&lt;&gt;"",AM$11&lt;&gt;""),IF(EOMONTH($AL$3+INT((DAY(EOMONTH($AL$3,0))-1)/2)+AM$11,0)=EOMONTH($CX$3,0),AM$9*AM$10,0),0),IF(AND(AI$9&lt;&gt;"",AI$11&lt;&gt;""),IF(EOMONTH($AH$3+INT((DAY(EOMONTH($AH$3,0))-1)/2)+AI$11,0)=EOMONTH($CX$3,0),AI$9*AI$10,0),0),IF(AND(AE$9&lt;&gt;"",AE$11&lt;&gt;""),IF(EOMONTH($AD$3+INT((DAY(EOMONTH($AD$3,0))-1)/2)+AE$11,0)=EOMONTH($CX$3,0),AE$9*AE$10,0),0),IF(AND(AA$9&lt;&gt;"",AA$11&lt;&gt;""),IF(EOMONTH($Z$3+INT((DAY(EOMONTH($Z$3,0))-1)/2)+AA$11,0)=EOMONTH($CX$3,0),AA$9*AA$10,0),0),IF(AND(W$9&lt;&gt;"",W$11&lt;&gt;""),IF(EOMONTH($V$3+INT((DAY(EOMONTH($V$3,0))-1)/2)+W$11,0)=EOMONTH($CX$3,0),W$9*W$10,0),0),IF(AND(S$9&lt;&gt;"",S$11&lt;&gt;""),IF(EOMONTH($R$3+INT((DAY(EOMONTH($R$3,0))-1)/2)+S$11,0)=EOMONTH($CX$3,0),S$9*S$10,0),0),IF(AND(O$9&lt;&gt;"",O$11&lt;&gt;""),IF(EOMONTH($N$3+INT((DAY(EOMONTH($N$3,0))-1)/2)+O$11,0)=EOMONTH($CX$3,0),O$9*O$10,0),0),IF(AND(K$9&lt;&gt;"",K$11&lt;&gt;""),IF(EOMONTH($J$3+INT((DAY(EOMONTH($J$3,0))-1)/2)+K$11,0)=EOMONTH($CX$3,0),K$9*K$10,0),0),IF(AND(G$9&lt;&gt;"",G$11&lt;&gt;""),IF(EOMONTH($F$3+INT((DAY(EOMONTH($F$3,0))-1)/2)+G$11,0)=EOMONTH($CX$3,0),G$9*G$10,0),0),IF($EP$75="",0,IF(EOMONTH($EP$75+EQ$11,0)=EOMONTH($CX$3,0),$EP$76*EQ$10,0))),0))</f>
        <v>0</v>
      </c>
      <c r="CZ12" s="15">
        <f>ROUND(SUM(IF(AND(ER$9&lt;&gt;"",ER$11&lt;&gt;""),IF(EOMONTH($EP$3+INT((DAY(EOMONTH($EP$3,0))-1)/2)+ER$11,0)=EOMONTH($CX$3,0),ER$9*ER$10,0),0),IF(AND(EN$9&lt;&gt;"",EN$11&lt;&gt;""),IF(EOMONTH($EL$3+INT((DAY(EOMONTH($EL$3,0))-1)/2)+EN$11,0)=EOMONTH($CX$3,0),EN$9*EN$10,0),0),IF(AND(EJ$9&lt;&gt;"",EJ$11&lt;&gt;""),IF(EOMONTH($EH$3+INT((DAY(EOMONTH($EH$3,0))-1)/2)+EJ$11,0)=EOMONTH($CX$3,0),EJ$9*EJ$10,0),0),IF(AND(EF$9&lt;&gt;"",EF$11&lt;&gt;""),IF(EOMONTH($ED$3+INT((DAY(EOMONTH($ED$3,0))-1)/2)+EF$11,0)=EOMONTH($CX$3,0),EF$9*EF$10,0),0),IF(AND(EB$9&lt;&gt;"",EB$11&lt;&gt;""),IF(EOMONTH($DZ$3+INT((DAY(EOMONTH($DZ$3,0))-1)/2)+EB$11,0)=EOMONTH($CX$3,0),EB$9*EB$10,0),0),IF(AND(DX$9&lt;&gt;"",DX$11&lt;&gt;""),IF(EOMONTH($DV$3+INT((DAY(EOMONTH($DV$3,0))-1)/2)+DX$11,0)=EOMONTH($CX$3,0),DX$9*DX$10,0),0),IF(AND(DT$9&lt;&gt;"",DT$11&lt;&gt;""),IF(EOMONTH($DR$3+INT((DAY(EOMONTH($DR$3,0))-1)/2)+DT$11,0)=EOMONTH($CX$3,0),DT$9*DT$10,0),0),IF(AND(DP$9&lt;&gt;"",DP$11&lt;&gt;""),IF(EOMONTH($DN$3+INT((DAY(EOMONTH($DN$3,0))-1)/2)+DP$11,0)=EOMONTH($CX$3,0),DP$9*DP$10,0),0),IF(AND(DL$9&lt;&gt;"",DL$11&lt;&gt;""),IF(EOMONTH($DJ$3+INT((DAY(EOMONTH($DJ$3,0))-1)/2)+DL$11,0)=EOMONTH($CX$3,0),DL$9*DL$10,0),0),IF(AND(DH$9&lt;&gt;"",DH$11&lt;&gt;""),IF(EOMONTH($DF$3+INT((DAY(EOMONTH($DF$3,0))-1)/2)+DH$11,0)=EOMONTH($CX$3,0),DH$9*DH$10,0),0),IF(AND(DD$9&lt;&gt;"",DD$11&lt;&gt;""),IF(EOMONTH($DB$3+INT((DAY(EOMONTH($DB$3,0))-1)/2)+DD$11,0)=EOMONTH($CX$3,0),DD$9*DD$10,0),0),IF(AND(CZ$9&lt;&gt;"",CZ$11&lt;&gt;""),IF(EOMONTH($CX$3+INT((DAY(EOMONTH($CX$3,0))-1)/2)+CZ$11,0)=EOMONTH($CX$3,0),CZ$9*CZ$10,0),0),IF(AND(CV$9&lt;&gt;"",CV$11&lt;&gt;""),IF(EOMONTH($CT$3+INT((DAY(EOMONTH($CT$3,0))-1)/2)+CV$11,0)=EOMONTH($CX$3,0),CV$9*CV$10,0),0),IF(AND(CR$9&lt;&gt;"",CR$11&lt;&gt;""),IF(EOMONTH($CP$3+INT((DAY(EOMONTH($CP$3,0))-1)/2)+CR$11,0)=EOMONTH($CX$3,0),CR$9*CR$10,0),0),IF(AND(CN$9&lt;&gt;"",CN$11&lt;&gt;""),IF(EOMONTH($CL$3+INT((DAY(EOMONTH($CL$3,0))-1)/2)+CN$11,0)=EOMONTH($CX$3,0),CN$9*CN$10,0),0),IF(AND(CJ$9&lt;&gt;"",CJ$11&lt;&gt;""),IF(EOMONTH($CH$3+INT((DAY(EOMONTH($CH$3,0))-1)/2)+CJ$11,0)=EOMONTH($CX$3,0),CJ$9*CJ$10,0),0),IF(AND(CF$9&lt;&gt;"",CF$11&lt;&gt;""),IF(EOMONTH($CD$3+INT((DAY(EOMONTH($CD$3,0))-1)/2)+CF$11,0)=EOMONTH($CX$3,0),CF$9*CF$10,0),0),IF(AND(CB$9&lt;&gt;"",CB$11&lt;&gt;""),IF(EOMONTH($BZ$3+INT((DAY(EOMONTH($BZ$3,0))-1)/2)+CB$11,0)=EOMONTH($CX$3,0),CB$9*CB$10,0),0),IF(AND(BX$9&lt;&gt;"",BX$11&lt;&gt;""),IF(EOMONTH($BV$3+INT((DAY(EOMONTH($BV$3,0))-1)/2)+BX$11,0)=EOMONTH($CX$3,0),BX$9*BX$10,0),0),IF(AND(BT$9&lt;&gt;"",BT$11&lt;&gt;""),IF(EOMONTH($BR$3+INT((DAY(EOMONTH($BR$3,0))-1)/2)+BT$11,0)=EOMONTH($CX$3,0),BT$9*BT$10,0),0),IF(AND(BP$9&lt;&gt;"",BP$11&lt;&gt;""),IF(EOMONTH($BN$3+INT((DAY(EOMONTH($BN$3,0))-1)/2)+BP$11,0)=EOMONTH($CX$3,0),BP$9*BP$10,0),0),IF(AND(BL$9&lt;&gt;"",BL$11&lt;&gt;""),IF(EOMONTH($BJ$3+INT((DAY(EOMONTH($BJ$3,0))-1)/2)+BL$11,0)=EOMONTH($CX$3,0),BL$9*BL$10,0),0),IF(AND(BH$9&lt;&gt;"",BH$11&lt;&gt;""),IF(EOMONTH($BF$3+INT((DAY(EOMONTH($BF$3,0))-1)/2)+BH$11,0)=EOMONTH($CX$3,0),BH$9*BH$10,0),0),IF(AND(BD$9&lt;&gt;"",BD$11&lt;&gt;""),IF(EOMONTH($BB$3+INT((DAY(EOMONTH($BB$3,0))-1)/2)+BD$11,0)=EOMONTH($CX$3,0),BD$9*BD$10,0),0),IF(AND(AZ$9&lt;&gt;"",AZ$11&lt;&gt;""),IF(EOMONTH($AX$3+INT((DAY(EOMONTH($AX$3,0))-1)/2)+AZ$11,0)=EOMONTH($CX$3,0),AZ$9*AZ$10,0),0),IF(AND(AV$9&lt;&gt;"",AV$11&lt;&gt;""),IF(EOMONTH($AT$3+INT((DAY(EOMONTH($AT$3,0))-1)/2)+AV$11,0)=EOMONTH($CX$3,0),AV$9*AV$10,0),0),IF(AND(AR$9&lt;&gt;"",AR$11&lt;&gt;""),IF(EOMONTH($AP$3+INT((DAY(EOMONTH($AP$3,0))-1)/2)+AR$11,0)=EOMONTH($CX$3,0),AR$9*AR$10,0),0),IF(AND(AN$9&lt;&gt;"",AN$11&lt;&gt;""),IF(EOMONTH($AL$3+INT((DAY(EOMONTH($AL$3,0))-1)/2)+AN$11,0)=EOMONTH($CX$3,0),AN$9*AN$10,0),0),IF(AND(AJ$9&lt;&gt;"",AJ$11&lt;&gt;""),IF(EOMONTH($AH$3+INT((DAY(EOMONTH($AH$3,0))-1)/2)+AJ$11,0)=EOMONTH($CX$3,0),AJ$9*AJ$10,0),0),IF(AND(AF$9&lt;&gt;"",AF$11&lt;&gt;""),IF(EOMONTH($AD$3+INT((DAY(EOMONTH($AD$3,0))-1)/2)+AF$11,0)=EOMONTH($CX$3,0),AF$9*AF$10,0),0),IF(AND(AB$9&lt;&gt;"",AB$11&lt;&gt;""),IF(EOMONTH($Z$3+INT((DAY(EOMONTH($Z$3,0))-1)/2)+AB$11,0)=EOMONTH($CX$3,0),AB$9*AB$10,0),0),IF(AND(X$9&lt;&gt;"",X$11&lt;&gt;""),IF(EOMONTH($V$3+INT((DAY(EOMONTH($V$3,0))-1)/2)+X$11,0)=EOMONTH($CX$3,0),X$9*X$10,0),0),IF(AND(T$9&lt;&gt;"",T$11&lt;&gt;""),IF(EOMONTH($R$3+INT((DAY(EOMONTH($R$3,0))-1)/2)+T$11,0)=EOMONTH($CX$3,0),T$9*T$10,0),0),IF(AND(P$9&lt;&gt;"",P$11&lt;&gt;""),IF(EOMONTH($N$3+INT((DAY(EOMONTH($N$3,0))-1)/2)+P$11,0)=EOMONTH($CX$3,0),P$9*P$10,0),0),IF(AND(L$9&lt;&gt;"",L$11&lt;&gt;""),IF(EOMONTH($J$3+INT((DAY(EOMONTH($J$3,0))-1)/2)+L$11,0)=EOMONTH($CX$3,0),L$9*L$10,0),0),IF(AND(H$9&lt;&gt;"",H$11&lt;&gt;""),IF(EOMONTH($F$3+INT((DAY(EOMONTH($F$3,0))-1)/2)+H$11,0)=EOMONTH($CX$3,0),H$9*H$10,0),0),IF($EP$75="",0,IF(EOMONTH($EP$75+ER$11,0)=EOMONTH($CX$3,0),$EP$76*ER$10,0))),0)</f>
        <v>0</v>
      </c>
      <c r="DA12" s="16">
        <f t="shared" si="53"/>
        <v>0</v>
      </c>
      <c r="DB12" s="17"/>
      <c r="DC12" s="14">
        <f>IF(DB$98=1,DB12,ROUND(SUM(IF(AND(EQ$9&lt;&gt;"",EQ$11&lt;&gt;""),IF(EOMONTH($EP$3+INT((DAY(EOMONTH($EP$3,0))-1)/2)+EQ$11,0)=EOMONTH($DB$3,0),EQ$9*EQ$10,0),0),IF(AND(EM$9&lt;&gt;"",EM$11&lt;&gt;""),IF(EOMONTH($EL$3+INT((DAY(EOMONTH($EL$3,0))-1)/2)+EM$11,0)=EOMONTH($DB$3,0),EM$9*EM$10,0),0),IF(AND(EI$9&lt;&gt;"",EI$11&lt;&gt;""),IF(EOMONTH($EH$3+INT((DAY(EOMONTH($EH$3,0))-1)/2)+EI$11,0)=EOMONTH($DB$3,0),EI$9*EI$10,0),0),IF(AND(EE$9&lt;&gt;"",EE$11&lt;&gt;""),IF(EOMONTH($ED$3+INT((DAY(EOMONTH($ED$3,0))-1)/2)+EE$11,0)=EOMONTH($DB$3,0),EE$9*EE$10,0),0),IF(AND(EA$9&lt;&gt;"",EA$11&lt;&gt;""),IF(EOMONTH($DZ$3+INT((DAY(EOMONTH($DZ$3,0))-1)/2)+EA$11,0)=EOMONTH($DB$3,0),EA$9*EA$10,0),0),IF(AND(DW$9&lt;&gt;"",DW$11&lt;&gt;""),IF(EOMONTH($DV$3+INT((DAY(EOMONTH($DV$3,0))-1)/2)+DW$11,0)=EOMONTH($DB$3,0),DW$9*DW$10,0),0),IF(AND(DS$9&lt;&gt;"",DS$11&lt;&gt;""),IF(EOMONTH($DR$3+INT((DAY(EOMONTH($DR$3,0))-1)/2)+DS$11,0)=EOMONTH($DB$3,0),DS$9*DS$10,0),0),IF(AND(DO$9&lt;&gt;"",DO$11&lt;&gt;""),IF(EOMONTH($DN$3+INT((DAY(EOMONTH($DN$3,0))-1)/2)+DO$11,0)=EOMONTH($DB$3,0),DO$9*DO$10,0),0),IF(AND(DK$9&lt;&gt;"",DK$11&lt;&gt;""),IF(EOMONTH($DJ$3+INT((DAY(EOMONTH($DJ$3,0))-1)/2)+DK$11,0)=EOMONTH($DB$3,0),DK$9*DK$10,0),0),IF(AND(DG$9&lt;&gt;"",DG$11&lt;&gt;""),IF(EOMONTH($DF$3+INT((DAY(EOMONTH($DF$3,0))-1)/2)+DG$11,0)=EOMONTH($DB$3,0),DG$9*DG$10,0),0),IF(AND(DC$9&lt;&gt;"",DC$11&lt;&gt;""),IF(EOMONTH($DB$3+INT((DAY(EOMONTH($DB$3,0))-1)/2)+DC$11,0)=EOMONTH($DB$3,0),DC$9*DC$10,0),0),IF(AND(CY$9&lt;&gt;"",CY$11&lt;&gt;""),IF(EOMONTH($CX$3+INT((DAY(EOMONTH($CX$3,0))-1)/2)+CY$11,0)=EOMONTH($DB$3,0),CY$9*CY$10,0),0),IF(AND(CU$9&lt;&gt;"",CU$11&lt;&gt;""),IF(EOMONTH($CT$3+INT((DAY(EOMONTH($CT$3,0))-1)/2)+CU$11,0)=EOMONTH($DB$3,0),CU$9*CU$10,0),0),IF(AND(CQ$9&lt;&gt;"",CQ$11&lt;&gt;""),IF(EOMONTH($CP$3+INT((DAY(EOMONTH($CP$3,0))-1)/2)+CQ$11,0)=EOMONTH($DB$3,0),CQ$9*CQ$10,0),0),IF(AND(CM$9&lt;&gt;"",CM$11&lt;&gt;""),IF(EOMONTH($CL$3+INT((DAY(EOMONTH($CL$3,0))-1)/2)+CM$11,0)=EOMONTH($DB$3,0),CM$9*CM$10,0),0),IF(AND(CI$9&lt;&gt;"",CI$11&lt;&gt;""),IF(EOMONTH($CH$3+INT((DAY(EOMONTH($CH$3,0))-1)/2)+CI$11,0)=EOMONTH($DB$3,0),CI$9*CI$10,0),0),IF(AND(CE$9&lt;&gt;"",CE$11&lt;&gt;""),IF(EOMONTH($CD$3+INT((DAY(EOMONTH($CD$3,0))-1)/2)+CE$11,0)=EOMONTH($DB$3,0),CE$9*CE$10,0),0),IF(AND(CA$9&lt;&gt;"",CA$11&lt;&gt;""),IF(EOMONTH($BZ$3+INT((DAY(EOMONTH($BZ$3,0))-1)/2)+CA$11,0)=EOMONTH($DB$3,0),CA$9*CA$10,0),0),IF(AND(BW$9&lt;&gt;"",BW$11&lt;&gt;""),IF(EOMONTH($BV$3+INT((DAY(EOMONTH($BV$3,0))-1)/2)+BW$11,0)=EOMONTH($DB$3,0),BW$9*BW$10,0),0),IF(AND(BS$9&lt;&gt;"",BS$11&lt;&gt;""),IF(EOMONTH($BR$3+INT((DAY(EOMONTH($BR$3,0))-1)/2)+BS$11,0)=EOMONTH($DB$3,0),BS$9*BS$10,0),0),IF(AND(BO$9&lt;&gt;"",BO$11&lt;&gt;""),IF(EOMONTH($BN$3+INT((DAY(EOMONTH($BN$3,0))-1)/2)+BO$11,0)=EOMONTH($DB$3,0),BO$9*BO$10,0),0),IF(AND(BK$9&lt;&gt;"",BK$11&lt;&gt;""),IF(EOMONTH($BJ$3+INT((DAY(EOMONTH($BJ$3,0))-1)/2)+BK$11,0)=EOMONTH($DB$3,0),BK$9*BK$10,0),0),IF(AND(BG$9&lt;&gt;"",BG$11&lt;&gt;""),IF(EOMONTH($BF$3+INT((DAY(EOMONTH($BF$3,0))-1)/2)+BG$11,0)=EOMONTH($DB$3,0),BG$9*BG$10,0),0),IF(AND(BC$9&lt;&gt;"",BC$11&lt;&gt;""),IF(EOMONTH($BB$3+INT((DAY(EOMONTH($BB$3,0))-1)/2)+BC$11,0)=EOMONTH($DB$3,0),BC$9*BC$10,0),0),IF(AND(AY$9&lt;&gt;"",AY$11&lt;&gt;""),IF(EOMONTH($AX$3+INT((DAY(EOMONTH($AX$3,0))-1)/2)+AY$11,0)=EOMONTH($DB$3,0),AY$9*AY$10,0),0),IF(AND(AU$9&lt;&gt;"",AU$11&lt;&gt;""),IF(EOMONTH($AT$3+INT((DAY(EOMONTH($AT$3,0))-1)/2)+AU$11,0)=EOMONTH($DB$3,0),AU$9*AU$10,0),0),IF(AND(AQ$9&lt;&gt;"",AQ$11&lt;&gt;""),IF(EOMONTH($AP$3+INT((DAY(EOMONTH($AP$3,0))-1)/2)+AQ$11,0)=EOMONTH($DB$3,0),AQ$9*AQ$10,0),0),IF(AND(AM$9&lt;&gt;"",AM$11&lt;&gt;""),IF(EOMONTH($AL$3+INT((DAY(EOMONTH($AL$3,0))-1)/2)+AM$11,0)=EOMONTH($DB$3,0),AM$9*AM$10,0),0),IF(AND(AI$9&lt;&gt;"",AI$11&lt;&gt;""),IF(EOMONTH($AH$3+INT((DAY(EOMONTH($AH$3,0))-1)/2)+AI$11,0)=EOMONTH($DB$3,0),AI$9*AI$10,0),0),IF(AND(AE$9&lt;&gt;"",AE$11&lt;&gt;""),IF(EOMONTH($AD$3+INT((DAY(EOMONTH($AD$3,0))-1)/2)+AE$11,0)=EOMONTH($DB$3,0),AE$9*AE$10,0),0),IF(AND(AA$9&lt;&gt;"",AA$11&lt;&gt;""),IF(EOMONTH($Z$3+INT((DAY(EOMONTH($Z$3,0))-1)/2)+AA$11,0)=EOMONTH($DB$3,0),AA$9*AA$10,0),0),IF(AND(W$9&lt;&gt;"",W$11&lt;&gt;""),IF(EOMONTH($V$3+INT((DAY(EOMONTH($V$3,0))-1)/2)+W$11,0)=EOMONTH($DB$3,0),W$9*W$10,0),0),IF(AND(S$9&lt;&gt;"",S$11&lt;&gt;""),IF(EOMONTH($R$3+INT((DAY(EOMONTH($R$3,0))-1)/2)+S$11,0)=EOMONTH($DB$3,0),S$9*S$10,0),0),IF(AND(O$9&lt;&gt;"",O$11&lt;&gt;""),IF(EOMONTH($N$3+INT((DAY(EOMONTH($N$3,0))-1)/2)+O$11,0)=EOMONTH($DB$3,0),O$9*O$10,0),0),IF(AND(K$9&lt;&gt;"",K$11&lt;&gt;""),IF(EOMONTH($J$3+INT((DAY(EOMONTH($J$3,0))-1)/2)+K$11,0)=EOMONTH($DB$3,0),K$9*K$10,0),0),IF(AND(G$9&lt;&gt;"",G$11&lt;&gt;""),IF(EOMONTH($F$3+INT((DAY(EOMONTH($F$3,0))-1)/2)+G$11,0)=EOMONTH($DB$3,0),G$9*G$10,0),0),IF($EP$75="",0,IF(EOMONTH($EP$75+EQ$11,0)=EOMONTH($DB$3,0),$EP$76*EQ$10,0))),0))</f>
        <v>0</v>
      </c>
      <c r="DD12" s="15">
        <f>ROUND(SUM(IF(AND(ER$9&lt;&gt;"",ER$11&lt;&gt;""),IF(EOMONTH($EP$3+INT((DAY(EOMONTH($EP$3,0))-1)/2)+ER$11,0)=EOMONTH($DB$3,0),ER$9*ER$10,0),0),IF(AND(EN$9&lt;&gt;"",EN$11&lt;&gt;""),IF(EOMONTH($EL$3+INT((DAY(EOMONTH($EL$3,0))-1)/2)+EN$11,0)=EOMONTH($DB$3,0),EN$9*EN$10,0),0),IF(AND(EJ$9&lt;&gt;"",EJ$11&lt;&gt;""),IF(EOMONTH($EH$3+INT((DAY(EOMONTH($EH$3,0))-1)/2)+EJ$11,0)=EOMONTH($DB$3,0),EJ$9*EJ$10,0),0),IF(AND(EF$9&lt;&gt;"",EF$11&lt;&gt;""),IF(EOMONTH($ED$3+INT((DAY(EOMONTH($ED$3,0))-1)/2)+EF$11,0)=EOMONTH($DB$3,0),EF$9*EF$10,0),0),IF(AND(EB$9&lt;&gt;"",EB$11&lt;&gt;""),IF(EOMONTH($DZ$3+INT((DAY(EOMONTH($DZ$3,0))-1)/2)+EB$11,0)=EOMONTH($DB$3,0),EB$9*EB$10,0),0),IF(AND(DX$9&lt;&gt;"",DX$11&lt;&gt;""),IF(EOMONTH($DV$3+INT((DAY(EOMONTH($DV$3,0))-1)/2)+DX$11,0)=EOMONTH($DB$3,0),DX$9*DX$10,0),0),IF(AND(DT$9&lt;&gt;"",DT$11&lt;&gt;""),IF(EOMONTH($DR$3+INT((DAY(EOMONTH($DR$3,0))-1)/2)+DT$11,0)=EOMONTH($DB$3,0),DT$9*DT$10,0),0),IF(AND(DP$9&lt;&gt;"",DP$11&lt;&gt;""),IF(EOMONTH($DN$3+INT((DAY(EOMONTH($DN$3,0))-1)/2)+DP$11,0)=EOMONTH($DB$3,0),DP$9*DP$10,0),0),IF(AND(DL$9&lt;&gt;"",DL$11&lt;&gt;""),IF(EOMONTH($DJ$3+INT((DAY(EOMONTH($DJ$3,0))-1)/2)+DL$11,0)=EOMONTH($DB$3,0),DL$9*DL$10,0),0),IF(AND(DH$9&lt;&gt;"",DH$11&lt;&gt;""),IF(EOMONTH($DF$3+INT((DAY(EOMONTH($DF$3,0))-1)/2)+DH$11,0)=EOMONTH($DB$3,0),DH$9*DH$10,0),0),IF(AND(DD$9&lt;&gt;"",DD$11&lt;&gt;""),IF(EOMONTH($DB$3+INT((DAY(EOMONTH($DB$3,0))-1)/2)+DD$11,0)=EOMONTH($DB$3,0),DD$9*DD$10,0),0),IF(AND(CZ$9&lt;&gt;"",CZ$11&lt;&gt;""),IF(EOMONTH($CX$3+INT((DAY(EOMONTH($CX$3,0))-1)/2)+CZ$11,0)=EOMONTH($DB$3,0),CZ$9*CZ$10,0),0),IF(AND(CV$9&lt;&gt;"",CV$11&lt;&gt;""),IF(EOMONTH($CT$3+INT((DAY(EOMONTH($CT$3,0))-1)/2)+CV$11,0)=EOMONTH($DB$3,0),CV$9*CV$10,0),0),IF(AND(CR$9&lt;&gt;"",CR$11&lt;&gt;""),IF(EOMONTH($CP$3+INT((DAY(EOMONTH($CP$3,0))-1)/2)+CR$11,0)=EOMONTH($DB$3,0),CR$9*CR$10,0),0),IF(AND(CN$9&lt;&gt;"",CN$11&lt;&gt;""),IF(EOMONTH($CL$3+INT((DAY(EOMONTH($CL$3,0))-1)/2)+CN$11,0)=EOMONTH($DB$3,0),CN$9*CN$10,0),0),IF(AND(CJ$9&lt;&gt;"",CJ$11&lt;&gt;""),IF(EOMONTH($CH$3+INT((DAY(EOMONTH($CH$3,0))-1)/2)+CJ$11,0)=EOMONTH($DB$3,0),CJ$9*CJ$10,0),0),IF(AND(CF$9&lt;&gt;"",CF$11&lt;&gt;""),IF(EOMONTH($CD$3+INT((DAY(EOMONTH($CD$3,0))-1)/2)+CF$11,0)=EOMONTH($DB$3,0),CF$9*CF$10,0),0),IF(AND(CB$9&lt;&gt;"",CB$11&lt;&gt;""),IF(EOMONTH($BZ$3+INT((DAY(EOMONTH($BZ$3,0))-1)/2)+CB$11,0)=EOMONTH($DB$3,0),CB$9*CB$10,0),0),IF(AND(BX$9&lt;&gt;"",BX$11&lt;&gt;""),IF(EOMONTH($BV$3+INT((DAY(EOMONTH($BV$3,0))-1)/2)+BX$11,0)=EOMONTH($DB$3,0),BX$9*BX$10,0),0),IF(AND(BT$9&lt;&gt;"",BT$11&lt;&gt;""),IF(EOMONTH($BR$3+INT((DAY(EOMONTH($BR$3,0))-1)/2)+BT$11,0)=EOMONTH($DB$3,0),BT$9*BT$10,0),0),IF(AND(BP$9&lt;&gt;"",BP$11&lt;&gt;""),IF(EOMONTH($BN$3+INT((DAY(EOMONTH($BN$3,0))-1)/2)+BP$11,0)=EOMONTH($DB$3,0),BP$9*BP$10,0),0),IF(AND(BL$9&lt;&gt;"",BL$11&lt;&gt;""),IF(EOMONTH($BJ$3+INT((DAY(EOMONTH($BJ$3,0))-1)/2)+BL$11,0)=EOMONTH($DB$3,0),BL$9*BL$10,0),0),IF(AND(BH$9&lt;&gt;"",BH$11&lt;&gt;""),IF(EOMONTH($BF$3+INT((DAY(EOMONTH($BF$3,0))-1)/2)+BH$11,0)=EOMONTH($DB$3,0),BH$9*BH$10,0),0),IF(AND(BD$9&lt;&gt;"",BD$11&lt;&gt;""),IF(EOMONTH($BB$3+INT((DAY(EOMONTH($BB$3,0))-1)/2)+BD$11,0)=EOMONTH($DB$3,0),BD$9*BD$10,0),0),IF(AND(AZ$9&lt;&gt;"",AZ$11&lt;&gt;""),IF(EOMONTH($AX$3+INT((DAY(EOMONTH($AX$3,0))-1)/2)+AZ$11,0)=EOMONTH($DB$3,0),AZ$9*AZ$10,0),0),IF(AND(AV$9&lt;&gt;"",AV$11&lt;&gt;""),IF(EOMONTH($AT$3+INT((DAY(EOMONTH($AT$3,0))-1)/2)+AV$11,0)=EOMONTH($DB$3,0),AV$9*AV$10,0),0),IF(AND(AR$9&lt;&gt;"",AR$11&lt;&gt;""),IF(EOMONTH($AP$3+INT((DAY(EOMONTH($AP$3,0))-1)/2)+AR$11,0)=EOMONTH($DB$3,0),AR$9*AR$10,0),0),IF(AND(AN$9&lt;&gt;"",AN$11&lt;&gt;""),IF(EOMONTH($AL$3+INT((DAY(EOMONTH($AL$3,0))-1)/2)+AN$11,0)=EOMONTH($DB$3,0),AN$9*AN$10,0),0),IF(AND(AJ$9&lt;&gt;"",AJ$11&lt;&gt;""),IF(EOMONTH($AH$3+INT((DAY(EOMONTH($AH$3,0))-1)/2)+AJ$11,0)=EOMONTH($DB$3,0),AJ$9*AJ$10,0),0),IF(AND(AF$9&lt;&gt;"",AF$11&lt;&gt;""),IF(EOMONTH($AD$3+INT((DAY(EOMONTH($AD$3,0))-1)/2)+AF$11,0)=EOMONTH($DB$3,0),AF$9*AF$10,0),0),IF(AND(AB$9&lt;&gt;"",AB$11&lt;&gt;""),IF(EOMONTH($Z$3+INT((DAY(EOMONTH($Z$3,0))-1)/2)+AB$11,0)=EOMONTH($DB$3,0),AB$9*AB$10,0),0),IF(AND(X$9&lt;&gt;"",X$11&lt;&gt;""),IF(EOMONTH($V$3+INT((DAY(EOMONTH($V$3,0))-1)/2)+X$11,0)=EOMONTH($DB$3,0),X$9*X$10,0),0),IF(AND(T$9&lt;&gt;"",T$11&lt;&gt;""),IF(EOMONTH($R$3+INT((DAY(EOMONTH($R$3,0))-1)/2)+T$11,0)=EOMONTH($DB$3,0),T$9*T$10,0),0),IF(AND(P$9&lt;&gt;"",P$11&lt;&gt;""),IF(EOMONTH($N$3+INT((DAY(EOMONTH($N$3,0))-1)/2)+P$11,0)=EOMONTH($DB$3,0),P$9*P$10,0),0),IF(AND(L$9&lt;&gt;"",L$11&lt;&gt;""),IF(EOMONTH($J$3+INT((DAY(EOMONTH($J$3,0))-1)/2)+L$11,0)=EOMONTH($DB$3,0),L$9*L$10,0),0),IF(AND(H$9&lt;&gt;"",H$11&lt;&gt;""),IF(EOMONTH($F$3+INT((DAY(EOMONTH($F$3,0))-1)/2)+H$11,0)=EOMONTH($DB$3,0),H$9*H$10,0),0),IF($EP$75="",0,IF(EOMONTH($EP$75+ER$11,0)=EOMONTH($DB$3,0),$EP$76*ER$10,0))),0)</f>
        <v>0</v>
      </c>
      <c r="DE12" s="16">
        <f t="shared" si="55"/>
        <v>0</v>
      </c>
      <c r="DF12" s="17"/>
      <c r="DG12" s="14">
        <f>IF(DF$98=1,DF12,ROUND(SUM(IF(AND(EQ$9&lt;&gt;"",EQ$11&lt;&gt;""),IF(EOMONTH($EP$3+INT((DAY(EOMONTH($EP$3,0))-1)/2)+EQ$11,0)=EOMONTH($DF$3,0),EQ$9*EQ$10,0),0),IF(AND(EM$9&lt;&gt;"",EM$11&lt;&gt;""),IF(EOMONTH($EL$3+INT((DAY(EOMONTH($EL$3,0))-1)/2)+EM$11,0)=EOMONTH($DF$3,0),EM$9*EM$10,0),0),IF(AND(EI$9&lt;&gt;"",EI$11&lt;&gt;""),IF(EOMONTH($EH$3+INT((DAY(EOMONTH($EH$3,0))-1)/2)+EI$11,0)=EOMONTH($DF$3,0),EI$9*EI$10,0),0),IF(AND(EE$9&lt;&gt;"",EE$11&lt;&gt;""),IF(EOMONTH($ED$3+INT((DAY(EOMONTH($ED$3,0))-1)/2)+EE$11,0)=EOMONTH($DF$3,0),EE$9*EE$10,0),0),IF(AND(EA$9&lt;&gt;"",EA$11&lt;&gt;""),IF(EOMONTH($DZ$3+INT((DAY(EOMONTH($DZ$3,0))-1)/2)+EA$11,0)=EOMONTH($DF$3,0),EA$9*EA$10,0),0),IF(AND(DW$9&lt;&gt;"",DW$11&lt;&gt;""),IF(EOMONTH($DV$3+INT((DAY(EOMONTH($DV$3,0))-1)/2)+DW$11,0)=EOMONTH($DF$3,0),DW$9*DW$10,0),0),IF(AND(DS$9&lt;&gt;"",DS$11&lt;&gt;""),IF(EOMONTH($DR$3+INT((DAY(EOMONTH($DR$3,0))-1)/2)+DS$11,0)=EOMONTH($DF$3,0),DS$9*DS$10,0),0),IF(AND(DO$9&lt;&gt;"",DO$11&lt;&gt;""),IF(EOMONTH($DN$3+INT((DAY(EOMONTH($DN$3,0))-1)/2)+DO$11,0)=EOMONTH($DF$3,0),DO$9*DO$10,0),0),IF(AND(DK$9&lt;&gt;"",DK$11&lt;&gt;""),IF(EOMONTH($DJ$3+INT((DAY(EOMONTH($DJ$3,0))-1)/2)+DK$11,0)=EOMONTH($DF$3,0),DK$9*DK$10,0),0),IF(AND(DG$9&lt;&gt;"",DG$11&lt;&gt;""),IF(EOMONTH($DF$3+INT((DAY(EOMONTH($DF$3,0))-1)/2)+DG$11,0)=EOMONTH($DF$3,0),DG$9*DG$10,0),0),IF(AND(DC$9&lt;&gt;"",DC$11&lt;&gt;""),IF(EOMONTH($DB$3+INT((DAY(EOMONTH($DB$3,0))-1)/2)+DC$11,0)=EOMONTH($DF$3,0),DC$9*DC$10,0),0),IF(AND(CY$9&lt;&gt;"",CY$11&lt;&gt;""),IF(EOMONTH($CX$3+INT((DAY(EOMONTH($CX$3,0))-1)/2)+CY$11,0)=EOMONTH($DF$3,0),CY$9*CY$10,0),0),IF(AND(CU$9&lt;&gt;"",CU$11&lt;&gt;""),IF(EOMONTH($CT$3+INT((DAY(EOMONTH($CT$3,0))-1)/2)+CU$11,0)=EOMONTH($DF$3,0),CU$9*CU$10,0),0),IF(AND(CQ$9&lt;&gt;"",CQ$11&lt;&gt;""),IF(EOMONTH($CP$3+INT((DAY(EOMONTH($CP$3,0))-1)/2)+CQ$11,0)=EOMONTH($DF$3,0),CQ$9*CQ$10,0),0),IF(AND(CM$9&lt;&gt;"",CM$11&lt;&gt;""),IF(EOMONTH($CL$3+INT((DAY(EOMONTH($CL$3,0))-1)/2)+CM$11,0)=EOMONTH($DF$3,0),CM$9*CM$10,0),0),IF(AND(CI$9&lt;&gt;"",CI$11&lt;&gt;""),IF(EOMONTH($CH$3+INT((DAY(EOMONTH($CH$3,0))-1)/2)+CI$11,0)=EOMONTH($DF$3,0),CI$9*CI$10,0),0),IF(AND(CE$9&lt;&gt;"",CE$11&lt;&gt;""),IF(EOMONTH($CD$3+INT((DAY(EOMONTH($CD$3,0))-1)/2)+CE$11,0)=EOMONTH($DF$3,0),CE$9*CE$10,0),0),IF(AND(CA$9&lt;&gt;"",CA$11&lt;&gt;""),IF(EOMONTH($BZ$3+INT((DAY(EOMONTH($BZ$3,0))-1)/2)+CA$11,0)=EOMONTH($DF$3,0),CA$9*CA$10,0),0),IF(AND(BW$9&lt;&gt;"",BW$11&lt;&gt;""),IF(EOMONTH($BV$3+INT((DAY(EOMONTH($BV$3,0))-1)/2)+BW$11,0)=EOMONTH($DF$3,0),BW$9*BW$10,0),0),IF(AND(BS$9&lt;&gt;"",BS$11&lt;&gt;""),IF(EOMONTH($BR$3+INT((DAY(EOMONTH($BR$3,0))-1)/2)+BS$11,0)=EOMONTH($DF$3,0),BS$9*BS$10,0),0),IF(AND(BO$9&lt;&gt;"",BO$11&lt;&gt;""),IF(EOMONTH($BN$3+INT((DAY(EOMONTH($BN$3,0))-1)/2)+BO$11,0)=EOMONTH($DF$3,0),BO$9*BO$10,0),0),IF(AND(BK$9&lt;&gt;"",BK$11&lt;&gt;""),IF(EOMONTH($BJ$3+INT((DAY(EOMONTH($BJ$3,0))-1)/2)+BK$11,0)=EOMONTH($DF$3,0),BK$9*BK$10,0),0),IF(AND(BG$9&lt;&gt;"",BG$11&lt;&gt;""),IF(EOMONTH($BF$3+INT((DAY(EOMONTH($BF$3,0))-1)/2)+BG$11,0)=EOMONTH($DF$3,0),BG$9*BG$10,0),0),IF(AND(BC$9&lt;&gt;"",BC$11&lt;&gt;""),IF(EOMONTH($BB$3+INT((DAY(EOMONTH($BB$3,0))-1)/2)+BC$11,0)=EOMONTH($DF$3,0),BC$9*BC$10,0),0),IF(AND(AY$9&lt;&gt;"",AY$11&lt;&gt;""),IF(EOMONTH($AX$3+INT((DAY(EOMONTH($AX$3,0))-1)/2)+AY$11,0)=EOMONTH($DF$3,0),AY$9*AY$10,0),0),IF(AND(AU$9&lt;&gt;"",AU$11&lt;&gt;""),IF(EOMONTH($AT$3+INT((DAY(EOMONTH($AT$3,0))-1)/2)+AU$11,0)=EOMONTH($DF$3,0),AU$9*AU$10,0),0),IF(AND(AQ$9&lt;&gt;"",AQ$11&lt;&gt;""),IF(EOMONTH($AP$3+INT((DAY(EOMONTH($AP$3,0))-1)/2)+AQ$11,0)=EOMONTH($DF$3,0),AQ$9*AQ$10,0),0),IF(AND(AM$9&lt;&gt;"",AM$11&lt;&gt;""),IF(EOMONTH($AL$3+INT((DAY(EOMONTH($AL$3,0))-1)/2)+AM$11,0)=EOMONTH($DF$3,0),AM$9*AM$10,0),0),IF(AND(AI$9&lt;&gt;"",AI$11&lt;&gt;""),IF(EOMONTH($AH$3+INT((DAY(EOMONTH($AH$3,0))-1)/2)+AI$11,0)=EOMONTH($DF$3,0),AI$9*AI$10,0),0),IF(AND(AE$9&lt;&gt;"",AE$11&lt;&gt;""),IF(EOMONTH($AD$3+INT((DAY(EOMONTH($AD$3,0))-1)/2)+AE$11,0)=EOMONTH($DF$3,0),AE$9*AE$10,0),0),IF(AND(AA$9&lt;&gt;"",AA$11&lt;&gt;""),IF(EOMONTH($Z$3+INT((DAY(EOMONTH($Z$3,0))-1)/2)+AA$11,0)=EOMONTH($DF$3,0),AA$9*AA$10,0),0),IF(AND(W$9&lt;&gt;"",W$11&lt;&gt;""),IF(EOMONTH($V$3+INT((DAY(EOMONTH($V$3,0))-1)/2)+W$11,0)=EOMONTH($DF$3,0),W$9*W$10,0),0),IF(AND(S$9&lt;&gt;"",S$11&lt;&gt;""),IF(EOMONTH($R$3+INT((DAY(EOMONTH($R$3,0))-1)/2)+S$11,0)=EOMONTH($DF$3,0),S$9*S$10,0),0),IF(AND(O$9&lt;&gt;"",O$11&lt;&gt;""),IF(EOMONTH($N$3+INT((DAY(EOMONTH($N$3,0))-1)/2)+O$11,0)=EOMONTH($DF$3,0),O$9*O$10,0),0),IF(AND(K$9&lt;&gt;"",K$11&lt;&gt;""),IF(EOMONTH($J$3+INT((DAY(EOMONTH($J$3,0))-1)/2)+K$11,0)=EOMONTH($DF$3,0),K$9*K$10,0),0),IF(AND(G$9&lt;&gt;"",G$11&lt;&gt;""),IF(EOMONTH($F$3+INT((DAY(EOMONTH($F$3,0))-1)/2)+G$11,0)=EOMONTH($DF$3,0),G$9*G$10,0),0),IF($EP$75="",0,IF(EOMONTH($EP$75+EQ$11,0)=EOMONTH($DF$3,0),$EP$76*EQ$10,0))),0))</f>
        <v>0</v>
      </c>
      <c r="DH12" s="15">
        <f>ROUND(SUM(IF(AND(ER$9&lt;&gt;"",ER$11&lt;&gt;""),IF(EOMONTH($EP$3+INT((DAY(EOMONTH($EP$3,0))-1)/2)+ER$11,0)=EOMONTH($DF$3,0),ER$9*ER$10,0),0),IF(AND(EN$9&lt;&gt;"",EN$11&lt;&gt;""),IF(EOMONTH($EL$3+INT((DAY(EOMONTH($EL$3,0))-1)/2)+EN$11,0)=EOMONTH($DF$3,0),EN$9*EN$10,0),0),IF(AND(EJ$9&lt;&gt;"",EJ$11&lt;&gt;""),IF(EOMONTH($EH$3+INT((DAY(EOMONTH($EH$3,0))-1)/2)+EJ$11,0)=EOMONTH($DF$3,0),EJ$9*EJ$10,0),0),IF(AND(EF$9&lt;&gt;"",EF$11&lt;&gt;""),IF(EOMONTH($ED$3+INT((DAY(EOMONTH($ED$3,0))-1)/2)+EF$11,0)=EOMONTH($DF$3,0),EF$9*EF$10,0),0),IF(AND(EB$9&lt;&gt;"",EB$11&lt;&gt;""),IF(EOMONTH($DZ$3+INT((DAY(EOMONTH($DZ$3,0))-1)/2)+EB$11,0)=EOMONTH($DF$3,0),EB$9*EB$10,0),0),IF(AND(DX$9&lt;&gt;"",DX$11&lt;&gt;""),IF(EOMONTH($DV$3+INT((DAY(EOMONTH($DV$3,0))-1)/2)+DX$11,0)=EOMONTH($DF$3,0),DX$9*DX$10,0),0),IF(AND(DT$9&lt;&gt;"",DT$11&lt;&gt;""),IF(EOMONTH($DR$3+INT((DAY(EOMONTH($DR$3,0))-1)/2)+DT$11,0)=EOMONTH($DF$3,0),DT$9*DT$10,0),0),IF(AND(DP$9&lt;&gt;"",DP$11&lt;&gt;""),IF(EOMONTH($DN$3+INT((DAY(EOMONTH($DN$3,0))-1)/2)+DP$11,0)=EOMONTH($DF$3,0),DP$9*DP$10,0),0),IF(AND(DL$9&lt;&gt;"",DL$11&lt;&gt;""),IF(EOMONTH($DJ$3+INT((DAY(EOMONTH($DJ$3,0))-1)/2)+DL$11,0)=EOMONTH($DF$3,0),DL$9*DL$10,0),0),IF(AND(DH$9&lt;&gt;"",DH$11&lt;&gt;""),IF(EOMONTH($DF$3+INT((DAY(EOMONTH($DF$3,0))-1)/2)+DH$11,0)=EOMONTH($DF$3,0),DH$9*DH$10,0),0),IF(AND(DD$9&lt;&gt;"",DD$11&lt;&gt;""),IF(EOMONTH($DB$3+INT((DAY(EOMONTH($DB$3,0))-1)/2)+DD$11,0)=EOMONTH($DF$3,0),DD$9*DD$10,0),0),IF(AND(CZ$9&lt;&gt;"",CZ$11&lt;&gt;""),IF(EOMONTH($CX$3+INT((DAY(EOMONTH($CX$3,0))-1)/2)+CZ$11,0)=EOMONTH($DF$3,0),CZ$9*CZ$10,0),0),IF(AND(CV$9&lt;&gt;"",CV$11&lt;&gt;""),IF(EOMONTH($CT$3+INT((DAY(EOMONTH($CT$3,0))-1)/2)+CV$11,0)=EOMONTH($DF$3,0),CV$9*CV$10,0),0),IF(AND(CR$9&lt;&gt;"",CR$11&lt;&gt;""),IF(EOMONTH($CP$3+INT((DAY(EOMONTH($CP$3,0))-1)/2)+CR$11,0)=EOMONTH($DF$3,0),CR$9*CR$10,0),0),IF(AND(CN$9&lt;&gt;"",CN$11&lt;&gt;""),IF(EOMONTH($CL$3+INT((DAY(EOMONTH($CL$3,0))-1)/2)+CN$11,0)=EOMONTH($DF$3,0),CN$9*CN$10,0),0),IF(AND(CJ$9&lt;&gt;"",CJ$11&lt;&gt;""),IF(EOMONTH($CH$3+INT((DAY(EOMONTH($CH$3,0))-1)/2)+CJ$11,0)=EOMONTH($DF$3,0),CJ$9*CJ$10,0),0),IF(AND(CF$9&lt;&gt;"",CF$11&lt;&gt;""),IF(EOMONTH($CD$3+INT((DAY(EOMONTH($CD$3,0))-1)/2)+CF$11,0)=EOMONTH($DF$3,0),CF$9*CF$10,0),0),IF(AND(CB$9&lt;&gt;"",CB$11&lt;&gt;""),IF(EOMONTH($BZ$3+INT((DAY(EOMONTH($BZ$3,0))-1)/2)+CB$11,0)=EOMONTH($DF$3,0),CB$9*CB$10,0),0),IF(AND(BX$9&lt;&gt;"",BX$11&lt;&gt;""),IF(EOMONTH($BV$3+INT((DAY(EOMONTH($BV$3,0))-1)/2)+BX$11,0)=EOMONTH($DF$3,0),BX$9*BX$10,0),0),IF(AND(BT$9&lt;&gt;"",BT$11&lt;&gt;""),IF(EOMONTH($BR$3+INT((DAY(EOMONTH($BR$3,0))-1)/2)+BT$11,0)=EOMONTH($DF$3,0),BT$9*BT$10,0),0),IF(AND(BP$9&lt;&gt;"",BP$11&lt;&gt;""),IF(EOMONTH($BN$3+INT((DAY(EOMONTH($BN$3,0))-1)/2)+BP$11,0)=EOMONTH($DF$3,0),BP$9*BP$10,0),0),IF(AND(BL$9&lt;&gt;"",BL$11&lt;&gt;""),IF(EOMONTH($BJ$3+INT((DAY(EOMONTH($BJ$3,0))-1)/2)+BL$11,0)=EOMONTH($DF$3,0),BL$9*BL$10,0),0),IF(AND(BH$9&lt;&gt;"",BH$11&lt;&gt;""),IF(EOMONTH($BF$3+INT((DAY(EOMONTH($BF$3,0))-1)/2)+BH$11,0)=EOMONTH($DF$3,0),BH$9*BH$10,0),0),IF(AND(BD$9&lt;&gt;"",BD$11&lt;&gt;""),IF(EOMONTH($BB$3+INT((DAY(EOMONTH($BB$3,0))-1)/2)+BD$11,0)=EOMONTH($DF$3,0),BD$9*BD$10,0),0),IF(AND(AZ$9&lt;&gt;"",AZ$11&lt;&gt;""),IF(EOMONTH($AX$3+INT((DAY(EOMONTH($AX$3,0))-1)/2)+AZ$11,0)=EOMONTH($DF$3,0),AZ$9*AZ$10,0),0),IF(AND(AV$9&lt;&gt;"",AV$11&lt;&gt;""),IF(EOMONTH($AT$3+INT((DAY(EOMONTH($AT$3,0))-1)/2)+AV$11,0)=EOMONTH($DF$3,0),AV$9*AV$10,0),0),IF(AND(AR$9&lt;&gt;"",AR$11&lt;&gt;""),IF(EOMONTH($AP$3+INT((DAY(EOMONTH($AP$3,0))-1)/2)+AR$11,0)=EOMONTH($DF$3,0),AR$9*AR$10,0),0),IF(AND(AN$9&lt;&gt;"",AN$11&lt;&gt;""),IF(EOMONTH($AL$3+INT((DAY(EOMONTH($AL$3,0))-1)/2)+AN$11,0)=EOMONTH($DF$3,0),AN$9*AN$10,0),0),IF(AND(AJ$9&lt;&gt;"",AJ$11&lt;&gt;""),IF(EOMONTH($AH$3+INT((DAY(EOMONTH($AH$3,0))-1)/2)+AJ$11,0)=EOMONTH($DF$3,0),AJ$9*AJ$10,0),0),IF(AND(AF$9&lt;&gt;"",AF$11&lt;&gt;""),IF(EOMONTH($AD$3+INT((DAY(EOMONTH($AD$3,0))-1)/2)+AF$11,0)=EOMONTH($DF$3,0),AF$9*AF$10,0),0),IF(AND(AB$9&lt;&gt;"",AB$11&lt;&gt;""),IF(EOMONTH($Z$3+INT((DAY(EOMONTH($Z$3,0))-1)/2)+AB$11,0)=EOMONTH($DF$3,0),AB$9*AB$10,0),0),IF(AND(X$9&lt;&gt;"",X$11&lt;&gt;""),IF(EOMONTH($V$3+INT((DAY(EOMONTH($V$3,0))-1)/2)+X$11,0)=EOMONTH($DF$3,0),X$9*X$10,0),0),IF(AND(T$9&lt;&gt;"",T$11&lt;&gt;""),IF(EOMONTH($R$3+INT((DAY(EOMONTH($R$3,0))-1)/2)+T$11,0)=EOMONTH($DF$3,0),T$9*T$10,0),0),IF(AND(P$9&lt;&gt;"",P$11&lt;&gt;""),IF(EOMONTH($N$3+INT((DAY(EOMONTH($N$3,0))-1)/2)+P$11,0)=EOMONTH($DF$3,0),P$9*P$10,0),0),IF(AND(L$9&lt;&gt;"",L$11&lt;&gt;""),IF(EOMONTH($J$3+INT((DAY(EOMONTH($J$3,0))-1)/2)+L$11,0)=EOMONTH($DF$3,0),L$9*L$10,0),0),IF(AND(H$9&lt;&gt;"",H$11&lt;&gt;""),IF(EOMONTH($F$3+INT((DAY(EOMONTH($F$3,0))-1)/2)+H$11,0)=EOMONTH($DF$3,0),H$9*H$10,0),0),IF($EP$75="",0,IF(EOMONTH($EP$75+ER$11,0)=EOMONTH($DF$3,0),$EP$76*ER$10,0))),0)</f>
        <v>0</v>
      </c>
      <c r="DI12" s="16">
        <f t="shared" si="57"/>
        <v>0</v>
      </c>
      <c r="DJ12" s="17"/>
      <c r="DK12" s="14">
        <f>IF(DJ$98=1,DJ12,ROUND(SUM(IF(AND(EQ$9&lt;&gt;"",EQ$11&lt;&gt;""),IF(EOMONTH($EP$3+INT((DAY(EOMONTH($EP$3,0))-1)/2)+EQ$11,0)=EOMONTH($DJ$3,0),EQ$9*EQ$10,0),0),IF(AND(EM$9&lt;&gt;"",EM$11&lt;&gt;""),IF(EOMONTH($EL$3+INT((DAY(EOMONTH($EL$3,0))-1)/2)+EM$11,0)=EOMONTH($DJ$3,0),EM$9*EM$10,0),0),IF(AND(EI$9&lt;&gt;"",EI$11&lt;&gt;""),IF(EOMONTH($EH$3+INT((DAY(EOMONTH($EH$3,0))-1)/2)+EI$11,0)=EOMONTH($DJ$3,0),EI$9*EI$10,0),0),IF(AND(EE$9&lt;&gt;"",EE$11&lt;&gt;""),IF(EOMONTH($ED$3+INT((DAY(EOMONTH($ED$3,0))-1)/2)+EE$11,0)=EOMONTH($DJ$3,0),EE$9*EE$10,0),0),IF(AND(EA$9&lt;&gt;"",EA$11&lt;&gt;""),IF(EOMONTH($DZ$3+INT((DAY(EOMONTH($DZ$3,0))-1)/2)+EA$11,0)=EOMONTH($DJ$3,0),EA$9*EA$10,0),0),IF(AND(DW$9&lt;&gt;"",DW$11&lt;&gt;""),IF(EOMONTH($DV$3+INT((DAY(EOMONTH($DV$3,0))-1)/2)+DW$11,0)=EOMONTH($DJ$3,0),DW$9*DW$10,0),0),IF(AND(DS$9&lt;&gt;"",DS$11&lt;&gt;""),IF(EOMONTH($DR$3+INT((DAY(EOMONTH($DR$3,0))-1)/2)+DS$11,0)=EOMONTH($DJ$3,0),DS$9*DS$10,0),0),IF(AND(DO$9&lt;&gt;"",DO$11&lt;&gt;""),IF(EOMONTH($DN$3+INT((DAY(EOMONTH($DN$3,0))-1)/2)+DO$11,0)=EOMONTH($DJ$3,0),DO$9*DO$10,0),0),IF(AND(DK$9&lt;&gt;"",DK$11&lt;&gt;""),IF(EOMONTH($DJ$3+INT((DAY(EOMONTH($DJ$3,0))-1)/2)+DK$11,0)=EOMONTH($DJ$3,0),DK$9*DK$10,0),0),IF(AND(DG$9&lt;&gt;"",DG$11&lt;&gt;""),IF(EOMONTH($DF$3+INT((DAY(EOMONTH($DF$3,0))-1)/2)+DG$11,0)=EOMONTH($DJ$3,0),DG$9*DG$10,0),0),IF(AND(DC$9&lt;&gt;"",DC$11&lt;&gt;""),IF(EOMONTH($DB$3+INT((DAY(EOMONTH($DB$3,0))-1)/2)+DC$11,0)=EOMONTH($DJ$3,0),DC$9*DC$10,0),0),IF(AND(CY$9&lt;&gt;"",CY$11&lt;&gt;""),IF(EOMONTH($CX$3+INT((DAY(EOMONTH($CX$3,0))-1)/2)+CY$11,0)=EOMONTH($DJ$3,0),CY$9*CY$10,0),0),IF(AND(CU$9&lt;&gt;"",CU$11&lt;&gt;""),IF(EOMONTH($CT$3+INT((DAY(EOMONTH($CT$3,0))-1)/2)+CU$11,0)=EOMONTH($DJ$3,0),CU$9*CU$10,0),0),IF(AND(CQ$9&lt;&gt;"",CQ$11&lt;&gt;""),IF(EOMONTH($CP$3+INT((DAY(EOMONTH($CP$3,0))-1)/2)+CQ$11,0)=EOMONTH($DJ$3,0),CQ$9*CQ$10,0),0),IF(AND(CM$9&lt;&gt;"",CM$11&lt;&gt;""),IF(EOMONTH($CL$3+INT((DAY(EOMONTH($CL$3,0))-1)/2)+CM$11,0)=EOMONTH($DJ$3,0),CM$9*CM$10,0),0),IF(AND(CI$9&lt;&gt;"",CI$11&lt;&gt;""),IF(EOMONTH($CH$3+INT((DAY(EOMONTH($CH$3,0))-1)/2)+CI$11,0)=EOMONTH($DJ$3,0),CI$9*CI$10,0),0),IF(AND(CE$9&lt;&gt;"",CE$11&lt;&gt;""),IF(EOMONTH($CD$3+INT((DAY(EOMONTH($CD$3,0))-1)/2)+CE$11,0)=EOMONTH($DJ$3,0),CE$9*CE$10,0),0),IF(AND(CA$9&lt;&gt;"",CA$11&lt;&gt;""),IF(EOMONTH($BZ$3+INT((DAY(EOMONTH($BZ$3,0))-1)/2)+CA$11,0)=EOMONTH($DJ$3,0),CA$9*CA$10,0),0),IF(AND(BW$9&lt;&gt;"",BW$11&lt;&gt;""),IF(EOMONTH($BV$3+INT((DAY(EOMONTH($BV$3,0))-1)/2)+BW$11,0)=EOMONTH($DJ$3,0),BW$9*BW$10,0),0),IF(AND(BS$9&lt;&gt;"",BS$11&lt;&gt;""),IF(EOMONTH($BR$3+INT((DAY(EOMONTH($BR$3,0))-1)/2)+BS$11,0)=EOMONTH($DJ$3,0),BS$9*BS$10,0),0),IF(AND(BO$9&lt;&gt;"",BO$11&lt;&gt;""),IF(EOMONTH($BN$3+INT((DAY(EOMONTH($BN$3,0))-1)/2)+BO$11,0)=EOMONTH($DJ$3,0),BO$9*BO$10,0),0),IF(AND(BK$9&lt;&gt;"",BK$11&lt;&gt;""),IF(EOMONTH($BJ$3+INT((DAY(EOMONTH($BJ$3,0))-1)/2)+BK$11,0)=EOMONTH($DJ$3,0),BK$9*BK$10,0),0),IF(AND(BG$9&lt;&gt;"",BG$11&lt;&gt;""),IF(EOMONTH($BF$3+INT((DAY(EOMONTH($BF$3,0))-1)/2)+BG$11,0)=EOMONTH($DJ$3,0),BG$9*BG$10,0),0),IF(AND(BC$9&lt;&gt;"",BC$11&lt;&gt;""),IF(EOMONTH($BB$3+INT((DAY(EOMONTH($BB$3,0))-1)/2)+BC$11,0)=EOMONTH($DJ$3,0),BC$9*BC$10,0),0),IF(AND(AY$9&lt;&gt;"",AY$11&lt;&gt;""),IF(EOMONTH($AX$3+INT((DAY(EOMONTH($AX$3,0))-1)/2)+AY$11,0)=EOMONTH($DJ$3,0),AY$9*AY$10,0),0),IF(AND(AU$9&lt;&gt;"",AU$11&lt;&gt;""),IF(EOMONTH($AT$3+INT((DAY(EOMONTH($AT$3,0))-1)/2)+AU$11,0)=EOMONTH($DJ$3,0),AU$9*AU$10,0),0),IF(AND(AQ$9&lt;&gt;"",AQ$11&lt;&gt;""),IF(EOMONTH($AP$3+INT((DAY(EOMONTH($AP$3,0))-1)/2)+AQ$11,0)=EOMONTH($DJ$3,0),AQ$9*AQ$10,0),0),IF(AND(AM$9&lt;&gt;"",AM$11&lt;&gt;""),IF(EOMONTH($AL$3+INT((DAY(EOMONTH($AL$3,0))-1)/2)+AM$11,0)=EOMONTH($DJ$3,0),AM$9*AM$10,0),0),IF(AND(AI$9&lt;&gt;"",AI$11&lt;&gt;""),IF(EOMONTH($AH$3+INT((DAY(EOMONTH($AH$3,0))-1)/2)+AI$11,0)=EOMONTH($DJ$3,0),AI$9*AI$10,0),0),IF(AND(AE$9&lt;&gt;"",AE$11&lt;&gt;""),IF(EOMONTH($AD$3+INT((DAY(EOMONTH($AD$3,0))-1)/2)+AE$11,0)=EOMONTH($DJ$3,0),AE$9*AE$10,0),0),IF(AND(AA$9&lt;&gt;"",AA$11&lt;&gt;""),IF(EOMONTH($Z$3+INT((DAY(EOMONTH($Z$3,0))-1)/2)+AA$11,0)=EOMONTH($DJ$3,0),AA$9*AA$10,0),0),IF(AND(W$9&lt;&gt;"",W$11&lt;&gt;""),IF(EOMONTH($V$3+INT((DAY(EOMONTH($V$3,0))-1)/2)+W$11,0)=EOMONTH($DJ$3,0),W$9*W$10,0),0),IF(AND(S$9&lt;&gt;"",S$11&lt;&gt;""),IF(EOMONTH($R$3+INT((DAY(EOMONTH($R$3,0))-1)/2)+S$11,0)=EOMONTH($DJ$3,0),S$9*S$10,0),0),IF(AND(O$9&lt;&gt;"",O$11&lt;&gt;""),IF(EOMONTH($N$3+INT((DAY(EOMONTH($N$3,0))-1)/2)+O$11,0)=EOMONTH($DJ$3,0),O$9*O$10,0),0),IF(AND(K$9&lt;&gt;"",K$11&lt;&gt;""),IF(EOMONTH($J$3+INT((DAY(EOMONTH($J$3,0))-1)/2)+K$11,0)=EOMONTH($DJ$3,0),K$9*K$10,0),0),IF(AND(G$9&lt;&gt;"",G$11&lt;&gt;""),IF(EOMONTH($F$3+INT((DAY(EOMONTH($F$3,0))-1)/2)+G$11,0)=EOMONTH($DJ$3,0),G$9*G$10,0),0),IF($EP$75="",0,IF(EOMONTH($EP$75+EQ$11,0)=EOMONTH($DJ$3,0),$EP$76*EQ$10,0))),0))</f>
        <v>0</v>
      </c>
      <c r="DL12" s="15">
        <f>ROUND(SUM(IF(AND(ER$9&lt;&gt;"",ER$11&lt;&gt;""),IF(EOMONTH($EP$3+INT((DAY(EOMONTH($EP$3,0))-1)/2)+ER$11,0)=EOMONTH($DJ$3,0),ER$9*ER$10,0),0),IF(AND(EN$9&lt;&gt;"",EN$11&lt;&gt;""),IF(EOMONTH($EL$3+INT((DAY(EOMONTH($EL$3,0))-1)/2)+EN$11,0)=EOMONTH($DJ$3,0),EN$9*EN$10,0),0),IF(AND(EJ$9&lt;&gt;"",EJ$11&lt;&gt;""),IF(EOMONTH($EH$3+INT((DAY(EOMONTH($EH$3,0))-1)/2)+EJ$11,0)=EOMONTH($DJ$3,0),EJ$9*EJ$10,0),0),IF(AND(EF$9&lt;&gt;"",EF$11&lt;&gt;""),IF(EOMONTH($ED$3+INT((DAY(EOMONTH($ED$3,0))-1)/2)+EF$11,0)=EOMONTH($DJ$3,0),EF$9*EF$10,0),0),IF(AND(EB$9&lt;&gt;"",EB$11&lt;&gt;""),IF(EOMONTH($DZ$3+INT((DAY(EOMONTH($DZ$3,0))-1)/2)+EB$11,0)=EOMONTH($DJ$3,0),EB$9*EB$10,0),0),IF(AND(DX$9&lt;&gt;"",DX$11&lt;&gt;""),IF(EOMONTH($DV$3+INT((DAY(EOMONTH($DV$3,0))-1)/2)+DX$11,0)=EOMONTH($DJ$3,0),DX$9*DX$10,0),0),IF(AND(DT$9&lt;&gt;"",DT$11&lt;&gt;""),IF(EOMONTH($DR$3+INT((DAY(EOMONTH($DR$3,0))-1)/2)+DT$11,0)=EOMONTH($DJ$3,0),DT$9*DT$10,0),0),IF(AND(DP$9&lt;&gt;"",DP$11&lt;&gt;""),IF(EOMONTH($DN$3+INT((DAY(EOMONTH($DN$3,0))-1)/2)+DP$11,0)=EOMONTH($DJ$3,0),DP$9*DP$10,0),0),IF(AND(DL$9&lt;&gt;"",DL$11&lt;&gt;""),IF(EOMONTH($DJ$3+INT((DAY(EOMONTH($DJ$3,0))-1)/2)+DL$11,0)=EOMONTH($DJ$3,0),DL$9*DL$10,0),0),IF(AND(DH$9&lt;&gt;"",DH$11&lt;&gt;""),IF(EOMONTH($DF$3+INT((DAY(EOMONTH($DF$3,0))-1)/2)+DH$11,0)=EOMONTH($DJ$3,0),DH$9*DH$10,0),0),IF(AND(DD$9&lt;&gt;"",DD$11&lt;&gt;""),IF(EOMONTH($DB$3+INT((DAY(EOMONTH($DB$3,0))-1)/2)+DD$11,0)=EOMONTH($DJ$3,0),DD$9*DD$10,0),0),IF(AND(CZ$9&lt;&gt;"",CZ$11&lt;&gt;""),IF(EOMONTH($CX$3+INT((DAY(EOMONTH($CX$3,0))-1)/2)+CZ$11,0)=EOMONTH($DJ$3,0),CZ$9*CZ$10,0),0),IF(AND(CV$9&lt;&gt;"",CV$11&lt;&gt;""),IF(EOMONTH($CT$3+INT((DAY(EOMONTH($CT$3,0))-1)/2)+CV$11,0)=EOMONTH($DJ$3,0),CV$9*CV$10,0),0),IF(AND(CR$9&lt;&gt;"",CR$11&lt;&gt;""),IF(EOMONTH($CP$3+INT((DAY(EOMONTH($CP$3,0))-1)/2)+CR$11,0)=EOMONTH($DJ$3,0),CR$9*CR$10,0),0),IF(AND(CN$9&lt;&gt;"",CN$11&lt;&gt;""),IF(EOMONTH($CL$3+INT((DAY(EOMONTH($CL$3,0))-1)/2)+CN$11,0)=EOMONTH($DJ$3,0),CN$9*CN$10,0),0),IF(AND(CJ$9&lt;&gt;"",CJ$11&lt;&gt;""),IF(EOMONTH($CH$3+INT((DAY(EOMONTH($CH$3,0))-1)/2)+CJ$11,0)=EOMONTH($DJ$3,0),CJ$9*CJ$10,0),0),IF(AND(CF$9&lt;&gt;"",CF$11&lt;&gt;""),IF(EOMONTH($CD$3+INT((DAY(EOMONTH($CD$3,0))-1)/2)+CF$11,0)=EOMONTH($DJ$3,0),CF$9*CF$10,0),0),IF(AND(CB$9&lt;&gt;"",CB$11&lt;&gt;""),IF(EOMONTH($BZ$3+INT((DAY(EOMONTH($BZ$3,0))-1)/2)+CB$11,0)=EOMONTH($DJ$3,0),CB$9*CB$10,0),0),IF(AND(BX$9&lt;&gt;"",BX$11&lt;&gt;""),IF(EOMONTH($BV$3+INT((DAY(EOMONTH($BV$3,0))-1)/2)+BX$11,0)=EOMONTH($DJ$3,0),BX$9*BX$10,0),0),IF(AND(BT$9&lt;&gt;"",BT$11&lt;&gt;""),IF(EOMONTH($BR$3+INT((DAY(EOMONTH($BR$3,0))-1)/2)+BT$11,0)=EOMONTH($DJ$3,0),BT$9*BT$10,0),0),IF(AND(BP$9&lt;&gt;"",BP$11&lt;&gt;""),IF(EOMONTH($BN$3+INT((DAY(EOMONTH($BN$3,0))-1)/2)+BP$11,0)=EOMONTH($DJ$3,0),BP$9*BP$10,0),0),IF(AND(BL$9&lt;&gt;"",BL$11&lt;&gt;""),IF(EOMONTH($BJ$3+INT((DAY(EOMONTH($BJ$3,0))-1)/2)+BL$11,0)=EOMONTH($DJ$3,0),BL$9*BL$10,0),0),IF(AND(BH$9&lt;&gt;"",BH$11&lt;&gt;""),IF(EOMONTH($BF$3+INT((DAY(EOMONTH($BF$3,0))-1)/2)+BH$11,0)=EOMONTH($DJ$3,0),BH$9*BH$10,0),0),IF(AND(BD$9&lt;&gt;"",BD$11&lt;&gt;""),IF(EOMONTH($BB$3+INT((DAY(EOMONTH($BB$3,0))-1)/2)+BD$11,0)=EOMONTH($DJ$3,0),BD$9*BD$10,0),0),IF(AND(AZ$9&lt;&gt;"",AZ$11&lt;&gt;""),IF(EOMONTH($AX$3+INT((DAY(EOMONTH($AX$3,0))-1)/2)+AZ$11,0)=EOMONTH($DJ$3,0),AZ$9*AZ$10,0),0),IF(AND(AV$9&lt;&gt;"",AV$11&lt;&gt;""),IF(EOMONTH($AT$3+INT((DAY(EOMONTH($AT$3,0))-1)/2)+AV$11,0)=EOMONTH($DJ$3,0),AV$9*AV$10,0),0),IF(AND(AR$9&lt;&gt;"",AR$11&lt;&gt;""),IF(EOMONTH($AP$3+INT((DAY(EOMONTH($AP$3,0))-1)/2)+AR$11,0)=EOMONTH($DJ$3,0),AR$9*AR$10,0),0),IF(AND(AN$9&lt;&gt;"",AN$11&lt;&gt;""),IF(EOMONTH($AL$3+INT((DAY(EOMONTH($AL$3,0))-1)/2)+AN$11,0)=EOMONTH($DJ$3,0),AN$9*AN$10,0),0),IF(AND(AJ$9&lt;&gt;"",AJ$11&lt;&gt;""),IF(EOMONTH($AH$3+INT((DAY(EOMONTH($AH$3,0))-1)/2)+AJ$11,0)=EOMONTH($DJ$3,0),AJ$9*AJ$10,0),0),IF(AND(AF$9&lt;&gt;"",AF$11&lt;&gt;""),IF(EOMONTH($AD$3+INT((DAY(EOMONTH($AD$3,0))-1)/2)+AF$11,0)=EOMONTH($DJ$3,0),AF$9*AF$10,0),0),IF(AND(AB$9&lt;&gt;"",AB$11&lt;&gt;""),IF(EOMONTH($Z$3+INT((DAY(EOMONTH($Z$3,0))-1)/2)+AB$11,0)=EOMONTH($DJ$3,0),AB$9*AB$10,0),0),IF(AND(X$9&lt;&gt;"",X$11&lt;&gt;""),IF(EOMONTH($V$3+INT((DAY(EOMONTH($V$3,0))-1)/2)+X$11,0)=EOMONTH($DJ$3,0),X$9*X$10,0),0),IF(AND(T$9&lt;&gt;"",T$11&lt;&gt;""),IF(EOMONTH($R$3+INT((DAY(EOMONTH($R$3,0))-1)/2)+T$11,0)=EOMONTH($DJ$3,0),T$9*T$10,0),0),IF(AND(P$9&lt;&gt;"",P$11&lt;&gt;""),IF(EOMONTH($N$3+INT((DAY(EOMONTH($N$3,0))-1)/2)+P$11,0)=EOMONTH($DJ$3,0),P$9*P$10,0),0),IF(AND(L$9&lt;&gt;"",L$11&lt;&gt;""),IF(EOMONTH($J$3+INT((DAY(EOMONTH($J$3,0))-1)/2)+L$11,0)=EOMONTH($DJ$3,0),L$9*L$10,0),0),IF(AND(H$9&lt;&gt;"",H$11&lt;&gt;""),IF(EOMONTH($F$3+INT((DAY(EOMONTH($F$3,0))-1)/2)+H$11,0)=EOMONTH($DJ$3,0),H$9*H$10,0),0),IF($EP$75="",0,IF(EOMONTH($EP$75+ER$11,0)=EOMONTH($DJ$3,0),$EP$76*ER$10,0))),0)</f>
        <v>0</v>
      </c>
      <c r="DM12" s="16">
        <f t="shared" si="59"/>
        <v>0</v>
      </c>
      <c r="DN12" s="17"/>
      <c r="DO12" s="14">
        <f>IF(DN$98=1,DN12,ROUND(SUM(IF(AND(EQ$9&lt;&gt;"",EQ$11&lt;&gt;""),IF(EOMONTH($EP$3+INT((DAY(EOMONTH($EP$3,0))-1)/2)+EQ$11,0)=EOMONTH($DN$3,0),EQ$9*EQ$10,0),0),IF(AND(EM$9&lt;&gt;"",EM$11&lt;&gt;""),IF(EOMONTH($EL$3+INT((DAY(EOMONTH($EL$3,0))-1)/2)+EM$11,0)=EOMONTH($DN$3,0),EM$9*EM$10,0),0),IF(AND(EI$9&lt;&gt;"",EI$11&lt;&gt;""),IF(EOMONTH($EH$3+INT((DAY(EOMONTH($EH$3,0))-1)/2)+EI$11,0)=EOMONTH($DN$3,0),EI$9*EI$10,0),0),IF(AND(EE$9&lt;&gt;"",EE$11&lt;&gt;""),IF(EOMONTH($ED$3+INT((DAY(EOMONTH($ED$3,0))-1)/2)+EE$11,0)=EOMONTH($DN$3,0),EE$9*EE$10,0),0),IF(AND(EA$9&lt;&gt;"",EA$11&lt;&gt;""),IF(EOMONTH($DZ$3+INT((DAY(EOMONTH($DZ$3,0))-1)/2)+EA$11,0)=EOMONTH($DN$3,0),EA$9*EA$10,0),0),IF(AND(DW$9&lt;&gt;"",DW$11&lt;&gt;""),IF(EOMONTH($DV$3+INT((DAY(EOMONTH($DV$3,0))-1)/2)+DW$11,0)=EOMONTH($DN$3,0),DW$9*DW$10,0),0),IF(AND(DS$9&lt;&gt;"",DS$11&lt;&gt;""),IF(EOMONTH($DR$3+INT((DAY(EOMONTH($DR$3,0))-1)/2)+DS$11,0)=EOMONTH($DN$3,0),DS$9*DS$10,0),0),IF(AND(DO$9&lt;&gt;"",DO$11&lt;&gt;""),IF(EOMONTH($DN$3+INT((DAY(EOMONTH($DN$3,0))-1)/2)+DO$11,0)=EOMONTH($DN$3,0),DO$9*DO$10,0),0),IF(AND(DK$9&lt;&gt;"",DK$11&lt;&gt;""),IF(EOMONTH($DJ$3+INT((DAY(EOMONTH($DJ$3,0))-1)/2)+DK$11,0)=EOMONTH($DN$3,0),DK$9*DK$10,0),0),IF(AND(DG$9&lt;&gt;"",DG$11&lt;&gt;""),IF(EOMONTH($DF$3+INT((DAY(EOMONTH($DF$3,0))-1)/2)+DG$11,0)=EOMONTH($DN$3,0),DG$9*DG$10,0),0),IF(AND(DC$9&lt;&gt;"",DC$11&lt;&gt;""),IF(EOMONTH($DB$3+INT((DAY(EOMONTH($DB$3,0))-1)/2)+DC$11,0)=EOMONTH($DN$3,0),DC$9*DC$10,0),0),IF(AND(CY$9&lt;&gt;"",CY$11&lt;&gt;""),IF(EOMONTH($CX$3+INT((DAY(EOMONTH($CX$3,0))-1)/2)+CY$11,0)=EOMONTH($DN$3,0),CY$9*CY$10,0),0),IF(AND(CU$9&lt;&gt;"",CU$11&lt;&gt;""),IF(EOMONTH($CT$3+INT((DAY(EOMONTH($CT$3,0))-1)/2)+CU$11,0)=EOMONTH($DN$3,0),CU$9*CU$10,0),0),IF(AND(CQ$9&lt;&gt;"",CQ$11&lt;&gt;""),IF(EOMONTH($CP$3+INT((DAY(EOMONTH($CP$3,0))-1)/2)+CQ$11,0)=EOMONTH($DN$3,0),CQ$9*CQ$10,0),0),IF(AND(CM$9&lt;&gt;"",CM$11&lt;&gt;""),IF(EOMONTH($CL$3+INT((DAY(EOMONTH($CL$3,0))-1)/2)+CM$11,0)=EOMONTH($DN$3,0),CM$9*CM$10,0),0),IF(AND(CI$9&lt;&gt;"",CI$11&lt;&gt;""),IF(EOMONTH($CH$3+INT((DAY(EOMONTH($CH$3,0))-1)/2)+CI$11,0)=EOMONTH($DN$3,0),CI$9*CI$10,0),0),IF(AND(CE$9&lt;&gt;"",CE$11&lt;&gt;""),IF(EOMONTH($CD$3+INT((DAY(EOMONTH($CD$3,0))-1)/2)+CE$11,0)=EOMONTH($DN$3,0),CE$9*CE$10,0),0),IF(AND(CA$9&lt;&gt;"",CA$11&lt;&gt;""),IF(EOMONTH($BZ$3+INT((DAY(EOMONTH($BZ$3,0))-1)/2)+CA$11,0)=EOMONTH($DN$3,0),CA$9*CA$10,0),0),IF(AND(BW$9&lt;&gt;"",BW$11&lt;&gt;""),IF(EOMONTH($BV$3+INT((DAY(EOMONTH($BV$3,0))-1)/2)+BW$11,0)=EOMONTH($DN$3,0),BW$9*BW$10,0),0),IF(AND(BS$9&lt;&gt;"",BS$11&lt;&gt;""),IF(EOMONTH($BR$3+INT((DAY(EOMONTH($BR$3,0))-1)/2)+BS$11,0)=EOMONTH($DN$3,0),BS$9*BS$10,0),0),IF(AND(BO$9&lt;&gt;"",BO$11&lt;&gt;""),IF(EOMONTH($BN$3+INT((DAY(EOMONTH($BN$3,0))-1)/2)+BO$11,0)=EOMONTH($DN$3,0),BO$9*BO$10,0),0),IF(AND(BK$9&lt;&gt;"",BK$11&lt;&gt;""),IF(EOMONTH($BJ$3+INT((DAY(EOMONTH($BJ$3,0))-1)/2)+BK$11,0)=EOMONTH($DN$3,0),BK$9*BK$10,0),0),IF(AND(BG$9&lt;&gt;"",BG$11&lt;&gt;""),IF(EOMONTH($BF$3+INT((DAY(EOMONTH($BF$3,0))-1)/2)+BG$11,0)=EOMONTH($DN$3,0),BG$9*BG$10,0),0),IF(AND(BC$9&lt;&gt;"",BC$11&lt;&gt;""),IF(EOMONTH($BB$3+INT((DAY(EOMONTH($BB$3,0))-1)/2)+BC$11,0)=EOMONTH($DN$3,0),BC$9*BC$10,0),0),IF(AND(AY$9&lt;&gt;"",AY$11&lt;&gt;""),IF(EOMONTH($AX$3+INT((DAY(EOMONTH($AX$3,0))-1)/2)+AY$11,0)=EOMONTH($DN$3,0),AY$9*AY$10,0),0),IF(AND(AU$9&lt;&gt;"",AU$11&lt;&gt;""),IF(EOMONTH($AT$3+INT((DAY(EOMONTH($AT$3,0))-1)/2)+AU$11,0)=EOMONTH($DN$3,0),AU$9*AU$10,0),0),IF(AND(AQ$9&lt;&gt;"",AQ$11&lt;&gt;""),IF(EOMONTH($AP$3+INT((DAY(EOMONTH($AP$3,0))-1)/2)+AQ$11,0)=EOMONTH($DN$3,0),AQ$9*AQ$10,0),0),IF(AND(AM$9&lt;&gt;"",AM$11&lt;&gt;""),IF(EOMONTH($AL$3+INT((DAY(EOMONTH($AL$3,0))-1)/2)+AM$11,0)=EOMONTH($DN$3,0),AM$9*AM$10,0),0),IF(AND(AI$9&lt;&gt;"",AI$11&lt;&gt;""),IF(EOMONTH($AH$3+INT((DAY(EOMONTH($AH$3,0))-1)/2)+AI$11,0)=EOMONTH($DN$3,0),AI$9*AI$10,0),0),IF(AND(AE$9&lt;&gt;"",AE$11&lt;&gt;""),IF(EOMONTH($AD$3+INT((DAY(EOMONTH($AD$3,0))-1)/2)+AE$11,0)=EOMONTH($DN$3,0),AE$9*AE$10,0),0),IF(AND(AA$9&lt;&gt;"",AA$11&lt;&gt;""),IF(EOMONTH($Z$3+INT((DAY(EOMONTH($Z$3,0))-1)/2)+AA$11,0)=EOMONTH($DN$3,0),AA$9*AA$10,0),0),IF(AND(W$9&lt;&gt;"",W$11&lt;&gt;""),IF(EOMONTH($V$3+INT((DAY(EOMONTH($V$3,0))-1)/2)+W$11,0)=EOMONTH($DN$3,0),W$9*W$10,0),0),IF(AND(S$9&lt;&gt;"",S$11&lt;&gt;""),IF(EOMONTH($R$3+INT((DAY(EOMONTH($R$3,0))-1)/2)+S$11,0)=EOMONTH($DN$3,0),S$9*S$10,0),0),IF(AND(O$9&lt;&gt;"",O$11&lt;&gt;""),IF(EOMONTH($N$3+INT((DAY(EOMONTH($N$3,0))-1)/2)+O$11,0)=EOMONTH($DN$3,0),O$9*O$10,0),0),IF(AND(K$9&lt;&gt;"",K$11&lt;&gt;""),IF(EOMONTH($J$3+INT((DAY(EOMONTH($J$3,0))-1)/2)+K$11,0)=EOMONTH($DN$3,0),K$9*K$10,0),0),IF(AND(G$9&lt;&gt;"",G$11&lt;&gt;""),IF(EOMONTH($F$3+INT((DAY(EOMONTH($F$3,0))-1)/2)+G$11,0)=EOMONTH($DN$3,0),G$9*G$10,0),0),IF($EP$75="",0,IF(EOMONTH($EP$75+EQ$11,0)=EOMONTH($DN$3,0),$EP$76*EQ$10,0))),0))</f>
        <v>0</v>
      </c>
      <c r="DP12" s="15">
        <f>ROUND(SUM(IF(AND(ER$9&lt;&gt;"",ER$11&lt;&gt;""),IF(EOMONTH($EP$3+INT((DAY(EOMONTH($EP$3,0))-1)/2)+ER$11,0)=EOMONTH($DN$3,0),ER$9*ER$10,0),0),IF(AND(EN$9&lt;&gt;"",EN$11&lt;&gt;""),IF(EOMONTH($EL$3+INT((DAY(EOMONTH($EL$3,0))-1)/2)+EN$11,0)=EOMONTH($DN$3,0),EN$9*EN$10,0),0),IF(AND(EJ$9&lt;&gt;"",EJ$11&lt;&gt;""),IF(EOMONTH($EH$3+INT((DAY(EOMONTH($EH$3,0))-1)/2)+EJ$11,0)=EOMONTH($DN$3,0),EJ$9*EJ$10,0),0),IF(AND(EF$9&lt;&gt;"",EF$11&lt;&gt;""),IF(EOMONTH($ED$3+INT((DAY(EOMONTH($ED$3,0))-1)/2)+EF$11,0)=EOMONTH($DN$3,0),EF$9*EF$10,0),0),IF(AND(EB$9&lt;&gt;"",EB$11&lt;&gt;""),IF(EOMONTH($DZ$3+INT((DAY(EOMONTH($DZ$3,0))-1)/2)+EB$11,0)=EOMONTH($DN$3,0),EB$9*EB$10,0),0),IF(AND(DX$9&lt;&gt;"",DX$11&lt;&gt;""),IF(EOMONTH($DV$3+INT((DAY(EOMONTH($DV$3,0))-1)/2)+DX$11,0)=EOMONTH($DN$3,0),DX$9*DX$10,0),0),IF(AND(DT$9&lt;&gt;"",DT$11&lt;&gt;""),IF(EOMONTH($DR$3+INT((DAY(EOMONTH($DR$3,0))-1)/2)+DT$11,0)=EOMONTH($DN$3,0),DT$9*DT$10,0),0),IF(AND(DP$9&lt;&gt;"",DP$11&lt;&gt;""),IF(EOMONTH($DN$3+INT((DAY(EOMONTH($DN$3,0))-1)/2)+DP$11,0)=EOMONTH($DN$3,0),DP$9*DP$10,0),0),IF(AND(DL$9&lt;&gt;"",DL$11&lt;&gt;""),IF(EOMONTH($DJ$3+INT((DAY(EOMONTH($DJ$3,0))-1)/2)+DL$11,0)=EOMONTH($DN$3,0),DL$9*DL$10,0),0),IF(AND(DH$9&lt;&gt;"",DH$11&lt;&gt;""),IF(EOMONTH($DF$3+INT((DAY(EOMONTH($DF$3,0))-1)/2)+DH$11,0)=EOMONTH($DN$3,0),DH$9*DH$10,0),0),IF(AND(DD$9&lt;&gt;"",DD$11&lt;&gt;""),IF(EOMONTH($DB$3+INT((DAY(EOMONTH($DB$3,0))-1)/2)+DD$11,0)=EOMONTH($DN$3,0),DD$9*DD$10,0),0),IF(AND(CZ$9&lt;&gt;"",CZ$11&lt;&gt;""),IF(EOMONTH($CX$3+INT((DAY(EOMONTH($CX$3,0))-1)/2)+CZ$11,0)=EOMONTH($DN$3,0),CZ$9*CZ$10,0),0),IF(AND(CV$9&lt;&gt;"",CV$11&lt;&gt;""),IF(EOMONTH($CT$3+INT((DAY(EOMONTH($CT$3,0))-1)/2)+CV$11,0)=EOMONTH($DN$3,0),CV$9*CV$10,0),0),IF(AND(CR$9&lt;&gt;"",CR$11&lt;&gt;""),IF(EOMONTH($CP$3+INT((DAY(EOMONTH($CP$3,0))-1)/2)+CR$11,0)=EOMONTH($DN$3,0),CR$9*CR$10,0),0),IF(AND(CN$9&lt;&gt;"",CN$11&lt;&gt;""),IF(EOMONTH($CL$3+INT((DAY(EOMONTH($CL$3,0))-1)/2)+CN$11,0)=EOMONTH($DN$3,0),CN$9*CN$10,0),0),IF(AND(CJ$9&lt;&gt;"",CJ$11&lt;&gt;""),IF(EOMONTH($CH$3+INT((DAY(EOMONTH($CH$3,0))-1)/2)+CJ$11,0)=EOMONTH($DN$3,0),CJ$9*CJ$10,0),0),IF(AND(CF$9&lt;&gt;"",CF$11&lt;&gt;""),IF(EOMONTH($CD$3+INT((DAY(EOMONTH($CD$3,0))-1)/2)+CF$11,0)=EOMONTH($DN$3,0),CF$9*CF$10,0),0),IF(AND(CB$9&lt;&gt;"",CB$11&lt;&gt;""),IF(EOMONTH($BZ$3+INT((DAY(EOMONTH($BZ$3,0))-1)/2)+CB$11,0)=EOMONTH($DN$3,0),CB$9*CB$10,0),0),IF(AND(BX$9&lt;&gt;"",BX$11&lt;&gt;""),IF(EOMONTH($BV$3+INT((DAY(EOMONTH($BV$3,0))-1)/2)+BX$11,0)=EOMONTH($DN$3,0),BX$9*BX$10,0),0),IF(AND(BT$9&lt;&gt;"",BT$11&lt;&gt;""),IF(EOMONTH($BR$3+INT((DAY(EOMONTH($BR$3,0))-1)/2)+BT$11,0)=EOMONTH($DN$3,0),BT$9*BT$10,0),0),IF(AND(BP$9&lt;&gt;"",BP$11&lt;&gt;""),IF(EOMONTH($BN$3+INT((DAY(EOMONTH($BN$3,0))-1)/2)+BP$11,0)=EOMONTH($DN$3,0),BP$9*BP$10,0),0),IF(AND(BL$9&lt;&gt;"",BL$11&lt;&gt;""),IF(EOMONTH($BJ$3+INT((DAY(EOMONTH($BJ$3,0))-1)/2)+BL$11,0)=EOMONTH($DN$3,0),BL$9*BL$10,0),0),IF(AND(BH$9&lt;&gt;"",BH$11&lt;&gt;""),IF(EOMONTH($BF$3+INT((DAY(EOMONTH($BF$3,0))-1)/2)+BH$11,0)=EOMONTH($DN$3,0),BH$9*BH$10,0),0),IF(AND(BD$9&lt;&gt;"",BD$11&lt;&gt;""),IF(EOMONTH($BB$3+INT((DAY(EOMONTH($BB$3,0))-1)/2)+BD$11,0)=EOMONTH($DN$3,0),BD$9*BD$10,0),0),IF(AND(AZ$9&lt;&gt;"",AZ$11&lt;&gt;""),IF(EOMONTH($AX$3+INT((DAY(EOMONTH($AX$3,0))-1)/2)+AZ$11,0)=EOMONTH($DN$3,0),AZ$9*AZ$10,0),0),IF(AND(AV$9&lt;&gt;"",AV$11&lt;&gt;""),IF(EOMONTH($AT$3+INT((DAY(EOMONTH($AT$3,0))-1)/2)+AV$11,0)=EOMONTH($DN$3,0),AV$9*AV$10,0),0),IF(AND(AR$9&lt;&gt;"",AR$11&lt;&gt;""),IF(EOMONTH($AP$3+INT((DAY(EOMONTH($AP$3,0))-1)/2)+AR$11,0)=EOMONTH($DN$3,0),AR$9*AR$10,0),0),IF(AND(AN$9&lt;&gt;"",AN$11&lt;&gt;""),IF(EOMONTH($AL$3+INT((DAY(EOMONTH($AL$3,0))-1)/2)+AN$11,0)=EOMONTH($DN$3,0),AN$9*AN$10,0),0),IF(AND(AJ$9&lt;&gt;"",AJ$11&lt;&gt;""),IF(EOMONTH($AH$3+INT((DAY(EOMONTH($AH$3,0))-1)/2)+AJ$11,0)=EOMONTH($DN$3,0),AJ$9*AJ$10,0),0),IF(AND(AF$9&lt;&gt;"",AF$11&lt;&gt;""),IF(EOMONTH($AD$3+INT((DAY(EOMONTH($AD$3,0))-1)/2)+AF$11,0)=EOMONTH($DN$3,0),AF$9*AF$10,0),0),IF(AND(AB$9&lt;&gt;"",AB$11&lt;&gt;""),IF(EOMONTH($Z$3+INT((DAY(EOMONTH($Z$3,0))-1)/2)+AB$11,0)=EOMONTH($DN$3,0),AB$9*AB$10,0),0),IF(AND(X$9&lt;&gt;"",X$11&lt;&gt;""),IF(EOMONTH($V$3+INT((DAY(EOMONTH($V$3,0))-1)/2)+X$11,0)=EOMONTH($DN$3,0),X$9*X$10,0),0),IF(AND(T$9&lt;&gt;"",T$11&lt;&gt;""),IF(EOMONTH($R$3+INT((DAY(EOMONTH($R$3,0))-1)/2)+T$11,0)=EOMONTH($DN$3,0),T$9*T$10,0),0),IF(AND(P$9&lt;&gt;"",P$11&lt;&gt;""),IF(EOMONTH($N$3+INT((DAY(EOMONTH($N$3,0))-1)/2)+P$11,0)=EOMONTH($DN$3,0),P$9*P$10,0),0),IF(AND(L$9&lt;&gt;"",L$11&lt;&gt;""),IF(EOMONTH($J$3+INT((DAY(EOMONTH($J$3,0))-1)/2)+L$11,0)=EOMONTH($DN$3,0),L$9*L$10,0),0),IF(AND(H$9&lt;&gt;"",H$11&lt;&gt;""),IF(EOMONTH($F$3+INT((DAY(EOMONTH($F$3,0))-1)/2)+H$11,0)=EOMONTH($DN$3,0),H$9*H$10,0),0),IF($EP$75="",0,IF(EOMONTH($EP$75+ER$11,0)=EOMONTH($DN$3,0),$EP$76*ER$10,0))),0)</f>
        <v>0</v>
      </c>
      <c r="DQ12" s="16">
        <f t="shared" si="61"/>
        <v>0</v>
      </c>
      <c r="DR12" s="17"/>
      <c r="DS12" s="14">
        <f>IF(DR$98=1,DR12,ROUND(SUM(IF(AND(EQ$9&lt;&gt;"",EQ$11&lt;&gt;""),IF(EOMONTH($EP$3+INT((DAY(EOMONTH($EP$3,0))-1)/2)+EQ$11,0)=EOMONTH($DR$3,0),EQ$9*EQ$10,0),0),IF(AND(EM$9&lt;&gt;"",EM$11&lt;&gt;""),IF(EOMONTH($EL$3+INT((DAY(EOMONTH($EL$3,0))-1)/2)+EM$11,0)=EOMONTH($DR$3,0),EM$9*EM$10,0),0),IF(AND(EI$9&lt;&gt;"",EI$11&lt;&gt;""),IF(EOMONTH($EH$3+INT((DAY(EOMONTH($EH$3,0))-1)/2)+EI$11,0)=EOMONTH($DR$3,0),EI$9*EI$10,0),0),IF(AND(EE$9&lt;&gt;"",EE$11&lt;&gt;""),IF(EOMONTH($ED$3+INT((DAY(EOMONTH($ED$3,0))-1)/2)+EE$11,0)=EOMONTH($DR$3,0),EE$9*EE$10,0),0),IF(AND(EA$9&lt;&gt;"",EA$11&lt;&gt;""),IF(EOMONTH($DZ$3+INT((DAY(EOMONTH($DZ$3,0))-1)/2)+EA$11,0)=EOMONTH($DR$3,0),EA$9*EA$10,0),0),IF(AND(DW$9&lt;&gt;"",DW$11&lt;&gt;""),IF(EOMONTH($DV$3+INT((DAY(EOMONTH($DV$3,0))-1)/2)+DW$11,0)=EOMONTH($DR$3,0),DW$9*DW$10,0),0),IF(AND(DS$9&lt;&gt;"",DS$11&lt;&gt;""),IF(EOMONTH($DR$3+INT((DAY(EOMONTH($DR$3,0))-1)/2)+DS$11,0)=EOMONTH($DR$3,0),DS$9*DS$10,0),0),IF(AND(DO$9&lt;&gt;"",DO$11&lt;&gt;""),IF(EOMONTH($DN$3+INT((DAY(EOMONTH($DN$3,0))-1)/2)+DO$11,0)=EOMONTH($DR$3,0),DO$9*DO$10,0),0),IF(AND(DK$9&lt;&gt;"",DK$11&lt;&gt;""),IF(EOMONTH($DJ$3+INT((DAY(EOMONTH($DJ$3,0))-1)/2)+DK$11,0)=EOMONTH($DR$3,0),DK$9*DK$10,0),0),IF(AND(DG$9&lt;&gt;"",DG$11&lt;&gt;""),IF(EOMONTH($DF$3+INT((DAY(EOMONTH($DF$3,0))-1)/2)+DG$11,0)=EOMONTH($DR$3,0),DG$9*DG$10,0),0),IF(AND(DC$9&lt;&gt;"",DC$11&lt;&gt;""),IF(EOMONTH($DB$3+INT((DAY(EOMONTH($DB$3,0))-1)/2)+DC$11,0)=EOMONTH($DR$3,0),DC$9*DC$10,0),0),IF(AND(CY$9&lt;&gt;"",CY$11&lt;&gt;""),IF(EOMONTH($CX$3+INT((DAY(EOMONTH($CX$3,0))-1)/2)+CY$11,0)=EOMONTH($DR$3,0),CY$9*CY$10,0),0),IF(AND(CU$9&lt;&gt;"",CU$11&lt;&gt;""),IF(EOMONTH($CT$3+INT((DAY(EOMONTH($CT$3,0))-1)/2)+CU$11,0)=EOMONTH($DR$3,0),CU$9*CU$10,0),0),IF(AND(CQ$9&lt;&gt;"",CQ$11&lt;&gt;""),IF(EOMONTH($CP$3+INT((DAY(EOMONTH($CP$3,0))-1)/2)+CQ$11,0)=EOMONTH($DR$3,0),CQ$9*CQ$10,0),0),IF(AND(CM$9&lt;&gt;"",CM$11&lt;&gt;""),IF(EOMONTH($CL$3+INT((DAY(EOMONTH($CL$3,0))-1)/2)+CM$11,0)=EOMONTH($DR$3,0),CM$9*CM$10,0),0),IF(AND(CI$9&lt;&gt;"",CI$11&lt;&gt;""),IF(EOMONTH($CH$3+INT((DAY(EOMONTH($CH$3,0))-1)/2)+CI$11,0)=EOMONTH($DR$3,0),CI$9*CI$10,0),0),IF(AND(CE$9&lt;&gt;"",CE$11&lt;&gt;""),IF(EOMONTH($CD$3+INT((DAY(EOMONTH($CD$3,0))-1)/2)+CE$11,0)=EOMONTH($DR$3,0),CE$9*CE$10,0),0),IF(AND(CA$9&lt;&gt;"",CA$11&lt;&gt;""),IF(EOMONTH($BZ$3+INT((DAY(EOMONTH($BZ$3,0))-1)/2)+CA$11,0)=EOMONTH($DR$3,0),CA$9*CA$10,0),0),IF(AND(BW$9&lt;&gt;"",BW$11&lt;&gt;""),IF(EOMONTH($BV$3+INT((DAY(EOMONTH($BV$3,0))-1)/2)+BW$11,0)=EOMONTH($DR$3,0),BW$9*BW$10,0),0),IF(AND(BS$9&lt;&gt;"",BS$11&lt;&gt;""),IF(EOMONTH($BR$3+INT((DAY(EOMONTH($BR$3,0))-1)/2)+BS$11,0)=EOMONTH($DR$3,0),BS$9*BS$10,0),0),IF(AND(BO$9&lt;&gt;"",BO$11&lt;&gt;""),IF(EOMONTH($BN$3+INT((DAY(EOMONTH($BN$3,0))-1)/2)+BO$11,0)=EOMONTH($DR$3,0),BO$9*BO$10,0),0),IF(AND(BK$9&lt;&gt;"",BK$11&lt;&gt;""),IF(EOMONTH($BJ$3+INT((DAY(EOMONTH($BJ$3,0))-1)/2)+BK$11,0)=EOMONTH($DR$3,0),BK$9*BK$10,0),0),IF(AND(BG$9&lt;&gt;"",BG$11&lt;&gt;""),IF(EOMONTH($BF$3+INT((DAY(EOMONTH($BF$3,0))-1)/2)+BG$11,0)=EOMONTH($DR$3,0),BG$9*BG$10,0),0),IF(AND(BC$9&lt;&gt;"",BC$11&lt;&gt;""),IF(EOMONTH($BB$3+INT((DAY(EOMONTH($BB$3,0))-1)/2)+BC$11,0)=EOMONTH($DR$3,0),BC$9*BC$10,0),0),IF(AND(AY$9&lt;&gt;"",AY$11&lt;&gt;""),IF(EOMONTH($AX$3+INT((DAY(EOMONTH($AX$3,0))-1)/2)+AY$11,0)=EOMONTH($DR$3,0),AY$9*AY$10,0),0),IF(AND(AU$9&lt;&gt;"",AU$11&lt;&gt;""),IF(EOMONTH($AT$3+INT((DAY(EOMONTH($AT$3,0))-1)/2)+AU$11,0)=EOMONTH($DR$3,0),AU$9*AU$10,0),0),IF(AND(AQ$9&lt;&gt;"",AQ$11&lt;&gt;""),IF(EOMONTH($AP$3+INT((DAY(EOMONTH($AP$3,0))-1)/2)+AQ$11,0)=EOMONTH($DR$3,0),AQ$9*AQ$10,0),0),IF(AND(AM$9&lt;&gt;"",AM$11&lt;&gt;""),IF(EOMONTH($AL$3+INT((DAY(EOMONTH($AL$3,0))-1)/2)+AM$11,0)=EOMONTH($DR$3,0),AM$9*AM$10,0),0),IF(AND(AI$9&lt;&gt;"",AI$11&lt;&gt;""),IF(EOMONTH($AH$3+INT((DAY(EOMONTH($AH$3,0))-1)/2)+AI$11,0)=EOMONTH($DR$3,0),AI$9*AI$10,0),0),IF(AND(AE$9&lt;&gt;"",AE$11&lt;&gt;""),IF(EOMONTH($AD$3+INT((DAY(EOMONTH($AD$3,0))-1)/2)+AE$11,0)=EOMONTH($DR$3,0),AE$9*AE$10,0),0),IF(AND(AA$9&lt;&gt;"",AA$11&lt;&gt;""),IF(EOMONTH($Z$3+INT((DAY(EOMONTH($Z$3,0))-1)/2)+AA$11,0)=EOMONTH($DR$3,0),AA$9*AA$10,0),0),IF(AND(W$9&lt;&gt;"",W$11&lt;&gt;""),IF(EOMONTH($V$3+INT((DAY(EOMONTH($V$3,0))-1)/2)+W$11,0)=EOMONTH($DR$3,0),W$9*W$10,0),0),IF(AND(S$9&lt;&gt;"",S$11&lt;&gt;""),IF(EOMONTH($R$3+INT((DAY(EOMONTH($R$3,0))-1)/2)+S$11,0)=EOMONTH($DR$3,0),S$9*S$10,0),0),IF(AND(O$9&lt;&gt;"",O$11&lt;&gt;""),IF(EOMONTH($N$3+INT((DAY(EOMONTH($N$3,0))-1)/2)+O$11,0)=EOMONTH($DR$3,0),O$9*O$10,0),0),IF(AND(K$9&lt;&gt;"",K$11&lt;&gt;""),IF(EOMONTH($J$3+INT((DAY(EOMONTH($J$3,0))-1)/2)+K$11,0)=EOMONTH($DR$3,0),K$9*K$10,0),0),IF(AND(G$9&lt;&gt;"",G$11&lt;&gt;""),IF(EOMONTH($F$3+INT((DAY(EOMONTH($F$3,0))-1)/2)+G$11,0)=EOMONTH($DR$3,0),G$9*G$10,0),0),IF($EP$75="",0,IF(EOMONTH($EP$75+EQ$11,0)=EOMONTH($DR$3,0),$EP$76*EQ$10,0))),0))</f>
        <v>0</v>
      </c>
      <c r="DT12" s="15">
        <f>ROUND(SUM(IF(AND(ER$9&lt;&gt;"",ER$11&lt;&gt;""),IF(EOMONTH($EP$3+INT((DAY(EOMONTH($EP$3,0))-1)/2)+ER$11,0)=EOMONTH($DR$3,0),ER$9*ER$10,0),0),IF(AND(EN$9&lt;&gt;"",EN$11&lt;&gt;""),IF(EOMONTH($EL$3+INT((DAY(EOMONTH($EL$3,0))-1)/2)+EN$11,0)=EOMONTH($DR$3,0),EN$9*EN$10,0),0),IF(AND(EJ$9&lt;&gt;"",EJ$11&lt;&gt;""),IF(EOMONTH($EH$3+INT((DAY(EOMONTH($EH$3,0))-1)/2)+EJ$11,0)=EOMONTH($DR$3,0),EJ$9*EJ$10,0),0),IF(AND(EF$9&lt;&gt;"",EF$11&lt;&gt;""),IF(EOMONTH($ED$3+INT((DAY(EOMONTH($ED$3,0))-1)/2)+EF$11,0)=EOMONTH($DR$3,0),EF$9*EF$10,0),0),IF(AND(EB$9&lt;&gt;"",EB$11&lt;&gt;""),IF(EOMONTH($DZ$3+INT((DAY(EOMONTH($DZ$3,0))-1)/2)+EB$11,0)=EOMONTH($DR$3,0),EB$9*EB$10,0),0),IF(AND(DX$9&lt;&gt;"",DX$11&lt;&gt;""),IF(EOMONTH($DV$3+INT((DAY(EOMONTH($DV$3,0))-1)/2)+DX$11,0)=EOMONTH($DR$3,0),DX$9*DX$10,0),0),IF(AND(DT$9&lt;&gt;"",DT$11&lt;&gt;""),IF(EOMONTH($DR$3+INT((DAY(EOMONTH($DR$3,0))-1)/2)+DT$11,0)=EOMONTH($DR$3,0),DT$9*DT$10,0),0),IF(AND(DP$9&lt;&gt;"",DP$11&lt;&gt;""),IF(EOMONTH($DN$3+INT((DAY(EOMONTH($DN$3,0))-1)/2)+DP$11,0)=EOMONTH($DR$3,0),DP$9*DP$10,0),0),IF(AND(DL$9&lt;&gt;"",DL$11&lt;&gt;""),IF(EOMONTH($DJ$3+INT((DAY(EOMONTH($DJ$3,0))-1)/2)+DL$11,0)=EOMONTH($DR$3,0),DL$9*DL$10,0),0),IF(AND(DH$9&lt;&gt;"",DH$11&lt;&gt;""),IF(EOMONTH($DF$3+INT((DAY(EOMONTH($DF$3,0))-1)/2)+DH$11,0)=EOMONTH($DR$3,0),DH$9*DH$10,0),0),IF(AND(DD$9&lt;&gt;"",DD$11&lt;&gt;""),IF(EOMONTH($DB$3+INT((DAY(EOMONTH($DB$3,0))-1)/2)+DD$11,0)=EOMONTH($DR$3,0),DD$9*DD$10,0),0),IF(AND(CZ$9&lt;&gt;"",CZ$11&lt;&gt;""),IF(EOMONTH($CX$3+INT((DAY(EOMONTH($CX$3,0))-1)/2)+CZ$11,0)=EOMONTH($DR$3,0),CZ$9*CZ$10,0),0),IF(AND(CV$9&lt;&gt;"",CV$11&lt;&gt;""),IF(EOMONTH($CT$3+INT((DAY(EOMONTH($CT$3,0))-1)/2)+CV$11,0)=EOMONTH($DR$3,0),CV$9*CV$10,0),0),IF(AND(CR$9&lt;&gt;"",CR$11&lt;&gt;""),IF(EOMONTH($CP$3+INT((DAY(EOMONTH($CP$3,0))-1)/2)+CR$11,0)=EOMONTH($DR$3,0),CR$9*CR$10,0),0),IF(AND(CN$9&lt;&gt;"",CN$11&lt;&gt;""),IF(EOMONTH($CL$3+INT((DAY(EOMONTH($CL$3,0))-1)/2)+CN$11,0)=EOMONTH($DR$3,0),CN$9*CN$10,0),0),IF(AND(CJ$9&lt;&gt;"",CJ$11&lt;&gt;""),IF(EOMONTH($CH$3+INT((DAY(EOMONTH($CH$3,0))-1)/2)+CJ$11,0)=EOMONTH($DR$3,0),CJ$9*CJ$10,0),0),IF(AND(CF$9&lt;&gt;"",CF$11&lt;&gt;""),IF(EOMONTH($CD$3+INT((DAY(EOMONTH($CD$3,0))-1)/2)+CF$11,0)=EOMONTH($DR$3,0),CF$9*CF$10,0),0),IF(AND(CB$9&lt;&gt;"",CB$11&lt;&gt;""),IF(EOMONTH($BZ$3+INT((DAY(EOMONTH($BZ$3,0))-1)/2)+CB$11,0)=EOMONTH($DR$3,0),CB$9*CB$10,0),0),IF(AND(BX$9&lt;&gt;"",BX$11&lt;&gt;""),IF(EOMONTH($BV$3+INT((DAY(EOMONTH($BV$3,0))-1)/2)+BX$11,0)=EOMONTH($DR$3,0),BX$9*BX$10,0),0),IF(AND(BT$9&lt;&gt;"",BT$11&lt;&gt;""),IF(EOMONTH($BR$3+INT((DAY(EOMONTH($BR$3,0))-1)/2)+BT$11,0)=EOMONTH($DR$3,0),BT$9*BT$10,0),0),IF(AND(BP$9&lt;&gt;"",BP$11&lt;&gt;""),IF(EOMONTH($BN$3+INT((DAY(EOMONTH($BN$3,0))-1)/2)+BP$11,0)=EOMONTH($DR$3,0),BP$9*BP$10,0),0),IF(AND(BL$9&lt;&gt;"",BL$11&lt;&gt;""),IF(EOMONTH($BJ$3+INT((DAY(EOMONTH($BJ$3,0))-1)/2)+BL$11,0)=EOMONTH($DR$3,0),BL$9*BL$10,0),0),IF(AND(BH$9&lt;&gt;"",BH$11&lt;&gt;""),IF(EOMONTH($BF$3+INT((DAY(EOMONTH($BF$3,0))-1)/2)+BH$11,0)=EOMONTH($DR$3,0),BH$9*BH$10,0),0),IF(AND(BD$9&lt;&gt;"",BD$11&lt;&gt;""),IF(EOMONTH($BB$3+INT((DAY(EOMONTH($BB$3,0))-1)/2)+BD$11,0)=EOMONTH($DR$3,0),BD$9*BD$10,0),0),IF(AND(AZ$9&lt;&gt;"",AZ$11&lt;&gt;""),IF(EOMONTH($AX$3+INT((DAY(EOMONTH($AX$3,0))-1)/2)+AZ$11,0)=EOMONTH($DR$3,0),AZ$9*AZ$10,0),0),IF(AND(AV$9&lt;&gt;"",AV$11&lt;&gt;""),IF(EOMONTH($AT$3+INT((DAY(EOMONTH($AT$3,0))-1)/2)+AV$11,0)=EOMONTH($DR$3,0),AV$9*AV$10,0),0),IF(AND(AR$9&lt;&gt;"",AR$11&lt;&gt;""),IF(EOMONTH($AP$3+INT((DAY(EOMONTH($AP$3,0))-1)/2)+AR$11,0)=EOMONTH($DR$3,0),AR$9*AR$10,0),0),IF(AND(AN$9&lt;&gt;"",AN$11&lt;&gt;""),IF(EOMONTH($AL$3+INT((DAY(EOMONTH($AL$3,0))-1)/2)+AN$11,0)=EOMONTH($DR$3,0),AN$9*AN$10,0),0),IF(AND(AJ$9&lt;&gt;"",AJ$11&lt;&gt;""),IF(EOMONTH($AH$3+INT((DAY(EOMONTH($AH$3,0))-1)/2)+AJ$11,0)=EOMONTH($DR$3,0),AJ$9*AJ$10,0),0),IF(AND(AF$9&lt;&gt;"",AF$11&lt;&gt;""),IF(EOMONTH($AD$3+INT((DAY(EOMONTH($AD$3,0))-1)/2)+AF$11,0)=EOMONTH($DR$3,0),AF$9*AF$10,0),0),IF(AND(AB$9&lt;&gt;"",AB$11&lt;&gt;""),IF(EOMONTH($Z$3+INT((DAY(EOMONTH($Z$3,0))-1)/2)+AB$11,0)=EOMONTH($DR$3,0),AB$9*AB$10,0),0),IF(AND(X$9&lt;&gt;"",X$11&lt;&gt;""),IF(EOMONTH($V$3+INT((DAY(EOMONTH($V$3,0))-1)/2)+X$11,0)=EOMONTH($DR$3,0),X$9*X$10,0),0),IF(AND(T$9&lt;&gt;"",T$11&lt;&gt;""),IF(EOMONTH($R$3+INT((DAY(EOMONTH($R$3,0))-1)/2)+T$11,0)=EOMONTH($DR$3,0),T$9*T$10,0),0),IF(AND(P$9&lt;&gt;"",P$11&lt;&gt;""),IF(EOMONTH($N$3+INT((DAY(EOMONTH($N$3,0))-1)/2)+P$11,0)=EOMONTH($DR$3,0),P$9*P$10,0),0),IF(AND(L$9&lt;&gt;"",L$11&lt;&gt;""),IF(EOMONTH($J$3+INT((DAY(EOMONTH($J$3,0))-1)/2)+L$11,0)=EOMONTH($DR$3,0),L$9*L$10,0),0),IF(AND(H$9&lt;&gt;"",H$11&lt;&gt;""),IF(EOMONTH($F$3+INT((DAY(EOMONTH($F$3,0))-1)/2)+H$11,0)=EOMONTH($DR$3,0),H$9*H$10,0),0),IF($EP$75="",0,IF(EOMONTH($EP$75+ER$11,0)=EOMONTH($DR$3,0),$EP$76*ER$10,0))),0)</f>
        <v>0</v>
      </c>
      <c r="DU12" s="16">
        <f t="shared" si="63"/>
        <v>0</v>
      </c>
      <c r="DV12" s="17"/>
      <c r="DW12" s="14">
        <f>IF(DV$98=1,DV12,ROUND(SUM(IF(AND(EQ$9&lt;&gt;"",EQ$11&lt;&gt;""),IF(EOMONTH($EP$3+INT((DAY(EOMONTH($EP$3,0))-1)/2)+EQ$11,0)=EOMONTH($DV$3,0),EQ$9*EQ$10,0),0),IF(AND(EM$9&lt;&gt;"",EM$11&lt;&gt;""),IF(EOMONTH($EL$3+INT((DAY(EOMONTH($EL$3,0))-1)/2)+EM$11,0)=EOMONTH($DV$3,0),EM$9*EM$10,0),0),IF(AND(EI$9&lt;&gt;"",EI$11&lt;&gt;""),IF(EOMONTH($EH$3+INT((DAY(EOMONTH($EH$3,0))-1)/2)+EI$11,0)=EOMONTH($DV$3,0),EI$9*EI$10,0),0),IF(AND(EE$9&lt;&gt;"",EE$11&lt;&gt;""),IF(EOMONTH($ED$3+INT((DAY(EOMONTH($ED$3,0))-1)/2)+EE$11,0)=EOMONTH($DV$3,0),EE$9*EE$10,0),0),IF(AND(EA$9&lt;&gt;"",EA$11&lt;&gt;""),IF(EOMONTH($DZ$3+INT((DAY(EOMONTH($DZ$3,0))-1)/2)+EA$11,0)=EOMONTH($DV$3,0),EA$9*EA$10,0),0),IF(AND(DW$9&lt;&gt;"",DW$11&lt;&gt;""),IF(EOMONTH($DV$3+INT((DAY(EOMONTH($DV$3,0))-1)/2)+DW$11,0)=EOMONTH($DV$3,0),DW$9*DW$10,0),0),IF(AND(DS$9&lt;&gt;"",DS$11&lt;&gt;""),IF(EOMONTH($DR$3+INT((DAY(EOMONTH($DR$3,0))-1)/2)+DS$11,0)=EOMONTH($DV$3,0),DS$9*DS$10,0),0),IF(AND(DO$9&lt;&gt;"",DO$11&lt;&gt;""),IF(EOMONTH($DN$3+INT((DAY(EOMONTH($DN$3,0))-1)/2)+DO$11,0)=EOMONTH($DV$3,0),DO$9*DO$10,0),0),IF(AND(DK$9&lt;&gt;"",DK$11&lt;&gt;""),IF(EOMONTH($DJ$3+INT((DAY(EOMONTH($DJ$3,0))-1)/2)+DK$11,0)=EOMONTH($DV$3,0),DK$9*DK$10,0),0),IF(AND(DG$9&lt;&gt;"",DG$11&lt;&gt;""),IF(EOMONTH($DF$3+INT((DAY(EOMONTH($DF$3,0))-1)/2)+DG$11,0)=EOMONTH($DV$3,0),DG$9*DG$10,0),0),IF(AND(DC$9&lt;&gt;"",DC$11&lt;&gt;""),IF(EOMONTH($DB$3+INT((DAY(EOMONTH($DB$3,0))-1)/2)+DC$11,0)=EOMONTH($DV$3,0),DC$9*DC$10,0),0),IF(AND(CY$9&lt;&gt;"",CY$11&lt;&gt;""),IF(EOMONTH($CX$3+INT((DAY(EOMONTH($CX$3,0))-1)/2)+CY$11,0)=EOMONTH($DV$3,0),CY$9*CY$10,0),0),IF(AND(CU$9&lt;&gt;"",CU$11&lt;&gt;""),IF(EOMONTH($CT$3+INT((DAY(EOMONTH($CT$3,0))-1)/2)+CU$11,0)=EOMONTH($DV$3,0),CU$9*CU$10,0),0),IF(AND(CQ$9&lt;&gt;"",CQ$11&lt;&gt;""),IF(EOMONTH($CP$3+INT((DAY(EOMONTH($CP$3,0))-1)/2)+CQ$11,0)=EOMONTH($DV$3,0),CQ$9*CQ$10,0),0),IF(AND(CM$9&lt;&gt;"",CM$11&lt;&gt;""),IF(EOMONTH($CL$3+INT((DAY(EOMONTH($CL$3,0))-1)/2)+CM$11,0)=EOMONTH($DV$3,0),CM$9*CM$10,0),0),IF(AND(CI$9&lt;&gt;"",CI$11&lt;&gt;""),IF(EOMONTH($CH$3+INT((DAY(EOMONTH($CH$3,0))-1)/2)+CI$11,0)=EOMONTH($DV$3,0),CI$9*CI$10,0),0),IF(AND(CE$9&lt;&gt;"",CE$11&lt;&gt;""),IF(EOMONTH($CD$3+INT((DAY(EOMONTH($CD$3,0))-1)/2)+CE$11,0)=EOMONTH($DV$3,0),CE$9*CE$10,0),0),IF(AND(CA$9&lt;&gt;"",CA$11&lt;&gt;""),IF(EOMONTH($BZ$3+INT((DAY(EOMONTH($BZ$3,0))-1)/2)+CA$11,0)=EOMONTH($DV$3,0),CA$9*CA$10,0),0),IF(AND(BW$9&lt;&gt;"",BW$11&lt;&gt;""),IF(EOMONTH($BV$3+INT((DAY(EOMONTH($BV$3,0))-1)/2)+BW$11,0)=EOMONTH($DV$3,0),BW$9*BW$10,0),0),IF(AND(BS$9&lt;&gt;"",BS$11&lt;&gt;""),IF(EOMONTH($BR$3+INT((DAY(EOMONTH($BR$3,0))-1)/2)+BS$11,0)=EOMONTH($DV$3,0),BS$9*BS$10,0),0),IF(AND(BO$9&lt;&gt;"",BO$11&lt;&gt;""),IF(EOMONTH($BN$3+INT((DAY(EOMONTH($BN$3,0))-1)/2)+BO$11,0)=EOMONTH($DV$3,0),BO$9*BO$10,0),0),IF(AND(BK$9&lt;&gt;"",BK$11&lt;&gt;""),IF(EOMONTH($BJ$3+INT((DAY(EOMONTH($BJ$3,0))-1)/2)+BK$11,0)=EOMONTH($DV$3,0),BK$9*BK$10,0),0),IF(AND(BG$9&lt;&gt;"",BG$11&lt;&gt;""),IF(EOMONTH($BF$3+INT((DAY(EOMONTH($BF$3,0))-1)/2)+BG$11,0)=EOMONTH($DV$3,0),BG$9*BG$10,0),0),IF(AND(BC$9&lt;&gt;"",BC$11&lt;&gt;""),IF(EOMONTH($BB$3+INT((DAY(EOMONTH($BB$3,0))-1)/2)+BC$11,0)=EOMONTH($DV$3,0),BC$9*BC$10,0),0),IF(AND(AY$9&lt;&gt;"",AY$11&lt;&gt;""),IF(EOMONTH($AX$3+INT((DAY(EOMONTH($AX$3,0))-1)/2)+AY$11,0)=EOMONTH($DV$3,0),AY$9*AY$10,0),0),IF(AND(AU$9&lt;&gt;"",AU$11&lt;&gt;""),IF(EOMONTH($AT$3+INT((DAY(EOMONTH($AT$3,0))-1)/2)+AU$11,0)=EOMONTH($DV$3,0),AU$9*AU$10,0),0),IF(AND(AQ$9&lt;&gt;"",AQ$11&lt;&gt;""),IF(EOMONTH($AP$3+INT((DAY(EOMONTH($AP$3,0))-1)/2)+AQ$11,0)=EOMONTH($DV$3,0),AQ$9*AQ$10,0),0),IF(AND(AM$9&lt;&gt;"",AM$11&lt;&gt;""),IF(EOMONTH($AL$3+INT((DAY(EOMONTH($AL$3,0))-1)/2)+AM$11,0)=EOMONTH($DV$3,0),AM$9*AM$10,0),0),IF(AND(AI$9&lt;&gt;"",AI$11&lt;&gt;""),IF(EOMONTH($AH$3+INT((DAY(EOMONTH($AH$3,0))-1)/2)+AI$11,0)=EOMONTH($DV$3,0),AI$9*AI$10,0),0),IF(AND(AE$9&lt;&gt;"",AE$11&lt;&gt;""),IF(EOMONTH($AD$3+INT((DAY(EOMONTH($AD$3,0))-1)/2)+AE$11,0)=EOMONTH($DV$3,0),AE$9*AE$10,0),0),IF(AND(AA$9&lt;&gt;"",AA$11&lt;&gt;""),IF(EOMONTH($Z$3+INT((DAY(EOMONTH($Z$3,0))-1)/2)+AA$11,0)=EOMONTH($DV$3,0),AA$9*AA$10,0),0),IF(AND(W$9&lt;&gt;"",W$11&lt;&gt;""),IF(EOMONTH($V$3+INT((DAY(EOMONTH($V$3,0))-1)/2)+W$11,0)=EOMONTH($DV$3,0),W$9*W$10,0),0),IF(AND(S$9&lt;&gt;"",S$11&lt;&gt;""),IF(EOMONTH($R$3+INT((DAY(EOMONTH($R$3,0))-1)/2)+S$11,0)=EOMONTH($DV$3,0),S$9*S$10,0),0),IF(AND(O$9&lt;&gt;"",O$11&lt;&gt;""),IF(EOMONTH($N$3+INT((DAY(EOMONTH($N$3,0))-1)/2)+O$11,0)=EOMONTH($DV$3,0),O$9*O$10,0),0),IF(AND(K$9&lt;&gt;"",K$11&lt;&gt;""),IF(EOMONTH($J$3+INT((DAY(EOMONTH($J$3,0))-1)/2)+K$11,0)=EOMONTH($DV$3,0),K$9*K$10,0),0),IF(AND(G$9&lt;&gt;"",G$11&lt;&gt;""),IF(EOMONTH($F$3+INT((DAY(EOMONTH($F$3,0))-1)/2)+G$11,0)=EOMONTH($DV$3,0),G$9*G$10,0),0),IF($EP$75="",0,IF(EOMONTH($EP$75+EQ$11,0)=EOMONTH($DV$3,0),$EP$76*EQ$10,0))),0))</f>
        <v>0</v>
      </c>
      <c r="DX12" s="15">
        <f>ROUND(SUM(IF(AND(ER$9&lt;&gt;"",ER$11&lt;&gt;""),IF(EOMONTH($EP$3+INT((DAY(EOMONTH($EP$3,0))-1)/2)+ER$11,0)=EOMONTH($DV$3,0),ER$9*ER$10,0),0),IF(AND(EN$9&lt;&gt;"",EN$11&lt;&gt;""),IF(EOMONTH($EL$3+INT((DAY(EOMONTH($EL$3,0))-1)/2)+EN$11,0)=EOMONTH($DV$3,0),EN$9*EN$10,0),0),IF(AND(EJ$9&lt;&gt;"",EJ$11&lt;&gt;""),IF(EOMONTH($EH$3+INT((DAY(EOMONTH($EH$3,0))-1)/2)+EJ$11,0)=EOMONTH($DV$3,0),EJ$9*EJ$10,0),0),IF(AND(EF$9&lt;&gt;"",EF$11&lt;&gt;""),IF(EOMONTH($ED$3+INT((DAY(EOMONTH($ED$3,0))-1)/2)+EF$11,0)=EOMONTH($DV$3,0),EF$9*EF$10,0),0),IF(AND(EB$9&lt;&gt;"",EB$11&lt;&gt;""),IF(EOMONTH($DZ$3+INT((DAY(EOMONTH($DZ$3,0))-1)/2)+EB$11,0)=EOMONTH($DV$3,0),EB$9*EB$10,0),0),IF(AND(DX$9&lt;&gt;"",DX$11&lt;&gt;""),IF(EOMONTH($DV$3+INT((DAY(EOMONTH($DV$3,0))-1)/2)+DX$11,0)=EOMONTH($DV$3,0),DX$9*DX$10,0),0),IF(AND(DT$9&lt;&gt;"",DT$11&lt;&gt;""),IF(EOMONTH($DR$3+INT((DAY(EOMONTH($DR$3,0))-1)/2)+DT$11,0)=EOMONTH($DV$3,0),DT$9*DT$10,0),0),IF(AND(DP$9&lt;&gt;"",DP$11&lt;&gt;""),IF(EOMONTH($DN$3+INT((DAY(EOMONTH($DN$3,0))-1)/2)+DP$11,0)=EOMONTH($DV$3,0),DP$9*DP$10,0),0),IF(AND(DL$9&lt;&gt;"",DL$11&lt;&gt;""),IF(EOMONTH($DJ$3+INT((DAY(EOMONTH($DJ$3,0))-1)/2)+DL$11,0)=EOMONTH($DV$3,0),DL$9*DL$10,0),0),IF(AND(DH$9&lt;&gt;"",DH$11&lt;&gt;""),IF(EOMONTH($DF$3+INT((DAY(EOMONTH($DF$3,0))-1)/2)+DH$11,0)=EOMONTH($DV$3,0),DH$9*DH$10,0),0),IF(AND(DD$9&lt;&gt;"",DD$11&lt;&gt;""),IF(EOMONTH($DB$3+INT((DAY(EOMONTH($DB$3,0))-1)/2)+DD$11,0)=EOMONTH($DV$3,0),DD$9*DD$10,0),0),IF(AND(CZ$9&lt;&gt;"",CZ$11&lt;&gt;""),IF(EOMONTH($CX$3+INT((DAY(EOMONTH($CX$3,0))-1)/2)+CZ$11,0)=EOMONTH($DV$3,0),CZ$9*CZ$10,0),0),IF(AND(CV$9&lt;&gt;"",CV$11&lt;&gt;""),IF(EOMONTH($CT$3+INT((DAY(EOMONTH($CT$3,0))-1)/2)+CV$11,0)=EOMONTH($DV$3,0),CV$9*CV$10,0),0),IF(AND(CR$9&lt;&gt;"",CR$11&lt;&gt;""),IF(EOMONTH($CP$3+INT((DAY(EOMONTH($CP$3,0))-1)/2)+CR$11,0)=EOMONTH($DV$3,0),CR$9*CR$10,0),0),IF(AND(CN$9&lt;&gt;"",CN$11&lt;&gt;""),IF(EOMONTH($CL$3+INT((DAY(EOMONTH($CL$3,0))-1)/2)+CN$11,0)=EOMONTH($DV$3,0),CN$9*CN$10,0),0),IF(AND(CJ$9&lt;&gt;"",CJ$11&lt;&gt;""),IF(EOMONTH($CH$3+INT((DAY(EOMONTH($CH$3,0))-1)/2)+CJ$11,0)=EOMONTH($DV$3,0),CJ$9*CJ$10,0),0),IF(AND(CF$9&lt;&gt;"",CF$11&lt;&gt;""),IF(EOMONTH($CD$3+INT((DAY(EOMONTH($CD$3,0))-1)/2)+CF$11,0)=EOMONTH($DV$3,0),CF$9*CF$10,0),0),IF(AND(CB$9&lt;&gt;"",CB$11&lt;&gt;""),IF(EOMONTH($BZ$3+INT((DAY(EOMONTH($BZ$3,0))-1)/2)+CB$11,0)=EOMONTH($DV$3,0),CB$9*CB$10,0),0),IF(AND(BX$9&lt;&gt;"",BX$11&lt;&gt;""),IF(EOMONTH($BV$3+INT((DAY(EOMONTH($BV$3,0))-1)/2)+BX$11,0)=EOMONTH($DV$3,0),BX$9*BX$10,0),0),IF(AND(BT$9&lt;&gt;"",BT$11&lt;&gt;""),IF(EOMONTH($BR$3+INT((DAY(EOMONTH($BR$3,0))-1)/2)+BT$11,0)=EOMONTH($DV$3,0),BT$9*BT$10,0),0),IF(AND(BP$9&lt;&gt;"",BP$11&lt;&gt;""),IF(EOMONTH($BN$3+INT((DAY(EOMONTH($BN$3,0))-1)/2)+BP$11,0)=EOMONTH($DV$3,0),BP$9*BP$10,0),0),IF(AND(BL$9&lt;&gt;"",BL$11&lt;&gt;""),IF(EOMONTH($BJ$3+INT((DAY(EOMONTH($BJ$3,0))-1)/2)+BL$11,0)=EOMONTH($DV$3,0),BL$9*BL$10,0),0),IF(AND(BH$9&lt;&gt;"",BH$11&lt;&gt;""),IF(EOMONTH($BF$3+INT((DAY(EOMONTH($BF$3,0))-1)/2)+BH$11,0)=EOMONTH($DV$3,0),BH$9*BH$10,0),0),IF(AND(BD$9&lt;&gt;"",BD$11&lt;&gt;""),IF(EOMONTH($BB$3+INT((DAY(EOMONTH($BB$3,0))-1)/2)+BD$11,0)=EOMONTH($DV$3,0),BD$9*BD$10,0),0),IF(AND(AZ$9&lt;&gt;"",AZ$11&lt;&gt;""),IF(EOMONTH($AX$3+INT((DAY(EOMONTH($AX$3,0))-1)/2)+AZ$11,0)=EOMONTH($DV$3,0),AZ$9*AZ$10,0),0),IF(AND(AV$9&lt;&gt;"",AV$11&lt;&gt;""),IF(EOMONTH($AT$3+INT((DAY(EOMONTH($AT$3,0))-1)/2)+AV$11,0)=EOMONTH($DV$3,0),AV$9*AV$10,0),0),IF(AND(AR$9&lt;&gt;"",AR$11&lt;&gt;""),IF(EOMONTH($AP$3+INT((DAY(EOMONTH($AP$3,0))-1)/2)+AR$11,0)=EOMONTH($DV$3,0),AR$9*AR$10,0),0),IF(AND(AN$9&lt;&gt;"",AN$11&lt;&gt;""),IF(EOMONTH($AL$3+INT((DAY(EOMONTH($AL$3,0))-1)/2)+AN$11,0)=EOMONTH($DV$3,0),AN$9*AN$10,0),0),IF(AND(AJ$9&lt;&gt;"",AJ$11&lt;&gt;""),IF(EOMONTH($AH$3+INT((DAY(EOMONTH($AH$3,0))-1)/2)+AJ$11,0)=EOMONTH($DV$3,0),AJ$9*AJ$10,0),0),IF(AND(AF$9&lt;&gt;"",AF$11&lt;&gt;""),IF(EOMONTH($AD$3+INT((DAY(EOMONTH($AD$3,0))-1)/2)+AF$11,0)=EOMONTH($DV$3,0),AF$9*AF$10,0),0),IF(AND(AB$9&lt;&gt;"",AB$11&lt;&gt;""),IF(EOMONTH($Z$3+INT((DAY(EOMONTH($Z$3,0))-1)/2)+AB$11,0)=EOMONTH($DV$3,0),AB$9*AB$10,0),0),IF(AND(X$9&lt;&gt;"",X$11&lt;&gt;""),IF(EOMONTH($V$3+INT((DAY(EOMONTH($V$3,0))-1)/2)+X$11,0)=EOMONTH($DV$3,0),X$9*X$10,0),0),IF(AND(T$9&lt;&gt;"",T$11&lt;&gt;""),IF(EOMONTH($R$3+INT((DAY(EOMONTH($R$3,0))-1)/2)+T$11,0)=EOMONTH($DV$3,0),T$9*T$10,0),0),IF(AND(P$9&lt;&gt;"",P$11&lt;&gt;""),IF(EOMONTH($N$3+INT((DAY(EOMONTH($N$3,0))-1)/2)+P$11,0)=EOMONTH($DV$3,0),P$9*P$10,0),0),IF(AND(L$9&lt;&gt;"",L$11&lt;&gt;""),IF(EOMONTH($J$3+INT((DAY(EOMONTH($J$3,0))-1)/2)+L$11,0)=EOMONTH($DV$3,0),L$9*L$10,0),0),IF(AND(H$9&lt;&gt;"",H$11&lt;&gt;""),IF(EOMONTH($F$3+INT((DAY(EOMONTH($F$3,0))-1)/2)+H$11,0)=EOMONTH($DV$3,0),H$9*H$10,0),0),IF($EP$75="",0,IF(EOMONTH($EP$75+ER$11,0)=EOMONTH($DV$3,0),$EP$76*ER$10,0))),0)</f>
        <v>0</v>
      </c>
      <c r="DY12" s="16">
        <f t="shared" si="65"/>
        <v>0</v>
      </c>
      <c r="DZ12" s="17"/>
      <c r="EA12" s="14">
        <f>IF(DZ$98=1,DZ12,ROUND(SUM(IF(AND(EQ$9&lt;&gt;"",EQ$11&lt;&gt;""),IF(EOMONTH($EP$3+INT((DAY(EOMONTH($EP$3,0))-1)/2)+EQ$11,0)=EOMONTH($DZ$3,0),EQ$9*EQ$10,0),0),IF(AND(EM$9&lt;&gt;"",EM$11&lt;&gt;""),IF(EOMONTH($EL$3+INT((DAY(EOMONTH($EL$3,0))-1)/2)+EM$11,0)=EOMONTH($DZ$3,0),EM$9*EM$10,0),0),IF(AND(EI$9&lt;&gt;"",EI$11&lt;&gt;""),IF(EOMONTH($EH$3+INT((DAY(EOMONTH($EH$3,0))-1)/2)+EI$11,0)=EOMONTH($DZ$3,0),EI$9*EI$10,0),0),IF(AND(EE$9&lt;&gt;"",EE$11&lt;&gt;""),IF(EOMONTH($ED$3+INT((DAY(EOMONTH($ED$3,0))-1)/2)+EE$11,0)=EOMONTH($DZ$3,0),EE$9*EE$10,0),0),IF(AND(EA$9&lt;&gt;"",EA$11&lt;&gt;""),IF(EOMONTH($DZ$3+INT((DAY(EOMONTH($DZ$3,0))-1)/2)+EA$11,0)=EOMONTH($DZ$3,0),EA$9*EA$10,0),0),IF(AND(DW$9&lt;&gt;"",DW$11&lt;&gt;""),IF(EOMONTH($DV$3+INT((DAY(EOMONTH($DV$3,0))-1)/2)+DW$11,0)=EOMONTH($DZ$3,0),DW$9*DW$10,0),0),IF(AND(DS$9&lt;&gt;"",DS$11&lt;&gt;""),IF(EOMONTH($DR$3+INT((DAY(EOMONTH($DR$3,0))-1)/2)+DS$11,0)=EOMONTH($DZ$3,0),DS$9*DS$10,0),0),IF(AND(DO$9&lt;&gt;"",DO$11&lt;&gt;""),IF(EOMONTH($DN$3+INT((DAY(EOMONTH($DN$3,0))-1)/2)+DO$11,0)=EOMONTH($DZ$3,0),DO$9*DO$10,0),0),IF(AND(DK$9&lt;&gt;"",DK$11&lt;&gt;""),IF(EOMONTH($DJ$3+INT((DAY(EOMONTH($DJ$3,0))-1)/2)+DK$11,0)=EOMONTH($DZ$3,0),DK$9*DK$10,0),0),IF(AND(DG$9&lt;&gt;"",DG$11&lt;&gt;""),IF(EOMONTH($DF$3+INT((DAY(EOMONTH($DF$3,0))-1)/2)+DG$11,0)=EOMONTH($DZ$3,0),DG$9*DG$10,0),0),IF(AND(DC$9&lt;&gt;"",DC$11&lt;&gt;""),IF(EOMONTH($DB$3+INT((DAY(EOMONTH($DB$3,0))-1)/2)+DC$11,0)=EOMONTH($DZ$3,0),DC$9*DC$10,0),0),IF(AND(CY$9&lt;&gt;"",CY$11&lt;&gt;""),IF(EOMONTH($CX$3+INT((DAY(EOMONTH($CX$3,0))-1)/2)+CY$11,0)=EOMONTH($DZ$3,0),CY$9*CY$10,0),0),IF(AND(CU$9&lt;&gt;"",CU$11&lt;&gt;""),IF(EOMONTH($CT$3+INT((DAY(EOMONTH($CT$3,0))-1)/2)+CU$11,0)=EOMONTH($DZ$3,0),CU$9*CU$10,0),0),IF(AND(CQ$9&lt;&gt;"",CQ$11&lt;&gt;""),IF(EOMONTH($CP$3+INT((DAY(EOMONTH($CP$3,0))-1)/2)+CQ$11,0)=EOMONTH($DZ$3,0),CQ$9*CQ$10,0),0),IF(AND(CM$9&lt;&gt;"",CM$11&lt;&gt;""),IF(EOMONTH($CL$3+INT((DAY(EOMONTH($CL$3,0))-1)/2)+CM$11,0)=EOMONTH($DZ$3,0),CM$9*CM$10,0),0),IF(AND(CI$9&lt;&gt;"",CI$11&lt;&gt;""),IF(EOMONTH($CH$3+INT((DAY(EOMONTH($CH$3,0))-1)/2)+CI$11,0)=EOMONTH($DZ$3,0),CI$9*CI$10,0),0),IF(AND(CE$9&lt;&gt;"",CE$11&lt;&gt;""),IF(EOMONTH($CD$3+INT((DAY(EOMONTH($CD$3,0))-1)/2)+CE$11,0)=EOMONTH($DZ$3,0),CE$9*CE$10,0),0),IF(AND(CA$9&lt;&gt;"",CA$11&lt;&gt;""),IF(EOMONTH($BZ$3+INT((DAY(EOMONTH($BZ$3,0))-1)/2)+CA$11,0)=EOMONTH($DZ$3,0),CA$9*CA$10,0),0),IF(AND(BW$9&lt;&gt;"",BW$11&lt;&gt;""),IF(EOMONTH($BV$3+INT((DAY(EOMONTH($BV$3,0))-1)/2)+BW$11,0)=EOMONTH($DZ$3,0),BW$9*BW$10,0),0),IF(AND(BS$9&lt;&gt;"",BS$11&lt;&gt;""),IF(EOMONTH($BR$3+INT((DAY(EOMONTH($BR$3,0))-1)/2)+BS$11,0)=EOMONTH($DZ$3,0),BS$9*BS$10,0),0),IF(AND(BO$9&lt;&gt;"",BO$11&lt;&gt;""),IF(EOMONTH($BN$3+INT((DAY(EOMONTH($BN$3,0))-1)/2)+BO$11,0)=EOMONTH($DZ$3,0),BO$9*BO$10,0),0),IF(AND(BK$9&lt;&gt;"",BK$11&lt;&gt;""),IF(EOMONTH($BJ$3+INT((DAY(EOMONTH($BJ$3,0))-1)/2)+BK$11,0)=EOMONTH($DZ$3,0),BK$9*BK$10,0),0),IF(AND(BG$9&lt;&gt;"",BG$11&lt;&gt;""),IF(EOMONTH($BF$3+INT((DAY(EOMONTH($BF$3,0))-1)/2)+BG$11,0)=EOMONTH($DZ$3,0),BG$9*BG$10,0),0),IF(AND(BC$9&lt;&gt;"",BC$11&lt;&gt;""),IF(EOMONTH($BB$3+INT((DAY(EOMONTH($BB$3,0))-1)/2)+BC$11,0)=EOMONTH($DZ$3,0),BC$9*BC$10,0),0),IF(AND(AY$9&lt;&gt;"",AY$11&lt;&gt;""),IF(EOMONTH($AX$3+INT((DAY(EOMONTH($AX$3,0))-1)/2)+AY$11,0)=EOMONTH($DZ$3,0),AY$9*AY$10,0),0),IF(AND(AU$9&lt;&gt;"",AU$11&lt;&gt;""),IF(EOMONTH($AT$3+INT((DAY(EOMONTH($AT$3,0))-1)/2)+AU$11,0)=EOMONTH($DZ$3,0),AU$9*AU$10,0),0),IF(AND(AQ$9&lt;&gt;"",AQ$11&lt;&gt;""),IF(EOMONTH($AP$3+INT((DAY(EOMONTH($AP$3,0))-1)/2)+AQ$11,0)=EOMONTH($DZ$3,0),AQ$9*AQ$10,0),0),IF(AND(AM$9&lt;&gt;"",AM$11&lt;&gt;""),IF(EOMONTH($AL$3+INT((DAY(EOMONTH($AL$3,0))-1)/2)+AM$11,0)=EOMONTH($DZ$3,0),AM$9*AM$10,0),0),IF(AND(AI$9&lt;&gt;"",AI$11&lt;&gt;""),IF(EOMONTH($AH$3+INT((DAY(EOMONTH($AH$3,0))-1)/2)+AI$11,0)=EOMONTH($DZ$3,0),AI$9*AI$10,0),0),IF(AND(AE$9&lt;&gt;"",AE$11&lt;&gt;""),IF(EOMONTH($AD$3+INT((DAY(EOMONTH($AD$3,0))-1)/2)+AE$11,0)=EOMONTH($DZ$3,0),AE$9*AE$10,0),0),IF(AND(AA$9&lt;&gt;"",AA$11&lt;&gt;""),IF(EOMONTH($Z$3+INT((DAY(EOMONTH($Z$3,0))-1)/2)+AA$11,0)=EOMONTH($DZ$3,0),AA$9*AA$10,0),0),IF(AND(W$9&lt;&gt;"",W$11&lt;&gt;""),IF(EOMONTH($V$3+INT((DAY(EOMONTH($V$3,0))-1)/2)+W$11,0)=EOMONTH($DZ$3,0),W$9*W$10,0),0),IF(AND(S$9&lt;&gt;"",S$11&lt;&gt;""),IF(EOMONTH($R$3+INT((DAY(EOMONTH($R$3,0))-1)/2)+S$11,0)=EOMONTH($DZ$3,0),S$9*S$10,0),0),IF(AND(O$9&lt;&gt;"",O$11&lt;&gt;""),IF(EOMONTH($N$3+INT((DAY(EOMONTH($N$3,0))-1)/2)+O$11,0)=EOMONTH($DZ$3,0),O$9*O$10,0),0),IF(AND(K$9&lt;&gt;"",K$11&lt;&gt;""),IF(EOMONTH($J$3+INT((DAY(EOMONTH($J$3,0))-1)/2)+K$11,0)=EOMONTH($DZ$3,0),K$9*K$10,0),0),IF(AND(G$9&lt;&gt;"",G$11&lt;&gt;""),IF(EOMONTH($F$3+INT((DAY(EOMONTH($F$3,0))-1)/2)+G$11,0)=EOMONTH($DZ$3,0),G$9*G$10,0),0),IF($EP$75="",0,IF(EOMONTH($EP$75+EQ$11,0)=EOMONTH($DZ$3,0),$EP$76*EQ$10,0))),0))</f>
        <v>0</v>
      </c>
      <c r="EB12" s="15">
        <f>ROUND(SUM(IF(AND(ER$9&lt;&gt;"",ER$11&lt;&gt;""),IF(EOMONTH($EP$3+INT((DAY(EOMONTH($EP$3,0))-1)/2)+ER$11,0)=EOMONTH($DZ$3,0),ER$9*ER$10,0),0),IF(AND(EN$9&lt;&gt;"",EN$11&lt;&gt;""),IF(EOMONTH($EL$3+INT((DAY(EOMONTH($EL$3,0))-1)/2)+EN$11,0)=EOMONTH($DZ$3,0),EN$9*EN$10,0),0),IF(AND(EJ$9&lt;&gt;"",EJ$11&lt;&gt;""),IF(EOMONTH($EH$3+INT((DAY(EOMONTH($EH$3,0))-1)/2)+EJ$11,0)=EOMONTH($DZ$3,0),EJ$9*EJ$10,0),0),IF(AND(EF$9&lt;&gt;"",EF$11&lt;&gt;""),IF(EOMONTH($ED$3+INT((DAY(EOMONTH($ED$3,0))-1)/2)+EF$11,0)=EOMONTH($DZ$3,0),EF$9*EF$10,0),0),IF(AND(EB$9&lt;&gt;"",EB$11&lt;&gt;""),IF(EOMONTH($DZ$3+INT((DAY(EOMONTH($DZ$3,0))-1)/2)+EB$11,0)=EOMONTH($DZ$3,0),EB$9*EB$10,0),0),IF(AND(DX$9&lt;&gt;"",DX$11&lt;&gt;""),IF(EOMONTH($DV$3+INT((DAY(EOMONTH($DV$3,0))-1)/2)+DX$11,0)=EOMONTH($DZ$3,0),DX$9*DX$10,0),0),IF(AND(DT$9&lt;&gt;"",DT$11&lt;&gt;""),IF(EOMONTH($DR$3+INT((DAY(EOMONTH($DR$3,0))-1)/2)+DT$11,0)=EOMONTH($DZ$3,0),DT$9*DT$10,0),0),IF(AND(DP$9&lt;&gt;"",DP$11&lt;&gt;""),IF(EOMONTH($DN$3+INT((DAY(EOMONTH($DN$3,0))-1)/2)+DP$11,0)=EOMONTH($DZ$3,0),DP$9*DP$10,0),0),IF(AND(DL$9&lt;&gt;"",DL$11&lt;&gt;""),IF(EOMONTH($DJ$3+INT((DAY(EOMONTH($DJ$3,0))-1)/2)+DL$11,0)=EOMONTH($DZ$3,0),DL$9*DL$10,0),0),IF(AND(DH$9&lt;&gt;"",DH$11&lt;&gt;""),IF(EOMONTH($DF$3+INT((DAY(EOMONTH($DF$3,0))-1)/2)+DH$11,0)=EOMONTH($DZ$3,0),DH$9*DH$10,0),0),IF(AND(DD$9&lt;&gt;"",DD$11&lt;&gt;""),IF(EOMONTH($DB$3+INT((DAY(EOMONTH($DB$3,0))-1)/2)+DD$11,0)=EOMONTH($DZ$3,0),DD$9*DD$10,0),0),IF(AND(CZ$9&lt;&gt;"",CZ$11&lt;&gt;""),IF(EOMONTH($CX$3+INT((DAY(EOMONTH($CX$3,0))-1)/2)+CZ$11,0)=EOMONTH($DZ$3,0),CZ$9*CZ$10,0),0),IF(AND(CV$9&lt;&gt;"",CV$11&lt;&gt;""),IF(EOMONTH($CT$3+INT((DAY(EOMONTH($CT$3,0))-1)/2)+CV$11,0)=EOMONTH($DZ$3,0),CV$9*CV$10,0),0),IF(AND(CR$9&lt;&gt;"",CR$11&lt;&gt;""),IF(EOMONTH($CP$3+INT((DAY(EOMONTH($CP$3,0))-1)/2)+CR$11,0)=EOMONTH($DZ$3,0),CR$9*CR$10,0),0),IF(AND(CN$9&lt;&gt;"",CN$11&lt;&gt;""),IF(EOMONTH($CL$3+INT((DAY(EOMONTH($CL$3,0))-1)/2)+CN$11,0)=EOMONTH($DZ$3,0),CN$9*CN$10,0),0),IF(AND(CJ$9&lt;&gt;"",CJ$11&lt;&gt;""),IF(EOMONTH($CH$3+INT((DAY(EOMONTH($CH$3,0))-1)/2)+CJ$11,0)=EOMONTH($DZ$3,0),CJ$9*CJ$10,0),0),IF(AND(CF$9&lt;&gt;"",CF$11&lt;&gt;""),IF(EOMONTH($CD$3+INT((DAY(EOMONTH($CD$3,0))-1)/2)+CF$11,0)=EOMONTH($DZ$3,0),CF$9*CF$10,0),0),IF(AND(CB$9&lt;&gt;"",CB$11&lt;&gt;""),IF(EOMONTH($BZ$3+INT((DAY(EOMONTH($BZ$3,0))-1)/2)+CB$11,0)=EOMONTH($DZ$3,0),CB$9*CB$10,0),0),IF(AND(BX$9&lt;&gt;"",BX$11&lt;&gt;""),IF(EOMONTH($BV$3+INT((DAY(EOMONTH($BV$3,0))-1)/2)+BX$11,0)=EOMONTH($DZ$3,0),BX$9*BX$10,0),0),IF(AND(BT$9&lt;&gt;"",BT$11&lt;&gt;""),IF(EOMONTH($BR$3+INT((DAY(EOMONTH($BR$3,0))-1)/2)+BT$11,0)=EOMONTH($DZ$3,0),BT$9*BT$10,0),0),IF(AND(BP$9&lt;&gt;"",BP$11&lt;&gt;""),IF(EOMONTH($BN$3+INT((DAY(EOMONTH($BN$3,0))-1)/2)+BP$11,0)=EOMONTH($DZ$3,0),BP$9*BP$10,0),0),IF(AND(BL$9&lt;&gt;"",BL$11&lt;&gt;""),IF(EOMONTH($BJ$3+INT((DAY(EOMONTH($BJ$3,0))-1)/2)+BL$11,0)=EOMONTH($DZ$3,0),BL$9*BL$10,0),0),IF(AND(BH$9&lt;&gt;"",BH$11&lt;&gt;""),IF(EOMONTH($BF$3+INT((DAY(EOMONTH($BF$3,0))-1)/2)+BH$11,0)=EOMONTH($DZ$3,0),BH$9*BH$10,0),0),IF(AND(BD$9&lt;&gt;"",BD$11&lt;&gt;""),IF(EOMONTH($BB$3+INT((DAY(EOMONTH($BB$3,0))-1)/2)+BD$11,0)=EOMONTH($DZ$3,0),BD$9*BD$10,0),0),IF(AND(AZ$9&lt;&gt;"",AZ$11&lt;&gt;""),IF(EOMONTH($AX$3+INT((DAY(EOMONTH($AX$3,0))-1)/2)+AZ$11,0)=EOMONTH($DZ$3,0),AZ$9*AZ$10,0),0),IF(AND(AV$9&lt;&gt;"",AV$11&lt;&gt;""),IF(EOMONTH($AT$3+INT((DAY(EOMONTH($AT$3,0))-1)/2)+AV$11,0)=EOMONTH($DZ$3,0),AV$9*AV$10,0),0),IF(AND(AR$9&lt;&gt;"",AR$11&lt;&gt;""),IF(EOMONTH($AP$3+INT((DAY(EOMONTH($AP$3,0))-1)/2)+AR$11,0)=EOMONTH($DZ$3,0),AR$9*AR$10,0),0),IF(AND(AN$9&lt;&gt;"",AN$11&lt;&gt;""),IF(EOMONTH($AL$3+INT((DAY(EOMONTH($AL$3,0))-1)/2)+AN$11,0)=EOMONTH($DZ$3,0),AN$9*AN$10,0),0),IF(AND(AJ$9&lt;&gt;"",AJ$11&lt;&gt;""),IF(EOMONTH($AH$3+INT((DAY(EOMONTH($AH$3,0))-1)/2)+AJ$11,0)=EOMONTH($DZ$3,0),AJ$9*AJ$10,0),0),IF(AND(AF$9&lt;&gt;"",AF$11&lt;&gt;""),IF(EOMONTH($AD$3+INT((DAY(EOMONTH($AD$3,0))-1)/2)+AF$11,0)=EOMONTH($DZ$3,0),AF$9*AF$10,0),0),IF(AND(AB$9&lt;&gt;"",AB$11&lt;&gt;""),IF(EOMONTH($Z$3+INT((DAY(EOMONTH($Z$3,0))-1)/2)+AB$11,0)=EOMONTH($DZ$3,0),AB$9*AB$10,0),0),IF(AND(X$9&lt;&gt;"",X$11&lt;&gt;""),IF(EOMONTH($V$3+INT((DAY(EOMONTH($V$3,0))-1)/2)+X$11,0)=EOMONTH($DZ$3,0),X$9*X$10,0),0),IF(AND(T$9&lt;&gt;"",T$11&lt;&gt;""),IF(EOMONTH($R$3+INT((DAY(EOMONTH($R$3,0))-1)/2)+T$11,0)=EOMONTH($DZ$3,0),T$9*T$10,0),0),IF(AND(P$9&lt;&gt;"",P$11&lt;&gt;""),IF(EOMONTH($N$3+INT((DAY(EOMONTH($N$3,0))-1)/2)+P$11,0)=EOMONTH($DZ$3,0),P$9*P$10,0),0),IF(AND(L$9&lt;&gt;"",L$11&lt;&gt;""),IF(EOMONTH($J$3+INT((DAY(EOMONTH($J$3,0))-1)/2)+L$11,0)=EOMONTH($DZ$3,0),L$9*L$10,0),0),IF(AND(H$9&lt;&gt;"",H$11&lt;&gt;""),IF(EOMONTH($F$3+INT((DAY(EOMONTH($F$3,0))-1)/2)+H$11,0)=EOMONTH($DZ$3,0),H$9*H$10,0),0),IF($EP$75="",0,IF(EOMONTH($EP$75+ER$11,0)=EOMONTH($DZ$3,0),$EP$76*ER$10,0))),0)</f>
        <v>0</v>
      </c>
      <c r="EC12" s="16">
        <f t="shared" si="67"/>
        <v>0</v>
      </c>
      <c r="ED12" s="17"/>
      <c r="EE12" s="14">
        <f>IF(ED$98=1,ED12,ROUND(SUM(IF(AND(EQ$9&lt;&gt;"",EQ$11&lt;&gt;""),IF(EOMONTH($EP$3+INT((DAY(EOMONTH($EP$3,0))-1)/2)+EQ$11,0)=EOMONTH($ED$3,0),EQ$9*EQ$10,0),0),IF(AND(EM$9&lt;&gt;"",EM$11&lt;&gt;""),IF(EOMONTH($EL$3+INT((DAY(EOMONTH($EL$3,0))-1)/2)+EM$11,0)=EOMONTH($ED$3,0),EM$9*EM$10,0),0),IF(AND(EI$9&lt;&gt;"",EI$11&lt;&gt;""),IF(EOMONTH($EH$3+INT((DAY(EOMONTH($EH$3,0))-1)/2)+EI$11,0)=EOMONTH($ED$3,0),EI$9*EI$10,0),0),IF(AND(EE$9&lt;&gt;"",EE$11&lt;&gt;""),IF(EOMONTH($ED$3+INT((DAY(EOMONTH($ED$3,0))-1)/2)+EE$11,0)=EOMONTH($ED$3,0),EE$9*EE$10,0),0),IF(AND(EA$9&lt;&gt;"",EA$11&lt;&gt;""),IF(EOMONTH($DZ$3+INT((DAY(EOMONTH($DZ$3,0))-1)/2)+EA$11,0)=EOMONTH($ED$3,0),EA$9*EA$10,0),0),IF(AND(DW$9&lt;&gt;"",DW$11&lt;&gt;""),IF(EOMONTH($DV$3+INT((DAY(EOMONTH($DV$3,0))-1)/2)+DW$11,0)=EOMONTH($ED$3,0),DW$9*DW$10,0),0),IF(AND(DS$9&lt;&gt;"",DS$11&lt;&gt;""),IF(EOMONTH($DR$3+INT((DAY(EOMONTH($DR$3,0))-1)/2)+DS$11,0)=EOMONTH($ED$3,0),DS$9*DS$10,0),0),IF(AND(DO$9&lt;&gt;"",DO$11&lt;&gt;""),IF(EOMONTH($DN$3+INT((DAY(EOMONTH($DN$3,0))-1)/2)+DO$11,0)=EOMONTH($ED$3,0),DO$9*DO$10,0),0),IF(AND(DK$9&lt;&gt;"",DK$11&lt;&gt;""),IF(EOMONTH($DJ$3+INT((DAY(EOMONTH($DJ$3,0))-1)/2)+DK$11,0)=EOMONTH($ED$3,0),DK$9*DK$10,0),0),IF(AND(DG$9&lt;&gt;"",DG$11&lt;&gt;""),IF(EOMONTH($DF$3+INT((DAY(EOMONTH($DF$3,0))-1)/2)+DG$11,0)=EOMONTH($ED$3,0),DG$9*DG$10,0),0),IF(AND(DC$9&lt;&gt;"",DC$11&lt;&gt;""),IF(EOMONTH($DB$3+INT((DAY(EOMONTH($DB$3,0))-1)/2)+DC$11,0)=EOMONTH($ED$3,0),DC$9*DC$10,0),0),IF(AND(CY$9&lt;&gt;"",CY$11&lt;&gt;""),IF(EOMONTH($CX$3+INT((DAY(EOMONTH($CX$3,0))-1)/2)+CY$11,0)=EOMONTH($ED$3,0),CY$9*CY$10,0),0),IF(AND(CU$9&lt;&gt;"",CU$11&lt;&gt;""),IF(EOMONTH($CT$3+INT((DAY(EOMONTH($CT$3,0))-1)/2)+CU$11,0)=EOMONTH($ED$3,0),CU$9*CU$10,0),0),IF(AND(CQ$9&lt;&gt;"",CQ$11&lt;&gt;""),IF(EOMONTH($CP$3+INT((DAY(EOMONTH($CP$3,0))-1)/2)+CQ$11,0)=EOMONTH($ED$3,0),CQ$9*CQ$10,0),0),IF(AND(CM$9&lt;&gt;"",CM$11&lt;&gt;""),IF(EOMONTH($CL$3+INT((DAY(EOMONTH($CL$3,0))-1)/2)+CM$11,0)=EOMONTH($ED$3,0),CM$9*CM$10,0),0),IF(AND(CI$9&lt;&gt;"",CI$11&lt;&gt;""),IF(EOMONTH($CH$3+INT((DAY(EOMONTH($CH$3,0))-1)/2)+CI$11,0)=EOMONTH($ED$3,0),CI$9*CI$10,0),0),IF(AND(CE$9&lt;&gt;"",CE$11&lt;&gt;""),IF(EOMONTH($CD$3+INT((DAY(EOMONTH($CD$3,0))-1)/2)+CE$11,0)=EOMONTH($ED$3,0),CE$9*CE$10,0),0),IF(AND(CA$9&lt;&gt;"",CA$11&lt;&gt;""),IF(EOMONTH($BZ$3+INT((DAY(EOMONTH($BZ$3,0))-1)/2)+CA$11,0)=EOMONTH($ED$3,0),CA$9*CA$10,0),0),IF(AND(BW$9&lt;&gt;"",BW$11&lt;&gt;""),IF(EOMONTH($BV$3+INT((DAY(EOMONTH($BV$3,0))-1)/2)+BW$11,0)=EOMONTH($ED$3,0),BW$9*BW$10,0),0),IF(AND(BS$9&lt;&gt;"",BS$11&lt;&gt;""),IF(EOMONTH($BR$3+INT((DAY(EOMONTH($BR$3,0))-1)/2)+BS$11,0)=EOMONTH($ED$3,0),BS$9*BS$10,0),0),IF(AND(BO$9&lt;&gt;"",BO$11&lt;&gt;""),IF(EOMONTH($BN$3+INT((DAY(EOMONTH($BN$3,0))-1)/2)+BO$11,0)=EOMONTH($ED$3,0),BO$9*BO$10,0),0),IF(AND(BK$9&lt;&gt;"",BK$11&lt;&gt;""),IF(EOMONTH($BJ$3+INT((DAY(EOMONTH($BJ$3,0))-1)/2)+BK$11,0)=EOMONTH($ED$3,0),BK$9*BK$10,0),0),IF(AND(BG$9&lt;&gt;"",BG$11&lt;&gt;""),IF(EOMONTH($BF$3+INT((DAY(EOMONTH($BF$3,0))-1)/2)+BG$11,0)=EOMONTH($ED$3,0),BG$9*BG$10,0),0),IF(AND(BC$9&lt;&gt;"",BC$11&lt;&gt;""),IF(EOMONTH($BB$3+INT((DAY(EOMONTH($BB$3,0))-1)/2)+BC$11,0)=EOMONTH($ED$3,0),BC$9*BC$10,0),0),IF(AND(AY$9&lt;&gt;"",AY$11&lt;&gt;""),IF(EOMONTH($AX$3+INT((DAY(EOMONTH($AX$3,0))-1)/2)+AY$11,0)=EOMONTH($ED$3,0),AY$9*AY$10,0),0),IF(AND(AU$9&lt;&gt;"",AU$11&lt;&gt;""),IF(EOMONTH($AT$3+INT((DAY(EOMONTH($AT$3,0))-1)/2)+AU$11,0)=EOMONTH($ED$3,0),AU$9*AU$10,0),0),IF(AND(AQ$9&lt;&gt;"",AQ$11&lt;&gt;""),IF(EOMONTH($AP$3+INT((DAY(EOMONTH($AP$3,0))-1)/2)+AQ$11,0)=EOMONTH($ED$3,0),AQ$9*AQ$10,0),0),IF(AND(AM$9&lt;&gt;"",AM$11&lt;&gt;""),IF(EOMONTH($AL$3+INT((DAY(EOMONTH($AL$3,0))-1)/2)+AM$11,0)=EOMONTH($ED$3,0),AM$9*AM$10,0),0),IF(AND(AI$9&lt;&gt;"",AI$11&lt;&gt;""),IF(EOMONTH($AH$3+INT((DAY(EOMONTH($AH$3,0))-1)/2)+AI$11,0)=EOMONTH($ED$3,0),AI$9*AI$10,0),0),IF(AND(AE$9&lt;&gt;"",AE$11&lt;&gt;""),IF(EOMONTH($AD$3+INT((DAY(EOMONTH($AD$3,0))-1)/2)+AE$11,0)=EOMONTH($ED$3,0),AE$9*AE$10,0),0),IF(AND(AA$9&lt;&gt;"",AA$11&lt;&gt;""),IF(EOMONTH($Z$3+INT((DAY(EOMONTH($Z$3,0))-1)/2)+AA$11,0)=EOMONTH($ED$3,0),AA$9*AA$10,0),0),IF(AND(W$9&lt;&gt;"",W$11&lt;&gt;""),IF(EOMONTH($V$3+INT((DAY(EOMONTH($V$3,0))-1)/2)+W$11,0)=EOMONTH($ED$3,0),W$9*W$10,0),0),IF(AND(S$9&lt;&gt;"",S$11&lt;&gt;""),IF(EOMONTH($R$3+INT((DAY(EOMONTH($R$3,0))-1)/2)+S$11,0)=EOMONTH($ED$3,0),S$9*S$10,0),0),IF(AND(O$9&lt;&gt;"",O$11&lt;&gt;""),IF(EOMONTH($N$3+INT((DAY(EOMONTH($N$3,0))-1)/2)+O$11,0)=EOMONTH($ED$3,0),O$9*O$10,0),0),IF(AND(K$9&lt;&gt;"",K$11&lt;&gt;""),IF(EOMONTH($J$3+INT((DAY(EOMONTH($J$3,0))-1)/2)+K$11,0)=EOMONTH($ED$3,0),K$9*K$10,0),0),IF(AND(G$9&lt;&gt;"",G$11&lt;&gt;""),IF(EOMONTH($F$3+INT((DAY(EOMONTH($F$3,0))-1)/2)+G$11,0)=EOMONTH($ED$3,0),G$9*G$10,0),0),IF($EP$75="",0,IF(EOMONTH($EP$75+EQ$11,0)=EOMONTH($ED$3,0),$EP$76*EQ$10,0))),0))</f>
        <v>0</v>
      </c>
      <c r="EF12" s="15">
        <f>ROUND(SUM(IF(AND(ER$9&lt;&gt;"",ER$11&lt;&gt;""),IF(EOMONTH($EP$3+INT((DAY(EOMONTH($EP$3,0))-1)/2)+ER$11,0)=EOMONTH($ED$3,0),ER$9*ER$10,0),0),IF(AND(EN$9&lt;&gt;"",EN$11&lt;&gt;""),IF(EOMONTH($EL$3+INT((DAY(EOMONTH($EL$3,0))-1)/2)+EN$11,0)=EOMONTH($ED$3,0),EN$9*EN$10,0),0),IF(AND(EJ$9&lt;&gt;"",EJ$11&lt;&gt;""),IF(EOMONTH($EH$3+INT((DAY(EOMONTH($EH$3,0))-1)/2)+EJ$11,0)=EOMONTH($ED$3,0),EJ$9*EJ$10,0),0),IF(AND(EF$9&lt;&gt;"",EF$11&lt;&gt;""),IF(EOMONTH($ED$3+INT((DAY(EOMONTH($ED$3,0))-1)/2)+EF$11,0)=EOMONTH($ED$3,0),EF$9*EF$10,0),0),IF(AND(EB$9&lt;&gt;"",EB$11&lt;&gt;""),IF(EOMONTH($DZ$3+INT((DAY(EOMONTH($DZ$3,0))-1)/2)+EB$11,0)=EOMONTH($ED$3,0),EB$9*EB$10,0),0),IF(AND(DX$9&lt;&gt;"",DX$11&lt;&gt;""),IF(EOMONTH($DV$3+INT((DAY(EOMONTH($DV$3,0))-1)/2)+DX$11,0)=EOMONTH($ED$3,0),DX$9*DX$10,0),0),IF(AND(DT$9&lt;&gt;"",DT$11&lt;&gt;""),IF(EOMONTH($DR$3+INT((DAY(EOMONTH($DR$3,0))-1)/2)+DT$11,0)=EOMONTH($ED$3,0),DT$9*DT$10,0),0),IF(AND(DP$9&lt;&gt;"",DP$11&lt;&gt;""),IF(EOMONTH($DN$3+INT((DAY(EOMONTH($DN$3,0))-1)/2)+DP$11,0)=EOMONTH($ED$3,0),DP$9*DP$10,0),0),IF(AND(DL$9&lt;&gt;"",DL$11&lt;&gt;""),IF(EOMONTH($DJ$3+INT((DAY(EOMONTH($DJ$3,0))-1)/2)+DL$11,0)=EOMONTH($ED$3,0),DL$9*DL$10,0),0),IF(AND(DH$9&lt;&gt;"",DH$11&lt;&gt;""),IF(EOMONTH($DF$3+INT((DAY(EOMONTH($DF$3,0))-1)/2)+DH$11,0)=EOMONTH($ED$3,0),DH$9*DH$10,0),0),IF(AND(DD$9&lt;&gt;"",DD$11&lt;&gt;""),IF(EOMONTH($DB$3+INT((DAY(EOMONTH($DB$3,0))-1)/2)+DD$11,0)=EOMONTH($ED$3,0),DD$9*DD$10,0),0),IF(AND(CZ$9&lt;&gt;"",CZ$11&lt;&gt;""),IF(EOMONTH($CX$3+INT((DAY(EOMONTH($CX$3,0))-1)/2)+CZ$11,0)=EOMONTH($ED$3,0),CZ$9*CZ$10,0),0),IF(AND(CV$9&lt;&gt;"",CV$11&lt;&gt;""),IF(EOMONTH($CT$3+INT((DAY(EOMONTH($CT$3,0))-1)/2)+CV$11,0)=EOMONTH($ED$3,0),CV$9*CV$10,0),0),IF(AND(CR$9&lt;&gt;"",CR$11&lt;&gt;""),IF(EOMONTH($CP$3+INT((DAY(EOMONTH($CP$3,0))-1)/2)+CR$11,0)=EOMONTH($ED$3,0),CR$9*CR$10,0),0),IF(AND(CN$9&lt;&gt;"",CN$11&lt;&gt;""),IF(EOMONTH($CL$3+INT((DAY(EOMONTH($CL$3,0))-1)/2)+CN$11,0)=EOMONTH($ED$3,0),CN$9*CN$10,0),0),IF(AND(CJ$9&lt;&gt;"",CJ$11&lt;&gt;""),IF(EOMONTH($CH$3+INT((DAY(EOMONTH($CH$3,0))-1)/2)+CJ$11,0)=EOMONTH($ED$3,0),CJ$9*CJ$10,0),0),IF(AND(CF$9&lt;&gt;"",CF$11&lt;&gt;""),IF(EOMONTH($CD$3+INT((DAY(EOMONTH($CD$3,0))-1)/2)+CF$11,0)=EOMONTH($ED$3,0),CF$9*CF$10,0),0),IF(AND(CB$9&lt;&gt;"",CB$11&lt;&gt;""),IF(EOMONTH($BZ$3+INT((DAY(EOMONTH($BZ$3,0))-1)/2)+CB$11,0)=EOMONTH($ED$3,0),CB$9*CB$10,0),0),IF(AND(BX$9&lt;&gt;"",BX$11&lt;&gt;""),IF(EOMONTH($BV$3+INT((DAY(EOMONTH($BV$3,0))-1)/2)+BX$11,0)=EOMONTH($ED$3,0),BX$9*BX$10,0),0),IF(AND(BT$9&lt;&gt;"",BT$11&lt;&gt;""),IF(EOMONTH($BR$3+INT((DAY(EOMONTH($BR$3,0))-1)/2)+BT$11,0)=EOMONTH($ED$3,0),BT$9*BT$10,0),0),IF(AND(BP$9&lt;&gt;"",BP$11&lt;&gt;""),IF(EOMONTH($BN$3+INT((DAY(EOMONTH($BN$3,0))-1)/2)+BP$11,0)=EOMONTH($ED$3,0),BP$9*BP$10,0),0),IF(AND(BL$9&lt;&gt;"",BL$11&lt;&gt;""),IF(EOMONTH($BJ$3+INT((DAY(EOMONTH($BJ$3,0))-1)/2)+BL$11,0)=EOMONTH($ED$3,0),BL$9*BL$10,0),0),IF(AND(BH$9&lt;&gt;"",BH$11&lt;&gt;""),IF(EOMONTH($BF$3+INT((DAY(EOMONTH($BF$3,0))-1)/2)+BH$11,0)=EOMONTH($ED$3,0),BH$9*BH$10,0),0),IF(AND(BD$9&lt;&gt;"",BD$11&lt;&gt;""),IF(EOMONTH($BB$3+INT((DAY(EOMONTH($BB$3,0))-1)/2)+BD$11,0)=EOMONTH($ED$3,0),BD$9*BD$10,0),0),IF(AND(AZ$9&lt;&gt;"",AZ$11&lt;&gt;""),IF(EOMONTH($AX$3+INT((DAY(EOMONTH($AX$3,0))-1)/2)+AZ$11,0)=EOMONTH($ED$3,0),AZ$9*AZ$10,0),0),IF(AND(AV$9&lt;&gt;"",AV$11&lt;&gt;""),IF(EOMONTH($AT$3+INT((DAY(EOMONTH($AT$3,0))-1)/2)+AV$11,0)=EOMONTH($ED$3,0),AV$9*AV$10,0),0),IF(AND(AR$9&lt;&gt;"",AR$11&lt;&gt;""),IF(EOMONTH($AP$3+INT((DAY(EOMONTH($AP$3,0))-1)/2)+AR$11,0)=EOMONTH($ED$3,0),AR$9*AR$10,0),0),IF(AND(AN$9&lt;&gt;"",AN$11&lt;&gt;""),IF(EOMONTH($AL$3+INT((DAY(EOMONTH($AL$3,0))-1)/2)+AN$11,0)=EOMONTH($ED$3,0),AN$9*AN$10,0),0),IF(AND(AJ$9&lt;&gt;"",AJ$11&lt;&gt;""),IF(EOMONTH($AH$3+INT((DAY(EOMONTH($AH$3,0))-1)/2)+AJ$11,0)=EOMONTH($ED$3,0),AJ$9*AJ$10,0),0),IF(AND(AF$9&lt;&gt;"",AF$11&lt;&gt;""),IF(EOMONTH($AD$3+INT((DAY(EOMONTH($AD$3,0))-1)/2)+AF$11,0)=EOMONTH($ED$3,0),AF$9*AF$10,0),0),IF(AND(AB$9&lt;&gt;"",AB$11&lt;&gt;""),IF(EOMONTH($Z$3+INT((DAY(EOMONTH($Z$3,0))-1)/2)+AB$11,0)=EOMONTH($ED$3,0),AB$9*AB$10,0),0),IF(AND(X$9&lt;&gt;"",X$11&lt;&gt;""),IF(EOMONTH($V$3+INT((DAY(EOMONTH($V$3,0))-1)/2)+X$11,0)=EOMONTH($ED$3,0),X$9*X$10,0),0),IF(AND(T$9&lt;&gt;"",T$11&lt;&gt;""),IF(EOMONTH($R$3+INT((DAY(EOMONTH($R$3,0))-1)/2)+T$11,0)=EOMONTH($ED$3,0),T$9*T$10,0),0),IF(AND(P$9&lt;&gt;"",P$11&lt;&gt;""),IF(EOMONTH($N$3+INT((DAY(EOMONTH($N$3,0))-1)/2)+P$11,0)=EOMONTH($ED$3,0),P$9*P$10,0),0),IF(AND(L$9&lt;&gt;"",L$11&lt;&gt;""),IF(EOMONTH($J$3+INT((DAY(EOMONTH($J$3,0))-1)/2)+L$11,0)=EOMONTH($ED$3,0),L$9*L$10,0),0),IF(AND(H$9&lt;&gt;"",H$11&lt;&gt;""),IF(EOMONTH($F$3+INT((DAY(EOMONTH($F$3,0))-1)/2)+H$11,0)=EOMONTH($ED$3,0),H$9*H$10,0),0),IF($EP$75="",0,IF(EOMONTH($EP$75+ER$11,0)=EOMONTH($ED$3,0),$EP$76*ER$10,0))),0)</f>
        <v>0</v>
      </c>
      <c r="EG12" s="16">
        <f t="shared" si="69"/>
        <v>0</v>
      </c>
      <c r="EH12" s="17"/>
      <c r="EI12" s="14">
        <f>IF(EH$98=1,EH12,ROUND(SUM(IF(AND(EQ$9&lt;&gt;"",EQ$11&lt;&gt;""),IF(EOMONTH($EP$3+INT((DAY(EOMONTH($EP$3,0))-1)/2)+EQ$11,0)=EOMONTH($EH$3,0),EQ$9*EQ$10,0),0),IF(AND(EM$9&lt;&gt;"",EM$11&lt;&gt;""),IF(EOMONTH($EL$3+INT((DAY(EOMONTH($EL$3,0))-1)/2)+EM$11,0)=EOMONTH($EH$3,0),EM$9*EM$10,0),0),IF(AND(EI$9&lt;&gt;"",EI$11&lt;&gt;""),IF(EOMONTH($EH$3+INT((DAY(EOMONTH($EH$3,0))-1)/2)+EI$11,0)=EOMONTH($EH$3,0),EI$9*EI$10,0),0),IF(AND(EE$9&lt;&gt;"",EE$11&lt;&gt;""),IF(EOMONTH($ED$3+INT((DAY(EOMONTH($ED$3,0))-1)/2)+EE$11,0)=EOMONTH($EH$3,0),EE$9*EE$10,0),0),IF(AND(EA$9&lt;&gt;"",EA$11&lt;&gt;""),IF(EOMONTH($DZ$3+INT((DAY(EOMONTH($DZ$3,0))-1)/2)+EA$11,0)=EOMONTH($EH$3,0),EA$9*EA$10,0),0),IF(AND(DW$9&lt;&gt;"",DW$11&lt;&gt;""),IF(EOMONTH($DV$3+INT((DAY(EOMONTH($DV$3,0))-1)/2)+DW$11,0)=EOMONTH($EH$3,0),DW$9*DW$10,0),0),IF(AND(DS$9&lt;&gt;"",DS$11&lt;&gt;""),IF(EOMONTH($DR$3+INT((DAY(EOMONTH($DR$3,0))-1)/2)+DS$11,0)=EOMONTH($EH$3,0),DS$9*DS$10,0),0),IF(AND(DO$9&lt;&gt;"",DO$11&lt;&gt;""),IF(EOMONTH($DN$3+INT((DAY(EOMONTH($DN$3,0))-1)/2)+DO$11,0)=EOMONTH($EH$3,0),DO$9*DO$10,0),0),IF(AND(DK$9&lt;&gt;"",DK$11&lt;&gt;""),IF(EOMONTH($DJ$3+INT((DAY(EOMONTH($DJ$3,0))-1)/2)+DK$11,0)=EOMONTH($EH$3,0),DK$9*DK$10,0),0),IF(AND(DG$9&lt;&gt;"",DG$11&lt;&gt;""),IF(EOMONTH($DF$3+INT((DAY(EOMONTH($DF$3,0))-1)/2)+DG$11,0)=EOMONTH($EH$3,0),DG$9*DG$10,0),0),IF(AND(DC$9&lt;&gt;"",DC$11&lt;&gt;""),IF(EOMONTH($DB$3+INT((DAY(EOMONTH($DB$3,0))-1)/2)+DC$11,0)=EOMONTH($EH$3,0),DC$9*DC$10,0),0),IF(AND(CY$9&lt;&gt;"",CY$11&lt;&gt;""),IF(EOMONTH($CX$3+INT((DAY(EOMONTH($CX$3,0))-1)/2)+CY$11,0)=EOMONTH($EH$3,0),CY$9*CY$10,0),0),IF(AND(CU$9&lt;&gt;"",CU$11&lt;&gt;""),IF(EOMONTH($CT$3+INT((DAY(EOMONTH($CT$3,0))-1)/2)+CU$11,0)=EOMONTH($EH$3,0),CU$9*CU$10,0),0),IF(AND(CQ$9&lt;&gt;"",CQ$11&lt;&gt;""),IF(EOMONTH($CP$3+INT((DAY(EOMONTH($CP$3,0))-1)/2)+CQ$11,0)=EOMONTH($EH$3,0),CQ$9*CQ$10,0),0),IF(AND(CM$9&lt;&gt;"",CM$11&lt;&gt;""),IF(EOMONTH($CL$3+INT((DAY(EOMONTH($CL$3,0))-1)/2)+CM$11,0)=EOMONTH($EH$3,0),CM$9*CM$10,0),0),IF(AND(CI$9&lt;&gt;"",CI$11&lt;&gt;""),IF(EOMONTH($CH$3+INT((DAY(EOMONTH($CH$3,0))-1)/2)+CI$11,0)=EOMONTH($EH$3,0),CI$9*CI$10,0),0),IF(AND(CE$9&lt;&gt;"",CE$11&lt;&gt;""),IF(EOMONTH($CD$3+INT((DAY(EOMONTH($CD$3,0))-1)/2)+CE$11,0)=EOMONTH($EH$3,0),CE$9*CE$10,0),0),IF(AND(CA$9&lt;&gt;"",CA$11&lt;&gt;""),IF(EOMONTH($BZ$3+INT((DAY(EOMONTH($BZ$3,0))-1)/2)+CA$11,0)=EOMONTH($EH$3,0),CA$9*CA$10,0),0),IF(AND(BW$9&lt;&gt;"",BW$11&lt;&gt;""),IF(EOMONTH($BV$3+INT((DAY(EOMONTH($BV$3,0))-1)/2)+BW$11,0)=EOMONTH($EH$3,0),BW$9*BW$10,0),0),IF(AND(BS$9&lt;&gt;"",BS$11&lt;&gt;""),IF(EOMONTH($BR$3+INT((DAY(EOMONTH($BR$3,0))-1)/2)+BS$11,0)=EOMONTH($EH$3,0),BS$9*BS$10,0),0),IF(AND(BO$9&lt;&gt;"",BO$11&lt;&gt;""),IF(EOMONTH($BN$3+INT((DAY(EOMONTH($BN$3,0))-1)/2)+BO$11,0)=EOMONTH($EH$3,0),BO$9*BO$10,0),0),IF(AND(BK$9&lt;&gt;"",BK$11&lt;&gt;""),IF(EOMONTH($BJ$3+INT((DAY(EOMONTH($BJ$3,0))-1)/2)+BK$11,0)=EOMONTH($EH$3,0),BK$9*BK$10,0),0),IF(AND(BG$9&lt;&gt;"",BG$11&lt;&gt;""),IF(EOMONTH($BF$3+INT((DAY(EOMONTH($BF$3,0))-1)/2)+BG$11,0)=EOMONTH($EH$3,0),BG$9*BG$10,0),0),IF(AND(BC$9&lt;&gt;"",BC$11&lt;&gt;""),IF(EOMONTH($BB$3+INT((DAY(EOMONTH($BB$3,0))-1)/2)+BC$11,0)=EOMONTH($EH$3,0),BC$9*BC$10,0),0),IF(AND(AY$9&lt;&gt;"",AY$11&lt;&gt;""),IF(EOMONTH($AX$3+INT((DAY(EOMONTH($AX$3,0))-1)/2)+AY$11,0)=EOMONTH($EH$3,0),AY$9*AY$10,0),0),IF(AND(AU$9&lt;&gt;"",AU$11&lt;&gt;""),IF(EOMONTH($AT$3+INT((DAY(EOMONTH($AT$3,0))-1)/2)+AU$11,0)=EOMONTH($EH$3,0),AU$9*AU$10,0),0),IF(AND(AQ$9&lt;&gt;"",AQ$11&lt;&gt;""),IF(EOMONTH($AP$3+INT((DAY(EOMONTH($AP$3,0))-1)/2)+AQ$11,0)=EOMONTH($EH$3,0),AQ$9*AQ$10,0),0),IF(AND(AM$9&lt;&gt;"",AM$11&lt;&gt;""),IF(EOMONTH($AL$3+INT((DAY(EOMONTH($AL$3,0))-1)/2)+AM$11,0)=EOMONTH($EH$3,0),AM$9*AM$10,0),0),IF(AND(AI$9&lt;&gt;"",AI$11&lt;&gt;""),IF(EOMONTH($AH$3+INT((DAY(EOMONTH($AH$3,0))-1)/2)+AI$11,0)=EOMONTH($EH$3,0),AI$9*AI$10,0),0),IF(AND(AE$9&lt;&gt;"",AE$11&lt;&gt;""),IF(EOMONTH($AD$3+INT((DAY(EOMONTH($AD$3,0))-1)/2)+AE$11,0)=EOMONTH($EH$3,0),AE$9*AE$10,0),0),IF(AND(AA$9&lt;&gt;"",AA$11&lt;&gt;""),IF(EOMONTH($Z$3+INT((DAY(EOMONTH($Z$3,0))-1)/2)+AA$11,0)=EOMONTH($EH$3,0),AA$9*AA$10,0),0),IF(AND(W$9&lt;&gt;"",W$11&lt;&gt;""),IF(EOMONTH($V$3+INT((DAY(EOMONTH($V$3,0))-1)/2)+W$11,0)=EOMONTH($EH$3,0),W$9*W$10,0),0),IF(AND(S$9&lt;&gt;"",S$11&lt;&gt;""),IF(EOMONTH($R$3+INT((DAY(EOMONTH($R$3,0))-1)/2)+S$11,0)=EOMONTH($EH$3,0),S$9*S$10,0),0),IF(AND(O$9&lt;&gt;"",O$11&lt;&gt;""),IF(EOMONTH($N$3+INT((DAY(EOMONTH($N$3,0))-1)/2)+O$11,0)=EOMONTH($EH$3,0),O$9*O$10,0),0),IF(AND(K$9&lt;&gt;"",K$11&lt;&gt;""),IF(EOMONTH($J$3+INT((DAY(EOMONTH($J$3,0))-1)/2)+K$11,0)=EOMONTH($EH$3,0),K$9*K$10,0),0),IF(AND(G$9&lt;&gt;"",G$11&lt;&gt;""),IF(EOMONTH($F$3+INT((DAY(EOMONTH($F$3,0))-1)/2)+G$11,0)=EOMONTH($EH$3,0),G$9*G$10,0),0),IF($EP$75="",0,IF(EOMONTH($EP$75+EQ$11,0)=EOMONTH($EH$3,0),$EP$76*EQ$10,0))),0))</f>
        <v>0</v>
      </c>
      <c r="EJ12" s="15">
        <f>ROUND(SUM(IF(AND(ER$9&lt;&gt;"",ER$11&lt;&gt;""),IF(EOMONTH($EP$3+INT((DAY(EOMONTH($EP$3,0))-1)/2)+ER$11,0)=EOMONTH($EH$3,0),ER$9*ER$10,0),0),IF(AND(EN$9&lt;&gt;"",EN$11&lt;&gt;""),IF(EOMONTH($EL$3+INT((DAY(EOMONTH($EL$3,0))-1)/2)+EN$11,0)=EOMONTH($EH$3,0),EN$9*EN$10,0),0),IF(AND(EJ$9&lt;&gt;"",EJ$11&lt;&gt;""),IF(EOMONTH($EH$3+INT((DAY(EOMONTH($EH$3,0))-1)/2)+EJ$11,0)=EOMONTH($EH$3,0),EJ$9*EJ$10,0),0),IF(AND(EF$9&lt;&gt;"",EF$11&lt;&gt;""),IF(EOMONTH($ED$3+INT((DAY(EOMONTH($ED$3,0))-1)/2)+EF$11,0)=EOMONTH($EH$3,0),EF$9*EF$10,0),0),IF(AND(EB$9&lt;&gt;"",EB$11&lt;&gt;""),IF(EOMONTH($DZ$3+INT((DAY(EOMONTH($DZ$3,0))-1)/2)+EB$11,0)=EOMONTH($EH$3,0),EB$9*EB$10,0),0),IF(AND(DX$9&lt;&gt;"",DX$11&lt;&gt;""),IF(EOMONTH($DV$3+INT((DAY(EOMONTH($DV$3,0))-1)/2)+DX$11,0)=EOMONTH($EH$3,0),DX$9*DX$10,0),0),IF(AND(DT$9&lt;&gt;"",DT$11&lt;&gt;""),IF(EOMONTH($DR$3+INT((DAY(EOMONTH($DR$3,0))-1)/2)+DT$11,0)=EOMONTH($EH$3,0),DT$9*DT$10,0),0),IF(AND(DP$9&lt;&gt;"",DP$11&lt;&gt;""),IF(EOMONTH($DN$3+INT((DAY(EOMONTH($DN$3,0))-1)/2)+DP$11,0)=EOMONTH($EH$3,0),DP$9*DP$10,0),0),IF(AND(DL$9&lt;&gt;"",DL$11&lt;&gt;""),IF(EOMONTH($DJ$3+INT((DAY(EOMONTH($DJ$3,0))-1)/2)+DL$11,0)=EOMONTH($EH$3,0),DL$9*DL$10,0),0),IF(AND(DH$9&lt;&gt;"",DH$11&lt;&gt;""),IF(EOMONTH($DF$3+INT((DAY(EOMONTH($DF$3,0))-1)/2)+DH$11,0)=EOMONTH($EH$3,0),DH$9*DH$10,0),0),IF(AND(DD$9&lt;&gt;"",DD$11&lt;&gt;""),IF(EOMONTH($DB$3+INT((DAY(EOMONTH($DB$3,0))-1)/2)+DD$11,0)=EOMONTH($EH$3,0),DD$9*DD$10,0),0),IF(AND(CZ$9&lt;&gt;"",CZ$11&lt;&gt;""),IF(EOMONTH($CX$3+INT((DAY(EOMONTH($CX$3,0))-1)/2)+CZ$11,0)=EOMONTH($EH$3,0),CZ$9*CZ$10,0),0),IF(AND(CV$9&lt;&gt;"",CV$11&lt;&gt;""),IF(EOMONTH($CT$3+INT((DAY(EOMONTH($CT$3,0))-1)/2)+CV$11,0)=EOMONTH($EH$3,0),CV$9*CV$10,0),0),IF(AND(CR$9&lt;&gt;"",CR$11&lt;&gt;""),IF(EOMONTH($CP$3+INT((DAY(EOMONTH($CP$3,0))-1)/2)+CR$11,0)=EOMONTH($EH$3,0),CR$9*CR$10,0),0),IF(AND(CN$9&lt;&gt;"",CN$11&lt;&gt;""),IF(EOMONTH($CL$3+INT((DAY(EOMONTH($CL$3,0))-1)/2)+CN$11,0)=EOMONTH($EH$3,0),CN$9*CN$10,0),0),IF(AND(CJ$9&lt;&gt;"",CJ$11&lt;&gt;""),IF(EOMONTH($CH$3+INT((DAY(EOMONTH($CH$3,0))-1)/2)+CJ$11,0)=EOMONTH($EH$3,0),CJ$9*CJ$10,0),0),IF(AND(CF$9&lt;&gt;"",CF$11&lt;&gt;""),IF(EOMONTH($CD$3+INT((DAY(EOMONTH($CD$3,0))-1)/2)+CF$11,0)=EOMONTH($EH$3,0),CF$9*CF$10,0),0),IF(AND(CB$9&lt;&gt;"",CB$11&lt;&gt;""),IF(EOMONTH($BZ$3+INT((DAY(EOMONTH($BZ$3,0))-1)/2)+CB$11,0)=EOMONTH($EH$3,0),CB$9*CB$10,0),0),IF(AND(BX$9&lt;&gt;"",BX$11&lt;&gt;""),IF(EOMONTH($BV$3+INT((DAY(EOMONTH($BV$3,0))-1)/2)+BX$11,0)=EOMONTH($EH$3,0),BX$9*BX$10,0),0),IF(AND(BT$9&lt;&gt;"",BT$11&lt;&gt;""),IF(EOMONTH($BR$3+INT((DAY(EOMONTH($BR$3,0))-1)/2)+BT$11,0)=EOMONTH($EH$3,0),BT$9*BT$10,0),0),IF(AND(BP$9&lt;&gt;"",BP$11&lt;&gt;""),IF(EOMONTH($BN$3+INT((DAY(EOMONTH($BN$3,0))-1)/2)+BP$11,0)=EOMONTH($EH$3,0),BP$9*BP$10,0),0),IF(AND(BL$9&lt;&gt;"",BL$11&lt;&gt;""),IF(EOMONTH($BJ$3+INT((DAY(EOMONTH($BJ$3,0))-1)/2)+BL$11,0)=EOMONTH($EH$3,0),BL$9*BL$10,0),0),IF(AND(BH$9&lt;&gt;"",BH$11&lt;&gt;""),IF(EOMONTH($BF$3+INT((DAY(EOMONTH($BF$3,0))-1)/2)+BH$11,0)=EOMONTH($EH$3,0),BH$9*BH$10,0),0),IF(AND(BD$9&lt;&gt;"",BD$11&lt;&gt;""),IF(EOMONTH($BB$3+INT((DAY(EOMONTH($BB$3,0))-1)/2)+BD$11,0)=EOMONTH($EH$3,0),BD$9*BD$10,0),0),IF(AND(AZ$9&lt;&gt;"",AZ$11&lt;&gt;""),IF(EOMONTH($AX$3+INT((DAY(EOMONTH($AX$3,0))-1)/2)+AZ$11,0)=EOMONTH($EH$3,0),AZ$9*AZ$10,0),0),IF(AND(AV$9&lt;&gt;"",AV$11&lt;&gt;""),IF(EOMONTH($AT$3+INT((DAY(EOMONTH($AT$3,0))-1)/2)+AV$11,0)=EOMONTH($EH$3,0),AV$9*AV$10,0),0),IF(AND(AR$9&lt;&gt;"",AR$11&lt;&gt;""),IF(EOMONTH($AP$3+INT((DAY(EOMONTH($AP$3,0))-1)/2)+AR$11,0)=EOMONTH($EH$3,0),AR$9*AR$10,0),0),IF(AND(AN$9&lt;&gt;"",AN$11&lt;&gt;""),IF(EOMONTH($AL$3+INT((DAY(EOMONTH($AL$3,0))-1)/2)+AN$11,0)=EOMONTH($EH$3,0),AN$9*AN$10,0),0),IF(AND(AJ$9&lt;&gt;"",AJ$11&lt;&gt;""),IF(EOMONTH($AH$3+INT((DAY(EOMONTH($AH$3,0))-1)/2)+AJ$11,0)=EOMONTH($EH$3,0),AJ$9*AJ$10,0),0),IF(AND(AF$9&lt;&gt;"",AF$11&lt;&gt;""),IF(EOMONTH($AD$3+INT((DAY(EOMONTH($AD$3,0))-1)/2)+AF$11,0)=EOMONTH($EH$3,0),AF$9*AF$10,0),0),IF(AND(AB$9&lt;&gt;"",AB$11&lt;&gt;""),IF(EOMONTH($Z$3+INT((DAY(EOMONTH($Z$3,0))-1)/2)+AB$11,0)=EOMONTH($EH$3,0),AB$9*AB$10,0),0),IF(AND(X$9&lt;&gt;"",X$11&lt;&gt;""),IF(EOMONTH($V$3+INT((DAY(EOMONTH($V$3,0))-1)/2)+X$11,0)=EOMONTH($EH$3,0),X$9*X$10,0),0),IF(AND(T$9&lt;&gt;"",T$11&lt;&gt;""),IF(EOMONTH($R$3+INT((DAY(EOMONTH($R$3,0))-1)/2)+T$11,0)=EOMONTH($EH$3,0),T$9*T$10,0),0),IF(AND(P$9&lt;&gt;"",P$11&lt;&gt;""),IF(EOMONTH($N$3+INT((DAY(EOMONTH($N$3,0))-1)/2)+P$11,0)=EOMONTH($EH$3,0),P$9*P$10,0),0),IF(AND(L$9&lt;&gt;"",L$11&lt;&gt;""),IF(EOMONTH($J$3+INT((DAY(EOMONTH($J$3,0))-1)/2)+L$11,0)=EOMONTH($EH$3,0),L$9*L$10,0),0),IF(AND(H$9&lt;&gt;"",H$11&lt;&gt;""),IF(EOMONTH($F$3+INT((DAY(EOMONTH($F$3,0))-1)/2)+H$11,0)=EOMONTH($EH$3,0),H$9*H$10,0),0),IF($EP$75="",0,IF(EOMONTH($EP$75+ER$11,0)=EOMONTH($EH$3,0),$EP$76*ER$10,0))),0)</f>
        <v>0</v>
      </c>
      <c r="EK12" s="16">
        <f t="shared" si="71"/>
        <v>0</v>
      </c>
      <c r="EL12" s="17"/>
      <c r="EM12" s="14">
        <f>IF(EL$98=1,EL12,ROUND(SUM(IF(AND(EQ$9&lt;&gt;"",EQ$11&lt;&gt;""),IF(EOMONTH($EP$3+INT((DAY(EOMONTH($EP$3,0))-1)/2)+EQ$11,0)=EOMONTH($EL$3,0),EQ$9*EQ$10,0),0),IF(AND(EM$9&lt;&gt;"",EM$11&lt;&gt;""),IF(EOMONTH($EL$3+INT((DAY(EOMONTH($EL$3,0))-1)/2)+EM$11,0)=EOMONTH($EL$3,0),EM$9*EM$10,0),0),IF(AND(EI$9&lt;&gt;"",EI$11&lt;&gt;""),IF(EOMONTH($EH$3+INT((DAY(EOMONTH($EH$3,0))-1)/2)+EI$11,0)=EOMONTH($EL$3,0),EI$9*EI$10,0),0),IF(AND(EE$9&lt;&gt;"",EE$11&lt;&gt;""),IF(EOMONTH($ED$3+INT((DAY(EOMONTH($ED$3,0))-1)/2)+EE$11,0)=EOMONTH($EL$3,0),EE$9*EE$10,0),0),IF(AND(EA$9&lt;&gt;"",EA$11&lt;&gt;""),IF(EOMONTH($DZ$3+INT((DAY(EOMONTH($DZ$3,0))-1)/2)+EA$11,0)=EOMONTH($EL$3,0),EA$9*EA$10,0),0),IF(AND(DW$9&lt;&gt;"",DW$11&lt;&gt;""),IF(EOMONTH($DV$3+INT((DAY(EOMONTH($DV$3,0))-1)/2)+DW$11,0)=EOMONTH($EL$3,0),DW$9*DW$10,0),0),IF(AND(DS$9&lt;&gt;"",DS$11&lt;&gt;""),IF(EOMONTH($DR$3+INT((DAY(EOMONTH($DR$3,0))-1)/2)+DS$11,0)=EOMONTH($EL$3,0),DS$9*DS$10,0),0),IF(AND(DO$9&lt;&gt;"",DO$11&lt;&gt;""),IF(EOMONTH($DN$3+INT((DAY(EOMONTH($DN$3,0))-1)/2)+DO$11,0)=EOMONTH($EL$3,0),DO$9*DO$10,0),0),IF(AND(DK$9&lt;&gt;"",DK$11&lt;&gt;""),IF(EOMONTH($DJ$3+INT((DAY(EOMONTH($DJ$3,0))-1)/2)+DK$11,0)=EOMONTH($EL$3,0),DK$9*DK$10,0),0),IF(AND(DG$9&lt;&gt;"",DG$11&lt;&gt;""),IF(EOMONTH($DF$3+INT((DAY(EOMONTH($DF$3,0))-1)/2)+DG$11,0)=EOMONTH($EL$3,0),DG$9*DG$10,0),0),IF(AND(DC$9&lt;&gt;"",DC$11&lt;&gt;""),IF(EOMONTH($DB$3+INT((DAY(EOMONTH($DB$3,0))-1)/2)+DC$11,0)=EOMONTH($EL$3,0),DC$9*DC$10,0),0),IF(AND(CY$9&lt;&gt;"",CY$11&lt;&gt;""),IF(EOMONTH($CX$3+INT((DAY(EOMONTH($CX$3,0))-1)/2)+CY$11,0)=EOMONTH($EL$3,0),CY$9*CY$10,0),0),IF(AND(CU$9&lt;&gt;"",CU$11&lt;&gt;""),IF(EOMONTH($CT$3+INT((DAY(EOMONTH($CT$3,0))-1)/2)+CU$11,0)=EOMONTH($EL$3,0),CU$9*CU$10,0),0),IF(AND(CQ$9&lt;&gt;"",CQ$11&lt;&gt;""),IF(EOMONTH($CP$3+INT((DAY(EOMONTH($CP$3,0))-1)/2)+CQ$11,0)=EOMONTH($EL$3,0),CQ$9*CQ$10,0),0),IF(AND(CM$9&lt;&gt;"",CM$11&lt;&gt;""),IF(EOMONTH($CL$3+INT((DAY(EOMONTH($CL$3,0))-1)/2)+CM$11,0)=EOMONTH($EL$3,0),CM$9*CM$10,0),0),IF(AND(CI$9&lt;&gt;"",CI$11&lt;&gt;""),IF(EOMONTH($CH$3+INT((DAY(EOMONTH($CH$3,0))-1)/2)+CI$11,0)=EOMONTH($EL$3,0),CI$9*CI$10,0),0),IF(AND(CE$9&lt;&gt;"",CE$11&lt;&gt;""),IF(EOMONTH($CD$3+INT((DAY(EOMONTH($CD$3,0))-1)/2)+CE$11,0)=EOMONTH($EL$3,0),CE$9*CE$10,0),0),IF(AND(CA$9&lt;&gt;"",CA$11&lt;&gt;""),IF(EOMONTH($BZ$3+INT((DAY(EOMONTH($BZ$3,0))-1)/2)+CA$11,0)=EOMONTH($EL$3,0),CA$9*CA$10,0),0),IF(AND(BW$9&lt;&gt;"",BW$11&lt;&gt;""),IF(EOMONTH($BV$3+INT((DAY(EOMONTH($BV$3,0))-1)/2)+BW$11,0)=EOMONTH($EL$3,0),BW$9*BW$10,0),0),IF(AND(BS$9&lt;&gt;"",BS$11&lt;&gt;""),IF(EOMONTH($BR$3+INT((DAY(EOMONTH($BR$3,0))-1)/2)+BS$11,0)=EOMONTH($EL$3,0),BS$9*BS$10,0),0),IF(AND(BO$9&lt;&gt;"",BO$11&lt;&gt;""),IF(EOMONTH($BN$3+INT((DAY(EOMONTH($BN$3,0))-1)/2)+BO$11,0)=EOMONTH($EL$3,0),BO$9*BO$10,0),0),IF(AND(BK$9&lt;&gt;"",BK$11&lt;&gt;""),IF(EOMONTH($BJ$3+INT((DAY(EOMONTH($BJ$3,0))-1)/2)+BK$11,0)=EOMONTH($EL$3,0),BK$9*BK$10,0),0),IF(AND(BG$9&lt;&gt;"",BG$11&lt;&gt;""),IF(EOMONTH($BF$3+INT((DAY(EOMONTH($BF$3,0))-1)/2)+BG$11,0)=EOMONTH($EL$3,0),BG$9*BG$10,0),0),IF(AND(BC$9&lt;&gt;"",BC$11&lt;&gt;""),IF(EOMONTH($BB$3+INT((DAY(EOMONTH($BB$3,0))-1)/2)+BC$11,0)=EOMONTH($EL$3,0),BC$9*BC$10,0),0),IF(AND(AY$9&lt;&gt;"",AY$11&lt;&gt;""),IF(EOMONTH($AX$3+INT((DAY(EOMONTH($AX$3,0))-1)/2)+AY$11,0)=EOMONTH($EL$3,0),AY$9*AY$10,0),0),IF(AND(AU$9&lt;&gt;"",AU$11&lt;&gt;""),IF(EOMONTH($AT$3+INT((DAY(EOMONTH($AT$3,0))-1)/2)+AU$11,0)=EOMONTH($EL$3,0),AU$9*AU$10,0),0),IF(AND(AQ$9&lt;&gt;"",AQ$11&lt;&gt;""),IF(EOMONTH($AP$3+INT((DAY(EOMONTH($AP$3,0))-1)/2)+AQ$11,0)=EOMONTH($EL$3,0),AQ$9*AQ$10,0),0),IF(AND(AM$9&lt;&gt;"",AM$11&lt;&gt;""),IF(EOMONTH($AL$3+INT((DAY(EOMONTH($AL$3,0))-1)/2)+AM$11,0)=EOMONTH($EL$3,0),AM$9*AM$10,0),0),IF(AND(AI$9&lt;&gt;"",AI$11&lt;&gt;""),IF(EOMONTH($AH$3+INT((DAY(EOMONTH($AH$3,0))-1)/2)+AI$11,0)=EOMONTH($EL$3,0),AI$9*AI$10,0),0),IF(AND(AE$9&lt;&gt;"",AE$11&lt;&gt;""),IF(EOMONTH($AD$3+INT((DAY(EOMONTH($AD$3,0))-1)/2)+AE$11,0)=EOMONTH($EL$3,0),AE$9*AE$10,0),0),IF(AND(AA$9&lt;&gt;"",AA$11&lt;&gt;""),IF(EOMONTH($Z$3+INT((DAY(EOMONTH($Z$3,0))-1)/2)+AA$11,0)=EOMONTH($EL$3,0),AA$9*AA$10,0),0),IF(AND(W$9&lt;&gt;"",W$11&lt;&gt;""),IF(EOMONTH($V$3+INT((DAY(EOMONTH($V$3,0))-1)/2)+W$11,0)=EOMONTH($EL$3,0),W$9*W$10,0),0),IF(AND(S$9&lt;&gt;"",S$11&lt;&gt;""),IF(EOMONTH($R$3+INT((DAY(EOMONTH($R$3,0))-1)/2)+S$11,0)=EOMONTH($EL$3,0),S$9*S$10,0),0),IF(AND(O$9&lt;&gt;"",O$11&lt;&gt;""),IF(EOMONTH($N$3+INT((DAY(EOMONTH($N$3,0))-1)/2)+O$11,0)=EOMONTH($EL$3,0),O$9*O$10,0),0),IF(AND(K$9&lt;&gt;"",K$11&lt;&gt;""),IF(EOMONTH($J$3+INT((DAY(EOMONTH($J$3,0))-1)/2)+K$11,0)=EOMONTH($EL$3,0),K$9*K$10,0),0),IF(AND(G$9&lt;&gt;"",G$11&lt;&gt;""),IF(EOMONTH($F$3+INT((DAY(EOMONTH($F$3,0))-1)/2)+G$11,0)=EOMONTH($EL$3,0),G$9*G$10,0),0),IF($EP$75="",0,IF(EOMONTH($EP$75+EQ$11,0)=EOMONTH($EL$3,0),$EP$76*EQ$10,0))),0))</f>
        <v>0</v>
      </c>
      <c r="EN12" s="15">
        <f>ROUND(SUM(IF(AND(ER$9&lt;&gt;"",ER$11&lt;&gt;""),IF(EOMONTH($EP$3+INT((DAY(EOMONTH($EP$3,0))-1)/2)+ER$11,0)=EOMONTH($EL$3,0),ER$9*ER$10,0),0),IF(AND(EN$9&lt;&gt;"",EN$11&lt;&gt;""),IF(EOMONTH($EL$3+INT((DAY(EOMONTH($EL$3,0))-1)/2)+EN$11,0)=EOMONTH($EL$3,0),EN$9*EN$10,0),0),IF(AND(EJ$9&lt;&gt;"",EJ$11&lt;&gt;""),IF(EOMONTH($EH$3+INT((DAY(EOMONTH($EH$3,0))-1)/2)+EJ$11,0)=EOMONTH($EL$3,0),EJ$9*EJ$10,0),0),IF(AND(EF$9&lt;&gt;"",EF$11&lt;&gt;""),IF(EOMONTH($ED$3+INT((DAY(EOMONTH($ED$3,0))-1)/2)+EF$11,0)=EOMONTH($EL$3,0),EF$9*EF$10,0),0),IF(AND(EB$9&lt;&gt;"",EB$11&lt;&gt;""),IF(EOMONTH($DZ$3+INT((DAY(EOMONTH($DZ$3,0))-1)/2)+EB$11,0)=EOMONTH($EL$3,0),EB$9*EB$10,0),0),IF(AND(DX$9&lt;&gt;"",DX$11&lt;&gt;""),IF(EOMONTH($DV$3+INT((DAY(EOMONTH($DV$3,0))-1)/2)+DX$11,0)=EOMONTH($EL$3,0),DX$9*DX$10,0),0),IF(AND(DT$9&lt;&gt;"",DT$11&lt;&gt;""),IF(EOMONTH($DR$3+INT((DAY(EOMONTH($DR$3,0))-1)/2)+DT$11,0)=EOMONTH($EL$3,0),DT$9*DT$10,0),0),IF(AND(DP$9&lt;&gt;"",DP$11&lt;&gt;""),IF(EOMONTH($DN$3+INT((DAY(EOMONTH($DN$3,0))-1)/2)+DP$11,0)=EOMONTH($EL$3,0),DP$9*DP$10,0),0),IF(AND(DL$9&lt;&gt;"",DL$11&lt;&gt;""),IF(EOMONTH($DJ$3+INT((DAY(EOMONTH($DJ$3,0))-1)/2)+DL$11,0)=EOMONTH($EL$3,0),DL$9*DL$10,0),0),IF(AND(DH$9&lt;&gt;"",DH$11&lt;&gt;""),IF(EOMONTH($DF$3+INT((DAY(EOMONTH($DF$3,0))-1)/2)+DH$11,0)=EOMONTH($EL$3,0),DH$9*DH$10,0),0),IF(AND(DD$9&lt;&gt;"",DD$11&lt;&gt;""),IF(EOMONTH($DB$3+INT((DAY(EOMONTH($DB$3,0))-1)/2)+DD$11,0)=EOMONTH($EL$3,0),DD$9*DD$10,0),0),IF(AND(CZ$9&lt;&gt;"",CZ$11&lt;&gt;""),IF(EOMONTH($CX$3+INT((DAY(EOMONTH($CX$3,0))-1)/2)+CZ$11,0)=EOMONTH($EL$3,0),CZ$9*CZ$10,0),0),IF(AND(CV$9&lt;&gt;"",CV$11&lt;&gt;""),IF(EOMONTH($CT$3+INT((DAY(EOMONTH($CT$3,0))-1)/2)+CV$11,0)=EOMONTH($EL$3,0),CV$9*CV$10,0),0),IF(AND(CR$9&lt;&gt;"",CR$11&lt;&gt;""),IF(EOMONTH($CP$3+INT((DAY(EOMONTH($CP$3,0))-1)/2)+CR$11,0)=EOMONTH($EL$3,0),CR$9*CR$10,0),0),IF(AND(CN$9&lt;&gt;"",CN$11&lt;&gt;""),IF(EOMONTH($CL$3+INT((DAY(EOMONTH($CL$3,0))-1)/2)+CN$11,0)=EOMONTH($EL$3,0),CN$9*CN$10,0),0),IF(AND(CJ$9&lt;&gt;"",CJ$11&lt;&gt;""),IF(EOMONTH($CH$3+INT((DAY(EOMONTH($CH$3,0))-1)/2)+CJ$11,0)=EOMONTH($EL$3,0),CJ$9*CJ$10,0),0),IF(AND(CF$9&lt;&gt;"",CF$11&lt;&gt;""),IF(EOMONTH($CD$3+INT((DAY(EOMONTH($CD$3,0))-1)/2)+CF$11,0)=EOMONTH($EL$3,0),CF$9*CF$10,0),0),IF(AND(CB$9&lt;&gt;"",CB$11&lt;&gt;""),IF(EOMONTH($BZ$3+INT((DAY(EOMONTH($BZ$3,0))-1)/2)+CB$11,0)=EOMONTH($EL$3,0),CB$9*CB$10,0),0),IF(AND(BX$9&lt;&gt;"",BX$11&lt;&gt;""),IF(EOMONTH($BV$3+INT((DAY(EOMONTH($BV$3,0))-1)/2)+BX$11,0)=EOMONTH($EL$3,0),BX$9*BX$10,0),0),IF(AND(BT$9&lt;&gt;"",BT$11&lt;&gt;""),IF(EOMONTH($BR$3+INT((DAY(EOMONTH($BR$3,0))-1)/2)+BT$11,0)=EOMONTH($EL$3,0),BT$9*BT$10,0),0),IF(AND(BP$9&lt;&gt;"",BP$11&lt;&gt;""),IF(EOMONTH($BN$3+INT((DAY(EOMONTH($BN$3,0))-1)/2)+BP$11,0)=EOMONTH($EL$3,0),BP$9*BP$10,0),0),IF(AND(BL$9&lt;&gt;"",BL$11&lt;&gt;""),IF(EOMONTH($BJ$3+INT((DAY(EOMONTH($BJ$3,0))-1)/2)+BL$11,0)=EOMONTH($EL$3,0),BL$9*BL$10,0),0),IF(AND(BH$9&lt;&gt;"",BH$11&lt;&gt;""),IF(EOMONTH($BF$3+INT((DAY(EOMONTH($BF$3,0))-1)/2)+BH$11,0)=EOMONTH($EL$3,0),BH$9*BH$10,0),0),IF(AND(BD$9&lt;&gt;"",BD$11&lt;&gt;""),IF(EOMONTH($BB$3+INT((DAY(EOMONTH($BB$3,0))-1)/2)+BD$11,0)=EOMONTH($EL$3,0),BD$9*BD$10,0),0),IF(AND(AZ$9&lt;&gt;"",AZ$11&lt;&gt;""),IF(EOMONTH($AX$3+INT((DAY(EOMONTH($AX$3,0))-1)/2)+AZ$11,0)=EOMONTH($EL$3,0),AZ$9*AZ$10,0),0),IF(AND(AV$9&lt;&gt;"",AV$11&lt;&gt;""),IF(EOMONTH($AT$3+INT((DAY(EOMONTH($AT$3,0))-1)/2)+AV$11,0)=EOMONTH($EL$3,0),AV$9*AV$10,0),0),IF(AND(AR$9&lt;&gt;"",AR$11&lt;&gt;""),IF(EOMONTH($AP$3+INT((DAY(EOMONTH($AP$3,0))-1)/2)+AR$11,0)=EOMONTH($EL$3,0),AR$9*AR$10,0),0),IF(AND(AN$9&lt;&gt;"",AN$11&lt;&gt;""),IF(EOMONTH($AL$3+INT((DAY(EOMONTH($AL$3,0))-1)/2)+AN$11,0)=EOMONTH($EL$3,0),AN$9*AN$10,0),0),IF(AND(AJ$9&lt;&gt;"",AJ$11&lt;&gt;""),IF(EOMONTH($AH$3+INT((DAY(EOMONTH($AH$3,0))-1)/2)+AJ$11,0)=EOMONTH($EL$3,0),AJ$9*AJ$10,0),0),IF(AND(AF$9&lt;&gt;"",AF$11&lt;&gt;""),IF(EOMONTH($AD$3+INT((DAY(EOMONTH($AD$3,0))-1)/2)+AF$11,0)=EOMONTH($EL$3,0),AF$9*AF$10,0),0),IF(AND(AB$9&lt;&gt;"",AB$11&lt;&gt;""),IF(EOMONTH($Z$3+INT((DAY(EOMONTH($Z$3,0))-1)/2)+AB$11,0)=EOMONTH($EL$3,0),AB$9*AB$10,0),0),IF(AND(X$9&lt;&gt;"",X$11&lt;&gt;""),IF(EOMONTH($V$3+INT((DAY(EOMONTH($V$3,0))-1)/2)+X$11,0)=EOMONTH($EL$3,0),X$9*X$10,0),0),IF(AND(T$9&lt;&gt;"",T$11&lt;&gt;""),IF(EOMONTH($R$3+INT((DAY(EOMONTH($R$3,0))-1)/2)+T$11,0)=EOMONTH($EL$3,0),T$9*T$10,0),0),IF(AND(P$9&lt;&gt;"",P$11&lt;&gt;""),IF(EOMONTH($N$3+INT((DAY(EOMONTH($N$3,0))-1)/2)+P$11,0)=EOMONTH($EL$3,0),P$9*P$10,0),0),IF(AND(L$9&lt;&gt;"",L$11&lt;&gt;""),IF(EOMONTH($J$3+INT((DAY(EOMONTH($J$3,0))-1)/2)+L$11,0)=EOMONTH($EL$3,0),L$9*L$10,0),0),IF(AND(H$9&lt;&gt;"",H$11&lt;&gt;""),IF(EOMONTH($F$3+INT((DAY(EOMONTH($F$3,0))-1)/2)+H$11,0)=EOMONTH($EL$3,0),H$9*H$10,0),0),IF($EP$75="",0,IF(EOMONTH($EP$75+ER$11,0)=EOMONTH($EL$3,0),$EP$76*ER$10,0))),0)</f>
        <v>0</v>
      </c>
      <c r="EO12" s="16">
        <f t="shared" si="73"/>
        <v>0</v>
      </c>
      <c r="EP12" s="17"/>
      <c r="EQ12" s="14">
        <f>IF(EP$98=1,EP12,ROUND(SUM(IF(AND(EQ$9&lt;&gt;"",EQ$11&lt;&gt;""),IF(EOMONTH($EP$3+INT((DAY(EOMONTH($EP$3,0))-1)/2)+EQ$11,0)=EOMONTH($EP$3,0),EQ$9*EQ$10,0),0),IF(AND(EM$9&lt;&gt;"",EM$11&lt;&gt;""),IF(EOMONTH($EL$3+INT((DAY(EOMONTH($EL$3,0))-1)/2)+EM$11,0)=EOMONTH($EP$3,0),EM$9*EM$10,0),0),IF(AND(EI$9&lt;&gt;"",EI$11&lt;&gt;""),IF(EOMONTH($EH$3+INT((DAY(EOMONTH($EH$3,0))-1)/2)+EI$11,0)=EOMONTH($EP$3,0),EI$9*EI$10,0),0),IF(AND(EE$9&lt;&gt;"",EE$11&lt;&gt;""),IF(EOMONTH($ED$3+INT((DAY(EOMONTH($ED$3,0))-1)/2)+EE$11,0)=EOMONTH($EP$3,0),EE$9*EE$10,0),0),IF(AND(EA$9&lt;&gt;"",EA$11&lt;&gt;""),IF(EOMONTH($DZ$3+INT((DAY(EOMONTH($DZ$3,0))-1)/2)+EA$11,0)=EOMONTH($EP$3,0),EA$9*EA$10,0),0),IF(AND(DW$9&lt;&gt;"",DW$11&lt;&gt;""),IF(EOMONTH($DV$3+INT((DAY(EOMONTH($DV$3,0))-1)/2)+DW$11,0)=EOMONTH($EP$3,0),DW$9*DW$10,0),0),IF(AND(DS$9&lt;&gt;"",DS$11&lt;&gt;""),IF(EOMONTH($DR$3+INT((DAY(EOMONTH($DR$3,0))-1)/2)+DS$11,0)=EOMONTH($EP$3,0),DS$9*DS$10,0),0),IF(AND(DO$9&lt;&gt;"",DO$11&lt;&gt;""),IF(EOMONTH($DN$3+INT((DAY(EOMONTH($DN$3,0))-1)/2)+DO$11,0)=EOMONTH($EP$3,0),DO$9*DO$10,0),0),IF(AND(DK$9&lt;&gt;"",DK$11&lt;&gt;""),IF(EOMONTH($DJ$3+INT((DAY(EOMONTH($DJ$3,0))-1)/2)+DK$11,0)=EOMONTH($EP$3,0),DK$9*DK$10,0),0),IF(AND(DG$9&lt;&gt;"",DG$11&lt;&gt;""),IF(EOMONTH($DF$3+INT((DAY(EOMONTH($DF$3,0))-1)/2)+DG$11,0)=EOMONTH($EP$3,0),DG$9*DG$10,0),0),IF(AND(DC$9&lt;&gt;"",DC$11&lt;&gt;""),IF(EOMONTH($DB$3+INT((DAY(EOMONTH($DB$3,0))-1)/2)+DC$11,0)=EOMONTH($EP$3,0),DC$9*DC$10,0),0),IF(AND(CY$9&lt;&gt;"",CY$11&lt;&gt;""),IF(EOMONTH($CX$3+INT((DAY(EOMONTH($CX$3,0))-1)/2)+CY$11,0)=EOMONTH($EP$3,0),CY$9*CY$10,0),0),IF(AND(CU$9&lt;&gt;"",CU$11&lt;&gt;""),IF(EOMONTH($CT$3+INT((DAY(EOMONTH($CT$3,0))-1)/2)+CU$11,0)=EOMONTH($EP$3,0),CU$9*CU$10,0),0),IF(AND(CQ$9&lt;&gt;"",CQ$11&lt;&gt;""),IF(EOMONTH($CP$3+INT((DAY(EOMONTH($CP$3,0))-1)/2)+CQ$11,0)=EOMONTH($EP$3,0),CQ$9*CQ$10,0),0),IF(AND(CM$9&lt;&gt;"",CM$11&lt;&gt;""),IF(EOMONTH($CL$3+INT((DAY(EOMONTH($CL$3,0))-1)/2)+CM$11,0)=EOMONTH($EP$3,0),CM$9*CM$10,0),0),IF(AND(CI$9&lt;&gt;"",CI$11&lt;&gt;""),IF(EOMONTH($CH$3+INT((DAY(EOMONTH($CH$3,0))-1)/2)+CI$11,0)=EOMONTH($EP$3,0),CI$9*CI$10,0),0),IF(AND(CE$9&lt;&gt;"",CE$11&lt;&gt;""),IF(EOMONTH($CD$3+INT((DAY(EOMONTH($CD$3,0))-1)/2)+CE$11,0)=EOMONTH($EP$3,0),CE$9*CE$10,0),0),IF(AND(CA$9&lt;&gt;"",CA$11&lt;&gt;""),IF(EOMONTH($BZ$3+INT((DAY(EOMONTH($BZ$3,0))-1)/2)+CA$11,0)=EOMONTH($EP$3,0),CA$9*CA$10,0),0),IF(AND(BW$9&lt;&gt;"",BW$11&lt;&gt;""),IF(EOMONTH($BV$3+INT((DAY(EOMONTH($BV$3,0))-1)/2)+BW$11,0)=EOMONTH($EP$3,0),BW$9*BW$10,0),0),IF(AND(BS$9&lt;&gt;"",BS$11&lt;&gt;""),IF(EOMONTH($BR$3+INT((DAY(EOMONTH($BR$3,0))-1)/2)+BS$11,0)=EOMONTH($EP$3,0),BS$9*BS$10,0),0),IF(AND(BO$9&lt;&gt;"",BO$11&lt;&gt;""),IF(EOMONTH($BN$3+INT((DAY(EOMONTH($BN$3,0))-1)/2)+BO$11,0)=EOMONTH($EP$3,0),BO$9*BO$10,0),0),IF(AND(BK$9&lt;&gt;"",BK$11&lt;&gt;""),IF(EOMONTH($BJ$3+INT((DAY(EOMONTH($BJ$3,0))-1)/2)+BK$11,0)=EOMONTH($EP$3,0),BK$9*BK$10,0),0),IF(AND(BG$9&lt;&gt;"",BG$11&lt;&gt;""),IF(EOMONTH($BF$3+INT((DAY(EOMONTH($BF$3,0))-1)/2)+BG$11,0)=EOMONTH($EP$3,0),BG$9*BG$10,0),0),IF(AND(BC$9&lt;&gt;"",BC$11&lt;&gt;""),IF(EOMONTH($BB$3+INT((DAY(EOMONTH($BB$3,0))-1)/2)+BC$11,0)=EOMONTH($EP$3,0),BC$9*BC$10,0),0),IF(AND(AY$9&lt;&gt;"",AY$11&lt;&gt;""),IF(EOMONTH($AX$3+INT((DAY(EOMONTH($AX$3,0))-1)/2)+AY$11,0)=EOMONTH($EP$3,0),AY$9*AY$10,0),0),IF(AND(AU$9&lt;&gt;"",AU$11&lt;&gt;""),IF(EOMONTH($AT$3+INT((DAY(EOMONTH($AT$3,0))-1)/2)+AU$11,0)=EOMONTH($EP$3,0),AU$9*AU$10,0),0),IF(AND(AQ$9&lt;&gt;"",AQ$11&lt;&gt;""),IF(EOMONTH($AP$3+INT((DAY(EOMONTH($AP$3,0))-1)/2)+AQ$11,0)=EOMONTH($EP$3,0),AQ$9*AQ$10,0),0),IF(AND(AM$9&lt;&gt;"",AM$11&lt;&gt;""),IF(EOMONTH($AL$3+INT((DAY(EOMONTH($AL$3,0))-1)/2)+AM$11,0)=EOMONTH($EP$3,0),AM$9*AM$10,0),0),IF(AND(AI$9&lt;&gt;"",AI$11&lt;&gt;""),IF(EOMONTH($AH$3+INT((DAY(EOMONTH($AH$3,0))-1)/2)+AI$11,0)=EOMONTH($EP$3,0),AI$9*AI$10,0),0),IF(AND(AE$9&lt;&gt;"",AE$11&lt;&gt;""),IF(EOMONTH($AD$3+INT((DAY(EOMONTH($AD$3,0))-1)/2)+AE$11,0)=EOMONTH($EP$3,0),AE$9*AE$10,0),0),IF(AND(AA$9&lt;&gt;"",AA$11&lt;&gt;""),IF(EOMONTH($Z$3+INT((DAY(EOMONTH($Z$3,0))-1)/2)+AA$11,0)=EOMONTH($EP$3,0),AA$9*AA$10,0),0),IF(AND(W$9&lt;&gt;"",W$11&lt;&gt;""),IF(EOMONTH($V$3+INT((DAY(EOMONTH($V$3,0))-1)/2)+W$11,0)=EOMONTH($EP$3,0),W$9*W$10,0),0),IF(AND(S$9&lt;&gt;"",S$11&lt;&gt;""),IF(EOMONTH($R$3+INT((DAY(EOMONTH($R$3,0))-1)/2)+S$11,0)=EOMONTH($EP$3,0),S$9*S$10,0),0),IF(AND(O$9&lt;&gt;"",O$11&lt;&gt;""),IF(EOMONTH($N$3+INT((DAY(EOMONTH($N$3,0))-1)/2)+O$11,0)=EOMONTH($EP$3,0),O$9*O$10,0),0),IF(AND(K$9&lt;&gt;"",K$11&lt;&gt;""),IF(EOMONTH($J$3+INT((DAY(EOMONTH($J$3,0))-1)/2)+K$11,0)=EOMONTH($EP$3,0),K$9*K$10,0),0),IF(AND(G$9&lt;&gt;"",G$11&lt;&gt;""),IF(EOMONTH($F$3+INT((DAY(EOMONTH($F$3,0))-1)/2)+G$11,0)=EOMONTH($EP$3,0),G$9*G$10,0),0),IF($EP$75="",0,IF(EOMONTH($EP$75+EQ$11,0)=EOMONTH($EP$3,0),$EP$76*EQ$10,0))),0))</f>
        <v>0</v>
      </c>
      <c r="ER12" s="15">
        <f>ROUND(SUM(IF(AND(ER$9&lt;&gt;"",ER$11&lt;&gt;""),IF(EOMONTH($EP$3+INT((DAY(EOMONTH($EP$3,0))-1)/2)+ER$11,0)=EOMONTH($EP$3,0),ER$9*ER$10,0),0),IF(AND(EN$9&lt;&gt;"",EN$11&lt;&gt;""),IF(EOMONTH($EL$3+INT((DAY(EOMONTH($EL$3,0))-1)/2)+EN$11,0)=EOMONTH($EP$3,0),EN$9*EN$10,0),0),IF(AND(EJ$9&lt;&gt;"",EJ$11&lt;&gt;""),IF(EOMONTH($EH$3+INT((DAY(EOMONTH($EH$3,0))-1)/2)+EJ$11,0)=EOMONTH($EP$3,0),EJ$9*EJ$10,0),0),IF(AND(EF$9&lt;&gt;"",EF$11&lt;&gt;""),IF(EOMONTH($ED$3+INT((DAY(EOMONTH($ED$3,0))-1)/2)+EF$11,0)=EOMONTH($EP$3,0),EF$9*EF$10,0),0),IF(AND(EB$9&lt;&gt;"",EB$11&lt;&gt;""),IF(EOMONTH($DZ$3+INT((DAY(EOMONTH($DZ$3,0))-1)/2)+EB$11,0)=EOMONTH($EP$3,0),EB$9*EB$10,0),0),IF(AND(DX$9&lt;&gt;"",DX$11&lt;&gt;""),IF(EOMONTH($DV$3+INT((DAY(EOMONTH($DV$3,0))-1)/2)+DX$11,0)=EOMONTH($EP$3,0),DX$9*DX$10,0),0),IF(AND(DT$9&lt;&gt;"",DT$11&lt;&gt;""),IF(EOMONTH($DR$3+INT((DAY(EOMONTH($DR$3,0))-1)/2)+DT$11,0)=EOMONTH($EP$3,0),DT$9*DT$10,0),0),IF(AND(DP$9&lt;&gt;"",DP$11&lt;&gt;""),IF(EOMONTH($DN$3+INT((DAY(EOMONTH($DN$3,0))-1)/2)+DP$11,0)=EOMONTH($EP$3,0),DP$9*DP$10,0),0),IF(AND(DL$9&lt;&gt;"",DL$11&lt;&gt;""),IF(EOMONTH($DJ$3+INT((DAY(EOMONTH($DJ$3,0))-1)/2)+DL$11,0)=EOMONTH($EP$3,0),DL$9*DL$10,0),0),IF(AND(DH$9&lt;&gt;"",DH$11&lt;&gt;""),IF(EOMONTH($DF$3+INT((DAY(EOMONTH($DF$3,0))-1)/2)+DH$11,0)=EOMONTH($EP$3,0),DH$9*DH$10,0),0),IF(AND(DD$9&lt;&gt;"",DD$11&lt;&gt;""),IF(EOMONTH($DB$3+INT((DAY(EOMONTH($DB$3,0))-1)/2)+DD$11,0)=EOMONTH($EP$3,0),DD$9*DD$10,0),0),IF(AND(CZ$9&lt;&gt;"",CZ$11&lt;&gt;""),IF(EOMONTH($CX$3+INT((DAY(EOMONTH($CX$3,0))-1)/2)+CZ$11,0)=EOMONTH($EP$3,0),CZ$9*CZ$10,0),0),IF(AND(CV$9&lt;&gt;"",CV$11&lt;&gt;""),IF(EOMONTH($CT$3+INT((DAY(EOMONTH($CT$3,0))-1)/2)+CV$11,0)=EOMONTH($EP$3,0),CV$9*CV$10,0),0),IF(AND(CR$9&lt;&gt;"",CR$11&lt;&gt;""),IF(EOMONTH($CP$3+INT((DAY(EOMONTH($CP$3,0))-1)/2)+CR$11,0)=EOMONTH($EP$3,0),CR$9*CR$10,0),0),IF(AND(CN$9&lt;&gt;"",CN$11&lt;&gt;""),IF(EOMONTH($CL$3+INT((DAY(EOMONTH($CL$3,0))-1)/2)+CN$11,0)=EOMONTH($EP$3,0),CN$9*CN$10,0),0),IF(AND(CJ$9&lt;&gt;"",CJ$11&lt;&gt;""),IF(EOMONTH($CH$3+INT((DAY(EOMONTH($CH$3,0))-1)/2)+CJ$11,0)=EOMONTH($EP$3,0),CJ$9*CJ$10,0),0),IF(AND(CF$9&lt;&gt;"",CF$11&lt;&gt;""),IF(EOMONTH($CD$3+INT((DAY(EOMONTH($CD$3,0))-1)/2)+CF$11,0)=EOMONTH($EP$3,0),CF$9*CF$10,0),0),IF(AND(CB$9&lt;&gt;"",CB$11&lt;&gt;""),IF(EOMONTH($BZ$3+INT((DAY(EOMONTH($BZ$3,0))-1)/2)+CB$11,0)=EOMONTH($EP$3,0),CB$9*CB$10,0),0),IF(AND(BX$9&lt;&gt;"",BX$11&lt;&gt;""),IF(EOMONTH($BV$3+INT((DAY(EOMONTH($BV$3,0))-1)/2)+BX$11,0)=EOMONTH($EP$3,0),BX$9*BX$10,0),0),IF(AND(BT$9&lt;&gt;"",BT$11&lt;&gt;""),IF(EOMONTH($BR$3+INT((DAY(EOMONTH($BR$3,0))-1)/2)+BT$11,0)=EOMONTH($EP$3,0),BT$9*BT$10,0),0),IF(AND(BP$9&lt;&gt;"",BP$11&lt;&gt;""),IF(EOMONTH($BN$3+INT((DAY(EOMONTH($BN$3,0))-1)/2)+BP$11,0)=EOMONTH($EP$3,0),BP$9*BP$10,0),0),IF(AND(BL$9&lt;&gt;"",BL$11&lt;&gt;""),IF(EOMONTH($BJ$3+INT((DAY(EOMONTH($BJ$3,0))-1)/2)+BL$11,0)=EOMONTH($EP$3,0),BL$9*BL$10,0),0),IF(AND(BH$9&lt;&gt;"",BH$11&lt;&gt;""),IF(EOMONTH($BF$3+INT((DAY(EOMONTH($BF$3,0))-1)/2)+BH$11,0)=EOMONTH($EP$3,0),BH$9*BH$10,0),0),IF(AND(BD$9&lt;&gt;"",BD$11&lt;&gt;""),IF(EOMONTH($BB$3+INT((DAY(EOMONTH($BB$3,0))-1)/2)+BD$11,0)=EOMONTH($EP$3,0),BD$9*BD$10,0),0),IF(AND(AZ$9&lt;&gt;"",AZ$11&lt;&gt;""),IF(EOMONTH($AX$3+INT((DAY(EOMONTH($AX$3,0))-1)/2)+AZ$11,0)=EOMONTH($EP$3,0),AZ$9*AZ$10,0),0),IF(AND(AV$9&lt;&gt;"",AV$11&lt;&gt;""),IF(EOMONTH($AT$3+INT((DAY(EOMONTH($AT$3,0))-1)/2)+AV$11,0)=EOMONTH($EP$3,0),AV$9*AV$10,0),0),IF(AND(AR$9&lt;&gt;"",AR$11&lt;&gt;""),IF(EOMONTH($AP$3+INT((DAY(EOMONTH($AP$3,0))-1)/2)+AR$11,0)=EOMONTH($EP$3,0),AR$9*AR$10,0),0),IF(AND(AN$9&lt;&gt;"",AN$11&lt;&gt;""),IF(EOMONTH($AL$3+INT((DAY(EOMONTH($AL$3,0))-1)/2)+AN$11,0)=EOMONTH($EP$3,0),AN$9*AN$10,0),0),IF(AND(AJ$9&lt;&gt;"",AJ$11&lt;&gt;""),IF(EOMONTH($AH$3+INT((DAY(EOMONTH($AH$3,0))-1)/2)+AJ$11,0)=EOMONTH($EP$3,0),AJ$9*AJ$10,0),0),IF(AND(AF$9&lt;&gt;"",AF$11&lt;&gt;""),IF(EOMONTH($AD$3+INT((DAY(EOMONTH($AD$3,0))-1)/2)+AF$11,0)=EOMONTH($EP$3,0),AF$9*AF$10,0),0),IF(AND(AB$9&lt;&gt;"",AB$11&lt;&gt;""),IF(EOMONTH($Z$3+INT((DAY(EOMONTH($Z$3,0))-1)/2)+AB$11,0)=EOMONTH($EP$3,0),AB$9*AB$10,0),0),IF(AND(X$9&lt;&gt;"",X$11&lt;&gt;""),IF(EOMONTH($V$3+INT((DAY(EOMONTH($V$3,0))-1)/2)+X$11,0)=EOMONTH($EP$3,0),X$9*X$10,0),0),IF(AND(T$9&lt;&gt;"",T$11&lt;&gt;""),IF(EOMONTH($R$3+INT((DAY(EOMONTH($R$3,0))-1)/2)+T$11,0)=EOMONTH($EP$3,0),T$9*T$10,0),0),IF(AND(P$9&lt;&gt;"",P$11&lt;&gt;""),IF(EOMONTH($N$3+INT((DAY(EOMONTH($N$3,0))-1)/2)+P$11,0)=EOMONTH($EP$3,0),P$9*P$10,0),0),IF(AND(L$9&lt;&gt;"",L$11&lt;&gt;""),IF(EOMONTH($J$3+INT((DAY(EOMONTH($J$3,0))-1)/2)+L$11,0)=EOMONTH($EP$3,0),L$9*L$10,0),0),IF(AND(H$9&lt;&gt;"",H$11&lt;&gt;""),IF(EOMONTH($F$3+INT((DAY(EOMONTH($F$3,0))-1)/2)+H$11,0)=EOMONTH($EP$3,0),H$9*H$10,0),0),IF($EP$75="",0,IF(EOMONTH($EP$75+ER$11,0)=EOMONTH($EP$3,0),$EP$76*ER$10,0))),0)</f>
        <v>0</v>
      </c>
      <c r="ES12" s="16">
        <f t="shared" si="75"/>
        <v>0</v>
      </c>
    </row>
    <row r="13" ht="18.0" customHeight="1">
      <c r="A13" s="2" t="s">
        <v>15</v>
      </c>
      <c r="B13" s="30" t="str">
        <f t="shared" ref="B13:D13" si="117">IFERROR(SUM(EP13*EP12,EL13*EL12,EH13*EH12,ED13*ED12,DZ13*DZ12,DV13*DV12,DR13*DR12,DN13*DN12,DJ13*DJ12,DF13*DF12,DB13*DB12,CX13*CX12,CT13*CT12,CP13*CP12,CL13*CL12,CH13*CH12,CD13*CD12,BZ13*BZ12,BV13*BV12,BR13*BR12,BN13*BN12,BJ13*BJ12,BF13*BF12,BB13*BB12,AX13*AX12,AT13*AT12,AP13*AP12,AL13*AL12,AH13*AH12,AD13*AD12,Z13*Z12,V13*V12,R13*R12,N13*N12,J13*J12,F13*F12)/SUM(EP12,EL12,EH12,ED12,DZ12,DV12,DR12,DN12,DJ12,DF12,DB12,CX12,CT12,CP12,CL12,CH12,CD12,BZ12,BV12,BR12,BN12,BJ12,BF12,BB12,AX12,AT12,AP12,AL12,AH12,AD12,Z12,V12,R12,N12,J12,F12),"")</f>
        <v/>
      </c>
      <c r="C13" s="31" t="str">
        <f t="shared" si="117"/>
        <v/>
      </c>
      <c r="D13" s="32" t="str">
        <f t="shared" si="117"/>
        <v/>
      </c>
      <c r="E13" s="33" t="str">
        <f t="shared" si="3"/>
        <v/>
      </c>
      <c r="F13" s="34"/>
      <c r="G13" s="31" t="str">
        <f t="shared" ref="G13:G16" si="119">IF(F$98=1,F13,H13)</f>
        <v/>
      </c>
      <c r="H13" s="35"/>
      <c r="I13" s="33" t="str">
        <f t="shared" si="5"/>
        <v/>
      </c>
      <c r="J13" s="34"/>
      <c r="K13" s="31" t="str">
        <f t="shared" ref="K13:K16" si="120">IF(J$98=1,J13,L13)</f>
        <v/>
      </c>
      <c r="L13" s="35"/>
      <c r="M13" s="33" t="str">
        <f t="shared" si="7"/>
        <v/>
      </c>
      <c r="N13" s="34"/>
      <c r="O13" s="31" t="str">
        <f t="shared" ref="O13:O16" si="121">IF(N$98=1,N13,P13)</f>
        <v/>
      </c>
      <c r="P13" s="35"/>
      <c r="Q13" s="33" t="str">
        <f t="shared" si="9"/>
        <v/>
      </c>
      <c r="R13" s="34"/>
      <c r="S13" s="31" t="str">
        <f t="shared" ref="S13:S16" si="122">IF(R$98=1,R13,T13)</f>
        <v/>
      </c>
      <c r="T13" s="35"/>
      <c r="U13" s="33" t="str">
        <f t="shared" si="11"/>
        <v/>
      </c>
      <c r="V13" s="34"/>
      <c r="W13" s="31" t="str">
        <f t="shared" ref="W13:W16" si="123">IF(V$98=1,V13,X13)</f>
        <v/>
      </c>
      <c r="X13" s="35"/>
      <c r="Y13" s="33" t="str">
        <f t="shared" si="13"/>
        <v/>
      </c>
      <c r="Z13" s="34"/>
      <c r="AA13" s="31" t="str">
        <f t="shared" ref="AA13:AA16" si="124">IF(Z$98=1,Z13,AB13)</f>
        <v/>
      </c>
      <c r="AB13" s="35"/>
      <c r="AC13" s="33" t="str">
        <f t="shared" si="15"/>
        <v/>
      </c>
      <c r="AD13" s="34"/>
      <c r="AE13" s="31" t="str">
        <f t="shared" ref="AE13:AE16" si="125">IF(AD$98=1,AD13,AF13)</f>
        <v/>
      </c>
      <c r="AF13" s="35"/>
      <c r="AG13" s="33" t="str">
        <f t="shared" si="17"/>
        <v/>
      </c>
      <c r="AH13" s="34"/>
      <c r="AI13" s="31" t="str">
        <f t="shared" ref="AI13:AI16" si="126">IF(AH$98=1,AH13,AJ13)</f>
        <v/>
      </c>
      <c r="AJ13" s="35"/>
      <c r="AK13" s="33" t="str">
        <f t="shared" si="19"/>
        <v/>
      </c>
      <c r="AL13" s="34"/>
      <c r="AM13" s="31" t="str">
        <f t="shared" ref="AM13:AM16" si="127">IF(AL$98=1,AL13,AN13)</f>
        <v/>
      </c>
      <c r="AN13" s="35"/>
      <c r="AO13" s="33" t="str">
        <f t="shared" si="21"/>
        <v/>
      </c>
      <c r="AP13" s="34"/>
      <c r="AQ13" s="31" t="str">
        <f t="shared" ref="AQ13:AQ16" si="128">IF(AP$98=1,AP13,AR13)</f>
        <v/>
      </c>
      <c r="AR13" s="35"/>
      <c r="AS13" s="33" t="str">
        <f t="shared" si="23"/>
        <v/>
      </c>
      <c r="AT13" s="34"/>
      <c r="AU13" s="31" t="str">
        <f t="shared" ref="AU13:AU16" si="129">IF(AT$98=1,AT13,AV13)</f>
        <v/>
      </c>
      <c r="AV13" s="35"/>
      <c r="AW13" s="33" t="str">
        <f t="shared" si="25"/>
        <v/>
      </c>
      <c r="AX13" s="34"/>
      <c r="AY13" s="31" t="str">
        <f t="shared" ref="AY13:AY16" si="130">IF(AX$98=1,AX13,AZ13)</f>
        <v/>
      </c>
      <c r="AZ13" s="35"/>
      <c r="BA13" s="33" t="str">
        <f t="shared" si="27"/>
        <v/>
      </c>
      <c r="BB13" s="34"/>
      <c r="BC13" s="31" t="str">
        <f t="shared" ref="BC13:BC16" si="131">IF(BB$98=1,BB13,BD13)</f>
        <v/>
      </c>
      <c r="BD13" s="35"/>
      <c r="BE13" s="33" t="str">
        <f t="shared" si="29"/>
        <v/>
      </c>
      <c r="BF13" s="34"/>
      <c r="BG13" s="31" t="str">
        <f t="shared" ref="BG13:BG16" si="132">IF(BF$98=1,BF13,BH13)</f>
        <v/>
      </c>
      <c r="BH13" s="35"/>
      <c r="BI13" s="33" t="str">
        <f t="shared" si="31"/>
        <v/>
      </c>
      <c r="BJ13" s="34"/>
      <c r="BK13" s="31" t="str">
        <f t="shared" ref="BK13:BK16" si="133">IF(BJ$98=1,BJ13,BL13)</f>
        <v/>
      </c>
      <c r="BL13" s="35"/>
      <c r="BM13" s="33" t="str">
        <f t="shared" si="33"/>
        <v/>
      </c>
      <c r="BN13" s="34"/>
      <c r="BO13" s="31" t="str">
        <f t="shared" ref="BO13:BO16" si="134">IF(BN$98=1,BN13,BP13)</f>
        <v/>
      </c>
      <c r="BP13" s="35"/>
      <c r="BQ13" s="33" t="str">
        <f t="shared" si="35"/>
        <v/>
      </c>
      <c r="BR13" s="34"/>
      <c r="BS13" s="31" t="str">
        <f t="shared" ref="BS13:BS16" si="135">IF(BR$98=1,BR13,BT13)</f>
        <v/>
      </c>
      <c r="BT13" s="35"/>
      <c r="BU13" s="33" t="str">
        <f t="shared" si="37"/>
        <v/>
      </c>
      <c r="BV13" s="34"/>
      <c r="BW13" s="31" t="str">
        <f t="shared" ref="BW13:BW16" si="136">IF(BV$98=1,BV13,BX13)</f>
        <v/>
      </c>
      <c r="BX13" s="35"/>
      <c r="BY13" s="33" t="str">
        <f t="shared" si="39"/>
        <v/>
      </c>
      <c r="BZ13" s="34"/>
      <c r="CA13" s="31" t="str">
        <f t="shared" ref="CA13:CA16" si="137">IF(BZ$98=1,BZ13,CB13)</f>
        <v/>
      </c>
      <c r="CB13" s="35"/>
      <c r="CC13" s="33" t="str">
        <f t="shared" si="41"/>
        <v/>
      </c>
      <c r="CD13" s="34"/>
      <c r="CE13" s="31" t="str">
        <f t="shared" ref="CE13:CE16" si="138">IF(CD$98=1,CD13,CF13)</f>
        <v/>
      </c>
      <c r="CF13" s="35"/>
      <c r="CG13" s="33" t="str">
        <f t="shared" si="43"/>
        <v/>
      </c>
      <c r="CH13" s="34"/>
      <c r="CI13" s="31" t="str">
        <f t="shared" ref="CI13:CI16" si="139">IF(CH$98=1,CH13,CJ13)</f>
        <v/>
      </c>
      <c r="CJ13" s="35"/>
      <c r="CK13" s="33" t="str">
        <f t="shared" si="45"/>
        <v/>
      </c>
      <c r="CL13" s="34"/>
      <c r="CM13" s="31" t="str">
        <f t="shared" ref="CM13:CM16" si="140">IF(CL$98=1,CL13,CN13)</f>
        <v/>
      </c>
      <c r="CN13" s="35"/>
      <c r="CO13" s="33" t="str">
        <f t="shared" si="47"/>
        <v/>
      </c>
      <c r="CP13" s="34"/>
      <c r="CQ13" s="31" t="str">
        <f t="shared" ref="CQ13:CQ16" si="141">IF(CP$98=1,CP13,CR13)</f>
        <v/>
      </c>
      <c r="CR13" s="35"/>
      <c r="CS13" s="33" t="str">
        <f t="shared" si="49"/>
        <v/>
      </c>
      <c r="CT13" s="34"/>
      <c r="CU13" s="31" t="str">
        <f t="shared" ref="CU13:CU16" si="142">IF(CT$98=1,CT13,CV13)</f>
        <v/>
      </c>
      <c r="CV13" s="35"/>
      <c r="CW13" s="33" t="str">
        <f t="shared" si="51"/>
        <v/>
      </c>
      <c r="CX13" s="34"/>
      <c r="CY13" s="31" t="str">
        <f t="shared" ref="CY13:CY16" si="143">IF(CX$98=1,CX13,CZ13)</f>
        <v/>
      </c>
      <c r="CZ13" s="35"/>
      <c r="DA13" s="33" t="str">
        <f t="shared" si="53"/>
        <v/>
      </c>
      <c r="DB13" s="34"/>
      <c r="DC13" s="31" t="str">
        <f t="shared" ref="DC13:DC16" si="144">IF(DB$98=1,DB13,DD13)</f>
        <v/>
      </c>
      <c r="DD13" s="35"/>
      <c r="DE13" s="33" t="str">
        <f t="shared" si="55"/>
        <v/>
      </c>
      <c r="DF13" s="34"/>
      <c r="DG13" s="31" t="str">
        <f t="shared" ref="DG13:DG16" si="145">IF(DF$98=1,DF13,DH13)</f>
        <v/>
      </c>
      <c r="DH13" s="35"/>
      <c r="DI13" s="33" t="str">
        <f t="shared" si="57"/>
        <v/>
      </c>
      <c r="DJ13" s="34"/>
      <c r="DK13" s="31" t="str">
        <f t="shared" ref="DK13:DK16" si="146">IF(DJ$98=1,DJ13,DL13)</f>
        <v/>
      </c>
      <c r="DL13" s="35"/>
      <c r="DM13" s="33" t="str">
        <f t="shared" si="59"/>
        <v/>
      </c>
      <c r="DN13" s="34"/>
      <c r="DO13" s="31" t="str">
        <f t="shared" ref="DO13:DO16" si="147">IF(DN$98=1,DN13,DP13)</f>
        <v/>
      </c>
      <c r="DP13" s="35"/>
      <c r="DQ13" s="33" t="str">
        <f t="shared" si="61"/>
        <v/>
      </c>
      <c r="DR13" s="34"/>
      <c r="DS13" s="31" t="str">
        <f t="shared" ref="DS13:DS16" si="148">IF(DR$98=1,DR13,DT13)</f>
        <v/>
      </c>
      <c r="DT13" s="35"/>
      <c r="DU13" s="33" t="str">
        <f t="shared" si="63"/>
        <v/>
      </c>
      <c r="DV13" s="34"/>
      <c r="DW13" s="31" t="str">
        <f t="shared" ref="DW13:DW16" si="149">IF(DV$98=1,DV13,DX13)</f>
        <v/>
      </c>
      <c r="DX13" s="35"/>
      <c r="DY13" s="33" t="str">
        <f t="shared" si="65"/>
        <v/>
      </c>
      <c r="DZ13" s="34"/>
      <c r="EA13" s="31" t="str">
        <f t="shared" ref="EA13:EA16" si="150">IF(DZ$98=1,DZ13,EB13)</f>
        <v/>
      </c>
      <c r="EB13" s="35"/>
      <c r="EC13" s="33" t="str">
        <f t="shared" si="67"/>
        <v/>
      </c>
      <c r="ED13" s="34"/>
      <c r="EE13" s="31" t="str">
        <f t="shared" ref="EE13:EE16" si="151">IF(ED$98=1,ED13,EF13)</f>
        <v/>
      </c>
      <c r="EF13" s="35"/>
      <c r="EG13" s="33" t="str">
        <f t="shared" si="69"/>
        <v/>
      </c>
      <c r="EH13" s="34"/>
      <c r="EI13" s="31" t="str">
        <f t="shared" ref="EI13:EI16" si="152">IF(EH$98=1,EH13,EJ13)</f>
        <v/>
      </c>
      <c r="EJ13" s="35"/>
      <c r="EK13" s="33" t="str">
        <f t="shared" si="71"/>
        <v/>
      </c>
      <c r="EL13" s="34"/>
      <c r="EM13" s="31" t="str">
        <f t="shared" ref="EM13:EM16" si="153">IF(EL$98=1,EL13,EN13)</f>
        <v/>
      </c>
      <c r="EN13" s="35"/>
      <c r="EO13" s="33" t="str">
        <f t="shared" si="73"/>
        <v/>
      </c>
      <c r="EP13" s="34"/>
      <c r="EQ13" s="31" t="str">
        <f t="shared" ref="EQ13:EQ16" si="154">IF(EP$98=1,EP13,ER13)</f>
        <v/>
      </c>
      <c r="ER13" s="35"/>
      <c r="ES13" s="33" t="str">
        <f t="shared" si="75"/>
        <v/>
      </c>
    </row>
    <row r="14" ht="18.0" customHeight="1">
      <c r="A14" s="2" t="s">
        <v>16</v>
      </c>
      <c r="B14" s="24" t="str">
        <f t="shared" ref="B14:D14" si="118">IFERROR(SUM(EP14*EP12,EL14*EL12,EH14*EH12,ED14*ED12,DZ14*DZ12,DV14*DV12,DR14*DR12,DN14*DN12,DJ14*DJ12,DF14*DF12,DB14*DB12,CX14*CX12,CT14*CT12,CP14*CP12,CL14*CL12,CH14*CH12,CD14*CD12,BZ14*BZ12,BV14*BV12,BR14*BR12,BN14*BN12,BJ14*BJ12,BF14*BF12,BB14*BB12,AX14*AX12,AT14*AT12,AP14*AP12,AL14*AL12,AH14*AH12,AD14*AD12,Z14*Z12,V14*V12,R14*R12,N14*N12,J14*J12,F14*F12)/SUM(EP12,EL12,EH12,ED12,DZ12,DV12,DR12,DN12,DJ12,DF12,DB12,CX12,CT12,CP12,CL12,CH12,CD12,BZ12,BV12,BR12,BN12,BJ12,BF12,BB12,AX12,AT12,AP12,AL12,AH12,AD12,Z12,V12,R12,N12,J12,F12),"")</f>
        <v/>
      </c>
      <c r="C14" s="25" t="str">
        <f t="shared" si="118"/>
        <v/>
      </c>
      <c r="D14" s="26" t="str">
        <f t="shared" si="118"/>
        <v/>
      </c>
      <c r="E14" s="27" t="str">
        <f t="shared" si="3"/>
        <v/>
      </c>
      <c r="F14" s="28"/>
      <c r="G14" s="25" t="str">
        <f t="shared" si="119"/>
        <v/>
      </c>
      <c r="H14" s="29"/>
      <c r="I14" s="27" t="str">
        <f t="shared" si="5"/>
        <v/>
      </c>
      <c r="J14" s="28"/>
      <c r="K14" s="25" t="str">
        <f t="shared" si="120"/>
        <v/>
      </c>
      <c r="L14" s="29"/>
      <c r="M14" s="27" t="str">
        <f t="shared" si="7"/>
        <v/>
      </c>
      <c r="N14" s="28"/>
      <c r="O14" s="25" t="str">
        <f t="shared" si="121"/>
        <v/>
      </c>
      <c r="P14" s="29"/>
      <c r="Q14" s="27" t="str">
        <f t="shared" si="9"/>
        <v/>
      </c>
      <c r="R14" s="28"/>
      <c r="S14" s="25" t="str">
        <f t="shared" si="122"/>
        <v/>
      </c>
      <c r="T14" s="29"/>
      <c r="U14" s="27" t="str">
        <f t="shared" si="11"/>
        <v/>
      </c>
      <c r="V14" s="28"/>
      <c r="W14" s="25" t="str">
        <f t="shared" si="123"/>
        <v/>
      </c>
      <c r="X14" s="29"/>
      <c r="Y14" s="27" t="str">
        <f t="shared" si="13"/>
        <v/>
      </c>
      <c r="Z14" s="28"/>
      <c r="AA14" s="25" t="str">
        <f t="shared" si="124"/>
        <v/>
      </c>
      <c r="AB14" s="29"/>
      <c r="AC14" s="27" t="str">
        <f t="shared" si="15"/>
        <v/>
      </c>
      <c r="AD14" s="28"/>
      <c r="AE14" s="25" t="str">
        <f t="shared" si="125"/>
        <v/>
      </c>
      <c r="AF14" s="29"/>
      <c r="AG14" s="27" t="str">
        <f t="shared" si="17"/>
        <v/>
      </c>
      <c r="AH14" s="28"/>
      <c r="AI14" s="25" t="str">
        <f t="shared" si="126"/>
        <v/>
      </c>
      <c r="AJ14" s="29"/>
      <c r="AK14" s="27" t="str">
        <f t="shared" si="19"/>
        <v/>
      </c>
      <c r="AL14" s="28"/>
      <c r="AM14" s="25" t="str">
        <f t="shared" si="127"/>
        <v/>
      </c>
      <c r="AN14" s="29"/>
      <c r="AO14" s="27" t="str">
        <f t="shared" si="21"/>
        <v/>
      </c>
      <c r="AP14" s="28"/>
      <c r="AQ14" s="25" t="str">
        <f t="shared" si="128"/>
        <v/>
      </c>
      <c r="AR14" s="29"/>
      <c r="AS14" s="27" t="str">
        <f t="shared" si="23"/>
        <v/>
      </c>
      <c r="AT14" s="28"/>
      <c r="AU14" s="25" t="str">
        <f t="shared" si="129"/>
        <v/>
      </c>
      <c r="AV14" s="29"/>
      <c r="AW14" s="27" t="str">
        <f t="shared" si="25"/>
        <v/>
      </c>
      <c r="AX14" s="28"/>
      <c r="AY14" s="25" t="str">
        <f t="shared" si="130"/>
        <v/>
      </c>
      <c r="AZ14" s="29"/>
      <c r="BA14" s="27" t="str">
        <f t="shared" si="27"/>
        <v/>
      </c>
      <c r="BB14" s="28"/>
      <c r="BC14" s="25" t="str">
        <f t="shared" si="131"/>
        <v/>
      </c>
      <c r="BD14" s="29"/>
      <c r="BE14" s="27" t="str">
        <f t="shared" si="29"/>
        <v/>
      </c>
      <c r="BF14" s="28"/>
      <c r="BG14" s="25" t="str">
        <f t="shared" si="132"/>
        <v/>
      </c>
      <c r="BH14" s="29"/>
      <c r="BI14" s="27" t="str">
        <f t="shared" si="31"/>
        <v/>
      </c>
      <c r="BJ14" s="28"/>
      <c r="BK14" s="25" t="str">
        <f t="shared" si="133"/>
        <v/>
      </c>
      <c r="BL14" s="29"/>
      <c r="BM14" s="27" t="str">
        <f t="shared" si="33"/>
        <v/>
      </c>
      <c r="BN14" s="28"/>
      <c r="BO14" s="25" t="str">
        <f t="shared" si="134"/>
        <v/>
      </c>
      <c r="BP14" s="29"/>
      <c r="BQ14" s="27" t="str">
        <f t="shared" si="35"/>
        <v/>
      </c>
      <c r="BR14" s="28"/>
      <c r="BS14" s="25" t="str">
        <f t="shared" si="135"/>
        <v/>
      </c>
      <c r="BT14" s="29"/>
      <c r="BU14" s="27" t="str">
        <f t="shared" si="37"/>
        <v/>
      </c>
      <c r="BV14" s="28"/>
      <c r="BW14" s="25" t="str">
        <f t="shared" si="136"/>
        <v/>
      </c>
      <c r="BX14" s="29"/>
      <c r="BY14" s="27" t="str">
        <f t="shared" si="39"/>
        <v/>
      </c>
      <c r="BZ14" s="28"/>
      <c r="CA14" s="25" t="str">
        <f t="shared" si="137"/>
        <v/>
      </c>
      <c r="CB14" s="29"/>
      <c r="CC14" s="27" t="str">
        <f t="shared" si="41"/>
        <v/>
      </c>
      <c r="CD14" s="28"/>
      <c r="CE14" s="25" t="str">
        <f t="shared" si="138"/>
        <v/>
      </c>
      <c r="CF14" s="29"/>
      <c r="CG14" s="27" t="str">
        <f t="shared" si="43"/>
        <v/>
      </c>
      <c r="CH14" s="28"/>
      <c r="CI14" s="25" t="str">
        <f t="shared" si="139"/>
        <v/>
      </c>
      <c r="CJ14" s="29"/>
      <c r="CK14" s="27" t="str">
        <f t="shared" si="45"/>
        <v/>
      </c>
      <c r="CL14" s="28"/>
      <c r="CM14" s="25" t="str">
        <f t="shared" si="140"/>
        <v/>
      </c>
      <c r="CN14" s="29"/>
      <c r="CO14" s="27" t="str">
        <f t="shared" si="47"/>
        <v/>
      </c>
      <c r="CP14" s="28"/>
      <c r="CQ14" s="25" t="str">
        <f t="shared" si="141"/>
        <v/>
      </c>
      <c r="CR14" s="29"/>
      <c r="CS14" s="27" t="str">
        <f t="shared" si="49"/>
        <v/>
      </c>
      <c r="CT14" s="28"/>
      <c r="CU14" s="25" t="str">
        <f t="shared" si="142"/>
        <v/>
      </c>
      <c r="CV14" s="29"/>
      <c r="CW14" s="27" t="str">
        <f t="shared" si="51"/>
        <v/>
      </c>
      <c r="CX14" s="28"/>
      <c r="CY14" s="25" t="str">
        <f t="shared" si="143"/>
        <v/>
      </c>
      <c r="CZ14" s="29"/>
      <c r="DA14" s="27" t="str">
        <f t="shared" si="53"/>
        <v/>
      </c>
      <c r="DB14" s="28"/>
      <c r="DC14" s="25" t="str">
        <f t="shared" si="144"/>
        <v/>
      </c>
      <c r="DD14" s="29"/>
      <c r="DE14" s="27" t="str">
        <f t="shared" si="55"/>
        <v/>
      </c>
      <c r="DF14" s="28"/>
      <c r="DG14" s="25" t="str">
        <f t="shared" si="145"/>
        <v/>
      </c>
      <c r="DH14" s="29"/>
      <c r="DI14" s="27" t="str">
        <f t="shared" si="57"/>
        <v/>
      </c>
      <c r="DJ14" s="28"/>
      <c r="DK14" s="25" t="str">
        <f t="shared" si="146"/>
        <v/>
      </c>
      <c r="DL14" s="29"/>
      <c r="DM14" s="27" t="str">
        <f t="shared" si="59"/>
        <v/>
      </c>
      <c r="DN14" s="28"/>
      <c r="DO14" s="25" t="str">
        <f t="shared" si="147"/>
        <v/>
      </c>
      <c r="DP14" s="29"/>
      <c r="DQ14" s="27" t="str">
        <f t="shared" si="61"/>
        <v/>
      </c>
      <c r="DR14" s="28"/>
      <c r="DS14" s="25" t="str">
        <f t="shared" si="148"/>
        <v/>
      </c>
      <c r="DT14" s="29"/>
      <c r="DU14" s="27" t="str">
        <f t="shared" si="63"/>
        <v/>
      </c>
      <c r="DV14" s="28"/>
      <c r="DW14" s="25" t="str">
        <f t="shared" si="149"/>
        <v/>
      </c>
      <c r="DX14" s="29"/>
      <c r="DY14" s="27" t="str">
        <f t="shared" si="65"/>
        <v/>
      </c>
      <c r="DZ14" s="28"/>
      <c r="EA14" s="25" t="str">
        <f t="shared" si="150"/>
        <v/>
      </c>
      <c r="EB14" s="29"/>
      <c r="EC14" s="27" t="str">
        <f t="shared" si="67"/>
        <v/>
      </c>
      <c r="ED14" s="28"/>
      <c r="EE14" s="25" t="str">
        <f t="shared" si="151"/>
        <v/>
      </c>
      <c r="EF14" s="29"/>
      <c r="EG14" s="27" t="str">
        <f t="shared" si="69"/>
        <v/>
      </c>
      <c r="EH14" s="28"/>
      <c r="EI14" s="25" t="str">
        <f t="shared" si="152"/>
        <v/>
      </c>
      <c r="EJ14" s="29"/>
      <c r="EK14" s="27" t="str">
        <f t="shared" si="71"/>
        <v/>
      </c>
      <c r="EL14" s="28"/>
      <c r="EM14" s="25" t="str">
        <f t="shared" si="153"/>
        <v/>
      </c>
      <c r="EN14" s="29"/>
      <c r="EO14" s="27" t="str">
        <f t="shared" si="73"/>
        <v/>
      </c>
      <c r="EP14" s="28"/>
      <c r="EQ14" s="25" t="str">
        <f t="shared" si="154"/>
        <v/>
      </c>
      <c r="ER14" s="29"/>
      <c r="ES14" s="27" t="str">
        <f t="shared" si="75"/>
        <v/>
      </c>
    </row>
    <row r="15" ht="18.0" customHeight="1">
      <c r="A15" s="2" t="s">
        <v>17</v>
      </c>
      <c r="B15" s="13" t="str">
        <f t="shared" ref="B15:D15" si="155">IFERROR(SUM(EP15,EL15,EH15,ED15,DZ15,DV15,DR15,DN15,DJ15,DF15,DB15,CX15,CT15,CP15,CL15,CH15,CD15,BZ15,BV15,BR15,BN15,BJ15,BF15,BB15,AX15,AT15,AP15,AL15,AH15,AD15,Z15,V15,R15,N15,J15,F15)/COUNT(EP15,EL15,EH15,ED15,DZ15,DV15,DR15,DN15,DJ15,DF15,DB15,CX15,CT15,CP15,CL15,CH15,CD15,BZ15,BV15,BR15,BN15,BJ15,BF15,BB15,AX15,AT15,AP15,AL15,AH15,AD15,Z15,V15,R15,N15,J15,F15),"")</f>
        <v/>
      </c>
      <c r="C15" s="14" t="str">
        <f t="shared" si="155"/>
        <v/>
      </c>
      <c r="D15" s="15" t="str">
        <f t="shared" si="155"/>
        <v/>
      </c>
      <c r="E15" s="16" t="str">
        <f t="shared" si="3"/>
        <v/>
      </c>
      <c r="F15" s="17"/>
      <c r="G15" s="14" t="str">
        <f t="shared" si="119"/>
        <v/>
      </c>
      <c r="H15" s="18"/>
      <c r="I15" s="16" t="str">
        <f t="shared" si="5"/>
        <v/>
      </c>
      <c r="J15" s="17"/>
      <c r="K15" s="14" t="str">
        <f t="shared" si="120"/>
        <v/>
      </c>
      <c r="L15" s="18"/>
      <c r="M15" s="16" t="str">
        <f t="shared" si="7"/>
        <v/>
      </c>
      <c r="N15" s="17"/>
      <c r="O15" s="14" t="str">
        <f t="shared" si="121"/>
        <v/>
      </c>
      <c r="P15" s="18"/>
      <c r="Q15" s="16" t="str">
        <f t="shared" si="9"/>
        <v/>
      </c>
      <c r="R15" s="17"/>
      <c r="S15" s="14" t="str">
        <f t="shared" si="122"/>
        <v/>
      </c>
      <c r="T15" s="18"/>
      <c r="U15" s="16" t="str">
        <f t="shared" si="11"/>
        <v/>
      </c>
      <c r="V15" s="17"/>
      <c r="W15" s="14" t="str">
        <f t="shared" si="123"/>
        <v/>
      </c>
      <c r="X15" s="18"/>
      <c r="Y15" s="16" t="str">
        <f t="shared" si="13"/>
        <v/>
      </c>
      <c r="Z15" s="17"/>
      <c r="AA15" s="14" t="str">
        <f t="shared" si="124"/>
        <v/>
      </c>
      <c r="AB15" s="18"/>
      <c r="AC15" s="16" t="str">
        <f t="shared" si="15"/>
        <v/>
      </c>
      <c r="AD15" s="17"/>
      <c r="AE15" s="14" t="str">
        <f t="shared" si="125"/>
        <v/>
      </c>
      <c r="AF15" s="18"/>
      <c r="AG15" s="16" t="str">
        <f t="shared" si="17"/>
        <v/>
      </c>
      <c r="AH15" s="17"/>
      <c r="AI15" s="14" t="str">
        <f t="shared" si="126"/>
        <v/>
      </c>
      <c r="AJ15" s="18"/>
      <c r="AK15" s="16" t="str">
        <f t="shared" si="19"/>
        <v/>
      </c>
      <c r="AL15" s="17"/>
      <c r="AM15" s="14" t="str">
        <f t="shared" si="127"/>
        <v/>
      </c>
      <c r="AN15" s="18"/>
      <c r="AO15" s="16" t="str">
        <f t="shared" si="21"/>
        <v/>
      </c>
      <c r="AP15" s="17"/>
      <c r="AQ15" s="14" t="str">
        <f t="shared" si="128"/>
        <v/>
      </c>
      <c r="AR15" s="18"/>
      <c r="AS15" s="16" t="str">
        <f t="shared" si="23"/>
        <v/>
      </c>
      <c r="AT15" s="17"/>
      <c r="AU15" s="14" t="str">
        <f t="shared" si="129"/>
        <v/>
      </c>
      <c r="AV15" s="18"/>
      <c r="AW15" s="16" t="str">
        <f t="shared" si="25"/>
        <v/>
      </c>
      <c r="AX15" s="17"/>
      <c r="AY15" s="14" t="str">
        <f t="shared" si="130"/>
        <v/>
      </c>
      <c r="AZ15" s="18"/>
      <c r="BA15" s="16" t="str">
        <f t="shared" si="27"/>
        <v/>
      </c>
      <c r="BB15" s="17"/>
      <c r="BC15" s="14" t="str">
        <f t="shared" si="131"/>
        <v/>
      </c>
      <c r="BD15" s="18"/>
      <c r="BE15" s="16" t="str">
        <f t="shared" si="29"/>
        <v/>
      </c>
      <c r="BF15" s="17"/>
      <c r="BG15" s="14" t="str">
        <f t="shared" si="132"/>
        <v/>
      </c>
      <c r="BH15" s="18"/>
      <c r="BI15" s="16" t="str">
        <f t="shared" si="31"/>
        <v/>
      </c>
      <c r="BJ15" s="17"/>
      <c r="BK15" s="14" t="str">
        <f t="shared" si="133"/>
        <v/>
      </c>
      <c r="BL15" s="18"/>
      <c r="BM15" s="16" t="str">
        <f t="shared" si="33"/>
        <v/>
      </c>
      <c r="BN15" s="17"/>
      <c r="BO15" s="14" t="str">
        <f t="shared" si="134"/>
        <v/>
      </c>
      <c r="BP15" s="18"/>
      <c r="BQ15" s="16" t="str">
        <f t="shared" si="35"/>
        <v/>
      </c>
      <c r="BR15" s="17"/>
      <c r="BS15" s="14" t="str">
        <f t="shared" si="135"/>
        <v/>
      </c>
      <c r="BT15" s="18"/>
      <c r="BU15" s="16" t="str">
        <f t="shared" si="37"/>
        <v/>
      </c>
      <c r="BV15" s="17"/>
      <c r="BW15" s="14" t="str">
        <f t="shared" si="136"/>
        <v/>
      </c>
      <c r="BX15" s="18"/>
      <c r="BY15" s="16" t="str">
        <f t="shared" si="39"/>
        <v/>
      </c>
      <c r="BZ15" s="17"/>
      <c r="CA15" s="14" t="str">
        <f t="shared" si="137"/>
        <v/>
      </c>
      <c r="CB15" s="18"/>
      <c r="CC15" s="16" t="str">
        <f t="shared" si="41"/>
        <v/>
      </c>
      <c r="CD15" s="17"/>
      <c r="CE15" s="14" t="str">
        <f t="shared" si="138"/>
        <v/>
      </c>
      <c r="CF15" s="18"/>
      <c r="CG15" s="16" t="str">
        <f t="shared" si="43"/>
        <v/>
      </c>
      <c r="CH15" s="17"/>
      <c r="CI15" s="14" t="str">
        <f t="shared" si="139"/>
        <v/>
      </c>
      <c r="CJ15" s="18"/>
      <c r="CK15" s="16" t="str">
        <f t="shared" si="45"/>
        <v/>
      </c>
      <c r="CL15" s="17"/>
      <c r="CM15" s="14" t="str">
        <f t="shared" si="140"/>
        <v/>
      </c>
      <c r="CN15" s="18"/>
      <c r="CO15" s="16" t="str">
        <f t="shared" si="47"/>
        <v/>
      </c>
      <c r="CP15" s="17"/>
      <c r="CQ15" s="14" t="str">
        <f t="shared" si="141"/>
        <v/>
      </c>
      <c r="CR15" s="18"/>
      <c r="CS15" s="16" t="str">
        <f t="shared" si="49"/>
        <v/>
      </c>
      <c r="CT15" s="17"/>
      <c r="CU15" s="14" t="str">
        <f t="shared" si="142"/>
        <v/>
      </c>
      <c r="CV15" s="18"/>
      <c r="CW15" s="16" t="str">
        <f t="shared" si="51"/>
        <v/>
      </c>
      <c r="CX15" s="17"/>
      <c r="CY15" s="14" t="str">
        <f t="shared" si="143"/>
        <v/>
      </c>
      <c r="CZ15" s="18"/>
      <c r="DA15" s="16" t="str">
        <f t="shared" si="53"/>
        <v/>
      </c>
      <c r="DB15" s="17"/>
      <c r="DC15" s="14" t="str">
        <f t="shared" si="144"/>
        <v/>
      </c>
      <c r="DD15" s="18"/>
      <c r="DE15" s="16" t="str">
        <f t="shared" si="55"/>
        <v/>
      </c>
      <c r="DF15" s="17"/>
      <c r="DG15" s="14" t="str">
        <f t="shared" si="145"/>
        <v/>
      </c>
      <c r="DH15" s="18"/>
      <c r="DI15" s="16" t="str">
        <f t="shared" si="57"/>
        <v/>
      </c>
      <c r="DJ15" s="17"/>
      <c r="DK15" s="14" t="str">
        <f t="shared" si="146"/>
        <v/>
      </c>
      <c r="DL15" s="18"/>
      <c r="DM15" s="16" t="str">
        <f t="shared" si="59"/>
        <v/>
      </c>
      <c r="DN15" s="17"/>
      <c r="DO15" s="14" t="str">
        <f t="shared" si="147"/>
        <v/>
      </c>
      <c r="DP15" s="18"/>
      <c r="DQ15" s="16" t="str">
        <f t="shared" si="61"/>
        <v/>
      </c>
      <c r="DR15" s="17"/>
      <c r="DS15" s="14" t="str">
        <f t="shared" si="148"/>
        <v/>
      </c>
      <c r="DT15" s="18"/>
      <c r="DU15" s="16" t="str">
        <f t="shared" si="63"/>
        <v/>
      </c>
      <c r="DV15" s="17"/>
      <c r="DW15" s="14" t="str">
        <f t="shared" si="149"/>
        <v/>
      </c>
      <c r="DX15" s="18"/>
      <c r="DY15" s="16" t="str">
        <f t="shared" si="65"/>
        <v/>
      </c>
      <c r="DZ15" s="17"/>
      <c r="EA15" s="14" t="str">
        <f t="shared" si="150"/>
        <v/>
      </c>
      <c r="EB15" s="18"/>
      <c r="EC15" s="16" t="str">
        <f t="shared" si="67"/>
        <v/>
      </c>
      <c r="ED15" s="17"/>
      <c r="EE15" s="14" t="str">
        <f t="shared" si="151"/>
        <v/>
      </c>
      <c r="EF15" s="18"/>
      <c r="EG15" s="16" t="str">
        <f t="shared" si="69"/>
        <v/>
      </c>
      <c r="EH15" s="17"/>
      <c r="EI15" s="14" t="str">
        <f t="shared" si="152"/>
        <v/>
      </c>
      <c r="EJ15" s="18"/>
      <c r="EK15" s="16" t="str">
        <f t="shared" si="71"/>
        <v/>
      </c>
      <c r="EL15" s="17"/>
      <c r="EM15" s="14" t="str">
        <f t="shared" si="153"/>
        <v/>
      </c>
      <c r="EN15" s="18"/>
      <c r="EO15" s="16" t="str">
        <f t="shared" si="73"/>
        <v/>
      </c>
      <c r="EP15" s="17"/>
      <c r="EQ15" s="14" t="str">
        <f t="shared" si="154"/>
        <v/>
      </c>
      <c r="ER15" s="18"/>
      <c r="ES15" s="16" t="str">
        <f t="shared" si="75"/>
        <v/>
      </c>
    </row>
    <row r="16" ht="18.0" customHeight="1">
      <c r="A16" s="2" t="s">
        <v>18</v>
      </c>
      <c r="B16" s="13" t="str">
        <f t="shared" ref="B16:D16" si="156">IFERROR(SUM(EP16*EP15,EL16*EL15,EH16*EH15,ED16*ED15,DZ16*DZ15,DV16*DV15,DR16*DR15,DN16*DN15,DJ16*DJ15,DF16*DF15,DB16*DB15,CX16*CX15,CT16*CT15,CP16*CP15,CL16*CL15,CH16*CH15,CD16*CD15,BZ16*BZ15,BV16*BV15,BR16*BR15,BN16*BN15,BJ16*BJ15,BF16*BF15,BB16*BB15,AX16*AX15,AT16*AT15,AP16*AP15,AL16*AL15,AH16*AH15,AD16*AD15,Z16*Z15,V16*V15,R16*R15,N16*N15,J16*J15,F16*F15)/SUM(EP15,EL15,EH15,ED15,DZ15,DV15,DR15,DN15,DJ15,DF15,DB15,CX15,CT15,CP15,CL15,CH15,CD15,BZ15,BV15,BR15,BN15,BJ15,BF15,BB15,AX15,AT15,AP15,AL15,AH15,AD15,Z15,V15,R15,N15,J15,F15),"")</f>
        <v/>
      </c>
      <c r="C16" s="14" t="str">
        <f t="shared" si="156"/>
        <v/>
      </c>
      <c r="D16" s="15" t="str">
        <f t="shared" si="156"/>
        <v/>
      </c>
      <c r="E16" s="16" t="str">
        <f t="shared" si="3"/>
        <v/>
      </c>
      <c r="F16" s="17"/>
      <c r="G16" s="14" t="str">
        <f t="shared" si="119"/>
        <v/>
      </c>
      <c r="H16" s="18"/>
      <c r="I16" s="16" t="str">
        <f t="shared" si="5"/>
        <v/>
      </c>
      <c r="J16" s="17"/>
      <c r="K16" s="14" t="str">
        <f t="shared" si="120"/>
        <v/>
      </c>
      <c r="L16" s="18"/>
      <c r="M16" s="16" t="str">
        <f t="shared" si="7"/>
        <v/>
      </c>
      <c r="N16" s="17"/>
      <c r="O16" s="14" t="str">
        <f t="shared" si="121"/>
        <v/>
      </c>
      <c r="P16" s="18"/>
      <c r="Q16" s="16" t="str">
        <f t="shared" si="9"/>
        <v/>
      </c>
      <c r="R16" s="17"/>
      <c r="S16" s="14" t="str">
        <f t="shared" si="122"/>
        <v/>
      </c>
      <c r="T16" s="18"/>
      <c r="U16" s="16" t="str">
        <f t="shared" si="11"/>
        <v/>
      </c>
      <c r="V16" s="17"/>
      <c r="W16" s="14" t="str">
        <f t="shared" si="123"/>
        <v/>
      </c>
      <c r="X16" s="18"/>
      <c r="Y16" s="16" t="str">
        <f t="shared" si="13"/>
        <v/>
      </c>
      <c r="Z16" s="17"/>
      <c r="AA16" s="14" t="str">
        <f t="shared" si="124"/>
        <v/>
      </c>
      <c r="AB16" s="18"/>
      <c r="AC16" s="16" t="str">
        <f t="shared" si="15"/>
        <v/>
      </c>
      <c r="AD16" s="17"/>
      <c r="AE16" s="14" t="str">
        <f t="shared" si="125"/>
        <v/>
      </c>
      <c r="AF16" s="18"/>
      <c r="AG16" s="16" t="str">
        <f t="shared" si="17"/>
        <v/>
      </c>
      <c r="AH16" s="17"/>
      <c r="AI16" s="14" t="str">
        <f t="shared" si="126"/>
        <v/>
      </c>
      <c r="AJ16" s="18"/>
      <c r="AK16" s="16" t="str">
        <f t="shared" si="19"/>
        <v/>
      </c>
      <c r="AL16" s="17"/>
      <c r="AM16" s="14" t="str">
        <f t="shared" si="127"/>
        <v/>
      </c>
      <c r="AN16" s="18"/>
      <c r="AO16" s="16" t="str">
        <f t="shared" si="21"/>
        <v/>
      </c>
      <c r="AP16" s="17"/>
      <c r="AQ16" s="14" t="str">
        <f t="shared" si="128"/>
        <v/>
      </c>
      <c r="AR16" s="18"/>
      <c r="AS16" s="16" t="str">
        <f t="shared" si="23"/>
        <v/>
      </c>
      <c r="AT16" s="17"/>
      <c r="AU16" s="14" t="str">
        <f t="shared" si="129"/>
        <v/>
      </c>
      <c r="AV16" s="18"/>
      <c r="AW16" s="16" t="str">
        <f t="shared" si="25"/>
        <v/>
      </c>
      <c r="AX16" s="17"/>
      <c r="AY16" s="14" t="str">
        <f t="shared" si="130"/>
        <v/>
      </c>
      <c r="AZ16" s="18"/>
      <c r="BA16" s="16" t="str">
        <f t="shared" si="27"/>
        <v/>
      </c>
      <c r="BB16" s="17"/>
      <c r="BC16" s="14" t="str">
        <f t="shared" si="131"/>
        <v/>
      </c>
      <c r="BD16" s="18"/>
      <c r="BE16" s="16" t="str">
        <f t="shared" si="29"/>
        <v/>
      </c>
      <c r="BF16" s="17"/>
      <c r="BG16" s="14" t="str">
        <f t="shared" si="132"/>
        <v/>
      </c>
      <c r="BH16" s="18"/>
      <c r="BI16" s="16" t="str">
        <f t="shared" si="31"/>
        <v/>
      </c>
      <c r="BJ16" s="17"/>
      <c r="BK16" s="14" t="str">
        <f t="shared" si="133"/>
        <v/>
      </c>
      <c r="BL16" s="18"/>
      <c r="BM16" s="16" t="str">
        <f t="shared" si="33"/>
        <v/>
      </c>
      <c r="BN16" s="17"/>
      <c r="BO16" s="14" t="str">
        <f t="shared" si="134"/>
        <v/>
      </c>
      <c r="BP16" s="18"/>
      <c r="BQ16" s="16" t="str">
        <f t="shared" si="35"/>
        <v/>
      </c>
      <c r="BR16" s="17"/>
      <c r="BS16" s="14" t="str">
        <f t="shared" si="135"/>
        <v/>
      </c>
      <c r="BT16" s="18"/>
      <c r="BU16" s="16" t="str">
        <f t="shared" si="37"/>
        <v/>
      </c>
      <c r="BV16" s="17"/>
      <c r="BW16" s="14" t="str">
        <f t="shared" si="136"/>
        <v/>
      </c>
      <c r="BX16" s="18"/>
      <c r="BY16" s="16" t="str">
        <f t="shared" si="39"/>
        <v/>
      </c>
      <c r="BZ16" s="17"/>
      <c r="CA16" s="14" t="str">
        <f t="shared" si="137"/>
        <v/>
      </c>
      <c r="CB16" s="18"/>
      <c r="CC16" s="16" t="str">
        <f t="shared" si="41"/>
        <v/>
      </c>
      <c r="CD16" s="17"/>
      <c r="CE16" s="14" t="str">
        <f t="shared" si="138"/>
        <v/>
      </c>
      <c r="CF16" s="18"/>
      <c r="CG16" s="16" t="str">
        <f t="shared" si="43"/>
        <v/>
      </c>
      <c r="CH16" s="17"/>
      <c r="CI16" s="14" t="str">
        <f t="shared" si="139"/>
        <v/>
      </c>
      <c r="CJ16" s="18"/>
      <c r="CK16" s="16" t="str">
        <f t="shared" si="45"/>
        <v/>
      </c>
      <c r="CL16" s="17"/>
      <c r="CM16" s="14" t="str">
        <f t="shared" si="140"/>
        <v/>
      </c>
      <c r="CN16" s="18"/>
      <c r="CO16" s="16" t="str">
        <f t="shared" si="47"/>
        <v/>
      </c>
      <c r="CP16" s="17"/>
      <c r="CQ16" s="14" t="str">
        <f t="shared" si="141"/>
        <v/>
      </c>
      <c r="CR16" s="18"/>
      <c r="CS16" s="16" t="str">
        <f t="shared" si="49"/>
        <v/>
      </c>
      <c r="CT16" s="17"/>
      <c r="CU16" s="14" t="str">
        <f t="shared" si="142"/>
        <v/>
      </c>
      <c r="CV16" s="18"/>
      <c r="CW16" s="16" t="str">
        <f t="shared" si="51"/>
        <v/>
      </c>
      <c r="CX16" s="17"/>
      <c r="CY16" s="14" t="str">
        <f t="shared" si="143"/>
        <v/>
      </c>
      <c r="CZ16" s="18"/>
      <c r="DA16" s="16" t="str">
        <f t="shared" si="53"/>
        <v/>
      </c>
      <c r="DB16" s="17"/>
      <c r="DC16" s="14" t="str">
        <f t="shared" si="144"/>
        <v/>
      </c>
      <c r="DD16" s="18"/>
      <c r="DE16" s="16" t="str">
        <f t="shared" si="55"/>
        <v/>
      </c>
      <c r="DF16" s="17"/>
      <c r="DG16" s="14" t="str">
        <f t="shared" si="145"/>
        <v/>
      </c>
      <c r="DH16" s="18"/>
      <c r="DI16" s="16" t="str">
        <f t="shared" si="57"/>
        <v/>
      </c>
      <c r="DJ16" s="17"/>
      <c r="DK16" s="14" t="str">
        <f t="shared" si="146"/>
        <v/>
      </c>
      <c r="DL16" s="18"/>
      <c r="DM16" s="16" t="str">
        <f t="shared" si="59"/>
        <v/>
      </c>
      <c r="DN16" s="17"/>
      <c r="DO16" s="14" t="str">
        <f t="shared" si="147"/>
        <v/>
      </c>
      <c r="DP16" s="18"/>
      <c r="DQ16" s="16" t="str">
        <f t="shared" si="61"/>
        <v/>
      </c>
      <c r="DR16" s="17"/>
      <c r="DS16" s="14" t="str">
        <f t="shared" si="148"/>
        <v/>
      </c>
      <c r="DT16" s="18"/>
      <c r="DU16" s="16" t="str">
        <f t="shared" si="63"/>
        <v/>
      </c>
      <c r="DV16" s="17"/>
      <c r="DW16" s="14" t="str">
        <f t="shared" si="149"/>
        <v/>
      </c>
      <c r="DX16" s="18"/>
      <c r="DY16" s="16" t="str">
        <f t="shared" si="65"/>
        <v/>
      </c>
      <c r="DZ16" s="17"/>
      <c r="EA16" s="14" t="str">
        <f t="shared" si="150"/>
        <v/>
      </c>
      <c r="EB16" s="18"/>
      <c r="EC16" s="16" t="str">
        <f t="shared" si="67"/>
        <v/>
      </c>
      <c r="ED16" s="17"/>
      <c r="EE16" s="14" t="str">
        <f t="shared" si="151"/>
        <v/>
      </c>
      <c r="EF16" s="18"/>
      <c r="EG16" s="16" t="str">
        <f t="shared" si="69"/>
        <v/>
      </c>
      <c r="EH16" s="17"/>
      <c r="EI16" s="14" t="str">
        <f t="shared" si="152"/>
        <v/>
      </c>
      <c r="EJ16" s="18"/>
      <c r="EK16" s="16" t="str">
        <f t="shared" si="71"/>
        <v/>
      </c>
      <c r="EL16" s="17"/>
      <c r="EM16" s="14" t="str">
        <f t="shared" si="153"/>
        <v/>
      </c>
      <c r="EN16" s="18"/>
      <c r="EO16" s="16" t="str">
        <f t="shared" si="73"/>
        <v/>
      </c>
      <c r="EP16" s="17"/>
      <c r="EQ16" s="14" t="str">
        <f t="shared" si="154"/>
        <v/>
      </c>
      <c r="ER16" s="18"/>
      <c r="ES16" s="16" t="str">
        <f t="shared" si="75"/>
        <v/>
      </c>
    </row>
    <row r="17" ht="18.0" customHeight="1">
      <c r="A17" s="2" t="s">
        <v>19</v>
      </c>
      <c r="B17" s="13">
        <f t="shared" ref="B17:D17" si="157">SUM(EP17,EL17,EH17,ED17,DZ17,DV17,DR17,DN17,DJ17,DF17,DB17,CX17,CT17,CP17,CL17,CH17,CD17,BZ17,BV17,BR17,BN17,BJ17,BF17,BB17,AX17,AT17,AP17,AL17,AH17,AD17,Z17,V17,R17,N17,J17,F17)</f>
        <v>0</v>
      </c>
      <c r="C17" s="14">
        <f t="shared" si="157"/>
        <v>0</v>
      </c>
      <c r="D17" s="15">
        <f t="shared" si="157"/>
        <v>0</v>
      </c>
      <c r="E17" s="16">
        <f t="shared" si="3"/>
        <v>0</v>
      </c>
      <c r="F17" s="13" t="str">
        <f>IF(COUNT(F15,F16)=2,F15*F16,"")</f>
        <v/>
      </c>
      <c r="G17" s="14">
        <f t="shared" ref="G17:H17" si="158">G15*G16</f>
        <v>0</v>
      </c>
      <c r="H17" s="15">
        <f t="shared" si="158"/>
        <v>0</v>
      </c>
      <c r="I17" s="16">
        <f t="shared" si="5"/>
        <v>0</v>
      </c>
      <c r="J17" s="13" t="str">
        <f>IF(COUNT(J15,J16)=2,J15*J16,"")</f>
        <v/>
      </c>
      <c r="K17" s="14">
        <f t="shared" ref="K17:L17" si="159">K15*K16</f>
        <v>0</v>
      </c>
      <c r="L17" s="15">
        <f t="shared" si="159"/>
        <v>0</v>
      </c>
      <c r="M17" s="16">
        <f t="shared" si="7"/>
        <v>0</v>
      </c>
      <c r="N17" s="13" t="str">
        <f>IF(COUNT(N15,N16)=2,N15*N16,"")</f>
        <v/>
      </c>
      <c r="O17" s="14">
        <f t="shared" ref="O17:P17" si="160">O15*O16</f>
        <v>0</v>
      </c>
      <c r="P17" s="15">
        <f t="shared" si="160"/>
        <v>0</v>
      </c>
      <c r="Q17" s="16">
        <f t="shared" si="9"/>
        <v>0</v>
      </c>
      <c r="R17" s="13" t="str">
        <f>IF(COUNT(R15,R16)=2,R15*R16,"")</f>
        <v/>
      </c>
      <c r="S17" s="14">
        <f t="shared" ref="S17:T17" si="161">S15*S16</f>
        <v>0</v>
      </c>
      <c r="T17" s="15">
        <f t="shared" si="161"/>
        <v>0</v>
      </c>
      <c r="U17" s="16">
        <f t="shared" si="11"/>
        <v>0</v>
      </c>
      <c r="V17" s="13" t="str">
        <f>IF(COUNT(V15,V16)=2,V15*V16,"")</f>
        <v/>
      </c>
      <c r="W17" s="14">
        <f t="shared" ref="W17:X17" si="162">W15*W16</f>
        <v>0</v>
      </c>
      <c r="X17" s="15">
        <f t="shared" si="162"/>
        <v>0</v>
      </c>
      <c r="Y17" s="16">
        <f t="shared" si="13"/>
        <v>0</v>
      </c>
      <c r="Z17" s="13" t="str">
        <f>IF(COUNT(Z15,Z16)=2,Z15*Z16,"")</f>
        <v/>
      </c>
      <c r="AA17" s="14">
        <f t="shared" ref="AA17:AB17" si="163">AA15*AA16</f>
        <v>0</v>
      </c>
      <c r="AB17" s="15">
        <f t="shared" si="163"/>
        <v>0</v>
      </c>
      <c r="AC17" s="16">
        <f t="shared" si="15"/>
        <v>0</v>
      </c>
      <c r="AD17" s="13" t="str">
        <f>IF(COUNT(AD15,AD16)=2,AD15*AD16,"")</f>
        <v/>
      </c>
      <c r="AE17" s="14">
        <f t="shared" ref="AE17:AF17" si="164">AE15*AE16</f>
        <v>0</v>
      </c>
      <c r="AF17" s="15">
        <f t="shared" si="164"/>
        <v>0</v>
      </c>
      <c r="AG17" s="16">
        <f t="shared" si="17"/>
        <v>0</v>
      </c>
      <c r="AH17" s="13" t="str">
        <f>IF(COUNT(AH15,AH16)=2,AH15*AH16,"")</f>
        <v/>
      </c>
      <c r="AI17" s="14">
        <f t="shared" ref="AI17:AJ17" si="165">AI15*AI16</f>
        <v>0</v>
      </c>
      <c r="AJ17" s="15">
        <f t="shared" si="165"/>
        <v>0</v>
      </c>
      <c r="AK17" s="16">
        <f t="shared" si="19"/>
        <v>0</v>
      </c>
      <c r="AL17" s="13" t="str">
        <f>IF(COUNT(AL15,AL16)=2,AL15*AL16,"")</f>
        <v/>
      </c>
      <c r="AM17" s="14">
        <f t="shared" ref="AM17:AN17" si="166">AM15*AM16</f>
        <v>0</v>
      </c>
      <c r="AN17" s="15">
        <f t="shared" si="166"/>
        <v>0</v>
      </c>
      <c r="AO17" s="16">
        <f t="shared" si="21"/>
        <v>0</v>
      </c>
      <c r="AP17" s="13" t="str">
        <f>IF(COUNT(AP15,AP16)=2,AP15*AP16,"")</f>
        <v/>
      </c>
      <c r="AQ17" s="14">
        <f t="shared" ref="AQ17:AR17" si="167">AQ15*AQ16</f>
        <v>0</v>
      </c>
      <c r="AR17" s="15">
        <f t="shared" si="167"/>
        <v>0</v>
      </c>
      <c r="AS17" s="16">
        <f t="shared" si="23"/>
        <v>0</v>
      </c>
      <c r="AT17" s="13" t="str">
        <f>IF(COUNT(AT15,AT16)=2,AT15*AT16,"")</f>
        <v/>
      </c>
      <c r="AU17" s="14">
        <f t="shared" ref="AU17:AV17" si="168">AU15*AU16</f>
        <v>0</v>
      </c>
      <c r="AV17" s="15">
        <f t="shared" si="168"/>
        <v>0</v>
      </c>
      <c r="AW17" s="16">
        <f t="shared" si="25"/>
        <v>0</v>
      </c>
      <c r="AX17" s="13" t="str">
        <f>IF(COUNT(AX15,AX16)=2,AX15*AX16,"")</f>
        <v/>
      </c>
      <c r="AY17" s="14">
        <f t="shared" ref="AY17:AZ17" si="169">AY15*AY16</f>
        <v>0</v>
      </c>
      <c r="AZ17" s="15">
        <f t="shared" si="169"/>
        <v>0</v>
      </c>
      <c r="BA17" s="16">
        <f t="shared" si="27"/>
        <v>0</v>
      </c>
      <c r="BB17" s="13" t="str">
        <f>IF(COUNT(BB15,BB16)=2,BB15*BB16,"")</f>
        <v/>
      </c>
      <c r="BC17" s="14">
        <f t="shared" ref="BC17:BD17" si="170">BC15*BC16</f>
        <v>0</v>
      </c>
      <c r="BD17" s="15">
        <f t="shared" si="170"/>
        <v>0</v>
      </c>
      <c r="BE17" s="16">
        <f t="shared" si="29"/>
        <v>0</v>
      </c>
      <c r="BF17" s="13" t="str">
        <f>IF(COUNT(BF15,BF16)=2,BF15*BF16,"")</f>
        <v/>
      </c>
      <c r="BG17" s="14">
        <f t="shared" ref="BG17:BH17" si="171">BG15*BG16</f>
        <v>0</v>
      </c>
      <c r="BH17" s="15">
        <f t="shared" si="171"/>
        <v>0</v>
      </c>
      <c r="BI17" s="16">
        <f t="shared" si="31"/>
        <v>0</v>
      </c>
      <c r="BJ17" s="13" t="str">
        <f>IF(COUNT(BJ15,BJ16)=2,BJ15*BJ16,"")</f>
        <v/>
      </c>
      <c r="BK17" s="14">
        <f t="shared" ref="BK17:BL17" si="172">BK15*BK16</f>
        <v>0</v>
      </c>
      <c r="BL17" s="15">
        <f t="shared" si="172"/>
        <v>0</v>
      </c>
      <c r="BM17" s="16">
        <f t="shared" si="33"/>
        <v>0</v>
      </c>
      <c r="BN17" s="13" t="str">
        <f>IF(COUNT(BN15,BN16)=2,BN15*BN16,"")</f>
        <v/>
      </c>
      <c r="BO17" s="14">
        <f t="shared" ref="BO17:BP17" si="173">BO15*BO16</f>
        <v>0</v>
      </c>
      <c r="BP17" s="15">
        <f t="shared" si="173"/>
        <v>0</v>
      </c>
      <c r="BQ17" s="16">
        <f t="shared" si="35"/>
        <v>0</v>
      </c>
      <c r="BR17" s="13" t="str">
        <f>IF(COUNT(BR15,BR16)=2,BR15*BR16,"")</f>
        <v/>
      </c>
      <c r="BS17" s="14">
        <f t="shared" ref="BS17:BT17" si="174">BS15*BS16</f>
        <v>0</v>
      </c>
      <c r="BT17" s="15">
        <f t="shared" si="174"/>
        <v>0</v>
      </c>
      <c r="BU17" s="16">
        <f t="shared" si="37"/>
        <v>0</v>
      </c>
      <c r="BV17" s="13" t="str">
        <f>IF(COUNT(BV15,BV16)=2,BV15*BV16,"")</f>
        <v/>
      </c>
      <c r="BW17" s="14">
        <f t="shared" ref="BW17:BX17" si="175">BW15*BW16</f>
        <v>0</v>
      </c>
      <c r="BX17" s="15">
        <f t="shared" si="175"/>
        <v>0</v>
      </c>
      <c r="BY17" s="16">
        <f t="shared" si="39"/>
        <v>0</v>
      </c>
      <c r="BZ17" s="13" t="str">
        <f>IF(COUNT(BZ15,BZ16)=2,BZ15*BZ16,"")</f>
        <v/>
      </c>
      <c r="CA17" s="14">
        <f t="shared" ref="CA17:CB17" si="176">CA15*CA16</f>
        <v>0</v>
      </c>
      <c r="CB17" s="15">
        <f t="shared" si="176"/>
        <v>0</v>
      </c>
      <c r="CC17" s="16">
        <f t="shared" si="41"/>
        <v>0</v>
      </c>
      <c r="CD17" s="13" t="str">
        <f>IF(COUNT(CD15,CD16)=2,CD15*CD16,"")</f>
        <v/>
      </c>
      <c r="CE17" s="14">
        <f t="shared" ref="CE17:CF17" si="177">CE15*CE16</f>
        <v>0</v>
      </c>
      <c r="CF17" s="15">
        <f t="shared" si="177"/>
        <v>0</v>
      </c>
      <c r="CG17" s="16">
        <f t="shared" si="43"/>
        <v>0</v>
      </c>
      <c r="CH17" s="13" t="str">
        <f>IF(COUNT(CH15,CH16)=2,CH15*CH16,"")</f>
        <v/>
      </c>
      <c r="CI17" s="14">
        <f t="shared" ref="CI17:CJ17" si="178">CI15*CI16</f>
        <v>0</v>
      </c>
      <c r="CJ17" s="15">
        <f t="shared" si="178"/>
        <v>0</v>
      </c>
      <c r="CK17" s="16">
        <f t="shared" si="45"/>
        <v>0</v>
      </c>
      <c r="CL17" s="13" t="str">
        <f>IF(COUNT(CL15,CL16)=2,CL15*CL16,"")</f>
        <v/>
      </c>
      <c r="CM17" s="14">
        <f t="shared" ref="CM17:CN17" si="179">CM15*CM16</f>
        <v>0</v>
      </c>
      <c r="CN17" s="15">
        <f t="shared" si="179"/>
        <v>0</v>
      </c>
      <c r="CO17" s="16">
        <f t="shared" si="47"/>
        <v>0</v>
      </c>
      <c r="CP17" s="13" t="str">
        <f>IF(COUNT(CP15,CP16)=2,CP15*CP16,"")</f>
        <v/>
      </c>
      <c r="CQ17" s="14">
        <f t="shared" ref="CQ17:CR17" si="180">CQ15*CQ16</f>
        <v>0</v>
      </c>
      <c r="CR17" s="15">
        <f t="shared" si="180"/>
        <v>0</v>
      </c>
      <c r="CS17" s="16">
        <f t="shared" si="49"/>
        <v>0</v>
      </c>
      <c r="CT17" s="13" t="str">
        <f>IF(COUNT(CT15,CT16)=2,CT15*CT16,"")</f>
        <v/>
      </c>
      <c r="CU17" s="14">
        <f t="shared" ref="CU17:CV17" si="181">CU15*CU16</f>
        <v>0</v>
      </c>
      <c r="CV17" s="15">
        <f t="shared" si="181"/>
        <v>0</v>
      </c>
      <c r="CW17" s="16">
        <f t="shared" si="51"/>
        <v>0</v>
      </c>
      <c r="CX17" s="13" t="str">
        <f>IF(COUNT(CX15,CX16)=2,CX15*CX16,"")</f>
        <v/>
      </c>
      <c r="CY17" s="14">
        <f t="shared" ref="CY17:CZ17" si="182">CY15*CY16</f>
        <v>0</v>
      </c>
      <c r="CZ17" s="15">
        <f t="shared" si="182"/>
        <v>0</v>
      </c>
      <c r="DA17" s="16">
        <f t="shared" si="53"/>
        <v>0</v>
      </c>
      <c r="DB17" s="13" t="str">
        <f>IF(COUNT(DB15,DB16)=2,DB15*DB16,"")</f>
        <v/>
      </c>
      <c r="DC17" s="14">
        <f t="shared" ref="DC17:DD17" si="183">DC15*DC16</f>
        <v>0</v>
      </c>
      <c r="DD17" s="15">
        <f t="shared" si="183"/>
        <v>0</v>
      </c>
      <c r="DE17" s="16">
        <f t="shared" si="55"/>
        <v>0</v>
      </c>
      <c r="DF17" s="13" t="str">
        <f>IF(COUNT(DF15,DF16)=2,DF15*DF16,"")</f>
        <v/>
      </c>
      <c r="DG17" s="14">
        <f t="shared" ref="DG17:DH17" si="184">DG15*DG16</f>
        <v>0</v>
      </c>
      <c r="DH17" s="15">
        <f t="shared" si="184"/>
        <v>0</v>
      </c>
      <c r="DI17" s="16">
        <f t="shared" si="57"/>
        <v>0</v>
      </c>
      <c r="DJ17" s="13" t="str">
        <f>IF(COUNT(DJ15,DJ16)=2,DJ15*DJ16,"")</f>
        <v/>
      </c>
      <c r="DK17" s="14">
        <f t="shared" ref="DK17:DL17" si="185">DK15*DK16</f>
        <v>0</v>
      </c>
      <c r="DL17" s="15">
        <f t="shared" si="185"/>
        <v>0</v>
      </c>
      <c r="DM17" s="16">
        <f t="shared" si="59"/>
        <v>0</v>
      </c>
      <c r="DN17" s="13" t="str">
        <f>IF(COUNT(DN15,DN16)=2,DN15*DN16,"")</f>
        <v/>
      </c>
      <c r="DO17" s="14">
        <f t="shared" ref="DO17:DP17" si="186">DO15*DO16</f>
        <v>0</v>
      </c>
      <c r="DP17" s="15">
        <f t="shared" si="186"/>
        <v>0</v>
      </c>
      <c r="DQ17" s="16">
        <f t="shared" si="61"/>
        <v>0</v>
      </c>
      <c r="DR17" s="13" t="str">
        <f>IF(COUNT(DR15,DR16)=2,DR15*DR16,"")</f>
        <v/>
      </c>
      <c r="DS17" s="14">
        <f t="shared" ref="DS17:DT17" si="187">DS15*DS16</f>
        <v>0</v>
      </c>
      <c r="DT17" s="15">
        <f t="shared" si="187"/>
        <v>0</v>
      </c>
      <c r="DU17" s="16">
        <f t="shared" si="63"/>
        <v>0</v>
      </c>
      <c r="DV17" s="13" t="str">
        <f>IF(COUNT(DV15,DV16)=2,DV15*DV16,"")</f>
        <v/>
      </c>
      <c r="DW17" s="14">
        <f t="shared" ref="DW17:DX17" si="188">DW15*DW16</f>
        <v>0</v>
      </c>
      <c r="DX17" s="15">
        <f t="shared" si="188"/>
        <v>0</v>
      </c>
      <c r="DY17" s="16">
        <f t="shared" si="65"/>
        <v>0</v>
      </c>
      <c r="DZ17" s="13" t="str">
        <f>IF(COUNT(DZ15,DZ16)=2,DZ15*DZ16,"")</f>
        <v/>
      </c>
      <c r="EA17" s="14">
        <f t="shared" ref="EA17:EB17" si="189">EA15*EA16</f>
        <v>0</v>
      </c>
      <c r="EB17" s="15">
        <f t="shared" si="189"/>
        <v>0</v>
      </c>
      <c r="EC17" s="16">
        <f t="shared" si="67"/>
        <v>0</v>
      </c>
      <c r="ED17" s="13" t="str">
        <f>IF(COUNT(ED15,ED16)=2,ED15*ED16,"")</f>
        <v/>
      </c>
      <c r="EE17" s="14">
        <f t="shared" ref="EE17:EF17" si="190">EE15*EE16</f>
        <v>0</v>
      </c>
      <c r="EF17" s="15">
        <f t="shared" si="190"/>
        <v>0</v>
      </c>
      <c r="EG17" s="16">
        <f t="shared" si="69"/>
        <v>0</v>
      </c>
      <c r="EH17" s="13" t="str">
        <f>IF(COUNT(EH15,EH16)=2,EH15*EH16,"")</f>
        <v/>
      </c>
      <c r="EI17" s="14">
        <f t="shared" ref="EI17:EJ17" si="191">EI15*EI16</f>
        <v>0</v>
      </c>
      <c r="EJ17" s="15">
        <f t="shared" si="191"/>
        <v>0</v>
      </c>
      <c r="EK17" s="16">
        <f t="shared" si="71"/>
        <v>0</v>
      </c>
      <c r="EL17" s="13" t="str">
        <f>IF(COUNT(EL15,EL16)=2,EL15*EL16,"")</f>
        <v/>
      </c>
      <c r="EM17" s="14">
        <f t="shared" ref="EM17:EN17" si="192">EM15*EM16</f>
        <v>0</v>
      </c>
      <c r="EN17" s="15">
        <f t="shared" si="192"/>
        <v>0</v>
      </c>
      <c r="EO17" s="16">
        <f t="shared" si="73"/>
        <v>0</v>
      </c>
      <c r="EP17" s="13" t="str">
        <f>IF(COUNT(EP15,EP16)=2,EP15*EP16,"")</f>
        <v/>
      </c>
      <c r="EQ17" s="14">
        <f t="shared" ref="EQ17:ER17" si="193">EQ15*EQ16</f>
        <v>0</v>
      </c>
      <c r="ER17" s="15">
        <f t="shared" si="193"/>
        <v>0</v>
      </c>
      <c r="ES17" s="16">
        <f t="shared" si="75"/>
        <v>0</v>
      </c>
    </row>
    <row r="18" ht="18.0" customHeight="1">
      <c r="A18" s="2" t="s">
        <v>20</v>
      </c>
      <c r="B18" s="30" t="str">
        <f t="shared" ref="B18:D18" si="194">IFERROR(SUM(EP18*EP21,EL18*EL21,EH18*EH21,ED18*ED21,DZ18*DZ21,DV18*DV21,DR18*DR21,DN18*DN21,DJ18*DJ21,DF18*DF21,DB18*DB21,CX18*CX21,CT18*CT21,CP18*CP21,CL18*CL21,CH18*CH21,CD18*CD21,BZ18*BZ21,BV18*BV21,BR18*BR21,BN18*BN21,BJ18*BJ21,BF18*BF21,BB18*BB21,AX18*AX21,AT18*AT21,AP18*AP21,AL18*AL21,AH18*AH21,AD18*AD21,Z18*Z21,V18*V21,R18*R21,N18*N21,J18*J21,F18*F21)/SUM(EP21,EL21,EH21,ED21,DZ21,DV21,DR21,DN21,DJ21,DF21,DB21,CX21,CT21,CP21,CL21,CH21,CD21,BZ21,BV21,BR21,BN21,BJ21,BF21,BB21,AX21,AT21,AP21,AL21,AH21,AD21,Z21,V21,R21,N21,J21,F21),"")</f>
        <v/>
      </c>
      <c r="C18" s="31" t="str">
        <f t="shared" si="194"/>
        <v/>
      </c>
      <c r="D18" s="32" t="str">
        <f t="shared" si="194"/>
        <v/>
      </c>
      <c r="E18" s="33" t="str">
        <f t="shared" si="3"/>
        <v/>
      </c>
      <c r="F18" s="34"/>
      <c r="G18" s="31" t="str">
        <f>IF(F$98=1,F18,H18)</f>
        <v/>
      </c>
      <c r="H18" s="35"/>
      <c r="I18" s="33" t="str">
        <f t="shared" si="5"/>
        <v/>
      </c>
      <c r="J18" s="34"/>
      <c r="K18" s="31" t="str">
        <f>IF(J$98=1,J18,L18)</f>
        <v/>
      </c>
      <c r="L18" s="35"/>
      <c r="M18" s="33" t="str">
        <f t="shared" si="7"/>
        <v/>
      </c>
      <c r="N18" s="34"/>
      <c r="O18" s="31" t="str">
        <f>IF(N$98=1,N18,P18)</f>
        <v/>
      </c>
      <c r="P18" s="35"/>
      <c r="Q18" s="33" t="str">
        <f t="shared" si="9"/>
        <v/>
      </c>
      <c r="R18" s="34"/>
      <c r="S18" s="31" t="str">
        <f>IF(R$98=1,R18,T18)</f>
        <v/>
      </c>
      <c r="T18" s="35"/>
      <c r="U18" s="33" t="str">
        <f t="shared" si="11"/>
        <v/>
      </c>
      <c r="V18" s="34"/>
      <c r="W18" s="31" t="str">
        <f>IF(V$98=1,V18,X18)</f>
        <v/>
      </c>
      <c r="X18" s="35"/>
      <c r="Y18" s="33" t="str">
        <f t="shared" si="13"/>
        <v/>
      </c>
      <c r="Z18" s="34"/>
      <c r="AA18" s="31" t="str">
        <f>IF(Z$98=1,Z18,AB18)</f>
        <v/>
      </c>
      <c r="AB18" s="35"/>
      <c r="AC18" s="33" t="str">
        <f t="shared" si="15"/>
        <v/>
      </c>
      <c r="AD18" s="34"/>
      <c r="AE18" s="31" t="str">
        <f>IF(AD$98=1,AD18,AF18)</f>
        <v/>
      </c>
      <c r="AF18" s="35"/>
      <c r="AG18" s="33" t="str">
        <f t="shared" si="17"/>
        <v/>
      </c>
      <c r="AH18" s="34"/>
      <c r="AI18" s="31" t="str">
        <f>IF(AH$98=1,AH18,AJ18)</f>
        <v/>
      </c>
      <c r="AJ18" s="35"/>
      <c r="AK18" s="33" t="str">
        <f t="shared" si="19"/>
        <v/>
      </c>
      <c r="AL18" s="34"/>
      <c r="AM18" s="31" t="str">
        <f>IF(AL$98=1,AL18,AN18)</f>
        <v/>
      </c>
      <c r="AN18" s="35"/>
      <c r="AO18" s="33" t="str">
        <f t="shared" si="21"/>
        <v/>
      </c>
      <c r="AP18" s="34"/>
      <c r="AQ18" s="31" t="str">
        <f>IF(AP$98=1,AP18,AR18)</f>
        <v/>
      </c>
      <c r="AR18" s="35"/>
      <c r="AS18" s="33" t="str">
        <f t="shared" si="23"/>
        <v/>
      </c>
      <c r="AT18" s="34"/>
      <c r="AU18" s="31" t="str">
        <f>IF(AT$98=1,AT18,AV18)</f>
        <v/>
      </c>
      <c r="AV18" s="35"/>
      <c r="AW18" s="33" t="str">
        <f t="shared" si="25"/>
        <v/>
      </c>
      <c r="AX18" s="34"/>
      <c r="AY18" s="31" t="str">
        <f>IF(AX$98=1,AX18,AZ18)</f>
        <v/>
      </c>
      <c r="AZ18" s="35"/>
      <c r="BA18" s="33" t="str">
        <f t="shared" si="27"/>
        <v/>
      </c>
      <c r="BB18" s="34"/>
      <c r="BC18" s="31" t="str">
        <f>IF(BB$98=1,BB18,BD18)</f>
        <v/>
      </c>
      <c r="BD18" s="35"/>
      <c r="BE18" s="33" t="str">
        <f t="shared" si="29"/>
        <v/>
      </c>
      <c r="BF18" s="34"/>
      <c r="BG18" s="31" t="str">
        <f>IF(BF$98=1,BF18,BH18)</f>
        <v/>
      </c>
      <c r="BH18" s="35"/>
      <c r="BI18" s="33" t="str">
        <f t="shared" si="31"/>
        <v/>
      </c>
      <c r="BJ18" s="34"/>
      <c r="BK18" s="31" t="str">
        <f>IF(BJ$98=1,BJ18,BL18)</f>
        <v/>
      </c>
      <c r="BL18" s="35"/>
      <c r="BM18" s="33" t="str">
        <f t="shared" si="33"/>
        <v/>
      </c>
      <c r="BN18" s="34"/>
      <c r="BO18" s="31" t="str">
        <f>IF(BN$98=1,BN18,BP18)</f>
        <v/>
      </c>
      <c r="BP18" s="35"/>
      <c r="BQ18" s="33" t="str">
        <f t="shared" si="35"/>
        <v/>
      </c>
      <c r="BR18" s="34"/>
      <c r="BS18" s="31" t="str">
        <f>IF(BR$98=1,BR18,BT18)</f>
        <v/>
      </c>
      <c r="BT18" s="35"/>
      <c r="BU18" s="33" t="str">
        <f t="shared" si="37"/>
        <v/>
      </c>
      <c r="BV18" s="34"/>
      <c r="BW18" s="31" t="str">
        <f>IF(BV$98=1,BV18,BX18)</f>
        <v/>
      </c>
      <c r="BX18" s="35"/>
      <c r="BY18" s="33" t="str">
        <f t="shared" si="39"/>
        <v/>
      </c>
      <c r="BZ18" s="34"/>
      <c r="CA18" s="31" t="str">
        <f>IF(BZ$98=1,BZ18,CB18)</f>
        <v/>
      </c>
      <c r="CB18" s="35"/>
      <c r="CC18" s="33" t="str">
        <f t="shared" si="41"/>
        <v/>
      </c>
      <c r="CD18" s="34"/>
      <c r="CE18" s="31" t="str">
        <f>IF(CD$98=1,CD18,CF18)</f>
        <v/>
      </c>
      <c r="CF18" s="35"/>
      <c r="CG18" s="33" t="str">
        <f t="shared" si="43"/>
        <v/>
      </c>
      <c r="CH18" s="34"/>
      <c r="CI18" s="31" t="str">
        <f>IF(CH$98=1,CH18,CJ18)</f>
        <v/>
      </c>
      <c r="CJ18" s="35"/>
      <c r="CK18" s="33" t="str">
        <f t="shared" si="45"/>
        <v/>
      </c>
      <c r="CL18" s="34"/>
      <c r="CM18" s="31" t="str">
        <f>IF(CL$98=1,CL18,CN18)</f>
        <v/>
      </c>
      <c r="CN18" s="35"/>
      <c r="CO18" s="33" t="str">
        <f t="shared" si="47"/>
        <v/>
      </c>
      <c r="CP18" s="34"/>
      <c r="CQ18" s="31" t="str">
        <f>IF(CP$98=1,CP18,CR18)</f>
        <v/>
      </c>
      <c r="CR18" s="35"/>
      <c r="CS18" s="33" t="str">
        <f t="shared" si="49"/>
        <v/>
      </c>
      <c r="CT18" s="34"/>
      <c r="CU18" s="31" t="str">
        <f>IF(CT$98=1,CT18,CV18)</f>
        <v/>
      </c>
      <c r="CV18" s="35"/>
      <c r="CW18" s="33" t="str">
        <f t="shared" si="51"/>
        <v/>
      </c>
      <c r="CX18" s="34"/>
      <c r="CY18" s="31" t="str">
        <f>IF(CX$98=1,CX18,CZ18)</f>
        <v/>
      </c>
      <c r="CZ18" s="35"/>
      <c r="DA18" s="33" t="str">
        <f t="shared" si="53"/>
        <v/>
      </c>
      <c r="DB18" s="34"/>
      <c r="DC18" s="31" t="str">
        <f>IF(DB$98=1,DB18,DD18)</f>
        <v/>
      </c>
      <c r="DD18" s="35"/>
      <c r="DE18" s="33" t="str">
        <f t="shared" si="55"/>
        <v/>
      </c>
      <c r="DF18" s="34"/>
      <c r="DG18" s="31" t="str">
        <f>IF(DF$98=1,DF18,DH18)</f>
        <v/>
      </c>
      <c r="DH18" s="35"/>
      <c r="DI18" s="33" t="str">
        <f t="shared" si="57"/>
        <v/>
      </c>
      <c r="DJ18" s="34"/>
      <c r="DK18" s="31" t="str">
        <f>IF(DJ$98=1,DJ18,DL18)</f>
        <v/>
      </c>
      <c r="DL18" s="35"/>
      <c r="DM18" s="33" t="str">
        <f t="shared" si="59"/>
        <v/>
      </c>
      <c r="DN18" s="34"/>
      <c r="DO18" s="31" t="str">
        <f>IF(DN$98=1,DN18,DP18)</f>
        <v/>
      </c>
      <c r="DP18" s="35"/>
      <c r="DQ18" s="33" t="str">
        <f t="shared" si="61"/>
        <v/>
      </c>
      <c r="DR18" s="34"/>
      <c r="DS18" s="31" t="str">
        <f>IF(DR$98=1,DR18,DT18)</f>
        <v/>
      </c>
      <c r="DT18" s="35"/>
      <c r="DU18" s="33" t="str">
        <f t="shared" si="63"/>
        <v/>
      </c>
      <c r="DV18" s="34"/>
      <c r="DW18" s="31" t="str">
        <f>IF(DV$98=1,DV18,DX18)</f>
        <v/>
      </c>
      <c r="DX18" s="35"/>
      <c r="DY18" s="33" t="str">
        <f t="shared" si="65"/>
        <v/>
      </c>
      <c r="DZ18" s="34"/>
      <c r="EA18" s="31" t="str">
        <f>IF(DZ$98=1,DZ18,EB18)</f>
        <v/>
      </c>
      <c r="EB18" s="35"/>
      <c r="EC18" s="33" t="str">
        <f t="shared" si="67"/>
        <v/>
      </c>
      <c r="ED18" s="34"/>
      <c r="EE18" s="31" t="str">
        <f>IF(ED$98=1,ED18,EF18)</f>
        <v/>
      </c>
      <c r="EF18" s="35"/>
      <c r="EG18" s="33" t="str">
        <f t="shared" si="69"/>
        <v/>
      </c>
      <c r="EH18" s="34"/>
      <c r="EI18" s="31" t="str">
        <f>IF(EH$98=1,EH18,EJ18)</f>
        <v/>
      </c>
      <c r="EJ18" s="35"/>
      <c r="EK18" s="33" t="str">
        <f t="shared" si="71"/>
        <v/>
      </c>
      <c r="EL18" s="34"/>
      <c r="EM18" s="31" t="str">
        <f>IF(EL$98=1,EL18,EN18)</f>
        <v/>
      </c>
      <c r="EN18" s="35"/>
      <c r="EO18" s="33" t="str">
        <f t="shared" si="73"/>
        <v/>
      </c>
      <c r="EP18" s="34"/>
      <c r="EQ18" s="31" t="str">
        <f>IF(EP$98=1,EP18,ER18)</f>
        <v/>
      </c>
      <c r="ER18" s="35"/>
      <c r="ES18" s="33" t="str">
        <f t="shared" si="75"/>
        <v/>
      </c>
    </row>
    <row r="19" ht="18.0" customHeight="1">
      <c r="A19" s="2" t="s">
        <v>21</v>
      </c>
      <c r="B19" s="13" t="str">
        <f t="shared" ref="B19:D19" si="195">EP19</f>
        <v/>
      </c>
      <c r="C19" s="14" t="str">
        <f t="shared" si="195"/>
        <v/>
      </c>
      <c r="D19" s="15" t="str">
        <f t="shared" si="195"/>
        <v/>
      </c>
      <c r="E19" s="16" t="str">
        <f t="shared" si="3"/>
        <v/>
      </c>
      <c r="F19" s="13" t="str">
        <f>IF(J$98=1,J22,"")</f>
        <v/>
      </c>
      <c r="G19" s="14">
        <f>IF(J$98=1,J22,K22)</f>
        <v>0</v>
      </c>
      <c r="H19" s="15">
        <f>L22</f>
        <v>0</v>
      </c>
      <c r="I19" s="16">
        <f t="shared" si="5"/>
        <v>0</v>
      </c>
      <c r="J19" s="13" t="str">
        <f>IF(N$98=1,N22,"")</f>
        <v/>
      </c>
      <c r="K19" s="14">
        <f>IF(N$98=1,N22,O22)</f>
        <v>0</v>
      </c>
      <c r="L19" s="15">
        <f>P22</f>
        <v>0</v>
      </c>
      <c r="M19" s="16">
        <f t="shared" si="7"/>
        <v>0</v>
      </c>
      <c r="N19" s="13" t="str">
        <f>IF(R$98=1,R22,"")</f>
        <v/>
      </c>
      <c r="O19" s="14">
        <f>IF(R$98=1,R22,S22)</f>
        <v>0</v>
      </c>
      <c r="P19" s="15">
        <f>T22</f>
        <v>0</v>
      </c>
      <c r="Q19" s="16">
        <f t="shared" si="9"/>
        <v>0</v>
      </c>
      <c r="R19" s="13" t="str">
        <f>IF(V$98=1,V22,"")</f>
        <v/>
      </c>
      <c r="S19" s="14">
        <f>IF(V$98=1,V22,W22)</f>
        <v>0</v>
      </c>
      <c r="T19" s="15">
        <f>X22</f>
        <v>0</v>
      </c>
      <c r="U19" s="16">
        <f t="shared" si="11"/>
        <v>0</v>
      </c>
      <c r="V19" s="13" t="str">
        <f>IF(Z$98=1,Z22,"")</f>
        <v/>
      </c>
      <c r="W19" s="14">
        <f>IF(Z$98=1,Z22,AA22)</f>
        <v>0</v>
      </c>
      <c r="X19" s="15">
        <f>AB22</f>
        <v>0</v>
      </c>
      <c r="Y19" s="16">
        <f t="shared" si="13"/>
        <v>0</v>
      </c>
      <c r="Z19" s="13" t="str">
        <f>IF(AD$98=1,AD22,"")</f>
        <v/>
      </c>
      <c r="AA19" s="14">
        <f>IF(AD$98=1,AD22,AE22)</f>
        <v>0</v>
      </c>
      <c r="AB19" s="15">
        <f>AF22</f>
        <v>0</v>
      </c>
      <c r="AC19" s="16">
        <f t="shared" si="15"/>
        <v>0</v>
      </c>
      <c r="AD19" s="13" t="str">
        <f>IF(AH$98=1,AH22,"")</f>
        <v/>
      </c>
      <c r="AE19" s="14">
        <f>IF(AH$98=1,AH22,AI22)</f>
        <v>0</v>
      </c>
      <c r="AF19" s="15">
        <f>AJ22</f>
        <v>0</v>
      </c>
      <c r="AG19" s="16">
        <f t="shared" si="17"/>
        <v>0</v>
      </c>
      <c r="AH19" s="13" t="str">
        <f>IF(AL$98=1,AL22,"")</f>
        <v/>
      </c>
      <c r="AI19" s="14">
        <f>IF(AL$98=1,AL22,AM22)</f>
        <v>0</v>
      </c>
      <c r="AJ19" s="15">
        <f>AN22</f>
        <v>0</v>
      </c>
      <c r="AK19" s="16">
        <f t="shared" si="19"/>
        <v>0</v>
      </c>
      <c r="AL19" s="13" t="str">
        <f>IF(AP$98=1,AP22,"")</f>
        <v/>
      </c>
      <c r="AM19" s="14">
        <f>IF(AP$98=1,AP22,AQ22)</f>
        <v>0</v>
      </c>
      <c r="AN19" s="15">
        <f>AR22</f>
        <v>0</v>
      </c>
      <c r="AO19" s="16">
        <f t="shared" si="21"/>
        <v>0</v>
      </c>
      <c r="AP19" s="13" t="str">
        <f>IF(AT$98=1,AT22,"")</f>
        <v/>
      </c>
      <c r="AQ19" s="14">
        <f>IF(AT$98=1,AT22,AU22)</f>
        <v>0</v>
      </c>
      <c r="AR19" s="15">
        <f>AV22</f>
        <v>0</v>
      </c>
      <c r="AS19" s="16">
        <f t="shared" si="23"/>
        <v>0</v>
      </c>
      <c r="AT19" s="13" t="str">
        <f>IF(AX$98=1,AX22,"")</f>
        <v/>
      </c>
      <c r="AU19" s="14">
        <f>IF(AX$98=1,AX22,AY22)</f>
        <v>0</v>
      </c>
      <c r="AV19" s="15">
        <f>AZ22</f>
        <v>0</v>
      </c>
      <c r="AW19" s="16">
        <f t="shared" si="25"/>
        <v>0</v>
      </c>
      <c r="AX19" s="13" t="str">
        <f>IF(BB$98=1,BB22,"")</f>
        <v/>
      </c>
      <c r="AY19" s="14">
        <f>IF(BB$98=1,BB22,BC22)</f>
        <v>0</v>
      </c>
      <c r="AZ19" s="15">
        <f>BD22</f>
        <v>0</v>
      </c>
      <c r="BA19" s="16">
        <f t="shared" si="27"/>
        <v>0</v>
      </c>
      <c r="BB19" s="13" t="str">
        <f>IF(BF$98=1,BF22,"")</f>
        <v/>
      </c>
      <c r="BC19" s="14">
        <f>IF(BF$98=1,BF22,BG22)</f>
        <v>0</v>
      </c>
      <c r="BD19" s="15">
        <f>BH22</f>
        <v>0</v>
      </c>
      <c r="BE19" s="16">
        <f t="shared" si="29"/>
        <v>0</v>
      </c>
      <c r="BF19" s="13" t="str">
        <f>IF(BJ$98=1,BJ22,"")</f>
        <v/>
      </c>
      <c r="BG19" s="14">
        <f>IF(BJ$98=1,BJ22,BK22)</f>
        <v>0</v>
      </c>
      <c r="BH19" s="15">
        <f>BL22</f>
        <v>0</v>
      </c>
      <c r="BI19" s="16">
        <f t="shared" si="31"/>
        <v>0</v>
      </c>
      <c r="BJ19" s="13" t="str">
        <f>IF(BN$98=1,BN22,"")</f>
        <v/>
      </c>
      <c r="BK19" s="14">
        <f>IF(BN$98=1,BN22,BO22)</f>
        <v>0</v>
      </c>
      <c r="BL19" s="15">
        <f>BP22</f>
        <v>0</v>
      </c>
      <c r="BM19" s="16">
        <f t="shared" si="33"/>
        <v>0</v>
      </c>
      <c r="BN19" s="13" t="str">
        <f>IF(BR$98=1,BR22,"")</f>
        <v/>
      </c>
      <c r="BO19" s="14">
        <f>IF(BR$98=1,BR22,BS22)</f>
        <v>0</v>
      </c>
      <c r="BP19" s="15">
        <f>BT22</f>
        <v>0</v>
      </c>
      <c r="BQ19" s="16">
        <f t="shared" si="35"/>
        <v>0</v>
      </c>
      <c r="BR19" s="13" t="str">
        <f>IF(BV$98=1,BV22,"")</f>
        <v/>
      </c>
      <c r="BS19" s="14">
        <f>IF(BV$98=1,BV22,BW22)</f>
        <v>0</v>
      </c>
      <c r="BT19" s="15">
        <f>BX22</f>
        <v>0</v>
      </c>
      <c r="BU19" s="16">
        <f t="shared" si="37"/>
        <v>0</v>
      </c>
      <c r="BV19" s="13" t="str">
        <f>IF(BZ$98=1,BZ22,"")</f>
        <v/>
      </c>
      <c r="BW19" s="14">
        <f>IF(BZ$98=1,BZ22,CA22)</f>
        <v>0</v>
      </c>
      <c r="BX19" s="15">
        <f>CB22</f>
        <v>0</v>
      </c>
      <c r="BY19" s="16">
        <f t="shared" si="39"/>
        <v>0</v>
      </c>
      <c r="BZ19" s="13" t="str">
        <f>IF(CD$98=1,CD22,"")</f>
        <v/>
      </c>
      <c r="CA19" s="14">
        <f>IF(CD$98=1,CD22,CE22)</f>
        <v>0</v>
      </c>
      <c r="CB19" s="15">
        <f>CF22</f>
        <v>0</v>
      </c>
      <c r="CC19" s="16">
        <f t="shared" si="41"/>
        <v>0</v>
      </c>
      <c r="CD19" s="13" t="str">
        <f>IF(CH$98=1,CH22,"")</f>
        <v/>
      </c>
      <c r="CE19" s="14">
        <f>IF(CH$98=1,CH22,CI22)</f>
        <v>0</v>
      </c>
      <c r="CF19" s="15">
        <f>CJ22</f>
        <v>0</v>
      </c>
      <c r="CG19" s="16">
        <f t="shared" si="43"/>
        <v>0</v>
      </c>
      <c r="CH19" s="13" t="str">
        <f>IF(CL$98=1,CL22,"")</f>
        <v/>
      </c>
      <c r="CI19" s="14">
        <f>IF(CL$98=1,CL22,CM22)</f>
        <v>0</v>
      </c>
      <c r="CJ19" s="15">
        <f>CN22</f>
        <v>0</v>
      </c>
      <c r="CK19" s="16">
        <f t="shared" si="45"/>
        <v>0</v>
      </c>
      <c r="CL19" s="13" t="str">
        <f>IF(CP$98=1,CP22,"")</f>
        <v/>
      </c>
      <c r="CM19" s="14">
        <f>IF(CP$98=1,CP22,CQ22)</f>
        <v>0</v>
      </c>
      <c r="CN19" s="15">
        <f>CR22</f>
        <v>0</v>
      </c>
      <c r="CO19" s="16">
        <f t="shared" si="47"/>
        <v>0</v>
      </c>
      <c r="CP19" s="13" t="str">
        <f>IF(CT$98=1,CT22,"")</f>
        <v/>
      </c>
      <c r="CQ19" s="14">
        <f>IF(CT$98=1,CT22,CU22)</f>
        <v>0</v>
      </c>
      <c r="CR19" s="15">
        <f>CV22</f>
        <v>0</v>
      </c>
      <c r="CS19" s="16">
        <f t="shared" si="49"/>
        <v>0</v>
      </c>
      <c r="CT19" s="13" t="str">
        <f>IF(CX$98=1,CX22,"")</f>
        <v/>
      </c>
      <c r="CU19" s="14">
        <f>IF(CX$98=1,CX22,CY22)</f>
        <v>0</v>
      </c>
      <c r="CV19" s="15">
        <f>CZ22</f>
        <v>0</v>
      </c>
      <c r="CW19" s="16">
        <f t="shared" si="51"/>
        <v>0</v>
      </c>
      <c r="CX19" s="13" t="str">
        <f>IF(DB$98=1,DB22,"")</f>
        <v/>
      </c>
      <c r="CY19" s="14">
        <f>IF(DB$98=1,DB22,DC22)</f>
        <v>0</v>
      </c>
      <c r="CZ19" s="15">
        <f>DD22</f>
        <v>0</v>
      </c>
      <c r="DA19" s="16">
        <f t="shared" si="53"/>
        <v>0</v>
      </c>
      <c r="DB19" s="13" t="str">
        <f>IF(DF$98=1,DF22,"")</f>
        <v/>
      </c>
      <c r="DC19" s="14">
        <f>IF(DF$98=1,DF22,DG22)</f>
        <v>0</v>
      </c>
      <c r="DD19" s="15">
        <f>DH22</f>
        <v>0</v>
      </c>
      <c r="DE19" s="16">
        <f t="shared" si="55"/>
        <v>0</v>
      </c>
      <c r="DF19" s="13" t="str">
        <f>IF(DJ$98=1,DJ22,"")</f>
        <v/>
      </c>
      <c r="DG19" s="14">
        <f>IF(DJ$98=1,DJ22,DK22)</f>
        <v>0</v>
      </c>
      <c r="DH19" s="15">
        <f>DL22</f>
        <v>0</v>
      </c>
      <c r="DI19" s="16">
        <f t="shared" si="57"/>
        <v>0</v>
      </c>
      <c r="DJ19" s="13" t="str">
        <f>IF(DN$98=1,DN22,"")</f>
        <v/>
      </c>
      <c r="DK19" s="14">
        <f>IF(DN$98=1,DN22,DO22)</f>
        <v>0</v>
      </c>
      <c r="DL19" s="15">
        <f>DP22</f>
        <v>0</v>
      </c>
      <c r="DM19" s="16">
        <f t="shared" si="59"/>
        <v>0</v>
      </c>
      <c r="DN19" s="13" t="str">
        <f>IF(DR$98=1,DR22,"")</f>
        <v/>
      </c>
      <c r="DO19" s="14">
        <f>IF(DR$98=1,DR22,DS22)</f>
        <v>0</v>
      </c>
      <c r="DP19" s="15">
        <f>DT22</f>
        <v>0</v>
      </c>
      <c r="DQ19" s="16">
        <f t="shared" si="61"/>
        <v>0</v>
      </c>
      <c r="DR19" s="13" t="str">
        <f>IF(DV$98=1,DV22,"")</f>
        <v/>
      </c>
      <c r="DS19" s="14">
        <f>IF(DV$98=1,DV22,DW22)</f>
        <v>0</v>
      </c>
      <c r="DT19" s="15">
        <f>DX22</f>
        <v>0</v>
      </c>
      <c r="DU19" s="16">
        <f t="shared" si="63"/>
        <v>0</v>
      </c>
      <c r="DV19" s="13" t="str">
        <f>IF(DZ$98=1,DZ22,"")</f>
        <v/>
      </c>
      <c r="DW19" s="14">
        <f>IF(DZ$98=1,DZ22,EA22)</f>
        <v>0</v>
      </c>
      <c r="DX19" s="15">
        <f>EB22</f>
        <v>0</v>
      </c>
      <c r="DY19" s="16">
        <f t="shared" si="65"/>
        <v>0</v>
      </c>
      <c r="DZ19" s="13" t="str">
        <f>IF(ED$98=1,ED22,"")</f>
        <v/>
      </c>
      <c r="EA19" s="14">
        <f>IF(ED$98=1,ED22,EE22)</f>
        <v>0</v>
      </c>
      <c r="EB19" s="15">
        <f>EF22</f>
        <v>0</v>
      </c>
      <c r="EC19" s="16">
        <f t="shared" si="67"/>
        <v>0</v>
      </c>
      <c r="ED19" s="13" t="str">
        <f>IF(EH$98=1,EH22,"")</f>
        <v/>
      </c>
      <c r="EE19" s="14">
        <f>IF(EH$98=1,EH22,EI22)</f>
        <v>0</v>
      </c>
      <c r="EF19" s="15">
        <f>EJ22</f>
        <v>0</v>
      </c>
      <c r="EG19" s="16">
        <f t="shared" si="69"/>
        <v>0</v>
      </c>
      <c r="EH19" s="13" t="str">
        <f>IF(EL$98=1,EL22,"")</f>
        <v/>
      </c>
      <c r="EI19" s="14">
        <f>IF(EL$98=1,EL22,EM22)</f>
        <v>0</v>
      </c>
      <c r="EJ19" s="15">
        <f>EN22</f>
        <v>0</v>
      </c>
      <c r="EK19" s="16">
        <f t="shared" si="71"/>
        <v>0</v>
      </c>
      <c r="EL19" s="13" t="str">
        <f>IF(EP$98=1,EP22,"")</f>
        <v/>
      </c>
      <c r="EM19" s="14">
        <f>IF(EP$98=1,EP22,EQ22)</f>
        <v>0</v>
      </c>
      <c r="EN19" s="15">
        <f>ER22</f>
        <v>0</v>
      </c>
      <c r="EO19" s="16">
        <f t="shared" si="73"/>
        <v>0</v>
      </c>
      <c r="EP19" s="13" t="str">
        <f t="shared" ref="EP19:ER19" si="196">$EP$79</f>
        <v/>
      </c>
      <c r="EQ19" s="14" t="str">
        <f t="shared" si="196"/>
        <v/>
      </c>
      <c r="ER19" s="15" t="str">
        <f t="shared" si="196"/>
        <v/>
      </c>
      <c r="ES19" s="16" t="str">
        <f t="shared" si="75"/>
        <v/>
      </c>
    </row>
    <row r="20" ht="18.0" customHeight="1">
      <c r="A20" s="2" t="s">
        <v>22</v>
      </c>
      <c r="B20" s="13">
        <f t="shared" ref="B20:D20" si="197">SUM(EP20,EL20,EH20,ED20,DZ20,DV20,DR20,DN20,DJ20,DF20,DB20,CX20,CT20,CP20,CL20,CH20,CD20,BZ20,BV20,BR20,BN20,BJ20,BF20,BB20,AX20,AT20,AP20,AL20,AH20,AD20,Z20,V20,R20,N20,J20,F20)</f>
        <v>0</v>
      </c>
      <c r="C20" s="14">
        <f t="shared" si="197"/>
        <v>0</v>
      </c>
      <c r="D20" s="15">
        <f t="shared" si="197"/>
        <v>0</v>
      </c>
      <c r="E20" s="16">
        <f t="shared" si="3"/>
        <v>0</v>
      </c>
      <c r="F20" s="13">
        <f t="shared" ref="F20:H20" si="198">ROUND(SUM(IF(AND(EP$12&lt;&gt;"",EP$14&lt;&gt;""),IF(EOMONTH($EP$3+INT((DAY(EOMONTH($EP$3,0))-1)/2)+EP$14,0)=EOMONTH($F$3,0),EP$12,0),0),IF(AND(EL$12&lt;&gt;"",EL$14&lt;&gt;""),IF(EOMONTH($EL$3+INT((DAY(EOMONTH($EL$3,0))-1)/2)+EL$14,0)=EOMONTH($F$3,0),EL$12,0),0),IF(AND(EH$12&lt;&gt;"",EH$14&lt;&gt;""),IF(EOMONTH($EH$3+INT((DAY(EOMONTH($EH$3,0))-1)/2)+EH$14,0)=EOMONTH($F$3,0),EH$12,0),0),IF(AND(ED$12&lt;&gt;"",ED$14&lt;&gt;""),IF(EOMONTH($ED$3+INT((DAY(EOMONTH($ED$3,0))-1)/2)+ED$14,0)=EOMONTH($F$3,0),ED$12,0),0),IF(AND(DZ$12&lt;&gt;"",DZ$14&lt;&gt;""),IF(EOMONTH($DZ$3+INT((DAY(EOMONTH($DZ$3,0))-1)/2)+DZ$14,0)=EOMONTH($F$3,0),DZ$12,0),0),IF(AND(DV$12&lt;&gt;"",DV$14&lt;&gt;""),IF(EOMONTH($DV$3+INT((DAY(EOMONTH($DV$3,0))-1)/2)+DV$14,0)=EOMONTH($F$3,0),DV$12,0),0),IF(AND(DR$12&lt;&gt;"",DR$14&lt;&gt;""),IF(EOMONTH($DR$3+INT((DAY(EOMONTH($DR$3,0))-1)/2)+DR$14,0)=EOMONTH($F$3,0),DR$12,0),0),IF(AND(DN$12&lt;&gt;"",DN$14&lt;&gt;""),IF(EOMONTH($DN$3+INT((DAY(EOMONTH($DN$3,0))-1)/2)+DN$14,0)=EOMONTH($F$3,0),DN$12,0),0),IF(AND(DJ$12&lt;&gt;"",DJ$14&lt;&gt;""),IF(EOMONTH($DJ$3+INT((DAY(EOMONTH($DJ$3,0))-1)/2)+DJ$14,0)=EOMONTH($F$3,0),DJ$12,0),0),IF(AND(DF$12&lt;&gt;"",DF$14&lt;&gt;""),IF(EOMONTH($DF$3+INT((DAY(EOMONTH($DF$3,0))-1)/2)+DF$14,0)=EOMONTH($F$3,0),DF$12,0),0),IF(AND(DB$12&lt;&gt;"",DB$14&lt;&gt;""),IF(EOMONTH($DB$3+INT((DAY(EOMONTH($DB$3,0))-1)/2)+DB$14,0)=EOMONTH($F$3,0),DB$12,0),0),IF(AND(CX$12&lt;&gt;"",CX$14&lt;&gt;""),IF(EOMONTH($CX$3+INT((DAY(EOMONTH($CX$3,0))-1)/2)+CX$14,0)=EOMONTH($F$3,0),CX$12,0),0),IF(AND(CT$12&lt;&gt;"",CT$14&lt;&gt;""),IF(EOMONTH($CT$3+INT((DAY(EOMONTH($CT$3,0))-1)/2)+CT$14,0)=EOMONTH($F$3,0),CT$12,0),0),IF(AND(CP$12&lt;&gt;"",CP$14&lt;&gt;""),IF(EOMONTH($CP$3+INT((DAY(EOMONTH($CP$3,0))-1)/2)+CP$14,0)=EOMONTH($F$3,0),CP$12,0),0),IF(AND(CL$12&lt;&gt;"",CL$14&lt;&gt;""),IF(EOMONTH($CL$3+INT((DAY(EOMONTH($CL$3,0))-1)/2)+CL$14,0)=EOMONTH($F$3,0),CL$12,0),0),IF(AND(CH$12&lt;&gt;"",CH$14&lt;&gt;""),IF(EOMONTH($CH$3+INT((DAY(EOMONTH($CH$3,0))-1)/2)+CH$14,0)=EOMONTH($F$3,0),CH$12,0),0),IF(AND(CD$12&lt;&gt;"",CD$14&lt;&gt;""),IF(EOMONTH($CD$3+INT((DAY(EOMONTH($CD$3,0))-1)/2)+CD$14,0)=EOMONTH($F$3,0),CD$12,0),0),IF(AND(BZ$12&lt;&gt;"",BZ$14&lt;&gt;""),IF(EOMONTH($BZ$3+INT((DAY(EOMONTH($BZ$3,0))-1)/2)+BZ$14,0)=EOMONTH($F$3,0),BZ$12,0),0),IF(AND(BV$12&lt;&gt;"",BV$14&lt;&gt;""),IF(EOMONTH($BV$3+INT((DAY(EOMONTH($BV$3,0))-1)/2)+BV$14,0)=EOMONTH($F$3,0),BV$12,0),0),IF(AND(BR$12&lt;&gt;"",BR$14&lt;&gt;""),IF(EOMONTH($BR$3+INT((DAY(EOMONTH($BR$3,0))-1)/2)+BR$14,0)=EOMONTH($F$3,0),BR$12,0),0),IF(AND(BN$12&lt;&gt;"",BN$14&lt;&gt;""),IF(EOMONTH($BN$3+INT((DAY(EOMONTH($BN$3,0))-1)/2)+BN$14,0)=EOMONTH($F$3,0),BN$12,0),0),IF(AND(BJ$12&lt;&gt;"",BJ$14&lt;&gt;""),IF(EOMONTH($BJ$3+INT((DAY(EOMONTH($BJ$3,0))-1)/2)+BJ$14,0)=EOMONTH($F$3,0),BJ$12,0),0),IF(AND(BF$12&lt;&gt;"",BF$14&lt;&gt;""),IF(EOMONTH($BF$3+INT((DAY(EOMONTH($BF$3,0))-1)/2)+BF$14,0)=EOMONTH($F$3,0),BF$12,0),0),IF(AND(BB$12&lt;&gt;"",BB$14&lt;&gt;""),IF(EOMONTH($BB$3+INT((DAY(EOMONTH($BB$3,0))-1)/2)+BB$14,0)=EOMONTH($F$3,0),BB$12,0),0),IF(AND(AX$12&lt;&gt;"",AX$14&lt;&gt;""),IF(EOMONTH($AX$3+INT((DAY(EOMONTH($AX$3,0))-1)/2)+AX$14,0)=EOMONTH($F$3,0),AX$12,0),0),IF(AND(AT$12&lt;&gt;"",AT$14&lt;&gt;""),IF(EOMONTH($AT$3+INT((DAY(EOMONTH($AT$3,0))-1)/2)+AT$14,0)=EOMONTH($F$3,0),AT$12,0),0),IF(AND(AP$12&lt;&gt;"",AP$14&lt;&gt;""),IF(EOMONTH($AP$3+INT((DAY(EOMONTH($AP$3,0))-1)/2)+AP$14,0)=EOMONTH($F$3,0),AP$12,0),0),IF(AND(AL$12&lt;&gt;"",AL$14&lt;&gt;""),IF(EOMONTH($AL$3+INT((DAY(EOMONTH($AL$3,0))-1)/2)+AL$14,0)=EOMONTH($F$3,0),AL$12,0),0),IF(AND(AH$12&lt;&gt;"",AH$14&lt;&gt;""),IF(EOMONTH($AH$3+INT((DAY(EOMONTH($AH$3,0))-1)/2)+AH$14,0)=EOMONTH($F$3,0),AH$12,0),0),IF(AND(AD$12&lt;&gt;"",AD$14&lt;&gt;""),IF(EOMONTH($AD$3+INT((DAY(EOMONTH($AD$3,0))-1)/2)+AD$14,0)=EOMONTH($F$3,0),AD$12,0),0),IF(AND(Z$12&lt;&gt;"",Z$14&lt;&gt;""),IF(EOMONTH($Z$3+INT((DAY(EOMONTH($Z$3,0))-1)/2)+Z$14,0)=EOMONTH($F$3,0),Z$12,0),0),IF(AND(V$12&lt;&gt;"",V$14&lt;&gt;""),IF(EOMONTH($V$3+INT((DAY(EOMONTH($V$3,0))-1)/2)+V$14,0)=EOMONTH($F$3,0),V$12,0),0),IF(AND(R$12&lt;&gt;"",R$14&lt;&gt;""),IF(EOMONTH($R$3+INT((DAY(EOMONTH($R$3,0))-1)/2)+R$14,0)=EOMONTH($F$3,0),R$12,0),0),IF(AND(N$12&lt;&gt;"",N$14&lt;&gt;""),IF(EOMONTH($N$3+INT((DAY(EOMONTH($N$3,0))-1)/2)+N$14,0)=EOMONTH($F$3,0),N$12,0),0),IF(AND(J$12&lt;&gt;"",J$14&lt;&gt;""),IF(EOMONTH($J$3+INT((DAY(EOMONTH($J$3,0))-1)/2)+J$14,0)=EOMONTH($F$3,0),J$12,0),0),IF(AND(F$12&lt;&gt;"",F$14&lt;&gt;""),IF(EOMONTH($F$3+INT((DAY(EOMONTH($F$3,0))-1)/2)+F$14,0)=EOMONTH($F$3,0),F$12,0),0),IF($EP$75="",0,IF(EOMONTH($EP$75+EP$14,0)=EOMONTH($F$3,0),$EP$77,0))),0)</f>
        <v>0</v>
      </c>
      <c r="G20" s="14">
        <f t="shared" si="198"/>
        <v>0</v>
      </c>
      <c r="H20" s="15">
        <f t="shared" si="198"/>
        <v>0</v>
      </c>
      <c r="I20" s="16">
        <f t="shared" si="5"/>
        <v>0</v>
      </c>
      <c r="J20" s="13">
        <f t="shared" ref="J20:L20" si="199">ROUND(SUM(IF(AND(EP$12&lt;&gt;"",EP$14&lt;&gt;""),IF(EOMONTH($EP$3+INT((DAY(EOMONTH($EP$3,0))-1)/2)+EP$14,0)=EOMONTH($J$3,0),EP$12,0),0),IF(AND(EL$12&lt;&gt;"",EL$14&lt;&gt;""),IF(EOMONTH($EL$3+INT((DAY(EOMONTH($EL$3,0))-1)/2)+EL$14,0)=EOMONTH($J$3,0),EL$12,0),0),IF(AND(EH$12&lt;&gt;"",EH$14&lt;&gt;""),IF(EOMONTH($EH$3+INT((DAY(EOMONTH($EH$3,0))-1)/2)+EH$14,0)=EOMONTH($J$3,0),EH$12,0),0),IF(AND(ED$12&lt;&gt;"",ED$14&lt;&gt;""),IF(EOMONTH($ED$3+INT((DAY(EOMONTH($ED$3,0))-1)/2)+ED$14,0)=EOMONTH($J$3,0),ED$12,0),0),IF(AND(DZ$12&lt;&gt;"",DZ$14&lt;&gt;""),IF(EOMONTH($DZ$3+INT((DAY(EOMONTH($DZ$3,0))-1)/2)+DZ$14,0)=EOMONTH($J$3,0),DZ$12,0),0),IF(AND(DV$12&lt;&gt;"",DV$14&lt;&gt;""),IF(EOMONTH($DV$3+INT((DAY(EOMONTH($DV$3,0))-1)/2)+DV$14,0)=EOMONTH($J$3,0),DV$12,0),0),IF(AND(DR$12&lt;&gt;"",DR$14&lt;&gt;""),IF(EOMONTH($DR$3+INT((DAY(EOMONTH($DR$3,0))-1)/2)+DR$14,0)=EOMONTH($J$3,0),DR$12,0),0),IF(AND(DN$12&lt;&gt;"",DN$14&lt;&gt;""),IF(EOMONTH($DN$3+INT((DAY(EOMONTH($DN$3,0))-1)/2)+DN$14,0)=EOMONTH($J$3,0),DN$12,0),0),IF(AND(DJ$12&lt;&gt;"",DJ$14&lt;&gt;""),IF(EOMONTH($DJ$3+INT((DAY(EOMONTH($DJ$3,0))-1)/2)+DJ$14,0)=EOMONTH($J$3,0),DJ$12,0),0),IF(AND(DF$12&lt;&gt;"",DF$14&lt;&gt;""),IF(EOMONTH($DF$3+INT((DAY(EOMONTH($DF$3,0))-1)/2)+DF$14,0)=EOMONTH($J$3,0),DF$12,0),0),IF(AND(DB$12&lt;&gt;"",DB$14&lt;&gt;""),IF(EOMONTH($DB$3+INT((DAY(EOMONTH($DB$3,0))-1)/2)+DB$14,0)=EOMONTH($J$3,0),DB$12,0),0),IF(AND(CX$12&lt;&gt;"",CX$14&lt;&gt;""),IF(EOMONTH($CX$3+INT((DAY(EOMONTH($CX$3,0))-1)/2)+CX$14,0)=EOMONTH($J$3,0),CX$12,0),0),IF(AND(CT$12&lt;&gt;"",CT$14&lt;&gt;""),IF(EOMONTH($CT$3+INT((DAY(EOMONTH($CT$3,0))-1)/2)+CT$14,0)=EOMONTH($J$3,0),CT$12,0),0),IF(AND(CP$12&lt;&gt;"",CP$14&lt;&gt;""),IF(EOMONTH($CP$3+INT((DAY(EOMONTH($CP$3,0))-1)/2)+CP$14,0)=EOMONTH($J$3,0),CP$12,0),0),IF(AND(CL$12&lt;&gt;"",CL$14&lt;&gt;""),IF(EOMONTH($CL$3+INT((DAY(EOMONTH($CL$3,0))-1)/2)+CL$14,0)=EOMONTH($J$3,0),CL$12,0),0),IF(AND(CH$12&lt;&gt;"",CH$14&lt;&gt;""),IF(EOMONTH($CH$3+INT((DAY(EOMONTH($CH$3,0))-1)/2)+CH$14,0)=EOMONTH($J$3,0),CH$12,0),0),IF(AND(CD$12&lt;&gt;"",CD$14&lt;&gt;""),IF(EOMONTH($CD$3+INT((DAY(EOMONTH($CD$3,0))-1)/2)+CD$14,0)=EOMONTH($J$3,0),CD$12,0),0),IF(AND(BZ$12&lt;&gt;"",BZ$14&lt;&gt;""),IF(EOMONTH($BZ$3+INT((DAY(EOMONTH($BZ$3,0))-1)/2)+BZ$14,0)=EOMONTH($J$3,0),BZ$12,0),0),IF(AND(BV$12&lt;&gt;"",BV$14&lt;&gt;""),IF(EOMONTH($BV$3+INT((DAY(EOMONTH($BV$3,0))-1)/2)+BV$14,0)=EOMONTH($J$3,0),BV$12,0),0),IF(AND(BR$12&lt;&gt;"",BR$14&lt;&gt;""),IF(EOMONTH($BR$3+INT((DAY(EOMONTH($BR$3,0))-1)/2)+BR$14,0)=EOMONTH($J$3,0),BR$12,0),0),IF(AND(BN$12&lt;&gt;"",BN$14&lt;&gt;""),IF(EOMONTH($BN$3+INT((DAY(EOMONTH($BN$3,0))-1)/2)+BN$14,0)=EOMONTH($J$3,0),BN$12,0),0),IF(AND(BJ$12&lt;&gt;"",BJ$14&lt;&gt;""),IF(EOMONTH($BJ$3+INT((DAY(EOMONTH($BJ$3,0))-1)/2)+BJ$14,0)=EOMONTH($J$3,0),BJ$12,0),0),IF(AND(BF$12&lt;&gt;"",BF$14&lt;&gt;""),IF(EOMONTH($BF$3+INT((DAY(EOMONTH($BF$3,0))-1)/2)+BF$14,0)=EOMONTH($J$3,0),BF$12,0),0),IF(AND(BB$12&lt;&gt;"",BB$14&lt;&gt;""),IF(EOMONTH($BB$3+INT((DAY(EOMONTH($BB$3,0))-1)/2)+BB$14,0)=EOMONTH($J$3,0),BB$12,0),0),IF(AND(AX$12&lt;&gt;"",AX$14&lt;&gt;""),IF(EOMONTH($AX$3+INT((DAY(EOMONTH($AX$3,0))-1)/2)+AX$14,0)=EOMONTH($J$3,0),AX$12,0),0),IF(AND(AT$12&lt;&gt;"",AT$14&lt;&gt;""),IF(EOMONTH($AT$3+INT((DAY(EOMONTH($AT$3,0))-1)/2)+AT$14,0)=EOMONTH($J$3,0),AT$12,0),0),IF(AND(AP$12&lt;&gt;"",AP$14&lt;&gt;""),IF(EOMONTH($AP$3+INT((DAY(EOMONTH($AP$3,0))-1)/2)+AP$14,0)=EOMONTH($J$3,0),AP$12,0),0),IF(AND(AL$12&lt;&gt;"",AL$14&lt;&gt;""),IF(EOMONTH($AL$3+INT((DAY(EOMONTH($AL$3,0))-1)/2)+AL$14,0)=EOMONTH($J$3,0),AL$12,0),0),IF(AND(AH$12&lt;&gt;"",AH$14&lt;&gt;""),IF(EOMONTH($AH$3+INT((DAY(EOMONTH($AH$3,0))-1)/2)+AH$14,0)=EOMONTH($J$3,0),AH$12,0),0),IF(AND(AD$12&lt;&gt;"",AD$14&lt;&gt;""),IF(EOMONTH($AD$3+INT((DAY(EOMONTH($AD$3,0))-1)/2)+AD$14,0)=EOMONTH($J$3,0),AD$12,0),0),IF(AND(Z$12&lt;&gt;"",Z$14&lt;&gt;""),IF(EOMONTH($Z$3+INT((DAY(EOMONTH($Z$3,0))-1)/2)+Z$14,0)=EOMONTH($J$3,0),Z$12,0),0),IF(AND(V$12&lt;&gt;"",V$14&lt;&gt;""),IF(EOMONTH($V$3+INT((DAY(EOMONTH($V$3,0))-1)/2)+V$14,0)=EOMONTH($J$3,0),V$12,0),0),IF(AND(R$12&lt;&gt;"",R$14&lt;&gt;""),IF(EOMONTH($R$3+INT((DAY(EOMONTH($R$3,0))-1)/2)+R$14,0)=EOMONTH($J$3,0),R$12,0),0),IF(AND(N$12&lt;&gt;"",N$14&lt;&gt;""),IF(EOMONTH($N$3+INT((DAY(EOMONTH($N$3,0))-1)/2)+N$14,0)=EOMONTH($J$3,0),N$12,0),0),IF(AND(J$12&lt;&gt;"",J$14&lt;&gt;""),IF(EOMONTH($J$3+INT((DAY(EOMONTH($J$3,0))-1)/2)+J$14,0)=EOMONTH($J$3,0),J$12,0),0),IF(AND(F$12&lt;&gt;"",F$14&lt;&gt;""),IF(EOMONTH($F$3+INT((DAY(EOMONTH($F$3,0))-1)/2)+F$14,0)=EOMONTH($J$3,0),F$12,0),0),IF($EP$75="",0,IF(EOMONTH($EP$75+EP$14,0)=EOMONTH($J$3,0),$EP$77,0))),0)</f>
        <v>0</v>
      </c>
      <c r="K20" s="14">
        <f t="shared" si="199"/>
        <v>0</v>
      </c>
      <c r="L20" s="15">
        <f t="shared" si="199"/>
        <v>0</v>
      </c>
      <c r="M20" s="16">
        <f t="shared" si="7"/>
        <v>0</v>
      </c>
      <c r="N20" s="13">
        <f t="shared" ref="N20:P20" si="200">ROUND(SUM(IF(AND(EP$12&lt;&gt;"",EP$14&lt;&gt;""),IF(EOMONTH($EP$3+INT((DAY(EOMONTH($EP$3,0))-1)/2)+EP$14,0)=EOMONTH($N$3,0),EP$12,0),0),IF(AND(EL$12&lt;&gt;"",EL$14&lt;&gt;""),IF(EOMONTH($EL$3+INT((DAY(EOMONTH($EL$3,0))-1)/2)+EL$14,0)=EOMONTH($N$3,0),EL$12,0),0),IF(AND(EH$12&lt;&gt;"",EH$14&lt;&gt;""),IF(EOMONTH($EH$3+INT((DAY(EOMONTH($EH$3,0))-1)/2)+EH$14,0)=EOMONTH($N$3,0),EH$12,0),0),IF(AND(ED$12&lt;&gt;"",ED$14&lt;&gt;""),IF(EOMONTH($ED$3+INT((DAY(EOMONTH($ED$3,0))-1)/2)+ED$14,0)=EOMONTH($N$3,0),ED$12,0),0),IF(AND(DZ$12&lt;&gt;"",DZ$14&lt;&gt;""),IF(EOMONTH($DZ$3+INT((DAY(EOMONTH($DZ$3,0))-1)/2)+DZ$14,0)=EOMONTH($N$3,0),DZ$12,0),0),IF(AND(DV$12&lt;&gt;"",DV$14&lt;&gt;""),IF(EOMONTH($DV$3+INT((DAY(EOMONTH($DV$3,0))-1)/2)+DV$14,0)=EOMONTH($N$3,0),DV$12,0),0),IF(AND(DR$12&lt;&gt;"",DR$14&lt;&gt;""),IF(EOMONTH($DR$3+INT((DAY(EOMONTH($DR$3,0))-1)/2)+DR$14,0)=EOMONTH($N$3,0),DR$12,0),0),IF(AND(DN$12&lt;&gt;"",DN$14&lt;&gt;""),IF(EOMONTH($DN$3+INT((DAY(EOMONTH($DN$3,0))-1)/2)+DN$14,0)=EOMONTH($N$3,0),DN$12,0),0),IF(AND(DJ$12&lt;&gt;"",DJ$14&lt;&gt;""),IF(EOMONTH($DJ$3+INT((DAY(EOMONTH($DJ$3,0))-1)/2)+DJ$14,0)=EOMONTH($N$3,0),DJ$12,0),0),IF(AND(DF$12&lt;&gt;"",DF$14&lt;&gt;""),IF(EOMONTH($DF$3+INT((DAY(EOMONTH($DF$3,0))-1)/2)+DF$14,0)=EOMONTH($N$3,0),DF$12,0),0),IF(AND(DB$12&lt;&gt;"",DB$14&lt;&gt;""),IF(EOMONTH($DB$3+INT((DAY(EOMONTH($DB$3,0))-1)/2)+DB$14,0)=EOMONTH($N$3,0),DB$12,0),0),IF(AND(CX$12&lt;&gt;"",CX$14&lt;&gt;""),IF(EOMONTH($CX$3+INT((DAY(EOMONTH($CX$3,0))-1)/2)+CX$14,0)=EOMONTH($N$3,0),CX$12,0),0),IF(AND(CT$12&lt;&gt;"",CT$14&lt;&gt;""),IF(EOMONTH($CT$3+INT((DAY(EOMONTH($CT$3,0))-1)/2)+CT$14,0)=EOMONTH($N$3,0),CT$12,0),0),IF(AND(CP$12&lt;&gt;"",CP$14&lt;&gt;""),IF(EOMONTH($CP$3+INT((DAY(EOMONTH($CP$3,0))-1)/2)+CP$14,0)=EOMONTH($N$3,0),CP$12,0),0),IF(AND(CL$12&lt;&gt;"",CL$14&lt;&gt;""),IF(EOMONTH($CL$3+INT((DAY(EOMONTH($CL$3,0))-1)/2)+CL$14,0)=EOMONTH($N$3,0),CL$12,0),0),IF(AND(CH$12&lt;&gt;"",CH$14&lt;&gt;""),IF(EOMONTH($CH$3+INT((DAY(EOMONTH($CH$3,0))-1)/2)+CH$14,0)=EOMONTH($N$3,0),CH$12,0),0),IF(AND(CD$12&lt;&gt;"",CD$14&lt;&gt;""),IF(EOMONTH($CD$3+INT((DAY(EOMONTH($CD$3,0))-1)/2)+CD$14,0)=EOMONTH($N$3,0),CD$12,0),0),IF(AND(BZ$12&lt;&gt;"",BZ$14&lt;&gt;""),IF(EOMONTH($BZ$3+INT((DAY(EOMONTH($BZ$3,0))-1)/2)+BZ$14,0)=EOMONTH($N$3,0),BZ$12,0),0),IF(AND(BV$12&lt;&gt;"",BV$14&lt;&gt;""),IF(EOMONTH($BV$3+INT((DAY(EOMONTH($BV$3,0))-1)/2)+BV$14,0)=EOMONTH($N$3,0),BV$12,0),0),IF(AND(BR$12&lt;&gt;"",BR$14&lt;&gt;""),IF(EOMONTH($BR$3+INT((DAY(EOMONTH($BR$3,0))-1)/2)+BR$14,0)=EOMONTH($N$3,0),BR$12,0),0),IF(AND(BN$12&lt;&gt;"",BN$14&lt;&gt;""),IF(EOMONTH($BN$3+INT((DAY(EOMONTH($BN$3,0))-1)/2)+BN$14,0)=EOMONTH($N$3,0),BN$12,0),0),IF(AND(BJ$12&lt;&gt;"",BJ$14&lt;&gt;""),IF(EOMONTH($BJ$3+INT((DAY(EOMONTH($BJ$3,0))-1)/2)+BJ$14,0)=EOMONTH($N$3,0),BJ$12,0),0),IF(AND(BF$12&lt;&gt;"",BF$14&lt;&gt;""),IF(EOMONTH($BF$3+INT((DAY(EOMONTH($BF$3,0))-1)/2)+BF$14,0)=EOMONTH($N$3,0),BF$12,0),0),IF(AND(BB$12&lt;&gt;"",BB$14&lt;&gt;""),IF(EOMONTH($BB$3+INT((DAY(EOMONTH($BB$3,0))-1)/2)+BB$14,0)=EOMONTH($N$3,0),BB$12,0),0),IF(AND(AX$12&lt;&gt;"",AX$14&lt;&gt;""),IF(EOMONTH($AX$3+INT((DAY(EOMONTH($AX$3,0))-1)/2)+AX$14,0)=EOMONTH($N$3,0),AX$12,0),0),IF(AND(AT$12&lt;&gt;"",AT$14&lt;&gt;""),IF(EOMONTH($AT$3+INT((DAY(EOMONTH($AT$3,0))-1)/2)+AT$14,0)=EOMONTH($N$3,0),AT$12,0),0),IF(AND(AP$12&lt;&gt;"",AP$14&lt;&gt;""),IF(EOMONTH($AP$3+INT((DAY(EOMONTH($AP$3,0))-1)/2)+AP$14,0)=EOMONTH($N$3,0),AP$12,0),0),IF(AND(AL$12&lt;&gt;"",AL$14&lt;&gt;""),IF(EOMONTH($AL$3+INT((DAY(EOMONTH($AL$3,0))-1)/2)+AL$14,0)=EOMONTH($N$3,0),AL$12,0),0),IF(AND(AH$12&lt;&gt;"",AH$14&lt;&gt;""),IF(EOMONTH($AH$3+INT((DAY(EOMONTH($AH$3,0))-1)/2)+AH$14,0)=EOMONTH($N$3,0),AH$12,0),0),IF(AND(AD$12&lt;&gt;"",AD$14&lt;&gt;""),IF(EOMONTH($AD$3+INT((DAY(EOMONTH($AD$3,0))-1)/2)+AD$14,0)=EOMONTH($N$3,0),AD$12,0),0),IF(AND(Z$12&lt;&gt;"",Z$14&lt;&gt;""),IF(EOMONTH($Z$3+INT((DAY(EOMONTH($Z$3,0))-1)/2)+Z$14,0)=EOMONTH($N$3,0),Z$12,0),0),IF(AND(V$12&lt;&gt;"",V$14&lt;&gt;""),IF(EOMONTH($V$3+INT((DAY(EOMONTH($V$3,0))-1)/2)+V$14,0)=EOMONTH($N$3,0),V$12,0),0),IF(AND(R$12&lt;&gt;"",R$14&lt;&gt;""),IF(EOMONTH($R$3+INT((DAY(EOMONTH($R$3,0))-1)/2)+R$14,0)=EOMONTH($N$3,0),R$12,0),0),IF(AND(N$12&lt;&gt;"",N$14&lt;&gt;""),IF(EOMONTH($N$3+INT((DAY(EOMONTH($N$3,0))-1)/2)+N$14,0)=EOMONTH($N$3,0),N$12,0),0),IF(AND(J$12&lt;&gt;"",J$14&lt;&gt;""),IF(EOMONTH($J$3+INT((DAY(EOMONTH($J$3,0))-1)/2)+J$14,0)=EOMONTH($N$3,0),J$12,0),0),IF(AND(F$12&lt;&gt;"",F$14&lt;&gt;""),IF(EOMONTH($F$3+INT((DAY(EOMONTH($F$3,0))-1)/2)+F$14,0)=EOMONTH($N$3,0),F$12,0),0),IF($EP$75="",0,IF(EOMONTH($EP$75+EP$14,0)=EOMONTH($N$3,0),$EP$77,0))),0)</f>
        <v>0</v>
      </c>
      <c r="O20" s="14">
        <f t="shared" si="200"/>
        <v>0</v>
      </c>
      <c r="P20" s="15">
        <f t="shared" si="200"/>
        <v>0</v>
      </c>
      <c r="Q20" s="16">
        <f t="shared" si="9"/>
        <v>0</v>
      </c>
      <c r="R20" s="13">
        <f t="shared" ref="R20:T20" si="201">ROUND(SUM(IF(AND(EP$12&lt;&gt;"",EP$14&lt;&gt;""),IF(EOMONTH($EP$3+INT((DAY(EOMONTH($EP$3,0))-1)/2)+EP$14,0)=EOMONTH($R$3,0),EP$12,0),0),IF(AND(EL$12&lt;&gt;"",EL$14&lt;&gt;""),IF(EOMONTH($EL$3+INT((DAY(EOMONTH($EL$3,0))-1)/2)+EL$14,0)=EOMONTH($R$3,0),EL$12,0),0),IF(AND(EH$12&lt;&gt;"",EH$14&lt;&gt;""),IF(EOMONTH($EH$3+INT((DAY(EOMONTH($EH$3,0))-1)/2)+EH$14,0)=EOMONTH($R$3,0),EH$12,0),0),IF(AND(ED$12&lt;&gt;"",ED$14&lt;&gt;""),IF(EOMONTH($ED$3+INT((DAY(EOMONTH($ED$3,0))-1)/2)+ED$14,0)=EOMONTH($R$3,0),ED$12,0),0),IF(AND(DZ$12&lt;&gt;"",DZ$14&lt;&gt;""),IF(EOMONTH($DZ$3+INT((DAY(EOMONTH($DZ$3,0))-1)/2)+DZ$14,0)=EOMONTH($R$3,0),DZ$12,0),0),IF(AND(DV$12&lt;&gt;"",DV$14&lt;&gt;""),IF(EOMONTH($DV$3+INT((DAY(EOMONTH($DV$3,0))-1)/2)+DV$14,0)=EOMONTH($R$3,0),DV$12,0),0),IF(AND(DR$12&lt;&gt;"",DR$14&lt;&gt;""),IF(EOMONTH($DR$3+INT((DAY(EOMONTH($DR$3,0))-1)/2)+DR$14,0)=EOMONTH($R$3,0),DR$12,0),0),IF(AND(DN$12&lt;&gt;"",DN$14&lt;&gt;""),IF(EOMONTH($DN$3+INT((DAY(EOMONTH($DN$3,0))-1)/2)+DN$14,0)=EOMONTH($R$3,0),DN$12,0),0),IF(AND(DJ$12&lt;&gt;"",DJ$14&lt;&gt;""),IF(EOMONTH($DJ$3+INT((DAY(EOMONTH($DJ$3,0))-1)/2)+DJ$14,0)=EOMONTH($R$3,0),DJ$12,0),0),IF(AND(DF$12&lt;&gt;"",DF$14&lt;&gt;""),IF(EOMONTH($DF$3+INT((DAY(EOMONTH($DF$3,0))-1)/2)+DF$14,0)=EOMONTH($R$3,0),DF$12,0),0),IF(AND(DB$12&lt;&gt;"",DB$14&lt;&gt;""),IF(EOMONTH($DB$3+INT((DAY(EOMONTH($DB$3,0))-1)/2)+DB$14,0)=EOMONTH($R$3,0),DB$12,0),0),IF(AND(CX$12&lt;&gt;"",CX$14&lt;&gt;""),IF(EOMONTH($CX$3+INT((DAY(EOMONTH($CX$3,0))-1)/2)+CX$14,0)=EOMONTH($R$3,0),CX$12,0),0),IF(AND(CT$12&lt;&gt;"",CT$14&lt;&gt;""),IF(EOMONTH($CT$3+INT((DAY(EOMONTH($CT$3,0))-1)/2)+CT$14,0)=EOMONTH($R$3,0),CT$12,0),0),IF(AND(CP$12&lt;&gt;"",CP$14&lt;&gt;""),IF(EOMONTH($CP$3+INT((DAY(EOMONTH($CP$3,0))-1)/2)+CP$14,0)=EOMONTH($R$3,0),CP$12,0),0),IF(AND(CL$12&lt;&gt;"",CL$14&lt;&gt;""),IF(EOMONTH($CL$3+INT((DAY(EOMONTH($CL$3,0))-1)/2)+CL$14,0)=EOMONTH($R$3,0),CL$12,0),0),IF(AND(CH$12&lt;&gt;"",CH$14&lt;&gt;""),IF(EOMONTH($CH$3+INT((DAY(EOMONTH($CH$3,0))-1)/2)+CH$14,0)=EOMONTH($R$3,0),CH$12,0),0),IF(AND(CD$12&lt;&gt;"",CD$14&lt;&gt;""),IF(EOMONTH($CD$3+INT((DAY(EOMONTH($CD$3,0))-1)/2)+CD$14,0)=EOMONTH($R$3,0),CD$12,0),0),IF(AND(BZ$12&lt;&gt;"",BZ$14&lt;&gt;""),IF(EOMONTH($BZ$3+INT((DAY(EOMONTH($BZ$3,0))-1)/2)+BZ$14,0)=EOMONTH($R$3,0),BZ$12,0),0),IF(AND(BV$12&lt;&gt;"",BV$14&lt;&gt;""),IF(EOMONTH($BV$3+INT((DAY(EOMONTH($BV$3,0))-1)/2)+BV$14,0)=EOMONTH($R$3,0),BV$12,0),0),IF(AND(BR$12&lt;&gt;"",BR$14&lt;&gt;""),IF(EOMONTH($BR$3+INT((DAY(EOMONTH($BR$3,0))-1)/2)+BR$14,0)=EOMONTH($R$3,0),BR$12,0),0),IF(AND(BN$12&lt;&gt;"",BN$14&lt;&gt;""),IF(EOMONTH($BN$3+INT((DAY(EOMONTH($BN$3,0))-1)/2)+BN$14,0)=EOMONTH($R$3,0),BN$12,0),0),IF(AND(BJ$12&lt;&gt;"",BJ$14&lt;&gt;""),IF(EOMONTH($BJ$3+INT((DAY(EOMONTH($BJ$3,0))-1)/2)+BJ$14,0)=EOMONTH($R$3,0),BJ$12,0),0),IF(AND(BF$12&lt;&gt;"",BF$14&lt;&gt;""),IF(EOMONTH($BF$3+INT((DAY(EOMONTH($BF$3,0))-1)/2)+BF$14,0)=EOMONTH($R$3,0),BF$12,0),0),IF(AND(BB$12&lt;&gt;"",BB$14&lt;&gt;""),IF(EOMONTH($BB$3+INT((DAY(EOMONTH($BB$3,0))-1)/2)+BB$14,0)=EOMONTH($R$3,0),BB$12,0),0),IF(AND(AX$12&lt;&gt;"",AX$14&lt;&gt;""),IF(EOMONTH($AX$3+INT((DAY(EOMONTH($AX$3,0))-1)/2)+AX$14,0)=EOMONTH($R$3,0),AX$12,0),0),IF(AND(AT$12&lt;&gt;"",AT$14&lt;&gt;""),IF(EOMONTH($AT$3+INT((DAY(EOMONTH($AT$3,0))-1)/2)+AT$14,0)=EOMONTH($R$3,0),AT$12,0),0),IF(AND(AP$12&lt;&gt;"",AP$14&lt;&gt;""),IF(EOMONTH($AP$3+INT((DAY(EOMONTH($AP$3,0))-1)/2)+AP$14,0)=EOMONTH($R$3,0),AP$12,0),0),IF(AND(AL$12&lt;&gt;"",AL$14&lt;&gt;""),IF(EOMONTH($AL$3+INT((DAY(EOMONTH($AL$3,0))-1)/2)+AL$14,0)=EOMONTH($R$3,0),AL$12,0),0),IF(AND(AH$12&lt;&gt;"",AH$14&lt;&gt;""),IF(EOMONTH($AH$3+INT((DAY(EOMONTH($AH$3,0))-1)/2)+AH$14,0)=EOMONTH($R$3,0),AH$12,0),0),IF(AND(AD$12&lt;&gt;"",AD$14&lt;&gt;""),IF(EOMONTH($AD$3+INT((DAY(EOMONTH($AD$3,0))-1)/2)+AD$14,0)=EOMONTH($R$3,0),AD$12,0),0),IF(AND(Z$12&lt;&gt;"",Z$14&lt;&gt;""),IF(EOMONTH($Z$3+INT((DAY(EOMONTH($Z$3,0))-1)/2)+Z$14,0)=EOMONTH($R$3,0),Z$12,0),0),IF(AND(V$12&lt;&gt;"",V$14&lt;&gt;""),IF(EOMONTH($V$3+INT((DAY(EOMONTH($V$3,0))-1)/2)+V$14,0)=EOMONTH($R$3,0),V$12,0),0),IF(AND(R$12&lt;&gt;"",R$14&lt;&gt;""),IF(EOMONTH($R$3+INT((DAY(EOMONTH($R$3,0))-1)/2)+R$14,0)=EOMONTH($R$3,0),R$12,0),0),IF(AND(N$12&lt;&gt;"",N$14&lt;&gt;""),IF(EOMONTH($N$3+INT((DAY(EOMONTH($N$3,0))-1)/2)+N$14,0)=EOMONTH($R$3,0),N$12,0),0),IF(AND(J$12&lt;&gt;"",J$14&lt;&gt;""),IF(EOMONTH($J$3+INT((DAY(EOMONTH($J$3,0))-1)/2)+J$14,0)=EOMONTH($R$3,0),J$12,0),0),IF(AND(F$12&lt;&gt;"",F$14&lt;&gt;""),IF(EOMONTH($F$3+INT((DAY(EOMONTH($F$3,0))-1)/2)+F$14,0)=EOMONTH($R$3,0),F$12,0),0),IF($EP$75="",0,IF(EOMONTH($EP$75+EP$14,0)=EOMONTH($R$3,0),$EP$77,0))),0)</f>
        <v>0</v>
      </c>
      <c r="S20" s="14">
        <f t="shared" si="201"/>
        <v>0</v>
      </c>
      <c r="T20" s="15">
        <f t="shared" si="201"/>
        <v>0</v>
      </c>
      <c r="U20" s="16">
        <f t="shared" si="11"/>
        <v>0</v>
      </c>
      <c r="V20" s="13">
        <f t="shared" ref="V20:X20" si="202">ROUND(SUM(IF(AND(EP$12&lt;&gt;"",EP$14&lt;&gt;""),IF(EOMONTH($EP$3+INT((DAY(EOMONTH($EP$3,0))-1)/2)+EP$14,0)=EOMONTH($V$3,0),EP$12,0),0),IF(AND(EL$12&lt;&gt;"",EL$14&lt;&gt;""),IF(EOMONTH($EL$3+INT((DAY(EOMONTH($EL$3,0))-1)/2)+EL$14,0)=EOMONTH($V$3,0),EL$12,0),0),IF(AND(EH$12&lt;&gt;"",EH$14&lt;&gt;""),IF(EOMONTH($EH$3+INT((DAY(EOMONTH($EH$3,0))-1)/2)+EH$14,0)=EOMONTH($V$3,0),EH$12,0),0),IF(AND(ED$12&lt;&gt;"",ED$14&lt;&gt;""),IF(EOMONTH($ED$3+INT((DAY(EOMONTH($ED$3,0))-1)/2)+ED$14,0)=EOMONTH($V$3,0),ED$12,0),0),IF(AND(DZ$12&lt;&gt;"",DZ$14&lt;&gt;""),IF(EOMONTH($DZ$3+INT((DAY(EOMONTH($DZ$3,0))-1)/2)+DZ$14,0)=EOMONTH($V$3,0),DZ$12,0),0),IF(AND(DV$12&lt;&gt;"",DV$14&lt;&gt;""),IF(EOMONTH($DV$3+INT((DAY(EOMONTH($DV$3,0))-1)/2)+DV$14,0)=EOMONTH($V$3,0),DV$12,0),0),IF(AND(DR$12&lt;&gt;"",DR$14&lt;&gt;""),IF(EOMONTH($DR$3+INT((DAY(EOMONTH($DR$3,0))-1)/2)+DR$14,0)=EOMONTH($V$3,0),DR$12,0),0),IF(AND(DN$12&lt;&gt;"",DN$14&lt;&gt;""),IF(EOMONTH($DN$3+INT((DAY(EOMONTH($DN$3,0))-1)/2)+DN$14,0)=EOMONTH($V$3,0),DN$12,0),0),IF(AND(DJ$12&lt;&gt;"",DJ$14&lt;&gt;""),IF(EOMONTH($DJ$3+INT((DAY(EOMONTH($DJ$3,0))-1)/2)+DJ$14,0)=EOMONTH($V$3,0),DJ$12,0),0),IF(AND(DF$12&lt;&gt;"",DF$14&lt;&gt;""),IF(EOMONTH($DF$3+INT((DAY(EOMONTH($DF$3,0))-1)/2)+DF$14,0)=EOMONTH($V$3,0),DF$12,0),0),IF(AND(DB$12&lt;&gt;"",DB$14&lt;&gt;""),IF(EOMONTH($DB$3+INT((DAY(EOMONTH($DB$3,0))-1)/2)+DB$14,0)=EOMONTH($V$3,0),DB$12,0),0),IF(AND(CX$12&lt;&gt;"",CX$14&lt;&gt;""),IF(EOMONTH($CX$3+INT((DAY(EOMONTH($CX$3,0))-1)/2)+CX$14,0)=EOMONTH($V$3,0),CX$12,0),0),IF(AND(CT$12&lt;&gt;"",CT$14&lt;&gt;""),IF(EOMONTH($CT$3+INT((DAY(EOMONTH($CT$3,0))-1)/2)+CT$14,0)=EOMONTH($V$3,0),CT$12,0),0),IF(AND(CP$12&lt;&gt;"",CP$14&lt;&gt;""),IF(EOMONTH($CP$3+INT((DAY(EOMONTH($CP$3,0))-1)/2)+CP$14,0)=EOMONTH($V$3,0),CP$12,0),0),IF(AND(CL$12&lt;&gt;"",CL$14&lt;&gt;""),IF(EOMONTH($CL$3+INT((DAY(EOMONTH($CL$3,0))-1)/2)+CL$14,0)=EOMONTH($V$3,0),CL$12,0),0),IF(AND(CH$12&lt;&gt;"",CH$14&lt;&gt;""),IF(EOMONTH($CH$3+INT((DAY(EOMONTH($CH$3,0))-1)/2)+CH$14,0)=EOMONTH($V$3,0),CH$12,0),0),IF(AND(CD$12&lt;&gt;"",CD$14&lt;&gt;""),IF(EOMONTH($CD$3+INT((DAY(EOMONTH($CD$3,0))-1)/2)+CD$14,0)=EOMONTH($V$3,0),CD$12,0),0),IF(AND(BZ$12&lt;&gt;"",BZ$14&lt;&gt;""),IF(EOMONTH($BZ$3+INT((DAY(EOMONTH($BZ$3,0))-1)/2)+BZ$14,0)=EOMONTH($V$3,0),BZ$12,0),0),IF(AND(BV$12&lt;&gt;"",BV$14&lt;&gt;""),IF(EOMONTH($BV$3+INT((DAY(EOMONTH($BV$3,0))-1)/2)+BV$14,0)=EOMONTH($V$3,0),BV$12,0),0),IF(AND(BR$12&lt;&gt;"",BR$14&lt;&gt;""),IF(EOMONTH($BR$3+INT((DAY(EOMONTH($BR$3,0))-1)/2)+BR$14,0)=EOMONTH($V$3,0),BR$12,0),0),IF(AND(BN$12&lt;&gt;"",BN$14&lt;&gt;""),IF(EOMONTH($BN$3+INT((DAY(EOMONTH($BN$3,0))-1)/2)+BN$14,0)=EOMONTH($V$3,0),BN$12,0),0),IF(AND(BJ$12&lt;&gt;"",BJ$14&lt;&gt;""),IF(EOMONTH($BJ$3+INT((DAY(EOMONTH($BJ$3,0))-1)/2)+BJ$14,0)=EOMONTH($V$3,0),BJ$12,0),0),IF(AND(BF$12&lt;&gt;"",BF$14&lt;&gt;""),IF(EOMONTH($BF$3+INT((DAY(EOMONTH($BF$3,0))-1)/2)+BF$14,0)=EOMONTH($V$3,0),BF$12,0),0),IF(AND(BB$12&lt;&gt;"",BB$14&lt;&gt;""),IF(EOMONTH($BB$3+INT((DAY(EOMONTH($BB$3,0))-1)/2)+BB$14,0)=EOMONTH($V$3,0),BB$12,0),0),IF(AND(AX$12&lt;&gt;"",AX$14&lt;&gt;""),IF(EOMONTH($AX$3+INT((DAY(EOMONTH($AX$3,0))-1)/2)+AX$14,0)=EOMONTH($V$3,0),AX$12,0),0),IF(AND(AT$12&lt;&gt;"",AT$14&lt;&gt;""),IF(EOMONTH($AT$3+INT((DAY(EOMONTH($AT$3,0))-1)/2)+AT$14,0)=EOMONTH($V$3,0),AT$12,0),0),IF(AND(AP$12&lt;&gt;"",AP$14&lt;&gt;""),IF(EOMONTH($AP$3+INT((DAY(EOMONTH($AP$3,0))-1)/2)+AP$14,0)=EOMONTH($V$3,0),AP$12,0),0),IF(AND(AL$12&lt;&gt;"",AL$14&lt;&gt;""),IF(EOMONTH($AL$3+INT((DAY(EOMONTH($AL$3,0))-1)/2)+AL$14,0)=EOMONTH($V$3,0),AL$12,0),0),IF(AND(AH$12&lt;&gt;"",AH$14&lt;&gt;""),IF(EOMONTH($AH$3+INT((DAY(EOMONTH($AH$3,0))-1)/2)+AH$14,0)=EOMONTH($V$3,0),AH$12,0),0),IF(AND(AD$12&lt;&gt;"",AD$14&lt;&gt;""),IF(EOMONTH($AD$3+INT((DAY(EOMONTH($AD$3,0))-1)/2)+AD$14,0)=EOMONTH($V$3,0),AD$12,0),0),IF(AND(Z$12&lt;&gt;"",Z$14&lt;&gt;""),IF(EOMONTH($Z$3+INT((DAY(EOMONTH($Z$3,0))-1)/2)+Z$14,0)=EOMONTH($V$3,0),Z$12,0),0),IF(AND(V$12&lt;&gt;"",V$14&lt;&gt;""),IF(EOMONTH($V$3+INT((DAY(EOMONTH($V$3,0))-1)/2)+V$14,0)=EOMONTH($V$3,0),V$12,0),0),IF(AND(R$12&lt;&gt;"",R$14&lt;&gt;""),IF(EOMONTH($R$3+INT((DAY(EOMONTH($R$3,0))-1)/2)+R$14,0)=EOMONTH($V$3,0),R$12,0),0),IF(AND(N$12&lt;&gt;"",N$14&lt;&gt;""),IF(EOMONTH($N$3+INT((DAY(EOMONTH($N$3,0))-1)/2)+N$14,0)=EOMONTH($V$3,0),N$12,0),0),IF(AND(J$12&lt;&gt;"",J$14&lt;&gt;""),IF(EOMONTH($J$3+INT((DAY(EOMONTH($J$3,0))-1)/2)+J$14,0)=EOMONTH($V$3,0),J$12,0),0),IF(AND(F$12&lt;&gt;"",F$14&lt;&gt;""),IF(EOMONTH($F$3+INT((DAY(EOMONTH($F$3,0))-1)/2)+F$14,0)=EOMONTH($V$3,0),F$12,0),0),IF($EP$75="",0,IF(EOMONTH($EP$75+EP$14,0)=EOMONTH($V$3,0),$EP$77,0))),0)</f>
        <v>0</v>
      </c>
      <c r="W20" s="14">
        <f t="shared" si="202"/>
        <v>0</v>
      </c>
      <c r="X20" s="15">
        <f t="shared" si="202"/>
        <v>0</v>
      </c>
      <c r="Y20" s="16">
        <f t="shared" si="13"/>
        <v>0</v>
      </c>
      <c r="Z20" s="13">
        <f t="shared" ref="Z20:AB20" si="203">ROUND(SUM(IF(AND(EP$12&lt;&gt;"",EP$14&lt;&gt;""),IF(EOMONTH($EP$3+INT((DAY(EOMONTH($EP$3,0))-1)/2)+EP$14,0)=EOMONTH($Z$3,0),EP$12,0),0),IF(AND(EL$12&lt;&gt;"",EL$14&lt;&gt;""),IF(EOMONTH($EL$3+INT((DAY(EOMONTH($EL$3,0))-1)/2)+EL$14,0)=EOMONTH($Z$3,0),EL$12,0),0),IF(AND(EH$12&lt;&gt;"",EH$14&lt;&gt;""),IF(EOMONTH($EH$3+INT((DAY(EOMONTH($EH$3,0))-1)/2)+EH$14,0)=EOMONTH($Z$3,0),EH$12,0),0),IF(AND(ED$12&lt;&gt;"",ED$14&lt;&gt;""),IF(EOMONTH($ED$3+INT((DAY(EOMONTH($ED$3,0))-1)/2)+ED$14,0)=EOMONTH($Z$3,0),ED$12,0),0),IF(AND(DZ$12&lt;&gt;"",DZ$14&lt;&gt;""),IF(EOMONTH($DZ$3+INT((DAY(EOMONTH($DZ$3,0))-1)/2)+DZ$14,0)=EOMONTH($Z$3,0),DZ$12,0),0),IF(AND(DV$12&lt;&gt;"",DV$14&lt;&gt;""),IF(EOMONTH($DV$3+INT((DAY(EOMONTH($DV$3,0))-1)/2)+DV$14,0)=EOMONTH($Z$3,0),DV$12,0),0),IF(AND(DR$12&lt;&gt;"",DR$14&lt;&gt;""),IF(EOMONTH($DR$3+INT((DAY(EOMONTH($DR$3,0))-1)/2)+DR$14,0)=EOMONTH($Z$3,0),DR$12,0),0),IF(AND(DN$12&lt;&gt;"",DN$14&lt;&gt;""),IF(EOMONTH($DN$3+INT((DAY(EOMONTH($DN$3,0))-1)/2)+DN$14,0)=EOMONTH($Z$3,0),DN$12,0),0),IF(AND(DJ$12&lt;&gt;"",DJ$14&lt;&gt;""),IF(EOMONTH($DJ$3+INT((DAY(EOMONTH($DJ$3,0))-1)/2)+DJ$14,0)=EOMONTH($Z$3,0),DJ$12,0),0),IF(AND(DF$12&lt;&gt;"",DF$14&lt;&gt;""),IF(EOMONTH($DF$3+INT((DAY(EOMONTH($DF$3,0))-1)/2)+DF$14,0)=EOMONTH($Z$3,0),DF$12,0),0),IF(AND(DB$12&lt;&gt;"",DB$14&lt;&gt;""),IF(EOMONTH($DB$3+INT((DAY(EOMONTH($DB$3,0))-1)/2)+DB$14,0)=EOMONTH($Z$3,0),DB$12,0),0),IF(AND(CX$12&lt;&gt;"",CX$14&lt;&gt;""),IF(EOMONTH($CX$3+INT((DAY(EOMONTH($CX$3,0))-1)/2)+CX$14,0)=EOMONTH($Z$3,0),CX$12,0),0),IF(AND(CT$12&lt;&gt;"",CT$14&lt;&gt;""),IF(EOMONTH($CT$3+INT((DAY(EOMONTH($CT$3,0))-1)/2)+CT$14,0)=EOMONTH($Z$3,0),CT$12,0),0),IF(AND(CP$12&lt;&gt;"",CP$14&lt;&gt;""),IF(EOMONTH($CP$3+INT((DAY(EOMONTH($CP$3,0))-1)/2)+CP$14,0)=EOMONTH($Z$3,0),CP$12,0),0),IF(AND(CL$12&lt;&gt;"",CL$14&lt;&gt;""),IF(EOMONTH($CL$3+INT((DAY(EOMONTH($CL$3,0))-1)/2)+CL$14,0)=EOMONTH($Z$3,0),CL$12,0),0),IF(AND(CH$12&lt;&gt;"",CH$14&lt;&gt;""),IF(EOMONTH($CH$3+INT((DAY(EOMONTH($CH$3,0))-1)/2)+CH$14,0)=EOMONTH($Z$3,0),CH$12,0),0),IF(AND(CD$12&lt;&gt;"",CD$14&lt;&gt;""),IF(EOMONTH($CD$3+INT((DAY(EOMONTH($CD$3,0))-1)/2)+CD$14,0)=EOMONTH($Z$3,0),CD$12,0),0),IF(AND(BZ$12&lt;&gt;"",BZ$14&lt;&gt;""),IF(EOMONTH($BZ$3+INT((DAY(EOMONTH($BZ$3,0))-1)/2)+BZ$14,0)=EOMONTH($Z$3,0),BZ$12,0),0),IF(AND(BV$12&lt;&gt;"",BV$14&lt;&gt;""),IF(EOMONTH($BV$3+INT((DAY(EOMONTH($BV$3,0))-1)/2)+BV$14,0)=EOMONTH($Z$3,0),BV$12,0),0),IF(AND(BR$12&lt;&gt;"",BR$14&lt;&gt;""),IF(EOMONTH($BR$3+INT((DAY(EOMONTH($BR$3,0))-1)/2)+BR$14,0)=EOMONTH($Z$3,0),BR$12,0),0),IF(AND(BN$12&lt;&gt;"",BN$14&lt;&gt;""),IF(EOMONTH($BN$3+INT((DAY(EOMONTH($BN$3,0))-1)/2)+BN$14,0)=EOMONTH($Z$3,0),BN$12,0),0),IF(AND(BJ$12&lt;&gt;"",BJ$14&lt;&gt;""),IF(EOMONTH($BJ$3+INT((DAY(EOMONTH($BJ$3,0))-1)/2)+BJ$14,0)=EOMONTH($Z$3,0),BJ$12,0),0),IF(AND(BF$12&lt;&gt;"",BF$14&lt;&gt;""),IF(EOMONTH($BF$3+INT((DAY(EOMONTH($BF$3,0))-1)/2)+BF$14,0)=EOMONTH($Z$3,0),BF$12,0),0),IF(AND(BB$12&lt;&gt;"",BB$14&lt;&gt;""),IF(EOMONTH($BB$3+INT((DAY(EOMONTH($BB$3,0))-1)/2)+BB$14,0)=EOMONTH($Z$3,0),BB$12,0),0),IF(AND(AX$12&lt;&gt;"",AX$14&lt;&gt;""),IF(EOMONTH($AX$3+INT((DAY(EOMONTH($AX$3,0))-1)/2)+AX$14,0)=EOMONTH($Z$3,0),AX$12,0),0),IF(AND(AT$12&lt;&gt;"",AT$14&lt;&gt;""),IF(EOMONTH($AT$3+INT((DAY(EOMONTH($AT$3,0))-1)/2)+AT$14,0)=EOMONTH($Z$3,0),AT$12,0),0),IF(AND(AP$12&lt;&gt;"",AP$14&lt;&gt;""),IF(EOMONTH($AP$3+INT((DAY(EOMONTH($AP$3,0))-1)/2)+AP$14,0)=EOMONTH($Z$3,0),AP$12,0),0),IF(AND(AL$12&lt;&gt;"",AL$14&lt;&gt;""),IF(EOMONTH($AL$3+INT((DAY(EOMONTH($AL$3,0))-1)/2)+AL$14,0)=EOMONTH($Z$3,0),AL$12,0),0),IF(AND(AH$12&lt;&gt;"",AH$14&lt;&gt;""),IF(EOMONTH($AH$3+INT((DAY(EOMONTH($AH$3,0))-1)/2)+AH$14,0)=EOMONTH($Z$3,0),AH$12,0),0),IF(AND(AD$12&lt;&gt;"",AD$14&lt;&gt;""),IF(EOMONTH($AD$3+INT((DAY(EOMONTH($AD$3,0))-1)/2)+AD$14,0)=EOMONTH($Z$3,0),AD$12,0),0),IF(AND(Z$12&lt;&gt;"",Z$14&lt;&gt;""),IF(EOMONTH($Z$3+INT((DAY(EOMONTH($Z$3,0))-1)/2)+Z$14,0)=EOMONTH($Z$3,0),Z$12,0),0),IF(AND(V$12&lt;&gt;"",V$14&lt;&gt;""),IF(EOMONTH($V$3+INT((DAY(EOMONTH($V$3,0))-1)/2)+V$14,0)=EOMONTH($Z$3,0),V$12,0),0),IF(AND(R$12&lt;&gt;"",R$14&lt;&gt;""),IF(EOMONTH($R$3+INT((DAY(EOMONTH($R$3,0))-1)/2)+R$14,0)=EOMONTH($Z$3,0),R$12,0),0),IF(AND(N$12&lt;&gt;"",N$14&lt;&gt;""),IF(EOMONTH($N$3+INT((DAY(EOMONTH($N$3,0))-1)/2)+N$14,0)=EOMONTH($Z$3,0),N$12,0),0),IF(AND(J$12&lt;&gt;"",J$14&lt;&gt;""),IF(EOMONTH($J$3+INT((DAY(EOMONTH($J$3,0))-1)/2)+J$14,0)=EOMONTH($Z$3,0),J$12,0),0),IF(AND(F$12&lt;&gt;"",F$14&lt;&gt;""),IF(EOMONTH($F$3+INT((DAY(EOMONTH($F$3,0))-1)/2)+F$14,0)=EOMONTH($Z$3,0),F$12,0),0),IF($EP$75="",0,IF(EOMONTH($EP$75+EP$14,0)=EOMONTH($Z$3,0),$EP$77,0))),0)</f>
        <v>0</v>
      </c>
      <c r="AA20" s="14">
        <f t="shared" si="203"/>
        <v>0</v>
      </c>
      <c r="AB20" s="15">
        <f t="shared" si="203"/>
        <v>0</v>
      </c>
      <c r="AC20" s="16">
        <f t="shared" si="15"/>
        <v>0</v>
      </c>
      <c r="AD20" s="13">
        <f t="shared" ref="AD20:AF20" si="204">ROUND(SUM(IF(AND(EP$12&lt;&gt;"",EP$14&lt;&gt;""),IF(EOMONTH($EP$3+INT((DAY(EOMONTH($EP$3,0))-1)/2)+EP$14,0)=EOMONTH($AD$3,0),EP$12,0),0),IF(AND(EL$12&lt;&gt;"",EL$14&lt;&gt;""),IF(EOMONTH($EL$3+INT((DAY(EOMONTH($EL$3,0))-1)/2)+EL$14,0)=EOMONTH($AD$3,0),EL$12,0),0),IF(AND(EH$12&lt;&gt;"",EH$14&lt;&gt;""),IF(EOMONTH($EH$3+INT((DAY(EOMONTH($EH$3,0))-1)/2)+EH$14,0)=EOMONTH($AD$3,0),EH$12,0),0),IF(AND(ED$12&lt;&gt;"",ED$14&lt;&gt;""),IF(EOMONTH($ED$3+INT((DAY(EOMONTH($ED$3,0))-1)/2)+ED$14,0)=EOMONTH($AD$3,0),ED$12,0),0),IF(AND(DZ$12&lt;&gt;"",DZ$14&lt;&gt;""),IF(EOMONTH($DZ$3+INT((DAY(EOMONTH($DZ$3,0))-1)/2)+DZ$14,0)=EOMONTH($AD$3,0),DZ$12,0),0),IF(AND(DV$12&lt;&gt;"",DV$14&lt;&gt;""),IF(EOMONTH($DV$3+INT((DAY(EOMONTH($DV$3,0))-1)/2)+DV$14,0)=EOMONTH($AD$3,0),DV$12,0),0),IF(AND(DR$12&lt;&gt;"",DR$14&lt;&gt;""),IF(EOMONTH($DR$3+INT((DAY(EOMONTH($DR$3,0))-1)/2)+DR$14,0)=EOMONTH($AD$3,0),DR$12,0),0),IF(AND(DN$12&lt;&gt;"",DN$14&lt;&gt;""),IF(EOMONTH($DN$3+INT((DAY(EOMONTH($DN$3,0))-1)/2)+DN$14,0)=EOMONTH($AD$3,0),DN$12,0),0),IF(AND(DJ$12&lt;&gt;"",DJ$14&lt;&gt;""),IF(EOMONTH($DJ$3+INT((DAY(EOMONTH($DJ$3,0))-1)/2)+DJ$14,0)=EOMONTH($AD$3,0),DJ$12,0),0),IF(AND(DF$12&lt;&gt;"",DF$14&lt;&gt;""),IF(EOMONTH($DF$3+INT((DAY(EOMONTH($DF$3,0))-1)/2)+DF$14,0)=EOMONTH($AD$3,0),DF$12,0),0),IF(AND(DB$12&lt;&gt;"",DB$14&lt;&gt;""),IF(EOMONTH($DB$3+INT((DAY(EOMONTH($DB$3,0))-1)/2)+DB$14,0)=EOMONTH($AD$3,0),DB$12,0),0),IF(AND(CX$12&lt;&gt;"",CX$14&lt;&gt;""),IF(EOMONTH($CX$3+INT((DAY(EOMONTH($CX$3,0))-1)/2)+CX$14,0)=EOMONTH($AD$3,0),CX$12,0),0),IF(AND(CT$12&lt;&gt;"",CT$14&lt;&gt;""),IF(EOMONTH($CT$3+INT((DAY(EOMONTH($CT$3,0))-1)/2)+CT$14,0)=EOMONTH($AD$3,0),CT$12,0),0),IF(AND(CP$12&lt;&gt;"",CP$14&lt;&gt;""),IF(EOMONTH($CP$3+INT((DAY(EOMONTH($CP$3,0))-1)/2)+CP$14,0)=EOMONTH($AD$3,0),CP$12,0),0),IF(AND(CL$12&lt;&gt;"",CL$14&lt;&gt;""),IF(EOMONTH($CL$3+INT((DAY(EOMONTH($CL$3,0))-1)/2)+CL$14,0)=EOMONTH($AD$3,0),CL$12,0),0),IF(AND(CH$12&lt;&gt;"",CH$14&lt;&gt;""),IF(EOMONTH($CH$3+INT((DAY(EOMONTH($CH$3,0))-1)/2)+CH$14,0)=EOMONTH($AD$3,0),CH$12,0),0),IF(AND(CD$12&lt;&gt;"",CD$14&lt;&gt;""),IF(EOMONTH($CD$3+INT((DAY(EOMONTH($CD$3,0))-1)/2)+CD$14,0)=EOMONTH($AD$3,0),CD$12,0),0),IF(AND(BZ$12&lt;&gt;"",BZ$14&lt;&gt;""),IF(EOMONTH($BZ$3+INT((DAY(EOMONTH($BZ$3,0))-1)/2)+BZ$14,0)=EOMONTH($AD$3,0),BZ$12,0),0),IF(AND(BV$12&lt;&gt;"",BV$14&lt;&gt;""),IF(EOMONTH($BV$3+INT((DAY(EOMONTH($BV$3,0))-1)/2)+BV$14,0)=EOMONTH($AD$3,0),BV$12,0),0),IF(AND(BR$12&lt;&gt;"",BR$14&lt;&gt;""),IF(EOMONTH($BR$3+INT((DAY(EOMONTH($BR$3,0))-1)/2)+BR$14,0)=EOMONTH($AD$3,0),BR$12,0),0),IF(AND(BN$12&lt;&gt;"",BN$14&lt;&gt;""),IF(EOMONTH($BN$3+INT((DAY(EOMONTH($BN$3,0))-1)/2)+BN$14,0)=EOMONTH($AD$3,0),BN$12,0),0),IF(AND(BJ$12&lt;&gt;"",BJ$14&lt;&gt;""),IF(EOMONTH($BJ$3+INT((DAY(EOMONTH($BJ$3,0))-1)/2)+BJ$14,0)=EOMONTH($AD$3,0),BJ$12,0),0),IF(AND(BF$12&lt;&gt;"",BF$14&lt;&gt;""),IF(EOMONTH($BF$3+INT((DAY(EOMONTH($BF$3,0))-1)/2)+BF$14,0)=EOMONTH($AD$3,0),BF$12,0),0),IF(AND(BB$12&lt;&gt;"",BB$14&lt;&gt;""),IF(EOMONTH($BB$3+INT((DAY(EOMONTH($BB$3,0))-1)/2)+BB$14,0)=EOMONTH($AD$3,0),BB$12,0),0),IF(AND(AX$12&lt;&gt;"",AX$14&lt;&gt;""),IF(EOMONTH($AX$3+INT((DAY(EOMONTH($AX$3,0))-1)/2)+AX$14,0)=EOMONTH($AD$3,0),AX$12,0),0),IF(AND(AT$12&lt;&gt;"",AT$14&lt;&gt;""),IF(EOMONTH($AT$3+INT((DAY(EOMONTH($AT$3,0))-1)/2)+AT$14,0)=EOMONTH($AD$3,0),AT$12,0),0),IF(AND(AP$12&lt;&gt;"",AP$14&lt;&gt;""),IF(EOMONTH($AP$3+INT((DAY(EOMONTH($AP$3,0))-1)/2)+AP$14,0)=EOMONTH($AD$3,0),AP$12,0),0),IF(AND(AL$12&lt;&gt;"",AL$14&lt;&gt;""),IF(EOMONTH($AL$3+INT((DAY(EOMONTH($AL$3,0))-1)/2)+AL$14,0)=EOMONTH($AD$3,0),AL$12,0),0),IF(AND(AH$12&lt;&gt;"",AH$14&lt;&gt;""),IF(EOMONTH($AH$3+INT((DAY(EOMONTH($AH$3,0))-1)/2)+AH$14,0)=EOMONTH($AD$3,0),AH$12,0),0),IF(AND(AD$12&lt;&gt;"",AD$14&lt;&gt;""),IF(EOMONTH($AD$3+INT((DAY(EOMONTH($AD$3,0))-1)/2)+AD$14,0)=EOMONTH($AD$3,0),AD$12,0),0),IF(AND(Z$12&lt;&gt;"",Z$14&lt;&gt;""),IF(EOMONTH($Z$3+INT((DAY(EOMONTH($Z$3,0))-1)/2)+Z$14,0)=EOMONTH($AD$3,0),Z$12,0),0),IF(AND(V$12&lt;&gt;"",V$14&lt;&gt;""),IF(EOMONTH($V$3+INT((DAY(EOMONTH($V$3,0))-1)/2)+V$14,0)=EOMONTH($AD$3,0),V$12,0),0),IF(AND(R$12&lt;&gt;"",R$14&lt;&gt;""),IF(EOMONTH($R$3+INT((DAY(EOMONTH($R$3,0))-1)/2)+R$14,0)=EOMONTH($AD$3,0),R$12,0),0),IF(AND(N$12&lt;&gt;"",N$14&lt;&gt;""),IF(EOMONTH($N$3+INT((DAY(EOMONTH($N$3,0))-1)/2)+N$14,0)=EOMONTH($AD$3,0),N$12,0),0),IF(AND(J$12&lt;&gt;"",J$14&lt;&gt;""),IF(EOMONTH($J$3+INT((DAY(EOMONTH($J$3,0))-1)/2)+J$14,0)=EOMONTH($AD$3,0),J$12,0),0),IF(AND(F$12&lt;&gt;"",F$14&lt;&gt;""),IF(EOMONTH($F$3+INT((DAY(EOMONTH($F$3,0))-1)/2)+F$14,0)=EOMONTH($AD$3,0),F$12,0),0),IF($EP$75="",0,IF(EOMONTH($EP$75+EP$14,0)=EOMONTH($AD$3,0),$EP$77,0))),0)</f>
        <v>0</v>
      </c>
      <c r="AE20" s="14">
        <f t="shared" si="204"/>
        <v>0</v>
      </c>
      <c r="AF20" s="15">
        <f t="shared" si="204"/>
        <v>0</v>
      </c>
      <c r="AG20" s="16">
        <f t="shared" si="17"/>
        <v>0</v>
      </c>
      <c r="AH20" s="13">
        <f t="shared" ref="AH20:AJ20" si="205">ROUND(SUM(IF(AND(EP$12&lt;&gt;"",EP$14&lt;&gt;""),IF(EOMONTH($EP$3+INT((DAY(EOMONTH($EP$3,0))-1)/2)+EP$14,0)=EOMONTH($AH$3,0),EP$12,0),0),IF(AND(EL$12&lt;&gt;"",EL$14&lt;&gt;""),IF(EOMONTH($EL$3+INT((DAY(EOMONTH($EL$3,0))-1)/2)+EL$14,0)=EOMONTH($AH$3,0),EL$12,0),0),IF(AND(EH$12&lt;&gt;"",EH$14&lt;&gt;""),IF(EOMONTH($EH$3+INT((DAY(EOMONTH($EH$3,0))-1)/2)+EH$14,0)=EOMONTH($AH$3,0),EH$12,0),0),IF(AND(ED$12&lt;&gt;"",ED$14&lt;&gt;""),IF(EOMONTH($ED$3+INT((DAY(EOMONTH($ED$3,0))-1)/2)+ED$14,0)=EOMONTH($AH$3,0),ED$12,0),0),IF(AND(DZ$12&lt;&gt;"",DZ$14&lt;&gt;""),IF(EOMONTH($DZ$3+INT((DAY(EOMONTH($DZ$3,0))-1)/2)+DZ$14,0)=EOMONTH($AH$3,0),DZ$12,0),0),IF(AND(DV$12&lt;&gt;"",DV$14&lt;&gt;""),IF(EOMONTH($DV$3+INT((DAY(EOMONTH($DV$3,0))-1)/2)+DV$14,0)=EOMONTH($AH$3,0),DV$12,0),0),IF(AND(DR$12&lt;&gt;"",DR$14&lt;&gt;""),IF(EOMONTH($DR$3+INT((DAY(EOMONTH($DR$3,0))-1)/2)+DR$14,0)=EOMONTH($AH$3,0),DR$12,0),0),IF(AND(DN$12&lt;&gt;"",DN$14&lt;&gt;""),IF(EOMONTH($DN$3+INT((DAY(EOMONTH($DN$3,0))-1)/2)+DN$14,0)=EOMONTH($AH$3,0),DN$12,0),0),IF(AND(DJ$12&lt;&gt;"",DJ$14&lt;&gt;""),IF(EOMONTH($DJ$3+INT((DAY(EOMONTH($DJ$3,0))-1)/2)+DJ$14,0)=EOMONTH($AH$3,0),DJ$12,0),0),IF(AND(DF$12&lt;&gt;"",DF$14&lt;&gt;""),IF(EOMONTH($DF$3+INT((DAY(EOMONTH($DF$3,0))-1)/2)+DF$14,0)=EOMONTH($AH$3,0),DF$12,0),0),IF(AND(DB$12&lt;&gt;"",DB$14&lt;&gt;""),IF(EOMONTH($DB$3+INT((DAY(EOMONTH($DB$3,0))-1)/2)+DB$14,0)=EOMONTH($AH$3,0),DB$12,0),0),IF(AND(CX$12&lt;&gt;"",CX$14&lt;&gt;""),IF(EOMONTH($CX$3+INT((DAY(EOMONTH($CX$3,0))-1)/2)+CX$14,0)=EOMONTH($AH$3,0),CX$12,0),0),IF(AND(CT$12&lt;&gt;"",CT$14&lt;&gt;""),IF(EOMONTH($CT$3+INT((DAY(EOMONTH($CT$3,0))-1)/2)+CT$14,0)=EOMONTH($AH$3,0),CT$12,0),0),IF(AND(CP$12&lt;&gt;"",CP$14&lt;&gt;""),IF(EOMONTH($CP$3+INT((DAY(EOMONTH($CP$3,0))-1)/2)+CP$14,0)=EOMONTH($AH$3,0),CP$12,0),0),IF(AND(CL$12&lt;&gt;"",CL$14&lt;&gt;""),IF(EOMONTH($CL$3+INT((DAY(EOMONTH($CL$3,0))-1)/2)+CL$14,0)=EOMONTH($AH$3,0),CL$12,0),0),IF(AND(CH$12&lt;&gt;"",CH$14&lt;&gt;""),IF(EOMONTH($CH$3+INT((DAY(EOMONTH($CH$3,0))-1)/2)+CH$14,0)=EOMONTH($AH$3,0),CH$12,0),0),IF(AND(CD$12&lt;&gt;"",CD$14&lt;&gt;""),IF(EOMONTH($CD$3+INT((DAY(EOMONTH($CD$3,0))-1)/2)+CD$14,0)=EOMONTH($AH$3,0),CD$12,0),0),IF(AND(BZ$12&lt;&gt;"",BZ$14&lt;&gt;""),IF(EOMONTH($BZ$3+INT((DAY(EOMONTH($BZ$3,0))-1)/2)+BZ$14,0)=EOMONTH($AH$3,0),BZ$12,0),0),IF(AND(BV$12&lt;&gt;"",BV$14&lt;&gt;""),IF(EOMONTH($BV$3+INT((DAY(EOMONTH($BV$3,0))-1)/2)+BV$14,0)=EOMONTH($AH$3,0),BV$12,0),0),IF(AND(BR$12&lt;&gt;"",BR$14&lt;&gt;""),IF(EOMONTH($BR$3+INT((DAY(EOMONTH($BR$3,0))-1)/2)+BR$14,0)=EOMONTH($AH$3,0),BR$12,0),0),IF(AND(BN$12&lt;&gt;"",BN$14&lt;&gt;""),IF(EOMONTH($BN$3+INT((DAY(EOMONTH($BN$3,0))-1)/2)+BN$14,0)=EOMONTH($AH$3,0),BN$12,0),0),IF(AND(BJ$12&lt;&gt;"",BJ$14&lt;&gt;""),IF(EOMONTH($BJ$3+INT((DAY(EOMONTH($BJ$3,0))-1)/2)+BJ$14,0)=EOMONTH($AH$3,0),BJ$12,0),0),IF(AND(BF$12&lt;&gt;"",BF$14&lt;&gt;""),IF(EOMONTH($BF$3+INT((DAY(EOMONTH($BF$3,0))-1)/2)+BF$14,0)=EOMONTH($AH$3,0),BF$12,0),0),IF(AND(BB$12&lt;&gt;"",BB$14&lt;&gt;""),IF(EOMONTH($BB$3+INT((DAY(EOMONTH($BB$3,0))-1)/2)+BB$14,0)=EOMONTH($AH$3,0),BB$12,0),0),IF(AND(AX$12&lt;&gt;"",AX$14&lt;&gt;""),IF(EOMONTH($AX$3+INT((DAY(EOMONTH($AX$3,0))-1)/2)+AX$14,0)=EOMONTH($AH$3,0),AX$12,0),0),IF(AND(AT$12&lt;&gt;"",AT$14&lt;&gt;""),IF(EOMONTH($AT$3+INT((DAY(EOMONTH($AT$3,0))-1)/2)+AT$14,0)=EOMONTH($AH$3,0),AT$12,0),0),IF(AND(AP$12&lt;&gt;"",AP$14&lt;&gt;""),IF(EOMONTH($AP$3+INT((DAY(EOMONTH($AP$3,0))-1)/2)+AP$14,0)=EOMONTH($AH$3,0),AP$12,0),0),IF(AND(AL$12&lt;&gt;"",AL$14&lt;&gt;""),IF(EOMONTH($AL$3+INT((DAY(EOMONTH($AL$3,0))-1)/2)+AL$14,0)=EOMONTH($AH$3,0),AL$12,0),0),IF(AND(AH$12&lt;&gt;"",AH$14&lt;&gt;""),IF(EOMONTH($AH$3+INT((DAY(EOMONTH($AH$3,0))-1)/2)+AH$14,0)=EOMONTH($AH$3,0),AH$12,0),0),IF(AND(AD$12&lt;&gt;"",AD$14&lt;&gt;""),IF(EOMONTH($AD$3+INT((DAY(EOMONTH($AD$3,0))-1)/2)+AD$14,0)=EOMONTH($AH$3,0),AD$12,0),0),IF(AND(Z$12&lt;&gt;"",Z$14&lt;&gt;""),IF(EOMONTH($Z$3+INT((DAY(EOMONTH($Z$3,0))-1)/2)+Z$14,0)=EOMONTH($AH$3,0),Z$12,0),0),IF(AND(V$12&lt;&gt;"",V$14&lt;&gt;""),IF(EOMONTH($V$3+INT((DAY(EOMONTH($V$3,0))-1)/2)+V$14,0)=EOMONTH($AH$3,0),V$12,0),0),IF(AND(R$12&lt;&gt;"",R$14&lt;&gt;""),IF(EOMONTH($R$3+INT((DAY(EOMONTH($R$3,0))-1)/2)+R$14,0)=EOMONTH($AH$3,0),R$12,0),0),IF(AND(N$12&lt;&gt;"",N$14&lt;&gt;""),IF(EOMONTH($N$3+INT((DAY(EOMONTH($N$3,0))-1)/2)+N$14,0)=EOMONTH($AH$3,0),N$12,0),0),IF(AND(J$12&lt;&gt;"",J$14&lt;&gt;""),IF(EOMONTH($J$3+INT((DAY(EOMONTH($J$3,0))-1)/2)+J$14,0)=EOMONTH($AH$3,0),J$12,0),0),IF(AND(F$12&lt;&gt;"",F$14&lt;&gt;""),IF(EOMONTH($F$3+INT((DAY(EOMONTH($F$3,0))-1)/2)+F$14,0)=EOMONTH($AH$3,0),F$12,0),0),IF($EP$75="",0,IF(EOMONTH($EP$75+EP$14,0)=EOMONTH($AH$3,0),$EP$77,0))),0)</f>
        <v>0</v>
      </c>
      <c r="AI20" s="14">
        <f t="shared" si="205"/>
        <v>0</v>
      </c>
      <c r="AJ20" s="15">
        <f t="shared" si="205"/>
        <v>0</v>
      </c>
      <c r="AK20" s="16">
        <f t="shared" si="19"/>
        <v>0</v>
      </c>
      <c r="AL20" s="13">
        <f t="shared" ref="AL20:AN20" si="206">ROUND(SUM(IF(AND(EP$12&lt;&gt;"",EP$14&lt;&gt;""),IF(EOMONTH($EP$3+INT((DAY(EOMONTH($EP$3,0))-1)/2)+EP$14,0)=EOMONTH($AL$3,0),EP$12,0),0),IF(AND(EL$12&lt;&gt;"",EL$14&lt;&gt;""),IF(EOMONTH($EL$3+INT((DAY(EOMONTH($EL$3,0))-1)/2)+EL$14,0)=EOMONTH($AL$3,0),EL$12,0),0),IF(AND(EH$12&lt;&gt;"",EH$14&lt;&gt;""),IF(EOMONTH($EH$3+INT((DAY(EOMONTH($EH$3,0))-1)/2)+EH$14,0)=EOMONTH($AL$3,0),EH$12,0),0),IF(AND(ED$12&lt;&gt;"",ED$14&lt;&gt;""),IF(EOMONTH($ED$3+INT((DAY(EOMONTH($ED$3,0))-1)/2)+ED$14,0)=EOMONTH($AL$3,0),ED$12,0),0),IF(AND(DZ$12&lt;&gt;"",DZ$14&lt;&gt;""),IF(EOMONTH($DZ$3+INT((DAY(EOMONTH($DZ$3,0))-1)/2)+DZ$14,0)=EOMONTH($AL$3,0),DZ$12,0),0),IF(AND(DV$12&lt;&gt;"",DV$14&lt;&gt;""),IF(EOMONTH($DV$3+INT((DAY(EOMONTH($DV$3,0))-1)/2)+DV$14,0)=EOMONTH($AL$3,0),DV$12,0),0),IF(AND(DR$12&lt;&gt;"",DR$14&lt;&gt;""),IF(EOMONTH($DR$3+INT((DAY(EOMONTH($DR$3,0))-1)/2)+DR$14,0)=EOMONTH($AL$3,0),DR$12,0),0),IF(AND(DN$12&lt;&gt;"",DN$14&lt;&gt;""),IF(EOMONTH($DN$3+INT((DAY(EOMONTH($DN$3,0))-1)/2)+DN$14,0)=EOMONTH($AL$3,0),DN$12,0),0),IF(AND(DJ$12&lt;&gt;"",DJ$14&lt;&gt;""),IF(EOMONTH($DJ$3+INT((DAY(EOMONTH($DJ$3,0))-1)/2)+DJ$14,0)=EOMONTH($AL$3,0),DJ$12,0),0),IF(AND(DF$12&lt;&gt;"",DF$14&lt;&gt;""),IF(EOMONTH($DF$3+INT((DAY(EOMONTH($DF$3,0))-1)/2)+DF$14,0)=EOMONTH($AL$3,0),DF$12,0),0),IF(AND(DB$12&lt;&gt;"",DB$14&lt;&gt;""),IF(EOMONTH($DB$3+INT((DAY(EOMONTH($DB$3,0))-1)/2)+DB$14,0)=EOMONTH($AL$3,0),DB$12,0),0),IF(AND(CX$12&lt;&gt;"",CX$14&lt;&gt;""),IF(EOMONTH($CX$3+INT((DAY(EOMONTH($CX$3,0))-1)/2)+CX$14,0)=EOMONTH($AL$3,0),CX$12,0),0),IF(AND(CT$12&lt;&gt;"",CT$14&lt;&gt;""),IF(EOMONTH($CT$3+INT((DAY(EOMONTH($CT$3,0))-1)/2)+CT$14,0)=EOMONTH($AL$3,0),CT$12,0),0),IF(AND(CP$12&lt;&gt;"",CP$14&lt;&gt;""),IF(EOMONTH($CP$3+INT((DAY(EOMONTH($CP$3,0))-1)/2)+CP$14,0)=EOMONTH($AL$3,0),CP$12,0),0),IF(AND(CL$12&lt;&gt;"",CL$14&lt;&gt;""),IF(EOMONTH($CL$3+INT((DAY(EOMONTH($CL$3,0))-1)/2)+CL$14,0)=EOMONTH($AL$3,0),CL$12,0),0),IF(AND(CH$12&lt;&gt;"",CH$14&lt;&gt;""),IF(EOMONTH($CH$3+INT((DAY(EOMONTH($CH$3,0))-1)/2)+CH$14,0)=EOMONTH($AL$3,0),CH$12,0),0),IF(AND(CD$12&lt;&gt;"",CD$14&lt;&gt;""),IF(EOMONTH($CD$3+INT((DAY(EOMONTH($CD$3,0))-1)/2)+CD$14,0)=EOMONTH($AL$3,0),CD$12,0),0),IF(AND(BZ$12&lt;&gt;"",BZ$14&lt;&gt;""),IF(EOMONTH($BZ$3+INT((DAY(EOMONTH($BZ$3,0))-1)/2)+BZ$14,0)=EOMONTH($AL$3,0),BZ$12,0),0),IF(AND(BV$12&lt;&gt;"",BV$14&lt;&gt;""),IF(EOMONTH($BV$3+INT((DAY(EOMONTH($BV$3,0))-1)/2)+BV$14,0)=EOMONTH($AL$3,0),BV$12,0),0),IF(AND(BR$12&lt;&gt;"",BR$14&lt;&gt;""),IF(EOMONTH($BR$3+INT((DAY(EOMONTH($BR$3,0))-1)/2)+BR$14,0)=EOMONTH($AL$3,0),BR$12,0),0),IF(AND(BN$12&lt;&gt;"",BN$14&lt;&gt;""),IF(EOMONTH($BN$3+INT((DAY(EOMONTH($BN$3,0))-1)/2)+BN$14,0)=EOMONTH($AL$3,0),BN$12,0),0),IF(AND(BJ$12&lt;&gt;"",BJ$14&lt;&gt;""),IF(EOMONTH($BJ$3+INT((DAY(EOMONTH($BJ$3,0))-1)/2)+BJ$14,0)=EOMONTH($AL$3,0),BJ$12,0),0),IF(AND(BF$12&lt;&gt;"",BF$14&lt;&gt;""),IF(EOMONTH($BF$3+INT((DAY(EOMONTH($BF$3,0))-1)/2)+BF$14,0)=EOMONTH($AL$3,0),BF$12,0),0),IF(AND(BB$12&lt;&gt;"",BB$14&lt;&gt;""),IF(EOMONTH($BB$3+INT((DAY(EOMONTH($BB$3,0))-1)/2)+BB$14,0)=EOMONTH($AL$3,0),BB$12,0),0),IF(AND(AX$12&lt;&gt;"",AX$14&lt;&gt;""),IF(EOMONTH($AX$3+INT((DAY(EOMONTH($AX$3,0))-1)/2)+AX$14,0)=EOMONTH($AL$3,0),AX$12,0),0),IF(AND(AT$12&lt;&gt;"",AT$14&lt;&gt;""),IF(EOMONTH($AT$3+INT((DAY(EOMONTH($AT$3,0))-1)/2)+AT$14,0)=EOMONTH($AL$3,0),AT$12,0),0),IF(AND(AP$12&lt;&gt;"",AP$14&lt;&gt;""),IF(EOMONTH($AP$3+INT((DAY(EOMONTH($AP$3,0))-1)/2)+AP$14,0)=EOMONTH($AL$3,0),AP$12,0),0),IF(AND(AL$12&lt;&gt;"",AL$14&lt;&gt;""),IF(EOMONTH($AL$3+INT((DAY(EOMONTH($AL$3,0))-1)/2)+AL$14,0)=EOMONTH($AL$3,0),AL$12,0),0),IF(AND(AH$12&lt;&gt;"",AH$14&lt;&gt;""),IF(EOMONTH($AH$3+INT((DAY(EOMONTH($AH$3,0))-1)/2)+AH$14,0)=EOMONTH($AL$3,0),AH$12,0),0),IF(AND(AD$12&lt;&gt;"",AD$14&lt;&gt;""),IF(EOMONTH($AD$3+INT((DAY(EOMONTH($AD$3,0))-1)/2)+AD$14,0)=EOMONTH($AL$3,0),AD$12,0),0),IF(AND(Z$12&lt;&gt;"",Z$14&lt;&gt;""),IF(EOMONTH($Z$3+INT((DAY(EOMONTH($Z$3,0))-1)/2)+Z$14,0)=EOMONTH($AL$3,0),Z$12,0),0),IF(AND(V$12&lt;&gt;"",V$14&lt;&gt;""),IF(EOMONTH($V$3+INT((DAY(EOMONTH($V$3,0))-1)/2)+V$14,0)=EOMONTH($AL$3,0),V$12,0),0),IF(AND(R$12&lt;&gt;"",R$14&lt;&gt;""),IF(EOMONTH($R$3+INT((DAY(EOMONTH($R$3,0))-1)/2)+R$14,0)=EOMONTH($AL$3,0),R$12,0),0),IF(AND(N$12&lt;&gt;"",N$14&lt;&gt;""),IF(EOMONTH($N$3+INT((DAY(EOMONTH($N$3,0))-1)/2)+N$14,0)=EOMONTH($AL$3,0),N$12,0),0),IF(AND(J$12&lt;&gt;"",J$14&lt;&gt;""),IF(EOMONTH($J$3+INT((DAY(EOMONTH($J$3,0))-1)/2)+J$14,0)=EOMONTH($AL$3,0),J$12,0),0),IF(AND(F$12&lt;&gt;"",F$14&lt;&gt;""),IF(EOMONTH($F$3+INT((DAY(EOMONTH($F$3,0))-1)/2)+F$14,0)=EOMONTH($AL$3,0),F$12,0),0),IF($EP$75="",0,IF(EOMONTH($EP$75+EP$14,0)=EOMONTH($AL$3,0),$EP$77,0))),0)</f>
        <v>0</v>
      </c>
      <c r="AM20" s="14">
        <f t="shared" si="206"/>
        <v>0</v>
      </c>
      <c r="AN20" s="15">
        <f t="shared" si="206"/>
        <v>0</v>
      </c>
      <c r="AO20" s="16">
        <f t="shared" si="21"/>
        <v>0</v>
      </c>
      <c r="AP20" s="13">
        <f t="shared" ref="AP20:AR20" si="207">ROUND(SUM(IF(AND(EP$12&lt;&gt;"",EP$14&lt;&gt;""),IF(EOMONTH($EP$3+INT((DAY(EOMONTH($EP$3,0))-1)/2)+EP$14,0)=EOMONTH($AP$3,0),EP$12,0),0),IF(AND(EL$12&lt;&gt;"",EL$14&lt;&gt;""),IF(EOMONTH($EL$3+INT((DAY(EOMONTH($EL$3,0))-1)/2)+EL$14,0)=EOMONTH($AP$3,0),EL$12,0),0),IF(AND(EH$12&lt;&gt;"",EH$14&lt;&gt;""),IF(EOMONTH($EH$3+INT((DAY(EOMONTH($EH$3,0))-1)/2)+EH$14,0)=EOMONTH($AP$3,0),EH$12,0),0),IF(AND(ED$12&lt;&gt;"",ED$14&lt;&gt;""),IF(EOMONTH($ED$3+INT((DAY(EOMONTH($ED$3,0))-1)/2)+ED$14,0)=EOMONTH($AP$3,0),ED$12,0),0),IF(AND(DZ$12&lt;&gt;"",DZ$14&lt;&gt;""),IF(EOMONTH($DZ$3+INT((DAY(EOMONTH($DZ$3,0))-1)/2)+DZ$14,0)=EOMONTH($AP$3,0),DZ$12,0),0),IF(AND(DV$12&lt;&gt;"",DV$14&lt;&gt;""),IF(EOMONTH($DV$3+INT((DAY(EOMONTH($DV$3,0))-1)/2)+DV$14,0)=EOMONTH($AP$3,0),DV$12,0),0),IF(AND(DR$12&lt;&gt;"",DR$14&lt;&gt;""),IF(EOMONTH($DR$3+INT((DAY(EOMONTH($DR$3,0))-1)/2)+DR$14,0)=EOMONTH($AP$3,0),DR$12,0),0),IF(AND(DN$12&lt;&gt;"",DN$14&lt;&gt;""),IF(EOMONTH($DN$3+INT((DAY(EOMONTH($DN$3,0))-1)/2)+DN$14,0)=EOMONTH($AP$3,0),DN$12,0),0),IF(AND(DJ$12&lt;&gt;"",DJ$14&lt;&gt;""),IF(EOMONTH($DJ$3+INT((DAY(EOMONTH($DJ$3,0))-1)/2)+DJ$14,0)=EOMONTH($AP$3,0),DJ$12,0),0),IF(AND(DF$12&lt;&gt;"",DF$14&lt;&gt;""),IF(EOMONTH($DF$3+INT((DAY(EOMONTH($DF$3,0))-1)/2)+DF$14,0)=EOMONTH($AP$3,0),DF$12,0),0),IF(AND(DB$12&lt;&gt;"",DB$14&lt;&gt;""),IF(EOMONTH($DB$3+INT((DAY(EOMONTH($DB$3,0))-1)/2)+DB$14,0)=EOMONTH($AP$3,0),DB$12,0),0),IF(AND(CX$12&lt;&gt;"",CX$14&lt;&gt;""),IF(EOMONTH($CX$3+INT((DAY(EOMONTH($CX$3,0))-1)/2)+CX$14,0)=EOMONTH($AP$3,0),CX$12,0),0),IF(AND(CT$12&lt;&gt;"",CT$14&lt;&gt;""),IF(EOMONTH($CT$3+INT((DAY(EOMONTH($CT$3,0))-1)/2)+CT$14,0)=EOMONTH($AP$3,0),CT$12,0),0),IF(AND(CP$12&lt;&gt;"",CP$14&lt;&gt;""),IF(EOMONTH($CP$3+INT((DAY(EOMONTH($CP$3,0))-1)/2)+CP$14,0)=EOMONTH($AP$3,0),CP$12,0),0),IF(AND(CL$12&lt;&gt;"",CL$14&lt;&gt;""),IF(EOMONTH($CL$3+INT((DAY(EOMONTH($CL$3,0))-1)/2)+CL$14,0)=EOMONTH($AP$3,0),CL$12,0),0),IF(AND(CH$12&lt;&gt;"",CH$14&lt;&gt;""),IF(EOMONTH($CH$3+INT((DAY(EOMONTH($CH$3,0))-1)/2)+CH$14,0)=EOMONTH($AP$3,0),CH$12,0),0),IF(AND(CD$12&lt;&gt;"",CD$14&lt;&gt;""),IF(EOMONTH($CD$3+INT((DAY(EOMONTH($CD$3,0))-1)/2)+CD$14,0)=EOMONTH($AP$3,0),CD$12,0),0),IF(AND(BZ$12&lt;&gt;"",BZ$14&lt;&gt;""),IF(EOMONTH($BZ$3+INT((DAY(EOMONTH($BZ$3,0))-1)/2)+BZ$14,0)=EOMONTH($AP$3,0),BZ$12,0),0),IF(AND(BV$12&lt;&gt;"",BV$14&lt;&gt;""),IF(EOMONTH($BV$3+INT((DAY(EOMONTH($BV$3,0))-1)/2)+BV$14,0)=EOMONTH($AP$3,0),BV$12,0),0),IF(AND(BR$12&lt;&gt;"",BR$14&lt;&gt;""),IF(EOMONTH($BR$3+INT((DAY(EOMONTH($BR$3,0))-1)/2)+BR$14,0)=EOMONTH($AP$3,0),BR$12,0),0),IF(AND(BN$12&lt;&gt;"",BN$14&lt;&gt;""),IF(EOMONTH($BN$3+INT((DAY(EOMONTH($BN$3,0))-1)/2)+BN$14,0)=EOMONTH($AP$3,0),BN$12,0),0),IF(AND(BJ$12&lt;&gt;"",BJ$14&lt;&gt;""),IF(EOMONTH($BJ$3+INT((DAY(EOMONTH($BJ$3,0))-1)/2)+BJ$14,0)=EOMONTH($AP$3,0),BJ$12,0),0),IF(AND(BF$12&lt;&gt;"",BF$14&lt;&gt;""),IF(EOMONTH($BF$3+INT((DAY(EOMONTH($BF$3,0))-1)/2)+BF$14,0)=EOMONTH($AP$3,0),BF$12,0),0),IF(AND(BB$12&lt;&gt;"",BB$14&lt;&gt;""),IF(EOMONTH($BB$3+INT((DAY(EOMONTH($BB$3,0))-1)/2)+BB$14,0)=EOMONTH($AP$3,0),BB$12,0),0),IF(AND(AX$12&lt;&gt;"",AX$14&lt;&gt;""),IF(EOMONTH($AX$3+INT((DAY(EOMONTH($AX$3,0))-1)/2)+AX$14,0)=EOMONTH($AP$3,0),AX$12,0),0),IF(AND(AT$12&lt;&gt;"",AT$14&lt;&gt;""),IF(EOMONTH($AT$3+INT((DAY(EOMONTH($AT$3,0))-1)/2)+AT$14,0)=EOMONTH($AP$3,0),AT$12,0),0),IF(AND(AP$12&lt;&gt;"",AP$14&lt;&gt;""),IF(EOMONTH($AP$3+INT((DAY(EOMONTH($AP$3,0))-1)/2)+AP$14,0)=EOMONTH($AP$3,0),AP$12,0),0),IF(AND(AL$12&lt;&gt;"",AL$14&lt;&gt;""),IF(EOMONTH($AL$3+INT((DAY(EOMONTH($AL$3,0))-1)/2)+AL$14,0)=EOMONTH($AP$3,0),AL$12,0),0),IF(AND(AH$12&lt;&gt;"",AH$14&lt;&gt;""),IF(EOMONTH($AH$3+INT((DAY(EOMONTH($AH$3,0))-1)/2)+AH$14,0)=EOMONTH($AP$3,0),AH$12,0),0),IF(AND(AD$12&lt;&gt;"",AD$14&lt;&gt;""),IF(EOMONTH($AD$3+INT((DAY(EOMONTH($AD$3,0))-1)/2)+AD$14,0)=EOMONTH($AP$3,0),AD$12,0),0),IF(AND(Z$12&lt;&gt;"",Z$14&lt;&gt;""),IF(EOMONTH($Z$3+INT((DAY(EOMONTH($Z$3,0))-1)/2)+Z$14,0)=EOMONTH($AP$3,0),Z$12,0),0),IF(AND(V$12&lt;&gt;"",V$14&lt;&gt;""),IF(EOMONTH($V$3+INT((DAY(EOMONTH($V$3,0))-1)/2)+V$14,0)=EOMONTH($AP$3,0),V$12,0),0),IF(AND(R$12&lt;&gt;"",R$14&lt;&gt;""),IF(EOMONTH($R$3+INT((DAY(EOMONTH($R$3,0))-1)/2)+R$14,0)=EOMONTH($AP$3,0),R$12,0),0),IF(AND(N$12&lt;&gt;"",N$14&lt;&gt;""),IF(EOMONTH($N$3+INT((DAY(EOMONTH($N$3,0))-1)/2)+N$14,0)=EOMONTH($AP$3,0),N$12,0),0),IF(AND(J$12&lt;&gt;"",J$14&lt;&gt;""),IF(EOMONTH($J$3+INT((DAY(EOMONTH($J$3,0))-1)/2)+J$14,0)=EOMONTH($AP$3,0),J$12,0),0),IF(AND(F$12&lt;&gt;"",F$14&lt;&gt;""),IF(EOMONTH($F$3+INT((DAY(EOMONTH($F$3,0))-1)/2)+F$14,0)=EOMONTH($AP$3,0),F$12,0),0),IF($EP$75="",0,IF(EOMONTH($EP$75+EP$14,0)=EOMONTH($AP$3,0),$EP$77,0))),0)</f>
        <v>0</v>
      </c>
      <c r="AQ20" s="14">
        <f t="shared" si="207"/>
        <v>0</v>
      </c>
      <c r="AR20" s="15">
        <f t="shared" si="207"/>
        <v>0</v>
      </c>
      <c r="AS20" s="16">
        <f t="shared" si="23"/>
        <v>0</v>
      </c>
      <c r="AT20" s="13">
        <f t="shared" ref="AT20:AV20" si="208">ROUND(SUM(IF(AND(EP$12&lt;&gt;"",EP$14&lt;&gt;""),IF(EOMONTH($EP$3+INT((DAY(EOMONTH($EP$3,0))-1)/2)+EP$14,0)=EOMONTH($AT$3,0),EP$12,0),0),IF(AND(EL$12&lt;&gt;"",EL$14&lt;&gt;""),IF(EOMONTH($EL$3+INT((DAY(EOMONTH($EL$3,0))-1)/2)+EL$14,0)=EOMONTH($AT$3,0),EL$12,0),0),IF(AND(EH$12&lt;&gt;"",EH$14&lt;&gt;""),IF(EOMONTH($EH$3+INT((DAY(EOMONTH($EH$3,0))-1)/2)+EH$14,0)=EOMONTH($AT$3,0),EH$12,0),0),IF(AND(ED$12&lt;&gt;"",ED$14&lt;&gt;""),IF(EOMONTH($ED$3+INT((DAY(EOMONTH($ED$3,0))-1)/2)+ED$14,0)=EOMONTH($AT$3,0),ED$12,0),0),IF(AND(DZ$12&lt;&gt;"",DZ$14&lt;&gt;""),IF(EOMONTH($DZ$3+INT((DAY(EOMONTH($DZ$3,0))-1)/2)+DZ$14,0)=EOMONTH($AT$3,0),DZ$12,0),0),IF(AND(DV$12&lt;&gt;"",DV$14&lt;&gt;""),IF(EOMONTH($DV$3+INT((DAY(EOMONTH($DV$3,0))-1)/2)+DV$14,0)=EOMONTH($AT$3,0),DV$12,0),0),IF(AND(DR$12&lt;&gt;"",DR$14&lt;&gt;""),IF(EOMONTH($DR$3+INT((DAY(EOMONTH($DR$3,0))-1)/2)+DR$14,0)=EOMONTH($AT$3,0),DR$12,0),0),IF(AND(DN$12&lt;&gt;"",DN$14&lt;&gt;""),IF(EOMONTH($DN$3+INT((DAY(EOMONTH($DN$3,0))-1)/2)+DN$14,0)=EOMONTH($AT$3,0),DN$12,0),0),IF(AND(DJ$12&lt;&gt;"",DJ$14&lt;&gt;""),IF(EOMONTH($DJ$3+INT((DAY(EOMONTH($DJ$3,0))-1)/2)+DJ$14,0)=EOMONTH($AT$3,0),DJ$12,0),0),IF(AND(DF$12&lt;&gt;"",DF$14&lt;&gt;""),IF(EOMONTH($DF$3+INT((DAY(EOMONTH($DF$3,0))-1)/2)+DF$14,0)=EOMONTH($AT$3,0),DF$12,0),0),IF(AND(DB$12&lt;&gt;"",DB$14&lt;&gt;""),IF(EOMONTH($DB$3+INT((DAY(EOMONTH($DB$3,0))-1)/2)+DB$14,0)=EOMONTH($AT$3,0),DB$12,0),0),IF(AND(CX$12&lt;&gt;"",CX$14&lt;&gt;""),IF(EOMONTH($CX$3+INT((DAY(EOMONTH($CX$3,0))-1)/2)+CX$14,0)=EOMONTH($AT$3,0),CX$12,0),0),IF(AND(CT$12&lt;&gt;"",CT$14&lt;&gt;""),IF(EOMONTH($CT$3+INT((DAY(EOMONTH($CT$3,0))-1)/2)+CT$14,0)=EOMONTH($AT$3,0),CT$12,0),0),IF(AND(CP$12&lt;&gt;"",CP$14&lt;&gt;""),IF(EOMONTH($CP$3+INT((DAY(EOMONTH($CP$3,0))-1)/2)+CP$14,0)=EOMONTH($AT$3,0),CP$12,0),0),IF(AND(CL$12&lt;&gt;"",CL$14&lt;&gt;""),IF(EOMONTH($CL$3+INT((DAY(EOMONTH($CL$3,0))-1)/2)+CL$14,0)=EOMONTH($AT$3,0),CL$12,0),0),IF(AND(CH$12&lt;&gt;"",CH$14&lt;&gt;""),IF(EOMONTH($CH$3+INT((DAY(EOMONTH($CH$3,0))-1)/2)+CH$14,0)=EOMONTH($AT$3,0),CH$12,0),0),IF(AND(CD$12&lt;&gt;"",CD$14&lt;&gt;""),IF(EOMONTH($CD$3+INT((DAY(EOMONTH($CD$3,0))-1)/2)+CD$14,0)=EOMONTH($AT$3,0),CD$12,0),0),IF(AND(BZ$12&lt;&gt;"",BZ$14&lt;&gt;""),IF(EOMONTH($BZ$3+INT((DAY(EOMONTH($BZ$3,0))-1)/2)+BZ$14,0)=EOMONTH($AT$3,0),BZ$12,0),0),IF(AND(BV$12&lt;&gt;"",BV$14&lt;&gt;""),IF(EOMONTH($BV$3+INT((DAY(EOMONTH($BV$3,0))-1)/2)+BV$14,0)=EOMONTH($AT$3,0),BV$12,0),0),IF(AND(BR$12&lt;&gt;"",BR$14&lt;&gt;""),IF(EOMONTH($BR$3+INT((DAY(EOMONTH($BR$3,0))-1)/2)+BR$14,0)=EOMONTH($AT$3,0),BR$12,0),0),IF(AND(BN$12&lt;&gt;"",BN$14&lt;&gt;""),IF(EOMONTH($BN$3+INT((DAY(EOMONTH($BN$3,0))-1)/2)+BN$14,0)=EOMONTH($AT$3,0),BN$12,0),0),IF(AND(BJ$12&lt;&gt;"",BJ$14&lt;&gt;""),IF(EOMONTH($BJ$3+INT((DAY(EOMONTH($BJ$3,0))-1)/2)+BJ$14,0)=EOMONTH($AT$3,0),BJ$12,0),0),IF(AND(BF$12&lt;&gt;"",BF$14&lt;&gt;""),IF(EOMONTH($BF$3+INT((DAY(EOMONTH($BF$3,0))-1)/2)+BF$14,0)=EOMONTH($AT$3,0),BF$12,0),0),IF(AND(BB$12&lt;&gt;"",BB$14&lt;&gt;""),IF(EOMONTH($BB$3+INT((DAY(EOMONTH($BB$3,0))-1)/2)+BB$14,0)=EOMONTH($AT$3,0),BB$12,0),0),IF(AND(AX$12&lt;&gt;"",AX$14&lt;&gt;""),IF(EOMONTH($AX$3+INT((DAY(EOMONTH($AX$3,0))-1)/2)+AX$14,0)=EOMONTH($AT$3,0),AX$12,0),0),IF(AND(AT$12&lt;&gt;"",AT$14&lt;&gt;""),IF(EOMONTH($AT$3+INT((DAY(EOMONTH($AT$3,0))-1)/2)+AT$14,0)=EOMONTH($AT$3,0),AT$12,0),0),IF(AND(AP$12&lt;&gt;"",AP$14&lt;&gt;""),IF(EOMONTH($AP$3+INT((DAY(EOMONTH($AP$3,0))-1)/2)+AP$14,0)=EOMONTH($AT$3,0),AP$12,0),0),IF(AND(AL$12&lt;&gt;"",AL$14&lt;&gt;""),IF(EOMONTH($AL$3+INT((DAY(EOMONTH($AL$3,0))-1)/2)+AL$14,0)=EOMONTH($AT$3,0),AL$12,0),0),IF(AND(AH$12&lt;&gt;"",AH$14&lt;&gt;""),IF(EOMONTH($AH$3+INT((DAY(EOMONTH($AH$3,0))-1)/2)+AH$14,0)=EOMONTH($AT$3,0),AH$12,0),0),IF(AND(AD$12&lt;&gt;"",AD$14&lt;&gt;""),IF(EOMONTH($AD$3+INT((DAY(EOMONTH($AD$3,0))-1)/2)+AD$14,0)=EOMONTH($AT$3,0),AD$12,0),0),IF(AND(Z$12&lt;&gt;"",Z$14&lt;&gt;""),IF(EOMONTH($Z$3+INT((DAY(EOMONTH($Z$3,0))-1)/2)+Z$14,0)=EOMONTH($AT$3,0),Z$12,0),0),IF(AND(V$12&lt;&gt;"",V$14&lt;&gt;""),IF(EOMONTH($V$3+INT((DAY(EOMONTH($V$3,0))-1)/2)+V$14,0)=EOMONTH($AT$3,0),V$12,0),0),IF(AND(R$12&lt;&gt;"",R$14&lt;&gt;""),IF(EOMONTH($R$3+INT((DAY(EOMONTH($R$3,0))-1)/2)+R$14,0)=EOMONTH($AT$3,0),R$12,0),0),IF(AND(N$12&lt;&gt;"",N$14&lt;&gt;""),IF(EOMONTH($N$3+INT((DAY(EOMONTH($N$3,0))-1)/2)+N$14,0)=EOMONTH($AT$3,0),N$12,0),0),IF(AND(J$12&lt;&gt;"",J$14&lt;&gt;""),IF(EOMONTH($J$3+INT((DAY(EOMONTH($J$3,0))-1)/2)+J$14,0)=EOMONTH($AT$3,0),J$12,0),0),IF(AND(F$12&lt;&gt;"",F$14&lt;&gt;""),IF(EOMONTH($F$3+INT((DAY(EOMONTH($F$3,0))-1)/2)+F$14,0)=EOMONTH($AT$3,0),F$12,0),0),IF($EP$75="",0,IF(EOMONTH($EP$75+EP$14,0)=EOMONTH($AT$3,0),$EP$77,0))),0)</f>
        <v>0</v>
      </c>
      <c r="AU20" s="14">
        <f t="shared" si="208"/>
        <v>0</v>
      </c>
      <c r="AV20" s="15">
        <f t="shared" si="208"/>
        <v>0</v>
      </c>
      <c r="AW20" s="16">
        <f t="shared" si="25"/>
        <v>0</v>
      </c>
      <c r="AX20" s="13">
        <f t="shared" ref="AX20:AZ20" si="209">ROUND(SUM(IF(AND(EP$12&lt;&gt;"",EP$14&lt;&gt;""),IF(EOMONTH($EP$3+INT((DAY(EOMONTH($EP$3,0))-1)/2)+EP$14,0)=EOMONTH($AX$3,0),EP$12,0),0),IF(AND(EL$12&lt;&gt;"",EL$14&lt;&gt;""),IF(EOMONTH($EL$3+INT((DAY(EOMONTH($EL$3,0))-1)/2)+EL$14,0)=EOMONTH($AX$3,0),EL$12,0),0),IF(AND(EH$12&lt;&gt;"",EH$14&lt;&gt;""),IF(EOMONTH($EH$3+INT((DAY(EOMONTH($EH$3,0))-1)/2)+EH$14,0)=EOMONTH($AX$3,0),EH$12,0),0),IF(AND(ED$12&lt;&gt;"",ED$14&lt;&gt;""),IF(EOMONTH($ED$3+INT((DAY(EOMONTH($ED$3,0))-1)/2)+ED$14,0)=EOMONTH($AX$3,0),ED$12,0),0),IF(AND(DZ$12&lt;&gt;"",DZ$14&lt;&gt;""),IF(EOMONTH($DZ$3+INT((DAY(EOMONTH($DZ$3,0))-1)/2)+DZ$14,0)=EOMONTH($AX$3,0),DZ$12,0),0),IF(AND(DV$12&lt;&gt;"",DV$14&lt;&gt;""),IF(EOMONTH($DV$3+INT((DAY(EOMONTH($DV$3,0))-1)/2)+DV$14,0)=EOMONTH($AX$3,0),DV$12,0),0),IF(AND(DR$12&lt;&gt;"",DR$14&lt;&gt;""),IF(EOMONTH($DR$3+INT((DAY(EOMONTH($DR$3,0))-1)/2)+DR$14,0)=EOMONTH($AX$3,0),DR$12,0),0),IF(AND(DN$12&lt;&gt;"",DN$14&lt;&gt;""),IF(EOMONTH($DN$3+INT((DAY(EOMONTH($DN$3,0))-1)/2)+DN$14,0)=EOMONTH($AX$3,0),DN$12,0),0),IF(AND(DJ$12&lt;&gt;"",DJ$14&lt;&gt;""),IF(EOMONTH($DJ$3+INT((DAY(EOMONTH($DJ$3,0))-1)/2)+DJ$14,0)=EOMONTH($AX$3,0),DJ$12,0),0),IF(AND(DF$12&lt;&gt;"",DF$14&lt;&gt;""),IF(EOMONTH($DF$3+INT((DAY(EOMONTH($DF$3,0))-1)/2)+DF$14,0)=EOMONTH($AX$3,0),DF$12,0),0),IF(AND(DB$12&lt;&gt;"",DB$14&lt;&gt;""),IF(EOMONTH($DB$3+INT((DAY(EOMONTH($DB$3,0))-1)/2)+DB$14,0)=EOMONTH($AX$3,0),DB$12,0),0),IF(AND(CX$12&lt;&gt;"",CX$14&lt;&gt;""),IF(EOMONTH($CX$3+INT((DAY(EOMONTH($CX$3,0))-1)/2)+CX$14,0)=EOMONTH($AX$3,0),CX$12,0),0),IF(AND(CT$12&lt;&gt;"",CT$14&lt;&gt;""),IF(EOMONTH($CT$3+INT((DAY(EOMONTH($CT$3,0))-1)/2)+CT$14,0)=EOMONTH($AX$3,0),CT$12,0),0),IF(AND(CP$12&lt;&gt;"",CP$14&lt;&gt;""),IF(EOMONTH($CP$3+INT((DAY(EOMONTH($CP$3,0))-1)/2)+CP$14,0)=EOMONTH($AX$3,0),CP$12,0),0),IF(AND(CL$12&lt;&gt;"",CL$14&lt;&gt;""),IF(EOMONTH($CL$3+INT((DAY(EOMONTH($CL$3,0))-1)/2)+CL$14,0)=EOMONTH($AX$3,0),CL$12,0),0),IF(AND(CH$12&lt;&gt;"",CH$14&lt;&gt;""),IF(EOMONTH($CH$3+INT((DAY(EOMONTH($CH$3,0))-1)/2)+CH$14,0)=EOMONTH($AX$3,0),CH$12,0),0),IF(AND(CD$12&lt;&gt;"",CD$14&lt;&gt;""),IF(EOMONTH($CD$3+INT((DAY(EOMONTH($CD$3,0))-1)/2)+CD$14,0)=EOMONTH($AX$3,0),CD$12,0),0),IF(AND(BZ$12&lt;&gt;"",BZ$14&lt;&gt;""),IF(EOMONTH($BZ$3+INT((DAY(EOMONTH($BZ$3,0))-1)/2)+BZ$14,0)=EOMONTH($AX$3,0),BZ$12,0),0),IF(AND(BV$12&lt;&gt;"",BV$14&lt;&gt;""),IF(EOMONTH($BV$3+INT((DAY(EOMONTH($BV$3,0))-1)/2)+BV$14,0)=EOMONTH($AX$3,0),BV$12,0),0),IF(AND(BR$12&lt;&gt;"",BR$14&lt;&gt;""),IF(EOMONTH($BR$3+INT((DAY(EOMONTH($BR$3,0))-1)/2)+BR$14,0)=EOMONTH($AX$3,0),BR$12,0),0),IF(AND(BN$12&lt;&gt;"",BN$14&lt;&gt;""),IF(EOMONTH($BN$3+INT((DAY(EOMONTH($BN$3,0))-1)/2)+BN$14,0)=EOMONTH($AX$3,0),BN$12,0),0),IF(AND(BJ$12&lt;&gt;"",BJ$14&lt;&gt;""),IF(EOMONTH($BJ$3+INT((DAY(EOMONTH($BJ$3,0))-1)/2)+BJ$14,0)=EOMONTH($AX$3,0),BJ$12,0),0),IF(AND(BF$12&lt;&gt;"",BF$14&lt;&gt;""),IF(EOMONTH($BF$3+INT((DAY(EOMONTH($BF$3,0))-1)/2)+BF$14,0)=EOMONTH($AX$3,0),BF$12,0),0),IF(AND(BB$12&lt;&gt;"",BB$14&lt;&gt;""),IF(EOMONTH($BB$3+INT((DAY(EOMONTH($BB$3,0))-1)/2)+BB$14,0)=EOMONTH($AX$3,0),BB$12,0),0),IF(AND(AX$12&lt;&gt;"",AX$14&lt;&gt;""),IF(EOMONTH($AX$3+INT((DAY(EOMONTH($AX$3,0))-1)/2)+AX$14,0)=EOMONTH($AX$3,0),AX$12,0),0),IF(AND(AT$12&lt;&gt;"",AT$14&lt;&gt;""),IF(EOMONTH($AT$3+INT((DAY(EOMONTH($AT$3,0))-1)/2)+AT$14,0)=EOMONTH($AX$3,0),AT$12,0),0),IF(AND(AP$12&lt;&gt;"",AP$14&lt;&gt;""),IF(EOMONTH($AP$3+INT((DAY(EOMONTH($AP$3,0))-1)/2)+AP$14,0)=EOMONTH($AX$3,0),AP$12,0),0),IF(AND(AL$12&lt;&gt;"",AL$14&lt;&gt;""),IF(EOMONTH($AL$3+INT((DAY(EOMONTH($AL$3,0))-1)/2)+AL$14,0)=EOMONTH($AX$3,0),AL$12,0),0),IF(AND(AH$12&lt;&gt;"",AH$14&lt;&gt;""),IF(EOMONTH($AH$3+INT((DAY(EOMONTH($AH$3,0))-1)/2)+AH$14,0)=EOMONTH($AX$3,0),AH$12,0),0),IF(AND(AD$12&lt;&gt;"",AD$14&lt;&gt;""),IF(EOMONTH($AD$3+INT((DAY(EOMONTH($AD$3,0))-1)/2)+AD$14,0)=EOMONTH($AX$3,0),AD$12,0),0),IF(AND(Z$12&lt;&gt;"",Z$14&lt;&gt;""),IF(EOMONTH($Z$3+INT((DAY(EOMONTH($Z$3,0))-1)/2)+Z$14,0)=EOMONTH($AX$3,0),Z$12,0),0),IF(AND(V$12&lt;&gt;"",V$14&lt;&gt;""),IF(EOMONTH($V$3+INT((DAY(EOMONTH($V$3,0))-1)/2)+V$14,0)=EOMONTH($AX$3,0),V$12,0),0),IF(AND(R$12&lt;&gt;"",R$14&lt;&gt;""),IF(EOMONTH($R$3+INT((DAY(EOMONTH($R$3,0))-1)/2)+R$14,0)=EOMONTH($AX$3,0),R$12,0),0),IF(AND(N$12&lt;&gt;"",N$14&lt;&gt;""),IF(EOMONTH($N$3+INT((DAY(EOMONTH($N$3,0))-1)/2)+N$14,0)=EOMONTH($AX$3,0),N$12,0),0),IF(AND(J$12&lt;&gt;"",J$14&lt;&gt;""),IF(EOMONTH($J$3+INT((DAY(EOMONTH($J$3,0))-1)/2)+J$14,0)=EOMONTH($AX$3,0),J$12,0),0),IF(AND(F$12&lt;&gt;"",F$14&lt;&gt;""),IF(EOMONTH($F$3+INT((DAY(EOMONTH($F$3,0))-1)/2)+F$14,0)=EOMONTH($AX$3,0),F$12,0),0),IF($EP$75="",0,IF(EOMONTH($EP$75+EP$14,0)=EOMONTH($AX$3,0),$EP$77,0))),0)</f>
        <v>0</v>
      </c>
      <c r="AY20" s="14">
        <f t="shared" si="209"/>
        <v>0</v>
      </c>
      <c r="AZ20" s="15">
        <f t="shared" si="209"/>
        <v>0</v>
      </c>
      <c r="BA20" s="16">
        <f t="shared" si="27"/>
        <v>0</v>
      </c>
      <c r="BB20" s="13">
        <f t="shared" ref="BB20:BD20" si="210">ROUND(SUM(IF(AND(EP$12&lt;&gt;"",EP$14&lt;&gt;""),IF(EOMONTH($EP$3+INT((DAY(EOMONTH($EP$3,0))-1)/2)+EP$14,0)=EOMONTH($BB$3,0),EP$12,0),0),IF(AND(EL$12&lt;&gt;"",EL$14&lt;&gt;""),IF(EOMONTH($EL$3+INT((DAY(EOMONTH($EL$3,0))-1)/2)+EL$14,0)=EOMONTH($BB$3,0),EL$12,0),0),IF(AND(EH$12&lt;&gt;"",EH$14&lt;&gt;""),IF(EOMONTH($EH$3+INT((DAY(EOMONTH($EH$3,0))-1)/2)+EH$14,0)=EOMONTH($BB$3,0),EH$12,0),0),IF(AND(ED$12&lt;&gt;"",ED$14&lt;&gt;""),IF(EOMONTH($ED$3+INT((DAY(EOMONTH($ED$3,0))-1)/2)+ED$14,0)=EOMONTH($BB$3,0),ED$12,0),0),IF(AND(DZ$12&lt;&gt;"",DZ$14&lt;&gt;""),IF(EOMONTH($DZ$3+INT((DAY(EOMONTH($DZ$3,0))-1)/2)+DZ$14,0)=EOMONTH($BB$3,0),DZ$12,0),0),IF(AND(DV$12&lt;&gt;"",DV$14&lt;&gt;""),IF(EOMONTH($DV$3+INT((DAY(EOMONTH($DV$3,0))-1)/2)+DV$14,0)=EOMONTH($BB$3,0),DV$12,0),0),IF(AND(DR$12&lt;&gt;"",DR$14&lt;&gt;""),IF(EOMONTH($DR$3+INT((DAY(EOMONTH($DR$3,0))-1)/2)+DR$14,0)=EOMONTH($BB$3,0),DR$12,0),0),IF(AND(DN$12&lt;&gt;"",DN$14&lt;&gt;""),IF(EOMONTH($DN$3+INT((DAY(EOMONTH($DN$3,0))-1)/2)+DN$14,0)=EOMONTH($BB$3,0),DN$12,0),0),IF(AND(DJ$12&lt;&gt;"",DJ$14&lt;&gt;""),IF(EOMONTH($DJ$3+INT((DAY(EOMONTH($DJ$3,0))-1)/2)+DJ$14,0)=EOMONTH($BB$3,0),DJ$12,0),0),IF(AND(DF$12&lt;&gt;"",DF$14&lt;&gt;""),IF(EOMONTH($DF$3+INT((DAY(EOMONTH($DF$3,0))-1)/2)+DF$14,0)=EOMONTH($BB$3,0),DF$12,0),0),IF(AND(DB$12&lt;&gt;"",DB$14&lt;&gt;""),IF(EOMONTH($DB$3+INT((DAY(EOMONTH($DB$3,0))-1)/2)+DB$14,0)=EOMONTH($BB$3,0),DB$12,0),0),IF(AND(CX$12&lt;&gt;"",CX$14&lt;&gt;""),IF(EOMONTH($CX$3+INT((DAY(EOMONTH($CX$3,0))-1)/2)+CX$14,0)=EOMONTH($BB$3,0),CX$12,0),0),IF(AND(CT$12&lt;&gt;"",CT$14&lt;&gt;""),IF(EOMONTH($CT$3+INT((DAY(EOMONTH($CT$3,0))-1)/2)+CT$14,0)=EOMONTH($BB$3,0),CT$12,0),0),IF(AND(CP$12&lt;&gt;"",CP$14&lt;&gt;""),IF(EOMONTH($CP$3+INT((DAY(EOMONTH($CP$3,0))-1)/2)+CP$14,0)=EOMONTH($BB$3,0),CP$12,0),0),IF(AND(CL$12&lt;&gt;"",CL$14&lt;&gt;""),IF(EOMONTH($CL$3+INT((DAY(EOMONTH($CL$3,0))-1)/2)+CL$14,0)=EOMONTH($BB$3,0),CL$12,0),0),IF(AND(CH$12&lt;&gt;"",CH$14&lt;&gt;""),IF(EOMONTH($CH$3+INT((DAY(EOMONTH($CH$3,0))-1)/2)+CH$14,0)=EOMONTH($BB$3,0),CH$12,0),0),IF(AND(CD$12&lt;&gt;"",CD$14&lt;&gt;""),IF(EOMONTH($CD$3+INT((DAY(EOMONTH($CD$3,0))-1)/2)+CD$14,0)=EOMONTH($BB$3,0),CD$12,0),0),IF(AND(BZ$12&lt;&gt;"",BZ$14&lt;&gt;""),IF(EOMONTH($BZ$3+INT((DAY(EOMONTH($BZ$3,0))-1)/2)+BZ$14,0)=EOMONTH($BB$3,0),BZ$12,0),0),IF(AND(BV$12&lt;&gt;"",BV$14&lt;&gt;""),IF(EOMONTH($BV$3+INT((DAY(EOMONTH($BV$3,0))-1)/2)+BV$14,0)=EOMONTH($BB$3,0),BV$12,0),0),IF(AND(BR$12&lt;&gt;"",BR$14&lt;&gt;""),IF(EOMONTH($BR$3+INT((DAY(EOMONTH($BR$3,0))-1)/2)+BR$14,0)=EOMONTH($BB$3,0),BR$12,0),0),IF(AND(BN$12&lt;&gt;"",BN$14&lt;&gt;""),IF(EOMONTH($BN$3+INT((DAY(EOMONTH($BN$3,0))-1)/2)+BN$14,0)=EOMONTH($BB$3,0),BN$12,0),0),IF(AND(BJ$12&lt;&gt;"",BJ$14&lt;&gt;""),IF(EOMONTH($BJ$3+INT((DAY(EOMONTH($BJ$3,0))-1)/2)+BJ$14,0)=EOMONTH($BB$3,0),BJ$12,0),0),IF(AND(BF$12&lt;&gt;"",BF$14&lt;&gt;""),IF(EOMONTH($BF$3+INT((DAY(EOMONTH($BF$3,0))-1)/2)+BF$14,0)=EOMONTH($BB$3,0),BF$12,0),0),IF(AND(BB$12&lt;&gt;"",BB$14&lt;&gt;""),IF(EOMONTH($BB$3+INT((DAY(EOMONTH($BB$3,0))-1)/2)+BB$14,0)=EOMONTH($BB$3,0),BB$12,0),0),IF(AND(AX$12&lt;&gt;"",AX$14&lt;&gt;""),IF(EOMONTH($AX$3+INT((DAY(EOMONTH($AX$3,0))-1)/2)+AX$14,0)=EOMONTH($BB$3,0),AX$12,0),0),IF(AND(AT$12&lt;&gt;"",AT$14&lt;&gt;""),IF(EOMONTH($AT$3+INT((DAY(EOMONTH($AT$3,0))-1)/2)+AT$14,0)=EOMONTH($BB$3,0),AT$12,0),0),IF(AND(AP$12&lt;&gt;"",AP$14&lt;&gt;""),IF(EOMONTH($AP$3+INT((DAY(EOMONTH($AP$3,0))-1)/2)+AP$14,0)=EOMONTH($BB$3,0),AP$12,0),0),IF(AND(AL$12&lt;&gt;"",AL$14&lt;&gt;""),IF(EOMONTH($AL$3+INT((DAY(EOMONTH($AL$3,0))-1)/2)+AL$14,0)=EOMONTH($BB$3,0),AL$12,0),0),IF(AND(AH$12&lt;&gt;"",AH$14&lt;&gt;""),IF(EOMONTH($AH$3+INT((DAY(EOMONTH($AH$3,0))-1)/2)+AH$14,0)=EOMONTH($BB$3,0),AH$12,0),0),IF(AND(AD$12&lt;&gt;"",AD$14&lt;&gt;""),IF(EOMONTH($AD$3+INT((DAY(EOMONTH($AD$3,0))-1)/2)+AD$14,0)=EOMONTH($BB$3,0),AD$12,0),0),IF(AND(Z$12&lt;&gt;"",Z$14&lt;&gt;""),IF(EOMONTH($Z$3+INT((DAY(EOMONTH($Z$3,0))-1)/2)+Z$14,0)=EOMONTH($BB$3,0),Z$12,0),0),IF(AND(V$12&lt;&gt;"",V$14&lt;&gt;""),IF(EOMONTH($V$3+INT((DAY(EOMONTH($V$3,0))-1)/2)+V$14,0)=EOMONTH($BB$3,0),V$12,0),0),IF(AND(R$12&lt;&gt;"",R$14&lt;&gt;""),IF(EOMONTH($R$3+INT((DAY(EOMONTH($R$3,0))-1)/2)+R$14,0)=EOMONTH($BB$3,0),R$12,0),0),IF(AND(N$12&lt;&gt;"",N$14&lt;&gt;""),IF(EOMONTH($N$3+INT((DAY(EOMONTH($N$3,0))-1)/2)+N$14,0)=EOMONTH($BB$3,0),N$12,0),0),IF(AND(J$12&lt;&gt;"",J$14&lt;&gt;""),IF(EOMONTH($J$3+INT((DAY(EOMONTH($J$3,0))-1)/2)+J$14,0)=EOMONTH($BB$3,0),J$12,0),0),IF(AND(F$12&lt;&gt;"",F$14&lt;&gt;""),IF(EOMONTH($F$3+INT((DAY(EOMONTH($F$3,0))-1)/2)+F$14,0)=EOMONTH($BB$3,0),F$12,0),0),IF($EP$75="",0,IF(EOMONTH($EP$75+EP$14,0)=EOMONTH($BB$3,0),$EP$77,0))),0)</f>
        <v>0</v>
      </c>
      <c r="BC20" s="14">
        <f t="shared" si="210"/>
        <v>0</v>
      </c>
      <c r="BD20" s="15">
        <f t="shared" si="210"/>
        <v>0</v>
      </c>
      <c r="BE20" s="16">
        <f t="shared" si="29"/>
        <v>0</v>
      </c>
      <c r="BF20" s="13">
        <f t="shared" ref="BF20:BH20" si="211">ROUND(SUM(IF(AND(EP$12&lt;&gt;"",EP$14&lt;&gt;""),IF(EOMONTH($EP$3+INT((DAY(EOMONTH($EP$3,0))-1)/2)+EP$14,0)=EOMONTH($BF$3,0),EP$12,0),0),IF(AND(EL$12&lt;&gt;"",EL$14&lt;&gt;""),IF(EOMONTH($EL$3+INT((DAY(EOMONTH($EL$3,0))-1)/2)+EL$14,0)=EOMONTH($BF$3,0),EL$12,0),0),IF(AND(EH$12&lt;&gt;"",EH$14&lt;&gt;""),IF(EOMONTH($EH$3+INT((DAY(EOMONTH($EH$3,0))-1)/2)+EH$14,0)=EOMONTH($BF$3,0),EH$12,0),0),IF(AND(ED$12&lt;&gt;"",ED$14&lt;&gt;""),IF(EOMONTH($ED$3+INT((DAY(EOMONTH($ED$3,0))-1)/2)+ED$14,0)=EOMONTH($BF$3,0),ED$12,0),0),IF(AND(DZ$12&lt;&gt;"",DZ$14&lt;&gt;""),IF(EOMONTH($DZ$3+INT((DAY(EOMONTH($DZ$3,0))-1)/2)+DZ$14,0)=EOMONTH($BF$3,0),DZ$12,0),0),IF(AND(DV$12&lt;&gt;"",DV$14&lt;&gt;""),IF(EOMONTH($DV$3+INT((DAY(EOMONTH($DV$3,0))-1)/2)+DV$14,0)=EOMONTH($BF$3,0),DV$12,0),0),IF(AND(DR$12&lt;&gt;"",DR$14&lt;&gt;""),IF(EOMONTH($DR$3+INT((DAY(EOMONTH($DR$3,0))-1)/2)+DR$14,0)=EOMONTH($BF$3,0),DR$12,0),0),IF(AND(DN$12&lt;&gt;"",DN$14&lt;&gt;""),IF(EOMONTH($DN$3+INT((DAY(EOMONTH($DN$3,0))-1)/2)+DN$14,0)=EOMONTH($BF$3,0),DN$12,0),0),IF(AND(DJ$12&lt;&gt;"",DJ$14&lt;&gt;""),IF(EOMONTH($DJ$3+INT((DAY(EOMONTH($DJ$3,0))-1)/2)+DJ$14,0)=EOMONTH($BF$3,0),DJ$12,0),0),IF(AND(DF$12&lt;&gt;"",DF$14&lt;&gt;""),IF(EOMONTH($DF$3+INT((DAY(EOMONTH($DF$3,0))-1)/2)+DF$14,0)=EOMONTH($BF$3,0),DF$12,0),0),IF(AND(DB$12&lt;&gt;"",DB$14&lt;&gt;""),IF(EOMONTH($DB$3+INT((DAY(EOMONTH($DB$3,0))-1)/2)+DB$14,0)=EOMONTH($BF$3,0),DB$12,0),0),IF(AND(CX$12&lt;&gt;"",CX$14&lt;&gt;""),IF(EOMONTH($CX$3+INT((DAY(EOMONTH($CX$3,0))-1)/2)+CX$14,0)=EOMONTH($BF$3,0),CX$12,0),0),IF(AND(CT$12&lt;&gt;"",CT$14&lt;&gt;""),IF(EOMONTH($CT$3+INT((DAY(EOMONTH($CT$3,0))-1)/2)+CT$14,0)=EOMONTH($BF$3,0),CT$12,0),0),IF(AND(CP$12&lt;&gt;"",CP$14&lt;&gt;""),IF(EOMONTH($CP$3+INT((DAY(EOMONTH($CP$3,0))-1)/2)+CP$14,0)=EOMONTH($BF$3,0),CP$12,0),0),IF(AND(CL$12&lt;&gt;"",CL$14&lt;&gt;""),IF(EOMONTH($CL$3+INT((DAY(EOMONTH($CL$3,0))-1)/2)+CL$14,0)=EOMONTH($BF$3,0),CL$12,0),0),IF(AND(CH$12&lt;&gt;"",CH$14&lt;&gt;""),IF(EOMONTH($CH$3+INT((DAY(EOMONTH($CH$3,0))-1)/2)+CH$14,0)=EOMONTH($BF$3,0),CH$12,0),0),IF(AND(CD$12&lt;&gt;"",CD$14&lt;&gt;""),IF(EOMONTH($CD$3+INT((DAY(EOMONTH($CD$3,0))-1)/2)+CD$14,0)=EOMONTH($BF$3,0),CD$12,0),0),IF(AND(BZ$12&lt;&gt;"",BZ$14&lt;&gt;""),IF(EOMONTH($BZ$3+INT((DAY(EOMONTH($BZ$3,0))-1)/2)+BZ$14,0)=EOMONTH($BF$3,0),BZ$12,0),0),IF(AND(BV$12&lt;&gt;"",BV$14&lt;&gt;""),IF(EOMONTH($BV$3+INT((DAY(EOMONTH($BV$3,0))-1)/2)+BV$14,0)=EOMONTH($BF$3,0),BV$12,0),0),IF(AND(BR$12&lt;&gt;"",BR$14&lt;&gt;""),IF(EOMONTH($BR$3+INT((DAY(EOMONTH($BR$3,0))-1)/2)+BR$14,0)=EOMONTH($BF$3,0),BR$12,0),0),IF(AND(BN$12&lt;&gt;"",BN$14&lt;&gt;""),IF(EOMONTH($BN$3+INT((DAY(EOMONTH($BN$3,0))-1)/2)+BN$14,0)=EOMONTH($BF$3,0),BN$12,0),0),IF(AND(BJ$12&lt;&gt;"",BJ$14&lt;&gt;""),IF(EOMONTH($BJ$3+INT((DAY(EOMONTH($BJ$3,0))-1)/2)+BJ$14,0)=EOMONTH($BF$3,0),BJ$12,0),0),IF(AND(BF$12&lt;&gt;"",BF$14&lt;&gt;""),IF(EOMONTH($BF$3+INT((DAY(EOMONTH($BF$3,0))-1)/2)+BF$14,0)=EOMONTH($BF$3,0),BF$12,0),0),IF(AND(BB$12&lt;&gt;"",BB$14&lt;&gt;""),IF(EOMONTH($BB$3+INT((DAY(EOMONTH($BB$3,0))-1)/2)+BB$14,0)=EOMONTH($BF$3,0),BB$12,0),0),IF(AND(AX$12&lt;&gt;"",AX$14&lt;&gt;""),IF(EOMONTH($AX$3+INT((DAY(EOMONTH($AX$3,0))-1)/2)+AX$14,0)=EOMONTH($BF$3,0),AX$12,0),0),IF(AND(AT$12&lt;&gt;"",AT$14&lt;&gt;""),IF(EOMONTH($AT$3+INT((DAY(EOMONTH($AT$3,0))-1)/2)+AT$14,0)=EOMONTH($BF$3,0),AT$12,0),0),IF(AND(AP$12&lt;&gt;"",AP$14&lt;&gt;""),IF(EOMONTH($AP$3+INT((DAY(EOMONTH($AP$3,0))-1)/2)+AP$14,0)=EOMONTH($BF$3,0),AP$12,0),0),IF(AND(AL$12&lt;&gt;"",AL$14&lt;&gt;""),IF(EOMONTH($AL$3+INT((DAY(EOMONTH($AL$3,0))-1)/2)+AL$14,0)=EOMONTH($BF$3,0),AL$12,0),0),IF(AND(AH$12&lt;&gt;"",AH$14&lt;&gt;""),IF(EOMONTH($AH$3+INT((DAY(EOMONTH($AH$3,0))-1)/2)+AH$14,0)=EOMONTH($BF$3,0),AH$12,0),0),IF(AND(AD$12&lt;&gt;"",AD$14&lt;&gt;""),IF(EOMONTH($AD$3+INT((DAY(EOMONTH($AD$3,0))-1)/2)+AD$14,0)=EOMONTH($BF$3,0),AD$12,0),0),IF(AND(Z$12&lt;&gt;"",Z$14&lt;&gt;""),IF(EOMONTH($Z$3+INT((DAY(EOMONTH($Z$3,0))-1)/2)+Z$14,0)=EOMONTH($BF$3,0),Z$12,0),0),IF(AND(V$12&lt;&gt;"",V$14&lt;&gt;""),IF(EOMONTH($V$3+INT((DAY(EOMONTH($V$3,0))-1)/2)+V$14,0)=EOMONTH($BF$3,0),V$12,0),0),IF(AND(R$12&lt;&gt;"",R$14&lt;&gt;""),IF(EOMONTH($R$3+INT((DAY(EOMONTH($R$3,0))-1)/2)+R$14,0)=EOMONTH($BF$3,0),R$12,0),0),IF(AND(N$12&lt;&gt;"",N$14&lt;&gt;""),IF(EOMONTH($N$3+INT((DAY(EOMONTH($N$3,0))-1)/2)+N$14,0)=EOMONTH($BF$3,0),N$12,0),0),IF(AND(J$12&lt;&gt;"",J$14&lt;&gt;""),IF(EOMONTH($J$3+INT((DAY(EOMONTH($J$3,0))-1)/2)+J$14,0)=EOMONTH($BF$3,0),J$12,0),0),IF(AND(F$12&lt;&gt;"",F$14&lt;&gt;""),IF(EOMONTH($F$3+INT((DAY(EOMONTH($F$3,0))-1)/2)+F$14,0)=EOMONTH($BF$3,0),F$12,0),0),IF($EP$75="",0,IF(EOMONTH($EP$75+EP$14,0)=EOMONTH($BF$3,0),$EP$77,0))),0)</f>
        <v>0</v>
      </c>
      <c r="BG20" s="14">
        <f t="shared" si="211"/>
        <v>0</v>
      </c>
      <c r="BH20" s="15">
        <f t="shared" si="211"/>
        <v>0</v>
      </c>
      <c r="BI20" s="16">
        <f t="shared" si="31"/>
        <v>0</v>
      </c>
      <c r="BJ20" s="13">
        <f t="shared" ref="BJ20:BL20" si="212">ROUND(SUM(IF(AND(EP$12&lt;&gt;"",EP$14&lt;&gt;""),IF(EOMONTH($EP$3+INT((DAY(EOMONTH($EP$3,0))-1)/2)+EP$14,0)=EOMONTH($BJ$3,0),EP$12,0),0),IF(AND(EL$12&lt;&gt;"",EL$14&lt;&gt;""),IF(EOMONTH($EL$3+INT((DAY(EOMONTH($EL$3,0))-1)/2)+EL$14,0)=EOMONTH($BJ$3,0),EL$12,0),0),IF(AND(EH$12&lt;&gt;"",EH$14&lt;&gt;""),IF(EOMONTH($EH$3+INT((DAY(EOMONTH($EH$3,0))-1)/2)+EH$14,0)=EOMONTH($BJ$3,0),EH$12,0),0),IF(AND(ED$12&lt;&gt;"",ED$14&lt;&gt;""),IF(EOMONTH($ED$3+INT((DAY(EOMONTH($ED$3,0))-1)/2)+ED$14,0)=EOMONTH($BJ$3,0),ED$12,0),0),IF(AND(DZ$12&lt;&gt;"",DZ$14&lt;&gt;""),IF(EOMONTH($DZ$3+INT((DAY(EOMONTH($DZ$3,0))-1)/2)+DZ$14,0)=EOMONTH($BJ$3,0),DZ$12,0),0),IF(AND(DV$12&lt;&gt;"",DV$14&lt;&gt;""),IF(EOMONTH($DV$3+INT((DAY(EOMONTH($DV$3,0))-1)/2)+DV$14,0)=EOMONTH($BJ$3,0),DV$12,0),0),IF(AND(DR$12&lt;&gt;"",DR$14&lt;&gt;""),IF(EOMONTH($DR$3+INT((DAY(EOMONTH($DR$3,0))-1)/2)+DR$14,0)=EOMONTH($BJ$3,0),DR$12,0),0),IF(AND(DN$12&lt;&gt;"",DN$14&lt;&gt;""),IF(EOMONTH($DN$3+INT((DAY(EOMONTH($DN$3,0))-1)/2)+DN$14,0)=EOMONTH($BJ$3,0),DN$12,0),0),IF(AND(DJ$12&lt;&gt;"",DJ$14&lt;&gt;""),IF(EOMONTH($DJ$3+INT((DAY(EOMONTH($DJ$3,0))-1)/2)+DJ$14,0)=EOMONTH($BJ$3,0),DJ$12,0),0),IF(AND(DF$12&lt;&gt;"",DF$14&lt;&gt;""),IF(EOMONTH($DF$3+INT((DAY(EOMONTH($DF$3,0))-1)/2)+DF$14,0)=EOMONTH($BJ$3,0),DF$12,0),0),IF(AND(DB$12&lt;&gt;"",DB$14&lt;&gt;""),IF(EOMONTH($DB$3+INT((DAY(EOMONTH($DB$3,0))-1)/2)+DB$14,0)=EOMONTH($BJ$3,0),DB$12,0),0),IF(AND(CX$12&lt;&gt;"",CX$14&lt;&gt;""),IF(EOMONTH($CX$3+INT((DAY(EOMONTH($CX$3,0))-1)/2)+CX$14,0)=EOMONTH($BJ$3,0),CX$12,0),0),IF(AND(CT$12&lt;&gt;"",CT$14&lt;&gt;""),IF(EOMONTH($CT$3+INT((DAY(EOMONTH($CT$3,0))-1)/2)+CT$14,0)=EOMONTH($BJ$3,0),CT$12,0),0),IF(AND(CP$12&lt;&gt;"",CP$14&lt;&gt;""),IF(EOMONTH($CP$3+INT((DAY(EOMONTH($CP$3,0))-1)/2)+CP$14,0)=EOMONTH($BJ$3,0),CP$12,0),0),IF(AND(CL$12&lt;&gt;"",CL$14&lt;&gt;""),IF(EOMONTH($CL$3+INT((DAY(EOMONTH($CL$3,0))-1)/2)+CL$14,0)=EOMONTH($BJ$3,0),CL$12,0),0),IF(AND(CH$12&lt;&gt;"",CH$14&lt;&gt;""),IF(EOMONTH($CH$3+INT((DAY(EOMONTH($CH$3,0))-1)/2)+CH$14,0)=EOMONTH($BJ$3,0),CH$12,0),0),IF(AND(CD$12&lt;&gt;"",CD$14&lt;&gt;""),IF(EOMONTH($CD$3+INT((DAY(EOMONTH($CD$3,0))-1)/2)+CD$14,0)=EOMONTH($BJ$3,0),CD$12,0),0),IF(AND(BZ$12&lt;&gt;"",BZ$14&lt;&gt;""),IF(EOMONTH($BZ$3+INT((DAY(EOMONTH($BZ$3,0))-1)/2)+BZ$14,0)=EOMONTH($BJ$3,0),BZ$12,0),0),IF(AND(BV$12&lt;&gt;"",BV$14&lt;&gt;""),IF(EOMONTH($BV$3+INT((DAY(EOMONTH($BV$3,0))-1)/2)+BV$14,0)=EOMONTH($BJ$3,0),BV$12,0),0),IF(AND(BR$12&lt;&gt;"",BR$14&lt;&gt;""),IF(EOMONTH($BR$3+INT((DAY(EOMONTH($BR$3,0))-1)/2)+BR$14,0)=EOMONTH($BJ$3,0),BR$12,0),0),IF(AND(BN$12&lt;&gt;"",BN$14&lt;&gt;""),IF(EOMONTH($BN$3+INT((DAY(EOMONTH($BN$3,0))-1)/2)+BN$14,0)=EOMONTH($BJ$3,0),BN$12,0),0),IF(AND(BJ$12&lt;&gt;"",BJ$14&lt;&gt;""),IF(EOMONTH($BJ$3+INT((DAY(EOMONTH($BJ$3,0))-1)/2)+BJ$14,0)=EOMONTH($BJ$3,0),BJ$12,0),0),IF(AND(BF$12&lt;&gt;"",BF$14&lt;&gt;""),IF(EOMONTH($BF$3+INT((DAY(EOMONTH($BF$3,0))-1)/2)+BF$14,0)=EOMONTH($BJ$3,0),BF$12,0),0),IF(AND(BB$12&lt;&gt;"",BB$14&lt;&gt;""),IF(EOMONTH($BB$3+INT((DAY(EOMONTH($BB$3,0))-1)/2)+BB$14,0)=EOMONTH($BJ$3,0),BB$12,0),0),IF(AND(AX$12&lt;&gt;"",AX$14&lt;&gt;""),IF(EOMONTH($AX$3+INT((DAY(EOMONTH($AX$3,0))-1)/2)+AX$14,0)=EOMONTH($BJ$3,0),AX$12,0),0),IF(AND(AT$12&lt;&gt;"",AT$14&lt;&gt;""),IF(EOMONTH($AT$3+INT((DAY(EOMONTH($AT$3,0))-1)/2)+AT$14,0)=EOMONTH($BJ$3,0),AT$12,0),0),IF(AND(AP$12&lt;&gt;"",AP$14&lt;&gt;""),IF(EOMONTH($AP$3+INT((DAY(EOMONTH($AP$3,0))-1)/2)+AP$14,0)=EOMONTH($BJ$3,0),AP$12,0),0),IF(AND(AL$12&lt;&gt;"",AL$14&lt;&gt;""),IF(EOMONTH($AL$3+INT((DAY(EOMONTH($AL$3,0))-1)/2)+AL$14,0)=EOMONTH($BJ$3,0),AL$12,0),0),IF(AND(AH$12&lt;&gt;"",AH$14&lt;&gt;""),IF(EOMONTH($AH$3+INT((DAY(EOMONTH($AH$3,0))-1)/2)+AH$14,0)=EOMONTH($BJ$3,0),AH$12,0),0),IF(AND(AD$12&lt;&gt;"",AD$14&lt;&gt;""),IF(EOMONTH($AD$3+INT((DAY(EOMONTH($AD$3,0))-1)/2)+AD$14,0)=EOMONTH($BJ$3,0),AD$12,0),0),IF(AND(Z$12&lt;&gt;"",Z$14&lt;&gt;""),IF(EOMONTH($Z$3+INT((DAY(EOMONTH($Z$3,0))-1)/2)+Z$14,0)=EOMONTH($BJ$3,0),Z$12,0),0),IF(AND(V$12&lt;&gt;"",V$14&lt;&gt;""),IF(EOMONTH($V$3+INT((DAY(EOMONTH($V$3,0))-1)/2)+V$14,0)=EOMONTH($BJ$3,0),V$12,0),0),IF(AND(R$12&lt;&gt;"",R$14&lt;&gt;""),IF(EOMONTH($R$3+INT((DAY(EOMONTH($R$3,0))-1)/2)+R$14,0)=EOMONTH($BJ$3,0),R$12,0),0),IF(AND(N$12&lt;&gt;"",N$14&lt;&gt;""),IF(EOMONTH($N$3+INT((DAY(EOMONTH($N$3,0))-1)/2)+N$14,0)=EOMONTH($BJ$3,0),N$12,0),0),IF(AND(J$12&lt;&gt;"",J$14&lt;&gt;""),IF(EOMONTH($J$3+INT((DAY(EOMONTH($J$3,0))-1)/2)+J$14,0)=EOMONTH($BJ$3,0),J$12,0),0),IF(AND(F$12&lt;&gt;"",F$14&lt;&gt;""),IF(EOMONTH($F$3+INT((DAY(EOMONTH($F$3,0))-1)/2)+F$14,0)=EOMONTH($BJ$3,0),F$12,0),0),IF($EP$75="",0,IF(EOMONTH($EP$75+EP$14,0)=EOMONTH($BJ$3,0),$EP$77,0))),0)</f>
        <v>0</v>
      </c>
      <c r="BK20" s="14">
        <f t="shared" si="212"/>
        <v>0</v>
      </c>
      <c r="BL20" s="15">
        <f t="shared" si="212"/>
        <v>0</v>
      </c>
      <c r="BM20" s="16">
        <f t="shared" si="33"/>
        <v>0</v>
      </c>
      <c r="BN20" s="13">
        <f t="shared" ref="BN20:BP20" si="213">ROUND(SUM(IF(AND(EP$12&lt;&gt;"",EP$14&lt;&gt;""),IF(EOMONTH($EP$3+INT((DAY(EOMONTH($EP$3,0))-1)/2)+EP$14,0)=EOMONTH($BN$3,0),EP$12,0),0),IF(AND(EL$12&lt;&gt;"",EL$14&lt;&gt;""),IF(EOMONTH($EL$3+INT((DAY(EOMONTH($EL$3,0))-1)/2)+EL$14,0)=EOMONTH($BN$3,0),EL$12,0),0),IF(AND(EH$12&lt;&gt;"",EH$14&lt;&gt;""),IF(EOMONTH($EH$3+INT((DAY(EOMONTH($EH$3,0))-1)/2)+EH$14,0)=EOMONTH($BN$3,0),EH$12,0),0),IF(AND(ED$12&lt;&gt;"",ED$14&lt;&gt;""),IF(EOMONTH($ED$3+INT((DAY(EOMONTH($ED$3,0))-1)/2)+ED$14,0)=EOMONTH($BN$3,0),ED$12,0),0),IF(AND(DZ$12&lt;&gt;"",DZ$14&lt;&gt;""),IF(EOMONTH($DZ$3+INT((DAY(EOMONTH($DZ$3,0))-1)/2)+DZ$14,0)=EOMONTH($BN$3,0),DZ$12,0),0),IF(AND(DV$12&lt;&gt;"",DV$14&lt;&gt;""),IF(EOMONTH($DV$3+INT((DAY(EOMONTH($DV$3,0))-1)/2)+DV$14,0)=EOMONTH($BN$3,0),DV$12,0),0),IF(AND(DR$12&lt;&gt;"",DR$14&lt;&gt;""),IF(EOMONTH($DR$3+INT((DAY(EOMONTH($DR$3,0))-1)/2)+DR$14,0)=EOMONTH($BN$3,0),DR$12,0),0),IF(AND(DN$12&lt;&gt;"",DN$14&lt;&gt;""),IF(EOMONTH($DN$3+INT((DAY(EOMONTH($DN$3,0))-1)/2)+DN$14,0)=EOMONTH($BN$3,0),DN$12,0),0),IF(AND(DJ$12&lt;&gt;"",DJ$14&lt;&gt;""),IF(EOMONTH($DJ$3+INT((DAY(EOMONTH($DJ$3,0))-1)/2)+DJ$14,0)=EOMONTH($BN$3,0),DJ$12,0),0),IF(AND(DF$12&lt;&gt;"",DF$14&lt;&gt;""),IF(EOMONTH($DF$3+INT((DAY(EOMONTH($DF$3,0))-1)/2)+DF$14,0)=EOMONTH($BN$3,0),DF$12,0),0),IF(AND(DB$12&lt;&gt;"",DB$14&lt;&gt;""),IF(EOMONTH($DB$3+INT((DAY(EOMONTH($DB$3,0))-1)/2)+DB$14,0)=EOMONTH($BN$3,0),DB$12,0),0),IF(AND(CX$12&lt;&gt;"",CX$14&lt;&gt;""),IF(EOMONTH($CX$3+INT((DAY(EOMONTH($CX$3,0))-1)/2)+CX$14,0)=EOMONTH($BN$3,0),CX$12,0),0),IF(AND(CT$12&lt;&gt;"",CT$14&lt;&gt;""),IF(EOMONTH($CT$3+INT((DAY(EOMONTH($CT$3,0))-1)/2)+CT$14,0)=EOMONTH($BN$3,0),CT$12,0),0),IF(AND(CP$12&lt;&gt;"",CP$14&lt;&gt;""),IF(EOMONTH($CP$3+INT((DAY(EOMONTH($CP$3,0))-1)/2)+CP$14,0)=EOMONTH($BN$3,0),CP$12,0),0),IF(AND(CL$12&lt;&gt;"",CL$14&lt;&gt;""),IF(EOMONTH($CL$3+INT((DAY(EOMONTH($CL$3,0))-1)/2)+CL$14,0)=EOMONTH($BN$3,0),CL$12,0),0),IF(AND(CH$12&lt;&gt;"",CH$14&lt;&gt;""),IF(EOMONTH($CH$3+INT((DAY(EOMONTH($CH$3,0))-1)/2)+CH$14,0)=EOMONTH($BN$3,0),CH$12,0),0),IF(AND(CD$12&lt;&gt;"",CD$14&lt;&gt;""),IF(EOMONTH($CD$3+INT((DAY(EOMONTH($CD$3,0))-1)/2)+CD$14,0)=EOMONTH($BN$3,0),CD$12,0),0),IF(AND(BZ$12&lt;&gt;"",BZ$14&lt;&gt;""),IF(EOMONTH($BZ$3+INT((DAY(EOMONTH($BZ$3,0))-1)/2)+BZ$14,0)=EOMONTH($BN$3,0),BZ$12,0),0),IF(AND(BV$12&lt;&gt;"",BV$14&lt;&gt;""),IF(EOMONTH($BV$3+INT((DAY(EOMONTH($BV$3,0))-1)/2)+BV$14,0)=EOMONTH($BN$3,0),BV$12,0),0),IF(AND(BR$12&lt;&gt;"",BR$14&lt;&gt;""),IF(EOMONTH($BR$3+INT((DAY(EOMONTH($BR$3,0))-1)/2)+BR$14,0)=EOMONTH($BN$3,0),BR$12,0),0),IF(AND(BN$12&lt;&gt;"",BN$14&lt;&gt;""),IF(EOMONTH($BN$3+INT((DAY(EOMONTH($BN$3,0))-1)/2)+BN$14,0)=EOMONTH($BN$3,0),BN$12,0),0),IF(AND(BJ$12&lt;&gt;"",BJ$14&lt;&gt;""),IF(EOMONTH($BJ$3+INT((DAY(EOMONTH($BJ$3,0))-1)/2)+BJ$14,0)=EOMONTH($BN$3,0),BJ$12,0),0),IF(AND(BF$12&lt;&gt;"",BF$14&lt;&gt;""),IF(EOMONTH($BF$3+INT((DAY(EOMONTH($BF$3,0))-1)/2)+BF$14,0)=EOMONTH($BN$3,0),BF$12,0),0),IF(AND(BB$12&lt;&gt;"",BB$14&lt;&gt;""),IF(EOMONTH($BB$3+INT((DAY(EOMONTH($BB$3,0))-1)/2)+BB$14,0)=EOMONTH($BN$3,0),BB$12,0),0),IF(AND(AX$12&lt;&gt;"",AX$14&lt;&gt;""),IF(EOMONTH($AX$3+INT((DAY(EOMONTH($AX$3,0))-1)/2)+AX$14,0)=EOMONTH($BN$3,0),AX$12,0),0),IF(AND(AT$12&lt;&gt;"",AT$14&lt;&gt;""),IF(EOMONTH($AT$3+INT((DAY(EOMONTH($AT$3,0))-1)/2)+AT$14,0)=EOMONTH($BN$3,0),AT$12,0),0),IF(AND(AP$12&lt;&gt;"",AP$14&lt;&gt;""),IF(EOMONTH($AP$3+INT((DAY(EOMONTH($AP$3,0))-1)/2)+AP$14,0)=EOMONTH($BN$3,0),AP$12,0),0),IF(AND(AL$12&lt;&gt;"",AL$14&lt;&gt;""),IF(EOMONTH($AL$3+INT((DAY(EOMONTH($AL$3,0))-1)/2)+AL$14,0)=EOMONTH($BN$3,0),AL$12,0),0),IF(AND(AH$12&lt;&gt;"",AH$14&lt;&gt;""),IF(EOMONTH($AH$3+INT((DAY(EOMONTH($AH$3,0))-1)/2)+AH$14,0)=EOMONTH($BN$3,0),AH$12,0),0),IF(AND(AD$12&lt;&gt;"",AD$14&lt;&gt;""),IF(EOMONTH($AD$3+INT((DAY(EOMONTH($AD$3,0))-1)/2)+AD$14,0)=EOMONTH($BN$3,0),AD$12,0),0),IF(AND(Z$12&lt;&gt;"",Z$14&lt;&gt;""),IF(EOMONTH($Z$3+INT((DAY(EOMONTH($Z$3,0))-1)/2)+Z$14,0)=EOMONTH($BN$3,0),Z$12,0),0),IF(AND(V$12&lt;&gt;"",V$14&lt;&gt;""),IF(EOMONTH($V$3+INT((DAY(EOMONTH($V$3,0))-1)/2)+V$14,0)=EOMONTH($BN$3,0),V$12,0),0),IF(AND(R$12&lt;&gt;"",R$14&lt;&gt;""),IF(EOMONTH($R$3+INT((DAY(EOMONTH($R$3,0))-1)/2)+R$14,0)=EOMONTH($BN$3,0),R$12,0),0),IF(AND(N$12&lt;&gt;"",N$14&lt;&gt;""),IF(EOMONTH($N$3+INT((DAY(EOMONTH($N$3,0))-1)/2)+N$14,0)=EOMONTH($BN$3,0),N$12,0),0),IF(AND(J$12&lt;&gt;"",J$14&lt;&gt;""),IF(EOMONTH($J$3+INT((DAY(EOMONTH($J$3,0))-1)/2)+J$14,0)=EOMONTH($BN$3,0),J$12,0),0),IF(AND(F$12&lt;&gt;"",F$14&lt;&gt;""),IF(EOMONTH($F$3+INT((DAY(EOMONTH($F$3,0))-1)/2)+F$14,0)=EOMONTH($BN$3,0),F$12,0),0),IF($EP$75="",0,IF(EOMONTH($EP$75+EP$14,0)=EOMONTH($BN$3,0),$EP$77,0))),0)</f>
        <v>0</v>
      </c>
      <c r="BO20" s="14">
        <f t="shared" si="213"/>
        <v>0</v>
      </c>
      <c r="BP20" s="15">
        <f t="shared" si="213"/>
        <v>0</v>
      </c>
      <c r="BQ20" s="16">
        <f t="shared" si="35"/>
        <v>0</v>
      </c>
      <c r="BR20" s="13">
        <f t="shared" ref="BR20:BT20" si="214">ROUND(SUM(IF(AND(EP$12&lt;&gt;"",EP$14&lt;&gt;""),IF(EOMONTH($EP$3+INT((DAY(EOMONTH($EP$3,0))-1)/2)+EP$14,0)=EOMONTH($BR$3,0),EP$12,0),0),IF(AND(EL$12&lt;&gt;"",EL$14&lt;&gt;""),IF(EOMONTH($EL$3+INT((DAY(EOMONTH($EL$3,0))-1)/2)+EL$14,0)=EOMONTH($BR$3,0),EL$12,0),0),IF(AND(EH$12&lt;&gt;"",EH$14&lt;&gt;""),IF(EOMONTH($EH$3+INT((DAY(EOMONTH($EH$3,0))-1)/2)+EH$14,0)=EOMONTH($BR$3,0),EH$12,0),0),IF(AND(ED$12&lt;&gt;"",ED$14&lt;&gt;""),IF(EOMONTH($ED$3+INT((DAY(EOMONTH($ED$3,0))-1)/2)+ED$14,0)=EOMONTH($BR$3,0),ED$12,0),0),IF(AND(DZ$12&lt;&gt;"",DZ$14&lt;&gt;""),IF(EOMONTH($DZ$3+INT((DAY(EOMONTH($DZ$3,0))-1)/2)+DZ$14,0)=EOMONTH($BR$3,0),DZ$12,0),0),IF(AND(DV$12&lt;&gt;"",DV$14&lt;&gt;""),IF(EOMONTH($DV$3+INT((DAY(EOMONTH($DV$3,0))-1)/2)+DV$14,0)=EOMONTH($BR$3,0),DV$12,0),0),IF(AND(DR$12&lt;&gt;"",DR$14&lt;&gt;""),IF(EOMONTH($DR$3+INT((DAY(EOMONTH($DR$3,0))-1)/2)+DR$14,0)=EOMONTH($BR$3,0),DR$12,0),0),IF(AND(DN$12&lt;&gt;"",DN$14&lt;&gt;""),IF(EOMONTH($DN$3+INT((DAY(EOMONTH($DN$3,0))-1)/2)+DN$14,0)=EOMONTH($BR$3,0),DN$12,0),0),IF(AND(DJ$12&lt;&gt;"",DJ$14&lt;&gt;""),IF(EOMONTH($DJ$3+INT((DAY(EOMONTH($DJ$3,0))-1)/2)+DJ$14,0)=EOMONTH($BR$3,0),DJ$12,0),0),IF(AND(DF$12&lt;&gt;"",DF$14&lt;&gt;""),IF(EOMONTH($DF$3+INT((DAY(EOMONTH($DF$3,0))-1)/2)+DF$14,0)=EOMONTH($BR$3,0),DF$12,0),0),IF(AND(DB$12&lt;&gt;"",DB$14&lt;&gt;""),IF(EOMONTH($DB$3+INT((DAY(EOMONTH($DB$3,0))-1)/2)+DB$14,0)=EOMONTH($BR$3,0),DB$12,0),0),IF(AND(CX$12&lt;&gt;"",CX$14&lt;&gt;""),IF(EOMONTH($CX$3+INT((DAY(EOMONTH($CX$3,0))-1)/2)+CX$14,0)=EOMONTH($BR$3,0),CX$12,0),0),IF(AND(CT$12&lt;&gt;"",CT$14&lt;&gt;""),IF(EOMONTH($CT$3+INT((DAY(EOMONTH($CT$3,0))-1)/2)+CT$14,0)=EOMONTH($BR$3,0),CT$12,0),0),IF(AND(CP$12&lt;&gt;"",CP$14&lt;&gt;""),IF(EOMONTH($CP$3+INT((DAY(EOMONTH($CP$3,0))-1)/2)+CP$14,0)=EOMONTH($BR$3,0),CP$12,0),0),IF(AND(CL$12&lt;&gt;"",CL$14&lt;&gt;""),IF(EOMONTH($CL$3+INT((DAY(EOMONTH($CL$3,0))-1)/2)+CL$14,0)=EOMONTH($BR$3,0),CL$12,0),0),IF(AND(CH$12&lt;&gt;"",CH$14&lt;&gt;""),IF(EOMONTH($CH$3+INT((DAY(EOMONTH($CH$3,0))-1)/2)+CH$14,0)=EOMONTH($BR$3,0),CH$12,0),0),IF(AND(CD$12&lt;&gt;"",CD$14&lt;&gt;""),IF(EOMONTH($CD$3+INT((DAY(EOMONTH($CD$3,0))-1)/2)+CD$14,0)=EOMONTH($BR$3,0),CD$12,0),0),IF(AND(BZ$12&lt;&gt;"",BZ$14&lt;&gt;""),IF(EOMONTH($BZ$3+INT((DAY(EOMONTH($BZ$3,0))-1)/2)+BZ$14,0)=EOMONTH($BR$3,0),BZ$12,0),0),IF(AND(BV$12&lt;&gt;"",BV$14&lt;&gt;""),IF(EOMONTH($BV$3+INT((DAY(EOMONTH($BV$3,0))-1)/2)+BV$14,0)=EOMONTH($BR$3,0),BV$12,0),0),IF(AND(BR$12&lt;&gt;"",BR$14&lt;&gt;""),IF(EOMONTH($BR$3+INT((DAY(EOMONTH($BR$3,0))-1)/2)+BR$14,0)=EOMONTH($BR$3,0),BR$12,0),0),IF(AND(BN$12&lt;&gt;"",BN$14&lt;&gt;""),IF(EOMONTH($BN$3+INT((DAY(EOMONTH($BN$3,0))-1)/2)+BN$14,0)=EOMONTH($BR$3,0),BN$12,0),0),IF(AND(BJ$12&lt;&gt;"",BJ$14&lt;&gt;""),IF(EOMONTH($BJ$3+INT((DAY(EOMONTH($BJ$3,0))-1)/2)+BJ$14,0)=EOMONTH($BR$3,0),BJ$12,0),0),IF(AND(BF$12&lt;&gt;"",BF$14&lt;&gt;""),IF(EOMONTH($BF$3+INT((DAY(EOMONTH($BF$3,0))-1)/2)+BF$14,0)=EOMONTH($BR$3,0),BF$12,0),0),IF(AND(BB$12&lt;&gt;"",BB$14&lt;&gt;""),IF(EOMONTH($BB$3+INT((DAY(EOMONTH($BB$3,0))-1)/2)+BB$14,0)=EOMONTH($BR$3,0),BB$12,0),0),IF(AND(AX$12&lt;&gt;"",AX$14&lt;&gt;""),IF(EOMONTH($AX$3+INT((DAY(EOMONTH($AX$3,0))-1)/2)+AX$14,0)=EOMONTH($BR$3,0),AX$12,0),0),IF(AND(AT$12&lt;&gt;"",AT$14&lt;&gt;""),IF(EOMONTH($AT$3+INT((DAY(EOMONTH($AT$3,0))-1)/2)+AT$14,0)=EOMONTH($BR$3,0),AT$12,0),0),IF(AND(AP$12&lt;&gt;"",AP$14&lt;&gt;""),IF(EOMONTH($AP$3+INT((DAY(EOMONTH($AP$3,0))-1)/2)+AP$14,0)=EOMONTH($BR$3,0),AP$12,0),0),IF(AND(AL$12&lt;&gt;"",AL$14&lt;&gt;""),IF(EOMONTH($AL$3+INT((DAY(EOMONTH($AL$3,0))-1)/2)+AL$14,0)=EOMONTH($BR$3,0),AL$12,0),0),IF(AND(AH$12&lt;&gt;"",AH$14&lt;&gt;""),IF(EOMONTH($AH$3+INT((DAY(EOMONTH($AH$3,0))-1)/2)+AH$14,0)=EOMONTH($BR$3,0),AH$12,0),0),IF(AND(AD$12&lt;&gt;"",AD$14&lt;&gt;""),IF(EOMONTH($AD$3+INT((DAY(EOMONTH($AD$3,0))-1)/2)+AD$14,0)=EOMONTH($BR$3,0),AD$12,0),0),IF(AND(Z$12&lt;&gt;"",Z$14&lt;&gt;""),IF(EOMONTH($Z$3+INT((DAY(EOMONTH($Z$3,0))-1)/2)+Z$14,0)=EOMONTH($BR$3,0),Z$12,0),0),IF(AND(V$12&lt;&gt;"",V$14&lt;&gt;""),IF(EOMONTH($V$3+INT((DAY(EOMONTH($V$3,0))-1)/2)+V$14,0)=EOMONTH($BR$3,0),V$12,0),0),IF(AND(R$12&lt;&gt;"",R$14&lt;&gt;""),IF(EOMONTH($R$3+INT((DAY(EOMONTH($R$3,0))-1)/2)+R$14,0)=EOMONTH($BR$3,0),R$12,0),0),IF(AND(N$12&lt;&gt;"",N$14&lt;&gt;""),IF(EOMONTH($N$3+INT((DAY(EOMONTH($N$3,0))-1)/2)+N$14,0)=EOMONTH($BR$3,0),N$12,0),0),IF(AND(J$12&lt;&gt;"",J$14&lt;&gt;""),IF(EOMONTH($J$3+INT((DAY(EOMONTH($J$3,0))-1)/2)+J$14,0)=EOMONTH($BR$3,0),J$12,0),0),IF(AND(F$12&lt;&gt;"",F$14&lt;&gt;""),IF(EOMONTH($F$3+INT((DAY(EOMONTH($F$3,0))-1)/2)+F$14,0)=EOMONTH($BR$3,0),F$12,0),0),IF($EP$75="",0,IF(EOMONTH($EP$75+EP$14,0)=EOMONTH($BR$3,0),$EP$77,0))),0)</f>
        <v>0</v>
      </c>
      <c r="BS20" s="14">
        <f t="shared" si="214"/>
        <v>0</v>
      </c>
      <c r="BT20" s="15">
        <f t="shared" si="214"/>
        <v>0</v>
      </c>
      <c r="BU20" s="16">
        <f t="shared" si="37"/>
        <v>0</v>
      </c>
      <c r="BV20" s="13">
        <f t="shared" ref="BV20:BX20" si="215">ROUND(SUM(IF(AND(EP$12&lt;&gt;"",EP$14&lt;&gt;""),IF(EOMONTH($EP$3+INT((DAY(EOMONTH($EP$3,0))-1)/2)+EP$14,0)=EOMONTH($BV$3,0),EP$12,0),0),IF(AND(EL$12&lt;&gt;"",EL$14&lt;&gt;""),IF(EOMONTH($EL$3+INT((DAY(EOMONTH($EL$3,0))-1)/2)+EL$14,0)=EOMONTH($BV$3,0),EL$12,0),0),IF(AND(EH$12&lt;&gt;"",EH$14&lt;&gt;""),IF(EOMONTH($EH$3+INT((DAY(EOMONTH($EH$3,0))-1)/2)+EH$14,0)=EOMONTH($BV$3,0),EH$12,0),0),IF(AND(ED$12&lt;&gt;"",ED$14&lt;&gt;""),IF(EOMONTH($ED$3+INT((DAY(EOMONTH($ED$3,0))-1)/2)+ED$14,0)=EOMONTH($BV$3,0),ED$12,0),0),IF(AND(DZ$12&lt;&gt;"",DZ$14&lt;&gt;""),IF(EOMONTH($DZ$3+INT((DAY(EOMONTH($DZ$3,0))-1)/2)+DZ$14,0)=EOMONTH($BV$3,0),DZ$12,0),0),IF(AND(DV$12&lt;&gt;"",DV$14&lt;&gt;""),IF(EOMONTH($DV$3+INT((DAY(EOMONTH($DV$3,0))-1)/2)+DV$14,0)=EOMONTH($BV$3,0),DV$12,0),0),IF(AND(DR$12&lt;&gt;"",DR$14&lt;&gt;""),IF(EOMONTH($DR$3+INT((DAY(EOMONTH($DR$3,0))-1)/2)+DR$14,0)=EOMONTH($BV$3,0),DR$12,0),0),IF(AND(DN$12&lt;&gt;"",DN$14&lt;&gt;""),IF(EOMONTH($DN$3+INT((DAY(EOMONTH($DN$3,0))-1)/2)+DN$14,0)=EOMONTH($BV$3,0),DN$12,0),0),IF(AND(DJ$12&lt;&gt;"",DJ$14&lt;&gt;""),IF(EOMONTH($DJ$3+INT((DAY(EOMONTH($DJ$3,0))-1)/2)+DJ$14,0)=EOMONTH($BV$3,0),DJ$12,0),0),IF(AND(DF$12&lt;&gt;"",DF$14&lt;&gt;""),IF(EOMONTH($DF$3+INT((DAY(EOMONTH($DF$3,0))-1)/2)+DF$14,0)=EOMONTH($BV$3,0),DF$12,0),0),IF(AND(DB$12&lt;&gt;"",DB$14&lt;&gt;""),IF(EOMONTH($DB$3+INT((DAY(EOMONTH($DB$3,0))-1)/2)+DB$14,0)=EOMONTH($BV$3,0),DB$12,0),0),IF(AND(CX$12&lt;&gt;"",CX$14&lt;&gt;""),IF(EOMONTH($CX$3+INT((DAY(EOMONTH($CX$3,0))-1)/2)+CX$14,0)=EOMONTH($BV$3,0),CX$12,0),0),IF(AND(CT$12&lt;&gt;"",CT$14&lt;&gt;""),IF(EOMONTH($CT$3+INT((DAY(EOMONTH($CT$3,0))-1)/2)+CT$14,0)=EOMONTH($BV$3,0),CT$12,0),0),IF(AND(CP$12&lt;&gt;"",CP$14&lt;&gt;""),IF(EOMONTH($CP$3+INT((DAY(EOMONTH($CP$3,0))-1)/2)+CP$14,0)=EOMONTH($BV$3,0),CP$12,0),0),IF(AND(CL$12&lt;&gt;"",CL$14&lt;&gt;""),IF(EOMONTH($CL$3+INT((DAY(EOMONTH($CL$3,0))-1)/2)+CL$14,0)=EOMONTH($BV$3,0),CL$12,0),0),IF(AND(CH$12&lt;&gt;"",CH$14&lt;&gt;""),IF(EOMONTH($CH$3+INT((DAY(EOMONTH($CH$3,0))-1)/2)+CH$14,0)=EOMONTH($BV$3,0),CH$12,0),0),IF(AND(CD$12&lt;&gt;"",CD$14&lt;&gt;""),IF(EOMONTH($CD$3+INT((DAY(EOMONTH($CD$3,0))-1)/2)+CD$14,0)=EOMONTH($BV$3,0),CD$12,0),0),IF(AND(BZ$12&lt;&gt;"",BZ$14&lt;&gt;""),IF(EOMONTH($BZ$3+INT((DAY(EOMONTH($BZ$3,0))-1)/2)+BZ$14,0)=EOMONTH($BV$3,0),BZ$12,0),0),IF(AND(BV$12&lt;&gt;"",BV$14&lt;&gt;""),IF(EOMONTH($BV$3+INT((DAY(EOMONTH($BV$3,0))-1)/2)+BV$14,0)=EOMONTH($BV$3,0),BV$12,0),0),IF(AND(BR$12&lt;&gt;"",BR$14&lt;&gt;""),IF(EOMONTH($BR$3+INT((DAY(EOMONTH($BR$3,0))-1)/2)+BR$14,0)=EOMONTH($BV$3,0),BR$12,0),0),IF(AND(BN$12&lt;&gt;"",BN$14&lt;&gt;""),IF(EOMONTH($BN$3+INT((DAY(EOMONTH($BN$3,0))-1)/2)+BN$14,0)=EOMONTH($BV$3,0),BN$12,0),0),IF(AND(BJ$12&lt;&gt;"",BJ$14&lt;&gt;""),IF(EOMONTH($BJ$3+INT((DAY(EOMONTH($BJ$3,0))-1)/2)+BJ$14,0)=EOMONTH($BV$3,0),BJ$12,0),0),IF(AND(BF$12&lt;&gt;"",BF$14&lt;&gt;""),IF(EOMONTH($BF$3+INT((DAY(EOMONTH($BF$3,0))-1)/2)+BF$14,0)=EOMONTH($BV$3,0),BF$12,0),0),IF(AND(BB$12&lt;&gt;"",BB$14&lt;&gt;""),IF(EOMONTH($BB$3+INT((DAY(EOMONTH($BB$3,0))-1)/2)+BB$14,0)=EOMONTH($BV$3,0),BB$12,0),0),IF(AND(AX$12&lt;&gt;"",AX$14&lt;&gt;""),IF(EOMONTH($AX$3+INT((DAY(EOMONTH($AX$3,0))-1)/2)+AX$14,0)=EOMONTH($BV$3,0),AX$12,0),0),IF(AND(AT$12&lt;&gt;"",AT$14&lt;&gt;""),IF(EOMONTH($AT$3+INT((DAY(EOMONTH($AT$3,0))-1)/2)+AT$14,0)=EOMONTH($BV$3,0),AT$12,0),0),IF(AND(AP$12&lt;&gt;"",AP$14&lt;&gt;""),IF(EOMONTH($AP$3+INT((DAY(EOMONTH($AP$3,0))-1)/2)+AP$14,0)=EOMONTH($BV$3,0),AP$12,0),0),IF(AND(AL$12&lt;&gt;"",AL$14&lt;&gt;""),IF(EOMONTH($AL$3+INT((DAY(EOMONTH($AL$3,0))-1)/2)+AL$14,0)=EOMONTH($BV$3,0),AL$12,0),0),IF(AND(AH$12&lt;&gt;"",AH$14&lt;&gt;""),IF(EOMONTH($AH$3+INT((DAY(EOMONTH($AH$3,0))-1)/2)+AH$14,0)=EOMONTH($BV$3,0),AH$12,0),0),IF(AND(AD$12&lt;&gt;"",AD$14&lt;&gt;""),IF(EOMONTH($AD$3+INT((DAY(EOMONTH($AD$3,0))-1)/2)+AD$14,0)=EOMONTH($BV$3,0),AD$12,0),0),IF(AND(Z$12&lt;&gt;"",Z$14&lt;&gt;""),IF(EOMONTH($Z$3+INT((DAY(EOMONTH($Z$3,0))-1)/2)+Z$14,0)=EOMONTH($BV$3,0),Z$12,0),0),IF(AND(V$12&lt;&gt;"",V$14&lt;&gt;""),IF(EOMONTH($V$3+INT((DAY(EOMONTH($V$3,0))-1)/2)+V$14,0)=EOMONTH($BV$3,0),V$12,0),0),IF(AND(R$12&lt;&gt;"",R$14&lt;&gt;""),IF(EOMONTH($R$3+INT((DAY(EOMONTH($R$3,0))-1)/2)+R$14,0)=EOMONTH($BV$3,0),R$12,0),0),IF(AND(N$12&lt;&gt;"",N$14&lt;&gt;""),IF(EOMONTH($N$3+INT((DAY(EOMONTH($N$3,0))-1)/2)+N$14,0)=EOMONTH($BV$3,0),N$12,0),0),IF(AND(J$12&lt;&gt;"",J$14&lt;&gt;""),IF(EOMONTH($J$3+INT((DAY(EOMONTH($J$3,0))-1)/2)+J$14,0)=EOMONTH($BV$3,0),J$12,0),0),IF(AND(F$12&lt;&gt;"",F$14&lt;&gt;""),IF(EOMONTH($F$3+INT((DAY(EOMONTH($F$3,0))-1)/2)+F$14,0)=EOMONTH($BV$3,0),F$12,0),0),IF($EP$75="",0,IF(EOMONTH($EP$75+EP$14,0)=EOMONTH($BV$3,0),$EP$77,0))),0)</f>
        <v>0</v>
      </c>
      <c r="BW20" s="14">
        <f t="shared" si="215"/>
        <v>0</v>
      </c>
      <c r="BX20" s="15">
        <f t="shared" si="215"/>
        <v>0</v>
      </c>
      <c r="BY20" s="16">
        <f t="shared" si="39"/>
        <v>0</v>
      </c>
      <c r="BZ20" s="13">
        <f t="shared" ref="BZ20:CB20" si="216">ROUND(SUM(IF(AND(EP$12&lt;&gt;"",EP$14&lt;&gt;""),IF(EOMONTH($EP$3+INT((DAY(EOMONTH($EP$3,0))-1)/2)+EP$14,0)=EOMONTH($BZ$3,0),EP$12,0),0),IF(AND(EL$12&lt;&gt;"",EL$14&lt;&gt;""),IF(EOMONTH($EL$3+INT((DAY(EOMONTH($EL$3,0))-1)/2)+EL$14,0)=EOMONTH($BZ$3,0),EL$12,0),0),IF(AND(EH$12&lt;&gt;"",EH$14&lt;&gt;""),IF(EOMONTH($EH$3+INT((DAY(EOMONTH($EH$3,0))-1)/2)+EH$14,0)=EOMONTH($BZ$3,0),EH$12,0),0),IF(AND(ED$12&lt;&gt;"",ED$14&lt;&gt;""),IF(EOMONTH($ED$3+INT((DAY(EOMONTH($ED$3,0))-1)/2)+ED$14,0)=EOMONTH($BZ$3,0),ED$12,0),0),IF(AND(DZ$12&lt;&gt;"",DZ$14&lt;&gt;""),IF(EOMONTH($DZ$3+INT((DAY(EOMONTH($DZ$3,0))-1)/2)+DZ$14,0)=EOMONTH($BZ$3,0),DZ$12,0),0),IF(AND(DV$12&lt;&gt;"",DV$14&lt;&gt;""),IF(EOMONTH($DV$3+INT((DAY(EOMONTH($DV$3,0))-1)/2)+DV$14,0)=EOMONTH($BZ$3,0),DV$12,0),0),IF(AND(DR$12&lt;&gt;"",DR$14&lt;&gt;""),IF(EOMONTH($DR$3+INT((DAY(EOMONTH($DR$3,0))-1)/2)+DR$14,0)=EOMONTH($BZ$3,0),DR$12,0),0),IF(AND(DN$12&lt;&gt;"",DN$14&lt;&gt;""),IF(EOMONTH($DN$3+INT((DAY(EOMONTH($DN$3,0))-1)/2)+DN$14,0)=EOMONTH($BZ$3,0),DN$12,0),0),IF(AND(DJ$12&lt;&gt;"",DJ$14&lt;&gt;""),IF(EOMONTH($DJ$3+INT((DAY(EOMONTH($DJ$3,0))-1)/2)+DJ$14,0)=EOMONTH($BZ$3,0),DJ$12,0),0),IF(AND(DF$12&lt;&gt;"",DF$14&lt;&gt;""),IF(EOMONTH($DF$3+INT((DAY(EOMONTH($DF$3,0))-1)/2)+DF$14,0)=EOMONTH($BZ$3,0),DF$12,0),0),IF(AND(DB$12&lt;&gt;"",DB$14&lt;&gt;""),IF(EOMONTH($DB$3+INT((DAY(EOMONTH($DB$3,0))-1)/2)+DB$14,0)=EOMONTH($BZ$3,0),DB$12,0),0),IF(AND(CX$12&lt;&gt;"",CX$14&lt;&gt;""),IF(EOMONTH($CX$3+INT((DAY(EOMONTH($CX$3,0))-1)/2)+CX$14,0)=EOMONTH($BZ$3,0),CX$12,0),0),IF(AND(CT$12&lt;&gt;"",CT$14&lt;&gt;""),IF(EOMONTH($CT$3+INT((DAY(EOMONTH($CT$3,0))-1)/2)+CT$14,0)=EOMONTH($BZ$3,0),CT$12,0),0),IF(AND(CP$12&lt;&gt;"",CP$14&lt;&gt;""),IF(EOMONTH($CP$3+INT((DAY(EOMONTH($CP$3,0))-1)/2)+CP$14,0)=EOMONTH($BZ$3,0),CP$12,0),0),IF(AND(CL$12&lt;&gt;"",CL$14&lt;&gt;""),IF(EOMONTH($CL$3+INT((DAY(EOMONTH($CL$3,0))-1)/2)+CL$14,0)=EOMONTH($BZ$3,0),CL$12,0),0),IF(AND(CH$12&lt;&gt;"",CH$14&lt;&gt;""),IF(EOMONTH($CH$3+INT((DAY(EOMONTH($CH$3,0))-1)/2)+CH$14,0)=EOMONTH($BZ$3,0),CH$12,0),0),IF(AND(CD$12&lt;&gt;"",CD$14&lt;&gt;""),IF(EOMONTH($CD$3+INT((DAY(EOMONTH($CD$3,0))-1)/2)+CD$14,0)=EOMONTH($BZ$3,0),CD$12,0),0),IF(AND(BZ$12&lt;&gt;"",BZ$14&lt;&gt;""),IF(EOMONTH($BZ$3+INT((DAY(EOMONTH($BZ$3,0))-1)/2)+BZ$14,0)=EOMONTH($BZ$3,0),BZ$12,0),0),IF(AND(BV$12&lt;&gt;"",BV$14&lt;&gt;""),IF(EOMONTH($BV$3+INT((DAY(EOMONTH($BV$3,0))-1)/2)+BV$14,0)=EOMONTH($BZ$3,0),BV$12,0),0),IF(AND(BR$12&lt;&gt;"",BR$14&lt;&gt;""),IF(EOMONTH($BR$3+INT((DAY(EOMONTH($BR$3,0))-1)/2)+BR$14,0)=EOMONTH($BZ$3,0),BR$12,0),0),IF(AND(BN$12&lt;&gt;"",BN$14&lt;&gt;""),IF(EOMONTH($BN$3+INT((DAY(EOMONTH($BN$3,0))-1)/2)+BN$14,0)=EOMONTH($BZ$3,0),BN$12,0),0),IF(AND(BJ$12&lt;&gt;"",BJ$14&lt;&gt;""),IF(EOMONTH($BJ$3+INT((DAY(EOMONTH($BJ$3,0))-1)/2)+BJ$14,0)=EOMONTH($BZ$3,0),BJ$12,0),0),IF(AND(BF$12&lt;&gt;"",BF$14&lt;&gt;""),IF(EOMONTH($BF$3+INT((DAY(EOMONTH($BF$3,0))-1)/2)+BF$14,0)=EOMONTH($BZ$3,0),BF$12,0),0),IF(AND(BB$12&lt;&gt;"",BB$14&lt;&gt;""),IF(EOMONTH($BB$3+INT((DAY(EOMONTH($BB$3,0))-1)/2)+BB$14,0)=EOMONTH($BZ$3,0),BB$12,0),0),IF(AND(AX$12&lt;&gt;"",AX$14&lt;&gt;""),IF(EOMONTH($AX$3+INT((DAY(EOMONTH($AX$3,0))-1)/2)+AX$14,0)=EOMONTH($BZ$3,0),AX$12,0),0),IF(AND(AT$12&lt;&gt;"",AT$14&lt;&gt;""),IF(EOMONTH($AT$3+INT((DAY(EOMONTH($AT$3,0))-1)/2)+AT$14,0)=EOMONTH($BZ$3,0),AT$12,0),0),IF(AND(AP$12&lt;&gt;"",AP$14&lt;&gt;""),IF(EOMONTH($AP$3+INT((DAY(EOMONTH($AP$3,0))-1)/2)+AP$14,0)=EOMONTH($BZ$3,0),AP$12,0),0),IF(AND(AL$12&lt;&gt;"",AL$14&lt;&gt;""),IF(EOMONTH($AL$3+INT((DAY(EOMONTH($AL$3,0))-1)/2)+AL$14,0)=EOMONTH($BZ$3,0),AL$12,0),0),IF(AND(AH$12&lt;&gt;"",AH$14&lt;&gt;""),IF(EOMONTH($AH$3+INT((DAY(EOMONTH($AH$3,0))-1)/2)+AH$14,0)=EOMONTH($BZ$3,0),AH$12,0),0),IF(AND(AD$12&lt;&gt;"",AD$14&lt;&gt;""),IF(EOMONTH($AD$3+INT((DAY(EOMONTH($AD$3,0))-1)/2)+AD$14,0)=EOMONTH($BZ$3,0),AD$12,0),0),IF(AND(Z$12&lt;&gt;"",Z$14&lt;&gt;""),IF(EOMONTH($Z$3+INT((DAY(EOMONTH($Z$3,0))-1)/2)+Z$14,0)=EOMONTH($BZ$3,0),Z$12,0),0),IF(AND(V$12&lt;&gt;"",V$14&lt;&gt;""),IF(EOMONTH($V$3+INT((DAY(EOMONTH($V$3,0))-1)/2)+V$14,0)=EOMONTH($BZ$3,0),V$12,0),0),IF(AND(R$12&lt;&gt;"",R$14&lt;&gt;""),IF(EOMONTH($R$3+INT((DAY(EOMONTH($R$3,0))-1)/2)+R$14,0)=EOMONTH($BZ$3,0),R$12,0),0),IF(AND(N$12&lt;&gt;"",N$14&lt;&gt;""),IF(EOMONTH($N$3+INT((DAY(EOMONTH($N$3,0))-1)/2)+N$14,0)=EOMONTH($BZ$3,0),N$12,0),0),IF(AND(J$12&lt;&gt;"",J$14&lt;&gt;""),IF(EOMONTH($J$3+INT((DAY(EOMONTH($J$3,0))-1)/2)+J$14,0)=EOMONTH($BZ$3,0),J$12,0),0),IF(AND(F$12&lt;&gt;"",F$14&lt;&gt;""),IF(EOMONTH($F$3+INT((DAY(EOMONTH($F$3,0))-1)/2)+F$14,0)=EOMONTH($BZ$3,0),F$12,0),0),IF($EP$75="",0,IF(EOMONTH($EP$75+EP$14,0)=EOMONTH($BZ$3,0),$EP$77,0))),0)</f>
        <v>0</v>
      </c>
      <c r="CA20" s="14">
        <f t="shared" si="216"/>
        <v>0</v>
      </c>
      <c r="CB20" s="15">
        <f t="shared" si="216"/>
        <v>0</v>
      </c>
      <c r="CC20" s="16">
        <f t="shared" si="41"/>
        <v>0</v>
      </c>
      <c r="CD20" s="13">
        <f t="shared" ref="CD20:CF20" si="217">ROUND(SUM(IF(AND(EP$12&lt;&gt;"",EP$14&lt;&gt;""),IF(EOMONTH($EP$3+INT((DAY(EOMONTH($EP$3,0))-1)/2)+EP$14,0)=EOMONTH($CD$3,0),EP$12,0),0),IF(AND(EL$12&lt;&gt;"",EL$14&lt;&gt;""),IF(EOMONTH($EL$3+INT((DAY(EOMONTH($EL$3,0))-1)/2)+EL$14,0)=EOMONTH($CD$3,0),EL$12,0),0),IF(AND(EH$12&lt;&gt;"",EH$14&lt;&gt;""),IF(EOMONTH($EH$3+INT((DAY(EOMONTH($EH$3,0))-1)/2)+EH$14,0)=EOMONTH($CD$3,0),EH$12,0),0),IF(AND(ED$12&lt;&gt;"",ED$14&lt;&gt;""),IF(EOMONTH($ED$3+INT((DAY(EOMONTH($ED$3,0))-1)/2)+ED$14,0)=EOMONTH($CD$3,0),ED$12,0),0),IF(AND(DZ$12&lt;&gt;"",DZ$14&lt;&gt;""),IF(EOMONTH($DZ$3+INT((DAY(EOMONTH($DZ$3,0))-1)/2)+DZ$14,0)=EOMONTH($CD$3,0),DZ$12,0),0),IF(AND(DV$12&lt;&gt;"",DV$14&lt;&gt;""),IF(EOMONTH($DV$3+INT((DAY(EOMONTH($DV$3,0))-1)/2)+DV$14,0)=EOMONTH($CD$3,0),DV$12,0),0),IF(AND(DR$12&lt;&gt;"",DR$14&lt;&gt;""),IF(EOMONTH($DR$3+INT((DAY(EOMONTH($DR$3,0))-1)/2)+DR$14,0)=EOMONTH($CD$3,0),DR$12,0),0),IF(AND(DN$12&lt;&gt;"",DN$14&lt;&gt;""),IF(EOMONTH($DN$3+INT((DAY(EOMONTH($DN$3,0))-1)/2)+DN$14,0)=EOMONTH($CD$3,0),DN$12,0),0),IF(AND(DJ$12&lt;&gt;"",DJ$14&lt;&gt;""),IF(EOMONTH($DJ$3+INT((DAY(EOMONTH($DJ$3,0))-1)/2)+DJ$14,0)=EOMONTH($CD$3,0),DJ$12,0),0),IF(AND(DF$12&lt;&gt;"",DF$14&lt;&gt;""),IF(EOMONTH($DF$3+INT((DAY(EOMONTH($DF$3,0))-1)/2)+DF$14,0)=EOMONTH($CD$3,0),DF$12,0),0),IF(AND(DB$12&lt;&gt;"",DB$14&lt;&gt;""),IF(EOMONTH($DB$3+INT((DAY(EOMONTH($DB$3,0))-1)/2)+DB$14,0)=EOMONTH($CD$3,0),DB$12,0),0),IF(AND(CX$12&lt;&gt;"",CX$14&lt;&gt;""),IF(EOMONTH($CX$3+INT((DAY(EOMONTH($CX$3,0))-1)/2)+CX$14,0)=EOMONTH($CD$3,0),CX$12,0),0),IF(AND(CT$12&lt;&gt;"",CT$14&lt;&gt;""),IF(EOMONTH($CT$3+INT((DAY(EOMONTH($CT$3,0))-1)/2)+CT$14,0)=EOMONTH($CD$3,0),CT$12,0),0),IF(AND(CP$12&lt;&gt;"",CP$14&lt;&gt;""),IF(EOMONTH($CP$3+INT((DAY(EOMONTH($CP$3,0))-1)/2)+CP$14,0)=EOMONTH($CD$3,0),CP$12,0),0),IF(AND(CL$12&lt;&gt;"",CL$14&lt;&gt;""),IF(EOMONTH($CL$3+INT((DAY(EOMONTH($CL$3,0))-1)/2)+CL$14,0)=EOMONTH($CD$3,0),CL$12,0),0),IF(AND(CH$12&lt;&gt;"",CH$14&lt;&gt;""),IF(EOMONTH($CH$3+INT((DAY(EOMONTH($CH$3,0))-1)/2)+CH$14,0)=EOMONTH($CD$3,0),CH$12,0),0),IF(AND(CD$12&lt;&gt;"",CD$14&lt;&gt;""),IF(EOMONTH($CD$3+INT((DAY(EOMONTH($CD$3,0))-1)/2)+CD$14,0)=EOMONTH($CD$3,0),CD$12,0),0),IF(AND(BZ$12&lt;&gt;"",BZ$14&lt;&gt;""),IF(EOMONTH($BZ$3+INT((DAY(EOMONTH($BZ$3,0))-1)/2)+BZ$14,0)=EOMONTH($CD$3,0),BZ$12,0),0),IF(AND(BV$12&lt;&gt;"",BV$14&lt;&gt;""),IF(EOMONTH($BV$3+INT((DAY(EOMONTH($BV$3,0))-1)/2)+BV$14,0)=EOMONTH($CD$3,0),BV$12,0),0),IF(AND(BR$12&lt;&gt;"",BR$14&lt;&gt;""),IF(EOMONTH($BR$3+INT((DAY(EOMONTH($BR$3,0))-1)/2)+BR$14,0)=EOMONTH($CD$3,0),BR$12,0),0),IF(AND(BN$12&lt;&gt;"",BN$14&lt;&gt;""),IF(EOMONTH($BN$3+INT((DAY(EOMONTH($BN$3,0))-1)/2)+BN$14,0)=EOMONTH($CD$3,0),BN$12,0),0),IF(AND(BJ$12&lt;&gt;"",BJ$14&lt;&gt;""),IF(EOMONTH($BJ$3+INT((DAY(EOMONTH($BJ$3,0))-1)/2)+BJ$14,0)=EOMONTH($CD$3,0),BJ$12,0),0),IF(AND(BF$12&lt;&gt;"",BF$14&lt;&gt;""),IF(EOMONTH($BF$3+INT((DAY(EOMONTH($BF$3,0))-1)/2)+BF$14,0)=EOMONTH($CD$3,0),BF$12,0),0),IF(AND(BB$12&lt;&gt;"",BB$14&lt;&gt;""),IF(EOMONTH($BB$3+INT((DAY(EOMONTH($BB$3,0))-1)/2)+BB$14,0)=EOMONTH($CD$3,0),BB$12,0),0),IF(AND(AX$12&lt;&gt;"",AX$14&lt;&gt;""),IF(EOMONTH($AX$3+INT((DAY(EOMONTH($AX$3,0))-1)/2)+AX$14,0)=EOMONTH($CD$3,0),AX$12,0),0),IF(AND(AT$12&lt;&gt;"",AT$14&lt;&gt;""),IF(EOMONTH($AT$3+INT((DAY(EOMONTH($AT$3,0))-1)/2)+AT$14,0)=EOMONTH($CD$3,0),AT$12,0),0),IF(AND(AP$12&lt;&gt;"",AP$14&lt;&gt;""),IF(EOMONTH($AP$3+INT((DAY(EOMONTH($AP$3,0))-1)/2)+AP$14,0)=EOMONTH($CD$3,0),AP$12,0),0),IF(AND(AL$12&lt;&gt;"",AL$14&lt;&gt;""),IF(EOMONTH($AL$3+INT((DAY(EOMONTH($AL$3,0))-1)/2)+AL$14,0)=EOMONTH($CD$3,0),AL$12,0),0),IF(AND(AH$12&lt;&gt;"",AH$14&lt;&gt;""),IF(EOMONTH($AH$3+INT((DAY(EOMONTH($AH$3,0))-1)/2)+AH$14,0)=EOMONTH($CD$3,0),AH$12,0),0),IF(AND(AD$12&lt;&gt;"",AD$14&lt;&gt;""),IF(EOMONTH($AD$3+INT((DAY(EOMONTH($AD$3,0))-1)/2)+AD$14,0)=EOMONTH($CD$3,0),AD$12,0),0),IF(AND(Z$12&lt;&gt;"",Z$14&lt;&gt;""),IF(EOMONTH($Z$3+INT((DAY(EOMONTH($Z$3,0))-1)/2)+Z$14,0)=EOMONTH($CD$3,0),Z$12,0),0),IF(AND(V$12&lt;&gt;"",V$14&lt;&gt;""),IF(EOMONTH($V$3+INT((DAY(EOMONTH($V$3,0))-1)/2)+V$14,0)=EOMONTH($CD$3,0),V$12,0),0),IF(AND(R$12&lt;&gt;"",R$14&lt;&gt;""),IF(EOMONTH($R$3+INT((DAY(EOMONTH($R$3,0))-1)/2)+R$14,0)=EOMONTH($CD$3,0),R$12,0),0),IF(AND(N$12&lt;&gt;"",N$14&lt;&gt;""),IF(EOMONTH($N$3+INT((DAY(EOMONTH($N$3,0))-1)/2)+N$14,0)=EOMONTH($CD$3,0),N$12,0),0),IF(AND(J$12&lt;&gt;"",J$14&lt;&gt;""),IF(EOMONTH($J$3+INT((DAY(EOMONTH($J$3,0))-1)/2)+J$14,0)=EOMONTH($CD$3,0),J$12,0),0),IF(AND(F$12&lt;&gt;"",F$14&lt;&gt;""),IF(EOMONTH($F$3+INT((DAY(EOMONTH($F$3,0))-1)/2)+F$14,0)=EOMONTH($CD$3,0),F$12,0),0),IF($EP$75="",0,IF(EOMONTH($EP$75+EP$14,0)=EOMONTH($CD$3,0),$EP$77,0))),0)</f>
        <v>0</v>
      </c>
      <c r="CE20" s="14">
        <f t="shared" si="217"/>
        <v>0</v>
      </c>
      <c r="CF20" s="15">
        <f t="shared" si="217"/>
        <v>0</v>
      </c>
      <c r="CG20" s="16">
        <f t="shared" si="43"/>
        <v>0</v>
      </c>
      <c r="CH20" s="13">
        <f t="shared" ref="CH20:CJ20" si="218">ROUND(SUM(IF(AND(EP$12&lt;&gt;"",EP$14&lt;&gt;""),IF(EOMONTH($EP$3+INT((DAY(EOMONTH($EP$3,0))-1)/2)+EP$14,0)=EOMONTH($CH$3,0),EP$12,0),0),IF(AND(EL$12&lt;&gt;"",EL$14&lt;&gt;""),IF(EOMONTH($EL$3+INT((DAY(EOMONTH($EL$3,0))-1)/2)+EL$14,0)=EOMONTH($CH$3,0),EL$12,0),0),IF(AND(EH$12&lt;&gt;"",EH$14&lt;&gt;""),IF(EOMONTH($EH$3+INT((DAY(EOMONTH($EH$3,0))-1)/2)+EH$14,0)=EOMONTH($CH$3,0),EH$12,0),0),IF(AND(ED$12&lt;&gt;"",ED$14&lt;&gt;""),IF(EOMONTH($ED$3+INT((DAY(EOMONTH($ED$3,0))-1)/2)+ED$14,0)=EOMONTH($CH$3,0),ED$12,0),0),IF(AND(DZ$12&lt;&gt;"",DZ$14&lt;&gt;""),IF(EOMONTH($DZ$3+INT((DAY(EOMONTH($DZ$3,0))-1)/2)+DZ$14,0)=EOMONTH($CH$3,0),DZ$12,0),0),IF(AND(DV$12&lt;&gt;"",DV$14&lt;&gt;""),IF(EOMONTH($DV$3+INT((DAY(EOMONTH($DV$3,0))-1)/2)+DV$14,0)=EOMONTH($CH$3,0),DV$12,0),0),IF(AND(DR$12&lt;&gt;"",DR$14&lt;&gt;""),IF(EOMONTH($DR$3+INT((DAY(EOMONTH($DR$3,0))-1)/2)+DR$14,0)=EOMONTH($CH$3,0),DR$12,0),0),IF(AND(DN$12&lt;&gt;"",DN$14&lt;&gt;""),IF(EOMONTH($DN$3+INT((DAY(EOMONTH($DN$3,0))-1)/2)+DN$14,0)=EOMONTH($CH$3,0),DN$12,0),0),IF(AND(DJ$12&lt;&gt;"",DJ$14&lt;&gt;""),IF(EOMONTH($DJ$3+INT((DAY(EOMONTH($DJ$3,0))-1)/2)+DJ$14,0)=EOMONTH($CH$3,0),DJ$12,0),0),IF(AND(DF$12&lt;&gt;"",DF$14&lt;&gt;""),IF(EOMONTH($DF$3+INT((DAY(EOMONTH($DF$3,0))-1)/2)+DF$14,0)=EOMONTH($CH$3,0),DF$12,0),0),IF(AND(DB$12&lt;&gt;"",DB$14&lt;&gt;""),IF(EOMONTH($DB$3+INT((DAY(EOMONTH($DB$3,0))-1)/2)+DB$14,0)=EOMONTH($CH$3,0),DB$12,0),0),IF(AND(CX$12&lt;&gt;"",CX$14&lt;&gt;""),IF(EOMONTH($CX$3+INT((DAY(EOMONTH($CX$3,0))-1)/2)+CX$14,0)=EOMONTH($CH$3,0),CX$12,0),0),IF(AND(CT$12&lt;&gt;"",CT$14&lt;&gt;""),IF(EOMONTH($CT$3+INT((DAY(EOMONTH($CT$3,0))-1)/2)+CT$14,0)=EOMONTH($CH$3,0),CT$12,0),0),IF(AND(CP$12&lt;&gt;"",CP$14&lt;&gt;""),IF(EOMONTH($CP$3+INT((DAY(EOMONTH($CP$3,0))-1)/2)+CP$14,0)=EOMONTH($CH$3,0),CP$12,0),0),IF(AND(CL$12&lt;&gt;"",CL$14&lt;&gt;""),IF(EOMONTH($CL$3+INT((DAY(EOMONTH($CL$3,0))-1)/2)+CL$14,0)=EOMONTH($CH$3,0),CL$12,0),0),IF(AND(CH$12&lt;&gt;"",CH$14&lt;&gt;""),IF(EOMONTH($CH$3+INT((DAY(EOMONTH($CH$3,0))-1)/2)+CH$14,0)=EOMONTH($CH$3,0),CH$12,0),0),IF(AND(CD$12&lt;&gt;"",CD$14&lt;&gt;""),IF(EOMONTH($CD$3+INT((DAY(EOMONTH($CD$3,0))-1)/2)+CD$14,0)=EOMONTH($CH$3,0),CD$12,0),0),IF(AND(BZ$12&lt;&gt;"",BZ$14&lt;&gt;""),IF(EOMONTH($BZ$3+INT((DAY(EOMONTH($BZ$3,0))-1)/2)+BZ$14,0)=EOMONTH($CH$3,0),BZ$12,0),0),IF(AND(BV$12&lt;&gt;"",BV$14&lt;&gt;""),IF(EOMONTH($BV$3+INT((DAY(EOMONTH($BV$3,0))-1)/2)+BV$14,0)=EOMONTH($CH$3,0),BV$12,0),0),IF(AND(BR$12&lt;&gt;"",BR$14&lt;&gt;""),IF(EOMONTH($BR$3+INT((DAY(EOMONTH($BR$3,0))-1)/2)+BR$14,0)=EOMONTH($CH$3,0),BR$12,0),0),IF(AND(BN$12&lt;&gt;"",BN$14&lt;&gt;""),IF(EOMONTH($BN$3+INT((DAY(EOMONTH($BN$3,0))-1)/2)+BN$14,0)=EOMONTH($CH$3,0),BN$12,0),0),IF(AND(BJ$12&lt;&gt;"",BJ$14&lt;&gt;""),IF(EOMONTH($BJ$3+INT((DAY(EOMONTH($BJ$3,0))-1)/2)+BJ$14,0)=EOMONTH($CH$3,0),BJ$12,0),0),IF(AND(BF$12&lt;&gt;"",BF$14&lt;&gt;""),IF(EOMONTH($BF$3+INT((DAY(EOMONTH($BF$3,0))-1)/2)+BF$14,0)=EOMONTH($CH$3,0),BF$12,0),0),IF(AND(BB$12&lt;&gt;"",BB$14&lt;&gt;""),IF(EOMONTH($BB$3+INT((DAY(EOMONTH($BB$3,0))-1)/2)+BB$14,0)=EOMONTH($CH$3,0),BB$12,0),0),IF(AND(AX$12&lt;&gt;"",AX$14&lt;&gt;""),IF(EOMONTH($AX$3+INT((DAY(EOMONTH($AX$3,0))-1)/2)+AX$14,0)=EOMONTH($CH$3,0),AX$12,0),0),IF(AND(AT$12&lt;&gt;"",AT$14&lt;&gt;""),IF(EOMONTH($AT$3+INT((DAY(EOMONTH($AT$3,0))-1)/2)+AT$14,0)=EOMONTH($CH$3,0),AT$12,0),0),IF(AND(AP$12&lt;&gt;"",AP$14&lt;&gt;""),IF(EOMONTH($AP$3+INT((DAY(EOMONTH($AP$3,0))-1)/2)+AP$14,0)=EOMONTH($CH$3,0),AP$12,0),0),IF(AND(AL$12&lt;&gt;"",AL$14&lt;&gt;""),IF(EOMONTH($AL$3+INT((DAY(EOMONTH($AL$3,0))-1)/2)+AL$14,0)=EOMONTH($CH$3,0),AL$12,0),0),IF(AND(AH$12&lt;&gt;"",AH$14&lt;&gt;""),IF(EOMONTH($AH$3+INT((DAY(EOMONTH($AH$3,0))-1)/2)+AH$14,0)=EOMONTH($CH$3,0),AH$12,0),0),IF(AND(AD$12&lt;&gt;"",AD$14&lt;&gt;""),IF(EOMONTH($AD$3+INT((DAY(EOMONTH($AD$3,0))-1)/2)+AD$14,0)=EOMONTH($CH$3,0),AD$12,0),0),IF(AND(Z$12&lt;&gt;"",Z$14&lt;&gt;""),IF(EOMONTH($Z$3+INT((DAY(EOMONTH($Z$3,0))-1)/2)+Z$14,0)=EOMONTH($CH$3,0),Z$12,0),0),IF(AND(V$12&lt;&gt;"",V$14&lt;&gt;""),IF(EOMONTH($V$3+INT((DAY(EOMONTH($V$3,0))-1)/2)+V$14,0)=EOMONTH($CH$3,0),V$12,0),0),IF(AND(R$12&lt;&gt;"",R$14&lt;&gt;""),IF(EOMONTH($R$3+INT((DAY(EOMONTH($R$3,0))-1)/2)+R$14,0)=EOMONTH($CH$3,0),R$12,0),0),IF(AND(N$12&lt;&gt;"",N$14&lt;&gt;""),IF(EOMONTH($N$3+INT((DAY(EOMONTH($N$3,0))-1)/2)+N$14,0)=EOMONTH($CH$3,0),N$12,0),0),IF(AND(J$12&lt;&gt;"",J$14&lt;&gt;""),IF(EOMONTH($J$3+INT((DAY(EOMONTH($J$3,0))-1)/2)+J$14,0)=EOMONTH($CH$3,0),J$12,0),0),IF(AND(F$12&lt;&gt;"",F$14&lt;&gt;""),IF(EOMONTH($F$3+INT((DAY(EOMONTH($F$3,0))-1)/2)+F$14,0)=EOMONTH($CH$3,0),F$12,0),0),IF($EP$75="",0,IF(EOMONTH($EP$75+EP$14,0)=EOMONTH($CH$3,0),$EP$77,0))),0)</f>
        <v>0</v>
      </c>
      <c r="CI20" s="14">
        <f t="shared" si="218"/>
        <v>0</v>
      </c>
      <c r="CJ20" s="15">
        <f t="shared" si="218"/>
        <v>0</v>
      </c>
      <c r="CK20" s="16">
        <f t="shared" si="45"/>
        <v>0</v>
      </c>
      <c r="CL20" s="13">
        <f t="shared" ref="CL20:CN20" si="219">ROUND(SUM(IF(AND(EP$12&lt;&gt;"",EP$14&lt;&gt;""),IF(EOMONTH($EP$3+INT((DAY(EOMONTH($EP$3,0))-1)/2)+EP$14,0)=EOMONTH($CL$3,0),EP$12,0),0),IF(AND(EL$12&lt;&gt;"",EL$14&lt;&gt;""),IF(EOMONTH($EL$3+INT((DAY(EOMONTH($EL$3,0))-1)/2)+EL$14,0)=EOMONTH($CL$3,0),EL$12,0),0),IF(AND(EH$12&lt;&gt;"",EH$14&lt;&gt;""),IF(EOMONTH($EH$3+INT((DAY(EOMONTH($EH$3,0))-1)/2)+EH$14,0)=EOMONTH($CL$3,0),EH$12,0),0),IF(AND(ED$12&lt;&gt;"",ED$14&lt;&gt;""),IF(EOMONTH($ED$3+INT((DAY(EOMONTH($ED$3,0))-1)/2)+ED$14,0)=EOMONTH($CL$3,0),ED$12,0),0),IF(AND(DZ$12&lt;&gt;"",DZ$14&lt;&gt;""),IF(EOMONTH($DZ$3+INT((DAY(EOMONTH($DZ$3,0))-1)/2)+DZ$14,0)=EOMONTH($CL$3,0),DZ$12,0),0),IF(AND(DV$12&lt;&gt;"",DV$14&lt;&gt;""),IF(EOMONTH($DV$3+INT((DAY(EOMONTH($DV$3,0))-1)/2)+DV$14,0)=EOMONTH($CL$3,0),DV$12,0),0),IF(AND(DR$12&lt;&gt;"",DR$14&lt;&gt;""),IF(EOMONTH($DR$3+INT((DAY(EOMONTH($DR$3,0))-1)/2)+DR$14,0)=EOMONTH($CL$3,0),DR$12,0),0),IF(AND(DN$12&lt;&gt;"",DN$14&lt;&gt;""),IF(EOMONTH($DN$3+INT((DAY(EOMONTH($DN$3,0))-1)/2)+DN$14,0)=EOMONTH($CL$3,0),DN$12,0),0),IF(AND(DJ$12&lt;&gt;"",DJ$14&lt;&gt;""),IF(EOMONTH($DJ$3+INT((DAY(EOMONTH($DJ$3,0))-1)/2)+DJ$14,0)=EOMONTH($CL$3,0),DJ$12,0),0),IF(AND(DF$12&lt;&gt;"",DF$14&lt;&gt;""),IF(EOMONTH($DF$3+INT((DAY(EOMONTH($DF$3,0))-1)/2)+DF$14,0)=EOMONTH($CL$3,0),DF$12,0),0),IF(AND(DB$12&lt;&gt;"",DB$14&lt;&gt;""),IF(EOMONTH($DB$3+INT((DAY(EOMONTH($DB$3,0))-1)/2)+DB$14,0)=EOMONTH($CL$3,0),DB$12,0),0),IF(AND(CX$12&lt;&gt;"",CX$14&lt;&gt;""),IF(EOMONTH($CX$3+INT((DAY(EOMONTH($CX$3,0))-1)/2)+CX$14,0)=EOMONTH($CL$3,0),CX$12,0),0),IF(AND(CT$12&lt;&gt;"",CT$14&lt;&gt;""),IF(EOMONTH($CT$3+INT((DAY(EOMONTH($CT$3,0))-1)/2)+CT$14,0)=EOMONTH($CL$3,0),CT$12,0),0),IF(AND(CP$12&lt;&gt;"",CP$14&lt;&gt;""),IF(EOMONTH($CP$3+INT((DAY(EOMONTH($CP$3,0))-1)/2)+CP$14,0)=EOMONTH($CL$3,0),CP$12,0),0),IF(AND(CL$12&lt;&gt;"",CL$14&lt;&gt;""),IF(EOMONTH($CL$3+INT((DAY(EOMONTH($CL$3,0))-1)/2)+CL$14,0)=EOMONTH($CL$3,0),CL$12,0),0),IF(AND(CH$12&lt;&gt;"",CH$14&lt;&gt;""),IF(EOMONTH($CH$3+INT((DAY(EOMONTH($CH$3,0))-1)/2)+CH$14,0)=EOMONTH($CL$3,0),CH$12,0),0),IF(AND(CD$12&lt;&gt;"",CD$14&lt;&gt;""),IF(EOMONTH($CD$3+INT((DAY(EOMONTH($CD$3,0))-1)/2)+CD$14,0)=EOMONTH($CL$3,0),CD$12,0),0),IF(AND(BZ$12&lt;&gt;"",BZ$14&lt;&gt;""),IF(EOMONTH($BZ$3+INT((DAY(EOMONTH($BZ$3,0))-1)/2)+BZ$14,0)=EOMONTH($CL$3,0),BZ$12,0),0),IF(AND(BV$12&lt;&gt;"",BV$14&lt;&gt;""),IF(EOMONTH($BV$3+INT((DAY(EOMONTH($BV$3,0))-1)/2)+BV$14,0)=EOMONTH($CL$3,0),BV$12,0),0),IF(AND(BR$12&lt;&gt;"",BR$14&lt;&gt;""),IF(EOMONTH($BR$3+INT((DAY(EOMONTH($BR$3,0))-1)/2)+BR$14,0)=EOMONTH($CL$3,0),BR$12,0),0),IF(AND(BN$12&lt;&gt;"",BN$14&lt;&gt;""),IF(EOMONTH($BN$3+INT((DAY(EOMONTH($BN$3,0))-1)/2)+BN$14,0)=EOMONTH($CL$3,0),BN$12,0),0),IF(AND(BJ$12&lt;&gt;"",BJ$14&lt;&gt;""),IF(EOMONTH($BJ$3+INT((DAY(EOMONTH($BJ$3,0))-1)/2)+BJ$14,0)=EOMONTH($CL$3,0),BJ$12,0),0),IF(AND(BF$12&lt;&gt;"",BF$14&lt;&gt;""),IF(EOMONTH($BF$3+INT((DAY(EOMONTH($BF$3,0))-1)/2)+BF$14,0)=EOMONTH($CL$3,0),BF$12,0),0),IF(AND(BB$12&lt;&gt;"",BB$14&lt;&gt;""),IF(EOMONTH($BB$3+INT((DAY(EOMONTH($BB$3,0))-1)/2)+BB$14,0)=EOMONTH($CL$3,0),BB$12,0),0),IF(AND(AX$12&lt;&gt;"",AX$14&lt;&gt;""),IF(EOMONTH($AX$3+INT((DAY(EOMONTH($AX$3,0))-1)/2)+AX$14,0)=EOMONTH($CL$3,0),AX$12,0),0),IF(AND(AT$12&lt;&gt;"",AT$14&lt;&gt;""),IF(EOMONTH($AT$3+INT((DAY(EOMONTH($AT$3,0))-1)/2)+AT$14,0)=EOMONTH($CL$3,0),AT$12,0),0),IF(AND(AP$12&lt;&gt;"",AP$14&lt;&gt;""),IF(EOMONTH($AP$3+INT((DAY(EOMONTH($AP$3,0))-1)/2)+AP$14,0)=EOMONTH($CL$3,0),AP$12,0),0),IF(AND(AL$12&lt;&gt;"",AL$14&lt;&gt;""),IF(EOMONTH($AL$3+INT((DAY(EOMONTH($AL$3,0))-1)/2)+AL$14,0)=EOMONTH($CL$3,0),AL$12,0),0),IF(AND(AH$12&lt;&gt;"",AH$14&lt;&gt;""),IF(EOMONTH($AH$3+INT((DAY(EOMONTH($AH$3,0))-1)/2)+AH$14,0)=EOMONTH($CL$3,0),AH$12,0),0),IF(AND(AD$12&lt;&gt;"",AD$14&lt;&gt;""),IF(EOMONTH($AD$3+INT((DAY(EOMONTH($AD$3,0))-1)/2)+AD$14,0)=EOMONTH($CL$3,0),AD$12,0),0),IF(AND(Z$12&lt;&gt;"",Z$14&lt;&gt;""),IF(EOMONTH($Z$3+INT((DAY(EOMONTH($Z$3,0))-1)/2)+Z$14,0)=EOMONTH($CL$3,0),Z$12,0),0),IF(AND(V$12&lt;&gt;"",V$14&lt;&gt;""),IF(EOMONTH($V$3+INT((DAY(EOMONTH($V$3,0))-1)/2)+V$14,0)=EOMONTH($CL$3,0),V$12,0),0),IF(AND(R$12&lt;&gt;"",R$14&lt;&gt;""),IF(EOMONTH($R$3+INT((DAY(EOMONTH($R$3,0))-1)/2)+R$14,0)=EOMONTH($CL$3,0),R$12,0),0),IF(AND(N$12&lt;&gt;"",N$14&lt;&gt;""),IF(EOMONTH($N$3+INT((DAY(EOMONTH($N$3,0))-1)/2)+N$14,0)=EOMONTH($CL$3,0),N$12,0),0),IF(AND(J$12&lt;&gt;"",J$14&lt;&gt;""),IF(EOMONTH($J$3+INT((DAY(EOMONTH($J$3,0))-1)/2)+J$14,0)=EOMONTH($CL$3,0),J$12,0),0),IF(AND(F$12&lt;&gt;"",F$14&lt;&gt;""),IF(EOMONTH($F$3+INT((DAY(EOMONTH($F$3,0))-1)/2)+F$14,0)=EOMONTH($CL$3,0),F$12,0),0),IF($EP$75="",0,IF(EOMONTH($EP$75+EP$14,0)=EOMONTH($CL$3,0),$EP$77,0))),0)</f>
        <v>0</v>
      </c>
      <c r="CM20" s="14">
        <f t="shared" si="219"/>
        <v>0</v>
      </c>
      <c r="CN20" s="15">
        <f t="shared" si="219"/>
        <v>0</v>
      </c>
      <c r="CO20" s="16">
        <f t="shared" si="47"/>
        <v>0</v>
      </c>
      <c r="CP20" s="13">
        <f t="shared" ref="CP20:CR20" si="220">ROUND(SUM(IF(AND(EP$12&lt;&gt;"",EP$14&lt;&gt;""),IF(EOMONTH($EP$3+INT((DAY(EOMONTH($EP$3,0))-1)/2)+EP$14,0)=EOMONTH($CP$3,0),EP$12,0),0),IF(AND(EL$12&lt;&gt;"",EL$14&lt;&gt;""),IF(EOMONTH($EL$3+INT((DAY(EOMONTH($EL$3,0))-1)/2)+EL$14,0)=EOMONTH($CP$3,0),EL$12,0),0),IF(AND(EH$12&lt;&gt;"",EH$14&lt;&gt;""),IF(EOMONTH($EH$3+INT((DAY(EOMONTH($EH$3,0))-1)/2)+EH$14,0)=EOMONTH($CP$3,0),EH$12,0),0),IF(AND(ED$12&lt;&gt;"",ED$14&lt;&gt;""),IF(EOMONTH($ED$3+INT((DAY(EOMONTH($ED$3,0))-1)/2)+ED$14,0)=EOMONTH($CP$3,0),ED$12,0),0),IF(AND(DZ$12&lt;&gt;"",DZ$14&lt;&gt;""),IF(EOMONTH($DZ$3+INT((DAY(EOMONTH($DZ$3,0))-1)/2)+DZ$14,0)=EOMONTH($CP$3,0),DZ$12,0),0),IF(AND(DV$12&lt;&gt;"",DV$14&lt;&gt;""),IF(EOMONTH($DV$3+INT((DAY(EOMONTH($DV$3,0))-1)/2)+DV$14,0)=EOMONTH($CP$3,0),DV$12,0),0),IF(AND(DR$12&lt;&gt;"",DR$14&lt;&gt;""),IF(EOMONTH($DR$3+INT((DAY(EOMONTH($DR$3,0))-1)/2)+DR$14,0)=EOMONTH($CP$3,0),DR$12,0),0),IF(AND(DN$12&lt;&gt;"",DN$14&lt;&gt;""),IF(EOMONTH($DN$3+INT((DAY(EOMONTH($DN$3,0))-1)/2)+DN$14,0)=EOMONTH($CP$3,0),DN$12,0),0),IF(AND(DJ$12&lt;&gt;"",DJ$14&lt;&gt;""),IF(EOMONTH($DJ$3+INT((DAY(EOMONTH($DJ$3,0))-1)/2)+DJ$14,0)=EOMONTH($CP$3,0),DJ$12,0),0),IF(AND(DF$12&lt;&gt;"",DF$14&lt;&gt;""),IF(EOMONTH($DF$3+INT((DAY(EOMONTH($DF$3,0))-1)/2)+DF$14,0)=EOMONTH($CP$3,0),DF$12,0),0),IF(AND(DB$12&lt;&gt;"",DB$14&lt;&gt;""),IF(EOMONTH($DB$3+INT((DAY(EOMONTH($DB$3,0))-1)/2)+DB$14,0)=EOMONTH($CP$3,0),DB$12,0),0),IF(AND(CX$12&lt;&gt;"",CX$14&lt;&gt;""),IF(EOMONTH($CX$3+INT((DAY(EOMONTH($CX$3,0))-1)/2)+CX$14,0)=EOMONTH($CP$3,0),CX$12,0),0),IF(AND(CT$12&lt;&gt;"",CT$14&lt;&gt;""),IF(EOMONTH($CT$3+INT((DAY(EOMONTH($CT$3,0))-1)/2)+CT$14,0)=EOMONTH($CP$3,0),CT$12,0),0),IF(AND(CP$12&lt;&gt;"",CP$14&lt;&gt;""),IF(EOMONTH($CP$3+INT((DAY(EOMONTH($CP$3,0))-1)/2)+CP$14,0)=EOMONTH($CP$3,0),CP$12,0),0),IF(AND(CL$12&lt;&gt;"",CL$14&lt;&gt;""),IF(EOMONTH($CL$3+INT((DAY(EOMONTH($CL$3,0))-1)/2)+CL$14,0)=EOMONTH($CP$3,0),CL$12,0),0),IF(AND(CH$12&lt;&gt;"",CH$14&lt;&gt;""),IF(EOMONTH($CH$3+INT((DAY(EOMONTH($CH$3,0))-1)/2)+CH$14,0)=EOMONTH($CP$3,0),CH$12,0),0),IF(AND(CD$12&lt;&gt;"",CD$14&lt;&gt;""),IF(EOMONTH($CD$3+INT((DAY(EOMONTH($CD$3,0))-1)/2)+CD$14,0)=EOMONTH($CP$3,0),CD$12,0),0),IF(AND(BZ$12&lt;&gt;"",BZ$14&lt;&gt;""),IF(EOMONTH($BZ$3+INT((DAY(EOMONTH($BZ$3,0))-1)/2)+BZ$14,0)=EOMONTH($CP$3,0),BZ$12,0),0),IF(AND(BV$12&lt;&gt;"",BV$14&lt;&gt;""),IF(EOMONTH($BV$3+INT((DAY(EOMONTH($BV$3,0))-1)/2)+BV$14,0)=EOMONTH($CP$3,0),BV$12,0),0),IF(AND(BR$12&lt;&gt;"",BR$14&lt;&gt;""),IF(EOMONTH($BR$3+INT((DAY(EOMONTH($BR$3,0))-1)/2)+BR$14,0)=EOMONTH($CP$3,0),BR$12,0),0),IF(AND(BN$12&lt;&gt;"",BN$14&lt;&gt;""),IF(EOMONTH($BN$3+INT((DAY(EOMONTH($BN$3,0))-1)/2)+BN$14,0)=EOMONTH($CP$3,0),BN$12,0),0),IF(AND(BJ$12&lt;&gt;"",BJ$14&lt;&gt;""),IF(EOMONTH($BJ$3+INT((DAY(EOMONTH($BJ$3,0))-1)/2)+BJ$14,0)=EOMONTH($CP$3,0),BJ$12,0),0),IF(AND(BF$12&lt;&gt;"",BF$14&lt;&gt;""),IF(EOMONTH($BF$3+INT((DAY(EOMONTH($BF$3,0))-1)/2)+BF$14,0)=EOMONTH($CP$3,0),BF$12,0),0),IF(AND(BB$12&lt;&gt;"",BB$14&lt;&gt;""),IF(EOMONTH($BB$3+INT((DAY(EOMONTH($BB$3,0))-1)/2)+BB$14,0)=EOMONTH($CP$3,0),BB$12,0),0),IF(AND(AX$12&lt;&gt;"",AX$14&lt;&gt;""),IF(EOMONTH($AX$3+INT((DAY(EOMONTH($AX$3,0))-1)/2)+AX$14,0)=EOMONTH($CP$3,0),AX$12,0),0),IF(AND(AT$12&lt;&gt;"",AT$14&lt;&gt;""),IF(EOMONTH($AT$3+INT((DAY(EOMONTH($AT$3,0))-1)/2)+AT$14,0)=EOMONTH($CP$3,0),AT$12,0),0),IF(AND(AP$12&lt;&gt;"",AP$14&lt;&gt;""),IF(EOMONTH($AP$3+INT((DAY(EOMONTH($AP$3,0))-1)/2)+AP$14,0)=EOMONTH($CP$3,0),AP$12,0),0),IF(AND(AL$12&lt;&gt;"",AL$14&lt;&gt;""),IF(EOMONTH($AL$3+INT((DAY(EOMONTH($AL$3,0))-1)/2)+AL$14,0)=EOMONTH($CP$3,0),AL$12,0),0),IF(AND(AH$12&lt;&gt;"",AH$14&lt;&gt;""),IF(EOMONTH($AH$3+INT((DAY(EOMONTH($AH$3,0))-1)/2)+AH$14,0)=EOMONTH($CP$3,0),AH$12,0),0),IF(AND(AD$12&lt;&gt;"",AD$14&lt;&gt;""),IF(EOMONTH($AD$3+INT((DAY(EOMONTH($AD$3,0))-1)/2)+AD$14,0)=EOMONTH($CP$3,0),AD$12,0),0),IF(AND(Z$12&lt;&gt;"",Z$14&lt;&gt;""),IF(EOMONTH($Z$3+INT((DAY(EOMONTH($Z$3,0))-1)/2)+Z$14,0)=EOMONTH($CP$3,0),Z$12,0),0),IF(AND(V$12&lt;&gt;"",V$14&lt;&gt;""),IF(EOMONTH($V$3+INT((DAY(EOMONTH($V$3,0))-1)/2)+V$14,0)=EOMONTH($CP$3,0),V$12,0),0),IF(AND(R$12&lt;&gt;"",R$14&lt;&gt;""),IF(EOMONTH($R$3+INT((DAY(EOMONTH($R$3,0))-1)/2)+R$14,0)=EOMONTH($CP$3,0),R$12,0),0),IF(AND(N$12&lt;&gt;"",N$14&lt;&gt;""),IF(EOMONTH($N$3+INT((DAY(EOMONTH($N$3,0))-1)/2)+N$14,0)=EOMONTH($CP$3,0),N$12,0),0),IF(AND(J$12&lt;&gt;"",J$14&lt;&gt;""),IF(EOMONTH($J$3+INT((DAY(EOMONTH($J$3,0))-1)/2)+J$14,0)=EOMONTH($CP$3,0),J$12,0),0),IF(AND(F$12&lt;&gt;"",F$14&lt;&gt;""),IF(EOMONTH($F$3+INT((DAY(EOMONTH($F$3,0))-1)/2)+F$14,0)=EOMONTH($CP$3,0),F$12,0),0),IF($EP$75="",0,IF(EOMONTH($EP$75+EP$14,0)=EOMONTH($CP$3,0),$EP$77,0))),0)</f>
        <v>0</v>
      </c>
      <c r="CQ20" s="14">
        <f t="shared" si="220"/>
        <v>0</v>
      </c>
      <c r="CR20" s="15">
        <f t="shared" si="220"/>
        <v>0</v>
      </c>
      <c r="CS20" s="16">
        <f t="shared" si="49"/>
        <v>0</v>
      </c>
      <c r="CT20" s="13">
        <f t="shared" ref="CT20:CV20" si="221">ROUND(SUM(IF(AND(EP$12&lt;&gt;"",EP$14&lt;&gt;""),IF(EOMONTH($EP$3+INT((DAY(EOMONTH($EP$3,0))-1)/2)+EP$14,0)=EOMONTH($CT$3,0),EP$12,0),0),IF(AND(EL$12&lt;&gt;"",EL$14&lt;&gt;""),IF(EOMONTH($EL$3+INT((DAY(EOMONTH($EL$3,0))-1)/2)+EL$14,0)=EOMONTH($CT$3,0),EL$12,0),0),IF(AND(EH$12&lt;&gt;"",EH$14&lt;&gt;""),IF(EOMONTH($EH$3+INT((DAY(EOMONTH($EH$3,0))-1)/2)+EH$14,0)=EOMONTH($CT$3,0),EH$12,0),0),IF(AND(ED$12&lt;&gt;"",ED$14&lt;&gt;""),IF(EOMONTH($ED$3+INT((DAY(EOMONTH($ED$3,0))-1)/2)+ED$14,0)=EOMONTH($CT$3,0),ED$12,0),0),IF(AND(DZ$12&lt;&gt;"",DZ$14&lt;&gt;""),IF(EOMONTH($DZ$3+INT((DAY(EOMONTH($DZ$3,0))-1)/2)+DZ$14,0)=EOMONTH($CT$3,0),DZ$12,0),0),IF(AND(DV$12&lt;&gt;"",DV$14&lt;&gt;""),IF(EOMONTH($DV$3+INT((DAY(EOMONTH($DV$3,0))-1)/2)+DV$14,0)=EOMONTH($CT$3,0),DV$12,0),0),IF(AND(DR$12&lt;&gt;"",DR$14&lt;&gt;""),IF(EOMONTH($DR$3+INT((DAY(EOMONTH($DR$3,0))-1)/2)+DR$14,0)=EOMONTH($CT$3,0),DR$12,0),0),IF(AND(DN$12&lt;&gt;"",DN$14&lt;&gt;""),IF(EOMONTH($DN$3+INT((DAY(EOMONTH($DN$3,0))-1)/2)+DN$14,0)=EOMONTH($CT$3,0),DN$12,0),0),IF(AND(DJ$12&lt;&gt;"",DJ$14&lt;&gt;""),IF(EOMONTH($DJ$3+INT((DAY(EOMONTH($DJ$3,0))-1)/2)+DJ$14,0)=EOMONTH($CT$3,0),DJ$12,0),0),IF(AND(DF$12&lt;&gt;"",DF$14&lt;&gt;""),IF(EOMONTH($DF$3+INT((DAY(EOMONTH($DF$3,0))-1)/2)+DF$14,0)=EOMONTH($CT$3,0),DF$12,0),0),IF(AND(DB$12&lt;&gt;"",DB$14&lt;&gt;""),IF(EOMONTH($DB$3+INT((DAY(EOMONTH($DB$3,0))-1)/2)+DB$14,0)=EOMONTH($CT$3,0),DB$12,0),0),IF(AND(CX$12&lt;&gt;"",CX$14&lt;&gt;""),IF(EOMONTH($CX$3+INT((DAY(EOMONTH($CX$3,0))-1)/2)+CX$14,0)=EOMONTH($CT$3,0),CX$12,0),0),IF(AND(CT$12&lt;&gt;"",CT$14&lt;&gt;""),IF(EOMONTH($CT$3+INT((DAY(EOMONTH($CT$3,0))-1)/2)+CT$14,0)=EOMONTH($CT$3,0),CT$12,0),0),IF(AND(CP$12&lt;&gt;"",CP$14&lt;&gt;""),IF(EOMONTH($CP$3+INT((DAY(EOMONTH($CP$3,0))-1)/2)+CP$14,0)=EOMONTH($CT$3,0),CP$12,0),0),IF(AND(CL$12&lt;&gt;"",CL$14&lt;&gt;""),IF(EOMONTH($CL$3+INT((DAY(EOMONTH($CL$3,0))-1)/2)+CL$14,0)=EOMONTH($CT$3,0),CL$12,0),0),IF(AND(CH$12&lt;&gt;"",CH$14&lt;&gt;""),IF(EOMONTH($CH$3+INT((DAY(EOMONTH($CH$3,0))-1)/2)+CH$14,0)=EOMONTH($CT$3,0),CH$12,0),0),IF(AND(CD$12&lt;&gt;"",CD$14&lt;&gt;""),IF(EOMONTH($CD$3+INT((DAY(EOMONTH($CD$3,0))-1)/2)+CD$14,0)=EOMONTH($CT$3,0),CD$12,0),0),IF(AND(BZ$12&lt;&gt;"",BZ$14&lt;&gt;""),IF(EOMONTH($BZ$3+INT((DAY(EOMONTH($BZ$3,0))-1)/2)+BZ$14,0)=EOMONTH($CT$3,0),BZ$12,0),0),IF(AND(BV$12&lt;&gt;"",BV$14&lt;&gt;""),IF(EOMONTH($BV$3+INT((DAY(EOMONTH($BV$3,0))-1)/2)+BV$14,0)=EOMONTH($CT$3,0),BV$12,0),0),IF(AND(BR$12&lt;&gt;"",BR$14&lt;&gt;""),IF(EOMONTH($BR$3+INT((DAY(EOMONTH($BR$3,0))-1)/2)+BR$14,0)=EOMONTH($CT$3,0),BR$12,0),0),IF(AND(BN$12&lt;&gt;"",BN$14&lt;&gt;""),IF(EOMONTH($BN$3+INT((DAY(EOMONTH($BN$3,0))-1)/2)+BN$14,0)=EOMONTH($CT$3,0),BN$12,0),0),IF(AND(BJ$12&lt;&gt;"",BJ$14&lt;&gt;""),IF(EOMONTH($BJ$3+INT((DAY(EOMONTH($BJ$3,0))-1)/2)+BJ$14,0)=EOMONTH($CT$3,0),BJ$12,0),0),IF(AND(BF$12&lt;&gt;"",BF$14&lt;&gt;""),IF(EOMONTH($BF$3+INT((DAY(EOMONTH($BF$3,0))-1)/2)+BF$14,0)=EOMONTH($CT$3,0),BF$12,0),0),IF(AND(BB$12&lt;&gt;"",BB$14&lt;&gt;""),IF(EOMONTH($BB$3+INT((DAY(EOMONTH($BB$3,0))-1)/2)+BB$14,0)=EOMONTH($CT$3,0),BB$12,0),0),IF(AND(AX$12&lt;&gt;"",AX$14&lt;&gt;""),IF(EOMONTH($AX$3+INT((DAY(EOMONTH($AX$3,0))-1)/2)+AX$14,0)=EOMONTH($CT$3,0),AX$12,0),0),IF(AND(AT$12&lt;&gt;"",AT$14&lt;&gt;""),IF(EOMONTH($AT$3+INT((DAY(EOMONTH($AT$3,0))-1)/2)+AT$14,0)=EOMONTH($CT$3,0),AT$12,0),0),IF(AND(AP$12&lt;&gt;"",AP$14&lt;&gt;""),IF(EOMONTH($AP$3+INT((DAY(EOMONTH($AP$3,0))-1)/2)+AP$14,0)=EOMONTH($CT$3,0),AP$12,0),0),IF(AND(AL$12&lt;&gt;"",AL$14&lt;&gt;""),IF(EOMONTH($AL$3+INT((DAY(EOMONTH($AL$3,0))-1)/2)+AL$14,0)=EOMONTH($CT$3,0),AL$12,0),0),IF(AND(AH$12&lt;&gt;"",AH$14&lt;&gt;""),IF(EOMONTH($AH$3+INT((DAY(EOMONTH($AH$3,0))-1)/2)+AH$14,0)=EOMONTH($CT$3,0),AH$12,0),0),IF(AND(AD$12&lt;&gt;"",AD$14&lt;&gt;""),IF(EOMONTH($AD$3+INT((DAY(EOMONTH($AD$3,0))-1)/2)+AD$14,0)=EOMONTH($CT$3,0),AD$12,0),0),IF(AND(Z$12&lt;&gt;"",Z$14&lt;&gt;""),IF(EOMONTH($Z$3+INT((DAY(EOMONTH($Z$3,0))-1)/2)+Z$14,0)=EOMONTH($CT$3,0),Z$12,0),0),IF(AND(V$12&lt;&gt;"",V$14&lt;&gt;""),IF(EOMONTH($V$3+INT((DAY(EOMONTH($V$3,0))-1)/2)+V$14,0)=EOMONTH($CT$3,0),V$12,0),0),IF(AND(R$12&lt;&gt;"",R$14&lt;&gt;""),IF(EOMONTH($R$3+INT((DAY(EOMONTH($R$3,0))-1)/2)+R$14,0)=EOMONTH($CT$3,0),R$12,0),0),IF(AND(N$12&lt;&gt;"",N$14&lt;&gt;""),IF(EOMONTH($N$3+INT((DAY(EOMONTH($N$3,0))-1)/2)+N$14,0)=EOMONTH($CT$3,0),N$12,0),0),IF(AND(J$12&lt;&gt;"",J$14&lt;&gt;""),IF(EOMONTH($J$3+INT((DAY(EOMONTH($J$3,0))-1)/2)+J$14,0)=EOMONTH($CT$3,0),J$12,0),0),IF(AND(F$12&lt;&gt;"",F$14&lt;&gt;""),IF(EOMONTH($F$3+INT((DAY(EOMONTH($F$3,0))-1)/2)+F$14,0)=EOMONTH($CT$3,0),F$12,0),0),IF($EP$75="",0,IF(EOMONTH($EP$75+EP$14,0)=EOMONTH($CT$3,0),$EP$77,0))),0)</f>
        <v>0</v>
      </c>
      <c r="CU20" s="14">
        <f t="shared" si="221"/>
        <v>0</v>
      </c>
      <c r="CV20" s="15">
        <f t="shared" si="221"/>
        <v>0</v>
      </c>
      <c r="CW20" s="16">
        <f t="shared" si="51"/>
        <v>0</v>
      </c>
      <c r="CX20" s="13">
        <f t="shared" ref="CX20:CZ20" si="222">ROUND(SUM(IF(AND(EP$12&lt;&gt;"",EP$14&lt;&gt;""),IF(EOMONTH($EP$3+INT((DAY(EOMONTH($EP$3,0))-1)/2)+EP$14,0)=EOMONTH($CX$3,0),EP$12,0),0),IF(AND(EL$12&lt;&gt;"",EL$14&lt;&gt;""),IF(EOMONTH($EL$3+INT((DAY(EOMONTH($EL$3,0))-1)/2)+EL$14,0)=EOMONTH($CX$3,0),EL$12,0),0),IF(AND(EH$12&lt;&gt;"",EH$14&lt;&gt;""),IF(EOMONTH($EH$3+INT((DAY(EOMONTH($EH$3,0))-1)/2)+EH$14,0)=EOMONTH($CX$3,0),EH$12,0),0),IF(AND(ED$12&lt;&gt;"",ED$14&lt;&gt;""),IF(EOMONTH($ED$3+INT((DAY(EOMONTH($ED$3,0))-1)/2)+ED$14,0)=EOMONTH($CX$3,0),ED$12,0),0),IF(AND(DZ$12&lt;&gt;"",DZ$14&lt;&gt;""),IF(EOMONTH($DZ$3+INT((DAY(EOMONTH($DZ$3,0))-1)/2)+DZ$14,0)=EOMONTH($CX$3,0),DZ$12,0),0),IF(AND(DV$12&lt;&gt;"",DV$14&lt;&gt;""),IF(EOMONTH($DV$3+INT((DAY(EOMONTH($DV$3,0))-1)/2)+DV$14,0)=EOMONTH($CX$3,0),DV$12,0),0),IF(AND(DR$12&lt;&gt;"",DR$14&lt;&gt;""),IF(EOMONTH($DR$3+INT((DAY(EOMONTH($DR$3,0))-1)/2)+DR$14,0)=EOMONTH($CX$3,0),DR$12,0),0),IF(AND(DN$12&lt;&gt;"",DN$14&lt;&gt;""),IF(EOMONTH($DN$3+INT((DAY(EOMONTH($DN$3,0))-1)/2)+DN$14,0)=EOMONTH($CX$3,0),DN$12,0),0),IF(AND(DJ$12&lt;&gt;"",DJ$14&lt;&gt;""),IF(EOMONTH($DJ$3+INT((DAY(EOMONTH($DJ$3,0))-1)/2)+DJ$14,0)=EOMONTH($CX$3,0),DJ$12,0),0),IF(AND(DF$12&lt;&gt;"",DF$14&lt;&gt;""),IF(EOMONTH($DF$3+INT((DAY(EOMONTH($DF$3,0))-1)/2)+DF$14,0)=EOMONTH($CX$3,0),DF$12,0),0),IF(AND(DB$12&lt;&gt;"",DB$14&lt;&gt;""),IF(EOMONTH($DB$3+INT((DAY(EOMONTH($DB$3,0))-1)/2)+DB$14,0)=EOMONTH($CX$3,0),DB$12,0),0),IF(AND(CX$12&lt;&gt;"",CX$14&lt;&gt;""),IF(EOMONTH($CX$3+INT((DAY(EOMONTH($CX$3,0))-1)/2)+CX$14,0)=EOMONTH($CX$3,0),CX$12,0),0),IF(AND(CT$12&lt;&gt;"",CT$14&lt;&gt;""),IF(EOMONTH($CT$3+INT((DAY(EOMONTH($CT$3,0))-1)/2)+CT$14,0)=EOMONTH($CX$3,0),CT$12,0),0),IF(AND(CP$12&lt;&gt;"",CP$14&lt;&gt;""),IF(EOMONTH($CP$3+INT((DAY(EOMONTH($CP$3,0))-1)/2)+CP$14,0)=EOMONTH($CX$3,0),CP$12,0),0),IF(AND(CL$12&lt;&gt;"",CL$14&lt;&gt;""),IF(EOMONTH($CL$3+INT((DAY(EOMONTH($CL$3,0))-1)/2)+CL$14,0)=EOMONTH($CX$3,0),CL$12,0),0),IF(AND(CH$12&lt;&gt;"",CH$14&lt;&gt;""),IF(EOMONTH($CH$3+INT((DAY(EOMONTH($CH$3,0))-1)/2)+CH$14,0)=EOMONTH($CX$3,0),CH$12,0),0),IF(AND(CD$12&lt;&gt;"",CD$14&lt;&gt;""),IF(EOMONTH($CD$3+INT((DAY(EOMONTH($CD$3,0))-1)/2)+CD$14,0)=EOMONTH($CX$3,0),CD$12,0),0),IF(AND(BZ$12&lt;&gt;"",BZ$14&lt;&gt;""),IF(EOMONTH($BZ$3+INT((DAY(EOMONTH($BZ$3,0))-1)/2)+BZ$14,0)=EOMONTH($CX$3,0),BZ$12,0),0),IF(AND(BV$12&lt;&gt;"",BV$14&lt;&gt;""),IF(EOMONTH($BV$3+INT((DAY(EOMONTH($BV$3,0))-1)/2)+BV$14,0)=EOMONTH($CX$3,0),BV$12,0),0),IF(AND(BR$12&lt;&gt;"",BR$14&lt;&gt;""),IF(EOMONTH($BR$3+INT((DAY(EOMONTH($BR$3,0))-1)/2)+BR$14,0)=EOMONTH($CX$3,0),BR$12,0),0),IF(AND(BN$12&lt;&gt;"",BN$14&lt;&gt;""),IF(EOMONTH($BN$3+INT((DAY(EOMONTH($BN$3,0))-1)/2)+BN$14,0)=EOMONTH($CX$3,0),BN$12,0),0),IF(AND(BJ$12&lt;&gt;"",BJ$14&lt;&gt;""),IF(EOMONTH($BJ$3+INT((DAY(EOMONTH($BJ$3,0))-1)/2)+BJ$14,0)=EOMONTH($CX$3,0),BJ$12,0),0),IF(AND(BF$12&lt;&gt;"",BF$14&lt;&gt;""),IF(EOMONTH($BF$3+INT((DAY(EOMONTH($BF$3,0))-1)/2)+BF$14,0)=EOMONTH($CX$3,0),BF$12,0),0),IF(AND(BB$12&lt;&gt;"",BB$14&lt;&gt;""),IF(EOMONTH($BB$3+INT((DAY(EOMONTH($BB$3,0))-1)/2)+BB$14,0)=EOMONTH($CX$3,0),BB$12,0),0),IF(AND(AX$12&lt;&gt;"",AX$14&lt;&gt;""),IF(EOMONTH($AX$3+INT((DAY(EOMONTH($AX$3,0))-1)/2)+AX$14,0)=EOMONTH($CX$3,0),AX$12,0),0),IF(AND(AT$12&lt;&gt;"",AT$14&lt;&gt;""),IF(EOMONTH($AT$3+INT((DAY(EOMONTH($AT$3,0))-1)/2)+AT$14,0)=EOMONTH($CX$3,0),AT$12,0),0),IF(AND(AP$12&lt;&gt;"",AP$14&lt;&gt;""),IF(EOMONTH($AP$3+INT((DAY(EOMONTH($AP$3,0))-1)/2)+AP$14,0)=EOMONTH($CX$3,0),AP$12,0),0),IF(AND(AL$12&lt;&gt;"",AL$14&lt;&gt;""),IF(EOMONTH($AL$3+INT((DAY(EOMONTH($AL$3,0))-1)/2)+AL$14,0)=EOMONTH($CX$3,0),AL$12,0),0),IF(AND(AH$12&lt;&gt;"",AH$14&lt;&gt;""),IF(EOMONTH($AH$3+INT((DAY(EOMONTH($AH$3,0))-1)/2)+AH$14,0)=EOMONTH($CX$3,0),AH$12,0),0),IF(AND(AD$12&lt;&gt;"",AD$14&lt;&gt;""),IF(EOMONTH($AD$3+INT((DAY(EOMONTH($AD$3,0))-1)/2)+AD$14,0)=EOMONTH($CX$3,0),AD$12,0),0),IF(AND(Z$12&lt;&gt;"",Z$14&lt;&gt;""),IF(EOMONTH($Z$3+INT((DAY(EOMONTH($Z$3,0))-1)/2)+Z$14,0)=EOMONTH($CX$3,0),Z$12,0),0),IF(AND(V$12&lt;&gt;"",V$14&lt;&gt;""),IF(EOMONTH($V$3+INT((DAY(EOMONTH($V$3,0))-1)/2)+V$14,0)=EOMONTH($CX$3,0),V$12,0),0),IF(AND(R$12&lt;&gt;"",R$14&lt;&gt;""),IF(EOMONTH($R$3+INT((DAY(EOMONTH($R$3,0))-1)/2)+R$14,0)=EOMONTH($CX$3,0),R$12,0),0),IF(AND(N$12&lt;&gt;"",N$14&lt;&gt;""),IF(EOMONTH($N$3+INT((DAY(EOMONTH($N$3,0))-1)/2)+N$14,0)=EOMONTH($CX$3,0),N$12,0),0),IF(AND(J$12&lt;&gt;"",J$14&lt;&gt;""),IF(EOMONTH($J$3+INT((DAY(EOMONTH($J$3,0))-1)/2)+J$14,0)=EOMONTH($CX$3,0),J$12,0),0),IF(AND(F$12&lt;&gt;"",F$14&lt;&gt;""),IF(EOMONTH($F$3+INT((DAY(EOMONTH($F$3,0))-1)/2)+F$14,0)=EOMONTH($CX$3,0),F$12,0),0),IF($EP$75="",0,IF(EOMONTH($EP$75+EP$14,0)=EOMONTH($CX$3,0),$EP$77,0))),0)</f>
        <v>0</v>
      </c>
      <c r="CY20" s="14">
        <f t="shared" si="222"/>
        <v>0</v>
      </c>
      <c r="CZ20" s="15">
        <f t="shared" si="222"/>
        <v>0</v>
      </c>
      <c r="DA20" s="16">
        <f t="shared" si="53"/>
        <v>0</v>
      </c>
      <c r="DB20" s="13">
        <f t="shared" ref="DB20:DD20" si="223">ROUND(SUM(IF(AND(EP$12&lt;&gt;"",EP$14&lt;&gt;""),IF(EOMONTH($EP$3+INT((DAY(EOMONTH($EP$3,0))-1)/2)+EP$14,0)=EOMONTH($DB$3,0),EP$12,0),0),IF(AND(EL$12&lt;&gt;"",EL$14&lt;&gt;""),IF(EOMONTH($EL$3+INT((DAY(EOMONTH($EL$3,0))-1)/2)+EL$14,0)=EOMONTH($DB$3,0),EL$12,0),0),IF(AND(EH$12&lt;&gt;"",EH$14&lt;&gt;""),IF(EOMONTH($EH$3+INT((DAY(EOMONTH($EH$3,0))-1)/2)+EH$14,0)=EOMONTH($DB$3,0),EH$12,0),0),IF(AND(ED$12&lt;&gt;"",ED$14&lt;&gt;""),IF(EOMONTH($ED$3+INT((DAY(EOMONTH($ED$3,0))-1)/2)+ED$14,0)=EOMONTH($DB$3,0),ED$12,0),0),IF(AND(DZ$12&lt;&gt;"",DZ$14&lt;&gt;""),IF(EOMONTH($DZ$3+INT((DAY(EOMONTH($DZ$3,0))-1)/2)+DZ$14,0)=EOMONTH($DB$3,0),DZ$12,0),0),IF(AND(DV$12&lt;&gt;"",DV$14&lt;&gt;""),IF(EOMONTH($DV$3+INT((DAY(EOMONTH($DV$3,0))-1)/2)+DV$14,0)=EOMONTH($DB$3,0),DV$12,0),0),IF(AND(DR$12&lt;&gt;"",DR$14&lt;&gt;""),IF(EOMONTH($DR$3+INT((DAY(EOMONTH($DR$3,0))-1)/2)+DR$14,0)=EOMONTH($DB$3,0),DR$12,0),0),IF(AND(DN$12&lt;&gt;"",DN$14&lt;&gt;""),IF(EOMONTH($DN$3+INT((DAY(EOMONTH($DN$3,0))-1)/2)+DN$14,0)=EOMONTH($DB$3,0),DN$12,0),0),IF(AND(DJ$12&lt;&gt;"",DJ$14&lt;&gt;""),IF(EOMONTH($DJ$3+INT((DAY(EOMONTH($DJ$3,0))-1)/2)+DJ$14,0)=EOMONTH($DB$3,0),DJ$12,0),0),IF(AND(DF$12&lt;&gt;"",DF$14&lt;&gt;""),IF(EOMONTH($DF$3+INT((DAY(EOMONTH($DF$3,0))-1)/2)+DF$14,0)=EOMONTH($DB$3,0),DF$12,0),0),IF(AND(DB$12&lt;&gt;"",DB$14&lt;&gt;""),IF(EOMONTH($DB$3+INT((DAY(EOMONTH($DB$3,0))-1)/2)+DB$14,0)=EOMONTH($DB$3,0),DB$12,0),0),IF(AND(CX$12&lt;&gt;"",CX$14&lt;&gt;""),IF(EOMONTH($CX$3+INT((DAY(EOMONTH($CX$3,0))-1)/2)+CX$14,0)=EOMONTH($DB$3,0),CX$12,0),0),IF(AND(CT$12&lt;&gt;"",CT$14&lt;&gt;""),IF(EOMONTH($CT$3+INT((DAY(EOMONTH($CT$3,0))-1)/2)+CT$14,0)=EOMONTH($DB$3,0),CT$12,0),0),IF(AND(CP$12&lt;&gt;"",CP$14&lt;&gt;""),IF(EOMONTH($CP$3+INT((DAY(EOMONTH($CP$3,0))-1)/2)+CP$14,0)=EOMONTH($DB$3,0),CP$12,0),0),IF(AND(CL$12&lt;&gt;"",CL$14&lt;&gt;""),IF(EOMONTH($CL$3+INT((DAY(EOMONTH($CL$3,0))-1)/2)+CL$14,0)=EOMONTH($DB$3,0),CL$12,0),0),IF(AND(CH$12&lt;&gt;"",CH$14&lt;&gt;""),IF(EOMONTH($CH$3+INT((DAY(EOMONTH($CH$3,0))-1)/2)+CH$14,0)=EOMONTH($DB$3,0),CH$12,0),0),IF(AND(CD$12&lt;&gt;"",CD$14&lt;&gt;""),IF(EOMONTH($CD$3+INT((DAY(EOMONTH($CD$3,0))-1)/2)+CD$14,0)=EOMONTH($DB$3,0),CD$12,0),0),IF(AND(BZ$12&lt;&gt;"",BZ$14&lt;&gt;""),IF(EOMONTH($BZ$3+INT((DAY(EOMONTH($BZ$3,0))-1)/2)+BZ$14,0)=EOMONTH($DB$3,0),BZ$12,0),0),IF(AND(BV$12&lt;&gt;"",BV$14&lt;&gt;""),IF(EOMONTH($BV$3+INT((DAY(EOMONTH($BV$3,0))-1)/2)+BV$14,0)=EOMONTH($DB$3,0),BV$12,0),0),IF(AND(BR$12&lt;&gt;"",BR$14&lt;&gt;""),IF(EOMONTH($BR$3+INT((DAY(EOMONTH($BR$3,0))-1)/2)+BR$14,0)=EOMONTH($DB$3,0),BR$12,0),0),IF(AND(BN$12&lt;&gt;"",BN$14&lt;&gt;""),IF(EOMONTH($BN$3+INT((DAY(EOMONTH($BN$3,0))-1)/2)+BN$14,0)=EOMONTH($DB$3,0),BN$12,0),0),IF(AND(BJ$12&lt;&gt;"",BJ$14&lt;&gt;""),IF(EOMONTH($BJ$3+INT((DAY(EOMONTH($BJ$3,0))-1)/2)+BJ$14,0)=EOMONTH($DB$3,0),BJ$12,0),0),IF(AND(BF$12&lt;&gt;"",BF$14&lt;&gt;""),IF(EOMONTH($BF$3+INT((DAY(EOMONTH($BF$3,0))-1)/2)+BF$14,0)=EOMONTH($DB$3,0),BF$12,0),0),IF(AND(BB$12&lt;&gt;"",BB$14&lt;&gt;""),IF(EOMONTH($BB$3+INT((DAY(EOMONTH($BB$3,0))-1)/2)+BB$14,0)=EOMONTH($DB$3,0),BB$12,0),0),IF(AND(AX$12&lt;&gt;"",AX$14&lt;&gt;""),IF(EOMONTH($AX$3+INT((DAY(EOMONTH($AX$3,0))-1)/2)+AX$14,0)=EOMONTH($DB$3,0),AX$12,0),0),IF(AND(AT$12&lt;&gt;"",AT$14&lt;&gt;""),IF(EOMONTH($AT$3+INT((DAY(EOMONTH($AT$3,0))-1)/2)+AT$14,0)=EOMONTH($DB$3,0),AT$12,0),0),IF(AND(AP$12&lt;&gt;"",AP$14&lt;&gt;""),IF(EOMONTH($AP$3+INT((DAY(EOMONTH($AP$3,0))-1)/2)+AP$14,0)=EOMONTH($DB$3,0),AP$12,0),0),IF(AND(AL$12&lt;&gt;"",AL$14&lt;&gt;""),IF(EOMONTH($AL$3+INT((DAY(EOMONTH($AL$3,0))-1)/2)+AL$14,0)=EOMONTH($DB$3,0),AL$12,0),0),IF(AND(AH$12&lt;&gt;"",AH$14&lt;&gt;""),IF(EOMONTH($AH$3+INT((DAY(EOMONTH($AH$3,0))-1)/2)+AH$14,0)=EOMONTH($DB$3,0),AH$12,0),0),IF(AND(AD$12&lt;&gt;"",AD$14&lt;&gt;""),IF(EOMONTH($AD$3+INT((DAY(EOMONTH($AD$3,0))-1)/2)+AD$14,0)=EOMONTH($DB$3,0),AD$12,0),0),IF(AND(Z$12&lt;&gt;"",Z$14&lt;&gt;""),IF(EOMONTH($Z$3+INT((DAY(EOMONTH($Z$3,0))-1)/2)+Z$14,0)=EOMONTH($DB$3,0),Z$12,0),0),IF(AND(V$12&lt;&gt;"",V$14&lt;&gt;""),IF(EOMONTH($V$3+INT((DAY(EOMONTH($V$3,0))-1)/2)+V$14,0)=EOMONTH($DB$3,0),V$12,0),0),IF(AND(R$12&lt;&gt;"",R$14&lt;&gt;""),IF(EOMONTH($R$3+INT((DAY(EOMONTH($R$3,0))-1)/2)+R$14,0)=EOMONTH($DB$3,0),R$12,0),0),IF(AND(N$12&lt;&gt;"",N$14&lt;&gt;""),IF(EOMONTH($N$3+INT((DAY(EOMONTH($N$3,0))-1)/2)+N$14,0)=EOMONTH($DB$3,0),N$12,0),0),IF(AND(J$12&lt;&gt;"",J$14&lt;&gt;""),IF(EOMONTH($J$3+INT((DAY(EOMONTH($J$3,0))-1)/2)+J$14,0)=EOMONTH($DB$3,0),J$12,0),0),IF(AND(F$12&lt;&gt;"",F$14&lt;&gt;""),IF(EOMONTH($F$3+INT((DAY(EOMONTH($F$3,0))-1)/2)+F$14,0)=EOMONTH($DB$3,0),F$12,0),0),IF($EP$75="",0,IF(EOMONTH($EP$75+EP$14,0)=EOMONTH($DB$3,0),$EP$77,0))),0)</f>
        <v>0</v>
      </c>
      <c r="DC20" s="14">
        <f t="shared" si="223"/>
        <v>0</v>
      </c>
      <c r="DD20" s="15">
        <f t="shared" si="223"/>
        <v>0</v>
      </c>
      <c r="DE20" s="16">
        <f t="shared" si="55"/>
        <v>0</v>
      </c>
      <c r="DF20" s="13">
        <f t="shared" ref="DF20:DH20" si="224">ROUND(SUM(IF(AND(EP$12&lt;&gt;"",EP$14&lt;&gt;""),IF(EOMONTH($EP$3+INT((DAY(EOMONTH($EP$3,0))-1)/2)+EP$14,0)=EOMONTH($DF$3,0),EP$12,0),0),IF(AND(EL$12&lt;&gt;"",EL$14&lt;&gt;""),IF(EOMONTH($EL$3+INT((DAY(EOMONTH($EL$3,0))-1)/2)+EL$14,0)=EOMONTH($DF$3,0),EL$12,0),0),IF(AND(EH$12&lt;&gt;"",EH$14&lt;&gt;""),IF(EOMONTH($EH$3+INT((DAY(EOMONTH($EH$3,0))-1)/2)+EH$14,0)=EOMONTH($DF$3,0),EH$12,0),0),IF(AND(ED$12&lt;&gt;"",ED$14&lt;&gt;""),IF(EOMONTH($ED$3+INT((DAY(EOMONTH($ED$3,0))-1)/2)+ED$14,0)=EOMONTH($DF$3,0),ED$12,0),0),IF(AND(DZ$12&lt;&gt;"",DZ$14&lt;&gt;""),IF(EOMONTH($DZ$3+INT((DAY(EOMONTH($DZ$3,0))-1)/2)+DZ$14,0)=EOMONTH($DF$3,0),DZ$12,0),0),IF(AND(DV$12&lt;&gt;"",DV$14&lt;&gt;""),IF(EOMONTH($DV$3+INT((DAY(EOMONTH($DV$3,0))-1)/2)+DV$14,0)=EOMONTH($DF$3,0),DV$12,0),0),IF(AND(DR$12&lt;&gt;"",DR$14&lt;&gt;""),IF(EOMONTH($DR$3+INT((DAY(EOMONTH($DR$3,0))-1)/2)+DR$14,0)=EOMONTH($DF$3,0),DR$12,0),0),IF(AND(DN$12&lt;&gt;"",DN$14&lt;&gt;""),IF(EOMONTH($DN$3+INT((DAY(EOMONTH($DN$3,0))-1)/2)+DN$14,0)=EOMONTH($DF$3,0),DN$12,0),0),IF(AND(DJ$12&lt;&gt;"",DJ$14&lt;&gt;""),IF(EOMONTH($DJ$3+INT((DAY(EOMONTH($DJ$3,0))-1)/2)+DJ$14,0)=EOMONTH($DF$3,0),DJ$12,0),0),IF(AND(DF$12&lt;&gt;"",DF$14&lt;&gt;""),IF(EOMONTH($DF$3+INT((DAY(EOMONTH($DF$3,0))-1)/2)+DF$14,0)=EOMONTH($DF$3,0),DF$12,0),0),IF(AND(DB$12&lt;&gt;"",DB$14&lt;&gt;""),IF(EOMONTH($DB$3+INT((DAY(EOMONTH($DB$3,0))-1)/2)+DB$14,0)=EOMONTH($DF$3,0),DB$12,0),0),IF(AND(CX$12&lt;&gt;"",CX$14&lt;&gt;""),IF(EOMONTH($CX$3+INT((DAY(EOMONTH($CX$3,0))-1)/2)+CX$14,0)=EOMONTH($DF$3,0),CX$12,0),0),IF(AND(CT$12&lt;&gt;"",CT$14&lt;&gt;""),IF(EOMONTH($CT$3+INT((DAY(EOMONTH($CT$3,0))-1)/2)+CT$14,0)=EOMONTH($DF$3,0),CT$12,0),0),IF(AND(CP$12&lt;&gt;"",CP$14&lt;&gt;""),IF(EOMONTH($CP$3+INT((DAY(EOMONTH($CP$3,0))-1)/2)+CP$14,0)=EOMONTH($DF$3,0),CP$12,0),0),IF(AND(CL$12&lt;&gt;"",CL$14&lt;&gt;""),IF(EOMONTH($CL$3+INT((DAY(EOMONTH($CL$3,0))-1)/2)+CL$14,0)=EOMONTH($DF$3,0),CL$12,0),0),IF(AND(CH$12&lt;&gt;"",CH$14&lt;&gt;""),IF(EOMONTH($CH$3+INT((DAY(EOMONTH($CH$3,0))-1)/2)+CH$14,0)=EOMONTH($DF$3,0),CH$12,0),0),IF(AND(CD$12&lt;&gt;"",CD$14&lt;&gt;""),IF(EOMONTH($CD$3+INT((DAY(EOMONTH($CD$3,0))-1)/2)+CD$14,0)=EOMONTH($DF$3,0),CD$12,0),0),IF(AND(BZ$12&lt;&gt;"",BZ$14&lt;&gt;""),IF(EOMONTH($BZ$3+INT((DAY(EOMONTH($BZ$3,0))-1)/2)+BZ$14,0)=EOMONTH($DF$3,0),BZ$12,0),0),IF(AND(BV$12&lt;&gt;"",BV$14&lt;&gt;""),IF(EOMONTH($BV$3+INT((DAY(EOMONTH($BV$3,0))-1)/2)+BV$14,0)=EOMONTH($DF$3,0),BV$12,0),0),IF(AND(BR$12&lt;&gt;"",BR$14&lt;&gt;""),IF(EOMONTH($BR$3+INT((DAY(EOMONTH($BR$3,0))-1)/2)+BR$14,0)=EOMONTH($DF$3,0),BR$12,0),0),IF(AND(BN$12&lt;&gt;"",BN$14&lt;&gt;""),IF(EOMONTH($BN$3+INT((DAY(EOMONTH($BN$3,0))-1)/2)+BN$14,0)=EOMONTH($DF$3,0),BN$12,0),0),IF(AND(BJ$12&lt;&gt;"",BJ$14&lt;&gt;""),IF(EOMONTH($BJ$3+INT((DAY(EOMONTH($BJ$3,0))-1)/2)+BJ$14,0)=EOMONTH($DF$3,0),BJ$12,0),0),IF(AND(BF$12&lt;&gt;"",BF$14&lt;&gt;""),IF(EOMONTH($BF$3+INT((DAY(EOMONTH($BF$3,0))-1)/2)+BF$14,0)=EOMONTH($DF$3,0),BF$12,0),0),IF(AND(BB$12&lt;&gt;"",BB$14&lt;&gt;""),IF(EOMONTH($BB$3+INT((DAY(EOMONTH($BB$3,0))-1)/2)+BB$14,0)=EOMONTH($DF$3,0),BB$12,0),0),IF(AND(AX$12&lt;&gt;"",AX$14&lt;&gt;""),IF(EOMONTH($AX$3+INT((DAY(EOMONTH($AX$3,0))-1)/2)+AX$14,0)=EOMONTH($DF$3,0),AX$12,0),0),IF(AND(AT$12&lt;&gt;"",AT$14&lt;&gt;""),IF(EOMONTH($AT$3+INT((DAY(EOMONTH($AT$3,0))-1)/2)+AT$14,0)=EOMONTH($DF$3,0),AT$12,0),0),IF(AND(AP$12&lt;&gt;"",AP$14&lt;&gt;""),IF(EOMONTH($AP$3+INT((DAY(EOMONTH($AP$3,0))-1)/2)+AP$14,0)=EOMONTH($DF$3,0),AP$12,0),0),IF(AND(AL$12&lt;&gt;"",AL$14&lt;&gt;""),IF(EOMONTH($AL$3+INT((DAY(EOMONTH($AL$3,0))-1)/2)+AL$14,0)=EOMONTH($DF$3,0),AL$12,0),0),IF(AND(AH$12&lt;&gt;"",AH$14&lt;&gt;""),IF(EOMONTH($AH$3+INT((DAY(EOMONTH($AH$3,0))-1)/2)+AH$14,0)=EOMONTH($DF$3,0),AH$12,0),0),IF(AND(AD$12&lt;&gt;"",AD$14&lt;&gt;""),IF(EOMONTH($AD$3+INT((DAY(EOMONTH($AD$3,0))-1)/2)+AD$14,0)=EOMONTH($DF$3,0),AD$12,0),0),IF(AND(Z$12&lt;&gt;"",Z$14&lt;&gt;""),IF(EOMONTH($Z$3+INT((DAY(EOMONTH($Z$3,0))-1)/2)+Z$14,0)=EOMONTH($DF$3,0),Z$12,0),0),IF(AND(V$12&lt;&gt;"",V$14&lt;&gt;""),IF(EOMONTH($V$3+INT((DAY(EOMONTH($V$3,0))-1)/2)+V$14,0)=EOMONTH($DF$3,0),V$12,0),0),IF(AND(R$12&lt;&gt;"",R$14&lt;&gt;""),IF(EOMONTH($R$3+INT((DAY(EOMONTH($R$3,0))-1)/2)+R$14,0)=EOMONTH($DF$3,0),R$12,0),0),IF(AND(N$12&lt;&gt;"",N$14&lt;&gt;""),IF(EOMONTH($N$3+INT((DAY(EOMONTH($N$3,0))-1)/2)+N$14,0)=EOMONTH($DF$3,0),N$12,0),0),IF(AND(J$12&lt;&gt;"",J$14&lt;&gt;""),IF(EOMONTH($J$3+INT((DAY(EOMONTH($J$3,0))-1)/2)+J$14,0)=EOMONTH($DF$3,0),J$12,0),0),IF(AND(F$12&lt;&gt;"",F$14&lt;&gt;""),IF(EOMONTH($F$3+INT((DAY(EOMONTH($F$3,0))-1)/2)+F$14,0)=EOMONTH($DF$3,0),F$12,0),0),IF($EP$75="",0,IF(EOMONTH($EP$75+EP$14,0)=EOMONTH($DF$3,0),$EP$77,0))),0)</f>
        <v>0</v>
      </c>
      <c r="DG20" s="14">
        <f t="shared" si="224"/>
        <v>0</v>
      </c>
      <c r="DH20" s="15">
        <f t="shared" si="224"/>
        <v>0</v>
      </c>
      <c r="DI20" s="16">
        <f t="shared" si="57"/>
        <v>0</v>
      </c>
      <c r="DJ20" s="13">
        <f t="shared" ref="DJ20:DL20" si="225">ROUND(SUM(IF(AND(EP$12&lt;&gt;"",EP$14&lt;&gt;""),IF(EOMONTH($EP$3+INT((DAY(EOMONTH($EP$3,0))-1)/2)+EP$14,0)=EOMONTH($DJ$3,0),EP$12,0),0),IF(AND(EL$12&lt;&gt;"",EL$14&lt;&gt;""),IF(EOMONTH($EL$3+INT((DAY(EOMONTH($EL$3,0))-1)/2)+EL$14,0)=EOMONTH($DJ$3,0),EL$12,0),0),IF(AND(EH$12&lt;&gt;"",EH$14&lt;&gt;""),IF(EOMONTH($EH$3+INT((DAY(EOMONTH($EH$3,0))-1)/2)+EH$14,0)=EOMONTH($DJ$3,0),EH$12,0),0),IF(AND(ED$12&lt;&gt;"",ED$14&lt;&gt;""),IF(EOMONTH($ED$3+INT((DAY(EOMONTH($ED$3,0))-1)/2)+ED$14,0)=EOMONTH($DJ$3,0),ED$12,0),0),IF(AND(DZ$12&lt;&gt;"",DZ$14&lt;&gt;""),IF(EOMONTH($DZ$3+INT((DAY(EOMONTH($DZ$3,0))-1)/2)+DZ$14,0)=EOMONTH($DJ$3,0),DZ$12,0),0),IF(AND(DV$12&lt;&gt;"",DV$14&lt;&gt;""),IF(EOMONTH($DV$3+INT((DAY(EOMONTH($DV$3,0))-1)/2)+DV$14,0)=EOMONTH($DJ$3,0),DV$12,0),0),IF(AND(DR$12&lt;&gt;"",DR$14&lt;&gt;""),IF(EOMONTH($DR$3+INT((DAY(EOMONTH($DR$3,0))-1)/2)+DR$14,0)=EOMONTH($DJ$3,0),DR$12,0),0),IF(AND(DN$12&lt;&gt;"",DN$14&lt;&gt;""),IF(EOMONTH($DN$3+INT((DAY(EOMONTH($DN$3,0))-1)/2)+DN$14,0)=EOMONTH($DJ$3,0),DN$12,0),0),IF(AND(DJ$12&lt;&gt;"",DJ$14&lt;&gt;""),IF(EOMONTH($DJ$3+INT((DAY(EOMONTH($DJ$3,0))-1)/2)+DJ$14,0)=EOMONTH($DJ$3,0),DJ$12,0),0),IF(AND(DF$12&lt;&gt;"",DF$14&lt;&gt;""),IF(EOMONTH($DF$3+INT((DAY(EOMONTH($DF$3,0))-1)/2)+DF$14,0)=EOMONTH($DJ$3,0),DF$12,0),0),IF(AND(DB$12&lt;&gt;"",DB$14&lt;&gt;""),IF(EOMONTH($DB$3+INT((DAY(EOMONTH($DB$3,0))-1)/2)+DB$14,0)=EOMONTH($DJ$3,0),DB$12,0),0),IF(AND(CX$12&lt;&gt;"",CX$14&lt;&gt;""),IF(EOMONTH($CX$3+INT((DAY(EOMONTH($CX$3,0))-1)/2)+CX$14,0)=EOMONTH($DJ$3,0),CX$12,0),0),IF(AND(CT$12&lt;&gt;"",CT$14&lt;&gt;""),IF(EOMONTH($CT$3+INT((DAY(EOMONTH($CT$3,0))-1)/2)+CT$14,0)=EOMONTH($DJ$3,0),CT$12,0),0),IF(AND(CP$12&lt;&gt;"",CP$14&lt;&gt;""),IF(EOMONTH($CP$3+INT((DAY(EOMONTH($CP$3,0))-1)/2)+CP$14,0)=EOMONTH($DJ$3,0),CP$12,0),0),IF(AND(CL$12&lt;&gt;"",CL$14&lt;&gt;""),IF(EOMONTH($CL$3+INT((DAY(EOMONTH($CL$3,0))-1)/2)+CL$14,0)=EOMONTH($DJ$3,0),CL$12,0),0),IF(AND(CH$12&lt;&gt;"",CH$14&lt;&gt;""),IF(EOMONTH($CH$3+INT((DAY(EOMONTH($CH$3,0))-1)/2)+CH$14,0)=EOMONTH($DJ$3,0),CH$12,0),0),IF(AND(CD$12&lt;&gt;"",CD$14&lt;&gt;""),IF(EOMONTH($CD$3+INT((DAY(EOMONTH($CD$3,0))-1)/2)+CD$14,0)=EOMONTH($DJ$3,0),CD$12,0),0),IF(AND(BZ$12&lt;&gt;"",BZ$14&lt;&gt;""),IF(EOMONTH($BZ$3+INT((DAY(EOMONTH($BZ$3,0))-1)/2)+BZ$14,0)=EOMONTH($DJ$3,0),BZ$12,0),0),IF(AND(BV$12&lt;&gt;"",BV$14&lt;&gt;""),IF(EOMONTH($BV$3+INT((DAY(EOMONTH($BV$3,0))-1)/2)+BV$14,0)=EOMONTH($DJ$3,0),BV$12,0),0),IF(AND(BR$12&lt;&gt;"",BR$14&lt;&gt;""),IF(EOMONTH($BR$3+INT((DAY(EOMONTH($BR$3,0))-1)/2)+BR$14,0)=EOMONTH($DJ$3,0),BR$12,0),0),IF(AND(BN$12&lt;&gt;"",BN$14&lt;&gt;""),IF(EOMONTH($BN$3+INT((DAY(EOMONTH($BN$3,0))-1)/2)+BN$14,0)=EOMONTH($DJ$3,0),BN$12,0),0),IF(AND(BJ$12&lt;&gt;"",BJ$14&lt;&gt;""),IF(EOMONTH($BJ$3+INT((DAY(EOMONTH($BJ$3,0))-1)/2)+BJ$14,0)=EOMONTH($DJ$3,0),BJ$12,0),0),IF(AND(BF$12&lt;&gt;"",BF$14&lt;&gt;""),IF(EOMONTH($BF$3+INT((DAY(EOMONTH($BF$3,0))-1)/2)+BF$14,0)=EOMONTH($DJ$3,0),BF$12,0),0),IF(AND(BB$12&lt;&gt;"",BB$14&lt;&gt;""),IF(EOMONTH($BB$3+INT((DAY(EOMONTH($BB$3,0))-1)/2)+BB$14,0)=EOMONTH($DJ$3,0),BB$12,0),0),IF(AND(AX$12&lt;&gt;"",AX$14&lt;&gt;""),IF(EOMONTH($AX$3+INT((DAY(EOMONTH($AX$3,0))-1)/2)+AX$14,0)=EOMONTH($DJ$3,0),AX$12,0),0),IF(AND(AT$12&lt;&gt;"",AT$14&lt;&gt;""),IF(EOMONTH($AT$3+INT((DAY(EOMONTH($AT$3,0))-1)/2)+AT$14,0)=EOMONTH($DJ$3,0),AT$12,0),0),IF(AND(AP$12&lt;&gt;"",AP$14&lt;&gt;""),IF(EOMONTH($AP$3+INT((DAY(EOMONTH($AP$3,0))-1)/2)+AP$14,0)=EOMONTH($DJ$3,0),AP$12,0),0),IF(AND(AL$12&lt;&gt;"",AL$14&lt;&gt;""),IF(EOMONTH($AL$3+INT((DAY(EOMONTH($AL$3,0))-1)/2)+AL$14,0)=EOMONTH($DJ$3,0),AL$12,0),0),IF(AND(AH$12&lt;&gt;"",AH$14&lt;&gt;""),IF(EOMONTH($AH$3+INT((DAY(EOMONTH($AH$3,0))-1)/2)+AH$14,0)=EOMONTH($DJ$3,0),AH$12,0),0),IF(AND(AD$12&lt;&gt;"",AD$14&lt;&gt;""),IF(EOMONTH($AD$3+INT((DAY(EOMONTH($AD$3,0))-1)/2)+AD$14,0)=EOMONTH($DJ$3,0),AD$12,0),0),IF(AND(Z$12&lt;&gt;"",Z$14&lt;&gt;""),IF(EOMONTH($Z$3+INT((DAY(EOMONTH($Z$3,0))-1)/2)+Z$14,0)=EOMONTH($DJ$3,0),Z$12,0),0),IF(AND(V$12&lt;&gt;"",V$14&lt;&gt;""),IF(EOMONTH($V$3+INT((DAY(EOMONTH($V$3,0))-1)/2)+V$14,0)=EOMONTH($DJ$3,0),V$12,0),0),IF(AND(R$12&lt;&gt;"",R$14&lt;&gt;""),IF(EOMONTH($R$3+INT((DAY(EOMONTH($R$3,0))-1)/2)+R$14,0)=EOMONTH($DJ$3,0),R$12,0),0),IF(AND(N$12&lt;&gt;"",N$14&lt;&gt;""),IF(EOMONTH($N$3+INT((DAY(EOMONTH($N$3,0))-1)/2)+N$14,0)=EOMONTH($DJ$3,0),N$12,0),0),IF(AND(J$12&lt;&gt;"",J$14&lt;&gt;""),IF(EOMONTH($J$3+INT((DAY(EOMONTH($J$3,0))-1)/2)+J$14,0)=EOMONTH($DJ$3,0),J$12,0),0),IF(AND(F$12&lt;&gt;"",F$14&lt;&gt;""),IF(EOMONTH($F$3+INT((DAY(EOMONTH($F$3,0))-1)/2)+F$14,0)=EOMONTH($DJ$3,0),F$12,0),0),IF($EP$75="",0,IF(EOMONTH($EP$75+EP$14,0)=EOMONTH($DJ$3,0),$EP$77,0))),0)</f>
        <v>0</v>
      </c>
      <c r="DK20" s="14">
        <f t="shared" si="225"/>
        <v>0</v>
      </c>
      <c r="DL20" s="15">
        <f t="shared" si="225"/>
        <v>0</v>
      </c>
      <c r="DM20" s="16">
        <f t="shared" si="59"/>
        <v>0</v>
      </c>
      <c r="DN20" s="13">
        <f t="shared" ref="DN20:DP20" si="226">ROUND(SUM(IF(AND(EP$12&lt;&gt;"",EP$14&lt;&gt;""),IF(EOMONTH($EP$3+INT((DAY(EOMONTH($EP$3,0))-1)/2)+EP$14,0)=EOMONTH($DN$3,0),EP$12,0),0),IF(AND(EL$12&lt;&gt;"",EL$14&lt;&gt;""),IF(EOMONTH($EL$3+INT((DAY(EOMONTH($EL$3,0))-1)/2)+EL$14,0)=EOMONTH($DN$3,0),EL$12,0),0),IF(AND(EH$12&lt;&gt;"",EH$14&lt;&gt;""),IF(EOMONTH($EH$3+INT((DAY(EOMONTH($EH$3,0))-1)/2)+EH$14,0)=EOMONTH($DN$3,0),EH$12,0),0),IF(AND(ED$12&lt;&gt;"",ED$14&lt;&gt;""),IF(EOMONTH($ED$3+INT((DAY(EOMONTH($ED$3,0))-1)/2)+ED$14,0)=EOMONTH($DN$3,0),ED$12,0),0),IF(AND(DZ$12&lt;&gt;"",DZ$14&lt;&gt;""),IF(EOMONTH($DZ$3+INT((DAY(EOMONTH($DZ$3,0))-1)/2)+DZ$14,0)=EOMONTH($DN$3,0),DZ$12,0),0),IF(AND(DV$12&lt;&gt;"",DV$14&lt;&gt;""),IF(EOMONTH($DV$3+INT((DAY(EOMONTH($DV$3,0))-1)/2)+DV$14,0)=EOMONTH($DN$3,0),DV$12,0),0),IF(AND(DR$12&lt;&gt;"",DR$14&lt;&gt;""),IF(EOMONTH($DR$3+INT((DAY(EOMONTH($DR$3,0))-1)/2)+DR$14,0)=EOMONTH($DN$3,0),DR$12,0),0),IF(AND(DN$12&lt;&gt;"",DN$14&lt;&gt;""),IF(EOMONTH($DN$3+INT((DAY(EOMONTH($DN$3,0))-1)/2)+DN$14,0)=EOMONTH($DN$3,0),DN$12,0),0),IF(AND(DJ$12&lt;&gt;"",DJ$14&lt;&gt;""),IF(EOMONTH($DJ$3+INT((DAY(EOMONTH($DJ$3,0))-1)/2)+DJ$14,0)=EOMONTH($DN$3,0),DJ$12,0),0),IF(AND(DF$12&lt;&gt;"",DF$14&lt;&gt;""),IF(EOMONTH($DF$3+INT((DAY(EOMONTH($DF$3,0))-1)/2)+DF$14,0)=EOMONTH($DN$3,0),DF$12,0),0),IF(AND(DB$12&lt;&gt;"",DB$14&lt;&gt;""),IF(EOMONTH($DB$3+INT((DAY(EOMONTH($DB$3,0))-1)/2)+DB$14,0)=EOMONTH($DN$3,0),DB$12,0),0),IF(AND(CX$12&lt;&gt;"",CX$14&lt;&gt;""),IF(EOMONTH($CX$3+INT((DAY(EOMONTH($CX$3,0))-1)/2)+CX$14,0)=EOMONTH($DN$3,0),CX$12,0),0),IF(AND(CT$12&lt;&gt;"",CT$14&lt;&gt;""),IF(EOMONTH($CT$3+INT((DAY(EOMONTH($CT$3,0))-1)/2)+CT$14,0)=EOMONTH($DN$3,0),CT$12,0),0),IF(AND(CP$12&lt;&gt;"",CP$14&lt;&gt;""),IF(EOMONTH($CP$3+INT((DAY(EOMONTH($CP$3,0))-1)/2)+CP$14,0)=EOMONTH($DN$3,0),CP$12,0),0),IF(AND(CL$12&lt;&gt;"",CL$14&lt;&gt;""),IF(EOMONTH($CL$3+INT((DAY(EOMONTH($CL$3,0))-1)/2)+CL$14,0)=EOMONTH($DN$3,0),CL$12,0),0),IF(AND(CH$12&lt;&gt;"",CH$14&lt;&gt;""),IF(EOMONTH($CH$3+INT((DAY(EOMONTH($CH$3,0))-1)/2)+CH$14,0)=EOMONTH($DN$3,0),CH$12,0),0),IF(AND(CD$12&lt;&gt;"",CD$14&lt;&gt;""),IF(EOMONTH($CD$3+INT((DAY(EOMONTH($CD$3,0))-1)/2)+CD$14,0)=EOMONTH($DN$3,0),CD$12,0),0),IF(AND(BZ$12&lt;&gt;"",BZ$14&lt;&gt;""),IF(EOMONTH($BZ$3+INT((DAY(EOMONTH($BZ$3,0))-1)/2)+BZ$14,0)=EOMONTH($DN$3,0),BZ$12,0),0),IF(AND(BV$12&lt;&gt;"",BV$14&lt;&gt;""),IF(EOMONTH($BV$3+INT((DAY(EOMONTH($BV$3,0))-1)/2)+BV$14,0)=EOMONTH($DN$3,0),BV$12,0),0),IF(AND(BR$12&lt;&gt;"",BR$14&lt;&gt;""),IF(EOMONTH($BR$3+INT((DAY(EOMONTH($BR$3,0))-1)/2)+BR$14,0)=EOMONTH($DN$3,0),BR$12,0),0),IF(AND(BN$12&lt;&gt;"",BN$14&lt;&gt;""),IF(EOMONTH($BN$3+INT((DAY(EOMONTH($BN$3,0))-1)/2)+BN$14,0)=EOMONTH($DN$3,0),BN$12,0),0),IF(AND(BJ$12&lt;&gt;"",BJ$14&lt;&gt;""),IF(EOMONTH($BJ$3+INT((DAY(EOMONTH($BJ$3,0))-1)/2)+BJ$14,0)=EOMONTH($DN$3,0),BJ$12,0),0),IF(AND(BF$12&lt;&gt;"",BF$14&lt;&gt;""),IF(EOMONTH($BF$3+INT((DAY(EOMONTH($BF$3,0))-1)/2)+BF$14,0)=EOMONTH($DN$3,0),BF$12,0),0),IF(AND(BB$12&lt;&gt;"",BB$14&lt;&gt;""),IF(EOMONTH($BB$3+INT((DAY(EOMONTH($BB$3,0))-1)/2)+BB$14,0)=EOMONTH($DN$3,0),BB$12,0),0),IF(AND(AX$12&lt;&gt;"",AX$14&lt;&gt;""),IF(EOMONTH($AX$3+INT((DAY(EOMONTH($AX$3,0))-1)/2)+AX$14,0)=EOMONTH($DN$3,0),AX$12,0),0),IF(AND(AT$12&lt;&gt;"",AT$14&lt;&gt;""),IF(EOMONTH($AT$3+INT((DAY(EOMONTH($AT$3,0))-1)/2)+AT$14,0)=EOMONTH($DN$3,0),AT$12,0),0),IF(AND(AP$12&lt;&gt;"",AP$14&lt;&gt;""),IF(EOMONTH($AP$3+INT((DAY(EOMONTH($AP$3,0))-1)/2)+AP$14,0)=EOMONTH($DN$3,0),AP$12,0),0),IF(AND(AL$12&lt;&gt;"",AL$14&lt;&gt;""),IF(EOMONTH($AL$3+INT((DAY(EOMONTH($AL$3,0))-1)/2)+AL$14,0)=EOMONTH($DN$3,0),AL$12,0),0),IF(AND(AH$12&lt;&gt;"",AH$14&lt;&gt;""),IF(EOMONTH($AH$3+INT((DAY(EOMONTH($AH$3,0))-1)/2)+AH$14,0)=EOMONTH($DN$3,0),AH$12,0),0),IF(AND(AD$12&lt;&gt;"",AD$14&lt;&gt;""),IF(EOMONTH($AD$3+INT((DAY(EOMONTH($AD$3,0))-1)/2)+AD$14,0)=EOMONTH($DN$3,0),AD$12,0),0),IF(AND(Z$12&lt;&gt;"",Z$14&lt;&gt;""),IF(EOMONTH($Z$3+INT((DAY(EOMONTH($Z$3,0))-1)/2)+Z$14,0)=EOMONTH($DN$3,0),Z$12,0),0),IF(AND(V$12&lt;&gt;"",V$14&lt;&gt;""),IF(EOMONTH($V$3+INT((DAY(EOMONTH($V$3,0))-1)/2)+V$14,0)=EOMONTH($DN$3,0),V$12,0),0),IF(AND(R$12&lt;&gt;"",R$14&lt;&gt;""),IF(EOMONTH($R$3+INT((DAY(EOMONTH($R$3,0))-1)/2)+R$14,0)=EOMONTH($DN$3,0),R$12,0),0),IF(AND(N$12&lt;&gt;"",N$14&lt;&gt;""),IF(EOMONTH($N$3+INT((DAY(EOMONTH($N$3,0))-1)/2)+N$14,0)=EOMONTH($DN$3,0),N$12,0),0),IF(AND(J$12&lt;&gt;"",J$14&lt;&gt;""),IF(EOMONTH($J$3+INT((DAY(EOMONTH($J$3,0))-1)/2)+J$14,0)=EOMONTH($DN$3,0),J$12,0),0),IF(AND(F$12&lt;&gt;"",F$14&lt;&gt;""),IF(EOMONTH($F$3+INT((DAY(EOMONTH($F$3,0))-1)/2)+F$14,0)=EOMONTH($DN$3,0),F$12,0),0),IF($EP$75="",0,IF(EOMONTH($EP$75+EP$14,0)=EOMONTH($DN$3,0),$EP$77,0))),0)</f>
        <v>0</v>
      </c>
      <c r="DO20" s="14">
        <f t="shared" si="226"/>
        <v>0</v>
      </c>
      <c r="DP20" s="15">
        <f t="shared" si="226"/>
        <v>0</v>
      </c>
      <c r="DQ20" s="16">
        <f t="shared" si="61"/>
        <v>0</v>
      </c>
      <c r="DR20" s="13">
        <f t="shared" ref="DR20:DT20" si="227">ROUND(SUM(IF(AND(EP$12&lt;&gt;"",EP$14&lt;&gt;""),IF(EOMONTH($EP$3+INT((DAY(EOMONTH($EP$3,0))-1)/2)+EP$14,0)=EOMONTH($DR$3,0),EP$12,0),0),IF(AND(EL$12&lt;&gt;"",EL$14&lt;&gt;""),IF(EOMONTH($EL$3+INT((DAY(EOMONTH($EL$3,0))-1)/2)+EL$14,0)=EOMONTH($DR$3,0),EL$12,0),0),IF(AND(EH$12&lt;&gt;"",EH$14&lt;&gt;""),IF(EOMONTH($EH$3+INT((DAY(EOMONTH($EH$3,0))-1)/2)+EH$14,0)=EOMONTH($DR$3,0),EH$12,0),0),IF(AND(ED$12&lt;&gt;"",ED$14&lt;&gt;""),IF(EOMONTH($ED$3+INT((DAY(EOMONTH($ED$3,0))-1)/2)+ED$14,0)=EOMONTH($DR$3,0),ED$12,0),0),IF(AND(DZ$12&lt;&gt;"",DZ$14&lt;&gt;""),IF(EOMONTH($DZ$3+INT((DAY(EOMONTH($DZ$3,0))-1)/2)+DZ$14,0)=EOMONTH($DR$3,0),DZ$12,0),0),IF(AND(DV$12&lt;&gt;"",DV$14&lt;&gt;""),IF(EOMONTH($DV$3+INT((DAY(EOMONTH($DV$3,0))-1)/2)+DV$14,0)=EOMONTH($DR$3,0),DV$12,0),0),IF(AND(DR$12&lt;&gt;"",DR$14&lt;&gt;""),IF(EOMONTH($DR$3+INT((DAY(EOMONTH($DR$3,0))-1)/2)+DR$14,0)=EOMONTH($DR$3,0),DR$12,0),0),IF(AND(DN$12&lt;&gt;"",DN$14&lt;&gt;""),IF(EOMONTH($DN$3+INT((DAY(EOMONTH($DN$3,0))-1)/2)+DN$14,0)=EOMONTH($DR$3,0),DN$12,0),0),IF(AND(DJ$12&lt;&gt;"",DJ$14&lt;&gt;""),IF(EOMONTH($DJ$3+INT((DAY(EOMONTH($DJ$3,0))-1)/2)+DJ$14,0)=EOMONTH($DR$3,0),DJ$12,0),0),IF(AND(DF$12&lt;&gt;"",DF$14&lt;&gt;""),IF(EOMONTH($DF$3+INT((DAY(EOMONTH($DF$3,0))-1)/2)+DF$14,0)=EOMONTH($DR$3,0),DF$12,0),0),IF(AND(DB$12&lt;&gt;"",DB$14&lt;&gt;""),IF(EOMONTH($DB$3+INT((DAY(EOMONTH($DB$3,0))-1)/2)+DB$14,0)=EOMONTH($DR$3,0),DB$12,0),0),IF(AND(CX$12&lt;&gt;"",CX$14&lt;&gt;""),IF(EOMONTH($CX$3+INT((DAY(EOMONTH($CX$3,0))-1)/2)+CX$14,0)=EOMONTH($DR$3,0),CX$12,0),0),IF(AND(CT$12&lt;&gt;"",CT$14&lt;&gt;""),IF(EOMONTH($CT$3+INT((DAY(EOMONTH($CT$3,0))-1)/2)+CT$14,0)=EOMONTH($DR$3,0),CT$12,0),0),IF(AND(CP$12&lt;&gt;"",CP$14&lt;&gt;""),IF(EOMONTH($CP$3+INT((DAY(EOMONTH($CP$3,0))-1)/2)+CP$14,0)=EOMONTH($DR$3,0),CP$12,0),0),IF(AND(CL$12&lt;&gt;"",CL$14&lt;&gt;""),IF(EOMONTH($CL$3+INT((DAY(EOMONTH($CL$3,0))-1)/2)+CL$14,0)=EOMONTH($DR$3,0),CL$12,0),0),IF(AND(CH$12&lt;&gt;"",CH$14&lt;&gt;""),IF(EOMONTH($CH$3+INT((DAY(EOMONTH($CH$3,0))-1)/2)+CH$14,0)=EOMONTH($DR$3,0),CH$12,0),0),IF(AND(CD$12&lt;&gt;"",CD$14&lt;&gt;""),IF(EOMONTH($CD$3+INT((DAY(EOMONTH($CD$3,0))-1)/2)+CD$14,0)=EOMONTH($DR$3,0),CD$12,0),0),IF(AND(BZ$12&lt;&gt;"",BZ$14&lt;&gt;""),IF(EOMONTH($BZ$3+INT((DAY(EOMONTH($BZ$3,0))-1)/2)+BZ$14,0)=EOMONTH($DR$3,0),BZ$12,0),0),IF(AND(BV$12&lt;&gt;"",BV$14&lt;&gt;""),IF(EOMONTH($BV$3+INT((DAY(EOMONTH($BV$3,0))-1)/2)+BV$14,0)=EOMONTH($DR$3,0),BV$12,0),0),IF(AND(BR$12&lt;&gt;"",BR$14&lt;&gt;""),IF(EOMONTH($BR$3+INT((DAY(EOMONTH($BR$3,0))-1)/2)+BR$14,0)=EOMONTH($DR$3,0),BR$12,0),0),IF(AND(BN$12&lt;&gt;"",BN$14&lt;&gt;""),IF(EOMONTH($BN$3+INT((DAY(EOMONTH($BN$3,0))-1)/2)+BN$14,0)=EOMONTH($DR$3,0),BN$12,0),0),IF(AND(BJ$12&lt;&gt;"",BJ$14&lt;&gt;""),IF(EOMONTH($BJ$3+INT((DAY(EOMONTH($BJ$3,0))-1)/2)+BJ$14,0)=EOMONTH($DR$3,0),BJ$12,0),0),IF(AND(BF$12&lt;&gt;"",BF$14&lt;&gt;""),IF(EOMONTH($BF$3+INT((DAY(EOMONTH($BF$3,0))-1)/2)+BF$14,0)=EOMONTH($DR$3,0),BF$12,0),0),IF(AND(BB$12&lt;&gt;"",BB$14&lt;&gt;""),IF(EOMONTH($BB$3+INT((DAY(EOMONTH($BB$3,0))-1)/2)+BB$14,0)=EOMONTH($DR$3,0),BB$12,0),0),IF(AND(AX$12&lt;&gt;"",AX$14&lt;&gt;""),IF(EOMONTH($AX$3+INT((DAY(EOMONTH($AX$3,0))-1)/2)+AX$14,0)=EOMONTH($DR$3,0),AX$12,0),0),IF(AND(AT$12&lt;&gt;"",AT$14&lt;&gt;""),IF(EOMONTH($AT$3+INT((DAY(EOMONTH($AT$3,0))-1)/2)+AT$14,0)=EOMONTH($DR$3,0),AT$12,0),0),IF(AND(AP$12&lt;&gt;"",AP$14&lt;&gt;""),IF(EOMONTH($AP$3+INT((DAY(EOMONTH($AP$3,0))-1)/2)+AP$14,0)=EOMONTH($DR$3,0),AP$12,0),0),IF(AND(AL$12&lt;&gt;"",AL$14&lt;&gt;""),IF(EOMONTH($AL$3+INT((DAY(EOMONTH($AL$3,0))-1)/2)+AL$14,0)=EOMONTH($DR$3,0),AL$12,0),0),IF(AND(AH$12&lt;&gt;"",AH$14&lt;&gt;""),IF(EOMONTH($AH$3+INT((DAY(EOMONTH($AH$3,0))-1)/2)+AH$14,0)=EOMONTH($DR$3,0),AH$12,0),0),IF(AND(AD$12&lt;&gt;"",AD$14&lt;&gt;""),IF(EOMONTH($AD$3+INT((DAY(EOMONTH($AD$3,0))-1)/2)+AD$14,0)=EOMONTH($DR$3,0),AD$12,0),0),IF(AND(Z$12&lt;&gt;"",Z$14&lt;&gt;""),IF(EOMONTH($Z$3+INT((DAY(EOMONTH($Z$3,0))-1)/2)+Z$14,0)=EOMONTH($DR$3,0),Z$12,0),0),IF(AND(V$12&lt;&gt;"",V$14&lt;&gt;""),IF(EOMONTH($V$3+INT((DAY(EOMONTH($V$3,0))-1)/2)+V$14,0)=EOMONTH($DR$3,0),V$12,0),0),IF(AND(R$12&lt;&gt;"",R$14&lt;&gt;""),IF(EOMONTH($R$3+INT((DAY(EOMONTH($R$3,0))-1)/2)+R$14,0)=EOMONTH($DR$3,0),R$12,0),0),IF(AND(N$12&lt;&gt;"",N$14&lt;&gt;""),IF(EOMONTH($N$3+INT((DAY(EOMONTH($N$3,0))-1)/2)+N$14,0)=EOMONTH($DR$3,0),N$12,0),0),IF(AND(J$12&lt;&gt;"",J$14&lt;&gt;""),IF(EOMONTH($J$3+INT((DAY(EOMONTH($J$3,0))-1)/2)+J$14,0)=EOMONTH($DR$3,0),J$12,0),0),IF(AND(F$12&lt;&gt;"",F$14&lt;&gt;""),IF(EOMONTH($F$3+INT((DAY(EOMONTH($F$3,0))-1)/2)+F$14,0)=EOMONTH($DR$3,0),F$12,0),0),IF($EP$75="",0,IF(EOMONTH($EP$75+EP$14,0)=EOMONTH($DR$3,0),$EP$77,0))),0)</f>
        <v>0</v>
      </c>
      <c r="DS20" s="14">
        <f t="shared" si="227"/>
        <v>0</v>
      </c>
      <c r="DT20" s="15">
        <f t="shared" si="227"/>
        <v>0</v>
      </c>
      <c r="DU20" s="16">
        <f t="shared" si="63"/>
        <v>0</v>
      </c>
      <c r="DV20" s="13">
        <f t="shared" ref="DV20:DX20" si="228">ROUND(SUM(IF(AND(EP$12&lt;&gt;"",EP$14&lt;&gt;""),IF(EOMONTH($EP$3+INT((DAY(EOMONTH($EP$3,0))-1)/2)+EP$14,0)=EOMONTH($DV$3,0),EP$12,0),0),IF(AND(EL$12&lt;&gt;"",EL$14&lt;&gt;""),IF(EOMONTH($EL$3+INT((DAY(EOMONTH($EL$3,0))-1)/2)+EL$14,0)=EOMONTH($DV$3,0),EL$12,0),0),IF(AND(EH$12&lt;&gt;"",EH$14&lt;&gt;""),IF(EOMONTH($EH$3+INT((DAY(EOMONTH($EH$3,0))-1)/2)+EH$14,0)=EOMONTH($DV$3,0),EH$12,0),0),IF(AND(ED$12&lt;&gt;"",ED$14&lt;&gt;""),IF(EOMONTH($ED$3+INT((DAY(EOMONTH($ED$3,0))-1)/2)+ED$14,0)=EOMONTH($DV$3,0),ED$12,0),0),IF(AND(DZ$12&lt;&gt;"",DZ$14&lt;&gt;""),IF(EOMONTH($DZ$3+INT((DAY(EOMONTH($DZ$3,0))-1)/2)+DZ$14,0)=EOMONTH($DV$3,0),DZ$12,0),0),IF(AND(DV$12&lt;&gt;"",DV$14&lt;&gt;""),IF(EOMONTH($DV$3+INT((DAY(EOMONTH($DV$3,0))-1)/2)+DV$14,0)=EOMONTH($DV$3,0),DV$12,0),0),IF(AND(DR$12&lt;&gt;"",DR$14&lt;&gt;""),IF(EOMONTH($DR$3+INT((DAY(EOMONTH($DR$3,0))-1)/2)+DR$14,0)=EOMONTH($DV$3,0),DR$12,0),0),IF(AND(DN$12&lt;&gt;"",DN$14&lt;&gt;""),IF(EOMONTH($DN$3+INT((DAY(EOMONTH($DN$3,0))-1)/2)+DN$14,0)=EOMONTH($DV$3,0),DN$12,0),0),IF(AND(DJ$12&lt;&gt;"",DJ$14&lt;&gt;""),IF(EOMONTH($DJ$3+INT((DAY(EOMONTH($DJ$3,0))-1)/2)+DJ$14,0)=EOMONTH($DV$3,0),DJ$12,0),0),IF(AND(DF$12&lt;&gt;"",DF$14&lt;&gt;""),IF(EOMONTH($DF$3+INT((DAY(EOMONTH($DF$3,0))-1)/2)+DF$14,0)=EOMONTH($DV$3,0),DF$12,0),0),IF(AND(DB$12&lt;&gt;"",DB$14&lt;&gt;""),IF(EOMONTH($DB$3+INT((DAY(EOMONTH($DB$3,0))-1)/2)+DB$14,0)=EOMONTH($DV$3,0),DB$12,0),0),IF(AND(CX$12&lt;&gt;"",CX$14&lt;&gt;""),IF(EOMONTH($CX$3+INT((DAY(EOMONTH($CX$3,0))-1)/2)+CX$14,0)=EOMONTH($DV$3,0),CX$12,0),0),IF(AND(CT$12&lt;&gt;"",CT$14&lt;&gt;""),IF(EOMONTH($CT$3+INT((DAY(EOMONTH($CT$3,0))-1)/2)+CT$14,0)=EOMONTH($DV$3,0),CT$12,0),0),IF(AND(CP$12&lt;&gt;"",CP$14&lt;&gt;""),IF(EOMONTH($CP$3+INT((DAY(EOMONTH($CP$3,0))-1)/2)+CP$14,0)=EOMONTH($DV$3,0),CP$12,0),0),IF(AND(CL$12&lt;&gt;"",CL$14&lt;&gt;""),IF(EOMONTH($CL$3+INT((DAY(EOMONTH($CL$3,0))-1)/2)+CL$14,0)=EOMONTH($DV$3,0),CL$12,0),0),IF(AND(CH$12&lt;&gt;"",CH$14&lt;&gt;""),IF(EOMONTH($CH$3+INT((DAY(EOMONTH($CH$3,0))-1)/2)+CH$14,0)=EOMONTH($DV$3,0),CH$12,0),0),IF(AND(CD$12&lt;&gt;"",CD$14&lt;&gt;""),IF(EOMONTH($CD$3+INT((DAY(EOMONTH($CD$3,0))-1)/2)+CD$14,0)=EOMONTH($DV$3,0),CD$12,0),0),IF(AND(BZ$12&lt;&gt;"",BZ$14&lt;&gt;""),IF(EOMONTH($BZ$3+INT((DAY(EOMONTH($BZ$3,0))-1)/2)+BZ$14,0)=EOMONTH($DV$3,0),BZ$12,0),0),IF(AND(BV$12&lt;&gt;"",BV$14&lt;&gt;""),IF(EOMONTH($BV$3+INT((DAY(EOMONTH($BV$3,0))-1)/2)+BV$14,0)=EOMONTH($DV$3,0),BV$12,0),0),IF(AND(BR$12&lt;&gt;"",BR$14&lt;&gt;""),IF(EOMONTH($BR$3+INT((DAY(EOMONTH($BR$3,0))-1)/2)+BR$14,0)=EOMONTH($DV$3,0),BR$12,0),0),IF(AND(BN$12&lt;&gt;"",BN$14&lt;&gt;""),IF(EOMONTH($BN$3+INT((DAY(EOMONTH($BN$3,0))-1)/2)+BN$14,0)=EOMONTH($DV$3,0),BN$12,0),0),IF(AND(BJ$12&lt;&gt;"",BJ$14&lt;&gt;""),IF(EOMONTH($BJ$3+INT((DAY(EOMONTH($BJ$3,0))-1)/2)+BJ$14,0)=EOMONTH($DV$3,0),BJ$12,0),0),IF(AND(BF$12&lt;&gt;"",BF$14&lt;&gt;""),IF(EOMONTH($BF$3+INT((DAY(EOMONTH($BF$3,0))-1)/2)+BF$14,0)=EOMONTH($DV$3,0),BF$12,0),0),IF(AND(BB$12&lt;&gt;"",BB$14&lt;&gt;""),IF(EOMONTH($BB$3+INT((DAY(EOMONTH($BB$3,0))-1)/2)+BB$14,0)=EOMONTH($DV$3,0),BB$12,0),0),IF(AND(AX$12&lt;&gt;"",AX$14&lt;&gt;""),IF(EOMONTH($AX$3+INT((DAY(EOMONTH($AX$3,0))-1)/2)+AX$14,0)=EOMONTH($DV$3,0),AX$12,0),0),IF(AND(AT$12&lt;&gt;"",AT$14&lt;&gt;""),IF(EOMONTH($AT$3+INT((DAY(EOMONTH($AT$3,0))-1)/2)+AT$14,0)=EOMONTH($DV$3,0),AT$12,0),0),IF(AND(AP$12&lt;&gt;"",AP$14&lt;&gt;""),IF(EOMONTH($AP$3+INT((DAY(EOMONTH($AP$3,0))-1)/2)+AP$14,0)=EOMONTH($DV$3,0),AP$12,0),0),IF(AND(AL$12&lt;&gt;"",AL$14&lt;&gt;""),IF(EOMONTH($AL$3+INT((DAY(EOMONTH($AL$3,0))-1)/2)+AL$14,0)=EOMONTH($DV$3,0),AL$12,0),0),IF(AND(AH$12&lt;&gt;"",AH$14&lt;&gt;""),IF(EOMONTH($AH$3+INT((DAY(EOMONTH($AH$3,0))-1)/2)+AH$14,0)=EOMONTH($DV$3,0),AH$12,0),0),IF(AND(AD$12&lt;&gt;"",AD$14&lt;&gt;""),IF(EOMONTH($AD$3+INT((DAY(EOMONTH($AD$3,0))-1)/2)+AD$14,0)=EOMONTH($DV$3,0),AD$12,0),0),IF(AND(Z$12&lt;&gt;"",Z$14&lt;&gt;""),IF(EOMONTH($Z$3+INT((DAY(EOMONTH($Z$3,0))-1)/2)+Z$14,0)=EOMONTH($DV$3,0),Z$12,0),0),IF(AND(V$12&lt;&gt;"",V$14&lt;&gt;""),IF(EOMONTH($V$3+INT((DAY(EOMONTH($V$3,0))-1)/2)+V$14,0)=EOMONTH($DV$3,0),V$12,0),0),IF(AND(R$12&lt;&gt;"",R$14&lt;&gt;""),IF(EOMONTH($R$3+INT((DAY(EOMONTH($R$3,0))-1)/2)+R$14,0)=EOMONTH($DV$3,0),R$12,0),0),IF(AND(N$12&lt;&gt;"",N$14&lt;&gt;""),IF(EOMONTH($N$3+INT((DAY(EOMONTH($N$3,0))-1)/2)+N$14,0)=EOMONTH($DV$3,0),N$12,0),0),IF(AND(J$12&lt;&gt;"",J$14&lt;&gt;""),IF(EOMONTH($J$3+INT((DAY(EOMONTH($J$3,0))-1)/2)+J$14,0)=EOMONTH($DV$3,0),J$12,0),0),IF(AND(F$12&lt;&gt;"",F$14&lt;&gt;""),IF(EOMONTH($F$3+INT((DAY(EOMONTH($F$3,0))-1)/2)+F$14,0)=EOMONTH($DV$3,0),F$12,0),0),IF($EP$75="",0,IF(EOMONTH($EP$75+EP$14,0)=EOMONTH($DV$3,0),$EP$77,0))),0)</f>
        <v>0</v>
      </c>
      <c r="DW20" s="14">
        <f t="shared" si="228"/>
        <v>0</v>
      </c>
      <c r="DX20" s="15">
        <f t="shared" si="228"/>
        <v>0</v>
      </c>
      <c r="DY20" s="16">
        <f t="shared" si="65"/>
        <v>0</v>
      </c>
      <c r="DZ20" s="13">
        <f t="shared" ref="DZ20:EB20" si="229">ROUND(SUM(IF(AND(EP$12&lt;&gt;"",EP$14&lt;&gt;""),IF(EOMONTH($EP$3+INT((DAY(EOMONTH($EP$3,0))-1)/2)+EP$14,0)=EOMONTH($DZ$3,0),EP$12,0),0),IF(AND(EL$12&lt;&gt;"",EL$14&lt;&gt;""),IF(EOMONTH($EL$3+INT((DAY(EOMONTH($EL$3,0))-1)/2)+EL$14,0)=EOMONTH($DZ$3,0),EL$12,0),0),IF(AND(EH$12&lt;&gt;"",EH$14&lt;&gt;""),IF(EOMONTH($EH$3+INT((DAY(EOMONTH($EH$3,0))-1)/2)+EH$14,0)=EOMONTH($DZ$3,0),EH$12,0),0),IF(AND(ED$12&lt;&gt;"",ED$14&lt;&gt;""),IF(EOMONTH($ED$3+INT((DAY(EOMONTH($ED$3,0))-1)/2)+ED$14,0)=EOMONTH($DZ$3,0),ED$12,0),0),IF(AND(DZ$12&lt;&gt;"",DZ$14&lt;&gt;""),IF(EOMONTH($DZ$3+INT((DAY(EOMONTH($DZ$3,0))-1)/2)+DZ$14,0)=EOMONTH($DZ$3,0),DZ$12,0),0),IF(AND(DV$12&lt;&gt;"",DV$14&lt;&gt;""),IF(EOMONTH($DV$3+INT((DAY(EOMONTH($DV$3,0))-1)/2)+DV$14,0)=EOMONTH($DZ$3,0),DV$12,0),0),IF(AND(DR$12&lt;&gt;"",DR$14&lt;&gt;""),IF(EOMONTH($DR$3+INT((DAY(EOMONTH($DR$3,0))-1)/2)+DR$14,0)=EOMONTH($DZ$3,0),DR$12,0),0),IF(AND(DN$12&lt;&gt;"",DN$14&lt;&gt;""),IF(EOMONTH($DN$3+INT((DAY(EOMONTH($DN$3,0))-1)/2)+DN$14,0)=EOMONTH($DZ$3,0),DN$12,0),0),IF(AND(DJ$12&lt;&gt;"",DJ$14&lt;&gt;""),IF(EOMONTH($DJ$3+INT((DAY(EOMONTH($DJ$3,0))-1)/2)+DJ$14,0)=EOMONTH($DZ$3,0),DJ$12,0),0),IF(AND(DF$12&lt;&gt;"",DF$14&lt;&gt;""),IF(EOMONTH($DF$3+INT((DAY(EOMONTH($DF$3,0))-1)/2)+DF$14,0)=EOMONTH($DZ$3,0),DF$12,0),0),IF(AND(DB$12&lt;&gt;"",DB$14&lt;&gt;""),IF(EOMONTH($DB$3+INT((DAY(EOMONTH($DB$3,0))-1)/2)+DB$14,0)=EOMONTH($DZ$3,0),DB$12,0),0),IF(AND(CX$12&lt;&gt;"",CX$14&lt;&gt;""),IF(EOMONTH($CX$3+INT((DAY(EOMONTH($CX$3,0))-1)/2)+CX$14,0)=EOMONTH($DZ$3,0),CX$12,0),0),IF(AND(CT$12&lt;&gt;"",CT$14&lt;&gt;""),IF(EOMONTH($CT$3+INT((DAY(EOMONTH($CT$3,0))-1)/2)+CT$14,0)=EOMONTH($DZ$3,0),CT$12,0),0),IF(AND(CP$12&lt;&gt;"",CP$14&lt;&gt;""),IF(EOMONTH($CP$3+INT((DAY(EOMONTH($CP$3,0))-1)/2)+CP$14,0)=EOMONTH($DZ$3,0),CP$12,0),0),IF(AND(CL$12&lt;&gt;"",CL$14&lt;&gt;""),IF(EOMONTH($CL$3+INT((DAY(EOMONTH($CL$3,0))-1)/2)+CL$14,0)=EOMONTH($DZ$3,0),CL$12,0),0),IF(AND(CH$12&lt;&gt;"",CH$14&lt;&gt;""),IF(EOMONTH($CH$3+INT((DAY(EOMONTH($CH$3,0))-1)/2)+CH$14,0)=EOMONTH($DZ$3,0),CH$12,0),0),IF(AND(CD$12&lt;&gt;"",CD$14&lt;&gt;""),IF(EOMONTH($CD$3+INT((DAY(EOMONTH($CD$3,0))-1)/2)+CD$14,0)=EOMONTH($DZ$3,0),CD$12,0),0),IF(AND(BZ$12&lt;&gt;"",BZ$14&lt;&gt;""),IF(EOMONTH($BZ$3+INT((DAY(EOMONTH($BZ$3,0))-1)/2)+BZ$14,0)=EOMONTH($DZ$3,0),BZ$12,0),0),IF(AND(BV$12&lt;&gt;"",BV$14&lt;&gt;""),IF(EOMONTH($BV$3+INT((DAY(EOMONTH($BV$3,0))-1)/2)+BV$14,0)=EOMONTH($DZ$3,0),BV$12,0),0),IF(AND(BR$12&lt;&gt;"",BR$14&lt;&gt;""),IF(EOMONTH($BR$3+INT((DAY(EOMONTH($BR$3,0))-1)/2)+BR$14,0)=EOMONTH($DZ$3,0),BR$12,0),0),IF(AND(BN$12&lt;&gt;"",BN$14&lt;&gt;""),IF(EOMONTH($BN$3+INT((DAY(EOMONTH($BN$3,0))-1)/2)+BN$14,0)=EOMONTH($DZ$3,0),BN$12,0),0),IF(AND(BJ$12&lt;&gt;"",BJ$14&lt;&gt;""),IF(EOMONTH($BJ$3+INT((DAY(EOMONTH($BJ$3,0))-1)/2)+BJ$14,0)=EOMONTH($DZ$3,0),BJ$12,0),0),IF(AND(BF$12&lt;&gt;"",BF$14&lt;&gt;""),IF(EOMONTH($BF$3+INT((DAY(EOMONTH($BF$3,0))-1)/2)+BF$14,0)=EOMONTH($DZ$3,0),BF$12,0),0),IF(AND(BB$12&lt;&gt;"",BB$14&lt;&gt;""),IF(EOMONTH($BB$3+INT((DAY(EOMONTH($BB$3,0))-1)/2)+BB$14,0)=EOMONTH($DZ$3,0),BB$12,0),0),IF(AND(AX$12&lt;&gt;"",AX$14&lt;&gt;""),IF(EOMONTH($AX$3+INT((DAY(EOMONTH($AX$3,0))-1)/2)+AX$14,0)=EOMONTH($DZ$3,0),AX$12,0),0),IF(AND(AT$12&lt;&gt;"",AT$14&lt;&gt;""),IF(EOMONTH($AT$3+INT((DAY(EOMONTH($AT$3,0))-1)/2)+AT$14,0)=EOMONTH($DZ$3,0),AT$12,0),0),IF(AND(AP$12&lt;&gt;"",AP$14&lt;&gt;""),IF(EOMONTH($AP$3+INT((DAY(EOMONTH($AP$3,0))-1)/2)+AP$14,0)=EOMONTH($DZ$3,0),AP$12,0),0),IF(AND(AL$12&lt;&gt;"",AL$14&lt;&gt;""),IF(EOMONTH($AL$3+INT((DAY(EOMONTH($AL$3,0))-1)/2)+AL$14,0)=EOMONTH($DZ$3,0),AL$12,0),0),IF(AND(AH$12&lt;&gt;"",AH$14&lt;&gt;""),IF(EOMONTH($AH$3+INT((DAY(EOMONTH($AH$3,0))-1)/2)+AH$14,0)=EOMONTH($DZ$3,0),AH$12,0),0),IF(AND(AD$12&lt;&gt;"",AD$14&lt;&gt;""),IF(EOMONTH($AD$3+INT((DAY(EOMONTH($AD$3,0))-1)/2)+AD$14,0)=EOMONTH($DZ$3,0),AD$12,0),0),IF(AND(Z$12&lt;&gt;"",Z$14&lt;&gt;""),IF(EOMONTH($Z$3+INT((DAY(EOMONTH($Z$3,0))-1)/2)+Z$14,0)=EOMONTH($DZ$3,0),Z$12,0),0),IF(AND(V$12&lt;&gt;"",V$14&lt;&gt;""),IF(EOMONTH($V$3+INT((DAY(EOMONTH($V$3,0))-1)/2)+V$14,0)=EOMONTH($DZ$3,0),V$12,0),0),IF(AND(R$12&lt;&gt;"",R$14&lt;&gt;""),IF(EOMONTH($R$3+INT((DAY(EOMONTH($R$3,0))-1)/2)+R$14,0)=EOMONTH($DZ$3,0),R$12,0),0),IF(AND(N$12&lt;&gt;"",N$14&lt;&gt;""),IF(EOMONTH($N$3+INT((DAY(EOMONTH($N$3,0))-1)/2)+N$14,0)=EOMONTH($DZ$3,0),N$12,0),0),IF(AND(J$12&lt;&gt;"",J$14&lt;&gt;""),IF(EOMONTH($J$3+INT((DAY(EOMONTH($J$3,0))-1)/2)+J$14,0)=EOMONTH($DZ$3,0),J$12,0),0),IF(AND(F$12&lt;&gt;"",F$14&lt;&gt;""),IF(EOMONTH($F$3+INT((DAY(EOMONTH($F$3,0))-1)/2)+F$14,0)=EOMONTH($DZ$3,0),F$12,0),0),IF($EP$75="",0,IF(EOMONTH($EP$75+EP$14,0)=EOMONTH($DZ$3,0),$EP$77,0))),0)</f>
        <v>0</v>
      </c>
      <c r="EA20" s="14">
        <f t="shared" si="229"/>
        <v>0</v>
      </c>
      <c r="EB20" s="15">
        <f t="shared" si="229"/>
        <v>0</v>
      </c>
      <c r="EC20" s="16">
        <f t="shared" si="67"/>
        <v>0</v>
      </c>
      <c r="ED20" s="13">
        <f t="shared" ref="ED20:EF20" si="230">ROUND(SUM(IF(AND(EP$12&lt;&gt;"",EP$14&lt;&gt;""),IF(EOMONTH($EP$3+INT((DAY(EOMONTH($EP$3,0))-1)/2)+EP$14,0)=EOMONTH($ED$3,0),EP$12,0),0),IF(AND(EL$12&lt;&gt;"",EL$14&lt;&gt;""),IF(EOMONTH($EL$3+INT((DAY(EOMONTH($EL$3,0))-1)/2)+EL$14,0)=EOMONTH($ED$3,0),EL$12,0),0),IF(AND(EH$12&lt;&gt;"",EH$14&lt;&gt;""),IF(EOMONTH($EH$3+INT((DAY(EOMONTH($EH$3,0))-1)/2)+EH$14,0)=EOMONTH($ED$3,0),EH$12,0),0),IF(AND(ED$12&lt;&gt;"",ED$14&lt;&gt;""),IF(EOMONTH($ED$3+INT((DAY(EOMONTH($ED$3,0))-1)/2)+ED$14,0)=EOMONTH($ED$3,0),ED$12,0),0),IF(AND(DZ$12&lt;&gt;"",DZ$14&lt;&gt;""),IF(EOMONTH($DZ$3+INT((DAY(EOMONTH($DZ$3,0))-1)/2)+DZ$14,0)=EOMONTH($ED$3,0),DZ$12,0),0),IF(AND(DV$12&lt;&gt;"",DV$14&lt;&gt;""),IF(EOMONTH($DV$3+INT((DAY(EOMONTH($DV$3,0))-1)/2)+DV$14,0)=EOMONTH($ED$3,0),DV$12,0),0),IF(AND(DR$12&lt;&gt;"",DR$14&lt;&gt;""),IF(EOMONTH($DR$3+INT((DAY(EOMONTH($DR$3,0))-1)/2)+DR$14,0)=EOMONTH($ED$3,0),DR$12,0),0),IF(AND(DN$12&lt;&gt;"",DN$14&lt;&gt;""),IF(EOMONTH($DN$3+INT((DAY(EOMONTH($DN$3,0))-1)/2)+DN$14,0)=EOMONTH($ED$3,0),DN$12,0),0),IF(AND(DJ$12&lt;&gt;"",DJ$14&lt;&gt;""),IF(EOMONTH($DJ$3+INT((DAY(EOMONTH($DJ$3,0))-1)/2)+DJ$14,0)=EOMONTH($ED$3,0),DJ$12,0),0),IF(AND(DF$12&lt;&gt;"",DF$14&lt;&gt;""),IF(EOMONTH($DF$3+INT((DAY(EOMONTH($DF$3,0))-1)/2)+DF$14,0)=EOMONTH($ED$3,0),DF$12,0),0),IF(AND(DB$12&lt;&gt;"",DB$14&lt;&gt;""),IF(EOMONTH($DB$3+INT((DAY(EOMONTH($DB$3,0))-1)/2)+DB$14,0)=EOMONTH($ED$3,0),DB$12,0),0),IF(AND(CX$12&lt;&gt;"",CX$14&lt;&gt;""),IF(EOMONTH($CX$3+INT((DAY(EOMONTH($CX$3,0))-1)/2)+CX$14,0)=EOMONTH($ED$3,0),CX$12,0),0),IF(AND(CT$12&lt;&gt;"",CT$14&lt;&gt;""),IF(EOMONTH($CT$3+INT((DAY(EOMONTH($CT$3,0))-1)/2)+CT$14,0)=EOMONTH($ED$3,0),CT$12,0),0),IF(AND(CP$12&lt;&gt;"",CP$14&lt;&gt;""),IF(EOMONTH($CP$3+INT((DAY(EOMONTH($CP$3,0))-1)/2)+CP$14,0)=EOMONTH($ED$3,0),CP$12,0),0),IF(AND(CL$12&lt;&gt;"",CL$14&lt;&gt;""),IF(EOMONTH($CL$3+INT((DAY(EOMONTH($CL$3,0))-1)/2)+CL$14,0)=EOMONTH($ED$3,0),CL$12,0),0),IF(AND(CH$12&lt;&gt;"",CH$14&lt;&gt;""),IF(EOMONTH($CH$3+INT((DAY(EOMONTH($CH$3,0))-1)/2)+CH$14,0)=EOMONTH($ED$3,0),CH$12,0),0),IF(AND(CD$12&lt;&gt;"",CD$14&lt;&gt;""),IF(EOMONTH($CD$3+INT((DAY(EOMONTH($CD$3,0))-1)/2)+CD$14,0)=EOMONTH($ED$3,0),CD$12,0),0),IF(AND(BZ$12&lt;&gt;"",BZ$14&lt;&gt;""),IF(EOMONTH($BZ$3+INT((DAY(EOMONTH($BZ$3,0))-1)/2)+BZ$14,0)=EOMONTH($ED$3,0),BZ$12,0),0),IF(AND(BV$12&lt;&gt;"",BV$14&lt;&gt;""),IF(EOMONTH($BV$3+INT((DAY(EOMONTH($BV$3,0))-1)/2)+BV$14,0)=EOMONTH($ED$3,0),BV$12,0),0),IF(AND(BR$12&lt;&gt;"",BR$14&lt;&gt;""),IF(EOMONTH($BR$3+INT((DAY(EOMONTH($BR$3,0))-1)/2)+BR$14,0)=EOMONTH($ED$3,0),BR$12,0),0),IF(AND(BN$12&lt;&gt;"",BN$14&lt;&gt;""),IF(EOMONTH($BN$3+INT((DAY(EOMONTH($BN$3,0))-1)/2)+BN$14,0)=EOMONTH($ED$3,0),BN$12,0),0),IF(AND(BJ$12&lt;&gt;"",BJ$14&lt;&gt;""),IF(EOMONTH($BJ$3+INT((DAY(EOMONTH($BJ$3,0))-1)/2)+BJ$14,0)=EOMONTH($ED$3,0),BJ$12,0),0),IF(AND(BF$12&lt;&gt;"",BF$14&lt;&gt;""),IF(EOMONTH($BF$3+INT((DAY(EOMONTH($BF$3,0))-1)/2)+BF$14,0)=EOMONTH($ED$3,0),BF$12,0),0),IF(AND(BB$12&lt;&gt;"",BB$14&lt;&gt;""),IF(EOMONTH($BB$3+INT((DAY(EOMONTH($BB$3,0))-1)/2)+BB$14,0)=EOMONTH($ED$3,0),BB$12,0),0),IF(AND(AX$12&lt;&gt;"",AX$14&lt;&gt;""),IF(EOMONTH($AX$3+INT((DAY(EOMONTH($AX$3,0))-1)/2)+AX$14,0)=EOMONTH($ED$3,0),AX$12,0),0),IF(AND(AT$12&lt;&gt;"",AT$14&lt;&gt;""),IF(EOMONTH($AT$3+INT((DAY(EOMONTH($AT$3,0))-1)/2)+AT$14,0)=EOMONTH($ED$3,0),AT$12,0),0),IF(AND(AP$12&lt;&gt;"",AP$14&lt;&gt;""),IF(EOMONTH($AP$3+INT((DAY(EOMONTH($AP$3,0))-1)/2)+AP$14,0)=EOMONTH($ED$3,0),AP$12,0),0),IF(AND(AL$12&lt;&gt;"",AL$14&lt;&gt;""),IF(EOMONTH($AL$3+INT((DAY(EOMONTH($AL$3,0))-1)/2)+AL$14,0)=EOMONTH($ED$3,0),AL$12,0),0),IF(AND(AH$12&lt;&gt;"",AH$14&lt;&gt;""),IF(EOMONTH($AH$3+INT((DAY(EOMONTH($AH$3,0))-1)/2)+AH$14,0)=EOMONTH($ED$3,0),AH$12,0),0),IF(AND(AD$12&lt;&gt;"",AD$14&lt;&gt;""),IF(EOMONTH($AD$3+INT((DAY(EOMONTH($AD$3,0))-1)/2)+AD$14,0)=EOMONTH($ED$3,0),AD$12,0),0),IF(AND(Z$12&lt;&gt;"",Z$14&lt;&gt;""),IF(EOMONTH($Z$3+INT((DAY(EOMONTH($Z$3,0))-1)/2)+Z$14,0)=EOMONTH($ED$3,0),Z$12,0),0),IF(AND(V$12&lt;&gt;"",V$14&lt;&gt;""),IF(EOMONTH($V$3+INT((DAY(EOMONTH($V$3,0))-1)/2)+V$14,0)=EOMONTH($ED$3,0),V$12,0),0),IF(AND(R$12&lt;&gt;"",R$14&lt;&gt;""),IF(EOMONTH($R$3+INT((DAY(EOMONTH($R$3,0))-1)/2)+R$14,0)=EOMONTH($ED$3,0),R$12,0),0),IF(AND(N$12&lt;&gt;"",N$14&lt;&gt;""),IF(EOMONTH($N$3+INT((DAY(EOMONTH($N$3,0))-1)/2)+N$14,0)=EOMONTH($ED$3,0),N$12,0),0),IF(AND(J$12&lt;&gt;"",J$14&lt;&gt;""),IF(EOMONTH($J$3+INT((DAY(EOMONTH($J$3,0))-1)/2)+J$14,0)=EOMONTH($ED$3,0),J$12,0),0),IF(AND(F$12&lt;&gt;"",F$14&lt;&gt;""),IF(EOMONTH($F$3+INT((DAY(EOMONTH($F$3,0))-1)/2)+F$14,0)=EOMONTH($ED$3,0),F$12,0),0),IF($EP$75="",0,IF(EOMONTH($EP$75+EP$14,0)=EOMONTH($ED$3,0),$EP$77,0))),0)</f>
        <v>0</v>
      </c>
      <c r="EE20" s="14">
        <f t="shared" si="230"/>
        <v>0</v>
      </c>
      <c r="EF20" s="15">
        <f t="shared" si="230"/>
        <v>0</v>
      </c>
      <c r="EG20" s="16">
        <f t="shared" si="69"/>
        <v>0</v>
      </c>
      <c r="EH20" s="13">
        <f t="shared" ref="EH20:EJ20" si="231">ROUND(SUM(IF(AND(EP$12&lt;&gt;"",EP$14&lt;&gt;""),IF(EOMONTH($EP$3+INT((DAY(EOMONTH($EP$3,0))-1)/2)+EP$14,0)=EOMONTH($EH$3,0),EP$12,0),0),IF(AND(EL$12&lt;&gt;"",EL$14&lt;&gt;""),IF(EOMONTH($EL$3+INT((DAY(EOMONTH($EL$3,0))-1)/2)+EL$14,0)=EOMONTH($EH$3,0),EL$12,0),0),IF(AND(EH$12&lt;&gt;"",EH$14&lt;&gt;""),IF(EOMONTH($EH$3+INT((DAY(EOMONTH($EH$3,0))-1)/2)+EH$14,0)=EOMONTH($EH$3,0),EH$12,0),0),IF(AND(ED$12&lt;&gt;"",ED$14&lt;&gt;""),IF(EOMONTH($ED$3+INT((DAY(EOMONTH($ED$3,0))-1)/2)+ED$14,0)=EOMONTH($EH$3,0),ED$12,0),0),IF(AND(DZ$12&lt;&gt;"",DZ$14&lt;&gt;""),IF(EOMONTH($DZ$3+INT((DAY(EOMONTH($DZ$3,0))-1)/2)+DZ$14,0)=EOMONTH($EH$3,0),DZ$12,0),0),IF(AND(DV$12&lt;&gt;"",DV$14&lt;&gt;""),IF(EOMONTH($DV$3+INT((DAY(EOMONTH($DV$3,0))-1)/2)+DV$14,0)=EOMONTH($EH$3,0),DV$12,0),0),IF(AND(DR$12&lt;&gt;"",DR$14&lt;&gt;""),IF(EOMONTH($DR$3+INT((DAY(EOMONTH($DR$3,0))-1)/2)+DR$14,0)=EOMONTH($EH$3,0),DR$12,0),0),IF(AND(DN$12&lt;&gt;"",DN$14&lt;&gt;""),IF(EOMONTH($DN$3+INT((DAY(EOMONTH($DN$3,0))-1)/2)+DN$14,0)=EOMONTH($EH$3,0),DN$12,0),0),IF(AND(DJ$12&lt;&gt;"",DJ$14&lt;&gt;""),IF(EOMONTH($DJ$3+INT((DAY(EOMONTH($DJ$3,0))-1)/2)+DJ$14,0)=EOMONTH($EH$3,0),DJ$12,0),0),IF(AND(DF$12&lt;&gt;"",DF$14&lt;&gt;""),IF(EOMONTH($DF$3+INT((DAY(EOMONTH($DF$3,0))-1)/2)+DF$14,0)=EOMONTH($EH$3,0),DF$12,0),0),IF(AND(DB$12&lt;&gt;"",DB$14&lt;&gt;""),IF(EOMONTH($DB$3+INT((DAY(EOMONTH($DB$3,0))-1)/2)+DB$14,0)=EOMONTH($EH$3,0),DB$12,0),0),IF(AND(CX$12&lt;&gt;"",CX$14&lt;&gt;""),IF(EOMONTH($CX$3+INT((DAY(EOMONTH($CX$3,0))-1)/2)+CX$14,0)=EOMONTH($EH$3,0),CX$12,0),0),IF(AND(CT$12&lt;&gt;"",CT$14&lt;&gt;""),IF(EOMONTH($CT$3+INT((DAY(EOMONTH($CT$3,0))-1)/2)+CT$14,0)=EOMONTH($EH$3,0),CT$12,0),0),IF(AND(CP$12&lt;&gt;"",CP$14&lt;&gt;""),IF(EOMONTH($CP$3+INT((DAY(EOMONTH($CP$3,0))-1)/2)+CP$14,0)=EOMONTH($EH$3,0),CP$12,0),0),IF(AND(CL$12&lt;&gt;"",CL$14&lt;&gt;""),IF(EOMONTH($CL$3+INT((DAY(EOMONTH($CL$3,0))-1)/2)+CL$14,0)=EOMONTH($EH$3,0),CL$12,0),0),IF(AND(CH$12&lt;&gt;"",CH$14&lt;&gt;""),IF(EOMONTH($CH$3+INT((DAY(EOMONTH($CH$3,0))-1)/2)+CH$14,0)=EOMONTH($EH$3,0),CH$12,0),0),IF(AND(CD$12&lt;&gt;"",CD$14&lt;&gt;""),IF(EOMONTH($CD$3+INT((DAY(EOMONTH($CD$3,0))-1)/2)+CD$14,0)=EOMONTH($EH$3,0),CD$12,0),0),IF(AND(BZ$12&lt;&gt;"",BZ$14&lt;&gt;""),IF(EOMONTH($BZ$3+INT((DAY(EOMONTH($BZ$3,0))-1)/2)+BZ$14,0)=EOMONTH($EH$3,0),BZ$12,0),0),IF(AND(BV$12&lt;&gt;"",BV$14&lt;&gt;""),IF(EOMONTH($BV$3+INT((DAY(EOMONTH($BV$3,0))-1)/2)+BV$14,0)=EOMONTH($EH$3,0),BV$12,0),0),IF(AND(BR$12&lt;&gt;"",BR$14&lt;&gt;""),IF(EOMONTH($BR$3+INT((DAY(EOMONTH($BR$3,0))-1)/2)+BR$14,0)=EOMONTH($EH$3,0),BR$12,0),0),IF(AND(BN$12&lt;&gt;"",BN$14&lt;&gt;""),IF(EOMONTH($BN$3+INT((DAY(EOMONTH($BN$3,0))-1)/2)+BN$14,0)=EOMONTH($EH$3,0),BN$12,0),0),IF(AND(BJ$12&lt;&gt;"",BJ$14&lt;&gt;""),IF(EOMONTH($BJ$3+INT((DAY(EOMONTH($BJ$3,0))-1)/2)+BJ$14,0)=EOMONTH($EH$3,0),BJ$12,0),0),IF(AND(BF$12&lt;&gt;"",BF$14&lt;&gt;""),IF(EOMONTH($BF$3+INT((DAY(EOMONTH($BF$3,0))-1)/2)+BF$14,0)=EOMONTH($EH$3,0),BF$12,0),0),IF(AND(BB$12&lt;&gt;"",BB$14&lt;&gt;""),IF(EOMONTH($BB$3+INT((DAY(EOMONTH($BB$3,0))-1)/2)+BB$14,0)=EOMONTH($EH$3,0),BB$12,0),0),IF(AND(AX$12&lt;&gt;"",AX$14&lt;&gt;""),IF(EOMONTH($AX$3+INT((DAY(EOMONTH($AX$3,0))-1)/2)+AX$14,0)=EOMONTH($EH$3,0),AX$12,0),0),IF(AND(AT$12&lt;&gt;"",AT$14&lt;&gt;""),IF(EOMONTH($AT$3+INT((DAY(EOMONTH($AT$3,0))-1)/2)+AT$14,0)=EOMONTH($EH$3,0),AT$12,0),0),IF(AND(AP$12&lt;&gt;"",AP$14&lt;&gt;""),IF(EOMONTH($AP$3+INT((DAY(EOMONTH($AP$3,0))-1)/2)+AP$14,0)=EOMONTH($EH$3,0),AP$12,0),0),IF(AND(AL$12&lt;&gt;"",AL$14&lt;&gt;""),IF(EOMONTH($AL$3+INT((DAY(EOMONTH($AL$3,0))-1)/2)+AL$14,0)=EOMONTH($EH$3,0),AL$12,0),0),IF(AND(AH$12&lt;&gt;"",AH$14&lt;&gt;""),IF(EOMONTH($AH$3+INT((DAY(EOMONTH($AH$3,0))-1)/2)+AH$14,0)=EOMONTH($EH$3,0),AH$12,0),0),IF(AND(AD$12&lt;&gt;"",AD$14&lt;&gt;""),IF(EOMONTH($AD$3+INT((DAY(EOMONTH($AD$3,0))-1)/2)+AD$14,0)=EOMONTH($EH$3,0),AD$12,0),0),IF(AND(Z$12&lt;&gt;"",Z$14&lt;&gt;""),IF(EOMONTH($Z$3+INT((DAY(EOMONTH($Z$3,0))-1)/2)+Z$14,0)=EOMONTH($EH$3,0),Z$12,0),0),IF(AND(V$12&lt;&gt;"",V$14&lt;&gt;""),IF(EOMONTH($V$3+INT((DAY(EOMONTH($V$3,0))-1)/2)+V$14,0)=EOMONTH($EH$3,0),V$12,0),0),IF(AND(R$12&lt;&gt;"",R$14&lt;&gt;""),IF(EOMONTH($R$3+INT((DAY(EOMONTH($R$3,0))-1)/2)+R$14,0)=EOMONTH($EH$3,0),R$12,0),0),IF(AND(N$12&lt;&gt;"",N$14&lt;&gt;""),IF(EOMONTH($N$3+INT((DAY(EOMONTH($N$3,0))-1)/2)+N$14,0)=EOMONTH($EH$3,0),N$12,0),0),IF(AND(J$12&lt;&gt;"",J$14&lt;&gt;""),IF(EOMONTH($J$3+INT((DAY(EOMONTH($J$3,0))-1)/2)+J$14,0)=EOMONTH($EH$3,0),J$12,0),0),IF(AND(F$12&lt;&gt;"",F$14&lt;&gt;""),IF(EOMONTH($F$3+INT((DAY(EOMONTH($F$3,0))-1)/2)+F$14,0)=EOMONTH($EH$3,0),F$12,0),0),IF($EP$75="",0,IF(EOMONTH($EP$75+EP$14,0)=EOMONTH($EH$3,0),$EP$77,0))),0)</f>
        <v>0</v>
      </c>
      <c r="EI20" s="14">
        <f t="shared" si="231"/>
        <v>0</v>
      </c>
      <c r="EJ20" s="15">
        <f t="shared" si="231"/>
        <v>0</v>
      </c>
      <c r="EK20" s="16">
        <f t="shared" si="71"/>
        <v>0</v>
      </c>
      <c r="EL20" s="13">
        <f t="shared" ref="EL20:EN20" si="232">ROUND(SUM(IF(AND(EP$12&lt;&gt;"",EP$14&lt;&gt;""),IF(EOMONTH($EP$3+INT((DAY(EOMONTH($EP$3,0))-1)/2)+EP$14,0)=EOMONTH($EL$3,0),EP$12,0),0),IF(AND(EL$12&lt;&gt;"",EL$14&lt;&gt;""),IF(EOMONTH($EL$3+INT((DAY(EOMONTH($EL$3,0))-1)/2)+EL$14,0)=EOMONTH($EL$3,0),EL$12,0),0),IF(AND(EH$12&lt;&gt;"",EH$14&lt;&gt;""),IF(EOMONTH($EH$3+INT((DAY(EOMONTH($EH$3,0))-1)/2)+EH$14,0)=EOMONTH($EL$3,0),EH$12,0),0),IF(AND(ED$12&lt;&gt;"",ED$14&lt;&gt;""),IF(EOMONTH($ED$3+INT((DAY(EOMONTH($ED$3,0))-1)/2)+ED$14,0)=EOMONTH($EL$3,0),ED$12,0),0),IF(AND(DZ$12&lt;&gt;"",DZ$14&lt;&gt;""),IF(EOMONTH($DZ$3+INT((DAY(EOMONTH($DZ$3,0))-1)/2)+DZ$14,0)=EOMONTH($EL$3,0),DZ$12,0),0),IF(AND(DV$12&lt;&gt;"",DV$14&lt;&gt;""),IF(EOMONTH($DV$3+INT((DAY(EOMONTH($DV$3,0))-1)/2)+DV$14,0)=EOMONTH($EL$3,0),DV$12,0),0),IF(AND(DR$12&lt;&gt;"",DR$14&lt;&gt;""),IF(EOMONTH($DR$3+INT((DAY(EOMONTH($DR$3,0))-1)/2)+DR$14,0)=EOMONTH($EL$3,0),DR$12,0),0),IF(AND(DN$12&lt;&gt;"",DN$14&lt;&gt;""),IF(EOMONTH($DN$3+INT((DAY(EOMONTH($DN$3,0))-1)/2)+DN$14,0)=EOMONTH($EL$3,0),DN$12,0),0),IF(AND(DJ$12&lt;&gt;"",DJ$14&lt;&gt;""),IF(EOMONTH($DJ$3+INT((DAY(EOMONTH($DJ$3,0))-1)/2)+DJ$14,0)=EOMONTH($EL$3,0),DJ$12,0),0),IF(AND(DF$12&lt;&gt;"",DF$14&lt;&gt;""),IF(EOMONTH($DF$3+INT((DAY(EOMONTH($DF$3,0))-1)/2)+DF$14,0)=EOMONTH($EL$3,0),DF$12,0),0),IF(AND(DB$12&lt;&gt;"",DB$14&lt;&gt;""),IF(EOMONTH($DB$3+INT((DAY(EOMONTH($DB$3,0))-1)/2)+DB$14,0)=EOMONTH($EL$3,0),DB$12,0),0),IF(AND(CX$12&lt;&gt;"",CX$14&lt;&gt;""),IF(EOMONTH($CX$3+INT((DAY(EOMONTH($CX$3,0))-1)/2)+CX$14,0)=EOMONTH($EL$3,0),CX$12,0),0),IF(AND(CT$12&lt;&gt;"",CT$14&lt;&gt;""),IF(EOMONTH($CT$3+INT((DAY(EOMONTH($CT$3,0))-1)/2)+CT$14,0)=EOMONTH($EL$3,0),CT$12,0),0),IF(AND(CP$12&lt;&gt;"",CP$14&lt;&gt;""),IF(EOMONTH($CP$3+INT((DAY(EOMONTH($CP$3,0))-1)/2)+CP$14,0)=EOMONTH($EL$3,0),CP$12,0),0),IF(AND(CL$12&lt;&gt;"",CL$14&lt;&gt;""),IF(EOMONTH($CL$3+INT((DAY(EOMONTH($CL$3,0))-1)/2)+CL$14,0)=EOMONTH($EL$3,0),CL$12,0),0),IF(AND(CH$12&lt;&gt;"",CH$14&lt;&gt;""),IF(EOMONTH($CH$3+INT((DAY(EOMONTH($CH$3,0))-1)/2)+CH$14,0)=EOMONTH($EL$3,0),CH$12,0),0),IF(AND(CD$12&lt;&gt;"",CD$14&lt;&gt;""),IF(EOMONTH($CD$3+INT((DAY(EOMONTH($CD$3,0))-1)/2)+CD$14,0)=EOMONTH($EL$3,0),CD$12,0),0),IF(AND(BZ$12&lt;&gt;"",BZ$14&lt;&gt;""),IF(EOMONTH($BZ$3+INT((DAY(EOMONTH($BZ$3,0))-1)/2)+BZ$14,0)=EOMONTH($EL$3,0),BZ$12,0),0),IF(AND(BV$12&lt;&gt;"",BV$14&lt;&gt;""),IF(EOMONTH($BV$3+INT((DAY(EOMONTH($BV$3,0))-1)/2)+BV$14,0)=EOMONTH($EL$3,0),BV$12,0),0),IF(AND(BR$12&lt;&gt;"",BR$14&lt;&gt;""),IF(EOMONTH($BR$3+INT((DAY(EOMONTH($BR$3,0))-1)/2)+BR$14,0)=EOMONTH($EL$3,0),BR$12,0),0),IF(AND(BN$12&lt;&gt;"",BN$14&lt;&gt;""),IF(EOMONTH($BN$3+INT((DAY(EOMONTH($BN$3,0))-1)/2)+BN$14,0)=EOMONTH($EL$3,0),BN$12,0),0),IF(AND(BJ$12&lt;&gt;"",BJ$14&lt;&gt;""),IF(EOMONTH($BJ$3+INT((DAY(EOMONTH($BJ$3,0))-1)/2)+BJ$14,0)=EOMONTH($EL$3,0),BJ$12,0),0),IF(AND(BF$12&lt;&gt;"",BF$14&lt;&gt;""),IF(EOMONTH($BF$3+INT((DAY(EOMONTH($BF$3,0))-1)/2)+BF$14,0)=EOMONTH($EL$3,0),BF$12,0),0),IF(AND(BB$12&lt;&gt;"",BB$14&lt;&gt;""),IF(EOMONTH($BB$3+INT((DAY(EOMONTH($BB$3,0))-1)/2)+BB$14,0)=EOMONTH($EL$3,0),BB$12,0),0),IF(AND(AX$12&lt;&gt;"",AX$14&lt;&gt;""),IF(EOMONTH($AX$3+INT((DAY(EOMONTH($AX$3,0))-1)/2)+AX$14,0)=EOMONTH($EL$3,0),AX$12,0),0),IF(AND(AT$12&lt;&gt;"",AT$14&lt;&gt;""),IF(EOMONTH($AT$3+INT((DAY(EOMONTH($AT$3,0))-1)/2)+AT$14,0)=EOMONTH($EL$3,0),AT$12,0),0),IF(AND(AP$12&lt;&gt;"",AP$14&lt;&gt;""),IF(EOMONTH($AP$3+INT((DAY(EOMONTH($AP$3,0))-1)/2)+AP$14,0)=EOMONTH($EL$3,0),AP$12,0),0),IF(AND(AL$12&lt;&gt;"",AL$14&lt;&gt;""),IF(EOMONTH($AL$3+INT((DAY(EOMONTH($AL$3,0))-1)/2)+AL$14,0)=EOMONTH($EL$3,0),AL$12,0),0),IF(AND(AH$12&lt;&gt;"",AH$14&lt;&gt;""),IF(EOMONTH($AH$3+INT((DAY(EOMONTH($AH$3,0))-1)/2)+AH$14,0)=EOMONTH($EL$3,0),AH$12,0),0),IF(AND(AD$12&lt;&gt;"",AD$14&lt;&gt;""),IF(EOMONTH($AD$3+INT((DAY(EOMONTH($AD$3,0))-1)/2)+AD$14,0)=EOMONTH($EL$3,0),AD$12,0),0),IF(AND(Z$12&lt;&gt;"",Z$14&lt;&gt;""),IF(EOMONTH($Z$3+INT((DAY(EOMONTH($Z$3,0))-1)/2)+Z$14,0)=EOMONTH($EL$3,0),Z$12,0),0),IF(AND(V$12&lt;&gt;"",V$14&lt;&gt;""),IF(EOMONTH($V$3+INT((DAY(EOMONTH($V$3,0))-1)/2)+V$14,0)=EOMONTH($EL$3,0),V$12,0),0),IF(AND(R$12&lt;&gt;"",R$14&lt;&gt;""),IF(EOMONTH($R$3+INT((DAY(EOMONTH($R$3,0))-1)/2)+R$14,0)=EOMONTH($EL$3,0),R$12,0),0),IF(AND(N$12&lt;&gt;"",N$14&lt;&gt;""),IF(EOMONTH($N$3+INT((DAY(EOMONTH($N$3,0))-1)/2)+N$14,0)=EOMONTH($EL$3,0),N$12,0),0),IF(AND(J$12&lt;&gt;"",J$14&lt;&gt;""),IF(EOMONTH($J$3+INT((DAY(EOMONTH($J$3,0))-1)/2)+J$14,0)=EOMONTH($EL$3,0),J$12,0),0),IF(AND(F$12&lt;&gt;"",F$14&lt;&gt;""),IF(EOMONTH($F$3+INT((DAY(EOMONTH($F$3,0))-1)/2)+F$14,0)=EOMONTH($EL$3,0),F$12,0),0),IF($EP$75="",0,IF(EOMONTH($EP$75+EP$14,0)=EOMONTH($EL$3,0),$EP$77,0))),0)</f>
        <v>0</v>
      </c>
      <c r="EM20" s="14">
        <f t="shared" si="232"/>
        <v>0</v>
      </c>
      <c r="EN20" s="15">
        <f t="shared" si="232"/>
        <v>0</v>
      </c>
      <c r="EO20" s="16">
        <f t="shared" si="73"/>
        <v>0</v>
      </c>
      <c r="EP20" s="13">
        <f t="shared" ref="EP20:ER20" si="233">ROUND(SUM(IF(AND(EP$12&lt;&gt;"",EP$14&lt;&gt;""),IF(EOMONTH($EP$3+INT((DAY(EOMONTH($EP$3,0))-1)/2)+EP$14,0)=EOMONTH($EP$3,0),EP$12,0),0),IF(AND(EL$12&lt;&gt;"",EL$14&lt;&gt;""),IF(EOMONTH($EL$3+INT((DAY(EOMONTH($EL$3,0))-1)/2)+EL$14,0)=EOMONTH($EP$3,0),EL$12,0),0),IF(AND(EH$12&lt;&gt;"",EH$14&lt;&gt;""),IF(EOMONTH($EH$3+INT((DAY(EOMONTH($EH$3,0))-1)/2)+EH$14,0)=EOMONTH($EP$3,0),EH$12,0),0),IF(AND(ED$12&lt;&gt;"",ED$14&lt;&gt;""),IF(EOMONTH($ED$3+INT((DAY(EOMONTH($ED$3,0))-1)/2)+ED$14,0)=EOMONTH($EP$3,0),ED$12,0),0),IF(AND(DZ$12&lt;&gt;"",DZ$14&lt;&gt;""),IF(EOMONTH($DZ$3+INT((DAY(EOMONTH($DZ$3,0))-1)/2)+DZ$14,0)=EOMONTH($EP$3,0),DZ$12,0),0),IF(AND(DV$12&lt;&gt;"",DV$14&lt;&gt;""),IF(EOMONTH($DV$3+INT((DAY(EOMONTH($DV$3,0))-1)/2)+DV$14,0)=EOMONTH($EP$3,0),DV$12,0),0),IF(AND(DR$12&lt;&gt;"",DR$14&lt;&gt;""),IF(EOMONTH($DR$3+INT((DAY(EOMONTH($DR$3,0))-1)/2)+DR$14,0)=EOMONTH($EP$3,0),DR$12,0),0),IF(AND(DN$12&lt;&gt;"",DN$14&lt;&gt;""),IF(EOMONTH($DN$3+INT((DAY(EOMONTH($DN$3,0))-1)/2)+DN$14,0)=EOMONTH($EP$3,0),DN$12,0),0),IF(AND(DJ$12&lt;&gt;"",DJ$14&lt;&gt;""),IF(EOMONTH($DJ$3+INT((DAY(EOMONTH($DJ$3,0))-1)/2)+DJ$14,0)=EOMONTH($EP$3,0),DJ$12,0),0),IF(AND(DF$12&lt;&gt;"",DF$14&lt;&gt;""),IF(EOMONTH($DF$3+INT((DAY(EOMONTH($DF$3,0))-1)/2)+DF$14,0)=EOMONTH($EP$3,0),DF$12,0),0),IF(AND(DB$12&lt;&gt;"",DB$14&lt;&gt;""),IF(EOMONTH($DB$3+INT((DAY(EOMONTH($DB$3,0))-1)/2)+DB$14,0)=EOMONTH($EP$3,0),DB$12,0),0),IF(AND(CX$12&lt;&gt;"",CX$14&lt;&gt;""),IF(EOMONTH($CX$3+INT((DAY(EOMONTH($CX$3,0))-1)/2)+CX$14,0)=EOMONTH($EP$3,0),CX$12,0),0),IF(AND(CT$12&lt;&gt;"",CT$14&lt;&gt;""),IF(EOMONTH($CT$3+INT((DAY(EOMONTH($CT$3,0))-1)/2)+CT$14,0)=EOMONTH($EP$3,0),CT$12,0),0),IF(AND(CP$12&lt;&gt;"",CP$14&lt;&gt;""),IF(EOMONTH($CP$3+INT((DAY(EOMONTH($CP$3,0))-1)/2)+CP$14,0)=EOMONTH($EP$3,0),CP$12,0),0),IF(AND(CL$12&lt;&gt;"",CL$14&lt;&gt;""),IF(EOMONTH($CL$3+INT((DAY(EOMONTH($CL$3,0))-1)/2)+CL$14,0)=EOMONTH($EP$3,0),CL$12,0),0),IF(AND(CH$12&lt;&gt;"",CH$14&lt;&gt;""),IF(EOMONTH($CH$3+INT((DAY(EOMONTH($CH$3,0))-1)/2)+CH$14,0)=EOMONTH($EP$3,0),CH$12,0),0),IF(AND(CD$12&lt;&gt;"",CD$14&lt;&gt;""),IF(EOMONTH($CD$3+INT((DAY(EOMONTH($CD$3,0))-1)/2)+CD$14,0)=EOMONTH($EP$3,0),CD$12,0),0),IF(AND(BZ$12&lt;&gt;"",BZ$14&lt;&gt;""),IF(EOMONTH($BZ$3+INT((DAY(EOMONTH($BZ$3,0))-1)/2)+BZ$14,0)=EOMONTH($EP$3,0),BZ$12,0),0),IF(AND(BV$12&lt;&gt;"",BV$14&lt;&gt;""),IF(EOMONTH($BV$3+INT((DAY(EOMONTH($BV$3,0))-1)/2)+BV$14,0)=EOMONTH($EP$3,0),BV$12,0),0),IF(AND(BR$12&lt;&gt;"",BR$14&lt;&gt;""),IF(EOMONTH($BR$3+INT((DAY(EOMONTH($BR$3,0))-1)/2)+BR$14,0)=EOMONTH($EP$3,0),BR$12,0),0),IF(AND(BN$12&lt;&gt;"",BN$14&lt;&gt;""),IF(EOMONTH($BN$3+INT((DAY(EOMONTH($BN$3,0))-1)/2)+BN$14,0)=EOMONTH($EP$3,0),BN$12,0),0),IF(AND(BJ$12&lt;&gt;"",BJ$14&lt;&gt;""),IF(EOMONTH($BJ$3+INT((DAY(EOMONTH($BJ$3,0))-1)/2)+BJ$14,0)=EOMONTH($EP$3,0),BJ$12,0),0),IF(AND(BF$12&lt;&gt;"",BF$14&lt;&gt;""),IF(EOMONTH($BF$3+INT((DAY(EOMONTH($BF$3,0))-1)/2)+BF$14,0)=EOMONTH($EP$3,0),BF$12,0),0),IF(AND(BB$12&lt;&gt;"",BB$14&lt;&gt;""),IF(EOMONTH($BB$3+INT((DAY(EOMONTH($BB$3,0))-1)/2)+BB$14,0)=EOMONTH($EP$3,0),BB$12,0),0),IF(AND(AX$12&lt;&gt;"",AX$14&lt;&gt;""),IF(EOMONTH($AX$3+INT((DAY(EOMONTH($AX$3,0))-1)/2)+AX$14,0)=EOMONTH($EP$3,0),AX$12,0),0),IF(AND(AT$12&lt;&gt;"",AT$14&lt;&gt;""),IF(EOMONTH($AT$3+INT((DAY(EOMONTH($AT$3,0))-1)/2)+AT$14,0)=EOMONTH($EP$3,0),AT$12,0),0),IF(AND(AP$12&lt;&gt;"",AP$14&lt;&gt;""),IF(EOMONTH($AP$3+INT((DAY(EOMONTH($AP$3,0))-1)/2)+AP$14,0)=EOMONTH($EP$3,0),AP$12,0),0),IF(AND(AL$12&lt;&gt;"",AL$14&lt;&gt;""),IF(EOMONTH($AL$3+INT((DAY(EOMONTH($AL$3,0))-1)/2)+AL$14,0)=EOMONTH($EP$3,0),AL$12,0),0),IF(AND(AH$12&lt;&gt;"",AH$14&lt;&gt;""),IF(EOMONTH($AH$3+INT((DAY(EOMONTH($AH$3,0))-1)/2)+AH$14,0)=EOMONTH($EP$3,0),AH$12,0),0),IF(AND(AD$12&lt;&gt;"",AD$14&lt;&gt;""),IF(EOMONTH($AD$3+INT((DAY(EOMONTH($AD$3,0))-1)/2)+AD$14,0)=EOMONTH($EP$3,0),AD$12,0),0),IF(AND(Z$12&lt;&gt;"",Z$14&lt;&gt;""),IF(EOMONTH($Z$3+INT((DAY(EOMONTH($Z$3,0))-1)/2)+Z$14,0)=EOMONTH($EP$3,0),Z$12,0),0),IF(AND(V$12&lt;&gt;"",V$14&lt;&gt;""),IF(EOMONTH($V$3+INT((DAY(EOMONTH($V$3,0))-1)/2)+V$14,0)=EOMONTH($EP$3,0),V$12,0),0),IF(AND(R$12&lt;&gt;"",R$14&lt;&gt;""),IF(EOMONTH($R$3+INT((DAY(EOMONTH($R$3,0))-1)/2)+R$14,0)=EOMONTH($EP$3,0),R$12,0),0),IF(AND(N$12&lt;&gt;"",N$14&lt;&gt;""),IF(EOMONTH($N$3+INT((DAY(EOMONTH($N$3,0))-1)/2)+N$14,0)=EOMONTH($EP$3,0),N$12,0),0),IF(AND(J$12&lt;&gt;"",J$14&lt;&gt;""),IF(EOMONTH($J$3+INT((DAY(EOMONTH($J$3,0))-1)/2)+J$14,0)=EOMONTH($EP$3,0),J$12,0),0),IF(AND(F$12&lt;&gt;"",F$14&lt;&gt;""),IF(EOMONTH($F$3+INT((DAY(EOMONTH($F$3,0))-1)/2)+F$14,0)=EOMONTH($EP$3,0),F$12,0),0),IF($EP$75="",0,IF(EOMONTH($EP$75+EP$14,0)=EOMONTH($EP$3,0),$EP$77,0))),0)</f>
        <v>0</v>
      </c>
      <c r="EQ20" s="14">
        <f t="shared" si="233"/>
        <v>0</v>
      </c>
      <c r="ER20" s="15">
        <f t="shared" si="233"/>
        <v>0</v>
      </c>
      <c r="ES20" s="16">
        <f t="shared" si="75"/>
        <v>0</v>
      </c>
    </row>
    <row r="21" ht="18.0" customHeight="1">
      <c r="A21" s="2" t="s">
        <v>23</v>
      </c>
      <c r="B21" s="13">
        <f t="shared" ref="B21:D21" si="234">SUM(EP21,EL21,EH21,ED21,DZ21,DV21,DR21,DN21,DJ21,DF21,DB21,CX21,CT21,CP21,CL21,CH21,CD21,BZ21,BV21,BR21,BN21,BJ21,BF21,BB21,AX21,AT21,AP21,AL21,AH21,AD21,Z21,V21,R21,N21,J21,F21)</f>
        <v>0</v>
      </c>
      <c r="C21" s="14">
        <f t="shared" si="234"/>
        <v>0</v>
      </c>
      <c r="D21" s="15">
        <f t="shared" si="234"/>
        <v>0</v>
      </c>
      <c r="E21" s="16">
        <f t="shared" si="3"/>
        <v>0</v>
      </c>
      <c r="F21" s="17"/>
      <c r="G21" s="14">
        <f>IF(F$98=1,F21,MIN(G19+G20,G17))</f>
        <v>0</v>
      </c>
      <c r="H21" s="15">
        <f>MIN(H19+H20,H17)</f>
        <v>0</v>
      </c>
      <c r="I21" s="16">
        <f t="shared" si="5"/>
        <v>0</v>
      </c>
      <c r="J21" s="17"/>
      <c r="K21" s="14">
        <f>IF(J$98=1,J21,MIN(K19+K20,K17))</f>
        <v>0</v>
      </c>
      <c r="L21" s="15">
        <f>MIN(L19+L20,L17)</f>
        <v>0</v>
      </c>
      <c r="M21" s="16">
        <f t="shared" si="7"/>
        <v>0</v>
      </c>
      <c r="N21" s="17"/>
      <c r="O21" s="14">
        <f>IF(N$98=1,N21,MIN(O19+O20,O17))</f>
        <v>0</v>
      </c>
      <c r="P21" s="15">
        <f>MIN(P19+P20,P17)</f>
        <v>0</v>
      </c>
      <c r="Q21" s="16">
        <f t="shared" si="9"/>
        <v>0</v>
      </c>
      <c r="R21" s="17"/>
      <c r="S21" s="14">
        <f>IF(R$98=1,R21,MIN(S19+S20,S17))</f>
        <v>0</v>
      </c>
      <c r="T21" s="15">
        <f>MIN(T19+T20,T17)</f>
        <v>0</v>
      </c>
      <c r="U21" s="16">
        <f t="shared" si="11"/>
        <v>0</v>
      </c>
      <c r="V21" s="17"/>
      <c r="W21" s="14">
        <f>IF(V$98=1,V21,MIN(W19+W20,W17))</f>
        <v>0</v>
      </c>
      <c r="X21" s="15">
        <f>MIN(X19+X20,X17)</f>
        <v>0</v>
      </c>
      <c r="Y21" s="16">
        <f t="shared" si="13"/>
        <v>0</v>
      </c>
      <c r="Z21" s="17"/>
      <c r="AA21" s="14">
        <f>IF(Z$98=1,Z21,MIN(AA19+AA20,AA17))</f>
        <v>0</v>
      </c>
      <c r="AB21" s="15">
        <f>MIN(AB19+AB20,AB17)</f>
        <v>0</v>
      </c>
      <c r="AC21" s="16">
        <f t="shared" si="15"/>
        <v>0</v>
      </c>
      <c r="AD21" s="17"/>
      <c r="AE21" s="14">
        <f>IF(AD$98=1,AD21,MIN(AE19+AE20,AE17))</f>
        <v>0</v>
      </c>
      <c r="AF21" s="15">
        <f>MIN(AF19+AF20,AF17)</f>
        <v>0</v>
      </c>
      <c r="AG21" s="16">
        <f t="shared" si="17"/>
        <v>0</v>
      </c>
      <c r="AH21" s="17"/>
      <c r="AI21" s="14">
        <f>IF(AH$98=1,AH21,MIN(AI19+AI20,AI17))</f>
        <v>0</v>
      </c>
      <c r="AJ21" s="15">
        <f>MIN(AJ19+AJ20,AJ17)</f>
        <v>0</v>
      </c>
      <c r="AK21" s="16">
        <f t="shared" si="19"/>
        <v>0</v>
      </c>
      <c r="AL21" s="17"/>
      <c r="AM21" s="14">
        <f>IF(AL$98=1,AL21,MIN(AM19+AM20,AM17))</f>
        <v>0</v>
      </c>
      <c r="AN21" s="15">
        <f>MIN(AN19+AN20,AN17)</f>
        <v>0</v>
      </c>
      <c r="AO21" s="16">
        <f t="shared" si="21"/>
        <v>0</v>
      </c>
      <c r="AP21" s="17"/>
      <c r="AQ21" s="14">
        <f>IF(AP$98=1,AP21,MIN(AQ19+AQ20,AQ17))</f>
        <v>0</v>
      </c>
      <c r="AR21" s="15">
        <f>MIN(AR19+AR20,AR17)</f>
        <v>0</v>
      </c>
      <c r="AS21" s="16">
        <f t="shared" si="23"/>
        <v>0</v>
      </c>
      <c r="AT21" s="17"/>
      <c r="AU21" s="14">
        <f>IF(AT$98=1,AT21,MIN(AU19+AU20,AU17))</f>
        <v>0</v>
      </c>
      <c r="AV21" s="15">
        <f>MIN(AV19+AV20,AV17)</f>
        <v>0</v>
      </c>
      <c r="AW21" s="16">
        <f t="shared" si="25"/>
        <v>0</v>
      </c>
      <c r="AX21" s="17"/>
      <c r="AY21" s="14">
        <f>IF(AX$98=1,AX21,MIN(AY19+AY20,AY17))</f>
        <v>0</v>
      </c>
      <c r="AZ21" s="15">
        <f>MIN(AZ19+AZ20,AZ17)</f>
        <v>0</v>
      </c>
      <c r="BA21" s="16">
        <f t="shared" si="27"/>
        <v>0</v>
      </c>
      <c r="BB21" s="17"/>
      <c r="BC21" s="14">
        <f>IF(BB$98=1,BB21,MIN(BC19+BC20,BC17))</f>
        <v>0</v>
      </c>
      <c r="BD21" s="15">
        <f>MIN(BD19+BD20,BD17)</f>
        <v>0</v>
      </c>
      <c r="BE21" s="16">
        <f t="shared" si="29"/>
        <v>0</v>
      </c>
      <c r="BF21" s="17"/>
      <c r="BG21" s="14">
        <f>IF(BF$98=1,BF21,MIN(BG19+BG20,BG17))</f>
        <v>0</v>
      </c>
      <c r="BH21" s="15">
        <f>MIN(BH19+BH20,BH17)</f>
        <v>0</v>
      </c>
      <c r="BI21" s="16">
        <f t="shared" si="31"/>
        <v>0</v>
      </c>
      <c r="BJ21" s="17"/>
      <c r="BK21" s="14">
        <f>IF(BJ$98=1,BJ21,MIN(BK19+BK20,BK17))</f>
        <v>0</v>
      </c>
      <c r="BL21" s="15">
        <f>MIN(BL19+BL20,BL17)</f>
        <v>0</v>
      </c>
      <c r="BM21" s="16">
        <f t="shared" si="33"/>
        <v>0</v>
      </c>
      <c r="BN21" s="17"/>
      <c r="BO21" s="14">
        <f>IF(BN$98=1,BN21,MIN(BO19+BO20,BO17))</f>
        <v>0</v>
      </c>
      <c r="BP21" s="15">
        <f>MIN(BP19+BP20,BP17)</f>
        <v>0</v>
      </c>
      <c r="BQ21" s="16">
        <f t="shared" si="35"/>
        <v>0</v>
      </c>
      <c r="BR21" s="17"/>
      <c r="BS21" s="14">
        <f>IF(BR$98=1,BR21,MIN(BS19+BS20,BS17))</f>
        <v>0</v>
      </c>
      <c r="BT21" s="15">
        <f>MIN(BT19+BT20,BT17)</f>
        <v>0</v>
      </c>
      <c r="BU21" s="16">
        <f t="shared" si="37"/>
        <v>0</v>
      </c>
      <c r="BV21" s="17"/>
      <c r="BW21" s="14">
        <f>IF(BV$98=1,BV21,MIN(BW19+BW20,BW17))</f>
        <v>0</v>
      </c>
      <c r="BX21" s="15">
        <f>MIN(BX19+BX20,BX17)</f>
        <v>0</v>
      </c>
      <c r="BY21" s="16">
        <f t="shared" si="39"/>
        <v>0</v>
      </c>
      <c r="BZ21" s="17"/>
      <c r="CA21" s="14">
        <f>IF(BZ$98=1,BZ21,MIN(CA19+CA20,CA17))</f>
        <v>0</v>
      </c>
      <c r="CB21" s="15">
        <f>MIN(CB19+CB20,CB17)</f>
        <v>0</v>
      </c>
      <c r="CC21" s="16">
        <f t="shared" si="41"/>
        <v>0</v>
      </c>
      <c r="CD21" s="17"/>
      <c r="CE21" s="14">
        <f>IF(CD$98=1,CD21,MIN(CE19+CE20,CE17))</f>
        <v>0</v>
      </c>
      <c r="CF21" s="15">
        <f>MIN(CF19+CF20,CF17)</f>
        <v>0</v>
      </c>
      <c r="CG21" s="16">
        <f t="shared" si="43"/>
        <v>0</v>
      </c>
      <c r="CH21" s="17"/>
      <c r="CI21" s="14">
        <f>IF(CH$98=1,CH21,MIN(CI19+CI20,CI17))</f>
        <v>0</v>
      </c>
      <c r="CJ21" s="15">
        <f>MIN(CJ19+CJ20,CJ17)</f>
        <v>0</v>
      </c>
      <c r="CK21" s="16">
        <f t="shared" si="45"/>
        <v>0</v>
      </c>
      <c r="CL21" s="17"/>
      <c r="CM21" s="14">
        <f>IF(CL$98=1,CL21,MIN(CM19+CM20,CM17))</f>
        <v>0</v>
      </c>
      <c r="CN21" s="15">
        <f>MIN(CN19+CN20,CN17)</f>
        <v>0</v>
      </c>
      <c r="CO21" s="16">
        <f t="shared" si="47"/>
        <v>0</v>
      </c>
      <c r="CP21" s="17"/>
      <c r="CQ21" s="14">
        <f>IF(CP$98=1,CP21,MIN(CQ19+CQ20,CQ17))</f>
        <v>0</v>
      </c>
      <c r="CR21" s="15">
        <f>MIN(CR19+CR20,CR17)</f>
        <v>0</v>
      </c>
      <c r="CS21" s="16">
        <f t="shared" si="49"/>
        <v>0</v>
      </c>
      <c r="CT21" s="17"/>
      <c r="CU21" s="14">
        <f>IF(CT$98=1,CT21,MIN(CU19+CU20,CU17))</f>
        <v>0</v>
      </c>
      <c r="CV21" s="15">
        <f>MIN(CV19+CV20,CV17)</f>
        <v>0</v>
      </c>
      <c r="CW21" s="16">
        <f t="shared" si="51"/>
        <v>0</v>
      </c>
      <c r="CX21" s="17"/>
      <c r="CY21" s="14">
        <f>IF(CX$98=1,CX21,MIN(CY19+CY20,CY17))</f>
        <v>0</v>
      </c>
      <c r="CZ21" s="15">
        <f>MIN(CZ19+CZ20,CZ17)</f>
        <v>0</v>
      </c>
      <c r="DA21" s="16">
        <f t="shared" si="53"/>
        <v>0</v>
      </c>
      <c r="DB21" s="17"/>
      <c r="DC21" s="14">
        <f>IF(DB$98=1,DB21,MIN(DC19+DC20,DC17))</f>
        <v>0</v>
      </c>
      <c r="DD21" s="15">
        <f>MIN(DD19+DD20,DD17)</f>
        <v>0</v>
      </c>
      <c r="DE21" s="16">
        <f t="shared" si="55"/>
        <v>0</v>
      </c>
      <c r="DF21" s="17"/>
      <c r="DG21" s="14">
        <f>IF(DF$98=1,DF21,MIN(DG19+DG20,DG17))</f>
        <v>0</v>
      </c>
      <c r="DH21" s="15">
        <f>MIN(DH19+DH20,DH17)</f>
        <v>0</v>
      </c>
      <c r="DI21" s="16">
        <f t="shared" si="57"/>
        <v>0</v>
      </c>
      <c r="DJ21" s="17"/>
      <c r="DK21" s="14">
        <f>IF(DJ$98=1,DJ21,MIN(DK19+DK20,DK17))</f>
        <v>0</v>
      </c>
      <c r="DL21" s="15">
        <f>MIN(DL19+DL20,DL17)</f>
        <v>0</v>
      </c>
      <c r="DM21" s="16">
        <f t="shared" si="59"/>
        <v>0</v>
      </c>
      <c r="DN21" s="17"/>
      <c r="DO21" s="14">
        <f>IF(DN$98=1,DN21,MIN(DO19+DO20,DO17))</f>
        <v>0</v>
      </c>
      <c r="DP21" s="15">
        <f>MIN(DP19+DP20,DP17)</f>
        <v>0</v>
      </c>
      <c r="DQ21" s="16">
        <f t="shared" si="61"/>
        <v>0</v>
      </c>
      <c r="DR21" s="17"/>
      <c r="DS21" s="14">
        <f>IF(DR$98=1,DR21,MIN(DS19+DS20,DS17))</f>
        <v>0</v>
      </c>
      <c r="DT21" s="15">
        <f>MIN(DT19+DT20,DT17)</f>
        <v>0</v>
      </c>
      <c r="DU21" s="16">
        <f t="shared" si="63"/>
        <v>0</v>
      </c>
      <c r="DV21" s="17"/>
      <c r="DW21" s="14">
        <f>IF(DV$98=1,DV21,MIN(DW19+DW20,DW17))</f>
        <v>0</v>
      </c>
      <c r="DX21" s="15">
        <f>MIN(DX19+DX20,DX17)</f>
        <v>0</v>
      </c>
      <c r="DY21" s="16">
        <f t="shared" si="65"/>
        <v>0</v>
      </c>
      <c r="DZ21" s="17"/>
      <c r="EA21" s="14">
        <f>IF(DZ$98=1,DZ21,MIN(EA19+EA20,EA17))</f>
        <v>0</v>
      </c>
      <c r="EB21" s="15">
        <f>MIN(EB19+EB20,EB17)</f>
        <v>0</v>
      </c>
      <c r="EC21" s="16">
        <f t="shared" si="67"/>
        <v>0</v>
      </c>
      <c r="ED21" s="17"/>
      <c r="EE21" s="14">
        <f>IF(ED$98=1,ED21,MIN(EE19+EE20,EE17))</f>
        <v>0</v>
      </c>
      <c r="EF21" s="15">
        <f>MIN(EF19+EF20,EF17)</f>
        <v>0</v>
      </c>
      <c r="EG21" s="16">
        <f t="shared" si="69"/>
        <v>0</v>
      </c>
      <c r="EH21" s="17"/>
      <c r="EI21" s="14">
        <f>IF(EH$98=1,EH21,MIN(EI19+EI20,EI17))</f>
        <v>0</v>
      </c>
      <c r="EJ21" s="15">
        <f>MIN(EJ19+EJ20,EJ17)</f>
        <v>0</v>
      </c>
      <c r="EK21" s="16">
        <f t="shared" si="71"/>
        <v>0</v>
      </c>
      <c r="EL21" s="17"/>
      <c r="EM21" s="14">
        <f>IF(EL$98=1,EL21,MIN(EM19+EM20,EM17))</f>
        <v>0</v>
      </c>
      <c r="EN21" s="15">
        <f>MIN(EN19+EN20,EN17)</f>
        <v>0</v>
      </c>
      <c r="EO21" s="16">
        <f t="shared" si="73"/>
        <v>0</v>
      </c>
      <c r="EP21" s="17"/>
      <c r="EQ21" s="14">
        <f>IF(EP$98=1,EP21,MIN(EQ19+EQ20,EQ17))</f>
        <v>0</v>
      </c>
      <c r="ER21" s="15">
        <f>MIN(ER19+ER20,ER17)</f>
        <v>0</v>
      </c>
      <c r="ES21" s="16">
        <f t="shared" si="75"/>
        <v>0</v>
      </c>
    </row>
    <row r="22" ht="18.0" customHeight="1">
      <c r="A22" s="2" t="s">
        <v>24</v>
      </c>
      <c r="B22" s="13" t="str">
        <f t="shared" ref="B22:D22" si="235">F22</f>
        <v/>
      </c>
      <c r="C22" s="14">
        <f t="shared" si="235"/>
        <v>0</v>
      </c>
      <c r="D22" s="15">
        <f t="shared" si="235"/>
        <v>0</v>
      </c>
      <c r="E22" s="16">
        <f t="shared" si="3"/>
        <v>0</v>
      </c>
      <c r="F22" s="13" t="str">
        <f>IF(COUNT(F19,F20,F21)=3,MAX(0,F19+F20-F21),"")</f>
        <v/>
      </c>
      <c r="G22" s="14">
        <f t="shared" ref="G22:H22" si="236">MAX(0,G19+G20-G21)</f>
        <v>0</v>
      </c>
      <c r="H22" s="15">
        <f t="shared" si="236"/>
        <v>0</v>
      </c>
      <c r="I22" s="16">
        <f t="shared" si="5"/>
        <v>0</v>
      </c>
      <c r="J22" s="13" t="str">
        <f>IF(COUNT(J19,J20,J21)=3,MAX(0,J19+J20-J21),"")</f>
        <v/>
      </c>
      <c r="K22" s="14">
        <f t="shared" ref="K22:L22" si="237">MAX(0,K19+K20-K21)</f>
        <v>0</v>
      </c>
      <c r="L22" s="15">
        <f t="shared" si="237"/>
        <v>0</v>
      </c>
      <c r="M22" s="16">
        <f t="shared" si="7"/>
        <v>0</v>
      </c>
      <c r="N22" s="13" t="str">
        <f>IF(COUNT(N19,N20,N21)=3,MAX(0,N19+N20-N21),"")</f>
        <v/>
      </c>
      <c r="O22" s="14">
        <f t="shared" ref="O22:P22" si="238">MAX(0,O19+O20-O21)</f>
        <v>0</v>
      </c>
      <c r="P22" s="15">
        <f t="shared" si="238"/>
        <v>0</v>
      </c>
      <c r="Q22" s="16">
        <f t="shared" si="9"/>
        <v>0</v>
      </c>
      <c r="R22" s="13" t="str">
        <f>IF(COUNT(R19,R20,R21)=3,MAX(0,R19+R20-R21),"")</f>
        <v/>
      </c>
      <c r="S22" s="14">
        <f t="shared" ref="S22:T22" si="239">MAX(0,S19+S20-S21)</f>
        <v>0</v>
      </c>
      <c r="T22" s="15">
        <f t="shared" si="239"/>
        <v>0</v>
      </c>
      <c r="U22" s="16">
        <f t="shared" si="11"/>
        <v>0</v>
      </c>
      <c r="V22" s="13" t="str">
        <f>IF(COUNT(V19,V20,V21)=3,MAX(0,V19+V20-V21),"")</f>
        <v/>
      </c>
      <c r="W22" s="14">
        <f t="shared" ref="W22:X22" si="240">MAX(0,W19+W20-W21)</f>
        <v>0</v>
      </c>
      <c r="X22" s="15">
        <f t="shared" si="240"/>
        <v>0</v>
      </c>
      <c r="Y22" s="16">
        <f t="shared" si="13"/>
        <v>0</v>
      </c>
      <c r="Z22" s="13" t="str">
        <f>IF(COUNT(Z19,Z20,Z21)=3,MAX(0,Z19+Z20-Z21),"")</f>
        <v/>
      </c>
      <c r="AA22" s="14">
        <f t="shared" ref="AA22:AB22" si="241">MAX(0,AA19+AA20-AA21)</f>
        <v>0</v>
      </c>
      <c r="AB22" s="15">
        <f t="shared" si="241"/>
        <v>0</v>
      </c>
      <c r="AC22" s="16">
        <f t="shared" si="15"/>
        <v>0</v>
      </c>
      <c r="AD22" s="13" t="str">
        <f>IF(COUNT(AD19,AD20,AD21)=3,MAX(0,AD19+AD20-AD21),"")</f>
        <v/>
      </c>
      <c r="AE22" s="14">
        <f t="shared" ref="AE22:AF22" si="242">MAX(0,AE19+AE20-AE21)</f>
        <v>0</v>
      </c>
      <c r="AF22" s="15">
        <f t="shared" si="242"/>
        <v>0</v>
      </c>
      <c r="AG22" s="16">
        <f t="shared" si="17"/>
        <v>0</v>
      </c>
      <c r="AH22" s="13" t="str">
        <f>IF(COUNT(AH19,AH20,AH21)=3,MAX(0,AH19+AH20-AH21),"")</f>
        <v/>
      </c>
      <c r="AI22" s="14">
        <f t="shared" ref="AI22:AJ22" si="243">MAX(0,AI19+AI20-AI21)</f>
        <v>0</v>
      </c>
      <c r="AJ22" s="15">
        <f t="shared" si="243"/>
        <v>0</v>
      </c>
      <c r="AK22" s="16">
        <f t="shared" si="19"/>
        <v>0</v>
      </c>
      <c r="AL22" s="13" t="str">
        <f>IF(COUNT(AL19,AL20,AL21)=3,MAX(0,AL19+AL20-AL21),"")</f>
        <v/>
      </c>
      <c r="AM22" s="14">
        <f t="shared" ref="AM22:AN22" si="244">MAX(0,AM19+AM20-AM21)</f>
        <v>0</v>
      </c>
      <c r="AN22" s="15">
        <f t="shared" si="244"/>
        <v>0</v>
      </c>
      <c r="AO22" s="16">
        <f t="shared" si="21"/>
        <v>0</v>
      </c>
      <c r="AP22" s="13" t="str">
        <f>IF(COUNT(AP19,AP20,AP21)=3,MAX(0,AP19+AP20-AP21),"")</f>
        <v/>
      </c>
      <c r="AQ22" s="14">
        <f t="shared" ref="AQ22:AR22" si="245">MAX(0,AQ19+AQ20-AQ21)</f>
        <v>0</v>
      </c>
      <c r="AR22" s="15">
        <f t="shared" si="245"/>
        <v>0</v>
      </c>
      <c r="AS22" s="16">
        <f t="shared" si="23"/>
        <v>0</v>
      </c>
      <c r="AT22" s="13" t="str">
        <f>IF(COUNT(AT19,AT20,AT21)=3,MAX(0,AT19+AT20-AT21),"")</f>
        <v/>
      </c>
      <c r="AU22" s="14">
        <f t="shared" ref="AU22:AV22" si="246">MAX(0,AU19+AU20-AU21)</f>
        <v>0</v>
      </c>
      <c r="AV22" s="15">
        <f t="shared" si="246"/>
        <v>0</v>
      </c>
      <c r="AW22" s="16">
        <f t="shared" si="25"/>
        <v>0</v>
      </c>
      <c r="AX22" s="13" t="str">
        <f>IF(COUNT(AX19,AX20,AX21)=3,MAX(0,AX19+AX20-AX21),"")</f>
        <v/>
      </c>
      <c r="AY22" s="14">
        <f t="shared" ref="AY22:AZ22" si="247">MAX(0,AY19+AY20-AY21)</f>
        <v>0</v>
      </c>
      <c r="AZ22" s="15">
        <f t="shared" si="247"/>
        <v>0</v>
      </c>
      <c r="BA22" s="16">
        <f t="shared" si="27"/>
        <v>0</v>
      </c>
      <c r="BB22" s="13" t="str">
        <f>IF(COUNT(BB19,BB20,BB21)=3,MAX(0,BB19+BB20-BB21),"")</f>
        <v/>
      </c>
      <c r="BC22" s="14">
        <f t="shared" ref="BC22:BD22" si="248">MAX(0,BC19+BC20-BC21)</f>
        <v>0</v>
      </c>
      <c r="BD22" s="15">
        <f t="shared" si="248"/>
        <v>0</v>
      </c>
      <c r="BE22" s="16">
        <f t="shared" si="29"/>
        <v>0</v>
      </c>
      <c r="BF22" s="13" t="str">
        <f>IF(COUNT(BF19,BF20,BF21)=3,MAX(0,BF19+BF20-BF21),"")</f>
        <v/>
      </c>
      <c r="BG22" s="14">
        <f t="shared" ref="BG22:BH22" si="249">MAX(0,BG19+BG20-BG21)</f>
        <v>0</v>
      </c>
      <c r="BH22" s="15">
        <f t="shared" si="249"/>
        <v>0</v>
      </c>
      <c r="BI22" s="16">
        <f t="shared" si="31"/>
        <v>0</v>
      </c>
      <c r="BJ22" s="13" t="str">
        <f>IF(COUNT(BJ19,BJ20,BJ21)=3,MAX(0,BJ19+BJ20-BJ21),"")</f>
        <v/>
      </c>
      <c r="BK22" s="14">
        <f t="shared" ref="BK22:BL22" si="250">MAX(0,BK19+BK20-BK21)</f>
        <v>0</v>
      </c>
      <c r="BL22" s="15">
        <f t="shared" si="250"/>
        <v>0</v>
      </c>
      <c r="BM22" s="16">
        <f t="shared" si="33"/>
        <v>0</v>
      </c>
      <c r="BN22" s="13" t="str">
        <f>IF(COUNT(BN19,BN20,BN21)=3,MAX(0,BN19+BN20-BN21),"")</f>
        <v/>
      </c>
      <c r="BO22" s="14">
        <f t="shared" ref="BO22:BP22" si="251">MAX(0,BO19+BO20-BO21)</f>
        <v>0</v>
      </c>
      <c r="BP22" s="15">
        <f t="shared" si="251"/>
        <v>0</v>
      </c>
      <c r="BQ22" s="16">
        <f t="shared" si="35"/>
        <v>0</v>
      </c>
      <c r="BR22" s="13" t="str">
        <f>IF(COUNT(BR19,BR20,BR21)=3,MAX(0,BR19+BR20-BR21),"")</f>
        <v/>
      </c>
      <c r="BS22" s="14">
        <f t="shared" ref="BS22:BT22" si="252">MAX(0,BS19+BS20-BS21)</f>
        <v>0</v>
      </c>
      <c r="BT22" s="15">
        <f t="shared" si="252"/>
        <v>0</v>
      </c>
      <c r="BU22" s="16">
        <f t="shared" si="37"/>
        <v>0</v>
      </c>
      <c r="BV22" s="13" t="str">
        <f>IF(COUNT(BV19,BV20,BV21)=3,MAX(0,BV19+BV20-BV21),"")</f>
        <v/>
      </c>
      <c r="BW22" s="14">
        <f t="shared" ref="BW22:BX22" si="253">MAX(0,BW19+BW20-BW21)</f>
        <v>0</v>
      </c>
      <c r="BX22" s="15">
        <f t="shared" si="253"/>
        <v>0</v>
      </c>
      <c r="BY22" s="16">
        <f t="shared" si="39"/>
        <v>0</v>
      </c>
      <c r="BZ22" s="13" t="str">
        <f>IF(COUNT(BZ19,BZ20,BZ21)=3,MAX(0,BZ19+BZ20-BZ21),"")</f>
        <v/>
      </c>
      <c r="CA22" s="14">
        <f t="shared" ref="CA22:CB22" si="254">MAX(0,CA19+CA20-CA21)</f>
        <v>0</v>
      </c>
      <c r="CB22" s="15">
        <f t="shared" si="254"/>
        <v>0</v>
      </c>
      <c r="CC22" s="16">
        <f t="shared" si="41"/>
        <v>0</v>
      </c>
      <c r="CD22" s="13" t="str">
        <f>IF(COUNT(CD19,CD20,CD21)=3,MAX(0,CD19+CD20-CD21),"")</f>
        <v/>
      </c>
      <c r="CE22" s="14">
        <f t="shared" ref="CE22:CF22" si="255">MAX(0,CE19+CE20-CE21)</f>
        <v>0</v>
      </c>
      <c r="CF22" s="15">
        <f t="shared" si="255"/>
        <v>0</v>
      </c>
      <c r="CG22" s="16">
        <f t="shared" si="43"/>
        <v>0</v>
      </c>
      <c r="CH22" s="13" t="str">
        <f>IF(COUNT(CH19,CH20,CH21)=3,MAX(0,CH19+CH20-CH21),"")</f>
        <v/>
      </c>
      <c r="CI22" s="14">
        <f t="shared" ref="CI22:CJ22" si="256">MAX(0,CI19+CI20-CI21)</f>
        <v>0</v>
      </c>
      <c r="CJ22" s="15">
        <f t="shared" si="256"/>
        <v>0</v>
      </c>
      <c r="CK22" s="16">
        <f t="shared" si="45"/>
        <v>0</v>
      </c>
      <c r="CL22" s="13" t="str">
        <f>IF(COUNT(CL19,CL20,CL21)=3,MAX(0,CL19+CL20-CL21),"")</f>
        <v/>
      </c>
      <c r="CM22" s="14">
        <f t="shared" ref="CM22:CN22" si="257">MAX(0,CM19+CM20-CM21)</f>
        <v>0</v>
      </c>
      <c r="CN22" s="15">
        <f t="shared" si="257"/>
        <v>0</v>
      </c>
      <c r="CO22" s="16">
        <f t="shared" si="47"/>
        <v>0</v>
      </c>
      <c r="CP22" s="13" t="str">
        <f>IF(COUNT(CP19,CP20,CP21)=3,MAX(0,CP19+CP20-CP21),"")</f>
        <v/>
      </c>
      <c r="CQ22" s="14">
        <f t="shared" ref="CQ22:CR22" si="258">MAX(0,CQ19+CQ20-CQ21)</f>
        <v>0</v>
      </c>
      <c r="CR22" s="15">
        <f t="shared" si="258"/>
        <v>0</v>
      </c>
      <c r="CS22" s="16">
        <f t="shared" si="49"/>
        <v>0</v>
      </c>
      <c r="CT22" s="13" t="str">
        <f>IF(COUNT(CT19,CT20,CT21)=3,MAX(0,CT19+CT20-CT21),"")</f>
        <v/>
      </c>
      <c r="CU22" s="14">
        <f t="shared" ref="CU22:CV22" si="259">MAX(0,CU19+CU20-CU21)</f>
        <v>0</v>
      </c>
      <c r="CV22" s="15">
        <f t="shared" si="259"/>
        <v>0</v>
      </c>
      <c r="CW22" s="16">
        <f t="shared" si="51"/>
        <v>0</v>
      </c>
      <c r="CX22" s="13" t="str">
        <f>IF(COUNT(CX19,CX20,CX21)=3,MAX(0,CX19+CX20-CX21),"")</f>
        <v/>
      </c>
      <c r="CY22" s="14">
        <f t="shared" ref="CY22:CZ22" si="260">MAX(0,CY19+CY20-CY21)</f>
        <v>0</v>
      </c>
      <c r="CZ22" s="15">
        <f t="shared" si="260"/>
        <v>0</v>
      </c>
      <c r="DA22" s="16">
        <f t="shared" si="53"/>
        <v>0</v>
      </c>
      <c r="DB22" s="13" t="str">
        <f>IF(COUNT(DB19,DB20,DB21)=3,MAX(0,DB19+DB20-DB21),"")</f>
        <v/>
      </c>
      <c r="DC22" s="14">
        <f t="shared" ref="DC22:DD22" si="261">MAX(0,DC19+DC20-DC21)</f>
        <v>0</v>
      </c>
      <c r="DD22" s="15">
        <f t="shared" si="261"/>
        <v>0</v>
      </c>
      <c r="DE22" s="16">
        <f t="shared" si="55"/>
        <v>0</v>
      </c>
      <c r="DF22" s="13" t="str">
        <f>IF(COUNT(DF19,DF20,DF21)=3,MAX(0,DF19+DF20-DF21),"")</f>
        <v/>
      </c>
      <c r="DG22" s="14">
        <f t="shared" ref="DG22:DH22" si="262">MAX(0,DG19+DG20-DG21)</f>
        <v>0</v>
      </c>
      <c r="DH22" s="15">
        <f t="shared" si="262"/>
        <v>0</v>
      </c>
      <c r="DI22" s="16">
        <f t="shared" si="57"/>
        <v>0</v>
      </c>
      <c r="DJ22" s="13" t="str">
        <f>IF(COUNT(DJ19,DJ20,DJ21)=3,MAX(0,DJ19+DJ20-DJ21),"")</f>
        <v/>
      </c>
      <c r="DK22" s="14">
        <f t="shared" ref="DK22:DL22" si="263">MAX(0,DK19+DK20-DK21)</f>
        <v>0</v>
      </c>
      <c r="DL22" s="15">
        <f t="shared" si="263"/>
        <v>0</v>
      </c>
      <c r="DM22" s="16">
        <f t="shared" si="59"/>
        <v>0</v>
      </c>
      <c r="DN22" s="13" t="str">
        <f>IF(COUNT(DN19,DN20,DN21)=3,MAX(0,DN19+DN20-DN21),"")</f>
        <v/>
      </c>
      <c r="DO22" s="14">
        <f t="shared" ref="DO22:DP22" si="264">MAX(0,DO19+DO20-DO21)</f>
        <v>0</v>
      </c>
      <c r="DP22" s="15">
        <f t="shared" si="264"/>
        <v>0</v>
      </c>
      <c r="DQ22" s="16">
        <f t="shared" si="61"/>
        <v>0</v>
      </c>
      <c r="DR22" s="13" t="str">
        <f>IF(COUNT(DR19,DR20,DR21)=3,MAX(0,DR19+DR20-DR21),"")</f>
        <v/>
      </c>
      <c r="DS22" s="14">
        <f t="shared" ref="DS22:DT22" si="265">MAX(0,DS19+DS20-DS21)</f>
        <v>0</v>
      </c>
      <c r="DT22" s="15">
        <f t="shared" si="265"/>
        <v>0</v>
      </c>
      <c r="DU22" s="16">
        <f t="shared" si="63"/>
        <v>0</v>
      </c>
      <c r="DV22" s="13" t="str">
        <f>IF(COUNT(DV19,DV20,DV21)=3,MAX(0,DV19+DV20-DV21),"")</f>
        <v/>
      </c>
      <c r="DW22" s="14">
        <f t="shared" ref="DW22:DX22" si="266">MAX(0,DW19+DW20-DW21)</f>
        <v>0</v>
      </c>
      <c r="DX22" s="15">
        <f t="shared" si="266"/>
        <v>0</v>
      </c>
      <c r="DY22" s="16">
        <f t="shared" si="65"/>
        <v>0</v>
      </c>
      <c r="DZ22" s="13" t="str">
        <f>IF(COUNT(DZ19,DZ20,DZ21)=3,MAX(0,DZ19+DZ20-DZ21),"")</f>
        <v/>
      </c>
      <c r="EA22" s="14">
        <f t="shared" ref="EA22:EB22" si="267">MAX(0,EA19+EA20-EA21)</f>
        <v>0</v>
      </c>
      <c r="EB22" s="15">
        <f t="shared" si="267"/>
        <v>0</v>
      </c>
      <c r="EC22" s="16">
        <f t="shared" si="67"/>
        <v>0</v>
      </c>
      <c r="ED22" s="13" t="str">
        <f>IF(COUNT(ED19,ED20,ED21)=3,MAX(0,ED19+ED20-ED21),"")</f>
        <v/>
      </c>
      <c r="EE22" s="14">
        <f t="shared" ref="EE22:EF22" si="268">MAX(0,EE19+EE20-EE21)</f>
        <v>0</v>
      </c>
      <c r="EF22" s="15">
        <f t="shared" si="268"/>
        <v>0</v>
      </c>
      <c r="EG22" s="16">
        <f t="shared" si="69"/>
        <v>0</v>
      </c>
      <c r="EH22" s="13" t="str">
        <f>IF(COUNT(EH19,EH20,EH21)=3,MAX(0,EH19+EH20-EH21),"")</f>
        <v/>
      </c>
      <c r="EI22" s="14">
        <f t="shared" ref="EI22:EJ22" si="269">MAX(0,EI19+EI20-EI21)</f>
        <v>0</v>
      </c>
      <c r="EJ22" s="15">
        <f t="shared" si="269"/>
        <v>0</v>
      </c>
      <c r="EK22" s="16">
        <f t="shared" si="71"/>
        <v>0</v>
      </c>
      <c r="EL22" s="13" t="str">
        <f>IF(COUNT(EL19,EL20,EL21)=3,MAX(0,EL19+EL20-EL21),"")</f>
        <v/>
      </c>
      <c r="EM22" s="14">
        <f t="shared" ref="EM22:EN22" si="270">MAX(0,EM19+EM20-EM21)</f>
        <v>0</v>
      </c>
      <c r="EN22" s="15">
        <f t="shared" si="270"/>
        <v>0</v>
      </c>
      <c r="EO22" s="16">
        <f t="shared" si="73"/>
        <v>0</v>
      </c>
      <c r="EP22" s="13" t="str">
        <f>IF(COUNT(EP19,EP20,EP21)=3,MAX(0,EP19+EP20-EP21),"")</f>
        <v/>
      </c>
      <c r="EQ22" s="14">
        <f t="shared" ref="EQ22:ER22" si="271">MAX(0,EQ19+EQ20-EQ21)</f>
        <v>0</v>
      </c>
      <c r="ER22" s="15">
        <f t="shared" si="271"/>
        <v>0</v>
      </c>
      <c r="ES22" s="16">
        <f t="shared" si="75"/>
        <v>0</v>
      </c>
    </row>
    <row r="23" ht="18.0" customHeight="1">
      <c r="A23" s="2" t="s">
        <v>25</v>
      </c>
      <c r="B23" s="24" t="str">
        <f t="shared" ref="B23:D23" si="272">IFERROR(SUM(EP23*EP26,EL23*EL26,EH23*EH26,ED23*ED26,DZ23*DZ26,DV23*DV26,DR23*DR26,DN23*DN26,DJ23*DJ26,DF23*DF26,DB23*DB26,CX23*CX26,CT23*CT26,CP23*CP26,CL23*CL26,CH23*CH26,CD23*CD26,BZ23*BZ26,BV23*BV26,BR23*BR26,BN23*BN26,BJ23*BJ26,BF23*BF26,BB23*BB26,AX23*AX26,AT23*AT26,AP23*AP26,AL23*AL26,AH23*AH26,AD23*AD26,Z23*Z26,V23*V26,R23*R26,N23*N26,J23*J26,F23*F26)/SUM(EP26,EL26,EH26,ED26,DZ26,DV26,DR26,DN26,DJ26,DF26,DB26,CX26,CT26,CP26,CL26,CH26,CD26,BZ26,BV26,BR26,BN26,BJ26,BF26,BB26,AX26,AT26,AP26,AL26,AH26,AD26,Z26,V26,R26,N26,J26,F26),"")</f>
        <v/>
      </c>
      <c r="C23" s="25" t="str">
        <f t="shared" si="272"/>
        <v/>
      </c>
      <c r="D23" s="26" t="str">
        <f t="shared" si="272"/>
        <v/>
      </c>
      <c r="E23" s="27" t="str">
        <f t="shared" si="3"/>
        <v/>
      </c>
      <c r="F23" s="28"/>
      <c r="G23" s="25" t="str">
        <f>IF(F$98=1,F23,H23)</f>
        <v/>
      </c>
      <c r="H23" s="29"/>
      <c r="I23" s="27" t="str">
        <f t="shared" si="5"/>
        <v/>
      </c>
      <c r="J23" s="28"/>
      <c r="K23" s="25" t="str">
        <f>IF(J$98=1,J23,L23)</f>
        <v/>
      </c>
      <c r="L23" s="29"/>
      <c r="M23" s="27" t="str">
        <f t="shared" si="7"/>
        <v/>
      </c>
      <c r="N23" s="28"/>
      <c r="O23" s="25" t="str">
        <f>IF(N$98=1,N23,P23)</f>
        <v/>
      </c>
      <c r="P23" s="29"/>
      <c r="Q23" s="27" t="str">
        <f t="shared" si="9"/>
        <v/>
      </c>
      <c r="R23" s="28"/>
      <c r="S23" s="25" t="str">
        <f>IF(R$98=1,R23,T23)</f>
        <v/>
      </c>
      <c r="T23" s="29"/>
      <c r="U23" s="27" t="str">
        <f t="shared" si="11"/>
        <v/>
      </c>
      <c r="V23" s="28"/>
      <c r="W23" s="25" t="str">
        <f>IF(V$98=1,V23,X23)</f>
        <v/>
      </c>
      <c r="X23" s="29"/>
      <c r="Y23" s="27" t="str">
        <f t="shared" si="13"/>
        <v/>
      </c>
      <c r="Z23" s="28"/>
      <c r="AA23" s="25" t="str">
        <f>IF(Z$98=1,Z23,AB23)</f>
        <v/>
      </c>
      <c r="AB23" s="29"/>
      <c r="AC23" s="27" t="str">
        <f t="shared" si="15"/>
        <v/>
      </c>
      <c r="AD23" s="28"/>
      <c r="AE23" s="25" t="str">
        <f>IF(AD$98=1,AD23,AF23)</f>
        <v/>
      </c>
      <c r="AF23" s="29"/>
      <c r="AG23" s="27" t="str">
        <f t="shared" si="17"/>
        <v/>
      </c>
      <c r="AH23" s="28"/>
      <c r="AI23" s="25" t="str">
        <f>IF(AH$98=1,AH23,AJ23)</f>
        <v/>
      </c>
      <c r="AJ23" s="29"/>
      <c r="AK23" s="27" t="str">
        <f t="shared" si="19"/>
        <v/>
      </c>
      <c r="AL23" s="28"/>
      <c r="AM23" s="25" t="str">
        <f>IF(AL$98=1,AL23,AN23)</f>
        <v/>
      </c>
      <c r="AN23" s="29"/>
      <c r="AO23" s="27" t="str">
        <f t="shared" si="21"/>
        <v/>
      </c>
      <c r="AP23" s="28"/>
      <c r="AQ23" s="25" t="str">
        <f>IF(AP$98=1,AP23,AR23)</f>
        <v/>
      </c>
      <c r="AR23" s="29"/>
      <c r="AS23" s="27" t="str">
        <f t="shared" si="23"/>
        <v/>
      </c>
      <c r="AT23" s="28"/>
      <c r="AU23" s="25" t="str">
        <f>IF(AT$98=1,AT23,AV23)</f>
        <v/>
      </c>
      <c r="AV23" s="29"/>
      <c r="AW23" s="27" t="str">
        <f t="shared" si="25"/>
        <v/>
      </c>
      <c r="AX23" s="28"/>
      <c r="AY23" s="25" t="str">
        <f>IF(AX$98=1,AX23,AZ23)</f>
        <v/>
      </c>
      <c r="AZ23" s="29"/>
      <c r="BA23" s="27" t="str">
        <f t="shared" si="27"/>
        <v/>
      </c>
      <c r="BB23" s="28"/>
      <c r="BC23" s="25" t="str">
        <f>IF(BB$98=1,BB23,BD23)</f>
        <v/>
      </c>
      <c r="BD23" s="29"/>
      <c r="BE23" s="27" t="str">
        <f t="shared" si="29"/>
        <v/>
      </c>
      <c r="BF23" s="28"/>
      <c r="BG23" s="25" t="str">
        <f>IF(BF$98=1,BF23,BH23)</f>
        <v/>
      </c>
      <c r="BH23" s="29"/>
      <c r="BI23" s="27" t="str">
        <f t="shared" si="31"/>
        <v/>
      </c>
      <c r="BJ23" s="28"/>
      <c r="BK23" s="25" t="str">
        <f>IF(BJ$98=1,BJ23,BL23)</f>
        <v/>
      </c>
      <c r="BL23" s="29"/>
      <c r="BM23" s="27" t="str">
        <f t="shared" si="33"/>
        <v/>
      </c>
      <c r="BN23" s="28"/>
      <c r="BO23" s="25" t="str">
        <f>IF(BN$98=1,BN23,BP23)</f>
        <v/>
      </c>
      <c r="BP23" s="29"/>
      <c r="BQ23" s="27" t="str">
        <f t="shared" si="35"/>
        <v/>
      </c>
      <c r="BR23" s="28"/>
      <c r="BS23" s="25" t="str">
        <f>IF(BR$98=1,BR23,BT23)</f>
        <v/>
      </c>
      <c r="BT23" s="29"/>
      <c r="BU23" s="27" t="str">
        <f t="shared" si="37"/>
        <v/>
      </c>
      <c r="BV23" s="28"/>
      <c r="BW23" s="25" t="str">
        <f>IF(BV$98=1,BV23,BX23)</f>
        <v/>
      </c>
      <c r="BX23" s="29"/>
      <c r="BY23" s="27" t="str">
        <f t="shared" si="39"/>
        <v/>
      </c>
      <c r="BZ23" s="28"/>
      <c r="CA23" s="25" t="str">
        <f>IF(BZ$98=1,BZ23,CB23)</f>
        <v/>
      </c>
      <c r="CB23" s="29"/>
      <c r="CC23" s="27" t="str">
        <f t="shared" si="41"/>
        <v/>
      </c>
      <c r="CD23" s="28"/>
      <c r="CE23" s="25" t="str">
        <f>IF(CD$98=1,CD23,CF23)</f>
        <v/>
      </c>
      <c r="CF23" s="29"/>
      <c r="CG23" s="27" t="str">
        <f t="shared" si="43"/>
        <v/>
      </c>
      <c r="CH23" s="28"/>
      <c r="CI23" s="25" t="str">
        <f>IF(CH$98=1,CH23,CJ23)</f>
        <v/>
      </c>
      <c r="CJ23" s="29"/>
      <c r="CK23" s="27" t="str">
        <f t="shared" si="45"/>
        <v/>
      </c>
      <c r="CL23" s="28"/>
      <c r="CM23" s="25" t="str">
        <f>IF(CL$98=1,CL23,CN23)</f>
        <v/>
      </c>
      <c r="CN23" s="29"/>
      <c r="CO23" s="27" t="str">
        <f t="shared" si="47"/>
        <v/>
      </c>
      <c r="CP23" s="28"/>
      <c r="CQ23" s="25" t="str">
        <f>IF(CP$98=1,CP23,CR23)</f>
        <v/>
      </c>
      <c r="CR23" s="29"/>
      <c r="CS23" s="27" t="str">
        <f t="shared" si="49"/>
        <v/>
      </c>
      <c r="CT23" s="28"/>
      <c r="CU23" s="25" t="str">
        <f>IF(CT$98=1,CT23,CV23)</f>
        <v/>
      </c>
      <c r="CV23" s="29"/>
      <c r="CW23" s="27" t="str">
        <f t="shared" si="51"/>
        <v/>
      </c>
      <c r="CX23" s="28"/>
      <c r="CY23" s="25" t="str">
        <f>IF(CX$98=1,CX23,CZ23)</f>
        <v/>
      </c>
      <c r="CZ23" s="29"/>
      <c r="DA23" s="27" t="str">
        <f t="shared" si="53"/>
        <v/>
      </c>
      <c r="DB23" s="28"/>
      <c r="DC23" s="25" t="str">
        <f>IF(DB$98=1,DB23,DD23)</f>
        <v/>
      </c>
      <c r="DD23" s="29"/>
      <c r="DE23" s="27" t="str">
        <f t="shared" si="55"/>
        <v/>
      </c>
      <c r="DF23" s="28"/>
      <c r="DG23" s="25" t="str">
        <f>IF(DF$98=1,DF23,DH23)</f>
        <v/>
      </c>
      <c r="DH23" s="29"/>
      <c r="DI23" s="27" t="str">
        <f t="shared" si="57"/>
        <v/>
      </c>
      <c r="DJ23" s="28"/>
      <c r="DK23" s="25" t="str">
        <f>IF(DJ$98=1,DJ23,DL23)</f>
        <v/>
      </c>
      <c r="DL23" s="29"/>
      <c r="DM23" s="27" t="str">
        <f t="shared" si="59"/>
        <v/>
      </c>
      <c r="DN23" s="28"/>
      <c r="DO23" s="25" t="str">
        <f>IF(DN$98=1,DN23,DP23)</f>
        <v/>
      </c>
      <c r="DP23" s="29"/>
      <c r="DQ23" s="27" t="str">
        <f t="shared" si="61"/>
        <v/>
      </c>
      <c r="DR23" s="28"/>
      <c r="DS23" s="25" t="str">
        <f>IF(DR$98=1,DR23,DT23)</f>
        <v/>
      </c>
      <c r="DT23" s="29"/>
      <c r="DU23" s="27" t="str">
        <f t="shared" si="63"/>
        <v/>
      </c>
      <c r="DV23" s="28"/>
      <c r="DW23" s="25" t="str">
        <f>IF(DV$98=1,DV23,DX23)</f>
        <v/>
      </c>
      <c r="DX23" s="29"/>
      <c r="DY23" s="27" t="str">
        <f t="shared" si="65"/>
        <v/>
      </c>
      <c r="DZ23" s="28"/>
      <c r="EA23" s="25" t="str">
        <f>IF(DZ$98=1,DZ23,EB23)</f>
        <v/>
      </c>
      <c r="EB23" s="29"/>
      <c r="EC23" s="27" t="str">
        <f t="shared" si="67"/>
        <v/>
      </c>
      <c r="ED23" s="28"/>
      <c r="EE23" s="25" t="str">
        <f>IF(ED$98=1,ED23,EF23)</f>
        <v/>
      </c>
      <c r="EF23" s="29"/>
      <c r="EG23" s="27" t="str">
        <f t="shared" si="69"/>
        <v/>
      </c>
      <c r="EH23" s="28"/>
      <c r="EI23" s="25" t="str">
        <f>IF(EH$98=1,EH23,EJ23)</f>
        <v/>
      </c>
      <c r="EJ23" s="29"/>
      <c r="EK23" s="27" t="str">
        <f t="shared" si="71"/>
        <v/>
      </c>
      <c r="EL23" s="28"/>
      <c r="EM23" s="25" t="str">
        <f>IF(EL$98=1,EL23,EN23)</f>
        <v/>
      </c>
      <c r="EN23" s="29"/>
      <c r="EO23" s="27" t="str">
        <f t="shared" si="73"/>
        <v/>
      </c>
      <c r="EP23" s="28"/>
      <c r="EQ23" s="25" t="str">
        <f>IF(EP$98=1,EP23,ER23)</f>
        <v/>
      </c>
      <c r="ER23" s="29"/>
      <c r="ES23" s="27" t="str">
        <f t="shared" si="75"/>
        <v/>
      </c>
    </row>
    <row r="24" ht="18.0" customHeight="1">
      <c r="A24" s="36" t="s">
        <v>26</v>
      </c>
      <c r="B24" s="37">
        <f t="shared" ref="B24:D24" si="273">SUM(B8,B11,B14,B23)</f>
        <v>0</v>
      </c>
      <c r="C24" s="37">
        <f t="shared" si="273"/>
        <v>0</v>
      </c>
      <c r="D24" s="37">
        <f t="shared" si="273"/>
        <v>0</v>
      </c>
      <c r="E24" s="37">
        <f t="shared" si="3"/>
        <v>0</v>
      </c>
      <c r="F24" s="37" t="str">
        <f>IF(COUNT(F8,F11,F14,F23)=0,"",SUM(F8,F11,F14,F23))</f>
        <v/>
      </c>
      <c r="G24" s="37">
        <f t="shared" ref="G24:H24" si="274">SUM(G8,G11,G14,G23)</f>
        <v>0</v>
      </c>
      <c r="H24" s="37">
        <f t="shared" si="274"/>
        <v>0</v>
      </c>
      <c r="I24" s="37">
        <f t="shared" si="5"/>
        <v>0</v>
      </c>
      <c r="J24" s="37" t="str">
        <f>IF(COUNT(J8,J11,J14,J23)=0,"",SUM(J8,J11,J14,J23))</f>
        <v/>
      </c>
      <c r="K24" s="37">
        <f t="shared" ref="K24:L24" si="275">SUM(K8,K11,K14,K23)</f>
        <v>0</v>
      </c>
      <c r="L24" s="37">
        <f t="shared" si="275"/>
        <v>0</v>
      </c>
      <c r="M24" s="37">
        <f t="shared" si="7"/>
        <v>0</v>
      </c>
      <c r="N24" s="37" t="str">
        <f>IF(COUNT(N8,N11,N14,N23)=0,"",SUM(N8,N11,N14,N23))</f>
        <v/>
      </c>
      <c r="O24" s="37">
        <f t="shared" ref="O24:P24" si="276">SUM(O8,O11,O14,O23)</f>
        <v>0</v>
      </c>
      <c r="P24" s="37">
        <f t="shared" si="276"/>
        <v>0</v>
      </c>
      <c r="Q24" s="37">
        <f t="shared" si="9"/>
        <v>0</v>
      </c>
      <c r="R24" s="37" t="str">
        <f>IF(COUNT(R8,R11,R14,R23)=0,"",SUM(R8,R11,R14,R23))</f>
        <v/>
      </c>
      <c r="S24" s="37">
        <f t="shared" ref="S24:T24" si="277">SUM(S8,S11,S14,S23)</f>
        <v>0</v>
      </c>
      <c r="T24" s="37">
        <f t="shared" si="277"/>
        <v>0</v>
      </c>
      <c r="U24" s="37">
        <f t="shared" si="11"/>
        <v>0</v>
      </c>
      <c r="V24" s="37" t="str">
        <f>IF(COUNT(V8,V11,V14,V23)=0,"",SUM(V8,V11,V14,V23))</f>
        <v/>
      </c>
      <c r="W24" s="37">
        <f t="shared" ref="W24:X24" si="278">SUM(W8,W11,W14,W23)</f>
        <v>0</v>
      </c>
      <c r="X24" s="37">
        <f t="shared" si="278"/>
        <v>0</v>
      </c>
      <c r="Y24" s="37">
        <f t="shared" si="13"/>
        <v>0</v>
      </c>
      <c r="Z24" s="37" t="str">
        <f>IF(COUNT(Z8,Z11,Z14,Z23)=0,"",SUM(Z8,Z11,Z14,Z23))</f>
        <v/>
      </c>
      <c r="AA24" s="37">
        <f t="shared" ref="AA24:AB24" si="279">SUM(AA8,AA11,AA14,AA23)</f>
        <v>0</v>
      </c>
      <c r="AB24" s="37">
        <f t="shared" si="279"/>
        <v>0</v>
      </c>
      <c r="AC24" s="37">
        <f t="shared" si="15"/>
        <v>0</v>
      </c>
      <c r="AD24" s="37" t="str">
        <f>IF(COUNT(AD8,AD11,AD14,AD23)=0,"",SUM(AD8,AD11,AD14,AD23))</f>
        <v/>
      </c>
      <c r="AE24" s="37">
        <f t="shared" ref="AE24:AF24" si="280">SUM(AE8,AE11,AE14,AE23)</f>
        <v>0</v>
      </c>
      <c r="AF24" s="37">
        <f t="shared" si="280"/>
        <v>0</v>
      </c>
      <c r="AG24" s="37">
        <f t="shared" si="17"/>
        <v>0</v>
      </c>
      <c r="AH24" s="37" t="str">
        <f>IF(COUNT(AH8,AH11,AH14,AH23)=0,"",SUM(AH8,AH11,AH14,AH23))</f>
        <v/>
      </c>
      <c r="AI24" s="37">
        <f t="shared" ref="AI24:AJ24" si="281">SUM(AI8,AI11,AI14,AI23)</f>
        <v>0</v>
      </c>
      <c r="AJ24" s="37">
        <f t="shared" si="281"/>
        <v>0</v>
      </c>
      <c r="AK24" s="37">
        <f t="shared" si="19"/>
        <v>0</v>
      </c>
      <c r="AL24" s="37" t="str">
        <f>IF(COUNT(AL8,AL11,AL14,AL23)=0,"",SUM(AL8,AL11,AL14,AL23))</f>
        <v/>
      </c>
      <c r="AM24" s="37">
        <f t="shared" ref="AM24:AN24" si="282">SUM(AM8,AM11,AM14,AM23)</f>
        <v>0</v>
      </c>
      <c r="AN24" s="37">
        <f t="shared" si="282"/>
        <v>0</v>
      </c>
      <c r="AO24" s="37">
        <f t="shared" si="21"/>
        <v>0</v>
      </c>
      <c r="AP24" s="37" t="str">
        <f>IF(COUNT(AP8,AP11,AP14,AP23)=0,"",SUM(AP8,AP11,AP14,AP23))</f>
        <v/>
      </c>
      <c r="AQ24" s="37">
        <f t="shared" ref="AQ24:AR24" si="283">SUM(AQ8,AQ11,AQ14,AQ23)</f>
        <v>0</v>
      </c>
      <c r="AR24" s="37">
        <f t="shared" si="283"/>
        <v>0</v>
      </c>
      <c r="AS24" s="37">
        <f t="shared" si="23"/>
        <v>0</v>
      </c>
      <c r="AT24" s="37" t="str">
        <f>IF(COUNT(AT8,AT11,AT14,AT23)=0,"",SUM(AT8,AT11,AT14,AT23))</f>
        <v/>
      </c>
      <c r="AU24" s="37">
        <f t="shared" ref="AU24:AV24" si="284">SUM(AU8,AU11,AU14,AU23)</f>
        <v>0</v>
      </c>
      <c r="AV24" s="37">
        <f t="shared" si="284"/>
        <v>0</v>
      </c>
      <c r="AW24" s="37">
        <f t="shared" si="25"/>
        <v>0</v>
      </c>
      <c r="AX24" s="37" t="str">
        <f>IF(COUNT(AX8,AX11,AX14,AX23)=0,"",SUM(AX8,AX11,AX14,AX23))</f>
        <v/>
      </c>
      <c r="AY24" s="37">
        <f t="shared" ref="AY24:AZ24" si="285">SUM(AY8,AY11,AY14,AY23)</f>
        <v>0</v>
      </c>
      <c r="AZ24" s="37">
        <f t="shared" si="285"/>
        <v>0</v>
      </c>
      <c r="BA24" s="37">
        <f t="shared" si="27"/>
        <v>0</v>
      </c>
      <c r="BB24" s="37" t="str">
        <f>IF(COUNT(BB8,BB11,BB14,BB23)=0,"",SUM(BB8,BB11,BB14,BB23))</f>
        <v/>
      </c>
      <c r="BC24" s="37">
        <f t="shared" ref="BC24:BD24" si="286">SUM(BC8,BC11,BC14,BC23)</f>
        <v>0</v>
      </c>
      <c r="BD24" s="37">
        <f t="shared" si="286"/>
        <v>0</v>
      </c>
      <c r="BE24" s="37">
        <f t="shared" si="29"/>
        <v>0</v>
      </c>
      <c r="BF24" s="37" t="str">
        <f>IF(COUNT(BF8,BF11,BF14,BF23)=0,"",SUM(BF8,BF11,BF14,BF23))</f>
        <v/>
      </c>
      <c r="BG24" s="37">
        <f t="shared" ref="BG24:BH24" si="287">SUM(BG8,BG11,BG14,BG23)</f>
        <v>0</v>
      </c>
      <c r="BH24" s="37">
        <f t="shared" si="287"/>
        <v>0</v>
      </c>
      <c r="BI24" s="37">
        <f t="shared" si="31"/>
        <v>0</v>
      </c>
      <c r="BJ24" s="37" t="str">
        <f>IF(COUNT(BJ8,BJ11,BJ14,BJ23)=0,"",SUM(BJ8,BJ11,BJ14,BJ23))</f>
        <v/>
      </c>
      <c r="BK24" s="37">
        <f t="shared" ref="BK24:BL24" si="288">SUM(BK8,BK11,BK14,BK23)</f>
        <v>0</v>
      </c>
      <c r="BL24" s="37">
        <f t="shared" si="288"/>
        <v>0</v>
      </c>
      <c r="BM24" s="37">
        <f t="shared" si="33"/>
        <v>0</v>
      </c>
      <c r="BN24" s="37" t="str">
        <f>IF(COUNT(BN8,BN11,BN14,BN23)=0,"",SUM(BN8,BN11,BN14,BN23))</f>
        <v/>
      </c>
      <c r="BO24" s="37">
        <f t="shared" ref="BO24:BP24" si="289">SUM(BO8,BO11,BO14,BO23)</f>
        <v>0</v>
      </c>
      <c r="BP24" s="37">
        <f t="shared" si="289"/>
        <v>0</v>
      </c>
      <c r="BQ24" s="37">
        <f t="shared" si="35"/>
        <v>0</v>
      </c>
      <c r="BR24" s="37" t="str">
        <f>IF(COUNT(BR8,BR11,BR14,BR23)=0,"",SUM(BR8,BR11,BR14,BR23))</f>
        <v/>
      </c>
      <c r="BS24" s="37">
        <f t="shared" ref="BS24:BT24" si="290">SUM(BS8,BS11,BS14,BS23)</f>
        <v>0</v>
      </c>
      <c r="BT24" s="37">
        <f t="shared" si="290"/>
        <v>0</v>
      </c>
      <c r="BU24" s="37">
        <f t="shared" si="37"/>
        <v>0</v>
      </c>
      <c r="BV24" s="37" t="str">
        <f>IF(COUNT(BV8,BV11,BV14,BV23)=0,"",SUM(BV8,BV11,BV14,BV23))</f>
        <v/>
      </c>
      <c r="BW24" s="37">
        <f t="shared" ref="BW24:BX24" si="291">SUM(BW8,BW11,BW14,BW23)</f>
        <v>0</v>
      </c>
      <c r="BX24" s="37">
        <f t="shared" si="291"/>
        <v>0</v>
      </c>
      <c r="BY24" s="37">
        <f t="shared" si="39"/>
        <v>0</v>
      </c>
      <c r="BZ24" s="37" t="str">
        <f>IF(COUNT(BZ8,BZ11,BZ14,BZ23)=0,"",SUM(BZ8,BZ11,BZ14,BZ23))</f>
        <v/>
      </c>
      <c r="CA24" s="37">
        <f t="shared" ref="CA24:CB24" si="292">SUM(CA8,CA11,CA14,CA23)</f>
        <v>0</v>
      </c>
      <c r="CB24" s="37">
        <f t="shared" si="292"/>
        <v>0</v>
      </c>
      <c r="CC24" s="37">
        <f t="shared" si="41"/>
        <v>0</v>
      </c>
      <c r="CD24" s="37" t="str">
        <f>IF(COUNT(CD8,CD11,CD14,CD23)=0,"",SUM(CD8,CD11,CD14,CD23))</f>
        <v/>
      </c>
      <c r="CE24" s="37">
        <f t="shared" ref="CE24:CF24" si="293">SUM(CE8,CE11,CE14,CE23)</f>
        <v>0</v>
      </c>
      <c r="CF24" s="37">
        <f t="shared" si="293"/>
        <v>0</v>
      </c>
      <c r="CG24" s="37">
        <f t="shared" si="43"/>
        <v>0</v>
      </c>
      <c r="CH24" s="37" t="str">
        <f>IF(COUNT(CH8,CH11,CH14,CH23)=0,"",SUM(CH8,CH11,CH14,CH23))</f>
        <v/>
      </c>
      <c r="CI24" s="37">
        <f t="shared" ref="CI24:CJ24" si="294">SUM(CI8,CI11,CI14,CI23)</f>
        <v>0</v>
      </c>
      <c r="CJ24" s="37">
        <f t="shared" si="294"/>
        <v>0</v>
      </c>
      <c r="CK24" s="37">
        <f t="shared" si="45"/>
        <v>0</v>
      </c>
      <c r="CL24" s="37" t="str">
        <f>IF(COUNT(CL8,CL11,CL14,CL23)=0,"",SUM(CL8,CL11,CL14,CL23))</f>
        <v/>
      </c>
      <c r="CM24" s="37">
        <f t="shared" ref="CM24:CN24" si="295">SUM(CM8,CM11,CM14,CM23)</f>
        <v>0</v>
      </c>
      <c r="CN24" s="37">
        <f t="shared" si="295"/>
        <v>0</v>
      </c>
      <c r="CO24" s="37">
        <f t="shared" si="47"/>
        <v>0</v>
      </c>
      <c r="CP24" s="37" t="str">
        <f>IF(COUNT(CP8,CP11,CP14,CP23)=0,"",SUM(CP8,CP11,CP14,CP23))</f>
        <v/>
      </c>
      <c r="CQ24" s="37">
        <f t="shared" ref="CQ24:CR24" si="296">SUM(CQ8,CQ11,CQ14,CQ23)</f>
        <v>0</v>
      </c>
      <c r="CR24" s="37">
        <f t="shared" si="296"/>
        <v>0</v>
      </c>
      <c r="CS24" s="37">
        <f t="shared" si="49"/>
        <v>0</v>
      </c>
      <c r="CT24" s="37" t="str">
        <f>IF(COUNT(CT8,CT11,CT14,CT23)=0,"",SUM(CT8,CT11,CT14,CT23))</f>
        <v/>
      </c>
      <c r="CU24" s="37">
        <f t="shared" ref="CU24:CV24" si="297">SUM(CU8,CU11,CU14,CU23)</f>
        <v>0</v>
      </c>
      <c r="CV24" s="37">
        <f t="shared" si="297"/>
        <v>0</v>
      </c>
      <c r="CW24" s="37">
        <f t="shared" si="51"/>
        <v>0</v>
      </c>
      <c r="CX24" s="37" t="str">
        <f>IF(COUNT(CX8,CX11,CX14,CX23)=0,"",SUM(CX8,CX11,CX14,CX23))</f>
        <v/>
      </c>
      <c r="CY24" s="37">
        <f t="shared" ref="CY24:CZ24" si="298">SUM(CY8,CY11,CY14,CY23)</f>
        <v>0</v>
      </c>
      <c r="CZ24" s="37">
        <f t="shared" si="298"/>
        <v>0</v>
      </c>
      <c r="DA24" s="37">
        <f t="shared" si="53"/>
        <v>0</v>
      </c>
      <c r="DB24" s="37" t="str">
        <f>IF(COUNT(DB8,DB11,DB14,DB23)=0,"",SUM(DB8,DB11,DB14,DB23))</f>
        <v/>
      </c>
      <c r="DC24" s="37">
        <f t="shared" ref="DC24:DD24" si="299">SUM(DC8,DC11,DC14,DC23)</f>
        <v>0</v>
      </c>
      <c r="DD24" s="37">
        <f t="shared" si="299"/>
        <v>0</v>
      </c>
      <c r="DE24" s="37">
        <f t="shared" si="55"/>
        <v>0</v>
      </c>
      <c r="DF24" s="37" t="str">
        <f>IF(COUNT(DF8,DF11,DF14,DF23)=0,"",SUM(DF8,DF11,DF14,DF23))</f>
        <v/>
      </c>
      <c r="DG24" s="37">
        <f t="shared" ref="DG24:DH24" si="300">SUM(DG8,DG11,DG14,DG23)</f>
        <v>0</v>
      </c>
      <c r="DH24" s="37">
        <f t="shared" si="300"/>
        <v>0</v>
      </c>
      <c r="DI24" s="37">
        <f t="shared" si="57"/>
        <v>0</v>
      </c>
      <c r="DJ24" s="37" t="str">
        <f>IF(COUNT(DJ8,DJ11,DJ14,DJ23)=0,"",SUM(DJ8,DJ11,DJ14,DJ23))</f>
        <v/>
      </c>
      <c r="DK24" s="37">
        <f t="shared" ref="DK24:DL24" si="301">SUM(DK8,DK11,DK14,DK23)</f>
        <v>0</v>
      </c>
      <c r="DL24" s="37">
        <f t="shared" si="301"/>
        <v>0</v>
      </c>
      <c r="DM24" s="37">
        <f t="shared" si="59"/>
        <v>0</v>
      </c>
      <c r="DN24" s="37" t="str">
        <f>IF(COUNT(DN8,DN11,DN14,DN23)=0,"",SUM(DN8,DN11,DN14,DN23))</f>
        <v/>
      </c>
      <c r="DO24" s="37">
        <f t="shared" ref="DO24:DP24" si="302">SUM(DO8,DO11,DO14,DO23)</f>
        <v>0</v>
      </c>
      <c r="DP24" s="37">
        <f t="shared" si="302"/>
        <v>0</v>
      </c>
      <c r="DQ24" s="37">
        <f t="shared" si="61"/>
        <v>0</v>
      </c>
      <c r="DR24" s="37" t="str">
        <f>IF(COUNT(DR8,DR11,DR14,DR23)=0,"",SUM(DR8,DR11,DR14,DR23))</f>
        <v/>
      </c>
      <c r="DS24" s="37">
        <f t="shared" ref="DS24:DT24" si="303">SUM(DS8,DS11,DS14,DS23)</f>
        <v>0</v>
      </c>
      <c r="DT24" s="37">
        <f t="shared" si="303"/>
        <v>0</v>
      </c>
      <c r="DU24" s="37">
        <f t="shared" si="63"/>
        <v>0</v>
      </c>
      <c r="DV24" s="37" t="str">
        <f>IF(COUNT(DV8,DV11,DV14,DV23)=0,"",SUM(DV8,DV11,DV14,DV23))</f>
        <v/>
      </c>
      <c r="DW24" s="37">
        <f t="shared" ref="DW24:DX24" si="304">SUM(DW8,DW11,DW14,DW23)</f>
        <v>0</v>
      </c>
      <c r="DX24" s="37">
        <f t="shared" si="304"/>
        <v>0</v>
      </c>
      <c r="DY24" s="37">
        <f t="shared" si="65"/>
        <v>0</v>
      </c>
      <c r="DZ24" s="37" t="str">
        <f>IF(COUNT(DZ8,DZ11,DZ14,DZ23)=0,"",SUM(DZ8,DZ11,DZ14,DZ23))</f>
        <v/>
      </c>
      <c r="EA24" s="37">
        <f t="shared" ref="EA24:EB24" si="305">SUM(EA8,EA11,EA14,EA23)</f>
        <v>0</v>
      </c>
      <c r="EB24" s="37">
        <f t="shared" si="305"/>
        <v>0</v>
      </c>
      <c r="EC24" s="37">
        <f t="shared" si="67"/>
        <v>0</v>
      </c>
      <c r="ED24" s="37" t="str">
        <f>IF(COUNT(ED8,ED11,ED14,ED23)=0,"",SUM(ED8,ED11,ED14,ED23))</f>
        <v/>
      </c>
      <c r="EE24" s="37">
        <f t="shared" ref="EE24:EF24" si="306">SUM(EE8,EE11,EE14,EE23)</f>
        <v>0</v>
      </c>
      <c r="EF24" s="37">
        <f t="shared" si="306"/>
        <v>0</v>
      </c>
      <c r="EG24" s="37">
        <f t="shared" si="69"/>
        <v>0</v>
      </c>
      <c r="EH24" s="37" t="str">
        <f>IF(COUNT(EH8,EH11,EH14,EH23)=0,"",SUM(EH8,EH11,EH14,EH23))</f>
        <v/>
      </c>
      <c r="EI24" s="37">
        <f t="shared" ref="EI24:EJ24" si="307">SUM(EI8,EI11,EI14,EI23)</f>
        <v>0</v>
      </c>
      <c r="EJ24" s="37">
        <f t="shared" si="307"/>
        <v>0</v>
      </c>
      <c r="EK24" s="37">
        <f t="shared" si="71"/>
        <v>0</v>
      </c>
      <c r="EL24" s="37" t="str">
        <f>IF(COUNT(EL8,EL11,EL14,EL23)=0,"",SUM(EL8,EL11,EL14,EL23))</f>
        <v/>
      </c>
      <c r="EM24" s="37">
        <f t="shared" ref="EM24:EN24" si="308">SUM(EM8,EM11,EM14,EM23)</f>
        <v>0</v>
      </c>
      <c r="EN24" s="37">
        <f t="shared" si="308"/>
        <v>0</v>
      </c>
      <c r="EO24" s="37">
        <f t="shared" si="73"/>
        <v>0</v>
      </c>
      <c r="EP24" s="37" t="str">
        <f>IF(COUNT(EP8,EP11,EP14,EP23)=0,"",SUM(EP8,EP11,EP14,EP23))</f>
        <v/>
      </c>
      <c r="EQ24" s="37">
        <f t="shared" ref="EQ24:ER24" si="309">SUM(EQ8,EQ11,EQ14,EQ23)</f>
        <v>0</v>
      </c>
      <c r="ER24" s="37">
        <f t="shared" si="309"/>
        <v>0</v>
      </c>
      <c r="ES24" s="37">
        <f t="shared" si="75"/>
        <v>0</v>
      </c>
    </row>
    <row r="25" ht="18.0" customHeight="1">
      <c r="A25" s="12" t="s">
        <v>27</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row>
    <row r="26" ht="18.0" customHeight="1">
      <c r="A26" s="2" t="s">
        <v>28</v>
      </c>
      <c r="B26" s="30">
        <f t="shared" ref="B26:D26" si="310">SUM(EP26,EL26,EH26,ED26,DZ26,DV26,DR26,DN26,DJ26,DF26,DB26,CX26,CT26,CP26,CL26,CH26,CD26,BZ26,BV26,BR26,BN26,BJ26,BF26,BB26,AX26,AT26,AP26,AL26,AH26,AD26,Z26,V26,R26,N26,J26,F26)</f>
        <v>0</v>
      </c>
      <c r="C26" s="31">
        <f t="shared" si="310"/>
        <v>0</v>
      </c>
      <c r="D26" s="32">
        <f t="shared" si="310"/>
        <v>0</v>
      </c>
      <c r="E26" s="33">
        <f>IFERROR(IF(OR(C26="",D26=""),"",C26-D26),"")</f>
        <v>0</v>
      </c>
      <c r="F26" s="30" t="str">
        <f>IF(COUNT(F19:F21,F72)=4,IF((F19+F20)=0,0,ROUND(F21*(F72+F73)/(F19+F20),0)),"")</f>
        <v/>
      </c>
      <c r="G26" s="31">
        <f t="shared" ref="G26:H26" si="311">IF((G19+G20)=0,0,ROUND(G21*(G72+G73)/(G19+G20),0))</f>
        <v>0</v>
      </c>
      <c r="H26" s="32">
        <f t="shared" si="311"/>
        <v>0</v>
      </c>
      <c r="I26" s="33">
        <f>IFERROR(IF(OR(G26="",H26=""),"",G26-H26),"")</f>
        <v>0</v>
      </c>
      <c r="J26" s="30" t="str">
        <f>IF(COUNT(J19:J21,J72)=4,IF((J19+J20)=0,0,ROUND(J21*(J72+J73)/(J19+J20),0)),"")</f>
        <v/>
      </c>
      <c r="K26" s="31">
        <f t="shared" ref="K26:L26" si="312">IF((K19+K20)=0,0,ROUND(K21*(K72+K73)/(K19+K20),0))</f>
        <v>0</v>
      </c>
      <c r="L26" s="32">
        <f t="shared" si="312"/>
        <v>0</v>
      </c>
      <c r="M26" s="33">
        <f>IFERROR(IF(OR(K26="",L26=""),"",K26-L26),"")</f>
        <v>0</v>
      </c>
      <c r="N26" s="30" t="str">
        <f>IF(COUNT(N19:N21,N72)=4,IF((N19+N20)=0,0,ROUND(N21*(N72+N73)/(N19+N20),0)),"")</f>
        <v/>
      </c>
      <c r="O26" s="31">
        <f t="shared" ref="O26:P26" si="313">IF((O19+O20)=0,0,ROUND(O21*(O72+O73)/(O19+O20),0))</f>
        <v>0</v>
      </c>
      <c r="P26" s="32">
        <f t="shared" si="313"/>
        <v>0</v>
      </c>
      <c r="Q26" s="33">
        <f>IFERROR(IF(OR(O26="",P26=""),"",O26-P26),"")</f>
        <v>0</v>
      </c>
      <c r="R26" s="30" t="str">
        <f>IF(COUNT(R19:R21,R72)=4,IF((R19+R20)=0,0,ROUND(R21*(R72+R73)/(R19+R20),0)),"")</f>
        <v/>
      </c>
      <c r="S26" s="31">
        <f t="shared" ref="S26:T26" si="314">IF((S19+S20)=0,0,ROUND(S21*(S72+S73)/(S19+S20),0))</f>
        <v>0</v>
      </c>
      <c r="T26" s="32">
        <f t="shared" si="314"/>
        <v>0</v>
      </c>
      <c r="U26" s="33">
        <f>IFERROR(IF(OR(S26="",T26=""),"",S26-T26),"")</f>
        <v>0</v>
      </c>
      <c r="V26" s="30" t="str">
        <f>IF(COUNT(V19:V21,V72)=4,IF((V19+V20)=0,0,ROUND(V21*(V72+V73)/(V19+V20),0)),"")</f>
        <v/>
      </c>
      <c r="W26" s="31">
        <f t="shared" ref="W26:X26" si="315">IF((W19+W20)=0,0,ROUND(W21*(W72+W73)/(W19+W20),0))</f>
        <v>0</v>
      </c>
      <c r="X26" s="32">
        <f t="shared" si="315"/>
        <v>0</v>
      </c>
      <c r="Y26" s="33">
        <f>IFERROR(IF(OR(W26="",X26=""),"",W26-X26),"")</f>
        <v>0</v>
      </c>
      <c r="Z26" s="30" t="str">
        <f>IF(COUNT(Z19:Z21,Z72)=4,IF((Z19+Z20)=0,0,ROUND(Z21*(Z72+Z73)/(Z19+Z20),0)),"")</f>
        <v/>
      </c>
      <c r="AA26" s="31">
        <f t="shared" ref="AA26:AB26" si="316">IF((AA19+AA20)=0,0,ROUND(AA21*(AA72+AA73)/(AA19+AA20),0))</f>
        <v>0</v>
      </c>
      <c r="AB26" s="32">
        <f t="shared" si="316"/>
        <v>0</v>
      </c>
      <c r="AC26" s="33">
        <f>IFERROR(IF(OR(AA26="",AB26=""),"",AA26-AB26),"")</f>
        <v>0</v>
      </c>
      <c r="AD26" s="30" t="str">
        <f>IF(COUNT(AD19:AD21,AD72)=4,IF((AD19+AD20)=0,0,ROUND(AD21*(AD72+AD73)/(AD19+AD20),0)),"")</f>
        <v/>
      </c>
      <c r="AE26" s="31">
        <f t="shared" ref="AE26:AF26" si="317">IF((AE19+AE20)=0,0,ROUND(AE21*(AE72+AE73)/(AE19+AE20),0))</f>
        <v>0</v>
      </c>
      <c r="AF26" s="32">
        <f t="shared" si="317"/>
        <v>0</v>
      </c>
      <c r="AG26" s="33">
        <f>IFERROR(IF(OR(AE26="",AF26=""),"",AE26-AF26),"")</f>
        <v>0</v>
      </c>
      <c r="AH26" s="30" t="str">
        <f>IF(COUNT(AH19:AH21,AH72)=4,IF((AH19+AH20)=0,0,ROUND(AH21*(AH72+AH73)/(AH19+AH20),0)),"")</f>
        <v/>
      </c>
      <c r="AI26" s="31">
        <f t="shared" ref="AI26:AJ26" si="318">IF((AI19+AI20)=0,0,ROUND(AI21*(AI72+AI73)/(AI19+AI20),0))</f>
        <v>0</v>
      </c>
      <c r="AJ26" s="32">
        <f t="shared" si="318"/>
        <v>0</v>
      </c>
      <c r="AK26" s="33">
        <f>IFERROR(IF(OR(AI26="",AJ26=""),"",AI26-AJ26),"")</f>
        <v>0</v>
      </c>
      <c r="AL26" s="30" t="str">
        <f>IF(COUNT(AL19:AL21,AL72)=4,IF((AL19+AL20)=0,0,ROUND(AL21*(AL72+AL73)/(AL19+AL20),0)),"")</f>
        <v/>
      </c>
      <c r="AM26" s="31">
        <f t="shared" ref="AM26:AN26" si="319">IF((AM19+AM20)=0,0,ROUND(AM21*(AM72+AM73)/(AM19+AM20),0))</f>
        <v>0</v>
      </c>
      <c r="AN26" s="32">
        <f t="shared" si="319"/>
        <v>0</v>
      </c>
      <c r="AO26" s="33">
        <f>IFERROR(IF(OR(AM26="",AN26=""),"",AM26-AN26),"")</f>
        <v>0</v>
      </c>
      <c r="AP26" s="30" t="str">
        <f>IF(COUNT(AP19:AP21,AP72)=4,IF((AP19+AP20)=0,0,ROUND(AP21*(AP72+AP73)/(AP19+AP20),0)),"")</f>
        <v/>
      </c>
      <c r="AQ26" s="31">
        <f t="shared" ref="AQ26:AR26" si="320">IF((AQ19+AQ20)=0,0,ROUND(AQ21*(AQ72+AQ73)/(AQ19+AQ20),0))</f>
        <v>0</v>
      </c>
      <c r="AR26" s="32">
        <f t="shared" si="320"/>
        <v>0</v>
      </c>
      <c r="AS26" s="33">
        <f>IFERROR(IF(OR(AQ26="",AR26=""),"",AQ26-AR26),"")</f>
        <v>0</v>
      </c>
      <c r="AT26" s="30" t="str">
        <f>IF(COUNT(AT19:AT21,AT72)=4,IF((AT19+AT20)=0,0,ROUND(AT21*(AT72+AT73)/(AT19+AT20),0)),"")</f>
        <v/>
      </c>
      <c r="AU26" s="31">
        <f t="shared" ref="AU26:AV26" si="321">IF((AU19+AU20)=0,0,ROUND(AU21*(AU72+AU73)/(AU19+AU20),0))</f>
        <v>0</v>
      </c>
      <c r="AV26" s="32">
        <f t="shared" si="321"/>
        <v>0</v>
      </c>
      <c r="AW26" s="33">
        <f>IFERROR(IF(OR(AU26="",AV26=""),"",AU26-AV26),"")</f>
        <v>0</v>
      </c>
      <c r="AX26" s="30" t="str">
        <f>IF(COUNT(AX19:AX21,AX72)=4,IF((AX19+AX20)=0,0,ROUND(AX21*(AX72+AX73)/(AX19+AX20),0)),"")</f>
        <v/>
      </c>
      <c r="AY26" s="31">
        <f t="shared" ref="AY26:AZ26" si="322">IF((AY19+AY20)=0,0,ROUND(AY21*(AY72+AY73)/(AY19+AY20),0))</f>
        <v>0</v>
      </c>
      <c r="AZ26" s="32">
        <f t="shared" si="322"/>
        <v>0</v>
      </c>
      <c r="BA26" s="33">
        <f>IFERROR(IF(OR(AY26="",AZ26=""),"",AY26-AZ26),"")</f>
        <v>0</v>
      </c>
      <c r="BB26" s="30" t="str">
        <f>IF(COUNT(BB19:BB21,BB72)=4,IF((BB19+BB20)=0,0,ROUND(BB21*(BB72+BB73)/(BB19+BB20),0)),"")</f>
        <v/>
      </c>
      <c r="BC26" s="31">
        <f t="shared" ref="BC26:BD26" si="323">IF((BC19+BC20)=0,0,ROUND(BC21*(BC72+BC73)/(BC19+BC20),0))</f>
        <v>0</v>
      </c>
      <c r="BD26" s="32">
        <f t="shared" si="323"/>
        <v>0</v>
      </c>
      <c r="BE26" s="33">
        <f>IFERROR(IF(OR(BC26="",BD26=""),"",BC26-BD26),"")</f>
        <v>0</v>
      </c>
      <c r="BF26" s="30" t="str">
        <f>IF(COUNT(BF19:BF21,BF72)=4,IF((BF19+BF20)=0,0,ROUND(BF21*(BF72+BF73)/(BF19+BF20),0)),"")</f>
        <v/>
      </c>
      <c r="BG26" s="31">
        <f t="shared" ref="BG26:BH26" si="324">IF((BG19+BG20)=0,0,ROUND(BG21*(BG72+BG73)/(BG19+BG20),0))</f>
        <v>0</v>
      </c>
      <c r="BH26" s="32">
        <f t="shared" si="324"/>
        <v>0</v>
      </c>
      <c r="BI26" s="33">
        <f>IFERROR(IF(OR(BG26="",BH26=""),"",BG26-BH26),"")</f>
        <v>0</v>
      </c>
      <c r="BJ26" s="30" t="str">
        <f>IF(COUNT(BJ19:BJ21,BJ72)=4,IF((BJ19+BJ20)=0,0,ROUND(BJ21*(BJ72+BJ73)/(BJ19+BJ20),0)),"")</f>
        <v/>
      </c>
      <c r="BK26" s="31">
        <f t="shared" ref="BK26:BL26" si="325">IF((BK19+BK20)=0,0,ROUND(BK21*(BK72+BK73)/(BK19+BK20),0))</f>
        <v>0</v>
      </c>
      <c r="BL26" s="32">
        <f t="shared" si="325"/>
        <v>0</v>
      </c>
      <c r="BM26" s="33">
        <f>IFERROR(IF(OR(BK26="",BL26=""),"",BK26-BL26),"")</f>
        <v>0</v>
      </c>
      <c r="BN26" s="30" t="str">
        <f>IF(COUNT(BN19:BN21,BN72)=4,IF((BN19+BN20)=0,0,ROUND(BN21*(BN72+BN73)/(BN19+BN20),0)),"")</f>
        <v/>
      </c>
      <c r="BO26" s="31">
        <f t="shared" ref="BO26:BP26" si="326">IF((BO19+BO20)=0,0,ROUND(BO21*(BO72+BO73)/(BO19+BO20),0))</f>
        <v>0</v>
      </c>
      <c r="BP26" s="32">
        <f t="shared" si="326"/>
        <v>0</v>
      </c>
      <c r="BQ26" s="33">
        <f>IFERROR(IF(OR(BO26="",BP26=""),"",BO26-BP26),"")</f>
        <v>0</v>
      </c>
      <c r="BR26" s="30" t="str">
        <f>IF(COUNT(BR19:BR21,BR72)=4,IF((BR19+BR20)=0,0,ROUND(BR21*(BR72+BR73)/(BR19+BR20),0)),"")</f>
        <v/>
      </c>
      <c r="BS26" s="31">
        <f t="shared" ref="BS26:BT26" si="327">IF((BS19+BS20)=0,0,ROUND(BS21*(BS72+BS73)/(BS19+BS20),0))</f>
        <v>0</v>
      </c>
      <c r="BT26" s="32">
        <f t="shared" si="327"/>
        <v>0</v>
      </c>
      <c r="BU26" s="33">
        <f>IFERROR(IF(OR(BS26="",BT26=""),"",BS26-BT26),"")</f>
        <v>0</v>
      </c>
      <c r="BV26" s="30" t="str">
        <f>IF(COUNT(BV19:BV21,BV72)=4,IF((BV19+BV20)=0,0,ROUND(BV21*(BV72+BV73)/(BV19+BV20),0)),"")</f>
        <v/>
      </c>
      <c r="BW26" s="31">
        <f t="shared" ref="BW26:BX26" si="328">IF((BW19+BW20)=0,0,ROUND(BW21*(BW72+BW73)/(BW19+BW20),0))</f>
        <v>0</v>
      </c>
      <c r="BX26" s="32">
        <f t="shared" si="328"/>
        <v>0</v>
      </c>
      <c r="BY26" s="33">
        <f>IFERROR(IF(OR(BW26="",BX26=""),"",BW26-BX26),"")</f>
        <v>0</v>
      </c>
      <c r="BZ26" s="30" t="str">
        <f>IF(COUNT(BZ19:BZ21,BZ72)=4,IF((BZ19+BZ20)=0,0,ROUND(BZ21*(BZ72+BZ73)/(BZ19+BZ20),0)),"")</f>
        <v/>
      </c>
      <c r="CA26" s="31">
        <f t="shared" ref="CA26:CB26" si="329">IF((CA19+CA20)=0,0,ROUND(CA21*(CA72+CA73)/(CA19+CA20),0))</f>
        <v>0</v>
      </c>
      <c r="CB26" s="32">
        <f t="shared" si="329"/>
        <v>0</v>
      </c>
      <c r="CC26" s="33">
        <f>IFERROR(IF(OR(CA26="",CB26=""),"",CA26-CB26),"")</f>
        <v>0</v>
      </c>
      <c r="CD26" s="30" t="str">
        <f>IF(COUNT(CD19:CD21,CD72)=4,IF((CD19+CD20)=0,0,ROUND(CD21*(CD72+CD73)/(CD19+CD20),0)),"")</f>
        <v/>
      </c>
      <c r="CE26" s="31">
        <f t="shared" ref="CE26:CF26" si="330">IF((CE19+CE20)=0,0,ROUND(CE21*(CE72+CE73)/(CE19+CE20),0))</f>
        <v>0</v>
      </c>
      <c r="CF26" s="32">
        <f t="shared" si="330"/>
        <v>0</v>
      </c>
      <c r="CG26" s="33">
        <f>IFERROR(IF(OR(CE26="",CF26=""),"",CE26-CF26),"")</f>
        <v>0</v>
      </c>
      <c r="CH26" s="30" t="str">
        <f>IF(COUNT(CH19:CH21,CH72)=4,IF((CH19+CH20)=0,0,ROUND(CH21*(CH72+CH73)/(CH19+CH20),0)),"")</f>
        <v/>
      </c>
      <c r="CI26" s="31">
        <f t="shared" ref="CI26:CJ26" si="331">IF((CI19+CI20)=0,0,ROUND(CI21*(CI72+CI73)/(CI19+CI20),0))</f>
        <v>0</v>
      </c>
      <c r="CJ26" s="32">
        <f t="shared" si="331"/>
        <v>0</v>
      </c>
      <c r="CK26" s="33">
        <f>IFERROR(IF(OR(CI26="",CJ26=""),"",CI26-CJ26),"")</f>
        <v>0</v>
      </c>
      <c r="CL26" s="30" t="str">
        <f>IF(COUNT(CL19:CL21,CL72)=4,IF((CL19+CL20)=0,0,ROUND(CL21*(CL72+CL73)/(CL19+CL20),0)),"")</f>
        <v/>
      </c>
      <c r="CM26" s="31">
        <f t="shared" ref="CM26:CN26" si="332">IF((CM19+CM20)=0,0,ROUND(CM21*(CM72+CM73)/(CM19+CM20),0))</f>
        <v>0</v>
      </c>
      <c r="CN26" s="32">
        <f t="shared" si="332"/>
        <v>0</v>
      </c>
      <c r="CO26" s="33">
        <f>IFERROR(IF(OR(CM26="",CN26=""),"",CM26-CN26),"")</f>
        <v>0</v>
      </c>
      <c r="CP26" s="30" t="str">
        <f>IF(COUNT(CP19:CP21,CP72)=4,IF((CP19+CP20)=0,0,ROUND(CP21*(CP72+CP73)/(CP19+CP20),0)),"")</f>
        <v/>
      </c>
      <c r="CQ26" s="31">
        <f t="shared" ref="CQ26:CR26" si="333">IF((CQ19+CQ20)=0,0,ROUND(CQ21*(CQ72+CQ73)/(CQ19+CQ20),0))</f>
        <v>0</v>
      </c>
      <c r="CR26" s="32">
        <f t="shared" si="333"/>
        <v>0</v>
      </c>
      <c r="CS26" s="33">
        <f>IFERROR(IF(OR(CQ26="",CR26=""),"",CQ26-CR26),"")</f>
        <v>0</v>
      </c>
      <c r="CT26" s="30" t="str">
        <f>IF(COUNT(CT19:CT21,CT72)=4,IF((CT19+CT20)=0,0,ROUND(CT21*(CT72+CT73)/(CT19+CT20),0)),"")</f>
        <v/>
      </c>
      <c r="CU26" s="31">
        <f t="shared" ref="CU26:CV26" si="334">IF((CU19+CU20)=0,0,ROUND(CU21*(CU72+CU73)/(CU19+CU20),0))</f>
        <v>0</v>
      </c>
      <c r="CV26" s="32">
        <f t="shared" si="334"/>
        <v>0</v>
      </c>
      <c r="CW26" s="33">
        <f>IFERROR(IF(OR(CU26="",CV26=""),"",CU26-CV26),"")</f>
        <v>0</v>
      </c>
      <c r="CX26" s="30" t="str">
        <f>IF(COUNT(CX19:CX21,CX72)=4,IF((CX19+CX20)=0,0,ROUND(CX21*(CX72+CX73)/(CX19+CX20),0)),"")</f>
        <v/>
      </c>
      <c r="CY26" s="31">
        <f t="shared" ref="CY26:CZ26" si="335">IF((CY19+CY20)=0,0,ROUND(CY21*(CY72+CY73)/(CY19+CY20),0))</f>
        <v>0</v>
      </c>
      <c r="CZ26" s="32">
        <f t="shared" si="335"/>
        <v>0</v>
      </c>
      <c r="DA26" s="33">
        <f>IFERROR(IF(OR(CY26="",CZ26=""),"",CY26-CZ26),"")</f>
        <v>0</v>
      </c>
      <c r="DB26" s="30" t="str">
        <f>IF(COUNT(DB19:DB21,DB72)=4,IF((DB19+DB20)=0,0,ROUND(DB21*(DB72+DB73)/(DB19+DB20),0)),"")</f>
        <v/>
      </c>
      <c r="DC26" s="31">
        <f t="shared" ref="DC26:DD26" si="336">IF((DC19+DC20)=0,0,ROUND(DC21*(DC72+DC73)/(DC19+DC20),0))</f>
        <v>0</v>
      </c>
      <c r="DD26" s="32">
        <f t="shared" si="336"/>
        <v>0</v>
      </c>
      <c r="DE26" s="33">
        <f>IFERROR(IF(OR(DC26="",DD26=""),"",DC26-DD26),"")</f>
        <v>0</v>
      </c>
      <c r="DF26" s="30" t="str">
        <f>IF(COUNT(DF19:DF21,DF72)=4,IF((DF19+DF20)=0,0,ROUND(DF21*(DF72+DF73)/(DF19+DF20),0)),"")</f>
        <v/>
      </c>
      <c r="DG26" s="31">
        <f t="shared" ref="DG26:DH26" si="337">IF((DG19+DG20)=0,0,ROUND(DG21*(DG72+DG73)/(DG19+DG20),0))</f>
        <v>0</v>
      </c>
      <c r="DH26" s="32">
        <f t="shared" si="337"/>
        <v>0</v>
      </c>
      <c r="DI26" s="33">
        <f>IFERROR(IF(OR(DG26="",DH26=""),"",DG26-DH26),"")</f>
        <v>0</v>
      </c>
      <c r="DJ26" s="30" t="str">
        <f>IF(COUNT(DJ19:DJ21,DJ72)=4,IF((DJ19+DJ20)=0,0,ROUND(DJ21*(DJ72+DJ73)/(DJ19+DJ20),0)),"")</f>
        <v/>
      </c>
      <c r="DK26" s="31">
        <f t="shared" ref="DK26:DL26" si="338">IF((DK19+DK20)=0,0,ROUND(DK21*(DK72+DK73)/(DK19+DK20),0))</f>
        <v>0</v>
      </c>
      <c r="DL26" s="32">
        <f t="shared" si="338"/>
        <v>0</v>
      </c>
      <c r="DM26" s="33">
        <f>IFERROR(IF(OR(DK26="",DL26=""),"",DK26-DL26),"")</f>
        <v>0</v>
      </c>
      <c r="DN26" s="30" t="str">
        <f>IF(COUNT(DN19:DN21,DN72)=4,IF((DN19+DN20)=0,0,ROUND(DN21*(DN72+DN73)/(DN19+DN20),0)),"")</f>
        <v/>
      </c>
      <c r="DO26" s="31">
        <f t="shared" ref="DO26:DP26" si="339">IF((DO19+DO20)=0,0,ROUND(DO21*(DO72+DO73)/(DO19+DO20),0))</f>
        <v>0</v>
      </c>
      <c r="DP26" s="32">
        <f t="shared" si="339"/>
        <v>0</v>
      </c>
      <c r="DQ26" s="33">
        <f>IFERROR(IF(OR(DO26="",DP26=""),"",DO26-DP26),"")</f>
        <v>0</v>
      </c>
      <c r="DR26" s="30" t="str">
        <f>IF(COUNT(DR19:DR21,DR72)=4,IF((DR19+DR20)=0,0,ROUND(DR21*(DR72+DR73)/(DR19+DR20),0)),"")</f>
        <v/>
      </c>
      <c r="DS26" s="31">
        <f t="shared" ref="DS26:DT26" si="340">IF((DS19+DS20)=0,0,ROUND(DS21*(DS72+DS73)/(DS19+DS20),0))</f>
        <v>0</v>
      </c>
      <c r="DT26" s="32">
        <f t="shared" si="340"/>
        <v>0</v>
      </c>
      <c r="DU26" s="33">
        <f>IFERROR(IF(OR(DS26="",DT26=""),"",DS26-DT26),"")</f>
        <v>0</v>
      </c>
      <c r="DV26" s="30" t="str">
        <f>IF(COUNT(DV19:DV21,DV72)=4,IF((DV19+DV20)=0,0,ROUND(DV21*(DV72+DV73)/(DV19+DV20),0)),"")</f>
        <v/>
      </c>
      <c r="DW26" s="31">
        <f t="shared" ref="DW26:DX26" si="341">IF((DW19+DW20)=0,0,ROUND(DW21*(DW72+DW73)/(DW19+DW20),0))</f>
        <v>0</v>
      </c>
      <c r="DX26" s="32">
        <f t="shared" si="341"/>
        <v>0</v>
      </c>
      <c r="DY26" s="33">
        <f>IFERROR(IF(OR(DW26="",DX26=""),"",DW26-DX26),"")</f>
        <v>0</v>
      </c>
      <c r="DZ26" s="30" t="str">
        <f>IF(COUNT(DZ19:DZ21,DZ72)=4,IF((DZ19+DZ20)=0,0,ROUND(DZ21*(DZ72+DZ73)/(DZ19+DZ20),0)),"")</f>
        <v/>
      </c>
      <c r="EA26" s="31">
        <f t="shared" ref="EA26:EB26" si="342">IF((EA19+EA20)=0,0,ROUND(EA21*(EA72+EA73)/(EA19+EA20),0))</f>
        <v>0</v>
      </c>
      <c r="EB26" s="32">
        <f t="shared" si="342"/>
        <v>0</v>
      </c>
      <c r="EC26" s="33">
        <f>IFERROR(IF(OR(EA26="",EB26=""),"",EA26-EB26),"")</f>
        <v>0</v>
      </c>
      <c r="ED26" s="30" t="str">
        <f>IF(COUNT(ED19:ED21,ED72)=4,IF((ED19+ED20)=0,0,ROUND(ED21*(ED72+ED73)/(ED19+ED20),0)),"")</f>
        <v/>
      </c>
      <c r="EE26" s="31">
        <f t="shared" ref="EE26:EF26" si="343">IF((EE19+EE20)=0,0,ROUND(EE21*(EE72+EE73)/(EE19+EE20),0))</f>
        <v>0</v>
      </c>
      <c r="EF26" s="32">
        <f t="shared" si="343"/>
        <v>0</v>
      </c>
      <c r="EG26" s="33">
        <f>IFERROR(IF(OR(EE26="",EF26=""),"",EE26-EF26),"")</f>
        <v>0</v>
      </c>
      <c r="EH26" s="30" t="str">
        <f>IF(COUNT(EH19:EH21,EH72)=4,IF((EH19+EH20)=0,0,ROUND(EH21*(EH72+EH73)/(EH19+EH20),0)),"")</f>
        <v/>
      </c>
      <c r="EI26" s="31">
        <f t="shared" ref="EI26:EJ26" si="344">IF((EI19+EI20)=0,0,ROUND(EI21*(EI72+EI73)/(EI19+EI20),0))</f>
        <v>0</v>
      </c>
      <c r="EJ26" s="32">
        <f t="shared" si="344"/>
        <v>0</v>
      </c>
      <c r="EK26" s="33">
        <f>IFERROR(IF(OR(EI26="",EJ26=""),"",EI26-EJ26),"")</f>
        <v>0</v>
      </c>
      <c r="EL26" s="30" t="str">
        <f>IF(COUNT(EL19:EL21,EL72)=4,IF((EL19+EL20)=0,0,ROUND(EL21*(EL72+EL73)/(EL19+EL20),0)),"")</f>
        <v/>
      </c>
      <c r="EM26" s="31">
        <f t="shared" ref="EM26:EN26" si="345">IF((EM19+EM20)=0,0,ROUND(EM21*(EM72+EM73)/(EM19+EM20),0))</f>
        <v>0</v>
      </c>
      <c r="EN26" s="32">
        <f t="shared" si="345"/>
        <v>0</v>
      </c>
      <c r="EO26" s="33">
        <f>IFERROR(IF(OR(EM26="",EN26=""),"",EM26-EN26),"")</f>
        <v>0</v>
      </c>
      <c r="EP26" s="30" t="str">
        <f>IF(COUNT(EP19:EP21,EP72)=4,IF((EP19+EP20)=0,0,ROUND(EP21*(EP72+EP73)/(EP19+EP20),0)),"")</f>
        <v/>
      </c>
      <c r="EQ26" s="31">
        <f t="shared" ref="EQ26:ER26" si="346">IF((EQ19+EQ20)=0,0,ROUND(EQ21*(EQ72+EQ73)/(EQ19+EQ20),0))</f>
        <v>0</v>
      </c>
      <c r="ER26" s="32">
        <f t="shared" si="346"/>
        <v>0</v>
      </c>
      <c r="ES26" s="33">
        <f>IFERROR(IF(OR(EQ26="",ER26=""),"",EQ26-ER26),"")</f>
        <v>0</v>
      </c>
    </row>
    <row r="27" ht="18.0" customHeight="1">
      <c r="A27" s="12" t="s">
        <v>29</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c r="CO27" s="38"/>
      <c r="CP27" s="38"/>
      <c r="CQ27" s="38"/>
      <c r="CR27" s="38"/>
      <c r="CS27" s="38"/>
      <c r="CT27" s="38"/>
      <c r="CU27" s="38"/>
      <c r="CV27" s="38"/>
      <c r="CW27" s="38"/>
      <c r="CX27" s="38"/>
      <c r="CY27" s="38"/>
      <c r="CZ27" s="38"/>
      <c r="DA27" s="38"/>
      <c r="DB27" s="38"/>
      <c r="DC27" s="38"/>
      <c r="DD27" s="38"/>
      <c r="DE27" s="38"/>
      <c r="DF27" s="38"/>
      <c r="DG27" s="38"/>
      <c r="DH27" s="38"/>
      <c r="DI27" s="38"/>
      <c r="DJ27" s="38"/>
      <c r="DK27" s="38"/>
      <c r="DL27" s="38"/>
      <c r="DM27" s="38"/>
      <c r="DN27" s="38"/>
      <c r="DO27" s="38"/>
      <c r="DP27" s="38"/>
      <c r="DQ27" s="38"/>
      <c r="DR27" s="38"/>
      <c r="DS27" s="38"/>
      <c r="DT27" s="38"/>
      <c r="DU27" s="38"/>
      <c r="DV27" s="38"/>
      <c r="DW27" s="38"/>
      <c r="DX27" s="38"/>
      <c r="DY27" s="38"/>
      <c r="DZ27" s="38"/>
      <c r="EA27" s="38"/>
      <c r="EB27" s="38"/>
      <c r="EC27" s="38"/>
      <c r="ED27" s="38"/>
      <c r="EE27" s="38"/>
      <c r="EF27" s="38"/>
      <c r="EG27" s="38"/>
      <c r="EH27" s="38"/>
      <c r="EI27" s="38"/>
      <c r="EJ27" s="38"/>
      <c r="EK27" s="38"/>
      <c r="EL27" s="38"/>
      <c r="EM27" s="38"/>
      <c r="EN27" s="38"/>
      <c r="EO27" s="38"/>
      <c r="EP27" s="38"/>
      <c r="EQ27" s="38"/>
      <c r="ER27" s="38"/>
      <c r="ES27" s="38"/>
    </row>
    <row r="28" ht="18.0" customHeight="1">
      <c r="A28" s="2" t="s">
        <v>30</v>
      </c>
      <c r="B28" s="30">
        <f t="shared" ref="B28:D28" si="347">SUM(EP28,EL28,EH28,ED28,DZ28,DV28,DR28,DN28,DJ28,DF28,DB28,CX28,CT28,CP28,CL28,CH28,CD28,BZ28,BV28,BR28,BN28,BJ28,BF28,BB28,AX28,AT28,AP28,AL28,AH28,AD28,Z28,V28,R28,N28,J28,F28)</f>
        <v>0</v>
      </c>
      <c r="C28" s="31">
        <f t="shared" si="347"/>
        <v>0</v>
      </c>
      <c r="D28" s="32">
        <f t="shared" si="347"/>
        <v>0</v>
      </c>
      <c r="E28" s="33">
        <f t="shared" ref="E28:E34" si="349">IFERROR(IF(OR(C28="",D28=""),"",C28-D28),"")</f>
        <v>0</v>
      </c>
      <c r="F28" s="34"/>
      <c r="G28" s="31" t="str">
        <f>IF(F$98=1,F28,H28)</f>
        <v/>
      </c>
      <c r="H28" s="35"/>
      <c r="I28" s="33" t="str">
        <f t="shared" ref="I28:I34" si="351">IFERROR(IF(OR(G28="",H28=""),"",G28-H28),"")</f>
        <v/>
      </c>
      <c r="J28" s="34"/>
      <c r="K28" s="31" t="str">
        <f>IF(J$98=1,J28,L28)</f>
        <v/>
      </c>
      <c r="L28" s="35"/>
      <c r="M28" s="33" t="str">
        <f t="shared" ref="M28:M34" si="353">IFERROR(IF(OR(K28="",L28=""),"",K28-L28),"")</f>
        <v/>
      </c>
      <c r="N28" s="34"/>
      <c r="O28" s="31" t="str">
        <f>IF(N$98=1,N28,P28)</f>
        <v/>
      </c>
      <c r="P28" s="35"/>
      <c r="Q28" s="33" t="str">
        <f t="shared" ref="Q28:Q34" si="355">IFERROR(IF(OR(O28="",P28=""),"",O28-P28),"")</f>
        <v/>
      </c>
      <c r="R28" s="34"/>
      <c r="S28" s="31" t="str">
        <f>IF(R$98=1,R28,T28)</f>
        <v/>
      </c>
      <c r="T28" s="35"/>
      <c r="U28" s="33" t="str">
        <f t="shared" ref="U28:U34" si="357">IFERROR(IF(OR(S28="",T28=""),"",S28-T28),"")</f>
        <v/>
      </c>
      <c r="V28" s="34"/>
      <c r="W28" s="31" t="str">
        <f>IF(V$98=1,V28,X28)</f>
        <v/>
      </c>
      <c r="X28" s="35"/>
      <c r="Y28" s="33" t="str">
        <f t="shared" ref="Y28:Y34" si="359">IFERROR(IF(OR(W28="",X28=""),"",W28-X28),"")</f>
        <v/>
      </c>
      <c r="Z28" s="34"/>
      <c r="AA28" s="31" t="str">
        <f>IF(Z$98=1,Z28,AB28)</f>
        <v/>
      </c>
      <c r="AB28" s="35"/>
      <c r="AC28" s="33" t="str">
        <f t="shared" ref="AC28:AC34" si="361">IFERROR(IF(OR(AA28="",AB28=""),"",AA28-AB28),"")</f>
        <v/>
      </c>
      <c r="AD28" s="34"/>
      <c r="AE28" s="31" t="str">
        <f>IF(AD$98=1,AD28,AF28)</f>
        <v/>
      </c>
      <c r="AF28" s="35"/>
      <c r="AG28" s="33" t="str">
        <f t="shared" ref="AG28:AG34" si="363">IFERROR(IF(OR(AE28="",AF28=""),"",AE28-AF28),"")</f>
        <v/>
      </c>
      <c r="AH28" s="34"/>
      <c r="AI28" s="31" t="str">
        <f>IF(AH$98=1,AH28,AJ28)</f>
        <v/>
      </c>
      <c r="AJ28" s="35"/>
      <c r="AK28" s="33" t="str">
        <f t="shared" ref="AK28:AK34" si="365">IFERROR(IF(OR(AI28="",AJ28=""),"",AI28-AJ28),"")</f>
        <v/>
      </c>
      <c r="AL28" s="34"/>
      <c r="AM28" s="31" t="str">
        <f>IF(AL$98=1,AL28,AN28)</f>
        <v/>
      </c>
      <c r="AN28" s="35"/>
      <c r="AO28" s="33" t="str">
        <f t="shared" ref="AO28:AO34" si="367">IFERROR(IF(OR(AM28="",AN28=""),"",AM28-AN28),"")</f>
        <v/>
      </c>
      <c r="AP28" s="34"/>
      <c r="AQ28" s="31" t="str">
        <f>IF(AP$98=1,AP28,AR28)</f>
        <v/>
      </c>
      <c r="AR28" s="35"/>
      <c r="AS28" s="33" t="str">
        <f t="shared" ref="AS28:AS34" si="369">IFERROR(IF(OR(AQ28="",AR28=""),"",AQ28-AR28),"")</f>
        <v/>
      </c>
      <c r="AT28" s="34"/>
      <c r="AU28" s="31" t="str">
        <f>IF(AT$98=1,AT28,AV28)</f>
        <v/>
      </c>
      <c r="AV28" s="35"/>
      <c r="AW28" s="33" t="str">
        <f t="shared" ref="AW28:AW34" si="371">IFERROR(IF(OR(AU28="",AV28=""),"",AU28-AV28),"")</f>
        <v/>
      </c>
      <c r="AX28" s="34"/>
      <c r="AY28" s="31" t="str">
        <f>IF(AX$98=1,AX28,AZ28)</f>
        <v/>
      </c>
      <c r="AZ28" s="35"/>
      <c r="BA28" s="33" t="str">
        <f t="shared" ref="BA28:BA34" si="373">IFERROR(IF(OR(AY28="",AZ28=""),"",AY28-AZ28),"")</f>
        <v/>
      </c>
      <c r="BB28" s="34"/>
      <c r="BC28" s="31" t="str">
        <f>IF(BB$98=1,BB28,BD28)</f>
        <v/>
      </c>
      <c r="BD28" s="35"/>
      <c r="BE28" s="33" t="str">
        <f t="shared" ref="BE28:BE34" si="375">IFERROR(IF(OR(BC28="",BD28=""),"",BC28-BD28),"")</f>
        <v/>
      </c>
      <c r="BF28" s="34"/>
      <c r="BG28" s="31" t="str">
        <f>IF(BF$98=1,BF28,BH28)</f>
        <v/>
      </c>
      <c r="BH28" s="35"/>
      <c r="BI28" s="33" t="str">
        <f t="shared" ref="BI28:BI34" si="377">IFERROR(IF(OR(BG28="",BH28=""),"",BG28-BH28),"")</f>
        <v/>
      </c>
      <c r="BJ28" s="34"/>
      <c r="BK28" s="31" t="str">
        <f>IF(BJ$98=1,BJ28,BL28)</f>
        <v/>
      </c>
      <c r="BL28" s="35"/>
      <c r="BM28" s="33" t="str">
        <f t="shared" ref="BM28:BM34" si="379">IFERROR(IF(OR(BK28="",BL28=""),"",BK28-BL28),"")</f>
        <v/>
      </c>
      <c r="BN28" s="34"/>
      <c r="BO28" s="31" t="str">
        <f>IF(BN$98=1,BN28,BP28)</f>
        <v/>
      </c>
      <c r="BP28" s="35"/>
      <c r="BQ28" s="33" t="str">
        <f t="shared" ref="BQ28:BQ34" si="381">IFERROR(IF(OR(BO28="",BP28=""),"",BO28-BP28),"")</f>
        <v/>
      </c>
      <c r="BR28" s="34"/>
      <c r="BS28" s="31" t="str">
        <f>IF(BR$98=1,BR28,BT28)</f>
        <v/>
      </c>
      <c r="BT28" s="35"/>
      <c r="BU28" s="33" t="str">
        <f t="shared" ref="BU28:BU34" si="383">IFERROR(IF(OR(BS28="",BT28=""),"",BS28-BT28),"")</f>
        <v/>
      </c>
      <c r="BV28" s="34"/>
      <c r="BW28" s="31" t="str">
        <f>IF(BV$98=1,BV28,BX28)</f>
        <v/>
      </c>
      <c r="BX28" s="35"/>
      <c r="BY28" s="33" t="str">
        <f t="shared" ref="BY28:BY34" si="385">IFERROR(IF(OR(BW28="",BX28=""),"",BW28-BX28),"")</f>
        <v/>
      </c>
      <c r="BZ28" s="34"/>
      <c r="CA28" s="31" t="str">
        <f>IF(BZ$98=1,BZ28,CB28)</f>
        <v/>
      </c>
      <c r="CB28" s="35"/>
      <c r="CC28" s="33" t="str">
        <f t="shared" ref="CC28:CC34" si="387">IFERROR(IF(OR(CA28="",CB28=""),"",CA28-CB28),"")</f>
        <v/>
      </c>
      <c r="CD28" s="34"/>
      <c r="CE28" s="31" t="str">
        <f>IF(CD$98=1,CD28,CF28)</f>
        <v/>
      </c>
      <c r="CF28" s="35"/>
      <c r="CG28" s="33" t="str">
        <f t="shared" ref="CG28:CG34" si="389">IFERROR(IF(OR(CE28="",CF28=""),"",CE28-CF28),"")</f>
        <v/>
      </c>
      <c r="CH28" s="34"/>
      <c r="CI28" s="31" t="str">
        <f>IF(CH$98=1,CH28,CJ28)</f>
        <v/>
      </c>
      <c r="CJ28" s="35"/>
      <c r="CK28" s="33" t="str">
        <f t="shared" ref="CK28:CK34" si="391">IFERROR(IF(OR(CI28="",CJ28=""),"",CI28-CJ28),"")</f>
        <v/>
      </c>
      <c r="CL28" s="34"/>
      <c r="CM28" s="31" t="str">
        <f>IF(CL$98=1,CL28,CN28)</f>
        <v/>
      </c>
      <c r="CN28" s="35"/>
      <c r="CO28" s="33" t="str">
        <f t="shared" ref="CO28:CO34" si="393">IFERROR(IF(OR(CM28="",CN28=""),"",CM28-CN28),"")</f>
        <v/>
      </c>
      <c r="CP28" s="34"/>
      <c r="CQ28" s="31" t="str">
        <f>IF(CP$98=1,CP28,CR28)</f>
        <v/>
      </c>
      <c r="CR28" s="35"/>
      <c r="CS28" s="33" t="str">
        <f t="shared" ref="CS28:CS34" si="395">IFERROR(IF(OR(CQ28="",CR28=""),"",CQ28-CR28),"")</f>
        <v/>
      </c>
      <c r="CT28" s="34"/>
      <c r="CU28" s="31" t="str">
        <f>IF(CT$98=1,CT28,CV28)</f>
        <v/>
      </c>
      <c r="CV28" s="35"/>
      <c r="CW28" s="33" t="str">
        <f t="shared" ref="CW28:CW34" si="397">IFERROR(IF(OR(CU28="",CV28=""),"",CU28-CV28),"")</f>
        <v/>
      </c>
      <c r="CX28" s="34"/>
      <c r="CY28" s="31" t="str">
        <f>IF(CX$98=1,CX28,CZ28)</f>
        <v/>
      </c>
      <c r="CZ28" s="35"/>
      <c r="DA28" s="33" t="str">
        <f t="shared" ref="DA28:DA34" si="399">IFERROR(IF(OR(CY28="",CZ28=""),"",CY28-CZ28),"")</f>
        <v/>
      </c>
      <c r="DB28" s="34"/>
      <c r="DC28" s="31" t="str">
        <f>IF(DB$98=1,DB28,DD28)</f>
        <v/>
      </c>
      <c r="DD28" s="35"/>
      <c r="DE28" s="33" t="str">
        <f t="shared" ref="DE28:DE34" si="401">IFERROR(IF(OR(DC28="",DD28=""),"",DC28-DD28),"")</f>
        <v/>
      </c>
      <c r="DF28" s="34"/>
      <c r="DG28" s="31" t="str">
        <f>IF(DF$98=1,DF28,DH28)</f>
        <v/>
      </c>
      <c r="DH28" s="35"/>
      <c r="DI28" s="33" t="str">
        <f t="shared" ref="DI28:DI34" si="403">IFERROR(IF(OR(DG28="",DH28=""),"",DG28-DH28),"")</f>
        <v/>
      </c>
      <c r="DJ28" s="34"/>
      <c r="DK28" s="31" t="str">
        <f>IF(DJ$98=1,DJ28,DL28)</f>
        <v/>
      </c>
      <c r="DL28" s="35"/>
      <c r="DM28" s="33" t="str">
        <f t="shared" ref="DM28:DM34" si="405">IFERROR(IF(OR(DK28="",DL28=""),"",DK28-DL28),"")</f>
        <v/>
      </c>
      <c r="DN28" s="34"/>
      <c r="DO28" s="31" t="str">
        <f>IF(DN$98=1,DN28,DP28)</f>
        <v/>
      </c>
      <c r="DP28" s="35"/>
      <c r="DQ28" s="33" t="str">
        <f t="shared" ref="DQ28:DQ34" si="407">IFERROR(IF(OR(DO28="",DP28=""),"",DO28-DP28),"")</f>
        <v/>
      </c>
      <c r="DR28" s="34"/>
      <c r="DS28" s="31" t="str">
        <f>IF(DR$98=1,DR28,DT28)</f>
        <v/>
      </c>
      <c r="DT28" s="35"/>
      <c r="DU28" s="33" t="str">
        <f t="shared" ref="DU28:DU34" si="409">IFERROR(IF(OR(DS28="",DT28=""),"",DS28-DT28),"")</f>
        <v/>
      </c>
      <c r="DV28" s="34"/>
      <c r="DW28" s="31" t="str">
        <f>IF(DV$98=1,DV28,DX28)</f>
        <v/>
      </c>
      <c r="DX28" s="35"/>
      <c r="DY28" s="33" t="str">
        <f t="shared" ref="DY28:DY34" si="411">IFERROR(IF(OR(DW28="",DX28=""),"",DW28-DX28),"")</f>
        <v/>
      </c>
      <c r="DZ28" s="34"/>
      <c r="EA28" s="31" t="str">
        <f>IF(DZ$98=1,DZ28,EB28)</f>
        <v/>
      </c>
      <c r="EB28" s="35"/>
      <c r="EC28" s="33" t="str">
        <f t="shared" ref="EC28:EC34" si="413">IFERROR(IF(OR(EA28="",EB28=""),"",EA28-EB28),"")</f>
        <v/>
      </c>
      <c r="ED28" s="34"/>
      <c r="EE28" s="31" t="str">
        <f>IF(ED$98=1,ED28,EF28)</f>
        <v/>
      </c>
      <c r="EF28" s="35"/>
      <c r="EG28" s="33" t="str">
        <f t="shared" ref="EG28:EG34" si="415">IFERROR(IF(OR(EE28="",EF28=""),"",EE28-EF28),"")</f>
        <v/>
      </c>
      <c r="EH28" s="34"/>
      <c r="EI28" s="31" t="str">
        <f>IF(EH$98=1,EH28,EJ28)</f>
        <v/>
      </c>
      <c r="EJ28" s="35"/>
      <c r="EK28" s="33" t="str">
        <f t="shared" ref="EK28:EK34" si="417">IFERROR(IF(OR(EI28="",EJ28=""),"",EI28-EJ28),"")</f>
        <v/>
      </c>
      <c r="EL28" s="34"/>
      <c r="EM28" s="31" t="str">
        <f>IF(EL$98=1,EL28,EN28)</f>
        <v/>
      </c>
      <c r="EN28" s="35"/>
      <c r="EO28" s="33" t="str">
        <f t="shared" ref="EO28:EO34" si="419">IFERROR(IF(OR(EM28="",EN28=""),"",EM28-EN28),"")</f>
        <v/>
      </c>
      <c r="EP28" s="34"/>
      <c r="EQ28" s="31" t="str">
        <f>IF(EP$98=1,EP28,ER28)</f>
        <v/>
      </c>
      <c r="ER28" s="35"/>
      <c r="ES28" s="33" t="str">
        <f t="shared" ref="ES28:ES34" si="421">IFERROR(IF(OR(EQ28="",ER28=""),"",EQ28-ER28),"")</f>
        <v/>
      </c>
    </row>
    <row r="29" ht="18.0" customHeight="1">
      <c r="A29" s="2" t="s">
        <v>31</v>
      </c>
      <c r="B29" s="30">
        <f t="shared" ref="B29:D29" si="348">SUM(EP29,EL29,EH29,ED29,DZ29,DV29,DR29,DN29,DJ29,DF29,DB29,CX29,CT29,CP29,CL29,CH29,CD29,BZ29,BV29,BR29,BN29,BJ29,BF29,BB29,AX29,AT29,AP29,AL29,AH29,AD29,Z29,V29,R29,N29,J29,F29)</f>
        <v>0</v>
      </c>
      <c r="C29" s="31">
        <f t="shared" si="348"/>
        <v>0</v>
      </c>
      <c r="D29" s="32">
        <f t="shared" si="348"/>
        <v>0</v>
      </c>
      <c r="E29" s="33">
        <f t="shared" si="349"/>
        <v>0</v>
      </c>
      <c r="F29" s="30" t="str">
        <f t="shared" ref="F29:H29" si="350">IF(COUNT(F21,F18)=2,F21*F18,"")</f>
        <v/>
      </c>
      <c r="G29" s="31" t="str">
        <f t="shared" si="350"/>
        <v/>
      </c>
      <c r="H29" s="32" t="str">
        <f t="shared" si="350"/>
        <v/>
      </c>
      <c r="I29" s="33" t="str">
        <f t="shared" si="351"/>
        <v/>
      </c>
      <c r="J29" s="30" t="str">
        <f t="shared" ref="J29:L29" si="352">IF(COUNT(J21,J18)=2,J21*J18,"")</f>
        <v/>
      </c>
      <c r="K29" s="31" t="str">
        <f t="shared" si="352"/>
        <v/>
      </c>
      <c r="L29" s="32" t="str">
        <f t="shared" si="352"/>
        <v/>
      </c>
      <c r="M29" s="33" t="str">
        <f t="shared" si="353"/>
        <v/>
      </c>
      <c r="N29" s="30" t="str">
        <f t="shared" ref="N29:P29" si="354">IF(COUNT(N21,N18)=2,N21*N18,"")</f>
        <v/>
      </c>
      <c r="O29" s="31" t="str">
        <f t="shared" si="354"/>
        <v/>
      </c>
      <c r="P29" s="32" t="str">
        <f t="shared" si="354"/>
        <v/>
      </c>
      <c r="Q29" s="33" t="str">
        <f t="shared" si="355"/>
        <v/>
      </c>
      <c r="R29" s="30" t="str">
        <f t="shared" ref="R29:T29" si="356">IF(COUNT(R21,R18)=2,R21*R18,"")</f>
        <v/>
      </c>
      <c r="S29" s="31" t="str">
        <f t="shared" si="356"/>
        <v/>
      </c>
      <c r="T29" s="32" t="str">
        <f t="shared" si="356"/>
        <v/>
      </c>
      <c r="U29" s="33" t="str">
        <f t="shared" si="357"/>
        <v/>
      </c>
      <c r="V29" s="30" t="str">
        <f t="shared" ref="V29:X29" si="358">IF(COUNT(V21,V18)=2,V21*V18,"")</f>
        <v/>
      </c>
      <c r="W29" s="31" t="str">
        <f t="shared" si="358"/>
        <v/>
      </c>
      <c r="X29" s="32" t="str">
        <f t="shared" si="358"/>
        <v/>
      </c>
      <c r="Y29" s="33" t="str">
        <f t="shared" si="359"/>
        <v/>
      </c>
      <c r="Z29" s="30" t="str">
        <f t="shared" ref="Z29:AB29" si="360">IF(COUNT(Z21,Z18)=2,Z21*Z18,"")</f>
        <v/>
      </c>
      <c r="AA29" s="31" t="str">
        <f t="shared" si="360"/>
        <v/>
      </c>
      <c r="AB29" s="32" t="str">
        <f t="shared" si="360"/>
        <v/>
      </c>
      <c r="AC29" s="33" t="str">
        <f t="shared" si="361"/>
        <v/>
      </c>
      <c r="AD29" s="30" t="str">
        <f t="shared" ref="AD29:AF29" si="362">IF(COUNT(AD21,AD18)=2,AD21*AD18,"")</f>
        <v/>
      </c>
      <c r="AE29" s="31" t="str">
        <f t="shared" si="362"/>
        <v/>
      </c>
      <c r="AF29" s="32" t="str">
        <f t="shared" si="362"/>
        <v/>
      </c>
      <c r="AG29" s="33" t="str">
        <f t="shared" si="363"/>
        <v/>
      </c>
      <c r="AH29" s="30" t="str">
        <f t="shared" ref="AH29:AJ29" si="364">IF(COUNT(AH21,AH18)=2,AH21*AH18,"")</f>
        <v/>
      </c>
      <c r="AI29" s="31" t="str">
        <f t="shared" si="364"/>
        <v/>
      </c>
      <c r="AJ29" s="32" t="str">
        <f t="shared" si="364"/>
        <v/>
      </c>
      <c r="AK29" s="33" t="str">
        <f t="shared" si="365"/>
        <v/>
      </c>
      <c r="AL29" s="30" t="str">
        <f t="shared" ref="AL29:AN29" si="366">IF(COUNT(AL21,AL18)=2,AL21*AL18,"")</f>
        <v/>
      </c>
      <c r="AM29" s="31" t="str">
        <f t="shared" si="366"/>
        <v/>
      </c>
      <c r="AN29" s="32" t="str">
        <f t="shared" si="366"/>
        <v/>
      </c>
      <c r="AO29" s="33" t="str">
        <f t="shared" si="367"/>
        <v/>
      </c>
      <c r="AP29" s="30" t="str">
        <f t="shared" ref="AP29:AR29" si="368">IF(COUNT(AP21,AP18)=2,AP21*AP18,"")</f>
        <v/>
      </c>
      <c r="AQ29" s="31" t="str">
        <f t="shared" si="368"/>
        <v/>
      </c>
      <c r="AR29" s="32" t="str">
        <f t="shared" si="368"/>
        <v/>
      </c>
      <c r="AS29" s="33" t="str">
        <f t="shared" si="369"/>
        <v/>
      </c>
      <c r="AT29" s="30" t="str">
        <f t="shared" ref="AT29:AV29" si="370">IF(COUNT(AT21,AT18)=2,AT21*AT18,"")</f>
        <v/>
      </c>
      <c r="AU29" s="31" t="str">
        <f t="shared" si="370"/>
        <v/>
      </c>
      <c r="AV29" s="32" t="str">
        <f t="shared" si="370"/>
        <v/>
      </c>
      <c r="AW29" s="33" t="str">
        <f t="shared" si="371"/>
        <v/>
      </c>
      <c r="AX29" s="30" t="str">
        <f t="shared" ref="AX29:AZ29" si="372">IF(COUNT(AX21,AX18)=2,AX21*AX18,"")</f>
        <v/>
      </c>
      <c r="AY29" s="31" t="str">
        <f t="shared" si="372"/>
        <v/>
      </c>
      <c r="AZ29" s="32" t="str">
        <f t="shared" si="372"/>
        <v/>
      </c>
      <c r="BA29" s="33" t="str">
        <f t="shared" si="373"/>
        <v/>
      </c>
      <c r="BB29" s="30" t="str">
        <f t="shared" ref="BB29:BD29" si="374">IF(COUNT(BB21,BB18)=2,BB21*BB18,"")</f>
        <v/>
      </c>
      <c r="BC29" s="31" t="str">
        <f t="shared" si="374"/>
        <v/>
      </c>
      <c r="BD29" s="32" t="str">
        <f t="shared" si="374"/>
        <v/>
      </c>
      <c r="BE29" s="33" t="str">
        <f t="shared" si="375"/>
        <v/>
      </c>
      <c r="BF29" s="30" t="str">
        <f t="shared" ref="BF29:BH29" si="376">IF(COUNT(BF21,BF18)=2,BF21*BF18,"")</f>
        <v/>
      </c>
      <c r="BG29" s="31" t="str">
        <f t="shared" si="376"/>
        <v/>
      </c>
      <c r="BH29" s="32" t="str">
        <f t="shared" si="376"/>
        <v/>
      </c>
      <c r="BI29" s="33" t="str">
        <f t="shared" si="377"/>
        <v/>
      </c>
      <c r="BJ29" s="30" t="str">
        <f t="shared" ref="BJ29:BL29" si="378">IF(COUNT(BJ21,BJ18)=2,BJ21*BJ18,"")</f>
        <v/>
      </c>
      <c r="BK29" s="31" t="str">
        <f t="shared" si="378"/>
        <v/>
      </c>
      <c r="BL29" s="32" t="str">
        <f t="shared" si="378"/>
        <v/>
      </c>
      <c r="BM29" s="33" t="str">
        <f t="shared" si="379"/>
        <v/>
      </c>
      <c r="BN29" s="30" t="str">
        <f t="shared" ref="BN29:BP29" si="380">IF(COUNT(BN21,BN18)=2,BN21*BN18,"")</f>
        <v/>
      </c>
      <c r="BO29" s="31" t="str">
        <f t="shared" si="380"/>
        <v/>
      </c>
      <c r="BP29" s="32" t="str">
        <f t="shared" si="380"/>
        <v/>
      </c>
      <c r="BQ29" s="33" t="str">
        <f t="shared" si="381"/>
        <v/>
      </c>
      <c r="BR29" s="30" t="str">
        <f t="shared" ref="BR29:BT29" si="382">IF(COUNT(BR21,BR18)=2,BR21*BR18,"")</f>
        <v/>
      </c>
      <c r="BS29" s="31" t="str">
        <f t="shared" si="382"/>
        <v/>
      </c>
      <c r="BT29" s="32" t="str">
        <f t="shared" si="382"/>
        <v/>
      </c>
      <c r="BU29" s="33" t="str">
        <f t="shared" si="383"/>
        <v/>
      </c>
      <c r="BV29" s="30" t="str">
        <f t="shared" ref="BV29:BX29" si="384">IF(COUNT(BV21,BV18)=2,BV21*BV18,"")</f>
        <v/>
      </c>
      <c r="BW29" s="31" t="str">
        <f t="shared" si="384"/>
        <v/>
      </c>
      <c r="BX29" s="32" t="str">
        <f t="shared" si="384"/>
        <v/>
      </c>
      <c r="BY29" s="33" t="str">
        <f t="shared" si="385"/>
        <v/>
      </c>
      <c r="BZ29" s="30" t="str">
        <f t="shared" ref="BZ29:CB29" si="386">IF(COUNT(BZ21,BZ18)=2,BZ21*BZ18,"")</f>
        <v/>
      </c>
      <c r="CA29" s="31" t="str">
        <f t="shared" si="386"/>
        <v/>
      </c>
      <c r="CB29" s="32" t="str">
        <f t="shared" si="386"/>
        <v/>
      </c>
      <c r="CC29" s="33" t="str">
        <f t="shared" si="387"/>
        <v/>
      </c>
      <c r="CD29" s="30" t="str">
        <f t="shared" ref="CD29:CF29" si="388">IF(COUNT(CD21,CD18)=2,CD21*CD18,"")</f>
        <v/>
      </c>
      <c r="CE29" s="31" t="str">
        <f t="shared" si="388"/>
        <v/>
      </c>
      <c r="CF29" s="32" t="str">
        <f t="shared" si="388"/>
        <v/>
      </c>
      <c r="CG29" s="33" t="str">
        <f t="shared" si="389"/>
        <v/>
      </c>
      <c r="CH29" s="30" t="str">
        <f t="shared" ref="CH29:CJ29" si="390">IF(COUNT(CH21,CH18)=2,CH21*CH18,"")</f>
        <v/>
      </c>
      <c r="CI29" s="31" t="str">
        <f t="shared" si="390"/>
        <v/>
      </c>
      <c r="CJ29" s="32" t="str">
        <f t="shared" si="390"/>
        <v/>
      </c>
      <c r="CK29" s="33" t="str">
        <f t="shared" si="391"/>
        <v/>
      </c>
      <c r="CL29" s="30" t="str">
        <f t="shared" ref="CL29:CN29" si="392">IF(COUNT(CL21,CL18)=2,CL21*CL18,"")</f>
        <v/>
      </c>
      <c r="CM29" s="31" t="str">
        <f t="shared" si="392"/>
        <v/>
      </c>
      <c r="CN29" s="32" t="str">
        <f t="shared" si="392"/>
        <v/>
      </c>
      <c r="CO29" s="33" t="str">
        <f t="shared" si="393"/>
        <v/>
      </c>
      <c r="CP29" s="30" t="str">
        <f t="shared" ref="CP29:CR29" si="394">IF(COUNT(CP21,CP18)=2,CP21*CP18,"")</f>
        <v/>
      </c>
      <c r="CQ29" s="31" t="str">
        <f t="shared" si="394"/>
        <v/>
      </c>
      <c r="CR29" s="32" t="str">
        <f t="shared" si="394"/>
        <v/>
      </c>
      <c r="CS29" s="33" t="str">
        <f t="shared" si="395"/>
        <v/>
      </c>
      <c r="CT29" s="30" t="str">
        <f t="shared" ref="CT29:CV29" si="396">IF(COUNT(CT21,CT18)=2,CT21*CT18,"")</f>
        <v/>
      </c>
      <c r="CU29" s="31" t="str">
        <f t="shared" si="396"/>
        <v/>
      </c>
      <c r="CV29" s="32" t="str">
        <f t="shared" si="396"/>
        <v/>
      </c>
      <c r="CW29" s="33" t="str">
        <f t="shared" si="397"/>
        <v/>
      </c>
      <c r="CX29" s="30" t="str">
        <f t="shared" ref="CX29:CZ29" si="398">IF(COUNT(CX21,CX18)=2,CX21*CX18,"")</f>
        <v/>
      </c>
      <c r="CY29" s="31" t="str">
        <f t="shared" si="398"/>
        <v/>
      </c>
      <c r="CZ29" s="32" t="str">
        <f t="shared" si="398"/>
        <v/>
      </c>
      <c r="DA29" s="33" t="str">
        <f t="shared" si="399"/>
        <v/>
      </c>
      <c r="DB29" s="30" t="str">
        <f t="shared" ref="DB29:DD29" si="400">IF(COUNT(DB21,DB18)=2,DB21*DB18,"")</f>
        <v/>
      </c>
      <c r="DC29" s="31" t="str">
        <f t="shared" si="400"/>
        <v/>
      </c>
      <c r="DD29" s="32" t="str">
        <f t="shared" si="400"/>
        <v/>
      </c>
      <c r="DE29" s="33" t="str">
        <f t="shared" si="401"/>
        <v/>
      </c>
      <c r="DF29" s="30" t="str">
        <f t="shared" ref="DF29:DH29" si="402">IF(COUNT(DF21,DF18)=2,DF21*DF18,"")</f>
        <v/>
      </c>
      <c r="DG29" s="31" t="str">
        <f t="shared" si="402"/>
        <v/>
      </c>
      <c r="DH29" s="32" t="str">
        <f t="shared" si="402"/>
        <v/>
      </c>
      <c r="DI29" s="33" t="str">
        <f t="shared" si="403"/>
        <v/>
      </c>
      <c r="DJ29" s="30" t="str">
        <f t="shared" ref="DJ29:DL29" si="404">IF(COUNT(DJ21,DJ18)=2,DJ21*DJ18,"")</f>
        <v/>
      </c>
      <c r="DK29" s="31" t="str">
        <f t="shared" si="404"/>
        <v/>
      </c>
      <c r="DL29" s="32" t="str">
        <f t="shared" si="404"/>
        <v/>
      </c>
      <c r="DM29" s="33" t="str">
        <f t="shared" si="405"/>
        <v/>
      </c>
      <c r="DN29" s="30" t="str">
        <f t="shared" ref="DN29:DP29" si="406">IF(COUNT(DN21,DN18)=2,DN21*DN18,"")</f>
        <v/>
      </c>
      <c r="DO29" s="31" t="str">
        <f t="shared" si="406"/>
        <v/>
      </c>
      <c r="DP29" s="32" t="str">
        <f t="shared" si="406"/>
        <v/>
      </c>
      <c r="DQ29" s="33" t="str">
        <f t="shared" si="407"/>
        <v/>
      </c>
      <c r="DR29" s="30" t="str">
        <f t="shared" ref="DR29:DT29" si="408">IF(COUNT(DR21,DR18)=2,DR21*DR18,"")</f>
        <v/>
      </c>
      <c r="DS29" s="31" t="str">
        <f t="shared" si="408"/>
        <v/>
      </c>
      <c r="DT29" s="32" t="str">
        <f t="shared" si="408"/>
        <v/>
      </c>
      <c r="DU29" s="33" t="str">
        <f t="shared" si="409"/>
        <v/>
      </c>
      <c r="DV29" s="30" t="str">
        <f t="shared" ref="DV29:DX29" si="410">IF(COUNT(DV21,DV18)=2,DV21*DV18,"")</f>
        <v/>
      </c>
      <c r="DW29" s="31" t="str">
        <f t="shared" si="410"/>
        <v/>
      </c>
      <c r="DX29" s="32" t="str">
        <f t="shared" si="410"/>
        <v/>
      </c>
      <c r="DY29" s="33" t="str">
        <f t="shared" si="411"/>
        <v/>
      </c>
      <c r="DZ29" s="30" t="str">
        <f t="shared" ref="DZ29:EB29" si="412">IF(COUNT(DZ21,DZ18)=2,DZ21*DZ18,"")</f>
        <v/>
      </c>
      <c r="EA29" s="31" t="str">
        <f t="shared" si="412"/>
        <v/>
      </c>
      <c r="EB29" s="32" t="str">
        <f t="shared" si="412"/>
        <v/>
      </c>
      <c r="EC29" s="33" t="str">
        <f t="shared" si="413"/>
        <v/>
      </c>
      <c r="ED29" s="30" t="str">
        <f t="shared" ref="ED29:EF29" si="414">IF(COUNT(ED21,ED18)=2,ED21*ED18,"")</f>
        <v/>
      </c>
      <c r="EE29" s="31" t="str">
        <f t="shared" si="414"/>
        <v/>
      </c>
      <c r="EF29" s="32" t="str">
        <f t="shared" si="414"/>
        <v/>
      </c>
      <c r="EG29" s="33" t="str">
        <f t="shared" si="415"/>
        <v/>
      </c>
      <c r="EH29" s="30" t="str">
        <f t="shared" ref="EH29:EJ29" si="416">IF(COUNT(EH21,EH18)=2,EH21*EH18,"")</f>
        <v/>
      </c>
      <c r="EI29" s="31" t="str">
        <f t="shared" si="416"/>
        <v/>
      </c>
      <c r="EJ29" s="32" t="str">
        <f t="shared" si="416"/>
        <v/>
      </c>
      <c r="EK29" s="33" t="str">
        <f t="shared" si="417"/>
        <v/>
      </c>
      <c r="EL29" s="30" t="str">
        <f t="shared" ref="EL29:EN29" si="418">IF(COUNT(EL21,EL18)=2,EL21*EL18,"")</f>
        <v/>
      </c>
      <c r="EM29" s="31" t="str">
        <f t="shared" si="418"/>
        <v/>
      </c>
      <c r="EN29" s="32" t="str">
        <f t="shared" si="418"/>
        <v/>
      </c>
      <c r="EO29" s="33" t="str">
        <f t="shared" si="419"/>
        <v/>
      </c>
      <c r="EP29" s="30" t="str">
        <f t="shared" ref="EP29:ER29" si="420">IF(COUNT(EP21,EP18)=2,EP21*EP18,"")</f>
        <v/>
      </c>
      <c r="EQ29" s="31" t="str">
        <f t="shared" si="420"/>
        <v/>
      </c>
      <c r="ER29" s="32" t="str">
        <f t="shared" si="420"/>
        <v/>
      </c>
      <c r="ES29" s="33" t="str">
        <f t="shared" si="421"/>
        <v/>
      </c>
    </row>
    <row r="30" ht="18.0" customHeight="1">
      <c r="A30" s="2" t="s">
        <v>32</v>
      </c>
      <c r="B30" s="30">
        <f t="shared" ref="B30:D30" si="422">SUM(EP30,EL30,EH30,ED30,DZ30,DV30,DR30,DN30,DJ30,DF30,DB30,CX30,CT30,CP30,CL30,CH30,CD30,BZ30,BV30,BR30,BN30,BJ30,BF30,BB30,AX30,AT30,AP30,AL30,AH30,AD30,Z30,V30,R30,N30,J30,F30)</f>
        <v>0</v>
      </c>
      <c r="C30" s="31">
        <f t="shared" si="422"/>
        <v>0</v>
      </c>
      <c r="D30" s="32">
        <f t="shared" si="422"/>
        <v>0</v>
      </c>
      <c r="E30" s="33">
        <f t="shared" si="349"/>
        <v>0</v>
      </c>
      <c r="F30" s="34"/>
      <c r="G30" s="31" t="str">
        <f t="shared" ref="G30:G33" si="424">IF(F$98=1,F30,H30)</f>
        <v/>
      </c>
      <c r="H30" s="35"/>
      <c r="I30" s="33" t="str">
        <f t="shared" si="351"/>
        <v/>
      </c>
      <c r="J30" s="34"/>
      <c r="K30" s="31" t="str">
        <f t="shared" ref="K30:K33" si="425">IF(J$98=1,J30,L30)</f>
        <v/>
      </c>
      <c r="L30" s="35"/>
      <c r="M30" s="33" t="str">
        <f t="shared" si="353"/>
        <v/>
      </c>
      <c r="N30" s="34"/>
      <c r="O30" s="31" t="str">
        <f t="shared" ref="O30:O33" si="426">IF(N$98=1,N30,P30)</f>
        <v/>
      </c>
      <c r="P30" s="35"/>
      <c r="Q30" s="33" t="str">
        <f t="shared" si="355"/>
        <v/>
      </c>
      <c r="R30" s="34"/>
      <c r="S30" s="31" t="str">
        <f t="shared" ref="S30:S33" si="427">IF(R$98=1,R30,T30)</f>
        <v/>
      </c>
      <c r="T30" s="35"/>
      <c r="U30" s="33" t="str">
        <f t="shared" si="357"/>
        <v/>
      </c>
      <c r="V30" s="34"/>
      <c r="W30" s="31" t="str">
        <f t="shared" ref="W30:W33" si="428">IF(V$98=1,V30,X30)</f>
        <v/>
      </c>
      <c r="X30" s="35"/>
      <c r="Y30" s="33" t="str">
        <f t="shared" si="359"/>
        <v/>
      </c>
      <c r="Z30" s="34"/>
      <c r="AA30" s="31" t="str">
        <f t="shared" ref="AA30:AA33" si="429">IF(Z$98=1,Z30,AB30)</f>
        <v/>
      </c>
      <c r="AB30" s="35"/>
      <c r="AC30" s="33" t="str">
        <f t="shared" si="361"/>
        <v/>
      </c>
      <c r="AD30" s="34"/>
      <c r="AE30" s="31" t="str">
        <f t="shared" ref="AE30:AE33" si="430">IF(AD$98=1,AD30,AF30)</f>
        <v/>
      </c>
      <c r="AF30" s="35"/>
      <c r="AG30" s="33" t="str">
        <f t="shared" si="363"/>
        <v/>
      </c>
      <c r="AH30" s="34"/>
      <c r="AI30" s="31" t="str">
        <f t="shared" ref="AI30:AI33" si="431">IF(AH$98=1,AH30,AJ30)</f>
        <v/>
      </c>
      <c r="AJ30" s="35"/>
      <c r="AK30" s="33" t="str">
        <f t="shared" si="365"/>
        <v/>
      </c>
      <c r="AL30" s="34"/>
      <c r="AM30" s="31" t="str">
        <f t="shared" ref="AM30:AM33" si="432">IF(AL$98=1,AL30,AN30)</f>
        <v/>
      </c>
      <c r="AN30" s="35"/>
      <c r="AO30" s="33" t="str">
        <f t="shared" si="367"/>
        <v/>
      </c>
      <c r="AP30" s="34"/>
      <c r="AQ30" s="31" t="str">
        <f t="shared" ref="AQ30:AQ33" si="433">IF(AP$98=1,AP30,AR30)</f>
        <v/>
      </c>
      <c r="AR30" s="35"/>
      <c r="AS30" s="33" t="str">
        <f t="shared" si="369"/>
        <v/>
      </c>
      <c r="AT30" s="34"/>
      <c r="AU30" s="31" t="str">
        <f t="shared" ref="AU30:AU33" si="434">IF(AT$98=1,AT30,AV30)</f>
        <v/>
      </c>
      <c r="AV30" s="35"/>
      <c r="AW30" s="33" t="str">
        <f t="shared" si="371"/>
        <v/>
      </c>
      <c r="AX30" s="34"/>
      <c r="AY30" s="31" t="str">
        <f t="shared" ref="AY30:AY33" si="435">IF(AX$98=1,AX30,AZ30)</f>
        <v/>
      </c>
      <c r="AZ30" s="35"/>
      <c r="BA30" s="33" t="str">
        <f t="shared" si="373"/>
        <v/>
      </c>
      <c r="BB30" s="34"/>
      <c r="BC30" s="31" t="str">
        <f t="shared" ref="BC30:BC33" si="436">IF(BB$98=1,BB30,BD30)</f>
        <v/>
      </c>
      <c r="BD30" s="35"/>
      <c r="BE30" s="33" t="str">
        <f t="shared" si="375"/>
        <v/>
      </c>
      <c r="BF30" s="34"/>
      <c r="BG30" s="31" t="str">
        <f t="shared" ref="BG30:BG33" si="437">IF(BF$98=1,BF30,BH30)</f>
        <v/>
      </c>
      <c r="BH30" s="35"/>
      <c r="BI30" s="33" t="str">
        <f t="shared" si="377"/>
        <v/>
      </c>
      <c r="BJ30" s="34"/>
      <c r="BK30" s="31" t="str">
        <f t="shared" ref="BK30:BK33" si="438">IF(BJ$98=1,BJ30,BL30)</f>
        <v/>
      </c>
      <c r="BL30" s="35"/>
      <c r="BM30" s="33" t="str">
        <f t="shared" si="379"/>
        <v/>
      </c>
      <c r="BN30" s="34"/>
      <c r="BO30" s="31" t="str">
        <f t="shared" ref="BO30:BO33" si="439">IF(BN$98=1,BN30,BP30)</f>
        <v/>
      </c>
      <c r="BP30" s="35"/>
      <c r="BQ30" s="33" t="str">
        <f t="shared" si="381"/>
        <v/>
      </c>
      <c r="BR30" s="34"/>
      <c r="BS30" s="31" t="str">
        <f t="shared" ref="BS30:BS33" si="440">IF(BR$98=1,BR30,BT30)</f>
        <v/>
      </c>
      <c r="BT30" s="35"/>
      <c r="BU30" s="33" t="str">
        <f t="shared" si="383"/>
        <v/>
      </c>
      <c r="BV30" s="34"/>
      <c r="BW30" s="31" t="str">
        <f t="shared" ref="BW30:BW33" si="441">IF(BV$98=1,BV30,BX30)</f>
        <v/>
      </c>
      <c r="BX30" s="35"/>
      <c r="BY30" s="33" t="str">
        <f t="shared" si="385"/>
        <v/>
      </c>
      <c r="BZ30" s="34"/>
      <c r="CA30" s="31" t="str">
        <f t="shared" ref="CA30:CA33" si="442">IF(BZ$98=1,BZ30,CB30)</f>
        <v/>
      </c>
      <c r="CB30" s="35"/>
      <c r="CC30" s="33" t="str">
        <f t="shared" si="387"/>
        <v/>
      </c>
      <c r="CD30" s="34"/>
      <c r="CE30" s="31" t="str">
        <f t="shared" ref="CE30:CE33" si="443">IF(CD$98=1,CD30,CF30)</f>
        <v/>
      </c>
      <c r="CF30" s="35"/>
      <c r="CG30" s="33" t="str">
        <f t="shared" si="389"/>
        <v/>
      </c>
      <c r="CH30" s="34"/>
      <c r="CI30" s="31" t="str">
        <f t="shared" ref="CI30:CI33" si="444">IF(CH$98=1,CH30,CJ30)</f>
        <v/>
      </c>
      <c r="CJ30" s="35"/>
      <c r="CK30" s="33" t="str">
        <f t="shared" si="391"/>
        <v/>
      </c>
      <c r="CL30" s="34"/>
      <c r="CM30" s="31" t="str">
        <f t="shared" ref="CM30:CM33" si="445">IF(CL$98=1,CL30,CN30)</f>
        <v/>
      </c>
      <c r="CN30" s="35"/>
      <c r="CO30" s="33" t="str">
        <f t="shared" si="393"/>
        <v/>
      </c>
      <c r="CP30" s="34"/>
      <c r="CQ30" s="31" t="str">
        <f t="shared" ref="CQ30:CQ33" si="446">IF(CP$98=1,CP30,CR30)</f>
        <v/>
      </c>
      <c r="CR30" s="35"/>
      <c r="CS30" s="33" t="str">
        <f t="shared" si="395"/>
        <v/>
      </c>
      <c r="CT30" s="34"/>
      <c r="CU30" s="31" t="str">
        <f t="shared" ref="CU30:CU33" si="447">IF(CT$98=1,CT30,CV30)</f>
        <v/>
      </c>
      <c r="CV30" s="35"/>
      <c r="CW30" s="33" t="str">
        <f t="shared" si="397"/>
        <v/>
      </c>
      <c r="CX30" s="34"/>
      <c r="CY30" s="31" t="str">
        <f t="shared" ref="CY30:CY33" si="448">IF(CX$98=1,CX30,CZ30)</f>
        <v/>
      </c>
      <c r="CZ30" s="35"/>
      <c r="DA30" s="33" t="str">
        <f t="shared" si="399"/>
        <v/>
      </c>
      <c r="DB30" s="34"/>
      <c r="DC30" s="31" t="str">
        <f t="shared" ref="DC30:DC33" si="449">IF(DB$98=1,DB30,DD30)</f>
        <v/>
      </c>
      <c r="DD30" s="35"/>
      <c r="DE30" s="33" t="str">
        <f t="shared" si="401"/>
        <v/>
      </c>
      <c r="DF30" s="34"/>
      <c r="DG30" s="31" t="str">
        <f t="shared" ref="DG30:DG33" si="450">IF(DF$98=1,DF30,DH30)</f>
        <v/>
      </c>
      <c r="DH30" s="35"/>
      <c r="DI30" s="33" t="str">
        <f t="shared" si="403"/>
        <v/>
      </c>
      <c r="DJ30" s="34"/>
      <c r="DK30" s="31" t="str">
        <f t="shared" ref="DK30:DK33" si="451">IF(DJ$98=1,DJ30,DL30)</f>
        <v/>
      </c>
      <c r="DL30" s="35"/>
      <c r="DM30" s="33" t="str">
        <f t="shared" si="405"/>
        <v/>
      </c>
      <c r="DN30" s="34"/>
      <c r="DO30" s="31" t="str">
        <f t="shared" ref="DO30:DO33" si="452">IF(DN$98=1,DN30,DP30)</f>
        <v/>
      </c>
      <c r="DP30" s="35"/>
      <c r="DQ30" s="33" t="str">
        <f t="shared" si="407"/>
        <v/>
      </c>
      <c r="DR30" s="34"/>
      <c r="DS30" s="31" t="str">
        <f t="shared" ref="DS30:DS33" si="453">IF(DR$98=1,DR30,DT30)</f>
        <v/>
      </c>
      <c r="DT30" s="35"/>
      <c r="DU30" s="33" t="str">
        <f t="shared" si="409"/>
        <v/>
      </c>
      <c r="DV30" s="34"/>
      <c r="DW30" s="31" t="str">
        <f t="shared" ref="DW30:DW33" si="454">IF(DV$98=1,DV30,DX30)</f>
        <v/>
      </c>
      <c r="DX30" s="35"/>
      <c r="DY30" s="33" t="str">
        <f t="shared" si="411"/>
        <v/>
      </c>
      <c r="DZ30" s="34"/>
      <c r="EA30" s="31" t="str">
        <f t="shared" ref="EA30:EA33" si="455">IF(DZ$98=1,DZ30,EB30)</f>
        <v/>
      </c>
      <c r="EB30" s="35"/>
      <c r="EC30" s="33" t="str">
        <f t="shared" si="413"/>
        <v/>
      </c>
      <c r="ED30" s="34"/>
      <c r="EE30" s="31" t="str">
        <f t="shared" ref="EE30:EE33" si="456">IF(ED$98=1,ED30,EF30)</f>
        <v/>
      </c>
      <c r="EF30" s="35"/>
      <c r="EG30" s="33" t="str">
        <f t="shared" si="415"/>
        <v/>
      </c>
      <c r="EH30" s="34"/>
      <c r="EI30" s="31" t="str">
        <f t="shared" ref="EI30:EI33" si="457">IF(EH$98=1,EH30,EJ30)</f>
        <v/>
      </c>
      <c r="EJ30" s="35"/>
      <c r="EK30" s="33" t="str">
        <f t="shared" si="417"/>
        <v/>
      </c>
      <c r="EL30" s="34"/>
      <c r="EM30" s="31" t="str">
        <f t="shared" ref="EM30:EM33" si="458">IF(EL$98=1,EL30,EN30)</f>
        <v/>
      </c>
      <c r="EN30" s="35"/>
      <c r="EO30" s="33" t="str">
        <f t="shared" si="419"/>
        <v/>
      </c>
      <c r="EP30" s="34"/>
      <c r="EQ30" s="31" t="str">
        <f t="shared" ref="EQ30:EQ33" si="459">IF(EP$98=1,EP30,ER30)</f>
        <v/>
      </c>
      <c r="ER30" s="35"/>
      <c r="ES30" s="33" t="str">
        <f t="shared" si="421"/>
        <v/>
      </c>
    </row>
    <row r="31" ht="18.0" customHeight="1">
      <c r="A31" s="2" t="s">
        <v>33</v>
      </c>
      <c r="B31" s="30">
        <f t="shared" ref="B31:D31" si="423">SUM(EP31,EL31,EH31,ED31,DZ31,DV31,DR31,DN31,DJ31,DF31,DB31,CX31,CT31,CP31,CL31,CH31,CD31,BZ31,BV31,BR31,BN31,BJ31,BF31,BB31,AX31,AT31,AP31,AL31,AH31,AD31,Z31,V31,R31,N31,J31,F31)</f>
        <v>0</v>
      </c>
      <c r="C31" s="31">
        <f t="shared" si="423"/>
        <v>0</v>
      </c>
      <c r="D31" s="32">
        <f t="shared" si="423"/>
        <v>0</v>
      </c>
      <c r="E31" s="33">
        <f t="shared" si="349"/>
        <v>0</v>
      </c>
      <c r="F31" s="34"/>
      <c r="G31" s="31" t="str">
        <f t="shared" si="424"/>
        <v/>
      </c>
      <c r="H31" s="35"/>
      <c r="I31" s="33" t="str">
        <f t="shared" si="351"/>
        <v/>
      </c>
      <c r="J31" s="34"/>
      <c r="K31" s="31" t="str">
        <f t="shared" si="425"/>
        <v/>
      </c>
      <c r="L31" s="35"/>
      <c r="M31" s="33" t="str">
        <f t="shared" si="353"/>
        <v/>
      </c>
      <c r="N31" s="34"/>
      <c r="O31" s="31" t="str">
        <f t="shared" si="426"/>
        <v/>
      </c>
      <c r="P31" s="35"/>
      <c r="Q31" s="33" t="str">
        <f t="shared" si="355"/>
        <v/>
      </c>
      <c r="R31" s="34"/>
      <c r="S31" s="31" t="str">
        <f t="shared" si="427"/>
        <v/>
      </c>
      <c r="T31" s="35"/>
      <c r="U31" s="33" t="str">
        <f t="shared" si="357"/>
        <v/>
      </c>
      <c r="V31" s="34"/>
      <c r="W31" s="31" t="str">
        <f t="shared" si="428"/>
        <v/>
      </c>
      <c r="X31" s="35"/>
      <c r="Y31" s="33" t="str">
        <f t="shared" si="359"/>
        <v/>
      </c>
      <c r="Z31" s="34"/>
      <c r="AA31" s="31" t="str">
        <f t="shared" si="429"/>
        <v/>
      </c>
      <c r="AB31" s="35"/>
      <c r="AC31" s="33" t="str">
        <f t="shared" si="361"/>
        <v/>
      </c>
      <c r="AD31" s="34"/>
      <c r="AE31" s="31" t="str">
        <f t="shared" si="430"/>
        <v/>
      </c>
      <c r="AF31" s="35"/>
      <c r="AG31" s="33" t="str">
        <f t="shared" si="363"/>
        <v/>
      </c>
      <c r="AH31" s="34"/>
      <c r="AI31" s="31" t="str">
        <f t="shared" si="431"/>
        <v/>
      </c>
      <c r="AJ31" s="35"/>
      <c r="AK31" s="33" t="str">
        <f t="shared" si="365"/>
        <v/>
      </c>
      <c r="AL31" s="34"/>
      <c r="AM31" s="31" t="str">
        <f t="shared" si="432"/>
        <v/>
      </c>
      <c r="AN31" s="35"/>
      <c r="AO31" s="33" t="str">
        <f t="shared" si="367"/>
        <v/>
      </c>
      <c r="AP31" s="34"/>
      <c r="AQ31" s="31" t="str">
        <f t="shared" si="433"/>
        <v/>
      </c>
      <c r="AR31" s="35"/>
      <c r="AS31" s="33" t="str">
        <f t="shared" si="369"/>
        <v/>
      </c>
      <c r="AT31" s="34"/>
      <c r="AU31" s="31" t="str">
        <f t="shared" si="434"/>
        <v/>
      </c>
      <c r="AV31" s="35"/>
      <c r="AW31" s="33" t="str">
        <f t="shared" si="371"/>
        <v/>
      </c>
      <c r="AX31" s="34"/>
      <c r="AY31" s="31" t="str">
        <f t="shared" si="435"/>
        <v/>
      </c>
      <c r="AZ31" s="35"/>
      <c r="BA31" s="33" t="str">
        <f t="shared" si="373"/>
        <v/>
      </c>
      <c r="BB31" s="34"/>
      <c r="BC31" s="31" t="str">
        <f t="shared" si="436"/>
        <v/>
      </c>
      <c r="BD31" s="35"/>
      <c r="BE31" s="33" t="str">
        <f t="shared" si="375"/>
        <v/>
      </c>
      <c r="BF31" s="34"/>
      <c r="BG31" s="31" t="str">
        <f t="shared" si="437"/>
        <v/>
      </c>
      <c r="BH31" s="35"/>
      <c r="BI31" s="33" t="str">
        <f t="shared" si="377"/>
        <v/>
      </c>
      <c r="BJ31" s="34"/>
      <c r="BK31" s="31" t="str">
        <f t="shared" si="438"/>
        <v/>
      </c>
      <c r="BL31" s="35"/>
      <c r="BM31" s="33" t="str">
        <f t="shared" si="379"/>
        <v/>
      </c>
      <c r="BN31" s="34"/>
      <c r="BO31" s="31" t="str">
        <f t="shared" si="439"/>
        <v/>
      </c>
      <c r="BP31" s="35"/>
      <c r="BQ31" s="33" t="str">
        <f t="shared" si="381"/>
        <v/>
      </c>
      <c r="BR31" s="34"/>
      <c r="BS31" s="31" t="str">
        <f t="shared" si="440"/>
        <v/>
      </c>
      <c r="BT31" s="35"/>
      <c r="BU31" s="33" t="str">
        <f t="shared" si="383"/>
        <v/>
      </c>
      <c r="BV31" s="34"/>
      <c r="BW31" s="31" t="str">
        <f t="shared" si="441"/>
        <v/>
      </c>
      <c r="BX31" s="35"/>
      <c r="BY31" s="33" t="str">
        <f t="shared" si="385"/>
        <v/>
      </c>
      <c r="BZ31" s="34"/>
      <c r="CA31" s="31" t="str">
        <f t="shared" si="442"/>
        <v/>
      </c>
      <c r="CB31" s="35"/>
      <c r="CC31" s="33" t="str">
        <f t="shared" si="387"/>
        <v/>
      </c>
      <c r="CD31" s="34"/>
      <c r="CE31" s="31" t="str">
        <f t="shared" si="443"/>
        <v/>
      </c>
      <c r="CF31" s="35"/>
      <c r="CG31" s="33" t="str">
        <f t="shared" si="389"/>
        <v/>
      </c>
      <c r="CH31" s="34"/>
      <c r="CI31" s="31" t="str">
        <f t="shared" si="444"/>
        <v/>
      </c>
      <c r="CJ31" s="35"/>
      <c r="CK31" s="33" t="str">
        <f t="shared" si="391"/>
        <v/>
      </c>
      <c r="CL31" s="34"/>
      <c r="CM31" s="31" t="str">
        <f t="shared" si="445"/>
        <v/>
      </c>
      <c r="CN31" s="35"/>
      <c r="CO31" s="33" t="str">
        <f t="shared" si="393"/>
        <v/>
      </c>
      <c r="CP31" s="34"/>
      <c r="CQ31" s="31" t="str">
        <f t="shared" si="446"/>
        <v/>
      </c>
      <c r="CR31" s="35"/>
      <c r="CS31" s="33" t="str">
        <f t="shared" si="395"/>
        <v/>
      </c>
      <c r="CT31" s="34"/>
      <c r="CU31" s="31" t="str">
        <f t="shared" si="447"/>
        <v/>
      </c>
      <c r="CV31" s="35"/>
      <c r="CW31" s="33" t="str">
        <f t="shared" si="397"/>
        <v/>
      </c>
      <c r="CX31" s="34"/>
      <c r="CY31" s="31" t="str">
        <f t="shared" si="448"/>
        <v/>
      </c>
      <c r="CZ31" s="35"/>
      <c r="DA31" s="33" t="str">
        <f t="shared" si="399"/>
        <v/>
      </c>
      <c r="DB31" s="34"/>
      <c r="DC31" s="31" t="str">
        <f t="shared" si="449"/>
        <v/>
      </c>
      <c r="DD31" s="35"/>
      <c r="DE31" s="33" t="str">
        <f t="shared" si="401"/>
        <v/>
      </c>
      <c r="DF31" s="34"/>
      <c r="DG31" s="31" t="str">
        <f t="shared" si="450"/>
        <v/>
      </c>
      <c r="DH31" s="35"/>
      <c r="DI31" s="33" t="str">
        <f t="shared" si="403"/>
        <v/>
      </c>
      <c r="DJ31" s="34"/>
      <c r="DK31" s="31" t="str">
        <f t="shared" si="451"/>
        <v/>
      </c>
      <c r="DL31" s="35"/>
      <c r="DM31" s="33" t="str">
        <f t="shared" si="405"/>
        <v/>
      </c>
      <c r="DN31" s="34"/>
      <c r="DO31" s="31" t="str">
        <f t="shared" si="452"/>
        <v/>
      </c>
      <c r="DP31" s="35"/>
      <c r="DQ31" s="33" t="str">
        <f t="shared" si="407"/>
        <v/>
      </c>
      <c r="DR31" s="34"/>
      <c r="DS31" s="31" t="str">
        <f t="shared" si="453"/>
        <v/>
      </c>
      <c r="DT31" s="35"/>
      <c r="DU31" s="33" t="str">
        <f t="shared" si="409"/>
        <v/>
      </c>
      <c r="DV31" s="34"/>
      <c r="DW31" s="31" t="str">
        <f t="shared" si="454"/>
        <v/>
      </c>
      <c r="DX31" s="35"/>
      <c r="DY31" s="33" t="str">
        <f t="shared" si="411"/>
        <v/>
      </c>
      <c r="DZ31" s="34"/>
      <c r="EA31" s="31" t="str">
        <f t="shared" si="455"/>
        <v/>
      </c>
      <c r="EB31" s="35"/>
      <c r="EC31" s="33" t="str">
        <f t="shared" si="413"/>
        <v/>
      </c>
      <c r="ED31" s="34"/>
      <c r="EE31" s="31" t="str">
        <f t="shared" si="456"/>
        <v/>
      </c>
      <c r="EF31" s="35"/>
      <c r="EG31" s="33" t="str">
        <f t="shared" si="415"/>
        <v/>
      </c>
      <c r="EH31" s="34"/>
      <c r="EI31" s="31" t="str">
        <f t="shared" si="457"/>
        <v/>
      </c>
      <c r="EJ31" s="35"/>
      <c r="EK31" s="33" t="str">
        <f t="shared" si="417"/>
        <v/>
      </c>
      <c r="EL31" s="34"/>
      <c r="EM31" s="31" t="str">
        <f t="shared" si="458"/>
        <v/>
      </c>
      <c r="EN31" s="35"/>
      <c r="EO31" s="33" t="str">
        <f t="shared" si="419"/>
        <v/>
      </c>
      <c r="EP31" s="34"/>
      <c r="EQ31" s="31" t="str">
        <f t="shared" si="459"/>
        <v/>
      </c>
      <c r="ER31" s="35"/>
      <c r="ES31" s="33" t="str">
        <f t="shared" si="421"/>
        <v/>
      </c>
    </row>
    <row r="32" ht="18.0" customHeight="1">
      <c r="A32" s="2" t="s">
        <v>34</v>
      </c>
      <c r="B32" s="30">
        <f t="shared" ref="B32:D32" si="460">SUM(EP32,EL32,EH32,ED32,DZ32,DV32,DR32,DN32,DJ32,DF32,DB32,CX32,CT32,CP32,CL32,CH32,CD32,BZ32,BV32,BR32,BN32,BJ32,BF32,BB32,AX32,AT32,AP32,AL32,AH32,AD32,Z32,V32,R32,N32,J32,F32)</f>
        <v>0</v>
      </c>
      <c r="C32" s="31">
        <f t="shared" si="460"/>
        <v>0</v>
      </c>
      <c r="D32" s="32">
        <f t="shared" si="460"/>
        <v>0</v>
      </c>
      <c r="E32" s="33">
        <f t="shared" si="349"/>
        <v>0</v>
      </c>
      <c r="F32" s="34"/>
      <c r="G32" s="31" t="str">
        <f t="shared" si="424"/>
        <v/>
      </c>
      <c r="H32" s="35"/>
      <c r="I32" s="33" t="str">
        <f t="shared" si="351"/>
        <v/>
      </c>
      <c r="J32" s="34"/>
      <c r="K32" s="31" t="str">
        <f t="shared" si="425"/>
        <v/>
      </c>
      <c r="L32" s="35"/>
      <c r="M32" s="33" t="str">
        <f t="shared" si="353"/>
        <v/>
      </c>
      <c r="N32" s="34"/>
      <c r="O32" s="31" t="str">
        <f t="shared" si="426"/>
        <v/>
      </c>
      <c r="P32" s="35"/>
      <c r="Q32" s="33" t="str">
        <f t="shared" si="355"/>
        <v/>
      </c>
      <c r="R32" s="34"/>
      <c r="S32" s="31" t="str">
        <f t="shared" si="427"/>
        <v/>
      </c>
      <c r="T32" s="35"/>
      <c r="U32" s="33" t="str">
        <f t="shared" si="357"/>
        <v/>
      </c>
      <c r="V32" s="34"/>
      <c r="W32" s="31" t="str">
        <f t="shared" si="428"/>
        <v/>
      </c>
      <c r="X32" s="35"/>
      <c r="Y32" s="33" t="str">
        <f t="shared" si="359"/>
        <v/>
      </c>
      <c r="Z32" s="34"/>
      <c r="AA32" s="31" t="str">
        <f t="shared" si="429"/>
        <v/>
      </c>
      <c r="AB32" s="35"/>
      <c r="AC32" s="33" t="str">
        <f t="shared" si="361"/>
        <v/>
      </c>
      <c r="AD32" s="34"/>
      <c r="AE32" s="31" t="str">
        <f t="shared" si="430"/>
        <v/>
      </c>
      <c r="AF32" s="35"/>
      <c r="AG32" s="33" t="str">
        <f t="shared" si="363"/>
        <v/>
      </c>
      <c r="AH32" s="34"/>
      <c r="AI32" s="31" t="str">
        <f t="shared" si="431"/>
        <v/>
      </c>
      <c r="AJ32" s="35"/>
      <c r="AK32" s="33" t="str">
        <f t="shared" si="365"/>
        <v/>
      </c>
      <c r="AL32" s="34"/>
      <c r="AM32" s="31" t="str">
        <f t="shared" si="432"/>
        <v/>
      </c>
      <c r="AN32" s="35"/>
      <c r="AO32" s="33" t="str">
        <f t="shared" si="367"/>
        <v/>
      </c>
      <c r="AP32" s="34"/>
      <c r="AQ32" s="31" t="str">
        <f t="shared" si="433"/>
        <v/>
      </c>
      <c r="AR32" s="35"/>
      <c r="AS32" s="33" t="str">
        <f t="shared" si="369"/>
        <v/>
      </c>
      <c r="AT32" s="34"/>
      <c r="AU32" s="31" t="str">
        <f t="shared" si="434"/>
        <v/>
      </c>
      <c r="AV32" s="35"/>
      <c r="AW32" s="33" t="str">
        <f t="shared" si="371"/>
        <v/>
      </c>
      <c r="AX32" s="34"/>
      <c r="AY32" s="31" t="str">
        <f t="shared" si="435"/>
        <v/>
      </c>
      <c r="AZ32" s="35"/>
      <c r="BA32" s="33" t="str">
        <f t="shared" si="373"/>
        <v/>
      </c>
      <c r="BB32" s="34"/>
      <c r="BC32" s="31" t="str">
        <f t="shared" si="436"/>
        <v/>
      </c>
      <c r="BD32" s="35"/>
      <c r="BE32" s="33" t="str">
        <f t="shared" si="375"/>
        <v/>
      </c>
      <c r="BF32" s="34"/>
      <c r="BG32" s="31" t="str">
        <f t="shared" si="437"/>
        <v/>
      </c>
      <c r="BH32" s="35"/>
      <c r="BI32" s="33" t="str">
        <f t="shared" si="377"/>
        <v/>
      </c>
      <c r="BJ32" s="34"/>
      <c r="BK32" s="31" t="str">
        <f t="shared" si="438"/>
        <v/>
      </c>
      <c r="BL32" s="35"/>
      <c r="BM32" s="33" t="str">
        <f t="shared" si="379"/>
        <v/>
      </c>
      <c r="BN32" s="34"/>
      <c r="BO32" s="31" t="str">
        <f t="shared" si="439"/>
        <v/>
      </c>
      <c r="BP32" s="35"/>
      <c r="BQ32" s="33" t="str">
        <f t="shared" si="381"/>
        <v/>
      </c>
      <c r="BR32" s="34"/>
      <c r="BS32" s="31" t="str">
        <f t="shared" si="440"/>
        <v/>
      </c>
      <c r="BT32" s="35"/>
      <c r="BU32" s="33" t="str">
        <f t="shared" si="383"/>
        <v/>
      </c>
      <c r="BV32" s="34"/>
      <c r="BW32" s="31" t="str">
        <f t="shared" si="441"/>
        <v/>
      </c>
      <c r="BX32" s="35"/>
      <c r="BY32" s="33" t="str">
        <f t="shared" si="385"/>
        <v/>
      </c>
      <c r="BZ32" s="34"/>
      <c r="CA32" s="31" t="str">
        <f t="shared" si="442"/>
        <v/>
      </c>
      <c r="CB32" s="35"/>
      <c r="CC32" s="33" t="str">
        <f t="shared" si="387"/>
        <v/>
      </c>
      <c r="CD32" s="34"/>
      <c r="CE32" s="31" t="str">
        <f t="shared" si="443"/>
        <v/>
      </c>
      <c r="CF32" s="35"/>
      <c r="CG32" s="33" t="str">
        <f t="shared" si="389"/>
        <v/>
      </c>
      <c r="CH32" s="34"/>
      <c r="CI32" s="31" t="str">
        <f t="shared" si="444"/>
        <v/>
      </c>
      <c r="CJ32" s="35"/>
      <c r="CK32" s="33" t="str">
        <f t="shared" si="391"/>
        <v/>
      </c>
      <c r="CL32" s="34"/>
      <c r="CM32" s="31" t="str">
        <f t="shared" si="445"/>
        <v/>
      </c>
      <c r="CN32" s="35"/>
      <c r="CO32" s="33" t="str">
        <f t="shared" si="393"/>
        <v/>
      </c>
      <c r="CP32" s="34"/>
      <c r="CQ32" s="31" t="str">
        <f t="shared" si="446"/>
        <v/>
      </c>
      <c r="CR32" s="35"/>
      <c r="CS32" s="33" t="str">
        <f t="shared" si="395"/>
        <v/>
      </c>
      <c r="CT32" s="34"/>
      <c r="CU32" s="31" t="str">
        <f t="shared" si="447"/>
        <v/>
      </c>
      <c r="CV32" s="35"/>
      <c r="CW32" s="33" t="str">
        <f t="shared" si="397"/>
        <v/>
      </c>
      <c r="CX32" s="34"/>
      <c r="CY32" s="31" t="str">
        <f t="shared" si="448"/>
        <v/>
      </c>
      <c r="CZ32" s="35"/>
      <c r="DA32" s="33" t="str">
        <f t="shared" si="399"/>
        <v/>
      </c>
      <c r="DB32" s="34"/>
      <c r="DC32" s="31" t="str">
        <f t="shared" si="449"/>
        <v/>
      </c>
      <c r="DD32" s="35"/>
      <c r="DE32" s="33" t="str">
        <f t="shared" si="401"/>
        <v/>
      </c>
      <c r="DF32" s="34"/>
      <c r="DG32" s="31" t="str">
        <f t="shared" si="450"/>
        <v/>
      </c>
      <c r="DH32" s="35"/>
      <c r="DI32" s="33" t="str">
        <f t="shared" si="403"/>
        <v/>
      </c>
      <c r="DJ32" s="34"/>
      <c r="DK32" s="31" t="str">
        <f t="shared" si="451"/>
        <v/>
      </c>
      <c r="DL32" s="35"/>
      <c r="DM32" s="33" t="str">
        <f t="shared" si="405"/>
        <v/>
      </c>
      <c r="DN32" s="34"/>
      <c r="DO32" s="31" t="str">
        <f t="shared" si="452"/>
        <v/>
      </c>
      <c r="DP32" s="35"/>
      <c r="DQ32" s="33" t="str">
        <f t="shared" si="407"/>
        <v/>
      </c>
      <c r="DR32" s="34"/>
      <c r="DS32" s="31" t="str">
        <f t="shared" si="453"/>
        <v/>
      </c>
      <c r="DT32" s="35"/>
      <c r="DU32" s="33" t="str">
        <f t="shared" si="409"/>
        <v/>
      </c>
      <c r="DV32" s="34"/>
      <c r="DW32" s="31" t="str">
        <f t="shared" si="454"/>
        <v/>
      </c>
      <c r="DX32" s="35"/>
      <c r="DY32" s="33" t="str">
        <f t="shared" si="411"/>
        <v/>
      </c>
      <c r="DZ32" s="34"/>
      <c r="EA32" s="31" t="str">
        <f t="shared" si="455"/>
        <v/>
      </c>
      <c r="EB32" s="35"/>
      <c r="EC32" s="33" t="str">
        <f t="shared" si="413"/>
        <v/>
      </c>
      <c r="ED32" s="34"/>
      <c r="EE32" s="31" t="str">
        <f t="shared" si="456"/>
        <v/>
      </c>
      <c r="EF32" s="35"/>
      <c r="EG32" s="33" t="str">
        <f t="shared" si="415"/>
        <v/>
      </c>
      <c r="EH32" s="34"/>
      <c r="EI32" s="31" t="str">
        <f t="shared" si="457"/>
        <v/>
      </c>
      <c r="EJ32" s="35"/>
      <c r="EK32" s="33" t="str">
        <f t="shared" si="417"/>
        <v/>
      </c>
      <c r="EL32" s="34"/>
      <c r="EM32" s="31" t="str">
        <f t="shared" si="458"/>
        <v/>
      </c>
      <c r="EN32" s="35"/>
      <c r="EO32" s="33" t="str">
        <f t="shared" si="419"/>
        <v/>
      </c>
      <c r="EP32" s="34"/>
      <c r="EQ32" s="31" t="str">
        <f t="shared" si="459"/>
        <v/>
      </c>
      <c r="ER32" s="35"/>
      <c r="ES32" s="33" t="str">
        <f t="shared" si="421"/>
        <v/>
      </c>
    </row>
    <row r="33" ht="18.0" customHeight="1">
      <c r="A33" s="2" t="s">
        <v>35</v>
      </c>
      <c r="B33" s="30">
        <f t="shared" ref="B33:D33" si="461">SUM(EP33,EL33,EH33,ED33,DZ33,DV33,DR33,DN33,DJ33,DF33,DB33,CX33,CT33,CP33,CL33,CH33,CD33,BZ33,BV33,BR33,BN33,BJ33,BF33,BB33,AX33,AT33,AP33,AL33,AH33,AD33,Z33,V33,R33,N33,J33,F33)</f>
        <v>0</v>
      </c>
      <c r="C33" s="31">
        <f t="shared" si="461"/>
        <v>0</v>
      </c>
      <c r="D33" s="32">
        <f t="shared" si="461"/>
        <v>0</v>
      </c>
      <c r="E33" s="33">
        <f t="shared" si="349"/>
        <v>0</v>
      </c>
      <c r="F33" s="34"/>
      <c r="G33" s="31" t="str">
        <f t="shared" si="424"/>
        <v/>
      </c>
      <c r="H33" s="35"/>
      <c r="I33" s="33" t="str">
        <f t="shared" si="351"/>
        <v/>
      </c>
      <c r="J33" s="34"/>
      <c r="K33" s="31" t="str">
        <f t="shared" si="425"/>
        <v/>
      </c>
      <c r="L33" s="35"/>
      <c r="M33" s="33" t="str">
        <f t="shared" si="353"/>
        <v/>
      </c>
      <c r="N33" s="34"/>
      <c r="O33" s="31" t="str">
        <f t="shared" si="426"/>
        <v/>
      </c>
      <c r="P33" s="35"/>
      <c r="Q33" s="33" t="str">
        <f t="shared" si="355"/>
        <v/>
      </c>
      <c r="R33" s="34"/>
      <c r="S33" s="31" t="str">
        <f t="shared" si="427"/>
        <v/>
      </c>
      <c r="T33" s="35"/>
      <c r="U33" s="33" t="str">
        <f t="shared" si="357"/>
        <v/>
      </c>
      <c r="V33" s="34"/>
      <c r="W33" s="31" t="str">
        <f t="shared" si="428"/>
        <v/>
      </c>
      <c r="X33" s="35"/>
      <c r="Y33" s="33" t="str">
        <f t="shared" si="359"/>
        <v/>
      </c>
      <c r="Z33" s="34"/>
      <c r="AA33" s="31" t="str">
        <f t="shared" si="429"/>
        <v/>
      </c>
      <c r="AB33" s="35"/>
      <c r="AC33" s="33" t="str">
        <f t="shared" si="361"/>
        <v/>
      </c>
      <c r="AD33" s="34"/>
      <c r="AE33" s="31" t="str">
        <f t="shared" si="430"/>
        <v/>
      </c>
      <c r="AF33" s="35"/>
      <c r="AG33" s="33" t="str">
        <f t="shared" si="363"/>
        <v/>
      </c>
      <c r="AH33" s="34"/>
      <c r="AI33" s="31" t="str">
        <f t="shared" si="431"/>
        <v/>
      </c>
      <c r="AJ33" s="35"/>
      <c r="AK33" s="33" t="str">
        <f t="shared" si="365"/>
        <v/>
      </c>
      <c r="AL33" s="34"/>
      <c r="AM33" s="31" t="str">
        <f t="shared" si="432"/>
        <v/>
      </c>
      <c r="AN33" s="35"/>
      <c r="AO33" s="33" t="str">
        <f t="shared" si="367"/>
        <v/>
      </c>
      <c r="AP33" s="34"/>
      <c r="AQ33" s="31" t="str">
        <f t="shared" si="433"/>
        <v/>
      </c>
      <c r="AR33" s="35"/>
      <c r="AS33" s="33" t="str">
        <f t="shared" si="369"/>
        <v/>
      </c>
      <c r="AT33" s="34"/>
      <c r="AU33" s="31" t="str">
        <f t="shared" si="434"/>
        <v/>
      </c>
      <c r="AV33" s="35"/>
      <c r="AW33" s="33" t="str">
        <f t="shared" si="371"/>
        <v/>
      </c>
      <c r="AX33" s="34"/>
      <c r="AY33" s="31" t="str">
        <f t="shared" si="435"/>
        <v/>
      </c>
      <c r="AZ33" s="35"/>
      <c r="BA33" s="33" t="str">
        <f t="shared" si="373"/>
        <v/>
      </c>
      <c r="BB33" s="34"/>
      <c r="BC33" s="31" t="str">
        <f t="shared" si="436"/>
        <v/>
      </c>
      <c r="BD33" s="35"/>
      <c r="BE33" s="33" t="str">
        <f t="shared" si="375"/>
        <v/>
      </c>
      <c r="BF33" s="34"/>
      <c r="BG33" s="31" t="str">
        <f t="shared" si="437"/>
        <v/>
      </c>
      <c r="BH33" s="35"/>
      <c r="BI33" s="33" t="str">
        <f t="shared" si="377"/>
        <v/>
      </c>
      <c r="BJ33" s="34"/>
      <c r="BK33" s="31" t="str">
        <f t="shared" si="438"/>
        <v/>
      </c>
      <c r="BL33" s="35"/>
      <c r="BM33" s="33" t="str">
        <f t="shared" si="379"/>
        <v/>
      </c>
      <c r="BN33" s="34"/>
      <c r="BO33" s="31" t="str">
        <f t="shared" si="439"/>
        <v/>
      </c>
      <c r="BP33" s="35"/>
      <c r="BQ33" s="33" t="str">
        <f t="shared" si="381"/>
        <v/>
      </c>
      <c r="BR33" s="34"/>
      <c r="BS33" s="31" t="str">
        <f t="shared" si="440"/>
        <v/>
      </c>
      <c r="BT33" s="35"/>
      <c r="BU33" s="33" t="str">
        <f t="shared" si="383"/>
        <v/>
      </c>
      <c r="BV33" s="34"/>
      <c r="BW33" s="31" t="str">
        <f t="shared" si="441"/>
        <v/>
      </c>
      <c r="BX33" s="35"/>
      <c r="BY33" s="33" t="str">
        <f t="shared" si="385"/>
        <v/>
      </c>
      <c r="BZ33" s="34"/>
      <c r="CA33" s="31" t="str">
        <f t="shared" si="442"/>
        <v/>
      </c>
      <c r="CB33" s="35"/>
      <c r="CC33" s="33" t="str">
        <f t="shared" si="387"/>
        <v/>
      </c>
      <c r="CD33" s="34"/>
      <c r="CE33" s="31" t="str">
        <f t="shared" si="443"/>
        <v/>
      </c>
      <c r="CF33" s="35"/>
      <c r="CG33" s="33" t="str">
        <f t="shared" si="389"/>
        <v/>
      </c>
      <c r="CH33" s="34"/>
      <c r="CI33" s="31" t="str">
        <f t="shared" si="444"/>
        <v/>
      </c>
      <c r="CJ33" s="35"/>
      <c r="CK33" s="33" t="str">
        <f t="shared" si="391"/>
        <v/>
      </c>
      <c r="CL33" s="34"/>
      <c r="CM33" s="31" t="str">
        <f t="shared" si="445"/>
        <v/>
      </c>
      <c r="CN33" s="35"/>
      <c r="CO33" s="33" t="str">
        <f t="shared" si="393"/>
        <v/>
      </c>
      <c r="CP33" s="34"/>
      <c r="CQ33" s="31" t="str">
        <f t="shared" si="446"/>
        <v/>
      </c>
      <c r="CR33" s="35"/>
      <c r="CS33" s="33" t="str">
        <f t="shared" si="395"/>
        <v/>
      </c>
      <c r="CT33" s="34"/>
      <c r="CU33" s="31" t="str">
        <f t="shared" si="447"/>
        <v/>
      </c>
      <c r="CV33" s="35"/>
      <c r="CW33" s="33" t="str">
        <f t="shared" si="397"/>
        <v/>
      </c>
      <c r="CX33" s="34"/>
      <c r="CY33" s="31" t="str">
        <f t="shared" si="448"/>
        <v/>
      </c>
      <c r="CZ33" s="35"/>
      <c r="DA33" s="33" t="str">
        <f t="shared" si="399"/>
        <v/>
      </c>
      <c r="DB33" s="34"/>
      <c r="DC33" s="31" t="str">
        <f t="shared" si="449"/>
        <v/>
      </c>
      <c r="DD33" s="35"/>
      <c r="DE33" s="33" t="str">
        <f t="shared" si="401"/>
        <v/>
      </c>
      <c r="DF33" s="34"/>
      <c r="DG33" s="31" t="str">
        <f t="shared" si="450"/>
        <v/>
      </c>
      <c r="DH33" s="35"/>
      <c r="DI33" s="33" t="str">
        <f t="shared" si="403"/>
        <v/>
      </c>
      <c r="DJ33" s="34"/>
      <c r="DK33" s="31" t="str">
        <f t="shared" si="451"/>
        <v/>
      </c>
      <c r="DL33" s="35"/>
      <c r="DM33" s="33" t="str">
        <f t="shared" si="405"/>
        <v/>
      </c>
      <c r="DN33" s="34"/>
      <c r="DO33" s="31" t="str">
        <f t="shared" si="452"/>
        <v/>
      </c>
      <c r="DP33" s="35"/>
      <c r="DQ33" s="33" t="str">
        <f t="shared" si="407"/>
        <v/>
      </c>
      <c r="DR33" s="34"/>
      <c r="DS33" s="31" t="str">
        <f t="shared" si="453"/>
        <v/>
      </c>
      <c r="DT33" s="35"/>
      <c r="DU33" s="33" t="str">
        <f t="shared" si="409"/>
        <v/>
      </c>
      <c r="DV33" s="34"/>
      <c r="DW33" s="31" t="str">
        <f t="shared" si="454"/>
        <v/>
      </c>
      <c r="DX33" s="35"/>
      <c r="DY33" s="33" t="str">
        <f t="shared" si="411"/>
        <v/>
      </c>
      <c r="DZ33" s="34"/>
      <c r="EA33" s="31" t="str">
        <f t="shared" si="455"/>
        <v/>
      </c>
      <c r="EB33" s="35"/>
      <c r="EC33" s="33" t="str">
        <f t="shared" si="413"/>
        <v/>
      </c>
      <c r="ED33" s="34"/>
      <c r="EE33" s="31" t="str">
        <f t="shared" si="456"/>
        <v/>
      </c>
      <c r="EF33" s="35"/>
      <c r="EG33" s="33" t="str">
        <f t="shared" si="415"/>
        <v/>
      </c>
      <c r="EH33" s="34"/>
      <c r="EI33" s="31" t="str">
        <f t="shared" si="457"/>
        <v/>
      </c>
      <c r="EJ33" s="35"/>
      <c r="EK33" s="33" t="str">
        <f t="shared" si="417"/>
        <v/>
      </c>
      <c r="EL33" s="34"/>
      <c r="EM33" s="31" t="str">
        <f t="shared" si="458"/>
        <v/>
      </c>
      <c r="EN33" s="35"/>
      <c r="EO33" s="33" t="str">
        <f t="shared" si="419"/>
        <v/>
      </c>
      <c r="EP33" s="34"/>
      <c r="EQ33" s="31" t="str">
        <f t="shared" si="459"/>
        <v/>
      </c>
      <c r="ER33" s="35"/>
      <c r="ES33" s="33" t="str">
        <f t="shared" si="421"/>
        <v/>
      </c>
    </row>
    <row r="34" ht="18.0" customHeight="1">
      <c r="A34" s="36" t="s">
        <v>36</v>
      </c>
      <c r="B34" s="39">
        <f t="shared" ref="B34:D34" si="462">SUM(EP34,EL34,EH34,ED34,DZ34,DV34,DR34,DN34,DJ34,DF34,DB34,CX34,CT34,CP34,CL34,CH34,CD34,BZ34,BV34,BR34,BN34,BJ34,BF34,BB34,AX34,AT34,AP34,AL34,AH34,AD34,Z34,V34,R34,N34,J34,F34)</f>
        <v>0</v>
      </c>
      <c r="C34" s="39">
        <f t="shared" si="462"/>
        <v>0</v>
      </c>
      <c r="D34" s="39">
        <f t="shared" si="462"/>
        <v>0</v>
      </c>
      <c r="E34" s="39">
        <f t="shared" si="349"/>
        <v>0</v>
      </c>
      <c r="F34" s="39" t="str">
        <f t="shared" ref="F34:H34" si="463">IF(COUNT(F28:F33)&gt;0,SUM(F28:F33),"")</f>
        <v/>
      </c>
      <c r="G34" s="39" t="str">
        <f t="shared" si="463"/>
        <v/>
      </c>
      <c r="H34" s="39" t="str">
        <f t="shared" si="463"/>
        <v/>
      </c>
      <c r="I34" s="39" t="str">
        <f t="shared" si="351"/>
        <v/>
      </c>
      <c r="J34" s="39" t="str">
        <f t="shared" ref="J34:L34" si="464">IF(COUNT(J28:J33)&gt;0,SUM(J28:J33),"")</f>
        <v/>
      </c>
      <c r="K34" s="39" t="str">
        <f t="shared" si="464"/>
        <v/>
      </c>
      <c r="L34" s="39" t="str">
        <f t="shared" si="464"/>
        <v/>
      </c>
      <c r="M34" s="39" t="str">
        <f t="shared" si="353"/>
        <v/>
      </c>
      <c r="N34" s="39" t="str">
        <f t="shared" ref="N34:P34" si="465">IF(COUNT(N28:N33)&gt;0,SUM(N28:N33),"")</f>
        <v/>
      </c>
      <c r="O34" s="39" t="str">
        <f t="shared" si="465"/>
        <v/>
      </c>
      <c r="P34" s="39" t="str">
        <f t="shared" si="465"/>
        <v/>
      </c>
      <c r="Q34" s="39" t="str">
        <f t="shared" si="355"/>
        <v/>
      </c>
      <c r="R34" s="39" t="str">
        <f t="shared" ref="R34:T34" si="466">IF(COUNT(R28:R33)&gt;0,SUM(R28:R33),"")</f>
        <v/>
      </c>
      <c r="S34" s="39" t="str">
        <f t="shared" si="466"/>
        <v/>
      </c>
      <c r="T34" s="39" t="str">
        <f t="shared" si="466"/>
        <v/>
      </c>
      <c r="U34" s="39" t="str">
        <f t="shared" si="357"/>
        <v/>
      </c>
      <c r="V34" s="39" t="str">
        <f t="shared" ref="V34:X34" si="467">IF(COUNT(V28:V33)&gt;0,SUM(V28:V33),"")</f>
        <v/>
      </c>
      <c r="W34" s="39" t="str">
        <f t="shared" si="467"/>
        <v/>
      </c>
      <c r="X34" s="39" t="str">
        <f t="shared" si="467"/>
        <v/>
      </c>
      <c r="Y34" s="39" t="str">
        <f t="shared" si="359"/>
        <v/>
      </c>
      <c r="Z34" s="39" t="str">
        <f t="shared" ref="Z34:AB34" si="468">IF(COUNT(Z28:Z33)&gt;0,SUM(Z28:Z33),"")</f>
        <v/>
      </c>
      <c r="AA34" s="39" t="str">
        <f t="shared" si="468"/>
        <v/>
      </c>
      <c r="AB34" s="39" t="str">
        <f t="shared" si="468"/>
        <v/>
      </c>
      <c r="AC34" s="39" t="str">
        <f t="shared" si="361"/>
        <v/>
      </c>
      <c r="AD34" s="39" t="str">
        <f t="shared" ref="AD34:AF34" si="469">IF(COUNT(AD28:AD33)&gt;0,SUM(AD28:AD33),"")</f>
        <v/>
      </c>
      <c r="AE34" s="39" t="str">
        <f t="shared" si="469"/>
        <v/>
      </c>
      <c r="AF34" s="39" t="str">
        <f t="shared" si="469"/>
        <v/>
      </c>
      <c r="AG34" s="39" t="str">
        <f t="shared" si="363"/>
        <v/>
      </c>
      <c r="AH34" s="39" t="str">
        <f t="shared" ref="AH34:AJ34" si="470">IF(COUNT(AH28:AH33)&gt;0,SUM(AH28:AH33),"")</f>
        <v/>
      </c>
      <c r="AI34" s="39" t="str">
        <f t="shared" si="470"/>
        <v/>
      </c>
      <c r="AJ34" s="39" t="str">
        <f t="shared" si="470"/>
        <v/>
      </c>
      <c r="AK34" s="39" t="str">
        <f t="shared" si="365"/>
        <v/>
      </c>
      <c r="AL34" s="39" t="str">
        <f t="shared" ref="AL34:AN34" si="471">IF(COUNT(AL28:AL33)&gt;0,SUM(AL28:AL33),"")</f>
        <v/>
      </c>
      <c r="AM34" s="39" t="str">
        <f t="shared" si="471"/>
        <v/>
      </c>
      <c r="AN34" s="39" t="str">
        <f t="shared" si="471"/>
        <v/>
      </c>
      <c r="AO34" s="39" t="str">
        <f t="shared" si="367"/>
        <v/>
      </c>
      <c r="AP34" s="39" t="str">
        <f t="shared" ref="AP34:AR34" si="472">IF(COUNT(AP28:AP33)&gt;0,SUM(AP28:AP33),"")</f>
        <v/>
      </c>
      <c r="AQ34" s="39" t="str">
        <f t="shared" si="472"/>
        <v/>
      </c>
      <c r="AR34" s="39" t="str">
        <f t="shared" si="472"/>
        <v/>
      </c>
      <c r="AS34" s="39" t="str">
        <f t="shared" si="369"/>
        <v/>
      </c>
      <c r="AT34" s="39" t="str">
        <f t="shared" ref="AT34:AV34" si="473">IF(COUNT(AT28:AT33)&gt;0,SUM(AT28:AT33),"")</f>
        <v/>
      </c>
      <c r="AU34" s="39" t="str">
        <f t="shared" si="473"/>
        <v/>
      </c>
      <c r="AV34" s="39" t="str">
        <f t="shared" si="473"/>
        <v/>
      </c>
      <c r="AW34" s="39" t="str">
        <f t="shared" si="371"/>
        <v/>
      </c>
      <c r="AX34" s="39" t="str">
        <f t="shared" ref="AX34:AZ34" si="474">IF(COUNT(AX28:AX33)&gt;0,SUM(AX28:AX33),"")</f>
        <v/>
      </c>
      <c r="AY34" s="39" t="str">
        <f t="shared" si="474"/>
        <v/>
      </c>
      <c r="AZ34" s="39" t="str">
        <f t="shared" si="474"/>
        <v/>
      </c>
      <c r="BA34" s="39" t="str">
        <f t="shared" si="373"/>
        <v/>
      </c>
      <c r="BB34" s="39" t="str">
        <f t="shared" ref="BB34:BD34" si="475">IF(COUNT(BB28:BB33)&gt;0,SUM(BB28:BB33),"")</f>
        <v/>
      </c>
      <c r="BC34" s="39" t="str">
        <f t="shared" si="475"/>
        <v/>
      </c>
      <c r="BD34" s="39" t="str">
        <f t="shared" si="475"/>
        <v/>
      </c>
      <c r="BE34" s="39" t="str">
        <f t="shared" si="375"/>
        <v/>
      </c>
      <c r="BF34" s="39" t="str">
        <f t="shared" ref="BF34:BH34" si="476">IF(COUNT(BF28:BF33)&gt;0,SUM(BF28:BF33),"")</f>
        <v/>
      </c>
      <c r="BG34" s="39" t="str">
        <f t="shared" si="476"/>
        <v/>
      </c>
      <c r="BH34" s="39" t="str">
        <f t="shared" si="476"/>
        <v/>
      </c>
      <c r="BI34" s="39" t="str">
        <f t="shared" si="377"/>
        <v/>
      </c>
      <c r="BJ34" s="39" t="str">
        <f t="shared" ref="BJ34:BL34" si="477">IF(COUNT(BJ28:BJ33)&gt;0,SUM(BJ28:BJ33),"")</f>
        <v/>
      </c>
      <c r="BK34" s="39" t="str">
        <f t="shared" si="477"/>
        <v/>
      </c>
      <c r="BL34" s="39" t="str">
        <f t="shared" si="477"/>
        <v/>
      </c>
      <c r="BM34" s="39" t="str">
        <f t="shared" si="379"/>
        <v/>
      </c>
      <c r="BN34" s="39" t="str">
        <f t="shared" ref="BN34:BP34" si="478">IF(COUNT(BN28:BN33)&gt;0,SUM(BN28:BN33),"")</f>
        <v/>
      </c>
      <c r="BO34" s="39" t="str">
        <f t="shared" si="478"/>
        <v/>
      </c>
      <c r="BP34" s="39" t="str">
        <f t="shared" si="478"/>
        <v/>
      </c>
      <c r="BQ34" s="39" t="str">
        <f t="shared" si="381"/>
        <v/>
      </c>
      <c r="BR34" s="39" t="str">
        <f t="shared" ref="BR34:BT34" si="479">IF(COUNT(BR28:BR33)&gt;0,SUM(BR28:BR33),"")</f>
        <v/>
      </c>
      <c r="BS34" s="39" t="str">
        <f t="shared" si="479"/>
        <v/>
      </c>
      <c r="BT34" s="39" t="str">
        <f t="shared" si="479"/>
        <v/>
      </c>
      <c r="BU34" s="39" t="str">
        <f t="shared" si="383"/>
        <v/>
      </c>
      <c r="BV34" s="39" t="str">
        <f t="shared" ref="BV34:BX34" si="480">IF(COUNT(BV28:BV33)&gt;0,SUM(BV28:BV33),"")</f>
        <v/>
      </c>
      <c r="BW34" s="39" t="str">
        <f t="shared" si="480"/>
        <v/>
      </c>
      <c r="BX34" s="39" t="str">
        <f t="shared" si="480"/>
        <v/>
      </c>
      <c r="BY34" s="39" t="str">
        <f t="shared" si="385"/>
        <v/>
      </c>
      <c r="BZ34" s="39" t="str">
        <f t="shared" ref="BZ34:CB34" si="481">IF(COUNT(BZ28:BZ33)&gt;0,SUM(BZ28:BZ33),"")</f>
        <v/>
      </c>
      <c r="CA34" s="39" t="str">
        <f t="shared" si="481"/>
        <v/>
      </c>
      <c r="CB34" s="39" t="str">
        <f t="shared" si="481"/>
        <v/>
      </c>
      <c r="CC34" s="39" t="str">
        <f t="shared" si="387"/>
        <v/>
      </c>
      <c r="CD34" s="39" t="str">
        <f t="shared" ref="CD34:CF34" si="482">IF(COUNT(CD28:CD33)&gt;0,SUM(CD28:CD33),"")</f>
        <v/>
      </c>
      <c r="CE34" s="39" t="str">
        <f t="shared" si="482"/>
        <v/>
      </c>
      <c r="CF34" s="39" t="str">
        <f t="shared" si="482"/>
        <v/>
      </c>
      <c r="CG34" s="39" t="str">
        <f t="shared" si="389"/>
        <v/>
      </c>
      <c r="CH34" s="39" t="str">
        <f t="shared" ref="CH34:CJ34" si="483">IF(COUNT(CH28:CH33)&gt;0,SUM(CH28:CH33),"")</f>
        <v/>
      </c>
      <c r="CI34" s="39" t="str">
        <f t="shared" si="483"/>
        <v/>
      </c>
      <c r="CJ34" s="39" t="str">
        <f t="shared" si="483"/>
        <v/>
      </c>
      <c r="CK34" s="39" t="str">
        <f t="shared" si="391"/>
        <v/>
      </c>
      <c r="CL34" s="39" t="str">
        <f t="shared" ref="CL34:CN34" si="484">IF(COUNT(CL28:CL33)&gt;0,SUM(CL28:CL33),"")</f>
        <v/>
      </c>
      <c r="CM34" s="39" t="str">
        <f t="shared" si="484"/>
        <v/>
      </c>
      <c r="CN34" s="39" t="str">
        <f t="shared" si="484"/>
        <v/>
      </c>
      <c r="CO34" s="39" t="str">
        <f t="shared" si="393"/>
        <v/>
      </c>
      <c r="CP34" s="39" t="str">
        <f t="shared" ref="CP34:CR34" si="485">IF(COUNT(CP28:CP33)&gt;0,SUM(CP28:CP33),"")</f>
        <v/>
      </c>
      <c r="CQ34" s="39" t="str">
        <f t="shared" si="485"/>
        <v/>
      </c>
      <c r="CR34" s="39" t="str">
        <f t="shared" si="485"/>
        <v/>
      </c>
      <c r="CS34" s="39" t="str">
        <f t="shared" si="395"/>
        <v/>
      </c>
      <c r="CT34" s="39" t="str">
        <f t="shared" ref="CT34:CV34" si="486">IF(COUNT(CT28:CT33)&gt;0,SUM(CT28:CT33),"")</f>
        <v/>
      </c>
      <c r="CU34" s="39" t="str">
        <f t="shared" si="486"/>
        <v/>
      </c>
      <c r="CV34" s="39" t="str">
        <f t="shared" si="486"/>
        <v/>
      </c>
      <c r="CW34" s="39" t="str">
        <f t="shared" si="397"/>
        <v/>
      </c>
      <c r="CX34" s="39" t="str">
        <f t="shared" ref="CX34:CZ34" si="487">IF(COUNT(CX28:CX33)&gt;0,SUM(CX28:CX33),"")</f>
        <v/>
      </c>
      <c r="CY34" s="39" t="str">
        <f t="shared" si="487"/>
        <v/>
      </c>
      <c r="CZ34" s="39" t="str">
        <f t="shared" si="487"/>
        <v/>
      </c>
      <c r="DA34" s="39" t="str">
        <f t="shared" si="399"/>
        <v/>
      </c>
      <c r="DB34" s="39" t="str">
        <f t="shared" ref="DB34:DD34" si="488">IF(COUNT(DB28:DB33)&gt;0,SUM(DB28:DB33),"")</f>
        <v/>
      </c>
      <c r="DC34" s="39" t="str">
        <f t="shared" si="488"/>
        <v/>
      </c>
      <c r="DD34" s="39" t="str">
        <f t="shared" si="488"/>
        <v/>
      </c>
      <c r="DE34" s="39" t="str">
        <f t="shared" si="401"/>
        <v/>
      </c>
      <c r="DF34" s="39" t="str">
        <f t="shared" ref="DF34:DH34" si="489">IF(COUNT(DF28:DF33)&gt;0,SUM(DF28:DF33),"")</f>
        <v/>
      </c>
      <c r="DG34" s="39" t="str">
        <f t="shared" si="489"/>
        <v/>
      </c>
      <c r="DH34" s="39" t="str">
        <f t="shared" si="489"/>
        <v/>
      </c>
      <c r="DI34" s="39" t="str">
        <f t="shared" si="403"/>
        <v/>
      </c>
      <c r="DJ34" s="39" t="str">
        <f t="shared" ref="DJ34:DL34" si="490">IF(COUNT(DJ28:DJ33)&gt;0,SUM(DJ28:DJ33),"")</f>
        <v/>
      </c>
      <c r="DK34" s="39" t="str">
        <f t="shared" si="490"/>
        <v/>
      </c>
      <c r="DL34" s="39" t="str">
        <f t="shared" si="490"/>
        <v/>
      </c>
      <c r="DM34" s="39" t="str">
        <f t="shared" si="405"/>
        <v/>
      </c>
      <c r="DN34" s="39" t="str">
        <f t="shared" ref="DN34:DP34" si="491">IF(COUNT(DN28:DN33)&gt;0,SUM(DN28:DN33),"")</f>
        <v/>
      </c>
      <c r="DO34" s="39" t="str">
        <f t="shared" si="491"/>
        <v/>
      </c>
      <c r="DP34" s="39" t="str">
        <f t="shared" si="491"/>
        <v/>
      </c>
      <c r="DQ34" s="39" t="str">
        <f t="shared" si="407"/>
        <v/>
      </c>
      <c r="DR34" s="39" t="str">
        <f t="shared" ref="DR34:DT34" si="492">IF(COUNT(DR28:DR33)&gt;0,SUM(DR28:DR33),"")</f>
        <v/>
      </c>
      <c r="DS34" s="39" t="str">
        <f t="shared" si="492"/>
        <v/>
      </c>
      <c r="DT34" s="39" t="str">
        <f t="shared" si="492"/>
        <v/>
      </c>
      <c r="DU34" s="39" t="str">
        <f t="shared" si="409"/>
        <v/>
      </c>
      <c r="DV34" s="39" t="str">
        <f t="shared" ref="DV34:DX34" si="493">IF(COUNT(DV28:DV33)&gt;0,SUM(DV28:DV33),"")</f>
        <v/>
      </c>
      <c r="DW34" s="39" t="str">
        <f t="shared" si="493"/>
        <v/>
      </c>
      <c r="DX34" s="39" t="str">
        <f t="shared" si="493"/>
        <v/>
      </c>
      <c r="DY34" s="39" t="str">
        <f t="shared" si="411"/>
        <v/>
      </c>
      <c r="DZ34" s="39" t="str">
        <f t="shared" ref="DZ34:EB34" si="494">IF(COUNT(DZ28:DZ33)&gt;0,SUM(DZ28:DZ33),"")</f>
        <v/>
      </c>
      <c r="EA34" s="39" t="str">
        <f t="shared" si="494"/>
        <v/>
      </c>
      <c r="EB34" s="39" t="str">
        <f t="shared" si="494"/>
        <v/>
      </c>
      <c r="EC34" s="39" t="str">
        <f t="shared" si="413"/>
        <v/>
      </c>
      <c r="ED34" s="39" t="str">
        <f t="shared" ref="ED34:EF34" si="495">IF(COUNT(ED28:ED33)&gt;0,SUM(ED28:ED33),"")</f>
        <v/>
      </c>
      <c r="EE34" s="39" t="str">
        <f t="shared" si="495"/>
        <v/>
      </c>
      <c r="EF34" s="39" t="str">
        <f t="shared" si="495"/>
        <v/>
      </c>
      <c r="EG34" s="39" t="str">
        <f t="shared" si="415"/>
        <v/>
      </c>
      <c r="EH34" s="39" t="str">
        <f t="shared" ref="EH34:EJ34" si="496">IF(COUNT(EH28:EH33)&gt;0,SUM(EH28:EH33),"")</f>
        <v/>
      </c>
      <c r="EI34" s="39" t="str">
        <f t="shared" si="496"/>
        <v/>
      </c>
      <c r="EJ34" s="39" t="str">
        <f t="shared" si="496"/>
        <v/>
      </c>
      <c r="EK34" s="39" t="str">
        <f t="shared" si="417"/>
        <v/>
      </c>
      <c r="EL34" s="39" t="str">
        <f t="shared" ref="EL34:EN34" si="497">IF(COUNT(EL28:EL33)&gt;0,SUM(EL28:EL33),"")</f>
        <v/>
      </c>
      <c r="EM34" s="39" t="str">
        <f t="shared" si="497"/>
        <v/>
      </c>
      <c r="EN34" s="39" t="str">
        <f t="shared" si="497"/>
        <v/>
      </c>
      <c r="EO34" s="39" t="str">
        <f t="shared" si="419"/>
        <v/>
      </c>
      <c r="EP34" s="39" t="str">
        <f t="shared" ref="EP34:ER34" si="498">IF(COUNT(EP28:EP33)&gt;0,SUM(EP28:EP33),"")</f>
        <v/>
      </c>
      <c r="EQ34" s="39" t="str">
        <f t="shared" si="498"/>
        <v/>
      </c>
      <c r="ER34" s="39" t="str">
        <f t="shared" si="498"/>
        <v/>
      </c>
      <c r="ES34" s="39" t="str">
        <f t="shared" si="421"/>
        <v/>
      </c>
    </row>
    <row r="35" ht="18.0" customHeight="1">
      <c r="A35" s="12" t="s">
        <v>37</v>
      </c>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c r="CO35" s="38"/>
      <c r="CP35" s="38"/>
      <c r="CQ35" s="38"/>
      <c r="CR35" s="38"/>
      <c r="CS35" s="38"/>
      <c r="CT35" s="38"/>
      <c r="CU35" s="38"/>
      <c r="CV35" s="38"/>
      <c r="CW35" s="38"/>
      <c r="CX35" s="38"/>
      <c r="CY35" s="38"/>
      <c r="CZ35" s="38"/>
      <c r="DA35" s="38"/>
      <c r="DB35" s="38"/>
      <c r="DC35" s="38"/>
      <c r="DD35" s="38"/>
      <c r="DE35" s="38"/>
      <c r="DF35" s="38"/>
      <c r="DG35" s="38"/>
      <c r="DH35" s="38"/>
      <c r="DI35" s="38"/>
      <c r="DJ35" s="38"/>
      <c r="DK35" s="38"/>
      <c r="DL35" s="38"/>
      <c r="DM35" s="38"/>
      <c r="DN35" s="38"/>
      <c r="DO35" s="38"/>
      <c r="DP35" s="38"/>
      <c r="DQ35" s="38"/>
      <c r="DR35" s="38"/>
      <c r="DS35" s="38"/>
      <c r="DT35" s="38"/>
      <c r="DU35" s="38"/>
      <c r="DV35" s="38"/>
      <c r="DW35" s="38"/>
      <c r="DX35" s="38"/>
      <c r="DY35" s="38"/>
      <c r="DZ35" s="38"/>
      <c r="EA35" s="38"/>
      <c r="EB35" s="38"/>
      <c r="EC35" s="38"/>
      <c r="ED35" s="38"/>
      <c r="EE35" s="38"/>
      <c r="EF35" s="38"/>
      <c r="EG35" s="38"/>
      <c r="EH35" s="38"/>
      <c r="EI35" s="38"/>
      <c r="EJ35" s="38"/>
      <c r="EK35" s="38"/>
      <c r="EL35" s="38"/>
      <c r="EM35" s="38"/>
      <c r="EN35" s="38"/>
      <c r="EO35" s="38"/>
      <c r="EP35" s="38"/>
      <c r="EQ35" s="38"/>
      <c r="ER35" s="38"/>
      <c r="ES35" s="38"/>
    </row>
    <row r="36" ht="18.0" customHeight="1">
      <c r="A36" s="36" t="s">
        <v>38</v>
      </c>
      <c r="B36" s="39">
        <f t="shared" ref="B36:D36" si="499">SUM(EP36,EL36,EH36,ED36,DZ36,DV36,DR36,DN36,DJ36,DF36,DB36,CX36,CT36,CP36,CL36,CH36,CD36,BZ36,BV36,BR36,BN36,BJ36,BF36,BB36,AX36,AT36,AP36,AL36,AH36,AD36,Z36,V36,R36,N36,J36,F36)</f>
        <v>0</v>
      </c>
      <c r="C36" s="39">
        <f t="shared" si="499"/>
        <v>0</v>
      </c>
      <c r="D36" s="39">
        <f t="shared" si="499"/>
        <v>0</v>
      </c>
      <c r="E36" s="39">
        <f>IFERROR(IF(OR(C36="",D36=""),"",C36-D36),"")</f>
        <v>0</v>
      </c>
      <c r="F36" s="39" t="str">
        <f t="shared" ref="F36:H36" si="500">IF(COUNT(F26,F34)=2,F26-F34,"")</f>
        <v/>
      </c>
      <c r="G36" s="39" t="str">
        <f t="shared" si="500"/>
        <v/>
      </c>
      <c r="H36" s="39" t="str">
        <f t="shared" si="500"/>
        <v/>
      </c>
      <c r="I36" s="39" t="str">
        <f>IFERROR(IF(OR(G36="",H36=""),"",G36-H36),"")</f>
        <v/>
      </c>
      <c r="J36" s="39" t="str">
        <f t="shared" ref="J36:L36" si="501">IF(COUNT(J26,J34)=2,J26-J34,"")</f>
        <v/>
      </c>
      <c r="K36" s="39" t="str">
        <f t="shared" si="501"/>
        <v/>
      </c>
      <c r="L36" s="39" t="str">
        <f t="shared" si="501"/>
        <v/>
      </c>
      <c r="M36" s="39" t="str">
        <f>IFERROR(IF(OR(K36="",L36=""),"",K36-L36),"")</f>
        <v/>
      </c>
      <c r="N36" s="39" t="str">
        <f t="shared" ref="N36:P36" si="502">IF(COUNT(N26,N34)=2,N26-N34,"")</f>
        <v/>
      </c>
      <c r="O36" s="39" t="str">
        <f t="shared" si="502"/>
        <v/>
      </c>
      <c r="P36" s="39" t="str">
        <f t="shared" si="502"/>
        <v/>
      </c>
      <c r="Q36" s="39" t="str">
        <f>IFERROR(IF(OR(O36="",P36=""),"",O36-P36),"")</f>
        <v/>
      </c>
      <c r="R36" s="39" t="str">
        <f t="shared" ref="R36:T36" si="503">IF(COUNT(R26,R34)=2,R26-R34,"")</f>
        <v/>
      </c>
      <c r="S36" s="39" t="str">
        <f t="shared" si="503"/>
        <v/>
      </c>
      <c r="T36" s="39" t="str">
        <f t="shared" si="503"/>
        <v/>
      </c>
      <c r="U36" s="39" t="str">
        <f>IFERROR(IF(OR(S36="",T36=""),"",S36-T36),"")</f>
        <v/>
      </c>
      <c r="V36" s="39" t="str">
        <f t="shared" ref="V36:X36" si="504">IF(COUNT(V26,V34)=2,V26-V34,"")</f>
        <v/>
      </c>
      <c r="W36" s="39" t="str">
        <f t="shared" si="504"/>
        <v/>
      </c>
      <c r="X36" s="39" t="str">
        <f t="shared" si="504"/>
        <v/>
      </c>
      <c r="Y36" s="39" t="str">
        <f>IFERROR(IF(OR(W36="",X36=""),"",W36-X36),"")</f>
        <v/>
      </c>
      <c r="Z36" s="39" t="str">
        <f t="shared" ref="Z36:AB36" si="505">IF(COUNT(Z26,Z34)=2,Z26-Z34,"")</f>
        <v/>
      </c>
      <c r="AA36" s="39" t="str">
        <f t="shared" si="505"/>
        <v/>
      </c>
      <c r="AB36" s="39" t="str">
        <f t="shared" si="505"/>
        <v/>
      </c>
      <c r="AC36" s="39" t="str">
        <f>IFERROR(IF(OR(AA36="",AB36=""),"",AA36-AB36),"")</f>
        <v/>
      </c>
      <c r="AD36" s="39" t="str">
        <f t="shared" ref="AD36:AF36" si="506">IF(COUNT(AD26,AD34)=2,AD26-AD34,"")</f>
        <v/>
      </c>
      <c r="AE36" s="39" t="str">
        <f t="shared" si="506"/>
        <v/>
      </c>
      <c r="AF36" s="39" t="str">
        <f t="shared" si="506"/>
        <v/>
      </c>
      <c r="AG36" s="39" t="str">
        <f>IFERROR(IF(OR(AE36="",AF36=""),"",AE36-AF36),"")</f>
        <v/>
      </c>
      <c r="AH36" s="39" t="str">
        <f t="shared" ref="AH36:AJ36" si="507">IF(COUNT(AH26,AH34)=2,AH26-AH34,"")</f>
        <v/>
      </c>
      <c r="AI36" s="39" t="str">
        <f t="shared" si="507"/>
        <v/>
      </c>
      <c r="AJ36" s="39" t="str">
        <f t="shared" si="507"/>
        <v/>
      </c>
      <c r="AK36" s="39" t="str">
        <f>IFERROR(IF(OR(AI36="",AJ36=""),"",AI36-AJ36),"")</f>
        <v/>
      </c>
      <c r="AL36" s="39" t="str">
        <f t="shared" ref="AL36:AN36" si="508">IF(COUNT(AL26,AL34)=2,AL26-AL34,"")</f>
        <v/>
      </c>
      <c r="AM36" s="39" t="str">
        <f t="shared" si="508"/>
        <v/>
      </c>
      <c r="AN36" s="39" t="str">
        <f t="shared" si="508"/>
        <v/>
      </c>
      <c r="AO36" s="39" t="str">
        <f>IFERROR(IF(OR(AM36="",AN36=""),"",AM36-AN36),"")</f>
        <v/>
      </c>
      <c r="AP36" s="39" t="str">
        <f t="shared" ref="AP36:AR36" si="509">IF(COUNT(AP26,AP34)=2,AP26-AP34,"")</f>
        <v/>
      </c>
      <c r="AQ36" s="39" t="str">
        <f t="shared" si="509"/>
        <v/>
      </c>
      <c r="AR36" s="39" t="str">
        <f t="shared" si="509"/>
        <v/>
      </c>
      <c r="AS36" s="39" t="str">
        <f>IFERROR(IF(OR(AQ36="",AR36=""),"",AQ36-AR36),"")</f>
        <v/>
      </c>
      <c r="AT36" s="39" t="str">
        <f t="shared" ref="AT36:AV36" si="510">IF(COUNT(AT26,AT34)=2,AT26-AT34,"")</f>
        <v/>
      </c>
      <c r="AU36" s="39" t="str">
        <f t="shared" si="510"/>
        <v/>
      </c>
      <c r="AV36" s="39" t="str">
        <f t="shared" si="510"/>
        <v/>
      </c>
      <c r="AW36" s="39" t="str">
        <f>IFERROR(IF(OR(AU36="",AV36=""),"",AU36-AV36),"")</f>
        <v/>
      </c>
      <c r="AX36" s="39" t="str">
        <f t="shared" ref="AX36:AZ36" si="511">IF(COUNT(AX26,AX34)=2,AX26-AX34,"")</f>
        <v/>
      </c>
      <c r="AY36" s="39" t="str">
        <f t="shared" si="511"/>
        <v/>
      </c>
      <c r="AZ36" s="39" t="str">
        <f t="shared" si="511"/>
        <v/>
      </c>
      <c r="BA36" s="39" t="str">
        <f>IFERROR(IF(OR(AY36="",AZ36=""),"",AY36-AZ36),"")</f>
        <v/>
      </c>
      <c r="BB36" s="39" t="str">
        <f t="shared" ref="BB36:BD36" si="512">IF(COUNT(BB26,BB34)=2,BB26-BB34,"")</f>
        <v/>
      </c>
      <c r="BC36" s="39" t="str">
        <f t="shared" si="512"/>
        <v/>
      </c>
      <c r="BD36" s="39" t="str">
        <f t="shared" si="512"/>
        <v/>
      </c>
      <c r="BE36" s="39" t="str">
        <f>IFERROR(IF(OR(BC36="",BD36=""),"",BC36-BD36),"")</f>
        <v/>
      </c>
      <c r="BF36" s="39" t="str">
        <f t="shared" ref="BF36:BH36" si="513">IF(COUNT(BF26,BF34)=2,BF26-BF34,"")</f>
        <v/>
      </c>
      <c r="BG36" s="39" t="str">
        <f t="shared" si="513"/>
        <v/>
      </c>
      <c r="BH36" s="39" t="str">
        <f t="shared" si="513"/>
        <v/>
      </c>
      <c r="BI36" s="39" t="str">
        <f>IFERROR(IF(OR(BG36="",BH36=""),"",BG36-BH36),"")</f>
        <v/>
      </c>
      <c r="BJ36" s="39" t="str">
        <f t="shared" ref="BJ36:BL36" si="514">IF(COUNT(BJ26,BJ34)=2,BJ26-BJ34,"")</f>
        <v/>
      </c>
      <c r="BK36" s="39" t="str">
        <f t="shared" si="514"/>
        <v/>
      </c>
      <c r="BL36" s="39" t="str">
        <f t="shared" si="514"/>
        <v/>
      </c>
      <c r="BM36" s="39" t="str">
        <f>IFERROR(IF(OR(BK36="",BL36=""),"",BK36-BL36),"")</f>
        <v/>
      </c>
      <c r="BN36" s="39" t="str">
        <f t="shared" ref="BN36:BP36" si="515">IF(COUNT(BN26,BN34)=2,BN26-BN34,"")</f>
        <v/>
      </c>
      <c r="BO36" s="39" t="str">
        <f t="shared" si="515"/>
        <v/>
      </c>
      <c r="BP36" s="39" t="str">
        <f t="shared" si="515"/>
        <v/>
      </c>
      <c r="BQ36" s="39" t="str">
        <f>IFERROR(IF(OR(BO36="",BP36=""),"",BO36-BP36),"")</f>
        <v/>
      </c>
      <c r="BR36" s="39" t="str">
        <f t="shared" ref="BR36:BT36" si="516">IF(COUNT(BR26,BR34)=2,BR26-BR34,"")</f>
        <v/>
      </c>
      <c r="BS36" s="39" t="str">
        <f t="shared" si="516"/>
        <v/>
      </c>
      <c r="BT36" s="39" t="str">
        <f t="shared" si="516"/>
        <v/>
      </c>
      <c r="BU36" s="39" t="str">
        <f>IFERROR(IF(OR(BS36="",BT36=""),"",BS36-BT36),"")</f>
        <v/>
      </c>
      <c r="BV36" s="39" t="str">
        <f t="shared" ref="BV36:BX36" si="517">IF(COUNT(BV26,BV34)=2,BV26-BV34,"")</f>
        <v/>
      </c>
      <c r="BW36" s="39" t="str">
        <f t="shared" si="517"/>
        <v/>
      </c>
      <c r="BX36" s="39" t="str">
        <f t="shared" si="517"/>
        <v/>
      </c>
      <c r="BY36" s="39" t="str">
        <f>IFERROR(IF(OR(BW36="",BX36=""),"",BW36-BX36),"")</f>
        <v/>
      </c>
      <c r="BZ36" s="39" t="str">
        <f t="shared" ref="BZ36:CB36" si="518">IF(COUNT(BZ26,BZ34)=2,BZ26-BZ34,"")</f>
        <v/>
      </c>
      <c r="CA36" s="39" t="str">
        <f t="shared" si="518"/>
        <v/>
      </c>
      <c r="CB36" s="39" t="str">
        <f t="shared" si="518"/>
        <v/>
      </c>
      <c r="CC36" s="39" t="str">
        <f>IFERROR(IF(OR(CA36="",CB36=""),"",CA36-CB36),"")</f>
        <v/>
      </c>
      <c r="CD36" s="39" t="str">
        <f t="shared" ref="CD36:CF36" si="519">IF(COUNT(CD26,CD34)=2,CD26-CD34,"")</f>
        <v/>
      </c>
      <c r="CE36" s="39" t="str">
        <f t="shared" si="519"/>
        <v/>
      </c>
      <c r="CF36" s="39" t="str">
        <f t="shared" si="519"/>
        <v/>
      </c>
      <c r="CG36" s="39" t="str">
        <f>IFERROR(IF(OR(CE36="",CF36=""),"",CE36-CF36),"")</f>
        <v/>
      </c>
      <c r="CH36" s="39" t="str">
        <f t="shared" ref="CH36:CJ36" si="520">IF(COUNT(CH26,CH34)=2,CH26-CH34,"")</f>
        <v/>
      </c>
      <c r="CI36" s="39" t="str">
        <f t="shared" si="520"/>
        <v/>
      </c>
      <c r="CJ36" s="39" t="str">
        <f t="shared" si="520"/>
        <v/>
      </c>
      <c r="CK36" s="39" t="str">
        <f>IFERROR(IF(OR(CI36="",CJ36=""),"",CI36-CJ36),"")</f>
        <v/>
      </c>
      <c r="CL36" s="39" t="str">
        <f t="shared" ref="CL36:CN36" si="521">IF(COUNT(CL26,CL34)=2,CL26-CL34,"")</f>
        <v/>
      </c>
      <c r="CM36" s="39" t="str">
        <f t="shared" si="521"/>
        <v/>
      </c>
      <c r="CN36" s="39" t="str">
        <f t="shared" si="521"/>
        <v/>
      </c>
      <c r="CO36" s="39" t="str">
        <f>IFERROR(IF(OR(CM36="",CN36=""),"",CM36-CN36),"")</f>
        <v/>
      </c>
      <c r="CP36" s="39" t="str">
        <f t="shared" ref="CP36:CR36" si="522">IF(COUNT(CP26,CP34)=2,CP26-CP34,"")</f>
        <v/>
      </c>
      <c r="CQ36" s="39" t="str">
        <f t="shared" si="522"/>
        <v/>
      </c>
      <c r="CR36" s="39" t="str">
        <f t="shared" si="522"/>
        <v/>
      </c>
      <c r="CS36" s="39" t="str">
        <f>IFERROR(IF(OR(CQ36="",CR36=""),"",CQ36-CR36),"")</f>
        <v/>
      </c>
      <c r="CT36" s="39" t="str">
        <f t="shared" ref="CT36:CV36" si="523">IF(COUNT(CT26,CT34)=2,CT26-CT34,"")</f>
        <v/>
      </c>
      <c r="CU36" s="39" t="str">
        <f t="shared" si="523"/>
        <v/>
      </c>
      <c r="CV36" s="39" t="str">
        <f t="shared" si="523"/>
        <v/>
      </c>
      <c r="CW36" s="39" t="str">
        <f>IFERROR(IF(OR(CU36="",CV36=""),"",CU36-CV36),"")</f>
        <v/>
      </c>
      <c r="CX36" s="39" t="str">
        <f t="shared" ref="CX36:CZ36" si="524">IF(COUNT(CX26,CX34)=2,CX26-CX34,"")</f>
        <v/>
      </c>
      <c r="CY36" s="39" t="str">
        <f t="shared" si="524"/>
        <v/>
      </c>
      <c r="CZ36" s="39" t="str">
        <f t="shared" si="524"/>
        <v/>
      </c>
      <c r="DA36" s="39" t="str">
        <f>IFERROR(IF(OR(CY36="",CZ36=""),"",CY36-CZ36),"")</f>
        <v/>
      </c>
      <c r="DB36" s="39" t="str">
        <f t="shared" ref="DB36:DD36" si="525">IF(COUNT(DB26,DB34)=2,DB26-DB34,"")</f>
        <v/>
      </c>
      <c r="DC36" s="39" t="str">
        <f t="shared" si="525"/>
        <v/>
      </c>
      <c r="DD36" s="39" t="str">
        <f t="shared" si="525"/>
        <v/>
      </c>
      <c r="DE36" s="39" t="str">
        <f>IFERROR(IF(OR(DC36="",DD36=""),"",DC36-DD36),"")</f>
        <v/>
      </c>
      <c r="DF36" s="39" t="str">
        <f t="shared" ref="DF36:DH36" si="526">IF(COUNT(DF26,DF34)=2,DF26-DF34,"")</f>
        <v/>
      </c>
      <c r="DG36" s="39" t="str">
        <f t="shared" si="526"/>
        <v/>
      </c>
      <c r="DH36" s="39" t="str">
        <f t="shared" si="526"/>
        <v/>
      </c>
      <c r="DI36" s="39" t="str">
        <f>IFERROR(IF(OR(DG36="",DH36=""),"",DG36-DH36),"")</f>
        <v/>
      </c>
      <c r="DJ36" s="39" t="str">
        <f t="shared" ref="DJ36:DL36" si="527">IF(COUNT(DJ26,DJ34)=2,DJ26-DJ34,"")</f>
        <v/>
      </c>
      <c r="DK36" s="39" t="str">
        <f t="shared" si="527"/>
        <v/>
      </c>
      <c r="DL36" s="39" t="str">
        <f t="shared" si="527"/>
        <v/>
      </c>
      <c r="DM36" s="39" t="str">
        <f>IFERROR(IF(OR(DK36="",DL36=""),"",DK36-DL36),"")</f>
        <v/>
      </c>
      <c r="DN36" s="39" t="str">
        <f t="shared" ref="DN36:DP36" si="528">IF(COUNT(DN26,DN34)=2,DN26-DN34,"")</f>
        <v/>
      </c>
      <c r="DO36" s="39" t="str">
        <f t="shared" si="528"/>
        <v/>
      </c>
      <c r="DP36" s="39" t="str">
        <f t="shared" si="528"/>
        <v/>
      </c>
      <c r="DQ36" s="39" t="str">
        <f>IFERROR(IF(OR(DO36="",DP36=""),"",DO36-DP36),"")</f>
        <v/>
      </c>
      <c r="DR36" s="39" t="str">
        <f t="shared" ref="DR36:DT36" si="529">IF(COUNT(DR26,DR34)=2,DR26-DR34,"")</f>
        <v/>
      </c>
      <c r="DS36" s="39" t="str">
        <f t="shared" si="529"/>
        <v/>
      </c>
      <c r="DT36" s="39" t="str">
        <f t="shared" si="529"/>
        <v/>
      </c>
      <c r="DU36" s="39" t="str">
        <f>IFERROR(IF(OR(DS36="",DT36=""),"",DS36-DT36),"")</f>
        <v/>
      </c>
      <c r="DV36" s="39" t="str">
        <f t="shared" ref="DV36:DX36" si="530">IF(COUNT(DV26,DV34)=2,DV26-DV34,"")</f>
        <v/>
      </c>
      <c r="DW36" s="39" t="str">
        <f t="shared" si="530"/>
        <v/>
      </c>
      <c r="DX36" s="39" t="str">
        <f t="shared" si="530"/>
        <v/>
      </c>
      <c r="DY36" s="39" t="str">
        <f>IFERROR(IF(OR(DW36="",DX36=""),"",DW36-DX36),"")</f>
        <v/>
      </c>
      <c r="DZ36" s="39" t="str">
        <f t="shared" ref="DZ36:EB36" si="531">IF(COUNT(DZ26,DZ34)=2,DZ26-DZ34,"")</f>
        <v/>
      </c>
      <c r="EA36" s="39" t="str">
        <f t="shared" si="531"/>
        <v/>
      </c>
      <c r="EB36" s="39" t="str">
        <f t="shared" si="531"/>
        <v/>
      </c>
      <c r="EC36" s="39" t="str">
        <f>IFERROR(IF(OR(EA36="",EB36=""),"",EA36-EB36),"")</f>
        <v/>
      </c>
      <c r="ED36" s="39" t="str">
        <f t="shared" ref="ED36:EF36" si="532">IF(COUNT(ED26,ED34)=2,ED26-ED34,"")</f>
        <v/>
      </c>
      <c r="EE36" s="39" t="str">
        <f t="shared" si="532"/>
        <v/>
      </c>
      <c r="EF36" s="39" t="str">
        <f t="shared" si="532"/>
        <v/>
      </c>
      <c r="EG36" s="39" t="str">
        <f>IFERROR(IF(OR(EE36="",EF36=""),"",EE36-EF36),"")</f>
        <v/>
      </c>
      <c r="EH36" s="39" t="str">
        <f t="shared" ref="EH36:EJ36" si="533">IF(COUNT(EH26,EH34)=2,EH26-EH34,"")</f>
        <v/>
      </c>
      <c r="EI36" s="39" t="str">
        <f t="shared" si="533"/>
        <v/>
      </c>
      <c r="EJ36" s="39" t="str">
        <f t="shared" si="533"/>
        <v/>
      </c>
      <c r="EK36" s="39" t="str">
        <f>IFERROR(IF(OR(EI36="",EJ36=""),"",EI36-EJ36),"")</f>
        <v/>
      </c>
      <c r="EL36" s="39" t="str">
        <f t="shared" ref="EL36:EN36" si="534">IF(COUNT(EL26,EL34)=2,EL26-EL34,"")</f>
        <v/>
      </c>
      <c r="EM36" s="39" t="str">
        <f t="shared" si="534"/>
        <v/>
      </c>
      <c r="EN36" s="39" t="str">
        <f t="shared" si="534"/>
        <v/>
      </c>
      <c r="EO36" s="39" t="str">
        <f>IFERROR(IF(OR(EM36="",EN36=""),"",EM36-EN36),"")</f>
        <v/>
      </c>
      <c r="EP36" s="39" t="str">
        <f t="shared" ref="EP36:ER36" si="535">IF(COUNT(EP26,EP34)=2,EP26-EP34,"")</f>
        <v/>
      </c>
      <c r="EQ36" s="39" t="str">
        <f t="shared" si="535"/>
        <v/>
      </c>
      <c r="ER36" s="39" t="str">
        <f t="shared" si="535"/>
        <v/>
      </c>
      <c r="ES36" s="39" t="str">
        <f>IFERROR(IF(OR(EQ36="",ER36=""),"",EQ36-ER36),"")</f>
        <v/>
      </c>
    </row>
    <row r="37" ht="18.0" customHeight="1">
      <c r="A37" s="12" t="s">
        <v>39</v>
      </c>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row>
    <row r="38" ht="18.0" customHeight="1">
      <c r="A38" s="2" t="s">
        <v>40</v>
      </c>
      <c r="B38" s="30">
        <f t="shared" ref="B38:D38" si="536">SUM(EP38,EL38,EH38,ED38,DZ38,DV38,DR38,DN38,DJ38,DF38,DB38,CX38,CT38,CP38,CL38,CH38,CD38,BZ38,BV38,BR38,BN38,BJ38,BF38,BB38,AX38,AT38,AP38,AL38,AH38,AD38,Z38,V38,R38,N38,J38,F38)</f>
        <v>0</v>
      </c>
      <c r="C38" s="31">
        <f t="shared" si="536"/>
        <v>0</v>
      </c>
      <c r="D38" s="32">
        <f t="shared" si="536"/>
        <v>0</v>
      </c>
      <c r="E38" s="33">
        <f t="shared" ref="E38:E53" si="538">IFERROR(IF(OR(C38="",D38=""),"",C38-D38),"")</f>
        <v>0</v>
      </c>
      <c r="F38" s="34"/>
      <c r="G38" s="31" t="str">
        <f t="shared" ref="G38:G52" si="539">IF(F$98=1,F38,H38)</f>
        <v/>
      </c>
      <c r="H38" s="35"/>
      <c r="I38" s="33" t="str">
        <f t="shared" ref="I38:I53" si="540">IFERROR(IF(OR(G38="",H38=""),"",G38-H38),"")</f>
        <v/>
      </c>
      <c r="J38" s="34"/>
      <c r="K38" s="31" t="str">
        <f t="shared" ref="K38:K52" si="541">IF(J$98=1,J38,L38)</f>
        <v/>
      </c>
      <c r="L38" s="35"/>
      <c r="M38" s="33" t="str">
        <f t="shared" ref="M38:M53" si="542">IFERROR(IF(OR(K38="",L38=""),"",K38-L38),"")</f>
        <v/>
      </c>
      <c r="N38" s="34"/>
      <c r="O38" s="31" t="str">
        <f t="shared" ref="O38:O52" si="543">IF(N$98=1,N38,P38)</f>
        <v/>
      </c>
      <c r="P38" s="35"/>
      <c r="Q38" s="33" t="str">
        <f t="shared" ref="Q38:Q53" si="544">IFERROR(IF(OR(O38="",P38=""),"",O38-P38),"")</f>
        <v/>
      </c>
      <c r="R38" s="34"/>
      <c r="S38" s="31" t="str">
        <f t="shared" ref="S38:S52" si="545">IF(R$98=1,R38,T38)</f>
        <v/>
      </c>
      <c r="T38" s="35"/>
      <c r="U38" s="33" t="str">
        <f t="shared" ref="U38:U53" si="546">IFERROR(IF(OR(S38="",T38=""),"",S38-T38),"")</f>
        <v/>
      </c>
      <c r="V38" s="34"/>
      <c r="W38" s="31" t="str">
        <f t="shared" ref="W38:W52" si="547">IF(V$98=1,V38,X38)</f>
        <v/>
      </c>
      <c r="X38" s="35"/>
      <c r="Y38" s="33" t="str">
        <f t="shared" ref="Y38:Y53" si="548">IFERROR(IF(OR(W38="",X38=""),"",W38-X38),"")</f>
        <v/>
      </c>
      <c r="Z38" s="34"/>
      <c r="AA38" s="31" t="str">
        <f t="shared" ref="AA38:AA52" si="549">IF(Z$98=1,Z38,AB38)</f>
        <v/>
      </c>
      <c r="AB38" s="35"/>
      <c r="AC38" s="33" t="str">
        <f t="shared" ref="AC38:AC53" si="550">IFERROR(IF(OR(AA38="",AB38=""),"",AA38-AB38),"")</f>
        <v/>
      </c>
      <c r="AD38" s="34"/>
      <c r="AE38" s="31" t="str">
        <f t="shared" ref="AE38:AE52" si="551">IF(AD$98=1,AD38,AF38)</f>
        <v/>
      </c>
      <c r="AF38" s="35"/>
      <c r="AG38" s="33" t="str">
        <f t="shared" ref="AG38:AG53" si="552">IFERROR(IF(OR(AE38="",AF38=""),"",AE38-AF38),"")</f>
        <v/>
      </c>
      <c r="AH38" s="34"/>
      <c r="AI38" s="31" t="str">
        <f t="shared" ref="AI38:AI52" si="553">IF(AH$98=1,AH38,AJ38)</f>
        <v/>
      </c>
      <c r="AJ38" s="35"/>
      <c r="AK38" s="33" t="str">
        <f t="shared" ref="AK38:AK53" si="554">IFERROR(IF(OR(AI38="",AJ38=""),"",AI38-AJ38),"")</f>
        <v/>
      </c>
      <c r="AL38" s="34"/>
      <c r="AM38" s="31" t="str">
        <f t="shared" ref="AM38:AM52" si="555">IF(AL$98=1,AL38,AN38)</f>
        <v/>
      </c>
      <c r="AN38" s="35"/>
      <c r="AO38" s="33" t="str">
        <f t="shared" ref="AO38:AO53" si="556">IFERROR(IF(OR(AM38="",AN38=""),"",AM38-AN38),"")</f>
        <v/>
      </c>
      <c r="AP38" s="34"/>
      <c r="AQ38" s="31" t="str">
        <f t="shared" ref="AQ38:AQ52" si="557">IF(AP$98=1,AP38,AR38)</f>
        <v/>
      </c>
      <c r="AR38" s="35"/>
      <c r="AS38" s="33" t="str">
        <f t="shared" ref="AS38:AS53" si="558">IFERROR(IF(OR(AQ38="",AR38=""),"",AQ38-AR38),"")</f>
        <v/>
      </c>
      <c r="AT38" s="34"/>
      <c r="AU38" s="31" t="str">
        <f t="shared" ref="AU38:AU52" si="559">IF(AT$98=1,AT38,AV38)</f>
        <v/>
      </c>
      <c r="AV38" s="35"/>
      <c r="AW38" s="33" t="str">
        <f t="shared" ref="AW38:AW53" si="560">IFERROR(IF(OR(AU38="",AV38=""),"",AU38-AV38),"")</f>
        <v/>
      </c>
      <c r="AX38" s="34"/>
      <c r="AY38" s="31" t="str">
        <f t="shared" ref="AY38:AY52" si="561">IF(AX$98=1,AX38,AZ38)</f>
        <v/>
      </c>
      <c r="AZ38" s="35"/>
      <c r="BA38" s="33" t="str">
        <f t="shared" ref="BA38:BA53" si="562">IFERROR(IF(OR(AY38="",AZ38=""),"",AY38-AZ38),"")</f>
        <v/>
      </c>
      <c r="BB38" s="34"/>
      <c r="BC38" s="31" t="str">
        <f t="shared" ref="BC38:BC52" si="563">IF(BB$98=1,BB38,BD38)</f>
        <v/>
      </c>
      <c r="BD38" s="35"/>
      <c r="BE38" s="33" t="str">
        <f t="shared" ref="BE38:BE53" si="564">IFERROR(IF(OR(BC38="",BD38=""),"",BC38-BD38),"")</f>
        <v/>
      </c>
      <c r="BF38" s="34"/>
      <c r="BG38" s="31" t="str">
        <f t="shared" ref="BG38:BG52" si="565">IF(BF$98=1,BF38,BH38)</f>
        <v/>
      </c>
      <c r="BH38" s="35"/>
      <c r="BI38" s="33" t="str">
        <f t="shared" ref="BI38:BI53" si="566">IFERROR(IF(OR(BG38="",BH38=""),"",BG38-BH38),"")</f>
        <v/>
      </c>
      <c r="BJ38" s="34"/>
      <c r="BK38" s="31" t="str">
        <f t="shared" ref="BK38:BK52" si="567">IF(BJ$98=1,BJ38,BL38)</f>
        <v/>
      </c>
      <c r="BL38" s="35"/>
      <c r="BM38" s="33" t="str">
        <f t="shared" ref="BM38:BM53" si="568">IFERROR(IF(OR(BK38="",BL38=""),"",BK38-BL38),"")</f>
        <v/>
      </c>
      <c r="BN38" s="34"/>
      <c r="BO38" s="31" t="str">
        <f t="shared" ref="BO38:BO52" si="569">IF(BN$98=1,BN38,BP38)</f>
        <v/>
      </c>
      <c r="BP38" s="35"/>
      <c r="BQ38" s="33" t="str">
        <f t="shared" ref="BQ38:BQ53" si="570">IFERROR(IF(OR(BO38="",BP38=""),"",BO38-BP38),"")</f>
        <v/>
      </c>
      <c r="BR38" s="34"/>
      <c r="BS38" s="31" t="str">
        <f t="shared" ref="BS38:BS52" si="571">IF(BR$98=1,BR38,BT38)</f>
        <v/>
      </c>
      <c r="BT38" s="35"/>
      <c r="BU38" s="33" t="str">
        <f t="shared" ref="BU38:BU53" si="572">IFERROR(IF(OR(BS38="",BT38=""),"",BS38-BT38),"")</f>
        <v/>
      </c>
      <c r="BV38" s="34"/>
      <c r="BW38" s="31" t="str">
        <f t="shared" ref="BW38:BW52" si="573">IF(BV$98=1,BV38,BX38)</f>
        <v/>
      </c>
      <c r="BX38" s="35"/>
      <c r="BY38" s="33" t="str">
        <f t="shared" ref="BY38:BY53" si="574">IFERROR(IF(OR(BW38="",BX38=""),"",BW38-BX38),"")</f>
        <v/>
      </c>
      <c r="BZ38" s="34"/>
      <c r="CA38" s="31" t="str">
        <f t="shared" ref="CA38:CA52" si="575">IF(BZ$98=1,BZ38,CB38)</f>
        <v/>
      </c>
      <c r="CB38" s="35"/>
      <c r="CC38" s="33" t="str">
        <f t="shared" ref="CC38:CC53" si="576">IFERROR(IF(OR(CA38="",CB38=""),"",CA38-CB38),"")</f>
        <v/>
      </c>
      <c r="CD38" s="34"/>
      <c r="CE38" s="31" t="str">
        <f t="shared" ref="CE38:CE52" si="577">IF(CD$98=1,CD38,CF38)</f>
        <v/>
      </c>
      <c r="CF38" s="35"/>
      <c r="CG38" s="33" t="str">
        <f t="shared" ref="CG38:CG53" si="578">IFERROR(IF(OR(CE38="",CF38=""),"",CE38-CF38),"")</f>
        <v/>
      </c>
      <c r="CH38" s="34"/>
      <c r="CI38" s="31" t="str">
        <f t="shared" ref="CI38:CI52" si="579">IF(CH$98=1,CH38,CJ38)</f>
        <v/>
      </c>
      <c r="CJ38" s="35"/>
      <c r="CK38" s="33" t="str">
        <f t="shared" ref="CK38:CK53" si="580">IFERROR(IF(OR(CI38="",CJ38=""),"",CI38-CJ38),"")</f>
        <v/>
      </c>
      <c r="CL38" s="34"/>
      <c r="CM38" s="31" t="str">
        <f t="shared" ref="CM38:CM52" si="581">IF(CL$98=1,CL38,CN38)</f>
        <v/>
      </c>
      <c r="CN38" s="35"/>
      <c r="CO38" s="33" t="str">
        <f t="shared" ref="CO38:CO53" si="582">IFERROR(IF(OR(CM38="",CN38=""),"",CM38-CN38),"")</f>
        <v/>
      </c>
      <c r="CP38" s="34"/>
      <c r="CQ38" s="31" t="str">
        <f t="shared" ref="CQ38:CQ52" si="583">IF(CP$98=1,CP38,CR38)</f>
        <v/>
      </c>
      <c r="CR38" s="35"/>
      <c r="CS38" s="33" t="str">
        <f t="shared" ref="CS38:CS53" si="584">IFERROR(IF(OR(CQ38="",CR38=""),"",CQ38-CR38),"")</f>
        <v/>
      </c>
      <c r="CT38" s="34"/>
      <c r="CU38" s="31" t="str">
        <f t="shared" ref="CU38:CU52" si="585">IF(CT$98=1,CT38,CV38)</f>
        <v/>
      </c>
      <c r="CV38" s="35"/>
      <c r="CW38" s="33" t="str">
        <f t="shared" ref="CW38:CW53" si="586">IFERROR(IF(OR(CU38="",CV38=""),"",CU38-CV38),"")</f>
        <v/>
      </c>
      <c r="CX38" s="34"/>
      <c r="CY38" s="31" t="str">
        <f t="shared" ref="CY38:CY52" si="587">IF(CX$98=1,CX38,CZ38)</f>
        <v/>
      </c>
      <c r="CZ38" s="35"/>
      <c r="DA38" s="33" t="str">
        <f t="shared" ref="DA38:DA53" si="588">IFERROR(IF(OR(CY38="",CZ38=""),"",CY38-CZ38),"")</f>
        <v/>
      </c>
      <c r="DB38" s="34"/>
      <c r="DC38" s="31" t="str">
        <f t="shared" ref="DC38:DC52" si="589">IF(DB$98=1,DB38,DD38)</f>
        <v/>
      </c>
      <c r="DD38" s="35"/>
      <c r="DE38" s="33" t="str">
        <f t="shared" ref="DE38:DE53" si="590">IFERROR(IF(OR(DC38="",DD38=""),"",DC38-DD38),"")</f>
        <v/>
      </c>
      <c r="DF38" s="34"/>
      <c r="DG38" s="31" t="str">
        <f t="shared" ref="DG38:DG52" si="591">IF(DF$98=1,DF38,DH38)</f>
        <v/>
      </c>
      <c r="DH38" s="35"/>
      <c r="DI38" s="33" t="str">
        <f t="shared" ref="DI38:DI53" si="592">IFERROR(IF(OR(DG38="",DH38=""),"",DG38-DH38),"")</f>
        <v/>
      </c>
      <c r="DJ38" s="34"/>
      <c r="DK38" s="31" t="str">
        <f t="shared" ref="DK38:DK52" si="593">IF(DJ$98=1,DJ38,DL38)</f>
        <v/>
      </c>
      <c r="DL38" s="35"/>
      <c r="DM38" s="33" t="str">
        <f t="shared" ref="DM38:DM53" si="594">IFERROR(IF(OR(DK38="",DL38=""),"",DK38-DL38),"")</f>
        <v/>
      </c>
      <c r="DN38" s="34"/>
      <c r="DO38" s="31" t="str">
        <f t="shared" ref="DO38:DO52" si="595">IF(DN$98=1,DN38,DP38)</f>
        <v/>
      </c>
      <c r="DP38" s="35"/>
      <c r="DQ38" s="33" t="str">
        <f t="shared" ref="DQ38:DQ53" si="596">IFERROR(IF(OR(DO38="",DP38=""),"",DO38-DP38),"")</f>
        <v/>
      </c>
      <c r="DR38" s="34"/>
      <c r="DS38" s="31" t="str">
        <f t="shared" ref="DS38:DS52" si="597">IF(DR$98=1,DR38,DT38)</f>
        <v/>
      </c>
      <c r="DT38" s="35"/>
      <c r="DU38" s="33" t="str">
        <f t="shared" ref="DU38:DU53" si="598">IFERROR(IF(OR(DS38="",DT38=""),"",DS38-DT38),"")</f>
        <v/>
      </c>
      <c r="DV38" s="34"/>
      <c r="DW38" s="31" t="str">
        <f t="shared" ref="DW38:DW52" si="599">IF(DV$98=1,DV38,DX38)</f>
        <v/>
      </c>
      <c r="DX38" s="35"/>
      <c r="DY38" s="33" t="str">
        <f t="shared" ref="DY38:DY53" si="600">IFERROR(IF(OR(DW38="",DX38=""),"",DW38-DX38),"")</f>
        <v/>
      </c>
      <c r="DZ38" s="34"/>
      <c r="EA38" s="31" t="str">
        <f t="shared" ref="EA38:EA52" si="601">IF(DZ$98=1,DZ38,EB38)</f>
        <v/>
      </c>
      <c r="EB38" s="35"/>
      <c r="EC38" s="33" t="str">
        <f t="shared" ref="EC38:EC53" si="602">IFERROR(IF(OR(EA38="",EB38=""),"",EA38-EB38),"")</f>
        <v/>
      </c>
      <c r="ED38" s="34"/>
      <c r="EE38" s="31" t="str">
        <f t="shared" ref="EE38:EE52" si="603">IF(ED$98=1,ED38,EF38)</f>
        <v/>
      </c>
      <c r="EF38" s="35"/>
      <c r="EG38" s="33" t="str">
        <f t="shared" ref="EG38:EG53" si="604">IFERROR(IF(OR(EE38="",EF38=""),"",EE38-EF38),"")</f>
        <v/>
      </c>
      <c r="EH38" s="34"/>
      <c r="EI38" s="31" t="str">
        <f t="shared" ref="EI38:EI52" si="605">IF(EH$98=1,EH38,EJ38)</f>
        <v/>
      </c>
      <c r="EJ38" s="35"/>
      <c r="EK38" s="33" t="str">
        <f t="shared" ref="EK38:EK53" si="606">IFERROR(IF(OR(EI38="",EJ38=""),"",EI38-EJ38),"")</f>
        <v/>
      </c>
      <c r="EL38" s="34"/>
      <c r="EM38" s="31" t="str">
        <f t="shared" ref="EM38:EM52" si="607">IF(EL$98=1,EL38,EN38)</f>
        <v/>
      </c>
      <c r="EN38" s="35"/>
      <c r="EO38" s="33" t="str">
        <f t="shared" ref="EO38:EO53" si="608">IFERROR(IF(OR(EM38="",EN38=""),"",EM38-EN38),"")</f>
        <v/>
      </c>
      <c r="EP38" s="34"/>
      <c r="EQ38" s="31" t="str">
        <f t="shared" ref="EQ38:EQ52" si="609">IF(EP$98=1,EP38,ER38)</f>
        <v/>
      </c>
      <c r="ER38" s="35"/>
      <c r="ES38" s="33" t="str">
        <f t="shared" ref="ES38:ES53" si="610">IFERROR(IF(OR(EQ38="",ER38=""),"",EQ38-ER38),"")</f>
        <v/>
      </c>
    </row>
    <row r="39" ht="18.0" customHeight="1">
      <c r="A39" s="2" t="s">
        <v>41</v>
      </c>
      <c r="B39" s="30">
        <f t="shared" ref="B39:D39" si="537">SUM(EP39,EL39,EH39,ED39,DZ39,DV39,DR39,DN39,DJ39,DF39,DB39,CX39,CT39,CP39,CL39,CH39,CD39,BZ39,BV39,BR39,BN39,BJ39,BF39,BB39,AX39,AT39,AP39,AL39,AH39,AD39,Z39,V39,R39,N39,J39,F39)</f>
        <v>0</v>
      </c>
      <c r="C39" s="31">
        <f t="shared" si="537"/>
        <v>0</v>
      </c>
      <c r="D39" s="32">
        <f t="shared" si="537"/>
        <v>0</v>
      </c>
      <c r="E39" s="33">
        <f t="shared" si="538"/>
        <v>0</v>
      </c>
      <c r="F39" s="34"/>
      <c r="G39" s="31" t="str">
        <f t="shared" si="539"/>
        <v/>
      </c>
      <c r="H39" s="35"/>
      <c r="I39" s="33" t="str">
        <f t="shared" si="540"/>
        <v/>
      </c>
      <c r="J39" s="34"/>
      <c r="K39" s="31" t="str">
        <f t="shared" si="541"/>
        <v/>
      </c>
      <c r="L39" s="35"/>
      <c r="M39" s="33" t="str">
        <f t="shared" si="542"/>
        <v/>
      </c>
      <c r="N39" s="34"/>
      <c r="O39" s="31" t="str">
        <f t="shared" si="543"/>
        <v/>
      </c>
      <c r="P39" s="35"/>
      <c r="Q39" s="33" t="str">
        <f t="shared" si="544"/>
        <v/>
      </c>
      <c r="R39" s="34"/>
      <c r="S39" s="31" t="str">
        <f t="shared" si="545"/>
        <v/>
      </c>
      <c r="T39" s="35"/>
      <c r="U39" s="33" t="str">
        <f t="shared" si="546"/>
        <v/>
      </c>
      <c r="V39" s="34"/>
      <c r="W39" s="31" t="str">
        <f t="shared" si="547"/>
        <v/>
      </c>
      <c r="X39" s="35"/>
      <c r="Y39" s="33" t="str">
        <f t="shared" si="548"/>
        <v/>
      </c>
      <c r="Z39" s="34"/>
      <c r="AA39" s="31" t="str">
        <f t="shared" si="549"/>
        <v/>
      </c>
      <c r="AB39" s="35"/>
      <c r="AC39" s="33" t="str">
        <f t="shared" si="550"/>
        <v/>
      </c>
      <c r="AD39" s="34"/>
      <c r="AE39" s="31" t="str">
        <f t="shared" si="551"/>
        <v/>
      </c>
      <c r="AF39" s="35"/>
      <c r="AG39" s="33" t="str">
        <f t="shared" si="552"/>
        <v/>
      </c>
      <c r="AH39" s="34"/>
      <c r="AI39" s="31" t="str">
        <f t="shared" si="553"/>
        <v/>
      </c>
      <c r="AJ39" s="35"/>
      <c r="AK39" s="33" t="str">
        <f t="shared" si="554"/>
        <v/>
      </c>
      <c r="AL39" s="34"/>
      <c r="AM39" s="31" t="str">
        <f t="shared" si="555"/>
        <v/>
      </c>
      <c r="AN39" s="35"/>
      <c r="AO39" s="33" t="str">
        <f t="shared" si="556"/>
        <v/>
      </c>
      <c r="AP39" s="34"/>
      <c r="AQ39" s="31" t="str">
        <f t="shared" si="557"/>
        <v/>
      </c>
      <c r="AR39" s="35"/>
      <c r="AS39" s="33" t="str">
        <f t="shared" si="558"/>
        <v/>
      </c>
      <c r="AT39" s="34"/>
      <c r="AU39" s="31" t="str">
        <f t="shared" si="559"/>
        <v/>
      </c>
      <c r="AV39" s="35"/>
      <c r="AW39" s="33" t="str">
        <f t="shared" si="560"/>
        <v/>
      </c>
      <c r="AX39" s="34"/>
      <c r="AY39" s="31" t="str">
        <f t="shared" si="561"/>
        <v/>
      </c>
      <c r="AZ39" s="35"/>
      <c r="BA39" s="33" t="str">
        <f t="shared" si="562"/>
        <v/>
      </c>
      <c r="BB39" s="34"/>
      <c r="BC39" s="31" t="str">
        <f t="shared" si="563"/>
        <v/>
      </c>
      <c r="BD39" s="35"/>
      <c r="BE39" s="33" t="str">
        <f t="shared" si="564"/>
        <v/>
      </c>
      <c r="BF39" s="34"/>
      <c r="BG39" s="31" t="str">
        <f t="shared" si="565"/>
        <v/>
      </c>
      <c r="BH39" s="35"/>
      <c r="BI39" s="33" t="str">
        <f t="shared" si="566"/>
        <v/>
      </c>
      <c r="BJ39" s="34"/>
      <c r="BK39" s="31" t="str">
        <f t="shared" si="567"/>
        <v/>
      </c>
      <c r="BL39" s="35"/>
      <c r="BM39" s="33" t="str">
        <f t="shared" si="568"/>
        <v/>
      </c>
      <c r="BN39" s="34"/>
      <c r="BO39" s="31" t="str">
        <f t="shared" si="569"/>
        <v/>
      </c>
      <c r="BP39" s="35"/>
      <c r="BQ39" s="33" t="str">
        <f t="shared" si="570"/>
        <v/>
      </c>
      <c r="BR39" s="34"/>
      <c r="BS39" s="31" t="str">
        <f t="shared" si="571"/>
        <v/>
      </c>
      <c r="BT39" s="35"/>
      <c r="BU39" s="33" t="str">
        <f t="shared" si="572"/>
        <v/>
      </c>
      <c r="BV39" s="34"/>
      <c r="BW39" s="31" t="str">
        <f t="shared" si="573"/>
        <v/>
      </c>
      <c r="BX39" s="35"/>
      <c r="BY39" s="33" t="str">
        <f t="shared" si="574"/>
        <v/>
      </c>
      <c r="BZ39" s="34"/>
      <c r="CA39" s="31" t="str">
        <f t="shared" si="575"/>
        <v/>
      </c>
      <c r="CB39" s="35"/>
      <c r="CC39" s="33" t="str">
        <f t="shared" si="576"/>
        <v/>
      </c>
      <c r="CD39" s="34"/>
      <c r="CE39" s="31" t="str">
        <f t="shared" si="577"/>
        <v/>
      </c>
      <c r="CF39" s="35"/>
      <c r="CG39" s="33" t="str">
        <f t="shared" si="578"/>
        <v/>
      </c>
      <c r="CH39" s="34"/>
      <c r="CI39" s="31" t="str">
        <f t="shared" si="579"/>
        <v/>
      </c>
      <c r="CJ39" s="35"/>
      <c r="CK39" s="33" t="str">
        <f t="shared" si="580"/>
        <v/>
      </c>
      <c r="CL39" s="34"/>
      <c r="CM39" s="31" t="str">
        <f t="shared" si="581"/>
        <v/>
      </c>
      <c r="CN39" s="35"/>
      <c r="CO39" s="33" t="str">
        <f t="shared" si="582"/>
        <v/>
      </c>
      <c r="CP39" s="34"/>
      <c r="CQ39" s="31" t="str">
        <f t="shared" si="583"/>
        <v/>
      </c>
      <c r="CR39" s="35"/>
      <c r="CS39" s="33" t="str">
        <f t="shared" si="584"/>
        <v/>
      </c>
      <c r="CT39" s="34"/>
      <c r="CU39" s="31" t="str">
        <f t="shared" si="585"/>
        <v/>
      </c>
      <c r="CV39" s="35"/>
      <c r="CW39" s="33" t="str">
        <f t="shared" si="586"/>
        <v/>
      </c>
      <c r="CX39" s="34"/>
      <c r="CY39" s="31" t="str">
        <f t="shared" si="587"/>
        <v/>
      </c>
      <c r="CZ39" s="35"/>
      <c r="DA39" s="33" t="str">
        <f t="shared" si="588"/>
        <v/>
      </c>
      <c r="DB39" s="34"/>
      <c r="DC39" s="31" t="str">
        <f t="shared" si="589"/>
        <v/>
      </c>
      <c r="DD39" s="35"/>
      <c r="DE39" s="33" t="str">
        <f t="shared" si="590"/>
        <v/>
      </c>
      <c r="DF39" s="34"/>
      <c r="DG39" s="31" t="str">
        <f t="shared" si="591"/>
        <v/>
      </c>
      <c r="DH39" s="35"/>
      <c r="DI39" s="33" t="str">
        <f t="shared" si="592"/>
        <v/>
      </c>
      <c r="DJ39" s="34"/>
      <c r="DK39" s="31" t="str">
        <f t="shared" si="593"/>
        <v/>
      </c>
      <c r="DL39" s="35"/>
      <c r="DM39" s="33" t="str">
        <f t="shared" si="594"/>
        <v/>
      </c>
      <c r="DN39" s="34"/>
      <c r="DO39" s="31" t="str">
        <f t="shared" si="595"/>
        <v/>
      </c>
      <c r="DP39" s="35"/>
      <c r="DQ39" s="33" t="str">
        <f t="shared" si="596"/>
        <v/>
      </c>
      <c r="DR39" s="34"/>
      <c r="DS39" s="31" t="str">
        <f t="shared" si="597"/>
        <v/>
      </c>
      <c r="DT39" s="35"/>
      <c r="DU39" s="33" t="str">
        <f t="shared" si="598"/>
        <v/>
      </c>
      <c r="DV39" s="34"/>
      <c r="DW39" s="31" t="str">
        <f t="shared" si="599"/>
        <v/>
      </c>
      <c r="DX39" s="35"/>
      <c r="DY39" s="33" t="str">
        <f t="shared" si="600"/>
        <v/>
      </c>
      <c r="DZ39" s="34"/>
      <c r="EA39" s="31" t="str">
        <f t="shared" si="601"/>
        <v/>
      </c>
      <c r="EB39" s="35"/>
      <c r="EC39" s="33" t="str">
        <f t="shared" si="602"/>
        <v/>
      </c>
      <c r="ED39" s="34"/>
      <c r="EE39" s="31" t="str">
        <f t="shared" si="603"/>
        <v/>
      </c>
      <c r="EF39" s="35"/>
      <c r="EG39" s="33" t="str">
        <f t="shared" si="604"/>
        <v/>
      </c>
      <c r="EH39" s="34"/>
      <c r="EI39" s="31" t="str">
        <f t="shared" si="605"/>
        <v/>
      </c>
      <c r="EJ39" s="35"/>
      <c r="EK39" s="33" t="str">
        <f t="shared" si="606"/>
        <v/>
      </c>
      <c r="EL39" s="34"/>
      <c r="EM39" s="31" t="str">
        <f t="shared" si="607"/>
        <v/>
      </c>
      <c r="EN39" s="35"/>
      <c r="EO39" s="33" t="str">
        <f t="shared" si="608"/>
        <v/>
      </c>
      <c r="EP39" s="34"/>
      <c r="EQ39" s="31" t="str">
        <f t="shared" si="609"/>
        <v/>
      </c>
      <c r="ER39" s="35"/>
      <c r="ES39" s="33" t="str">
        <f t="shared" si="610"/>
        <v/>
      </c>
    </row>
    <row r="40" ht="18.0" customHeight="1">
      <c r="A40" s="2" t="s">
        <v>42</v>
      </c>
      <c r="B40" s="30">
        <f t="shared" ref="B40:D40" si="611">SUM(EP40,EL40,EH40,ED40,DZ40,DV40,DR40,DN40,DJ40,DF40,DB40,CX40,CT40,CP40,CL40,CH40,CD40,BZ40,BV40,BR40,BN40,BJ40,BF40,BB40,AX40,AT40,AP40,AL40,AH40,AD40,Z40,V40,R40,N40,J40,F40)</f>
        <v>0</v>
      </c>
      <c r="C40" s="31">
        <f t="shared" si="611"/>
        <v>0</v>
      </c>
      <c r="D40" s="32">
        <f t="shared" si="611"/>
        <v>0</v>
      </c>
      <c r="E40" s="33">
        <f t="shared" si="538"/>
        <v>0</v>
      </c>
      <c r="F40" s="34"/>
      <c r="G40" s="31" t="str">
        <f t="shared" si="539"/>
        <v/>
      </c>
      <c r="H40" s="35"/>
      <c r="I40" s="33" t="str">
        <f t="shared" si="540"/>
        <v/>
      </c>
      <c r="J40" s="34"/>
      <c r="K40" s="31" t="str">
        <f t="shared" si="541"/>
        <v/>
      </c>
      <c r="L40" s="35"/>
      <c r="M40" s="33" t="str">
        <f t="shared" si="542"/>
        <v/>
      </c>
      <c r="N40" s="34"/>
      <c r="O40" s="31" t="str">
        <f t="shared" si="543"/>
        <v/>
      </c>
      <c r="P40" s="35"/>
      <c r="Q40" s="33" t="str">
        <f t="shared" si="544"/>
        <v/>
      </c>
      <c r="R40" s="34"/>
      <c r="S40" s="31" t="str">
        <f t="shared" si="545"/>
        <v/>
      </c>
      <c r="T40" s="35"/>
      <c r="U40" s="33" t="str">
        <f t="shared" si="546"/>
        <v/>
      </c>
      <c r="V40" s="34"/>
      <c r="W40" s="31" t="str">
        <f t="shared" si="547"/>
        <v/>
      </c>
      <c r="X40" s="35"/>
      <c r="Y40" s="33" t="str">
        <f t="shared" si="548"/>
        <v/>
      </c>
      <c r="Z40" s="34"/>
      <c r="AA40" s="31" t="str">
        <f t="shared" si="549"/>
        <v/>
      </c>
      <c r="AB40" s="35"/>
      <c r="AC40" s="33" t="str">
        <f t="shared" si="550"/>
        <v/>
      </c>
      <c r="AD40" s="34"/>
      <c r="AE40" s="31" t="str">
        <f t="shared" si="551"/>
        <v/>
      </c>
      <c r="AF40" s="35"/>
      <c r="AG40" s="33" t="str">
        <f t="shared" si="552"/>
        <v/>
      </c>
      <c r="AH40" s="34"/>
      <c r="AI40" s="31" t="str">
        <f t="shared" si="553"/>
        <v/>
      </c>
      <c r="AJ40" s="35"/>
      <c r="AK40" s="33" t="str">
        <f t="shared" si="554"/>
        <v/>
      </c>
      <c r="AL40" s="34"/>
      <c r="AM40" s="31" t="str">
        <f t="shared" si="555"/>
        <v/>
      </c>
      <c r="AN40" s="35"/>
      <c r="AO40" s="33" t="str">
        <f t="shared" si="556"/>
        <v/>
      </c>
      <c r="AP40" s="34"/>
      <c r="AQ40" s="31" t="str">
        <f t="shared" si="557"/>
        <v/>
      </c>
      <c r="AR40" s="35"/>
      <c r="AS40" s="33" t="str">
        <f t="shared" si="558"/>
        <v/>
      </c>
      <c r="AT40" s="34"/>
      <c r="AU40" s="31" t="str">
        <f t="shared" si="559"/>
        <v/>
      </c>
      <c r="AV40" s="35"/>
      <c r="AW40" s="33" t="str">
        <f t="shared" si="560"/>
        <v/>
      </c>
      <c r="AX40" s="34"/>
      <c r="AY40" s="31" t="str">
        <f t="shared" si="561"/>
        <v/>
      </c>
      <c r="AZ40" s="35"/>
      <c r="BA40" s="33" t="str">
        <f t="shared" si="562"/>
        <v/>
      </c>
      <c r="BB40" s="34"/>
      <c r="BC40" s="31" t="str">
        <f t="shared" si="563"/>
        <v/>
      </c>
      <c r="BD40" s="35"/>
      <c r="BE40" s="33" t="str">
        <f t="shared" si="564"/>
        <v/>
      </c>
      <c r="BF40" s="34"/>
      <c r="BG40" s="31" t="str">
        <f t="shared" si="565"/>
        <v/>
      </c>
      <c r="BH40" s="35"/>
      <c r="BI40" s="33" t="str">
        <f t="shared" si="566"/>
        <v/>
      </c>
      <c r="BJ40" s="34"/>
      <c r="BK40" s="31" t="str">
        <f t="shared" si="567"/>
        <v/>
      </c>
      <c r="BL40" s="35"/>
      <c r="BM40" s="33" t="str">
        <f t="shared" si="568"/>
        <v/>
      </c>
      <c r="BN40" s="34"/>
      <c r="BO40" s="31" t="str">
        <f t="shared" si="569"/>
        <v/>
      </c>
      <c r="BP40" s="35"/>
      <c r="BQ40" s="33" t="str">
        <f t="shared" si="570"/>
        <v/>
      </c>
      <c r="BR40" s="34"/>
      <c r="BS40" s="31" t="str">
        <f t="shared" si="571"/>
        <v/>
      </c>
      <c r="BT40" s="35"/>
      <c r="BU40" s="33" t="str">
        <f t="shared" si="572"/>
        <v/>
      </c>
      <c r="BV40" s="34"/>
      <c r="BW40" s="31" t="str">
        <f t="shared" si="573"/>
        <v/>
      </c>
      <c r="BX40" s="35"/>
      <c r="BY40" s="33" t="str">
        <f t="shared" si="574"/>
        <v/>
      </c>
      <c r="BZ40" s="34"/>
      <c r="CA40" s="31" t="str">
        <f t="shared" si="575"/>
        <v/>
      </c>
      <c r="CB40" s="35"/>
      <c r="CC40" s="33" t="str">
        <f t="shared" si="576"/>
        <v/>
      </c>
      <c r="CD40" s="34"/>
      <c r="CE40" s="31" t="str">
        <f t="shared" si="577"/>
        <v/>
      </c>
      <c r="CF40" s="35"/>
      <c r="CG40" s="33" t="str">
        <f t="shared" si="578"/>
        <v/>
      </c>
      <c r="CH40" s="34"/>
      <c r="CI40" s="31" t="str">
        <f t="shared" si="579"/>
        <v/>
      </c>
      <c r="CJ40" s="35"/>
      <c r="CK40" s="33" t="str">
        <f t="shared" si="580"/>
        <v/>
      </c>
      <c r="CL40" s="34"/>
      <c r="CM40" s="31" t="str">
        <f t="shared" si="581"/>
        <v/>
      </c>
      <c r="CN40" s="35"/>
      <c r="CO40" s="33" t="str">
        <f t="shared" si="582"/>
        <v/>
      </c>
      <c r="CP40" s="34"/>
      <c r="CQ40" s="31" t="str">
        <f t="shared" si="583"/>
        <v/>
      </c>
      <c r="CR40" s="35"/>
      <c r="CS40" s="33" t="str">
        <f t="shared" si="584"/>
        <v/>
      </c>
      <c r="CT40" s="34"/>
      <c r="CU40" s="31" t="str">
        <f t="shared" si="585"/>
        <v/>
      </c>
      <c r="CV40" s="35"/>
      <c r="CW40" s="33" t="str">
        <f t="shared" si="586"/>
        <v/>
      </c>
      <c r="CX40" s="34"/>
      <c r="CY40" s="31" t="str">
        <f t="shared" si="587"/>
        <v/>
      </c>
      <c r="CZ40" s="35"/>
      <c r="DA40" s="33" t="str">
        <f t="shared" si="588"/>
        <v/>
      </c>
      <c r="DB40" s="34"/>
      <c r="DC40" s="31" t="str">
        <f t="shared" si="589"/>
        <v/>
      </c>
      <c r="DD40" s="35"/>
      <c r="DE40" s="33" t="str">
        <f t="shared" si="590"/>
        <v/>
      </c>
      <c r="DF40" s="34"/>
      <c r="DG40" s="31" t="str">
        <f t="shared" si="591"/>
        <v/>
      </c>
      <c r="DH40" s="35"/>
      <c r="DI40" s="33" t="str">
        <f t="shared" si="592"/>
        <v/>
      </c>
      <c r="DJ40" s="34"/>
      <c r="DK40" s="31" t="str">
        <f t="shared" si="593"/>
        <v/>
      </c>
      <c r="DL40" s="35"/>
      <c r="DM40" s="33" t="str">
        <f t="shared" si="594"/>
        <v/>
      </c>
      <c r="DN40" s="34"/>
      <c r="DO40" s="31" t="str">
        <f t="shared" si="595"/>
        <v/>
      </c>
      <c r="DP40" s="35"/>
      <c r="DQ40" s="33" t="str">
        <f t="shared" si="596"/>
        <v/>
      </c>
      <c r="DR40" s="34"/>
      <c r="DS40" s="31" t="str">
        <f t="shared" si="597"/>
        <v/>
      </c>
      <c r="DT40" s="35"/>
      <c r="DU40" s="33" t="str">
        <f t="shared" si="598"/>
        <v/>
      </c>
      <c r="DV40" s="34"/>
      <c r="DW40" s="31" t="str">
        <f t="shared" si="599"/>
        <v/>
      </c>
      <c r="DX40" s="35"/>
      <c r="DY40" s="33" t="str">
        <f t="shared" si="600"/>
        <v/>
      </c>
      <c r="DZ40" s="34"/>
      <c r="EA40" s="31" t="str">
        <f t="shared" si="601"/>
        <v/>
      </c>
      <c r="EB40" s="35"/>
      <c r="EC40" s="33" t="str">
        <f t="shared" si="602"/>
        <v/>
      </c>
      <c r="ED40" s="34"/>
      <c r="EE40" s="31" t="str">
        <f t="shared" si="603"/>
        <v/>
      </c>
      <c r="EF40" s="35"/>
      <c r="EG40" s="33" t="str">
        <f t="shared" si="604"/>
        <v/>
      </c>
      <c r="EH40" s="34"/>
      <c r="EI40" s="31" t="str">
        <f t="shared" si="605"/>
        <v/>
      </c>
      <c r="EJ40" s="35"/>
      <c r="EK40" s="33" t="str">
        <f t="shared" si="606"/>
        <v/>
      </c>
      <c r="EL40" s="34"/>
      <c r="EM40" s="31" t="str">
        <f t="shared" si="607"/>
        <v/>
      </c>
      <c r="EN40" s="35"/>
      <c r="EO40" s="33" t="str">
        <f t="shared" si="608"/>
        <v/>
      </c>
      <c r="EP40" s="34"/>
      <c r="EQ40" s="31" t="str">
        <f t="shared" si="609"/>
        <v/>
      </c>
      <c r="ER40" s="35"/>
      <c r="ES40" s="33" t="str">
        <f t="shared" si="610"/>
        <v/>
      </c>
    </row>
    <row r="41" ht="18.0" customHeight="1">
      <c r="A41" s="2" t="s">
        <v>43</v>
      </c>
      <c r="B41" s="30">
        <f t="shared" ref="B41:D41" si="612">SUM(EP41,EL41,EH41,ED41,DZ41,DV41,DR41,DN41,DJ41,DF41,DB41,CX41,CT41,CP41,CL41,CH41,CD41,BZ41,BV41,BR41,BN41,BJ41,BF41,BB41,AX41,AT41,AP41,AL41,AH41,AD41,Z41,V41,R41,N41,J41,F41)</f>
        <v>0</v>
      </c>
      <c r="C41" s="31">
        <f t="shared" si="612"/>
        <v>0</v>
      </c>
      <c r="D41" s="32">
        <f t="shared" si="612"/>
        <v>0</v>
      </c>
      <c r="E41" s="33">
        <f t="shared" si="538"/>
        <v>0</v>
      </c>
      <c r="F41" s="34"/>
      <c r="G41" s="31" t="str">
        <f t="shared" si="539"/>
        <v/>
      </c>
      <c r="H41" s="35"/>
      <c r="I41" s="33" t="str">
        <f t="shared" si="540"/>
        <v/>
      </c>
      <c r="J41" s="34"/>
      <c r="K41" s="31" t="str">
        <f t="shared" si="541"/>
        <v/>
      </c>
      <c r="L41" s="35"/>
      <c r="M41" s="33" t="str">
        <f t="shared" si="542"/>
        <v/>
      </c>
      <c r="N41" s="34"/>
      <c r="O41" s="31" t="str">
        <f t="shared" si="543"/>
        <v/>
      </c>
      <c r="P41" s="35"/>
      <c r="Q41" s="33" t="str">
        <f t="shared" si="544"/>
        <v/>
      </c>
      <c r="R41" s="34"/>
      <c r="S41" s="31" t="str">
        <f t="shared" si="545"/>
        <v/>
      </c>
      <c r="T41" s="35"/>
      <c r="U41" s="33" t="str">
        <f t="shared" si="546"/>
        <v/>
      </c>
      <c r="V41" s="34"/>
      <c r="W41" s="31" t="str">
        <f t="shared" si="547"/>
        <v/>
      </c>
      <c r="X41" s="35"/>
      <c r="Y41" s="33" t="str">
        <f t="shared" si="548"/>
        <v/>
      </c>
      <c r="Z41" s="34"/>
      <c r="AA41" s="31" t="str">
        <f t="shared" si="549"/>
        <v/>
      </c>
      <c r="AB41" s="35"/>
      <c r="AC41" s="33" t="str">
        <f t="shared" si="550"/>
        <v/>
      </c>
      <c r="AD41" s="34"/>
      <c r="AE41" s="31" t="str">
        <f t="shared" si="551"/>
        <v/>
      </c>
      <c r="AF41" s="35"/>
      <c r="AG41" s="33" t="str">
        <f t="shared" si="552"/>
        <v/>
      </c>
      <c r="AH41" s="34"/>
      <c r="AI41" s="31" t="str">
        <f t="shared" si="553"/>
        <v/>
      </c>
      <c r="AJ41" s="35"/>
      <c r="AK41" s="33" t="str">
        <f t="shared" si="554"/>
        <v/>
      </c>
      <c r="AL41" s="34"/>
      <c r="AM41" s="31" t="str">
        <f t="shared" si="555"/>
        <v/>
      </c>
      <c r="AN41" s="35"/>
      <c r="AO41" s="33" t="str">
        <f t="shared" si="556"/>
        <v/>
      </c>
      <c r="AP41" s="34"/>
      <c r="AQ41" s="31" t="str">
        <f t="shared" si="557"/>
        <v/>
      </c>
      <c r="AR41" s="35"/>
      <c r="AS41" s="33" t="str">
        <f t="shared" si="558"/>
        <v/>
      </c>
      <c r="AT41" s="34"/>
      <c r="AU41" s="31" t="str">
        <f t="shared" si="559"/>
        <v/>
      </c>
      <c r="AV41" s="35"/>
      <c r="AW41" s="33" t="str">
        <f t="shared" si="560"/>
        <v/>
      </c>
      <c r="AX41" s="34"/>
      <c r="AY41" s="31" t="str">
        <f t="shared" si="561"/>
        <v/>
      </c>
      <c r="AZ41" s="35"/>
      <c r="BA41" s="33" t="str">
        <f t="shared" si="562"/>
        <v/>
      </c>
      <c r="BB41" s="34"/>
      <c r="BC41" s="31" t="str">
        <f t="shared" si="563"/>
        <v/>
      </c>
      <c r="BD41" s="35"/>
      <c r="BE41" s="33" t="str">
        <f t="shared" si="564"/>
        <v/>
      </c>
      <c r="BF41" s="34"/>
      <c r="BG41" s="31" t="str">
        <f t="shared" si="565"/>
        <v/>
      </c>
      <c r="BH41" s="35"/>
      <c r="BI41" s="33" t="str">
        <f t="shared" si="566"/>
        <v/>
      </c>
      <c r="BJ41" s="34"/>
      <c r="BK41" s="31" t="str">
        <f t="shared" si="567"/>
        <v/>
      </c>
      <c r="BL41" s="35"/>
      <c r="BM41" s="33" t="str">
        <f t="shared" si="568"/>
        <v/>
      </c>
      <c r="BN41" s="34"/>
      <c r="BO41" s="31" t="str">
        <f t="shared" si="569"/>
        <v/>
      </c>
      <c r="BP41" s="35"/>
      <c r="BQ41" s="33" t="str">
        <f t="shared" si="570"/>
        <v/>
      </c>
      <c r="BR41" s="34"/>
      <c r="BS41" s="31" t="str">
        <f t="shared" si="571"/>
        <v/>
      </c>
      <c r="BT41" s="35"/>
      <c r="BU41" s="33" t="str">
        <f t="shared" si="572"/>
        <v/>
      </c>
      <c r="BV41" s="34"/>
      <c r="BW41" s="31" t="str">
        <f t="shared" si="573"/>
        <v/>
      </c>
      <c r="BX41" s="35"/>
      <c r="BY41" s="33" t="str">
        <f t="shared" si="574"/>
        <v/>
      </c>
      <c r="BZ41" s="34"/>
      <c r="CA41" s="31" t="str">
        <f t="shared" si="575"/>
        <v/>
      </c>
      <c r="CB41" s="35"/>
      <c r="CC41" s="33" t="str">
        <f t="shared" si="576"/>
        <v/>
      </c>
      <c r="CD41" s="34"/>
      <c r="CE41" s="31" t="str">
        <f t="shared" si="577"/>
        <v/>
      </c>
      <c r="CF41" s="35"/>
      <c r="CG41" s="33" t="str">
        <f t="shared" si="578"/>
        <v/>
      </c>
      <c r="CH41" s="34"/>
      <c r="CI41" s="31" t="str">
        <f t="shared" si="579"/>
        <v/>
      </c>
      <c r="CJ41" s="35"/>
      <c r="CK41" s="33" t="str">
        <f t="shared" si="580"/>
        <v/>
      </c>
      <c r="CL41" s="34"/>
      <c r="CM41" s="31" t="str">
        <f t="shared" si="581"/>
        <v/>
      </c>
      <c r="CN41" s="35"/>
      <c r="CO41" s="33" t="str">
        <f t="shared" si="582"/>
        <v/>
      </c>
      <c r="CP41" s="34"/>
      <c r="CQ41" s="31" t="str">
        <f t="shared" si="583"/>
        <v/>
      </c>
      <c r="CR41" s="35"/>
      <c r="CS41" s="33" t="str">
        <f t="shared" si="584"/>
        <v/>
      </c>
      <c r="CT41" s="34"/>
      <c r="CU41" s="31" t="str">
        <f t="shared" si="585"/>
        <v/>
      </c>
      <c r="CV41" s="35"/>
      <c r="CW41" s="33" t="str">
        <f t="shared" si="586"/>
        <v/>
      </c>
      <c r="CX41" s="34"/>
      <c r="CY41" s="31" t="str">
        <f t="shared" si="587"/>
        <v/>
      </c>
      <c r="CZ41" s="35"/>
      <c r="DA41" s="33" t="str">
        <f t="shared" si="588"/>
        <v/>
      </c>
      <c r="DB41" s="34"/>
      <c r="DC41" s="31" t="str">
        <f t="shared" si="589"/>
        <v/>
      </c>
      <c r="DD41" s="35"/>
      <c r="DE41" s="33" t="str">
        <f t="shared" si="590"/>
        <v/>
      </c>
      <c r="DF41" s="34"/>
      <c r="DG41" s="31" t="str">
        <f t="shared" si="591"/>
        <v/>
      </c>
      <c r="DH41" s="35"/>
      <c r="DI41" s="33" t="str">
        <f t="shared" si="592"/>
        <v/>
      </c>
      <c r="DJ41" s="34"/>
      <c r="DK41" s="31" t="str">
        <f t="shared" si="593"/>
        <v/>
      </c>
      <c r="DL41" s="35"/>
      <c r="DM41" s="33" t="str">
        <f t="shared" si="594"/>
        <v/>
      </c>
      <c r="DN41" s="34"/>
      <c r="DO41" s="31" t="str">
        <f t="shared" si="595"/>
        <v/>
      </c>
      <c r="DP41" s="35"/>
      <c r="DQ41" s="33" t="str">
        <f t="shared" si="596"/>
        <v/>
      </c>
      <c r="DR41" s="34"/>
      <c r="DS41" s="31" t="str">
        <f t="shared" si="597"/>
        <v/>
      </c>
      <c r="DT41" s="35"/>
      <c r="DU41" s="33" t="str">
        <f t="shared" si="598"/>
        <v/>
      </c>
      <c r="DV41" s="34"/>
      <c r="DW41" s="31" t="str">
        <f t="shared" si="599"/>
        <v/>
      </c>
      <c r="DX41" s="35"/>
      <c r="DY41" s="33" t="str">
        <f t="shared" si="600"/>
        <v/>
      </c>
      <c r="DZ41" s="34"/>
      <c r="EA41" s="31" t="str">
        <f t="shared" si="601"/>
        <v/>
      </c>
      <c r="EB41" s="35"/>
      <c r="EC41" s="33" t="str">
        <f t="shared" si="602"/>
        <v/>
      </c>
      <c r="ED41" s="34"/>
      <c r="EE41" s="31" t="str">
        <f t="shared" si="603"/>
        <v/>
      </c>
      <c r="EF41" s="35"/>
      <c r="EG41" s="33" t="str">
        <f t="shared" si="604"/>
        <v/>
      </c>
      <c r="EH41" s="34"/>
      <c r="EI41" s="31" t="str">
        <f t="shared" si="605"/>
        <v/>
      </c>
      <c r="EJ41" s="35"/>
      <c r="EK41" s="33" t="str">
        <f t="shared" si="606"/>
        <v/>
      </c>
      <c r="EL41" s="34"/>
      <c r="EM41" s="31" t="str">
        <f t="shared" si="607"/>
        <v/>
      </c>
      <c r="EN41" s="35"/>
      <c r="EO41" s="33" t="str">
        <f t="shared" si="608"/>
        <v/>
      </c>
      <c r="EP41" s="34"/>
      <c r="EQ41" s="31" t="str">
        <f t="shared" si="609"/>
        <v/>
      </c>
      <c r="ER41" s="35"/>
      <c r="ES41" s="33" t="str">
        <f t="shared" si="610"/>
        <v/>
      </c>
    </row>
    <row r="42" ht="18.0" customHeight="1">
      <c r="A42" s="2" t="s">
        <v>44</v>
      </c>
      <c r="B42" s="30">
        <f t="shared" ref="B42:D42" si="613">SUM(EP42,EL42,EH42,ED42,DZ42,DV42,DR42,DN42,DJ42,DF42,DB42,CX42,CT42,CP42,CL42,CH42,CD42,BZ42,BV42,BR42,BN42,BJ42,BF42,BB42,AX42,AT42,AP42,AL42,AH42,AD42,Z42,V42,R42,N42,J42,F42)</f>
        <v>0</v>
      </c>
      <c r="C42" s="31">
        <f t="shared" si="613"/>
        <v>0</v>
      </c>
      <c r="D42" s="32">
        <f t="shared" si="613"/>
        <v>0</v>
      </c>
      <c r="E42" s="33">
        <f t="shared" si="538"/>
        <v>0</v>
      </c>
      <c r="F42" s="34"/>
      <c r="G42" s="31" t="str">
        <f t="shared" si="539"/>
        <v/>
      </c>
      <c r="H42" s="35"/>
      <c r="I42" s="33" t="str">
        <f t="shared" si="540"/>
        <v/>
      </c>
      <c r="J42" s="34"/>
      <c r="K42" s="31" t="str">
        <f t="shared" si="541"/>
        <v/>
      </c>
      <c r="L42" s="35"/>
      <c r="M42" s="33" t="str">
        <f t="shared" si="542"/>
        <v/>
      </c>
      <c r="N42" s="34"/>
      <c r="O42" s="31" t="str">
        <f t="shared" si="543"/>
        <v/>
      </c>
      <c r="P42" s="35"/>
      <c r="Q42" s="33" t="str">
        <f t="shared" si="544"/>
        <v/>
      </c>
      <c r="R42" s="34"/>
      <c r="S42" s="31" t="str">
        <f t="shared" si="545"/>
        <v/>
      </c>
      <c r="T42" s="35"/>
      <c r="U42" s="33" t="str">
        <f t="shared" si="546"/>
        <v/>
      </c>
      <c r="V42" s="34"/>
      <c r="W42" s="31" t="str">
        <f t="shared" si="547"/>
        <v/>
      </c>
      <c r="X42" s="35"/>
      <c r="Y42" s="33" t="str">
        <f t="shared" si="548"/>
        <v/>
      </c>
      <c r="Z42" s="34"/>
      <c r="AA42" s="31" t="str">
        <f t="shared" si="549"/>
        <v/>
      </c>
      <c r="AB42" s="35"/>
      <c r="AC42" s="33" t="str">
        <f t="shared" si="550"/>
        <v/>
      </c>
      <c r="AD42" s="34"/>
      <c r="AE42" s="31" t="str">
        <f t="shared" si="551"/>
        <v/>
      </c>
      <c r="AF42" s="35"/>
      <c r="AG42" s="33" t="str">
        <f t="shared" si="552"/>
        <v/>
      </c>
      <c r="AH42" s="34"/>
      <c r="AI42" s="31" t="str">
        <f t="shared" si="553"/>
        <v/>
      </c>
      <c r="AJ42" s="35"/>
      <c r="AK42" s="33" t="str">
        <f t="shared" si="554"/>
        <v/>
      </c>
      <c r="AL42" s="34"/>
      <c r="AM42" s="31" t="str">
        <f t="shared" si="555"/>
        <v/>
      </c>
      <c r="AN42" s="35"/>
      <c r="AO42" s="33" t="str">
        <f t="shared" si="556"/>
        <v/>
      </c>
      <c r="AP42" s="34"/>
      <c r="AQ42" s="31" t="str">
        <f t="shared" si="557"/>
        <v/>
      </c>
      <c r="AR42" s="35"/>
      <c r="AS42" s="33" t="str">
        <f t="shared" si="558"/>
        <v/>
      </c>
      <c r="AT42" s="34"/>
      <c r="AU42" s="31" t="str">
        <f t="shared" si="559"/>
        <v/>
      </c>
      <c r="AV42" s="35"/>
      <c r="AW42" s="33" t="str">
        <f t="shared" si="560"/>
        <v/>
      </c>
      <c r="AX42" s="34"/>
      <c r="AY42" s="31" t="str">
        <f t="shared" si="561"/>
        <v/>
      </c>
      <c r="AZ42" s="35"/>
      <c r="BA42" s="33" t="str">
        <f t="shared" si="562"/>
        <v/>
      </c>
      <c r="BB42" s="34"/>
      <c r="BC42" s="31" t="str">
        <f t="shared" si="563"/>
        <v/>
      </c>
      <c r="BD42" s="35"/>
      <c r="BE42" s="33" t="str">
        <f t="shared" si="564"/>
        <v/>
      </c>
      <c r="BF42" s="34"/>
      <c r="BG42" s="31" t="str">
        <f t="shared" si="565"/>
        <v/>
      </c>
      <c r="BH42" s="35"/>
      <c r="BI42" s="33" t="str">
        <f t="shared" si="566"/>
        <v/>
      </c>
      <c r="BJ42" s="34"/>
      <c r="BK42" s="31" t="str">
        <f t="shared" si="567"/>
        <v/>
      </c>
      <c r="BL42" s="35"/>
      <c r="BM42" s="33" t="str">
        <f t="shared" si="568"/>
        <v/>
      </c>
      <c r="BN42" s="34"/>
      <c r="BO42" s="31" t="str">
        <f t="shared" si="569"/>
        <v/>
      </c>
      <c r="BP42" s="35"/>
      <c r="BQ42" s="33" t="str">
        <f t="shared" si="570"/>
        <v/>
      </c>
      <c r="BR42" s="34"/>
      <c r="BS42" s="31" t="str">
        <f t="shared" si="571"/>
        <v/>
      </c>
      <c r="BT42" s="35"/>
      <c r="BU42" s="33" t="str">
        <f t="shared" si="572"/>
        <v/>
      </c>
      <c r="BV42" s="34"/>
      <c r="BW42" s="31" t="str">
        <f t="shared" si="573"/>
        <v/>
      </c>
      <c r="BX42" s="35"/>
      <c r="BY42" s="33" t="str">
        <f t="shared" si="574"/>
        <v/>
      </c>
      <c r="BZ42" s="34"/>
      <c r="CA42" s="31" t="str">
        <f t="shared" si="575"/>
        <v/>
      </c>
      <c r="CB42" s="35"/>
      <c r="CC42" s="33" t="str">
        <f t="shared" si="576"/>
        <v/>
      </c>
      <c r="CD42" s="34"/>
      <c r="CE42" s="31" t="str">
        <f t="shared" si="577"/>
        <v/>
      </c>
      <c r="CF42" s="35"/>
      <c r="CG42" s="33" t="str">
        <f t="shared" si="578"/>
        <v/>
      </c>
      <c r="CH42" s="34"/>
      <c r="CI42" s="31" t="str">
        <f t="shared" si="579"/>
        <v/>
      </c>
      <c r="CJ42" s="35"/>
      <c r="CK42" s="33" t="str">
        <f t="shared" si="580"/>
        <v/>
      </c>
      <c r="CL42" s="34"/>
      <c r="CM42" s="31" t="str">
        <f t="shared" si="581"/>
        <v/>
      </c>
      <c r="CN42" s="35"/>
      <c r="CO42" s="33" t="str">
        <f t="shared" si="582"/>
        <v/>
      </c>
      <c r="CP42" s="34"/>
      <c r="CQ42" s="31" t="str">
        <f t="shared" si="583"/>
        <v/>
      </c>
      <c r="CR42" s="35"/>
      <c r="CS42" s="33" t="str">
        <f t="shared" si="584"/>
        <v/>
      </c>
      <c r="CT42" s="34"/>
      <c r="CU42" s="31" t="str">
        <f t="shared" si="585"/>
        <v/>
      </c>
      <c r="CV42" s="35"/>
      <c r="CW42" s="33" t="str">
        <f t="shared" si="586"/>
        <v/>
      </c>
      <c r="CX42" s="34"/>
      <c r="CY42" s="31" t="str">
        <f t="shared" si="587"/>
        <v/>
      </c>
      <c r="CZ42" s="35"/>
      <c r="DA42" s="33" t="str">
        <f t="shared" si="588"/>
        <v/>
      </c>
      <c r="DB42" s="34"/>
      <c r="DC42" s="31" t="str">
        <f t="shared" si="589"/>
        <v/>
      </c>
      <c r="DD42" s="35"/>
      <c r="DE42" s="33" t="str">
        <f t="shared" si="590"/>
        <v/>
      </c>
      <c r="DF42" s="34"/>
      <c r="DG42" s="31" t="str">
        <f t="shared" si="591"/>
        <v/>
      </c>
      <c r="DH42" s="35"/>
      <c r="DI42" s="33" t="str">
        <f t="shared" si="592"/>
        <v/>
      </c>
      <c r="DJ42" s="34"/>
      <c r="DK42" s="31" t="str">
        <f t="shared" si="593"/>
        <v/>
      </c>
      <c r="DL42" s="35"/>
      <c r="DM42" s="33" t="str">
        <f t="shared" si="594"/>
        <v/>
      </c>
      <c r="DN42" s="34"/>
      <c r="DO42" s="31" t="str">
        <f t="shared" si="595"/>
        <v/>
      </c>
      <c r="DP42" s="35"/>
      <c r="DQ42" s="33" t="str">
        <f t="shared" si="596"/>
        <v/>
      </c>
      <c r="DR42" s="34"/>
      <c r="DS42" s="31" t="str">
        <f t="shared" si="597"/>
        <v/>
      </c>
      <c r="DT42" s="35"/>
      <c r="DU42" s="33" t="str">
        <f t="shared" si="598"/>
        <v/>
      </c>
      <c r="DV42" s="34"/>
      <c r="DW42" s="31" t="str">
        <f t="shared" si="599"/>
        <v/>
      </c>
      <c r="DX42" s="35"/>
      <c r="DY42" s="33" t="str">
        <f t="shared" si="600"/>
        <v/>
      </c>
      <c r="DZ42" s="34"/>
      <c r="EA42" s="31" t="str">
        <f t="shared" si="601"/>
        <v/>
      </c>
      <c r="EB42" s="35"/>
      <c r="EC42" s="33" t="str">
        <f t="shared" si="602"/>
        <v/>
      </c>
      <c r="ED42" s="34"/>
      <c r="EE42" s="31" t="str">
        <f t="shared" si="603"/>
        <v/>
      </c>
      <c r="EF42" s="35"/>
      <c r="EG42" s="33" t="str">
        <f t="shared" si="604"/>
        <v/>
      </c>
      <c r="EH42" s="34"/>
      <c r="EI42" s="31" t="str">
        <f t="shared" si="605"/>
        <v/>
      </c>
      <c r="EJ42" s="35"/>
      <c r="EK42" s="33" t="str">
        <f t="shared" si="606"/>
        <v/>
      </c>
      <c r="EL42" s="34"/>
      <c r="EM42" s="31" t="str">
        <f t="shared" si="607"/>
        <v/>
      </c>
      <c r="EN42" s="35"/>
      <c r="EO42" s="33" t="str">
        <f t="shared" si="608"/>
        <v/>
      </c>
      <c r="EP42" s="34"/>
      <c r="EQ42" s="31" t="str">
        <f t="shared" si="609"/>
        <v/>
      </c>
      <c r="ER42" s="35"/>
      <c r="ES42" s="33" t="str">
        <f t="shared" si="610"/>
        <v/>
      </c>
    </row>
    <row r="43" ht="18.0" customHeight="1">
      <c r="A43" s="2" t="s">
        <v>45</v>
      </c>
      <c r="B43" s="30">
        <f t="shared" ref="B43:D43" si="614">SUM(EP43,EL43,EH43,ED43,DZ43,DV43,DR43,DN43,DJ43,DF43,DB43,CX43,CT43,CP43,CL43,CH43,CD43,BZ43,BV43,BR43,BN43,BJ43,BF43,BB43,AX43,AT43,AP43,AL43,AH43,AD43,Z43,V43,R43,N43,J43,F43)</f>
        <v>0</v>
      </c>
      <c r="C43" s="31">
        <f t="shared" si="614"/>
        <v>0</v>
      </c>
      <c r="D43" s="32">
        <f t="shared" si="614"/>
        <v>0</v>
      </c>
      <c r="E43" s="33">
        <f t="shared" si="538"/>
        <v>0</v>
      </c>
      <c r="F43" s="34"/>
      <c r="G43" s="31" t="str">
        <f t="shared" si="539"/>
        <v/>
      </c>
      <c r="H43" s="35"/>
      <c r="I43" s="33" t="str">
        <f t="shared" si="540"/>
        <v/>
      </c>
      <c r="J43" s="34"/>
      <c r="K43" s="31" t="str">
        <f t="shared" si="541"/>
        <v/>
      </c>
      <c r="L43" s="35"/>
      <c r="M43" s="33" t="str">
        <f t="shared" si="542"/>
        <v/>
      </c>
      <c r="N43" s="34"/>
      <c r="O43" s="31" t="str">
        <f t="shared" si="543"/>
        <v/>
      </c>
      <c r="P43" s="35"/>
      <c r="Q43" s="33" t="str">
        <f t="shared" si="544"/>
        <v/>
      </c>
      <c r="R43" s="34"/>
      <c r="S43" s="31" t="str">
        <f t="shared" si="545"/>
        <v/>
      </c>
      <c r="T43" s="35"/>
      <c r="U43" s="33" t="str">
        <f t="shared" si="546"/>
        <v/>
      </c>
      <c r="V43" s="34"/>
      <c r="W43" s="31" t="str">
        <f t="shared" si="547"/>
        <v/>
      </c>
      <c r="X43" s="35"/>
      <c r="Y43" s="33" t="str">
        <f t="shared" si="548"/>
        <v/>
      </c>
      <c r="Z43" s="34"/>
      <c r="AA43" s="31" t="str">
        <f t="shared" si="549"/>
        <v/>
      </c>
      <c r="AB43" s="35"/>
      <c r="AC43" s="33" t="str">
        <f t="shared" si="550"/>
        <v/>
      </c>
      <c r="AD43" s="34"/>
      <c r="AE43" s="31" t="str">
        <f t="shared" si="551"/>
        <v/>
      </c>
      <c r="AF43" s="35"/>
      <c r="AG43" s="33" t="str">
        <f t="shared" si="552"/>
        <v/>
      </c>
      <c r="AH43" s="34"/>
      <c r="AI43" s="31" t="str">
        <f t="shared" si="553"/>
        <v/>
      </c>
      <c r="AJ43" s="35"/>
      <c r="AK43" s="33" t="str">
        <f t="shared" si="554"/>
        <v/>
      </c>
      <c r="AL43" s="34"/>
      <c r="AM43" s="31" t="str">
        <f t="shared" si="555"/>
        <v/>
      </c>
      <c r="AN43" s="35"/>
      <c r="AO43" s="33" t="str">
        <f t="shared" si="556"/>
        <v/>
      </c>
      <c r="AP43" s="34"/>
      <c r="AQ43" s="31" t="str">
        <f t="shared" si="557"/>
        <v/>
      </c>
      <c r="AR43" s="35"/>
      <c r="AS43" s="33" t="str">
        <f t="shared" si="558"/>
        <v/>
      </c>
      <c r="AT43" s="34"/>
      <c r="AU43" s="31" t="str">
        <f t="shared" si="559"/>
        <v/>
      </c>
      <c r="AV43" s="35"/>
      <c r="AW43" s="33" t="str">
        <f t="shared" si="560"/>
        <v/>
      </c>
      <c r="AX43" s="34"/>
      <c r="AY43" s="31" t="str">
        <f t="shared" si="561"/>
        <v/>
      </c>
      <c r="AZ43" s="35"/>
      <c r="BA43" s="33" t="str">
        <f t="shared" si="562"/>
        <v/>
      </c>
      <c r="BB43" s="34"/>
      <c r="BC43" s="31" t="str">
        <f t="shared" si="563"/>
        <v/>
      </c>
      <c r="BD43" s="35"/>
      <c r="BE43" s="33" t="str">
        <f t="shared" si="564"/>
        <v/>
      </c>
      <c r="BF43" s="34"/>
      <c r="BG43" s="31" t="str">
        <f t="shared" si="565"/>
        <v/>
      </c>
      <c r="BH43" s="35"/>
      <c r="BI43" s="33" t="str">
        <f t="shared" si="566"/>
        <v/>
      </c>
      <c r="BJ43" s="34"/>
      <c r="BK43" s="31" t="str">
        <f t="shared" si="567"/>
        <v/>
      </c>
      <c r="BL43" s="35"/>
      <c r="BM43" s="33" t="str">
        <f t="shared" si="568"/>
        <v/>
      </c>
      <c r="BN43" s="34"/>
      <c r="BO43" s="31" t="str">
        <f t="shared" si="569"/>
        <v/>
      </c>
      <c r="BP43" s="35"/>
      <c r="BQ43" s="33" t="str">
        <f t="shared" si="570"/>
        <v/>
      </c>
      <c r="BR43" s="34"/>
      <c r="BS43" s="31" t="str">
        <f t="shared" si="571"/>
        <v/>
      </c>
      <c r="BT43" s="35"/>
      <c r="BU43" s="33" t="str">
        <f t="shared" si="572"/>
        <v/>
      </c>
      <c r="BV43" s="34"/>
      <c r="BW43" s="31" t="str">
        <f t="shared" si="573"/>
        <v/>
      </c>
      <c r="BX43" s="35"/>
      <c r="BY43" s="33" t="str">
        <f t="shared" si="574"/>
        <v/>
      </c>
      <c r="BZ43" s="34"/>
      <c r="CA43" s="31" t="str">
        <f t="shared" si="575"/>
        <v/>
      </c>
      <c r="CB43" s="35"/>
      <c r="CC43" s="33" t="str">
        <f t="shared" si="576"/>
        <v/>
      </c>
      <c r="CD43" s="34"/>
      <c r="CE43" s="31" t="str">
        <f t="shared" si="577"/>
        <v/>
      </c>
      <c r="CF43" s="35"/>
      <c r="CG43" s="33" t="str">
        <f t="shared" si="578"/>
        <v/>
      </c>
      <c r="CH43" s="34"/>
      <c r="CI43" s="31" t="str">
        <f t="shared" si="579"/>
        <v/>
      </c>
      <c r="CJ43" s="35"/>
      <c r="CK43" s="33" t="str">
        <f t="shared" si="580"/>
        <v/>
      </c>
      <c r="CL43" s="34"/>
      <c r="CM43" s="31" t="str">
        <f t="shared" si="581"/>
        <v/>
      </c>
      <c r="CN43" s="35"/>
      <c r="CO43" s="33" t="str">
        <f t="shared" si="582"/>
        <v/>
      </c>
      <c r="CP43" s="34"/>
      <c r="CQ43" s="31" t="str">
        <f t="shared" si="583"/>
        <v/>
      </c>
      <c r="CR43" s="35"/>
      <c r="CS43" s="33" t="str">
        <f t="shared" si="584"/>
        <v/>
      </c>
      <c r="CT43" s="34"/>
      <c r="CU43" s="31" t="str">
        <f t="shared" si="585"/>
        <v/>
      </c>
      <c r="CV43" s="35"/>
      <c r="CW43" s="33" t="str">
        <f t="shared" si="586"/>
        <v/>
      </c>
      <c r="CX43" s="34"/>
      <c r="CY43" s="31" t="str">
        <f t="shared" si="587"/>
        <v/>
      </c>
      <c r="CZ43" s="35"/>
      <c r="DA43" s="33" t="str">
        <f t="shared" si="588"/>
        <v/>
      </c>
      <c r="DB43" s="34"/>
      <c r="DC43" s="31" t="str">
        <f t="shared" si="589"/>
        <v/>
      </c>
      <c r="DD43" s="35"/>
      <c r="DE43" s="33" t="str">
        <f t="shared" si="590"/>
        <v/>
      </c>
      <c r="DF43" s="34"/>
      <c r="DG43" s="31" t="str">
        <f t="shared" si="591"/>
        <v/>
      </c>
      <c r="DH43" s="35"/>
      <c r="DI43" s="33" t="str">
        <f t="shared" si="592"/>
        <v/>
      </c>
      <c r="DJ43" s="34"/>
      <c r="DK43" s="31" t="str">
        <f t="shared" si="593"/>
        <v/>
      </c>
      <c r="DL43" s="35"/>
      <c r="DM43" s="33" t="str">
        <f t="shared" si="594"/>
        <v/>
      </c>
      <c r="DN43" s="34"/>
      <c r="DO43" s="31" t="str">
        <f t="shared" si="595"/>
        <v/>
      </c>
      <c r="DP43" s="35"/>
      <c r="DQ43" s="33" t="str">
        <f t="shared" si="596"/>
        <v/>
      </c>
      <c r="DR43" s="34"/>
      <c r="DS43" s="31" t="str">
        <f t="shared" si="597"/>
        <v/>
      </c>
      <c r="DT43" s="35"/>
      <c r="DU43" s="33" t="str">
        <f t="shared" si="598"/>
        <v/>
      </c>
      <c r="DV43" s="34"/>
      <c r="DW43" s="31" t="str">
        <f t="shared" si="599"/>
        <v/>
      </c>
      <c r="DX43" s="35"/>
      <c r="DY43" s="33" t="str">
        <f t="shared" si="600"/>
        <v/>
      </c>
      <c r="DZ43" s="34"/>
      <c r="EA43" s="31" t="str">
        <f t="shared" si="601"/>
        <v/>
      </c>
      <c r="EB43" s="35"/>
      <c r="EC43" s="33" t="str">
        <f t="shared" si="602"/>
        <v/>
      </c>
      <c r="ED43" s="34"/>
      <c r="EE43" s="31" t="str">
        <f t="shared" si="603"/>
        <v/>
      </c>
      <c r="EF43" s="35"/>
      <c r="EG43" s="33" t="str">
        <f t="shared" si="604"/>
        <v/>
      </c>
      <c r="EH43" s="34"/>
      <c r="EI43" s="31" t="str">
        <f t="shared" si="605"/>
        <v/>
      </c>
      <c r="EJ43" s="35"/>
      <c r="EK43" s="33" t="str">
        <f t="shared" si="606"/>
        <v/>
      </c>
      <c r="EL43" s="34"/>
      <c r="EM43" s="31" t="str">
        <f t="shared" si="607"/>
        <v/>
      </c>
      <c r="EN43" s="35"/>
      <c r="EO43" s="33" t="str">
        <f t="shared" si="608"/>
        <v/>
      </c>
      <c r="EP43" s="34"/>
      <c r="EQ43" s="31" t="str">
        <f t="shared" si="609"/>
        <v/>
      </c>
      <c r="ER43" s="35"/>
      <c r="ES43" s="33" t="str">
        <f t="shared" si="610"/>
        <v/>
      </c>
    </row>
    <row r="44" ht="18.0" customHeight="1">
      <c r="A44" s="2" t="s">
        <v>46</v>
      </c>
      <c r="B44" s="30">
        <f t="shared" ref="B44:D44" si="615">SUM(EP44,EL44,EH44,ED44,DZ44,DV44,DR44,DN44,DJ44,DF44,DB44,CX44,CT44,CP44,CL44,CH44,CD44,BZ44,BV44,BR44,BN44,BJ44,BF44,BB44,AX44,AT44,AP44,AL44,AH44,AD44,Z44,V44,R44,N44,J44,F44)</f>
        <v>0</v>
      </c>
      <c r="C44" s="31">
        <f t="shared" si="615"/>
        <v>0</v>
      </c>
      <c r="D44" s="32">
        <f t="shared" si="615"/>
        <v>0</v>
      </c>
      <c r="E44" s="33">
        <f t="shared" si="538"/>
        <v>0</v>
      </c>
      <c r="F44" s="34"/>
      <c r="G44" s="31" t="str">
        <f t="shared" si="539"/>
        <v/>
      </c>
      <c r="H44" s="35"/>
      <c r="I44" s="33" t="str">
        <f t="shared" si="540"/>
        <v/>
      </c>
      <c r="J44" s="34"/>
      <c r="K44" s="31" t="str">
        <f t="shared" si="541"/>
        <v/>
      </c>
      <c r="L44" s="35"/>
      <c r="M44" s="33" t="str">
        <f t="shared" si="542"/>
        <v/>
      </c>
      <c r="N44" s="34"/>
      <c r="O44" s="31" t="str">
        <f t="shared" si="543"/>
        <v/>
      </c>
      <c r="P44" s="35"/>
      <c r="Q44" s="33" t="str">
        <f t="shared" si="544"/>
        <v/>
      </c>
      <c r="R44" s="34"/>
      <c r="S44" s="31" t="str">
        <f t="shared" si="545"/>
        <v/>
      </c>
      <c r="T44" s="35"/>
      <c r="U44" s="33" t="str">
        <f t="shared" si="546"/>
        <v/>
      </c>
      <c r="V44" s="34"/>
      <c r="W44" s="31" t="str">
        <f t="shared" si="547"/>
        <v/>
      </c>
      <c r="X44" s="35"/>
      <c r="Y44" s="33" t="str">
        <f t="shared" si="548"/>
        <v/>
      </c>
      <c r="Z44" s="34"/>
      <c r="AA44" s="31" t="str">
        <f t="shared" si="549"/>
        <v/>
      </c>
      <c r="AB44" s="35"/>
      <c r="AC44" s="33" t="str">
        <f t="shared" si="550"/>
        <v/>
      </c>
      <c r="AD44" s="34"/>
      <c r="AE44" s="31" t="str">
        <f t="shared" si="551"/>
        <v/>
      </c>
      <c r="AF44" s="35"/>
      <c r="AG44" s="33" t="str">
        <f t="shared" si="552"/>
        <v/>
      </c>
      <c r="AH44" s="34"/>
      <c r="AI44" s="31" t="str">
        <f t="shared" si="553"/>
        <v/>
      </c>
      <c r="AJ44" s="35"/>
      <c r="AK44" s="33" t="str">
        <f t="shared" si="554"/>
        <v/>
      </c>
      <c r="AL44" s="34"/>
      <c r="AM44" s="31" t="str">
        <f t="shared" si="555"/>
        <v/>
      </c>
      <c r="AN44" s="35"/>
      <c r="AO44" s="33" t="str">
        <f t="shared" si="556"/>
        <v/>
      </c>
      <c r="AP44" s="34"/>
      <c r="AQ44" s="31" t="str">
        <f t="shared" si="557"/>
        <v/>
      </c>
      <c r="AR44" s="35"/>
      <c r="AS44" s="33" t="str">
        <f t="shared" si="558"/>
        <v/>
      </c>
      <c r="AT44" s="34"/>
      <c r="AU44" s="31" t="str">
        <f t="shared" si="559"/>
        <v/>
      </c>
      <c r="AV44" s="35"/>
      <c r="AW44" s="33" t="str">
        <f t="shared" si="560"/>
        <v/>
      </c>
      <c r="AX44" s="34"/>
      <c r="AY44" s="31" t="str">
        <f t="shared" si="561"/>
        <v/>
      </c>
      <c r="AZ44" s="35"/>
      <c r="BA44" s="33" t="str">
        <f t="shared" si="562"/>
        <v/>
      </c>
      <c r="BB44" s="34"/>
      <c r="BC44" s="31" t="str">
        <f t="shared" si="563"/>
        <v/>
      </c>
      <c r="BD44" s="35"/>
      <c r="BE44" s="33" t="str">
        <f t="shared" si="564"/>
        <v/>
      </c>
      <c r="BF44" s="34"/>
      <c r="BG44" s="31" t="str">
        <f t="shared" si="565"/>
        <v/>
      </c>
      <c r="BH44" s="35"/>
      <c r="BI44" s="33" t="str">
        <f t="shared" si="566"/>
        <v/>
      </c>
      <c r="BJ44" s="34"/>
      <c r="BK44" s="31" t="str">
        <f t="shared" si="567"/>
        <v/>
      </c>
      <c r="BL44" s="35"/>
      <c r="BM44" s="33" t="str">
        <f t="shared" si="568"/>
        <v/>
      </c>
      <c r="BN44" s="34"/>
      <c r="BO44" s="31" t="str">
        <f t="shared" si="569"/>
        <v/>
      </c>
      <c r="BP44" s="35"/>
      <c r="BQ44" s="33" t="str">
        <f t="shared" si="570"/>
        <v/>
      </c>
      <c r="BR44" s="34"/>
      <c r="BS44" s="31" t="str">
        <f t="shared" si="571"/>
        <v/>
      </c>
      <c r="BT44" s="35"/>
      <c r="BU44" s="33" t="str">
        <f t="shared" si="572"/>
        <v/>
      </c>
      <c r="BV44" s="34"/>
      <c r="BW44" s="31" t="str">
        <f t="shared" si="573"/>
        <v/>
      </c>
      <c r="BX44" s="35"/>
      <c r="BY44" s="33" t="str">
        <f t="shared" si="574"/>
        <v/>
      </c>
      <c r="BZ44" s="34"/>
      <c r="CA44" s="31" t="str">
        <f t="shared" si="575"/>
        <v/>
      </c>
      <c r="CB44" s="35"/>
      <c r="CC44" s="33" t="str">
        <f t="shared" si="576"/>
        <v/>
      </c>
      <c r="CD44" s="34"/>
      <c r="CE44" s="31" t="str">
        <f t="shared" si="577"/>
        <v/>
      </c>
      <c r="CF44" s="35"/>
      <c r="CG44" s="33" t="str">
        <f t="shared" si="578"/>
        <v/>
      </c>
      <c r="CH44" s="34"/>
      <c r="CI44" s="31" t="str">
        <f t="shared" si="579"/>
        <v/>
      </c>
      <c r="CJ44" s="35"/>
      <c r="CK44" s="33" t="str">
        <f t="shared" si="580"/>
        <v/>
      </c>
      <c r="CL44" s="34"/>
      <c r="CM44" s="31" t="str">
        <f t="shared" si="581"/>
        <v/>
      </c>
      <c r="CN44" s="35"/>
      <c r="CO44" s="33" t="str">
        <f t="shared" si="582"/>
        <v/>
      </c>
      <c r="CP44" s="34"/>
      <c r="CQ44" s="31" t="str">
        <f t="shared" si="583"/>
        <v/>
      </c>
      <c r="CR44" s="35"/>
      <c r="CS44" s="33" t="str">
        <f t="shared" si="584"/>
        <v/>
      </c>
      <c r="CT44" s="34"/>
      <c r="CU44" s="31" t="str">
        <f t="shared" si="585"/>
        <v/>
      </c>
      <c r="CV44" s="35"/>
      <c r="CW44" s="33" t="str">
        <f t="shared" si="586"/>
        <v/>
      </c>
      <c r="CX44" s="34"/>
      <c r="CY44" s="31" t="str">
        <f t="shared" si="587"/>
        <v/>
      </c>
      <c r="CZ44" s="35"/>
      <c r="DA44" s="33" t="str">
        <f t="shared" si="588"/>
        <v/>
      </c>
      <c r="DB44" s="34"/>
      <c r="DC44" s="31" t="str">
        <f t="shared" si="589"/>
        <v/>
      </c>
      <c r="DD44" s="35"/>
      <c r="DE44" s="33" t="str">
        <f t="shared" si="590"/>
        <v/>
      </c>
      <c r="DF44" s="34"/>
      <c r="DG44" s="31" t="str">
        <f t="shared" si="591"/>
        <v/>
      </c>
      <c r="DH44" s="35"/>
      <c r="DI44" s="33" t="str">
        <f t="shared" si="592"/>
        <v/>
      </c>
      <c r="DJ44" s="34"/>
      <c r="DK44" s="31" t="str">
        <f t="shared" si="593"/>
        <v/>
      </c>
      <c r="DL44" s="35"/>
      <c r="DM44" s="33" t="str">
        <f t="shared" si="594"/>
        <v/>
      </c>
      <c r="DN44" s="34"/>
      <c r="DO44" s="31" t="str">
        <f t="shared" si="595"/>
        <v/>
      </c>
      <c r="DP44" s="35"/>
      <c r="DQ44" s="33" t="str">
        <f t="shared" si="596"/>
        <v/>
      </c>
      <c r="DR44" s="34"/>
      <c r="DS44" s="31" t="str">
        <f t="shared" si="597"/>
        <v/>
      </c>
      <c r="DT44" s="35"/>
      <c r="DU44" s="33" t="str">
        <f t="shared" si="598"/>
        <v/>
      </c>
      <c r="DV44" s="34"/>
      <c r="DW44" s="31" t="str">
        <f t="shared" si="599"/>
        <v/>
      </c>
      <c r="DX44" s="35"/>
      <c r="DY44" s="33" t="str">
        <f t="shared" si="600"/>
        <v/>
      </c>
      <c r="DZ44" s="34"/>
      <c r="EA44" s="31" t="str">
        <f t="shared" si="601"/>
        <v/>
      </c>
      <c r="EB44" s="35"/>
      <c r="EC44" s="33" t="str">
        <f t="shared" si="602"/>
        <v/>
      </c>
      <c r="ED44" s="34"/>
      <c r="EE44" s="31" t="str">
        <f t="shared" si="603"/>
        <v/>
      </c>
      <c r="EF44" s="35"/>
      <c r="EG44" s="33" t="str">
        <f t="shared" si="604"/>
        <v/>
      </c>
      <c r="EH44" s="34"/>
      <c r="EI44" s="31" t="str">
        <f t="shared" si="605"/>
        <v/>
      </c>
      <c r="EJ44" s="35"/>
      <c r="EK44" s="33" t="str">
        <f t="shared" si="606"/>
        <v/>
      </c>
      <c r="EL44" s="34"/>
      <c r="EM44" s="31" t="str">
        <f t="shared" si="607"/>
        <v/>
      </c>
      <c r="EN44" s="35"/>
      <c r="EO44" s="33" t="str">
        <f t="shared" si="608"/>
        <v/>
      </c>
      <c r="EP44" s="34"/>
      <c r="EQ44" s="31" t="str">
        <f t="shared" si="609"/>
        <v/>
      </c>
      <c r="ER44" s="35"/>
      <c r="ES44" s="33" t="str">
        <f t="shared" si="610"/>
        <v/>
      </c>
    </row>
    <row r="45" ht="18.0" customHeight="1">
      <c r="A45" s="2" t="s">
        <v>47</v>
      </c>
      <c r="B45" s="30">
        <f t="shared" ref="B45:D45" si="616">SUM(EP45,EL45,EH45,ED45,DZ45,DV45,DR45,DN45,DJ45,DF45,DB45,CX45,CT45,CP45,CL45,CH45,CD45,BZ45,BV45,BR45,BN45,BJ45,BF45,BB45,AX45,AT45,AP45,AL45,AH45,AD45,Z45,V45,R45,N45,J45,F45)</f>
        <v>0</v>
      </c>
      <c r="C45" s="31">
        <f t="shared" si="616"/>
        <v>0</v>
      </c>
      <c r="D45" s="32">
        <f t="shared" si="616"/>
        <v>0</v>
      </c>
      <c r="E45" s="33">
        <f t="shared" si="538"/>
        <v>0</v>
      </c>
      <c r="F45" s="34"/>
      <c r="G45" s="31" t="str">
        <f t="shared" si="539"/>
        <v/>
      </c>
      <c r="H45" s="35"/>
      <c r="I45" s="33" t="str">
        <f t="shared" si="540"/>
        <v/>
      </c>
      <c r="J45" s="34"/>
      <c r="K45" s="31" t="str">
        <f t="shared" si="541"/>
        <v/>
      </c>
      <c r="L45" s="35"/>
      <c r="M45" s="33" t="str">
        <f t="shared" si="542"/>
        <v/>
      </c>
      <c r="N45" s="34"/>
      <c r="O45" s="31" t="str">
        <f t="shared" si="543"/>
        <v/>
      </c>
      <c r="P45" s="35"/>
      <c r="Q45" s="33" t="str">
        <f t="shared" si="544"/>
        <v/>
      </c>
      <c r="R45" s="34"/>
      <c r="S45" s="31" t="str">
        <f t="shared" si="545"/>
        <v/>
      </c>
      <c r="T45" s="35"/>
      <c r="U45" s="33" t="str">
        <f t="shared" si="546"/>
        <v/>
      </c>
      <c r="V45" s="34"/>
      <c r="W45" s="31" t="str">
        <f t="shared" si="547"/>
        <v/>
      </c>
      <c r="X45" s="35"/>
      <c r="Y45" s="33" t="str">
        <f t="shared" si="548"/>
        <v/>
      </c>
      <c r="Z45" s="34"/>
      <c r="AA45" s="31" t="str">
        <f t="shared" si="549"/>
        <v/>
      </c>
      <c r="AB45" s="35"/>
      <c r="AC45" s="33" t="str">
        <f t="shared" si="550"/>
        <v/>
      </c>
      <c r="AD45" s="34"/>
      <c r="AE45" s="31" t="str">
        <f t="shared" si="551"/>
        <v/>
      </c>
      <c r="AF45" s="35"/>
      <c r="AG45" s="33" t="str">
        <f t="shared" si="552"/>
        <v/>
      </c>
      <c r="AH45" s="34"/>
      <c r="AI45" s="31" t="str">
        <f t="shared" si="553"/>
        <v/>
      </c>
      <c r="AJ45" s="35"/>
      <c r="AK45" s="33" t="str">
        <f t="shared" si="554"/>
        <v/>
      </c>
      <c r="AL45" s="34"/>
      <c r="AM45" s="31" t="str">
        <f t="shared" si="555"/>
        <v/>
      </c>
      <c r="AN45" s="35"/>
      <c r="AO45" s="33" t="str">
        <f t="shared" si="556"/>
        <v/>
      </c>
      <c r="AP45" s="34"/>
      <c r="AQ45" s="31" t="str">
        <f t="shared" si="557"/>
        <v/>
      </c>
      <c r="AR45" s="35"/>
      <c r="AS45" s="33" t="str">
        <f t="shared" si="558"/>
        <v/>
      </c>
      <c r="AT45" s="34"/>
      <c r="AU45" s="31" t="str">
        <f t="shared" si="559"/>
        <v/>
      </c>
      <c r="AV45" s="35"/>
      <c r="AW45" s="33" t="str">
        <f t="shared" si="560"/>
        <v/>
      </c>
      <c r="AX45" s="34"/>
      <c r="AY45" s="31" t="str">
        <f t="shared" si="561"/>
        <v/>
      </c>
      <c r="AZ45" s="35"/>
      <c r="BA45" s="33" t="str">
        <f t="shared" si="562"/>
        <v/>
      </c>
      <c r="BB45" s="34"/>
      <c r="BC45" s="31" t="str">
        <f t="shared" si="563"/>
        <v/>
      </c>
      <c r="BD45" s="35"/>
      <c r="BE45" s="33" t="str">
        <f t="shared" si="564"/>
        <v/>
      </c>
      <c r="BF45" s="34"/>
      <c r="BG45" s="31" t="str">
        <f t="shared" si="565"/>
        <v/>
      </c>
      <c r="BH45" s="35"/>
      <c r="BI45" s="33" t="str">
        <f t="shared" si="566"/>
        <v/>
      </c>
      <c r="BJ45" s="34"/>
      <c r="BK45" s="31" t="str">
        <f t="shared" si="567"/>
        <v/>
      </c>
      <c r="BL45" s="35"/>
      <c r="BM45" s="33" t="str">
        <f t="shared" si="568"/>
        <v/>
      </c>
      <c r="BN45" s="34"/>
      <c r="BO45" s="31" t="str">
        <f t="shared" si="569"/>
        <v/>
      </c>
      <c r="BP45" s="35"/>
      <c r="BQ45" s="33" t="str">
        <f t="shared" si="570"/>
        <v/>
      </c>
      <c r="BR45" s="34"/>
      <c r="BS45" s="31" t="str">
        <f t="shared" si="571"/>
        <v/>
      </c>
      <c r="BT45" s="35"/>
      <c r="BU45" s="33" t="str">
        <f t="shared" si="572"/>
        <v/>
      </c>
      <c r="BV45" s="34"/>
      <c r="BW45" s="31" t="str">
        <f t="shared" si="573"/>
        <v/>
      </c>
      <c r="BX45" s="35"/>
      <c r="BY45" s="33" t="str">
        <f t="shared" si="574"/>
        <v/>
      </c>
      <c r="BZ45" s="34"/>
      <c r="CA45" s="31" t="str">
        <f t="shared" si="575"/>
        <v/>
      </c>
      <c r="CB45" s="35"/>
      <c r="CC45" s="33" t="str">
        <f t="shared" si="576"/>
        <v/>
      </c>
      <c r="CD45" s="34"/>
      <c r="CE45" s="31" t="str">
        <f t="shared" si="577"/>
        <v/>
      </c>
      <c r="CF45" s="35"/>
      <c r="CG45" s="33" t="str">
        <f t="shared" si="578"/>
        <v/>
      </c>
      <c r="CH45" s="34"/>
      <c r="CI45" s="31" t="str">
        <f t="shared" si="579"/>
        <v/>
      </c>
      <c r="CJ45" s="35"/>
      <c r="CK45" s="33" t="str">
        <f t="shared" si="580"/>
        <v/>
      </c>
      <c r="CL45" s="34"/>
      <c r="CM45" s="31" t="str">
        <f t="shared" si="581"/>
        <v/>
      </c>
      <c r="CN45" s="35"/>
      <c r="CO45" s="33" t="str">
        <f t="shared" si="582"/>
        <v/>
      </c>
      <c r="CP45" s="34"/>
      <c r="CQ45" s="31" t="str">
        <f t="shared" si="583"/>
        <v/>
      </c>
      <c r="CR45" s="35"/>
      <c r="CS45" s="33" t="str">
        <f t="shared" si="584"/>
        <v/>
      </c>
      <c r="CT45" s="34"/>
      <c r="CU45" s="31" t="str">
        <f t="shared" si="585"/>
        <v/>
      </c>
      <c r="CV45" s="35"/>
      <c r="CW45" s="33" t="str">
        <f t="shared" si="586"/>
        <v/>
      </c>
      <c r="CX45" s="34"/>
      <c r="CY45" s="31" t="str">
        <f t="shared" si="587"/>
        <v/>
      </c>
      <c r="CZ45" s="35"/>
      <c r="DA45" s="33" t="str">
        <f t="shared" si="588"/>
        <v/>
      </c>
      <c r="DB45" s="34"/>
      <c r="DC45" s="31" t="str">
        <f t="shared" si="589"/>
        <v/>
      </c>
      <c r="DD45" s="35"/>
      <c r="DE45" s="33" t="str">
        <f t="shared" si="590"/>
        <v/>
      </c>
      <c r="DF45" s="34"/>
      <c r="DG45" s="31" t="str">
        <f t="shared" si="591"/>
        <v/>
      </c>
      <c r="DH45" s="35"/>
      <c r="DI45" s="33" t="str">
        <f t="shared" si="592"/>
        <v/>
      </c>
      <c r="DJ45" s="34"/>
      <c r="DK45" s="31" t="str">
        <f t="shared" si="593"/>
        <v/>
      </c>
      <c r="DL45" s="35"/>
      <c r="DM45" s="33" t="str">
        <f t="shared" si="594"/>
        <v/>
      </c>
      <c r="DN45" s="34"/>
      <c r="DO45" s="31" t="str">
        <f t="shared" si="595"/>
        <v/>
      </c>
      <c r="DP45" s="35"/>
      <c r="DQ45" s="33" t="str">
        <f t="shared" si="596"/>
        <v/>
      </c>
      <c r="DR45" s="34"/>
      <c r="DS45" s="31" t="str">
        <f t="shared" si="597"/>
        <v/>
      </c>
      <c r="DT45" s="35"/>
      <c r="DU45" s="33" t="str">
        <f t="shared" si="598"/>
        <v/>
      </c>
      <c r="DV45" s="34"/>
      <c r="DW45" s="31" t="str">
        <f t="shared" si="599"/>
        <v/>
      </c>
      <c r="DX45" s="35"/>
      <c r="DY45" s="33" t="str">
        <f t="shared" si="600"/>
        <v/>
      </c>
      <c r="DZ45" s="34"/>
      <c r="EA45" s="31" t="str">
        <f t="shared" si="601"/>
        <v/>
      </c>
      <c r="EB45" s="35"/>
      <c r="EC45" s="33" t="str">
        <f t="shared" si="602"/>
        <v/>
      </c>
      <c r="ED45" s="34"/>
      <c r="EE45" s="31" t="str">
        <f t="shared" si="603"/>
        <v/>
      </c>
      <c r="EF45" s="35"/>
      <c r="EG45" s="33" t="str">
        <f t="shared" si="604"/>
        <v/>
      </c>
      <c r="EH45" s="34"/>
      <c r="EI45" s="31" t="str">
        <f t="shared" si="605"/>
        <v/>
      </c>
      <c r="EJ45" s="35"/>
      <c r="EK45" s="33" t="str">
        <f t="shared" si="606"/>
        <v/>
      </c>
      <c r="EL45" s="34"/>
      <c r="EM45" s="31" t="str">
        <f t="shared" si="607"/>
        <v/>
      </c>
      <c r="EN45" s="35"/>
      <c r="EO45" s="33" t="str">
        <f t="shared" si="608"/>
        <v/>
      </c>
      <c r="EP45" s="34"/>
      <c r="EQ45" s="31" t="str">
        <f t="shared" si="609"/>
        <v/>
      </c>
      <c r="ER45" s="35"/>
      <c r="ES45" s="33" t="str">
        <f t="shared" si="610"/>
        <v/>
      </c>
    </row>
    <row r="46" ht="18.0" customHeight="1">
      <c r="A46" s="2" t="s">
        <v>48</v>
      </c>
      <c r="B46" s="30">
        <f t="shared" ref="B46:D46" si="617">SUM(EP46,EL46,EH46,ED46,DZ46,DV46,DR46,DN46,DJ46,DF46,DB46,CX46,CT46,CP46,CL46,CH46,CD46,BZ46,BV46,BR46,BN46,BJ46,BF46,BB46,AX46,AT46,AP46,AL46,AH46,AD46,Z46,V46,R46,N46,J46,F46)</f>
        <v>0</v>
      </c>
      <c r="C46" s="31">
        <f t="shared" si="617"/>
        <v>0</v>
      </c>
      <c r="D46" s="32">
        <f t="shared" si="617"/>
        <v>0</v>
      </c>
      <c r="E46" s="33">
        <f t="shared" si="538"/>
        <v>0</v>
      </c>
      <c r="F46" s="34"/>
      <c r="G46" s="31" t="str">
        <f t="shared" si="539"/>
        <v/>
      </c>
      <c r="H46" s="35"/>
      <c r="I46" s="33" t="str">
        <f t="shared" si="540"/>
        <v/>
      </c>
      <c r="J46" s="34"/>
      <c r="K46" s="31" t="str">
        <f t="shared" si="541"/>
        <v/>
      </c>
      <c r="L46" s="35"/>
      <c r="M46" s="33" t="str">
        <f t="shared" si="542"/>
        <v/>
      </c>
      <c r="N46" s="34"/>
      <c r="O46" s="31" t="str">
        <f t="shared" si="543"/>
        <v/>
      </c>
      <c r="P46" s="35"/>
      <c r="Q46" s="33" t="str">
        <f t="shared" si="544"/>
        <v/>
      </c>
      <c r="R46" s="34"/>
      <c r="S46" s="31" t="str">
        <f t="shared" si="545"/>
        <v/>
      </c>
      <c r="T46" s="35"/>
      <c r="U46" s="33" t="str">
        <f t="shared" si="546"/>
        <v/>
      </c>
      <c r="V46" s="34"/>
      <c r="W46" s="31" t="str">
        <f t="shared" si="547"/>
        <v/>
      </c>
      <c r="X46" s="35"/>
      <c r="Y46" s="33" t="str">
        <f t="shared" si="548"/>
        <v/>
      </c>
      <c r="Z46" s="34"/>
      <c r="AA46" s="31" t="str">
        <f t="shared" si="549"/>
        <v/>
      </c>
      <c r="AB46" s="35"/>
      <c r="AC46" s="33" t="str">
        <f t="shared" si="550"/>
        <v/>
      </c>
      <c r="AD46" s="34"/>
      <c r="AE46" s="31" t="str">
        <f t="shared" si="551"/>
        <v/>
      </c>
      <c r="AF46" s="35"/>
      <c r="AG46" s="33" t="str">
        <f t="shared" si="552"/>
        <v/>
      </c>
      <c r="AH46" s="34"/>
      <c r="AI46" s="31" t="str">
        <f t="shared" si="553"/>
        <v/>
      </c>
      <c r="AJ46" s="35"/>
      <c r="AK46" s="33" t="str">
        <f t="shared" si="554"/>
        <v/>
      </c>
      <c r="AL46" s="34"/>
      <c r="AM46" s="31" t="str">
        <f t="shared" si="555"/>
        <v/>
      </c>
      <c r="AN46" s="35"/>
      <c r="AO46" s="33" t="str">
        <f t="shared" si="556"/>
        <v/>
      </c>
      <c r="AP46" s="34"/>
      <c r="AQ46" s="31" t="str">
        <f t="shared" si="557"/>
        <v/>
      </c>
      <c r="AR46" s="35"/>
      <c r="AS46" s="33" t="str">
        <f t="shared" si="558"/>
        <v/>
      </c>
      <c r="AT46" s="34"/>
      <c r="AU46" s="31" t="str">
        <f t="shared" si="559"/>
        <v/>
      </c>
      <c r="AV46" s="35"/>
      <c r="AW46" s="33" t="str">
        <f t="shared" si="560"/>
        <v/>
      </c>
      <c r="AX46" s="34"/>
      <c r="AY46" s="31" t="str">
        <f t="shared" si="561"/>
        <v/>
      </c>
      <c r="AZ46" s="35"/>
      <c r="BA46" s="33" t="str">
        <f t="shared" si="562"/>
        <v/>
      </c>
      <c r="BB46" s="34"/>
      <c r="BC46" s="31" t="str">
        <f t="shared" si="563"/>
        <v/>
      </c>
      <c r="BD46" s="35"/>
      <c r="BE46" s="33" t="str">
        <f t="shared" si="564"/>
        <v/>
      </c>
      <c r="BF46" s="34"/>
      <c r="BG46" s="31" t="str">
        <f t="shared" si="565"/>
        <v/>
      </c>
      <c r="BH46" s="35"/>
      <c r="BI46" s="33" t="str">
        <f t="shared" si="566"/>
        <v/>
      </c>
      <c r="BJ46" s="34"/>
      <c r="BK46" s="31" t="str">
        <f t="shared" si="567"/>
        <v/>
      </c>
      <c r="BL46" s="35"/>
      <c r="BM46" s="33" t="str">
        <f t="shared" si="568"/>
        <v/>
      </c>
      <c r="BN46" s="34"/>
      <c r="BO46" s="31" t="str">
        <f t="shared" si="569"/>
        <v/>
      </c>
      <c r="BP46" s="35"/>
      <c r="BQ46" s="33" t="str">
        <f t="shared" si="570"/>
        <v/>
      </c>
      <c r="BR46" s="34"/>
      <c r="BS46" s="31" t="str">
        <f t="shared" si="571"/>
        <v/>
      </c>
      <c r="BT46" s="35"/>
      <c r="BU46" s="33" t="str">
        <f t="shared" si="572"/>
        <v/>
      </c>
      <c r="BV46" s="34"/>
      <c r="BW46" s="31" t="str">
        <f t="shared" si="573"/>
        <v/>
      </c>
      <c r="BX46" s="35"/>
      <c r="BY46" s="33" t="str">
        <f t="shared" si="574"/>
        <v/>
      </c>
      <c r="BZ46" s="34"/>
      <c r="CA46" s="31" t="str">
        <f t="shared" si="575"/>
        <v/>
      </c>
      <c r="CB46" s="35"/>
      <c r="CC46" s="33" t="str">
        <f t="shared" si="576"/>
        <v/>
      </c>
      <c r="CD46" s="34"/>
      <c r="CE46" s="31" t="str">
        <f t="shared" si="577"/>
        <v/>
      </c>
      <c r="CF46" s="35"/>
      <c r="CG46" s="33" t="str">
        <f t="shared" si="578"/>
        <v/>
      </c>
      <c r="CH46" s="34"/>
      <c r="CI46" s="31" t="str">
        <f t="shared" si="579"/>
        <v/>
      </c>
      <c r="CJ46" s="35"/>
      <c r="CK46" s="33" t="str">
        <f t="shared" si="580"/>
        <v/>
      </c>
      <c r="CL46" s="34"/>
      <c r="CM46" s="31" t="str">
        <f t="shared" si="581"/>
        <v/>
      </c>
      <c r="CN46" s="35"/>
      <c r="CO46" s="33" t="str">
        <f t="shared" si="582"/>
        <v/>
      </c>
      <c r="CP46" s="34"/>
      <c r="CQ46" s="31" t="str">
        <f t="shared" si="583"/>
        <v/>
      </c>
      <c r="CR46" s="35"/>
      <c r="CS46" s="33" t="str">
        <f t="shared" si="584"/>
        <v/>
      </c>
      <c r="CT46" s="34"/>
      <c r="CU46" s="31" t="str">
        <f t="shared" si="585"/>
        <v/>
      </c>
      <c r="CV46" s="35"/>
      <c r="CW46" s="33" t="str">
        <f t="shared" si="586"/>
        <v/>
      </c>
      <c r="CX46" s="34"/>
      <c r="CY46" s="31" t="str">
        <f t="shared" si="587"/>
        <v/>
      </c>
      <c r="CZ46" s="35"/>
      <c r="DA46" s="33" t="str">
        <f t="shared" si="588"/>
        <v/>
      </c>
      <c r="DB46" s="34"/>
      <c r="DC46" s="31" t="str">
        <f t="shared" si="589"/>
        <v/>
      </c>
      <c r="DD46" s="35"/>
      <c r="DE46" s="33" t="str">
        <f t="shared" si="590"/>
        <v/>
      </c>
      <c r="DF46" s="34"/>
      <c r="DG46" s="31" t="str">
        <f t="shared" si="591"/>
        <v/>
      </c>
      <c r="DH46" s="35"/>
      <c r="DI46" s="33" t="str">
        <f t="shared" si="592"/>
        <v/>
      </c>
      <c r="DJ46" s="34"/>
      <c r="DK46" s="31" t="str">
        <f t="shared" si="593"/>
        <v/>
      </c>
      <c r="DL46" s="35"/>
      <c r="DM46" s="33" t="str">
        <f t="shared" si="594"/>
        <v/>
      </c>
      <c r="DN46" s="34"/>
      <c r="DO46" s="31" t="str">
        <f t="shared" si="595"/>
        <v/>
      </c>
      <c r="DP46" s="35"/>
      <c r="DQ46" s="33" t="str">
        <f t="shared" si="596"/>
        <v/>
      </c>
      <c r="DR46" s="34"/>
      <c r="DS46" s="31" t="str">
        <f t="shared" si="597"/>
        <v/>
      </c>
      <c r="DT46" s="35"/>
      <c r="DU46" s="33" t="str">
        <f t="shared" si="598"/>
        <v/>
      </c>
      <c r="DV46" s="34"/>
      <c r="DW46" s="31" t="str">
        <f t="shared" si="599"/>
        <v/>
      </c>
      <c r="DX46" s="35"/>
      <c r="DY46" s="33" t="str">
        <f t="shared" si="600"/>
        <v/>
      </c>
      <c r="DZ46" s="34"/>
      <c r="EA46" s="31" t="str">
        <f t="shared" si="601"/>
        <v/>
      </c>
      <c r="EB46" s="35"/>
      <c r="EC46" s="33" t="str">
        <f t="shared" si="602"/>
        <v/>
      </c>
      <c r="ED46" s="34"/>
      <c r="EE46" s="31" t="str">
        <f t="shared" si="603"/>
        <v/>
      </c>
      <c r="EF46" s="35"/>
      <c r="EG46" s="33" t="str">
        <f t="shared" si="604"/>
        <v/>
      </c>
      <c r="EH46" s="34"/>
      <c r="EI46" s="31" t="str">
        <f t="shared" si="605"/>
        <v/>
      </c>
      <c r="EJ46" s="35"/>
      <c r="EK46" s="33" t="str">
        <f t="shared" si="606"/>
        <v/>
      </c>
      <c r="EL46" s="34"/>
      <c r="EM46" s="31" t="str">
        <f t="shared" si="607"/>
        <v/>
      </c>
      <c r="EN46" s="35"/>
      <c r="EO46" s="33" t="str">
        <f t="shared" si="608"/>
        <v/>
      </c>
      <c r="EP46" s="34"/>
      <c r="EQ46" s="31" t="str">
        <f t="shared" si="609"/>
        <v/>
      </c>
      <c r="ER46" s="35"/>
      <c r="ES46" s="33" t="str">
        <f t="shared" si="610"/>
        <v/>
      </c>
    </row>
    <row r="47" ht="18.0" customHeight="1">
      <c r="A47" s="2" t="s">
        <v>49</v>
      </c>
      <c r="B47" s="30">
        <f t="shared" ref="B47:D47" si="618">SUM(EP47,EL47,EH47,ED47,DZ47,DV47,DR47,DN47,DJ47,DF47,DB47,CX47,CT47,CP47,CL47,CH47,CD47,BZ47,BV47,BR47,BN47,BJ47,BF47,BB47,AX47,AT47,AP47,AL47,AH47,AD47,Z47,V47,R47,N47,J47,F47)</f>
        <v>0</v>
      </c>
      <c r="C47" s="31">
        <f t="shared" si="618"/>
        <v>0</v>
      </c>
      <c r="D47" s="32">
        <f t="shared" si="618"/>
        <v>0</v>
      </c>
      <c r="E47" s="33">
        <f t="shared" si="538"/>
        <v>0</v>
      </c>
      <c r="F47" s="34"/>
      <c r="G47" s="31" t="str">
        <f t="shared" si="539"/>
        <v/>
      </c>
      <c r="H47" s="35"/>
      <c r="I47" s="33" t="str">
        <f t="shared" si="540"/>
        <v/>
      </c>
      <c r="J47" s="34"/>
      <c r="K47" s="31" t="str">
        <f t="shared" si="541"/>
        <v/>
      </c>
      <c r="L47" s="35"/>
      <c r="M47" s="33" t="str">
        <f t="shared" si="542"/>
        <v/>
      </c>
      <c r="N47" s="34"/>
      <c r="O47" s="31" t="str">
        <f t="shared" si="543"/>
        <v/>
      </c>
      <c r="P47" s="35"/>
      <c r="Q47" s="33" t="str">
        <f t="shared" si="544"/>
        <v/>
      </c>
      <c r="R47" s="34"/>
      <c r="S47" s="31" t="str">
        <f t="shared" si="545"/>
        <v/>
      </c>
      <c r="T47" s="35"/>
      <c r="U47" s="33" t="str">
        <f t="shared" si="546"/>
        <v/>
      </c>
      <c r="V47" s="34"/>
      <c r="W47" s="31" t="str">
        <f t="shared" si="547"/>
        <v/>
      </c>
      <c r="X47" s="35"/>
      <c r="Y47" s="33" t="str">
        <f t="shared" si="548"/>
        <v/>
      </c>
      <c r="Z47" s="34"/>
      <c r="AA47" s="31" t="str">
        <f t="shared" si="549"/>
        <v/>
      </c>
      <c r="AB47" s="35"/>
      <c r="AC47" s="33" t="str">
        <f t="shared" si="550"/>
        <v/>
      </c>
      <c r="AD47" s="34"/>
      <c r="AE47" s="31" t="str">
        <f t="shared" si="551"/>
        <v/>
      </c>
      <c r="AF47" s="35"/>
      <c r="AG47" s="33" t="str">
        <f t="shared" si="552"/>
        <v/>
      </c>
      <c r="AH47" s="34"/>
      <c r="AI47" s="31" t="str">
        <f t="shared" si="553"/>
        <v/>
      </c>
      <c r="AJ47" s="35"/>
      <c r="AK47" s="33" t="str">
        <f t="shared" si="554"/>
        <v/>
      </c>
      <c r="AL47" s="34"/>
      <c r="AM47" s="31" t="str">
        <f t="shared" si="555"/>
        <v/>
      </c>
      <c r="AN47" s="35"/>
      <c r="AO47" s="33" t="str">
        <f t="shared" si="556"/>
        <v/>
      </c>
      <c r="AP47" s="34"/>
      <c r="AQ47" s="31" t="str">
        <f t="shared" si="557"/>
        <v/>
      </c>
      <c r="AR47" s="35"/>
      <c r="AS47" s="33" t="str">
        <f t="shared" si="558"/>
        <v/>
      </c>
      <c r="AT47" s="34"/>
      <c r="AU47" s="31" t="str">
        <f t="shared" si="559"/>
        <v/>
      </c>
      <c r="AV47" s="35"/>
      <c r="AW47" s="33" t="str">
        <f t="shared" si="560"/>
        <v/>
      </c>
      <c r="AX47" s="34"/>
      <c r="AY47" s="31" t="str">
        <f t="shared" si="561"/>
        <v/>
      </c>
      <c r="AZ47" s="35"/>
      <c r="BA47" s="33" t="str">
        <f t="shared" si="562"/>
        <v/>
      </c>
      <c r="BB47" s="34"/>
      <c r="BC47" s="31" t="str">
        <f t="shared" si="563"/>
        <v/>
      </c>
      <c r="BD47" s="35"/>
      <c r="BE47" s="33" t="str">
        <f t="shared" si="564"/>
        <v/>
      </c>
      <c r="BF47" s="34"/>
      <c r="BG47" s="31" t="str">
        <f t="shared" si="565"/>
        <v/>
      </c>
      <c r="BH47" s="35"/>
      <c r="BI47" s="33" t="str">
        <f t="shared" si="566"/>
        <v/>
      </c>
      <c r="BJ47" s="34"/>
      <c r="BK47" s="31" t="str">
        <f t="shared" si="567"/>
        <v/>
      </c>
      <c r="BL47" s="35"/>
      <c r="BM47" s="33" t="str">
        <f t="shared" si="568"/>
        <v/>
      </c>
      <c r="BN47" s="34"/>
      <c r="BO47" s="31" t="str">
        <f t="shared" si="569"/>
        <v/>
      </c>
      <c r="BP47" s="35"/>
      <c r="BQ47" s="33" t="str">
        <f t="shared" si="570"/>
        <v/>
      </c>
      <c r="BR47" s="34"/>
      <c r="BS47" s="31" t="str">
        <f t="shared" si="571"/>
        <v/>
      </c>
      <c r="BT47" s="35"/>
      <c r="BU47" s="33" t="str">
        <f t="shared" si="572"/>
        <v/>
      </c>
      <c r="BV47" s="34"/>
      <c r="BW47" s="31" t="str">
        <f t="shared" si="573"/>
        <v/>
      </c>
      <c r="BX47" s="35"/>
      <c r="BY47" s="33" t="str">
        <f t="shared" si="574"/>
        <v/>
      </c>
      <c r="BZ47" s="34"/>
      <c r="CA47" s="31" t="str">
        <f t="shared" si="575"/>
        <v/>
      </c>
      <c r="CB47" s="35"/>
      <c r="CC47" s="33" t="str">
        <f t="shared" si="576"/>
        <v/>
      </c>
      <c r="CD47" s="34"/>
      <c r="CE47" s="31" t="str">
        <f t="shared" si="577"/>
        <v/>
      </c>
      <c r="CF47" s="35"/>
      <c r="CG47" s="33" t="str">
        <f t="shared" si="578"/>
        <v/>
      </c>
      <c r="CH47" s="34"/>
      <c r="CI47" s="31" t="str">
        <f t="shared" si="579"/>
        <v/>
      </c>
      <c r="CJ47" s="35"/>
      <c r="CK47" s="33" t="str">
        <f t="shared" si="580"/>
        <v/>
      </c>
      <c r="CL47" s="34"/>
      <c r="CM47" s="31" t="str">
        <f t="shared" si="581"/>
        <v/>
      </c>
      <c r="CN47" s="35"/>
      <c r="CO47" s="33" t="str">
        <f t="shared" si="582"/>
        <v/>
      </c>
      <c r="CP47" s="34"/>
      <c r="CQ47" s="31" t="str">
        <f t="shared" si="583"/>
        <v/>
      </c>
      <c r="CR47" s="35"/>
      <c r="CS47" s="33" t="str">
        <f t="shared" si="584"/>
        <v/>
      </c>
      <c r="CT47" s="34"/>
      <c r="CU47" s="31" t="str">
        <f t="shared" si="585"/>
        <v/>
      </c>
      <c r="CV47" s="35"/>
      <c r="CW47" s="33" t="str">
        <f t="shared" si="586"/>
        <v/>
      </c>
      <c r="CX47" s="34"/>
      <c r="CY47" s="31" t="str">
        <f t="shared" si="587"/>
        <v/>
      </c>
      <c r="CZ47" s="35"/>
      <c r="DA47" s="33" t="str">
        <f t="shared" si="588"/>
        <v/>
      </c>
      <c r="DB47" s="34"/>
      <c r="DC47" s="31" t="str">
        <f t="shared" si="589"/>
        <v/>
      </c>
      <c r="DD47" s="35"/>
      <c r="DE47" s="33" t="str">
        <f t="shared" si="590"/>
        <v/>
      </c>
      <c r="DF47" s="34"/>
      <c r="DG47" s="31" t="str">
        <f t="shared" si="591"/>
        <v/>
      </c>
      <c r="DH47" s="35"/>
      <c r="DI47" s="33" t="str">
        <f t="shared" si="592"/>
        <v/>
      </c>
      <c r="DJ47" s="34"/>
      <c r="DK47" s="31" t="str">
        <f t="shared" si="593"/>
        <v/>
      </c>
      <c r="DL47" s="35"/>
      <c r="DM47" s="33" t="str">
        <f t="shared" si="594"/>
        <v/>
      </c>
      <c r="DN47" s="34"/>
      <c r="DO47" s="31" t="str">
        <f t="shared" si="595"/>
        <v/>
      </c>
      <c r="DP47" s="35"/>
      <c r="DQ47" s="33" t="str">
        <f t="shared" si="596"/>
        <v/>
      </c>
      <c r="DR47" s="34"/>
      <c r="DS47" s="31" t="str">
        <f t="shared" si="597"/>
        <v/>
      </c>
      <c r="DT47" s="35"/>
      <c r="DU47" s="33" t="str">
        <f t="shared" si="598"/>
        <v/>
      </c>
      <c r="DV47" s="34"/>
      <c r="DW47" s="31" t="str">
        <f t="shared" si="599"/>
        <v/>
      </c>
      <c r="DX47" s="35"/>
      <c r="DY47" s="33" t="str">
        <f t="shared" si="600"/>
        <v/>
      </c>
      <c r="DZ47" s="34"/>
      <c r="EA47" s="31" t="str">
        <f t="shared" si="601"/>
        <v/>
      </c>
      <c r="EB47" s="35"/>
      <c r="EC47" s="33" t="str">
        <f t="shared" si="602"/>
        <v/>
      </c>
      <c r="ED47" s="34"/>
      <c r="EE47" s="31" t="str">
        <f t="shared" si="603"/>
        <v/>
      </c>
      <c r="EF47" s="35"/>
      <c r="EG47" s="33" t="str">
        <f t="shared" si="604"/>
        <v/>
      </c>
      <c r="EH47" s="34"/>
      <c r="EI47" s="31" t="str">
        <f t="shared" si="605"/>
        <v/>
      </c>
      <c r="EJ47" s="35"/>
      <c r="EK47" s="33" t="str">
        <f t="shared" si="606"/>
        <v/>
      </c>
      <c r="EL47" s="34"/>
      <c r="EM47" s="31" t="str">
        <f t="shared" si="607"/>
        <v/>
      </c>
      <c r="EN47" s="35"/>
      <c r="EO47" s="33" t="str">
        <f t="shared" si="608"/>
        <v/>
      </c>
      <c r="EP47" s="34"/>
      <c r="EQ47" s="31" t="str">
        <f t="shared" si="609"/>
        <v/>
      </c>
      <c r="ER47" s="35"/>
      <c r="ES47" s="33" t="str">
        <f t="shared" si="610"/>
        <v/>
      </c>
    </row>
    <row r="48" ht="18.0" customHeight="1">
      <c r="A48" s="2" t="s">
        <v>50</v>
      </c>
      <c r="B48" s="30">
        <f t="shared" ref="B48:D48" si="619">SUM(EP48,EL48,EH48,ED48,DZ48,DV48,DR48,DN48,DJ48,DF48,DB48,CX48,CT48,CP48,CL48,CH48,CD48,BZ48,BV48,BR48,BN48,BJ48,BF48,BB48,AX48,AT48,AP48,AL48,AH48,AD48,Z48,V48,R48,N48,J48,F48)</f>
        <v>0</v>
      </c>
      <c r="C48" s="31">
        <f t="shared" si="619"/>
        <v>0</v>
      </c>
      <c r="D48" s="32">
        <f t="shared" si="619"/>
        <v>0</v>
      </c>
      <c r="E48" s="33">
        <f t="shared" si="538"/>
        <v>0</v>
      </c>
      <c r="F48" s="34"/>
      <c r="G48" s="31" t="str">
        <f t="shared" si="539"/>
        <v/>
      </c>
      <c r="H48" s="35"/>
      <c r="I48" s="33" t="str">
        <f t="shared" si="540"/>
        <v/>
      </c>
      <c r="J48" s="34"/>
      <c r="K48" s="31" t="str">
        <f t="shared" si="541"/>
        <v/>
      </c>
      <c r="L48" s="35"/>
      <c r="M48" s="33" t="str">
        <f t="shared" si="542"/>
        <v/>
      </c>
      <c r="N48" s="34"/>
      <c r="O48" s="31" t="str">
        <f t="shared" si="543"/>
        <v/>
      </c>
      <c r="P48" s="35"/>
      <c r="Q48" s="33" t="str">
        <f t="shared" si="544"/>
        <v/>
      </c>
      <c r="R48" s="34"/>
      <c r="S48" s="31" t="str">
        <f t="shared" si="545"/>
        <v/>
      </c>
      <c r="T48" s="35"/>
      <c r="U48" s="33" t="str">
        <f t="shared" si="546"/>
        <v/>
      </c>
      <c r="V48" s="34"/>
      <c r="W48" s="31" t="str">
        <f t="shared" si="547"/>
        <v/>
      </c>
      <c r="X48" s="35"/>
      <c r="Y48" s="33" t="str">
        <f t="shared" si="548"/>
        <v/>
      </c>
      <c r="Z48" s="34"/>
      <c r="AA48" s="31" t="str">
        <f t="shared" si="549"/>
        <v/>
      </c>
      <c r="AB48" s="35"/>
      <c r="AC48" s="33" t="str">
        <f t="shared" si="550"/>
        <v/>
      </c>
      <c r="AD48" s="34"/>
      <c r="AE48" s="31" t="str">
        <f t="shared" si="551"/>
        <v/>
      </c>
      <c r="AF48" s="35"/>
      <c r="AG48" s="33" t="str">
        <f t="shared" si="552"/>
        <v/>
      </c>
      <c r="AH48" s="34"/>
      <c r="AI48" s="31" t="str">
        <f t="shared" si="553"/>
        <v/>
      </c>
      <c r="AJ48" s="35"/>
      <c r="AK48" s="33" t="str">
        <f t="shared" si="554"/>
        <v/>
      </c>
      <c r="AL48" s="34"/>
      <c r="AM48" s="31" t="str">
        <f t="shared" si="555"/>
        <v/>
      </c>
      <c r="AN48" s="35"/>
      <c r="AO48" s="33" t="str">
        <f t="shared" si="556"/>
        <v/>
      </c>
      <c r="AP48" s="34"/>
      <c r="AQ48" s="31" t="str">
        <f t="shared" si="557"/>
        <v/>
      </c>
      <c r="AR48" s="35"/>
      <c r="AS48" s="33" t="str">
        <f t="shared" si="558"/>
        <v/>
      </c>
      <c r="AT48" s="34"/>
      <c r="AU48" s="31" t="str">
        <f t="shared" si="559"/>
        <v/>
      </c>
      <c r="AV48" s="35"/>
      <c r="AW48" s="33" t="str">
        <f t="shared" si="560"/>
        <v/>
      </c>
      <c r="AX48" s="34"/>
      <c r="AY48" s="31" t="str">
        <f t="shared" si="561"/>
        <v/>
      </c>
      <c r="AZ48" s="35"/>
      <c r="BA48" s="33" t="str">
        <f t="shared" si="562"/>
        <v/>
      </c>
      <c r="BB48" s="34"/>
      <c r="BC48" s="31" t="str">
        <f t="shared" si="563"/>
        <v/>
      </c>
      <c r="BD48" s="35"/>
      <c r="BE48" s="33" t="str">
        <f t="shared" si="564"/>
        <v/>
      </c>
      <c r="BF48" s="34"/>
      <c r="BG48" s="31" t="str">
        <f t="shared" si="565"/>
        <v/>
      </c>
      <c r="BH48" s="35"/>
      <c r="BI48" s="33" t="str">
        <f t="shared" si="566"/>
        <v/>
      </c>
      <c r="BJ48" s="34"/>
      <c r="BK48" s="31" t="str">
        <f t="shared" si="567"/>
        <v/>
      </c>
      <c r="BL48" s="35"/>
      <c r="BM48" s="33" t="str">
        <f t="shared" si="568"/>
        <v/>
      </c>
      <c r="BN48" s="34"/>
      <c r="BO48" s="31" t="str">
        <f t="shared" si="569"/>
        <v/>
      </c>
      <c r="BP48" s="35"/>
      <c r="BQ48" s="33" t="str">
        <f t="shared" si="570"/>
        <v/>
      </c>
      <c r="BR48" s="34"/>
      <c r="BS48" s="31" t="str">
        <f t="shared" si="571"/>
        <v/>
      </c>
      <c r="BT48" s="35"/>
      <c r="BU48" s="33" t="str">
        <f t="shared" si="572"/>
        <v/>
      </c>
      <c r="BV48" s="34"/>
      <c r="BW48" s="31" t="str">
        <f t="shared" si="573"/>
        <v/>
      </c>
      <c r="BX48" s="35"/>
      <c r="BY48" s="33" t="str">
        <f t="shared" si="574"/>
        <v/>
      </c>
      <c r="BZ48" s="34"/>
      <c r="CA48" s="31" t="str">
        <f t="shared" si="575"/>
        <v/>
      </c>
      <c r="CB48" s="35"/>
      <c r="CC48" s="33" t="str">
        <f t="shared" si="576"/>
        <v/>
      </c>
      <c r="CD48" s="34"/>
      <c r="CE48" s="31" t="str">
        <f t="shared" si="577"/>
        <v/>
      </c>
      <c r="CF48" s="35"/>
      <c r="CG48" s="33" t="str">
        <f t="shared" si="578"/>
        <v/>
      </c>
      <c r="CH48" s="34"/>
      <c r="CI48" s="31" t="str">
        <f t="shared" si="579"/>
        <v/>
      </c>
      <c r="CJ48" s="35"/>
      <c r="CK48" s="33" t="str">
        <f t="shared" si="580"/>
        <v/>
      </c>
      <c r="CL48" s="34"/>
      <c r="CM48" s="31" t="str">
        <f t="shared" si="581"/>
        <v/>
      </c>
      <c r="CN48" s="35"/>
      <c r="CO48" s="33" t="str">
        <f t="shared" si="582"/>
        <v/>
      </c>
      <c r="CP48" s="34"/>
      <c r="CQ48" s="31" t="str">
        <f t="shared" si="583"/>
        <v/>
      </c>
      <c r="CR48" s="35"/>
      <c r="CS48" s="33" t="str">
        <f t="shared" si="584"/>
        <v/>
      </c>
      <c r="CT48" s="34"/>
      <c r="CU48" s="31" t="str">
        <f t="shared" si="585"/>
        <v/>
      </c>
      <c r="CV48" s="35"/>
      <c r="CW48" s="33" t="str">
        <f t="shared" si="586"/>
        <v/>
      </c>
      <c r="CX48" s="34"/>
      <c r="CY48" s="31" t="str">
        <f t="shared" si="587"/>
        <v/>
      </c>
      <c r="CZ48" s="35"/>
      <c r="DA48" s="33" t="str">
        <f t="shared" si="588"/>
        <v/>
      </c>
      <c r="DB48" s="34"/>
      <c r="DC48" s="31" t="str">
        <f t="shared" si="589"/>
        <v/>
      </c>
      <c r="DD48" s="35"/>
      <c r="DE48" s="33" t="str">
        <f t="shared" si="590"/>
        <v/>
      </c>
      <c r="DF48" s="34"/>
      <c r="DG48" s="31" t="str">
        <f t="shared" si="591"/>
        <v/>
      </c>
      <c r="DH48" s="35"/>
      <c r="DI48" s="33" t="str">
        <f t="shared" si="592"/>
        <v/>
      </c>
      <c r="DJ48" s="34"/>
      <c r="DK48" s="31" t="str">
        <f t="shared" si="593"/>
        <v/>
      </c>
      <c r="DL48" s="35"/>
      <c r="DM48" s="33" t="str">
        <f t="shared" si="594"/>
        <v/>
      </c>
      <c r="DN48" s="34"/>
      <c r="DO48" s="31" t="str">
        <f t="shared" si="595"/>
        <v/>
      </c>
      <c r="DP48" s="35"/>
      <c r="DQ48" s="33" t="str">
        <f t="shared" si="596"/>
        <v/>
      </c>
      <c r="DR48" s="34"/>
      <c r="DS48" s="31" t="str">
        <f t="shared" si="597"/>
        <v/>
      </c>
      <c r="DT48" s="35"/>
      <c r="DU48" s="33" t="str">
        <f t="shared" si="598"/>
        <v/>
      </c>
      <c r="DV48" s="34"/>
      <c r="DW48" s="31" t="str">
        <f t="shared" si="599"/>
        <v/>
      </c>
      <c r="DX48" s="35"/>
      <c r="DY48" s="33" t="str">
        <f t="shared" si="600"/>
        <v/>
      </c>
      <c r="DZ48" s="34"/>
      <c r="EA48" s="31" t="str">
        <f t="shared" si="601"/>
        <v/>
      </c>
      <c r="EB48" s="35"/>
      <c r="EC48" s="33" t="str">
        <f t="shared" si="602"/>
        <v/>
      </c>
      <c r="ED48" s="34"/>
      <c r="EE48" s="31" t="str">
        <f t="shared" si="603"/>
        <v/>
      </c>
      <c r="EF48" s="35"/>
      <c r="EG48" s="33" t="str">
        <f t="shared" si="604"/>
        <v/>
      </c>
      <c r="EH48" s="34"/>
      <c r="EI48" s="31" t="str">
        <f t="shared" si="605"/>
        <v/>
      </c>
      <c r="EJ48" s="35"/>
      <c r="EK48" s="33" t="str">
        <f t="shared" si="606"/>
        <v/>
      </c>
      <c r="EL48" s="34"/>
      <c r="EM48" s="31" t="str">
        <f t="shared" si="607"/>
        <v/>
      </c>
      <c r="EN48" s="35"/>
      <c r="EO48" s="33" t="str">
        <f t="shared" si="608"/>
        <v/>
      </c>
      <c r="EP48" s="34"/>
      <c r="EQ48" s="31" t="str">
        <f t="shared" si="609"/>
        <v/>
      </c>
      <c r="ER48" s="35"/>
      <c r="ES48" s="33" t="str">
        <f t="shared" si="610"/>
        <v/>
      </c>
    </row>
    <row r="49" ht="18.0" customHeight="1">
      <c r="A49" s="2" t="s">
        <v>51</v>
      </c>
      <c r="B49" s="30">
        <f t="shared" ref="B49:D49" si="620">SUM(EP49,EL49,EH49,ED49,DZ49,DV49,DR49,DN49,DJ49,DF49,DB49,CX49,CT49,CP49,CL49,CH49,CD49,BZ49,BV49,BR49,BN49,BJ49,BF49,BB49,AX49,AT49,AP49,AL49,AH49,AD49,Z49,V49,R49,N49,J49,F49)</f>
        <v>0</v>
      </c>
      <c r="C49" s="31">
        <f t="shared" si="620"/>
        <v>0</v>
      </c>
      <c r="D49" s="32">
        <f t="shared" si="620"/>
        <v>0</v>
      </c>
      <c r="E49" s="33">
        <f t="shared" si="538"/>
        <v>0</v>
      </c>
      <c r="F49" s="34"/>
      <c r="G49" s="31" t="str">
        <f t="shared" si="539"/>
        <v/>
      </c>
      <c r="H49" s="35"/>
      <c r="I49" s="33" t="str">
        <f t="shared" si="540"/>
        <v/>
      </c>
      <c r="J49" s="34"/>
      <c r="K49" s="31" t="str">
        <f t="shared" si="541"/>
        <v/>
      </c>
      <c r="L49" s="35"/>
      <c r="M49" s="33" t="str">
        <f t="shared" si="542"/>
        <v/>
      </c>
      <c r="N49" s="34"/>
      <c r="O49" s="31" t="str">
        <f t="shared" si="543"/>
        <v/>
      </c>
      <c r="P49" s="35"/>
      <c r="Q49" s="33" t="str">
        <f t="shared" si="544"/>
        <v/>
      </c>
      <c r="R49" s="34"/>
      <c r="S49" s="31" t="str">
        <f t="shared" si="545"/>
        <v/>
      </c>
      <c r="T49" s="35"/>
      <c r="U49" s="33" t="str">
        <f t="shared" si="546"/>
        <v/>
      </c>
      <c r="V49" s="34"/>
      <c r="W49" s="31" t="str">
        <f t="shared" si="547"/>
        <v/>
      </c>
      <c r="X49" s="35"/>
      <c r="Y49" s="33" t="str">
        <f t="shared" si="548"/>
        <v/>
      </c>
      <c r="Z49" s="34"/>
      <c r="AA49" s="31" t="str">
        <f t="shared" si="549"/>
        <v/>
      </c>
      <c r="AB49" s="35"/>
      <c r="AC49" s="33" t="str">
        <f t="shared" si="550"/>
        <v/>
      </c>
      <c r="AD49" s="34"/>
      <c r="AE49" s="31" t="str">
        <f t="shared" si="551"/>
        <v/>
      </c>
      <c r="AF49" s="35"/>
      <c r="AG49" s="33" t="str">
        <f t="shared" si="552"/>
        <v/>
      </c>
      <c r="AH49" s="34"/>
      <c r="AI49" s="31" t="str">
        <f t="shared" si="553"/>
        <v/>
      </c>
      <c r="AJ49" s="35"/>
      <c r="AK49" s="33" t="str">
        <f t="shared" si="554"/>
        <v/>
      </c>
      <c r="AL49" s="34"/>
      <c r="AM49" s="31" t="str">
        <f t="shared" si="555"/>
        <v/>
      </c>
      <c r="AN49" s="35"/>
      <c r="AO49" s="33" t="str">
        <f t="shared" si="556"/>
        <v/>
      </c>
      <c r="AP49" s="34"/>
      <c r="AQ49" s="31" t="str">
        <f t="shared" si="557"/>
        <v/>
      </c>
      <c r="AR49" s="35"/>
      <c r="AS49" s="33" t="str">
        <f t="shared" si="558"/>
        <v/>
      </c>
      <c r="AT49" s="34"/>
      <c r="AU49" s="31" t="str">
        <f t="shared" si="559"/>
        <v/>
      </c>
      <c r="AV49" s="35"/>
      <c r="AW49" s="33" t="str">
        <f t="shared" si="560"/>
        <v/>
      </c>
      <c r="AX49" s="34"/>
      <c r="AY49" s="31" t="str">
        <f t="shared" si="561"/>
        <v/>
      </c>
      <c r="AZ49" s="35"/>
      <c r="BA49" s="33" t="str">
        <f t="shared" si="562"/>
        <v/>
      </c>
      <c r="BB49" s="34"/>
      <c r="BC49" s="31" t="str">
        <f t="shared" si="563"/>
        <v/>
      </c>
      <c r="BD49" s="35"/>
      <c r="BE49" s="33" t="str">
        <f t="shared" si="564"/>
        <v/>
      </c>
      <c r="BF49" s="34"/>
      <c r="BG49" s="31" t="str">
        <f t="shared" si="565"/>
        <v/>
      </c>
      <c r="BH49" s="35"/>
      <c r="BI49" s="33" t="str">
        <f t="shared" si="566"/>
        <v/>
      </c>
      <c r="BJ49" s="34"/>
      <c r="BK49" s="31" t="str">
        <f t="shared" si="567"/>
        <v/>
      </c>
      <c r="BL49" s="35"/>
      <c r="BM49" s="33" t="str">
        <f t="shared" si="568"/>
        <v/>
      </c>
      <c r="BN49" s="34"/>
      <c r="BO49" s="31" t="str">
        <f t="shared" si="569"/>
        <v/>
      </c>
      <c r="BP49" s="35"/>
      <c r="BQ49" s="33" t="str">
        <f t="shared" si="570"/>
        <v/>
      </c>
      <c r="BR49" s="34"/>
      <c r="BS49" s="31" t="str">
        <f t="shared" si="571"/>
        <v/>
      </c>
      <c r="BT49" s="35"/>
      <c r="BU49" s="33" t="str">
        <f t="shared" si="572"/>
        <v/>
      </c>
      <c r="BV49" s="34"/>
      <c r="BW49" s="31" t="str">
        <f t="shared" si="573"/>
        <v/>
      </c>
      <c r="BX49" s="35"/>
      <c r="BY49" s="33" t="str">
        <f t="shared" si="574"/>
        <v/>
      </c>
      <c r="BZ49" s="34"/>
      <c r="CA49" s="31" t="str">
        <f t="shared" si="575"/>
        <v/>
      </c>
      <c r="CB49" s="35"/>
      <c r="CC49" s="33" t="str">
        <f t="shared" si="576"/>
        <v/>
      </c>
      <c r="CD49" s="34"/>
      <c r="CE49" s="31" t="str">
        <f t="shared" si="577"/>
        <v/>
      </c>
      <c r="CF49" s="35"/>
      <c r="CG49" s="33" t="str">
        <f t="shared" si="578"/>
        <v/>
      </c>
      <c r="CH49" s="34"/>
      <c r="CI49" s="31" t="str">
        <f t="shared" si="579"/>
        <v/>
      </c>
      <c r="CJ49" s="35"/>
      <c r="CK49" s="33" t="str">
        <f t="shared" si="580"/>
        <v/>
      </c>
      <c r="CL49" s="34"/>
      <c r="CM49" s="31" t="str">
        <f t="shared" si="581"/>
        <v/>
      </c>
      <c r="CN49" s="35"/>
      <c r="CO49" s="33" t="str">
        <f t="shared" si="582"/>
        <v/>
      </c>
      <c r="CP49" s="34"/>
      <c r="CQ49" s="31" t="str">
        <f t="shared" si="583"/>
        <v/>
      </c>
      <c r="CR49" s="35"/>
      <c r="CS49" s="33" t="str">
        <f t="shared" si="584"/>
        <v/>
      </c>
      <c r="CT49" s="34"/>
      <c r="CU49" s="31" t="str">
        <f t="shared" si="585"/>
        <v/>
      </c>
      <c r="CV49" s="35"/>
      <c r="CW49" s="33" t="str">
        <f t="shared" si="586"/>
        <v/>
      </c>
      <c r="CX49" s="34"/>
      <c r="CY49" s="31" t="str">
        <f t="shared" si="587"/>
        <v/>
      </c>
      <c r="CZ49" s="35"/>
      <c r="DA49" s="33" t="str">
        <f t="shared" si="588"/>
        <v/>
      </c>
      <c r="DB49" s="34"/>
      <c r="DC49" s="31" t="str">
        <f t="shared" si="589"/>
        <v/>
      </c>
      <c r="DD49" s="35"/>
      <c r="DE49" s="33" t="str">
        <f t="shared" si="590"/>
        <v/>
      </c>
      <c r="DF49" s="34"/>
      <c r="DG49" s="31" t="str">
        <f t="shared" si="591"/>
        <v/>
      </c>
      <c r="DH49" s="35"/>
      <c r="DI49" s="33" t="str">
        <f t="shared" si="592"/>
        <v/>
      </c>
      <c r="DJ49" s="34"/>
      <c r="DK49" s="31" t="str">
        <f t="shared" si="593"/>
        <v/>
      </c>
      <c r="DL49" s="35"/>
      <c r="DM49" s="33" t="str">
        <f t="shared" si="594"/>
        <v/>
      </c>
      <c r="DN49" s="34"/>
      <c r="DO49" s="31" t="str">
        <f t="shared" si="595"/>
        <v/>
      </c>
      <c r="DP49" s="35"/>
      <c r="DQ49" s="33" t="str">
        <f t="shared" si="596"/>
        <v/>
      </c>
      <c r="DR49" s="34"/>
      <c r="DS49" s="31" t="str">
        <f t="shared" si="597"/>
        <v/>
      </c>
      <c r="DT49" s="35"/>
      <c r="DU49" s="33" t="str">
        <f t="shared" si="598"/>
        <v/>
      </c>
      <c r="DV49" s="34"/>
      <c r="DW49" s="31" t="str">
        <f t="shared" si="599"/>
        <v/>
      </c>
      <c r="DX49" s="35"/>
      <c r="DY49" s="33" t="str">
        <f t="shared" si="600"/>
        <v/>
      </c>
      <c r="DZ49" s="34"/>
      <c r="EA49" s="31" t="str">
        <f t="shared" si="601"/>
        <v/>
      </c>
      <c r="EB49" s="35"/>
      <c r="EC49" s="33" t="str">
        <f t="shared" si="602"/>
        <v/>
      </c>
      <c r="ED49" s="34"/>
      <c r="EE49" s="31" t="str">
        <f t="shared" si="603"/>
        <v/>
      </c>
      <c r="EF49" s="35"/>
      <c r="EG49" s="33" t="str">
        <f t="shared" si="604"/>
        <v/>
      </c>
      <c r="EH49" s="34"/>
      <c r="EI49" s="31" t="str">
        <f t="shared" si="605"/>
        <v/>
      </c>
      <c r="EJ49" s="35"/>
      <c r="EK49" s="33" t="str">
        <f t="shared" si="606"/>
        <v/>
      </c>
      <c r="EL49" s="34"/>
      <c r="EM49" s="31" t="str">
        <f t="shared" si="607"/>
        <v/>
      </c>
      <c r="EN49" s="35"/>
      <c r="EO49" s="33" t="str">
        <f t="shared" si="608"/>
        <v/>
      </c>
      <c r="EP49" s="34"/>
      <c r="EQ49" s="31" t="str">
        <f t="shared" si="609"/>
        <v/>
      </c>
      <c r="ER49" s="35"/>
      <c r="ES49" s="33" t="str">
        <f t="shared" si="610"/>
        <v/>
      </c>
    </row>
    <row r="50" ht="18.0" customHeight="1">
      <c r="A50" s="2" t="s">
        <v>52</v>
      </c>
      <c r="B50" s="30">
        <f t="shared" ref="B50:D50" si="621">SUM(EP50,EL50,EH50,ED50,DZ50,DV50,DR50,DN50,DJ50,DF50,DB50,CX50,CT50,CP50,CL50,CH50,CD50,BZ50,BV50,BR50,BN50,BJ50,BF50,BB50,AX50,AT50,AP50,AL50,AH50,AD50,Z50,V50,R50,N50,J50,F50)</f>
        <v>0</v>
      </c>
      <c r="C50" s="31">
        <f t="shared" si="621"/>
        <v>0</v>
      </c>
      <c r="D50" s="32">
        <f t="shared" si="621"/>
        <v>0</v>
      </c>
      <c r="E50" s="33">
        <f t="shared" si="538"/>
        <v>0</v>
      </c>
      <c r="F50" s="34"/>
      <c r="G50" s="31" t="str">
        <f t="shared" si="539"/>
        <v/>
      </c>
      <c r="H50" s="35"/>
      <c r="I50" s="33" t="str">
        <f t="shared" si="540"/>
        <v/>
      </c>
      <c r="J50" s="34"/>
      <c r="K50" s="31" t="str">
        <f t="shared" si="541"/>
        <v/>
      </c>
      <c r="L50" s="35"/>
      <c r="M50" s="33" t="str">
        <f t="shared" si="542"/>
        <v/>
      </c>
      <c r="N50" s="34"/>
      <c r="O50" s="31" t="str">
        <f t="shared" si="543"/>
        <v/>
      </c>
      <c r="P50" s="35"/>
      <c r="Q50" s="33" t="str">
        <f t="shared" si="544"/>
        <v/>
      </c>
      <c r="R50" s="34"/>
      <c r="S50" s="31" t="str">
        <f t="shared" si="545"/>
        <v/>
      </c>
      <c r="T50" s="35"/>
      <c r="U50" s="33" t="str">
        <f t="shared" si="546"/>
        <v/>
      </c>
      <c r="V50" s="34"/>
      <c r="W50" s="31" t="str">
        <f t="shared" si="547"/>
        <v/>
      </c>
      <c r="X50" s="35"/>
      <c r="Y50" s="33" t="str">
        <f t="shared" si="548"/>
        <v/>
      </c>
      <c r="Z50" s="34"/>
      <c r="AA50" s="31" t="str">
        <f t="shared" si="549"/>
        <v/>
      </c>
      <c r="AB50" s="35"/>
      <c r="AC50" s="33" t="str">
        <f t="shared" si="550"/>
        <v/>
      </c>
      <c r="AD50" s="34"/>
      <c r="AE50" s="31" t="str">
        <f t="shared" si="551"/>
        <v/>
      </c>
      <c r="AF50" s="35"/>
      <c r="AG50" s="33" t="str">
        <f t="shared" si="552"/>
        <v/>
      </c>
      <c r="AH50" s="34"/>
      <c r="AI50" s="31" t="str">
        <f t="shared" si="553"/>
        <v/>
      </c>
      <c r="AJ50" s="35"/>
      <c r="AK50" s="33" t="str">
        <f t="shared" si="554"/>
        <v/>
      </c>
      <c r="AL50" s="34"/>
      <c r="AM50" s="31" t="str">
        <f t="shared" si="555"/>
        <v/>
      </c>
      <c r="AN50" s="35"/>
      <c r="AO50" s="33" t="str">
        <f t="shared" si="556"/>
        <v/>
      </c>
      <c r="AP50" s="34"/>
      <c r="AQ50" s="31" t="str">
        <f t="shared" si="557"/>
        <v/>
      </c>
      <c r="AR50" s="35"/>
      <c r="AS50" s="33" t="str">
        <f t="shared" si="558"/>
        <v/>
      </c>
      <c r="AT50" s="34"/>
      <c r="AU50" s="31" t="str">
        <f t="shared" si="559"/>
        <v/>
      </c>
      <c r="AV50" s="35"/>
      <c r="AW50" s="33" t="str">
        <f t="shared" si="560"/>
        <v/>
      </c>
      <c r="AX50" s="34"/>
      <c r="AY50" s="31" t="str">
        <f t="shared" si="561"/>
        <v/>
      </c>
      <c r="AZ50" s="35"/>
      <c r="BA50" s="33" t="str">
        <f t="shared" si="562"/>
        <v/>
      </c>
      <c r="BB50" s="34"/>
      <c r="BC50" s="31" t="str">
        <f t="shared" si="563"/>
        <v/>
      </c>
      <c r="BD50" s="35"/>
      <c r="BE50" s="33" t="str">
        <f t="shared" si="564"/>
        <v/>
      </c>
      <c r="BF50" s="34"/>
      <c r="BG50" s="31" t="str">
        <f t="shared" si="565"/>
        <v/>
      </c>
      <c r="BH50" s="35"/>
      <c r="BI50" s="33" t="str">
        <f t="shared" si="566"/>
        <v/>
      </c>
      <c r="BJ50" s="34"/>
      <c r="BK50" s="31" t="str">
        <f t="shared" si="567"/>
        <v/>
      </c>
      <c r="BL50" s="35"/>
      <c r="BM50" s="33" t="str">
        <f t="shared" si="568"/>
        <v/>
      </c>
      <c r="BN50" s="34"/>
      <c r="BO50" s="31" t="str">
        <f t="shared" si="569"/>
        <v/>
      </c>
      <c r="BP50" s="35"/>
      <c r="BQ50" s="33" t="str">
        <f t="shared" si="570"/>
        <v/>
      </c>
      <c r="BR50" s="34"/>
      <c r="BS50" s="31" t="str">
        <f t="shared" si="571"/>
        <v/>
      </c>
      <c r="BT50" s="35"/>
      <c r="BU50" s="33" t="str">
        <f t="shared" si="572"/>
        <v/>
      </c>
      <c r="BV50" s="34"/>
      <c r="BW50" s="31" t="str">
        <f t="shared" si="573"/>
        <v/>
      </c>
      <c r="BX50" s="35"/>
      <c r="BY50" s="33" t="str">
        <f t="shared" si="574"/>
        <v/>
      </c>
      <c r="BZ50" s="34"/>
      <c r="CA50" s="31" t="str">
        <f t="shared" si="575"/>
        <v/>
      </c>
      <c r="CB50" s="35"/>
      <c r="CC50" s="33" t="str">
        <f t="shared" si="576"/>
        <v/>
      </c>
      <c r="CD50" s="34"/>
      <c r="CE50" s="31" t="str">
        <f t="shared" si="577"/>
        <v/>
      </c>
      <c r="CF50" s="35"/>
      <c r="CG50" s="33" t="str">
        <f t="shared" si="578"/>
        <v/>
      </c>
      <c r="CH50" s="34"/>
      <c r="CI50" s="31" t="str">
        <f t="shared" si="579"/>
        <v/>
      </c>
      <c r="CJ50" s="35"/>
      <c r="CK50" s="33" t="str">
        <f t="shared" si="580"/>
        <v/>
      </c>
      <c r="CL50" s="34"/>
      <c r="CM50" s="31" t="str">
        <f t="shared" si="581"/>
        <v/>
      </c>
      <c r="CN50" s="35"/>
      <c r="CO50" s="33" t="str">
        <f t="shared" si="582"/>
        <v/>
      </c>
      <c r="CP50" s="34"/>
      <c r="CQ50" s="31" t="str">
        <f t="shared" si="583"/>
        <v/>
      </c>
      <c r="CR50" s="35"/>
      <c r="CS50" s="33" t="str">
        <f t="shared" si="584"/>
        <v/>
      </c>
      <c r="CT50" s="34"/>
      <c r="CU50" s="31" t="str">
        <f t="shared" si="585"/>
        <v/>
      </c>
      <c r="CV50" s="35"/>
      <c r="CW50" s="33" t="str">
        <f t="shared" si="586"/>
        <v/>
      </c>
      <c r="CX50" s="34"/>
      <c r="CY50" s="31" t="str">
        <f t="shared" si="587"/>
        <v/>
      </c>
      <c r="CZ50" s="35"/>
      <c r="DA50" s="33" t="str">
        <f t="shared" si="588"/>
        <v/>
      </c>
      <c r="DB50" s="34"/>
      <c r="DC50" s="31" t="str">
        <f t="shared" si="589"/>
        <v/>
      </c>
      <c r="DD50" s="35"/>
      <c r="DE50" s="33" t="str">
        <f t="shared" si="590"/>
        <v/>
      </c>
      <c r="DF50" s="34"/>
      <c r="DG50" s="31" t="str">
        <f t="shared" si="591"/>
        <v/>
      </c>
      <c r="DH50" s="35"/>
      <c r="DI50" s="33" t="str">
        <f t="shared" si="592"/>
        <v/>
      </c>
      <c r="DJ50" s="34"/>
      <c r="DK50" s="31" t="str">
        <f t="shared" si="593"/>
        <v/>
      </c>
      <c r="DL50" s="35"/>
      <c r="DM50" s="33" t="str">
        <f t="shared" si="594"/>
        <v/>
      </c>
      <c r="DN50" s="34"/>
      <c r="DO50" s="31" t="str">
        <f t="shared" si="595"/>
        <v/>
      </c>
      <c r="DP50" s="35"/>
      <c r="DQ50" s="33" t="str">
        <f t="shared" si="596"/>
        <v/>
      </c>
      <c r="DR50" s="34"/>
      <c r="DS50" s="31" t="str">
        <f t="shared" si="597"/>
        <v/>
      </c>
      <c r="DT50" s="35"/>
      <c r="DU50" s="33" t="str">
        <f t="shared" si="598"/>
        <v/>
      </c>
      <c r="DV50" s="34"/>
      <c r="DW50" s="31" t="str">
        <f t="shared" si="599"/>
        <v/>
      </c>
      <c r="DX50" s="35"/>
      <c r="DY50" s="33" t="str">
        <f t="shared" si="600"/>
        <v/>
      </c>
      <c r="DZ50" s="34"/>
      <c r="EA50" s="31" t="str">
        <f t="shared" si="601"/>
        <v/>
      </c>
      <c r="EB50" s="35"/>
      <c r="EC50" s="33" t="str">
        <f t="shared" si="602"/>
        <v/>
      </c>
      <c r="ED50" s="34"/>
      <c r="EE50" s="31" t="str">
        <f t="shared" si="603"/>
        <v/>
      </c>
      <c r="EF50" s="35"/>
      <c r="EG50" s="33" t="str">
        <f t="shared" si="604"/>
        <v/>
      </c>
      <c r="EH50" s="34"/>
      <c r="EI50" s="31" t="str">
        <f t="shared" si="605"/>
        <v/>
      </c>
      <c r="EJ50" s="35"/>
      <c r="EK50" s="33" t="str">
        <f t="shared" si="606"/>
        <v/>
      </c>
      <c r="EL50" s="34"/>
      <c r="EM50" s="31" t="str">
        <f t="shared" si="607"/>
        <v/>
      </c>
      <c r="EN50" s="35"/>
      <c r="EO50" s="33" t="str">
        <f t="shared" si="608"/>
        <v/>
      </c>
      <c r="EP50" s="34"/>
      <c r="EQ50" s="31" t="str">
        <f t="shared" si="609"/>
        <v/>
      </c>
      <c r="ER50" s="35"/>
      <c r="ES50" s="33" t="str">
        <f t="shared" si="610"/>
        <v/>
      </c>
    </row>
    <row r="51" ht="18.0" customHeight="1">
      <c r="A51" s="2" t="s">
        <v>53</v>
      </c>
      <c r="B51" s="30">
        <f t="shared" ref="B51:D51" si="622">SUM(EP51,EL51,EH51,ED51,DZ51,DV51,DR51,DN51,DJ51,DF51,DB51,CX51,CT51,CP51,CL51,CH51,CD51,BZ51,BV51,BR51,BN51,BJ51,BF51,BB51,AX51,AT51,AP51,AL51,AH51,AD51,Z51,V51,R51,N51,J51,F51)</f>
        <v>0</v>
      </c>
      <c r="C51" s="31">
        <f t="shared" si="622"/>
        <v>0</v>
      </c>
      <c r="D51" s="32">
        <f t="shared" si="622"/>
        <v>0</v>
      </c>
      <c r="E51" s="33">
        <f t="shared" si="538"/>
        <v>0</v>
      </c>
      <c r="F51" s="34"/>
      <c r="G51" s="31" t="str">
        <f t="shared" si="539"/>
        <v/>
      </c>
      <c r="H51" s="35"/>
      <c r="I51" s="33" t="str">
        <f t="shared" si="540"/>
        <v/>
      </c>
      <c r="J51" s="34"/>
      <c r="K51" s="31" t="str">
        <f t="shared" si="541"/>
        <v/>
      </c>
      <c r="L51" s="35"/>
      <c r="M51" s="33" t="str">
        <f t="shared" si="542"/>
        <v/>
      </c>
      <c r="N51" s="34"/>
      <c r="O51" s="31" t="str">
        <f t="shared" si="543"/>
        <v/>
      </c>
      <c r="P51" s="35"/>
      <c r="Q51" s="33" t="str">
        <f t="shared" si="544"/>
        <v/>
      </c>
      <c r="R51" s="34"/>
      <c r="S51" s="31" t="str">
        <f t="shared" si="545"/>
        <v/>
      </c>
      <c r="T51" s="35"/>
      <c r="U51" s="33" t="str">
        <f t="shared" si="546"/>
        <v/>
      </c>
      <c r="V51" s="34"/>
      <c r="W51" s="31" t="str">
        <f t="shared" si="547"/>
        <v/>
      </c>
      <c r="X51" s="35"/>
      <c r="Y51" s="33" t="str">
        <f t="shared" si="548"/>
        <v/>
      </c>
      <c r="Z51" s="34"/>
      <c r="AA51" s="31" t="str">
        <f t="shared" si="549"/>
        <v/>
      </c>
      <c r="AB51" s="35"/>
      <c r="AC51" s="33" t="str">
        <f t="shared" si="550"/>
        <v/>
      </c>
      <c r="AD51" s="34"/>
      <c r="AE51" s="31" t="str">
        <f t="shared" si="551"/>
        <v/>
      </c>
      <c r="AF51" s="35"/>
      <c r="AG51" s="33" t="str">
        <f t="shared" si="552"/>
        <v/>
      </c>
      <c r="AH51" s="34"/>
      <c r="AI51" s="31" t="str">
        <f t="shared" si="553"/>
        <v/>
      </c>
      <c r="AJ51" s="35"/>
      <c r="AK51" s="33" t="str">
        <f t="shared" si="554"/>
        <v/>
      </c>
      <c r="AL51" s="34"/>
      <c r="AM51" s="31" t="str">
        <f t="shared" si="555"/>
        <v/>
      </c>
      <c r="AN51" s="35"/>
      <c r="AO51" s="33" t="str">
        <f t="shared" si="556"/>
        <v/>
      </c>
      <c r="AP51" s="34"/>
      <c r="AQ51" s="31" t="str">
        <f t="shared" si="557"/>
        <v/>
      </c>
      <c r="AR51" s="35"/>
      <c r="AS51" s="33" t="str">
        <f t="shared" si="558"/>
        <v/>
      </c>
      <c r="AT51" s="34"/>
      <c r="AU51" s="31" t="str">
        <f t="shared" si="559"/>
        <v/>
      </c>
      <c r="AV51" s="35"/>
      <c r="AW51" s="33" t="str">
        <f t="shared" si="560"/>
        <v/>
      </c>
      <c r="AX51" s="34"/>
      <c r="AY51" s="31" t="str">
        <f t="shared" si="561"/>
        <v/>
      </c>
      <c r="AZ51" s="35"/>
      <c r="BA51" s="33" t="str">
        <f t="shared" si="562"/>
        <v/>
      </c>
      <c r="BB51" s="34"/>
      <c r="BC51" s="31" t="str">
        <f t="shared" si="563"/>
        <v/>
      </c>
      <c r="BD51" s="35"/>
      <c r="BE51" s="33" t="str">
        <f t="shared" si="564"/>
        <v/>
      </c>
      <c r="BF51" s="34"/>
      <c r="BG51" s="31" t="str">
        <f t="shared" si="565"/>
        <v/>
      </c>
      <c r="BH51" s="35"/>
      <c r="BI51" s="33" t="str">
        <f t="shared" si="566"/>
        <v/>
      </c>
      <c r="BJ51" s="34"/>
      <c r="BK51" s="31" t="str">
        <f t="shared" si="567"/>
        <v/>
      </c>
      <c r="BL51" s="35"/>
      <c r="BM51" s="33" t="str">
        <f t="shared" si="568"/>
        <v/>
      </c>
      <c r="BN51" s="34"/>
      <c r="BO51" s="31" t="str">
        <f t="shared" si="569"/>
        <v/>
      </c>
      <c r="BP51" s="35"/>
      <c r="BQ51" s="33" t="str">
        <f t="shared" si="570"/>
        <v/>
      </c>
      <c r="BR51" s="34"/>
      <c r="BS51" s="31" t="str">
        <f t="shared" si="571"/>
        <v/>
      </c>
      <c r="BT51" s="35"/>
      <c r="BU51" s="33" t="str">
        <f t="shared" si="572"/>
        <v/>
      </c>
      <c r="BV51" s="34"/>
      <c r="BW51" s="31" t="str">
        <f t="shared" si="573"/>
        <v/>
      </c>
      <c r="BX51" s="35"/>
      <c r="BY51" s="33" t="str">
        <f t="shared" si="574"/>
        <v/>
      </c>
      <c r="BZ51" s="34"/>
      <c r="CA51" s="31" t="str">
        <f t="shared" si="575"/>
        <v/>
      </c>
      <c r="CB51" s="35"/>
      <c r="CC51" s="33" t="str">
        <f t="shared" si="576"/>
        <v/>
      </c>
      <c r="CD51" s="34"/>
      <c r="CE51" s="31" t="str">
        <f t="shared" si="577"/>
        <v/>
      </c>
      <c r="CF51" s="35"/>
      <c r="CG51" s="33" t="str">
        <f t="shared" si="578"/>
        <v/>
      </c>
      <c r="CH51" s="34"/>
      <c r="CI51" s="31" t="str">
        <f t="shared" si="579"/>
        <v/>
      </c>
      <c r="CJ51" s="35"/>
      <c r="CK51" s="33" t="str">
        <f t="shared" si="580"/>
        <v/>
      </c>
      <c r="CL51" s="34"/>
      <c r="CM51" s="31" t="str">
        <f t="shared" si="581"/>
        <v/>
      </c>
      <c r="CN51" s="35"/>
      <c r="CO51" s="33" t="str">
        <f t="shared" si="582"/>
        <v/>
      </c>
      <c r="CP51" s="34"/>
      <c r="CQ51" s="31" t="str">
        <f t="shared" si="583"/>
        <v/>
      </c>
      <c r="CR51" s="35"/>
      <c r="CS51" s="33" t="str">
        <f t="shared" si="584"/>
        <v/>
      </c>
      <c r="CT51" s="34"/>
      <c r="CU51" s="31" t="str">
        <f t="shared" si="585"/>
        <v/>
      </c>
      <c r="CV51" s="35"/>
      <c r="CW51" s="33" t="str">
        <f t="shared" si="586"/>
        <v/>
      </c>
      <c r="CX51" s="34"/>
      <c r="CY51" s="31" t="str">
        <f t="shared" si="587"/>
        <v/>
      </c>
      <c r="CZ51" s="35"/>
      <c r="DA51" s="33" t="str">
        <f t="shared" si="588"/>
        <v/>
      </c>
      <c r="DB51" s="34"/>
      <c r="DC51" s="31" t="str">
        <f t="shared" si="589"/>
        <v/>
      </c>
      <c r="DD51" s="35"/>
      <c r="DE51" s="33" t="str">
        <f t="shared" si="590"/>
        <v/>
      </c>
      <c r="DF51" s="34"/>
      <c r="DG51" s="31" t="str">
        <f t="shared" si="591"/>
        <v/>
      </c>
      <c r="DH51" s="35"/>
      <c r="DI51" s="33" t="str">
        <f t="shared" si="592"/>
        <v/>
      </c>
      <c r="DJ51" s="34"/>
      <c r="DK51" s="31" t="str">
        <f t="shared" si="593"/>
        <v/>
      </c>
      <c r="DL51" s="35"/>
      <c r="DM51" s="33" t="str">
        <f t="shared" si="594"/>
        <v/>
      </c>
      <c r="DN51" s="34"/>
      <c r="DO51" s="31" t="str">
        <f t="shared" si="595"/>
        <v/>
      </c>
      <c r="DP51" s="35"/>
      <c r="DQ51" s="33" t="str">
        <f t="shared" si="596"/>
        <v/>
      </c>
      <c r="DR51" s="34"/>
      <c r="DS51" s="31" t="str">
        <f t="shared" si="597"/>
        <v/>
      </c>
      <c r="DT51" s="35"/>
      <c r="DU51" s="33" t="str">
        <f t="shared" si="598"/>
        <v/>
      </c>
      <c r="DV51" s="34"/>
      <c r="DW51" s="31" t="str">
        <f t="shared" si="599"/>
        <v/>
      </c>
      <c r="DX51" s="35"/>
      <c r="DY51" s="33" t="str">
        <f t="shared" si="600"/>
        <v/>
      </c>
      <c r="DZ51" s="34"/>
      <c r="EA51" s="31" t="str">
        <f t="shared" si="601"/>
        <v/>
      </c>
      <c r="EB51" s="35"/>
      <c r="EC51" s="33" t="str">
        <f t="shared" si="602"/>
        <v/>
      </c>
      <c r="ED51" s="34"/>
      <c r="EE51" s="31" t="str">
        <f t="shared" si="603"/>
        <v/>
      </c>
      <c r="EF51" s="35"/>
      <c r="EG51" s="33" t="str">
        <f t="shared" si="604"/>
        <v/>
      </c>
      <c r="EH51" s="34"/>
      <c r="EI51" s="31" t="str">
        <f t="shared" si="605"/>
        <v/>
      </c>
      <c r="EJ51" s="35"/>
      <c r="EK51" s="33" t="str">
        <f t="shared" si="606"/>
        <v/>
      </c>
      <c r="EL51" s="34"/>
      <c r="EM51" s="31" t="str">
        <f t="shared" si="607"/>
        <v/>
      </c>
      <c r="EN51" s="35"/>
      <c r="EO51" s="33" t="str">
        <f t="shared" si="608"/>
        <v/>
      </c>
      <c r="EP51" s="34"/>
      <c r="EQ51" s="31" t="str">
        <f t="shared" si="609"/>
        <v/>
      </c>
      <c r="ER51" s="35"/>
      <c r="ES51" s="33" t="str">
        <f t="shared" si="610"/>
        <v/>
      </c>
    </row>
    <row r="52" ht="18.0" customHeight="1">
      <c r="A52" s="2" t="s">
        <v>54</v>
      </c>
      <c r="B52" s="30">
        <f t="shared" ref="B52:D52" si="623">SUM(EP52,EL52,EH52,ED52,DZ52,DV52,DR52,DN52,DJ52,DF52,DB52,CX52,CT52,CP52,CL52,CH52,CD52,BZ52,BV52,BR52,BN52,BJ52,BF52,BB52,AX52,AT52,AP52,AL52,AH52,AD52,Z52,V52,R52,N52,J52,F52)</f>
        <v>0</v>
      </c>
      <c r="C52" s="31">
        <f t="shared" si="623"/>
        <v>0</v>
      </c>
      <c r="D52" s="32">
        <f t="shared" si="623"/>
        <v>0</v>
      </c>
      <c r="E52" s="33">
        <f t="shared" si="538"/>
        <v>0</v>
      </c>
      <c r="F52" s="34"/>
      <c r="G52" s="31" t="str">
        <f t="shared" si="539"/>
        <v/>
      </c>
      <c r="H52" s="35"/>
      <c r="I52" s="33" t="str">
        <f t="shared" si="540"/>
        <v/>
      </c>
      <c r="J52" s="34"/>
      <c r="K52" s="31" t="str">
        <f t="shared" si="541"/>
        <v/>
      </c>
      <c r="L52" s="35"/>
      <c r="M52" s="33" t="str">
        <f t="shared" si="542"/>
        <v/>
      </c>
      <c r="N52" s="34"/>
      <c r="O52" s="31" t="str">
        <f t="shared" si="543"/>
        <v/>
      </c>
      <c r="P52" s="35"/>
      <c r="Q52" s="33" t="str">
        <f t="shared" si="544"/>
        <v/>
      </c>
      <c r="R52" s="34"/>
      <c r="S52" s="31" t="str">
        <f t="shared" si="545"/>
        <v/>
      </c>
      <c r="T52" s="35"/>
      <c r="U52" s="33" t="str">
        <f t="shared" si="546"/>
        <v/>
      </c>
      <c r="V52" s="34"/>
      <c r="W52" s="31" t="str">
        <f t="shared" si="547"/>
        <v/>
      </c>
      <c r="X52" s="35"/>
      <c r="Y52" s="33" t="str">
        <f t="shared" si="548"/>
        <v/>
      </c>
      <c r="Z52" s="34"/>
      <c r="AA52" s="31" t="str">
        <f t="shared" si="549"/>
        <v/>
      </c>
      <c r="AB52" s="35"/>
      <c r="AC52" s="33" t="str">
        <f t="shared" si="550"/>
        <v/>
      </c>
      <c r="AD52" s="34"/>
      <c r="AE52" s="31" t="str">
        <f t="shared" si="551"/>
        <v/>
      </c>
      <c r="AF52" s="35"/>
      <c r="AG52" s="33" t="str">
        <f t="shared" si="552"/>
        <v/>
      </c>
      <c r="AH52" s="34"/>
      <c r="AI52" s="31" t="str">
        <f t="shared" si="553"/>
        <v/>
      </c>
      <c r="AJ52" s="35"/>
      <c r="AK52" s="33" t="str">
        <f t="shared" si="554"/>
        <v/>
      </c>
      <c r="AL52" s="34"/>
      <c r="AM52" s="31" t="str">
        <f t="shared" si="555"/>
        <v/>
      </c>
      <c r="AN52" s="35"/>
      <c r="AO52" s="33" t="str">
        <f t="shared" si="556"/>
        <v/>
      </c>
      <c r="AP52" s="34"/>
      <c r="AQ52" s="31" t="str">
        <f t="shared" si="557"/>
        <v/>
      </c>
      <c r="AR52" s="35"/>
      <c r="AS52" s="33" t="str">
        <f t="shared" si="558"/>
        <v/>
      </c>
      <c r="AT52" s="34"/>
      <c r="AU52" s="31" t="str">
        <f t="shared" si="559"/>
        <v/>
      </c>
      <c r="AV52" s="35"/>
      <c r="AW52" s="33" t="str">
        <f t="shared" si="560"/>
        <v/>
      </c>
      <c r="AX52" s="34"/>
      <c r="AY52" s="31" t="str">
        <f t="shared" si="561"/>
        <v/>
      </c>
      <c r="AZ52" s="35"/>
      <c r="BA52" s="33" t="str">
        <f t="shared" si="562"/>
        <v/>
      </c>
      <c r="BB52" s="34"/>
      <c r="BC52" s="31" t="str">
        <f t="shared" si="563"/>
        <v/>
      </c>
      <c r="BD52" s="35"/>
      <c r="BE52" s="33" t="str">
        <f t="shared" si="564"/>
        <v/>
      </c>
      <c r="BF52" s="34"/>
      <c r="BG52" s="31" t="str">
        <f t="shared" si="565"/>
        <v/>
      </c>
      <c r="BH52" s="35"/>
      <c r="BI52" s="33" t="str">
        <f t="shared" si="566"/>
        <v/>
      </c>
      <c r="BJ52" s="34"/>
      <c r="BK52" s="31" t="str">
        <f t="shared" si="567"/>
        <v/>
      </c>
      <c r="BL52" s="35"/>
      <c r="BM52" s="33" t="str">
        <f t="shared" si="568"/>
        <v/>
      </c>
      <c r="BN52" s="34"/>
      <c r="BO52" s="31" t="str">
        <f t="shared" si="569"/>
        <v/>
      </c>
      <c r="BP52" s="35"/>
      <c r="BQ52" s="33" t="str">
        <f t="shared" si="570"/>
        <v/>
      </c>
      <c r="BR52" s="34"/>
      <c r="BS52" s="31" t="str">
        <f t="shared" si="571"/>
        <v/>
      </c>
      <c r="BT52" s="35"/>
      <c r="BU52" s="33" t="str">
        <f t="shared" si="572"/>
        <v/>
      </c>
      <c r="BV52" s="34"/>
      <c r="BW52" s="31" t="str">
        <f t="shared" si="573"/>
        <v/>
      </c>
      <c r="BX52" s="35"/>
      <c r="BY52" s="33" t="str">
        <f t="shared" si="574"/>
        <v/>
      </c>
      <c r="BZ52" s="34"/>
      <c r="CA52" s="31" t="str">
        <f t="shared" si="575"/>
        <v/>
      </c>
      <c r="CB52" s="35"/>
      <c r="CC52" s="33" t="str">
        <f t="shared" si="576"/>
        <v/>
      </c>
      <c r="CD52" s="34"/>
      <c r="CE52" s="31" t="str">
        <f t="shared" si="577"/>
        <v/>
      </c>
      <c r="CF52" s="35"/>
      <c r="CG52" s="33" t="str">
        <f t="shared" si="578"/>
        <v/>
      </c>
      <c r="CH52" s="34"/>
      <c r="CI52" s="31" t="str">
        <f t="shared" si="579"/>
        <v/>
      </c>
      <c r="CJ52" s="35"/>
      <c r="CK52" s="33" t="str">
        <f t="shared" si="580"/>
        <v/>
      </c>
      <c r="CL52" s="34"/>
      <c r="CM52" s="31" t="str">
        <f t="shared" si="581"/>
        <v/>
      </c>
      <c r="CN52" s="35"/>
      <c r="CO52" s="33" t="str">
        <f t="shared" si="582"/>
        <v/>
      </c>
      <c r="CP52" s="34"/>
      <c r="CQ52" s="31" t="str">
        <f t="shared" si="583"/>
        <v/>
      </c>
      <c r="CR52" s="35"/>
      <c r="CS52" s="33" t="str">
        <f t="shared" si="584"/>
        <v/>
      </c>
      <c r="CT52" s="34"/>
      <c r="CU52" s="31" t="str">
        <f t="shared" si="585"/>
        <v/>
      </c>
      <c r="CV52" s="35"/>
      <c r="CW52" s="33" t="str">
        <f t="shared" si="586"/>
        <v/>
      </c>
      <c r="CX52" s="34"/>
      <c r="CY52" s="31" t="str">
        <f t="shared" si="587"/>
        <v/>
      </c>
      <c r="CZ52" s="35"/>
      <c r="DA52" s="33" t="str">
        <f t="shared" si="588"/>
        <v/>
      </c>
      <c r="DB52" s="34"/>
      <c r="DC52" s="31" t="str">
        <f t="shared" si="589"/>
        <v/>
      </c>
      <c r="DD52" s="35"/>
      <c r="DE52" s="33" t="str">
        <f t="shared" si="590"/>
        <v/>
      </c>
      <c r="DF52" s="34"/>
      <c r="DG52" s="31" t="str">
        <f t="shared" si="591"/>
        <v/>
      </c>
      <c r="DH52" s="35"/>
      <c r="DI52" s="33" t="str">
        <f t="shared" si="592"/>
        <v/>
      </c>
      <c r="DJ52" s="34"/>
      <c r="DK52" s="31" t="str">
        <f t="shared" si="593"/>
        <v/>
      </c>
      <c r="DL52" s="35"/>
      <c r="DM52" s="33" t="str">
        <f t="shared" si="594"/>
        <v/>
      </c>
      <c r="DN52" s="34"/>
      <c r="DO52" s="31" t="str">
        <f t="shared" si="595"/>
        <v/>
      </c>
      <c r="DP52" s="35"/>
      <c r="DQ52" s="33" t="str">
        <f t="shared" si="596"/>
        <v/>
      </c>
      <c r="DR52" s="34"/>
      <c r="DS52" s="31" t="str">
        <f t="shared" si="597"/>
        <v/>
      </c>
      <c r="DT52" s="35"/>
      <c r="DU52" s="33" t="str">
        <f t="shared" si="598"/>
        <v/>
      </c>
      <c r="DV52" s="34"/>
      <c r="DW52" s="31" t="str">
        <f t="shared" si="599"/>
        <v/>
      </c>
      <c r="DX52" s="35"/>
      <c r="DY52" s="33" t="str">
        <f t="shared" si="600"/>
        <v/>
      </c>
      <c r="DZ52" s="34"/>
      <c r="EA52" s="31" t="str">
        <f t="shared" si="601"/>
        <v/>
      </c>
      <c r="EB52" s="35"/>
      <c r="EC52" s="33" t="str">
        <f t="shared" si="602"/>
        <v/>
      </c>
      <c r="ED52" s="34"/>
      <c r="EE52" s="31" t="str">
        <f t="shared" si="603"/>
        <v/>
      </c>
      <c r="EF52" s="35"/>
      <c r="EG52" s="33" t="str">
        <f t="shared" si="604"/>
        <v/>
      </c>
      <c r="EH52" s="34"/>
      <c r="EI52" s="31" t="str">
        <f t="shared" si="605"/>
        <v/>
      </c>
      <c r="EJ52" s="35"/>
      <c r="EK52" s="33" t="str">
        <f t="shared" si="606"/>
        <v/>
      </c>
      <c r="EL52" s="34"/>
      <c r="EM52" s="31" t="str">
        <f t="shared" si="607"/>
        <v/>
      </c>
      <c r="EN52" s="35"/>
      <c r="EO52" s="33" t="str">
        <f t="shared" si="608"/>
        <v/>
      </c>
      <c r="EP52" s="34"/>
      <c r="EQ52" s="31" t="str">
        <f t="shared" si="609"/>
        <v/>
      </c>
      <c r="ER52" s="35"/>
      <c r="ES52" s="33" t="str">
        <f t="shared" si="610"/>
        <v/>
      </c>
    </row>
    <row r="53" ht="18.0" customHeight="1">
      <c r="A53" s="36" t="s">
        <v>55</v>
      </c>
      <c r="B53" s="39">
        <f t="shared" ref="B53:D53" si="624">SUM(EP53,EL53,EH53,ED53,DZ53,DV53,DR53,DN53,DJ53,DF53,DB53,CX53,CT53,CP53,CL53,CH53,CD53,BZ53,BV53,BR53,BN53,BJ53,BF53,BB53,AX53,AT53,AP53,AL53,AH53,AD53,Z53,V53,R53,N53,J53,F53)</f>
        <v>0</v>
      </c>
      <c r="C53" s="39">
        <f t="shared" si="624"/>
        <v>0</v>
      </c>
      <c r="D53" s="39">
        <f t="shared" si="624"/>
        <v>0</v>
      </c>
      <c r="E53" s="39">
        <f t="shared" si="538"/>
        <v>0</v>
      </c>
      <c r="F53" s="39" t="str">
        <f t="shared" ref="F53:H53" si="625">IF(COUNT(F38:F52)&gt;0,SUM(F38:F52),"")</f>
        <v/>
      </c>
      <c r="G53" s="39" t="str">
        <f t="shared" si="625"/>
        <v/>
      </c>
      <c r="H53" s="39" t="str">
        <f t="shared" si="625"/>
        <v/>
      </c>
      <c r="I53" s="39" t="str">
        <f t="shared" si="540"/>
        <v/>
      </c>
      <c r="J53" s="39" t="str">
        <f t="shared" ref="J53:L53" si="626">IF(COUNT(J38:J52)&gt;0,SUM(J38:J52),"")</f>
        <v/>
      </c>
      <c r="K53" s="39" t="str">
        <f t="shared" si="626"/>
        <v/>
      </c>
      <c r="L53" s="39" t="str">
        <f t="shared" si="626"/>
        <v/>
      </c>
      <c r="M53" s="39" t="str">
        <f t="shared" si="542"/>
        <v/>
      </c>
      <c r="N53" s="39" t="str">
        <f t="shared" ref="N53:P53" si="627">IF(COUNT(N38:N52)&gt;0,SUM(N38:N52),"")</f>
        <v/>
      </c>
      <c r="O53" s="39" t="str">
        <f t="shared" si="627"/>
        <v/>
      </c>
      <c r="P53" s="39" t="str">
        <f t="shared" si="627"/>
        <v/>
      </c>
      <c r="Q53" s="39" t="str">
        <f t="shared" si="544"/>
        <v/>
      </c>
      <c r="R53" s="39" t="str">
        <f t="shared" ref="R53:T53" si="628">IF(COUNT(R38:R52)&gt;0,SUM(R38:R52),"")</f>
        <v/>
      </c>
      <c r="S53" s="39" t="str">
        <f t="shared" si="628"/>
        <v/>
      </c>
      <c r="T53" s="39" t="str">
        <f t="shared" si="628"/>
        <v/>
      </c>
      <c r="U53" s="39" t="str">
        <f t="shared" si="546"/>
        <v/>
      </c>
      <c r="V53" s="39" t="str">
        <f t="shared" ref="V53:X53" si="629">IF(COUNT(V38:V52)&gt;0,SUM(V38:V52),"")</f>
        <v/>
      </c>
      <c r="W53" s="39" t="str">
        <f t="shared" si="629"/>
        <v/>
      </c>
      <c r="X53" s="39" t="str">
        <f t="shared" si="629"/>
        <v/>
      </c>
      <c r="Y53" s="39" t="str">
        <f t="shared" si="548"/>
        <v/>
      </c>
      <c r="Z53" s="39" t="str">
        <f t="shared" ref="Z53:AB53" si="630">IF(COUNT(Z38:Z52)&gt;0,SUM(Z38:Z52),"")</f>
        <v/>
      </c>
      <c r="AA53" s="39" t="str">
        <f t="shared" si="630"/>
        <v/>
      </c>
      <c r="AB53" s="39" t="str">
        <f t="shared" si="630"/>
        <v/>
      </c>
      <c r="AC53" s="39" t="str">
        <f t="shared" si="550"/>
        <v/>
      </c>
      <c r="AD53" s="39" t="str">
        <f t="shared" ref="AD53:AF53" si="631">IF(COUNT(AD38:AD52)&gt;0,SUM(AD38:AD52),"")</f>
        <v/>
      </c>
      <c r="AE53" s="39" t="str">
        <f t="shared" si="631"/>
        <v/>
      </c>
      <c r="AF53" s="39" t="str">
        <f t="shared" si="631"/>
        <v/>
      </c>
      <c r="AG53" s="39" t="str">
        <f t="shared" si="552"/>
        <v/>
      </c>
      <c r="AH53" s="39" t="str">
        <f t="shared" ref="AH53:AJ53" si="632">IF(COUNT(AH38:AH52)&gt;0,SUM(AH38:AH52),"")</f>
        <v/>
      </c>
      <c r="AI53" s="39" t="str">
        <f t="shared" si="632"/>
        <v/>
      </c>
      <c r="AJ53" s="39" t="str">
        <f t="shared" si="632"/>
        <v/>
      </c>
      <c r="AK53" s="39" t="str">
        <f t="shared" si="554"/>
        <v/>
      </c>
      <c r="AL53" s="39" t="str">
        <f t="shared" ref="AL53:AN53" si="633">IF(COUNT(AL38:AL52)&gt;0,SUM(AL38:AL52),"")</f>
        <v/>
      </c>
      <c r="AM53" s="39" t="str">
        <f t="shared" si="633"/>
        <v/>
      </c>
      <c r="AN53" s="39" t="str">
        <f t="shared" si="633"/>
        <v/>
      </c>
      <c r="AO53" s="39" t="str">
        <f t="shared" si="556"/>
        <v/>
      </c>
      <c r="AP53" s="39" t="str">
        <f t="shared" ref="AP53:AR53" si="634">IF(COUNT(AP38:AP52)&gt;0,SUM(AP38:AP52),"")</f>
        <v/>
      </c>
      <c r="AQ53" s="39" t="str">
        <f t="shared" si="634"/>
        <v/>
      </c>
      <c r="AR53" s="39" t="str">
        <f t="shared" si="634"/>
        <v/>
      </c>
      <c r="AS53" s="39" t="str">
        <f t="shared" si="558"/>
        <v/>
      </c>
      <c r="AT53" s="39" t="str">
        <f t="shared" ref="AT53:AV53" si="635">IF(COUNT(AT38:AT52)&gt;0,SUM(AT38:AT52),"")</f>
        <v/>
      </c>
      <c r="AU53" s="39" t="str">
        <f t="shared" si="635"/>
        <v/>
      </c>
      <c r="AV53" s="39" t="str">
        <f t="shared" si="635"/>
        <v/>
      </c>
      <c r="AW53" s="39" t="str">
        <f t="shared" si="560"/>
        <v/>
      </c>
      <c r="AX53" s="39" t="str">
        <f t="shared" ref="AX53:AZ53" si="636">IF(COUNT(AX38:AX52)&gt;0,SUM(AX38:AX52),"")</f>
        <v/>
      </c>
      <c r="AY53" s="39" t="str">
        <f t="shared" si="636"/>
        <v/>
      </c>
      <c r="AZ53" s="39" t="str">
        <f t="shared" si="636"/>
        <v/>
      </c>
      <c r="BA53" s="39" t="str">
        <f t="shared" si="562"/>
        <v/>
      </c>
      <c r="BB53" s="39" t="str">
        <f t="shared" ref="BB53:BD53" si="637">IF(COUNT(BB38:BB52)&gt;0,SUM(BB38:BB52),"")</f>
        <v/>
      </c>
      <c r="BC53" s="39" t="str">
        <f t="shared" si="637"/>
        <v/>
      </c>
      <c r="BD53" s="39" t="str">
        <f t="shared" si="637"/>
        <v/>
      </c>
      <c r="BE53" s="39" t="str">
        <f t="shared" si="564"/>
        <v/>
      </c>
      <c r="BF53" s="39" t="str">
        <f t="shared" ref="BF53:BH53" si="638">IF(COUNT(BF38:BF52)&gt;0,SUM(BF38:BF52),"")</f>
        <v/>
      </c>
      <c r="BG53" s="39" t="str">
        <f t="shared" si="638"/>
        <v/>
      </c>
      <c r="BH53" s="39" t="str">
        <f t="shared" si="638"/>
        <v/>
      </c>
      <c r="BI53" s="39" t="str">
        <f t="shared" si="566"/>
        <v/>
      </c>
      <c r="BJ53" s="39" t="str">
        <f t="shared" ref="BJ53:BL53" si="639">IF(COUNT(BJ38:BJ52)&gt;0,SUM(BJ38:BJ52),"")</f>
        <v/>
      </c>
      <c r="BK53" s="39" t="str">
        <f t="shared" si="639"/>
        <v/>
      </c>
      <c r="BL53" s="39" t="str">
        <f t="shared" si="639"/>
        <v/>
      </c>
      <c r="BM53" s="39" t="str">
        <f t="shared" si="568"/>
        <v/>
      </c>
      <c r="BN53" s="39" t="str">
        <f t="shared" ref="BN53:BP53" si="640">IF(COUNT(BN38:BN52)&gt;0,SUM(BN38:BN52),"")</f>
        <v/>
      </c>
      <c r="BO53" s="39" t="str">
        <f t="shared" si="640"/>
        <v/>
      </c>
      <c r="BP53" s="39" t="str">
        <f t="shared" si="640"/>
        <v/>
      </c>
      <c r="BQ53" s="39" t="str">
        <f t="shared" si="570"/>
        <v/>
      </c>
      <c r="BR53" s="39" t="str">
        <f t="shared" ref="BR53:BT53" si="641">IF(COUNT(BR38:BR52)&gt;0,SUM(BR38:BR52),"")</f>
        <v/>
      </c>
      <c r="BS53" s="39" t="str">
        <f t="shared" si="641"/>
        <v/>
      </c>
      <c r="BT53" s="39" t="str">
        <f t="shared" si="641"/>
        <v/>
      </c>
      <c r="BU53" s="39" t="str">
        <f t="shared" si="572"/>
        <v/>
      </c>
      <c r="BV53" s="39" t="str">
        <f t="shared" ref="BV53:BX53" si="642">IF(COUNT(BV38:BV52)&gt;0,SUM(BV38:BV52),"")</f>
        <v/>
      </c>
      <c r="BW53" s="39" t="str">
        <f t="shared" si="642"/>
        <v/>
      </c>
      <c r="BX53" s="39" t="str">
        <f t="shared" si="642"/>
        <v/>
      </c>
      <c r="BY53" s="39" t="str">
        <f t="shared" si="574"/>
        <v/>
      </c>
      <c r="BZ53" s="39" t="str">
        <f t="shared" ref="BZ53:CB53" si="643">IF(COUNT(BZ38:BZ52)&gt;0,SUM(BZ38:BZ52),"")</f>
        <v/>
      </c>
      <c r="CA53" s="39" t="str">
        <f t="shared" si="643"/>
        <v/>
      </c>
      <c r="CB53" s="39" t="str">
        <f t="shared" si="643"/>
        <v/>
      </c>
      <c r="CC53" s="39" t="str">
        <f t="shared" si="576"/>
        <v/>
      </c>
      <c r="CD53" s="39" t="str">
        <f t="shared" ref="CD53:CF53" si="644">IF(COUNT(CD38:CD52)&gt;0,SUM(CD38:CD52),"")</f>
        <v/>
      </c>
      <c r="CE53" s="39" t="str">
        <f t="shared" si="644"/>
        <v/>
      </c>
      <c r="CF53" s="39" t="str">
        <f t="shared" si="644"/>
        <v/>
      </c>
      <c r="CG53" s="39" t="str">
        <f t="shared" si="578"/>
        <v/>
      </c>
      <c r="CH53" s="39" t="str">
        <f t="shared" ref="CH53:CJ53" si="645">IF(COUNT(CH38:CH52)&gt;0,SUM(CH38:CH52),"")</f>
        <v/>
      </c>
      <c r="CI53" s="39" t="str">
        <f t="shared" si="645"/>
        <v/>
      </c>
      <c r="CJ53" s="39" t="str">
        <f t="shared" si="645"/>
        <v/>
      </c>
      <c r="CK53" s="39" t="str">
        <f t="shared" si="580"/>
        <v/>
      </c>
      <c r="CL53" s="39" t="str">
        <f t="shared" ref="CL53:CN53" si="646">IF(COUNT(CL38:CL52)&gt;0,SUM(CL38:CL52),"")</f>
        <v/>
      </c>
      <c r="CM53" s="39" t="str">
        <f t="shared" si="646"/>
        <v/>
      </c>
      <c r="CN53" s="39" t="str">
        <f t="shared" si="646"/>
        <v/>
      </c>
      <c r="CO53" s="39" t="str">
        <f t="shared" si="582"/>
        <v/>
      </c>
      <c r="CP53" s="39" t="str">
        <f t="shared" ref="CP53:CR53" si="647">IF(COUNT(CP38:CP52)&gt;0,SUM(CP38:CP52),"")</f>
        <v/>
      </c>
      <c r="CQ53" s="39" t="str">
        <f t="shared" si="647"/>
        <v/>
      </c>
      <c r="CR53" s="39" t="str">
        <f t="shared" si="647"/>
        <v/>
      </c>
      <c r="CS53" s="39" t="str">
        <f t="shared" si="584"/>
        <v/>
      </c>
      <c r="CT53" s="39" t="str">
        <f t="shared" ref="CT53:CV53" si="648">IF(COUNT(CT38:CT52)&gt;0,SUM(CT38:CT52),"")</f>
        <v/>
      </c>
      <c r="CU53" s="39" t="str">
        <f t="shared" si="648"/>
        <v/>
      </c>
      <c r="CV53" s="39" t="str">
        <f t="shared" si="648"/>
        <v/>
      </c>
      <c r="CW53" s="39" t="str">
        <f t="shared" si="586"/>
        <v/>
      </c>
      <c r="CX53" s="39" t="str">
        <f t="shared" ref="CX53:CZ53" si="649">IF(COUNT(CX38:CX52)&gt;0,SUM(CX38:CX52),"")</f>
        <v/>
      </c>
      <c r="CY53" s="39" t="str">
        <f t="shared" si="649"/>
        <v/>
      </c>
      <c r="CZ53" s="39" t="str">
        <f t="shared" si="649"/>
        <v/>
      </c>
      <c r="DA53" s="39" t="str">
        <f t="shared" si="588"/>
        <v/>
      </c>
      <c r="DB53" s="39" t="str">
        <f t="shared" ref="DB53:DD53" si="650">IF(COUNT(DB38:DB52)&gt;0,SUM(DB38:DB52),"")</f>
        <v/>
      </c>
      <c r="DC53" s="39" t="str">
        <f t="shared" si="650"/>
        <v/>
      </c>
      <c r="DD53" s="39" t="str">
        <f t="shared" si="650"/>
        <v/>
      </c>
      <c r="DE53" s="39" t="str">
        <f t="shared" si="590"/>
        <v/>
      </c>
      <c r="DF53" s="39" t="str">
        <f t="shared" ref="DF53:DH53" si="651">IF(COUNT(DF38:DF52)&gt;0,SUM(DF38:DF52),"")</f>
        <v/>
      </c>
      <c r="DG53" s="39" t="str">
        <f t="shared" si="651"/>
        <v/>
      </c>
      <c r="DH53" s="39" t="str">
        <f t="shared" si="651"/>
        <v/>
      </c>
      <c r="DI53" s="39" t="str">
        <f t="shared" si="592"/>
        <v/>
      </c>
      <c r="DJ53" s="39" t="str">
        <f t="shared" ref="DJ53:DL53" si="652">IF(COUNT(DJ38:DJ52)&gt;0,SUM(DJ38:DJ52),"")</f>
        <v/>
      </c>
      <c r="DK53" s="39" t="str">
        <f t="shared" si="652"/>
        <v/>
      </c>
      <c r="DL53" s="39" t="str">
        <f t="shared" si="652"/>
        <v/>
      </c>
      <c r="DM53" s="39" t="str">
        <f t="shared" si="594"/>
        <v/>
      </c>
      <c r="DN53" s="39" t="str">
        <f t="shared" ref="DN53:DP53" si="653">IF(COUNT(DN38:DN52)&gt;0,SUM(DN38:DN52),"")</f>
        <v/>
      </c>
      <c r="DO53" s="39" t="str">
        <f t="shared" si="653"/>
        <v/>
      </c>
      <c r="DP53" s="39" t="str">
        <f t="shared" si="653"/>
        <v/>
      </c>
      <c r="DQ53" s="39" t="str">
        <f t="shared" si="596"/>
        <v/>
      </c>
      <c r="DR53" s="39" t="str">
        <f t="shared" ref="DR53:DT53" si="654">IF(COUNT(DR38:DR52)&gt;0,SUM(DR38:DR52),"")</f>
        <v/>
      </c>
      <c r="DS53" s="39" t="str">
        <f t="shared" si="654"/>
        <v/>
      </c>
      <c r="DT53" s="39" t="str">
        <f t="shared" si="654"/>
        <v/>
      </c>
      <c r="DU53" s="39" t="str">
        <f t="shared" si="598"/>
        <v/>
      </c>
      <c r="DV53" s="39" t="str">
        <f t="shared" ref="DV53:DX53" si="655">IF(COUNT(DV38:DV52)&gt;0,SUM(DV38:DV52),"")</f>
        <v/>
      </c>
      <c r="DW53" s="39" t="str">
        <f t="shared" si="655"/>
        <v/>
      </c>
      <c r="DX53" s="39" t="str">
        <f t="shared" si="655"/>
        <v/>
      </c>
      <c r="DY53" s="39" t="str">
        <f t="shared" si="600"/>
        <v/>
      </c>
      <c r="DZ53" s="39" t="str">
        <f t="shared" ref="DZ53:EB53" si="656">IF(COUNT(DZ38:DZ52)&gt;0,SUM(DZ38:DZ52),"")</f>
        <v/>
      </c>
      <c r="EA53" s="39" t="str">
        <f t="shared" si="656"/>
        <v/>
      </c>
      <c r="EB53" s="39" t="str">
        <f t="shared" si="656"/>
        <v/>
      </c>
      <c r="EC53" s="39" t="str">
        <f t="shared" si="602"/>
        <v/>
      </c>
      <c r="ED53" s="39" t="str">
        <f t="shared" ref="ED53:EF53" si="657">IF(COUNT(ED38:ED52)&gt;0,SUM(ED38:ED52),"")</f>
        <v/>
      </c>
      <c r="EE53" s="39" t="str">
        <f t="shared" si="657"/>
        <v/>
      </c>
      <c r="EF53" s="39" t="str">
        <f t="shared" si="657"/>
        <v/>
      </c>
      <c r="EG53" s="39" t="str">
        <f t="shared" si="604"/>
        <v/>
      </c>
      <c r="EH53" s="39" t="str">
        <f t="shared" ref="EH53:EJ53" si="658">IF(COUNT(EH38:EH52)&gt;0,SUM(EH38:EH52),"")</f>
        <v/>
      </c>
      <c r="EI53" s="39" t="str">
        <f t="shared" si="658"/>
        <v/>
      </c>
      <c r="EJ53" s="39" t="str">
        <f t="shared" si="658"/>
        <v/>
      </c>
      <c r="EK53" s="39" t="str">
        <f t="shared" si="606"/>
        <v/>
      </c>
      <c r="EL53" s="39" t="str">
        <f t="shared" ref="EL53:EN53" si="659">IF(COUNT(EL38:EL52)&gt;0,SUM(EL38:EL52),"")</f>
        <v/>
      </c>
      <c r="EM53" s="39" t="str">
        <f t="shared" si="659"/>
        <v/>
      </c>
      <c r="EN53" s="39" t="str">
        <f t="shared" si="659"/>
        <v/>
      </c>
      <c r="EO53" s="39" t="str">
        <f t="shared" si="608"/>
        <v/>
      </c>
      <c r="EP53" s="39" t="str">
        <f t="shared" ref="EP53:ER53" si="660">IF(COUNT(EP38:EP52)&gt;0,SUM(EP38:EP52),"")</f>
        <v/>
      </c>
      <c r="EQ53" s="39" t="str">
        <f t="shared" si="660"/>
        <v/>
      </c>
      <c r="ER53" s="39" t="str">
        <f t="shared" si="660"/>
        <v/>
      </c>
      <c r="ES53" s="39" t="str">
        <f t="shared" si="610"/>
        <v/>
      </c>
    </row>
    <row r="54" ht="18.0" customHeight="1">
      <c r="A54" s="12" t="s">
        <v>56</v>
      </c>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row>
    <row r="55" ht="18.0" customHeight="1">
      <c r="A55" s="36" t="s">
        <v>57</v>
      </c>
      <c r="B55" s="39">
        <f t="shared" ref="B55:D55" si="661">SUM(EP55,EL55,EH55,ED55,DZ55,DV55,DR55,DN55,DJ55,DF55,DB55,CX55,CT55,CP55,CL55,CH55,CD55,BZ55,BV55,BR55,BN55,BJ55,BF55,BB55,AX55,AT55,AP55,AL55,AH55,AD55,Z55,V55,R55,N55,J55,F55)</f>
        <v>0</v>
      </c>
      <c r="C55" s="39">
        <f t="shared" si="661"/>
        <v>0</v>
      </c>
      <c r="D55" s="39">
        <f t="shared" si="661"/>
        <v>0</v>
      </c>
      <c r="E55" s="39">
        <f>IFERROR(IF(OR(C55="",D55=""),"",C55-D55),"")</f>
        <v>0</v>
      </c>
      <c r="F55" s="39" t="str">
        <f t="shared" ref="F55:H55" si="662">IF(COUNT(F36,F53)=2,F36-F53,"")</f>
        <v/>
      </c>
      <c r="G55" s="39" t="str">
        <f t="shared" si="662"/>
        <v/>
      </c>
      <c r="H55" s="39" t="str">
        <f t="shared" si="662"/>
        <v/>
      </c>
      <c r="I55" s="39" t="str">
        <f>IFERROR(IF(OR(G55="",H55=""),"",G55-H55),"")</f>
        <v/>
      </c>
      <c r="J55" s="39" t="str">
        <f t="shared" ref="J55:L55" si="663">IF(COUNT(J36,J53)=2,J36-J53,"")</f>
        <v/>
      </c>
      <c r="K55" s="39" t="str">
        <f t="shared" si="663"/>
        <v/>
      </c>
      <c r="L55" s="39" t="str">
        <f t="shared" si="663"/>
        <v/>
      </c>
      <c r="M55" s="39" t="str">
        <f>IFERROR(IF(OR(K55="",L55=""),"",K55-L55),"")</f>
        <v/>
      </c>
      <c r="N55" s="39" t="str">
        <f t="shared" ref="N55:P55" si="664">IF(COUNT(N36,N53)=2,N36-N53,"")</f>
        <v/>
      </c>
      <c r="O55" s="39" t="str">
        <f t="shared" si="664"/>
        <v/>
      </c>
      <c r="P55" s="39" t="str">
        <f t="shared" si="664"/>
        <v/>
      </c>
      <c r="Q55" s="39" t="str">
        <f>IFERROR(IF(OR(O55="",P55=""),"",O55-P55),"")</f>
        <v/>
      </c>
      <c r="R55" s="39" t="str">
        <f t="shared" ref="R55:T55" si="665">IF(COUNT(R36,R53)=2,R36-R53,"")</f>
        <v/>
      </c>
      <c r="S55" s="39" t="str">
        <f t="shared" si="665"/>
        <v/>
      </c>
      <c r="T55" s="39" t="str">
        <f t="shared" si="665"/>
        <v/>
      </c>
      <c r="U55" s="39" t="str">
        <f>IFERROR(IF(OR(S55="",T55=""),"",S55-T55),"")</f>
        <v/>
      </c>
      <c r="V55" s="39" t="str">
        <f t="shared" ref="V55:X55" si="666">IF(COUNT(V36,V53)=2,V36-V53,"")</f>
        <v/>
      </c>
      <c r="W55" s="39" t="str">
        <f t="shared" si="666"/>
        <v/>
      </c>
      <c r="X55" s="39" t="str">
        <f t="shared" si="666"/>
        <v/>
      </c>
      <c r="Y55" s="39" t="str">
        <f>IFERROR(IF(OR(W55="",X55=""),"",W55-X55),"")</f>
        <v/>
      </c>
      <c r="Z55" s="39" t="str">
        <f t="shared" ref="Z55:AB55" si="667">IF(COUNT(Z36,Z53)=2,Z36-Z53,"")</f>
        <v/>
      </c>
      <c r="AA55" s="39" t="str">
        <f t="shared" si="667"/>
        <v/>
      </c>
      <c r="AB55" s="39" t="str">
        <f t="shared" si="667"/>
        <v/>
      </c>
      <c r="AC55" s="39" t="str">
        <f>IFERROR(IF(OR(AA55="",AB55=""),"",AA55-AB55),"")</f>
        <v/>
      </c>
      <c r="AD55" s="39" t="str">
        <f t="shared" ref="AD55:AF55" si="668">IF(COUNT(AD36,AD53)=2,AD36-AD53,"")</f>
        <v/>
      </c>
      <c r="AE55" s="39" t="str">
        <f t="shared" si="668"/>
        <v/>
      </c>
      <c r="AF55" s="39" t="str">
        <f t="shared" si="668"/>
        <v/>
      </c>
      <c r="AG55" s="39" t="str">
        <f>IFERROR(IF(OR(AE55="",AF55=""),"",AE55-AF55),"")</f>
        <v/>
      </c>
      <c r="AH55" s="39" t="str">
        <f t="shared" ref="AH55:AJ55" si="669">IF(COUNT(AH36,AH53)=2,AH36-AH53,"")</f>
        <v/>
      </c>
      <c r="AI55" s="39" t="str">
        <f t="shared" si="669"/>
        <v/>
      </c>
      <c r="AJ55" s="39" t="str">
        <f t="shared" si="669"/>
        <v/>
      </c>
      <c r="AK55" s="39" t="str">
        <f>IFERROR(IF(OR(AI55="",AJ55=""),"",AI55-AJ55),"")</f>
        <v/>
      </c>
      <c r="AL55" s="39" t="str">
        <f t="shared" ref="AL55:AN55" si="670">IF(COUNT(AL36,AL53)=2,AL36-AL53,"")</f>
        <v/>
      </c>
      <c r="AM55" s="39" t="str">
        <f t="shared" si="670"/>
        <v/>
      </c>
      <c r="AN55" s="39" t="str">
        <f t="shared" si="670"/>
        <v/>
      </c>
      <c r="AO55" s="39" t="str">
        <f>IFERROR(IF(OR(AM55="",AN55=""),"",AM55-AN55),"")</f>
        <v/>
      </c>
      <c r="AP55" s="39" t="str">
        <f t="shared" ref="AP55:AR55" si="671">IF(COUNT(AP36,AP53)=2,AP36-AP53,"")</f>
        <v/>
      </c>
      <c r="AQ55" s="39" t="str">
        <f t="shared" si="671"/>
        <v/>
      </c>
      <c r="AR55" s="39" t="str">
        <f t="shared" si="671"/>
        <v/>
      </c>
      <c r="AS55" s="39" t="str">
        <f>IFERROR(IF(OR(AQ55="",AR55=""),"",AQ55-AR55),"")</f>
        <v/>
      </c>
      <c r="AT55" s="39" t="str">
        <f t="shared" ref="AT55:AV55" si="672">IF(COUNT(AT36,AT53)=2,AT36-AT53,"")</f>
        <v/>
      </c>
      <c r="AU55" s="39" t="str">
        <f t="shared" si="672"/>
        <v/>
      </c>
      <c r="AV55" s="39" t="str">
        <f t="shared" si="672"/>
        <v/>
      </c>
      <c r="AW55" s="39" t="str">
        <f>IFERROR(IF(OR(AU55="",AV55=""),"",AU55-AV55),"")</f>
        <v/>
      </c>
      <c r="AX55" s="39" t="str">
        <f t="shared" ref="AX55:AZ55" si="673">IF(COUNT(AX36,AX53)=2,AX36-AX53,"")</f>
        <v/>
      </c>
      <c r="AY55" s="39" t="str">
        <f t="shared" si="673"/>
        <v/>
      </c>
      <c r="AZ55" s="39" t="str">
        <f t="shared" si="673"/>
        <v/>
      </c>
      <c r="BA55" s="39" t="str">
        <f>IFERROR(IF(OR(AY55="",AZ55=""),"",AY55-AZ55),"")</f>
        <v/>
      </c>
      <c r="BB55" s="39" t="str">
        <f t="shared" ref="BB55:BD55" si="674">IF(COUNT(BB36,BB53)=2,BB36-BB53,"")</f>
        <v/>
      </c>
      <c r="BC55" s="39" t="str">
        <f t="shared" si="674"/>
        <v/>
      </c>
      <c r="BD55" s="39" t="str">
        <f t="shared" si="674"/>
        <v/>
      </c>
      <c r="BE55" s="39" t="str">
        <f>IFERROR(IF(OR(BC55="",BD55=""),"",BC55-BD55),"")</f>
        <v/>
      </c>
      <c r="BF55" s="39" t="str">
        <f t="shared" ref="BF55:BH55" si="675">IF(COUNT(BF36,BF53)=2,BF36-BF53,"")</f>
        <v/>
      </c>
      <c r="BG55" s="39" t="str">
        <f t="shared" si="675"/>
        <v/>
      </c>
      <c r="BH55" s="39" t="str">
        <f t="shared" si="675"/>
        <v/>
      </c>
      <c r="BI55" s="39" t="str">
        <f>IFERROR(IF(OR(BG55="",BH55=""),"",BG55-BH55),"")</f>
        <v/>
      </c>
      <c r="BJ55" s="39" t="str">
        <f t="shared" ref="BJ55:BL55" si="676">IF(COUNT(BJ36,BJ53)=2,BJ36-BJ53,"")</f>
        <v/>
      </c>
      <c r="BK55" s="39" t="str">
        <f t="shared" si="676"/>
        <v/>
      </c>
      <c r="BL55" s="39" t="str">
        <f t="shared" si="676"/>
        <v/>
      </c>
      <c r="BM55" s="39" t="str">
        <f>IFERROR(IF(OR(BK55="",BL55=""),"",BK55-BL55),"")</f>
        <v/>
      </c>
      <c r="BN55" s="39" t="str">
        <f t="shared" ref="BN55:BP55" si="677">IF(COUNT(BN36,BN53)=2,BN36-BN53,"")</f>
        <v/>
      </c>
      <c r="BO55" s="39" t="str">
        <f t="shared" si="677"/>
        <v/>
      </c>
      <c r="BP55" s="39" t="str">
        <f t="shared" si="677"/>
        <v/>
      </c>
      <c r="BQ55" s="39" t="str">
        <f>IFERROR(IF(OR(BO55="",BP55=""),"",BO55-BP55),"")</f>
        <v/>
      </c>
      <c r="BR55" s="39" t="str">
        <f t="shared" ref="BR55:BT55" si="678">IF(COUNT(BR36,BR53)=2,BR36-BR53,"")</f>
        <v/>
      </c>
      <c r="BS55" s="39" t="str">
        <f t="shared" si="678"/>
        <v/>
      </c>
      <c r="BT55" s="39" t="str">
        <f t="shared" si="678"/>
        <v/>
      </c>
      <c r="BU55" s="39" t="str">
        <f>IFERROR(IF(OR(BS55="",BT55=""),"",BS55-BT55),"")</f>
        <v/>
      </c>
      <c r="BV55" s="39" t="str">
        <f t="shared" ref="BV55:BX55" si="679">IF(COUNT(BV36,BV53)=2,BV36-BV53,"")</f>
        <v/>
      </c>
      <c r="BW55" s="39" t="str">
        <f t="shared" si="679"/>
        <v/>
      </c>
      <c r="BX55" s="39" t="str">
        <f t="shared" si="679"/>
        <v/>
      </c>
      <c r="BY55" s="39" t="str">
        <f>IFERROR(IF(OR(BW55="",BX55=""),"",BW55-BX55),"")</f>
        <v/>
      </c>
      <c r="BZ55" s="39" t="str">
        <f t="shared" ref="BZ55:CB55" si="680">IF(COUNT(BZ36,BZ53)=2,BZ36-BZ53,"")</f>
        <v/>
      </c>
      <c r="CA55" s="39" t="str">
        <f t="shared" si="680"/>
        <v/>
      </c>
      <c r="CB55" s="39" t="str">
        <f t="shared" si="680"/>
        <v/>
      </c>
      <c r="CC55" s="39" t="str">
        <f>IFERROR(IF(OR(CA55="",CB55=""),"",CA55-CB55),"")</f>
        <v/>
      </c>
      <c r="CD55" s="39" t="str">
        <f t="shared" ref="CD55:CF55" si="681">IF(COUNT(CD36,CD53)=2,CD36-CD53,"")</f>
        <v/>
      </c>
      <c r="CE55" s="39" t="str">
        <f t="shared" si="681"/>
        <v/>
      </c>
      <c r="CF55" s="39" t="str">
        <f t="shared" si="681"/>
        <v/>
      </c>
      <c r="CG55" s="39" t="str">
        <f>IFERROR(IF(OR(CE55="",CF55=""),"",CE55-CF55),"")</f>
        <v/>
      </c>
      <c r="CH55" s="39" t="str">
        <f t="shared" ref="CH55:CJ55" si="682">IF(COUNT(CH36,CH53)=2,CH36-CH53,"")</f>
        <v/>
      </c>
      <c r="CI55" s="39" t="str">
        <f t="shared" si="682"/>
        <v/>
      </c>
      <c r="CJ55" s="39" t="str">
        <f t="shared" si="682"/>
        <v/>
      </c>
      <c r="CK55" s="39" t="str">
        <f>IFERROR(IF(OR(CI55="",CJ55=""),"",CI55-CJ55),"")</f>
        <v/>
      </c>
      <c r="CL55" s="39" t="str">
        <f t="shared" ref="CL55:CN55" si="683">IF(COUNT(CL36,CL53)=2,CL36-CL53,"")</f>
        <v/>
      </c>
      <c r="CM55" s="39" t="str">
        <f t="shared" si="683"/>
        <v/>
      </c>
      <c r="CN55" s="39" t="str">
        <f t="shared" si="683"/>
        <v/>
      </c>
      <c r="CO55" s="39" t="str">
        <f>IFERROR(IF(OR(CM55="",CN55=""),"",CM55-CN55),"")</f>
        <v/>
      </c>
      <c r="CP55" s="39" t="str">
        <f t="shared" ref="CP55:CR55" si="684">IF(COUNT(CP36,CP53)=2,CP36-CP53,"")</f>
        <v/>
      </c>
      <c r="CQ55" s="39" t="str">
        <f t="shared" si="684"/>
        <v/>
      </c>
      <c r="CR55" s="39" t="str">
        <f t="shared" si="684"/>
        <v/>
      </c>
      <c r="CS55" s="39" t="str">
        <f>IFERROR(IF(OR(CQ55="",CR55=""),"",CQ55-CR55),"")</f>
        <v/>
      </c>
      <c r="CT55" s="39" t="str">
        <f t="shared" ref="CT55:CV55" si="685">IF(COUNT(CT36,CT53)=2,CT36-CT53,"")</f>
        <v/>
      </c>
      <c r="CU55" s="39" t="str">
        <f t="shared" si="685"/>
        <v/>
      </c>
      <c r="CV55" s="39" t="str">
        <f t="shared" si="685"/>
        <v/>
      </c>
      <c r="CW55" s="39" t="str">
        <f>IFERROR(IF(OR(CU55="",CV55=""),"",CU55-CV55),"")</f>
        <v/>
      </c>
      <c r="CX55" s="39" t="str">
        <f t="shared" ref="CX55:CZ55" si="686">IF(COUNT(CX36,CX53)=2,CX36-CX53,"")</f>
        <v/>
      </c>
      <c r="CY55" s="39" t="str">
        <f t="shared" si="686"/>
        <v/>
      </c>
      <c r="CZ55" s="39" t="str">
        <f t="shared" si="686"/>
        <v/>
      </c>
      <c r="DA55" s="39" t="str">
        <f>IFERROR(IF(OR(CY55="",CZ55=""),"",CY55-CZ55),"")</f>
        <v/>
      </c>
      <c r="DB55" s="39" t="str">
        <f t="shared" ref="DB55:DD55" si="687">IF(COUNT(DB36,DB53)=2,DB36-DB53,"")</f>
        <v/>
      </c>
      <c r="DC55" s="39" t="str">
        <f t="shared" si="687"/>
        <v/>
      </c>
      <c r="DD55" s="39" t="str">
        <f t="shared" si="687"/>
        <v/>
      </c>
      <c r="DE55" s="39" t="str">
        <f>IFERROR(IF(OR(DC55="",DD55=""),"",DC55-DD55),"")</f>
        <v/>
      </c>
      <c r="DF55" s="39" t="str">
        <f t="shared" ref="DF55:DH55" si="688">IF(COUNT(DF36,DF53)=2,DF36-DF53,"")</f>
        <v/>
      </c>
      <c r="DG55" s="39" t="str">
        <f t="shared" si="688"/>
        <v/>
      </c>
      <c r="DH55" s="39" t="str">
        <f t="shared" si="688"/>
        <v/>
      </c>
      <c r="DI55" s="39" t="str">
        <f>IFERROR(IF(OR(DG55="",DH55=""),"",DG55-DH55),"")</f>
        <v/>
      </c>
      <c r="DJ55" s="39" t="str">
        <f t="shared" ref="DJ55:DL55" si="689">IF(COUNT(DJ36,DJ53)=2,DJ36-DJ53,"")</f>
        <v/>
      </c>
      <c r="DK55" s="39" t="str">
        <f t="shared" si="689"/>
        <v/>
      </c>
      <c r="DL55" s="39" t="str">
        <f t="shared" si="689"/>
        <v/>
      </c>
      <c r="DM55" s="39" t="str">
        <f>IFERROR(IF(OR(DK55="",DL55=""),"",DK55-DL55),"")</f>
        <v/>
      </c>
      <c r="DN55" s="39" t="str">
        <f t="shared" ref="DN55:DP55" si="690">IF(COUNT(DN36,DN53)=2,DN36-DN53,"")</f>
        <v/>
      </c>
      <c r="DO55" s="39" t="str">
        <f t="shared" si="690"/>
        <v/>
      </c>
      <c r="DP55" s="39" t="str">
        <f t="shared" si="690"/>
        <v/>
      </c>
      <c r="DQ55" s="39" t="str">
        <f>IFERROR(IF(OR(DO55="",DP55=""),"",DO55-DP55),"")</f>
        <v/>
      </c>
      <c r="DR55" s="39" t="str">
        <f t="shared" ref="DR55:DT55" si="691">IF(COUNT(DR36,DR53)=2,DR36-DR53,"")</f>
        <v/>
      </c>
      <c r="DS55" s="39" t="str">
        <f t="shared" si="691"/>
        <v/>
      </c>
      <c r="DT55" s="39" t="str">
        <f t="shared" si="691"/>
        <v/>
      </c>
      <c r="DU55" s="39" t="str">
        <f>IFERROR(IF(OR(DS55="",DT55=""),"",DS55-DT55),"")</f>
        <v/>
      </c>
      <c r="DV55" s="39" t="str">
        <f t="shared" ref="DV55:DX55" si="692">IF(COUNT(DV36,DV53)=2,DV36-DV53,"")</f>
        <v/>
      </c>
      <c r="DW55" s="39" t="str">
        <f t="shared" si="692"/>
        <v/>
      </c>
      <c r="DX55" s="39" t="str">
        <f t="shared" si="692"/>
        <v/>
      </c>
      <c r="DY55" s="39" t="str">
        <f>IFERROR(IF(OR(DW55="",DX55=""),"",DW55-DX55),"")</f>
        <v/>
      </c>
      <c r="DZ55" s="39" t="str">
        <f t="shared" ref="DZ55:EB55" si="693">IF(COUNT(DZ36,DZ53)=2,DZ36-DZ53,"")</f>
        <v/>
      </c>
      <c r="EA55" s="39" t="str">
        <f t="shared" si="693"/>
        <v/>
      </c>
      <c r="EB55" s="39" t="str">
        <f t="shared" si="693"/>
        <v/>
      </c>
      <c r="EC55" s="39" t="str">
        <f>IFERROR(IF(OR(EA55="",EB55=""),"",EA55-EB55),"")</f>
        <v/>
      </c>
      <c r="ED55" s="39" t="str">
        <f t="shared" ref="ED55:EF55" si="694">IF(COUNT(ED36,ED53)=2,ED36-ED53,"")</f>
        <v/>
      </c>
      <c r="EE55" s="39" t="str">
        <f t="shared" si="694"/>
        <v/>
      </c>
      <c r="EF55" s="39" t="str">
        <f t="shared" si="694"/>
        <v/>
      </c>
      <c r="EG55" s="39" t="str">
        <f>IFERROR(IF(OR(EE55="",EF55=""),"",EE55-EF55),"")</f>
        <v/>
      </c>
      <c r="EH55" s="39" t="str">
        <f t="shared" ref="EH55:EJ55" si="695">IF(COUNT(EH36,EH53)=2,EH36-EH53,"")</f>
        <v/>
      </c>
      <c r="EI55" s="39" t="str">
        <f t="shared" si="695"/>
        <v/>
      </c>
      <c r="EJ55" s="39" t="str">
        <f t="shared" si="695"/>
        <v/>
      </c>
      <c r="EK55" s="39" t="str">
        <f>IFERROR(IF(OR(EI55="",EJ55=""),"",EI55-EJ55),"")</f>
        <v/>
      </c>
      <c r="EL55" s="39" t="str">
        <f t="shared" ref="EL55:EN55" si="696">IF(COUNT(EL36,EL53)=2,EL36-EL53,"")</f>
        <v/>
      </c>
      <c r="EM55" s="39" t="str">
        <f t="shared" si="696"/>
        <v/>
      </c>
      <c r="EN55" s="39" t="str">
        <f t="shared" si="696"/>
        <v/>
      </c>
      <c r="EO55" s="39" t="str">
        <f>IFERROR(IF(OR(EM55="",EN55=""),"",EM55-EN55),"")</f>
        <v/>
      </c>
      <c r="EP55" s="39" t="str">
        <f t="shared" ref="EP55:ER55" si="697">IF(COUNT(EP36,EP53)=2,EP36-EP53,"")</f>
        <v/>
      </c>
      <c r="EQ55" s="39" t="str">
        <f t="shared" si="697"/>
        <v/>
      </c>
      <c r="ER55" s="39" t="str">
        <f t="shared" si="697"/>
        <v/>
      </c>
      <c r="ES55" s="39" t="str">
        <f>IFERROR(IF(OR(EQ55="",ER55=""),"",EQ55-ER55),"")</f>
        <v/>
      </c>
    </row>
    <row r="56" ht="18.0" customHeight="1">
      <c r="A56" s="12" t="s">
        <v>58</v>
      </c>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c r="DA56" s="38"/>
      <c r="DB56" s="38"/>
      <c r="DC56" s="38"/>
      <c r="DD56" s="38"/>
      <c r="DE56" s="38"/>
      <c r="DF56" s="38"/>
      <c r="DG56" s="38"/>
      <c r="DH56" s="38"/>
      <c r="DI56" s="38"/>
      <c r="DJ56" s="38"/>
      <c r="DK56" s="38"/>
      <c r="DL56" s="38"/>
      <c r="DM56" s="38"/>
      <c r="DN56" s="38"/>
      <c r="DO56" s="38"/>
      <c r="DP56" s="38"/>
      <c r="DQ56" s="38"/>
      <c r="DR56" s="38"/>
      <c r="DS56" s="38"/>
      <c r="DT56" s="38"/>
      <c r="DU56" s="38"/>
      <c r="DV56" s="38"/>
      <c r="DW56" s="38"/>
      <c r="DX56" s="38"/>
      <c r="DY56" s="38"/>
      <c r="DZ56" s="38"/>
      <c r="EA56" s="38"/>
      <c r="EB56" s="38"/>
      <c r="EC56" s="38"/>
      <c r="ED56" s="38"/>
      <c r="EE56" s="38"/>
      <c r="EF56" s="38"/>
      <c r="EG56" s="38"/>
      <c r="EH56" s="38"/>
      <c r="EI56" s="38"/>
      <c r="EJ56" s="38"/>
      <c r="EK56" s="38"/>
      <c r="EL56" s="38"/>
      <c r="EM56" s="38"/>
      <c r="EN56" s="38"/>
      <c r="EO56" s="38"/>
      <c r="EP56" s="38"/>
      <c r="EQ56" s="38"/>
      <c r="ER56" s="38"/>
      <c r="ES56" s="38"/>
    </row>
    <row r="57" ht="18.0" customHeight="1">
      <c r="A57" s="2" t="s">
        <v>59</v>
      </c>
      <c r="B57" s="30">
        <f t="shared" ref="B57:D57" si="698">SUM(EP57,EL57,EH57,ED57,DZ57,DV57,DR57,DN57,DJ57,DF57,DB57,CX57,CT57,CP57,CL57,CH57,CD57,BZ57,BV57,BR57,BN57,BJ57,BF57,BB57,AX57,AT57,AP57,AL57,AH57,AD57,Z57,V57,R57,N57,J57,F57)</f>
        <v>0</v>
      </c>
      <c r="C57" s="31">
        <f t="shared" si="698"/>
        <v>0</v>
      </c>
      <c r="D57" s="32">
        <f t="shared" si="698"/>
        <v>0</v>
      </c>
      <c r="E57" s="33">
        <f t="shared" ref="E57:E70" si="700">IFERROR(IF(OR(C57="",D57=""),"",C57-D57),"")</f>
        <v>0</v>
      </c>
      <c r="F57" s="34"/>
      <c r="G57" s="31">
        <f>IF(F$98=1,F57,ROUND(SUM(IF(AND(EQ$26&lt;&gt;"",EQ$23&lt;&gt;""),IF(EOMONTH($EP$3+INT((DAY(EOMONTH($EP$3,0))-1)/2)+EQ$23,0)=EOMONTH($F$3,0),EQ$26,0),0),IF(AND(EM$26&lt;&gt;"",EM$23&lt;&gt;""),IF(EOMONTH($EL$3+INT((DAY(EOMONTH($EL$3,0))-1)/2)+EM$23,0)=EOMONTH($F$3,0),EM$26,0),0),IF(AND(EI$26&lt;&gt;"",EI$23&lt;&gt;""),IF(EOMONTH($EH$3+INT((DAY(EOMONTH($EH$3,0))-1)/2)+EI$23,0)=EOMONTH($F$3,0),EI$26,0),0),IF(AND(EE$26&lt;&gt;"",EE$23&lt;&gt;""),IF(EOMONTH($ED$3+INT((DAY(EOMONTH($ED$3,0))-1)/2)+EE$23,0)=EOMONTH($F$3,0),EE$26,0),0),IF(AND(EA$26&lt;&gt;"",EA$23&lt;&gt;""),IF(EOMONTH($DZ$3+INT((DAY(EOMONTH($DZ$3,0))-1)/2)+EA$23,0)=EOMONTH($F$3,0),EA$26,0),0),IF(AND(DW$26&lt;&gt;"",DW$23&lt;&gt;""),IF(EOMONTH($DV$3+INT((DAY(EOMONTH($DV$3,0))-1)/2)+DW$23,0)=EOMONTH($F$3,0),DW$26,0),0),IF(AND(DS$26&lt;&gt;"",DS$23&lt;&gt;""),IF(EOMONTH($DR$3+INT((DAY(EOMONTH($DR$3,0))-1)/2)+DS$23,0)=EOMONTH($F$3,0),DS$26,0),0),IF(AND(DO$26&lt;&gt;"",DO$23&lt;&gt;""),IF(EOMONTH($DN$3+INT((DAY(EOMONTH($DN$3,0))-1)/2)+DO$23,0)=EOMONTH($F$3,0),DO$26,0),0),IF(AND(DK$26&lt;&gt;"",DK$23&lt;&gt;""),IF(EOMONTH($DJ$3+INT((DAY(EOMONTH($DJ$3,0))-1)/2)+DK$23,0)=EOMONTH($F$3,0),DK$26,0),0),IF(AND(DG$26&lt;&gt;"",DG$23&lt;&gt;""),IF(EOMONTH($DF$3+INT((DAY(EOMONTH($DF$3,0))-1)/2)+DG$23,0)=EOMONTH($F$3,0),DG$26,0),0),IF(AND(DC$26&lt;&gt;"",DC$23&lt;&gt;""),IF(EOMONTH($DB$3+INT((DAY(EOMONTH($DB$3,0))-1)/2)+DC$23,0)=EOMONTH($F$3,0),DC$26,0),0),IF(AND(CY$26&lt;&gt;"",CY$23&lt;&gt;""),IF(EOMONTH($CX$3+INT((DAY(EOMONTH($CX$3,0))-1)/2)+CY$23,0)=EOMONTH($F$3,0),CY$26,0),0),IF(AND(CU$26&lt;&gt;"",CU$23&lt;&gt;""),IF(EOMONTH($CT$3+INT((DAY(EOMONTH($CT$3,0))-1)/2)+CU$23,0)=EOMONTH($F$3,0),CU$26,0),0),IF(AND(CQ$26&lt;&gt;"",CQ$23&lt;&gt;""),IF(EOMONTH($CP$3+INT((DAY(EOMONTH($CP$3,0))-1)/2)+CQ$23,0)=EOMONTH($F$3,0),CQ$26,0),0),IF(AND(CM$26&lt;&gt;"",CM$23&lt;&gt;""),IF(EOMONTH($CL$3+INT((DAY(EOMONTH($CL$3,0))-1)/2)+CM$23,0)=EOMONTH($F$3,0),CM$26,0),0),IF(AND(CI$26&lt;&gt;"",CI$23&lt;&gt;""),IF(EOMONTH($CH$3+INT((DAY(EOMONTH($CH$3,0))-1)/2)+CI$23,0)=EOMONTH($F$3,0),CI$26,0),0),IF(AND(CE$26&lt;&gt;"",CE$23&lt;&gt;""),IF(EOMONTH($CD$3+INT((DAY(EOMONTH($CD$3,0))-1)/2)+CE$23,0)=EOMONTH($F$3,0),CE$26,0),0),IF(AND(CA$26&lt;&gt;"",CA$23&lt;&gt;""),IF(EOMONTH($BZ$3+INT((DAY(EOMONTH($BZ$3,0))-1)/2)+CA$23,0)=EOMONTH($F$3,0),CA$26,0),0),IF(AND(BW$26&lt;&gt;"",BW$23&lt;&gt;""),IF(EOMONTH($BV$3+INT((DAY(EOMONTH($BV$3,0))-1)/2)+BW$23,0)=EOMONTH($F$3,0),BW$26,0),0),IF(AND(BS$26&lt;&gt;"",BS$23&lt;&gt;""),IF(EOMONTH($BR$3+INT((DAY(EOMONTH($BR$3,0))-1)/2)+BS$23,0)=EOMONTH($F$3,0),BS$26,0),0),IF(AND(BO$26&lt;&gt;"",BO$23&lt;&gt;""),IF(EOMONTH($BN$3+INT((DAY(EOMONTH($BN$3,0))-1)/2)+BO$23,0)=EOMONTH($F$3,0),BO$26,0),0),IF(AND(BK$26&lt;&gt;"",BK$23&lt;&gt;""),IF(EOMONTH($BJ$3+INT((DAY(EOMONTH($BJ$3,0))-1)/2)+BK$23,0)=EOMONTH($F$3,0),BK$26,0),0),IF(AND(BG$26&lt;&gt;"",BG$23&lt;&gt;""),IF(EOMONTH($BF$3+INT((DAY(EOMONTH($BF$3,0))-1)/2)+BG$23,0)=EOMONTH($F$3,0),BG$26,0),0),IF(AND(BC$26&lt;&gt;"",BC$23&lt;&gt;""),IF(EOMONTH($BB$3+INT((DAY(EOMONTH($BB$3,0))-1)/2)+BC$23,0)=EOMONTH($F$3,0),BC$26,0),0),IF(AND(AY$26&lt;&gt;"",AY$23&lt;&gt;""),IF(EOMONTH($AX$3+INT((DAY(EOMONTH($AX$3,0))-1)/2)+AY$23,0)=EOMONTH($F$3,0),AY$26,0),0),IF(AND(AU$26&lt;&gt;"",AU$23&lt;&gt;""),IF(EOMONTH($AT$3+INT((DAY(EOMONTH($AT$3,0))-1)/2)+AU$23,0)=EOMONTH($F$3,0),AU$26,0),0),IF(AND(AQ$26&lt;&gt;"",AQ$23&lt;&gt;""),IF(EOMONTH($AP$3+INT((DAY(EOMONTH($AP$3,0))-1)/2)+AQ$23,0)=EOMONTH($F$3,0),AQ$26,0),0),IF(AND(AM$26&lt;&gt;"",AM$23&lt;&gt;""),IF(EOMONTH($AL$3+INT((DAY(EOMONTH($AL$3,0))-1)/2)+AM$23,0)=EOMONTH($F$3,0),AM$26,0),0),IF(AND(AI$26&lt;&gt;"",AI$23&lt;&gt;""),IF(EOMONTH($AH$3+INT((DAY(EOMONTH($AH$3,0))-1)/2)+AI$23,0)=EOMONTH($F$3,0),AI$26,0),0),IF(AND(AE$26&lt;&gt;"",AE$23&lt;&gt;""),IF(EOMONTH($AD$3+INT((DAY(EOMONTH($AD$3,0))-1)/2)+AE$23,0)=EOMONTH($F$3,0),AE$26,0),0),IF(AND(AA$26&lt;&gt;"",AA$23&lt;&gt;""),IF(EOMONTH($Z$3+INT((DAY(EOMONTH($Z$3,0))-1)/2)+AA$23,0)=EOMONTH($F$3,0),AA$26,0),0),IF(AND(W$26&lt;&gt;"",W$23&lt;&gt;""),IF(EOMONTH($V$3+INT((DAY(EOMONTH($V$3,0))-1)/2)+W$23,0)=EOMONTH($F$3,0),W$26,0),0),IF(AND(S$26&lt;&gt;"",S$23&lt;&gt;""),IF(EOMONTH($R$3+INT((DAY(EOMONTH($R$3,0))-1)/2)+S$23,0)=EOMONTH($F$3,0),S$26,0),0),IF(AND(O$26&lt;&gt;"",O$23&lt;&gt;""),IF(EOMONTH($N$3+INT((DAY(EOMONTH($N$3,0))-1)/2)+O$23,0)=EOMONTH($F$3,0),O$26,0),0),IF(AND(K$26&lt;&gt;"",K$23&lt;&gt;""),IF(EOMONTH($J$3+INT((DAY(EOMONTH($J$3,0))-1)/2)+K$23,0)=EOMONTH($F$3,0),K$26,0),0),IF(AND(G$26&lt;&gt;"",G$23&lt;&gt;""),IF(EOMONTH($F$3+INT((DAY(EOMONTH($F$3,0))-1)/2)+G$23,0)=EOMONTH($F$3,0),G$26,0),0),IF($EP$75="",0,IF(EOMONTH($EP$75+EQ$23,0)=EOMONTH($F$3,0),$EP$78*EQ$13,0))),0))</f>
        <v>0</v>
      </c>
      <c r="H57" s="32">
        <f>ROUND(SUM(IF(AND(ER$26&lt;&gt;"",ER$23&lt;&gt;""),IF(EOMONTH($EP$3+INT((DAY(EOMONTH($EP$3,0))-1)/2)+ER$23,0)=EOMONTH($F$3,0),ER$26,0),0),IF(AND(EN$26&lt;&gt;"",EN$23&lt;&gt;""),IF(EOMONTH($EL$3+INT((DAY(EOMONTH($EL$3,0))-1)/2)+EN$23,0)=EOMONTH($F$3,0),EN$26,0),0),IF(AND(EJ$26&lt;&gt;"",EJ$23&lt;&gt;""),IF(EOMONTH($EH$3+INT((DAY(EOMONTH($EH$3,0))-1)/2)+EJ$23,0)=EOMONTH($F$3,0),EJ$26,0),0),IF(AND(EF$26&lt;&gt;"",EF$23&lt;&gt;""),IF(EOMONTH($ED$3+INT((DAY(EOMONTH($ED$3,0))-1)/2)+EF$23,0)=EOMONTH($F$3,0),EF$26,0),0),IF(AND(EB$26&lt;&gt;"",EB$23&lt;&gt;""),IF(EOMONTH($DZ$3+INT((DAY(EOMONTH($DZ$3,0))-1)/2)+EB$23,0)=EOMONTH($F$3,0),EB$26,0),0),IF(AND(DX$26&lt;&gt;"",DX$23&lt;&gt;""),IF(EOMONTH($DV$3+INT((DAY(EOMONTH($DV$3,0))-1)/2)+DX$23,0)=EOMONTH($F$3,0),DX$26,0),0),IF(AND(DT$26&lt;&gt;"",DT$23&lt;&gt;""),IF(EOMONTH($DR$3+INT((DAY(EOMONTH($DR$3,0))-1)/2)+DT$23,0)=EOMONTH($F$3,0),DT$26,0),0),IF(AND(DP$26&lt;&gt;"",DP$23&lt;&gt;""),IF(EOMONTH($DN$3+INT((DAY(EOMONTH($DN$3,0))-1)/2)+DP$23,0)=EOMONTH($F$3,0),DP$26,0),0),IF(AND(DL$26&lt;&gt;"",DL$23&lt;&gt;""),IF(EOMONTH($DJ$3+INT((DAY(EOMONTH($DJ$3,0))-1)/2)+DL$23,0)=EOMONTH($F$3,0),DL$26,0),0),IF(AND(DH$26&lt;&gt;"",DH$23&lt;&gt;""),IF(EOMONTH($DF$3+INT((DAY(EOMONTH($DF$3,0))-1)/2)+DH$23,0)=EOMONTH($F$3,0),DH$26,0),0),IF(AND(DD$26&lt;&gt;"",DD$23&lt;&gt;""),IF(EOMONTH($DB$3+INT((DAY(EOMONTH($DB$3,0))-1)/2)+DD$23,0)=EOMONTH($F$3,0),DD$26,0),0),IF(AND(CZ$26&lt;&gt;"",CZ$23&lt;&gt;""),IF(EOMONTH($CX$3+INT((DAY(EOMONTH($CX$3,0))-1)/2)+CZ$23,0)=EOMONTH($F$3,0),CZ$26,0),0),IF(AND(CV$26&lt;&gt;"",CV$23&lt;&gt;""),IF(EOMONTH($CT$3+INT((DAY(EOMONTH($CT$3,0))-1)/2)+CV$23,0)=EOMONTH($F$3,0),CV$26,0),0),IF(AND(CR$26&lt;&gt;"",CR$23&lt;&gt;""),IF(EOMONTH($CP$3+INT((DAY(EOMONTH($CP$3,0))-1)/2)+CR$23,0)=EOMONTH($F$3,0),CR$26,0),0),IF(AND(CN$26&lt;&gt;"",CN$23&lt;&gt;""),IF(EOMONTH($CL$3+INT((DAY(EOMONTH($CL$3,0))-1)/2)+CN$23,0)=EOMONTH($F$3,0),CN$26,0),0),IF(AND(CJ$26&lt;&gt;"",CJ$23&lt;&gt;""),IF(EOMONTH($CH$3+INT((DAY(EOMONTH($CH$3,0))-1)/2)+CJ$23,0)=EOMONTH($F$3,0),CJ$26,0),0),IF(AND(CF$26&lt;&gt;"",CF$23&lt;&gt;""),IF(EOMONTH($CD$3+INT((DAY(EOMONTH($CD$3,0))-1)/2)+CF$23,0)=EOMONTH($F$3,0),CF$26,0),0),IF(AND(CB$26&lt;&gt;"",CB$23&lt;&gt;""),IF(EOMONTH($BZ$3+INT((DAY(EOMONTH($BZ$3,0))-1)/2)+CB$23,0)=EOMONTH($F$3,0),CB$26,0),0),IF(AND(BX$26&lt;&gt;"",BX$23&lt;&gt;""),IF(EOMONTH($BV$3+INT((DAY(EOMONTH($BV$3,0))-1)/2)+BX$23,0)=EOMONTH($F$3,0),BX$26,0),0),IF(AND(BT$26&lt;&gt;"",BT$23&lt;&gt;""),IF(EOMONTH($BR$3+INT((DAY(EOMONTH($BR$3,0))-1)/2)+BT$23,0)=EOMONTH($F$3,0),BT$26,0),0),IF(AND(BP$26&lt;&gt;"",BP$23&lt;&gt;""),IF(EOMONTH($BN$3+INT((DAY(EOMONTH($BN$3,0))-1)/2)+BP$23,0)=EOMONTH($F$3,0),BP$26,0),0),IF(AND(BL$26&lt;&gt;"",BL$23&lt;&gt;""),IF(EOMONTH($BJ$3+INT((DAY(EOMONTH($BJ$3,0))-1)/2)+BL$23,0)=EOMONTH($F$3,0),BL$26,0),0),IF(AND(BH$26&lt;&gt;"",BH$23&lt;&gt;""),IF(EOMONTH($BF$3+INT((DAY(EOMONTH($BF$3,0))-1)/2)+BH$23,0)=EOMONTH($F$3,0),BH$26,0),0),IF(AND(BD$26&lt;&gt;"",BD$23&lt;&gt;""),IF(EOMONTH($BB$3+INT((DAY(EOMONTH($BB$3,0))-1)/2)+BD$23,0)=EOMONTH($F$3,0),BD$26,0),0),IF(AND(AZ$26&lt;&gt;"",AZ$23&lt;&gt;""),IF(EOMONTH($AX$3+INT((DAY(EOMONTH($AX$3,0))-1)/2)+AZ$23,0)=EOMONTH($F$3,0),AZ$26,0),0),IF(AND(AV$26&lt;&gt;"",AV$23&lt;&gt;""),IF(EOMONTH($AT$3+INT((DAY(EOMONTH($AT$3,0))-1)/2)+AV$23,0)=EOMONTH($F$3,0),AV$26,0),0),IF(AND(AR$26&lt;&gt;"",AR$23&lt;&gt;""),IF(EOMONTH($AP$3+INT((DAY(EOMONTH($AP$3,0))-1)/2)+AR$23,0)=EOMONTH($F$3,0),AR$26,0),0),IF(AND(AN$26&lt;&gt;"",AN$23&lt;&gt;""),IF(EOMONTH($AL$3+INT((DAY(EOMONTH($AL$3,0))-1)/2)+AN$23,0)=EOMONTH($F$3,0),AN$26,0),0),IF(AND(AJ$26&lt;&gt;"",AJ$23&lt;&gt;""),IF(EOMONTH($AH$3+INT((DAY(EOMONTH($AH$3,0))-1)/2)+AJ$23,0)=EOMONTH($F$3,0),AJ$26,0),0),IF(AND(AF$26&lt;&gt;"",AF$23&lt;&gt;""),IF(EOMONTH($AD$3+INT((DAY(EOMONTH($AD$3,0))-1)/2)+AF$23,0)=EOMONTH($F$3,0),AF$26,0),0),IF(AND(AB$26&lt;&gt;"",AB$23&lt;&gt;""),IF(EOMONTH($Z$3+INT((DAY(EOMONTH($Z$3,0))-1)/2)+AB$23,0)=EOMONTH($F$3,0),AB$26,0),0),IF(AND(X$26&lt;&gt;"",X$23&lt;&gt;""),IF(EOMONTH($V$3+INT((DAY(EOMONTH($V$3,0))-1)/2)+X$23,0)=EOMONTH($F$3,0),X$26,0),0),IF(AND(T$26&lt;&gt;"",T$23&lt;&gt;""),IF(EOMONTH($R$3+INT((DAY(EOMONTH($R$3,0))-1)/2)+T$23,0)=EOMONTH($F$3,0),T$26,0),0),IF(AND(P$26&lt;&gt;"",P$23&lt;&gt;""),IF(EOMONTH($N$3+INT((DAY(EOMONTH($N$3,0))-1)/2)+P$23,0)=EOMONTH($F$3,0),P$26,0),0),IF(AND(L$26&lt;&gt;"",L$23&lt;&gt;""),IF(EOMONTH($J$3+INT((DAY(EOMONTH($J$3,0))-1)/2)+L$23,0)=EOMONTH($F$3,0),L$26,0),0),IF(AND(H$26&lt;&gt;"",H$23&lt;&gt;""),IF(EOMONTH($F$3+INT((DAY(EOMONTH($F$3,0))-1)/2)+H$23,0)=EOMONTH($F$3,0),H$26,0),0),IF($EP$75="",0,IF(EOMONTH($EP$75+ER$23,0)=EOMONTH($F$3,0),$EP$78*ER$13,0))),0)</f>
        <v>0</v>
      </c>
      <c r="I57" s="33">
        <f t="shared" ref="I57:I70" si="702">IFERROR(IF(OR(G57="",H57=""),"",G57-H57),"")</f>
        <v>0</v>
      </c>
      <c r="J57" s="34"/>
      <c r="K57" s="31">
        <f>IF(J$98=1,J57,ROUND(SUM(IF(AND(EQ$26&lt;&gt;"",EQ$23&lt;&gt;""),IF(EOMONTH($EP$3+INT((DAY(EOMONTH($EP$3,0))-1)/2)+EQ$23,0)=EOMONTH($J$3,0),EQ$26,0),0),IF(AND(EM$26&lt;&gt;"",EM$23&lt;&gt;""),IF(EOMONTH($EL$3+INT((DAY(EOMONTH($EL$3,0))-1)/2)+EM$23,0)=EOMONTH($J$3,0),EM$26,0),0),IF(AND(EI$26&lt;&gt;"",EI$23&lt;&gt;""),IF(EOMONTH($EH$3+INT((DAY(EOMONTH($EH$3,0))-1)/2)+EI$23,0)=EOMONTH($J$3,0),EI$26,0),0),IF(AND(EE$26&lt;&gt;"",EE$23&lt;&gt;""),IF(EOMONTH($ED$3+INT((DAY(EOMONTH($ED$3,0))-1)/2)+EE$23,0)=EOMONTH($J$3,0),EE$26,0),0),IF(AND(EA$26&lt;&gt;"",EA$23&lt;&gt;""),IF(EOMONTH($DZ$3+INT((DAY(EOMONTH($DZ$3,0))-1)/2)+EA$23,0)=EOMONTH($J$3,0),EA$26,0),0),IF(AND(DW$26&lt;&gt;"",DW$23&lt;&gt;""),IF(EOMONTH($DV$3+INT((DAY(EOMONTH($DV$3,0))-1)/2)+DW$23,0)=EOMONTH($J$3,0),DW$26,0),0),IF(AND(DS$26&lt;&gt;"",DS$23&lt;&gt;""),IF(EOMONTH($DR$3+INT((DAY(EOMONTH($DR$3,0))-1)/2)+DS$23,0)=EOMONTH($J$3,0),DS$26,0),0),IF(AND(DO$26&lt;&gt;"",DO$23&lt;&gt;""),IF(EOMONTH($DN$3+INT((DAY(EOMONTH($DN$3,0))-1)/2)+DO$23,0)=EOMONTH($J$3,0),DO$26,0),0),IF(AND(DK$26&lt;&gt;"",DK$23&lt;&gt;""),IF(EOMONTH($DJ$3+INT((DAY(EOMONTH($DJ$3,0))-1)/2)+DK$23,0)=EOMONTH($J$3,0),DK$26,0),0),IF(AND(DG$26&lt;&gt;"",DG$23&lt;&gt;""),IF(EOMONTH($DF$3+INT((DAY(EOMONTH($DF$3,0))-1)/2)+DG$23,0)=EOMONTH($J$3,0),DG$26,0),0),IF(AND(DC$26&lt;&gt;"",DC$23&lt;&gt;""),IF(EOMONTH($DB$3+INT((DAY(EOMONTH($DB$3,0))-1)/2)+DC$23,0)=EOMONTH($J$3,0),DC$26,0),0),IF(AND(CY$26&lt;&gt;"",CY$23&lt;&gt;""),IF(EOMONTH($CX$3+INT((DAY(EOMONTH($CX$3,0))-1)/2)+CY$23,0)=EOMONTH($J$3,0),CY$26,0),0),IF(AND(CU$26&lt;&gt;"",CU$23&lt;&gt;""),IF(EOMONTH($CT$3+INT((DAY(EOMONTH($CT$3,0))-1)/2)+CU$23,0)=EOMONTH($J$3,0),CU$26,0),0),IF(AND(CQ$26&lt;&gt;"",CQ$23&lt;&gt;""),IF(EOMONTH($CP$3+INT((DAY(EOMONTH($CP$3,0))-1)/2)+CQ$23,0)=EOMONTH($J$3,0),CQ$26,0),0),IF(AND(CM$26&lt;&gt;"",CM$23&lt;&gt;""),IF(EOMONTH($CL$3+INT((DAY(EOMONTH($CL$3,0))-1)/2)+CM$23,0)=EOMONTH($J$3,0),CM$26,0),0),IF(AND(CI$26&lt;&gt;"",CI$23&lt;&gt;""),IF(EOMONTH($CH$3+INT((DAY(EOMONTH($CH$3,0))-1)/2)+CI$23,0)=EOMONTH($J$3,0),CI$26,0),0),IF(AND(CE$26&lt;&gt;"",CE$23&lt;&gt;""),IF(EOMONTH($CD$3+INT((DAY(EOMONTH($CD$3,0))-1)/2)+CE$23,0)=EOMONTH($J$3,0),CE$26,0),0),IF(AND(CA$26&lt;&gt;"",CA$23&lt;&gt;""),IF(EOMONTH($BZ$3+INT((DAY(EOMONTH($BZ$3,0))-1)/2)+CA$23,0)=EOMONTH($J$3,0),CA$26,0),0),IF(AND(BW$26&lt;&gt;"",BW$23&lt;&gt;""),IF(EOMONTH($BV$3+INT((DAY(EOMONTH($BV$3,0))-1)/2)+BW$23,0)=EOMONTH($J$3,0),BW$26,0),0),IF(AND(BS$26&lt;&gt;"",BS$23&lt;&gt;""),IF(EOMONTH($BR$3+INT((DAY(EOMONTH($BR$3,0))-1)/2)+BS$23,0)=EOMONTH($J$3,0),BS$26,0),0),IF(AND(BO$26&lt;&gt;"",BO$23&lt;&gt;""),IF(EOMONTH($BN$3+INT((DAY(EOMONTH($BN$3,0))-1)/2)+BO$23,0)=EOMONTH($J$3,0),BO$26,0),0),IF(AND(BK$26&lt;&gt;"",BK$23&lt;&gt;""),IF(EOMONTH($BJ$3+INT((DAY(EOMONTH($BJ$3,0))-1)/2)+BK$23,0)=EOMONTH($J$3,0),BK$26,0),0),IF(AND(BG$26&lt;&gt;"",BG$23&lt;&gt;""),IF(EOMONTH($BF$3+INT((DAY(EOMONTH($BF$3,0))-1)/2)+BG$23,0)=EOMONTH($J$3,0),BG$26,0),0),IF(AND(BC$26&lt;&gt;"",BC$23&lt;&gt;""),IF(EOMONTH($BB$3+INT((DAY(EOMONTH($BB$3,0))-1)/2)+BC$23,0)=EOMONTH($J$3,0),BC$26,0),0),IF(AND(AY$26&lt;&gt;"",AY$23&lt;&gt;""),IF(EOMONTH($AX$3+INT((DAY(EOMONTH($AX$3,0))-1)/2)+AY$23,0)=EOMONTH($J$3,0),AY$26,0),0),IF(AND(AU$26&lt;&gt;"",AU$23&lt;&gt;""),IF(EOMONTH($AT$3+INT((DAY(EOMONTH($AT$3,0))-1)/2)+AU$23,0)=EOMONTH($J$3,0),AU$26,0),0),IF(AND(AQ$26&lt;&gt;"",AQ$23&lt;&gt;""),IF(EOMONTH($AP$3+INT((DAY(EOMONTH($AP$3,0))-1)/2)+AQ$23,0)=EOMONTH($J$3,0),AQ$26,0),0),IF(AND(AM$26&lt;&gt;"",AM$23&lt;&gt;""),IF(EOMONTH($AL$3+INT((DAY(EOMONTH($AL$3,0))-1)/2)+AM$23,0)=EOMONTH($J$3,0),AM$26,0),0),IF(AND(AI$26&lt;&gt;"",AI$23&lt;&gt;""),IF(EOMONTH($AH$3+INT((DAY(EOMONTH($AH$3,0))-1)/2)+AI$23,0)=EOMONTH($J$3,0),AI$26,0),0),IF(AND(AE$26&lt;&gt;"",AE$23&lt;&gt;""),IF(EOMONTH($AD$3+INT((DAY(EOMONTH($AD$3,0))-1)/2)+AE$23,0)=EOMONTH($J$3,0),AE$26,0),0),IF(AND(AA$26&lt;&gt;"",AA$23&lt;&gt;""),IF(EOMONTH($Z$3+INT((DAY(EOMONTH($Z$3,0))-1)/2)+AA$23,0)=EOMONTH($J$3,0),AA$26,0),0),IF(AND(W$26&lt;&gt;"",W$23&lt;&gt;""),IF(EOMONTH($V$3+INT((DAY(EOMONTH($V$3,0))-1)/2)+W$23,0)=EOMONTH($J$3,0),W$26,0),0),IF(AND(S$26&lt;&gt;"",S$23&lt;&gt;""),IF(EOMONTH($R$3+INT((DAY(EOMONTH($R$3,0))-1)/2)+S$23,0)=EOMONTH($J$3,0),S$26,0),0),IF(AND(O$26&lt;&gt;"",O$23&lt;&gt;""),IF(EOMONTH($N$3+INT((DAY(EOMONTH($N$3,0))-1)/2)+O$23,0)=EOMONTH($J$3,0),O$26,0),0),IF(AND(K$26&lt;&gt;"",K$23&lt;&gt;""),IF(EOMONTH($J$3+INT((DAY(EOMONTH($J$3,0))-1)/2)+K$23,0)=EOMONTH($J$3,0),K$26,0),0),IF(AND(G$26&lt;&gt;"",G$23&lt;&gt;""),IF(EOMONTH($F$3+INT((DAY(EOMONTH($F$3,0))-1)/2)+G$23,0)=EOMONTH($J$3,0),G$26,0),0),IF($EP$75="",0,IF(EOMONTH($EP$75+EQ$23,0)=EOMONTH($J$3,0),$EP$78*EQ$13,0))),0))</f>
        <v>0</v>
      </c>
      <c r="L57" s="32">
        <f>ROUND(SUM(IF(AND(ER$26&lt;&gt;"",ER$23&lt;&gt;""),IF(EOMONTH($EP$3+INT((DAY(EOMONTH($EP$3,0))-1)/2)+ER$23,0)=EOMONTH($J$3,0),ER$26,0),0),IF(AND(EN$26&lt;&gt;"",EN$23&lt;&gt;""),IF(EOMONTH($EL$3+INT((DAY(EOMONTH($EL$3,0))-1)/2)+EN$23,0)=EOMONTH($J$3,0),EN$26,0),0),IF(AND(EJ$26&lt;&gt;"",EJ$23&lt;&gt;""),IF(EOMONTH($EH$3+INT((DAY(EOMONTH($EH$3,0))-1)/2)+EJ$23,0)=EOMONTH($J$3,0),EJ$26,0),0),IF(AND(EF$26&lt;&gt;"",EF$23&lt;&gt;""),IF(EOMONTH($ED$3+INT((DAY(EOMONTH($ED$3,0))-1)/2)+EF$23,0)=EOMONTH($J$3,0),EF$26,0),0),IF(AND(EB$26&lt;&gt;"",EB$23&lt;&gt;""),IF(EOMONTH($DZ$3+INT((DAY(EOMONTH($DZ$3,0))-1)/2)+EB$23,0)=EOMONTH($J$3,0),EB$26,0),0),IF(AND(DX$26&lt;&gt;"",DX$23&lt;&gt;""),IF(EOMONTH($DV$3+INT((DAY(EOMONTH($DV$3,0))-1)/2)+DX$23,0)=EOMONTH($J$3,0),DX$26,0),0),IF(AND(DT$26&lt;&gt;"",DT$23&lt;&gt;""),IF(EOMONTH($DR$3+INT((DAY(EOMONTH($DR$3,0))-1)/2)+DT$23,0)=EOMONTH($J$3,0),DT$26,0),0),IF(AND(DP$26&lt;&gt;"",DP$23&lt;&gt;""),IF(EOMONTH($DN$3+INT((DAY(EOMONTH($DN$3,0))-1)/2)+DP$23,0)=EOMONTH($J$3,0),DP$26,0),0),IF(AND(DL$26&lt;&gt;"",DL$23&lt;&gt;""),IF(EOMONTH($DJ$3+INT((DAY(EOMONTH($DJ$3,0))-1)/2)+DL$23,0)=EOMONTH($J$3,0),DL$26,0),0),IF(AND(DH$26&lt;&gt;"",DH$23&lt;&gt;""),IF(EOMONTH($DF$3+INT((DAY(EOMONTH($DF$3,0))-1)/2)+DH$23,0)=EOMONTH($J$3,0),DH$26,0),0),IF(AND(DD$26&lt;&gt;"",DD$23&lt;&gt;""),IF(EOMONTH($DB$3+INT((DAY(EOMONTH($DB$3,0))-1)/2)+DD$23,0)=EOMONTH($J$3,0),DD$26,0),0),IF(AND(CZ$26&lt;&gt;"",CZ$23&lt;&gt;""),IF(EOMONTH($CX$3+INT((DAY(EOMONTH($CX$3,0))-1)/2)+CZ$23,0)=EOMONTH($J$3,0),CZ$26,0),0),IF(AND(CV$26&lt;&gt;"",CV$23&lt;&gt;""),IF(EOMONTH($CT$3+INT((DAY(EOMONTH($CT$3,0))-1)/2)+CV$23,0)=EOMONTH($J$3,0),CV$26,0),0),IF(AND(CR$26&lt;&gt;"",CR$23&lt;&gt;""),IF(EOMONTH($CP$3+INT((DAY(EOMONTH($CP$3,0))-1)/2)+CR$23,0)=EOMONTH($J$3,0),CR$26,0),0),IF(AND(CN$26&lt;&gt;"",CN$23&lt;&gt;""),IF(EOMONTH($CL$3+INT((DAY(EOMONTH($CL$3,0))-1)/2)+CN$23,0)=EOMONTH($J$3,0),CN$26,0),0),IF(AND(CJ$26&lt;&gt;"",CJ$23&lt;&gt;""),IF(EOMONTH($CH$3+INT((DAY(EOMONTH($CH$3,0))-1)/2)+CJ$23,0)=EOMONTH($J$3,0),CJ$26,0),0),IF(AND(CF$26&lt;&gt;"",CF$23&lt;&gt;""),IF(EOMONTH($CD$3+INT((DAY(EOMONTH($CD$3,0))-1)/2)+CF$23,0)=EOMONTH($J$3,0),CF$26,0),0),IF(AND(CB$26&lt;&gt;"",CB$23&lt;&gt;""),IF(EOMONTH($BZ$3+INT((DAY(EOMONTH($BZ$3,0))-1)/2)+CB$23,0)=EOMONTH($J$3,0),CB$26,0),0),IF(AND(BX$26&lt;&gt;"",BX$23&lt;&gt;""),IF(EOMONTH($BV$3+INT((DAY(EOMONTH($BV$3,0))-1)/2)+BX$23,0)=EOMONTH($J$3,0),BX$26,0),0),IF(AND(BT$26&lt;&gt;"",BT$23&lt;&gt;""),IF(EOMONTH($BR$3+INT((DAY(EOMONTH($BR$3,0))-1)/2)+BT$23,0)=EOMONTH($J$3,0),BT$26,0),0),IF(AND(BP$26&lt;&gt;"",BP$23&lt;&gt;""),IF(EOMONTH($BN$3+INT((DAY(EOMONTH($BN$3,0))-1)/2)+BP$23,0)=EOMONTH($J$3,0),BP$26,0),0),IF(AND(BL$26&lt;&gt;"",BL$23&lt;&gt;""),IF(EOMONTH($BJ$3+INT((DAY(EOMONTH($BJ$3,0))-1)/2)+BL$23,0)=EOMONTH($J$3,0),BL$26,0),0),IF(AND(BH$26&lt;&gt;"",BH$23&lt;&gt;""),IF(EOMONTH($BF$3+INT((DAY(EOMONTH($BF$3,0))-1)/2)+BH$23,0)=EOMONTH($J$3,0),BH$26,0),0),IF(AND(BD$26&lt;&gt;"",BD$23&lt;&gt;""),IF(EOMONTH($BB$3+INT((DAY(EOMONTH($BB$3,0))-1)/2)+BD$23,0)=EOMONTH($J$3,0),BD$26,0),0),IF(AND(AZ$26&lt;&gt;"",AZ$23&lt;&gt;""),IF(EOMONTH($AX$3+INT((DAY(EOMONTH($AX$3,0))-1)/2)+AZ$23,0)=EOMONTH($J$3,0),AZ$26,0),0),IF(AND(AV$26&lt;&gt;"",AV$23&lt;&gt;""),IF(EOMONTH($AT$3+INT((DAY(EOMONTH($AT$3,0))-1)/2)+AV$23,0)=EOMONTH($J$3,0),AV$26,0),0),IF(AND(AR$26&lt;&gt;"",AR$23&lt;&gt;""),IF(EOMONTH($AP$3+INT((DAY(EOMONTH($AP$3,0))-1)/2)+AR$23,0)=EOMONTH($J$3,0),AR$26,0),0),IF(AND(AN$26&lt;&gt;"",AN$23&lt;&gt;""),IF(EOMONTH($AL$3+INT((DAY(EOMONTH($AL$3,0))-1)/2)+AN$23,0)=EOMONTH($J$3,0),AN$26,0),0),IF(AND(AJ$26&lt;&gt;"",AJ$23&lt;&gt;""),IF(EOMONTH($AH$3+INT((DAY(EOMONTH($AH$3,0))-1)/2)+AJ$23,0)=EOMONTH($J$3,0),AJ$26,0),0),IF(AND(AF$26&lt;&gt;"",AF$23&lt;&gt;""),IF(EOMONTH($AD$3+INT((DAY(EOMONTH($AD$3,0))-1)/2)+AF$23,0)=EOMONTH($J$3,0),AF$26,0),0),IF(AND(AB$26&lt;&gt;"",AB$23&lt;&gt;""),IF(EOMONTH($Z$3+INT((DAY(EOMONTH($Z$3,0))-1)/2)+AB$23,0)=EOMONTH($J$3,0),AB$26,0),0),IF(AND(X$26&lt;&gt;"",X$23&lt;&gt;""),IF(EOMONTH($V$3+INT((DAY(EOMONTH($V$3,0))-1)/2)+X$23,0)=EOMONTH($J$3,0),X$26,0),0),IF(AND(T$26&lt;&gt;"",T$23&lt;&gt;""),IF(EOMONTH($R$3+INT((DAY(EOMONTH($R$3,0))-1)/2)+T$23,0)=EOMONTH($J$3,0),T$26,0),0),IF(AND(P$26&lt;&gt;"",P$23&lt;&gt;""),IF(EOMONTH($N$3+INT((DAY(EOMONTH($N$3,0))-1)/2)+P$23,0)=EOMONTH($J$3,0),P$26,0),0),IF(AND(L$26&lt;&gt;"",L$23&lt;&gt;""),IF(EOMONTH($J$3+INT((DAY(EOMONTH($J$3,0))-1)/2)+L$23,0)=EOMONTH($J$3,0),L$26,0),0),IF(AND(H$26&lt;&gt;"",H$23&lt;&gt;""),IF(EOMONTH($F$3+INT((DAY(EOMONTH($F$3,0))-1)/2)+H$23,0)=EOMONTH($J$3,0),H$26,0),0),IF($EP$75="",0,IF(EOMONTH($EP$75+ER$23,0)=EOMONTH($J$3,0),$EP$78*ER$13,0))),0)</f>
        <v>0</v>
      </c>
      <c r="M57" s="33">
        <f t="shared" ref="M57:M70" si="704">IFERROR(IF(OR(K57="",L57=""),"",K57-L57),"")</f>
        <v>0</v>
      </c>
      <c r="N57" s="34"/>
      <c r="O57" s="31">
        <f>IF(N$98=1,N57,ROUND(SUM(IF(AND(EQ$26&lt;&gt;"",EQ$23&lt;&gt;""),IF(EOMONTH($EP$3+INT((DAY(EOMONTH($EP$3,0))-1)/2)+EQ$23,0)=EOMONTH($N$3,0),EQ$26,0),0),IF(AND(EM$26&lt;&gt;"",EM$23&lt;&gt;""),IF(EOMONTH($EL$3+INT((DAY(EOMONTH($EL$3,0))-1)/2)+EM$23,0)=EOMONTH($N$3,0),EM$26,0),0),IF(AND(EI$26&lt;&gt;"",EI$23&lt;&gt;""),IF(EOMONTH($EH$3+INT((DAY(EOMONTH($EH$3,0))-1)/2)+EI$23,0)=EOMONTH($N$3,0),EI$26,0),0),IF(AND(EE$26&lt;&gt;"",EE$23&lt;&gt;""),IF(EOMONTH($ED$3+INT((DAY(EOMONTH($ED$3,0))-1)/2)+EE$23,0)=EOMONTH($N$3,0),EE$26,0),0),IF(AND(EA$26&lt;&gt;"",EA$23&lt;&gt;""),IF(EOMONTH($DZ$3+INT((DAY(EOMONTH($DZ$3,0))-1)/2)+EA$23,0)=EOMONTH($N$3,0),EA$26,0),0),IF(AND(DW$26&lt;&gt;"",DW$23&lt;&gt;""),IF(EOMONTH($DV$3+INT((DAY(EOMONTH($DV$3,0))-1)/2)+DW$23,0)=EOMONTH($N$3,0),DW$26,0),0),IF(AND(DS$26&lt;&gt;"",DS$23&lt;&gt;""),IF(EOMONTH($DR$3+INT((DAY(EOMONTH($DR$3,0))-1)/2)+DS$23,0)=EOMONTH($N$3,0),DS$26,0),0),IF(AND(DO$26&lt;&gt;"",DO$23&lt;&gt;""),IF(EOMONTH($DN$3+INT((DAY(EOMONTH($DN$3,0))-1)/2)+DO$23,0)=EOMONTH($N$3,0),DO$26,0),0),IF(AND(DK$26&lt;&gt;"",DK$23&lt;&gt;""),IF(EOMONTH($DJ$3+INT((DAY(EOMONTH($DJ$3,0))-1)/2)+DK$23,0)=EOMONTH($N$3,0),DK$26,0),0),IF(AND(DG$26&lt;&gt;"",DG$23&lt;&gt;""),IF(EOMONTH($DF$3+INT((DAY(EOMONTH($DF$3,0))-1)/2)+DG$23,0)=EOMONTH($N$3,0),DG$26,0),0),IF(AND(DC$26&lt;&gt;"",DC$23&lt;&gt;""),IF(EOMONTH($DB$3+INT((DAY(EOMONTH($DB$3,0))-1)/2)+DC$23,0)=EOMONTH($N$3,0),DC$26,0),0),IF(AND(CY$26&lt;&gt;"",CY$23&lt;&gt;""),IF(EOMONTH($CX$3+INT((DAY(EOMONTH($CX$3,0))-1)/2)+CY$23,0)=EOMONTH($N$3,0),CY$26,0),0),IF(AND(CU$26&lt;&gt;"",CU$23&lt;&gt;""),IF(EOMONTH($CT$3+INT((DAY(EOMONTH($CT$3,0))-1)/2)+CU$23,0)=EOMONTH($N$3,0),CU$26,0),0),IF(AND(CQ$26&lt;&gt;"",CQ$23&lt;&gt;""),IF(EOMONTH($CP$3+INT((DAY(EOMONTH($CP$3,0))-1)/2)+CQ$23,0)=EOMONTH($N$3,0),CQ$26,0),0),IF(AND(CM$26&lt;&gt;"",CM$23&lt;&gt;""),IF(EOMONTH($CL$3+INT((DAY(EOMONTH($CL$3,0))-1)/2)+CM$23,0)=EOMONTH($N$3,0),CM$26,0),0),IF(AND(CI$26&lt;&gt;"",CI$23&lt;&gt;""),IF(EOMONTH($CH$3+INT((DAY(EOMONTH($CH$3,0))-1)/2)+CI$23,0)=EOMONTH($N$3,0),CI$26,0),0),IF(AND(CE$26&lt;&gt;"",CE$23&lt;&gt;""),IF(EOMONTH($CD$3+INT((DAY(EOMONTH($CD$3,0))-1)/2)+CE$23,0)=EOMONTH($N$3,0),CE$26,0),0),IF(AND(CA$26&lt;&gt;"",CA$23&lt;&gt;""),IF(EOMONTH($BZ$3+INT((DAY(EOMONTH($BZ$3,0))-1)/2)+CA$23,0)=EOMONTH($N$3,0),CA$26,0),0),IF(AND(BW$26&lt;&gt;"",BW$23&lt;&gt;""),IF(EOMONTH($BV$3+INT((DAY(EOMONTH($BV$3,0))-1)/2)+BW$23,0)=EOMONTH($N$3,0),BW$26,0),0),IF(AND(BS$26&lt;&gt;"",BS$23&lt;&gt;""),IF(EOMONTH($BR$3+INT((DAY(EOMONTH($BR$3,0))-1)/2)+BS$23,0)=EOMONTH($N$3,0),BS$26,0),0),IF(AND(BO$26&lt;&gt;"",BO$23&lt;&gt;""),IF(EOMONTH($BN$3+INT((DAY(EOMONTH($BN$3,0))-1)/2)+BO$23,0)=EOMONTH($N$3,0),BO$26,0),0),IF(AND(BK$26&lt;&gt;"",BK$23&lt;&gt;""),IF(EOMONTH($BJ$3+INT((DAY(EOMONTH($BJ$3,0))-1)/2)+BK$23,0)=EOMONTH($N$3,0),BK$26,0),0),IF(AND(BG$26&lt;&gt;"",BG$23&lt;&gt;""),IF(EOMONTH($BF$3+INT((DAY(EOMONTH($BF$3,0))-1)/2)+BG$23,0)=EOMONTH($N$3,0),BG$26,0),0),IF(AND(BC$26&lt;&gt;"",BC$23&lt;&gt;""),IF(EOMONTH($BB$3+INT((DAY(EOMONTH($BB$3,0))-1)/2)+BC$23,0)=EOMONTH($N$3,0),BC$26,0),0),IF(AND(AY$26&lt;&gt;"",AY$23&lt;&gt;""),IF(EOMONTH($AX$3+INT((DAY(EOMONTH($AX$3,0))-1)/2)+AY$23,0)=EOMONTH($N$3,0),AY$26,0),0),IF(AND(AU$26&lt;&gt;"",AU$23&lt;&gt;""),IF(EOMONTH($AT$3+INT((DAY(EOMONTH($AT$3,0))-1)/2)+AU$23,0)=EOMONTH($N$3,0),AU$26,0),0),IF(AND(AQ$26&lt;&gt;"",AQ$23&lt;&gt;""),IF(EOMONTH($AP$3+INT((DAY(EOMONTH($AP$3,0))-1)/2)+AQ$23,0)=EOMONTH($N$3,0),AQ$26,0),0),IF(AND(AM$26&lt;&gt;"",AM$23&lt;&gt;""),IF(EOMONTH($AL$3+INT((DAY(EOMONTH($AL$3,0))-1)/2)+AM$23,0)=EOMONTH($N$3,0),AM$26,0),0),IF(AND(AI$26&lt;&gt;"",AI$23&lt;&gt;""),IF(EOMONTH($AH$3+INT((DAY(EOMONTH($AH$3,0))-1)/2)+AI$23,0)=EOMONTH($N$3,0),AI$26,0),0),IF(AND(AE$26&lt;&gt;"",AE$23&lt;&gt;""),IF(EOMONTH($AD$3+INT((DAY(EOMONTH($AD$3,0))-1)/2)+AE$23,0)=EOMONTH($N$3,0),AE$26,0),0),IF(AND(AA$26&lt;&gt;"",AA$23&lt;&gt;""),IF(EOMONTH($Z$3+INT((DAY(EOMONTH($Z$3,0))-1)/2)+AA$23,0)=EOMONTH($N$3,0),AA$26,0),0),IF(AND(W$26&lt;&gt;"",W$23&lt;&gt;""),IF(EOMONTH($V$3+INT((DAY(EOMONTH($V$3,0))-1)/2)+W$23,0)=EOMONTH($N$3,0),W$26,0),0),IF(AND(S$26&lt;&gt;"",S$23&lt;&gt;""),IF(EOMONTH($R$3+INT((DAY(EOMONTH($R$3,0))-1)/2)+S$23,0)=EOMONTH($N$3,0),S$26,0),0),IF(AND(O$26&lt;&gt;"",O$23&lt;&gt;""),IF(EOMONTH($N$3+INT((DAY(EOMONTH($N$3,0))-1)/2)+O$23,0)=EOMONTH($N$3,0),O$26,0),0),IF(AND(K$26&lt;&gt;"",K$23&lt;&gt;""),IF(EOMONTH($J$3+INT((DAY(EOMONTH($J$3,0))-1)/2)+K$23,0)=EOMONTH($N$3,0),K$26,0),0),IF(AND(G$26&lt;&gt;"",G$23&lt;&gt;""),IF(EOMONTH($F$3+INT((DAY(EOMONTH($F$3,0))-1)/2)+G$23,0)=EOMONTH($N$3,0),G$26,0),0),IF($EP$75="",0,IF(EOMONTH($EP$75+EQ$23,0)=EOMONTH($N$3,0),$EP$78*EQ$13,0))),0))</f>
        <v>0</v>
      </c>
      <c r="P57" s="32">
        <f>ROUND(SUM(IF(AND(ER$26&lt;&gt;"",ER$23&lt;&gt;""),IF(EOMONTH($EP$3+INT((DAY(EOMONTH($EP$3,0))-1)/2)+ER$23,0)=EOMONTH($N$3,0),ER$26,0),0),IF(AND(EN$26&lt;&gt;"",EN$23&lt;&gt;""),IF(EOMONTH($EL$3+INT((DAY(EOMONTH($EL$3,0))-1)/2)+EN$23,0)=EOMONTH($N$3,0),EN$26,0),0),IF(AND(EJ$26&lt;&gt;"",EJ$23&lt;&gt;""),IF(EOMONTH($EH$3+INT((DAY(EOMONTH($EH$3,0))-1)/2)+EJ$23,0)=EOMONTH($N$3,0),EJ$26,0),0),IF(AND(EF$26&lt;&gt;"",EF$23&lt;&gt;""),IF(EOMONTH($ED$3+INT((DAY(EOMONTH($ED$3,0))-1)/2)+EF$23,0)=EOMONTH($N$3,0),EF$26,0),0),IF(AND(EB$26&lt;&gt;"",EB$23&lt;&gt;""),IF(EOMONTH($DZ$3+INT((DAY(EOMONTH($DZ$3,0))-1)/2)+EB$23,0)=EOMONTH($N$3,0),EB$26,0),0),IF(AND(DX$26&lt;&gt;"",DX$23&lt;&gt;""),IF(EOMONTH($DV$3+INT((DAY(EOMONTH($DV$3,0))-1)/2)+DX$23,0)=EOMONTH($N$3,0),DX$26,0),0),IF(AND(DT$26&lt;&gt;"",DT$23&lt;&gt;""),IF(EOMONTH($DR$3+INT((DAY(EOMONTH($DR$3,0))-1)/2)+DT$23,0)=EOMONTH($N$3,0),DT$26,0),0),IF(AND(DP$26&lt;&gt;"",DP$23&lt;&gt;""),IF(EOMONTH($DN$3+INT((DAY(EOMONTH($DN$3,0))-1)/2)+DP$23,0)=EOMONTH($N$3,0),DP$26,0),0),IF(AND(DL$26&lt;&gt;"",DL$23&lt;&gt;""),IF(EOMONTH($DJ$3+INT((DAY(EOMONTH($DJ$3,0))-1)/2)+DL$23,0)=EOMONTH($N$3,0),DL$26,0),0),IF(AND(DH$26&lt;&gt;"",DH$23&lt;&gt;""),IF(EOMONTH($DF$3+INT((DAY(EOMONTH($DF$3,0))-1)/2)+DH$23,0)=EOMONTH($N$3,0),DH$26,0),0),IF(AND(DD$26&lt;&gt;"",DD$23&lt;&gt;""),IF(EOMONTH($DB$3+INT((DAY(EOMONTH($DB$3,0))-1)/2)+DD$23,0)=EOMONTH($N$3,0),DD$26,0),0),IF(AND(CZ$26&lt;&gt;"",CZ$23&lt;&gt;""),IF(EOMONTH($CX$3+INT((DAY(EOMONTH($CX$3,0))-1)/2)+CZ$23,0)=EOMONTH($N$3,0),CZ$26,0),0),IF(AND(CV$26&lt;&gt;"",CV$23&lt;&gt;""),IF(EOMONTH($CT$3+INT((DAY(EOMONTH($CT$3,0))-1)/2)+CV$23,0)=EOMONTH($N$3,0),CV$26,0),0),IF(AND(CR$26&lt;&gt;"",CR$23&lt;&gt;""),IF(EOMONTH($CP$3+INT((DAY(EOMONTH($CP$3,0))-1)/2)+CR$23,0)=EOMONTH($N$3,0),CR$26,0),0),IF(AND(CN$26&lt;&gt;"",CN$23&lt;&gt;""),IF(EOMONTH($CL$3+INT((DAY(EOMONTH($CL$3,0))-1)/2)+CN$23,0)=EOMONTH($N$3,0),CN$26,0),0),IF(AND(CJ$26&lt;&gt;"",CJ$23&lt;&gt;""),IF(EOMONTH($CH$3+INT((DAY(EOMONTH($CH$3,0))-1)/2)+CJ$23,0)=EOMONTH($N$3,0),CJ$26,0),0),IF(AND(CF$26&lt;&gt;"",CF$23&lt;&gt;""),IF(EOMONTH($CD$3+INT((DAY(EOMONTH($CD$3,0))-1)/2)+CF$23,0)=EOMONTH($N$3,0),CF$26,0),0),IF(AND(CB$26&lt;&gt;"",CB$23&lt;&gt;""),IF(EOMONTH($BZ$3+INT((DAY(EOMONTH($BZ$3,0))-1)/2)+CB$23,0)=EOMONTH($N$3,0),CB$26,0),0),IF(AND(BX$26&lt;&gt;"",BX$23&lt;&gt;""),IF(EOMONTH($BV$3+INT((DAY(EOMONTH($BV$3,0))-1)/2)+BX$23,0)=EOMONTH($N$3,0),BX$26,0),0),IF(AND(BT$26&lt;&gt;"",BT$23&lt;&gt;""),IF(EOMONTH($BR$3+INT((DAY(EOMONTH($BR$3,0))-1)/2)+BT$23,0)=EOMONTH($N$3,0),BT$26,0),0),IF(AND(BP$26&lt;&gt;"",BP$23&lt;&gt;""),IF(EOMONTH($BN$3+INT((DAY(EOMONTH($BN$3,0))-1)/2)+BP$23,0)=EOMONTH($N$3,0),BP$26,0),0),IF(AND(BL$26&lt;&gt;"",BL$23&lt;&gt;""),IF(EOMONTH($BJ$3+INT((DAY(EOMONTH($BJ$3,0))-1)/2)+BL$23,0)=EOMONTH($N$3,0),BL$26,0),0),IF(AND(BH$26&lt;&gt;"",BH$23&lt;&gt;""),IF(EOMONTH($BF$3+INT((DAY(EOMONTH($BF$3,0))-1)/2)+BH$23,0)=EOMONTH($N$3,0),BH$26,0),0),IF(AND(BD$26&lt;&gt;"",BD$23&lt;&gt;""),IF(EOMONTH($BB$3+INT((DAY(EOMONTH($BB$3,0))-1)/2)+BD$23,0)=EOMONTH($N$3,0),BD$26,0),0),IF(AND(AZ$26&lt;&gt;"",AZ$23&lt;&gt;""),IF(EOMONTH($AX$3+INT((DAY(EOMONTH($AX$3,0))-1)/2)+AZ$23,0)=EOMONTH($N$3,0),AZ$26,0),0),IF(AND(AV$26&lt;&gt;"",AV$23&lt;&gt;""),IF(EOMONTH($AT$3+INT((DAY(EOMONTH($AT$3,0))-1)/2)+AV$23,0)=EOMONTH($N$3,0),AV$26,0),0),IF(AND(AR$26&lt;&gt;"",AR$23&lt;&gt;""),IF(EOMONTH($AP$3+INT((DAY(EOMONTH($AP$3,0))-1)/2)+AR$23,0)=EOMONTH($N$3,0),AR$26,0),0),IF(AND(AN$26&lt;&gt;"",AN$23&lt;&gt;""),IF(EOMONTH($AL$3+INT((DAY(EOMONTH($AL$3,0))-1)/2)+AN$23,0)=EOMONTH($N$3,0),AN$26,0),0),IF(AND(AJ$26&lt;&gt;"",AJ$23&lt;&gt;""),IF(EOMONTH($AH$3+INT((DAY(EOMONTH($AH$3,0))-1)/2)+AJ$23,0)=EOMONTH($N$3,0),AJ$26,0),0),IF(AND(AF$26&lt;&gt;"",AF$23&lt;&gt;""),IF(EOMONTH($AD$3+INT((DAY(EOMONTH($AD$3,0))-1)/2)+AF$23,0)=EOMONTH($N$3,0),AF$26,0),0),IF(AND(AB$26&lt;&gt;"",AB$23&lt;&gt;""),IF(EOMONTH($Z$3+INT((DAY(EOMONTH($Z$3,0))-1)/2)+AB$23,0)=EOMONTH($N$3,0),AB$26,0),0),IF(AND(X$26&lt;&gt;"",X$23&lt;&gt;""),IF(EOMONTH($V$3+INT((DAY(EOMONTH($V$3,0))-1)/2)+X$23,0)=EOMONTH($N$3,0),X$26,0),0),IF(AND(T$26&lt;&gt;"",T$23&lt;&gt;""),IF(EOMONTH($R$3+INT((DAY(EOMONTH($R$3,0))-1)/2)+T$23,0)=EOMONTH($N$3,0),T$26,0),0),IF(AND(P$26&lt;&gt;"",P$23&lt;&gt;""),IF(EOMONTH($N$3+INT((DAY(EOMONTH($N$3,0))-1)/2)+P$23,0)=EOMONTH($N$3,0),P$26,0),0),IF(AND(L$26&lt;&gt;"",L$23&lt;&gt;""),IF(EOMONTH($J$3+INT((DAY(EOMONTH($J$3,0))-1)/2)+L$23,0)=EOMONTH($N$3,0),L$26,0),0),IF(AND(H$26&lt;&gt;"",H$23&lt;&gt;""),IF(EOMONTH($F$3+INT((DAY(EOMONTH($F$3,0))-1)/2)+H$23,0)=EOMONTH($N$3,0),H$26,0),0),IF($EP$75="",0,IF(EOMONTH($EP$75+ER$23,0)=EOMONTH($N$3,0),$EP$78*ER$13,0))),0)</f>
        <v>0</v>
      </c>
      <c r="Q57" s="33">
        <f t="shared" ref="Q57:Q70" si="706">IFERROR(IF(OR(O57="",P57=""),"",O57-P57),"")</f>
        <v>0</v>
      </c>
      <c r="R57" s="34"/>
      <c r="S57" s="31">
        <f>IF(R$98=1,R57,ROUND(SUM(IF(AND(EQ$26&lt;&gt;"",EQ$23&lt;&gt;""),IF(EOMONTH($EP$3+INT((DAY(EOMONTH($EP$3,0))-1)/2)+EQ$23,0)=EOMONTH($R$3,0),EQ$26,0),0),IF(AND(EM$26&lt;&gt;"",EM$23&lt;&gt;""),IF(EOMONTH($EL$3+INT((DAY(EOMONTH($EL$3,0))-1)/2)+EM$23,0)=EOMONTH($R$3,0),EM$26,0),0),IF(AND(EI$26&lt;&gt;"",EI$23&lt;&gt;""),IF(EOMONTH($EH$3+INT((DAY(EOMONTH($EH$3,0))-1)/2)+EI$23,0)=EOMONTH($R$3,0),EI$26,0),0),IF(AND(EE$26&lt;&gt;"",EE$23&lt;&gt;""),IF(EOMONTH($ED$3+INT((DAY(EOMONTH($ED$3,0))-1)/2)+EE$23,0)=EOMONTH($R$3,0),EE$26,0),0),IF(AND(EA$26&lt;&gt;"",EA$23&lt;&gt;""),IF(EOMONTH($DZ$3+INT((DAY(EOMONTH($DZ$3,0))-1)/2)+EA$23,0)=EOMONTH($R$3,0),EA$26,0),0),IF(AND(DW$26&lt;&gt;"",DW$23&lt;&gt;""),IF(EOMONTH($DV$3+INT((DAY(EOMONTH($DV$3,0))-1)/2)+DW$23,0)=EOMONTH($R$3,0),DW$26,0),0),IF(AND(DS$26&lt;&gt;"",DS$23&lt;&gt;""),IF(EOMONTH($DR$3+INT((DAY(EOMONTH($DR$3,0))-1)/2)+DS$23,0)=EOMONTH($R$3,0),DS$26,0),0),IF(AND(DO$26&lt;&gt;"",DO$23&lt;&gt;""),IF(EOMONTH($DN$3+INT((DAY(EOMONTH($DN$3,0))-1)/2)+DO$23,0)=EOMONTH($R$3,0),DO$26,0),0),IF(AND(DK$26&lt;&gt;"",DK$23&lt;&gt;""),IF(EOMONTH($DJ$3+INT((DAY(EOMONTH($DJ$3,0))-1)/2)+DK$23,0)=EOMONTH($R$3,0),DK$26,0),0),IF(AND(DG$26&lt;&gt;"",DG$23&lt;&gt;""),IF(EOMONTH($DF$3+INT((DAY(EOMONTH($DF$3,0))-1)/2)+DG$23,0)=EOMONTH($R$3,0),DG$26,0),0),IF(AND(DC$26&lt;&gt;"",DC$23&lt;&gt;""),IF(EOMONTH($DB$3+INT((DAY(EOMONTH($DB$3,0))-1)/2)+DC$23,0)=EOMONTH($R$3,0),DC$26,0),0),IF(AND(CY$26&lt;&gt;"",CY$23&lt;&gt;""),IF(EOMONTH($CX$3+INT((DAY(EOMONTH($CX$3,0))-1)/2)+CY$23,0)=EOMONTH($R$3,0),CY$26,0),0),IF(AND(CU$26&lt;&gt;"",CU$23&lt;&gt;""),IF(EOMONTH($CT$3+INT((DAY(EOMONTH($CT$3,0))-1)/2)+CU$23,0)=EOMONTH($R$3,0),CU$26,0),0),IF(AND(CQ$26&lt;&gt;"",CQ$23&lt;&gt;""),IF(EOMONTH($CP$3+INT((DAY(EOMONTH($CP$3,0))-1)/2)+CQ$23,0)=EOMONTH($R$3,0),CQ$26,0),0),IF(AND(CM$26&lt;&gt;"",CM$23&lt;&gt;""),IF(EOMONTH($CL$3+INT((DAY(EOMONTH($CL$3,0))-1)/2)+CM$23,0)=EOMONTH($R$3,0),CM$26,0),0),IF(AND(CI$26&lt;&gt;"",CI$23&lt;&gt;""),IF(EOMONTH($CH$3+INT((DAY(EOMONTH($CH$3,0))-1)/2)+CI$23,0)=EOMONTH($R$3,0),CI$26,0),0),IF(AND(CE$26&lt;&gt;"",CE$23&lt;&gt;""),IF(EOMONTH($CD$3+INT((DAY(EOMONTH($CD$3,0))-1)/2)+CE$23,0)=EOMONTH($R$3,0),CE$26,0),0),IF(AND(CA$26&lt;&gt;"",CA$23&lt;&gt;""),IF(EOMONTH($BZ$3+INT((DAY(EOMONTH($BZ$3,0))-1)/2)+CA$23,0)=EOMONTH($R$3,0),CA$26,0),0),IF(AND(BW$26&lt;&gt;"",BW$23&lt;&gt;""),IF(EOMONTH($BV$3+INT((DAY(EOMONTH($BV$3,0))-1)/2)+BW$23,0)=EOMONTH($R$3,0),BW$26,0),0),IF(AND(BS$26&lt;&gt;"",BS$23&lt;&gt;""),IF(EOMONTH($BR$3+INT((DAY(EOMONTH($BR$3,0))-1)/2)+BS$23,0)=EOMONTH($R$3,0),BS$26,0),0),IF(AND(BO$26&lt;&gt;"",BO$23&lt;&gt;""),IF(EOMONTH($BN$3+INT((DAY(EOMONTH($BN$3,0))-1)/2)+BO$23,0)=EOMONTH($R$3,0),BO$26,0),0),IF(AND(BK$26&lt;&gt;"",BK$23&lt;&gt;""),IF(EOMONTH($BJ$3+INT((DAY(EOMONTH($BJ$3,0))-1)/2)+BK$23,0)=EOMONTH($R$3,0),BK$26,0),0),IF(AND(BG$26&lt;&gt;"",BG$23&lt;&gt;""),IF(EOMONTH($BF$3+INT((DAY(EOMONTH($BF$3,0))-1)/2)+BG$23,0)=EOMONTH($R$3,0),BG$26,0),0),IF(AND(BC$26&lt;&gt;"",BC$23&lt;&gt;""),IF(EOMONTH($BB$3+INT((DAY(EOMONTH($BB$3,0))-1)/2)+BC$23,0)=EOMONTH($R$3,0),BC$26,0),0),IF(AND(AY$26&lt;&gt;"",AY$23&lt;&gt;""),IF(EOMONTH($AX$3+INT((DAY(EOMONTH($AX$3,0))-1)/2)+AY$23,0)=EOMONTH($R$3,0),AY$26,0),0),IF(AND(AU$26&lt;&gt;"",AU$23&lt;&gt;""),IF(EOMONTH($AT$3+INT((DAY(EOMONTH($AT$3,0))-1)/2)+AU$23,0)=EOMONTH($R$3,0),AU$26,0),0),IF(AND(AQ$26&lt;&gt;"",AQ$23&lt;&gt;""),IF(EOMONTH($AP$3+INT((DAY(EOMONTH($AP$3,0))-1)/2)+AQ$23,0)=EOMONTH($R$3,0),AQ$26,0),0),IF(AND(AM$26&lt;&gt;"",AM$23&lt;&gt;""),IF(EOMONTH($AL$3+INT((DAY(EOMONTH($AL$3,0))-1)/2)+AM$23,0)=EOMONTH($R$3,0),AM$26,0),0),IF(AND(AI$26&lt;&gt;"",AI$23&lt;&gt;""),IF(EOMONTH($AH$3+INT((DAY(EOMONTH($AH$3,0))-1)/2)+AI$23,0)=EOMONTH($R$3,0),AI$26,0),0),IF(AND(AE$26&lt;&gt;"",AE$23&lt;&gt;""),IF(EOMONTH($AD$3+INT((DAY(EOMONTH($AD$3,0))-1)/2)+AE$23,0)=EOMONTH($R$3,0),AE$26,0),0),IF(AND(AA$26&lt;&gt;"",AA$23&lt;&gt;""),IF(EOMONTH($Z$3+INT((DAY(EOMONTH($Z$3,0))-1)/2)+AA$23,0)=EOMONTH($R$3,0),AA$26,0),0),IF(AND(W$26&lt;&gt;"",W$23&lt;&gt;""),IF(EOMONTH($V$3+INT((DAY(EOMONTH($V$3,0))-1)/2)+W$23,0)=EOMONTH($R$3,0),W$26,0),0),IF(AND(S$26&lt;&gt;"",S$23&lt;&gt;""),IF(EOMONTH($R$3+INT((DAY(EOMONTH($R$3,0))-1)/2)+S$23,0)=EOMONTH($R$3,0),S$26,0),0),IF(AND(O$26&lt;&gt;"",O$23&lt;&gt;""),IF(EOMONTH($N$3+INT((DAY(EOMONTH($N$3,0))-1)/2)+O$23,0)=EOMONTH($R$3,0),O$26,0),0),IF(AND(K$26&lt;&gt;"",K$23&lt;&gt;""),IF(EOMONTH($J$3+INT((DAY(EOMONTH($J$3,0))-1)/2)+K$23,0)=EOMONTH($R$3,0),K$26,0),0),IF(AND(G$26&lt;&gt;"",G$23&lt;&gt;""),IF(EOMONTH($F$3+INT((DAY(EOMONTH($F$3,0))-1)/2)+G$23,0)=EOMONTH($R$3,0),G$26,0),0),IF($EP$75="",0,IF(EOMONTH($EP$75+EQ$23,0)=EOMONTH($R$3,0),$EP$78*EQ$13,0))),0))</f>
        <v>0</v>
      </c>
      <c r="T57" s="32">
        <f>ROUND(SUM(IF(AND(ER$26&lt;&gt;"",ER$23&lt;&gt;""),IF(EOMONTH($EP$3+INT((DAY(EOMONTH($EP$3,0))-1)/2)+ER$23,0)=EOMONTH($R$3,0),ER$26,0),0),IF(AND(EN$26&lt;&gt;"",EN$23&lt;&gt;""),IF(EOMONTH($EL$3+INT((DAY(EOMONTH($EL$3,0))-1)/2)+EN$23,0)=EOMONTH($R$3,0),EN$26,0),0),IF(AND(EJ$26&lt;&gt;"",EJ$23&lt;&gt;""),IF(EOMONTH($EH$3+INT((DAY(EOMONTH($EH$3,0))-1)/2)+EJ$23,0)=EOMONTH($R$3,0),EJ$26,0),0),IF(AND(EF$26&lt;&gt;"",EF$23&lt;&gt;""),IF(EOMONTH($ED$3+INT((DAY(EOMONTH($ED$3,0))-1)/2)+EF$23,0)=EOMONTH($R$3,0),EF$26,0),0),IF(AND(EB$26&lt;&gt;"",EB$23&lt;&gt;""),IF(EOMONTH($DZ$3+INT((DAY(EOMONTH($DZ$3,0))-1)/2)+EB$23,0)=EOMONTH($R$3,0),EB$26,0),0),IF(AND(DX$26&lt;&gt;"",DX$23&lt;&gt;""),IF(EOMONTH($DV$3+INT((DAY(EOMONTH($DV$3,0))-1)/2)+DX$23,0)=EOMONTH($R$3,0),DX$26,0),0),IF(AND(DT$26&lt;&gt;"",DT$23&lt;&gt;""),IF(EOMONTH($DR$3+INT((DAY(EOMONTH($DR$3,0))-1)/2)+DT$23,0)=EOMONTH($R$3,0),DT$26,0),0),IF(AND(DP$26&lt;&gt;"",DP$23&lt;&gt;""),IF(EOMONTH($DN$3+INT((DAY(EOMONTH($DN$3,0))-1)/2)+DP$23,0)=EOMONTH($R$3,0),DP$26,0),0),IF(AND(DL$26&lt;&gt;"",DL$23&lt;&gt;""),IF(EOMONTH($DJ$3+INT((DAY(EOMONTH($DJ$3,0))-1)/2)+DL$23,0)=EOMONTH($R$3,0),DL$26,0),0),IF(AND(DH$26&lt;&gt;"",DH$23&lt;&gt;""),IF(EOMONTH($DF$3+INT((DAY(EOMONTH($DF$3,0))-1)/2)+DH$23,0)=EOMONTH($R$3,0),DH$26,0),0),IF(AND(DD$26&lt;&gt;"",DD$23&lt;&gt;""),IF(EOMONTH($DB$3+INT((DAY(EOMONTH($DB$3,0))-1)/2)+DD$23,0)=EOMONTH($R$3,0),DD$26,0),0),IF(AND(CZ$26&lt;&gt;"",CZ$23&lt;&gt;""),IF(EOMONTH($CX$3+INT((DAY(EOMONTH($CX$3,0))-1)/2)+CZ$23,0)=EOMONTH($R$3,0),CZ$26,0),0),IF(AND(CV$26&lt;&gt;"",CV$23&lt;&gt;""),IF(EOMONTH($CT$3+INT((DAY(EOMONTH($CT$3,0))-1)/2)+CV$23,0)=EOMONTH($R$3,0),CV$26,0),0),IF(AND(CR$26&lt;&gt;"",CR$23&lt;&gt;""),IF(EOMONTH($CP$3+INT((DAY(EOMONTH($CP$3,0))-1)/2)+CR$23,0)=EOMONTH($R$3,0),CR$26,0),0),IF(AND(CN$26&lt;&gt;"",CN$23&lt;&gt;""),IF(EOMONTH($CL$3+INT((DAY(EOMONTH($CL$3,0))-1)/2)+CN$23,0)=EOMONTH($R$3,0),CN$26,0),0),IF(AND(CJ$26&lt;&gt;"",CJ$23&lt;&gt;""),IF(EOMONTH($CH$3+INT((DAY(EOMONTH($CH$3,0))-1)/2)+CJ$23,0)=EOMONTH($R$3,0),CJ$26,0),0),IF(AND(CF$26&lt;&gt;"",CF$23&lt;&gt;""),IF(EOMONTH($CD$3+INT((DAY(EOMONTH($CD$3,0))-1)/2)+CF$23,0)=EOMONTH($R$3,0),CF$26,0),0),IF(AND(CB$26&lt;&gt;"",CB$23&lt;&gt;""),IF(EOMONTH($BZ$3+INT((DAY(EOMONTH($BZ$3,0))-1)/2)+CB$23,0)=EOMONTH($R$3,0),CB$26,0),0),IF(AND(BX$26&lt;&gt;"",BX$23&lt;&gt;""),IF(EOMONTH($BV$3+INT((DAY(EOMONTH($BV$3,0))-1)/2)+BX$23,0)=EOMONTH($R$3,0),BX$26,0),0),IF(AND(BT$26&lt;&gt;"",BT$23&lt;&gt;""),IF(EOMONTH($BR$3+INT((DAY(EOMONTH($BR$3,0))-1)/2)+BT$23,0)=EOMONTH($R$3,0),BT$26,0),0),IF(AND(BP$26&lt;&gt;"",BP$23&lt;&gt;""),IF(EOMONTH($BN$3+INT((DAY(EOMONTH($BN$3,0))-1)/2)+BP$23,0)=EOMONTH($R$3,0),BP$26,0),0),IF(AND(BL$26&lt;&gt;"",BL$23&lt;&gt;""),IF(EOMONTH($BJ$3+INT((DAY(EOMONTH($BJ$3,0))-1)/2)+BL$23,0)=EOMONTH($R$3,0),BL$26,0),0),IF(AND(BH$26&lt;&gt;"",BH$23&lt;&gt;""),IF(EOMONTH($BF$3+INT((DAY(EOMONTH($BF$3,0))-1)/2)+BH$23,0)=EOMONTH($R$3,0),BH$26,0),0),IF(AND(BD$26&lt;&gt;"",BD$23&lt;&gt;""),IF(EOMONTH($BB$3+INT((DAY(EOMONTH($BB$3,0))-1)/2)+BD$23,0)=EOMONTH($R$3,0),BD$26,0),0),IF(AND(AZ$26&lt;&gt;"",AZ$23&lt;&gt;""),IF(EOMONTH($AX$3+INT((DAY(EOMONTH($AX$3,0))-1)/2)+AZ$23,0)=EOMONTH($R$3,0),AZ$26,0),0),IF(AND(AV$26&lt;&gt;"",AV$23&lt;&gt;""),IF(EOMONTH($AT$3+INT((DAY(EOMONTH($AT$3,0))-1)/2)+AV$23,0)=EOMONTH($R$3,0),AV$26,0),0),IF(AND(AR$26&lt;&gt;"",AR$23&lt;&gt;""),IF(EOMONTH($AP$3+INT((DAY(EOMONTH($AP$3,0))-1)/2)+AR$23,0)=EOMONTH($R$3,0),AR$26,0),0),IF(AND(AN$26&lt;&gt;"",AN$23&lt;&gt;""),IF(EOMONTH($AL$3+INT((DAY(EOMONTH($AL$3,0))-1)/2)+AN$23,0)=EOMONTH($R$3,0),AN$26,0),0),IF(AND(AJ$26&lt;&gt;"",AJ$23&lt;&gt;""),IF(EOMONTH($AH$3+INT((DAY(EOMONTH($AH$3,0))-1)/2)+AJ$23,0)=EOMONTH($R$3,0),AJ$26,0),0),IF(AND(AF$26&lt;&gt;"",AF$23&lt;&gt;""),IF(EOMONTH($AD$3+INT((DAY(EOMONTH($AD$3,0))-1)/2)+AF$23,0)=EOMONTH($R$3,0),AF$26,0),0),IF(AND(AB$26&lt;&gt;"",AB$23&lt;&gt;""),IF(EOMONTH($Z$3+INT((DAY(EOMONTH($Z$3,0))-1)/2)+AB$23,0)=EOMONTH($R$3,0),AB$26,0),0),IF(AND(X$26&lt;&gt;"",X$23&lt;&gt;""),IF(EOMONTH($V$3+INT((DAY(EOMONTH($V$3,0))-1)/2)+X$23,0)=EOMONTH($R$3,0),X$26,0),0),IF(AND(T$26&lt;&gt;"",T$23&lt;&gt;""),IF(EOMONTH($R$3+INT((DAY(EOMONTH($R$3,0))-1)/2)+T$23,0)=EOMONTH($R$3,0),T$26,0),0),IF(AND(P$26&lt;&gt;"",P$23&lt;&gt;""),IF(EOMONTH($N$3+INT((DAY(EOMONTH($N$3,0))-1)/2)+P$23,0)=EOMONTH($R$3,0),P$26,0),0),IF(AND(L$26&lt;&gt;"",L$23&lt;&gt;""),IF(EOMONTH($J$3+INT((DAY(EOMONTH($J$3,0))-1)/2)+L$23,0)=EOMONTH($R$3,0),L$26,0),0),IF(AND(H$26&lt;&gt;"",H$23&lt;&gt;""),IF(EOMONTH($F$3+INT((DAY(EOMONTH($F$3,0))-1)/2)+H$23,0)=EOMONTH($R$3,0),H$26,0),0),IF($EP$75="",0,IF(EOMONTH($EP$75+ER$23,0)=EOMONTH($R$3,0),$EP$78*ER$13,0))),0)</f>
        <v>0</v>
      </c>
      <c r="U57" s="33">
        <f t="shared" ref="U57:U70" si="708">IFERROR(IF(OR(S57="",T57=""),"",S57-T57),"")</f>
        <v>0</v>
      </c>
      <c r="V57" s="34"/>
      <c r="W57" s="31">
        <f>IF(V$98=1,V57,ROUND(SUM(IF(AND(EQ$26&lt;&gt;"",EQ$23&lt;&gt;""),IF(EOMONTH($EP$3+INT((DAY(EOMONTH($EP$3,0))-1)/2)+EQ$23,0)=EOMONTH($V$3,0),EQ$26,0),0),IF(AND(EM$26&lt;&gt;"",EM$23&lt;&gt;""),IF(EOMONTH($EL$3+INT((DAY(EOMONTH($EL$3,0))-1)/2)+EM$23,0)=EOMONTH($V$3,0),EM$26,0),0),IF(AND(EI$26&lt;&gt;"",EI$23&lt;&gt;""),IF(EOMONTH($EH$3+INT((DAY(EOMONTH($EH$3,0))-1)/2)+EI$23,0)=EOMONTH($V$3,0),EI$26,0),0),IF(AND(EE$26&lt;&gt;"",EE$23&lt;&gt;""),IF(EOMONTH($ED$3+INT((DAY(EOMONTH($ED$3,0))-1)/2)+EE$23,0)=EOMONTH($V$3,0),EE$26,0),0),IF(AND(EA$26&lt;&gt;"",EA$23&lt;&gt;""),IF(EOMONTH($DZ$3+INT((DAY(EOMONTH($DZ$3,0))-1)/2)+EA$23,0)=EOMONTH($V$3,0),EA$26,0),0),IF(AND(DW$26&lt;&gt;"",DW$23&lt;&gt;""),IF(EOMONTH($DV$3+INT((DAY(EOMONTH($DV$3,0))-1)/2)+DW$23,0)=EOMONTH($V$3,0),DW$26,0),0),IF(AND(DS$26&lt;&gt;"",DS$23&lt;&gt;""),IF(EOMONTH($DR$3+INT((DAY(EOMONTH($DR$3,0))-1)/2)+DS$23,0)=EOMONTH($V$3,0),DS$26,0),0),IF(AND(DO$26&lt;&gt;"",DO$23&lt;&gt;""),IF(EOMONTH($DN$3+INT((DAY(EOMONTH($DN$3,0))-1)/2)+DO$23,0)=EOMONTH($V$3,0),DO$26,0),0),IF(AND(DK$26&lt;&gt;"",DK$23&lt;&gt;""),IF(EOMONTH($DJ$3+INT((DAY(EOMONTH($DJ$3,0))-1)/2)+DK$23,0)=EOMONTH($V$3,0),DK$26,0),0),IF(AND(DG$26&lt;&gt;"",DG$23&lt;&gt;""),IF(EOMONTH($DF$3+INT((DAY(EOMONTH($DF$3,0))-1)/2)+DG$23,0)=EOMONTH($V$3,0),DG$26,0),0),IF(AND(DC$26&lt;&gt;"",DC$23&lt;&gt;""),IF(EOMONTH($DB$3+INT((DAY(EOMONTH($DB$3,0))-1)/2)+DC$23,0)=EOMONTH($V$3,0),DC$26,0),0),IF(AND(CY$26&lt;&gt;"",CY$23&lt;&gt;""),IF(EOMONTH($CX$3+INT((DAY(EOMONTH($CX$3,0))-1)/2)+CY$23,0)=EOMONTH($V$3,0),CY$26,0),0),IF(AND(CU$26&lt;&gt;"",CU$23&lt;&gt;""),IF(EOMONTH($CT$3+INT((DAY(EOMONTH($CT$3,0))-1)/2)+CU$23,0)=EOMONTH($V$3,0),CU$26,0),0),IF(AND(CQ$26&lt;&gt;"",CQ$23&lt;&gt;""),IF(EOMONTH($CP$3+INT((DAY(EOMONTH($CP$3,0))-1)/2)+CQ$23,0)=EOMONTH($V$3,0),CQ$26,0),0),IF(AND(CM$26&lt;&gt;"",CM$23&lt;&gt;""),IF(EOMONTH($CL$3+INT((DAY(EOMONTH($CL$3,0))-1)/2)+CM$23,0)=EOMONTH($V$3,0),CM$26,0),0),IF(AND(CI$26&lt;&gt;"",CI$23&lt;&gt;""),IF(EOMONTH($CH$3+INT((DAY(EOMONTH($CH$3,0))-1)/2)+CI$23,0)=EOMONTH($V$3,0),CI$26,0),0),IF(AND(CE$26&lt;&gt;"",CE$23&lt;&gt;""),IF(EOMONTH($CD$3+INT((DAY(EOMONTH($CD$3,0))-1)/2)+CE$23,0)=EOMONTH($V$3,0),CE$26,0),0),IF(AND(CA$26&lt;&gt;"",CA$23&lt;&gt;""),IF(EOMONTH($BZ$3+INT((DAY(EOMONTH($BZ$3,0))-1)/2)+CA$23,0)=EOMONTH($V$3,0),CA$26,0),0),IF(AND(BW$26&lt;&gt;"",BW$23&lt;&gt;""),IF(EOMONTH($BV$3+INT((DAY(EOMONTH($BV$3,0))-1)/2)+BW$23,0)=EOMONTH($V$3,0),BW$26,0),0),IF(AND(BS$26&lt;&gt;"",BS$23&lt;&gt;""),IF(EOMONTH($BR$3+INT((DAY(EOMONTH($BR$3,0))-1)/2)+BS$23,0)=EOMONTH($V$3,0),BS$26,0),0),IF(AND(BO$26&lt;&gt;"",BO$23&lt;&gt;""),IF(EOMONTH($BN$3+INT((DAY(EOMONTH($BN$3,0))-1)/2)+BO$23,0)=EOMONTH($V$3,0),BO$26,0),0),IF(AND(BK$26&lt;&gt;"",BK$23&lt;&gt;""),IF(EOMONTH($BJ$3+INT((DAY(EOMONTH($BJ$3,0))-1)/2)+BK$23,0)=EOMONTH($V$3,0),BK$26,0),0),IF(AND(BG$26&lt;&gt;"",BG$23&lt;&gt;""),IF(EOMONTH($BF$3+INT((DAY(EOMONTH($BF$3,0))-1)/2)+BG$23,0)=EOMONTH($V$3,0),BG$26,0),0),IF(AND(BC$26&lt;&gt;"",BC$23&lt;&gt;""),IF(EOMONTH($BB$3+INT((DAY(EOMONTH($BB$3,0))-1)/2)+BC$23,0)=EOMONTH($V$3,0),BC$26,0),0),IF(AND(AY$26&lt;&gt;"",AY$23&lt;&gt;""),IF(EOMONTH($AX$3+INT((DAY(EOMONTH($AX$3,0))-1)/2)+AY$23,0)=EOMONTH($V$3,0),AY$26,0),0),IF(AND(AU$26&lt;&gt;"",AU$23&lt;&gt;""),IF(EOMONTH($AT$3+INT((DAY(EOMONTH($AT$3,0))-1)/2)+AU$23,0)=EOMONTH($V$3,0),AU$26,0),0),IF(AND(AQ$26&lt;&gt;"",AQ$23&lt;&gt;""),IF(EOMONTH($AP$3+INT((DAY(EOMONTH($AP$3,0))-1)/2)+AQ$23,0)=EOMONTH($V$3,0),AQ$26,0),0),IF(AND(AM$26&lt;&gt;"",AM$23&lt;&gt;""),IF(EOMONTH($AL$3+INT((DAY(EOMONTH($AL$3,0))-1)/2)+AM$23,0)=EOMONTH($V$3,0),AM$26,0),0),IF(AND(AI$26&lt;&gt;"",AI$23&lt;&gt;""),IF(EOMONTH($AH$3+INT((DAY(EOMONTH($AH$3,0))-1)/2)+AI$23,0)=EOMONTH($V$3,0),AI$26,0),0),IF(AND(AE$26&lt;&gt;"",AE$23&lt;&gt;""),IF(EOMONTH($AD$3+INT((DAY(EOMONTH($AD$3,0))-1)/2)+AE$23,0)=EOMONTH($V$3,0),AE$26,0),0),IF(AND(AA$26&lt;&gt;"",AA$23&lt;&gt;""),IF(EOMONTH($Z$3+INT((DAY(EOMONTH($Z$3,0))-1)/2)+AA$23,0)=EOMONTH($V$3,0),AA$26,0),0),IF(AND(W$26&lt;&gt;"",W$23&lt;&gt;""),IF(EOMONTH($V$3+INT((DAY(EOMONTH($V$3,0))-1)/2)+W$23,0)=EOMONTH($V$3,0),W$26,0),0),IF(AND(S$26&lt;&gt;"",S$23&lt;&gt;""),IF(EOMONTH($R$3+INT((DAY(EOMONTH($R$3,0))-1)/2)+S$23,0)=EOMONTH($V$3,0),S$26,0),0),IF(AND(O$26&lt;&gt;"",O$23&lt;&gt;""),IF(EOMONTH($N$3+INT((DAY(EOMONTH($N$3,0))-1)/2)+O$23,0)=EOMONTH($V$3,0),O$26,0),0),IF(AND(K$26&lt;&gt;"",K$23&lt;&gt;""),IF(EOMONTH($J$3+INT((DAY(EOMONTH($J$3,0))-1)/2)+K$23,0)=EOMONTH($V$3,0),K$26,0),0),IF(AND(G$26&lt;&gt;"",G$23&lt;&gt;""),IF(EOMONTH($F$3+INT((DAY(EOMONTH($F$3,0))-1)/2)+G$23,0)=EOMONTH($V$3,0),G$26,0),0),IF($EP$75="",0,IF(EOMONTH($EP$75+EQ$23,0)=EOMONTH($V$3,0),$EP$78*EQ$13,0))),0))</f>
        <v>0</v>
      </c>
      <c r="X57" s="32">
        <f>ROUND(SUM(IF(AND(ER$26&lt;&gt;"",ER$23&lt;&gt;""),IF(EOMONTH($EP$3+INT((DAY(EOMONTH($EP$3,0))-1)/2)+ER$23,0)=EOMONTH($V$3,0),ER$26,0),0),IF(AND(EN$26&lt;&gt;"",EN$23&lt;&gt;""),IF(EOMONTH($EL$3+INT((DAY(EOMONTH($EL$3,0))-1)/2)+EN$23,0)=EOMONTH($V$3,0),EN$26,0),0),IF(AND(EJ$26&lt;&gt;"",EJ$23&lt;&gt;""),IF(EOMONTH($EH$3+INT((DAY(EOMONTH($EH$3,0))-1)/2)+EJ$23,0)=EOMONTH($V$3,0),EJ$26,0),0),IF(AND(EF$26&lt;&gt;"",EF$23&lt;&gt;""),IF(EOMONTH($ED$3+INT((DAY(EOMONTH($ED$3,0))-1)/2)+EF$23,0)=EOMONTH($V$3,0),EF$26,0),0),IF(AND(EB$26&lt;&gt;"",EB$23&lt;&gt;""),IF(EOMONTH($DZ$3+INT((DAY(EOMONTH($DZ$3,0))-1)/2)+EB$23,0)=EOMONTH($V$3,0),EB$26,0),0),IF(AND(DX$26&lt;&gt;"",DX$23&lt;&gt;""),IF(EOMONTH($DV$3+INT((DAY(EOMONTH($DV$3,0))-1)/2)+DX$23,0)=EOMONTH($V$3,0),DX$26,0),0),IF(AND(DT$26&lt;&gt;"",DT$23&lt;&gt;""),IF(EOMONTH($DR$3+INT((DAY(EOMONTH($DR$3,0))-1)/2)+DT$23,0)=EOMONTH($V$3,0),DT$26,0),0),IF(AND(DP$26&lt;&gt;"",DP$23&lt;&gt;""),IF(EOMONTH($DN$3+INT((DAY(EOMONTH($DN$3,0))-1)/2)+DP$23,0)=EOMONTH($V$3,0),DP$26,0),0),IF(AND(DL$26&lt;&gt;"",DL$23&lt;&gt;""),IF(EOMONTH($DJ$3+INT((DAY(EOMONTH($DJ$3,0))-1)/2)+DL$23,0)=EOMONTH($V$3,0),DL$26,0),0),IF(AND(DH$26&lt;&gt;"",DH$23&lt;&gt;""),IF(EOMONTH($DF$3+INT((DAY(EOMONTH($DF$3,0))-1)/2)+DH$23,0)=EOMONTH($V$3,0),DH$26,0),0),IF(AND(DD$26&lt;&gt;"",DD$23&lt;&gt;""),IF(EOMONTH($DB$3+INT((DAY(EOMONTH($DB$3,0))-1)/2)+DD$23,0)=EOMONTH($V$3,0),DD$26,0),0),IF(AND(CZ$26&lt;&gt;"",CZ$23&lt;&gt;""),IF(EOMONTH($CX$3+INT((DAY(EOMONTH($CX$3,0))-1)/2)+CZ$23,0)=EOMONTH($V$3,0),CZ$26,0),0),IF(AND(CV$26&lt;&gt;"",CV$23&lt;&gt;""),IF(EOMONTH($CT$3+INT((DAY(EOMONTH($CT$3,0))-1)/2)+CV$23,0)=EOMONTH($V$3,0),CV$26,0),0),IF(AND(CR$26&lt;&gt;"",CR$23&lt;&gt;""),IF(EOMONTH($CP$3+INT((DAY(EOMONTH($CP$3,0))-1)/2)+CR$23,0)=EOMONTH($V$3,0),CR$26,0),0),IF(AND(CN$26&lt;&gt;"",CN$23&lt;&gt;""),IF(EOMONTH($CL$3+INT((DAY(EOMONTH($CL$3,0))-1)/2)+CN$23,0)=EOMONTH($V$3,0),CN$26,0),0),IF(AND(CJ$26&lt;&gt;"",CJ$23&lt;&gt;""),IF(EOMONTH($CH$3+INT((DAY(EOMONTH($CH$3,0))-1)/2)+CJ$23,0)=EOMONTH($V$3,0),CJ$26,0),0),IF(AND(CF$26&lt;&gt;"",CF$23&lt;&gt;""),IF(EOMONTH($CD$3+INT((DAY(EOMONTH($CD$3,0))-1)/2)+CF$23,0)=EOMONTH($V$3,0),CF$26,0),0),IF(AND(CB$26&lt;&gt;"",CB$23&lt;&gt;""),IF(EOMONTH($BZ$3+INT((DAY(EOMONTH($BZ$3,0))-1)/2)+CB$23,0)=EOMONTH($V$3,0),CB$26,0),0),IF(AND(BX$26&lt;&gt;"",BX$23&lt;&gt;""),IF(EOMONTH($BV$3+INT((DAY(EOMONTH($BV$3,0))-1)/2)+BX$23,0)=EOMONTH($V$3,0),BX$26,0),0),IF(AND(BT$26&lt;&gt;"",BT$23&lt;&gt;""),IF(EOMONTH($BR$3+INT((DAY(EOMONTH($BR$3,0))-1)/2)+BT$23,0)=EOMONTH($V$3,0),BT$26,0),0),IF(AND(BP$26&lt;&gt;"",BP$23&lt;&gt;""),IF(EOMONTH($BN$3+INT((DAY(EOMONTH($BN$3,0))-1)/2)+BP$23,0)=EOMONTH($V$3,0),BP$26,0),0),IF(AND(BL$26&lt;&gt;"",BL$23&lt;&gt;""),IF(EOMONTH($BJ$3+INT((DAY(EOMONTH($BJ$3,0))-1)/2)+BL$23,0)=EOMONTH($V$3,0),BL$26,0),0),IF(AND(BH$26&lt;&gt;"",BH$23&lt;&gt;""),IF(EOMONTH($BF$3+INT((DAY(EOMONTH($BF$3,0))-1)/2)+BH$23,0)=EOMONTH($V$3,0),BH$26,0),0),IF(AND(BD$26&lt;&gt;"",BD$23&lt;&gt;""),IF(EOMONTH($BB$3+INT((DAY(EOMONTH($BB$3,0))-1)/2)+BD$23,0)=EOMONTH($V$3,0),BD$26,0),0),IF(AND(AZ$26&lt;&gt;"",AZ$23&lt;&gt;""),IF(EOMONTH($AX$3+INT((DAY(EOMONTH($AX$3,0))-1)/2)+AZ$23,0)=EOMONTH($V$3,0),AZ$26,0),0),IF(AND(AV$26&lt;&gt;"",AV$23&lt;&gt;""),IF(EOMONTH($AT$3+INT((DAY(EOMONTH($AT$3,0))-1)/2)+AV$23,0)=EOMONTH($V$3,0),AV$26,0),0),IF(AND(AR$26&lt;&gt;"",AR$23&lt;&gt;""),IF(EOMONTH($AP$3+INT((DAY(EOMONTH($AP$3,0))-1)/2)+AR$23,0)=EOMONTH($V$3,0),AR$26,0),0),IF(AND(AN$26&lt;&gt;"",AN$23&lt;&gt;""),IF(EOMONTH($AL$3+INT((DAY(EOMONTH($AL$3,0))-1)/2)+AN$23,0)=EOMONTH($V$3,0),AN$26,0),0),IF(AND(AJ$26&lt;&gt;"",AJ$23&lt;&gt;""),IF(EOMONTH($AH$3+INT((DAY(EOMONTH($AH$3,0))-1)/2)+AJ$23,0)=EOMONTH($V$3,0),AJ$26,0),0),IF(AND(AF$26&lt;&gt;"",AF$23&lt;&gt;""),IF(EOMONTH($AD$3+INT((DAY(EOMONTH($AD$3,0))-1)/2)+AF$23,0)=EOMONTH($V$3,0),AF$26,0),0),IF(AND(AB$26&lt;&gt;"",AB$23&lt;&gt;""),IF(EOMONTH($Z$3+INT((DAY(EOMONTH($Z$3,0))-1)/2)+AB$23,0)=EOMONTH($V$3,0),AB$26,0),0),IF(AND(X$26&lt;&gt;"",X$23&lt;&gt;""),IF(EOMONTH($V$3+INT((DAY(EOMONTH($V$3,0))-1)/2)+X$23,0)=EOMONTH($V$3,0),X$26,0),0),IF(AND(T$26&lt;&gt;"",T$23&lt;&gt;""),IF(EOMONTH($R$3+INT((DAY(EOMONTH($R$3,0))-1)/2)+T$23,0)=EOMONTH($V$3,0),T$26,0),0),IF(AND(P$26&lt;&gt;"",P$23&lt;&gt;""),IF(EOMONTH($N$3+INT((DAY(EOMONTH($N$3,0))-1)/2)+P$23,0)=EOMONTH($V$3,0),P$26,0),0),IF(AND(L$26&lt;&gt;"",L$23&lt;&gt;""),IF(EOMONTH($J$3+INT((DAY(EOMONTH($J$3,0))-1)/2)+L$23,0)=EOMONTH($V$3,0),L$26,0),0),IF(AND(H$26&lt;&gt;"",H$23&lt;&gt;""),IF(EOMONTH($F$3+INT((DAY(EOMONTH($F$3,0))-1)/2)+H$23,0)=EOMONTH($V$3,0),H$26,0),0),IF($EP$75="",0,IF(EOMONTH($EP$75+ER$23,0)=EOMONTH($V$3,0),$EP$78*ER$13,0))),0)</f>
        <v>0</v>
      </c>
      <c r="Y57" s="33">
        <f t="shared" ref="Y57:Y70" si="710">IFERROR(IF(OR(W57="",X57=""),"",W57-X57),"")</f>
        <v>0</v>
      </c>
      <c r="Z57" s="34"/>
      <c r="AA57" s="31">
        <f>IF(Z$98=1,Z57,ROUND(SUM(IF(AND(EQ$26&lt;&gt;"",EQ$23&lt;&gt;""),IF(EOMONTH($EP$3+INT((DAY(EOMONTH($EP$3,0))-1)/2)+EQ$23,0)=EOMONTH($Z$3,0),EQ$26,0),0),IF(AND(EM$26&lt;&gt;"",EM$23&lt;&gt;""),IF(EOMONTH($EL$3+INT((DAY(EOMONTH($EL$3,0))-1)/2)+EM$23,0)=EOMONTH($Z$3,0),EM$26,0),0),IF(AND(EI$26&lt;&gt;"",EI$23&lt;&gt;""),IF(EOMONTH($EH$3+INT((DAY(EOMONTH($EH$3,0))-1)/2)+EI$23,0)=EOMONTH($Z$3,0),EI$26,0),0),IF(AND(EE$26&lt;&gt;"",EE$23&lt;&gt;""),IF(EOMONTH($ED$3+INT((DAY(EOMONTH($ED$3,0))-1)/2)+EE$23,0)=EOMONTH($Z$3,0),EE$26,0),0),IF(AND(EA$26&lt;&gt;"",EA$23&lt;&gt;""),IF(EOMONTH($DZ$3+INT((DAY(EOMONTH($DZ$3,0))-1)/2)+EA$23,0)=EOMONTH($Z$3,0),EA$26,0),0),IF(AND(DW$26&lt;&gt;"",DW$23&lt;&gt;""),IF(EOMONTH($DV$3+INT((DAY(EOMONTH($DV$3,0))-1)/2)+DW$23,0)=EOMONTH($Z$3,0),DW$26,0),0),IF(AND(DS$26&lt;&gt;"",DS$23&lt;&gt;""),IF(EOMONTH($DR$3+INT((DAY(EOMONTH($DR$3,0))-1)/2)+DS$23,0)=EOMONTH($Z$3,0),DS$26,0),0),IF(AND(DO$26&lt;&gt;"",DO$23&lt;&gt;""),IF(EOMONTH($DN$3+INT((DAY(EOMONTH($DN$3,0))-1)/2)+DO$23,0)=EOMONTH($Z$3,0),DO$26,0),0),IF(AND(DK$26&lt;&gt;"",DK$23&lt;&gt;""),IF(EOMONTH($DJ$3+INT((DAY(EOMONTH($DJ$3,0))-1)/2)+DK$23,0)=EOMONTH($Z$3,0),DK$26,0),0),IF(AND(DG$26&lt;&gt;"",DG$23&lt;&gt;""),IF(EOMONTH($DF$3+INT((DAY(EOMONTH($DF$3,0))-1)/2)+DG$23,0)=EOMONTH($Z$3,0),DG$26,0),0),IF(AND(DC$26&lt;&gt;"",DC$23&lt;&gt;""),IF(EOMONTH($DB$3+INT((DAY(EOMONTH($DB$3,0))-1)/2)+DC$23,0)=EOMONTH($Z$3,0),DC$26,0),0),IF(AND(CY$26&lt;&gt;"",CY$23&lt;&gt;""),IF(EOMONTH($CX$3+INT((DAY(EOMONTH($CX$3,0))-1)/2)+CY$23,0)=EOMONTH($Z$3,0),CY$26,0),0),IF(AND(CU$26&lt;&gt;"",CU$23&lt;&gt;""),IF(EOMONTH($CT$3+INT((DAY(EOMONTH($CT$3,0))-1)/2)+CU$23,0)=EOMONTH($Z$3,0),CU$26,0),0),IF(AND(CQ$26&lt;&gt;"",CQ$23&lt;&gt;""),IF(EOMONTH($CP$3+INT((DAY(EOMONTH($CP$3,0))-1)/2)+CQ$23,0)=EOMONTH($Z$3,0),CQ$26,0),0),IF(AND(CM$26&lt;&gt;"",CM$23&lt;&gt;""),IF(EOMONTH($CL$3+INT((DAY(EOMONTH($CL$3,0))-1)/2)+CM$23,0)=EOMONTH($Z$3,0),CM$26,0),0),IF(AND(CI$26&lt;&gt;"",CI$23&lt;&gt;""),IF(EOMONTH($CH$3+INT((DAY(EOMONTH($CH$3,0))-1)/2)+CI$23,0)=EOMONTH($Z$3,0),CI$26,0),0),IF(AND(CE$26&lt;&gt;"",CE$23&lt;&gt;""),IF(EOMONTH($CD$3+INT((DAY(EOMONTH($CD$3,0))-1)/2)+CE$23,0)=EOMONTH($Z$3,0),CE$26,0),0),IF(AND(CA$26&lt;&gt;"",CA$23&lt;&gt;""),IF(EOMONTH($BZ$3+INT((DAY(EOMONTH($BZ$3,0))-1)/2)+CA$23,0)=EOMONTH($Z$3,0),CA$26,0),0),IF(AND(BW$26&lt;&gt;"",BW$23&lt;&gt;""),IF(EOMONTH($BV$3+INT((DAY(EOMONTH($BV$3,0))-1)/2)+BW$23,0)=EOMONTH($Z$3,0),BW$26,0),0),IF(AND(BS$26&lt;&gt;"",BS$23&lt;&gt;""),IF(EOMONTH($BR$3+INT((DAY(EOMONTH($BR$3,0))-1)/2)+BS$23,0)=EOMONTH($Z$3,0),BS$26,0),0),IF(AND(BO$26&lt;&gt;"",BO$23&lt;&gt;""),IF(EOMONTH($BN$3+INT((DAY(EOMONTH($BN$3,0))-1)/2)+BO$23,0)=EOMONTH($Z$3,0),BO$26,0),0),IF(AND(BK$26&lt;&gt;"",BK$23&lt;&gt;""),IF(EOMONTH($BJ$3+INT((DAY(EOMONTH($BJ$3,0))-1)/2)+BK$23,0)=EOMONTH($Z$3,0),BK$26,0),0),IF(AND(BG$26&lt;&gt;"",BG$23&lt;&gt;""),IF(EOMONTH($BF$3+INT((DAY(EOMONTH($BF$3,0))-1)/2)+BG$23,0)=EOMONTH($Z$3,0),BG$26,0),0),IF(AND(BC$26&lt;&gt;"",BC$23&lt;&gt;""),IF(EOMONTH($BB$3+INT((DAY(EOMONTH($BB$3,0))-1)/2)+BC$23,0)=EOMONTH($Z$3,0),BC$26,0),0),IF(AND(AY$26&lt;&gt;"",AY$23&lt;&gt;""),IF(EOMONTH($AX$3+INT((DAY(EOMONTH($AX$3,0))-1)/2)+AY$23,0)=EOMONTH($Z$3,0),AY$26,0),0),IF(AND(AU$26&lt;&gt;"",AU$23&lt;&gt;""),IF(EOMONTH($AT$3+INT((DAY(EOMONTH($AT$3,0))-1)/2)+AU$23,0)=EOMONTH($Z$3,0),AU$26,0),0),IF(AND(AQ$26&lt;&gt;"",AQ$23&lt;&gt;""),IF(EOMONTH($AP$3+INT((DAY(EOMONTH($AP$3,0))-1)/2)+AQ$23,0)=EOMONTH($Z$3,0),AQ$26,0),0),IF(AND(AM$26&lt;&gt;"",AM$23&lt;&gt;""),IF(EOMONTH($AL$3+INT((DAY(EOMONTH($AL$3,0))-1)/2)+AM$23,0)=EOMONTH($Z$3,0),AM$26,0),0),IF(AND(AI$26&lt;&gt;"",AI$23&lt;&gt;""),IF(EOMONTH($AH$3+INT((DAY(EOMONTH($AH$3,0))-1)/2)+AI$23,0)=EOMONTH($Z$3,0),AI$26,0),0),IF(AND(AE$26&lt;&gt;"",AE$23&lt;&gt;""),IF(EOMONTH($AD$3+INT((DAY(EOMONTH($AD$3,0))-1)/2)+AE$23,0)=EOMONTH($Z$3,0),AE$26,0),0),IF(AND(AA$26&lt;&gt;"",AA$23&lt;&gt;""),IF(EOMONTH($Z$3+INT((DAY(EOMONTH($Z$3,0))-1)/2)+AA$23,0)=EOMONTH($Z$3,0),AA$26,0),0),IF(AND(W$26&lt;&gt;"",W$23&lt;&gt;""),IF(EOMONTH($V$3+INT((DAY(EOMONTH($V$3,0))-1)/2)+W$23,0)=EOMONTH($Z$3,0),W$26,0),0),IF(AND(S$26&lt;&gt;"",S$23&lt;&gt;""),IF(EOMONTH($R$3+INT((DAY(EOMONTH($R$3,0))-1)/2)+S$23,0)=EOMONTH($Z$3,0),S$26,0),0),IF(AND(O$26&lt;&gt;"",O$23&lt;&gt;""),IF(EOMONTH($N$3+INT((DAY(EOMONTH($N$3,0))-1)/2)+O$23,0)=EOMONTH($Z$3,0),O$26,0),0),IF(AND(K$26&lt;&gt;"",K$23&lt;&gt;""),IF(EOMONTH($J$3+INT((DAY(EOMONTH($J$3,0))-1)/2)+K$23,0)=EOMONTH($Z$3,0),K$26,0),0),IF(AND(G$26&lt;&gt;"",G$23&lt;&gt;""),IF(EOMONTH($F$3+INT((DAY(EOMONTH($F$3,0))-1)/2)+G$23,0)=EOMONTH($Z$3,0),G$26,0),0),IF($EP$75="",0,IF(EOMONTH($EP$75+EQ$23,0)=EOMONTH($Z$3,0),$EP$78*EQ$13,0))),0))</f>
        <v>0</v>
      </c>
      <c r="AB57" s="32">
        <f>ROUND(SUM(IF(AND(ER$26&lt;&gt;"",ER$23&lt;&gt;""),IF(EOMONTH($EP$3+INT((DAY(EOMONTH($EP$3,0))-1)/2)+ER$23,0)=EOMONTH($Z$3,0),ER$26,0),0),IF(AND(EN$26&lt;&gt;"",EN$23&lt;&gt;""),IF(EOMONTH($EL$3+INT((DAY(EOMONTH($EL$3,0))-1)/2)+EN$23,0)=EOMONTH($Z$3,0),EN$26,0),0),IF(AND(EJ$26&lt;&gt;"",EJ$23&lt;&gt;""),IF(EOMONTH($EH$3+INT((DAY(EOMONTH($EH$3,0))-1)/2)+EJ$23,0)=EOMONTH($Z$3,0),EJ$26,0),0),IF(AND(EF$26&lt;&gt;"",EF$23&lt;&gt;""),IF(EOMONTH($ED$3+INT((DAY(EOMONTH($ED$3,0))-1)/2)+EF$23,0)=EOMONTH($Z$3,0),EF$26,0),0),IF(AND(EB$26&lt;&gt;"",EB$23&lt;&gt;""),IF(EOMONTH($DZ$3+INT((DAY(EOMONTH($DZ$3,0))-1)/2)+EB$23,0)=EOMONTH($Z$3,0),EB$26,0),0),IF(AND(DX$26&lt;&gt;"",DX$23&lt;&gt;""),IF(EOMONTH($DV$3+INT((DAY(EOMONTH($DV$3,0))-1)/2)+DX$23,0)=EOMONTH($Z$3,0),DX$26,0),0),IF(AND(DT$26&lt;&gt;"",DT$23&lt;&gt;""),IF(EOMONTH($DR$3+INT((DAY(EOMONTH($DR$3,0))-1)/2)+DT$23,0)=EOMONTH($Z$3,0),DT$26,0),0),IF(AND(DP$26&lt;&gt;"",DP$23&lt;&gt;""),IF(EOMONTH($DN$3+INT((DAY(EOMONTH($DN$3,0))-1)/2)+DP$23,0)=EOMONTH($Z$3,0),DP$26,0),0),IF(AND(DL$26&lt;&gt;"",DL$23&lt;&gt;""),IF(EOMONTH($DJ$3+INT((DAY(EOMONTH($DJ$3,0))-1)/2)+DL$23,0)=EOMONTH($Z$3,0),DL$26,0),0),IF(AND(DH$26&lt;&gt;"",DH$23&lt;&gt;""),IF(EOMONTH($DF$3+INT((DAY(EOMONTH($DF$3,0))-1)/2)+DH$23,0)=EOMONTH($Z$3,0),DH$26,0),0),IF(AND(DD$26&lt;&gt;"",DD$23&lt;&gt;""),IF(EOMONTH($DB$3+INT((DAY(EOMONTH($DB$3,0))-1)/2)+DD$23,0)=EOMONTH($Z$3,0),DD$26,0),0),IF(AND(CZ$26&lt;&gt;"",CZ$23&lt;&gt;""),IF(EOMONTH($CX$3+INT((DAY(EOMONTH($CX$3,0))-1)/2)+CZ$23,0)=EOMONTH($Z$3,0),CZ$26,0),0),IF(AND(CV$26&lt;&gt;"",CV$23&lt;&gt;""),IF(EOMONTH($CT$3+INT((DAY(EOMONTH($CT$3,0))-1)/2)+CV$23,0)=EOMONTH($Z$3,0),CV$26,0),0),IF(AND(CR$26&lt;&gt;"",CR$23&lt;&gt;""),IF(EOMONTH($CP$3+INT((DAY(EOMONTH($CP$3,0))-1)/2)+CR$23,0)=EOMONTH($Z$3,0),CR$26,0),0),IF(AND(CN$26&lt;&gt;"",CN$23&lt;&gt;""),IF(EOMONTH($CL$3+INT((DAY(EOMONTH($CL$3,0))-1)/2)+CN$23,0)=EOMONTH($Z$3,0),CN$26,0),0),IF(AND(CJ$26&lt;&gt;"",CJ$23&lt;&gt;""),IF(EOMONTH($CH$3+INT((DAY(EOMONTH($CH$3,0))-1)/2)+CJ$23,0)=EOMONTH($Z$3,0),CJ$26,0),0),IF(AND(CF$26&lt;&gt;"",CF$23&lt;&gt;""),IF(EOMONTH($CD$3+INT((DAY(EOMONTH($CD$3,0))-1)/2)+CF$23,0)=EOMONTH($Z$3,0),CF$26,0),0),IF(AND(CB$26&lt;&gt;"",CB$23&lt;&gt;""),IF(EOMONTH($BZ$3+INT((DAY(EOMONTH($BZ$3,0))-1)/2)+CB$23,0)=EOMONTH($Z$3,0),CB$26,0),0),IF(AND(BX$26&lt;&gt;"",BX$23&lt;&gt;""),IF(EOMONTH($BV$3+INT((DAY(EOMONTH($BV$3,0))-1)/2)+BX$23,0)=EOMONTH($Z$3,0),BX$26,0),0),IF(AND(BT$26&lt;&gt;"",BT$23&lt;&gt;""),IF(EOMONTH($BR$3+INT((DAY(EOMONTH($BR$3,0))-1)/2)+BT$23,0)=EOMONTH($Z$3,0),BT$26,0),0),IF(AND(BP$26&lt;&gt;"",BP$23&lt;&gt;""),IF(EOMONTH($BN$3+INT((DAY(EOMONTH($BN$3,0))-1)/2)+BP$23,0)=EOMONTH($Z$3,0),BP$26,0),0),IF(AND(BL$26&lt;&gt;"",BL$23&lt;&gt;""),IF(EOMONTH($BJ$3+INT((DAY(EOMONTH($BJ$3,0))-1)/2)+BL$23,0)=EOMONTH($Z$3,0),BL$26,0),0),IF(AND(BH$26&lt;&gt;"",BH$23&lt;&gt;""),IF(EOMONTH($BF$3+INT((DAY(EOMONTH($BF$3,0))-1)/2)+BH$23,0)=EOMONTH($Z$3,0),BH$26,0),0),IF(AND(BD$26&lt;&gt;"",BD$23&lt;&gt;""),IF(EOMONTH($BB$3+INT((DAY(EOMONTH($BB$3,0))-1)/2)+BD$23,0)=EOMONTH($Z$3,0),BD$26,0),0),IF(AND(AZ$26&lt;&gt;"",AZ$23&lt;&gt;""),IF(EOMONTH($AX$3+INT((DAY(EOMONTH($AX$3,0))-1)/2)+AZ$23,0)=EOMONTH($Z$3,0),AZ$26,0),0),IF(AND(AV$26&lt;&gt;"",AV$23&lt;&gt;""),IF(EOMONTH($AT$3+INT((DAY(EOMONTH($AT$3,0))-1)/2)+AV$23,0)=EOMONTH($Z$3,0),AV$26,0),0),IF(AND(AR$26&lt;&gt;"",AR$23&lt;&gt;""),IF(EOMONTH($AP$3+INT((DAY(EOMONTH($AP$3,0))-1)/2)+AR$23,0)=EOMONTH($Z$3,0),AR$26,0),0),IF(AND(AN$26&lt;&gt;"",AN$23&lt;&gt;""),IF(EOMONTH($AL$3+INT((DAY(EOMONTH($AL$3,0))-1)/2)+AN$23,0)=EOMONTH($Z$3,0),AN$26,0),0),IF(AND(AJ$26&lt;&gt;"",AJ$23&lt;&gt;""),IF(EOMONTH($AH$3+INT((DAY(EOMONTH($AH$3,0))-1)/2)+AJ$23,0)=EOMONTH($Z$3,0),AJ$26,0),0),IF(AND(AF$26&lt;&gt;"",AF$23&lt;&gt;""),IF(EOMONTH($AD$3+INT((DAY(EOMONTH($AD$3,0))-1)/2)+AF$23,0)=EOMONTH($Z$3,0),AF$26,0),0),IF(AND(AB$26&lt;&gt;"",AB$23&lt;&gt;""),IF(EOMONTH($Z$3+INT((DAY(EOMONTH($Z$3,0))-1)/2)+AB$23,0)=EOMONTH($Z$3,0),AB$26,0),0),IF(AND(X$26&lt;&gt;"",X$23&lt;&gt;""),IF(EOMONTH($V$3+INT((DAY(EOMONTH($V$3,0))-1)/2)+X$23,0)=EOMONTH($Z$3,0),X$26,0),0),IF(AND(T$26&lt;&gt;"",T$23&lt;&gt;""),IF(EOMONTH($R$3+INT((DAY(EOMONTH($R$3,0))-1)/2)+T$23,0)=EOMONTH($Z$3,0),T$26,0),0),IF(AND(P$26&lt;&gt;"",P$23&lt;&gt;""),IF(EOMONTH($N$3+INT((DAY(EOMONTH($N$3,0))-1)/2)+P$23,0)=EOMONTH($Z$3,0),P$26,0),0),IF(AND(L$26&lt;&gt;"",L$23&lt;&gt;""),IF(EOMONTH($J$3+INT((DAY(EOMONTH($J$3,0))-1)/2)+L$23,0)=EOMONTH($Z$3,0),L$26,0),0),IF(AND(H$26&lt;&gt;"",H$23&lt;&gt;""),IF(EOMONTH($F$3+INT((DAY(EOMONTH($F$3,0))-1)/2)+H$23,0)=EOMONTH($Z$3,0),H$26,0),0),IF($EP$75="",0,IF(EOMONTH($EP$75+ER$23,0)=EOMONTH($Z$3,0),$EP$78*ER$13,0))),0)</f>
        <v>0</v>
      </c>
      <c r="AC57" s="33">
        <f t="shared" ref="AC57:AC70" si="712">IFERROR(IF(OR(AA57="",AB57=""),"",AA57-AB57),"")</f>
        <v>0</v>
      </c>
      <c r="AD57" s="34"/>
      <c r="AE57" s="31">
        <f>IF(AD$98=1,AD57,ROUND(SUM(IF(AND(EQ$26&lt;&gt;"",EQ$23&lt;&gt;""),IF(EOMONTH($EP$3+INT((DAY(EOMONTH($EP$3,0))-1)/2)+EQ$23,0)=EOMONTH($AD$3,0),EQ$26,0),0),IF(AND(EM$26&lt;&gt;"",EM$23&lt;&gt;""),IF(EOMONTH($EL$3+INT((DAY(EOMONTH($EL$3,0))-1)/2)+EM$23,0)=EOMONTH($AD$3,0),EM$26,0),0),IF(AND(EI$26&lt;&gt;"",EI$23&lt;&gt;""),IF(EOMONTH($EH$3+INT((DAY(EOMONTH($EH$3,0))-1)/2)+EI$23,0)=EOMONTH($AD$3,0),EI$26,0),0),IF(AND(EE$26&lt;&gt;"",EE$23&lt;&gt;""),IF(EOMONTH($ED$3+INT((DAY(EOMONTH($ED$3,0))-1)/2)+EE$23,0)=EOMONTH($AD$3,0),EE$26,0),0),IF(AND(EA$26&lt;&gt;"",EA$23&lt;&gt;""),IF(EOMONTH($DZ$3+INT((DAY(EOMONTH($DZ$3,0))-1)/2)+EA$23,0)=EOMONTH($AD$3,0),EA$26,0),0),IF(AND(DW$26&lt;&gt;"",DW$23&lt;&gt;""),IF(EOMONTH($DV$3+INT((DAY(EOMONTH($DV$3,0))-1)/2)+DW$23,0)=EOMONTH($AD$3,0),DW$26,0),0),IF(AND(DS$26&lt;&gt;"",DS$23&lt;&gt;""),IF(EOMONTH($DR$3+INT((DAY(EOMONTH($DR$3,0))-1)/2)+DS$23,0)=EOMONTH($AD$3,0),DS$26,0),0),IF(AND(DO$26&lt;&gt;"",DO$23&lt;&gt;""),IF(EOMONTH($DN$3+INT((DAY(EOMONTH($DN$3,0))-1)/2)+DO$23,0)=EOMONTH($AD$3,0),DO$26,0),0),IF(AND(DK$26&lt;&gt;"",DK$23&lt;&gt;""),IF(EOMONTH($DJ$3+INT((DAY(EOMONTH($DJ$3,0))-1)/2)+DK$23,0)=EOMONTH($AD$3,0),DK$26,0),0),IF(AND(DG$26&lt;&gt;"",DG$23&lt;&gt;""),IF(EOMONTH($DF$3+INT((DAY(EOMONTH($DF$3,0))-1)/2)+DG$23,0)=EOMONTH($AD$3,0),DG$26,0),0),IF(AND(DC$26&lt;&gt;"",DC$23&lt;&gt;""),IF(EOMONTH($DB$3+INT((DAY(EOMONTH($DB$3,0))-1)/2)+DC$23,0)=EOMONTH($AD$3,0),DC$26,0),0),IF(AND(CY$26&lt;&gt;"",CY$23&lt;&gt;""),IF(EOMONTH($CX$3+INT((DAY(EOMONTH($CX$3,0))-1)/2)+CY$23,0)=EOMONTH($AD$3,0),CY$26,0),0),IF(AND(CU$26&lt;&gt;"",CU$23&lt;&gt;""),IF(EOMONTH($CT$3+INT((DAY(EOMONTH($CT$3,0))-1)/2)+CU$23,0)=EOMONTH($AD$3,0),CU$26,0),0),IF(AND(CQ$26&lt;&gt;"",CQ$23&lt;&gt;""),IF(EOMONTH($CP$3+INT((DAY(EOMONTH($CP$3,0))-1)/2)+CQ$23,0)=EOMONTH($AD$3,0),CQ$26,0),0),IF(AND(CM$26&lt;&gt;"",CM$23&lt;&gt;""),IF(EOMONTH($CL$3+INT((DAY(EOMONTH($CL$3,0))-1)/2)+CM$23,0)=EOMONTH($AD$3,0),CM$26,0),0),IF(AND(CI$26&lt;&gt;"",CI$23&lt;&gt;""),IF(EOMONTH($CH$3+INT((DAY(EOMONTH($CH$3,0))-1)/2)+CI$23,0)=EOMONTH($AD$3,0),CI$26,0),0),IF(AND(CE$26&lt;&gt;"",CE$23&lt;&gt;""),IF(EOMONTH($CD$3+INT((DAY(EOMONTH($CD$3,0))-1)/2)+CE$23,0)=EOMONTH($AD$3,0),CE$26,0),0),IF(AND(CA$26&lt;&gt;"",CA$23&lt;&gt;""),IF(EOMONTH($BZ$3+INT((DAY(EOMONTH($BZ$3,0))-1)/2)+CA$23,0)=EOMONTH($AD$3,0),CA$26,0),0),IF(AND(BW$26&lt;&gt;"",BW$23&lt;&gt;""),IF(EOMONTH($BV$3+INT((DAY(EOMONTH($BV$3,0))-1)/2)+BW$23,0)=EOMONTH($AD$3,0),BW$26,0),0),IF(AND(BS$26&lt;&gt;"",BS$23&lt;&gt;""),IF(EOMONTH($BR$3+INT((DAY(EOMONTH($BR$3,0))-1)/2)+BS$23,0)=EOMONTH($AD$3,0),BS$26,0),0),IF(AND(BO$26&lt;&gt;"",BO$23&lt;&gt;""),IF(EOMONTH($BN$3+INT((DAY(EOMONTH($BN$3,0))-1)/2)+BO$23,0)=EOMONTH($AD$3,0),BO$26,0),0),IF(AND(BK$26&lt;&gt;"",BK$23&lt;&gt;""),IF(EOMONTH($BJ$3+INT((DAY(EOMONTH($BJ$3,0))-1)/2)+BK$23,0)=EOMONTH($AD$3,0),BK$26,0),0),IF(AND(BG$26&lt;&gt;"",BG$23&lt;&gt;""),IF(EOMONTH($BF$3+INT((DAY(EOMONTH($BF$3,0))-1)/2)+BG$23,0)=EOMONTH($AD$3,0),BG$26,0),0),IF(AND(BC$26&lt;&gt;"",BC$23&lt;&gt;""),IF(EOMONTH($BB$3+INT((DAY(EOMONTH($BB$3,0))-1)/2)+BC$23,0)=EOMONTH($AD$3,0),BC$26,0),0),IF(AND(AY$26&lt;&gt;"",AY$23&lt;&gt;""),IF(EOMONTH($AX$3+INT((DAY(EOMONTH($AX$3,0))-1)/2)+AY$23,0)=EOMONTH($AD$3,0),AY$26,0),0),IF(AND(AU$26&lt;&gt;"",AU$23&lt;&gt;""),IF(EOMONTH($AT$3+INT((DAY(EOMONTH($AT$3,0))-1)/2)+AU$23,0)=EOMONTH($AD$3,0),AU$26,0),0),IF(AND(AQ$26&lt;&gt;"",AQ$23&lt;&gt;""),IF(EOMONTH($AP$3+INT((DAY(EOMONTH($AP$3,0))-1)/2)+AQ$23,0)=EOMONTH($AD$3,0),AQ$26,0),0),IF(AND(AM$26&lt;&gt;"",AM$23&lt;&gt;""),IF(EOMONTH($AL$3+INT((DAY(EOMONTH($AL$3,0))-1)/2)+AM$23,0)=EOMONTH($AD$3,0),AM$26,0),0),IF(AND(AI$26&lt;&gt;"",AI$23&lt;&gt;""),IF(EOMONTH($AH$3+INT((DAY(EOMONTH($AH$3,0))-1)/2)+AI$23,0)=EOMONTH($AD$3,0),AI$26,0),0),IF(AND(AE$26&lt;&gt;"",AE$23&lt;&gt;""),IF(EOMONTH($AD$3+INT((DAY(EOMONTH($AD$3,0))-1)/2)+AE$23,0)=EOMONTH($AD$3,0),AE$26,0),0),IF(AND(AA$26&lt;&gt;"",AA$23&lt;&gt;""),IF(EOMONTH($Z$3+INT((DAY(EOMONTH($Z$3,0))-1)/2)+AA$23,0)=EOMONTH($AD$3,0),AA$26,0),0),IF(AND(W$26&lt;&gt;"",W$23&lt;&gt;""),IF(EOMONTH($V$3+INT((DAY(EOMONTH($V$3,0))-1)/2)+W$23,0)=EOMONTH($AD$3,0),W$26,0),0),IF(AND(S$26&lt;&gt;"",S$23&lt;&gt;""),IF(EOMONTH($R$3+INT((DAY(EOMONTH($R$3,0))-1)/2)+S$23,0)=EOMONTH($AD$3,0),S$26,0),0),IF(AND(O$26&lt;&gt;"",O$23&lt;&gt;""),IF(EOMONTH($N$3+INT((DAY(EOMONTH($N$3,0))-1)/2)+O$23,0)=EOMONTH($AD$3,0),O$26,0),0),IF(AND(K$26&lt;&gt;"",K$23&lt;&gt;""),IF(EOMONTH($J$3+INT((DAY(EOMONTH($J$3,0))-1)/2)+K$23,0)=EOMONTH($AD$3,0),K$26,0),0),IF(AND(G$26&lt;&gt;"",G$23&lt;&gt;""),IF(EOMONTH($F$3+INT((DAY(EOMONTH($F$3,0))-1)/2)+G$23,0)=EOMONTH($AD$3,0),G$26,0),0),IF($EP$75="",0,IF(EOMONTH($EP$75+EQ$23,0)=EOMONTH($AD$3,0),$EP$78*EQ$13,0))),0))</f>
        <v>0</v>
      </c>
      <c r="AF57" s="32">
        <f>ROUND(SUM(IF(AND(ER$26&lt;&gt;"",ER$23&lt;&gt;""),IF(EOMONTH($EP$3+INT((DAY(EOMONTH($EP$3,0))-1)/2)+ER$23,0)=EOMONTH($AD$3,0),ER$26,0),0),IF(AND(EN$26&lt;&gt;"",EN$23&lt;&gt;""),IF(EOMONTH($EL$3+INT((DAY(EOMONTH($EL$3,0))-1)/2)+EN$23,0)=EOMONTH($AD$3,0),EN$26,0),0),IF(AND(EJ$26&lt;&gt;"",EJ$23&lt;&gt;""),IF(EOMONTH($EH$3+INT((DAY(EOMONTH($EH$3,0))-1)/2)+EJ$23,0)=EOMONTH($AD$3,0),EJ$26,0),0),IF(AND(EF$26&lt;&gt;"",EF$23&lt;&gt;""),IF(EOMONTH($ED$3+INT((DAY(EOMONTH($ED$3,0))-1)/2)+EF$23,0)=EOMONTH($AD$3,0),EF$26,0),0),IF(AND(EB$26&lt;&gt;"",EB$23&lt;&gt;""),IF(EOMONTH($DZ$3+INT((DAY(EOMONTH($DZ$3,0))-1)/2)+EB$23,0)=EOMONTH($AD$3,0),EB$26,0),0),IF(AND(DX$26&lt;&gt;"",DX$23&lt;&gt;""),IF(EOMONTH($DV$3+INT((DAY(EOMONTH($DV$3,0))-1)/2)+DX$23,0)=EOMONTH($AD$3,0),DX$26,0),0),IF(AND(DT$26&lt;&gt;"",DT$23&lt;&gt;""),IF(EOMONTH($DR$3+INT((DAY(EOMONTH($DR$3,0))-1)/2)+DT$23,0)=EOMONTH($AD$3,0),DT$26,0),0),IF(AND(DP$26&lt;&gt;"",DP$23&lt;&gt;""),IF(EOMONTH($DN$3+INT((DAY(EOMONTH($DN$3,0))-1)/2)+DP$23,0)=EOMONTH($AD$3,0),DP$26,0),0),IF(AND(DL$26&lt;&gt;"",DL$23&lt;&gt;""),IF(EOMONTH($DJ$3+INT((DAY(EOMONTH($DJ$3,0))-1)/2)+DL$23,0)=EOMONTH($AD$3,0),DL$26,0),0),IF(AND(DH$26&lt;&gt;"",DH$23&lt;&gt;""),IF(EOMONTH($DF$3+INT((DAY(EOMONTH($DF$3,0))-1)/2)+DH$23,0)=EOMONTH($AD$3,0),DH$26,0),0),IF(AND(DD$26&lt;&gt;"",DD$23&lt;&gt;""),IF(EOMONTH($DB$3+INT((DAY(EOMONTH($DB$3,0))-1)/2)+DD$23,0)=EOMONTH($AD$3,0),DD$26,0),0),IF(AND(CZ$26&lt;&gt;"",CZ$23&lt;&gt;""),IF(EOMONTH($CX$3+INT((DAY(EOMONTH($CX$3,0))-1)/2)+CZ$23,0)=EOMONTH($AD$3,0),CZ$26,0),0),IF(AND(CV$26&lt;&gt;"",CV$23&lt;&gt;""),IF(EOMONTH($CT$3+INT((DAY(EOMONTH($CT$3,0))-1)/2)+CV$23,0)=EOMONTH($AD$3,0),CV$26,0),0),IF(AND(CR$26&lt;&gt;"",CR$23&lt;&gt;""),IF(EOMONTH($CP$3+INT((DAY(EOMONTH($CP$3,0))-1)/2)+CR$23,0)=EOMONTH($AD$3,0),CR$26,0),0),IF(AND(CN$26&lt;&gt;"",CN$23&lt;&gt;""),IF(EOMONTH($CL$3+INT((DAY(EOMONTH($CL$3,0))-1)/2)+CN$23,0)=EOMONTH($AD$3,0),CN$26,0),0),IF(AND(CJ$26&lt;&gt;"",CJ$23&lt;&gt;""),IF(EOMONTH($CH$3+INT((DAY(EOMONTH($CH$3,0))-1)/2)+CJ$23,0)=EOMONTH($AD$3,0),CJ$26,0),0),IF(AND(CF$26&lt;&gt;"",CF$23&lt;&gt;""),IF(EOMONTH($CD$3+INT((DAY(EOMONTH($CD$3,0))-1)/2)+CF$23,0)=EOMONTH($AD$3,0),CF$26,0),0),IF(AND(CB$26&lt;&gt;"",CB$23&lt;&gt;""),IF(EOMONTH($BZ$3+INT((DAY(EOMONTH($BZ$3,0))-1)/2)+CB$23,0)=EOMONTH($AD$3,0),CB$26,0),0),IF(AND(BX$26&lt;&gt;"",BX$23&lt;&gt;""),IF(EOMONTH($BV$3+INT((DAY(EOMONTH($BV$3,0))-1)/2)+BX$23,0)=EOMONTH($AD$3,0),BX$26,0),0),IF(AND(BT$26&lt;&gt;"",BT$23&lt;&gt;""),IF(EOMONTH($BR$3+INT((DAY(EOMONTH($BR$3,0))-1)/2)+BT$23,0)=EOMONTH($AD$3,0),BT$26,0),0),IF(AND(BP$26&lt;&gt;"",BP$23&lt;&gt;""),IF(EOMONTH($BN$3+INT((DAY(EOMONTH($BN$3,0))-1)/2)+BP$23,0)=EOMONTH($AD$3,0),BP$26,0),0),IF(AND(BL$26&lt;&gt;"",BL$23&lt;&gt;""),IF(EOMONTH($BJ$3+INT((DAY(EOMONTH($BJ$3,0))-1)/2)+BL$23,0)=EOMONTH($AD$3,0),BL$26,0),0),IF(AND(BH$26&lt;&gt;"",BH$23&lt;&gt;""),IF(EOMONTH($BF$3+INT((DAY(EOMONTH($BF$3,0))-1)/2)+BH$23,0)=EOMONTH($AD$3,0),BH$26,0),0),IF(AND(BD$26&lt;&gt;"",BD$23&lt;&gt;""),IF(EOMONTH($BB$3+INT((DAY(EOMONTH($BB$3,0))-1)/2)+BD$23,0)=EOMONTH($AD$3,0),BD$26,0),0),IF(AND(AZ$26&lt;&gt;"",AZ$23&lt;&gt;""),IF(EOMONTH($AX$3+INT((DAY(EOMONTH($AX$3,0))-1)/2)+AZ$23,0)=EOMONTH($AD$3,0),AZ$26,0),0),IF(AND(AV$26&lt;&gt;"",AV$23&lt;&gt;""),IF(EOMONTH($AT$3+INT((DAY(EOMONTH($AT$3,0))-1)/2)+AV$23,0)=EOMONTH($AD$3,0),AV$26,0),0),IF(AND(AR$26&lt;&gt;"",AR$23&lt;&gt;""),IF(EOMONTH($AP$3+INT((DAY(EOMONTH($AP$3,0))-1)/2)+AR$23,0)=EOMONTH($AD$3,0),AR$26,0),0),IF(AND(AN$26&lt;&gt;"",AN$23&lt;&gt;""),IF(EOMONTH($AL$3+INT((DAY(EOMONTH($AL$3,0))-1)/2)+AN$23,0)=EOMONTH($AD$3,0),AN$26,0),0),IF(AND(AJ$26&lt;&gt;"",AJ$23&lt;&gt;""),IF(EOMONTH($AH$3+INT((DAY(EOMONTH($AH$3,0))-1)/2)+AJ$23,0)=EOMONTH($AD$3,0),AJ$26,0),0),IF(AND(AF$26&lt;&gt;"",AF$23&lt;&gt;""),IF(EOMONTH($AD$3+INT((DAY(EOMONTH($AD$3,0))-1)/2)+AF$23,0)=EOMONTH($AD$3,0),AF$26,0),0),IF(AND(AB$26&lt;&gt;"",AB$23&lt;&gt;""),IF(EOMONTH($Z$3+INT((DAY(EOMONTH($Z$3,0))-1)/2)+AB$23,0)=EOMONTH($AD$3,0),AB$26,0),0),IF(AND(X$26&lt;&gt;"",X$23&lt;&gt;""),IF(EOMONTH($V$3+INT((DAY(EOMONTH($V$3,0))-1)/2)+X$23,0)=EOMONTH($AD$3,0),X$26,0),0),IF(AND(T$26&lt;&gt;"",T$23&lt;&gt;""),IF(EOMONTH($R$3+INT((DAY(EOMONTH($R$3,0))-1)/2)+T$23,0)=EOMONTH($AD$3,0),T$26,0),0),IF(AND(P$26&lt;&gt;"",P$23&lt;&gt;""),IF(EOMONTH($N$3+INT((DAY(EOMONTH($N$3,0))-1)/2)+P$23,0)=EOMONTH($AD$3,0),P$26,0),0),IF(AND(L$26&lt;&gt;"",L$23&lt;&gt;""),IF(EOMONTH($J$3+INT((DAY(EOMONTH($J$3,0))-1)/2)+L$23,0)=EOMONTH($AD$3,0),L$26,0),0),IF(AND(H$26&lt;&gt;"",H$23&lt;&gt;""),IF(EOMONTH($F$3+INT((DAY(EOMONTH($F$3,0))-1)/2)+H$23,0)=EOMONTH($AD$3,0),H$26,0),0),IF($EP$75="",0,IF(EOMONTH($EP$75+ER$23,0)=EOMONTH($AD$3,0),$EP$78*ER$13,0))),0)</f>
        <v>0</v>
      </c>
      <c r="AG57" s="33">
        <f t="shared" ref="AG57:AG70" si="714">IFERROR(IF(OR(AE57="",AF57=""),"",AE57-AF57),"")</f>
        <v>0</v>
      </c>
      <c r="AH57" s="34"/>
      <c r="AI57" s="31">
        <f>IF(AH$98=1,AH57,ROUND(SUM(IF(AND(EQ$26&lt;&gt;"",EQ$23&lt;&gt;""),IF(EOMONTH($EP$3+INT((DAY(EOMONTH($EP$3,0))-1)/2)+EQ$23,0)=EOMONTH($AH$3,0),EQ$26,0),0),IF(AND(EM$26&lt;&gt;"",EM$23&lt;&gt;""),IF(EOMONTH($EL$3+INT((DAY(EOMONTH($EL$3,0))-1)/2)+EM$23,0)=EOMONTH($AH$3,0),EM$26,0),0),IF(AND(EI$26&lt;&gt;"",EI$23&lt;&gt;""),IF(EOMONTH($EH$3+INT((DAY(EOMONTH($EH$3,0))-1)/2)+EI$23,0)=EOMONTH($AH$3,0),EI$26,0),0),IF(AND(EE$26&lt;&gt;"",EE$23&lt;&gt;""),IF(EOMONTH($ED$3+INT((DAY(EOMONTH($ED$3,0))-1)/2)+EE$23,0)=EOMONTH($AH$3,0),EE$26,0),0),IF(AND(EA$26&lt;&gt;"",EA$23&lt;&gt;""),IF(EOMONTH($DZ$3+INT((DAY(EOMONTH($DZ$3,0))-1)/2)+EA$23,0)=EOMONTH($AH$3,0),EA$26,0),0),IF(AND(DW$26&lt;&gt;"",DW$23&lt;&gt;""),IF(EOMONTH($DV$3+INT((DAY(EOMONTH($DV$3,0))-1)/2)+DW$23,0)=EOMONTH($AH$3,0),DW$26,0),0),IF(AND(DS$26&lt;&gt;"",DS$23&lt;&gt;""),IF(EOMONTH($DR$3+INT((DAY(EOMONTH($DR$3,0))-1)/2)+DS$23,0)=EOMONTH($AH$3,0),DS$26,0),0),IF(AND(DO$26&lt;&gt;"",DO$23&lt;&gt;""),IF(EOMONTH($DN$3+INT((DAY(EOMONTH($DN$3,0))-1)/2)+DO$23,0)=EOMONTH($AH$3,0),DO$26,0),0),IF(AND(DK$26&lt;&gt;"",DK$23&lt;&gt;""),IF(EOMONTH($DJ$3+INT((DAY(EOMONTH($DJ$3,0))-1)/2)+DK$23,0)=EOMONTH($AH$3,0),DK$26,0),0),IF(AND(DG$26&lt;&gt;"",DG$23&lt;&gt;""),IF(EOMONTH($DF$3+INT((DAY(EOMONTH($DF$3,0))-1)/2)+DG$23,0)=EOMONTH($AH$3,0),DG$26,0),0),IF(AND(DC$26&lt;&gt;"",DC$23&lt;&gt;""),IF(EOMONTH($DB$3+INT((DAY(EOMONTH($DB$3,0))-1)/2)+DC$23,0)=EOMONTH($AH$3,0),DC$26,0),0),IF(AND(CY$26&lt;&gt;"",CY$23&lt;&gt;""),IF(EOMONTH($CX$3+INT((DAY(EOMONTH($CX$3,0))-1)/2)+CY$23,0)=EOMONTH($AH$3,0),CY$26,0),0),IF(AND(CU$26&lt;&gt;"",CU$23&lt;&gt;""),IF(EOMONTH($CT$3+INT((DAY(EOMONTH($CT$3,0))-1)/2)+CU$23,0)=EOMONTH($AH$3,0),CU$26,0),0),IF(AND(CQ$26&lt;&gt;"",CQ$23&lt;&gt;""),IF(EOMONTH($CP$3+INT((DAY(EOMONTH($CP$3,0))-1)/2)+CQ$23,0)=EOMONTH($AH$3,0),CQ$26,0),0),IF(AND(CM$26&lt;&gt;"",CM$23&lt;&gt;""),IF(EOMONTH($CL$3+INT((DAY(EOMONTH($CL$3,0))-1)/2)+CM$23,0)=EOMONTH($AH$3,0),CM$26,0),0),IF(AND(CI$26&lt;&gt;"",CI$23&lt;&gt;""),IF(EOMONTH($CH$3+INT((DAY(EOMONTH($CH$3,0))-1)/2)+CI$23,0)=EOMONTH($AH$3,0),CI$26,0),0),IF(AND(CE$26&lt;&gt;"",CE$23&lt;&gt;""),IF(EOMONTH($CD$3+INT((DAY(EOMONTH($CD$3,0))-1)/2)+CE$23,0)=EOMONTH($AH$3,0),CE$26,0),0),IF(AND(CA$26&lt;&gt;"",CA$23&lt;&gt;""),IF(EOMONTH($BZ$3+INT((DAY(EOMONTH($BZ$3,0))-1)/2)+CA$23,0)=EOMONTH($AH$3,0),CA$26,0),0),IF(AND(BW$26&lt;&gt;"",BW$23&lt;&gt;""),IF(EOMONTH($BV$3+INT((DAY(EOMONTH($BV$3,0))-1)/2)+BW$23,0)=EOMONTH($AH$3,0),BW$26,0),0),IF(AND(BS$26&lt;&gt;"",BS$23&lt;&gt;""),IF(EOMONTH($BR$3+INT((DAY(EOMONTH($BR$3,0))-1)/2)+BS$23,0)=EOMONTH($AH$3,0),BS$26,0),0),IF(AND(BO$26&lt;&gt;"",BO$23&lt;&gt;""),IF(EOMONTH($BN$3+INT((DAY(EOMONTH($BN$3,0))-1)/2)+BO$23,0)=EOMONTH($AH$3,0),BO$26,0),0),IF(AND(BK$26&lt;&gt;"",BK$23&lt;&gt;""),IF(EOMONTH($BJ$3+INT((DAY(EOMONTH($BJ$3,0))-1)/2)+BK$23,0)=EOMONTH($AH$3,0),BK$26,0),0),IF(AND(BG$26&lt;&gt;"",BG$23&lt;&gt;""),IF(EOMONTH($BF$3+INT((DAY(EOMONTH($BF$3,0))-1)/2)+BG$23,0)=EOMONTH($AH$3,0),BG$26,0),0),IF(AND(BC$26&lt;&gt;"",BC$23&lt;&gt;""),IF(EOMONTH($BB$3+INT((DAY(EOMONTH($BB$3,0))-1)/2)+BC$23,0)=EOMONTH($AH$3,0),BC$26,0),0),IF(AND(AY$26&lt;&gt;"",AY$23&lt;&gt;""),IF(EOMONTH($AX$3+INT((DAY(EOMONTH($AX$3,0))-1)/2)+AY$23,0)=EOMONTH($AH$3,0),AY$26,0),0),IF(AND(AU$26&lt;&gt;"",AU$23&lt;&gt;""),IF(EOMONTH($AT$3+INT((DAY(EOMONTH($AT$3,0))-1)/2)+AU$23,0)=EOMONTH($AH$3,0),AU$26,0),0),IF(AND(AQ$26&lt;&gt;"",AQ$23&lt;&gt;""),IF(EOMONTH($AP$3+INT((DAY(EOMONTH($AP$3,0))-1)/2)+AQ$23,0)=EOMONTH($AH$3,0),AQ$26,0),0),IF(AND(AM$26&lt;&gt;"",AM$23&lt;&gt;""),IF(EOMONTH($AL$3+INT((DAY(EOMONTH($AL$3,0))-1)/2)+AM$23,0)=EOMONTH($AH$3,0),AM$26,0),0),IF(AND(AI$26&lt;&gt;"",AI$23&lt;&gt;""),IF(EOMONTH($AH$3+INT((DAY(EOMONTH($AH$3,0))-1)/2)+AI$23,0)=EOMONTH($AH$3,0),AI$26,0),0),IF(AND(AE$26&lt;&gt;"",AE$23&lt;&gt;""),IF(EOMONTH($AD$3+INT((DAY(EOMONTH($AD$3,0))-1)/2)+AE$23,0)=EOMONTH($AH$3,0),AE$26,0),0),IF(AND(AA$26&lt;&gt;"",AA$23&lt;&gt;""),IF(EOMONTH($Z$3+INT((DAY(EOMONTH($Z$3,0))-1)/2)+AA$23,0)=EOMONTH($AH$3,0),AA$26,0),0),IF(AND(W$26&lt;&gt;"",W$23&lt;&gt;""),IF(EOMONTH($V$3+INT((DAY(EOMONTH($V$3,0))-1)/2)+W$23,0)=EOMONTH($AH$3,0),W$26,0),0),IF(AND(S$26&lt;&gt;"",S$23&lt;&gt;""),IF(EOMONTH($R$3+INT((DAY(EOMONTH($R$3,0))-1)/2)+S$23,0)=EOMONTH($AH$3,0),S$26,0),0),IF(AND(O$26&lt;&gt;"",O$23&lt;&gt;""),IF(EOMONTH($N$3+INT((DAY(EOMONTH($N$3,0))-1)/2)+O$23,0)=EOMONTH($AH$3,0),O$26,0),0),IF(AND(K$26&lt;&gt;"",K$23&lt;&gt;""),IF(EOMONTH($J$3+INT((DAY(EOMONTH($J$3,0))-1)/2)+K$23,0)=EOMONTH($AH$3,0),K$26,0),0),IF(AND(G$26&lt;&gt;"",G$23&lt;&gt;""),IF(EOMONTH($F$3+INT((DAY(EOMONTH($F$3,0))-1)/2)+G$23,0)=EOMONTH($AH$3,0),G$26,0),0),IF($EP$75="",0,IF(EOMONTH($EP$75+EQ$23,0)=EOMONTH($AH$3,0),$EP$78*EQ$13,0))),0))</f>
        <v>0</v>
      </c>
      <c r="AJ57" s="32">
        <f>ROUND(SUM(IF(AND(ER$26&lt;&gt;"",ER$23&lt;&gt;""),IF(EOMONTH($EP$3+INT((DAY(EOMONTH($EP$3,0))-1)/2)+ER$23,0)=EOMONTH($AH$3,0),ER$26,0),0),IF(AND(EN$26&lt;&gt;"",EN$23&lt;&gt;""),IF(EOMONTH($EL$3+INT((DAY(EOMONTH($EL$3,0))-1)/2)+EN$23,0)=EOMONTH($AH$3,0),EN$26,0),0),IF(AND(EJ$26&lt;&gt;"",EJ$23&lt;&gt;""),IF(EOMONTH($EH$3+INT((DAY(EOMONTH($EH$3,0))-1)/2)+EJ$23,0)=EOMONTH($AH$3,0),EJ$26,0),0),IF(AND(EF$26&lt;&gt;"",EF$23&lt;&gt;""),IF(EOMONTH($ED$3+INT((DAY(EOMONTH($ED$3,0))-1)/2)+EF$23,0)=EOMONTH($AH$3,0),EF$26,0),0),IF(AND(EB$26&lt;&gt;"",EB$23&lt;&gt;""),IF(EOMONTH($DZ$3+INT((DAY(EOMONTH($DZ$3,0))-1)/2)+EB$23,0)=EOMONTH($AH$3,0),EB$26,0),0),IF(AND(DX$26&lt;&gt;"",DX$23&lt;&gt;""),IF(EOMONTH($DV$3+INT((DAY(EOMONTH($DV$3,0))-1)/2)+DX$23,0)=EOMONTH($AH$3,0),DX$26,0),0),IF(AND(DT$26&lt;&gt;"",DT$23&lt;&gt;""),IF(EOMONTH($DR$3+INT((DAY(EOMONTH($DR$3,0))-1)/2)+DT$23,0)=EOMONTH($AH$3,0),DT$26,0),0),IF(AND(DP$26&lt;&gt;"",DP$23&lt;&gt;""),IF(EOMONTH($DN$3+INT((DAY(EOMONTH($DN$3,0))-1)/2)+DP$23,0)=EOMONTH($AH$3,0),DP$26,0),0),IF(AND(DL$26&lt;&gt;"",DL$23&lt;&gt;""),IF(EOMONTH($DJ$3+INT((DAY(EOMONTH($DJ$3,0))-1)/2)+DL$23,0)=EOMONTH($AH$3,0),DL$26,0),0),IF(AND(DH$26&lt;&gt;"",DH$23&lt;&gt;""),IF(EOMONTH($DF$3+INT((DAY(EOMONTH($DF$3,0))-1)/2)+DH$23,0)=EOMONTH($AH$3,0),DH$26,0),0),IF(AND(DD$26&lt;&gt;"",DD$23&lt;&gt;""),IF(EOMONTH($DB$3+INT((DAY(EOMONTH($DB$3,0))-1)/2)+DD$23,0)=EOMONTH($AH$3,0),DD$26,0),0),IF(AND(CZ$26&lt;&gt;"",CZ$23&lt;&gt;""),IF(EOMONTH($CX$3+INT((DAY(EOMONTH($CX$3,0))-1)/2)+CZ$23,0)=EOMONTH($AH$3,0),CZ$26,0),0),IF(AND(CV$26&lt;&gt;"",CV$23&lt;&gt;""),IF(EOMONTH($CT$3+INT((DAY(EOMONTH($CT$3,0))-1)/2)+CV$23,0)=EOMONTH($AH$3,0),CV$26,0),0),IF(AND(CR$26&lt;&gt;"",CR$23&lt;&gt;""),IF(EOMONTH($CP$3+INT((DAY(EOMONTH($CP$3,0))-1)/2)+CR$23,0)=EOMONTH($AH$3,0),CR$26,0),0),IF(AND(CN$26&lt;&gt;"",CN$23&lt;&gt;""),IF(EOMONTH($CL$3+INT((DAY(EOMONTH($CL$3,0))-1)/2)+CN$23,0)=EOMONTH($AH$3,0),CN$26,0),0),IF(AND(CJ$26&lt;&gt;"",CJ$23&lt;&gt;""),IF(EOMONTH($CH$3+INT((DAY(EOMONTH($CH$3,0))-1)/2)+CJ$23,0)=EOMONTH($AH$3,0),CJ$26,0),0),IF(AND(CF$26&lt;&gt;"",CF$23&lt;&gt;""),IF(EOMONTH($CD$3+INT((DAY(EOMONTH($CD$3,0))-1)/2)+CF$23,0)=EOMONTH($AH$3,0),CF$26,0),0),IF(AND(CB$26&lt;&gt;"",CB$23&lt;&gt;""),IF(EOMONTH($BZ$3+INT((DAY(EOMONTH($BZ$3,0))-1)/2)+CB$23,0)=EOMONTH($AH$3,0),CB$26,0),0),IF(AND(BX$26&lt;&gt;"",BX$23&lt;&gt;""),IF(EOMONTH($BV$3+INT((DAY(EOMONTH($BV$3,0))-1)/2)+BX$23,0)=EOMONTH($AH$3,0),BX$26,0),0),IF(AND(BT$26&lt;&gt;"",BT$23&lt;&gt;""),IF(EOMONTH($BR$3+INT((DAY(EOMONTH($BR$3,0))-1)/2)+BT$23,0)=EOMONTH($AH$3,0),BT$26,0),0),IF(AND(BP$26&lt;&gt;"",BP$23&lt;&gt;""),IF(EOMONTH($BN$3+INT((DAY(EOMONTH($BN$3,0))-1)/2)+BP$23,0)=EOMONTH($AH$3,0),BP$26,0),0),IF(AND(BL$26&lt;&gt;"",BL$23&lt;&gt;""),IF(EOMONTH($BJ$3+INT((DAY(EOMONTH($BJ$3,0))-1)/2)+BL$23,0)=EOMONTH($AH$3,0),BL$26,0),0),IF(AND(BH$26&lt;&gt;"",BH$23&lt;&gt;""),IF(EOMONTH($BF$3+INT((DAY(EOMONTH($BF$3,0))-1)/2)+BH$23,0)=EOMONTH($AH$3,0),BH$26,0),0),IF(AND(BD$26&lt;&gt;"",BD$23&lt;&gt;""),IF(EOMONTH($BB$3+INT((DAY(EOMONTH($BB$3,0))-1)/2)+BD$23,0)=EOMONTH($AH$3,0),BD$26,0),0),IF(AND(AZ$26&lt;&gt;"",AZ$23&lt;&gt;""),IF(EOMONTH($AX$3+INT((DAY(EOMONTH($AX$3,0))-1)/2)+AZ$23,0)=EOMONTH($AH$3,0),AZ$26,0),0),IF(AND(AV$26&lt;&gt;"",AV$23&lt;&gt;""),IF(EOMONTH($AT$3+INT((DAY(EOMONTH($AT$3,0))-1)/2)+AV$23,0)=EOMONTH($AH$3,0),AV$26,0),0),IF(AND(AR$26&lt;&gt;"",AR$23&lt;&gt;""),IF(EOMONTH($AP$3+INT((DAY(EOMONTH($AP$3,0))-1)/2)+AR$23,0)=EOMONTH($AH$3,0),AR$26,0),0),IF(AND(AN$26&lt;&gt;"",AN$23&lt;&gt;""),IF(EOMONTH($AL$3+INT((DAY(EOMONTH($AL$3,0))-1)/2)+AN$23,0)=EOMONTH($AH$3,0),AN$26,0),0),IF(AND(AJ$26&lt;&gt;"",AJ$23&lt;&gt;""),IF(EOMONTH($AH$3+INT((DAY(EOMONTH($AH$3,0))-1)/2)+AJ$23,0)=EOMONTH($AH$3,0),AJ$26,0),0),IF(AND(AF$26&lt;&gt;"",AF$23&lt;&gt;""),IF(EOMONTH($AD$3+INT((DAY(EOMONTH($AD$3,0))-1)/2)+AF$23,0)=EOMONTH($AH$3,0),AF$26,0),0),IF(AND(AB$26&lt;&gt;"",AB$23&lt;&gt;""),IF(EOMONTH($Z$3+INT((DAY(EOMONTH($Z$3,0))-1)/2)+AB$23,0)=EOMONTH($AH$3,0),AB$26,0),0),IF(AND(X$26&lt;&gt;"",X$23&lt;&gt;""),IF(EOMONTH($V$3+INT((DAY(EOMONTH($V$3,0))-1)/2)+X$23,0)=EOMONTH($AH$3,0),X$26,0),0),IF(AND(T$26&lt;&gt;"",T$23&lt;&gt;""),IF(EOMONTH($R$3+INT((DAY(EOMONTH($R$3,0))-1)/2)+T$23,0)=EOMONTH($AH$3,0),T$26,0),0),IF(AND(P$26&lt;&gt;"",P$23&lt;&gt;""),IF(EOMONTH($N$3+INT((DAY(EOMONTH($N$3,0))-1)/2)+P$23,0)=EOMONTH($AH$3,0),P$26,0),0),IF(AND(L$26&lt;&gt;"",L$23&lt;&gt;""),IF(EOMONTH($J$3+INT((DAY(EOMONTH($J$3,0))-1)/2)+L$23,0)=EOMONTH($AH$3,0),L$26,0),0),IF(AND(H$26&lt;&gt;"",H$23&lt;&gt;""),IF(EOMONTH($F$3+INT((DAY(EOMONTH($F$3,0))-1)/2)+H$23,0)=EOMONTH($AH$3,0),H$26,0),0),IF($EP$75="",0,IF(EOMONTH($EP$75+ER$23,0)=EOMONTH($AH$3,0),$EP$78*ER$13,0))),0)</f>
        <v>0</v>
      </c>
      <c r="AK57" s="33">
        <f t="shared" ref="AK57:AK70" si="716">IFERROR(IF(OR(AI57="",AJ57=""),"",AI57-AJ57),"")</f>
        <v>0</v>
      </c>
      <c r="AL57" s="34"/>
      <c r="AM57" s="31">
        <f>IF(AL$98=1,AL57,ROUND(SUM(IF(AND(EQ$26&lt;&gt;"",EQ$23&lt;&gt;""),IF(EOMONTH($EP$3+INT((DAY(EOMONTH($EP$3,0))-1)/2)+EQ$23,0)=EOMONTH($AL$3,0),EQ$26,0),0),IF(AND(EM$26&lt;&gt;"",EM$23&lt;&gt;""),IF(EOMONTH($EL$3+INT((DAY(EOMONTH($EL$3,0))-1)/2)+EM$23,0)=EOMONTH($AL$3,0),EM$26,0),0),IF(AND(EI$26&lt;&gt;"",EI$23&lt;&gt;""),IF(EOMONTH($EH$3+INT((DAY(EOMONTH($EH$3,0))-1)/2)+EI$23,0)=EOMONTH($AL$3,0),EI$26,0),0),IF(AND(EE$26&lt;&gt;"",EE$23&lt;&gt;""),IF(EOMONTH($ED$3+INT((DAY(EOMONTH($ED$3,0))-1)/2)+EE$23,0)=EOMONTH($AL$3,0),EE$26,0),0),IF(AND(EA$26&lt;&gt;"",EA$23&lt;&gt;""),IF(EOMONTH($DZ$3+INT((DAY(EOMONTH($DZ$3,0))-1)/2)+EA$23,0)=EOMONTH($AL$3,0),EA$26,0),0),IF(AND(DW$26&lt;&gt;"",DW$23&lt;&gt;""),IF(EOMONTH($DV$3+INT((DAY(EOMONTH($DV$3,0))-1)/2)+DW$23,0)=EOMONTH($AL$3,0),DW$26,0),0),IF(AND(DS$26&lt;&gt;"",DS$23&lt;&gt;""),IF(EOMONTH($DR$3+INT((DAY(EOMONTH($DR$3,0))-1)/2)+DS$23,0)=EOMONTH($AL$3,0),DS$26,0),0),IF(AND(DO$26&lt;&gt;"",DO$23&lt;&gt;""),IF(EOMONTH($DN$3+INT((DAY(EOMONTH($DN$3,0))-1)/2)+DO$23,0)=EOMONTH($AL$3,0),DO$26,0),0),IF(AND(DK$26&lt;&gt;"",DK$23&lt;&gt;""),IF(EOMONTH($DJ$3+INT((DAY(EOMONTH($DJ$3,0))-1)/2)+DK$23,0)=EOMONTH($AL$3,0),DK$26,0),0),IF(AND(DG$26&lt;&gt;"",DG$23&lt;&gt;""),IF(EOMONTH($DF$3+INT((DAY(EOMONTH($DF$3,0))-1)/2)+DG$23,0)=EOMONTH($AL$3,0),DG$26,0),0),IF(AND(DC$26&lt;&gt;"",DC$23&lt;&gt;""),IF(EOMONTH($DB$3+INT((DAY(EOMONTH($DB$3,0))-1)/2)+DC$23,0)=EOMONTH($AL$3,0),DC$26,0),0),IF(AND(CY$26&lt;&gt;"",CY$23&lt;&gt;""),IF(EOMONTH($CX$3+INT((DAY(EOMONTH($CX$3,0))-1)/2)+CY$23,0)=EOMONTH($AL$3,0),CY$26,0),0),IF(AND(CU$26&lt;&gt;"",CU$23&lt;&gt;""),IF(EOMONTH($CT$3+INT((DAY(EOMONTH($CT$3,0))-1)/2)+CU$23,0)=EOMONTH($AL$3,0),CU$26,0),0),IF(AND(CQ$26&lt;&gt;"",CQ$23&lt;&gt;""),IF(EOMONTH($CP$3+INT((DAY(EOMONTH($CP$3,0))-1)/2)+CQ$23,0)=EOMONTH($AL$3,0),CQ$26,0),0),IF(AND(CM$26&lt;&gt;"",CM$23&lt;&gt;""),IF(EOMONTH($CL$3+INT((DAY(EOMONTH($CL$3,0))-1)/2)+CM$23,0)=EOMONTH($AL$3,0),CM$26,0),0),IF(AND(CI$26&lt;&gt;"",CI$23&lt;&gt;""),IF(EOMONTH($CH$3+INT((DAY(EOMONTH($CH$3,0))-1)/2)+CI$23,0)=EOMONTH($AL$3,0),CI$26,0),0),IF(AND(CE$26&lt;&gt;"",CE$23&lt;&gt;""),IF(EOMONTH($CD$3+INT((DAY(EOMONTH($CD$3,0))-1)/2)+CE$23,0)=EOMONTH($AL$3,0),CE$26,0),0),IF(AND(CA$26&lt;&gt;"",CA$23&lt;&gt;""),IF(EOMONTH($BZ$3+INT((DAY(EOMONTH($BZ$3,0))-1)/2)+CA$23,0)=EOMONTH($AL$3,0),CA$26,0),0),IF(AND(BW$26&lt;&gt;"",BW$23&lt;&gt;""),IF(EOMONTH($BV$3+INT((DAY(EOMONTH($BV$3,0))-1)/2)+BW$23,0)=EOMONTH($AL$3,0),BW$26,0),0),IF(AND(BS$26&lt;&gt;"",BS$23&lt;&gt;""),IF(EOMONTH($BR$3+INT((DAY(EOMONTH($BR$3,0))-1)/2)+BS$23,0)=EOMONTH($AL$3,0),BS$26,0),0),IF(AND(BO$26&lt;&gt;"",BO$23&lt;&gt;""),IF(EOMONTH($BN$3+INT((DAY(EOMONTH($BN$3,0))-1)/2)+BO$23,0)=EOMONTH($AL$3,0),BO$26,0),0),IF(AND(BK$26&lt;&gt;"",BK$23&lt;&gt;""),IF(EOMONTH($BJ$3+INT((DAY(EOMONTH($BJ$3,0))-1)/2)+BK$23,0)=EOMONTH($AL$3,0),BK$26,0),0),IF(AND(BG$26&lt;&gt;"",BG$23&lt;&gt;""),IF(EOMONTH($BF$3+INT((DAY(EOMONTH($BF$3,0))-1)/2)+BG$23,0)=EOMONTH($AL$3,0),BG$26,0),0),IF(AND(BC$26&lt;&gt;"",BC$23&lt;&gt;""),IF(EOMONTH($BB$3+INT((DAY(EOMONTH($BB$3,0))-1)/2)+BC$23,0)=EOMONTH($AL$3,0),BC$26,0),0),IF(AND(AY$26&lt;&gt;"",AY$23&lt;&gt;""),IF(EOMONTH($AX$3+INT((DAY(EOMONTH($AX$3,0))-1)/2)+AY$23,0)=EOMONTH($AL$3,0),AY$26,0),0),IF(AND(AU$26&lt;&gt;"",AU$23&lt;&gt;""),IF(EOMONTH($AT$3+INT((DAY(EOMONTH($AT$3,0))-1)/2)+AU$23,0)=EOMONTH($AL$3,0),AU$26,0),0),IF(AND(AQ$26&lt;&gt;"",AQ$23&lt;&gt;""),IF(EOMONTH($AP$3+INT((DAY(EOMONTH($AP$3,0))-1)/2)+AQ$23,0)=EOMONTH($AL$3,0),AQ$26,0),0),IF(AND(AM$26&lt;&gt;"",AM$23&lt;&gt;""),IF(EOMONTH($AL$3+INT((DAY(EOMONTH($AL$3,0))-1)/2)+AM$23,0)=EOMONTH($AL$3,0),AM$26,0),0),IF(AND(AI$26&lt;&gt;"",AI$23&lt;&gt;""),IF(EOMONTH($AH$3+INT((DAY(EOMONTH($AH$3,0))-1)/2)+AI$23,0)=EOMONTH($AL$3,0),AI$26,0),0),IF(AND(AE$26&lt;&gt;"",AE$23&lt;&gt;""),IF(EOMONTH($AD$3+INT((DAY(EOMONTH($AD$3,0))-1)/2)+AE$23,0)=EOMONTH($AL$3,0),AE$26,0),0),IF(AND(AA$26&lt;&gt;"",AA$23&lt;&gt;""),IF(EOMONTH($Z$3+INT((DAY(EOMONTH($Z$3,0))-1)/2)+AA$23,0)=EOMONTH($AL$3,0),AA$26,0),0),IF(AND(W$26&lt;&gt;"",W$23&lt;&gt;""),IF(EOMONTH($V$3+INT((DAY(EOMONTH($V$3,0))-1)/2)+W$23,0)=EOMONTH($AL$3,0),W$26,0),0),IF(AND(S$26&lt;&gt;"",S$23&lt;&gt;""),IF(EOMONTH($R$3+INT((DAY(EOMONTH($R$3,0))-1)/2)+S$23,0)=EOMONTH($AL$3,0),S$26,0),0),IF(AND(O$26&lt;&gt;"",O$23&lt;&gt;""),IF(EOMONTH($N$3+INT((DAY(EOMONTH($N$3,0))-1)/2)+O$23,0)=EOMONTH($AL$3,0),O$26,0),0),IF(AND(K$26&lt;&gt;"",K$23&lt;&gt;""),IF(EOMONTH($J$3+INT((DAY(EOMONTH($J$3,0))-1)/2)+K$23,0)=EOMONTH($AL$3,0),K$26,0),0),IF(AND(G$26&lt;&gt;"",G$23&lt;&gt;""),IF(EOMONTH($F$3+INT((DAY(EOMONTH($F$3,0))-1)/2)+G$23,0)=EOMONTH($AL$3,0),G$26,0),0),IF($EP$75="",0,IF(EOMONTH($EP$75+EQ$23,0)=EOMONTH($AL$3,0),$EP$78*EQ$13,0))),0))</f>
        <v>0</v>
      </c>
      <c r="AN57" s="32">
        <f>ROUND(SUM(IF(AND(ER$26&lt;&gt;"",ER$23&lt;&gt;""),IF(EOMONTH($EP$3+INT((DAY(EOMONTH($EP$3,0))-1)/2)+ER$23,0)=EOMONTH($AL$3,0),ER$26,0),0),IF(AND(EN$26&lt;&gt;"",EN$23&lt;&gt;""),IF(EOMONTH($EL$3+INT((DAY(EOMONTH($EL$3,0))-1)/2)+EN$23,0)=EOMONTH($AL$3,0),EN$26,0),0),IF(AND(EJ$26&lt;&gt;"",EJ$23&lt;&gt;""),IF(EOMONTH($EH$3+INT((DAY(EOMONTH($EH$3,0))-1)/2)+EJ$23,0)=EOMONTH($AL$3,0),EJ$26,0),0),IF(AND(EF$26&lt;&gt;"",EF$23&lt;&gt;""),IF(EOMONTH($ED$3+INT((DAY(EOMONTH($ED$3,0))-1)/2)+EF$23,0)=EOMONTH($AL$3,0),EF$26,0),0),IF(AND(EB$26&lt;&gt;"",EB$23&lt;&gt;""),IF(EOMONTH($DZ$3+INT((DAY(EOMONTH($DZ$3,0))-1)/2)+EB$23,0)=EOMONTH($AL$3,0),EB$26,0),0),IF(AND(DX$26&lt;&gt;"",DX$23&lt;&gt;""),IF(EOMONTH($DV$3+INT((DAY(EOMONTH($DV$3,0))-1)/2)+DX$23,0)=EOMONTH($AL$3,0),DX$26,0),0),IF(AND(DT$26&lt;&gt;"",DT$23&lt;&gt;""),IF(EOMONTH($DR$3+INT((DAY(EOMONTH($DR$3,0))-1)/2)+DT$23,0)=EOMONTH($AL$3,0),DT$26,0),0),IF(AND(DP$26&lt;&gt;"",DP$23&lt;&gt;""),IF(EOMONTH($DN$3+INT((DAY(EOMONTH($DN$3,0))-1)/2)+DP$23,0)=EOMONTH($AL$3,0),DP$26,0),0),IF(AND(DL$26&lt;&gt;"",DL$23&lt;&gt;""),IF(EOMONTH($DJ$3+INT((DAY(EOMONTH($DJ$3,0))-1)/2)+DL$23,0)=EOMONTH($AL$3,0),DL$26,0),0),IF(AND(DH$26&lt;&gt;"",DH$23&lt;&gt;""),IF(EOMONTH($DF$3+INT((DAY(EOMONTH($DF$3,0))-1)/2)+DH$23,0)=EOMONTH($AL$3,0),DH$26,0),0),IF(AND(DD$26&lt;&gt;"",DD$23&lt;&gt;""),IF(EOMONTH($DB$3+INT((DAY(EOMONTH($DB$3,0))-1)/2)+DD$23,0)=EOMONTH($AL$3,0),DD$26,0),0),IF(AND(CZ$26&lt;&gt;"",CZ$23&lt;&gt;""),IF(EOMONTH($CX$3+INT((DAY(EOMONTH($CX$3,0))-1)/2)+CZ$23,0)=EOMONTH($AL$3,0),CZ$26,0),0),IF(AND(CV$26&lt;&gt;"",CV$23&lt;&gt;""),IF(EOMONTH($CT$3+INT((DAY(EOMONTH($CT$3,0))-1)/2)+CV$23,0)=EOMONTH($AL$3,0),CV$26,0),0),IF(AND(CR$26&lt;&gt;"",CR$23&lt;&gt;""),IF(EOMONTH($CP$3+INT((DAY(EOMONTH($CP$3,0))-1)/2)+CR$23,0)=EOMONTH($AL$3,0),CR$26,0),0),IF(AND(CN$26&lt;&gt;"",CN$23&lt;&gt;""),IF(EOMONTH($CL$3+INT((DAY(EOMONTH($CL$3,0))-1)/2)+CN$23,0)=EOMONTH($AL$3,0),CN$26,0),0),IF(AND(CJ$26&lt;&gt;"",CJ$23&lt;&gt;""),IF(EOMONTH($CH$3+INT((DAY(EOMONTH($CH$3,0))-1)/2)+CJ$23,0)=EOMONTH($AL$3,0),CJ$26,0),0),IF(AND(CF$26&lt;&gt;"",CF$23&lt;&gt;""),IF(EOMONTH($CD$3+INT((DAY(EOMONTH($CD$3,0))-1)/2)+CF$23,0)=EOMONTH($AL$3,0),CF$26,0),0),IF(AND(CB$26&lt;&gt;"",CB$23&lt;&gt;""),IF(EOMONTH($BZ$3+INT((DAY(EOMONTH($BZ$3,0))-1)/2)+CB$23,0)=EOMONTH($AL$3,0),CB$26,0),0),IF(AND(BX$26&lt;&gt;"",BX$23&lt;&gt;""),IF(EOMONTH($BV$3+INT((DAY(EOMONTH($BV$3,0))-1)/2)+BX$23,0)=EOMONTH($AL$3,0),BX$26,0),0),IF(AND(BT$26&lt;&gt;"",BT$23&lt;&gt;""),IF(EOMONTH($BR$3+INT((DAY(EOMONTH($BR$3,0))-1)/2)+BT$23,0)=EOMONTH($AL$3,0),BT$26,0),0),IF(AND(BP$26&lt;&gt;"",BP$23&lt;&gt;""),IF(EOMONTH($BN$3+INT((DAY(EOMONTH($BN$3,0))-1)/2)+BP$23,0)=EOMONTH($AL$3,0),BP$26,0),0),IF(AND(BL$26&lt;&gt;"",BL$23&lt;&gt;""),IF(EOMONTH($BJ$3+INT((DAY(EOMONTH($BJ$3,0))-1)/2)+BL$23,0)=EOMONTH($AL$3,0),BL$26,0),0),IF(AND(BH$26&lt;&gt;"",BH$23&lt;&gt;""),IF(EOMONTH($BF$3+INT((DAY(EOMONTH($BF$3,0))-1)/2)+BH$23,0)=EOMONTH($AL$3,0),BH$26,0),0),IF(AND(BD$26&lt;&gt;"",BD$23&lt;&gt;""),IF(EOMONTH($BB$3+INT((DAY(EOMONTH($BB$3,0))-1)/2)+BD$23,0)=EOMONTH($AL$3,0),BD$26,0),0),IF(AND(AZ$26&lt;&gt;"",AZ$23&lt;&gt;""),IF(EOMONTH($AX$3+INT((DAY(EOMONTH($AX$3,0))-1)/2)+AZ$23,0)=EOMONTH($AL$3,0),AZ$26,0),0),IF(AND(AV$26&lt;&gt;"",AV$23&lt;&gt;""),IF(EOMONTH($AT$3+INT((DAY(EOMONTH($AT$3,0))-1)/2)+AV$23,0)=EOMONTH($AL$3,0),AV$26,0),0),IF(AND(AR$26&lt;&gt;"",AR$23&lt;&gt;""),IF(EOMONTH($AP$3+INT((DAY(EOMONTH($AP$3,0))-1)/2)+AR$23,0)=EOMONTH($AL$3,0),AR$26,0),0),IF(AND(AN$26&lt;&gt;"",AN$23&lt;&gt;""),IF(EOMONTH($AL$3+INT((DAY(EOMONTH($AL$3,0))-1)/2)+AN$23,0)=EOMONTH($AL$3,0),AN$26,0),0),IF(AND(AJ$26&lt;&gt;"",AJ$23&lt;&gt;""),IF(EOMONTH($AH$3+INT((DAY(EOMONTH($AH$3,0))-1)/2)+AJ$23,0)=EOMONTH($AL$3,0),AJ$26,0),0),IF(AND(AF$26&lt;&gt;"",AF$23&lt;&gt;""),IF(EOMONTH($AD$3+INT((DAY(EOMONTH($AD$3,0))-1)/2)+AF$23,0)=EOMONTH($AL$3,0),AF$26,0),0),IF(AND(AB$26&lt;&gt;"",AB$23&lt;&gt;""),IF(EOMONTH($Z$3+INT((DAY(EOMONTH($Z$3,0))-1)/2)+AB$23,0)=EOMONTH($AL$3,0),AB$26,0),0),IF(AND(X$26&lt;&gt;"",X$23&lt;&gt;""),IF(EOMONTH($V$3+INT((DAY(EOMONTH($V$3,0))-1)/2)+X$23,0)=EOMONTH($AL$3,0),X$26,0),0),IF(AND(T$26&lt;&gt;"",T$23&lt;&gt;""),IF(EOMONTH($R$3+INT((DAY(EOMONTH($R$3,0))-1)/2)+T$23,0)=EOMONTH($AL$3,0),T$26,0),0),IF(AND(P$26&lt;&gt;"",P$23&lt;&gt;""),IF(EOMONTH($N$3+INT((DAY(EOMONTH($N$3,0))-1)/2)+P$23,0)=EOMONTH($AL$3,0),P$26,0),0),IF(AND(L$26&lt;&gt;"",L$23&lt;&gt;""),IF(EOMONTH($J$3+INT((DAY(EOMONTH($J$3,0))-1)/2)+L$23,0)=EOMONTH($AL$3,0),L$26,0),0),IF(AND(H$26&lt;&gt;"",H$23&lt;&gt;""),IF(EOMONTH($F$3+INT((DAY(EOMONTH($F$3,0))-1)/2)+H$23,0)=EOMONTH($AL$3,0),H$26,0),0),IF($EP$75="",0,IF(EOMONTH($EP$75+ER$23,0)=EOMONTH($AL$3,0),$EP$78*ER$13,0))),0)</f>
        <v>0</v>
      </c>
      <c r="AO57" s="33">
        <f t="shared" ref="AO57:AO70" si="718">IFERROR(IF(OR(AM57="",AN57=""),"",AM57-AN57),"")</f>
        <v>0</v>
      </c>
      <c r="AP57" s="34"/>
      <c r="AQ57" s="31">
        <f>IF(AP$98=1,AP57,ROUND(SUM(IF(AND(EQ$26&lt;&gt;"",EQ$23&lt;&gt;""),IF(EOMONTH($EP$3+INT((DAY(EOMONTH($EP$3,0))-1)/2)+EQ$23,0)=EOMONTH($AP$3,0),EQ$26,0),0),IF(AND(EM$26&lt;&gt;"",EM$23&lt;&gt;""),IF(EOMONTH($EL$3+INT((DAY(EOMONTH($EL$3,0))-1)/2)+EM$23,0)=EOMONTH($AP$3,0),EM$26,0),0),IF(AND(EI$26&lt;&gt;"",EI$23&lt;&gt;""),IF(EOMONTH($EH$3+INT((DAY(EOMONTH($EH$3,0))-1)/2)+EI$23,0)=EOMONTH($AP$3,0),EI$26,0),0),IF(AND(EE$26&lt;&gt;"",EE$23&lt;&gt;""),IF(EOMONTH($ED$3+INT((DAY(EOMONTH($ED$3,0))-1)/2)+EE$23,0)=EOMONTH($AP$3,0),EE$26,0),0),IF(AND(EA$26&lt;&gt;"",EA$23&lt;&gt;""),IF(EOMONTH($DZ$3+INT((DAY(EOMONTH($DZ$3,0))-1)/2)+EA$23,0)=EOMONTH($AP$3,0),EA$26,0),0),IF(AND(DW$26&lt;&gt;"",DW$23&lt;&gt;""),IF(EOMONTH($DV$3+INT((DAY(EOMONTH($DV$3,0))-1)/2)+DW$23,0)=EOMONTH($AP$3,0),DW$26,0),0),IF(AND(DS$26&lt;&gt;"",DS$23&lt;&gt;""),IF(EOMONTH($DR$3+INT((DAY(EOMONTH($DR$3,0))-1)/2)+DS$23,0)=EOMONTH($AP$3,0),DS$26,0),0),IF(AND(DO$26&lt;&gt;"",DO$23&lt;&gt;""),IF(EOMONTH($DN$3+INT((DAY(EOMONTH($DN$3,0))-1)/2)+DO$23,0)=EOMONTH($AP$3,0),DO$26,0),0),IF(AND(DK$26&lt;&gt;"",DK$23&lt;&gt;""),IF(EOMONTH($DJ$3+INT((DAY(EOMONTH($DJ$3,0))-1)/2)+DK$23,0)=EOMONTH($AP$3,0),DK$26,0),0),IF(AND(DG$26&lt;&gt;"",DG$23&lt;&gt;""),IF(EOMONTH($DF$3+INT((DAY(EOMONTH($DF$3,0))-1)/2)+DG$23,0)=EOMONTH($AP$3,0),DG$26,0),0),IF(AND(DC$26&lt;&gt;"",DC$23&lt;&gt;""),IF(EOMONTH($DB$3+INT((DAY(EOMONTH($DB$3,0))-1)/2)+DC$23,0)=EOMONTH($AP$3,0),DC$26,0),0),IF(AND(CY$26&lt;&gt;"",CY$23&lt;&gt;""),IF(EOMONTH($CX$3+INT((DAY(EOMONTH($CX$3,0))-1)/2)+CY$23,0)=EOMONTH($AP$3,0),CY$26,0),0),IF(AND(CU$26&lt;&gt;"",CU$23&lt;&gt;""),IF(EOMONTH($CT$3+INT((DAY(EOMONTH($CT$3,0))-1)/2)+CU$23,0)=EOMONTH($AP$3,0),CU$26,0),0),IF(AND(CQ$26&lt;&gt;"",CQ$23&lt;&gt;""),IF(EOMONTH($CP$3+INT((DAY(EOMONTH($CP$3,0))-1)/2)+CQ$23,0)=EOMONTH($AP$3,0),CQ$26,0),0),IF(AND(CM$26&lt;&gt;"",CM$23&lt;&gt;""),IF(EOMONTH($CL$3+INT((DAY(EOMONTH($CL$3,0))-1)/2)+CM$23,0)=EOMONTH($AP$3,0),CM$26,0),0),IF(AND(CI$26&lt;&gt;"",CI$23&lt;&gt;""),IF(EOMONTH($CH$3+INT((DAY(EOMONTH($CH$3,0))-1)/2)+CI$23,0)=EOMONTH($AP$3,0),CI$26,0),0),IF(AND(CE$26&lt;&gt;"",CE$23&lt;&gt;""),IF(EOMONTH($CD$3+INT((DAY(EOMONTH($CD$3,0))-1)/2)+CE$23,0)=EOMONTH($AP$3,0),CE$26,0),0),IF(AND(CA$26&lt;&gt;"",CA$23&lt;&gt;""),IF(EOMONTH($BZ$3+INT((DAY(EOMONTH($BZ$3,0))-1)/2)+CA$23,0)=EOMONTH($AP$3,0),CA$26,0),0),IF(AND(BW$26&lt;&gt;"",BW$23&lt;&gt;""),IF(EOMONTH($BV$3+INT((DAY(EOMONTH($BV$3,0))-1)/2)+BW$23,0)=EOMONTH($AP$3,0),BW$26,0),0),IF(AND(BS$26&lt;&gt;"",BS$23&lt;&gt;""),IF(EOMONTH($BR$3+INT((DAY(EOMONTH($BR$3,0))-1)/2)+BS$23,0)=EOMONTH($AP$3,0),BS$26,0),0),IF(AND(BO$26&lt;&gt;"",BO$23&lt;&gt;""),IF(EOMONTH($BN$3+INT((DAY(EOMONTH($BN$3,0))-1)/2)+BO$23,0)=EOMONTH($AP$3,0),BO$26,0),0),IF(AND(BK$26&lt;&gt;"",BK$23&lt;&gt;""),IF(EOMONTH($BJ$3+INT((DAY(EOMONTH($BJ$3,0))-1)/2)+BK$23,0)=EOMONTH($AP$3,0),BK$26,0),0),IF(AND(BG$26&lt;&gt;"",BG$23&lt;&gt;""),IF(EOMONTH($BF$3+INT((DAY(EOMONTH($BF$3,0))-1)/2)+BG$23,0)=EOMONTH($AP$3,0),BG$26,0),0),IF(AND(BC$26&lt;&gt;"",BC$23&lt;&gt;""),IF(EOMONTH($BB$3+INT((DAY(EOMONTH($BB$3,0))-1)/2)+BC$23,0)=EOMONTH($AP$3,0),BC$26,0),0),IF(AND(AY$26&lt;&gt;"",AY$23&lt;&gt;""),IF(EOMONTH($AX$3+INT((DAY(EOMONTH($AX$3,0))-1)/2)+AY$23,0)=EOMONTH($AP$3,0),AY$26,0),0),IF(AND(AU$26&lt;&gt;"",AU$23&lt;&gt;""),IF(EOMONTH($AT$3+INT((DAY(EOMONTH($AT$3,0))-1)/2)+AU$23,0)=EOMONTH($AP$3,0),AU$26,0),0),IF(AND(AQ$26&lt;&gt;"",AQ$23&lt;&gt;""),IF(EOMONTH($AP$3+INT((DAY(EOMONTH($AP$3,0))-1)/2)+AQ$23,0)=EOMONTH($AP$3,0),AQ$26,0),0),IF(AND(AM$26&lt;&gt;"",AM$23&lt;&gt;""),IF(EOMONTH($AL$3+INT((DAY(EOMONTH($AL$3,0))-1)/2)+AM$23,0)=EOMONTH($AP$3,0),AM$26,0),0),IF(AND(AI$26&lt;&gt;"",AI$23&lt;&gt;""),IF(EOMONTH($AH$3+INT((DAY(EOMONTH($AH$3,0))-1)/2)+AI$23,0)=EOMONTH($AP$3,0),AI$26,0),0),IF(AND(AE$26&lt;&gt;"",AE$23&lt;&gt;""),IF(EOMONTH($AD$3+INT((DAY(EOMONTH($AD$3,0))-1)/2)+AE$23,0)=EOMONTH($AP$3,0),AE$26,0),0),IF(AND(AA$26&lt;&gt;"",AA$23&lt;&gt;""),IF(EOMONTH($Z$3+INT((DAY(EOMONTH($Z$3,0))-1)/2)+AA$23,0)=EOMONTH($AP$3,0),AA$26,0),0),IF(AND(W$26&lt;&gt;"",W$23&lt;&gt;""),IF(EOMONTH($V$3+INT((DAY(EOMONTH($V$3,0))-1)/2)+W$23,0)=EOMONTH($AP$3,0),W$26,0),0),IF(AND(S$26&lt;&gt;"",S$23&lt;&gt;""),IF(EOMONTH($R$3+INT((DAY(EOMONTH($R$3,0))-1)/2)+S$23,0)=EOMONTH($AP$3,0),S$26,0),0),IF(AND(O$26&lt;&gt;"",O$23&lt;&gt;""),IF(EOMONTH($N$3+INT((DAY(EOMONTH($N$3,0))-1)/2)+O$23,0)=EOMONTH($AP$3,0),O$26,0),0),IF(AND(K$26&lt;&gt;"",K$23&lt;&gt;""),IF(EOMONTH($J$3+INT((DAY(EOMONTH($J$3,0))-1)/2)+K$23,0)=EOMONTH($AP$3,0),K$26,0),0),IF(AND(G$26&lt;&gt;"",G$23&lt;&gt;""),IF(EOMONTH($F$3+INT((DAY(EOMONTH($F$3,0))-1)/2)+G$23,0)=EOMONTH($AP$3,0),G$26,0),0),IF($EP$75="",0,IF(EOMONTH($EP$75+EQ$23,0)=EOMONTH($AP$3,0),$EP$78*EQ$13,0))),0))</f>
        <v>0</v>
      </c>
      <c r="AR57" s="32">
        <f>ROUND(SUM(IF(AND(ER$26&lt;&gt;"",ER$23&lt;&gt;""),IF(EOMONTH($EP$3+INT((DAY(EOMONTH($EP$3,0))-1)/2)+ER$23,0)=EOMONTH($AP$3,0),ER$26,0),0),IF(AND(EN$26&lt;&gt;"",EN$23&lt;&gt;""),IF(EOMONTH($EL$3+INT((DAY(EOMONTH($EL$3,0))-1)/2)+EN$23,0)=EOMONTH($AP$3,0),EN$26,0),0),IF(AND(EJ$26&lt;&gt;"",EJ$23&lt;&gt;""),IF(EOMONTH($EH$3+INT((DAY(EOMONTH($EH$3,0))-1)/2)+EJ$23,0)=EOMONTH($AP$3,0),EJ$26,0),0),IF(AND(EF$26&lt;&gt;"",EF$23&lt;&gt;""),IF(EOMONTH($ED$3+INT((DAY(EOMONTH($ED$3,0))-1)/2)+EF$23,0)=EOMONTH($AP$3,0),EF$26,0),0),IF(AND(EB$26&lt;&gt;"",EB$23&lt;&gt;""),IF(EOMONTH($DZ$3+INT((DAY(EOMONTH($DZ$3,0))-1)/2)+EB$23,0)=EOMONTH($AP$3,0),EB$26,0),0),IF(AND(DX$26&lt;&gt;"",DX$23&lt;&gt;""),IF(EOMONTH($DV$3+INT((DAY(EOMONTH($DV$3,0))-1)/2)+DX$23,0)=EOMONTH($AP$3,0),DX$26,0),0),IF(AND(DT$26&lt;&gt;"",DT$23&lt;&gt;""),IF(EOMONTH($DR$3+INT((DAY(EOMONTH($DR$3,0))-1)/2)+DT$23,0)=EOMONTH($AP$3,0),DT$26,0),0),IF(AND(DP$26&lt;&gt;"",DP$23&lt;&gt;""),IF(EOMONTH($DN$3+INT((DAY(EOMONTH($DN$3,0))-1)/2)+DP$23,0)=EOMONTH($AP$3,0),DP$26,0),0),IF(AND(DL$26&lt;&gt;"",DL$23&lt;&gt;""),IF(EOMONTH($DJ$3+INT((DAY(EOMONTH($DJ$3,0))-1)/2)+DL$23,0)=EOMONTH($AP$3,0),DL$26,0),0),IF(AND(DH$26&lt;&gt;"",DH$23&lt;&gt;""),IF(EOMONTH($DF$3+INT((DAY(EOMONTH($DF$3,0))-1)/2)+DH$23,0)=EOMONTH($AP$3,0),DH$26,0),0),IF(AND(DD$26&lt;&gt;"",DD$23&lt;&gt;""),IF(EOMONTH($DB$3+INT((DAY(EOMONTH($DB$3,0))-1)/2)+DD$23,0)=EOMONTH($AP$3,0),DD$26,0),0),IF(AND(CZ$26&lt;&gt;"",CZ$23&lt;&gt;""),IF(EOMONTH($CX$3+INT((DAY(EOMONTH($CX$3,0))-1)/2)+CZ$23,0)=EOMONTH($AP$3,0),CZ$26,0),0),IF(AND(CV$26&lt;&gt;"",CV$23&lt;&gt;""),IF(EOMONTH($CT$3+INT((DAY(EOMONTH($CT$3,0))-1)/2)+CV$23,0)=EOMONTH($AP$3,0),CV$26,0),0),IF(AND(CR$26&lt;&gt;"",CR$23&lt;&gt;""),IF(EOMONTH($CP$3+INT((DAY(EOMONTH($CP$3,0))-1)/2)+CR$23,0)=EOMONTH($AP$3,0),CR$26,0),0),IF(AND(CN$26&lt;&gt;"",CN$23&lt;&gt;""),IF(EOMONTH($CL$3+INT((DAY(EOMONTH($CL$3,0))-1)/2)+CN$23,0)=EOMONTH($AP$3,0),CN$26,0),0),IF(AND(CJ$26&lt;&gt;"",CJ$23&lt;&gt;""),IF(EOMONTH($CH$3+INT((DAY(EOMONTH($CH$3,0))-1)/2)+CJ$23,0)=EOMONTH($AP$3,0),CJ$26,0),0),IF(AND(CF$26&lt;&gt;"",CF$23&lt;&gt;""),IF(EOMONTH($CD$3+INT((DAY(EOMONTH($CD$3,0))-1)/2)+CF$23,0)=EOMONTH($AP$3,0),CF$26,0),0),IF(AND(CB$26&lt;&gt;"",CB$23&lt;&gt;""),IF(EOMONTH($BZ$3+INT((DAY(EOMONTH($BZ$3,0))-1)/2)+CB$23,0)=EOMONTH($AP$3,0),CB$26,0),0),IF(AND(BX$26&lt;&gt;"",BX$23&lt;&gt;""),IF(EOMONTH($BV$3+INT((DAY(EOMONTH($BV$3,0))-1)/2)+BX$23,0)=EOMONTH($AP$3,0),BX$26,0),0),IF(AND(BT$26&lt;&gt;"",BT$23&lt;&gt;""),IF(EOMONTH($BR$3+INT((DAY(EOMONTH($BR$3,0))-1)/2)+BT$23,0)=EOMONTH($AP$3,0),BT$26,0),0),IF(AND(BP$26&lt;&gt;"",BP$23&lt;&gt;""),IF(EOMONTH($BN$3+INT((DAY(EOMONTH($BN$3,0))-1)/2)+BP$23,0)=EOMONTH($AP$3,0),BP$26,0),0),IF(AND(BL$26&lt;&gt;"",BL$23&lt;&gt;""),IF(EOMONTH($BJ$3+INT((DAY(EOMONTH($BJ$3,0))-1)/2)+BL$23,0)=EOMONTH($AP$3,0),BL$26,0),0),IF(AND(BH$26&lt;&gt;"",BH$23&lt;&gt;""),IF(EOMONTH($BF$3+INT((DAY(EOMONTH($BF$3,0))-1)/2)+BH$23,0)=EOMONTH($AP$3,0),BH$26,0),0),IF(AND(BD$26&lt;&gt;"",BD$23&lt;&gt;""),IF(EOMONTH($BB$3+INT((DAY(EOMONTH($BB$3,0))-1)/2)+BD$23,0)=EOMONTH($AP$3,0),BD$26,0),0),IF(AND(AZ$26&lt;&gt;"",AZ$23&lt;&gt;""),IF(EOMONTH($AX$3+INT((DAY(EOMONTH($AX$3,0))-1)/2)+AZ$23,0)=EOMONTH($AP$3,0),AZ$26,0),0),IF(AND(AV$26&lt;&gt;"",AV$23&lt;&gt;""),IF(EOMONTH($AT$3+INT((DAY(EOMONTH($AT$3,0))-1)/2)+AV$23,0)=EOMONTH($AP$3,0),AV$26,0),0),IF(AND(AR$26&lt;&gt;"",AR$23&lt;&gt;""),IF(EOMONTH($AP$3+INT((DAY(EOMONTH($AP$3,0))-1)/2)+AR$23,0)=EOMONTH($AP$3,0),AR$26,0),0),IF(AND(AN$26&lt;&gt;"",AN$23&lt;&gt;""),IF(EOMONTH($AL$3+INT((DAY(EOMONTH($AL$3,0))-1)/2)+AN$23,0)=EOMONTH($AP$3,0),AN$26,0),0),IF(AND(AJ$26&lt;&gt;"",AJ$23&lt;&gt;""),IF(EOMONTH($AH$3+INT((DAY(EOMONTH($AH$3,0))-1)/2)+AJ$23,0)=EOMONTH($AP$3,0),AJ$26,0),0),IF(AND(AF$26&lt;&gt;"",AF$23&lt;&gt;""),IF(EOMONTH($AD$3+INT((DAY(EOMONTH($AD$3,0))-1)/2)+AF$23,0)=EOMONTH($AP$3,0),AF$26,0),0),IF(AND(AB$26&lt;&gt;"",AB$23&lt;&gt;""),IF(EOMONTH($Z$3+INT((DAY(EOMONTH($Z$3,0))-1)/2)+AB$23,0)=EOMONTH($AP$3,0),AB$26,0),0),IF(AND(X$26&lt;&gt;"",X$23&lt;&gt;""),IF(EOMONTH($V$3+INT((DAY(EOMONTH($V$3,0))-1)/2)+X$23,0)=EOMONTH($AP$3,0),X$26,0),0),IF(AND(T$26&lt;&gt;"",T$23&lt;&gt;""),IF(EOMONTH($R$3+INT((DAY(EOMONTH($R$3,0))-1)/2)+T$23,0)=EOMONTH($AP$3,0),T$26,0),0),IF(AND(P$26&lt;&gt;"",P$23&lt;&gt;""),IF(EOMONTH($N$3+INT((DAY(EOMONTH($N$3,0))-1)/2)+P$23,0)=EOMONTH($AP$3,0),P$26,0),0),IF(AND(L$26&lt;&gt;"",L$23&lt;&gt;""),IF(EOMONTH($J$3+INT((DAY(EOMONTH($J$3,0))-1)/2)+L$23,0)=EOMONTH($AP$3,0),L$26,0),0),IF(AND(H$26&lt;&gt;"",H$23&lt;&gt;""),IF(EOMONTH($F$3+INT((DAY(EOMONTH($F$3,0))-1)/2)+H$23,0)=EOMONTH($AP$3,0),H$26,0),0),IF($EP$75="",0,IF(EOMONTH($EP$75+ER$23,0)=EOMONTH($AP$3,0),$EP$78*ER$13,0))),0)</f>
        <v>0</v>
      </c>
      <c r="AS57" s="33">
        <f t="shared" ref="AS57:AS70" si="720">IFERROR(IF(OR(AQ57="",AR57=""),"",AQ57-AR57),"")</f>
        <v>0</v>
      </c>
      <c r="AT57" s="34"/>
      <c r="AU57" s="31">
        <f>IF(AT$98=1,AT57,ROUND(SUM(IF(AND(EQ$26&lt;&gt;"",EQ$23&lt;&gt;""),IF(EOMONTH($EP$3+INT((DAY(EOMONTH($EP$3,0))-1)/2)+EQ$23,0)=EOMONTH($AT$3,0),EQ$26,0),0),IF(AND(EM$26&lt;&gt;"",EM$23&lt;&gt;""),IF(EOMONTH($EL$3+INT((DAY(EOMONTH($EL$3,0))-1)/2)+EM$23,0)=EOMONTH($AT$3,0),EM$26,0),0),IF(AND(EI$26&lt;&gt;"",EI$23&lt;&gt;""),IF(EOMONTH($EH$3+INT((DAY(EOMONTH($EH$3,0))-1)/2)+EI$23,0)=EOMONTH($AT$3,0),EI$26,0),0),IF(AND(EE$26&lt;&gt;"",EE$23&lt;&gt;""),IF(EOMONTH($ED$3+INT((DAY(EOMONTH($ED$3,0))-1)/2)+EE$23,0)=EOMONTH($AT$3,0),EE$26,0),0),IF(AND(EA$26&lt;&gt;"",EA$23&lt;&gt;""),IF(EOMONTH($DZ$3+INT((DAY(EOMONTH($DZ$3,0))-1)/2)+EA$23,0)=EOMONTH($AT$3,0),EA$26,0),0),IF(AND(DW$26&lt;&gt;"",DW$23&lt;&gt;""),IF(EOMONTH($DV$3+INT((DAY(EOMONTH($DV$3,0))-1)/2)+DW$23,0)=EOMONTH($AT$3,0),DW$26,0),0),IF(AND(DS$26&lt;&gt;"",DS$23&lt;&gt;""),IF(EOMONTH($DR$3+INT((DAY(EOMONTH($DR$3,0))-1)/2)+DS$23,0)=EOMONTH($AT$3,0),DS$26,0),0),IF(AND(DO$26&lt;&gt;"",DO$23&lt;&gt;""),IF(EOMONTH($DN$3+INT((DAY(EOMONTH($DN$3,0))-1)/2)+DO$23,0)=EOMONTH($AT$3,0),DO$26,0),0),IF(AND(DK$26&lt;&gt;"",DK$23&lt;&gt;""),IF(EOMONTH($DJ$3+INT((DAY(EOMONTH($DJ$3,0))-1)/2)+DK$23,0)=EOMONTH($AT$3,0),DK$26,0),0),IF(AND(DG$26&lt;&gt;"",DG$23&lt;&gt;""),IF(EOMONTH($DF$3+INT((DAY(EOMONTH($DF$3,0))-1)/2)+DG$23,0)=EOMONTH($AT$3,0),DG$26,0),0),IF(AND(DC$26&lt;&gt;"",DC$23&lt;&gt;""),IF(EOMONTH($DB$3+INT((DAY(EOMONTH($DB$3,0))-1)/2)+DC$23,0)=EOMONTH($AT$3,0),DC$26,0),0),IF(AND(CY$26&lt;&gt;"",CY$23&lt;&gt;""),IF(EOMONTH($CX$3+INT((DAY(EOMONTH($CX$3,0))-1)/2)+CY$23,0)=EOMONTH($AT$3,0),CY$26,0),0),IF(AND(CU$26&lt;&gt;"",CU$23&lt;&gt;""),IF(EOMONTH($CT$3+INT((DAY(EOMONTH($CT$3,0))-1)/2)+CU$23,0)=EOMONTH($AT$3,0),CU$26,0),0),IF(AND(CQ$26&lt;&gt;"",CQ$23&lt;&gt;""),IF(EOMONTH($CP$3+INT((DAY(EOMONTH($CP$3,0))-1)/2)+CQ$23,0)=EOMONTH($AT$3,0),CQ$26,0),0),IF(AND(CM$26&lt;&gt;"",CM$23&lt;&gt;""),IF(EOMONTH($CL$3+INT((DAY(EOMONTH($CL$3,0))-1)/2)+CM$23,0)=EOMONTH($AT$3,0),CM$26,0),0),IF(AND(CI$26&lt;&gt;"",CI$23&lt;&gt;""),IF(EOMONTH($CH$3+INT((DAY(EOMONTH($CH$3,0))-1)/2)+CI$23,0)=EOMONTH($AT$3,0),CI$26,0),0),IF(AND(CE$26&lt;&gt;"",CE$23&lt;&gt;""),IF(EOMONTH($CD$3+INT((DAY(EOMONTH($CD$3,0))-1)/2)+CE$23,0)=EOMONTH($AT$3,0),CE$26,0),0),IF(AND(CA$26&lt;&gt;"",CA$23&lt;&gt;""),IF(EOMONTH($BZ$3+INT((DAY(EOMONTH($BZ$3,0))-1)/2)+CA$23,0)=EOMONTH($AT$3,0),CA$26,0),0),IF(AND(BW$26&lt;&gt;"",BW$23&lt;&gt;""),IF(EOMONTH($BV$3+INT((DAY(EOMONTH($BV$3,0))-1)/2)+BW$23,0)=EOMONTH($AT$3,0),BW$26,0),0),IF(AND(BS$26&lt;&gt;"",BS$23&lt;&gt;""),IF(EOMONTH($BR$3+INT((DAY(EOMONTH($BR$3,0))-1)/2)+BS$23,0)=EOMONTH($AT$3,0),BS$26,0),0),IF(AND(BO$26&lt;&gt;"",BO$23&lt;&gt;""),IF(EOMONTH($BN$3+INT((DAY(EOMONTH($BN$3,0))-1)/2)+BO$23,0)=EOMONTH($AT$3,0),BO$26,0),0),IF(AND(BK$26&lt;&gt;"",BK$23&lt;&gt;""),IF(EOMONTH($BJ$3+INT((DAY(EOMONTH($BJ$3,0))-1)/2)+BK$23,0)=EOMONTH($AT$3,0),BK$26,0),0),IF(AND(BG$26&lt;&gt;"",BG$23&lt;&gt;""),IF(EOMONTH($BF$3+INT((DAY(EOMONTH($BF$3,0))-1)/2)+BG$23,0)=EOMONTH($AT$3,0),BG$26,0),0),IF(AND(BC$26&lt;&gt;"",BC$23&lt;&gt;""),IF(EOMONTH($BB$3+INT((DAY(EOMONTH($BB$3,0))-1)/2)+BC$23,0)=EOMONTH($AT$3,0),BC$26,0),0),IF(AND(AY$26&lt;&gt;"",AY$23&lt;&gt;""),IF(EOMONTH($AX$3+INT((DAY(EOMONTH($AX$3,0))-1)/2)+AY$23,0)=EOMONTH($AT$3,0),AY$26,0),0),IF(AND(AU$26&lt;&gt;"",AU$23&lt;&gt;""),IF(EOMONTH($AT$3+INT((DAY(EOMONTH($AT$3,0))-1)/2)+AU$23,0)=EOMONTH($AT$3,0),AU$26,0),0),IF(AND(AQ$26&lt;&gt;"",AQ$23&lt;&gt;""),IF(EOMONTH($AP$3+INT((DAY(EOMONTH($AP$3,0))-1)/2)+AQ$23,0)=EOMONTH($AT$3,0),AQ$26,0),0),IF(AND(AM$26&lt;&gt;"",AM$23&lt;&gt;""),IF(EOMONTH($AL$3+INT((DAY(EOMONTH($AL$3,0))-1)/2)+AM$23,0)=EOMONTH($AT$3,0),AM$26,0),0),IF(AND(AI$26&lt;&gt;"",AI$23&lt;&gt;""),IF(EOMONTH($AH$3+INT((DAY(EOMONTH($AH$3,0))-1)/2)+AI$23,0)=EOMONTH($AT$3,0),AI$26,0),0),IF(AND(AE$26&lt;&gt;"",AE$23&lt;&gt;""),IF(EOMONTH($AD$3+INT((DAY(EOMONTH($AD$3,0))-1)/2)+AE$23,0)=EOMONTH($AT$3,0),AE$26,0),0),IF(AND(AA$26&lt;&gt;"",AA$23&lt;&gt;""),IF(EOMONTH($Z$3+INT((DAY(EOMONTH($Z$3,0))-1)/2)+AA$23,0)=EOMONTH($AT$3,0),AA$26,0),0),IF(AND(W$26&lt;&gt;"",W$23&lt;&gt;""),IF(EOMONTH($V$3+INT((DAY(EOMONTH($V$3,0))-1)/2)+W$23,0)=EOMONTH($AT$3,0),W$26,0),0),IF(AND(S$26&lt;&gt;"",S$23&lt;&gt;""),IF(EOMONTH($R$3+INT((DAY(EOMONTH($R$3,0))-1)/2)+S$23,0)=EOMONTH($AT$3,0),S$26,0),0),IF(AND(O$26&lt;&gt;"",O$23&lt;&gt;""),IF(EOMONTH($N$3+INT((DAY(EOMONTH($N$3,0))-1)/2)+O$23,0)=EOMONTH($AT$3,0),O$26,0),0),IF(AND(K$26&lt;&gt;"",K$23&lt;&gt;""),IF(EOMONTH($J$3+INT((DAY(EOMONTH($J$3,0))-1)/2)+K$23,0)=EOMONTH($AT$3,0),K$26,0),0),IF(AND(G$26&lt;&gt;"",G$23&lt;&gt;""),IF(EOMONTH($F$3+INT((DAY(EOMONTH($F$3,0))-1)/2)+G$23,0)=EOMONTH($AT$3,0),G$26,0),0),IF($EP$75="",0,IF(EOMONTH($EP$75+EQ$23,0)=EOMONTH($AT$3,0),$EP$78*EQ$13,0))),0))</f>
        <v>0</v>
      </c>
      <c r="AV57" s="32">
        <f>ROUND(SUM(IF(AND(ER$26&lt;&gt;"",ER$23&lt;&gt;""),IF(EOMONTH($EP$3+INT((DAY(EOMONTH($EP$3,0))-1)/2)+ER$23,0)=EOMONTH($AT$3,0),ER$26,0),0),IF(AND(EN$26&lt;&gt;"",EN$23&lt;&gt;""),IF(EOMONTH($EL$3+INT((DAY(EOMONTH($EL$3,0))-1)/2)+EN$23,0)=EOMONTH($AT$3,0),EN$26,0),0),IF(AND(EJ$26&lt;&gt;"",EJ$23&lt;&gt;""),IF(EOMONTH($EH$3+INT((DAY(EOMONTH($EH$3,0))-1)/2)+EJ$23,0)=EOMONTH($AT$3,0),EJ$26,0),0),IF(AND(EF$26&lt;&gt;"",EF$23&lt;&gt;""),IF(EOMONTH($ED$3+INT((DAY(EOMONTH($ED$3,0))-1)/2)+EF$23,0)=EOMONTH($AT$3,0),EF$26,0),0),IF(AND(EB$26&lt;&gt;"",EB$23&lt;&gt;""),IF(EOMONTH($DZ$3+INT((DAY(EOMONTH($DZ$3,0))-1)/2)+EB$23,0)=EOMONTH($AT$3,0),EB$26,0),0),IF(AND(DX$26&lt;&gt;"",DX$23&lt;&gt;""),IF(EOMONTH($DV$3+INT((DAY(EOMONTH($DV$3,0))-1)/2)+DX$23,0)=EOMONTH($AT$3,0),DX$26,0),0),IF(AND(DT$26&lt;&gt;"",DT$23&lt;&gt;""),IF(EOMONTH($DR$3+INT((DAY(EOMONTH($DR$3,0))-1)/2)+DT$23,0)=EOMONTH($AT$3,0),DT$26,0),0),IF(AND(DP$26&lt;&gt;"",DP$23&lt;&gt;""),IF(EOMONTH($DN$3+INT((DAY(EOMONTH($DN$3,0))-1)/2)+DP$23,0)=EOMONTH($AT$3,0),DP$26,0),0),IF(AND(DL$26&lt;&gt;"",DL$23&lt;&gt;""),IF(EOMONTH($DJ$3+INT((DAY(EOMONTH($DJ$3,0))-1)/2)+DL$23,0)=EOMONTH($AT$3,0),DL$26,0),0),IF(AND(DH$26&lt;&gt;"",DH$23&lt;&gt;""),IF(EOMONTH($DF$3+INT((DAY(EOMONTH($DF$3,0))-1)/2)+DH$23,0)=EOMONTH($AT$3,0),DH$26,0),0),IF(AND(DD$26&lt;&gt;"",DD$23&lt;&gt;""),IF(EOMONTH($DB$3+INT((DAY(EOMONTH($DB$3,0))-1)/2)+DD$23,0)=EOMONTH($AT$3,0),DD$26,0),0),IF(AND(CZ$26&lt;&gt;"",CZ$23&lt;&gt;""),IF(EOMONTH($CX$3+INT((DAY(EOMONTH($CX$3,0))-1)/2)+CZ$23,0)=EOMONTH($AT$3,0),CZ$26,0),0),IF(AND(CV$26&lt;&gt;"",CV$23&lt;&gt;""),IF(EOMONTH($CT$3+INT((DAY(EOMONTH($CT$3,0))-1)/2)+CV$23,0)=EOMONTH($AT$3,0),CV$26,0),0),IF(AND(CR$26&lt;&gt;"",CR$23&lt;&gt;""),IF(EOMONTH($CP$3+INT((DAY(EOMONTH($CP$3,0))-1)/2)+CR$23,0)=EOMONTH($AT$3,0),CR$26,0),0),IF(AND(CN$26&lt;&gt;"",CN$23&lt;&gt;""),IF(EOMONTH($CL$3+INT((DAY(EOMONTH($CL$3,0))-1)/2)+CN$23,0)=EOMONTH($AT$3,0),CN$26,0),0),IF(AND(CJ$26&lt;&gt;"",CJ$23&lt;&gt;""),IF(EOMONTH($CH$3+INT((DAY(EOMONTH($CH$3,0))-1)/2)+CJ$23,0)=EOMONTH($AT$3,0),CJ$26,0),0),IF(AND(CF$26&lt;&gt;"",CF$23&lt;&gt;""),IF(EOMONTH($CD$3+INT((DAY(EOMONTH($CD$3,0))-1)/2)+CF$23,0)=EOMONTH($AT$3,0),CF$26,0),0),IF(AND(CB$26&lt;&gt;"",CB$23&lt;&gt;""),IF(EOMONTH($BZ$3+INT((DAY(EOMONTH($BZ$3,0))-1)/2)+CB$23,0)=EOMONTH($AT$3,0),CB$26,0),0),IF(AND(BX$26&lt;&gt;"",BX$23&lt;&gt;""),IF(EOMONTH($BV$3+INT((DAY(EOMONTH($BV$3,0))-1)/2)+BX$23,0)=EOMONTH($AT$3,0),BX$26,0),0),IF(AND(BT$26&lt;&gt;"",BT$23&lt;&gt;""),IF(EOMONTH($BR$3+INT((DAY(EOMONTH($BR$3,0))-1)/2)+BT$23,0)=EOMONTH($AT$3,0),BT$26,0),0),IF(AND(BP$26&lt;&gt;"",BP$23&lt;&gt;""),IF(EOMONTH($BN$3+INT((DAY(EOMONTH($BN$3,0))-1)/2)+BP$23,0)=EOMONTH($AT$3,0),BP$26,0),0),IF(AND(BL$26&lt;&gt;"",BL$23&lt;&gt;""),IF(EOMONTH($BJ$3+INT((DAY(EOMONTH($BJ$3,0))-1)/2)+BL$23,0)=EOMONTH($AT$3,0),BL$26,0),0),IF(AND(BH$26&lt;&gt;"",BH$23&lt;&gt;""),IF(EOMONTH($BF$3+INT((DAY(EOMONTH($BF$3,0))-1)/2)+BH$23,0)=EOMONTH($AT$3,0),BH$26,0),0),IF(AND(BD$26&lt;&gt;"",BD$23&lt;&gt;""),IF(EOMONTH($BB$3+INT((DAY(EOMONTH($BB$3,0))-1)/2)+BD$23,0)=EOMONTH($AT$3,0),BD$26,0),0),IF(AND(AZ$26&lt;&gt;"",AZ$23&lt;&gt;""),IF(EOMONTH($AX$3+INT((DAY(EOMONTH($AX$3,0))-1)/2)+AZ$23,0)=EOMONTH($AT$3,0),AZ$26,0),0),IF(AND(AV$26&lt;&gt;"",AV$23&lt;&gt;""),IF(EOMONTH($AT$3+INT((DAY(EOMONTH($AT$3,0))-1)/2)+AV$23,0)=EOMONTH($AT$3,0),AV$26,0),0),IF(AND(AR$26&lt;&gt;"",AR$23&lt;&gt;""),IF(EOMONTH($AP$3+INT((DAY(EOMONTH($AP$3,0))-1)/2)+AR$23,0)=EOMONTH($AT$3,0),AR$26,0),0),IF(AND(AN$26&lt;&gt;"",AN$23&lt;&gt;""),IF(EOMONTH($AL$3+INT((DAY(EOMONTH($AL$3,0))-1)/2)+AN$23,0)=EOMONTH($AT$3,0),AN$26,0),0),IF(AND(AJ$26&lt;&gt;"",AJ$23&lt;&gt;""),IF(EOMONTH($AH$3+INT((DAY(EOMONTH($AH$3,0))-1)/2)+AJ$23,0)=EOMONTH($AT$3,0),AJ$26,0),0),IF(AND(AF$26&lt;&gt;"",AF$23&lt;&gt;""),IF(EOMONTH($AD$3+INT((DAY(EOMONTH($AD$3,0))-1)/2)+AF$23,0)=EOMONTH($AT$3,0),AF$26,0),0),IF(AND(AB$26&lt;&gt;"",AB$23&lt;&gt;""),IF(EOMONTH($Z$3+INT((DAY(EOMONTH($Z$3,0))-1)/2)+AB$23,0)=EOMONTH($AT$3,0),AB$26,0),0),IF(AND(X$26&lt;&gt;"",X$23&lt;&gt;""),IF(EOMONTH($V$3+INT((DAY(EOMONTH($V$3,0))-1)/2)+X$23,0)=EOMONTH($AT$3,0),X$26,0),0),IF(AND(T$26&lt;&gt;"",T$23&lt;&gt;""),IF(EOMONTH($R$3+INT((DAY(EOMONTH($R$3,0))-1)/2)+T$23,0)=EOMONTH($AT$3,0),T$26,0),0),IF(AND(P$26&lt;&gt;"",P$23&lt;&gt;""),IF(EOMONTH($N$3+INT((DAY(EOMONTH($N$3,0))-1)/2)+P$23,0)=EOMONTH($AT$3,0),P$26,0),0),IF(AND(L$26&lt;&gt;"",L$23&lt;&gt;""),IF(EOMONTH($J$3+INT((DAY(EOMONTH($J$3,0))-1)/2)+L$23,0)=EOMONTH($AT$3,0),L$26,0),0),IF(AND(H$26&lt;&gt;"",H$23&lt;&gt;""),IF(EOMONTH($F$3+INT((DAY(EOMONTH($F$3,0))-1)/2)+H$23,0)=EOMONTH($AT$3,0),H$26,0),0),IF($EP$75="",0,IF(EOMONTH($EP$75+ER$23,0)=EOMONTH($AT$3,0),$EP$78*ER$13,0))),0)</f>
        <v>0</v>
      </c>
      <c r="AW57" s="33">
        <f t="shared" ref="AW57:AW70" si="722">IFERROR(IF(OR(AU57="",AV57=""),"",AU57-AV57),"")</f>
        <v>0</v>
      </c>
      <c r="AX57" s="34"/>
      <c r="AY57" s="31">
        <f>IF(AX$98=1,AX57,ROUND(SUM(IF(AND(EQ$26&lt;&gt;"",EQ$23&lt;&gt;""),IF(EOMONTH($EP$3+INT((DAY(EOMONTH($EP$3,0))-1)/2)+EQ$23,0)=EOMONTH($AX$3,0),EQ$26,0),0),IF(AND(EM$26&lt;&gt;"",EM$23&lt;&gt;""),IF(EOMONTH($EL$3+INT((DAY(EOMONTH($EL$3,0))-1)/2)+EM$23,0)=EOMONTH($AX$3,0),EM$26,0),0),IF(AND(EI$26&lt;&gt;"",EI$23&lt;&gt;""),IF(EOMONTH($EH$3+INT((DAY(EOMONTH($EH$3,0))-1)/2)+EI$23,0)=EOMONTH($AX$3,0),EI$26,0),0),IF(AND(EE$26&lt;&gt;"",EE$23&lt;&gt;""),IF(EOMONTH($ED$3+INT((DAY(EOMONTH($ED$3,0))-1)/2)+EE$23,0)=EOMONTH($AX$3,0),EE$26,0),0),IF(AND(EA$26&lt;&gt;"",EA$23&lt;&gt;""),IF(EOMONTH($DZ$3+INT((DAY(EOMONTH($DZ$3,0))-1)/2)+EA$23,0)=EOMONTH($AX$3,0),EA$26,0),0),IF(AND(DW$26&lt;&gt;"",DW$23&lt;&gt;""),IF(EOMONTH($DV$3+INT((DAY(EOMONTH($DV$3,0))-1)/2)+DW$23,0)=EOMONTH($AX$3,0),DW$26,0),0),IF(AND(DS$26&lt;&gt;"",DS$23&lt;&gt;""),IF(EOMONTH($DR$3+INT((DAY(EOMONTH($DR$3,0))-1)/2)+DS$23,0)=EOMONTH($AX$3,0),DS$26,0),0),IF(AND(DO$26&lt;&gt;"",DO$23&lt;&gt;""),IF(EOMONTH($DN$3+INT((DAY(EOMONTH($DN$3,0))-1)/2)+DO$23,0)=EOMONTH($AX$3,0),DO$26,0),0),IF(AND(DK$26&lt;&gt;"",DK$23&lt;&gt;""),IF(EOMONTH($DJ$3+INT((DAY(EOMONTH($DJ$3,0))-1)/2)+DK$23,0)=EOMONTH($AX$3,0),DK$26,0),0),IF(AND(DG$26&lt;&gt;"",DG$23&lt;&gt;""),IF(EOMONTH($DF$3+INT((DAY(EOMONTH($DF$3,0))-1)/2)+DG$23,0)=EOMONTH($AX$3,0),DG$26,0),0),IF(AND(DC$26&lt;&gt;"",DC$23&lt;&gt;""),IF(EOMONTH($DB$3+INT((DAY(EOMONTH($DB$3,0))-1)/2)+DC$23,0)=EOMONTH($AX$3,0),DC$26,0),0),IF(AND(CY$26&lt;&gt;"",CY$23&lt;&gt;""),IF(EOMONTH($CX$3+INT((DAY(EOMONTH($CX$3,0))-1)/2)+CY$23,0)=EOMONTH($AX$3,0),CY$26,0),0),IF(AND(CU$26&lt;&gt;"",CU$23&lt;&gt;""),IF(EOMONTH($CT$3+INT((DAY(EOMONTH($CT$3,0))-1)/2)+CU$23,0)=EOMONTH($AX$3,0),CU$26,0),0),IF(AND(CQ$26&lt;&gt;"",CQ$23&lt;&gt;""),IF(EOMONTH($CP$3+INT((DAY(EOMONTH($CP$3,0))-1)/2)+CQ$23,0)=EOMONTH($AX$3,0),CQ$26,0),0),IF(AND(CM$26&lt;&gt;"",CM$23&lt;&gt;""),IF(EOMONTH($CL$3+INT((DAY(EOMONTH($CL$3,0))-1)/2)+CM$23,0)=EOMONTH($AX$3,0),CM$26,0),0),IF(AND(CI$26&lt;&gt;"",CI$23&lt;&gt;""),IF(EOMONTH($CH$3+INT((DAY(EOMONTH($CH$3,0))-1)/2)+CI$23,0)=EOMONTH($AX$3,0),CI$26,0),0),IF(AND(CE$26&lt;&gt;"",CE$23&lt;&gt;""),IF(EOMONTH($CD$3+INT((DAY(EOMONTH($CD$3,0))-1)/2)+CE$23,0)=EOMONTH($AX$3,0),CE$26,0),0),IF(AND(CA$26&lt;&gt;"",CA$23&lt;&gt;""),IF(EOMONTH($BZ$3+INT((DAY(EOMONTH($BZ$3,0))-1)/2)+CA$23,0)=EOMONTH($AX$3,0),CA$26,0),0),IF(AND(BW$26&lt;&gt;"",BW$23&lt;&gt;""),IF(EOMONTH($BV$3+INT((DAY(EOMONTH($BV$3,0))-1)/2)+BW$23,0)=EOMONTH($AX$3,0),BW$26,0),0),IF(AND(BS$26&lt;&gt;"",BS$23&lt;&gt;""),IF(EOMONTH($BR$3+INT((DAY(EOMONTH($BR$3,0))-1)/2)+BS$23,0)=EOMONTH($AX$3,0),BS$26,0),0),IF(AND(BO$26&lt;&gt;"",BO$23&lt;&gt;""),IF(EOMONTH($BN$3+INT((DAY(EOMONTH($BN$3,0))-1)/2)+BO$23,0)=EOMONTH($AX$3,0),BO$26,0),0),IF(AND(BK$26&lt;&gt;"",BK$23&lt;&gt;""),IF(EOMONTH($BJ$3+INT((DAY(EOMONTH($BJ$3,0))-1)/2)+BK$23,0)=EOMONTH($AX$3,0),BK$26,0),0),IF(AND(BG$26&lt;&gt;"",BG$23&lt;&gt;""),IF(EOMONTH($BF$3+INT((DAY(EOMONTH($BF$3,0))-1)/2)+BG$23,0)=EOMONTH($AX$3,0),BG$26,0),0),IF(AND(BC$26&lt;&gt;"",BC$23&lt;&gt;""),IF(EOMONTH($BB$3+INT((DAY(EOMONTH($BB$3,0))-1)/2)+BC$23,0)=EOMONTH($AX$3,0),BC$26,0),0),IF(AND(AY$26&lt;&gt;"",AY$23&lt;&gt;""),IF(EOMONTH($AX$3+INT((DAY(EOMONTH($AX$3,0))-1)/2)+AY$23,0)=EOMONTH($AX$3,0),AY$26,0),0),IF(AND(AU$26&lt;&gt;"",AU$23&lt;&gt;""),IF(EOMONTH($AT$3+INT((DAY(EOMONTH($AT$3,0))-1)/2)+AU$23,0)=EOMONTH($AX$3,0),AU$26,0),0),IF(AND(AQ$26&lt;&gt;"",AQ$23&lt;&gt;""),IF(EOMONTH($AP$3+INT((DAY(EOMONTH($AP$3,0))-1)/2)+AQ$23,0)=EOMONTH($AX$3,0),AQ$26,0),0),IF(AND(AM$26&lt;&gt;"",AM$23&lt;&gt;""),IF(EOMONTH($AL$3+INT((DAY(EOMONTH($AL$3,0))-1)/2)+AM$23,0)=EOMONTH($AX$3,0),AM$26,0),0),IF(AND(AI$26&lt;&gt;"",AI$23&lt;&gt;""),IF(EOMONTH($AH$3+INT((DAY(EOMONTH($AH$3,0))-1)/2)+AI$23,0)=EOMONTH($AX$3,0),AI$26,0),0),IF(AND(AE$26&lt;&gt;"",AE$23&lt;&gt;""),IF(EOMONTH($AD$3+INT((DAY(EOMONTH($AD$3,0))-1)/2)+AE$23,0)=EOMONTH($AX$3,0),AE$26,0),0),IF(AND(AA$26&lt;&gt;"",AA$23&lt;&gt;""),IF(EOMONTH($Z$3+INT((DAY(EOMONTH($Z$3,0))-1)/2)+AA$23,0)=EOMONTH($AX$3,0),AA$26,0),0),IF(AND(W$26&lt;&gt;"",W$23&lt;&gt;""),IF(EOMONTH($V$3+INT((DAY(EOMONTH($V$3,0))-1)/2)+W$23,0)=EOMONTH($AX$3,0),W$26,0),0),IF(AND(S$26&lt;&gt;"",S$23&lt;&gt;""),IF(EOMONTH($R$3+INT((DAY(EOMONTH($R$3,0))-1)/2)+S$23,0)=EOMONTH($AX$3,0),S$26,0),0),IF(AND(O$26&lt;&gt;"",O$23&lt;&gt;""),IF(EOMONTH($N$3+INT((DAY(EOMONTH($N$3,0))-1)/2)+O$23,0)=EOMONTH($AX$3,0),O$26,0),0),IF(AND(K$26&lt;&gt;"",K$23&lt;&gt;""),IF(EOMONTH($J$3+INT((DAY(EOMONTH($J$3,0))-1)/2)+K$23,0)=EOMONTH($AX$3,0),K$26,0),0),IF(AND(G$26&lt;&gt;"",G$23&lt;&gt;""),IF(EOMONTH($F$3+INT((DAY(EOMONTH($F$3,0))-1)/2)+G$23,0)=EOMONTH($AX$3,0),G$26,0),0),IF($EP$75="",0,IF(EOMONTH($EP$75+EQ$23,0)=EOMONTH($AX$3,0),$EP$78*EQ$13,0))),0))</f>
        <v>0</v>
      </c>
      <c r="AZ57" s="32">
        <f>ROUND(SUM(IF(AND(ER$26&lt;&gt;"",ER$23&lt;&gt;""),IF(EOMONTH($EP$3+INT((DAY(EOMONTH($EP$3,0))-1)/2)+ER$23,0)=EOMONTH($AX$3,0),ER$26,0),0),IF(AND(EN$26&lt;&gt;"",EN$23&lt;&gt;""),IF(EOMONTH($EL$3+INT((DAY(EOMONTH($EL$3,0))-1)/2)+EN$23,0)=EOMONTH($AX$3,0),EN$26,0),0),IF(AND(EJ$26&lt;&gt;"",EJ$23&lt;&gt;""),IF(EOMONTH($EH$3+INT((DAY(EOMONTH($EH$3,0))-1)/2)+EJ$23,0)=EOMONTH($AX$3,0),EJ$26,0),0),IF(AND(EF$26&lt;&gt;"",EF$23&lt;&gt;""),IF(EOMONTH($ED$3+INT((DAY(EOMONTH($ED$3,0))-1)/2)+EF$23,0)=EOMONTH($AX$3,0),EF$26,0),0),IF(AND(EB$26&lt;&gt;"",EB$23&lt;&gt;""),IF(EOMONTH($DZ$3+INT((DAY(EOMONTH($DZ$3,0))-1)/2)+EB$23,0)=EOMONTH($AX$3,0),EB$26,0),0),IF(AND(DX$26&lt;&gt;"",DX$23&lt;&gt;""),IF(EOMONTH($DV$3+INT((DAY(EOMONTH($DV$3,0))-1)/2)+DX$23,0)=EOMONTH($AX$3,0),DX$26,0),0),IF(AND(DT$26&lt;&gt;"",DT$23&lt;&gt;""),IF(EOMONTH($DR$3+INT((DAY(EOMONTH($DR$3,0))-1)/2)+DT$23,0)=EOMONTH($AX$3,0),DT$26,0),0),IF(AND(DP$26&lt;&gt;"",DP$23&lt;&gt;""),IF(EOMONTH($DN$3+INT((DAY(EOMONTH($DN$3,0))-1)/2)+DP$23,0)=EOMONTH($AX$3,0),DP$26,0),0),IF(AND(DL$26&lt;&gt;"",DL$23&lt;&gt;""),IF(EOMONTH($DJ$3+INT((DAY(EOMONTH($DJ$3,0))-1)/2)+DL$23,0)=EOMONTH($AX$3,0),DL$26,0),0),IF(AND(DH$26&lt;&gt;"",DH$23&lt;&gt;""),IF(EOMONTH($DF$3+INT((DAY(EOMONTH($DF$3,0))-1)/2)+DH$23,0)=EOMONTH($AX$3,0),DH$26,0),0),IF(AND(DD$26&lt;&gt;"",DD$23&lt;&gt;""),IF(EOMONTH($DB$3+INT((DAY(EOMONTH($DB$3,0))-1)/2)+DD$23,0)=EOMONTH($AX$3,0),DD$26,0),0),IF(AND(CZ$26&lt;&gt;"",CZ$23&lt;&gt;""),IF(EOMONTH($CX$3+INT((DAY(EOMONTH($CX$3,0))-1)/2)+CZ$23,0)=EOMONTH($AX$3,0),CZ$26,0),0),IF(AND(CV$26&lt;&gt;"",CV$23&lt;&gt;""),IF(EOMONTH($CT$3+INT((DAY(EOMONTH($CT$3,0))-1)/2)+CV$23,0)=EOMONTH($AX$3,0),CV$26,0),0),IF(AND(CR$26&lt;&gt;"",CR$23&lt;&gt;""),IF(EOMONTH($CP$3+INT((DAY(EOMONTH($CP$3,0))-1)/2)+CR$23,0)=EOMONTH($AX$3,0),CR$26,0),0),IF(AND(CN$26&lt;&gt;"",CN$23&lt;&gt;""),IF(EOMONTH($CL$3+INT((DAY(EOMONTH($CL$3,0))-1)/2)+CN$23,0)=EOMONTH($AX$3,0),CN$26,0),0),IF(AND(CJ$26&lt;&gt;"",CJ$23&lt;&gt;""),IF(EOMONTH($CH$3+INT((DAY(EOMONTH($CH$3,0))-1)/2)+CJ$23,0)=EOMONTH($AX$3,0),CJ$26,0),0),IF(AND(CF$26&lt;&gt;"",CF$23&lt;&gt;""),IF(EOMONTH($CD$3+INT((DAY(EOMONTH($CD$3,0))-1)/2)+CF$23,0)=EOMONTH($AX$3,0),CF$26,0),0),IF(AND(CB$26&lt;&gt;"",CB$23&lt;&gt;""),IF(EOMONTH($BZ$3+INT((DAY(EOMONTH($BZ$3,0))-1)/2)+CB$23,0)=EOMONTH($AX$3,0),CB$26,0),0),IF(AND(BX$26&lt;&gt;"",BX$23&lt;&gt;""),IF(EOMONTH($BV$3+INT((DAY(EOMONTH($BV$3,0))-1)/2)+BX$23,0)=EOMONTH($AX$3,0),BX$26,0),0),IF(AND(BT$26&lt;&gt;"",BT$23&lt;&gt;""),IF(EOMONTH($BR$3+INT((DAY(EOMONTH($BR$3,0))-1)/2)+BT$23,0)=EOMONTH($AX$3,0),BT$26,0),0),IF(AND(BP$26&lt;&gt;"",BP$23&lt;&gt;""),IF(EOMONTH($BN$3+INT((DAY(EOMONTH($BN$3,0))-1)/2)+BP$23,0)=EOMONTH($AX$3,0),BP$26,0),0),IF(AND(BL$26&lt;&gt;"",BL$23&lt;&gt;""),IF(EOMONTH($BJ$3+INT((DAY(EOMONTH($BJ$3,0))-1)/2)+BL$23,0)=EOMONTH($AX$3,0),BL$26,0),0),IF(AND(BH$26&lt;&gt;"",BH$23&lt;&gt;""),IF(EOMONTH($BF$3+INT((DAY(EOMONTH($BF$3,0))-1)/2)+BH$23,0)=EOMONTH($AX$3,0),BH$26,0),0),IF(AND(BD$26&lt;&gt;"",BD$23&lt;&gt;""),IF(EOMONTH($BB$3+INT((DAY(EOMONTH($BB$3,0))-1)/2)+BD$23,0)=EOMONTH($AX$3,0),BD$26,0),0),IF(AND(AZ$26&lt;&gt;"",AZ$23&lt;&gt;""),IF(EOMONTH($AX$3+INT((DAY(EOMONTH($AX$3,0))-1)/2)+AZ$23,0)=EOMONTH($AX$3,0),AZ$26,0),0),IF(AND(AV$26&lt;&gt;"",AV$23&lt;&gt;""),IF(EOMONTH($AT$3+INT((DAY(EOMONTH($AT$3,0))-1)/2)+AV$23,0)=EOMONTH($AX$3,0),AV$26,0),0),IF(AND(AR$26&lt;&gt;"",AR$23&lt;&gt;""),IF(EOMONTH($AP$3+INT((DAY(EOMONTH($AP$3,0))-1)/2)+AR$23,0)=EOMONTH($AX$3,0),AR$26,0),0),IF(AND(AN$26&lt;&gt;"",AN$23&lt;&gt;""),IF(EOMONTH($AL$3+INT((DAY(EOMONTH($AL$3,0))-1)/2)+AN$23,0)=EOMONTH($AX$3,0),AN$26,0),0),IF(AND(AJ$26&lt;&gt;"",AJ$23&lt;&gt;""),IF(EOMONTH($AH$3+INT((DAY(EOMONTH($AH$3,0))-1)/2)+AJ$23,0)=EOMONTH($AX$3,0),AJ$26,0),0),IF(AND(AF$26&lt;&gt;"",AF$23&lt;&gt;""),IF(EOMONTH($AD$3+INT((DAY(EOMONTH($AD$3,0))-1)/2)+AF$23,0)=EOMONTH($AX$3,0),AF$26,0),0),IF(AND(AB$26&lt;&gt;"",AB$23&lt;&gt;""),IF(EOMONTH($Z$3+INT((DAY(EOMONTH($Z$3,0))-1)/2)+AB$23,0)=EOMONTH($AX$3,0),AB$26,0),0),IF(AND(X$26&lt;&gt;"",X$23&lt;&gt;""),IF(EOMONTH($V$3+INT((DAY(EOMONTH($V$3,0))-1)/2)+X$23,0)=EOMONTH($AX$3,0),X$26,0),0),IF(AND(T$26&lt;&gt;"",T$23&lt;&gt;""),IF(EOMONTH($R$3+INT((DAY(EOMONTH($R$3,0))-1)/2)+T$23,0)=EOMONTH($AX$3,0),T$26,0),0),IF(AND(P$26&lt;&gt;"",P$23&lt;&gt;""),IF(EOMONTH($N$3+INT((DAY(EOMONTH($N$3,0))-1)/2)+P$23,0)=EOMONTH($AX$3,0),P$26,0),0),IF(AND(L$26&lt;&gt;"",L$23&lt;&gt;""),IF(EOMONTH($J$3+INT((DAY(EOMONTH($J$3,0))-1)/2)+L$23,0)=EOMONTH($AX$3,0),L$26,0),0),IF(AND(H$26&lt;&gt;"",H$23&lt;&gt;""),IF(EOMONTH($F$3+INT((DAY(EOMONTH($F$3,0))-1)/2)+H$23,0)=EOMONTH($AX$3,0),H$26,0),0),IF($EP$75="",0,IF(EOMONTH($EP$75+ER$23,0)=EOMONTH($AX$3,0),$EP$78*ER$13,0))),0)</f>
        <v>0</v>
      </c>
      <c r="BA57" s="33">
        <f t="shared" ref="BA57:BA70" si="724">IFERROR(IF(OR(AY57="",AZ57=""),"",AY57-AZ57),"")</f>
        <v>0</v>
      </c>
      <c r="BB57" s="34"/>
      <c r="BC57" s="31">
        <f>IF(BB$98=1,BB57,ROUND(SUM(IF(AND(EQ$26&lt;&gt;"",EQ$23&lt;&gt;""),IF(EOMONTH($EP$3+INT((DAY(EOMONTH($EP$3,0))-1)/2)+EQ$23,0)=EOMONTH($BB$3,0),EQ$26,0),0),IF(AND(EM$26&lt;&gt;"",EM$23&lt;&gt;""),IF(EOMONTH($EL$3+INT((DAY(EOMONTH($EL$3,0))-1)/2)+EM$23,0)=EOMONTH($BB$3,0),EM$26,0),0),IF(AND(EI$26&lt;&gt;"",EI$23&lt;&gt;""),IF(EOMONTH($EH$3+INT((DAY(EOMONTH($EH$3,0))-1)/2)+EI$23,0)=EOMONTH($BB$3,0),EI$26,0),0),IF(AND(EE$26&lt;&gt;"",EE$23&lt;&gt;""),IF(EOMONTH($ED$3+INT((DAY(EOMONTH($ED$3,0))-1)/2)+EE$23,0)=EOMONTH($BB$3,0),EE$26,0),0),IF(AND(EA$26&lt;&gt;"",EA$23&lt;&gt;""),IF(EOMONTH($DZ$3+INT((DAY(EOMONTH($DZ$3,0))-1)/2)+EA$23,0)=EOMONTH($BB$3,0),EA$26,0),0),IF(AND(DW$26&lt;&gt;"",DW$23&lt;&gt;""),IF(EOMONTH($DV$3+INT((DAY(EOMONTH($DV$3,0))-1)/2)+DW$23,0)=EOMONTH($BB$3,0),DW$26,0),0),IF(AND(DS$26&lt;&gt;"",DS$23&lt;&gt;""),IF(EOMONTH($DR$3+INT((DAY(EOMONTH($DR$3,0))-1)/2)+DS$23,0)=EOMONTH($BB$3,0),DS$26,0),0),IF(AND(DO$26&lt;&gt;"",DO$23&lt;&gt;""),IF(EOMONTH($DN$3+INT((DAY(EOMONTH($DN$3,0))-1)/2)+DO$23,0)=EOMONTH($BB$3,0),DO$26,0),0),IF(AND(DK$26&lt;&gt;"",DK$23&lt;&gt;""),IF(EOMONTH($DJ$3+INT((DAY(EOMONTH($DJ$3,0))-1)/2)+DK$23,0)=EOMONTH($BB$3,0),DK$26,0),0),IF(AND(DG$26&lt;&gt;"",DG$23&lt;&gt;""),IF(EOMONTH($DF$3+INT((DAY(EOMONTH($DF$3,0))-1)/2)+DG$23,0)=EOMONTH($BB$3,0),DG$26,0),0),IF(AND(DC$26&lt;&gt;"",DC$23&lt;&gt;""),IF(EOMONTH($DB$3+INT((DAY(EOMONTH($DB$3,0))-1)/2)+DC$23,0)=EOMONTH($BB$3,0),DC$26,0),0),IF(AND(CY$26&lt;&gt;"",CY$23&lt;&gt;""),IF(EOMONTH($CX$3+INT((DAY(EOMONTH($CX$3,0))-1)/2)+CY$23,0)=EOMONTH($BB$3,0),CY$26,0),0),IF(AND(CU$26&lt;&gt;"",CU$23&lt;&gt;""),IF(EOMONTH($CT$3+INT((DAY(EOMONTH($CT$3,0))-1)/2)+CU$23,0)=EOMONTH($BB$3,0),CU$26,0),0),IF(AND(CQ$26&lt;&gt;"",CQ$23&lt;&gt;""),IF(EOMONTH($CP$3+INT((DAY(EOMONTH($CP$3,0))-1)/2)+CQ$23,0)=EOMONTH($BB$3,0),CQ$26,0),0),IF(AND(CM$26&lt;&gt;"",CM$23&lt;&gt;""),IF(EOMONTH($CL$3+INT((DAY(EOMONTH($CL$3,0))-1)/2)+CM$23,0)=EOMONTH($BB$3,0),CM$26,0),0),IF(AND(CI$26&lt;&gt;"",CI$23&lt;&gt;""),IF(EOMONTH($CH$3+INT((DAY(EOMONTH($CH$3,0))-1)/2)+CI$23,0)=EOMONTH($BB$3,0),CI$26,0),0),IF(AND(CE$26&lt;&gt;"",CE$23&lt;&gt;""),IF(EOMONTH($CD$3+INT((DAY(EOMONTH($CD$3,0))-1)/2)+CE$23,0)=EOMONTH($BB$3,0),CE$26,0),0),IF(AND(CA$26&lt;&gt;"",CA$23&lt;&gt;""),IF(EOMONTH($BZ$3+INT((DAY(EOMONTH($BZ$3,0))-1)/2)+CA$23,0)=EOMONTH($BB$3,0),CA$26,0),0),IF(AND(BW$26&lt;&gt;"",BW$23&lt;&gt;""),IF(EOMONTH($BV$3+INT((DAY(EOMONTH($BV$3,0))-1)/2)+BW$23,0)=EOMONTH($BB$3,0),BW$26,0),0),IF(AND(BS$26&lt;&gt;"",BS$23&lt;&gt;""),IF(EOMONTH($BR$3+INT((DAY(EOMONTH($BR$3,0))-1)/2)+BS$23,0)=EOMONTH($BB$3,0),BS$26,0),0),IF(AND(BO$26&lt;&gt;"",BO$23&lt;&gt;""),IF(EOMONTH($BN$3+INT((DAY(EOMONTH($BN$3,0))-1)/2)+BO$23,0)=EOMONTH($BB$3,0),BO$26,0),0),IF(AND(BK$26&lt;&gt;"",BK$23&lt;&gt;""),IF(EOMONTH($BJ$3+INT((DAY(EOMONTH($BJ$3,0))-1)/2)+BK$23,0)=EOMONTH($BB$3,0),BK$26,0),0),IF(AND(BG$26&lt;&gt;"",BG$23&lt;&gt;""),IF(EOMONTH($BF$3+INT((DAY(EOMONTH($BF$3,0))-1)/2)+BG$23,0)=EOMONTH($BB$3,0),BG$26,0),0),IF(AND(BC$26&lt;&gt;"",BC$23&lt;&gt;""),IF(EOMONTH($BB$3+INT((DAY(EOMONTH($BB$3,0))-1)/2)+BC$23,0)=EOMONTH($BB$3,0),BC$26,0),0),IF(AND(AY$26&lt;&gt;"",AY$23&lt;&gt;""),IF(EOMONTH($AX$3+INT((DAY(EOMONTH($AX$3,0))-1)/2)+AY$23,0)=EOMONTH($BB$3,0),AY$26,0),0),IF(AND(AU$26&lt;&gt;"",AU$23&lt;&gt;""),IF(EOMONTH($AT$3+INT((DAY(EOMONTH($AT$3,0))-1)/2)+AU$23,0)=EOMONTH($BB$3,0),AU$26,0),0),IF(AND(AQ$26&lt;&gt;"",AQ$23&lt;&gt;""),IF(EOMONTH($AP$3+INT((DAY(EOMONTH($AP$3,0))-1)/2)+AQ$23,0)=EOMONTH($BB$3,0),AQ$26,0),0),IF(AND(AM$26&lt;&gt;"",AM$23&lt;&gt;""),IF(EOMONTH($AL$3+INT((DAY(EOMONTH($AL$3,0))-1)/2)+AM$23,0)=EOMONTH($BB$3,0),AM$26,0),0),IF(AND(AI$26&lt;&gt;"",AI$23&lt;&gt;""),IF(EOMONTH($AH$3+INT((DAY(EOMONTH($AH$3,0))-1)/2)+AI$23,0)=EOMONTH($BB$3,0),AI$26,0),0),IF(AND(AE$26&lt;&gt;"",AE$23&lt;&gt;""),IF(EOMONTH($AD$3+INT((DAY(EOMONTH($AD$3,0))-1)/2)+AE$23,0)=EOMONTH($BB$3,0),AE$26,0),0),IF(AND(AA$26&lt;&gt;"",AA$23&lt;&gt;""),IF(EOMONTH($Z$3+INT((DAY(EOMONTH($Z$3,0))-1)/2)+AA$23,0)=EOMONTH($BB$3,0),AA$26,0),0),IF(AND(W$26&lt;&gt;"",W$23&lt;&gt;""),IF(EOMONTH($V$3+INT((DAY(EOMONTH($V$3,0))-1)/2)+W$23,0)=EOMONTH($BB$3,0),W$26,0),0),IF(AND(S$26&lt;&gt;"",S$23&lt;&gt;""),IF(EOMONTH($R$3+INT((DAY(EOMONTH($R$3,0))-1)/2)+S$23,0)=EOMONTH($BB$3,0),S$26,0),0),IF(AND(O$26&lt;&gt;"",O$23&lt;&gt;""),IF(EOMONTH($N$3+INT((DAY(EOMONTH($N$3,0))-1)/2)+O$23,0)=EOMONTH($BB$3,0),O$26,0),0),IF(AND(K$26&lt;&gt;"",K$23&lt;&gt;""),IF(EOMONTH($J$3+INT((DAY(EOMONTH($J$3,0))-1)/2)+K$23,0)=EOMONTH($BB$3,0),K$26,0),0),IF(AND(G$26&lt;&gt;"",G$23&lt;&gt;""),IF(EOMONTH($F$3+INT((DAY(EOMONTH($F$3,0))-1)/2)+G$23,0)=EOMONTH($BB$3,0),G$26,0),0),IF($EP$75="",0,IF(EOMONTH($EP$75+EQ$23,0)=EOMONTH($BB$3,0),$EP$78*EQ$13,0))),0))</f>
        <v>0</v>
      </c>
      <c r="BD57" s="32">
        <f>ROUND(SUM(IF(AND(ER$26&lt;&gt;"",ER$23&lt;&gt;""),IF(EOMONTH($EP$3+INT((DAY(EOMONTH($EP$3,0))-1)/2)+ER$23,0)=EOMONTH($BB$3,0),ER$26,0),0),IF(AND(EN$26&lt;&gt;"",EN$23&lt;&gt;""),IF(EOMONTH($EL$3+INT((DAY(EOMONTH($EL$3,0))-1)/2)+EN$23,0)=EOMONTH($BB$3,0),EN$26,0),0),IF(AND(EJ$26&lt;&gt;"",EJ$23&lt;&gt;""),IF(EOMONTH($EH$3+INT((DAY(EOMONTH($EH$3,0))-1)/2)+EJ$23,0)=EOMONTH($BB$3,0),EJ$26,0),0),IF(AND(EF$26&lt;&gt;"",EF$23&lt;&gt;""),IF(EOMONTH($ED$3+INT((DAY(EOMONTH($ED$3,0))-1)/2)+EF$23,0)=EOMONTH($BB$3,0),EF$26,0),0),IF(AND(EB$26&lt;&gt;"",EB$23&lt;&gt;""),IF(EOMONTH($DZ$3+INT((DAY(EOMONTH($DZ$3,0))-1)/2)+EB$23,0)=EOMONTH($BB$3,0),EB$26,0),0),IF(AND(DX$26&lt;&gt;"",DX$23&lt;&gt;""),IF(EOMONTH($DV$3+INT((DAY(EOMONTH($DV$3,0))-1)/2)+DX$23,0)=EOMONTH($BB$3,0),DX$26,0),0),IF(AND(DT$26&lt;&gt;"",DT$23&lt;&gt;""),IF(EOMONTH($DR$3+INT((DAY(EOMONTH($DR$3,0))-1)/2)+DT$23,0)=EOMONTH($BB$3,0),DT$26,0),0),IF(AND(DP$26&lt;&gt;"",DP$23&lt;&gt;""),IF(EOMONTH($DN$3+INT((DAY(EOMONTH($DN$3,0))-1)/2)+DP$23,0)=EOMONTH($BB$3,0),DP$26,0),0),IF(AND(DL$26&lt;&gt;"",DL$23&lt;&gt;""),IF(EOMONTH($DJ$3+INT((DAY(EOMONTH($DJ$3,0))-1)/2)+DL$23,0)=EOMONTH($BB$3,0),DL$26,0),0),IF(AND(DH$26&lt;&gt;"",DH$23&lt;&gt;""),IF(EOMONTH($DF$3+INT((DAY(EOMONTH($DF$3,0))-1)/2)+DH$23,0)=EOMONTH($BB$3,0),DH$26,0),0),IF(AND(DD$26&lt;&gt;"",DD$23&lt;&gt;""),IF(EOMONTH($DB$3+INT((DAY(EOMONTH($DB$3,0))-1)/2)+DD$23,0)=EOMONTH($BB$3,0),DD$26,0),0),IF(AND(CZ$26&lt;&gt;"",CZ$23&lt;&gt;""),IF(EOMONTH($CX$3+INT((DAY(EOMONTH($CX$3,0))-1)/2)+CZ$23,0)=EOMONTH($BB$3,0),CZ$26,0),0),IF(AND(CV$26&lt;&gt;"",CV$23&lt;&gt;""),IF(EOMONTH($CT$3+INT((DAY(EOMONTH($CT$3,0))-1)/2)+CV$23,0)=EOMONTH($BB$3,0),CV$26,0),0),IF(AND(CR$26&lt;&gt;"",CR$23&lt;&gt;""),IF(EOMONTH($CP$3+INT((DAY(EOMONTH($CP$3,0))-1)/2)+CR$23,0)=EOMONTH($BB$3,0),CR$26,0),0),IF(AND(CN$26&lt;&gt;"",CN$23&lt;&gt;""),IF(EOMONTH($CL$3+INT((DAY(EOMONTH($CL$3,0))-1)/2)+CN$23,0)=EOMONTH($BB$3,0),CN$26,0),0),IF(AND(CJ$26&lt;&gt;"",CJ$23&lt;&gt;""),IF(EOMONTH($CH$3+INT((DAY(EOMONTH($CH$3,0))-1)/2)+CJ$23,0)=EOMONTH($BB$3,0),CJ$26,0),0),IF(AND(CF$26&lt;&gt;"",CF$23&lt;&gt;""),IF(EOMONTH($CD$3+INT((DAY(EOMONTH($CD$3,0))-1)/2)+CF$23,0)=EOMONTH($BB$3,0),CF$26,0),0),IF(AND(CB$26&lt;&gt;"",CB$23&lt;&gt;""),IF(EOMONTH($BZ$3+INT((DAY(EOMONTH($BZ$3,0))-1)/2)+CB$23,0)=EOMONTH($BB$3,0),CB$26,0),0),IF(AND(BX$26&lt;&gt;"",BX$23&lt;&gt;""),IF(EOMONTH($BV$3+INT((DAY(EOMONTH($BV$3,0))-1)/2)+BX$23,0)=EOMONTH($BB$3,0),BX$26,0),0),IF(AND(BT$26&lt;&gt;"",BT$23&lt;&gt;""),IF(EOMONTH($BR$3+INT((DAY(EOMONTH($BR$3,0))-1)/2)+BT$23,0)=EOMONTH($BB$3,0),BT$26,0),0),IF(AND(BP$26&lt;&gt;"",BP$23&lt;&gt;""),IF(EOMONTH($BN$3+INT((DAY(EOMONTH($BN$3,0))-1)/2)+BP$23,0)=EOMONTH($BB$3,0),BP$26,0),0),IF(AND(BL$26&lt;&gt;"",BL$23&lt;&gt;""),IF(EOMONTH($BJ$3+INT((DAY(EOMONTH($BJ$3,0))-1)/2)+BL$23,0)=EOMONTH($BB$3,0),BL$26,0),0),IF(AND(BH$26&lt;&gt;"",BH$23&lt;&gt;""),IF(EOMONTH($BF$3+INT((DAY(EOMONTH($BF$3,0))-1)/2)+BH$23,0)=EOMONTH($BB$3,0),BH$26,0),0),IF(AND(BD$26&lt;&gt;"",BD$23&lt;&gt;""),IF(EOMONTH($BB$3+INT((DAY(EOMONTH($BB$3,0))-1)/2)+BD$23,0)=EOMONTH($BB$3,0),BD$26,0),0),IF(AND(AZ$26&lt;&gt;"",AZ$23&lt;&gt;""),IF(EOMONTH($AX$3+INT((DAY(EOMONTH($AX$3,0))-1)/2)+AZ$23,0)=EOMONTH($BB$3,0),AZ$26,0),0),IF(AND(AV$26&lt;&gt;"",AV$23&lt;&gt;""),IF(EOMONTH($AT$3+INT((DAY(EOMONTH($AT$3,0))-1)/2)+AV$23,0)=EOMONTH($BB$3,0),AV$26,0),0),IF(AND(AR$26&lt;&gt;"",AR$23&lt;&gt;""),IF(EOMONTH($AP$3+INT((DAY(EOMONTH($AP$3,0))-1)/2)+AR$23,0)=EOMONTH($BB$3,0),AR$26,0),0),IF(AND(AN$26&lt;&gt;"",AN$23&lt;&gt;""),IF(EOMONTH($AL$3+INT((DAY(EOMONTH($AL$3,0))-1)/2)+AN$23,0)=EOMONTH($BB$3,0),AN$26,0),0),IF(AND(AJ$26&lt;&gt;"",AJ$23&lt;&gt;""),IF(EOMONTH($AH$3+INT((DAY(EOMONTH($AH$3,0))-1)/2)+AJ$23,0)=EOMONTH($BB$3,0),AJ$26,0),0),IF(AND(AF$26&lt;&gt;"",AF$23&lt;&gt;""),IF(EOMONTH($AD$3+INT((DAY(EOMONTH($AD$3,0))-1)/2)+AF$23,0)=EOMONTH($BB$3,0),AF$26,0),0),IF(AND(AB$26&lt;&gt;"",AB$23&lt;&gt;""),IF(EOMONTH($Z$3+INT((DAY(EOMONTH($Z$3,0))-1)/2)+AB$23,0)=EOMONTH($BB$3,0),AB$26,0),0),IF(AND(X$26&lt;&gt;"",X$23&lt;&gt;""),IF(EOMONTH($V$3+INT((DAY(EOMONTH($V$3,0))-1)/2)+X$23,0)=EOMONTH($BB$3,0),X$26,0),0),IF(AND(T$26&lt;&gt;"",T$23&lt;&gt;""),IF(EOMONTH($R$3+INT((DAY(EOMONTH($R$3,0))-1)/2)+T$23,0)=EOMONTH($BB$3,0),T$26,0),0),IF(AND(P$26&lt;&gt;"",P$23&lt;&gt;""),IF(EOMONTH($N$3+INT((DAY(EOMONTH($N$3,0))-1)/2)+P$23,0)=EOMONTH($BB$3,0),P$26,0),0),IF(AND(L$26&lt;&gt;"",L$23&lt;&gt;""),IF(EOMONTH($J$3+INT((DAY(EOMONTH($J$3,0))-1)/2)+L$23,0)=EOMONTH($BB$3,0),L$26,0),0),IF(AND(H$26&lt;&gt;"",H$23&lt;&gt;""),IF(EOMONTH($F$3+INT((DAY(EOMONTH($F$3,0))-1)/2)+H$23,0)=EOMONTH($BB$3,0),H$26,0),0),IF($EP$75="",0,IF(EOMONTH($EP$75+ER$23,0)=EOMONTH($BB$3,0),$EP$78*ER$13,0))),0)</f>
        <v>0</v>
      </c>
      <c r="BE57" s="33">
        <f t="shared" ref="BE57:BE70" si="726">IFERROR(IF(OR(BC57="",BD57=""),"",BC57-BD57),"")</f>
        <v>0</v>
      </c>
      <c r="BF57" s="34"/>
      <c r="BG57" s="31">
        <f>IF(BF$98=1,BF57,ROUND(SUM(IF(AND(EQ$26&lt;&gt;"",EQ$23&lt;&gt;""),IF(EOMONTH($EP$3+INT((DAY(EOMONTH($EP$3,0))-1)/2)+EQ$23,0)=EOMONTH($BF$3,0),EQ$26,0),0),IF(AND(EM$26&lt;&gt;"",EM$23&lt;&gt;""),IF(EOMONTH($EL$3+INT((DAY(EOMONTH($EL$3,0))-1)/2)+EM$23,0)=EOMONTH($BF$3,0),EM$26,0),0),IF(AND(EI$26&lt;&gt;"",EI$23&lt;&gt;""),IF(EOMONTH($EH$3+INT((DAY(EOMONTH($EH$3,0))-1)/2)+EI$23,0)=EOMONTH($BF$3,0),EI$26,0),0),IF(AND(EE$26&lt;&gt;"",EE$23&lt;&gt;""),IF(EOMONTH($ED$3+INT((DAY(EOMONTH($ED$3,0))-1)/2)+EE$23,0)=EOMONTH($BF$3,0),EE$26,0),0),IF(AND(EA$26&lt;&gt;"",EA$23&lt;&gt;""),IF(EOMONTH($DZ$3+INT((DAY(EOMONTH($DZ$3,0))-1)/2)+EA$23,0)=EOMONTH($BF$3,0),EA$26,0),0),IF(AND(DW$26&lt;&gt;"",DW$23&lt;&gt;""),IF(EOMONTH($DV$3+INT((DAY(EOMONTH($DV$3,0))-1)/2)+DW$23,0)=EOMONTH($BF$3,0),DW$26,0),0),IF(AND(DS$26&lt;&gt;"",DS$23&lt;&gt;""),IF(EOMONTH($DR$3+INT((DAY(EOMONTH($DR$3,0))-1)/2)+DS$23,0)=EOMONTH($BF$3,0),DS$26,0),0),IF(AND(DO$26&lt;&gt;"",DO$23&lt;&gt;""),IF(EOMONTH($DN$3+INT((DAY(EOMONTH($DN$3,0))-1)/2)+DO$23,0)=EOMONTH($BF$3,0),DO$26,0),0),IF(AND(DK$26&lt;&gt;"",DK$23&lt;&gt;""),IF(EOMONTH($DJ$3+INT((DAY(EOMONTH($DJ$3,0))-1)/2)+DK$23,0)=EOMONTH($BF$3,0),DK$26,0),0),IF(AND(DG$26&lt;&gt;"",DG$23&lt;&gt;""),IF(EOMONTH($DF$3+INT((DAY(EOMONTH($DF$3,0))-1)/2)+DG$23,0)=EOMONTH($BF$3,0),DG$26,0),0),IF(AND(DC$26&lt;&gt;"",DC$23&lt;&gt;""),IF(EOMONTH($DB$3+INT((DAY(EOMONTH($DB$3,0))-1)/2)+DC$23,0)=EOMONTH($BF$3,0),DC$26,0),0),IF(AND(CY$26&lt;&gt;"",CY$23&lt;&gt;""),IF(EOMONTH($CX$3+INT((DAY(EOMONTH($CX$3,0))-1)/2)+CY$23,0)=EOMONTH($BF$3,0),CY$26,0),0),IF(AND(CU$26&lt;&gt;"",CU$23&lt;&gt;""),IF(EOMONTH($CT$3+INT((DAY(EOMONTH($CT$3,0))-1)/2)+CU$23,0)=EOMONTH($BF$3,0),CU$26,0),0),IF(AND(CQ$26&lt;&gt;"",CQ$23&lt;&gt;""),IF(EOMONTH($CP$3+INT((DAY(EOMONTH($CP$3,0))-1)/2)+CQ$23,0)=EOMONTH($BF$3,0),CQ$26,0),0),IF(AND(CM$26&lt;&gt;"",CM$23&lt;&gt;""),IF(EOMONTH($CL$3+INT((DAY(EOMONTH($CL$3,0))-1)/2)+CM$23,0)=EOMONTH($BF$3,0),CM$26,0),0),IF(AND(CI$26&lt;&gt;"",CI$23&lt;&gt;""),IF(EOMONTH($CH$3+INT((DAY(EOMONTH($CH$3,0))-1)/2)+CI$23,0)=EOMONTH($BF$3,0),CI$26,0),0),IF(AND(CE$26&lt;&gt;"",CE$23&lt;&gt;""),IF(EOMONTH($CD$3+INT((DAY(EOMONTH($CD$3,0))-1)/2)+CE$23,0)=EOMONTH($BF$3,0),CE$26,0),0),IF(AND(CA$26&lt;&gt;"",CA$23&lt;&gt;""),IF(EOMONTH($BZ$3+INT((DAY(EOMONTH($BZ$3,0))-1)/2)+CA$23,0)=EOMONTH($BF$3,0),CA$26,0),0),IF(AND(BW$26&lt;&gt;"",BW$23&lt;&gt;""),IF(EOMONTH($BV$3+INT((DAY(EOMONTH($BV$3,0))-1)/2)+BW$23,0)=EOMONTH($BF$3,0),BW$26,0),0),IF(AND(BS$26&lt;&gt;"",BS$23&lt;&gt;""),IF(EOMONTH($BR$3+INT((DAY(EOMONTH($BR$3,0))-1)/2)+BS$23,0)=EOMONTH($BF$3,0),BS$26,0),0),IF(AND(BO$26&lt;&gt;"",BO$23&lt;&gt;""),IF(EOMONTH($BN$3+INT((DAY(EOMONTH($BN$3,0))-1)/2)+BO$23,0)=EOMONTH($BF$3,0),BO$26,0),0),IF(AND(BK$26&lt;&gt;"",BK$23&lt;&gt;""),IF(EOMONTH($BJ$3+INT((DAY(EOMONTH($BJ$3,0))-1)/2)+BK$23,0)=EOMONTH($BF$3,0),BK$26,0),0),IF(AND(BG$26&lt;&gt;"",BG$23&lt;&gt;""),IF(EOMONTH($BF$3+INT((DAY(EOMONTH($BF$3,0))-1)/2)+BG$23,0)=EOMONTH($BF$3,0),BG$26,0),0),IF(AND(BC$26&lt;&gt;"",BC$23&lt;&gt;""),IF(EOMONTH($BB$3+INT((DAY(EOMONTH($BB$3,0))-1)/2)+BC$23,0)=EOMONTH($BF$3,0),BC$26,0),0),IF(AND(AY$26&lt;&gt;"",AY$23&lt;&gt;""),IF(EOMONTH($AX$3+INT((DAY(EOMONTH($AX$3,0))-1)/2)+AY$23,0)=EOMONTH($BF$3,0),AY$26,0),0),IF(AND(AU$26&lt;&gt;"",AU$23&lt;&gt;""),IF(EOMONTH($AT$3+INT((DAY(EOMONTH($AT$3,0))-1)/2)+AU$23,0)=EOMONTH($BF$3,0),AU$26,0),0),IF(AND(AQ$26&lt;&gt;"",AQ$23&lt;&gt;""),IF(EOMONTH($AP$3+INT((DAY(EOMONTH($AP$3,0))-1)/2)+AQ$23,0)=EOMONTH($BF$3,0),AQ$26,0),0),IF(AND(AM$26&lt;&gt;"",AM$23&lt;&gt;""),IF(EOMONTH($AL$3+INT((DAY(EOMONTH($AL$3,0))-1)/2)+AM$23,0)=EOMONTH($BF$3,0),AM$26,0),0),IF(AND(AI$26&lt;&gt;"",AI$23&lt;&gt;""),IF(EOMONTH($AH$3+INT((DAY(EOMONTH($AH$3,0))-1)/2)+AI$23,0)=EOMONTH($BF$3,0),AI$26,0),0),IF(AND(AE$26&lt;&gt;"",AE$23&lt;&gt;""),IF(EOMONTH($AD$3+INT((DAY(EOMONTH($AD$3,0))-1)/2)+AE$23,0)=EOMONTH($BF$3,0),AE$26,0),0),IF(AND(AA$26&lt;&gt;"",AA$23&lt;&gt;""),IF(EOMONTH($Z$3+INT((DAY(EOMONTH($Z$3,0))-1)/2)+AA$23,0)=EOMONTH($BF$3,0),AA$26,0),0),IF(AND(W$26&lt;&gt;"",W$23&lt;&gt;""),IF(EOMONTH($V$3+INT((DAY(EOMONTH($V$3,0))-1)/2)+W$23,0)=EOMONTH($BF$3,0),W$26,0),0),IF(AND(S$26&lt;&gt;"",S$23&lt;&gt;""),IF(EOMONTH($R$3+INT((DAY(EOMONTH($R$3,0))-1)/2)+S$23,0)=EOMONTH($BF$3,0),S$26,0),0),IF(AND(O$26&lt;&gt;"",O$23&lt;&gt;""),IF(EOMONTH($N$3+INT((DAY(EOMONTH($N$3,0))-1)/2)+O$23,0)=EOMONTH($BF$3,0),O$26,0),0),IF(AND(K$26&lt;&gt;"",K$23&lt;&gt;""),IF(EOMONTH($J$3+INT((DAY(EOMONTH($J$3,0))-1)/2)+K$23,0)=EOMONTH($BF$3,0),K$26,0),0),IF(AND(G$26&lt;&gt;"",G$23&lt;&gt;""),IF(EOMONTH($F$3+INT((DAY(EOMONTH($F$3,0))-1)/2)+G$23,0)=EOMONTH($BF$3,0),G$26,0),0),IF($EP$75="",0,IF(EOMONTH($EP$75+EQ$23,0)=EOMONTH($BF$3,0),$EP$78*EQ$13,0))),0))</f>
        <v>0</v>
      </c>
      <c r="BH57" s="32">
        <f>ROUND(SUM(IF(AND(ER$26&lt;&gt;"",ER$23&lt;&gt;""),IF(EOMONTH($EP$3+INT((DAY(EOMONTH($EP$3,0))-1)/2)+ER$23,0)=EOMONTH($BF$3,0),ER$26,0),0),IF(AND(EN$26&lt;&gt;"",EN$23&lt;&gt;""),IF(EOMONTH($EL$3+INT((DAY(EOMONTH($EL$3,0))-1)/2)+EN$23,0)=EOMONTH($BF$3,0),EN$26,0),0),IF(AND(EJ$26&lt;&gt;"",EJ$23&lt;&gt;""),IF(EOMONTH($EH$3+INT((DAY(EOMONTH($EH$3,0))-1)/2)+EJ$23,0)=EOMONTH($BF$3,0),EJ$26,0),0),IF(AND(EF$26&lt;&gt;"",EF$23&lt;&gt;""),IF(EOMONTH($ED$3+INT((DAY(EOMONTH($ED$3,0))-1)/2)+EF$23,0)=EOMONTH($BF$3,0),EF$26,0),0),IF(AND(EB$26&lt;&gt;"",EB$23&lt;&gt;""),IF(EOMONTH($DZ$3+INT((DAY(EOMONTH($DZ$3,0))-1)/2)+EB$23,0)=EOMONTH($BF$3,0),EB$26,0),0),IF(AND(DX$26&lt;&gt;"",DX$23&lt;&gt;""),IF(EOMONTH($DV$3+INT((DAY(EOMONTH($DV$3,0))-1)/2)+DX$23,0)=EOMONTH($BF$3,0),DX$26,0),0),IF(AND(DT$26&lt;&gt;"",DT$23&lt;&gt;""),IF(EOMONTH($DR$3+INT((DAY(EOMONTH($DR$3,0))-1)/2)+DT$23,0)=EOMONTH($BF$3,0),DT$26,0),0),IF(AND(DP$26&lt;&gt;"",DP$23&lt;&gt;""),IF(EOMONTH($DN$3+INT((DAY(EOMONTH($DN$3,0))-1)/2)+DP$23,0)=EOMONTH($BF$3,0),DP$26,0),0),IF(AND(DL$26&lt;&gt;"",DL$23&lt;&gt;""),IF(EOMONTH($DJ$3+INT((DAY(EOMONTH($DJ$3,0))-1)/2)+DL$23,0)=EOMONTH($BF$3,0),DL$26,0),0),IF(AND(DH$26&lt;&gt;"",DH$23&lt;&gt;""),IF(EOMONTH($DF$3+INT((DAY(EOMONTH($DF$3,0))-1)/2)+DH$23,0)=EOMONTH($BF$3,0),DH$26,0),0),IF(AND(DD$26&lt;&gt;"",DD$23&lt;&gt;""),IF(EOMONTH($DB$3+INT((DAY(EOMONTH($DB$3,0))-1)/2)+DD$23,0)=EOMONTH($BF$3,0),DD$26,0),0),IF(AND(CZ$26&lt;&gt;"",CZ$23&lt;&gt;""),IF(EOMONTH($CX$3+INT((DAY(EOMONTH($CX$3,0))-1)/2)+CZ$23,0)=EOMONTH($BF$3,0),CZ$26,0),0),IF(AND(CV$26&lt;&gt;"",CV$23&lt;&gt;""),IF(EOMONTH($CT$3+INT((DAY(EOMONTH($CT$3,0))-1)/2)+CV$23,0)=EOMONTH($BF$3,0),CV$26,0),0),IF(AND(CR$26&lt;&gt;"",CR$23&lt;&gt;""),IF(EOMONTH($CP$3+INT((DAY(EOMONTH($CP$3,0))-1)/2)+CR$23,0)=EOMONTH($BF$3,0),CR$26,0),0),IF(AND(CN$26&lt;&gt;"",CN$23&lt;&gt;""),IF(EOMONTH($CL$3+INT((DAY(EOMONTH($CL$3,0))-1)/2)+CN$23,0)=EOMONTH($BF$3,0),CN$26,0),0),IF(AND(CJ$26&lt;&gt;"",CJ$23&lt;&gt;""),IF(EOMONTH($CH$3+INT((DAY(EOMONTH($CH$3,0))-1)/2)+CJ$23,0)=EOMONTH($BF$3,0),CJ$26,0),0),IF(AND(CF$26&lt;&gt;"",CF$23&lt;&gt;""),IF(EOMONTH($CD$3+INT((DAY(EOMONTH($CD$3,0))-1)/2)+CF$23,0)=EOMONTH($BF$3,0),CF$26,0),0),IF(AND(CB$26&lt;&gt;"",CB$23&lt;&gt;""),IF(EOMONTH($BZ$3+INT((DAY(EOMONTH($BZ$3,0))-1)/2)+CB$23,0)=EOMONTH($BF$3,0),CB$26,0),0),IF(AND(BX$26&lt;&gt;"",BX$23&lt;&gt;""),IF(EOMONTH($BV$3+INT((DAY(EOMONTH($BV$3,0))-1)/2)+BX$23,0)=EOMONTH($BF$3,0),BX$26,0),0),IF(AND(BT$26&lt;&gt;"",BT$23&lt;&gt;""),IF(EOMONTH($BR$3+INT((DAY(EOMONTH($BR$3,0))-1)/2)+BT$23,0)=EOMONTH($BF$3,0),BT$26,0),0),IF(AND(BP$26&lt;&gt;"",BP$23&lt;&gt;""),IF(EOMONTH($BN$3+INT((DAY(EOMONTH($BN$3,0))-1)/2)+BP$23,0)=EOMONTH($BF$3,0),BP$26,0),0),IF(AND(BL$26&lt;&gt;"",BL$23&lt;&gt;""),IF(EOMONTH($BJ$3+INT((DAY(EOMONTH($BJ$3,0))-1)/2)+BL$23,0)=EOMONTH($BF$3,0),BL$26,0),0),IF(AND(BH$26&lt;&gt;"",BH$23&lt;&gt;""),IF(EOMONTH($BF$3+INT((DAY(EOMONTH($BF$3,0))-1)/2)+BH$23,0)=EOMONTH($BF$3,0),BH$26,0),0),IF(AND(BD$26&lt;&gt;"",BD$23&lt;&gt;""),IF(EOMONTH($BB$3+INT((DAY(EOMONTH($BB$3,0))-1)/2)+BD$23,0)=EOMONTH($BF$3,0),BD$26,0),0),IF(AND(AZ$26&lt;&gt;"",AZ$23&lt;&gt;""),IF(EOMONTH($AX$3+INT((DAY(EOMONTH($AX$3,0))-1)/2)+AZ$23,0)=EOMONTH($BF$3,0),AZ$26,0),0),IF(AND(AV$26&lt;&gt;"",AV$23&lt;&gt;""),IF(EOMONTH($AT$3+INT((DAY(EOMONTH($AT$3,0))-1)/2)+AV$23,0)=EOMONTH($BF$3,0),AV$26,0),0),IF(AND(AR$26&lt;&gt;"",AR$23&lt;&gt;""),IF(EOMONTH($AP$3+INT((DAY(EOMONTH($AP$3,0))-1)/2)+AR$23,0)=EOMONTH($BF$3,0),AR$26,0),0),IF(AND(AN$26&lt;&gt;"",AN$23&lt;&gt;""),IF(EOMONTH($AL$3+INT((DAY(EOMONTH($AL$3,0))-1)/2)+AN$23,0)=EOMONTH($BF$3,0),AN$26,0),0),IF(AND(AJ$26&lt;&gt;"",AJ$23&lt;&gt;""),IF(EOMONTH($AH$3+INT((DAY(EOMONTH($AH$3,0))-1)/2)+AJ$23,0)=EOMONTH($BF$3,0),AJ$26,0),0),IF(AND(AF$26&lt;&gt;"",AF$23&lt;&gt;""),IF(EOMONTH($AD$3+INT((DAY(EOMONTH($AD$3,0))-1)/2)+AF$23,0)=EOMONTH($BF$3,0),AF$26,0),0),IF(AND(AB$26&lt;&gt;"",AB$23&lt;&gt;""),IF(EOMONTH($Z$3+INT((DAY(EOMONTH($Z$3,0))-1)/2)+AB$23,0)=EOMONTH($BF$3,0),AB$26,0),0),IF(AND(X$26&lt;&gt;"",X$23&lt;&gt;""),IF(EOMONTH($V$3+INT((DAY(EOMONTH($V$3,0))-1)/2)+X$23,0)=EOMONTH($BF$3,0),X$26,0),0),IF(AND(T$26&lt;&gt;"",T$23&lt;&gt;""),IF(EOMONTH($R$3+INT((DAY(EOMONTH($R$3,0))-1)/2)+T$23,0)=EOMONTH($BF$3,0),T$26,0),0),IF(AND(P$26&lt;&gt;"",P$23&lt;&gt;""),IF(EOMONTH($N$3+INT((DAY(EOMONTH($N$3,0))-1)/2)+P$23,0)=EOMONTH($BF$3,0),P$26,0),0),IF(AND(L$26&lt;&gt;"",L$23&lt;&gt;""),IF(EOMONTH($J$3+INT((DAY(EOMONTH($J$3,0))-1)/2)+L$23,0)=EOMONTH($BF$3,0),L$26,0),0),IF(AND(H$26&lt;&gt;"",H$23&lt;&gt;""),IF(EOMONTH($F$3+INT((DAY(EOMONTH($F$3,0))-1)/2)+H$23,0)=EOMONTH($BF$3,0),H$26,0),0),IF($EP$75="",0,IF(EOMONTH($EP$75+ER$23,0)=EOMONTH($BF$3,0),$EP$78*ER$13,0))),0)</f>
        <v>0</v>
      </c>
      <c r="BI57" s="33">
        <f t="shared" ref="BI57:BI70" si="728">IFERROR(IF(OR(BG57="",BH57=""),"",BG57-BH57),"")</f>
        <v>0</v>
      </c>
      <c r="BJ57" s="34"/>
      <c r="BK57" s="31">
        <f>IF(BJ$98=1,BJ57,ROUND(SUM(IF(AND(EQ$26&lt;&gt;"",EQ$23&lt;&gt;""),IF(EOMONTH($EP$3+INT((DAY(EOMONTH($EP$3,0))-1)/2)+EQ$23,0)=EOMONTH($BJ$3,0),EQ$26,0),0),IF(AND(EM$26&lt;&gt;"",EM$23&lt;&gt;""),IF(EOMONTH($EL$3+INT((DAY(EOMONTH($EL$3,0))-1)/2)+EM$23,0)=EOMONTH($BJ$3,0),EM$26,0),0),IF(AND(EI$26&lt;&gt;"",EI$23&lt;&gt;""),IF(EOMONTH($EH$3+INT((DAY(EOMONTH($EH$3,0))-1)/2)+EI$23,0)=EOMONTH($BJ$3,0),EI$26,0),0),IF(AND(EE$26&lt;&gt;"",EE$23&lt;&gt;""),IF(EOMONTH($ED$3+INT((DAY(EOMONTH($ED$3,0))-1)/2)+EE$23,0)=EOMONTH($BJ$3,0),EE$26,0),0),IF(AND(EA$26&lt;&gt;"",EA$23&lt;&gt;""),IF(EOMONTH($DZ$3+INT((DAY(EOMONTH($DZ$3,0))-1)/2)+EA$23,0)=EOMONTH($BJ$3,0),EA$26,0),0),IF(AND(DW$26&lt;&gt;"",DW$23&lt;&gt;""),IF(EOMONTH($DV$3+INT((DAY(EOMONTH($DV$3,0))-1)/2)+DW$23,0)=EOMONTH($BJ$3,0),DW$26,0),0),IF(AND(DS$26&lt;&gt;"",DS$23&lt;&gt;""),IF(EOMONTH($DR$3+INT((DAY(EOMONTH($DR$3,0))-1)/2)+DS$23,0)=EOMONTH($BJ$3,0),DS$26,0),0),IF(AND(DO$26&lt;&gt;"",DO$23&lt;&gt;""),IF(EOMONTH($DN$3+INT((DAY(EOMONTH($DN$3,0))-1)/2)+DO$23,0)=EOMONTH($BJ$3,0),DO$26,0),0),IF(AND(DK$26&lt;&gt;"",DK$23&lt;&gt;""),IF(EOMONTH($DJ$3+INT((DAY(EOMONTH($DJ$3,0))-1)/2)+DK$23,0)=EOMONTH($BJ$3,0),DK$26,0),0),IF(AND(DG$26&lt;&gt;"",DG$23&lt;&gt;""),IF(EOMONTH($DF$3+INT((DAY(EOMONTH($DF$3,0))-1)/2)+DG$23,0)=EOMONTH($BJ$3,0),DG$26,0),0),IF(AND(DC$26&lt;&gt;"",DC$23&lt;&gt;""),IF(EOMONTH($DB$3+INT((DAY(EOMONTH($DB$3,0))-1)/2)+DC$23,0)=EOMONTH($BJ$3,0),DC$26,0),0),IF(AND(CY$26&lt;&gt;"",CY$23&lt;&gt;""),IF(EOMONTH($CX$3+INT((DAY(EOMONTH($CX$3,0))-1)/2)+CY$23,0)=EOMONTH($BJ$3,0),CY$26,0),0),IF(AND(CU$26&lt;&gt;"",CU$23&lt;&gt;""),IF(EOMONTH($CT$3+INT((DAY(EOMONTH($CT$3,0))-1)/2)+CU$23,0)=EOMONTH($BJ$3,0),CU$26,0),0),IF(AND(CQ$26&lt;&gt;"",CQ$23&lt;&gt;""),IF(EOMONTH($CP$3+INT((DAY(EOMONTH($CP$3,0))-1)/2)+CQ$23,0)=EOMONTH($BJ$3,0),CQ$26,0),0),IF(AND(CM$26&lt;&gt;"",CM$23&lt;&gt;""),IF(EOMONTH($CL$3+INT((DAY(EOMONTH($CL$3,0))-1)/2)+CM$23,0)=EOMONTH($BJ$3,0),CM$26,0),0),IF(AND(CI$26&lt;&gt;"",CI$23&lt;&gt;""),IF(EOMONTH($CH$3+INT((DAY(EOMONTH($CH$3,0))-1)/2)+CI$23,0)=EOMONTH($BJ$3,0),CI$26,0),0),IF(AND(CE$26&lt;&gt;"",CE$23&lt;&gt;""),IF(EOMONTH($CD$3+INT((DAY(EOMONTH($CD$3,0))-1)/2)+CE$23,0)=EOMONTH($BJ$3,0),CE$26,0),0),IF(AND(CA$26&lt;&gt;"",CA$23&lt;&gt;""),IF(EOMONTH($BZ$3+INT((DAY(EOMONTH($BZ$3,0))-1)/2)+CA$23,0)=EOMONTH($BJ$3,0),CA$26,0),0),IF(AND(BW$26&lt;&gt;"",BW$23&lt;&gt;""),IF(EOMONTH($BV$3+INT((DAY(EOMONTH($BV$3,0))-1)/2)+BW$23,0)=EOMONTH($BJ$3,0),BW$26,0),0),IF(AND(BS$26&lt;&gt;"",BS$23&lt;&gt;""),IF(EOMONTH($BR$3+INT((DAY(EOMONTH($BR$3,0))-1)/2)+BS$23,0)=EOMONTH($BJ$3,0),BS$26,0),0),IF(AND(BO$26&lt;&gt;"",BO$23&lt;&gt;""),IF(EOMONTH($BN$3+INT((DAY(EOMONTH($BN$3,0))-1)/2)+BO$23,0)=EOMONTH($BJ$3,0),BO$26,0),0),IF(AND(BK$26&lt;&gt;"",BK$23&lt;&gt;""),IF(EOMONTH($BJ$3+INT((DAY(EOMONTH($BJ$3,0))-1)/2)+BK$23,0)=EOMONTH($BJ$3,0),BK$26,0),0),IF(AND(BG$26&lt;&gt;"",BG$23&lt;&gt;""),IF(EOMONTH($BF$3+INT((DAY(EOMONTH($BF$3,0))-1)/2)+BG$23,0)=EOMONTH($BJ$3,0),BG$26,0),0),IF(AND(BC$26&lt;&gt;"",BC$23&lt;&gt;""),IF(EOMONTH($BB$3+INT((DAY(EOMONTH($BB$3,0))-1)/2)+BC$23,0)=EOMONTH($BJ$3,0),BC$26,0),0),IF(AND(AY$26&lt;&gt;"",AY$23&lt;&gt;""),IF(EOMONTH($AX$3+INT((DAY(EOMONTH($AX$3,0))-1)/2)+AY$23,0)=EOMONTH($BJ$3,0),AY$26,0),0),IF(AND(AU$26&lt;&gt;"",AU$23&lt;&gt;""),IF(EOMONTH($AT$3+INT((DAY(EOMONTH($AT$3,0))-1)/2)+AU$23,0)=EOMONTH($BJ$3,0),AU$26,0),0),IF(AND(AQ$26&lt;&gt;"",AQ$23&lt;&gt;""),IF(EOMONTH($AP$3+INT((DAY(EOMONTH($AP$3,0))-1)/2)+AQ$23,0)=EOMONTH($BJ$3,0),AQ$26,0),0),IF(AND(AM$26&lt;&gt;"",AM$23&lt;&gt;""),IF(EOMONTH($AL$3+INT((DAY(EOMONTH($AL$3,0))-1)/2)+AM$23,0)=EOMONTH($BJ$3,0),AM$26,0),0),IF(AND(AI$26&lt;&gt;"",AI$23&lt;&gt;""),IF(EOMONTH($AH$3+INT((DAY(EOMONTH($AH$3,0))-1)/2)+AI$23,0)=EOMONTH($BJ$3,0),AI$26,0),0),IF(AND(AE$26&lt;&gt;"",AE$23&lt;&gt;""),IF(EOMONTH($AD$3+INT((DAY(EOMONTH($AD$3,0))-1)/2)+AE$23,0)=EOMONTH($BJ$3,0),AE$26,0),0),IF(AND(AA$26&lt;&gt;"",AA$23&lt;&gt;""),IF(EOMONTH($Z$3+INT((DAY(EOMONTH($Z$3,0))-1)/2)+AA$23,0)=EOMONTH($BJ$3,0),AA$26,0),0),IF(AND(W$26&lt;&gt;"",W$23&lt;&gt;""),IF(EOMONTH($V$3+INT((DAY(EOMONTH($V$3,0))-1)/2)+W$23,0)=EOMONTH($BJ$3,0),W$26,0),0),IF(AND(S$26&lt;&gt;"",S$23&lt;&gt;""),IF(EOMONTH($R$3+INT((DAY(EOMONTH($R$3,0))-1)/2)+S$23,0)=EOMONTH($BJ$3,0),S$26,0),0),IF(AND(O$26&lt;&gt;"",O$23&lt;&gt;""),IF(EOMONTH($N$3+INT((DAY(EOMONTH($N$3,0))-1)/2)+O$23,0)=EOMONTH($BJ$3,0),O$26,0),0),IF(AND(K$26&lt;&gt;"",K$23&lt;&gt;""),IF(EOMONTH($J$3+INT((DAY(EOMONTH($J$3,0))-1)/2)+K$23,0)=EOMONTH($BJ$3,0),K$26,0),0),IF(AND(G$26&lt;&gt;"",G$23&lt;&gt;""),IF(EOMONTH($F$3+INT((DAY(EOMONTH($F$3,0))-1)/2)+G$23,0)=EOMONTH($BJ$3,0),G$26,0),0),IF($EP$75="",0,IF(EOMONTH($EP$75+EQ$23,0)=EOMONTH($BJ$3,0),$EP$78*EQ$13,0))),0))</f>
        <v>0</v>
      </c>
      <c r="BL57" s="32">
        <f>ROUND(SUM(IF(AND(ER$26&lt;&gt;"",ER$23&lt;&gt;""),IF(EOMONTH($EP$3+INT((DAY(EOMONTH($EP$3,0))-1)/2)+ER$23,0)=EOMONTH($BJ$3,0),ER$26,0),0),IF(AND(EN$26&lt;&gt;"",EN$23&lt;&gt;""),IF(EOMONTH($EL$3+INT((DAY(EOMONTH($EL$3,0))-1)/2)+EN$23,0)=EOMONTH($BJ$3,0),EN$26,0),0),IF(AND(EJ$26&lt;&gt;"",EJ$23&lt;&gt;""),IF(EOMONTH($EH$3+INT((DAY(EOMONTH($EH$3,0))-1)/2)+EJ$23,0)=EOMONTH($BJ$3,0),EJ$26,0),0),IF(AND(EF$26&lt;&gt;"",EF$23&lt;&gt;""),IF(EOMONTH($ED$3+INT((DAY(EOMONTH($ED$3,0))-1)/2)+EF$23,0)=EOMONTH($BJ$3,0),EF$26,0),0),IF(AND(EB$26&lt;&gt;"",EB$23&lt;&gt;""),IF(EOMONTH($DZ$3+INT((DAY(EOMONTH($DZ$3,0))-1)/2)+EB$23,0)=EOMONTH($BJ$3,0),EB$26,0),0),IF(AND(DX$26&lt;&gt;"",DX$23&lt;&gt;""),IF(EOMONTH($DV$3+INT((DAY(EOMONTH($DV$3,0))-1)/2)+DX$23,0)=EOMONTH($BJ$3,0),DX$26,0),0),IF(AND(DT$26&lt;&gt;"",DT$23&lt;&gt;""),IF(EOMONTH($DR$3+INT((DAY(EOMONTH($DR$3,0))-1)/2)+DT$23,0)=EOMONTH($BJ$3,0),DT$26,0),0),IF(AND(DP$26&lt;&gt;"",DP$23&lt;&gt;""),IF(EOMONTH($DN$3+INT((DAY(EOMONTH($DN$3,0))-1)/2)+DP$23,0)=EOMONTH($BJ$3,0),DP$26,0),0),IF(AND(DL$26&lt;&gt;"",DL$23&lt;&gt;""),IF(EOMONTH($DJ$3+INT((DAY(EOMONTH($DJ$3,0))-1)/2)+DL$23,0)=EOMONTH($BJ$3,0),DL$26,0),0),IF(AND(DH$26&lt;&gt;"",DH$23&lt;&gt;""),IF(EOMONTH($DF$3+INT((DAY(EOMONTH($DF$3,0))-1)/2)+DH$23,0)=EOMONTH($BJ$3,0),DH$26,0),0),IF(AND(DD$26&lt;&gt;"",DD$23&lt;&gt;""),IF(EOMONTH($DB$3+INT((DAY(EOMONTH($DB$3,0))-1)/2)+DD$23,0)=EOMONTH($BJ$3,0),DD$26,0),0),IF(AND(CZ$26&lt;&gt;"",CZ$23&lt;&gt;""),IF(EOMONTH($CX$3+INT((DAY(EOMONTH($CX$3,0))-1)/2)+CZ$23,0)=EOMONTH($BJ$3,0),CZ$26,0),0),IF(AND(CV$26&lt;&gt;"",CV$23&lt;&gt;""),IF(EOMONTH($CT$3+INT((DAY(EOMONTH($CT$3,0))-1)/2)+CV$23,0)=EOMONTH($BJ$3,0),CV$26,0),0),IF(AND(CR$26&lt;&gt;"",CR$23&lt;&gt;""),IF(EOMONTH($CP$3+INT((DAY(EOMONTH($CP$3,0))-1)/2)+CR$23,0)=EOMONTH($BJ$3,0),CR$26,0),0),IF(AND(CN$26&lt;&gt;"",CN$23&lt;&gt;""),IF(EOMONTH($CL$3+INT((DAY(EOMONTH($CL$3,0))-1)/2)+CN$23,0)=EOMONTH($BJ$3,0),CN$26,0),0),IF(AND(CJ$26&lt;&gt;"",CJ$23&lt;&gt;""),IF(EOMONTH($CH$3+INT((DAY(EOMONTH($CH$3,0))-1)/2)+CJ$23,0)=EOMONTH($BJ$3,0),CJ$26,0),0),IF(AND(CF$26&lt;&gt;"",CF$23&lt;&gt;""),IF(EOMONTH($CD$3+INT((DAY(EOMONTH($CD$3,0))-1)/2)+CF$23,0)=EOMONTH($BJ$3,0),CF$26,0),0),IF(AND(CB$26&lt;&gt;"",CB$23&lt;&gt;""),IF(EOMONTH($BZ$3+INT((DAY(EOMONTH($BZ$3,0))-1)/2)+CB$23,0)=EOMONTH($BJ$3,0),CB$26,0),0),IF(AND(BX$26&lt;&gt;"",BX$23&lt;&gt;""),IF(EOMONTH($BV$3+INT((DAY(EOMONTH($BV$3,0))-1)/2)+BX$23,0)=EOMONTH($BJ$3,0),BX$26,0),0),IF(AND(BT$26&lt;&gt;"",BT$23&lt;&gt;""),IF(EOMONTH($BR$3+INT((DAY(EOMONTH($BR$3,0))-1)/2)+BT$23,0)=EOMONTH($BJ$3,0),BT$26,0),0),IF(AND(BP$26&lt;&gt;"",BP$23&lt;&gt;""),IF(EOMONTH($BN$3+INT((DAY(EOMONTH($BN$3,0))-1)/2)+BP$23,0)=EOMONTH($BJ$3,0),BP$26,0),0),IF(AND(BL$26&lt;&gt;"",BL$23&lt;&gt;""),IF(EOMONTH($BJ$3+INT((DAY(EOMONTH($BJ$3,0))-1)/2)+BL$23,0)=EOMONTH($BJ$3,0),BL$26,0),0),IF(AND(BH$26&lt;&gt;"",BH$23&lt;&gt;""),IF(EOMONTH($BF$3+INT((DAY(EOMONTH($BF$3,0))-1)/2)+BH$23,0)=EOMONTH($BJ$3,0),BH$26,0),0),IF(AND(BD$26&lt;&gt;"",BD$23&lt;&gt;""),IF(EOMONTH($BB$3+INT((DAY(EOMONTH($BB$3,0))-1)/2)+BD$23,0)=EOMONTH($BJ$3,0),BD$26,0),0),IF(AND(AZ$26&lt;&gt;"",AZ$23&lt;&gt;""),IF(EOMONTH($AX$3+INT((DAY(EOMONTH($AX$3,0))-1)/2)+AZ$23,0)=EOMONTH($BJ$3,0),AZ$26,0),0),IF(AND(AV$26&lt;&gt;"",AV$23&lt;&gt;""),IF(EOMONTH($AT$3+INT((DAY(EOMONTH($AT$3,0))-1)/2)+AV$23,0)=EOMONTH($BJ$3,0),AV$26,0),0),IF(AND(AR$26&lt;&gt;"",AR$23&lt;&gt;""),IF(EOMONTH($AP$3+INT((DAY(EOMONTH($AP$3,0))-1)/2)+AR$23,0)=EOMONTH($BJ$3,0),AR$26,0),0),IF(AND(AN$26&lt;&gt;"",AN$23&lt;&gt;""),IF(EOMONTH($AL$3+INT((DAY(EOMONTH($AL$3,0))-1)/2)+AN$23,0)=EOMONTH($BJ$3,0),AN$26,0),0),IF(AND(AJ$26&lt;&gt;"",AJ$23&lt;&gt;""),IF(EOMONTH($AH$3+INT((DAY(EOMONTH($AH$3,0))-1)/2)+AJ$23,0)=EOMONTH($BJ$3,0),AJ$26,0),0),IF(AND(AF$26&lt;&gt;"",AF$23&lt;&gt;""),IF(EOMONTH($AD$3+INT((DAY(EOMONTH($AD$3,0))-1)/2)+AF$23,0)=EOMONTH($BJ$3,0),AF$26,0),0),IF(AND(AB$26&lt;&gt;"",AB$23&lt;&gt;""),IF(EOMONTH($Z$3+INT((DAY(EOMONTH($Z$3,0))-1)/2)+AB$23,0)=EOMONTH($BJ$3,0),AB$26,0),0),IF(AND(X$26&lt;&gt;"",X$23&lt;&gt;""),IF(EOMONTH($V$3+INT((DAY(EOMONTH($V$3,0))-1)/2)+X$23,0)=EOMONTH($BJ$3,0),X$26,0),0),IF(AND(T$26&lt;&gt;"",T$23&lt;&gt;""),IF(EOMONTH($R$3+INT((DAY(EOMONTH($R$3,0))-1)/2)+T$23,0)=EOMONTH($BJ$3,0),T$26,0),0),IF(AND(P$26&lt;&gt;"",P$23&lt;&gt;""),IF(EOMONTH($N$3+INT((DAY(EOMONTH($N$3,0))-1)/2)+P$23,0)=EOMONTH($BJ$3,0),P$26,0),0),IF(AND(L$26&lt;&gt;"",L$23&lt;&gt;""),IF(EOMONTH($J$3+INT((DAY(EOMONTH($J$3,0))-1)/2)+L$23,0)=EOMONTH($BJ$3,0),L$26,0),0),IF(AND(H$26&lt;&gt;"",H$23&lt;&gt;""),IF(EOMONTH($F$3+INT((DAY(EOMONTH($F$3,0))-1)/2)+H$23,0)=EOMONTH($BJ$3,0),H$26,0),0),IF($EP$75="",0,IF(EOMONTH($EP$75+ER$23,0)=EOMONTH($BJ$3,0),$EP$78*ER$13,0))),0)</f>
        <v>0</v>
      </c>
      <c r="BM57" s="33">
        <f t="shared" ref="BM57:BM70" si="730">IFERROR(IF(OR(BK57="",BL57=""),"",BK57-BL57),"")</f>
        <v>0</v>
      </c>
      <c r="BN57" s="34"/>
      <c r="BO57" s="31">
        <f>IF(BN$98=1,BN57,ROUND(SUM(IF(AND(EQ$26&lt;&gt;"",EQ$23&lt;&gt;""),IF(EOMONTH($EP$3+INT((DAY(EOMONTH($EP$3,0))-1)/2)+EQ$23,0)=EOMONTH($BN$3,0),EQ$26,0),0),IF(AND(EM$26&lt;&gt;"",EM$23&lt;&gt;""),IF(EOMONTH($EL$3+INT((DAY(EOMONTH($EL$3,0))-1)/2)+EM$23,0)=EOMONTH($BN$3,0),EM$26,0),0),IF(AND(EI$26&lt;&gt;"",EI$23&lt;&gt;""),IF(EOMONTH($EH$3+INT((DAY(EOMONTH($EH$3,0))-1)/2)+EI$23,0)=EOMONTH($BN$3,0),EI$26,0),0),IF(AND(EE$26&lt;&gt;"",EE$23&lt;&gt;""),IF(EOMONTH($ED$3+INT((DAY(EOMONTH($ED$3,0))-1)/2)+EE$23,0)=EOMONTH($BN$3,0),EE$26,0),0),IF(AND(EA$26&lt;&gt;"",EA$23&lt;&gt;""),IF(EOMONTH($DZ$3+INT((DAY(EOMONTH($DZ$3,0))-1)/2)+EA$23,0)=EOMONTH($BN$3,0),EA$26,0),0),IF(AND(DW$26&lt;&gt;"",DW$23&lt;&gt;""),IF(EOMONTH($DV$3+INT((DAY(EOMONTH($DV$3,0))-1)/2)+DW$23,0)=EOMONTH($BN$3,0),DW$26,0),0),IF(AND(DS$26&lt;&gt;"",DS$23&lt;&gt;""),IF(EOMONTH($DR$3+INT((DAY(EOMONTH($DR$3,0))-1)/2)+DS$23,0)=EOMONTH($BN$3,0),DS$26,0),0),IF(AND(DO$26&lt;&gt;"",DO$23&lt;&gt;""),IF(EOMONTH($DN$3+INT((DAY(EOMONTH($DN$3,0))-1)/2)+DO$23,0)=EOMONTH($BN$3,0),DO$26,0),0),IF(AND(DK$26&lt;&gt;"",DK$23&lt;&gt;""),IF(EOMONTH($DJ$3+INT((DAY(EOMONTH($DJ$3,0))-1)/2)+DK$23,0)=EOMONTH($BN$3,0),DK$26,0),0),IF(AND(DG$26&lt;&gt;"",DG$23&lt;&gt;""),IF(EOMONTH($DF$3+INT((DAY(EOMONTH($DF$3,0))-1)/2)+DG$23,0)=EOMONTH($BN$3,0),DG$26,0),0),IF(AND(DC$26&lt;&gt;"",DC$23&lt;&gt;""),IF(EOMONTH($DB$3+INT((DAY(EOMONTH($DB$3,0))-1)/2)+DC$23,0)=EOMONTH($BN$3,0),DC$26,0),0),IF(AND(CY$26&lt;&gt;"",CY$23&lt;&gt;""),IF(EOMONTH($CX$3+INT((DAY(EOMONTH($CX$3,0))-1)/2)+CY$23,0)=EOMONTH($BN$3,0),CY$26,0),0),IF(AND(CU$26&lt;&gt;"",CU$23&lt;&gt;""),IF(EOMONTH($CT$3+INT((DAY(EOMONTH($CT$3,0))-1)/2)+CU$23,0)=EOMONTH($BN$3,0),CU$26,0),0),IF(AND(CQ$26&lt;&gt;"",CQ$23&lt;&gt;""),IF(EOMONTH($CP$3+INT((DAY(EOMONTH($CP$3,0))-1)/2)+CQ$23,0)=EOMONTH($BN$3,0),CQ$26,0),0),IF(AND(CM$26&lt;&gt;"",CM$23&lt;&gt;""),IF(EOMONTH($CL$3+INT((DAY(EOMONTH($CL$3,0))-1)/2)+CM$23,0)=EOMONTH($BN$3,0),CM$26,0),0),IF(AND(CI$26&lt;&gt;"",CI$23&lt;&gt;""),IF(EOMONTH($CH$3+INT((DAY(EOMONTH($CH$3,0))-1)/2)+CI$23,0)=EOMONTH($BN$3,0),CI$26,0),0),IF(AND(CE$26&lt;&gt;"",CE$23&lt;&gt;""),IF(EOMONTH($CD$3+INT((DAY(EOMONTH($CD$3,0))-1)/2)+CE$23,0)=EOMONTH($BN$3,0),CE$26,0),0),IF(AND(CA$26&lt;&gt;"",CA$23&lt;&gt;""),IF(EOMONTH($BZ$3+INT((DAY(EOMONTH($BZ$3,0))-1)/2)+CA$23,0)=EOMONTH($BN$3,0),CA$26,0),0),IF(AND(BW$26&lt;&gt;"",BW$23&lt;&gt;""),IF(EOMONTH($BV$3+INT((DAY(EOMONTH($BV$3,0))-1)/2)+BW$23,0)=EOMONTH($BN$3,0),BW$26,0),0),IF(AND(BS$26&lt;&gt;"",BS$23&lt;&gt;""),IF(EOMONTH($BR$3+INT((DAY(EOMONTH($BR$3,0))-1)/2)+BS$23,0)=EOMONTH($BN$3,0),BS$26,0),0),IF(AND(BO$26&lt;&gt;"",BO$23&lt;&gt;""),IF(EOMONTH($BN$3+INT((DAY(EOMONTH($BN$3,0))-1)/2)+BO$23,0)=EOMONTH($BN$3,0),BO$26,0),0),IF(AND(BK$26&lt;&gt;"",BK$23&lt;&gt;""),IF(EOMONTH($BJ$3+INT((DAY(EOMONTH($BJ$3,0))-1)/2)+BK$23,0)=EOMONTH($BN$3,0),BK$26,0),0),IF(AND(BG$26&lt;&gt;"",BG$23&lt;&gt;""),IF(EOMONTH($BF$3+INT((DAY(EOMONTH($BF$3,0))-1)/2)+BG$23,0)=EOMONTH($BN$3,0),BG$26,0),0),IF(AND(BC$26&lt;&gt;"",BC$23&lt;&gt;""),IF(EOMONTH($BB$3+INT((DAY(EOMONTH($BB$3,0))-1)/2)+BC$23,0)=EOMONTH($BN$3,0),BC$26,0),0),IF(AND(AY$26&lt;&gt;"",AY$23&lt;&gt;""),IF(EOMONTH($AX$3+INT((DAY(EOMONTH($AX$3,0))-1)/2)+AY$23,0)=EOMONTH($BN$3,0),AY$26,0),0),IF(AND(AU$26&lt;&gt;"",AU$23&lt;&gt;""),IF(EOMONTH($AT$3+INT((DAY(EOMONTH($AT$3,0))-1)/2)+AU$23,0)=EOMONTH($BN$3,0),AU$26,0),0),IF(AND(AQ$26&lt;&gt;"",AQ$23&lt;&gt;""),IF(EOMONTH($AP$3+INT((DAY(EOMONTH($AP$3,0))-1)/2)+AQ$23,0)=EOMONTH($BN$3,0),AQ$26,0),0),IF(AND(AM$26&lt;&gt;"",AM$23&lt;&gt;""),IF(EOMONTH($AL$3+INT((DAY(EOMONTH($AL$3,0))-1)/2)+AM$23,0)=EOMONTH($BN$3,0),AM$26,0),0),IF(AND(AI$26&lt;&gt;"",AI$23&lt;&gt;""),IF(EOMONTH($AH$3+INT((DAY(EOMONTH($AH$3,0))-1)/2)+AI$23,0)=EOMONTH($BN$3,0),AI$26,0),0),IF(AND(AE$26&lt;&gt;"",AE$23&lt;&gt;""),IF(EOMONTH($AD$3+INT((DAY(EOMONTH($AD$3,0))-1)/2)+AE$23,0)=EOMONTH($BN$3,0),AE$26,0),0),IF(AND(AA$26&lt;&gt;"",AA$23&lt;&gt;""),IF(EOMONTH($Z$3+INT((DAY(EOMONTH($Z$3,0))-1)/2)+AA$23,0)=EOMONTH($BN$3,0),AA$26,0),0),IF(AND(W$26&lt;&gt;"",W$23&lt;&gt;""),IF(EOMONTH($V$3+INT((DAY(EOMONTH($V$3,0))-1)/2)+W$23,0)=EOMONTH($BN$3,0),W$26,0),0),IF(AND(S$26&lt;&gt;"",S$23&lt;&gt;""),IF(EOMONTH($R$3+INT((DAY(EOMONTH($R$3,0))-1)/2)+S$23,0)=EOMONTH($BN$3,0),S$26,0),0),IF(AND(O$26&lt;&gt;"",O$23&lt;&gt;""),IF(EOMONTH($N$3+INT((DAY(EOMONTH($N$3,0))-1)/2)+O$23,0)=EOMONTH($BN$3,0),O$26,0),0),IF(AND(K$26&lt;&gt;"",K$23&lt;&gt;""),IF(EOMONTH($J$3+INT((DAY(EOMONTH($J$3,0))-1)/2)+K$23,0)=EOMONTH($BN$3,0),K$26,0),0),IF(AND(G$26&lt;&gt;"",G$23&lt;&gt;""),IF(EOMONTH($F$3+INT((DAY(EOMONTH($F$3,0))-1)/2)+G$23,0)=EOMONTH($BN$3,0),G$26,0),0),IF($EP$75="",0,IF(EOMONTH($EP$75+EQ$23,0)=EOMONTH($BN$3,0),$EP$78*EQ$13,0))),0))</f>
        <v>0</v>
      </c>
      <c r="BP57" s="32">
        <f>ROUND(SUM(IF(AND(ER$26&lt;&gt;"",ER$23&lt;&gt;""),IF(EOMONTH($EP$3+INT((DAY(EOMONTH($EP$3,0))-1)/2)+ER$23,0)=EOMONTH($BN$3,0),ER$26,0),0),IF(AND(EN$26&lt;&gt;"",EN$23&lt;&gt;""),IF(EOMONTH($EL$3+INT((DAY(EOMONTH($EL$3,0))-1)/2)+EN$23,0)=EOMONTH($BN$3,0),EN$26,0),0),IF(AND(EJ$26&lt;&gt;"",EJ$23&lt;&gt;""),IF(EOMONTH($EH$3+INT((DAY(EOMONTH($EH$3,0))-1)/2)+EJ$23,0)=EOMONTH($BN$3,0),EJ$26,0),0),IF(AND(EF$26&lt;&gt;"",EF$23&lt;&gt;""),IF(EOMONTH($ED$3+INT((DAY(EOMONTH($ED$3,0))-1)/2)+EF$23,0)=EOMONTH($BN$3,0),EF$26,0),0),IF(AND(EB$26&lt;&gt;"",EB$23&lt;&gt;""),IF(EOMONTH($DZ$3+INT((DAY(EOMONTH($DZ$3,0))-1)/2)+EB$23,0)=EOMONTH($BN$3,0),EB$26,0),0),IF(AND(DX$26&lt;&gt;"",DX$23&lt;&gt;""),IF(EOMONTH($DV$3+INT((DAY(EOMONTH($DV$3,0))-1)/2)+DX$23,0)=EOMONTH($BN$3,0),DX$26,0),0),IF(AND(DT$26&lt;&gt;"",DT$23&lt;&gt;""),IF(EOMONTH($DR$3+INT((DAY(EOMONTH($DR$3,0))-1)/2)+DT$23,0)=EOMONTH($BN$3,0),DT$26,0),0),IF(AND(DP$26&lt;&gt;"",DP$23&lt;&gt;""),IF(EOMONTH($DN$3+INT((DAY(EOMONTH($DN$3,0))-1)/2)+DP$23,0)=EOMONTH($BN$3,0),DP$26,0),0),IF(AND(DL$26&lt;&gt;"",DL$23&lt;&gt;""),IF(EOMONTH($DJ$3+INT((DAY(EOMONTH($DJ$3,0))-1)/2)+DL$23,0)=EOMONTH($BN$3,0),DL$26,0),0),IF(AND(DH$26&lt;&gt;"",DH$23&lt;&gt;""),IF(EOMONTH($DF$3+INT((DAY(EOMONTH($DF$3,0))-1)/2)+DH$23,0)=EOMONTH($BN$3,0),DH$26,0),0),IF(AND(DD$26&lt;&gt;"",DD$23&lt;&gt;""),IF(EOMONTH($DB$3+INT((DAY(EOMONTH($DB$3,0))-1)/2)+DD$23,0)=EOMONTH($BN$3,0),DD$26,0),0),IF(AND(CZ$26&lt;&gt;"",CZ$23&lt;&gt;""),IF(EOMONTH($CX$3+INT((DAY(EOMONTH($CX$3,0))-1)/2)+CZ$23,0)=EOMONTH($BN$3,0),CZ$26,0),0),IF(AND(CV$26&lt;&gt;"",CV$23&lt;&gt;""),IF(EOMONTH($CT$3+INT((DAY(EOMONTH($CT$3,0))-1)/2)+CV$23,0)=EOMONTH($BN$3,0),CV$26,0),0),IF(AND(CR$26&lt;&gt;"",CR$23&lt;&gt;""),IF(EOMONTH($CP$3+INT((DAY(EOMONTH($CP$3,0))-1)/2)+CR$23,0)=EOMONTH($BN$3,0),CR$26,0),0),IF(AND(CN$26&lt;&gt;"",CN$23&lt;&gt;""),IF(EOMONTH($CL$3+INT((DAY(EOMONTH($CL$3,0))-1)/2)+CN$23,0)=EOMONTH($BN$3,0),CN$26,0),0),IF(AND(CJ$26&lt;&gt;"",CJ$23&lt;&gt;""),IF(EOMONTH($CH$3+INT((DAY(EOMONTH($CH$3,0))-1)/2)+CJ$23,0)=EOMONTH($BN$3,0),CJ$26,0),0),IF(AND(CF$26&lt;&gt;"",CF$23&lt;&gt;""),IF(EOMONTH($CD$3+INT((DAY(EOMONTH($CD$3,0))-1)/2)+CF$23,0)=EOMONTH($BN$3,0),CF$26,0),0),IF(AND(CB$26&lt;&gt;"",CB$23&lt;&gt;""),IF(EOMONTH($BZ$3+INT((DAY(EOMONTH($BZ$3,0))-1)/2)+CB$23,0)=EOMONTH($BN$3,0),CB$26,0),0),IF(AND(BX$26&lt;&gt;"",BX$23&lt;&gt;""),IF(EOMONTH($BV$3+INT((DAY(EOMONTH($BV$3,0))-1)/2)+BX$23,0)=EOMONTH($BN$3,0),BX$26,0),0),IF(AND(BT$26&lt;&gt;"",BT$23&lt;&gt;""),IF(EOMONTH($BR$3+INT((DAY(EOMONTH($BR$3,0))-1)/2)+BT$23,0)=EOMONTH($BN$3,0),BT$26,0),0),IF(AND(BP$26&lt;&gt;"",BP$23&lt;&gt;""),IF(EOMONTH($BN$3+INT((DAY(EOMONTH($BN$3,0))-1)/2)+BP$23,0)=EOMONTH($BN$3,0),BP$26,0),0),IF(AND(BL$26&lt;&gt;"",BL$23&lt;&gt;""),IF(EOMONTH($BJ$3+INT((DAY(EOMONTH($BJ$3,0))-1)/2)+BL$23,0)=EOMONTH($BN$3,0),BL$26,0),0),IF(AND(BH$26&lt;&gt;"",BH$23&lt;&gt;""),IF(EOMONTH($BF$3+INT((DAY(EOMONTH($BF$3,0))-1)/2)+BH$23,0)=EOMONTH($BN$3,0),BH$26,0),0),IF(AND(BD$26&lt;&gt;"",BD$23&lt;&gt;""),IF(EOMONTH($BB$3+INT((DAY(EOMONTH($BB$3,0))-1)/2)+BD$23,0)=EOMONTH($BN$3,0),BD$26,0),0),IF(AND(AZ$26&lt;&gt;"",AZ$23&lt;&gt;""),IF(EOMONTH($AX$3+INT((DAY(EOMONTH($AX$3,0))-1)/2)+AZ$23,0)=EOMONTH($BN$3,0),AZ$26,0),0),IF(AND(AV$26&lt;&gt;"",AV$23&lt;&gt;""),IF(EOMONTH($AT$3+INT((DAY(EOMONTH($AT$3,0))-1)/2)+AV$23,0)=EOMONTH($BN$3,0),AV$26,0),0),IF(AND(AR$26&lt;&gt;"",AR$23&lt;&gt;""),IF(EOMONTH($AP$3+INT((DAY(EOMONTH($AP$3,0))-1)/2)+AR$23,0)=EOMONTH($BN$3,0),AR$26,0),0),IF(AND(AN$26&lt;&gt;"",AN$23&lt;&gt;""),IF(EOMONTH($AL$3+INT((DAY(EOMONTH($AL$3,0))-1)/2)+AN$23,0)=EOMONTH($BN$3,0),AN$26,0),0),IF(AND(AJ$26&lt;&gt;"",AJ$23&lt;&gt;""),IF(EOMONTH($AH$3+INT((DAY(EOMONTH($AH$3,0))-1)/2)+AJ$23,0)=EOMONTH($BN$3,0),AJ$26,0),0),IF(AND(AF$26&lt;&gt;"",AF$23&lt;&gt;""),IF(EOMONTH($AD$3+INT((DAY(EOMONTH($AD$3,0))-1)/2)+AF$23,0)=EOMONTH($BN$3,0),AF$26,0),0),IF(AND(AB$26&lt;&gt;"",AB$23&lt;&gt;""),IF(EOMONTH($Z$3+INT((DAY(EOMONTH($Z$3,0))-1)/2)+AB$23,0)=EOMONTH($BN$3,0),AB$26,0),0),IF(AND(X$26&lt;&gt;"",X$23&lt;&gt;""),IF(EOMONTH($V$3+INT((DAY(EOMONTH($V$3,0))-1)/2)+X$23,0)=EOMONTH($BN$3,0),X$26,0),0),IF(AND(T$26&lt;&gt;"",T$23&lt;&gt;""),IF(EOMONTH($R$3+INT((DAY(EOMONTH($R$3,0))-1)/2)+T$23,0)=EOMONTH($BN$3,0),T$26,0),0),IF(AND(P$26&lt;&gt;"",P$23&lt;&gt;""),IF(EOMONTH($N$3+INT((DAY(EOMONTH($N$3,0))-1)/2)+P$23,0)=EOMONTH($BN$3,0),P$26,0),0),IF(AND(L$26&lt;&gt;"",L$23&lt;&gt;""),IF(EOMONTH($J$3+INT((DAY(EOMONTH($J$3,0))-1)/2)+L$23,0)=EOMONTH($BN$3,0),L$26,0),0),IF(AND(H$26&lt;&gt;"",H$23&lt;&gt;""),IF(EOMONTH($F$3+INT((DAY(EOMONTH($F$3,0))-1)/2)+H$23,0)=EOMONTH($BN$3,0),H$26,0),0),IF($EP$75="",0,IF(EOMONTH($EP$75+ER$23,0)=EOMONTH($BN$3,0),$EP$78*ER$13,0))),0)</f>
        <v>0</v>
      </c>
      <c r="BQ57" s="33">
        <f t="shared" ref="BQ57:BQ70" si="732">IFERROR(IF(OR(BO57="",BP57=""),"",BO57-BP57),"")</f>
        <v>0</v>
      </c>
      <c r="BR57" s="34"/>
      <c r="BS57" s="31">
        <f>IF(BR$98=1,BR57,ROUND(SUM(IF(AND(EQ$26&lt;&gt;"",EQ$23&lt;&gt;""),IF(EOMONTH($EP$3+INT((DAY(EOMONTH($EP$3,0))-1)/2)+EQ$23,0)=EOMONTH($BR$3,0),EQ$26,0),0),IF(AND(EM$26&lt;&gt;"",EM$23&lt;&gt;""),IF(EOMONTH($EL$3+INT((DAY(EOMONTH($EL$3,0))-1)/2)+EM$23,0)=EOMONTH($BR$3,0),EM$26,0),0),IF(AND(EI$26&lt;&gt;"",EI$23&lt;&gt;""),IF(EOMONTH($EH$3+INT((DAY(EOMONTH($EH$3,0))-1)/2)+EI$23,0)=EOMONTH($BR$3,0),EI$26,0),0),IF(AND(EE$26&lt;&gt;"",EE$23&lt;&gt;""),IF(EOMONTH($ED$3+INT((DAY(EOMONTH($ED$3,0))-1)/2)+EE$23,0)=EOMONTH($BR$3,0),EE$26,0),0),IF(AND(EA$26&lt;&gt;"",EA$23&lt;&gt;""),IF(EOMONTH($DZ$3+INT((DAY(EOMONTH($DZ$3,0))-1)/2)+EA$23,0)=EOMONTH($BR$3,0),EA$26,0),0),IF(AND(DW$26&lt;&gt;"",DW$23&lt;&gt;""),IF(EOMONTH($DV$3+INT((DAY(EOMONTH($DV$3,0))-1)/2)+DW$23,0)=EOMONTH($BR$3,0),DW$26,0),0),IF(AND(DS$26&lt;&gt;"",DS$23&lt;&gt;""),IF(EOMONTH($DR$3+INT((DAY(EOMONTH($DR$3,0))-1)/2)+DS$23,0)=EOMONTH($BR$3,0),DS$26,0),0),IF(AND(DO$26&lt;&gt;"",DO$23&lt;&gt;""),IF(EOMONTH($DN$3+INT((DAY(EOMONTH($DN$3,0))-1)/2)+DO$23,0)=EOMONTH($BR$3,0),DO$26,0),0),IF(AND(DK$26&lt;&gt;"",DK$23&lt;&gt;""),IF(EOMONTH($DJ$3+INT((DAY(EOMONTH($DJ$3,0))-1)/2)+DK$23,0)=EOMONTH($BR$3,0),DK$26,0),0),IF(AND(DG$26&lt;&gt;"",DG$23&lt;&gt;""),IF(EOMONTH($DF$3+INT((DAY(EOMONTH($DF$3,0))-1)/2)+DG$23,0)=EOMONTH($BR$3,0),DG$26,0),0),IF(AND(DC$26&lt;&gt;"",DC$23&lt;&gt;""),IF(EOMONTH($DB$3+INT((DAY(EOMONTH($DB$3,0))-1)/2)+DC$23,0)=EOMONTH($BR$3,0),DC$26,0),0),IF(AND(CY$26&lt;&gt;"",CY$23&lt;&gt;""),IF(EOMONTH($CX$3+INT((DAY(EOMONTH($CX$3,0))-1)/2)+CY$23,0)=EOMONTH($BR$3,0),CY$26,0),0),IF(AND(CU$26&lt;&gt;"",CU$23&lt;&gt;""),IF(EOMONTH($CT$3+INT((DAY(EOMONTH($CT$3,0))-1)/2)+CU$23,0)=EOMONTH($BR$3,0),CU$26,0),0),IF(AND(CQ$26&lt;&gt;"",CQ$23&lt;&gt;""),IF(EOMONTH($CP$3+INT((DAY(EOMONTH($CP$3,0))-1)/2)+CQ$23,0)=EOMONTH($BR$3,0),CQ$26,0),0),IF(AND(CM$26&lt;&gt;"",CM$23&lt;&gt;""),IF(EOMONTH($CL$3+INT((DAY(EOMONTH($CL$3,0))-1)/2)+CM$23,0)=EOMONTH($BR$3,0),CM$26,0),0),IF(AND(CI$26&lt;&gt;"",CI$23&lt;&gt;""),IF(EOMONTH($CH$3+INT((DAY(EOMONTH($CH$3,0))-1)/2)+CI$23,0)=EOMONTH($BR$3,0),CI$26,0),0),IF(AND(CE$26&lt;&gt;"",CE$23&lt;&gt;""),IF(EOMONTH($CD$3+INT((DAY(EOMONTH($CD$3,0))-1)/2)+CE$23,0)=EOMONTH($BR$3,0),CE$26,0),0),IF(AND(CA$26&lt;&gt;"",CA$23&lt;&gt;""),IF(EOMONTH($BZ$3+INT((DAY(EOMONTH($BZ$3,0))-1)/2)+CA$23,0)=EOMONTH($BR$3,0),CA$26,0),0),IF(AND(BW$26&lt;&gt;"",BW$23&lt;&gt;""),IF(EOMONTH($BV$3+INT((DAY(EOMONTH($BV$3,0))-1)/2)+BW$23,0)=EOMONTH($BR$3,0),BW$26,0),0),IF(AND(BS$26&lt;&gt;"",BS$23&lt;&gt;""),IF(EOMONTH($BR$3+INT((DAY(EOMONTH($BR$3,0))-1)/2)+BS$23,0)=EOMONTH($BR$3,0),BS$26,0),0),IF(AND(BO$26&lt;&gt;"",BO$23&lt;&gt;""),IF(EOMONTH($BN$3+INT((DAY(EOMONTH($BN$3,0))-1)/2)+BO$23,0)=EOMONTH($BR$3,0),BO$26,0),0),IF(AND(BK$26&lt;&gt;"",BK$23&lt;&gt;""),IF(EOMONTH($BJ$3+INT((DAY(EOMONTH($BJ$3,0))-1)/2)+BK$23,0)=EOMONTH($BR$3,0),BK$26,0),0),IF(AND(BG$26&lt;&gt;"",BG$23&lt;&gt;""),IF(EOMONTH($BF$3+INT((DAY(EOMONTH($BF$3,0))-1)/2)+BG$23,0)=EOMONTH($BR$3,0),BG$26,0),0),IF(AND(BC$26&lt;&gt;"",BC$23&lt;&gt;""),IF(EOMONTH($BB$3+INT((DAY(EOMONTH($BB$3,0))-1)/2)+BC$23,0)=EOMONTH($BR$3,0),BC$26,0),0),IF(AND(AY$26&lt;&gt;"",AY$23&lt;&gt;""),IF(EOMONTH($AX$3+INT((DAY(EOMONTH($AX$3,0))-1)/2)+AY$23,0)=EOMONTH($BR$3,0),AY$26,0),0),IF(AND(AU$26&lt;&gt;"",AU$23&lt;&gt;""),IF(EOMONTH($AT$3+INT((DAY(EOMONTH($AT$3,0))-1)/2)+AU$23,0)=EOMONTH($BR$3,0),AU$26,0),0),IF(AND(AQ$26&lt;&gt;"",AQ$23&lt;&gt;""),IF(EOMONTH($AP$3+INT((DAY(EOMONTH($AP$3,0))-1)/2)+AQ$23,0)=EOMONTH($BR$3,0),AQ$26,0),0),IF(AND(AM$26&lt;&gt;"",AM$23&lt;&gt;""),IF(EOMONTH($AL$3+INT((DAY(EOMONTH($AL$3,0))-1)/2)+AM$23,0)=EOMONTH($BR$3,0),AM$26,0),0),IF(AND(AI$26&lt;&gt;"",AI$23&lt;&gt;""),IF(EOMONTH($AH$3+INT((DAY(EOMONTH($AH$3,0))-1)/2)+AI$23,0)=EOMONTH($BR$3,0),AI$26,0),0),IF(AND(AE$26&lt;&gt;"",AE$23&lt;&gt;""),IF(EOMONTH($AD$3+INT((DAY(EOMONTH($AD$3,0))-1)/2)+AE$23,0)=EOMONTH($BR$3,0),AE$26,0),0),IF(AND(AA$26&lt;&gt;"",AA$23&lt;&gt;""),IF(EOMONTH($Z$3+INT((DAY(EOMONTH($Z$3,0))-1)/2)+AA$23,0)=EOMONTH($BR$3,0),AA$26,0),0),IF(AND(W$26&lt;&gt;"",W$23&lt;&gt;""),IF(EOMONTH($V$3+INT((DAY(EOMONTH($V$3,0))-1)/2)+W$23,0)=EOMONTH($BR$3,0),W$26,0),0),IF(AND(S$26&lt;&gt;"",S$23&lt;&gt;""),IF(EOMONTH($R$3+INT((DAY(EOMONTH($R$3,0))-1)/2)+S$23,0)=EOMONTH($BR$3,0),S$26,0),0),IF(AND(O$26&lt;&gt;"",O$23&lt;&gt;""),IF(EOMONTH($N$3+INT((DAY(EOMONTH($N$3,0))-1)/2)+O$23,0)=EOMONTH($BR$3,0),O$26,0),0),IF(AND(K$26&lt;&gt;"",K$23&lt;&gt;""),IF(EOMONTH($J$3+INT((DAY(EOMONTH($J$3,0))-1)/2)+K$23,0)=EOMONTH($BR$3,0),K$26,0),0),IF(AND(G$26&lt;&gt;"",G$23&lt;&gt;""),IF(EOMONTH($F$3+INT((DAY(EOMONTH($F$3,0))-1)/2)+G$23,0)=EOMONTH($BR$3,0),G$26,0),0),IF($EP$75="",0,IF(EOMONTH($EP$75+EQ$23,0)=EOMONTH($BR$3,0),$EP$78*EQ$13,0))),0))</f>
        <v>0</v>
      </c>
      <c r="BT57" s="32">
        <f>ROUND(SUM(IF(AND(ER$26&lt;&gt;"",ER$23&lt;&gt;""),IF(EOMONTH($EP$3+INT((DAY(EOMONTH($EP$3,0))-1)/2)+ER$23,0)=EOMONTH($BR$3,0),ER$26,0),0),IF(AND(EN$26&lt;&gt;"",EN$23&lt;&gt;""),IF(EOMONTH($EL$3+INT((DAY(EOMONTH($EL$3,0))-1)/2)+EN$23,0)=EOMONTH($BR$3,0),EN$26,0),0),IF(AND(EJ$26&lt;&gt;"",EJ$23&lt;&gt;""),IF(EOMONTH($EH$3+INT((DAY(EOMONTH($EH$3,0))-1)/2)+EJ$23,0)=EOMONTH($BR$3,0),EJ$26,0),0),IF(AND(EF$26&lt;&gt;"",EF$23&lt;&gt;""),IF(EOMONTH($ED$3+INT((DAY(EOMONTH($ED$3,0))-1)/2)+EF$23,0)=EOMONTH($BR$3,0),EF$26,0),0),IF(AND(EB$26&lt;&gt;"",EB$23&lt;&gt;""),IF(EOMONTH($DZ$3+INT((DAY(EOMONTH($DZ$3,0))-1)/2)+EB$23,0)=EOMONTH($BR$3,0),EB$26,0),0),IF(AND(DX$26&lt;&gt;"",DX$23&lt;&gt;""),IF(EOMONTH($DV$3+INT((DAY(EOMONTH($DV$3,0))-1)/2)+DX$23,0)=EOMONTH($BR$3,0),DX$26,0),0),IF(AND(DT$26&lt;&gt;"",DT$23&lt;&gt;""),IF(EOMONTH($DR$3+INT((DAY(EOMONTH($DR$3,0))-1)/2)+DT$23,0)=EOMONTH($BR$3,0),DT$26,0),0),IF(AND(DP$26&lt;&gt;"",DP$23&lt;&gt;""),IF(EOMONTH($DN$3+INT((DAY(EOMONTH($DN$3,0))-1)/2)+DP$23,0)=EOMONTH($BR$3,0),DP$26,0),0),IF(AND(DL$26&lt;&gt;"",DL$23&lt;&gt;""),IF(EOMONTH($DJ$3+INT((DAY(EOMONTH($DJ$3,0))-1)/2)+DL$23,0)=EOMONTH($BR$3,0),DL$26,0),0),IF(AND(DH$26&lt;&gt;"",DH$23&lt;&gt;""),IF(EOMONTH($DF$3+INT((DAY(EOMONTH($DF$3,0))-1)/2)+DH$23,0)=EOMONTH($BR$3,0),DH$26,0),0),IF(AND(DD$26&lt;&gt;"",DD$23&lt;&gt;""),IF(EOMONTH($DB$3+INT((DAY(EOMONTH($DB$3,0))-1)/2)+DD$23,0)=EOMONTH($BR$3,0),DD$26,0),0),IF(AND(CZ$26&lt;&gt;"",CZ$23&lt;&gt;""),IF(EOMONTH($CX$3+INT((DAY(EOMONTH($CX$3,0))-1)/2)+CZ$23,0)=EOMONTH($BR$3,0),CZ$26,0),0),IF(AND(CV$26&lt;&gt;"",CV$23&lt;&gt;""),IF(EOMONTH($CT$3+INT((DAY(EOMONTH($CT$3,0))-1)/2)+CV$23,0)=EOMONTH($BR$3,0),CV$26,0),0),IF(AND(CR$26&lt;&gt;"",CR$23&lt;&gt;""),IF(EOMONTH($CP$3+INT((DAY(EOMONTH($CP$3,0))-1)/2)+CR$23,0)=EOMONTH($BR$3,0),CR$26,0),0),IF(AND(CN$26&lt;&gt;"",CN$23&lt;&gt;""),IF(EOMONTH($CL$3+INT((DAY(EOMONTH($CL$3,0))-1)/2)+CN$23,0)=EOMONTH($BR$3,0),CN$26,0),0),IF(AND(CJ$26&lt;&gt;"",CJ$23&lt;&gt;""),IF(EOMONTH($CH$3+INT((DAY(EOMONTH($CH$3,0))-1)/2)+CJ$23,0)=EOMONTH($BR$3,0),CJ$26,0),0),IF(AND(CF$26&lt;&gt;"",CF$23&lt;&gt;""),IF(EOMONTH($CD$3+INT((DAY(EOMONTH($CD$3,0))-1)/2)+CF$23,0)=EOMONTH($BR$3,0),CF$26,0),0),IF(AND(CB$26&lt;&gt;"",CB$23&lt;&gt;""),IF(EOMONTH($BZ$3+INT((DAY(EOMONTH($BZ$3,0))-1)/2)+CB$23,0)=EOMONTH($BR$3,0),CB$26,0),0),IF(AND(BX$26&lt;&gt;"",BX$23&lt;&gt;""),IF(EOMONTH($BV$3+INT((DAY(EOMONTH($BV$3,0))-1)/2)+BX$23,0)=EOMONTH($BR$3,0),BX$26,0),0),IF(AND(BT$26&lt;&gt;"",BT$23&lt;&gt;""),IF(EOMONTH($BR$3+INT((DAY(EOMONTH($BR$3,0))-1)/2)+BT$23,0)=EOMONTH($BR$3,0),BT$26,0),0),IF(AND(BP$26&lt;&gt;"",BP$23&lt;&gt;""),IF(EOMONTH($BN$3+INT((DAY(EOMONTH($BN$3,0))-1)/2)+BP$23,0)=EOMONTH($BR$3,0),BP$26,0),0),IF(AND(BL$26&lt;&gt;"",BL$23&lt;&gt;""),IF(EOMONTH($BJ$3+INT((DAY(EOMONTH($BJ$3,0))-1)/2)+BL$23,0)=EOMONTH($BR$3,0),BL$26,0),0),IF(AND(BH$26&lt;&gt;"",BH$23&lt;&gt;""),IF(EOMONTH($BF$3+INT((DAY(EOMONTH($BF$3,0))-1)/2)+BH$23,0)=EOMONTH($BR$3,0),BH$26,0),0),IF(AND(BD$26&lt;&gt;"",BD$23&lt;&gt;""),IF(EOMONTH($BB$3+INT((DAY(EOMONTH($BB$3,0))-1)/2)+BD$23,0)=EOMONTH($BR$3,0),BD$26,0),0),IF(AND(AZ$26&lt;&gt;"",AZ$23&lt;&gt;""),IF(EOMONTH($AX$3+INT((DAY(EOMONTH($AX$3,0))-1)/2)+AZ$23,0)=EOMONTH($BR$3,0),AZ$26,0),0),IF(AND(AV$26&lt;&gt;"",AV$23&lt;&gt;""),IF(EOMONTH($AT$3+INT((DAY(EOMONTH($AT$3,0))-1)/2)+AV$23,0)=EOMONTH($BR$3,0),AV$26,0),0),IF(AND(AR$26&lt;&gt;"",AR$23&lt;&gt;""),IF(EOMONTH($AP$3+INT((DAY(EOMONTH($AP$3,0))-1)/2)+AR$23,0)=EOMONTH($BR$3,0),AR$26,0),0),IF(AND(AN$26&lt;&gt;"",AN$23&lt;&gt;""),IF(EOMONTH($AL$3+INT((DAY(EOMONTH($AL$3,0))-1)/2)+AN$23,0)=EOMONTH($BR$3,0),AN$26,0),0),IF(AND(AJ$26&lt;&gt;"",AJ$23&lt;&gt;""),IF(EOMONTH($AH$3+INT((DAY(EOMONTH($AH$3,0))-1)/2)+AJ$23,0)=EOMONTH($BR$3,0),AJ$26,0),0),IF(AND(AF$26&lt;&gt;"",AF$23&lt;&gt;""),IF(EOMONTH($AD$3+INT((DAY(EOMONTH($AD$3,0))-1)/2)+AF$23,0)=EOMONTH($BR$3,0),AF$26,0),0),IF(AND(AB$26&lt;&gt;"",AB$23&lt;&gt;""),IF(EOMONTH($Z$3+INT((DAY(EOMONTH($Z$3,0))-1)/2)+AB$23,0)=EOMONTH($BR$3,0),AB$26,0),0),IF(AND(X$26&lt;&gt;"",X$23&lt;&gt;""),IF(EOMONTH($V$3+INT((DAY(EOMONTH($V$3,0))-1)/2)+X$23,0)=EOMONTH($BR$3,0),X$26,0),0),IF(AND(T$26&lt;&gt;"",T$23&lt;&gt;""),IF(EOMONTH($R$3+INT((DAY(EOMONTH($R$3,0))-1)/2)+T$23,0)=EOMONTH($BR$3,0),T$26,0),0),IF(AND(P$26&lt;&gt;"",P$23&lt;&gt;""),IF(EOMONTH($N$3+INT((DAY(EOMONTH($N$3,0))-1)/2)+P$23,0)=EOMONTH($BR$3,0),P$26,0),0),IF(AND(L$26&lt;&gt;"",L$23&lt;&gt;""),IF(EOMONTH($J$3+INT((DAY(EOMONTH($J$3,0))-1)/2)+L$23,0)=EOMONTH($BR$3,0),L$26,0),0),IF(AND(H$26&lt;&gt;"",H$23&lt;&gt;""),IF(EOMONTH($F$3+INT((DAY(EOMONTH($F$3,0))-1)/2)+H$23,0)=EOMONTH($BR$3,0),H$26,0),0),IF($EP$75="",0,IF(EOMONTH($EP$75+ER$23,0)=EOMONTH($BR$3,0),$EP$78*ER$13,0))),0)</f>
        <v>0</v>
      </c>
      <c r="BU57" s="33">
        <f t="shared" ref="BU57:BU70" si="734">IFERROR(IF(OR(BS57="",BT57=""),"",BS57-BT57),"")</f>
        <v>0</v>
      </c>
      <c r="BV57" s="34"/>
      <c r="BW57" s="31">
        <f>IF(BV$98=1,BV57,ROUND(SUM(IF(AND(EQ$26&lt;&gt;"",EQ$23&lt;&gt;""),IF(EOMONTH($EP$3+INT((DAY(EOMONTH($EP$3,0))-1)/2)+EQ$23,0)=EOMONTH($BV$3,0),EQ$26,0),0),IF(AND(EM$26&lt;&gt;"",EM$23&lt;&gt;""),IF(EOMONTH($EL$3+INT((DAY(EOMONTH($EL$3,0))-1)/2)+EM$23,0)=EOMONTH($BV$3,0),EM$26,0),0),IF(AND(EI$26&lt;&gt;"",EI$23&lt;&gt;""),IF(EOMONTH($EH$3+INT((DAY(EOMONTH($EH$3,0))-1)/2)+EI$23,0)=EOMONTH($BV$3,0),EI$26,0),0),IF(AND(EE$26&lt;&gt;"",EE$23&lt;&gt;""),IF(EOMONTH($ED$3+INT((DAY(EOMONTH($ED$3,0))-1)/2)+EE$23,0)=EOMONTH($BV$3,0),EE$26,0),0),IF(AND(EA$26&lt;&gt;"",EA$23&lt;&gt;""),IF(EOMONTH($DZ$3+INT((DAY(EOMONTH($DZ$3,0))-1)/2)+EA$23,0)=EOMONTH($BV$3,0),EA$26,0),0),IF(AND(DW$26&lt;&gt;"",DW$23&lt;&gt;""),IF(EOMONTH($DV$3+INT((DAY(EOMONTH($DV$3,0))-1)/2)+DW$23,0)=EOMONTH($BV$3,0),DW$26,0),0),IF(AND(DS$26&lt;&gt;"",DS$23&lt;&gt;""),IF(EOMONTH($DR$3+INT((DAY(EOMONTH($DR$3,0))-1)/2)+DS$23,0)=EOMONTH($BV$3,0),DS$26,0),0),IF(AND(DO$26&lt;&gt;"",DO$23&lt;&gt;""),IF(EOMONTH($DN$3+INT((DAY(EOMONTH($DN$3,0))-1)/2)+DO$23,0)=EOMONTH($BV$3,0),DO$26,0),0),IF(AND(DK$26&lt;&gt;"",DK$23&lt;&gt;""),IF(EOMONTH($DJ$3+INT((DAY(EOMONTH($DJ$3,0))-1)/2)+DK$23,0)=EOMONTH($BV$3,0),DK$26,0),0),IF(AND(DG$26&lt;&gt;"",DG$23&lt;&gt;""),IF(EOMONTH($DF$3+INT((DAY(EOMONTH($DF$3,0))-1)/2)+DG$23,0)=EOMONTH($BV$3,0),DG$26,0),0),IF(AND(DC$26&lt;&gt;"",DC$23&lt;&gt;""),IF(EOMONTH($DB$3+INT((DAY(EOMONTH($DB$3,0))-1)/2)+DC$23,0)=EOMONTH($BV$3,0),DC$26,0),0),IF(AND(CY$26&lt;&gt;"",CY$23&lt;&gt;""),IF(EOMONTH($CX$3+INT((DAY(EOMONTH($CX$3,0))-1)/2)+CY$23,0)=EOMONTH($BV$3,0),CY$26,0),0),IF(AND(CU$26&lt;&gt;"",CU$23&lt;&gt;""),IF(EOMONTH($CT$3+INT((DAY(EOMONTH($CT$3,0))-1)/2)+CU$23,0)=EOMONTH($BV$3,0),CU$26,0),0),IF(AND(CQ$26&lt;&gt;"",CQ$23&lt;&gt;""),IF(EOMONTH($CP$3+INT((DAY(EOMONTH($CP$3,0))-1)/2)+CQ$23,0)=EOMONTH($BV$3,0),CQ$26,0),0),IF(AND(CM$26&lt;&gt;"",CM$23&lt;&gt;""),IF(EOMONTH($CL$3+INT((DAY(EOMONTH($CL$3,0))-1)/2)+CM$23,0)=EOMONTH($BV$3,0),CM$26,0),0),IF(AND(CI$26&lt;&gt;"",CI$23&lt;&gt;""),IF(EOMONTH($CH$3+INT((DAY(EOMONTH($CH$3,0))-1)/2)+CI$23,0)=EOMONTH($BV$3,0),CI$26,0),0),IF(AND(CE$26&lt;&gt;"",CE$23&lt;&gt;""),IF(EOMONTH($CD$3+INT((DAY(EOMONTH($CD$3,0))-1)/2)+CE$23,0)=EOMONTH($BV$3,0),CE$26,0),0),IF(AND(CA$26&lt;&gt;"",CA$23&lt;&gt;""),IF(EOMONTH($BZ$3+INT((DAY(EOMONTH($BZ$3,0))-1)/2)+CA$23,0)=EOMONTH($BV$3,0),CA$26,0),0),IF(AND(BW$26&lt;&gt;"",BW$23&lt;&gt;""),IF(EOMONTH($BV$3+INT((DAY(EOMONTH($BV$3,0))-1)/2)+BW$23,0)=EOMONTH($BV$3,0),BW$26,0),0),IF(AND(BS$26&lt;&gt;"",BS$23&lt;&gt;""),IF(EOMONTH($BR$3+INT((DAY(EOMONTH($BR$3,0))-1)/2)+BS$23,0)=EOMONTH($BV$3,0),BS$26,0),0),IF(AND(BO$26&lt;&gt;"",BO$23&lt;&gt;""),IF(EOMONTH($BN$3+INT((DAY(EOMONTH($BN$3,0))-1)/2)+BO$23,0)=EOMONTH($BV$3,0),BO$26,0),0),IF(AND(BK$26&lt;&gt;"",BK$23&lt;&gt;""),IF(EOMONTH($BJ$3+INT((DAY(EOMONTH($BJ$3,0))-1)/2)+BK$23,0)=EOMONTH($BV$3,0),BK$26,0),0),IF(AND(BG$26&lt;&gt;"",BG$23&lt;&gt;""),IF(EOMONTH($BF$3+INT((DAY(EOMONTH($BF$3,0))-1)/2)+BG$23,0)=EOMONTH($BV$3,0),BG$26,0),0),IF(AND(BC$26&lt;&gt;"",BC$23&lt;&gt;""),IF(EOMONTH($BB$3+INT((DAY(EOMONTH($BB$3,0))-1)/2)+BC$23,0)=EOMONTH($BV$3,0),BC$26,0),0),IF(AND(AY$26&lt;&gt;"",AY$23&lt;&gt;""),IF(EOMONTH($AX$3+INT((DAY(EOMONTH($AX$3,0))-1)/2)+AY$23,0)=EOMONTH($BV$3,0),AY$26,0),0),IF(AND(AU$26&lt;&gt;"",AU$23&lt;&gt;""),IF(EOMONTH($AT$3+INT((DAY(EOMONTH($AT$3,0))-1)/2)+AU$23,0)=EOMONTH($BV$3,0),AU$26,0),0),IF(AND(AQ$26&lt;&gt;"",AQ$23&lt;&gt;""),IF(EOMONTH($AP$3+INT((DAY(EOMONTH($AP$3,0))-1)/2)+AQ$23,0)=EOMONTH($BV$3,0),AQ$26,0),0),IF(AND(AM$26&lt;&gt;"",AM$23&lt;&gt;""),IF(EOMONTH($AL$3+INT((DAY(EOMONTH($AL$3,0))-1)/2)+AM$23,0)=EOMONTH($BV$3,0),AM$26,0),0),IF(AND(AI$26&lt;&gt;"",AI$23&lt;&gt;""),IF(EOMONTH($AH$3+INT((DAY(EOMONTH($AH$3,0))-1)/2)+AI$23,0)=EOMONTH($BV$3,0),AI$26,0),0),IF(AND(AE$26&lt;&gt;"",AE$23&lt;&gt;""),IF(EOMONTH($AD$3+INT((DAY(EOMONTH($AD$3,0))-1)/2)+AE$23,0)=EOMONTH($BV$3,0),AE$26,0),0),IF(AND(AA$26&lt;&gt;"",AA$23&lt;&gt;""),IF(EOMONTH($Z$3+INT((DAY(EOMONTH($Z$3,0))-1)/2)+AA$23,0)=EOMONTH($BV$3,0),AA$26,0),0),IF(AND(W$26&lt;&gt;"",W$23&lt;&gt;""),IF(EOMONTH($V$3+INT((DAY(EOMONTH($V$3,0))-1)/2)+W$23,0)=EOMONTH($BV$3,0),W$26,0),0),IF(AND(S$26&lt;&gt;"",S$23&lt;&gt;""),IF(EOMONTH($R$3+INT((DAY(EOMONTH($R$3,0))-1)/2)+S$23,0)=EOMONTH($BV$3,0),S$26,0),0),IF(AND(O$26&lt;&gt;"",O$23&lt;&gt;""),IF(EOMONTH($N$3+INT((DAY(EOMONTH($N$3,0))-1)/2)+O$23,0)=EOMONTH($BV$3,0),O$26,0),0),IF(AND(K$26&lt;&gt;"",K$23&lt;&gt;""),IF(EOMONTH($J$3+INT((DAY(EOMONTH($J$3,0))-1)/2)+K$23,0)=EOMONTH($BV$3,0),K$26,0),0),IF(AND(G$26&lt;&gt;"",G$23&lt;&gt;""),IF(EOMONTH($F$3+INT((DAY(EOMONTH($F$3,0))-1)/2)+G$23,0)=EOMONTH($BV$3,0),G$26,0),0),IF($EP$75="",0,IF(EOMONTH($EP$75+EQ$23,0)=EOMONTH($BV$3,0),$EP$78*EQ$13,0))),0))</f>
        <v>0</v>
      </c>
      <c r="BX57" s="32">
        <f>ROUND(SUM(IF(AND(ER$26&lt;&gt;"",ER$23&lt;&gt;""),IF(EOMONTH($EP$3+INT((DAY(EOMONTH($EP$3,0))-1)/2)+ER$23,0)=EOMONTH($BV$3,0),ER$26,0),0),IF(AND(EN$26&lt;&gt;"",EN$23&lt;&gt;""),IF(EOMONTH($EL$3+INT((DAY(EOMONTH($EL$3,0))-1)/2)+EN$23,0)=EOMONTH($BV$3,0),EN$26,0),0),IF(AND(EJ$26&lt;&gt;"",EJ$23&lt;&gt;""),IF(EOMONTH($EH$3+INT((DAY(EOMONTH($EH$3,0))-1)/2)+EJ$23,0)=EOMONTH($BV$3,0),EJ$26,0),0),IF(AND(EF$26&lt;&gt;"",EF$23&lt;&gt;""),IF(EOMONTH($ED$3+INT((DAY(EOMONTH($ED$3,0))-1)/2)+EF$23,0)=EOMONTH($BV$3,0),EF$26,0),0),IF(AND(EB$26&lt;&gt;"",EB$23&lt;&gt;""),IF(EOMONTH($DZ$3+INT((DAY(EOMONTH($DZ$3,0))-1)/2)+EB$23,0)=EOMONTH($BV$3,0),EB$26,0),0),IF(AND(DX$26&lt;&gt;"",DX$23&lt;&gt;""),IF(EOMONTH($DV$3+INT((DAY(EOMONTH($DV$3,0))-1)/2)+DX$23,0)=EOMONTH($BV$3,0),DX$26,0),0),IF(AND(DT$26&lt;&gt;"",DT$23&lt;&gt;""),IF(EOMONTH($DR$3+INT((DAY(EOMONTH($DR$3,0))-1)/2)+DT$23,0)=EOMONTH($BV$3,0),DT$26,0),0),IF(AND(DP$26&lt;&gt;"",DP$23&lt;&gt;""),IF(EOMONTH($DN$3+INT((DAY(EOMONTH($DN$3,0))-1)/2)+DP$23,0)=EOMONTH($BV$3,0),DP$26,0),0),IF(AND(DL$26&lt;&gt;"",DL$23&lt;&gt;""),IF(EOMONTH($DJ$3+INT((DAY(EOMONTH($DJ$3,0))-1)/2)+DL$23,0)=EOMONTH($BV$3,0),DL$26,0),0),IF(AND(DH$26&lt;&gt;"",DH$23&lt;&gt;""),IF(EOMONTH($DF$3+INT((DAY(EOMONTH($DF$3,0))-1)/2)+DH$23,0)=EOMONTH($BV$3,0),DH$26,0),0),IF(AND(DD$26&lt;&gt;"",DD$23&lt;&gt;""),IF(EOMONTH($DB$3+INT((DAY(EOMONTH($DB$3,0))-1)/2)+DD$23,0)=EOMONTH($BV$3,0),DD$26,0),0),IF(AND(CZ$26&lt;&gt;"",CZ$23&lt;&gt;""),IF(EOMONTH($CX$3+INT((DAY(EOMONTH($CX$3,0))-1)/2)+CZ$23,0)=EOMONTH($BV$3,0),CZ$26,0),0),IF(AND(CV$26&lt;&gt;"",CV$23&lt;&gt;""),IF(EOMONTH($CT$3+INT((DAY(EOMONTH($CT$3,0))-1)/2)+CV$23,0)=EOMONTH($BV$3,0),CV$26,0),0),IF(AND(CR$26&lt;&gt;"",CR$23&lt;&gt;""),IF(EOMONTH($CP$3+INT((DAY(EOMONTH($CP$3,0))-1)/2)+CR$23,0)=EOMONTH($BV$3,0),CR$26,0),0),IF(AND(CN$26&lt;&gt;"",CN$23&lt;&gt;""),IF(EOMONTH($CL$3+INT((DAY(EOMONTH($CL$3,0))-1)/2)+CN$23,0)=EOMONTH($BV$3,0),CN$26,0),0),IF(AND(CJ$26&lt;&gt;"",CJ$23&lt;&gt;""),IF(EOMONTH($CH$3+INT((DAY(EOMONTH($CH$3,0))-1)/2)+CJ$23,0)=EOMONTH($BV$3,0),CJ$26,0),0),IF(AND(CF$26&lt;&gt;"",CF$23&lt;&gt;""),IF(EOMONTH($CD$3+INT((DAY(EOMONTH($CD$3,0))-1)/2)+CF$23,0)=EOMONTH($BV$3,0),CF$26,0),0),IF(AND(CB$26&lt;&gt;"",CB$23&lt;&gt;""),IF(EOMONTH($BZ$3+INT((DAY(EOMONTH($BZ$3,0))-1)/2)+CB$23,0)=EOMONTH($BV$3,0),CB$26,0),0),IF(AND(BX$26&lt;&gt;"",BX$23&lt;&gt;""),IF(EOMONTH($BV$3+INT((DAY(EOMONTH($BV$3,0))-1)/2)+BX$23,0)=EOMONTH($BV$3,0),BX$26,0),0),IF(AND(BT$26&lt;&gt;"",BT$23&lt;&gt;""),IF(EOMONTH($BR$3+INT((DAY(EOMONTH($BR$3,0))-1)/2)+BT$23,0)=EOMONTH($BV$3,0),BT$26,0),0),IF(AND(BP$26&lt;&gt;"",BP$23&lt;&gt;""),IF(EOMONTH($BN$3+INT((DAY(EOMONTH($BN$3,0))-1)/2)+BP$23,0)=EOMONTH($BV$3,0),BP$26,0),0),IF(AND(BL$26&lt;&gt;"",BL$23&lt;&gt;""),IF(EOMONTH($BJ$3+INT((DAY(EOMONTH($BJ$3,0))-1)/2)+BL$23,0)=EOMONTH($BV$3,0),BL$26,0),0),IF(AND(BH$26&lt;&gt;"",BH$23&lt;&gt;""),IF(EOMONTH($BF$3+INT((DAY(EOMONTH($BF$3,0))-1)/2)+BH$23,0)=EOMONTH($BV$3,0),BH$26,0),0),IF(AND(BD$26&lt;&gt;"",BD$23&lt;&gt;""),IF(EOMONTH($BB$3+INT((DAY(EOMONTH($BB$3,0))-1)/2)+BD$23,0)=EOMONTH($BV$3,0),BD$26,0),0),IF(AND(AZ$26&lt;&gt;"",AZ$23&lt;&gt;""),IF(EOMONTH($AX$3+INT((DAY(EOMONTH($AX$3,0))-1)/2)+AZ$23,0)=EOMONTH($BV$3,0),AZ$26,0),0),IF(AND(AV$26&lt;&gt;"",AV$23&lt;&gt;""),IF(EOMONTH($AT$3+INT((DAY(EOMONTH($AT$3,0))-1)/2)+AV$23,0)=EOMONTH($BV$3,0),AV$26,0),0),IF(AND(AR$26&lt;&gt;"",AR$23&lt;&gt;""),IF(EOMONTH($AP$3+INT((DAY(EOMONTH($AP$3,0))-1)/2)+AR$23,0)=EOMONTH($BV$3,0),AR$26,0),0),IF(AND(AN$26&lt;&gt;"",AN$23&lt;&gt;""),IF(EOMONTH($AL$3+INT((DAY(EOMONTH($AL$3,0))-1)/2)+AN$23,0)=EOMONTH($BV$3,0),AN$26,0),0),IF(AND(AJ$26&lt;&gt;"",AJ$23&lt;&gt;""),IF(EOMONTH($AH$3+INT((DAY(EOMONTH($AH$3,0))-1)/2)+AJ$23,0)=EOMONTH($BV$3,0),AJ$26,0),0),IF(AND(AF$26&lt;&gt;"",AF$23&lt;&gt;""),IF(EOMONTH($AD$3+INT((DAY(EOMONTH($AD$3,0))-1)/2)+AF$23,0)=EOMONTH($BV$3,0),AF$26,0),0),IF(AND(AB$26&lt;&gt;"",AB$23&lt;&gt;""),IF(EOMONTH($Z$3+INT((DAY(EOMONTH($Z$3,0))-1)/2)+AB$23,0)=EOMONTH($BV$3,0),AB$26,0),0),IF(AND(X$26&lt;&gt;"",X$23&lt;&gt;""),IF(EOMONTH($V$3+INT((DAY(EOMONTH($V$3,0))-1)/2)+X$23,0)=EOMONTH($BV$3,0),X$26,0),0),IF(AND(T$26&lt;&gt;"",T$23&lt;&gt;""),IF(EOMONTH($R$3+INT((DAY(EOMONTH($R$3,0))-1)/2)+T$23,0)=EOMONTH($BV$3,0),T$26,0),0),IF(AND(P$26&lt;&gt;"",P$23&lt;&gt;""),IF(EOMONTH($N$3+INT((DAY(EOMONTH($N$3,0))-1)/2)+P$23,0)=EOMONTH($BV$3,0),P$26,0),0),IF(AND(L$26&lt;&gt;"",L$23&lt;&gt;""),IF(EOMONTH($J$3+INT((DAY(EOMONTH($J$3,0))-1)/2)+L$23,0)=EOMONTH($BV$3,0),L$26,0),0),IF(AND(H$26&lt;&gt;"",H$23&lt;&gt;""),IF(EOMONTH($F$3+INT((DAY(EOMONTH($F$3,0))-1)/2)+H$23,0)=EOMONTH($BV$3,0),H$26,0),0),IF($EP$75="",0,IF(EOMONTH($EP$75+ER$23,0)=EOMONTH($BV$3,0),$EP$78*ER$13,0))),0)</f>
        <v>0</v>
      </c>
      <c r="BY57" s="33">
        <f t="shared" ref="BY57:BY70" si="736">IFERROR(IF(OR(BW57="",BX57=""),"",BW57-BX57),"")</f>
        <v>0</v>
      </c>
      <c r="BZ57" s="34"/>
      <c r="CA57" s="31">
        <f>IF(BZ$98=1,BZ57,ROUND(SUM(IF(AND(EQ$26&lt;&gt;"",EQ$23&lt;&gt;""),IF(EOMONTH($EP$3+INT((DAY(EOMONTH($EP$3,0))-1)/2)+EQ$23,0)=EOMONTH($BZ$3,0),EQ$26,0),0),IF(AND(EM$26&lt;&gt;"",EM$23&lt;&gt;""),IF(EOMONTH($EL$3+INT((DAY(EOMONTH($EL$3,0))-1)/2)+EM$23,0)=EOMONTH($BZ$3,0),EM$26,0),0),IF(AND(EI$26&lt;&gt;"",EI$23&lt;&gt;""),IF(EOMONTH($EH$3+INT((DAY(EOMONTH($EH$3,0))-1)/2)+EI$23,0)=EOMONTH($BZ$3,0),EI$26,0),0),IF(AND(EE$26&lt;&gt;"",EE$23&lt;&gt;""),IF(EOMONTH($ED$3+INT((DAY(EOMONTH($ED$3,0))-1)/2)+EE$23,0)=EOMONTH($BZ$3,0),EE$26,0),0),IF(AND(EA$26&lt;&gt;"",EA$23&lt;&gt;""),IF(EOMONTH($DZ$3+INT((DAY(EOMONTH($DZ$3,0))-1)/2)+EA$23,0)=EOMONTH($BZ$3,0),EA$26,0),0),IF(AND(DW$26&lt;&gt;"",DW$23&lt;&gt;""),IF(EOMONTH($DV$3+INT((DAY(EOMONTH($DV$3,0))-1)/2)+DW$23,0)=EOMONTH($BZ$3,0),DW$26,0),0),IF(AND(DS$26&lt;&gt;"",DS$23&lt;&gt;""),IF(EOMONTH($DR$3+INT((DAY(EOMONTH($DR$3,0))-1)/2)+DS$23,0)=EOMONTH($BZ$3,0),DS$26,0),0),IF(AND(DO$26&lt;&gt;"",DO$23&lt;&gt;""),IF(EOMONTH($DN$3+INT((DAY(EOMONTH($DN$3,0))-1)/2)+DO$23,0)=EOMONTH($BZ$3,0),DO$26,0),0),IF(AND(DK$26&lt;&gt;"",DK$23&lt;&gt;""),IF(EOMONTH($DJ$3+INT((DAY(EOMONTH($DJ$3,0))-1)/2)+DK$23,0)=EOMONTH($BZ$3,0),DK$26,0),0),IF(AND(DG$26&lt;&gt;"",DG$23&lt;&gt;""),IF(EOMONTH($DF$3+INT((DAY(EOMONTH($DF$3,0))-1)/2)+DG$23,0)=EOMONTH($BZ$3,0),DG$26,0),0),IF(AND(DC$26&lt;&gt;"",DC$23&lt;&gt;""),IF(EOMONTH($DB$3+INT((DAY(EOMONTH($DB$3,0))-1)/2)+DC$23,0)=EOMONTH($BZ$3,0),DC$26,0),0),IF(AND(CY$26&lt;&gt;"",CY$23&lt;&gt;""),IF(EOMONTH($CX$3+INT((DAY(EOMONTH($CX$3,0))-1)/2)+CY$23,0)=EOMONTH($BZ$3,0),CY$26,0),0),IF(AND(CU$26&lt;&gt;"",CU$23&lt;&gt;""),IF(EOMONTH($CT$3+INT((DAY(EOMONTH($CT$3,0))-1)/2)+CU$23,0)=EOMONTH($BZ$3,0),CU$26,0),0),IF(AND(CQ$26&lt;&gt;"",CQ$23&lt;&gt;""),IF(EOMONTH($CP$3+INT((DAY(EOMONTH($CP$3,0))-1)/2)+CQ$23,0)=EOMONTH($BZ$3,0),CQ$26,0),0),IF(AND(CM$26&lt;&gt;"",CM$23&lt;&gt;""),IF(EOMONTH($CL$3+INT((DAY(EOMONTH($CL$3,0))-1)/2)+CM$23,0)=EOMONTH($BZ$3,0),CM$26,0),0),IF(AND(CI$26&lt;&gt;"",CI$23&lt;&gt;""),IF(EOMONTH($CH$3+INT((DAY(EOMONTH($CH$3,0))-1)/2)+CI$23,0)=EOMONTH($BZ$3,0),CI$26,0),0),IF(AND(CE$26&lt;&gt;"",CE$23&lt;&gt;""),IF(EOMONTH($CD$3+INT((DAY(EOMONTH($CD$3,0))-1)/2)+CE$23,0)=EOMONTH($BZ$3,0),CE$26,0),0),IF(AND(CA$26&lt;&gt;"",CA$23&lt;&gt;""),IF(EOMONTH($BZ$3+INT((DAY(EOMONTH($BZ$3,0))-1)/2)+CA$23,0)=EOMONTH($BZ$3,0),CA$26,0),0),IF(AND(BW$26&lt;&gt;"",BW$23&lt;&gt;""),IF(EOMONTH($BV$3+INT((DAY(EOMONTH($BV$3,0))-1)/2)+BW$23,0)=EOMONTH($BZ$3,0),BW$26,0),0),IF(AND(BS$26&lt;&gt;"",BS$23&lt;&gt;""),IF(EOMONTH($BR$3+INT((DAY(EOMONTH($BR$3,0))-1)/2)+BS$23,0)=EOMONTH($BZ$3,0),BS$26,0),0),IF(AND(BO$26&lt;&gt;"",BO$23&lt;&gt;""),IF(EOMONTH($BN$3+INT((DAY(EOMONTH($BN$3,0))-1)/2)+BO$23,0)=EOMONTH($BZ$3,0),BO$26,0),0),IF(AND(BK$26&lt;&gt;"",BK$23&lt;&gt;""),IF(EOMONTH($BJ$3+INT((DAY(EOMONTH($BJ$3,0))-1)/2)+BK$23,0)=EOMONTH($BZ$3,0),BK$26,0),0),IF(AND(BG$26&lt;&gt;"",BG$23&lt;&gt;""),IF(EOMONTH($BF$3+INT((DAY(EOMONTH($BF$3,0))-1)/2)+BG$23,0)=EOMONTH($BZ$3,0),BG$26,0),0),IF(AND(BC$26&lt;&gt;"",BC$23&lt;&gt;""),IF(EOMONTH($BB$3+INT((DAY(EOMONTH($BB$3,0))-1)/2)+BC$23,0)=EOMONTH($BZ$3,0),BC$26,0),0),IF(AND(AY$26&lt;&gt;"",AY$23&lt;&gt;""),IF(EOMONTH($AX$3+INT((DAY(EOMONTH($AX$3,0))-1)/2)+AY$23,0)=EOMONTH($BZ$3,0),AY$26,0),0),IF(AND(AU$26&lt;&gt;"",AU$23&lt;&gt;""),IF(EOMONTH($AT$3+INT((DAY(EOMONTH($AT$3,0))-1)/2)+AU$23,0)=EOMONTH($BZ$3,0),AU$26,0),0),IF(AND(AQ$26&lt;&gt;"",AQ$23&lt;&gt;""),IF(EOMONTH($AP$3+INT((DAY(EOMONTH($AP$3,0))-1)/2)+AQ$23,0)=EOMONTH($BZ$3,0),AQ$26,0),0),IF(AND(AM$26&lt;&gt;"",AM$23&lt;&gt;""),IF(EOMONTH($AL$3+INT((DAY(EOMONTH($AL$3,0))-1)/2)+AM$23,0)=EOMONTH($BZ$3,0),AM$26,0),0),IF(AND(AI$26&lt;&gt;"",AI$23&lt;&gt;""),IF(EOMONTH($AH$3+INT((DAY(EOMONTH($AH$3,0))-1)/2)+AI$23,0)=EOMONTH($BZ$3,0),AI$26,0),0),IF(AND(AE$26&lt;&gt;"",AE$23&lt;&gt;""),IF(EOMONTH($AD$3+INT((DAY(EOMONTH($AD$3,0))-1)/2)+AE$23,0)=EOMONTH($BZ$3,0),AE$26,0),0),IF(AND(AA$26&lt;&gt;"",AA$23&lt;&gt;""),IF(EOMONTH($Z$3+INT((DAY(EOMONTH($Z$3,0))-1)/2)+AA$23,0)=EOMONTH($BZ$3,0),AA$26,0),0),IF(AND(W$26&lt;&gt;"",W$23&lt;&gt;""),IF(EOMONTH($V$3+INT((DAY(EOMONTH($V$3,0))-1)/2)+W$23,0)=EOMONTH($BZ$3,0),W$26,0),0),IF(AND(S$26&lt;&gt;"",S$23&lt;&gt;""),IF(EOMONTH($R$3+INT((DAY(EOMONTH($R$3,0))-1)/2)+S$23,0)=EOMONTH($BZ$3,0),S$26,0),0),IF(AND(O$26&lt;&gt;"",O$23&lt;&gt;""),IF(EOMONTH($N$3+INT((DAY(EOMONTH($N$3,0))-1)/2)+O$23,0)=EOMONTH($BZ$3,0),O$26,0),0),IF(AND(K$26&lt;&gt;"",K$23&lt;&gt;""),IF(EOMONTH($J$3+INT((DAY(EOMONTH($J$3,0))-1)/2)+K$23,0)=EOMONTH($BZ$3,0),K$26,0),0),IF(AND(G$26&lt;&gt;"",G$23&lt;&gt;""),IF(EOMONTH($F$3+INT((DAY(EOMONTH($F$3,0))-1)/2)+G$23,0)=EOMONTH($BZ$3,0),G$26,0),0),IF($EP$75="",0,IF(EOMONTH($EP$75+EQ$23,0)=EOMONTH($BZ$3,0),$EP$78*EQ$13,0))),0))</f>
        <v>0</v>
      </c>
      <c r="CB57" s="32">
        <f>ROUND(SUM(IF(AND(ER$26&lt;&gt;"",ER$23&lt;&gt;""),IF(EOMONTH($EP$3+INT((DAY(EOMONTH($EP$3,0))-1)/2)+ER$23,0)=EOMONTH($BZ$3,0),ER$26,0),0),IF(AND(EN$26&lt;&gt;"",EN$23&lt;&gt;""),IF(EOMONTH($EL$3+INT((DAY(EOMONTH($EL$3,0))-1)/2)+EN$23,0)=EOMONTH($BZ$3,0),EN$26,0),0),IF(AND(EJ$26&lt;&gt;"",EJ$23&lt;&gt;""),IF(EOMONTH($EH$3+INT((DAY(EOMONTH($EH$3,0))-1)/2)+EJ$23,0)=EOMONTH($BZ$3,0),EJ$26,0),0),IF(AND(EF$26&lt;&gt;"",EF$23&lt;&gt;""),IF(EOMONTH($ED$3+INT((DAY(EOMONTH($ED$3,0))-1)/2)+EF$23,0)=EOMONTH($BZ$3,0),EF$26,0),0),IF(AND(EB$26&lt;&gt;"",EB$23&lt;&gt;""),IF(EOMONTH($DZ$3+INT((DAY(EOMONTH($DZ$3,0))-1)/2)+EB$23,0)=EOMONTH($BZ$3,0),EB$26,0),0),IF(AND(DX$26&lt;&gt;"",DX$23&lt;&gt;""),IF(EOMONTH($DV$3+INT((DAY(EOMONTH($DV$3,0))-1)/2)+DX$23,0)=EOMONTH($BZ$3,0),DX$26,0),0),IF(AND(DT$26&lt;&gt;"",DT$23&lt;&gt;""),IF(EOMONTH($DR$3+INT((DAY(EOMONTH($DR$3,0))-1)/2)+DT$23,0)=EOMONTH($BZ$3,0),DT$26,0),0),IF(AND(DP$26&lt;&gt;"",DP$23&lt;&gt;""),IF(EOMONTH($DN$3+INT((DAY(EOMONTH($DN$3,0))-1)/2)+DP$23,0)=EOMONTH($BZ$3,0),DP$26,0),0),IF(AND(DL$26&lt;&gt;"",DL$23&lt;&gt;""),IF(EOMONTH($DJ$3+INT((DAY(EOMONTH($DJ$3,0))-1)/2)+DL$23,0)=EOMONTH($BZ$3,0),DL$26,0),0),IF(AND(DH$26&lt;&gt;"",DH$23&lt;&gt;""),IF(EOMONTH($DF$3+INT((DAY(EOMONTH($DF$3,0))-1)/2)+DH$23,0)=EOMONTH($BZ$3,0),DH$26,0),0),IF(AND(DD$26&lt;&gt;"",DD$23&lt;&gt;""),IF(EOMONTH($DB$3+INT((DAY(EOMONTH($DB$3,0))-1)/2)+DD$23,0)=EOMONTH($BZ$3,0),DD$26,0),0),IF(AND(CZ$26&lt;&gt;"",CZ$23&lt;&gt;""),IF(EOMONTH($CX$3+INT((DAY(EOMONTH($CX$3,0))-1)/2)+CZ$23,0)=EOMONTH($BZ$3,0),CZ$26,0),0),IF(AND(CV$26&lt;&gt;"",CV$23&lt;&gt;""),IF(EOMONTH($CT$3+INT((DAY(EOMONTH($CT$3,0))-1)/2)+CV$23,0)=EOMONTH($BZ$3,0),CV$26,0),0),IF(AND(CR$26&lt;&gt;"",CR$23&lt;&gt;""),IF(EOMONTH($CP$3+INT((DAY(EOMONTH($CP$3,0))-1)/2)+CR$23,0)=EOMONTH($BZ$3,0),CR$26,0),0),IF(AND(CN$26&lt;&gt;"",CN$23&lt;&gt;""),IF(EOMONTH($CL$3+INT((DAY(EOMONTH($CL$3,0))-1)/2)+CN$23,0)=EOMONTH($BZ$3,0),CN$26,0),0),IF(AND(CJ$26&lt;&gt;"",CJ$23&lt;&gt;""),IF(EOMONTH($CH$3+INT((DAY(EOMONTH($CH$3,0))-1)/2)+CJ$23,0)=EOMONTH($BZ$3,0),CJ$26,0),0),IF(AND(CF$26&lt;&gt;"",CF$23&lt;&gt;""),IF(EOMONTH($CD$3+INT((DAY(EOMONTH($CD$3,0))-1)/2)+CF$23,0)=EOMONTH($BZ$3,0),CF$26,0),0),IF(AND(CB$26&lt;&gt;"",CB$23&lt;&gt;""),IF(EOMONTH($BZ$3+INT((DAY(EOMONTH($BZ$3,0))-1)/2)+CB$23,0)=EOMONTH($BZ$3,0),CB$26,0),0),IF(AND(BX$26&lt;&gt;"",BX$23&lt;&gt;""),IF(EOMONTH($BV$3+INT((DAY(EOMONTH($BV$3,0))-1)/2)+BX$23,0)=EOMONTH($BZ$3,0),BX$26,0),0),IF(AND(BT$26&lt;&gt;"",BT$23&lt;&gt;""),IF(EOMONTH($BR$3+INT((DAY(EOMONTH($BR$3,0))-1)/2)+BT$23,0)=EOMONTH($BZ$3,0),BT$26,0),0),IF(AND(BP$26&lt;&gt;"",BP$23&lt;&gt;""),IF(EOMONTH($BN$3+INT((DAY(EOMONTH($BN$3,0))-1)/2)+BP$23,0)=EOMONTH($BZ$3,0),BP$26,0),0),IF(AND(BL$26&lt;&gt;"",BL$23&lt;&gt;""),IF(EOMONTH($BJ$3+INT((DAY(EOMONTH($BJ$3,0))-1)/2)+BL$23,0)=EOMONTH($BZ$3,0),BL$26,0),0),IF(AND(BH$26&lt;&gt;"",BH$23&lt;&gt;""),IF(EOMONTH($BF$3+INT((DAY(EOMONTH($BF$3,0))-1)/2)+BH$23,0)=EOMONTH($BZ$3,0),BH$26,0),0),IF(AND(BD$26&lt;&gt;"",BD$23&lt;&gt;""),IF(EOMONTH($BB$3+INT((DAY(EOMONTH($BB$3,0))-1)/2)+BD$23,0)=EOMONTH($BZ$3,0),BD$26,0),0),IF(AND(AZ$26&lt;&gt;"",AZ$23&lt;&gt;""),IF(EOMONTH($AX$3+INT((DAY(EOMONTH($AX$3,0))-1)/2)+AZ$23,0)=EOMONTH($BZ$3,0),AZ$26,0),0),IF(AND(AV$26&lt;&gt;"",AV$23&lt;&gt;""),IF(EOMONTH($AT$3+INT((DAY(EOMONTH($AT$3,0))-1)/2)+AV$23,0)=EOMONTH($BZ$3,0),AV$26,0),0),IF(AND(AR$26&lt;&gt;"",AR$23&lt;&gt;""),IF(EOMONTH($AP$3+INT((DAY(EOMONTH($AP$3,0))-1)/2)+AR$23,0)=EOMONTH($BZ$3,0),AR$26,0),0),IF(AND(AN$26&lt;&gt;"",AN$23&lt;&gt;""),IF(EOMONTH($AL$3+INT((DAY(EOMONTH($AL$3,0))-1)/2)+AN$23,0)=EOMONTH($BZ$3,0),AN$26,0),0),IF(AND(AJ$26&lt;&gt;"",AJ$23&lt;&gt;""),IF(EOMONTH($AH$3+INT((DAY(EOMONTH($AH$3,0))-1)/2)+AJ$23,0)=EOMONTH($BZ$3,0),AJ$26,0),0),IF(AND(AF$26&lt;&gt;"",AF$23&lt;&gt;""),IF(EOMONTH($AD$3+INT((DAY(EOMONTH($AD$3,0))-1)/2)+AF$23,0)=EOMONTH($BZ$3,0),AF$26,0),0),IF(AND(AB$26&lt;&gt;"",AB$23&lt;&gt;""),IF(EOMONTH($Z$3+INT((DAY(EOMONTH($Z$3,0))-1)/2)+AB$23,0)=EOMONTH($BZ$3,0),AB$26,0),0),IF(AND(X$26&lt;&gt;"",X$23&lt;&gt;""),IF(EOMONTH($V$3+INT((DAY(EOMONTH($V$3,0))-1)/2)+X$23,0)=EOMONTH($BZ$3,0),X$26,0),0),IF(AND(T$26&lt;&gt;"",T$23&lt;&gt;""),IF(EOMONTH($R$3+INT((DAY(EOMONTH($R$3,0))-1)/2)+T$23,0)=EOMONTH($BZ$3,0),T$26,0),0),IF(AND(P$26&lt;&gt;"",P$23&lt;&gt;""),IF(EOMONTH($N$3+INT((DAY(EOMONTH($N$3,0))-1)/2)+P$23,0)=EOMONTH($BZ$3,0),P$26,0),0),IF(AND(L$26&lt;&gt;"",L$23&lt;&gt;""),IF(EOMONTH($J$3+INT((DAY(EOMONTH($J$3,0))-1)/2)+L$23,0)=EOMONTH($BZ$3,0),L$26,0),0),IF(AND(H$26&lt;&gt;"",H$23&lt;&gt;""),IF(EOMONTH($F$3+INT((DAY(EOMONTH($F$3,0))-1)/2)+H$23,0)=EOMONTH($BZ$3,0),H$26,0),0),IF($EP$75="",0,IF(EOMONTH($EP$75+ER$23,0)=EOMONTH($BZ$3,0),$EP$78*ER$13,0))),0)</f>
        <v>0</v>
      </c>
      <c r="CC57" s="33">
        <f t="shared" ref="CC57:CC70" si="738">IFERROR(IF(OR(CA57="",CB57=""),"",CA57-CB57),"")</f>
        <v>0</v>
      </c>
      <c r="CD57" s="34"/>
      <c r="CE57" s="31">
        <f>IF(CD$98=1,CD57,ROUND(SUM(IF(AND(EQ$26&lt;&gt;"",EQ$23&lt;&gt;""),IF(EOMONTH($EP$3+INT((DAY(EOMONTH($EP$3,0))-1)/2)+EQ$23,0)=EOMONTH($CD$3,0),EQ$26,0),0),IF(AND(EM$26&lt;&gt;"",EM$23&lt;&gt;""),IF(EOMONTH($EL$3+INT((DAY(EOMONTH($EL$3,0))-1)/2)+EM$23,0)=EOMONTH($CD$3,0),EM$26,0),0),IF(AND(EI$26&lt;&gt;"",EI$23&lt;&gt;""),IF(EOMONTH($EH$3+INT((DAY(EOMONTH($EH$3,0))-1)/2)+EI$23,0)=EOMONTH($CD$3,0),EI$26,0),0),IF(AND(EE$26&lt;&gt;"",EE$23&lt;&gt;""),IF(EOMONTH($ED$3+INT((DAY(EOMONTH($ED$3,0))-1)/2)+EE$23,0)=EOMONTH($CD$3,0),EE$26,0),0),IF(AND(EA$26&lt;&gt;"",EA$23&lt;&gt;""),IF(EOMONTH($DZ$3+INT((DAY(EOMONTH($DZ$3,0))-1)/2)+EA$23,0)=EOMONTH($CD$3,0),EA$26,0),0),IF(AND(DW$26&lt;&gt;"",DW$23&lt;&gt;""),IF(EOMONTH($DV$3+INT((DAY(EOMONTH($DV$3,0))-1)/2)+DW$23,0)=EOMONTH($CD$3,0),DW$26,0),0),IF(AND(DS$26&lt;&gt;"",DS$23&lt;&gt;""),IF(EOMONTH($DR$3+INT((DAY(EOMONTH($DR$3,0))-1)/2)+DS$23,0)=EOMONTH($CD$3,0),DS$26,0),0),IF(AND(DO$26&lt;&gt;"",DO$23&lt;&gt;""),IF(EOMONTH($DN$3+INT((DAY(EOMONTH($DN$3,0))-1)/2)+DO$23,0)=EOMONTH($CD$3,0),DO$26,0),0),IF(AND(DK$26&lt;&gt;"",DK$23&lt;&gt;""),IF(EOMONTH($DJ$3+INT((DAY(EOMONTH($DJ$3,0))-1)/2)+DK$23,0)=EOMONTH($CD$3,0),DK$26,0),0),IF(AND(DG$26&lt;&gt;"",DG$23&lt;&gt;""),IF(EOMONTH($DF$3+INT((DAY(EOMONTH($DF$3,0))-1)/2)+DG$23,0)=EOMONTH($CD$3,0),DG$26,0),0),IF(AND(DC$26&lt;&gt;"",DC$23&lt;&gt;""),IF(EOMONTH($DB$3+INT((DAY(EOMONTH($DB$3,0))-1)/2)+DC$23,0)=EOMONTH($CD$3,0),DC$26,0),0),IF(AND(CY$26&lt;&gt;"",CY$23&lt;&gt;""),IF(EOMONTH($CX$3+INT((DAY(EOMONTH($CX$3,0))-1)/2)+CY$23,0)=EOMONTH($CD$3,0),CY$26,0),0),IF(AND(CU$26&lt;&gt;"",CU$23&lt;&gt;""),IF(EOMONTH($CT$3+INT((DAY(EOMONTH($CT$3,0))-1)/2)+CU$23,0)=EOMONTH($CD$3,0),CU$26,0),0),IF(AND(CQ$26&lt;&gt;"",CQ$23&lt;&gt;""),IF(EOMONTH($CP$3+INT((DAY(EOMONTH($CP$3,0))-1)/2)+CQ$23,0)=EOMONTH($CD$3,0),CQ$26,0),0),IF(AND(CM$26&lt;&gt;"",CM$23&lt;&gt;""),IF(EOMONTH($CL$3+INT((DAY(EOMONTH($CL$3,0))-1)/2)+CM$23,0)=EOMONTH($CD$3,0),CM$26,0),0),IF(AND(CI$26&lt;&gt;"",CI$23&lt;&gt;""),IF(EOMONTH($CH$3+INT((DAY(EOMONTH($CH$3,0))-1)/2)+CI$23,0)=EOMONTH($CD$3,0),CI$26,0),0),IF(AND(CE$26&lt;&gt;"",CE$23&lt;&gt;""),IF(EOMONTH($CD$3+INT((DAY(EOMONTH($CD$3,0))-1)/2)+CE$23,0)=EOMONTH($CD$3,0),CE$26,0),0),IF(AND(CA$26&lt;&gt;"",CA$23&lt;&gt;""),IF(EOMONTH($BZ$3+INT((DAY(EOMONTH($BZ$3,0))-1)/2)+CA$23,0)=EOMONTH($CD$3,0),CA$26,0),0),IF(AND(BW$26&lt;&gt;"",BW$23&lt;&gt;""),IF(EOMONTH($BV$3+INT((DAY(EOMONTH($BV$3,0))-1)/2)+BW$23,0)=EOMONTH($CD$3,0),BW$26,0),0),IF(AND(BS$26&lt;&gt;"",BS$23&lt;&gt;""),IF(EOMONTH($BR$3+INT((DAY(EOMONTH($BR$3,0))-1)/2)+BS$23,0)=EOMONTH($CD$3,0),BS$26,0),0),IF(AND(BO$26&lt;&gt;"",BO$23&lt;&gt;""),IF(EOMONTH($BN$3+INT((DAY(EOMONTH($BN$3,0))-1)/2)+BO$23,0)=EOMONTH($CD$3,0),BO$26,0),0),IF(AND(BK$26&lt;&gt;"",BK$23&lt;&gt;""),IF(EOMONTH($BJ$3+INT((DAY(EOMONTH($BJ$3,0))-1)/2)+BK$23,0)=EOMONTH($CD$3,0),BK$26,0),0),IF(AND(BG$26&lt;&gt;"",BG$23&lt;&gt;""),IF(EOMONTH($BF$3+INT((DAY(EOMONTH($BF$3,0))-1)/2)+BG$23,0)=EOMONTH($CD$3,0),BG$26,0),0),IF(AND(BC$26&lt;&gt;"",BC$23&lt;&gt;""),IF(EOMONTH($BB$3+INT((DAY(EOMONTH($BB$3,0))-1)/2)+BC$23,0)=EOMONTH($CD$3,0),BC$26,0),0),IF(AND(AY$26&lt;&gt;"",AY$23&lt;&gt;""),IF(EOMONTH($AX$3+INT((DAY(EOMONTH($AX$3,0))-1)/2)+AY$23,0)=EOMONTH($CD$3,0),AY$26,0),0),IF(AND(AU$26&lt;&gt;"",AU$23&lt;&gt;""),IF(EOMONTH($AT$3+INT((DAY(EOMONTH($AT$3,0))-1)/2)+AU$23,0)=EOMONTH($CD$3,0),AU$26,0),0),IF(AND(AQ$26&lt;&gt;"",AQ$23&lt;&gt;""),IF(EOMONTH($AP$3+INT((DAY(EOMONTH($AP$3,0))-1)/2)+AQ$23,0)=EOMONTH($CD$3,0),AQ$26,0),0),IF(AND(AM$26&lt;&gt;"",AM$23&lt;&gt;""),IF(EOMONTH($AL$3+INT((DAY(EOMONTH($AL$3,0))-1)/2)+AM$23,0)=EOMONTH($CD$3,0),AM$26,0),0),IF(AND(AI$26&lt;&gt;"",AI$23&lt;&gt;""),IF(EOMONTH($AH$3+INT((DAY(EOMONTH($AH$3,0))-1)/2)+AI$23,0)=EOMONTH($CD$3,0),AI$26,0),0),IF(AND(AE$26&lt;&gt;"",AE$23&lt;&gt;""),IF(EOMONTH($AD$3+INT((DAY(EOMONTH($AD$3,0))-1)/2)+AE$23,0)=EOMONTH($CD$3,0),AE$26,0),0),IF(AND(AA$26&lt;&gt;"",AA$23&lt;&gt;""),IF(EOMONTH($Z$3+INT((DAY(EOMONTH($Z$3,0))-1)/2)+AA$23,0)=EOMONTH($CD$3,0),AA$26,0),0),IF(AND(W$26&lt;&gt;"",W$23&lt;&gt;""),IF(EOMONTH($V$3+INT((DAY(EOMONTH($V$3,0))-1)/2)+W$23,0)=EOMONTH($CD$3,0),W$26,0),0),IF(AND(S$26&lt;&gt;"",S$23&lt;&gt;""),IF(EOMONTH($R$3+INT((DAY(EOMONTH($R$3,0))-1)/2)+S$23,0)=EOMONTH($CD$3,0),S$26,0),0),IF(AND(O$26&lt;&gt;"",O$23&lt;&gt;""),IF(EOMONTH($N$3+INT((DAY(EOMONTH($N$3,0))-1)/2)+O$23,0)=EOMONTH($CD$3,0),O$26,0),0),IF(AND(K$26&lt;&gt;"",K$23&lt;&gt;""),IF(EOMONTH($J$3+INT((DAY(EOMONTH($J$3,0))-1)/2)+K$23,0)=EOMONTH($CD$3,0),K$26,0),0),IF(AND(G$26&lt;&gt;"",G$23&lt;&gt;""),IF(EOMONTH($F$3+INT((DAY(EOMONTH($F$3,0))-1)/2)+G$23,0)=EOMONTH($CD$3,0),G$26,0),0),IF($EP$75="",0,IF(EOMONTH($EP$75+EQ$23,0)=EOMONTH($CD$3,0),$EP$78*EQ$13,0))),0))</f>
        <v>0</v>
      </c>
      <c r="CF57" s="32">
        <f>ROUND(SUM(IF(AND(ER$26&lt;&gt;"",ER$23&lt;&gt;""),IF(EOMONTH($EP$3+INT((DAY(EOMONTH($EP$3,0))-1)/2)+ER$23,0)=EOMONTH($CD$3,0),ER$26,0),0),IF(AND(EN$26&lt;&gt;"",EN$23&lt;&gt;""),IF(EOMONTH($EL$3+INT((DAY(EOMONTH($EL$3,0))-1)/2)+EN$23,0)=EOMONTH($CD$3,0),EN$26,0),0),IF(AND(EJ$26&lt;&gt;"",EJ$23&lt;&gt;""),IF(EOMONTH($EH$3+INT((DAY(EOMONTH($EH$3,0))-1)/2)+EJ$23,0)=EOMONTH($CD$3,0),EJ$26,0),0),IF(AND(EF$26&lt;&gt;"",EF$23&lt;&gt;""),IF(EOMONTH($ED$3+INT((DAY(EOMONTH($ED$3,0))-1)/2)+EF$23,0)=EOMONTH($CD$3,0),EF$26,0),0),IF(AND(EB$26&lt;&gt;"",EB$23&lt;&gt;""),IF(EOMONTH($DZ$3+INT((DAY(EOMONTH($DZ$3,0))-1)/2)+EB$23,0)=EOMONTH($CD$3,0),EB$26,0),0),IF(AND(DX$26&lt;&gt;"",DX$23&lt;&gt;""),IF(EOMONTH($DV$3+INT((DAY(EOMONTH($DV$3,0))-1)/2)+DX$23,0)=EOMONTH($CD$3,0),DX$26,0),0),IF(AND(DT$26&lt;&gt;"",DT$23&lt;&gt;""),IF(EOMONTH($DR$3+INT((DAY(EOMONTH($DR$3,0))-1)/2)+DT$23,0)=EOMONTH($CD$3,0),DT$26,0),0),IF(AND(DP$26&lt;&gt;"",DP$23&lt;&gt;""),IF(EOMONTH($DN$3+INT((DAY(EOMONTH($DN$3,0))-1)/2)+DP$23,0)=EOMONTH($CD$3,0),DP$26,0),0),IF(AND(DL$26&lt;&gt;"",DL$23&lt;&gt;""),IF(EOMONTH($DJ$3+INT((DAY(EOMONTH($DJ$3,0))-1)/2)+DL$23,0)=EOMONTH($CD$3,0),DL$26,0),0),IF(AND(DH$26&lt;&gt;"",DH$23&lt;&gt;""),IF(EOMONTH($DF$3+INT((DAY(EOMONTH($DF$3,0))-1)/2)+DH$23,0)=EOMONTH($CD$3,0),DH$26,0),0),IF(AND(DD$26&lt;&gt;"",DD$23&lt;&gt;""),IF(EOMONTH($DB$3+INT((DAY(EOMONTH($DB$3,0))-1)/2)+DD$23,0)=EOMONTH($CD$3,0),DD$26,0),0),IF(AND(CZ$26&lt;&gt;"",CZ$23&lt;&gt;""),IF(EOMONTH($CX$3+INT((DAY(EOMONTH($CX$3,0))-1)/2)+CZ$23,0)=EOMONTH($CD$3,0),CZ$26,0),0),IF(AND(CV$26&lt;&gt;"",CV$23&lt;&gt;""),IF(EOMONTH($CT$3+INT((DAY(EOMONTH($CT$3,0))-1)/2)+CV$23,0)=EOMONTH($CD$3,0),CV$26,0),0),IF(AND(CR$26&lt;&gt;"",CR$23&lt;&gt;""),IF(EOMONTH($CP$3+INT((DAY(EOMONTH($CP$3,0))-1)/2)+CR$23,0)=EOMONTH($CD$3,0),CR$26,0),0),IF(AND(CN$26&lt;&gt;"",CN$23&lt;&gt;""),IF(EOMONTH($CL$3+INT((DAY(EOMONTH($CL$3,0))-1)/2)+CN$23,0)=EOMONTH($CD$3,0),CN$26,0),0),IF(AND(CJ$26&lt;&gt;"",CJ$23&lt;&gt;""),IF(EOMONTH($CH$3+INT((DAY(EOMONTH($CH$3,0))-1)/2)+CJ$23,0)=EOMONTH($CD$3,0),CJ$26,0),0),IF(AND(CF$26&lt;&gt;"",CF$23&lt;&gt;""),IF(EOMONTH($CD$3+INT((DAY(EOMONTH($CD$3,0))-1)/2)+CF$23,0)=EOMONTH($CD$3,0),CF$26,0),0),IF(AND(CB$26&lt;&gt;"",CB$23&lt;&gt;""),IF(EOMONTH($BZ$3+INT((DAY(EOMONTH($BZ$3,0))-1)/2)+CB$23,0)=EOMONTH($CD$3,0),CB$26,0),0),IF(AND(BX$26&lt;&gt;"",BX$23&lt;&gt;""),IF(EOMONTH($BV$3+INT((DAY(EOMONTH($BV$3,0))-1)/2)+BX$23,0)=EOMONTH($CD$3,0),BX$26,0),0),IF(AND(BT$26&lt;&gt;"",BT$23&lt;&gt;""),IF(EOMONTH($BR$3+INT((DAY(EOMONTH($BR$3,0))-1)/2)+BT$23,0)=EOMONTH($CD$3,0),BT$26,0),0),IF(AND(BP$26&lt;&gt;"",BP$23&lt;&gt;""),IF(EOMONTH($BN$3+INT((DAY(EOMONTH($BN$3,0))-1)/2)+BP$23,0)=EOMONTH($CD$3,0),BP$26,0),0),IF(AND(BL$26&lt;&gt;"",BL$23&lt;&gt;""),IF(EOMONTH($BJ$3+INT((DAY(EOMONTH($BJ$3,0))-1)/2)+BL$23,0)=EOMONTH($CD$3,0),BL$26,0),0),IF(AND(BH$26&lt;&gt;"",BH$23&lt;&gt;""),IF(EOMONTH($BF$3+INT((DAY(EOMONTH($BF$3,0))-1)/2)+BH$23,0)=EOMONTH($CD$3,0),BH$26,0),0),IF(AND(BD$26&lt;&gt;"",BD$23&lt;&gt;""),IF(EOMONTH($BB$3+INT((DAY(EOMONTH($BB$3,0))-1)/2)+BD$23,0)=EOMONTH($CD$3,0),BD$26,0),0),IF(AND(AZ$26&lt;&gt;"",AZ$23&lt;&gt;""),IF(EOMONTH($AX$3+INT((DAY(EOMONTH($AX$3,0))-1)/2)+AZ$23,0)=EOMONTH($CD$3,0),AZ$26,0),0),IF(AND(AV$26&lt;&gt;"",AV$23&lt;&gt;""),IF(EOMONTH($AT$3+INT((DAY(EOMONTH($AT$3,0))-1)/2)+AV$23,0)=EOMONTH($CD$3,0),AV$26,0),0),IF(AND(AR$26&lt;&gt;"",AR$23&lt;&gt;""),IF(EOMONTH($AP$3+INT((DAY(EOMONTH($AP$3,0))-1)/2)+AR$23,0)=EOMONTH($CD$3,0),AR$26,0),0),IF(AND(AN$26&lt;&gt;"",AN$23&lt;&gt;""),IF(EOMONTH($AL$3+INT((DAY(EOMONTH($AL$3,0))-1)/2)+AN$23,0)=EOMONTH($CD$3,0),AN$26,0),0),IF(AND(AJ$26&lt;&gt;"",AJ$23&lt;&gt;""),IF(EOMONTH($AH$3+INT((DAY(EOMONTH($AH$3,0))-1)/2)+AJ$23,0)=EOMONTH($CD$3,0),AJ$26,0),0),IF(AND(AF$26&lt;&gt;"",AF$23&lt;&gt;""),IF(EOMONTH($AD$3+INT((DAY(EOMONTH($AD$3,0))-1)/2)+AF$23,0)=EOMONTH($CD$3,0),AF$26,0),0),IF(AND(AB$26&lt;&gt;"",AB$23&lt;&gt;""),IF(EOMONTH($Z$3+INT((DAY(EOMONTH($Z$3,0))-1)/2)+AB$23,0)=EOMONTH($CD$3,0),AB$26,0),0),IF(AND(X$26&lt;&gt;"",X$23&lt;&gt;""),IF(EOMONTH($V$3+INT((DAY(EOMONTH($V$3,0))-1)/2)+X$23,0)=EOMONTH($CD$3,0),X$26,0),0),IF(AND(T$26&lt;&gt;"",T$23&lt;&gt;""),IF(EOMONTH($R$3+INT((DAY(EOMONTH($R$3,0))-1)/2)+T$23,0)=EOMONTH($CD$3,0),T$26,0),0),IF(AND(P$26&lt;&gt;"",P$23&lt;&gt;""),IF(EOMONTH($N$3+INT((DAY(EOMONTH($N$3,0))-1)/2)+P$23,0)=EOMONTH($CD$3,0),P$26,0),0),IF(AND(L$26&lt;&gt;"",L$23&lt;&gt;""),IF(EOMONTH($J$3+INT((DAY(EOMONTH($J$3,0))-1)/2)+L$23,0)=EOMONTH($CD$3,0),L$26,0),0),IF(AND(H$26&lt;&gt;"",H$23&lt;&gt;""),IF(EOMONTH($F$3+INT((DAY(EOMONTH($F$3,0))-1)/2)+H$23,0)=EOMONTH($CD$3,0),H$26,0),0),IF($EP$75="",0,IF(EOMONTH($EP$75+ER$23,0)=EOMONTH($CD$3,0),$EP$78*ER$13,0))),0)</f>
        <v>0</v>
      </c>
      <c r="CG57" s="33">
        <f t="shared" ref="CG57:CG70" si="740">IFERROR(IF(OR(CE57="",CF57=""),"",CE57-CF57),"")</f>
        <v>0</v>
      </c>
      <c r="CH57" s="34"/>
      <c r="CI57" s="31">
        <f>IF(CH$98=1,CH57,ROUND(SUM(IF(AND(EQ$26&lt;&gt;"",EQ$23&lt;&gt;""),IF(EOMONTH($EP$3+INT((DAY(EOMONTH($EP$3,0))-1)/2)+EQ$23,0)=EOMONTH($CH$3,0),EQ$26,0),0),IF(AND(EM$26&lt;&gt;"",EM$23&lt;&gt;""),IF(EOMONTH($EL$3+INT((DAY(EOMONTH($EL$3,0))-1)/2)+EM$23,0)=EOMONTH($CH$3,0),EM$26,0),0),IF(AND(EI$26&lt;&gt;"",EI$23&lt;&gt;""),IF(EOMONTH($EH$3+INT((DAY(EOMONTH($EH$3,0))-1)/2)+EI$23,0)=EOMONTH($CH$3,0),EI$26,0),0),IF(AND(EE$26&lt;&gt;"",EE$23&lt;&gt;""),IF(EOMONTH($ED$3+INT((DAY(EOMONTH($ED$3,0))-1)/2)+EE$23,0)=EOMONTH($CH$3,0),EE$26,0),0),IF(AND(EA$26&lt;&gt;"",EA$23&lt;&gt;""),IF(EOMONTH($DZ$3+INT((DAY(EOMONTH($DZ$3,0))-1)/2)+EA$23,0)=EOMONTH($CH$3,0),EA$26,0),0),IF(AND(DW$26&lt;&gt;"",DW$23&lt;&gt;""),IF(EOMONTH($DV$3+INT((DAY(EOMONTH($DV$3,0))-1)/2)+DW$23,0)=EOMONTH($CH$3,0),DW$26,0),0),IF(AND(DS$26&lt;&gt;"",DS$23&lt;&gt;""),IF(EOMONTH($DR$3+INT((DAY(EOMONTH($DR$3,0))-1)/2)+DS$23,0)=EOMONTH($CH$3,0),DS$26,0),0),IF(AND(DO$26&lt;&gt;"",DO$23&lt;&gt;""),IF(EOMONTH($DN$3+INT((DAY(EOMONTH($DN$3,0))-1)/2)+DO$23,0)=EOMONTH($CH$3,0),DO$26,0),0),IF(AND(DK$26&lt;&gt;"",DK$23&lt;&gt;""),IF(EOMONTH($DJ$3+INT((DAY(EOMONTH($DJ$3,0))-1)/2)+DK$23,0)=EOMONTH($CH$3,0),DK$26,0),0),IF(AND(DG$26&lt;&gt;"",DG$23&lt;&gt;""),IF(EOMONTH($DF$3+INT((DAY(EOMONTH($DF$3,0))-1)/2)+DG$23,0)=EOMONTH($CH$3,0),DG$26,0),0),IF(AND(DC$26&lt;&gt;"",DC$23&lt;&gt;""),IF(EOMONTH($DB$3+INT((DAY(EOMONTH($DB$3,0))-1)/2)+DC$23,0)=EOMONTH($CH$3,0),DC$26,0),0),IF(AND(CY$26&lt;&gt;"",CY$23&lt;&gt;""),IF(EOMONTH($CX$3+INT((DAY(EOMONTH($CX$3,0))-1)/2)+CY$23,0)=EOMONTH($CH$3,0),CY$26,0),0),IF(AND(CU$26&lt;&gt;"",CU$23&lt;&gt;""),IF(EOMONTH($CT$3+INT((DAY(EOMONTH($CT$3,0))-1)/2)+CU$23,0)=EOMONTH($CH$3,0),CU$26,0),0),IF(AND(CQ$26&lt;&gt;"",CQ$23&lt;&gt;""),IF(EOMONTH($CP$3+INT((DAY(EOMONTH($CP$3,0))-1)/2)+CQ$23,0)=EOMONTH($CH$3,0),CQ$26,0),0),IF(AND(CM$26&lt;&gt;"",CM$23&lt;&gt;""),IF(EOMONTH($CL$3+INT((DAY(EOMONTH($CL$3,0))-1)/2)+CM$23,0)=EOMONTH($CH$3,0),CM$26,0),0),IF(AND(CI$26&lt;&gt;"",CI$23&lt;&gt;""),IF(EOMONTH($CH$3+INT((DAY(EOMONTH($CH$3,0))-1)/2)+CI$23,0)=EOMONTH($CH$3,0),CI$26,0),0),IF(AND(CE$26&lt;&gt;"",CE$23&lt;&gt;""),IF(EOMONTH($CD$3+INT((DAY(EOMONTH($CD$3,0))-1)/2)+CE$23,0)=EOMONTH($CH$3,0),CE$26,0),0),IF(AND(CA$26&lt;&gt;"",CA$23&lt;&gt;""),IF(EOMONTH($BZ$3+INT((DAY(EOMONTH($BZ$3,0))-1)/2)+CA$23,0)=EOMONTH($CH$3,0),CA$26,0),0),IF(AND(BW$26&lt;&gt;"",BW$23&lt;&gt;""),IF(EOMONTH($BV$3+INT((DAY(EOMONTH($BV$3,0))-1)/2)+BW$23,0)=EOMONTH($CH$3,0),BW$26,0),0),IF(AND(BS$26&lt;&gt;"",BS$23&lt;&gt;""),IF(EOMONTH($BR$3+INT((DAY(EOMONTH($BR$3,0))-1)/2)+BS$23,0)=EOMONTH($CH$3,0),BS$26,0),0),IF(AND(BO$26&lt;&gt;"",BO$23&lt;&gt;""),IF(EOMONTH($BN$3+INT((DAY(EOMONTH($BN$3,0))-1)/2)+BO$23,0)=EOMONTH($CH$3,0),BO$26,0),0),IF(AND(BK$26&lt;&gt;"",BK$23&lt;&gt;""),IF(EOMONTH($BJ$3+INT((DAY(EOMONTH($BJ$3,0))-1)/2)+BK$23,0)=EOMONTH($CH$3,0),BK$26,0),0),IF(AND(BG$26&lt;&gt;"",BG$23&lt;&gt;""),IF(EOMONTH($BF$3+INT((DAY(EOMONTH($BF$3,0))-1)/2)+BG$23,0)=EOMONTH($CH$3,0),BG$26,0),0),IF(AND(BC$26&lt;&gt;"",BC$23&lt;&gt;""),IF(EOMONTH($BB$3+INT((DAY(EOMONTH($BB$3,0))-1)/2)+BC$23,0)=EOMONTH($CH$3,0),BC$26,0),0),IF(AND(AY$26&lt;&gt;"",AY$23&lt;&gt;""),IF(EOMONTH($AX$3+INT((DAY(EOMONTH($AX$3,0))-1)/2)+AY$23,0)=EOMONTH($CH$3,0),AY$26,0),0),IF(AND(AU$26&lt;&gt;"",AU$23&lt;&gt;""),IF(EOMONTH($AT$3+INT((DAY(EOMONTH($AT$3,0))-1)/2)+AU$23,0)=EOMONTH($CH$3,0),AU$26,0),0),IF(AND(AQ$26&lt;&gt;"",AQ$23&lt;&gt;""),IF(EOMONTH($AP$3+INT((DAY(EOMONTH($AP$3,0))-1)/2)+AQ$23,0)=EOMONTH($CH$3,0),AQ$26,0),0),IF(AND(AM$26&lt;&gt;"",AM$23&lt;&gt;""),IF(EOMONTH($AL$3+INT((DAY(EOMONTH($AL$3,0))-1)/2)+AM$23,0)=EOMONTH($CH$3,0),AM$26,0),0),IF(AND(AI$26&lt;&gt;"",AI$23&lt;&gt;""),IF(EOMONTH($AH$3+INT((DAY(EOMONTH($AH$3,0))-1)/2)+AI$23,0)=EOMONTH($CH$3,0),AI$26,0),0),IF(AND(AE$26&lt;&gt;"",AE$23&lt;&gt;""),IF(EOMONTH($AD$3+INT((DAY(EOMONTH($AD$3,0))-1)/2)+AE$23,0)=EOMONTH($CH$3,0),AE$26,0),0),IF(AND(AA$26&lt;&gt;"",AA$23&lt;&gt;""),IF(EOMONTH($Z$3+INT((DAY(EOMONTH($Z$3,0))-1)/2)+AA$23,0)=EOMONTH($CH$3,0),AA$26,0),0),IF(AND(W$26&lt;&gt;"",W$23&lt;&gt;""),IF(EOMONTH($V$3+INT((DAY(EOMONTH($V$3,0))-1)/2)+W$23,0)=EOMONTH($CH$3,0),W$26,0),0),IF(AND(S$26&lt;&gt;"",S$23&lt;&gt;""),IF(EOMONTH($R$3+INT((DAY(EOMONTH($R$3,0))-1)/2)+S$23,0)=EOMONTH($CH$3,0),S$26,0),0),IF(AND(O$26&lt;&gt;"",O$23&lt;&gt;""),IF(EOMONTH($N$3+INT((DAY(EOMONTH($N$3,0))-1)/2)+O$23,0)=EOMONTH($CH$3,0),O$26,0),0),IF(AND(K$26&lt;&gt;"",K$23&lt;&gt;""),IF(EOMONTH($J$3+INT((DAY(EOMONTH($J$3,0))-1)/2)+K$23,0)=EOMONTH($CH$3,0),K$26,0),0),IF(AND(G$26&lt;&gt;"",G$23&lt;&gt;""),IF(EOMONTH($F$3+INT((DAY(EOMONTH($F$3,0))-1)/2)+G$23,0)=EOMONTH($CH$3,0),G$26,0),0),IF($EP$75="",0,IF(EOMONTH($EP$75+EQ$23,0)=EOMONTH($CH$3,0),$EP$78*EQ$13,0))),0))</f>
        <v>0</v>
      </c>
      <c r="CJ57" s="32">
        <f>ROUND(SUM(IF(AND(ER$26&lt;&gt;"",ER$23&lt;&gt;""),IF(EOMONTH($EP$3+INT((DAY(EOMONTH($EP$3,0))-1)/2)+ER$23,0)=EOMONTH($CH$3,0),ER$26,0),0),IF(AND(EN$26&lt;&gt;"",EN$23&lt;&gt;""),IF(EOMONTH($EL$3+INT((DAY(EOMONTH($EL$3,0))-1)/2)+EN$23,0)=EOMONTH($CH$3,0),EN$26,0),0),IF(AND(EJ$26&lt;&gt;"",EJ$23&lt;&gt;""),IF(EOMONTH($EH$3+INT((DAY(EOMONTH($EH$3,0))-1)/2)+EJ$23,0)=EOMONTH($CH$3,0),EJ$26,0),0),IF(AND(EF$26&lt;&gt;"",EF$23&lt;&gt;""),IF(EOMONTH($ED$3+INT((DAY(EOMONTH($ED$3,0))-1)/2)+EF$23,0)=EOMONTH($CH$3,0),EF$26,0),0),IF(AND(EB$26&lt;&gt;"",EB$23&lt;&gt;""),IF(EOMONTH($DZ$3+INT((DAY(EOMONTH($DZ$3,0))-1)/2)+EB$23,0)=EOMONTH($CH$3,0),EB$26,0),0),IF(AND(DX$26&lt;&gt;"",DX$23&lt;&gt;""),IF(EOMONTH($DV$3+INT((DAY(EOMONTH($DV$3,0))-1)/2)+DX$23,0)=EOMONTH($CH$3,0),DX$26,0),0),IF(AND(DT$26&lt;&gt;"",DT$23&lt;&gt;""),IF(EOMONTH($DR$3+INT((DAY(EOMONTH($DR$3,0))-1)/2)+DT$23,0)=EOMONTH($CH$3,0),DT$26,0),0),IF(AND(DP$26&lt;&gt;"",DP$23&lt;&gt;""),IF(EOMONTH($DN$3+INT((DAY(EOMONTH($DN$3,0))-1)/2)+DP$23,0)=EOMONTH($CH$3,0),DP$26,0),0),IF(AND(DL$26&lt;&gt;"",DL$23&lt;&gt;""),IF(EOMONTH($DJ$3+INT((DAY(EOMONTH($DJ$3,0))-1)/2)+DL$23,0)=EOMONTH($CH$3,0),DL$26,0),0),IF(AND(DH$26&lt;&gt;"",DH$23&lt;&gt;""),IF(EOMONTH($DF$3+INT((DAY(EOMONTH($DF$3,0))-1)/2)+DH$23,0)=EOMONTH($CH$3,0),DH$26,0),0),IF(AND(DD$26&lt;&gt;"",DD$23&lt;&gt;""),IF(EOMONTH($DB$3+INT((DAY(EOMONTH($DB$3,0))-1)/2)+DD$23,0)=EOMONTH($CH$3,0),DD$26,0),0),IF(AND(CZ$26&lt;&gt;"",CZ$23&lt;&gt;""),IF(EOMONTH($CX$3+INT((DAY(EOMONTH($CX$3,0))-1)/2)+CZ$23,0)=EOMONTH($CH$3,0),CZ$26,0),0),IF(AND(CV$26&lt;&gt;"",CV$23&lt;&gt;""),IF(EOMONTH($CT$3+INT((DAY(EOMONTH($CT$3,0))-1)/2)+CV$23,0)=EOMONTH($CH$3,0),CV$26,0),0),IF(AND(CR$26&lt;&gt;"",CR$23&lt;&gt;""),IF(EOMONTH($CP$3+INT((DAY(EOMONTH($CP$3,0))-1)/2)+CR$23,0)=EOMONTH($CH$3,0),CR$26,0),0),IF(AND(CN$26&lt;&gt;"",CN$23&lt;&gt;""),IF(EOMONTH($CL$3+INT((DAY(EOMONTH($CL$3,0))-1)/2)+CN$23,0)=EOMONTH($CH$3,0),CN$26,0),0),IF(AND(CJ$26&lt;&gt;"",CJ$23&lt;&gt;""),IF(EOMONTH($CH$3+INT((DAY(EOMONTH($CH$3,0))-1)/2)+CJ$23,0)=EOMONTH($CH$3,0),CJ$26,0),0),IF(AND(CF$26&lt;&gt;"",CF$23&lt;&gt;""),IF(EOMONTH($CD$3+INT((DAY(EOMONTH($CD$3,0))-1)/2)+CF$23,0)=EOMONTH($CH$3,0),CF$26,0),0),IF(AND(CB$26&lt;&gt;"",CB$23&lt;&gt;""),IF(EOMONTH($BZ$3+INT((DAY(EOMONTH($BZ$3,0))-1)/2)+CB$23,0)=EOMONTH($CH$3,0),CB$26,0),0),IF(AND(BX$26&lt;&gt;"",BX$23&lt;&gt;""),IF(EOMONTH($BV$3+INT((DAY(EOMONTH($BV$3,0))-1)/2)+BX$23,0)=EOMONTH($CH$3,0),BX$26,0),0),IF(AND(BT$26&lt;&gt;"",BT$23&lt;&gt;""),IF(EOMONTH($BR$3+INT((DAY(EOMONTH($BR$3,0))-1)/2)+BT$23,0)=EOMONTH($CH$3,0),BT$26,0),0),IF(AND(BP$26&lt;&gt;"",BP$23&lt;&gt;""),IF(EOMONTH($BN$3+INT((DAY(EOMONTH($BN$3,0))-1)/2)+BP$23,0)=EOMONTH($CH$3,0),BP$26,0),0),IF(AND(BL$26&lt;&gt;"",BL$23&lt;&gt;""),IF(EOMONTH($BJ$3+INT((DAY(EOMONTH($BJ$3,0))-1)/2)+BL$23,0)=EOMONTH($CH$3,0),BL$26,0),0),IF(AND(BH$26&lt;&gt;"",BH$23&lt;&gt;""),IF(EOMONTH($BF$3+INT((DAY(EOMONTH($BF$3,0))-1)/2)+BH$23,0)=EOMONTH($CH$3,0),BH$26,0),0),IF(AND(BD$26&lt;&gt;"",BD$23&lt;&gt;""),IF(EOMONTH($BB$3+INT((DAY(EOMONTH($BB$3,0))-1)/2)+BD$23,0)=EOMONTH($CH$3,0),BD$26,0),0),IF(AND(AZ$26&lt;&gt;"",AZ$23&lt;&gt;""),IF(EOMONTH($AX$3+INT((DAY(EOMONTH($AX$3,0))-1)/2)+AZ$23,0)=EOMONTH($CH$3,0),AZ$26,0),0),IF(AND(AV$26&lt;&gt;"",AV$23&lt;&gt;""),IF(EOMONTH($AT$3+INT((DAY(EOMONTH($AT$3,0))-1)/2)+AV$23,0)=EOMONTH($CH$3,0),AV$26,0),0),IF(AND(AR$26&lt;&gt;"",AR$23&lt;&gt;""),IF(EOMONTH($AP$3+INT((DAY(EOMONTH($AP$3,0))-1)/2)+AR$23,0)=EOMONTH($CH$3,0),AR$26,0),0),IF(AND(AN$26&lt;&gt;"",AN$23&lt;&gt;""),IF(EOMONTH($AL$3+INT((DAY(EOMONTH($AL$3,0))-1)/2)+AN$23,0)=EOMONTH($CH$3,0),AN$26,0),0),IF(AND(AJ$26&lt;&gt;"",AJ$23&lt;&gt;""),IF(EOMONTH($AH$3+INT((DAY(EOMONTH($AH$3,0))-1)/2)+AJ$23,0)=EOMONTH($CH$3,0),AJ$26,0),0),IF(AND(AF$26&lt;&gt;"",AF$23&lt;&gt;""),IF(EOMONTH($AD$3+INT((DAY(EOMONTH($AD$3,0))-1)/2)+AF$23,0)=EOMONTH($CH$3,0),AF$26,0),0),IF(AND(AB$26&lt;&gt;"",AB$23&lt;&gt;""),IF(EOMONTH($Z$3+INT((DAY(EOMONTH($Z$3,0))-1)/2)+AB$23,0)=EOMONTH($CH$3,0),AB$26,0),0),IF(AND(X$26&lt;&gt;"",X$23&lt;&gt;""),IF(EOMONTH($V$3+INT((DAY(EOMONTH($V$3,0))-1)/2)+X$23,0)=EOMONTH($CH$3,0),X$26,0),0),IF(AND(T$26&lt;&gt;"",T$23&lt;&gt;""),IF(EOMONTH($R$3+INT((DAY(EOMONTH($R$3,0))-1)/2)+T$23,0)=EOMONTH($CH$3,0),T$26,0),0),IF(AND(P$26&lt;&gt;"",P$23&lt;&gt;""),IF(EOMONTH($N$3+INT((DAY(EOMONTH($N$3,0))-1)/2)+P$23,0)=EOMONTH($CH$3,0),P$26,0),0),IF(AND(L$26&lt;&gt;"",L$23&lt;&gt;""),IF(EOMONTH($J$3+INT((DAY(EOMONTH($J$3,0))-1)/2)+L$23,0)=EOMONTH($CH$3,0),L$26,0),0),IF(AND(H$26&lt;&gt;"",H$23&lt;&gt;""),IF(EOMONTH($F$3+INT((DAY(EOMONTH($F$3,0))-1)/2)+H$23,0)=EOMONTH($CH$3,0),H$26,0),0),IF($EP$75="",0,IF(EOMONTH($EP$75+ER$23,0)=EOMONTH($CH$3,0),$EP$78*ER$13,0))),0)</f>
        <v>0</v>
      </c>
      <c r="CK57" s="33">
        <f t="shared" ref="CK57:CK70" si="742">IFERROR(IF(OR(CI57="",CJ57=""),"",CI57-CJ57),"")</f>
        <v>0</v>
      </c>
      <c r="CL57" s="34"/>
      <c r="CM57" s="31">
        <f>IF(CL$98=1,CL57,ROUND(SUM(IF(AND(EQ$26&lt;&gt;"",EQ$23&lt;&gt;""),IF(EOMONTH($EP$3+INT((DAY(EOMONTH($EP$3,0))-1)/2)+EQ$23,0)=EOMONTH($CL$3,0),EQ$26,0),0),IF(AND(EM$26&lt;&gt;"",EM$23&lt;&gt;""),IF(EOMONTH($EL$3+INT((DAY(EOMONTH($EL$3,0))-1)/2)+EM$23,0)=EOMONTH($CL$3,0),EM$26,0),0),IF(AND(EI$26&lt;&gt;"",EI$23&lt;&gt;""),IF(EOMONTH($EH$3+INT((DAY(EOMONTH($EH$3,0))-1)/2)+EI$23,0)=EOMONTH($CL$3,0),EI$26,0),0),IF(AND(EE$26&lt;&gt;"",EE$23&lt;&gt;""),IF(EOMONTH($ED$3+INT((DAY(EOMONTH($ED$3,0))-1)/2)+EE$23,0)=EOMONTH($CL$3,0),EE$26,0),0),IF(AND(EA$26&lt;&gt;"",EA$23&lt;&gt;""),IF(EOMONTH($DZ$3+INT((DAY(EOMONTH($DZ$3,0))-1)/2)+EA$23,0)=EOMONTH($CL$3,0),EA$26,0),0),IF(AND(DW$26&lt;&gt;"",DW$23&lt;&gt;""),IF(EOMONTH($DV$3+INT((DAY(EOMONTH($DV$3,0))-1)/2)+DW$23,0)=EOMONTH($CL$3,0),DW$26,0),0),IF(AND(DS$26&lt;&gt;"",DS$23&lt;&gt;""),IF(EOMONTH($DR$3+INT((DAY(EOMONTH($DR$3,0))-1)/2)+DS$23,0)=EOMONTH($CL$3,0),DS$26,0),0),IF(AND(DO$26&lt;&gt;"",DO$23&lt;&gt;""),IF(EOMONTH($DN$3+INT((DAY(EOMONTH($DN$3,0))-1)/2)+DO$23,0)=EOMONTH($CL$3,0),DO$26,0),0),IF(AND(DK$26&lt;&gt;"",DK$23&lt;&gt;""),IF(EOMONTH($DJ$3+INT((DAY(EOMONTH($DJ$3,0))-1)/2)+DK$23,0)=EOMONTH($CL$3,0),DK$26,0),0),IF(AND(DG$26&lt;&gt;"",DG$23&lt;&gt;""),IF(EOMONTH($DF$3+INT((DAY(EOMONTH($DF$3,0))-1)/2)+DG$23,0)=EOMONTH($CL$3,0),DG$26,0),0),IF(AND(DC$26&lt;&gt;"",DC$23&lt;&gt;""),IF(EOMONTH($DB$3+INT((DAY(EOMONTH($DB$3,0))-1)/2)+DC$23,0)=EOMONTH($CL$3,0),DC$26,0),0),IF(AND(CY$26&lt;&gt;"",CY$23&lt;&gt;""),IF(EOMONTH($CX$3+INT((DAY(EOMONTH($CX$3,0))-1)/2)+CY$23,0)=EOMONTH($CL$3,0),CY$26,0),0),IF(AND(CU$26&lt;&gt;"",CU$23&lt;&gt;""),IF(EOMONTH($CT$3+INT((DAY(EOMONTH($CT$3,0))-1)/2)+CU$23,0)=EOMONTH($CL$3,0),CU$26,0),0),IF(AND(CQ$26&lt;&gt;"",CQ$23&lt;&gt;""),IF(EOMONTH($CP$3+INT((DAY(EOMONTH($CP$3,0))-1)/2)+CQ$23,0)=EOMONTH($CL$3,0),CQ$26,0),0),IF(AND(CM$26&lt;&gt;"",CM$23&lt;&gt;""),IF(EOMONTH($CL$3+INT((DAY(EOMONTH($CL$3,0))-1)/2)+CM$23,0)=EOMONTH($CL$3,0),CM$26,0),0),IF(AND(CI$26&lt;&gt;"",CI$23&lt;&gt;""),IF(EOMONTH($CH$3+INT((DAY(EOMONTH($CH$3,0))-1)/2)+CI$23,0)=EOMONTH($CL$3,0),CI$26,0),0),IF(AND(CE$26&lt;&gt;"",CE$23&lt;&gt;""),IF(EOMONTH($CD$3+INT((DAY(EOMONTH($CD$3,0))-1)/2)+CE$23,0)=EOMONTH($CL$3,0),CE$26,0),0),IF(AND(CA$26&lt;&gt;"",CA$23&lt;&gt;""),IF(EOMONTH($BZ$3+INT((DAY(EOMONTH($BZ$3,0))-1)/2)+CA$23,0)=EOMONTH($CL$3,0),CA$26,0),0),IF(AND(BW$26&lt;&gt;"",BW$23&lt;&gt;""),IF(EOMONTH($BV$3+INT((DAY(EOMONTH($BV$3,0))-1)/2)+BW$23,0)=EOMONTH($CL$3,0),BW$26,0),0),IF(AND(BS$26&lt;&gt;"",BS$23&lt;&gt;""),IF(EOMONTH($BR$3+INT((DAY(EOMONTH($BR$3,0))-1)/2)+BS$23,0)=EOMONTH($CL$3,0),BS$26,0),0),IF(AND(BO$26&lt;&gt;"",BO$23&lt;&gt;""),IF(EOMONTH($BN$3+INT((DAY(EOMONTH($BN$3,0))-1)/2)+BO$23,0)=EOMONTH($CL$3,0),BO$26,0),0),IF(AND(BK$26&lt;&gt;"",BK$23&lt;&gt;""),IF(EOMONTH($BJ$3+INT((DAY(EOMONTH($BJ$3,0))-1)/2)+BK$23,0)=EOMONTH($CL$3,0),BK$26,0),0),IF(AND(BG$26&lt;&gt;"",BG$23&lt;&gt;""),IF(EOMONTH($BF$3+INT((DAY(EOMONTH($BF$3,0))-1)/2)+BG$23,0)=EOMONTH($CL$3,0),BG$26,0),0),IF(AND(BC$26&lt;&gt;"",BC$23&lt;&gt;""),IF(EOMONTH($BB$3+INT((DAY(EOMONTH($BB$3,0))-1)/2)+BC$23,0)=EOMONTH($CL$3,0),BC$26,0),0),IF(AND(AY$26&lt;&gt;"",AY$23&lt;&gt;""),IF(EOMONTH($AX$3+INT((DAY(EOMONTH($AX$3,0))-1)/2)+AY$23,0)=EOMONTH($CL$3,0),AY$26,0),0),IF(AND(AU$26&lt;&gt;"",AU$23&lt;&gt;""),IF(EOMONTH($AT$3+INT((DAY(EOMONTH($AT$3,0))-1)/2)+AU$23,0)=EOMONTH($CL$3,0),AU$26,0),0),IF(AND(AQ$26&lt;&gt;"",AQ$23&lt;&gt;""),IF(EOMONTH($AP$3+INT((DAY(EOMONTH($AP$3,0))-1)/2)+AQ$23,0)=EOMONTH($CL$3,0),AQ$26,0),0),IF(AND(AM$26&lt;&gt;"",AM$23&lt;&gt;""),IF(EOMONTH($AL$3+INT((DAY(EOMONTH($AL$3,0))-1)/2)+AM$23,0)=EOMONTH($CL$3,0),AM$26,0),0),IF(AND(AI$26&lt;&gt;"",AI$23&lt;&gt;""),IF(EOMONTH($AH$3+INT((DAY(EOMONTH($AH$3,0))-1)/2)+AI$23,0)=EOMONTH($CL$3,0),AI$26,0),0),IF(AND(AE$26&lt;&gt;"",AE$23&lt;&gt;""),IF(EOMONTH($AD$3+INT((DAY(EOMONTH($AD$3,0))-1)/2)+AE$23,0)=EOMONTH($CL$3,0),AE$26,0),0),IF(AND(AA$26&lt;&gt;"",AA$23&lt;&gt;""),IF(EOMONTH($Z$3+INT((DAY(EOMONTH($Z$3,0))-1)/2)+AA$23,0)=EOMONTH($CL$3,0),AA$26,0),0),IF(AND(W$26&lt;&gt;"",W$23&lt;&gt;""),IF(EOMONTH($V$3+INT((DAY(EOMONTH($V$3,0))-1)/2)+W$23,0)=EOMONTH($CL$3,0),W$26,0),0),IF(AND(S$26&lt;&gt;"",S$23&lt;&gt;""),IF(EOMONTH($R$3+INT((DAY(EOMONTH($R$3,0))-1)/2)+S$23,0)=EOMONTH($CL$3,0),S$26,0),0),IF(AND(O$26&lt;&gt;"",O$23&lt;&gt;""),IF(EOMONTH($N$3+INT((DAY(EOMONTH($N$3,0))-1)/2)+O$23,0)=EOMONTH($CL$3,0),O$26,0),0),IF(AND(K$26&lt;&gt;"",K$23&lt;&gt;""),IF(EOMONTH($J$3+INT((DAY(EOMONTH($J$3,0))-1)/2)+K$23,0)=EOMONTH($CL$3,0),K$26,0),0),IF(AND(G$26&lt;&gt;"",G$23&lt;&gt;""),IF(EOMONTH($F$3+INT((DAY(EOMONTH($F$3,0))-1)/2)+G$23,0)=EOMONTH($CL$3,0),G$26,0),0),IF($EP$75="",0,IF(EOMONTH($EP$75+EQ$23,0)=EOMONTH($CL$3,0),$EP$78*EQ$13,0))),0))</f>
        <v>0</v>
      </c>
      <c r="CN57" s="32">
        <f>ROUND(SUM(IF(AND(ER$26&lt;&gt;"",ER$23&lt;&gt;""),IF(EOMONTH($EP$3+INT((DAY(EOMONTH($EP$3,0))-1)/2)+ER$23,0)=EOMONTH($CL$3,0),ER$26,0),0),IF(AND(EN$26&lt;&gt;"",EN$23&lt;&gt;""),IF(EOMONTH($EL$3+INT((DAY(EOMONTH($EL$3,0))-1)/2)+EN$23,0)=EOMONTH($CL$3,0),EN$26,0),0),IF(AND(EJ$26&lt;&gt;"",EJ$23&lt;&gt;""),IF(EOMONTH($EH$3+INT((DAY(EOMONTH($EH$3,0))-1)/2)+EJ$23,0)=EOMONTH($CL$3,0),EJ$26,0),0),IF(AND(EF$26&lt;&gt;"",EF$23&lt;&gt;""),IF(EOMONTH($ED$3+INT((DAY(EOMONTH($ED$3,0))-1)/2)+EF$23,0)=EOMONTH($CL$3,0),EF$26,0),0),IF(AND(EB$26&lt;&gt;"",EB$23&lt;&gt;""),IF(EOMONTH($DZ$3+INT((DAY(EOMONTH($DZ$3,0))-1)/2)+EB$23,0)=EOMONTH($CL$3,0),EB$26,0),0),IF(AND(DX$26&lt;&gt;"",DX$23&lt;&gt;""),IF(EOMONTH($DV$3+INT((DAY(EOMONTH($DV$3,0))-1)/2)+DX$23,0)=EOMONTH($CL$3,0),DX$26,0),0),IF(AND(DT$26&lt;&gt;"",DT$23&lt;&gt;""),IF(EOMONTH($DR$3+INT((DAY(EOMONTH($DR$3,0))-1)/2)+DT$23,0)=EOMONTH($CL$3,0),DT$26,0),0),IF(AND(DP$26&lt;&gt;"",DP$23&lt;&gt;""),IF(EOMONTH($DN$3+INT((DAY(EOMONTH($DN$3,0))-1)/2)+DP$23,0)=EOMONTH($CL$3,0),DP$26,0),0),IF(AND(DL$26&lt;&gt;"",DL$23&lt;&gt;""),IF(EOMONTH($DJ$3+INT((DAY(EOMONTH($DJ$3,0))-1)/2)+DL$23,0)=EOMONTH($CL$3,0),DL$26,0),0),IF(AND(DH$26&lt;&gt;"",DH$23&lt;&gt;""),IF(EOMONTH($DF$3+INT((DAY(EOMONTH($DF$3,0))-1)/2)+DH$23,0)=EOMONTH($CL$3,0),DH$26,0),0),IF(AND(DD$26&lt;&gt;"",DD$23&lt;&gt;""),IF(EOMONTH($DB$3+INT((DAY(EOMONTH($DB$3,0))-1)/2)+DD$23,0)=EOMONTH($CL$3,0),DD$26,0),0),IF(AND(CZ$26&lt;&gt;"",CZ$23&lt;&gt;""),IF(EOMONTH($CX$3+INT((DAY(EOMONTH($CX$3,0))-1)/2)+CZ$23,0)=EOMONTH($CL$3,0),CZ$26,0),0),IF(AND(CV$26&lt;&gt;"",CV$23&lt;&gt;""),IF(EOMONTH($CT$3+INT((DAY(EOMONTH($CT$3,0))-1)/2)+CV$23,0)=EOMONTH($CL$3,0),CV$26,0),0),IF(AND(CR$26&lt;&gt;"",CR$23&lt;&gt;""),IF(EOMONTH($CP$3+INT((DAY(EOMONTH($CP$3,0))-1)/2)+CR$23,0)=EOMONTH($CL$3,0),CR$26,0),0),IF(AND(CN$26&lt;&gt;"",CN$23&lt;&gt;""),IF(EOMONTH($CL$3+INT((DAY(EOMONTH($CL$3,0))-1)/2)+CN$23,0)=EOMONTH($CL$3,0),CN$26,0),0),IF(AND(CJ$26&lt;&gt;"",CJ$23&lt;&gt;""),IF(EOMONTH($CH$3+INT((DAY(EOMONTH($CH$3,0))-1)/2)+CJ$23,0)=EOMONTH($CL$3,0),CJ$26,0),0),IF(AND(CF$26&lt;&gt;"",CF$23&lt;&gt;""),IF(EOMONTH($CD$3+INT((DAY(EOMONTH($CD$3,0))-1)/2)+CF$23,0)=EOMONTH($CL$3,0),CF$26,0),0),IF(AND(CB$26&lt;&gt;"",CB$23&lt;&gt;""),IF(EOMONTH($BZ$3+INT((DAY(EOMONTH($BZ$3,0))-1)/2)+CB$23,0)=EOMONTH($CL$3,0),CB$26,0),0),IF(AND(BX$26&lt;&gt;"",BX$23&lt;&gt;""),IF(EOMONTH($BV$3+INT((DAY(EOMONTH($BV$3,0))-1)/2)+BX$23,0)=EOMONTH($CL$3,0),BX$26,0),0),IF(AND(BT$26&lt;&gt;"",BT$23&lt;&gt;""),IF(EOMONTH($BR$3+INT((DAY(EOMONTH($BR$3,0))-1)/2)+BT$23,0)=EOMONTH($CL$3,0),BT$26,0),0),IF(AND(BP$26&lt;&gt;"",BP$23&lt;&gt;""),IF(EOMONTH($BN$3+INT((DAY(EOMONTH($BN$3,0))-1)/2)+BP$23,0)=EOMONTH($CL$3,0),BP$26,0),0),IF(AND(BL$26&lt;&gt;"",BL$23&lt;&gt;""),IF(EOMONTH($BJ$3+INT((DAY(EOMONTH($BJ$3,0))-1)/2)+BL$23,0)=EOMONTH($CL$3,0),BL$26,0),0),IF(AND(BH$26&lt;&gt;"",BH$23&lt;&gt;""),IF(EOMONTH($BF$3+INT((DAY(EOMONTH($BF$3,0))-1)/2)+BH$23,0)=EOMONTH($CL$3,0),BH$26,0),0),IF(AND(BD$26&lt;&gt;"",BD$23&lt;&gt;""),IF(EOMONTH($BB$3+INT((DAY(EOMONTH($BB$3,0))-1)/2)+BD$23,0)=EOMONTH($CL$3,0),BD$26,0),0),IF(AND(AZ$26&lt;&gt;"",AZ$23&lt;&gt;""),IF(EOMONTH($AX$3+INT((DAY(EOMONTH($AX$3,0))-1)/2)+AZ$23,0)=EOMONTH($CL$3,0),AZ$26,0),0),IF(AND(AV$26&lt;&gt;"",AV$23&lt;&gt;""),IF(EOMONTH($AT$3+INT((DAY(EOMONTH($AT$3,0))-1)/2)+AV$23,0)=EOMONTH($CL$3,0),AV$26,0),0),IF(AND(AR$26&lt;&gt;"",AR$23&lt;&gt;""),IF(EOMONTH($AP$3+INT((DAY(EOMONTH($AP$3,0))-1)/2)+AR$23,0)=EOMONTH($CL$3,0),AR$26,0),0),IF(AND(AN$26&lt;&gt;"",AN$23&lt;&gt;""),IF(EOMONTH($AL$3+INT((DAY(EOMONTH($AL$3,0))-1)/2)+AN$23,0)=EOMONTH($CL$3,0),AN$26,0),0),IF(AND(AJ$26&lt;&gt;"",AJ$23&lt;&gt;""),IF(EOMONTH($AH$3+INT((DAY(EOMONTH($AH$3,0))-1)/2)+AJ$23,0)=EOMONTH($CL$3,0),AJ$26,0),0),IF(AND(AF$26&lt;&gt;"",AF$23&lt;&gt;""),IF(EOMONTH($AD$3+INT((DAY(EOMONTH($AD$3,0))-1)/2)+AF$23,0)=EOMONTH($CL$3,0),AF$26,0),0),IF(AND(AB$26&lt;&gt;"",AB$23&lt;&gt;""),IF(EOMONTH($Z$3+INT((DAY(EOMONTH($Z$3,0))-1)/2)+AB$23,0)=EOMONTH($CL$3,0),AB$26,0),0),IF(AND(X$26&lt;&gt;"",X$23&lt;&gt;""),IF(EOMONTH($V$3+INT((DAY(EOMONTH($V$3,0))-1)/2)+X$23,0)=EOMONTH($CL$3,0),X$26,0),0),IF(AND(T$26&lt;&gt;"",T$23&lt;&gt;""),IF(EOMONTH($R$3+INT((DAY(EOMONTH($R$3,0))-1)/2)+T$23,0)=EOMONTH($CL$3,0),T$26,0),0),IF(AND(P$26&lt;&gt;"",P$23&lt;&gt;""),IF(EOMONTH($N$3+INT((DAY(EOMONTH($N$3,0))-1)/2)+P$23,0)=EOMONTH($CL$3,0),P$26,0),0),IF(AND(L$26&lt;&gt;"",L$23&lt;&gt;""),IF(EOMONTH($J$3+INT((DAY(EOMONTH($J$3,0))-1)/2)+L$23,0)=EOMONTH($CL$3,0),L$26,0),0),IF(AND(H$26&lt;&gt;"",H$23&lt;&gt;""),IF(EOMONTH($F$3+INT((DAY(EOMONTH($F$3,0))-1)/2)+H$23,0)=EOMONTH($CL$3,0),H$26,0),0),IF($EP$75="",0,IF(EOMONTH($EP$75+ER$23,0)=EOMONTH($CL$3,0),$EP$78*ER$13,0))),0)</f>
        <v>0</v>
      </c>
      <c r="CO57" s="33">
        <f t="shared" ref="CO57:CO70" si="744">IFERROR(IF(OR(CM57="",CN57=""),"",CM57-CN57),"")</f>
        <v>0</v>
      </c>
      <c r="CP57" s="34"/>
      <c r="CQ57" s="31">
        <f>IF(CP$98=1,CP57,ROUND(SUM(IF(AND(EQ$26&lt;&gt;"",EQ$23&lt;&gt;""),IF(EOMONTH($EP$3+INT((DAY(EOMONTH($EP$3,0))-1)/2)+EQ$23,0)=EOMONTH($CP$3,0),EQ$26,0),0),IF(AND(EM$26&lt;&gt;"",EM$23&lt;&gt;""),IF(EOMONTH($EL$3+INT((DAY(EOMONTH($EL$3,0))-1)/2)+EM$23,0)=EOMONTH($CP$3,0),EM$26,0),0),IF(AND(EI$26&lt;&gt;"",EI$23&lt;&gt;""),IF(EOMONTH($EH$3+INT((DAY(EOMONTH($EH$3,0))-1)/2)+EI$23,0)=EOMONTH($CP$3,0),EI$26,0),0),IF(AND(EE$26&lt;&gt;"",EE$23&lt;&gt;""),IF(EOMONTH($ED$3+INT((DAY(EOMONTH($ED$3,0))-1)/2)+EE$23,0)=EOMONTH($CP$3,0),EE$26,0),0),IF(AND(EA$26&lt;&gt;"",EA$23&lt;&gt;""),IF(EOMONTH($DZ$3+INT((DAY(EOMONTH($DZ$3,0))-1)/2)+EA$23,0)=EOMONTH($CP$3,0),EA$26,0),0),IF(AND(DW$26&lt;&gt;"",DW$23&lt;&gt;""),IF(EOMONTH($DV$3+INT((DAY(EOMONTH($DV$3,0))-1)/2)+DW$23,0)=EOMONTH($CP$3,0),DW$26,0),0),IF(AND(DS$26&lt;&gt;"",DS$23&lt;&gt;""),IF(EOMONTH($DR$3+INT((DAY(EOMONTH($DR$3,0))-1)/2)+DS$23,0)=EOMONTH($CP$3,0),DS$26,0),0),IF(AND(DO$26&lt;&gt;"",DO$23&lt;&gt;""),IF(EOMONTH($DN$3+INT((DAY(EOMONTH($DN$3,0))-1)/2)+DO$23,0)=EOMONTH($CP$3,0),DO$26,0),0),IF(AND(DK$26&lt;&gt;"",DK$23&lt;&gt;""),IF(EOMONTH($DJ$3+INT((DAY(EOMONTH($DJ$3,0))-1)/2)+DK$23,0)=EOMONTH($CP$3,0),DK$26,0),0),IF(AND(DG$26&lt;&gt;"",DG$23&lt;&gt;""),IF(EOMONTH($DF$3+INT((DAY(EOMONTH($DF$3,0))-1)/2)+DG$23,0)=EOMONTH($CP$3,0),DG$26,0),0),IF(AND(DC$26&lt;&gt;"",DC$23&lt;&gt;""),IF(EOMONTH($DB$3+INT((DAY(EOMONTH($DB$3,0))-1)/2)+DC$23,0)=EOMONTH($CP$3,0),DC$26,0),0),IF(AND(CY$26&lt;&gt;"",CY$23&lt;&gt;""),IF(EOMONTH($CX$3+INT((DAY(EOMONTH($CX$3,0))-1)/2)+CY$23,0)=EOMONTH($CP$3,0),CY$26,0),0),IF(AND(CU$26&lt;&gt;"",CU$23&lt;&gt;""),IF(EOMONTH($CT$3+INT((DAY(EOMONTH($CT$3,0))-1)/2)+CU$23,0)=EOMONTH($CP$3,0),CU$26,0),0),IF(AND(CQ$26&lt;&gt;"",CQ$23&lt;&gt;""),IF(EOMONTH($CP$3+INT((DAY(EOMONTH($CP$3,0))-1)/2)+CQ$23,0)=EOMONTH($CP$3,0),CQ$26,0),0),IF(AND(CM$26&lt;&gt;"",CM$23&lt;&gt;""),IF(EOMONTH($CL$3+INT((DAY(EOMONTH($CL$3,0))-1)/2)+CM$23,0)=EOMONTH($CP$3,0),CM$26,0),0),IF(AND(CI$26&lt;&gt;"",CI$23&lt;&gt;""),IF(EOMONTH($CH$3+INT((DAY(EOMONTH($CH$3,0))-1)/2)+CI$23,0)=EOMONTH($CP$3,0),CI$26,0),0),IF(AND(CE$26&lt;&gt;"",CE$23&lt;&gt;""),IF(EOMONTH($CD$3+INT((DAY(EOMONTH($CD$3,0))-1)/2)+CE$23,0)=EOMONTH($CP$3,0),CE$26,0),0),IF(AND(CA$26&lt;&gt;"",CA$23&lt;&gt;""),IF(EOMONTH($BZ$3+INT((DAY(EOMONTH($BZ$3,0))-1)/2)+CA$23,0)=EOMONTH($CP$3,0),CA$26,0),0),IF(AND(BW$26&lt;&gt;"",BW$23&lt;&gt;""),IF(EOMONTH($BV$3+INT((DAY(EOMONTH($BV$3,0))-1)/2)+BW$23,0)=EOMONTH($CP$3,0),BW$26,0),0),IF(AND(BS$26&lt;&gt;"",BS$23&lt;&gt;""),IF(EOMONTH($BR$3+INT((DAY(EOMONTH($BR$3,0))-1)/2)+BS$23,0)=EOMONTH($CP$3,0),BS$26,0),0),IF(AND(BO$26&lt;&gt;"",BO$23&lt;&gt;""),IF(EOMONTH($BN$3+INT((DAY(EOMONTH($BN$3,0))-1)/2)+BO$23,0)=EOMONTH($CP$3,0),BO$26,0),0),IF(AND(BK$26&lt;&gt;"",BK$23&lt;&gt;""),IF(EOMONTH($BJ$3+INT((DAY(EOMONTH($BJ$3,0))-1)/2)+BK$23,0)=EOMONTH($CP$3,0),BK$26,0),0),IF(AND(BG$26&lt;&gt;"",BG$23&lt;&gt;""),IF(EOMONTH($BF$3+INT((DAY(EOMONTH($BF$3,0))-1)/2)+BG$23,0)=EOMONTH($CP$3,0),BG$26,0),0),IF(AND(BC$26&lt;&gt;"",BC$23&lt;&gt;""),IF(EOMONTH($BB$3+INT((DAY(EOMONTH($BB$3,0))-1)/2)+BC$23,0)=EOMONTH($CP$3,0),BC$26,0),0),IF(AND(AY$26&lt;&gt;"",AY$23&lt;&gt;""),IF(EOMONTH($AX$3+INT((DAY(EOMONTH($AX$3,0))-1)/2)+AY$23,0)=EOMONTH($CP$3,0),AY$26,0),0),IF(AND(AU$26&lt;&gt;"",AU$23&lt;&gt;""),IF(EOMONTH($AT$3+INT((DAY(EOMONTH($AT$3,0))-1)/2)+AU$23,0)=EOMONTH($CP$3,0),AU$26,0),0),IF(AND(AQ$26&lt;&gt;"",AQ$23&lt;&gt;""),IF(EOMONTH($AP$3+INT((DAY(EOMONTH($AP$3,0))-1)/2)+AQ$23,0)=EOMONTH($CP$3,0),AQ$26,0),0),IF(AND(AM$26&lt;&gt;"",AM$23&lt;&gt;""),IF(EOMONTH($AL$3+INT((DAY(EOMONTH($AL$3,0))-1)/2)+AM$23,0)=EOMONTH($CP$3,0),AM$26,0),0),IF(AND(AI$26&lt;&gt;"",AI$23&lt;&gt;""),IF(EOMONTH($AH$3+INT((DAY(EOMONTH($AH$3,0))-1)/2)+AI$23,0)=EOMONTH($CP$3,0),AI$26,0),0),IF(AND(AE$26&lt;&gt;"",AE$23&lt;&gt;""),IF(EOMONTH($AD$3+INT((DAY(EOMONTH($AD$3,0))-1)/2)+AE$23,0)=EOMONTH($CP$3,0),AE$26,0),0),IF(AND(AA$26&lt;&gt;"",AA$23&lt;&gt;""),IF(EOMONTH($Z$3+INT((DAY(EOMONTH($Z$3,0))-1)/2)+AA$23,0)=EOMONTH($CP$3,0),AA$26,0),0),IF(AND(W$26&lt;&gt;"",W$23&lt;&gt;""),IF(EOMONTH($V$3+INT((DAY(EOMONTH($V$3,0))-1)/2)+W$23,0)=EOMONTH($CP$3,0),W$26,0),0),IF(AND(S$26&lt;&gt;"",S$23&lt;&gt;""),IF(EOMONTH($R$3+INT((DAY(EOMONTH($R$3,0))-1)/2)+S$23,0)=EOMONTH($CP$3,0),S$26,0),0),IF(AND(O$26&lt;&gt;"",O$23&lt;&gt;""),IF(EOMONTH($N$3+INT((DAY(EOMONTH($N$3,0))-1)/2)+O$23,0)=EOMONTH($CP$3,0),O$26,0),0),IF(AND(K$26&lt;&gt;"",K$23&lt;&gt;""),IF(EOMONTH($J$3+INT((DAY(EOMONTH($J$3,0))-1)/2)+K$23,0)=EOMONTH($CP$3,0),K$26,0),0),IF(AND(G$26&lt;&gt;"",G$23&lt;&gt;""),IF(EOMONTH($F$3+INT((DAY(EOMONTH($F$3,0))-1)/2)+G$23,0)=EOMONTH($CP$3,0),G$26,0),0),IF($EP$75="",0,IF(EOMONTH($EP$75+EQ$23,0)=EOMONTH($CP$3,0),$EP$78*EQ$13,0))),0))</f>
        <v>0</v>
      </c>
      <c r="CR57" s="32">
        <f>ROUND(SUM(IF(AND(ER$26&lt;&gt;"",ER$23&lt;&gt;""),IF(EOMONTH($EP$3+INT((DAY(EOMONTH($EP$3,0))-1)/2)+ER$23,0)=EOMONTH($CP$3,0),ER$26,0),0),IF(AND(EN$26&lt;&gt;"",EN$23&lt;&gt;""),IF(EOMONTH($EL$3+INT((DAY(EOMONTH($EL$3,0))-1)/2)+EN$23,0)=EOMONTH($CP$3,0),EN$26,0),0),IF(AND(EJ$26&lt;&gt;"",EJ$23&lt;&gt;""),IF(EOMONTH($EH$3+INT((DAY(EOMONTH($EH$3,0))-1)/2)+EJ$23,0)=EOMONTH($CP$3,0),EJ$26,0),0),IF(AND(EF$26&lt;&gt;"",EF$23&lt;&gt;""),IF(EOMONTH($ED$3+INT((DAY(EOMONTH($ED$3,0))-1)/2)+EF$23,0)=EOMONTH($CP$3,0),EF$26,0),0),IF(AND(EB$26&lt;&gt;"",EB$23&lt;&gt;""),IF(EOMONTH($DZ$3+INT((DAY(EOMONTH($DZ$3,0))-1)/2)+EB$23,0)=EOMONTH($CP$3,0),EB$26,0),0),IF(AND(DX$26&lt;&gt;"",DX$23&lt;&gt;""),IF(EOMONTH($DV$3+INT((DAY(EOMONTH($DV$3,0))-1)/2)+DX$23,0)=EOMONTH($CP$3,0),DX$26,0),0),IF(AND(DT$26&lt;&gt;"",DT$23&lt;&gt;""),IF(EOMONTH($DR$3+INT((DAY(EOMONTH($DR$3,0))-1)/2)+DT$23,0)=EOMONTH($CP$3,0),DT$26,0),0),IF(AND(DP$26&lt;&gt;"",DP$23&lt;&gt;""),IF(EOMONTH($DN$3+INT((DAY(EOMONTH($DN$3,0))-1)/2)+DP$23,0)=EOMONTH($CP$3,0),DP$26,0),0),IF(AND(DL$26&lt;&gt;"",DL$23&lt;&gt;""),IF(EOMONTH($DJ$3+INT((DAY(EOMONTH($DJ$3,0))-1)/2)+DL$23,0)=EOMONTH($CP$3,0),DL$26,0),0),IF(AND(DH$26&lt;&gt;"",DH$23&lt;&gt;""),IF(EOMONTH($DF$3+INT((DAY(EOMONTH($DF$3,0))-1)/2)+DH$23,0)=EOMONTH($CP$3,0),DH$26,0),0),IF(AND(DD$26&lt;&gt;"",DD$23&lt;&gt;""),IF(EOMONTH($DB$3+INT((DAY(EOMONTH($DB$3,0))-1)/2)+DD$23,0)=EOMONTH($CP$3,0),DD$26,0),0),IF(AND(CZ$26&lt;&gt;"",CZ$23&lt;&gt;""),IF(EOMONTH($CX$3+INT((DAY(EOMONTH($CX$3,0))-1)/2)+CZ$23,0)=EOMONTH($CP$3,0),CZ$26,0),0),IF(AND(CV$26&lt;&gt;"",CV$23&lt;&gt;""),IF(EOMONTH($CT$3+INT((DAY(EOMONTH($CT$3,0))-1)/2)+CV$23,0)=EOMONTH($CP$3,0),CV$26,0),0),IF(AND(CR$26&lt;&gt;"",CR$23&lt;&gt;""),IF(EOMONTH($CP$3+INT((DAY(EOMONTH($CP$3,0))-1)/2)+CR$23,0)=EOMONTH($CP$3,0),CR$26,0),0),IF(AND(CN$26&lt;&gt;"",CN$23&lt;&gt;""),IF(EOMONTH($CL$3+INT((DAY(EOMONTH($CL$3,0))-1)/2)+CN$23,0)=EOMONTH($CP$3,0),CN$26,0),0),IF(AND(CJ$26&lt;&gt;"",CJ$23&lt;&gt;""),IF(EOMONTH($CH$3+INT((DAY(EOMONTH($CH$3,0))-1)/2)+CJ$23,0)=EOMONTH($CP$3,0),CJ$26,0),0),IF(AND(CF$26&lt;&gt;"",CF$23&lt;&gt;""),IF(EOMONTH($CD$3+INT((DAY(EOMONTH($CD$3,0))-1)/2)+CF$23,0)=EOMONTH($CP$3,0),CF$26,0),0),IF(AND(CB$26&lt;&gt;"",CB$23&lt;&gt;""),IF(EOMONTH($BZ$3+INT((DAY(EOMONTH($BZ$3,0))-1)/2)+CB$23,0)=EOMONTH($CP$3,0),CB$26,0),0),IF(AND(BX$26&lt;&gt;"",BX$23&lt;&gt;""),IF(EOMONTH($BV$3+INT((DAY(EOMONTH($BV$3,0))-1)/2)+BX$23,0)=EOMONTH($CP$3,0),BX$26,0),0),IF(AND(BT$26&lt;&gt;"",BT$23&lt;&gt;""),IF(EOMONTH($BR$3+INT((DAY(EOMONTH($BR$3,0))-1)/2)+BT$23,0)=EOMONTH($CP$3,0),BT$26,0),0),IF(AND(BP$26&lt;&gt;"",BP$23&lt;&gt;""),IF(EOMONTH($BN$3+INT((DAY(EOMONTH($BN$3,0))-1)/2)+BP$23,0)=EOMONTH($CP$3,0),BP$26,0),0),IF(AND(BL$26&lt;&gt;"",BL$23&lt;&gt;""),IF(EOMONTH($BJ$3+INT((DAY(EOMONTH($BJ$3,0))-1)/2)+BL$23,0)=EOMONTH($CP$3,0),BL$26,0),0),IF(AND(BH$26&lt;&gt;"",BH$23&lt;&gt;""),IF(EOMONTH($BF$3+INT((DAY(EOMONTH($BF$3,0))-1)/2)+BH$23,0)=EOMONTH($CP$3,0),BH$26,0),0),IF(AND(BD$26&lt;&gt;"",BD$23&lt;&gt;""),IF(EOMONTH($BB$3+INT((DAY(EOMONTH($BB$3,0))-1)/2)+BD$23,0)=EOMONTH($CP$3,0),BD$26,0),0),IF(AND(AZ$26&lt;&gt;"",AZ$23&lt;&gt;""),IF(EOMONTH($AX$3+INT((DAY(EOMONTH($AX$3,0))-1)/2)+AZ$23,0)=EOMONTH($CP$3,0),AZ$26,0),0),IF(AND(AV$26&lt;&gt;"",AV$23&lt;&gt;""),IF(EOMONTH($AT$3+INT((DAY(EOMONTH($AT$3,0))-1)/2)+AV$23,0)=EOMONTH($CP$3,0),AV$26,0),0),IF(AND(AR$26&lt;&gt;"",AR$23&lt;&gt;""),IF(EOMONTH($AP$3+INT((DAY(EOMONTH($AP$3,0))-1)/2)+AR$23,0)=EOMONTH($CP$3,0),AR$26,0),0),IF(AND(AN$26&lt;&gt;"",AN$23&lt;&gt;""),IF(EOMONTH($AL$3+INT((DAY(EOMONTH($AL$3,0))-1)/2)+AN$23,0)=EOMONTH($CP$3,0),AN$26,0),0),IF(AND(AJ$26&lt;&gt;"",AJ$23&lt;&gt;""),IF(EOMONTH($AH$3+INT((DAY(EOMONTH($AH$3,0))-1)/2)+AJ$23,0)=EOMONTH($CP$3,0),AJ$26,0),0),IF(AND(AF$26&lt;&gt;"",AF$23&lt;&gt;""),IF(EOMONTH($AD$3+INT((DAY(EOMONTH($AD$3,0))-1)/2)+AF$23,0)=EOMONTH($CP$3,0),AF$26,0),0),IF(AND(AB$26&lt;&gt;"",AB$23&lt;&gt;""),IF(EOMONTH($Z$3+INT((DAY(EOMONTH($Z$3,0))-1)/2)+AB$23,0)=EOMONTH($CP$3,0),AB$26,0),0),IF(AND(X$26&lt;&gt;"",X$23&lt;&gt;""),IF(EOMONTH($V$3+INT((DAY(EOMONTH($V$3,0))-1)/2)+X$23,0)=EOMONTH($CP$3,0),X$26,0),0),IF(AND(T$26&lt;&gt;"",T$23&lt;&gt;""),IF(EOMONTH($R$3+INT((DAY(EOMONTH($R$3,0))-1)/2)+T$23,0)=EOMONTH($CP$3,0),T$26,0),0),IF(AND(P$26&lt;&gt;"",P$23&lt;&gt;""),IF(EOMONTH($N$3+INT((DAY(EOMONTH($N$3,0))-1)/2)+P$23,0)=EOMONTH($CP$3,0),P$26,0),0),IF(AND(L$26&lt;&gt;"",L$23&lt;&gt;""),IF(EOMONTH($J$3+INT((DAY(EOMONTH($J$3,0))-1)/2)+L$23,0)=EOMONTH($CP$3,0),L$26,0),0),IF(AND(H$26&lt;&gt;"",H$23&lt;&gt;""),IF(EOMONTH($F$3+INT((DAY(EOMONTH($F$3,0))-1)/2)+H$23,0)=EOMONTH($CP$3,0),H$26,0),0),IF($EP$75="",0,IF(EOMONTH($EP$75+ER$23,0)=EOMONTH($CP$3,0),$EP$78*ER$13,0))),0)</f>
        <v>0</v>
      </c>
      <c r="CS57" s="33">
        <f t="shared" ref="CS57:CS70" si="746">IFERROR(IF(OR(CQ57="",CR57=""),"",CQ57-CR57),"")</f>
        <v>0</v>
      </c>
      <c r="CT57" s="34"/>
      <c r="CU57" s="31">
        <f>IF(CT$98=1,CT57,ROUND(SUM(IF(AND(EQ$26&lt;&gt;"",EQ$23&lt;&gt;""),IF(EOMONTH($EP$3+INT((DAY(EOMONTH($EP$3,0))-1)/2)+EQ$23,0)=EOMONTH($CT$3,0),EQ$26,0),0),IF(AND(EM$26&lt;&gt;"",EM$23&lt;&gt;""),IF(EOMONTH($EL$3+INT((DAY(EOMONTH($EL$3,0))-1)/2)+EM$23,0)=EOMONTH($CT$3,0),EM$26,0),0),IF(AND(EI$26&lt;&gt;"",EI$23&lt;&gt;""),IF(EOMONTH($EH$3+INT((DAY(EOMONTH($EH$3,0))-1)/2)+EI$23,0)=EOMONTH($CT$3,0),EI$26,0),0),IF(AND(EE$26&lt;&gt;"",EE$23&lt;&gt;""),IF(EOMONTH($ED$3+INT((DAY(EOMONTH($ED$3,0))-1)/2)+EE$23,0)=EOMONTH($CT$3,0),EE$26,0),0),IF(AND(EA$26&lt;&gt;"",EA$23&lt;&gt;""),IF(EOMONTH($DZ$3+INT((DAY(EOMONTH($DZ$3,0))-1)/2)+EA$23,0)=EOMONTH($CT$3,0),EA$26,0),0),IF(AND(DW$26&lt;&gt;"",DW$23&lt;&gt;""),IF(EOMONTH($DV$3+INT((DAY(EOMONTH($DV$3,0))-1)/2)+DW$23,0)=EOMONTH($CT$3,0),DW$26,0),0),IF(AND(DS$26&lt;&gt;"",DS$23&lt;&gt;""),IF(EOMONTH($DR$3+INT((DAY(EOMONTH($DR$3,0))-1)/2)+DS$23,0)=EOMONTH($CT$3,0),DS$26,0),0),IF(AND(DO$26&lt;&gt;"",DO$23&lt;&gt;""),IF(EOMONTH($DN$3+INT((DAY(EOMONTH($DN$3,0))-1)/2)+DO$23,0)=EOMONTH($CT$3,0),DO$26,0),0),IF(AND(DK$26&lt;&gt;"",DK$23&lt;&gt;""),IF(EOMONTH($DJ$3+INT((DAY(EOMONTH($DJ$3,0))-1)/2)+DK$23,0)=EOMONTH($CT$3,0),DK$26,0),0),IF(AND(DG$26&lt;&gt;"",DG$23&lt;&gt;""),IF(EOMONTH($DF$3+INT((DAY(EOMONTH($DF$3,0))-1)/2)+DG$23,0)=EOMONTH($CT$3,0),DG$26,0),0),IF(AND(DC$26&lt;&gt;"",DC$23&lt;&gt;""),IF(EOMONTH($DB$3+INT((DAY(EOMONTH($DB$3,0))-1)/2)+DC$23,0)=EOMONTH($CT$3,0),DC$26,0),0),IF(AND(CY$26&lt;&gt;"",CY$23&lt;&gt;""),IF(EOMONTH($CX$3+INT((DAY(EOMONTH($CX$3,0))-1)/2)+CY$23,0)=EOMONTH($CT$3,0),CY$26,0),0),IF(AND(CU$26&lt;&gt;"",CU$23&lt;&gt;""),IF(EOMONTH($CT$3+INT((DAY(EOMONTH($CT$3,0))-1)/2)+CU$23,0)=EOMONTH($CT$3,0),CU$26,0),0),IF(AND(CQ$26&lt;&gt;"",CQ$23&lt;&gt;""),IF(EOMONTH($CP$3+INT((DAY(EOMONTH($CP$3,0))-1)/2)+CQ$23,0)=EOMONTH($CT$3,0),CQ$26,0),0),IF(AND(CM$26&lt;&gt;"",CM$23&lt;&gt;""),IF(EOMONTH($CL$3+INT((DAY(EOMONTH($CL$3,0))-1)/2)+CM$23,0)=EOMONTH($CT$3,0),CM$26,0),0),IF(AND(CI$26&lt;&gt;"",CI$23&lt;&gt;""),IF(EOMONTH($CH$3+INT((DAY(EOMONTH($CH$3,0))-1)/2)+CI$23,0)=EOMONTH($CT$3,0),CI$26,0),0),IF(AND(CE$26&lt;&gt;"",CE$23&lt;&gt;""),IF(EOMONTH($CD$3+INT((DAY(EOMONTH($CD$3,0))-1)/2)+CE$23,0)=EOMONTH($CT$3,0),CE$26,0),0),IF(AND(CA$26&lt;&gt;"",CA$23&lt;&gt;""),IF(EOMONTH($BZ$3+INT((DAY(EOMONTH($BZ$3,0))-1)/2)+CA$23,0)=EOMONTH($CT$3,0),CA$26,0),0),IF(AND(BW$26&lt;&gt;"",BW$23&lt;&gt;""),IF(EOMONTH($BV$3+INT((DAY(EOMONTH($BV$3,0))-1)/2)+BW$23,0)=EOMONTH($CT$3,0),BW$26,0),0),IF(AND(BS$26&lt;&gt;"",BS$23&lt;&gt;""),IF(EOMONTH($BR$3+INT((DAY(EOMONTH($BR$3,0))-1)/2)+BS$23,0)=EOMONTH($CT$3,0),BS$26,0),0),IF(AND(BO$26&lt;&gt;"",BO$23&lt;&gt;""),IF(EOMONTH($BN$3+INT((DAY(EOMONTH($BN$3,0))-1)/2)+BO$23,0)=EOMONTH($CT$3,0),BO$26,0),0),IF(AND(BK$26&lt;&gt;"",BK$23&lt;&gt;""),IF(EOMONTH($BJ$3+INT((DAY(EOMONTH($BJ$3,0))-1)/2)+BK$23,0)=EOMONTH($CT$3,0),BK$26,0),0),IF(AND(BG$26&lt;&gt;"",BG$23&lt;&gt;""),IF(EOMONTH($BF$3+INT((DAY(EOMONTH($BF$3,0))-1)/2)+BG$23,0)=EOMONTH($CT$3,0),BG$26,0),0),IF(AND(BC$26&lt;&gt;"",BC$23&lt;&gt;""),IF(EOMONTH($BB$3+INT((DAY(EOMONTH($BB$3,0))-1)/2)+BC$23,0)=EOMONTH($CT$3,0),BC$26,0),0),IF(AND(AY$26&lt;&gt;"",AY$23&lt;&gt;""),IF(EOMONTH($AX$3+INT((DAY(EOMONTH($AX$3,0))-1)/2)+AY$23,0)=EOMONTH($CT$3,0),AY$26,0),0),IF(AND(AU$26&lt;&gt;"",AU$23&lt;&gt;""),IF(EOMONTH($AT$3+INT((DAY(EOMONTH($AT$3,0))-1)/2)+AU$23,0)=EOMONTH($CT$3,0),AU$26,0),0),IF(AND(AQ$26&lt;&gt;"",AQ$23&lt;&gt;""),IF(EOMONTH($AP$3+INT((DAY(EOMONTH($AP$3,0))-1)/2)+AQ$23,0)=EOMONTH($CT$3,0),AQ$26,0),0),IF(AND(AM$26&lt;&gt;"",AM$23&lt;&gt;""),IF(EOMONTH($AL$3+INT((DAY(EOMONTH($AL$3,0))-1)/2)+AM$23,0)=EOMONTH($CT$3,0),AM$26,0),0),IF(AND(AI$26&lt;&gt;"",AI$23&lt;&gt;""),IF(EOMONTH($AH$3+INT((DAY(EOMONTH($AH$3,0))-1)/2)+AI$23,0)=EOMONTH($CT$3,0),AI$26,0),0),IF(AND(AE$26&lt;&gt;"",AE$23&lt;&gt;""),IF(EOMONTH($AD$3+INT((DAY(EOMONTH($AD$3,0))-1)/2)+AE$23,0)=EOMONTH($CT$3,0),AE$26,0),0),IF(AND(AA$26&lt;&gt;"",AA$23&lt;&gt;""),IF(EOMONTH($Z$3+INT((DAY(EOMONTH($Z$3,0))-1)/2)+AA$23,0)=EOMONTH($CT$3,0),AA$26,0),0),IF(AND(W$26&lt;&gt;"",W$23&lt;&gt;""),IF(EOMONTH($V$3+INT((DAY(EOMONTH($V$3,0))-1)/2)+W$23,0)=EOMONTH($CT$3,0),W$26,0),0),IF(AND(S$26&lt;&gt;"",S$23&lt;&gt;""),IF(EOMONTH($R$3+INT((DAY(EOMONTH($R$3,0))-1)/2)+S$23,0)=EOMONTH($CT$3,0),S$26,0),0),IF(AND(O$26&lt;&gt;"",O$23&lt;&gt;""),IF(EOMONTH($N$3+INT((DAY(EOMONTH($N$3,0))-1)/2)+O$23,0)=EOMONTH($CT$3,0),O$26,0),0),IF(AND(K$26&lt;&gt;"",K$23&lt;&gt;""),IF(EOMONTH($J$3+INT((DAY(EOMONTH($J$3,0))-1)/2)+K$23,0)=EOMONTH($CT$3,0),K$26,0),0),IF(AND(G$26&lt;&gt;"",G$23&lt;&gt;""),IF(EOMONTH($F$3+INT((DAY(EOMONTH($F$3,0))-1)/2)+G$23,0)=EOMONTH($CT$3,0),G$26,0),0),IF($EP$75="",0,IF(EOMONTH($EP$75+EQ$23,0)=EOMONTH($CT$3,0),$EP$78*EQ$13,0))),0))</f>
        <v>0</v>
      </c>
      <c r="CV57" s="32">
        <f>ROUND(SUM(IF(AND(ER$26&lt;&gt;"",ER$23&lt;&gt;""),IF(EOMONTH($EP$3+INT((DAY(EOMONTH($EP$3,0))-1)/2)+ER$23,0)=EOMONTH($CT$3,0),ER$26,0),0),IF(AND(EN$26&lt;&gt;"",EN$23&lt;&gt;""),IF(EOMONTH($EL$3+INT((DAY(EOMONTH($EL$3,0))-1)/2)+EN$23,0)=EOMONTH($CT$3,0),EN$26,0),0),IF(AND(EJ$26&lt;&gt;"",EJ$23&lt;&gt;""),IF(EOMONTH($EH$3+INT((DAY(EOMONTH($EH$3,0))-1)/2)+EJ$23,0)=EOMONTH($CT$3,0),EJ$26,0),0),IF(AND(EF$26&lt;&gt;"",EF$23&lt;&gt;""),IF(EOMONTH($ED$3+INT((DAY(EOMONTH($ED$3,0))-1)/2)+EF$23,0)=EOMONTH($CT$3,0),EF$26,0),0),IF(AND(EB$26&lt;&gt;"",EB$23&lt;&gt;""),IF(EOMONTH($DZ$3+INT((DAY(EOMONTH($DZ$3,0))-1)/2)+EB$23,0)=EOMONTH($CT$3,0),EB$26,0),0),IF(AND(DX$26&lt;&gt;"",DX$23&lt;&gt;""),IF(EOMONTH($DV$3+INT((DAY(EOMONTH($DV$3,0))-1)/2)+DX$23,0)=EOMONTH($CT$3,0),DX$26,0),0),IF(AND(DT$26&lt;&gt;"",DT$23&lt;&gt;""),IF(EOMONTH($DR$3+INT((DAY(EOMONTH($DR$3,0))-1)/2)+DT$23,0)=EOMONTH($CT$3,0),DT$26,0),0),IF(AND(DP$26&lt;&gt;"",DP$23&lt;&gt;""),IF(EOMONTH($DN$3+INT((DAY(EOMONTH($DN$3,0))-1)/2)+DP$23,0)=EOMONTH($CT$3,0),DP$26,0),0),IF(AND(DL$26&lt;&gt;"",DL$23&lt;&gt;""),IF(EOMONTH($DJ$3+INT((DAY(EOMONTH($DJ$3,0))-1)/2)+DL$23,0)=EOMONTH($CT$3,0),DL$26,0),0),IF(AND(DH$26&lt;&gt;"",DH$23&lt;&gt;""),IF(EOMONTH($DF$3+INT((DAY(EOMONTH($DF$3,0))-1)/2)+DH$23,0)=EOMONTH($CT$3,0),DH$26,0),0),IF(AND(DD$26&lt;&gt;"",DD$23&lt;&gt;""),IF(EOMONTH($DB$3+INT((DAY(EOMONTH($DB$3,0))-1)/2)+DD$23,0)=EOMONTH($CT$3,0),DD$26,0),0),IF(AND(CZ$26&lt;&gt;"",CZ$23&lt;&gt;""),IF(EOMONTH($CX$3+INT((DAY(EOMONTH($CX$3,0))-1)/2)+CZ$23,0)=EOMONTH($CT$3,0),CZ$26,0),0),IF(AND(CV$26&lt;&gt;"",CV$23&lt;&gt;""),IF(EOMONTH($CT$3+INT((DAY(EOMONTH($CT$3,0))-1)/2)+CV$23,0)=EOMONTH($CT$3,0),CV$26,0),0),IF(AND(CR$26&lt;&gt;"",CR$23&lt;&gt;""),IF(EOMONTH($CP$3+INT((DAY(EOMONTH($CP$3,0))-1)/2)+CR$23,0)=EOMONTH($CT$3,0),CR$26,0),0),IF(AND(CN$26&lt;&gt;"",CN$23&lt;&gt;""),IF(EOMONTH($CL$3+INT((DAY(EOMONTH($CL$3,0))-1)/2)+CN$23,0)=EOMONTH($CT$3,0),CN$26,0),0),IF(AND(CJ$26&lt;&gt;"",CJ$23&lt;&gt;""),IF(EOMONTH($CH$3+INT((DAY(EOMONTH($CH$3,0))-1)/2)+CJ$23,0)=EOMONTH($CT$3,0),CJ$26,0),0),IF(AND(CF$26&lt;&gt;"",CF$23&lt;&gt;""),IF(EOMONTH($CD$3+INT((DAY(EOMONTH($CD$3,0))-1)/2)+CF$23,0)=EOMONTH($CT$3,0),CF$26,0),0),IF(AND(CB$26&lt;&gt;"",CB$23&lt;&gt;""),IF(EOMONTH($BZ$3+INT((DAY(EOMONTH($BZ$3,0))-1)/2)+CB$23,0)=EOMONTH($CT$3,0),CB$26,0),0),IF(AND(BX$26&lt;&gt;"",BX$23&lt;&gt;""),IF(EOMONTH($BV$3+INT((DAY(EOMONTH($BV$3,0))-1)/2)+BX$23,0)=EOMONTH($CT$3,0),BX$26,0),0),IF(AND(BT$26&lt;&gt;"",BT$23&lt;&gt;""),IF(EOMONTH($BR$3+INT((DAY(EOMONTH($BR$3,0))-1)/2)+BT$23,0)=EOMONTH($CT$3,0),BT$26,0),0),IF(AND(BP$26&lt;&gt;"",BP$23&lt;&gt;""),IF(EOMONTH($BN$3+INT((DAY(EOMONTH($BN$3,0))-1)/2)+BP$23,0)=EOMONTH($CT$3,0),BP$26,0),0),IF(AND(BL$26&lt;&gt;"",BL$23&lt;&gt;""),IF(EOMONTH($BJ$3+INT((DAY(EOMONTH($BJ$3,0))-1)/2)+BL$23,0)=EOMONTH($CT$3,0),BL$26,0),0),IF(AND(BH$26&lt;&gt;"",BH$23&lt;&gt;""),IF(EOMONTH($BF$3+INT((DAY(EOMONTH($BF$3,0))-1)/2)+BH$23,0)=EOMONTH($CT$3,0),BH$26,0),0),IF(AND(BD$26&lt;&gt;"",BD$23&lt;&gt;""),IF(EOMONTH($BB$3+INT((DAY(EOMONTH($BB$3,0))-1)/2)+BD$23,0)=EOMONTH($CT$3,0),BD$26,0),0),IF(AND(AZ$26&lt;&gt;"",AZ$23&lt;&gt;""),IF(EOMONTH($AX$3+INT((DAY(EOMONTH($AX$3,0))-1)/2)+AZ$23,0)=EOMONTH($CT$3,0),AZ$26,0),0),IF(AND(AV$26&lt;&gt;"",AV$23&lt;&gt;""),IF(EOMONTH($AT$3+INT((DAY(EOMONTH($AT$3,0))-1)/2)+AV$23,0)=EOMONTH($CT$3,0),AV$26,0),0),IF(AND(AR$26&lt;&gt;"",AR$23&lt;&gt;""),IF(EOMONTH($AP$3+INT((DAY(EOMONTH($AP$3,0))-1)/2)+AR$23,0)=EOMONTH($CT$3,0),AR$26,0),0),IF(AND(AN$26&lt;&gt;"",AN$23&lt;&gt;""),IF(EOMONTH($AL$3+INT((DAY(EOMONTH($AL$3,0))-1)/2)+AN$23,0)=EOMONTH($CT$3,0),AN$26,0),0),IF(AND(AJ$26&lt;&gt;"",AJ$23&lt;&gt;""),IF(EOMONTH($AH$3+INT((DAY(EOMONTH($AH$3,0))-1)/2)+AJ$23,0)=EOMONTH($CT$3,0),AJ$26,0),0),IF(AND(AF$26&lt;&gt;"",AF$23&lt;&gt;""),IF(EOMONTH($AD$3+INT((DAY(EOMONTH($AD$3,0))-1)/2)+AF$23,0)=EOMONTH($CT$3,0),AF$26,0),0),IF(AND(AB$26&lt;&gt;"",AB$23&lt;&gt;""),IF(EOMONTH($Z$3+INT((DAY(EOMONTH($Z$3,0))-1)/2)+AB$23,0)=EOMONTH($CT$3,0),AB$26,0),0),IF(AND(X$26&lt;&gt;"",X$23&lt;&gt;""),IF(EOMONTH($V$3+INT((DAY(EOMONTH($V$3,0))-1)/2)+X$23,0)=EOMONTH($CT$3,0),X$26,0),0),IF(AND(T$26&lt;&gt;"",T$23&lt;&gt;""),IF(EOMONTH($R$3+INT((DAY(EOMONTH($R$3,0))-1)/2)+T$23,0)=EOMONTH($CT$3,0),T$26,0),0),IF(AND(P$26&lt;&gt;"",P$23&lt;&gt;""),IF(EOMONTH($N$3+INT((DAY(EOMONTH($N$3,0))-1)/2)+P$23,0)=EOMONTH($CT$3,0),P$26,0),0),IF(AND(L$26&lt;&gt;"",L$23&lt;&gt;""),IF(EOMONTH($J$3+INT((DAY(EOMONTH($J$3,0))-1)/2)+L$23,0)=EOMONTH($CT$3,0),L$26,0),0),IF(AND(H$26&lt;&gt;"",H$23&lt;&gt;""),IF(EOMONTH($F$3+INT((DAY(EOMONTH($F$3,0))-1)/2)+H$23,0)=EOMONTH($CT$3,0),H$26,0),0),IF($EP$75="",0,IF(EOMONTH($EP$75+ER$23,0)=EOMONTH($CT$3,0),$EP$78*ER$13,0))),0)</f>
        <v>0</v>
      </c>
      <c r="CW57" s="33">
        <f t="shared" ref="CW57:CW70" si="748">IFERROR(IF(OR(CU57="",CV57=""),"",CU57-CV57),"")</f>
        <v>0</v>
      </c>
      <c r="CX57" s="34"/>
      <c r="CY57" s="31">
        <f>IF(CX$98=1,CX57,ROUND(SUM(IF(AND(EQ$26&lt;&gt;"",EQ$23&lt;&gt;""),IF(EOMONTH($EP$3+INT((DAY(EOMONTH($EP$3,0))-1)/2)+EQ$23,0)=EOMONTH($CX$3,0),EQ$26,0),0),IF(AND(EM$26&lt;&gt;"",EM$23&lt;&gt;""),IF(EOMONTH($EL$3+INT((DAY(EOMONTH($EL$3,0))-1)/2)+EM$23,0)=EOMONTH($CX$3,0),EM$26,0),0),IF(AND(EI$26&lt;&gt;"",EI$23&lt;&gt;""),IF(EOMONTH($EH$3+INT((DAY(EOMONTH($EH$3,0))-1)/2)+EI$23,0)=EOMONTH($CX$3,0),EI$26,0),0),IF(AND(EE$26&lt;&gt;"",EE$23&lt;&gt;""),IF(EOMONTH($ED$3+INT((DAY(EOMONTH($ED$3,0))-1)/2)+EE$23,0)=EOMONTH($CX$3,0),EE$26,0),0),IF(AND(EA$26&lt;&gt;"",EA$23&lt;&gt;""),IF(EOMONTH($DZ$3+INT((DAY(EOMONTH($DZ$3,0))-1)/2)+EA$23,0)=EOMONTH($CX$3,0),EA$26,0),0),IF(AND(DW$26&lt;&gt;"",DW$23&lt;&gt;""),IF(EOMONTH($DV$3+INT((DAY(EOMONTH($DV$3,0))-1)/2)+DW$23,0)=EOMONTH($CX$3,0),DW$26,0),0),IF(AND(DS$26&lt;&gt;"",DS$23&lt;&gt;""),IF(EOMONTH($DR$3+INT((DAY(EOMONTH($DR$3,0))-1)/2)+DS$23,0)=EOMONTH($CX$3,0),DS$26,0),0),IF(AND(DO$26&lt;&gt;"",DO$23&lt;&gt;""),IF(EOMONTH($DN$3+INT((DAY(EOMONTH($DN$3,0))-1)/2)+DO$23,0)=EOMONTH($CX$3,0),DO$26,0),0),IF(AND(DK$26&lt;&gt;"",DK$23&lt;&gt;""),IF(EOMONTH($DJ$3+INT((DAY(EOMONTH($DJ$3,0))-1)/2)+DK$23,0)=EOMONTH($CX$3,0),DK$26,0),0),IF(AND(DG$26&lt;&gt;"",DG$23&lt;&gt;""),IF(EOMONTH($DF$3+INT((DAY(EOMONTH($DF$3,0))-1)/2)+DG$23,0)=EOMONTH($CX$3,0),DG$26,0),0),IF(AND(DC$26&lt;&gt;"",DC$23&lt;&gt;""),IF(EOMONTH($DB$3+INT((DAY(EOMONTH($DB$3,0))-1)/2)+DC$23,0)=EOMONTH($CX$3,0),DC$26,0),0),IF(AND(CY$26&lt;&gt;"",CY$23&lt;&gt;""),IF(EOMONTH($CX$3+INT((DAY(EOMONTH($CX$3,0))-1)/2)+CY$23,0)=EOMONTH($CX$3,0),CY$26,0),0),IF(AND(CU$26&lt;&gt;"",CU$23&lt;&gt;""),IF(EOMONTH($CT$3+INT((DAY(EOMONTH($CT$3,0))-1)/2)+CU$23,0)=EOMONTH($CX$3,0),CU$26,0),0),IF(AND(CQ$26&lt;&gt;"",CQ$23&lt;&gt;""),IF(EOMONTH($CP$3+INT((DAY(EOMONTH($CP$3,0))-1)/2)+CQ$23,0)=EOMONTH($CX$3,0),CQ$26,0),0),IF(AND(CM$26&lt;&gt;"",CM$23&lt;&gt;""),IF(EOMONTH($CL$3+INT((DAY(EOMONTH($CL$3,0))-1)/2)+CM$23,0)=EOMONTH($CX$3,0),CM$26,0),0),IF(AND(CI$26&lt;&gt;"",CI$23&lt;&gt;""),IF(EOMONTH($CH$3+INT((DAY(EOMONTH($CH$3,0))-1)/2)+CI$23,0)=EOMONTH($CX$3,0),CI$26,0),0),IF(AND(CE$26&lt;&gt;"",CE$23&lt;&gt;""),IF(EOMONTH($CD$3+INT((DAY(EOMONTH($CD$3,0))-1)/2)+CE$23,0)=EOMONTH($CX$3,0),CE$26,0),0),IF(AND(CA$26&lt;&gt;"",CA$23&lt;&gt;""),IF(EOMONTH($BZ$3+INT((DAY(EOMONTH($BZ$3,0))-1)/2)+CA$23,0)=EOMONTH($CX$3,0),CA$26,0),0),IF(AND(BW$26&lt;&gt;"",BW$23&lt;&gt;""),IF(EOMONTH($BV$3+INT((DAY(EOMONTH($BV$3,0))-1)/2)+BW$23,0)=EOMONTH($CX$3,0),BW$26,0),0),IF(AND(BS$26&lt;&gt;"",BS$23&lt;&gt;""),IF(EOMONTH($BR$3+INT((DAY(EOMONTH($BR$3,0))-1)/2)+BS$23,0)=EOMONTH($CX$3,0),BS$26,0),0),IF(AND(BO$26&lt;&gt;"",BO$23&lt;&gt;""),IF(EOMONTH($BN$3+INT((DAY(EOMONTH($BN$3,0))-1)/2)+BO$23,0)=EOMONTH($CX$3,0),BO$26,0),0),IF(AND(BK$26&lt;&gt;"",BK$23&lt;&gt;""),IF(EOMONTH($BJ$3+INT((DAY(EOMONTH($BJ$3,0))-1)/2)+BK$23,0)=EOMONTH($CX$3,0),BK$26,0),0),IF(AND(BG$26&lt;&gt;"",BG$23&lt;&gt;""),IF(EOMONTH($BF$3+INT((DAY(EOMONTH($BF$3,0))-1)/2)+BG$23,0)=EOMONTH($CX$3,0),BG$26,0),0),IF(AND(BC$26&lt;&gt;"",BC$23&lt;&gt;""),IF(EOMONTH($BB$3+INT((DAY(EOMONTH($BB$3,0))-1)/2)+BC$23,0)=EOMONTH($CX$3,0),BC$26,0),0),IF(AND(AY$26&lt;&gt;"",AY$23&lt;&gt;""),IF(EOMONTH($AX$3+INT((DAY(EOMONTH($AX$3,0))-1)/2)+AY$23,0)=EOMONTH($CX$3,0),AY$26,0),0),IF(AND(AU$26&lt;&gt;"",AU$23&lt;&gt;""),IF(EOMONTH($AT$3+INT((DAY(EOMONTH($AT$3,0))-1)/2)+AU$23,0)=EOMONTH($CX$3,0),AU$26,0),0),IF(AND(AQ$26&lt;&gt;"",AQ$23&lt;&gt;""),IF(EOMONTH($AP$3+INT((DAY(EOMONTH($AP$3,0))-1)/2)+AQ$23,0)=EOMONTH($CX$3,0),AQ$26,0),0),IF(AND(AM$26&lt;&gt;"",AM$23&lt;&gt;""),IF(EOMONTH($AL$3+INT((DAY(EOMONTH($AL$3,0))-1)/2)+AM$23,0)=EOMONTH($CX$3,0),AM$26,0),0),IF(AND(AI$26&lt;&gt;"",AI$23&lt;&gt;""),IF(EOMONTH($AH$3+INT((DAY(EOMONTH($AH$3,0))-1)/2)+AI$23,0)=EOMONTH($CX$3,0),AI$26,0),0),IF(AND(AE$26&lt;&gt;"",AE$23&lt;&gt;""),IF(EOMONTH($AD$3+INT((DAY(EOMONTH($AD$3,0))-1)/2)+AE$23,0)=EOMONTH($CX$3,0),AE$26,0),0),IF(AND(AA$26&lt;&gt;"",AA$23&lt;&gt;""),IF(EOMONTH($Z$3+INT((DAY(EOMONTH($Z$3,0))-1)/2)+AA$23,0)=EOMONTH($CX$3,0),AA$26,0),0),IF(AND(W$26&lt;&gt;"",W$23&lt;&gt;""),IF(EOMONTH($V$3+INT((DAY(EOMONTH($V$3,0))-1)/2)+W$23,0)=EOMONTH($CX$3,0),W$26,0),0),IF(AND(S$26&lt;&gt;"",S$23&lt;&gt;""),IF(EOMONTH($R$3+INT((DAY(EOMONTH($R$3,0))-1)/2)+S$23,0)=EOMONTH($CX$3,0),S$26,0),0),IF(AND(O$26&lt;&gt;"",O$23&lt;&gt;""),IF(EOMONTH($N$3+INT((DAY(EOMONTH($N$3,0))-1)/2)+O$23,0)=EOMONTH($CX$3,0),O$26,0),0),IF(AND(K$26&lt;&gt;"",K$23&lt;&gt;""),IF(EOMONTH($J$3+INT((DAY(EOMONTH($J$3,0))-1)/2)+K$23,0)=EOMONTH($CX$3,0),K$26,0),0),IF(AND(G$26&lt;&gt;"",G$23&lt;&gt;""),IF(EOMONTH($F$3+INT((DAY(EOMONTH($F$3,0))-1)/2)+G$23,0)=EOMONTH($CX$3,0),G$26,0),0),IF($EP$75="",0,IF(EOMONTH($EP$75+EQ$23,0)=EOMONTH($CX$3,0),$EP$78*EQ$13,0))),0))</f>
        <v>0</v>
      </c>
      <c r="CZ57" s="32">
        <f>ROUND(SUM(IF(AND(ER$26&lt;&gt;"",ER$23&lt;&gt;""),IF(EOMONTH($EP$3+INT((DAY(EOMONTH($EP$3,0))-1)/2)+ER$23,0)=EOMONTH($CX$3,0),ER$26,0),0),IF(AND(EN$26&lt;&gt;"",EN$23&lt;&gt;""),IF(EOMONTH($EL$3+INT((DAY(EOMONTH($EL$3,0))-1)/2)+EN$23,0)=EOMONTH($CX$3,0),EN$26,0),0),IF(AND(EJ$26&lt;&gt;"",EJ$23&lt;&gt;""),IF(EOMONTH($EH$3+INT((DAY(EOMONTH($EH$3,0))-1)/2)+EJ$23,0)=EOMONTH($CX$3,0),EJ$26,0),0),IF(AND(EF$26&lt;&gt;"",EF$23&lt;&gt;""),IF(EOMONTH($ED$3+INT((DAY(EOMONTH($ED$3,0))-1)/2)+EF$23,0)=EOMONTH($CX$3,0),EF$26,0),0),IF(AND(EB$26&lt;&gt;"",EB$23&lt;&gt;""),IF(EOMONTH($DZ$3+INT((DAY(EOMONTH($DZ$3,0))-1)/2)+EB$23,0)=EOMONTH($CX$3,0),EB$26,0),0),IF(AND(DX$26&lt;&gt;"",DX$23&lt;&gt;""),IF(EOMONTH($DV$3+INT((DAY(EOMONTH($DV$3,0))-1)/2)+DX$23,0)=EOMONTH($CX$3,0),DX$26,0),0),IF(AND(DT$26&lt;&gt;"",DT$23&lt;&gt;""),IF(EOMONTH($DR$3+INT((DAY(EOMONTH($DR$3,0))-1)/2)+DT$23,0)=EOMONTH($CX$3,0),DT$26,0),0),IF(AND(DP$26&lt;&gt;"",DP$23&lt;&gt;""),IF(EOMONTH($DN$3+INT((DAY(EOMONTH($DN$3,0))-1)/2)+DP$23,0)=EOMONTH($CX$3,0),DP$26,0),0),IF(AND(DL$26&lt;&gt;"",DL$23&lt;&gt;""),IF(EOMONTH($DJ$3+INT((DAY(EOMONTH($DJ$3,0))-1)/2)+DL$23,0)=EOMONTH($CX$3,0),DL$26,0),0),IF(AND(DH$26&lt;&gt;"",DH$23&lt;&gt;""),IF(EOMONTH($DF$3+INT((DAY(EOMONTH($DF$3,0))-1)/2)+DH$23,0)=EOMONTH($CX$3,0),DH$26,0),0),IF(AND(DD$26&lt;&gt;"",DD$23&lt;&gt;""),IF(EOMONTH($DB$3+INT((DAY(EOMONTH($DB$3,0))-1)/2)+DD$23,0)=EOMONTH($CX$3,0),DD$26,0),0),IF(AND(CZ$26&lt;&gt;"",CZ$23&lt;&gt;""),IF(EOMONTH($CX$3+INT((DAY(EOMONTH($CX$3,0))-1)/2)+CZ$23,0)=EOMONTH($CX$3,0),CZ$26,0),0),IF(AND(CV$26&lt;&gt;"",CV$23&lt;&gt;""),IF(EOMONTH($CT$3+INT((DAY(EOMONTH($CT$3,0))-1)/2)+CV$23,0)=EOMONTH($CX$3,0),CV$26,0),0),IF(AND(CR$26&lt;&gt;"",CR$23&lt;&gt;""),IF(EOMONTH($CP$3+INT((DAY(EOMONTH($CP$3,0))-1)/2)+CR$23,0)=EOMONTH($CX$3,0),CR$26,0),0),IF(AND(CN$26&lt;&gt;"",CN$23&lt;&gt;""),IF(EOMONTH($CL$3+INT((DAY(EOMONTH($CL$3,0))-1)/2)+CN$23,0)=EOMONTH($CX$3,0),CN$26,0),0),IF(AND(CJ$26&lt;&gt;"",CJ$23&lt;&gt;""),IF(EOMONTH($CH$3+INT((DAY(EOMONTH($CH$3,0))-1)/2)+CJ$23,0)=EOMONTH($CX$3,0),CJ$26,0),0),IF(AND(CF$26&lt;&gt;"",CF$23&lt;&gt;""),IF(EOMONTH($CD$3+INT((DAY(EOMONTH($CD$3,0))-1)/2)+CF$23,0)=EOMONTH($CX$3,0),CF$26,0),0),IF(AND(CB$26&lt;&gt;"",CB$23&lt;&gt;""),IF(EOMONTH($BZ$3+INT((DAY(EOMONTH($BZ$3,0))-1)/2)+CB$23,0)=EOMONTH($CX$3,0),CB$26,0),0),IF(AND(BX$26&lt;&gt;"",BX$23&lt;&gt;""),IF(EOMONTH($BV$3+INT((DAY(EOMONTH($BV$3,0))-1)/2)+BX$23,0)=EOMONTH($CX$3,0),BX$26,0),0),IF(AND(BT$26&lt;&gt;"",BT$23&lt;&gt;""),IF(EOMONTH($BR$3+INT((DAY(EOMONTH($BR$3,0))-1)/2)+BT$23,0)=EOMONTH($CX$3,0),BT$26,0),0),IF(AND(BP$26&lt;&gt;"",BP$23&lt;&gt;""),IF(EOMONTH($BN$3+INT((DAY(EOMONTH($BN$3,0))-1)/2)+BP$23,0)=EOMONTH($CX$3,0),BP$26,0),0),IF(AND(BL$26&lt;&gt;"",BL$23&lt;&gt;""),IF(EOMONTH($BJ$3+INT((DAY(EOMONTH($BJ$3,0))-1)/2)+BL$23,0)=EOMONTH($CX$3,0),BL$26,0),0),IF(AND(BH$26&lt;&gt;"",BH$23&lt;&gt;""),IF(EOMONTH($BF$3+INT((DAY(EOMONTH($BF$3,0))-1)/2)+BH$23,0)=EOMONTH($CX$3,0),BH$26,0),0),IF(AND(BD$26&lt;&gt;"",BD$23&lt;&gt;""),IF(EOMONTH($BB$3+INT((DAY(EOMONTH($BB$3,0))-1)/2)+BD$23,0)=EOMONTH($CX$3,0),BD$26,0),0),IF(AND(AZ$26&lt;&gt;"",AZ$23&lt;&gt;""),IF(EOMONTH($AX$3+INT((DAY(EOMONTH($AX$3,0))-1)/2)+AZ$23,0)=EOMONTH($CX$3,0),AZ$26,0),0),IF(AND(AV$26&lt;&gt;"",AV$23&lt;&gt;""),IF(EOMONTH($AT$3+INT((DAY(EOMONTH($AT$3,0))-1)/2)+AV$23,0)=EOMONTH($CX$3,0),AV$26,0),0),IF(AND(AR$26&lt;&gt;"",AR$23&lt;&gt;""),IF(EOMONTH($AP$3+INT((DAY(EOMONTH($AP$3,0))-1)/2)+AR$23,0)=EOMONTH($CX$3,0),AR$26,0),0),IF(AND(AN$26&lt;&gt;"",AN$23&lt;&gt;""),IF(EOMONTH($AL$3+INT((DAY(EOMONTH($AL$3,0))-1)/2)+AN$23,0)=EOMONTH($CX$3,0),AN$26,0),0),IF(AND(AJ$26&lt;&gt;"",AJ$23&lt;&gt;""),IF(EOMONTH($AH$3+INT((DAY(EOMONTH($AH$3,0))-1)/2)+AJ$23,0)=EOMONTH($CX$3,0),AJ$26,0),0),IF(AND(AF$26&lt;&gt;"",AF$23&lt;&gt;""),IF(EOMONTH($AD$3+INT((DAY(EOMONTH($AD$3,0))-1)/2)+AF$23,0)=EOMONTH($CX$3,0),AF$26,0),0),IF(AND(AB$26&lt;&gt;"",AB$23&lt;&gt;""),IF(EOMONTH($Z$3+INT((DAY(EOMONTH($Z$3,0))-1)/2)+AB$23,0)=EOMONTH($CX$3,0),AB$26,0),0),IF(AND(X$26&lt;&gt;"",X$23&lt;&gt;""),IF(EOMONTH($V$3+INT((DAY(EOMONTH($V$3,0))-1)/2)+X$23,0)=EOMONTH($CX$3,0),X$26,0),0),IF(AND(T$26&lt;&gt;"",T$23&lt;&gt;""),IF(EOMONTH($R$3+INT((DAY(EOMONTH($R$3,0))-1)/2)+T$23,0)=EOMONTH($CX$3,0),T$26,0),0),IF(AND(P$26&lt;&gt;"",P$23&lt;&gt;""),IF(EOMONTH($N$3+INT((DAY(EOMONTH($N$3,0))-1)/2)+P$23,0)=EOMONTH($CX$3,0),P$26,0),0),IF(AND(L$26&lt;&gt;"",L$23&lt;&gt;""),IF(EOMONTH($J$3+INT((DAY(EOMONTH($J$3,0))-1)/2)+L$23,0)=EOMONTH($CX$3,0),L$26,0),0),IF(AND(H$26&lt;&gt;"",H$23&lt;&gt;""),IF(EOMONTH($F$3+INT((DAY(EOMONTH($F$3,0))-1)/2)+H$23,0)=EOMONTH($CX$3,0),H$26,0),0),IF($EP$75="",0,IF(EOMONTH($EP$75+ER$23,0)=EOMONTH($CX$3,0),$EP$78*ER$13,0))),0)</f>
        <v>0</v>
      </c>
      <c r="DA57" s="33">
        <f t="shared" ref="DA57:DA70" si="750">IFERROR(IF(OR(CY57="",CZ57=""),"",CY57-CZ57),"")</f>
        <v>0</v>
      </c>
      <c r="DB57" s="34"/>
      <c r="DC57" s="31">
        <f>IF(DB$98=1,DB57,ROUND(SUM(IF(AND(EQ$26&lt;&gt;"",EQ$23&lt;&gt;""),IF(EOMONTH($EP$3+INT((DAY(EOMONTH($EP$3,0))-1)/2)+EQ$23,0)=EOMONTH($DB$3,0),EQ$26,0),0),IF(AND(EM$26&lt;&gt;"",EM$23&lt;&gt;""),IF(EOMONTH($EL$3+INT((DAY(EOMONTH($EL$3,0))-1)/2)+EM$23,0)=EOMONTH($DB$3,0),EM$26,0),0),IF(AND(EI$26&lt;&gt;"",EI$23&lt;&gt;""),IF(EOMONTH($EH$3+INT((DAY(EOMONTH($EH$3,0))-1)/2)+EI$23,0)=EOMONTH($DB$3,0),EI$26,0),0),IF(AND(EE$26&lt;&gt;"",EE$23&lt;&gt;""),IF(EOMONTH($ED$3+INT((DAY(EOMONTH($ED$3,0))-1)/2)+EE$23,0)=EOMONTH($DB$3,0),EE$26,0),0),IF(AND(EA$26&lt;&gt;"",EA$23&lt;&gt;""),IF(EOMONTH($DZ$3+INT((DAY(EOMONTH($DZ$3,0))-1)/2)+EA$23,0)=EOMONTH($DB$3,0),EA$26,0),0),IF(AND(DW$26&lt;&gt;"",DW$23&lt;&gt;""),IF(EOMONTH($DV$3+INT((DAY(EOMONTH($DV$3,0))-1)/2)+DW$23,0)=EOMONTH($DB$3,0),DW$26,0),0),IF(AND(DS$26&lt;&gt;"",DS$23&lt;&gt;""),IF(EOMONTH($DR$3+INT((DAY(EOMONTH($DR$3,0))-1)/2)+DS$23,0)=EOMONTH($DB$3,0),DS$26,0),0),IF(AND(DO$26&lt;&gt;"",DO$23&lt;&gt;""),IF(EOMONTH($DN$3+INT((DAY(EOMONTH($DN$3,0))-1)/2)+DO$23,0)=EOMONTH($DB$3,0),DO$26,0),0),IF(AND(DK$26&lt;&gt;"",DK$23&lt;&gt;""),IF(EOMONTH($DJ$3+INT((DAY(EOMONTH($DJ$3,0))-1)/2)+DK$23,0)=EOMONTH($DB$3,0),DK$26,0),0),IF(AND(DG$26&lt;&gt;"",DG$23&lt;&gt;""),IF(EOMONTH($DF$3+INT((DAY(EOMONTH($DF$3,0))-1)/2)+DG$23,0)=EOMONTH($DB$3,0),DG$26,0),0),IF(AND(DC$26&lt;&gt;"",DC$23&lt;&gt;""),IF(EOMONTH($DB$3+INT((DAY(EOMONTH($DB$3,0))-1)/2)+DC$23,0)=EOMONTH($DB$3,0),DC$26,0),0),IF(AND(CY$26&lt;&gt;"",CY$23&lt;&gt;""),IF(EOMONTH($CX$3+INT((DAY(EOMONTH($CX$3,0))-1)/2)+CY$23,0)=EOMONTH($DB$3,0),CY$26,0),0),IF(AND(CU$26&lt;&gt;"",CU$23&lt;&gt;""),IF(EOMONTH($CT$3+INT((DAY(EOMONTH($CT$3,0))-1)/2)+CU$23,0)=EOMONTH($DB$3,0),CU$26,0),0),IF(AND(CQ$26&lt;&gt;"",CQ$23&lt;&gt;""),IF(EOMONTH($CP$3+INT((DAY(EOMONTH($CP$3,0))-1)/2)+CQ$23,0)=EOMONTH($DB$3,0),CQ$26,0),0),IF(AND(CM$26&lt;&gt;"",CM$23&lt;&gt;""),IF(EOMONTH($CL$3+INT((DAY(EOMONTH($CL$3,0))-1)/2)+CM$23,0)=EOMONTH($DB$3,0),CM$26,0),0),IF(AND(CI$26&lt;&gt;"",CI$23&lt;&gt;""),IF(EOMONTH($CH$3+INT((DAY(EOMONTH($CH$3,0))-1)/2)+CI$23,0)=EOMONTH($DB$3,0),CI$26,0),0),IF(AND(CE$26&lt;&gt;"",CE$23&lt;&gt;""),IF(EOMONTH($CD$3+INT((DAY(EOMONTH($CD$3,0))-1)/2)+CE$23,0)=EOMONTH($DB$3,0),CE$26,0),0),IF(AND(CA$26&lt;&gt;"",CA$23&lt;&gt;""),IF(EOMONTH($BZ$3+INT((DAY(EOMONTH($BZ$3,0))-1)/2)+CA$23,0)=EOMONTH($DB$3,0),CA$26,0),0),IF(AND(BW$26&lt;&gt;"",BW$23&lt;&gt;""),IF(EOMONTH($BV$3+INT((DAY(EOMONTH($BV$3,0))-1)/2)+BW$23,0)=EOMONTH($DB$3,0),BW$26,0),0),IF(AND(BS$26&lt;&gt;"",BS$23&lt;&gt;""),IF(EOMONTH($BR$3+INT((DAY(EOMONTH($BR$3,0))-1)/2)+BS$23,0)=EOMONTH($DB$3,0),BS$26,0),0),IF(AND(BO$26&lt;&gt;"",BO$23&lt;&gt;""),IF(EOMONTH($BN$3+INT((DAY(EOMONTH($BN$3,0))-1)/2)+BO$23,0)=EOMONTH($DB$3,0),BO$26,0),0),IF(AND(BK$26&lt;&gt;"",BK$23&lt;&gt;""),IF(EOMONTH($BJ$3+INT((DAY(EOMONTH($BJ$3,0))-1)/2)+BK$23,0)=EOMONTH($DB$3,0),BK$26,0),0),IF(AND(BG$26&lt;&gt;"",BG$23&lt;&gt;""),IF(EOMONTH($BF$3+INT((DAY(EOMONTH($BF$3,0))-1)/2)+BG$23,0)=EOMONTH($DB$3,0),BG$26,0),0),IF(AND(BC$26&lt;&gt;"",BC$23&lt;&gt;""),IF(EOMONTH($BB$3+INT((DAY(EOMONTH($BB$3,0))-1)/2)+BC$23,0)=EOMONTH($DB$3,0),BC$26,0),0),IF(AND(AY$26&lt;&gt;"",AY$23&lt;&gt;""),IF(EOMONTH($AX$3+INT((DAY(EOMONTH($AX$3,0))-1)/2)+AY$23,0)=EOMONTH($DB$3,0),AY$26,0),0),IF(AND(AU$26&lt;&gt;"",AU$23&lt;&gt;""),IF(EOMONTH($AT$3+INT((DAY(EOMONTH($AT$3,0))-1)/2)+AU$23,0)=EOMONTH($DB$3,0),AU$26,0),0),IF(AND(AQ$26&lt;&gt;"",AQ$23&lt;&gt;""),IF(EOMONTH($AP$3+INT((DAY(EOMONTH($AP$3,0))-1)/2)+AQ$23,0)=EOMONTH($DB$3,0),AQ$26,0),0),IF(AND(AM$26&lt;&gt;"",AM$23&lt;&gt;""),IF(EOMONTH($AL$3+INT((DAY(EOMONTH($AL$3,0))-1)/2)+AM$23,0)=EOMONTH($DB$3,0),AM$26,0),0),IF(AND(AI$26&lt;&gt;"",AI$23&lt;&gt;""),IF(EOMONTH($AH$3+INT((DAY(EOMONTH($AH$3,0))-1)/2)+AI$23,0)=EOMONTH($DB$3,0),AI$26,0),0),IF(AND(AE$26&lt;&gt;"",AE$23&lt;&gt;""),IF(EOMONTH($AD$3+INT((DAY(EOMONTH($AD$3,0))-1)/2)+AE$23,0)=EOMONTH($DB$3,0),AE$26,0),0),IF(AND(AA$26&lt;&gt;"",AA$23&lt;&gt;""),IF(EOMONTH($Z$3+INT((DAY(EOMONTH($Z$3,0))-1)/2)+AA$23,0)=EOMONTH($DB$3,0),AA$26,0),0),IF(AND(W$26&lt;&gt;"",W$23&lt;&gt;""),IF(EOMONTH($V$3+INT((DAY(EOMONTH($V$3,0))-1)/2)+W$23,0)=EOMONTH($DB$3,0),W$26,0),0),IF(AND(S$26&lt;&gt;"",S$23&lt;&gt;""),IF(EOMONTH($R$3+INT((DAY(EOMONTH($R$3,0))-1)/2)+S$23,0)=EOMONTH($DB$3,0),S$26,0),0),IF(AND(O$26&lt;&gt;"",O$23&lt;&gt;""),IF(EOMONTH($N$3+INT((DAY(EOMONTH($N$3,0))-1)/2)+O$23,0)=EOMONTH($DB$3,0),O$26,0),0),IF(AND(K$26&lt;&gt;"",K$23&lt;&gt;""),IF(EOMONTH($J$3+INT((DAY(EOMONTH($J$3,0))-1)/2)+K$23,0)=EOMONTH($DB$3,0),K$26,0),0),IF(AND(G$26&lt;&gt;"",G$23&lt;&gt;""),IF(EOMONTH($F$3+INT((DAY(EOMONTH($F$3,0))-1)/2)+G$23,0)=EOMONTH($DB$3,0),G$26,0),0),IF($EP$75="",0,IF(EOMONTH($EP$75+EQ$23,0)=EOMONTH($DB$3,0),$EP$78*EQ$13,0))),0))</f>
        <v>0</v>
      </c>
      <c r="DD57" s="32">
        <f>ROUND(SUM(IF(AND(ER$26&lt;&gt;"",ER$23&lt;&gt;""),IF(EOMONTH($EP$3+INT((DAY(EOMONTH($EP$3,0))-1)/2)+ER$23,0)=EOMONTH($DB$3,0),ER$26,0),0),IF(AND(EN$26&lt;&gt;"",EN$23&lt;&gt;""),IF(EOMONTH($EL$3+INT((DAY(EOMONTH($EL$3,0))-1)/2)+EN$23,0)=EOMONTH($DB$3,0),EN$26,0),0),IF(AND(EJ$26&lt;&gt;"",EJ$23&lt;&gt;""),IF(EOMONTH($EH$3+INT((DAY(EOMONTH($EH$3,0))-1)/2)+EJ$23,0)=EOMONTH($DB$3,0),EJ$26,0),0),IF(AND(EF$26&lt;&gt;"",EF$23&lt;&gt;""),IF(EOMONTH($ED$3+INT((DAY(EOMONTH($ED$3,0))-1)/2)+EF$23,0)=EOMONTH($DB$3,0),EF$26,0),0),IF(AND(EB$26&lt;&gt;"",EB$23&lt;&gt;""),IF(EOMONTH($DZ$3+INT((DAY(EOMONTH($DZ$3,0))-1)/2)+EB$23,0)=EOMONTH($DB$3,0),EB$26,0),0),IF(AND(DX$26&lt;&gt;"",DX$23&lt;&gt;""),IF(EOMONTH($DV$3+INT((DAY(EOMONTH($DV$3,0))-1)/2)+DX$23,0)=EOMONTH($DB$3,0),DX$26,0),0),IF(AND(DT$26&lt;&gt;"",DT$23&lt;&gt;""),IF(EOMONTH($DR$3+INT((DAY(EOMONTH($DR$3,0))-1)/2)+DT$23,0)=EOMONTH($DB$3,0),DT$26,0),0),IF(AND(DP$26&lt;&gt;"",DP$23&lt;&gt;""),IF(EOMONTH($DN$3+INT((DAY(EOMONTH($DN$3,0))-1)/2)+DP$23,0)=EOMONTH($DB$3,0),DP$26,0),0),IF(AND(DL$26&lt;&gt;"",DL$23&lt;&gt;""),IF(EOMONTH($DJ$3+INT((DAY(EOMONTH($DJ$3,0))-1)/2)+DL$23,0)=EOMONTH($DB$3,0),DL$26,0),0),IF(AND(DH$26&lt;&gt;"",DH$23&lt;&gt;""),IF(EOMONTH($DF$3+INT((DAY(EOMONTH($DF$3,0))-1)/2)+DH$23,0)=EOMONTH($DB$3,0),DH$26,0),0),IF(AND(DD$26&lt;&gt;"",DD$23&lt;&gt;""),IF(EOMONTH($DB$3+INT((DAY(EOMONTH($DB$3,0))-1)/2)+DD$23,0)=EOMONTH($DB$3,0),DD$26,0),0),IF(AND(CZ$26&lt;&gt;"",CZ$23&lt;&gt;""),IF(EOMONTH($CX$3+INT((DAY(EOMONTH($CX$3,0))-1)/2)+CZ$23,0)=EOMONTH($DB$3,0),CZ$26,0),0),IF(AND(CV$26&lt;&gt;"",CV$23&lt;&gt;""),IF(EOMONTH($CT$3+INT((DAY(EOMONTH($CT$3,0))-1)/2)+CV$23,0)=EOMONTH($DB$3,0),CV$26,0),0),IF(AND(CR$26&lt;&gt;"",CR$23&lt;&gt;""),IF(EOMONTH($CP$3+INT((DAY(EOMONTH($CP$3,0))-1)/2)+CR$23,0)=EOMONTH($DB$3,0),CR$26,0),0),IF(AND(CN$26&lt;&gt;"",CN$23&lt;&gt;""),IF(EOMONTH($CL$3+INT((DAY(EOMONTH($CL$3,0))-1)/2)+CN$23,0)=EOMONTH($DB$3,0),CN$26,0),0),IF(AND(CJ$26&lt;&gt;"",CJ$23&lt;&gt;""),IF(EOMONTH($CH$3+INT((DAY(EOMONTH($CH$3,0))-1)/2)+CJ$23,0)=EOMONTH($DB$3,0),CJ$26,0),0),IF(AND(CF$26&lt;&gt;"",CF$23&lt;&gt;""),IF(EOMONTH($CD$3+INT((DAY(EOMONTH($CD$3,0))-1)/2)+CF$23,0)=EOMONTH($DB$3,0),CF$26,0),0),IF(AND(CB$26&lt;&gt;"",CB$23&lt;&gt;""),IF(EOMONTH($BZ$3+INT((DAY(EOMONTH($BZ$3,0))-1)/2)+CB$23,0)=EOMONTH($DB$3,0),CB$26,0),0),IF(AND(BX$26&lt;&gt;"",BX$23&lt;&gt;""),IF(EOMONTH($BV$3+INT((DAY(EOMONTH($BV$3,0))-1)/2)+BX$23,0)=EOMONTH($DB$3,0),BX$26,0),0),IF(AND(BT$26&lt;&gt;"",BT$23&lt;&gt;""),IF(EOMONTH($BR$3+INT((DAY(EOMONTH($BR$3,0))-1)/2)+BT$23,0)=EOMONTH($DB$3,0),BT$26,0),0),IF(AND(BP$26&lt;&gt;"",BP$23&lt;&gt;""),IF(EOMONTH($BN$3+INT((DAY(EOMONTH($BN$3,0))-1)/2)+BP$23,0)=EOMONTH($DB$3,0),BP$26,0),0),IF(AND(BL$26&lt;&gt;"",BL$23&lt;&gt;""),IF(EOMONTH($BJ$3+INT((DAY(EOMONTH($BJ$3,0))-1)/2)+BL$23,0)=EOMONTH($DB$3,0),BL$26,0),0),IF(AND(BH$26&lt;&gt;"",BH$23&lt;&gt;""),IF(EOMONTH($BF$3+INT((DAY(EOMONTH($BF$3,0))-1)/2)+BH$23,0)=EOMONTH($DB$3,0),BH$26,0),0),IF(AND(BD$26&lt;&gt;"",BD$23&lt;&gt;""),IF(EOMONTH($BB$3+INT((DAY(EOMONTH($BB$3,0))-1)/2)+BD$23,0)=EOMONTH($DB$3,0),BD$26,0),0),IF(AND(AZ$26&lt;&gt;"",AZ$23&lt;&gt;""),IF(EOMONTH($AX$3+INT((DAY(EOMONTH($AX$3,0))-1)/2)+AZ$23,0)=EOMONTH($DB$3,0),AZ$26,0),0),IF(AND(AV$26&lt;&gt;"",AV$23&lt;&gt;""),IF(EOMONTH($AT$3+INT((DAY(EOMONTH($AT$3,0))-1)/2)+AV$23,0)=EOMONTH($DB$3,0),AV$26,0),0),IF(AND(AR$26&lt;&gt;"",AR$23&lt;&gt;""),IF(EOMONTH($AP$3+INT((DAY(EOMONTH($AP$3,0))-1)/2)+AR$23,0)=EOMONTH($DB$3,0),AR$26,0),0),IF(AND(AN$26&lt;&gt;"",AN$23&lt;&gt;""),IF(EOMONTH($AL$3+INT((DAY(EOMONTH($AL$3,0))-1)/2)+AN$23,0)=EOMONTH($DB$3,0),AN$26,0),0),IF(AND(AJ$26&lt;&gt;"",AJ$23&lt;&gt;""),IF(EOMONTH($AH$3+INT((DAY(EOMONTH($AH$3,0))-1)/2)+AJ$23,0)=EOMONTH($DB$3,0),AJ$26,0),0),IF(AND(AF$26&lt;&gt;"",AF$23&lt;&gt;""),IF(EOMONTH($AD$3+INT((DAY(EOMONTH($AD$3,0))-1)/2)+AF$23,0)=EOMONTH($DB$3,0),AF$26,0),0),IF(AND(AB$26&lt;&gt;"",AB$23&lt;&gt;""),IF(EOMONTH($Z$3+INT((DAY(EOMONTH($Z$3,0))-1)/2)+AB$23,0)=EOMONTH($DB$3,0),AB$26,0),0),IF(AND(X$26&lt;&gt;"",X$23&lt;&gt;""),IF(EOMONTH($V$3+INT((DAY(EOMONTH($V$3,0))-1)/2)+X$23,0)=EOMONTH($DB$3,0),X$26,0),0),IF(AND(T$26&lt;&gt;"",T$23&lt;&gt;""),IF(EOMONTH($R$3+INT((DAY(EOMONTH($R$3,0))-1)/2)+T$23,0)=EOMONTH($DB$3,0),T$26,0),0),IF(AND(P$26&lt;&gt;"",P$23&lt;&gt;""),IF(EOMONTH($N$3+INT((DAY(EOMONTH($N$3,0))-1)/2)+P$23,0)=EOMONTH($DB$3,0),P$26,0),0),IF(AND(L$26&lt;&gt;"",L$23&lt;&gt;""),IF(EOMONTH($J$3+INT((DAY(EOMONTH($J$3,0))-1)/2)+L$23,0)=EOMONTH($DB$3,0),L$26,0),0),IF(AND(H$26&lt;&gt;"",H$23&lt;&gt;""),IF(EOMONTH($F$3+INT((DAY(EOMONTH($F$3,0))-1)/2)+H$23,0)=EOMONTH($DB$3,0),H$26,0),0),IF($EP$75="",0,IF(EOMONTH($EP$75+ER$23,0)=EOMONTH($DB$3,0),$EP$78*ER$13,0))),0)</f>
        <v>0</v>
      </c>
      <c r="DE57" s="33">
        <f t="shared" ref="DE57:DE70" si="752">IFERROR(IF(OR(DC57="",DD57=""),"",DC57-DD57),"")</f>
        <v>0</v>
      </c>
      <c r="DF57" s="34"/>
      <c r="DG57" s="31">
        <f>IF(DF$98=1,DF57,ROUND(SUM(IF(AND(EQ$26&lt;&gt;"",EQ$23&lt;&gt;""),IF(EOMONTH($EP$3+INT((DAY(EOMONTH($EP$3,0))-1)/2)+EQ$23,0)=EOMONTH($DF$3,0),EQ$26,0),0),IF(AND(EM$26&lt;&gt;"",EM$23&lt;&gt;""),IF(EOMONTH($EL$3+INT((DAY(EOMONTH($EL$3,0))-1)/2)+EM$23,0)=EOMONTH($DF$3,0),EM$26,0),0),IF(AND(EI$26&lt;&gt;"",EI$23&lt;&gt;""),IF(EOMONTH($EH$3+INT((DAY(EOMONTH($EH$3,0))-1)/2)+EI$23,0)=EOMONTH($DF$3,0),EI$26,0),0),IF(AND(EE$26&lt;&gt;"",EE$23&lt;&gt;""),IF(EOMONTH($ED$3+INT((DAY(EOMONTH($ED$3,0))-1)/2)+EE$23,0)=EOMONTH($DF$3,0),EE$26,0),0),IF(AND(EA$26&lt;&gt;"",EA$23&lt;&gt;""),IF(EOMONTH($DZ$3+INT((DAY(EOMONTH($DZ$3,0))-1)/2)+EA$23,0)=EOMONTH($DF$3,0),EA$26,0),0),IF(AND(DW$26&lt;&gt;"",DW$23&lt;&gt;""),IF(EOMONTH($DV$3+INT((DAY(EOMONTH($DV$3,0))-1)/2)+DW$23,0)=EOMONTH($DF$3,0),DW$26,0),0),IF(AND(DS$26&lt;&gt;"",DS$23&lt;&gt;""),IF(EOMONTH($DR$3+INT((DAY(EOMONTH($DR$3,0))-1)/2)+DS$23,0)=EOMONTH($DF$3,0),DS$26,0),0),IF(AND(DO$26&lt;&gt;"",DO$23&lt;&gt;""),IF(EOMONTH($DN$3+INT((DAY(EOMONTH($DN$3,0))-1)/2)+DO$23,0)=EOMONTH($DF$3,0),DO$26,0),0),IF(AND(DK$26&lt;&gt;"",DK$23&lt;&gt;""),IF(EOMONTH($DJ$3+INT((DAY(EOMONTH($DJ$3,0))-1)/2)+DK$23,0)=EOMONTH($DF$3,0),DK$26,0),0),IF(AND(DG$26&lt;&gt;"",DG$23&lt;&gt;""),IF(EOMONTH($DF$3+INT((DAY(EOMONTH($DF$3,0))-1)/2)+DG$23,0)=EOMONTH($DF$3,0),DG$26,0),0),IF(AND(DC$26&lt;&gt;"",DC$23&lt;&gt;""),IF(EOMONTH($DB$3+INT((DAY(EOMONTH($DB$3,0))-1)/2)+DC$23,0)=EOMONTH($DF$3,0),DC$26,0),0),IF(AND(CY$26&lt;&gt;"",CY$23&lt;&gt;""),IF(EOMONTH($CX$3+INT((DAY(EOMONTH($CX$3,0))-1)/2)+CY$23,0)=EOMONTH($DF$3,0),CY$26,0),0),IF(AND(CU$26&lt;&gt;"",CU$23&lt;&gt;""),IF(EOMONTH($CT$3+INT((DAY(EOMONTH($CT$3,0))-1)/2)+CU$23,0)=EOMONTH($DF$3,0),CU$26,0),0),IF(AND(CQ$26&lt;&gt;"",CQ$23&lt;&gt;""),IF(EOMONTH($CP$3+INT((DAY(EOMONTH($CP$3,0))-1)/2)+CQ$23,0)=EOMONTH($DF$3,0),CQ$26,0),0),IF(AND(CM$26&lt;&gt;"",CM$23&lt;&gt;""),IF(EOMONTH($CL$3+INT((DAY(EOMONTH($CL$3,0))-1)/2)+CM$23,0)=EOMONTH($DF$3,0),CM$26,0),0),IF(AND(CI$26&lt;&gt;"",CI$23&lt;&gt;""),IF(EOMONTH($CH$3+INT((DAY(EOMONTH($CH$3,0))-1)/2)+CI$23,0)=EOMONTH($DF$3,0),CI$26,0),0),IF(AND(CE$26&lt;&gt;"",CE$23&lt;&gt;""),IF(EOMONTH($CD$3+INT((DAY(EOMONTH($CD$3,0))-1)/2)+CE$23,0)=EOMONTH($DF$3,0),CE$26,0),0),IF(AND(CA$26&lt;&gt;"",CA$23&lt;&gt;""),IF(EOMONTH($BZ$3+INT((DAY(EOMONTH($BZ$3,0))-1)/2)+CA$23,0)=EOMONTH($DF$3,0),CA$26,0),0),IF(AND(BW$26&lt;&gt;"",BW$23&lt;&gt;""),IF(EOMONTH($BV$3+INT((DAY(EOMONTH($BV$3,0))-1)/2)+BW$23,0)=EOMONTH($DF$3,0),BW$26,0),0),IF(AND(BS$26&lt;&gt;"",BS$23&lt;&gt;""),IF(EOMONTH($BR$3+INT((DAY(EOMONTH($BR$3,0))-1)/2)+BS$23,0)=EOMONTH($DF$3,0),BS$26,0),0),IF(AND(BO$26&lt;&gt;"",BO$23&lt;&gt;""),IF(EOMONTH($BN$3+INT((DAY(EOMONTH($BN$3,0))-1)/2)+BO$23,0)=EOMONTH($DF$3,0),BO$26,0),0),IF(AND(BK$26&lt;&gt;"",BK$23&lt;&gt;""),IF(EOMONTH($BJ$3+INT((DAY(EOMONTH($BJ$3,0))-1)/2)+BK$23,0)=EOMONTH($DF$3,0),BK$26,0),0),IF(AND(BG$26&lt;&gt;"",BG$23&lt;&gt;""),IF(EOMONTH($BF$3+INT((DAY(EOMONTH($BF$3,0))-1)/2)+BG$23,0)=EOMONTH($DF$3,0),BG$26,0),0),IF(AND(BC$26&lt;&gt;"",BC$23&lt;&gt;""),IF(EOMONTH($BB$3+INT((DAY(EOMONTH($BB$3,0))-1)/2)+BC$23,0)=EOMONTH($DF$3,0),BC$26,0),0),IF(AND(AY$26&lt;&gt;"",AY$23&lt;&gt;""),IF(EOMONTH($AX$3+INT((DAY(EOMONTH($AX$3,0))-1)/2)+AY$23,0)=EOMONTH($DF$3,0),AY$26,0),0),IF(AND(AU$26&lt;&gt;"",AU$23&lt;&gt;""),IF(EOMONTH($AT$3+INT((DAY(EOMONTH($AT$3,0))-1)/2)+AU$23,0)=EOMONTH($DF$3,0),AU$26,0),0),IF(AND(AQ$26&lt;&gt;"",AQ$23&lt;&gt;""),IF(EOMONTH($AP$3+INT((DAY(EOMONTH($AP$3,0))-1)/2)+AQ$23,0)=EOMONTH($DF$3,0),AQ$26,0),0),IF(AND(AM$26&lt;&gt;"",AM$23&lt;&gt;""),IF(EOMONTH($AL$3+INT((DAY(EOMONTH($AL$3,0))-1)/2)+AM$23,0)=EOMONTH($DF$3,0),AM$26,0),0),IF(AND(AI$26&lt;&gt;"",AI$23&lt;&gt;""),IF(EOMONTH($AH$3+INT((DAY(EOMONTH($AH$3,0))-1)/2)+AI$23,0)=EOMONTH($DF$3,0),AI$26,0),0),IF(AND(AE$26&lt;&gt;"",AE$23&lt;&gt;""),IF(EOMONTH($AD$3+INT((DAY(EOMONTH($AD$3,0))-1)/2)+AE$23,0)=EOMONTH($DF$3,0),AE$26,0),0),IF(AND(AA$26&lt;&gt;"",AA$23&lt;&gt;""),IF(EOMONTH($Z$3+INT((DAY(EOMONTH($Z$3,0))-1)/2)+AA$23,0)=EOMONTH($DF$3,0),AA$26,0),0),IF(AND(W$26&lt;&gt;"",W$23&lt;&gt;""),IF(EOMONTH($V$3+INT((DAY(EOMONTH($V$3,0))-1)/2)+W$23,0)=EOMONTH($DF$3,0),W$26,0),0),IF(AND(S$26&lt;&gt;"",S$23&lt;&gt;""),IF(EOMONTH($R$3+INT((DAY(EOMONTH($R$3,0))-1)/2)+S$23,0)=EOMONTH($DF$3,0),S$26,0),0),IF(AND(O$26&lt;&gt;"",O$23&lt;&gt;""),IF(EOMONTH($N$3+INT((DAY(EOMONTH($N$3,0))-1)/2)+O$23,0)=EOMONTH($DF$3,0),O$26,0),0),IF(AND(K$26&lt;&gt;"",K$23&lt;&gt;""),IF(EOMONTH($J$3+INT((DAY(EOMONTH($J$3,0))-1)/2)+K$23,0)=EOMONTH($DF$3,0),K$26,0),0),IF(AND(G$26&lt;&gt;"",G$23&lt;&gt;""),IF(EOMONTH($F$3+INT((DAY(EOMONTH($F$3,0))-1)/2)+G$23,0)=EOMONTH($DF$3,0),G$26,0),0),IF($EP$75="",0,IF(EOMONTH($EP$75+EQ$23,0)=EOMONTH($DF$3,0),$EP$78*EQ$13,0))),0))</f>
        <v>0</v>
      </c>
      <c r="DH57" s="32">
        <f>ROUND(SUM(IF(AND(ER$26&lt;&gt;"",ER$23&lt;&gt;""),IF(EOMONTH($EP$3+INT((DAY(EOMONTH($EP$3,0))-1)/2)+ER$23,0)=EOMONTH($DF$3,0),ER$26,0),0),IF(AND(EN$26&lt;&gt;"",EN$23&lt;&gt;""),IF(EOMONTH($EL$3+INT((DAY(EOMONTH($EL$3,0))-1)/2)+EN$23,0)=EOMONTH($DF$3,0),EN$26,0),0),IF(AND(EJ$26&lt;&gt;"",EJ$23&lt;&gt;""),IF(EOMONTH($EH$3+INT((DAY(EOMONTH($EH$3,0))-1)/2)+EJ$23,0)=EOMONTH($DF$3,0),EJ$26,0),0),IF(AND(EF$26&lt;&gt;"",EF$23&lt;&gt;""),IF(EOMONTH($ED$3+INT((DAY(EOMONTH($ED$3,0))-1)/2)+EF$23,0)=EOMONTH($DF$3,0),EF$26,0),0),IF(AND(EB$26&lt;&gt;"",EB$23&lt;&gt;""),IF(EOMONTH($DZ$3+INT((DAY(EOMONTH($DZ$3,0))-1)/2)+EB$23,0)=EOMONTH($DF$3,0),EB$26,0),0),IF(AND(DX$26&lt;&gt;"",DX$23&lt;&gt;""),IF(EOMONTH($DV$3+INT((DAY(EOMONTH($DV$3,0))-1)/2)+DX$23,0)=EOMONTH($DF$3,0),DX$26,0),0),IF(AND(DT$26&lt;&gt;"",DT$23&lt;&gt;""),IF(EOMONTH($DR$3+INT((DAY(EOMONTH($DR$3,0))-1)/2)+DT$23,0)=EOMONTH($DF$3,0),DT$26,0),0),IF(AND(DP$26&lt;&gt;"",DP$23&lt;&gt;""),IF(EOMONTH($DN$3+INT((DAY(EOMONTH($DN$3,0))-1)/2)+DP$23,0)=EOMONTH($DF$3,0),DP$26,0),0),IF(AND(DL$26&lt;&gt;"",DL$23&lt;&gt;""),IF(EOMONTH($DJ$3+INT((DAY(EOMONTH($DJ$3,0))-1)/2)+DL$23,0)=EOMONTH($DF$3,0),DL$26,0),0),IF(AND(DH$26&lt;&gt;"",DH$23&lt;&gt;""),IF(EOMONTH($DF$3+INT((DAY(EOMONTH($DF$3,0))-1)/2)+DH$23,0)=EOMONTH($DF$3,0),DH$26,0),0),IF(AND(DD$26&lt;&gt;"",DD$23&lt;&gt;""),IF(EOMONTH($DB$3+INT((DAY(EOMONTH($DB$3,0))-1)/2)+DD$23,0)=EOMONTH($DF$3,0),DD$26,0),0),IF(AND(CZ$26&lt;&gt;"",CZ$23&lt;&gt;""),IF(EOMONTH($CX$3+INT((DAY(EOMONTH($CX$3,0))-1)/2)+CZ$23,0)=EOMONTH($DF$3,0),CZ$26,0),0),IF(AND(CV$26&lt;&gt;"",CV$23&lt;&gt;""),IF(EOMONTH($CT$3+INT((DAY(EOMONTH($CT$3,0))-1)/2)+CV$23,0)=EOMONTH($DF$3,0),CV$26,0),0),IF(AND(CR$26&lt;&gt;"",CR$23&lt;&gt;""),IF(EOMONTH($CP$3+INT((DAY(EOMONTH($CP$3,0))-1)/2)+CR$23,0)=EOMONTH($DF$3,0),CR$26,0),0),IF(AND(CN$26&lt;&gt;"",CN$23&lt;&gt;""),IF(EOMONTH($CL$3+INT((DAY(EOMONTH($CL$3,0))-1)/2)+CN$23,0)=EOMONTH($DF$3,0),CN$26,0),0),IF(AND(CJ$26&lt;&gt;"",CJ$23&lt;&gt;""),IF(EOMONTH($CH$3+INT((DAY(EOMONTH($CH$3,0))-1)/2)+CJ$23,0)=EOMONTH($DF$3,0),CJ$26,0),0),IF(AND(CF$26&lt;&gt;"",CF$23&lt;&gt;""),IF(EOMONTH($CD$3+INT((DAY(EOMONTH($CD$3,0))-1)/2)+CF$23,0)=EOMONTH($DF$3,0),CF$26,0),0),IF(AND(CB$26&lt;&gt;"",CB$23&lt;&gt;""),IF(EOMONTH($BZ$3+INT((DAY(EOMONTH($BZ$3,0))-1)/2)+CB$23,0)=EOMONTH($DF$3,0),CB$26,0),0),IF(AND(BX$26&lt;&gt;"",BX$23&lt;&gt;""),IF(EOMONTH($BV$3+INT((DAY(EOMONTH($BV$3,0))-1)/2)+BX$23,0)=EOMONTH($DF$3,0),BX$26,0),0),IF(AND(BT$26&lt;&gt;"",BT$23&lt;&gt;""),IF(EOMONTH($BR$3+INT((DAY(EOMONTH($BR$3,0))-1)/2)+BT$23,0)=EOMONTH($DF$3,0),BT$26,0),0),IF(AND(BP$26&lt;&gt;"",BP$23&lt;&gt;""),IF(EOMONTH($BN$3+INT((DAY(EOMONTH($BN$3,0))-1)/2)+BP$23,0)=EOMONTH($DF$3,0),BP$26,0),0),IF(AND(BL$26&lt;&gt;"",BL$23&lt;&gt;""),IF(EOMONTH($BJ$3+INT((DAY(EOMONTH($BJ$3,0))-1)/2)+BL$23,0)=EOMONTH($DF$3,0),BL$26,0),0),IF(AND(BH$26&lt;&gt;"",BH$23&lt;&gt;""),IF(EOMONTH($BF$3+INT((DAY(EOMONTH($BF$3,0))-1)/2)+BH$23,0)=EOMONTH($DF$3,0),BH$26,0),0),IF(AND(BD$26&lt;&gt;"",BD$23&lt;&gt;""),IF(EOMONTH($BB$3+INT((DAY(EOMONTH($BB$3,0))-1)/2)+BD$23,0)=EOMONTH($DF$3,0),BD$26,0),0),IF(AND(AZ$26&lt;&gt;"",AZ$23&lt;&gt;""),IF(EOMONTH($AX$3+INT((DAY(EOMONTH($AX$3,0))-1)/2)+AZ$23,0)=EOMONTH($DF$3,0),AZ$26,0),0),IF(AND(AV$26&lt;&gt;"",AV$23&lt;&gt;""),IF(EOMONTH($AT$3+INT((DAY(EOMONTH($AT$3,0))-1)/2)+AV$23,0)=EOMONTH($DF$3,0),AV$26,0),0),IF(AND(AR$26&lt;&gt;"",AR$23&lt;&gt;""),IF(EOMONTH($AP$3+INT((DAY(EOMONTH($AP$3,0))-1)/2)+AR$23,0)=EOMONTH($DF$3,0),AR$26,0),0),IF(AND(AN$26&lt;&gt;"",AN$23&lt;&gt;""),IF(EOMONTH($AL$3+INT((DAY(EOMONTH($AL$3,0))-1)/2)+AN$23,0)=EOMONTH($DF$3,0),AN$26,0),0),IF(AND(AJ$26&lt;&gt;"",AJ$23&lt;&gt;""),IF(EOMONTH($AH$3+INT((DAY(EOMONTH($AH$3,0))-1)/2)+AJ$23,0)=EOMONTH($DF$3,0),AJ$26,0),0),IF(AND(AF$26&lt;&gt;"",AF$23&lt;&gt;""),IF(EOMONTH($AD$3+INT((DAY(EOMONTH($AD$3,0))-1)/2)+AF$23,0)=EOMONTH($DF$3,0),AF$26,0),0),IF(AND(AB$26&lt;&gt;"",AB$23&lt;&gt;""),IF(EOMONTH($Z$3+INT((DAY(EOMONTH($Z$3,0))-1)/2)+AB$23,0)=EOMONTH($DF$3,0),AB$26,0),0),IF(AND(X$26&lt;&gt;"",X$23&lt;&gt;""),IF(EOMONTH($V$3+INT((DAY(EOMONTH($V$3,0))-1)/2)+X$23,0)=EOMONTH($DF$3,0),X$26,0),0),IF(AND(T$26&lt;&gt;"",T$23&lt;&gt;""),IF(EOMONTH($R$3+INT((DAY(EOMONTH($R$3,0))-1)/2)+T$23,0)=EOMONTH($DF$3,0),T$26,0),0),IF(AND(P$26&lt;&gt;"",P$23&lt;&gt;""),IF(EOMONTH($N$3+INT((DAY(EOMONTH($N$3,0))-1)/2)+P$23,0)=EOMONTH($DF$3,0),P$26,0),0),IF(AND(L$26&lt;&gt;"",L$23&lt;&gt;""),IF(EOMONTH($J$3+INT((DAY(EOMONTH($J$3,0))-1)/2)+L$23,0)=EOMONTH($DF$3,0),L$26,0),0),IF(AND(H$26&lt;&gt;"",H$23&lt;&gt;""),IF(EOMONTH($F$3+INT((DAY(EOMONTH($F$3,0))-1)/2)+H$23,0)=EOMONTH($DF$3,0),H$26,0),0),IF($EP$75="",0,IF(EOMONTH($EP$75+ER$23,0)=EOMONTH($DF$3,0),$EP$78*ER$13,0))),0)</f>
        <v>0</v>
      </c>
      <c r="DI57" s="33">
        <f t="shared" ref="DI57:DI70" si="754">IFERROR(IF(OR(DG57="",DH57=""),"",DG57-DH57),"")</f>
        <v>0</v>
      </c>
      <c r="DJ57" s="34"/>
      <c r="DK57" s="31">
        <f>IF(DJ$98=1,DJ57,ROUND(SUM(IF(AND(EQ$26&lt;&gt;"",EQ$23&lt;&gt;""),IF(EOMONTH($EP$3+INT((DAY(EOMONTH($EP$3,0))-1)/2)+EQ$23,0)=EOMONTH($DJ$3,0),EQ$26,0),0),IF(AND(EM$26&lt;&gt;"",EM$23&lt;&gt;""),IF(EOMONTH($EL$3+INT((DAY(EOMONTH($EL$3,0))-1)/2)+EM$23,0)=EOMONTH($DJ$3,0),EM$26,0),0),IF(AND(EI$26&lt;&gt;"",EI$23&lt;&gt;""),IF(EOMONTH($EH$3+INT((DAY(EOMONTH($EH$3,0))-1)/2)+EI$23,0)=EOMONTH($DJ$3,0),EI$26,0),0),IF(AND(EE$26&lt;&gt;"",EE$23&lt;&gt;""),IF(EOMONTH($ED$3+INT((DAY(EOMONTH($ED$3,0))-1)/2)+EE$23,0)=EOMONTH($DJ$3,0),EE$26,0),0),IF(AND(EA$26&lt;&gt;"",EA$23&lt;&gt;""),IF(EOMONTH($DZ$3+INT((DAY(EOMONTH($DZ$3,0))-1)/2)+EA$23,0)=EOMONTH($DJ$3,0),EA$26,0),0),IF(AND(DW$26&lt;&gt;"",DW$23&lt;&gt;""),IF(EOMONTH($DV$3+INT((DAY(EOMONTH($DV$3,0))-1)/2)+DW$23,0)=EOMONTH($DJ$3,0),DW$26,0),0),IF(AND(DS$26&lt;&gt;"",DS$23&lt;&gt;""),IF(EOMONTH($DR$3+INT((DAY(EOMONTH($DR$3,0))-1)/2)+DS$23,0)=EOMONTH($DJ$3,0),DS$26,0),0),IF(AND(DO$26&lt;&gt;"",DO$23&lt;&gt;""),IF(EOMONTH($DN$3+INT((DAY(EOMONTH($DN$3,0))-1)/2)+DO$23,0)=EOMONTH($DJ$3,0),DO$26,0),0),IF(AND(DK$26&lt;&gt;"",DK$23&lt;&gt;""),IF(EOMONTH($DJ$3+INT((DAY(EOMONTH($DJ$3,0))-1)/2)+DK$23,0)=EOMONTH($DJ$3,0),DK$26,0),0),IF(AND(DG$26&lt;&gt;"",DG$23&lt;&gt;""),IF(EOMONTH($DF$3+INT((DAY(EOMONTH($DF$3,0))-1)/2)+DG$23,0)=EOMONTH($DJ$3,0),DG$26,0),0),IF(AND(DC$26&lt;&gt;"",DC$23&lt;&gt;""),IF(EOMONTH($DB$3+INT((DAY(EOMONTH($DB$3,0))-1)/2)+DC$23,0)=EOMONTH($DJ$3,0),DC$26,0),0),IF(AND(CY$26&lt;&gt;"",CY$23&lt;&gt;""),IF(EOMONTH($CX$3+INT((DAY(EOMONTH($CX$3,0))-1)/2)+CY$23,0)=EOMONTH($DJ$3,0),CY$26,0),0),IF(AND(CU$26&lt;&gt;"",CU$23&lt;&gt;""),IF(EOMONTH($CT$3+INT((DAY(EOMONTH($CT$3,0))-1)/2)+CU$23,0)=EOMONTH($DJ$3,0),CU$26,0),0),IF(AND(CQ$26&lt;&gt;"",CQ$23&lt;&gt;""),IF(EOMONTH($CP$3+INT((DAY(EOMONTH($CP$3,0))-1)/2)+CQ$23,0)=EOMONTH($DJ$3,0),CQ$26,0),0),IF(AND(CM$26&lt;&gt;"",CM$23&lt;&gt;""),IF(EOMONTH($CL$3+INT((DAY(EOMONTH($CL$3,0))-1)/2)+CM$23,0)=EOMONTH($DJ$3,0),CM$26,0),0),IF(AND(CI$26&lt;&gt;"",CI$23&lt;&gt;""),IF(EOMONTH($CH$3+INT((DAY(EOMONTH($CH$3,0))-1)/2)+CI$23,0)=EOMONTH($DJ$3,0),CI$26,0),0),IF(AND(CE$26&lt;&gt;"",CE$23&lt;&gt;""),IF(EOMONTH($CD$3+INT((DAY(EOMONTH($CD$3,0))-1)/2)+CE$23,0)=EOMONTH($DJ$3,0),CE$26,0),0),IF(AND(CA$26&lt;&gt;"",CA$23&lt;&gt;""),IF(EOMONTH($BZ$3+INT((DAY(EOMONTH($BZ$3,0))-1)/2)+CA$23,0)=EOMONTH($DJ$3,0),CA$26,0),0),IF(AND(BW$26&lt;&gt;"",BW$23&lt;&gt;""),IF(EOMONTH($BV$3+INT((DAY(EOMONTH($BV$3,0))-1)/2)+BW$23,0)=EOMONTH($DJ$3,0),BW$26,0),0),IF(AND(BS$26&lt;&gt;"",BS$23&lt;&gt;""),IF(EOMONTH($BR$3+INT((DAY(EOMONTH($BR$3,0))-1)/2)+BS$23,0)=EOMONTH($DJ$3,0),BS$26,0),0),IF(AND(BO$26&lt;&gt;"",BO$23&lt;&gt;""),IF(EOMONTH($BN$3+INT((DAY(EOMONTH($BN$3,0))-1)/2)+BO$23,0)=EOMONTH($DJ$3,0),BO$26,0),0),IF(AND(BK$26&lt;&gt;"",BK$23&lt;&gt;""),IF(EOMONTH($BJ$3+INT((DAY(EOMONTH($BJ$3,0))-1)/2)+BK$23,0)=EOMONTH($DJ$3,0),BK$26,0),0),IF(AND(BG$26&lt;&gt;"",BG$23&lt;&gt;""),IF(EOMONTH($BF$3+INT((DAY(EOMONTH($BF$3,0))-1)/2)+BG$23,0)=EOMONTH($DJ$3,0),BG$26,0),0),IF(AND(BC$26&lt;&gt;"",BC$23&lt;&gt;""),IF(EOMONTH($BB$3+INT((DAY(EOMONTH($BB$3,0))-1)/2)+BC$23,0)=EOMONTH($DJ$3,0),BC$26,0),0),IF(AND(AY$26&lt;&gt;"",AY$23&lt;&gt;""),IF(EOMONTH($AX$3+INT((DAY(EOMONTH($AX$3,0))-1)/2)+AY$23,0)=EOMONTH($DJ$3,0),AY$26,0),0),IF(AND(AU$26&lt;&gt;"",AU$23&lt;&gt;""),IF(EOMONTH($AT$3+INT((DAY(EOMONTH($AT$3,0))-1)/2)+AU$23,0)=EOMONTH($DJ$3,0),AU$26,0),0),IF(AND(AQ$26&lt;&gt;"",AQ$23&lt;&gt;""),IF(EOMONTH($AP$3+INT((DAY(EOMONTH($AP$3,0))-1)/2)+AQ$23,0)=EOMONTH($DJ$3,0),AQ$26,0),0),IF(AND(AM$26&lt;&gt;"",AM$23&lt;&gt;""),IF(EOMONTH($AL$3+INT((DAY(EOMONTH($AL$3,0))-1)/2)+AM$23,0)=EOMONTH($DJ$3,0),AM$26,0),0),IF(AND(AI$26&lt;&gt;"",AI$23&lt;&gt;""),IF(EOMONTH($AH$3+INT((DAY(EOMONTH($AH$3,0))-1)/2)+AI$23,0)=EOMONTH($DJ$3,0),AI$26,0),0),IF(AND(AE$26&lt;&gt;"",AE$23&lt;&gt;""),IF(EOMONTH($AD$3+INT((DAY(EOMONTH($AD$3,0))-1)/2)+AE$23,0)=EOMONTH($DJ$3,0),AE$26,0),0),IF(AND(AA$26&lt;&gt;"",AA$23&lt;&gt;""),IF(EOMONTH($Z$3+INT((DAY(EOMONTH($Z$3,0))-1)/2)+AA$23,0)=EOMONTH($DJ$3,0),AA$26,0),0),IF(AND(W$26&lt;&gt;"",W$23&lt;&gt;""),IF(EOMONTH($V$3+INT((DAY(EOMONTH($V$3,0))-1)/2)+W$23,0)=EOMONTH($DJ$3,0),W$26,0),0),IF(AND(S$26&lt;&gt;"",S$23&lt;&gt;""),IF(EOMONTH($R$3+INT((DAY(EOMONTH($R$3,0))-1)/2)+S$23,0)=EOMONTH($DJ$3,0),S$26,0),0),IF(AND(O$26&lt;&gt;"",O$23&lt;&gt;""),IF(EOMONTH($N$3+INT((DAY(EOMONTH($N$3,0))-1)/2)+O$23,0)=EOMONTH($DJ$3,0),O$26,0),0),IF(AND(K$26&lt;&gt;"",K$23&lt;&gt;""),IF(EOMONTH($J$3+INT((DAY(EOMONTH($J$3,0))-1)/2)+K$23,0)=EOMONTH($DJ$3,0),K$26,0),0),IF(AND(G$26&lt;&gt;"",G$23&lt;&gt;""),IF(EOMONTH($F$3+INT((DAY(EOMONTH($F$3,0))-1)/2)+G$23,0)=EOMONTH($DJ$3,0),G$26,0),0),IF($EP$75="",0,IF(EOMONTH($EP$75+EQ$23,0)=EOMONTH($DJ$3,0),$EP$78*EQ$13,0))),0))</f>
        <v>0</v>
      </c>
      <c r="DL57" s="32">
        <f>ROUND(SUM(IF(AND(ER$26&lt;&gt;"",ER$23&lt;&gt;""),IF(EOMONTH($EP$3+INT((DAY(EOMONTH($EP$3,0))-1)/2)+ER$23,0)=EOMONTH($DJ$3,0),ER$26,0),0),IF(AND(EN$26&lt;&gt;"",EN$23&lt;&gt;""),IF(EOMONTH($EL$3+INT((DAY(EOMONTH($EL$3,0))-1)/2)+EN$23,0)=EOMONTH($DJ$3,0),EN$26,0),0),IF(AND(EJ$26&lt;&gt;"",EJ$23&lt;&gt;""),IF(EOMONTH($EH$3+INT((DAY(EOMONTH($EH$3,0))-1)/2)+EJ$23,0)=EOMONTH($DJ$3,0),EJ$26,0),0),IF(AND(EF$26&lt;&gt;"",EF$23&lt;&gt;""),IF(EOMONTH($ED$3+INT((DAY(EOMONTH($ED$3,0))-1)/2)+EF$23,0)=EOMONTH($DJ$3,0),EF$26,0),0),IF(AND(EB$26&lt;&gt;"",EB$23&lt;&gt;""),IF(EOMONTH($DZ$3+INT((DAY(EOMONTH($DZ$3,0))-1)/2)+EB$23,0)=EOMONTH($DJ$3,0),EB$26,0),0),IF(AND(DX$26&lt;&gt;"",DX$23&lt;&gt;""),IF(EOMONTH($DV$3+INT((DAY(EOMONTH($DV$3,0))-1)/2)+DX$23,0)=EOMONTH($DJ$3,0),DX$26,0),0),IF(AND(DT$26&lt;&gt;"",DT$23&lt;&gt;""),IF(EOMONTH($DR$3+INT((DAY(EOMONTH($DR$3,0))-1)/2)+DT$23,0)=EOMONTH($DJ$3,0),DT$26,0),0),IF(AND(DP$26&lt;&gt;"",DP$23&lt;&gt;""),IF(EOMONTH($DN$3+INT((DAY(EOMONTH($DN$3,0))-1)/2)+DP$23,0)=EOMONTH($DJ$3,0),DP$26,0),0),IF(AND(DL$26&lt;&gt;"",DL$23&lt;&gt;""),IF(EOMONTH($DJ$3+INT((DAY(EOMONTH($DJ$3,0))-1)/2)+DL$23,0)=EOMONTH($DJ$3,0),DL$26,0),0),IF(AND(DH$26&lt;&gt;"",DH$23&lt;&gt;""),IF(EOMONTH($DF$3+INT((DAY(EOMONTH($DF$3,0))-1)/2)+DH$23,0)=EOMONTH($DJ$3,0),DH$26,0),0),IF(AND(DD$26&lt;&gt;"",DD$23&lt;&gt;""),IF(EOMONTH($DB$3+INT((DAY(EOMONTH($DB$3,0))-1)/2)+DD$23,0)=EOMONTH($DJ$3,0),DD$26,0),0),IF(AND(CZ$26&lt;&gt;"",CZ$23&lt;&gt;""),IF(EOMONTH($CX$3+INT((DAY(EOMONTH($CX$3,0))-1)/2)+CZ$23,0)=EOMONTH($DJ$3,0),CZ$26,0),0),IF(AND(CV$26&lt;&gt;"",CV$23&lt;&gt;""),IF(EOMONTH($CT$3+INT((DAY(EOMONTH($CT$3,0))-1)/2)+CV$23,0)=EOMONTH($DJ$3,0),CV$26,0),0),IF(AND(CR$26&lt;&gt;"",CR$23&lt;&gt;""),IF(EOMONTH($CP$3+INT((DAY(EOMONTH($CP$3,0))-1)/2)+CR$23,0)=EOMONTH($DJ$3,0),CR$26,0),0),IF(AND(CN$26&lt;&gt;"",CN$23&lt;&gt;""),IF(EOMONTH($CL$3+INT((DAY(EOMONTH($CL$3,0))-1)/2)+CN$23,0)=EOMONTH($DJ$3,0),CN$26,0),0),IF(AND(CJ$26&lt;&gt;"",CJ$23&lt;&gt;""),IF(EOMONTH($CH$3+INT((DAY(EOMONTH($CH$3,0))-1)/2)+CJ$23,0)=EOMONTH($DJ$3,0),CJ$26,0),0),IF(AND(CF$26&lt;&gt;"",CF$23&lt;&gt;""),IF(EOMONTH($CD$3+INT((DAY(EOMONTH($CD$3,0))-1)/2)+CF$23,0)=EOMONTH($DJ$3,0),CF$26,0),0),IF(AND(CB$26&lt;&gt;"",CB$23&lt;&gt;""),IF(EOMONTH($BZ$3+INT((DAY(EOMONTH($BZ$3,0))-1)/2)+CB$23,0)=EOMONTH($DJ$3,0),CB$26,0),0),IF(AND(BX$26&lt;&gt;"",BX$23&lt;&gt;""),IF(EOMONTH($BV$3+INT((DAY(EOMONTH($BV$3,0))-1)/2)+BX$23,0)=EOMONTH($DJ$3,0),BX$26,0),0),IF(AND(BT$26&lt;&gt;"",BT$23&lt;&gt;""),IF(EOMONTH($BR$3+INT((DAY(EOMONTH($BR$3,0))-1)/2)+BT$23,0)=EOMONTH($DJ$3,0),BT$26,0),0),IF(AND(BP$26&lt;&gt;"",BP$23&lt;&gt;""),IF(EOMONTH($BN$3+INT((DAY(EOMONTH($BN$3,0))-1)/2)+BP$23,0)=EOMONTH($DJ$3,0),BP$26,0),0),IF(AND(BL$26&lt;&gt;"",BL$23&lt;&gt;""),IF(EOMONTH($BJ$3+INT((DAY(EOMONTH($BJ$3,0))-1)/2)+BL$23,0)=EOMONTH($DJ$3,0),BL$26,0),0),IF(AND(BH$26&lt;&gt;"",BH$23&lt;&gt;""),IF(EOMONTH($BF$3+INT((DAY(EOMONTH($BF$3,0))-1)/2)+BH$23,0)=EOMONTH($DJ$3,0),BH$26,0),0),IF(AND(BD$26&lt;&gt;"",BD$23&lt;&gt;""),IF(EOMONTH($BB$3+INT((DAY(EOMONTH($BB$3,0))-1)/2)+BD$23,0)=EOMONTH($DJ$3,0),BD$26,0),0),IF(AND(AZ$26&lt;&gt;"",AZ$23&lt;&gt;""),IF(EOMONTH($AX$3+INT((DAY(EOMONTH($AX$3,0))-1)/2)+AZ$23,0)=EOMONTH($DJ$3,0),AZ$26,0),0),IF(AND(AV$26&lt;&gt;"",AV$23&lt;&gt;""),IF(EOMONTH($AT$3+INT((DAY(EOMONTH($AT$3,0))-1)/2)+AV$23,0)=EOMONTH($DJ$3,0),AV$26,0),0),IF(AND(AR$26&lt;&gt;"",AR$23&lt;&gt;""),IF(EOMONTH($AP$3+INT((DAY(EOMONTH($AP$3,0))-1)/2)+AR$23,0)=EOMONTH($DJ$3,0),AR$26,0),0),IF(AND(AN$26&lt;&gt;"",AN$23&lt;&gt;""),IF(EOMONTH($AL$3+INT((DAY(EOMONTH($AL$3,0))-1)/2)+AN$23,0)=EOMONTH($DJ$3,0),AN$26,0),0),IF(AND(AJ$26&lt;&gt;"",AJ$23&lt;&gt;""),IF(EOMONTH($AH$3+INT((DAY(EOMONTH($AH$3,0))-1)/2)+AJ$23,0)=EOMONTH($DJ$3,0),AJ$26,0),0),IF(AND(AF$26&lt;&gt;"",AF$23&lt;&gt;""),IF(EOMONTH($AD$3+INT((DAY(EOMONTH($AD$3,0))-1)/2)+AF$23,0)=EOMONTH($DJ$3,0),AF$26,0),0),IF(AND(AB$26&lt;&gt;"",AB$23&lt;&gt;""),IF(EOMONTH($Z$3+INT((DAY(EOMONTH($Z$3,0))-1)/2)+AB$23,0)=EOMONTH($DJ$3,0),AB$26,0),0),IF(AND(X$26&lt;&gt;"",X$23&lt;&gt;""),IF(EOMONTH($V$3+INT((DAY(EOMONTH($V$3,0))-1)/2)+X$23,0)=EOMONTH($DJ$3,0),X$26,0),0),IF(AND(T$26&lt;&gt;"",T$23&lt;&gt;""),IF(EOMONTH($R$3+INT((DAY(EOMONTH($R$3,0))-1)/2)+T$23,0)=EOMONTH($DJ$3,0),T$26,0),0),IF(AND(P$26&lt;&gt;"",P$23&lt;&gt;""),IF(EOMONTH($N$3+INT((DAY(EOMONTH($N$3,0))-1)/2)+P$23,0)=EOMONTH($DJ$3,0),P$26,0),0),IF(AND(L$26&lt;&gt;"",L$23&lt;&gt;""),IF(EOMONTH($J$3+INT((DAY(EOMONTH($J$3,0))-1)/2)+L$23,0)=EOMONTH($DJ$3,0),L$26,0),0),IF(AND(H$26&lt;&gt;"",H$23&lt;&gt;""),IF(EOMONTH($F$3+INT((DAY(EOMONTH($F$3,0))-1)/2)+H$23,0)=EOMONTH($DJ$3,0),H$26,0),0),IF($EP$75="",0,IF(EOMONTH($EP$75+ER$23,0)=EOMONTH($DJ$3,0),$EP$78*ER$13,0))),0)</f>
        <v>0</v>
      </c>
      <c r="DM57" s="33">
        <f t="shared" ref="DM57:DM70" si="756">IFERROR(IF(OR(DK57="",DL57=""),"",DK57-DL57),"")</f>
        <v>0</v>
      </c>
      <c r="DN57" s="34"/>
      <c r="DO57" s="31">
        <f>IF(DN$98=1,DN57,ROUND(SUM(IF(AND(EQ$26&lt;&gt;"",EQ$23&lt;&gt;""),IF(EOMONTH($EP$3+INT((DAY(EOMONTH($EP$3,0))-1)/2)+EQ$23,0)=EOMONTH($DN$3,0),EQ$26,0),0),IF(AND(EM$26&lt;&gt;"",EM$23&lt;&gt;""),IF(EOMONTH($EL$3+INT((DAY(EOMONTH($EL$3,0))-1)/2)+EM$23,0)=EOMONTH($DN$3,0),EM$26,0),0),IF(AND(EI$26&lt;&gt;"",EI$23&lt;&gt;""),IF(EOMONTH($EH$3+INT((DAY(EOMONTH($EH$3,0))-1)/2)+EI$23,0)=EOMONTH($DN$3,0),EI$26,0),0),IF(AND(EE$26&lt;&gt;"",EE$23&lt;&gt;""),IF(EOMONTH($ED$3+INT((DAY(EOMONTH($ED$3,0))-1)/2)+EE$23,0)=EOMONTH($DN$3,0),EE$26,0),0),IF(AND(EA$26&lt;&gt;"",EA$23&lt;&gt;""),IF(EOMONTH($DZ$3+INT((DAY(EOMONTH($DZ$3,0))-1)/2)+EA$23,0)=EOMONTH($DN$3,0),EA$26,0),0),IF(AND(DW$26&lt;&gt;"",DW$23&lt;&gt;""),IF(EOMONTH($DV$3+INT((DAY(EOMONTH($DV$3,0))-1)/2)+DW$23,0)=EOMONTH($DN$3,0),DW$26,0),0),IF(AND(DS$26&lt;&gt;"",DS$23&lt;&gt;""),IF(EOMONTH($DR$3+INT((DAY(EOMONTH($DR$3,0))-1)/2)+DS$23,0)=EOMONTH($DN$3,0),DS$26,0),0),IF(AND(DO$26&lt;&gt;"",DO$23&lt;&gt;""),IF(EOMONTH($DN$3+INT((DAY(EOMONTH($DN$3,0))-1)/2)+DO$23,0)=EOMONTH($DN$3,0),DO$26,0),0),IF(AND(DK$26&lt;&gt;"",DK$23&lt;&gt;""),IF(EOMONTH($DJ$3+INT((DAY(EOMONTH($DJ$3,0))-1)/2)+DK$23,0)=EOMONTH($DN$3,0),DK$26,0),0),IF(AND(DG$26&lt;&gt;"",DG$23&lt;&gt;""),IF(EOMONTH($DF$3+INT((DAY(EOMONTH($DF$3,0))-1)/2)+DG$23,0)=EOMONTH($DN$3,0),DG$26,0),0),IF(AND(DC$26&lt;&gt;"",DC$23&lt;&gt;""),IF(EOMONTH($DB$3+INT((DAY(EOMONTH($DB$3,0))-1)/2)+DC$23,0)=EOMONTH($DN$3,0),DC$26,0),0),IF(AND(CY$26&lt;&gt;"",CY$23&lt;&gt;""),IF(EOMONTH($CX$3+INT((DAY(EOMONTH($CX$3,0))-1)/2)+CY$23,0)=EOMONTH($DN$3,0),CY$26,0),0),IF(AND(CU$26&lt;&gt;"",CU$23&lt;&gt;""),IF(EOMONTH($CT$3+INT((DAY(EOMONTH($CT$3,0))-1)/2)+CU$23,0)=EOMONTH($DN$3,0),CU$26,0),0),IF(AND(CQ$26&lt;&gt;"",CQ$23&lt;&gt;""),IF(EOMONTH($CP$3+INT((DAY(EOMONTH($CP$3,0))-1)/2)+CQ$23,0)=EOMONTH($DN$3,0),CQ$26,0),0),IF(AND(CM$26&lt;&gt;"",CM$23&lt;&gt;""),IF(EOMONTH($CL$3+INT((DAY(EOMONTH($CL$3,0))-1)/2)+CM$23,0)=EOMONTH($DN$3,0),CM$26,0),0),IF(AND(CI$26&lt;&gt;"",CI$23&lt;&gt;""),IF(EOMONTH($CH$3+INT((DAY(EOMONTH($CH$3,0))-1)/2)+CI$23,0)=EOMONTH($DN$3,0),CI$26,0),0),IF(AND(CE$26&lt;&gt;"",CE$23&lt;&gt;""),IF(EOMONTH($CD$3+INT((DAY(EOMONTH($CD$3,0))-1)/2)+CE$23,0)=EOMONTH($DN$3,0),CE$26,0),0),IF(AND(CA$26&lt;&gt;"",CA$23&lt;&gt;""),IF(EOMONTH($BZ$3+INT((DAY(EOMONTH($BZ$3,0))-1)/2)+CA$23,0)=EOMONTH($DN$3,0),CA$26,0),0),IF(AND(BW$26&lt;&gt;"",BW$23&lt;&gt;""),IF(EOMONTH($BV$3+INT((DAY(EOMONTH($BV$3,0))-1)/2)+BW$23,0)=EOMONTH($DN$3,0),BW$26,0),0),IF(AND(BS$26&lt;&gt;"",BS$23&lt;&gt;""),IF(EOMONTH($BR$3+INT((DAY(EOMONTH($BR$3,0))-1)/2)+BS$23,0)=EOMONTH($DN$3,0),BS$26,0),0),IF(AND(BO$26&lt;&gt;"",BO$23&lt;&gt;""),IF(EOMONTH($BN$3+INT((DAY(EOMONTH($BN$3,0))-1)/2)+BO$23,0)=EOMONTH($DN$3,0),BO$26,0),0),IF(AND(BK$26&lt;&gt;"",BK$23&lt;&gt;""),IF(EOMONTH($BJ$3+INT((DAY(EOMONTH($BJ$3,0))-1)/2)+BK$23,0)=EOMONTH($DN$3,0),BK$26,0),0),IF(AND(BG$26&lt;&gt;"",BG$23&lt;&gt;""),IF(EOMONTH($BF$3+INT((DAY(EOMONTH($BF$3,0))-1)/2)+BG$23,0)=EOMONTH($DN$3,0),BG$26,0),0),IF(AND(BC$26&lt;&gt;"",BC$23&lt;&gt;""),IF(EOMONTH($BB$3+INT((DAY(EOMONTH($BB$3,0))-1)/2)+BC$23,0)=EOMONTH($DN$3,0),BC$26,0),0),IF(AND(AY$26&lt;&gt;"",AY$23&lt;&gt;""),IF(EOMONTH($AX$3+INT((DAY(EOMONTH($AX$3,0))-1)/2)+AY$23,0)=EOMONTH($DN$3,0),AY$26,0),0),IF(AND(AU$26&lt;&gt;"",AU$23&lt;&gt;""),IF(EOMONTH($AT$3+INT((DAY(EOMONTH($AT$3,0))-1)/2)+AU$23,0)=EOMONTH($DN$3,0),AU$26,0),0),IF(AND(AQ$26&lt;&gt;"",AQ$23&lt;&gt;""),IF(EOMONTH($AP$3+INT((DAY(EOMONTH($AP$3,0))-1)/2)+AQ$23,0)=EOMONTH($DN$3,0),AQ$26,0),0),IF(AND(AM$26&lt;&gt;"",AM$23&lt;&gt;""),IF(EOMONTH($AL$3+INT((DAY(EOMONTH($AL$3,0))-1)/2)+AM$23,0)=EOMONTH($DN$3,0),AM$26,0),0),IF(AND(AI$26&lt;&gt;"",AI$23&lt;&gt;""),IF(EOMONTH($AH$3+INT((DAY(EOMONTH($AH$3,0))-1)/2)+AI$23,0)=EOMONTH($DN$3,0),AI$26,0),0),IF(AND(AE$26&lt;&gt;"",AE$23&lt;&gt;""),IF(EOMONTH($AD$3+INT((DAY(EOMONTH($AD$3,0))-1)/2)+AE$23,0)=EOMONTH($DN$3,0),AE$26,0),0),IF(AND(AA$26&lt;&gt;"",AA$23&lt;&gt;""),IF(EOMONTH($Z$3+INT((DAY(EOMONTH($Z$3,0))-1)/2)+AA$23,0)=EOMONTH($DN$3,0),AA$26,0),0),IF(AND(W$26&lt;&gt;"",W$23&lt;&gt;""),IF(EOMONTH($V$3+INT((DAY(EOMONTH($V$3,0))-1)/2)+W$23,0)=EOMONTH($DN$3,0),W$26,0),0),IF(AND(S$26&lt;&gt;"",S$23&lt;&gt;""),IF(EOMONTH($R$3+INT((DAY(EOMONTH($R$3,0))-1)/2)+S$23,0)=EOMONTH($DN$3,0),S$26,0),0),IF(AND(O$26&lt;&gt;"",O$23&lt;&gt;""),IF(EOMONTH($N$3+INT((DAY(EOMONTH($N$3,0))-1)/2)+O$23,0)=EOMONTH($DN$3,0),O$26,0),0),IF(AND(K$26&lt;&gt;"",K$23&lt;&gt;""),IF(EOMONTH($J$3+INT((DAY(EOMONTH($J$3,0))-1)/2)+K$23,0)=EOMONTH($DN$3,0),K$26,0),0),IF(AND(G$26&lt;&gt;"",G$23&lt;&gt;""),IF(EOMONTH($F$3+INT((DAY(EOMONTH($F$3,0))-1)/2)+G$23,0)=EOMONTH($DN$3,0),G$26,0),0),IF($EP$75="",0,IF(EOMONTH($EP$75+EQ$23,0)=EOMONTH($DN$3,0),$EP$78*EQ$13,0))),0))</f>
        <v>0</v>
      </c>
      <c r="DP57" s="32">
        <f>ROUND(SUM(IF(AND(ER$26&lt;&gt;"",ER$23&lt;&gt;""),IF(EOMONTH($EP$3+INT((DAY(EOMONTH($EP$3,0))-1)/2)+ER$23,0)=EOMONTH($DN$3,0),ER$26,0),0),IF(AND(EN$26&lt;&gt;"",EN$23&lt;&gt;""),IF(EOMONTH($EL$3+INT((DAY(EOMONTH($EL$3,0))-1)/2)+EN$23,0)=EOMONTH($DN$3,0),EN$26,0),0),IF(AND(EJ$26&lt;&gt;"",EJ$23&lt;&gt;""),IF(EOMONTH($EH$3+INT((DAY(EOMONTH($EH$3,0))-1)/2)+EJ$23,0)=EOMONTH($DN$3,0),EJ$26,0),0),IF(AND(EF$26&lt;&gt;"",EF$23&lt;&gt;""),IF(EOMONTH($ED$3+INT((DAY(EOMONTH($ED$3,0))-1)/2)+EF$23,0)=EOMONTH($DN$3,0),EF$26,0),0),IF(AND(EB$26&lt;&gt;"",EB$23&lt;&gt;""),IF(EOMONTH($DZ$3+INT((DAY(EOMONTH($DZ$3,0))-1)/2)+EB$23,0)=EOMONTH($DN$3,0),EB$26,0),0),IF(AND(DX$26&lt;&gt;"",DX$23&lt;&gt;""),IF(EOMONTH($DV$3+INT((DAY(EOMONTH($DV$3,0))-1)/2)+DX$23,0)=EOMONTH($DN$3,0),DX$26,0),0),IF(AND(DT$26&lt;&gt;"",DT$23&lt;&gt;""),IF(EOMONTH($DR$3+INT((DAY(EOMONTH($DR$3,0))-1)/2)+DT$23,0)=EOMONTH($DN$3,0),DT$26,0),0),IF(AND(DP$26&lt;&gt;"",DP$23&lt;&gt;""),IF(EOMONTH($DN$3+INT((DAY(EOMONTH($DN$3,0))-1)/2)+DP$23,0)=EOMONTH($DN$3,0),DP$26,0),0),IF(AND(DL$26&lt;&gt;"",DL$23&lt;&gt;""),IF(EOMONTH($DJ$3+INT((DAY(EOMONTH($DJ$3,0))-1)/2)+DL$23,0)=EOMONTH($DN$3,0),DL$26,0),0),IF(AND(DH$26&lt;&gt;"",DH$23&lt;&gt;""),IF(EOMONTH($DF$3+INT((DAY(EOMONTH($DF$3,0))-1)/2)+DH$23,0)=EOMONTH($DN$3,0),DH$26,0),0),IF(AND(DD$26&lt;&gt;"",DD$23&lt;&gt;""),IF(EOMONTH($DB$3+INT((DAY(EOMONTH($DB$3,0))-1)/2)+DD$23,0)=EOMONTH($DN$3,0),DD$26,0),0),IF(AND(CZ$26&lt;&gt;"",CZ$23&lt;&gt;""),IF(EOMONTH($CX$3+INT((DAY(EOMONTH($CX$3,0))-1)/2)+CZ$23,0)=EOMONTH($DN$3,0),CZ$26,0),0),IF(AND(CV$26&lt;&gt;"",CV$23&lt;&gt;""),IF(EOMONTH($CT$3+INT((DAY(EOMONTH($CT$3,0))-1)/2)+CV$23,0)=EOMONTH($DN$3,0),CV$26,0),0),IF(AND(CR$26&lt;&gt;"",CR$23&lt;&gt;""),IF(EOMONTH($CP$3+INT((DAY(EOMONTH($CP$3,0))-1)/2)+CR$23,0)=EOMONTH($DN$3,0),CR$26,0),0),IF(AND(CN$26&lt;&gt;"",CN$23&lt;&gt;""),IF(EOMONTH($CL$3+INT((DAY(EOMONTH($CL$3,0))-1)/2)+CN$23,0)=EOMONTH($DN$3,0),CN$26,0),0),IF(AND(CJ$26&lt;&gt;"",CJ$23&lt;&gt;""),IF(EOMONTH($CH$3+INT((DAY(EOMONTH($CH$3,0))-1)/2)+CJ$23,0)=EOMONTH($DN$3,0),CJ$26,0),0),IF(AND(CF$26&lt;&gt;"",CF$23&lt;&gt;""),IF(EOMONTH($CD$3+INT((DAY(EOMONTH($CD$3,0))-1)/2)+CF$23,0)=EOMONTH($DN$3,0),CF$26,0),0),IF(AND(CB$26&lt;&gt;"",CB$23&lt;&gt;""),IF(EOMONTH($BZ$3+INT((DAY(EOMONTH($BZ$3,0))-1)/2)+CB$23,0)=EOMONTH($DN$3,0),CB$26,0),0),IF(AND(BX$26&lt;&gt;"",BX$23&lt;&gt;""),IF(EOMONTH($BV$3+INT((DAY(EOMONTH($BV$3,0))-1)/2)+BX$23,0)=EOMONTH($DN$3,0),BX$26,0),0),IF(AND(BT$26&lt;&gt;"",BT$23&lt;&gt;""),IF(EOMONTH($BR$3+INT((DAY(EOMONTH($BR$3,0))-1)/2)+BT$23,0)=EOMONTH($DN$3,0),BT$26,0),0),IF(AND(BP$26&lt;&gt;"",BP$23&lt;&gt;""),IF(EOMONTH($BN$3+INT((DAY(EOMONTH($BN$3,0))-1)/2)+BP$23,0)=EOMONTH($DN$3,0),BP$26,0),0),IF(AND(BL$26&lt;&gt;"",BL$23&lt;&gt;""),IF(EOMONTH($BJ$3+INT((DAY(EOMONTH($BJ$3,0))-1)/2)+BL$23,0)=EOMONTH($DN$3,0),BL$26,0),0),IF(AND(BH$26&lt;&gt;"",BH$23&lt;&gt;""),IF(EOMONTH($BF$3+INT((DAY(EOMONTH($BF$3,0))-1)/2)+BH$23,0)=EOMONTH($DN$3,0),BH$26,0),0),IF(AND(BD$26&lt;&gt;"",BD$23&lt;&gt;""),IF(EOMONTH($BB$3+INT((DAY(EOMONTH($BB$3,0))-1)/2)+BD$23,0)=EOMONTH($DN$3,0),BD$26,0),0),IF(AND(AZ$26&lt;&gt;"",AZ$23&lt;&gt;""),IF(EOMONTH($AX$3+INT((DAY(EOMONTH($AX$3,0))-1)/2)+AZ$23,0)=EOMONTH($DN$3,0),AZ$26,0),0),IF(AND(AV$26&lt;&gt;"",AV$23&lt;&gt;""),IF(EOMONTH($AT$3+INT((DAY(EOMONTH($AT$3,0))-1)/2)+AV$23,0)=EOMONTH($DN$3,0),AV$26,0),0),IF(AND(AR$26&lt;&gt;"",AR$23&lt;&gt;""),IF(EOMONTH($AP$3+INT((DAY(EOMONTH($AP$3,0))-1)/2)+AR$23,0)=EOMONTH($DN$3,0),AR$26,0),0),IF(AND(AN$26&lt;&gt;"",AN$23&lt;&gt;""),IF(EOMONTH($AL$3+INT((DAY(EOMONTH($AL$3,0))-1)/2)+AN$23,0)=EOMONTH($DN$3,0),AN$26,0),0),IF(AND(AJ$26&lt;&gt;"",AJ$23&lt;&gt;""),IF(EOMONTH($AH$3+INT((DAY(EOMONTH($AH$3,0))-1)/2)+AJ$23,0)=EOMONTH($DN$3,0),AJ$26,0),0),IF(AND(AF$26&lt;&gt;"",AF$23&lt;&gt;""),IF(EOMONTH($AD$3+INT((DAY(EOMONTH($AD$3,0))-1)/2)+AF$23,0)=EOMONTH($DN$3,0),AF$26,0),0),IF(AND(AB$26&lt;&gt;"",AB$23&lt;&gt;""),IF(EOMONTH($Z$3+INT((DAY(EOMONTH($Z$3,0))-1)/2)+AB$23,0)=EOMONTH($DN$3,0),AB$26,0),0),IF(AND(X$26&lt;&gt;"",X$23&lt;&gt;""),IF(EOMONTH($V$3+INT((DAY(EOMONTH($V$3,0))-1)/2)+X$23,0)=EOMONTH($DN$3,0),X$26,0),0),IF(AND(T$26&lt;&gt;"",T$23&lt;&gt;""),IF(EOMONTH($R$3+INT((DAY(EOMONTH($R$3,0))-1)/2)+T$23,0)=EOMONTH($DN$3,0),T$26,0),0),IF(AND(P$26&lt;&gt;"",P$23&lt;&gt;""),IF(EOMONTH($N$3+INT((DAY(EOMONTH($N$3,0))-1)/2)+P$23,0)=EOMONTH($DN$3,0),P$26,0),0),IF(AND(L$26&lt;&gt;"",L$23&lt;&gt;""),IF(EOMONTH($J$3+INT((DAY(EOMONTH($J$3,0))-1)/2)+L$23,0)=EOMONTH($DN$3,0),L$26,0),0),IF(AND(H$26&lt;&gt;"",H$23&lt;&gt;""),IF(EOMONTH($F$3+INT((DAY(EOMONTH($F$3,0))-1)/2)+H$23,0)=EOMONTH($DN$3,0),H$26,0),0),IF($EP$75="",0,IF(EOMONTH($EP$75+ER$23,0)=EOMONTH($DN$3,0),$EP$78*ER$13,0))),0)</f>
        <v>0</v>
      </c>
      <c r="DQ57" s="33">
        <f t="shared" ref="DQ57:DQ70" si="758">IFERROR(IF(OR(DO57="",DP57=""),"",DO57-DP57),"")</f>
        <v>0</v>
      </c>
      <c r="DR57" s="34"/>
      <c r="DS57" s="31">
        <f>IF(DR$98=1,DR57,ROUND(SUM(IF(AND(EQ$26&lt;&gt;"",EQ$23&lt;&gt;""),IF(EOMONTH($EP$3+INT((DAY(EOMONTH($EP$3,0))-1)/2)+EQ$23,0)=EOMONTH($DR$3,0),EQ$26,0),0),IF(AND(EM$26&lt;&gt;"",EM$23&lt;&gt;""),IF(EOMONTH($EL$3+INT((DAY(EOMONTH($EL$3,0))-1)/2)+EM$23,0)=EOMONTH($DR$3,0),EM$26,0),0),IF(AND(EI$26&lt;&gt;"",EI$23&lt;&gt;""),IF(EOMONTH($EH$3+INT((DAY(EOMONTH($EH$3,0))-1)/2)+EI$23,0)=EOMONTH($DR$3,0),EI$26,0),0),IF(AND(EE$26&lt;&gt;"",EE$23&lt;&gt;""),IF(EOMONTH($ED$3+INT((DAY(EOMONTH($ED$3,0))-1)/2)+EE$23,0)=EOMONTH($DR$3,0),EE$26,0),0),IF(AND(EA$26&lt;&gt;"",EA$23&lt;&gt;""),IF(EOMONTH($DZ$3+INT((DAY(EOMONTH($DZ$3,0))-1)/2)+EA$23,0)=EOMONTH($DR$3,0),EA$26,0),0),IF(AND(DW$26&lt;&gt;"",DW$23&lt;&gt;""),IF(EOMONTH($DV$3+INT((DAY(EOMONTH($DV$3,0))-1)/2)+DW$23,0)=EOMONTH($DR$3,0),DW$26,0),0),IF(AND(DS$26&lt;&gt;"",DS$23&lt;&gt;""),IF(EOMONTH($DR$3+INT((DAY(EOMONTH($DR$3,0))-1)/2)+DS$23,0)=EOMONTH($DR$3,0),DS$26,0),0),IF(AND(DO$26&lt;&gt;"",DO$23&lt;&gt;""),IF(EOMONTH($DN$3+INT((DAY(EOMONTH($DN$3,0))-1)/2)+DO$23,0)=EOMONTH($DR$3,0),DO$26,0),0),IF(AND(DK$26&lt;&gt;"",DK$23&lt;&gt;""),IF(EOMONTH($DJ$3+INT((DAY(EOMONTH($DJ$3,0))-1)/2)+DK$23,0)=EOMONTH($DR$3,0),DK$26,0),0),IF(AND(DG$26&lt;&gt;"",DG$23&lt;&gt;""),IF(EOMONTH($DF$3+INT((DAY(EOMONTH($DF$3,0))-1)/2)+DG$23,0)=EOMONTH($DR$3,0),DG$26,0),0),IF(AND(DC$26&lt;&gt;"",DC$23&lt;&gt;""),IF(EOMONTH($DB$3+INT((DAY(EOMONTH($DB$3,0))-1)/2)+DC$23,0)=EOMONTH($DR$3,0),DC$26,0),0),IF(AND(CY$26&lt;&gt;"",CY$23&lt;&gt;""),IF(EOMONTH($CX$3+INT((DAY(EOMONTH($CX$3,0))-1)/2)+CY$23,0)=EOMONTH($DR$3,0),CY$26,0),0),IF(AND(CU$26&lt;&gt;"",CU$23&lt;&gt;""),IF(EOMONTH($CT$3+INT((DAY(EOMONTH($CT$3,0))-1)/2)+CU$23,0)=EOMONTH($DR$3,0),CU$26,0),0),IF(AND(CQ$26&lt;&gt;"",CQ$23&lt;&gt;""),IF(EOMONTH($CP$3+INT((DAY(EOMONTH($CP$3,0))-1)/2)+CQ$23,0)=EOMONTH($DR$3,0),CQ$26,0),0),IF(AND(CM$26&lt;&gt;"",CM$23&lt;&gt;""),IF(EOMONTH($CL$3+INT((DAY(EOMONTH($CL$3,0))-1)/2)+CM$23,0)=EOMONTH($DR$3,0),CM$26,0),0),IF(AND(CI$26&lt;&gt;"",CI$23&lt;&gt;""),IF(EOMONTH($CH$3+INT((DAY(EOMONTH($CH$3,0))-1)/2)+CI$23,0)=EOMONTH($DR$3,0),CI$26,0),0),IF(AND(CE$26&lt;&gt;"",CE$23&lt;&gt;""),IF(EOMONTH($CD$3+INT((DAY(EOMONTH($CD$3,0))-1)/2)+CE$23,0)=EOMONTH($DR$3,0),CE$26,0),0),IF(AND(CA$26&lt;&gt;"",CA$23&lt;&gt;""),IF(EOMONTH($BZ$3+INT((DAY(EOMONTH($BZ$3,0))-1)/2)+CA$23,0)=EOMONTH($DR$3,0),CA$26,0),0),IF(AND(BW$26&lt;&gt;"",BW$23&lt;&gt;""),IF(EOMONTH($BV$3+INT((DAY(EOMONTH($BV$3,0))-1)/2)+BW$23,0)=EOMONTH($DR$3,0),BW$26,0),0),IF(AND(BS$26&lt;&gt;"",BS$23&lt;&gt;""),IF(EOMONTH($BR$3+INT((DAY(EOMONTH($BR$3,0))-1)/2)+BS$23,0)=EOMONTH($DR$3,0),BS$26,0),0),IF(AND(BO$26&lt;&gt;"",BO$23&lt;&gt;""),IF(EOMONTH($BN$3+INT((DAY(EOMONTH($BN$3,0))-1)/2)+BO$23,0)=EOMONTH($DR$3,0),BO$26,0),0),IF(AND(BK$26&lt;&gt;"",BK$23&lt;&gt;""),IF(EOMONTH($BJ$3+INT((DAY(EOMONTH($BJ$3,0))-1)/2)+BK$23,0)=EOMONTH($DR$3,0),BK$26,0),0),IF(AND(BG$26&lt;&gt;"",BG$23&lt;&gt;""),IF(EOMONTH($BF$3+INT((DAY(EOMONTH($BF$3,0))-1)/2)+BG$23,0)=EOMONTH($DR$3,0),BG$26,0),0),IF(AND(BC$26&lt;&gt;"",BC$23&lt;&gt;""),IF(EOMONTH($BB$3+INT((DAY(EOMONTH($BB$3,0))-1)/2)+BC$23,0)=EOMONTH($DR$3,0),BC$26,0),0),IF(AND(AY$26&lt;&gt;"",AY$23&lt;&gt;""),IF(EOMONTH($AX$3+INT((DAY(EOMONTH($AX$3,0))-1)/2)+AY$23,0)=EOMONTH($DR$3,0),AY$26,0),0),IF(AND(AU$26&lt;&gt;"",AU$23&lt;&gt;""),IF(EOMONTH($AT$3+INT((DAY(EOMONTH($AT$3,0))-1)/2)+AU$23,0)=EOMONTH($DR$3,0),AU$26,0),0),IF(AND(AQ$26&lt;&gt;"",AQ$23&lt;&gt;""),IF(EOMONTH($AP$3+INT((DAY(EOMONTH($AP$3,0))-1)/2)+AQ$23,0)=EOMONTH($DR$3,0),AQ$26,0),0),IF(AND(AM$26&lt;&gt;"",AM$23&lt;&gt;""),IF(EOMONTH($AL$3+INT((DAY(EOMONTH($AL$3,0))-1)/2)+AM$23,0)=EOMONTH($DR$3,0),AM$26,0),0),IF(AND(AI$26&lt;&gt;"",AI$23&lt;&gt;""),IF(EOMONTH($AH$3+INT((DAY(EOMONTH($AH$3,0))-1)/2)+AI$23,0)=EOMONTH($DR$3,0),AI$26,0),0),IF(AND(AE$26&lt;&gt;"",AE$23&lt;&gt;""),IF(EOMONTH($AD$3+INT((DAY(EOMONTH($AD$3,0))-1)/2)+AE$23,0)=EOMONTH($DR$3,0),AE$26,0),0),IF(AND(AA$26&lt;&gt;"",AA$23&lt;&gt;""),IF(EOMONTH($Z$3+INT((DAY(EOMONTH($Z$3,0))-1)/2)+AA$23,0)=EOMONTH($DR$3,0),AA$26,0),0),IF(AND(W$26&lt;&gt;"",W$23&lt;&gt;""),IF(EOMONTH($V$3+INT((DAY(EOMONTH($V$3,0))-1)/2)+W$23,0)=EOMONTH($DR$3,0),W$26,0),0),IF(AND(S$26&lt;&gt;"",S$23&lt;&gt;""),IF(EOMONTH($R$3+INT((DAY(EOMONTH($R$3,0))-1)/2)+S$23,0)=EOMONTH($DR$3,0),S$26,0),0),IF(AND(O$26&lt;&gt;"",O$23&lt;&gt;""),IF(EOMONTH($N$3+INT((DAY(EOMONTH($N$3,0))-1)/2)+O$23,0)=EOMONTH($DR$3,0),O$26,0),0),IF(AND(K$26&lt;&gt;"",K$23&lt;&gt;""),IF(EOMONTH($J$3+INT((DAY(EOMONTH($J$3,0))-1)/2)+K$23,0)=EOMONTH($DR$3,0),K$26,0),0),IF(AND(G$26&lt;&gt;"",G$23&lt;&gt;""),IF(EOMONTH($F$3+INT((DAY(EOMONTH($F$3,0))-1)/2)+G$23,0)=EOMONTH($DR$3,0),G$26,0),0),IF($EP$75="",0,IF(EOMONTH($EP$75+EQ$23,0)=EOMONTH($DR$3,0),$EP$78*EQ$13,0))),0))</f>
        <v>0</v>
      </c>
      <c r="DT57" s="32">
        <f>ROUND(SUM(IF(AND(ER$26&lt;&gt;"",ER$23&lt;&gt;""),IF(EOMONTH($EP$3+INT((DAY(EOMONTH($EP$3,0))-1)/2)+ER$23,0)=EOMONTH($DR$3,0),ER$26,0),0),IF(AND(EN$26&lt;&gt;"",EN$23&lt;&gt;""),IF(EOMONTH($EL$3+INT((DAY(EOMONTH($EL$3,0))-1)/2)+EN$23,0)=EOMONTH($DR$3,0),EN$26,0),0),IF(AND(EJ$26&lt;&gt;"",EJ$23&lt;&gt;""),IF(EOMONTH($EH$3+INT((DAY(EOMONTH($EH$3,0))-1)/2)+EJ$23,0)=EOMONTH($DR$3,0),EJ$26,0),0),IF(AND(EF$26&lt;&gt;"",EF$23&lt;&gt;""),IF(EOMONTH($ED$3+INT((DAY(EOMONTH($ED$3,0))-1)/2)+EF$23,0)=EOMONTH($DR$3,0),EF$26,0),0),IF(AND(EB$26&lt;&gt;"",EB$23&lt;&gt;""),IF(EOMONTH($DZ$3+INT((DAY(EOMONTH($DZ$3,0))-1)/2)+EB$23,0)=EOMONTH($DR$3,0),EB$26,0),0),IF(AND(DX$26&lt;&gt;"",DX$23&lt;&gt;""),IF(EOMONTH($DV$3+INT((DAY(EOMONTH($DV$3,0))-1)/2)+DX$23,0)=EOMONTH($DR$3,0),DX$26,0),0),IF(AND(DT$26&lt;&gt;"",DT$23&lt;&gt;""),IF(EOMONTH($DR$3+INT((DAY(EOMONTH($DR$3,0))-1)/2)+DT$23,0)=EOMONTH($DR$3,0),DT$26,0),0),IF(AND(DP$26&lt;&gt;"",DP$23&lt;&gt;""),IF(EOMONTH($DN$3+INT((DAY(EOMONTH($DN$3,0))-1)/2)+DP$23,0)=EOMONTH($DR$3,0),DP$26,0),0),IF(AND(DL$26&lt;&gt;"",DL$23&lt;&gt;""),IF(EOMONTH($DJ$3+INT((DAY(EOMONTH($DJ$3,0))-1)/2)+DL$23,0)=EOMONTH($DR$3,0),DL$26,0),0),IF(AND(DH$26&lt;&gt;"",DH$23&lt;&gt;""),IF(EOMONTH($DF$3+INT((DAY(EOMONTH($DF$3,0))-1)/2)+DH$23,0)=EOMONTH($DR$3,0),DH$26,0),0),IF(AND(DD$26&lt;&gt;"",DD$23&lt;&gt;""),IF(EOMONTH($DB$3+INT((DAY(EOMONTH($DB$3,0))-1)/2)+DD$23,0)=EOMONTH($DR$3,0),DD$26,0),0),IF(AND(CZ$26&lt;&gt;"",CZ$23&lt;&gt;""),IF(EOMONTH($CX$3+INT((DAY(EOMONTH($CX$3,0))-1)/2)+CZ$23,0)=EOMONTH($DR$3,0),CZ$26,0),0),IF(AND(CV$26&lt;&gt;"",CV$23&lt;&gt;""),IF(EOMONTH($CT$3+INT((DAY(EOMONTH($CT$3,0))-1)/2)+CV$23,0)=EOMONTH($DR$3,0),CV$26,0),0),IF(AND(CR$26&lt;&gt;"",CR$23&lt;&gt;""),IF(EOMONTH($CP$3+INT((DAY(EOMONTH($CP$3,0))-1)/2)+CR$23,0)=EOMONTH($DR$3,0),CR$26,0),0),IF(AND(CN$26&lt;&gt;"",CN$23&lt;&gt;""),IF(EOMONTH($CL$3+INT((DAY(EOMONTH($CL$3,0))-1)/2)+CN$23,0)=EOMONTH($DR$3,0),CN$26,0),0),IF(AND(CJ$26&lt;&gt;"",CJ$23&lt;&gt;""),IF(EOMONTH($CH$3+INT((DAY(EOMONTH($CH$3,0))-1)/2)+CJ$23,0)=EOMONTH($DR$3,0),CJ$26,0),0),IF(AND(CF$26&lt;&gt;"",CF$23&lt;&gt;""),IF(EOMONTH($CD$3+INT((DAY(EOMONTH($CD$3,0))-1)/2)+CF$23,0)=EOMONTH($DR$3,0),CF$26,0),0),IF(AND(CB$26&lt;&gt;"",CB$23&lt;&gt;""),IF(EOMONTH($BZ$3+INT((DAY(EOMONTH($BZ$3,0))-1)/2)+CB$23,0)=EOMONTH($DR$3,0),CB$26,0),0),IF(AND(BX$26&lt;&gt;"",BX$23&lt;&gt;""),IF(EOMONTH($BV$3+INT((DAY(EOMONTH($BV$3,0))-1)/2)+BX$23,0)=EOMONTH($DR$3,0),BX$26,0),0),IF(AND(BT$26&lt;&gt;"",BT$23&lt;&gt;""),IF(EOMONTH($BR$3+INT((DAY(EOMONTH($BR$3,0))-1)/2)+BT$23,0)=EOMONTH($DR$3,0),BT$26,0),0),IF(AND(BP$26&lt;&gt;"",BP$23&lt;&gt;""),IF(EOMONTH($BN$3+INT((DAY(EOMONTH($BN$3,0))-1)/2)+BP$23,0)=EOMONTH($DR$3,0),BP$26,0),0),IF(AND(BL$26&lt;&gt;"",BL$23&lt;&gt;""),IF(EOMONTH($BJ$3+INT((DAY(EOMONTH($BJ$3,0))-1)/2)+BL$23,0)=EOMONTH($DR$3,0),BL$26,0),0),IF(AND(BH$26&lt;&gt;"",BH$23&lt;&gt;""),IF(EOMONTH($BF$3+INT((DAY(EOMONTH($BF$3,0))-1)/2)+BH$23,0)=EOMONTH($DR$3,0),BH$26,0),0),IF(AND(BD$26&lt;&gt;"",BD$23&lt;&gt;""),IF(EOMONTH($BB$3+INT((DAY(EOMONTH($BB$3,0))-1)/2)+BD$23,0)=EOMONTH($DR$3,0),BD$26,0),0),IF(AND(AZ$26&lt;&gt;"",AZ$23&lt;&gt;""),IF(EOMONTH($AX$3+INT((DAY(EOMONTH($AX$3,0))-1)/2)+AZ$23,0)=EOMONTH($DR$3,0),AZ$26,0),0),IF(AND(AV$26&lt;&gt;"",AV$23&lt;&gt;""),IF(EOMONTH($AT$3+INT((DAY(EOMONTH($AT$3,0))-1)/2)+AV$23,0)=EOMONTH($DR$3,0),AV$26,0),0),IF(AND(AR$26&lt;&gt;"",AR$23&lt;&gt;""),IF(EOMONTH($AP$3+INT((DAY(EOMONTH($AP$3,0))-1)/2)+AR$23,0)=EOMONTH($DR$3,0),AR$26,0),0),IF(AND(AN$26&lt;&gt;"",AN$23&lt;&gt;""),IF(EOMONTH($AL$3+INT((DAY(EOMONTH($AL$3,0))-1)/2)+AN$23,0)=EOMONTH($DR$3,0),AN$26,0),0),IF(AND(AJ$26&lt;&gt;"",AJ$23&lt;&gt;""),IF(EOMONTH($AH$3+INT((DAY(EOMONTH($AH$3,0))-1)/2)+AJ$23,0)=EOMONTH($DR$3,0),AJ$26,0),0),IF(AND(AF$26&lt;&gt;"",AF$23&lt;&gt;""),IF(EOMONTH($AD$3+INT((DAY(EOMONTH($AD$3,0))-1)/2)+AF$23,0)=EOMONTH($DR$3,0),AF$26,0),0),IF(AND(AB$26&lt;&gt;"",AB$23&lt;&gt;""),IF(EOMONTH($Z$3+INT((DAY(EOMONTH($Z$3,0))-1)/2)+AB$23,0)=EOMONTH($DR$3,0),AB$26,0),0),IF(AND(X$26&lt;&gt;"",X$23&lt;&gt;""),IF(EOMONTH($V$3+INT((DAY(EOMONTH($V$3,0))-1)/2)+X$23,0)=EOMONTH($DR$3,0),X$26,0),0),IF(AND(T$26&lt;&gt;"",T$23&lt;&gt;""),IF(EOMONTH($R$3+INT((DAY(EOMONTH($R$3,0))-1)/2)+T$23,0)=EOMONTH($DR$3,0),T$26,0),0),IF(AND(P$26&lt;&gt;"",P$23&lt;&gt;""),IF(EOMONTH($N$3+INT((DAY(EOMONTH($N$3,0))-1)/2)+P$23,0)=EOMONTH($DR$3,0),P$26,0),0),IF(AND(L$26&lt;&gt;"",L$23&lt;&gt;""),IF(EOMONTH($J$3+INT((DAY(EOMONTH($J$3,0))-1)/2)+L$23,0)=EOMONTH($DR$3,0),L$26,0),0),IF(AND(H$26&lt;&gt;"",H$23&lt;&gt;""),IF(EOMONTH($F$3+INT((DAY(EOMONTH($F$3,0))-1)/2)+H$23,0)=EOMONTH($DR$3,0),H$26,0),0),IF($EP$75="",0,IF(EOMONTH($EP$75+ER$23,0)=EOMONTH($DR$3,0),$EP$78*ER$13,0))),0)</f>
        <v>0</v>
      </c>
      <c r="DU57" s="33">
        <f t="shared" ref="DU57:DU70" si="760">IFERROR(IF(OR(DS57="",DT57=""),"",DS57-DT57),"")</f>
        <v>0</v>
      </c>
      <c r="DV57" s="34"/>
      <c r="DW57" s="31">
        <f>IF(DV$98=1,DV57,ROUND(SUM(IF(AND(EQ$26&lt;&gt;"",EQ$23&lt;&gt;""),IF(EOMONTH($EP$3+INT((DAY(EOMONTH($EP$3,0))-1)/2)+EQ$23,0)=EOMONTH($DV$3,0),EQ$26,0),0),IF(AND(EM$26&lt;&gt;"",EM$23&lt;&gt;""),IF(EOMONTH($EL$3+INT((DAY(EOMONTH($EL$3,0))-1)/2)+EM$23,0)=EOMONTH($DV$3,0),EM$26,0),0),IF(AND(EI$26&lt;&gt;"",EI$23&lt;&gt;""),IF(EOMONTH($EH$3+INT((DAY(EOMONTH($EH$3,0))-1)/2)+EI$23,0)=EOMONTH($DV$3,0),EI$26,0),0),IF(AND(EE$26&lt;&gt;"",EE$23&lt;&gt;""),IF(EOMONTH($ED$3+INT((DAY(EOMONTH($ED$3,0))-1)/2)+EE$23,0)=EOMONTH($DV$3,0),EE$26,0),0),IF(AND(EA$26&lt;&gt;"",EA$23&lt;&gt;""),IF(EOMONTH($DZ$3+INT((DAY(EOMONTH($DZ$3,0))-1)/2)+EA$23,0)=EOMONTH($DV$3,0),EA$26,0),0),IF(AND(DW$26&lt;&gt;"",DW$23&lt;&gt;""),IF(EOMONTH($DV$3+INT((DAY(EOMONTH($DV$3,0))-1)/2)+DW$23,0)=EOMONTH($DV$3,0),DW$26,0),0),IF(AND(DS$26&lt;&gt;"",DS$23&lt;&gt;""),IF(EOMONTH($DR$3+INT((DAY(EOMONTH($DR$3,0))-1)/2)+DS$23,0)=EOMONTH($DV$3,0),DS$26,0),0),IF(AND(DO$26&lt;&gt;"",DO$23&lt;&gt;""),IF(EOMONTH($DN$3+INT((DAY(EOMONTH($DN$3,0))-1)/2)+DO$23,0)=EOMONTH($DV$3,0),DO$26,0),0),IF(AND(DK$26&lt;&gt;"",DK$23&lt;&gt;""),IF(EOMONTH($DJ$3+INT((DAY(EOMONTH($DJ$3,0))-1)/2)+DK$23,0)=EOMONTH($DV$3,0),DK$26,0),0),IF(AND(DG$26&lt;&gt;"",DG$23&lt;&gt;""),IF(EOMONTH($DF$3+INT((DAY(EOMONTH($DF$3,0))-1)/2)+DG$23,0)=EOMONTH($DV$3,0),DG$26,0),0),IF(AND(DC$26&lt;&gt;"",DC$23&lt;&gt;""),IF(EOMONTH($DB$3+INT((DAY(EOMONTH($DB$3,0))-1)/2)+DC$23,0)=EOMONTH($DV$3,0),DC$26,0),0),IF(AND(CY$26&lt;&gt;"",CY$23&lt;&gt;""),IF(EOMONTH($CX$3+INT((DAY(EOMONTH($CX$3,0))-1)/2)+CY$23,0)=EOMONTH($DV$3,0),CY$26,0),0),IF(AND(CU$26&lt;&gt;"",CU$23&lt;&gt;""),IF(EOMONTH($CT$3+INT((DAY(EOMONTH($CT$3,0))-1)/2)+CU$23,0)=EOMONTH($DV$3,0),CU$26,0),0),IF(AND(CQ$26&lt;&gt;"",CQ$23&lt;&gt;""),IF(EOMONTH($CP$3+INT((DAY(EOMONTH($CP$3,0))-1)/2)+CQ$23,0)=EOMONTH($DV$3,0),CQ$26,0),0),IF(AND(CM$26&lt;&gt;"",CM$23&lt;&gt;""),IF(EOMONTH($CL$3+INT((DAY(EOMONTH($CL$3,0))-1)/2)+CM$23,0)=EOMONTH($DV$3,0),CM$26,0),0),IF(AND(CI$26&lt;&gt;"",CI$23&lt;&gt;""),IF(EOMONTH($CH$3+INT((DAY(EOMONTH($CH$3,0))-1)/2)+CI$23,0)=EOMONTH($DV$3,0),CI$26,0),0),IF(AND(CE$26&lt;&gt;"",CE$23&lt;&gt;""),IF(EOMONTH($CD$3+INT((DAY(EOMONTH($CD$3,0))-1)/2)+CE$23,0)=EOMONTH($DV$3,0),CE$26,0),0),IF(AND(CA$26&lt;&gt;"",CA$23&lt;&gt;""),IF(EOMONTH($BZ$3+INT((DAY(EOMONTH($BZ$3,0))-1)/2)+CA$23,0)=EOMONTH($DV$3,0),CA$26,0),0),IF(AND(BW$26&lt;&gt;"",BW$23&lt;&gt;""),IF(EOMONTH($BV$3+INT((DAY(EOMONTH($BV$3,0))-1)/2)+BW$23,0)=EOMONTH($DV$3,0),BW$26,0),0),IF(AND(BS$26&lt;&gt;"",BS$23&lt;&gt;""),IF(EOMONTH($BR$3+INT((DAY(EOMONTH($BR$3,0))-1)/2)+BS$23,0)=EOMONTH($DV$3,0),BS$26,0),0),IF(AND(BO$26&lt;&gt;"",BO$23&lt;&gt;""),IF(EOMONTH($BN$3+INT((DAY(EOMONTH($BN$3,0))-1)/2)+BO$23,0)=EOMONTH($DV$3,0),BO$26,0),0),IF(AND(BK$26&lt;&gt;"",BK$23&lt;&gt;""),IF(EOMONTH($BJ$3+INT((DAY(EOMONTH($BJ$3,0))-1)/2)+BK$23,0)=EOMONTH($DV$3,0),BK$26,0),0),IF(AND(BG$26&lt;&gt;"",BG$23&lt;&gt;""),IF(EOMONTH($BF$3+INT((DAY(EOMONTH($BF$3,0))-1)/2)+BG$23,0)=EOMONTH($DV$3,0),BG$26,0),0),IF(AND(BC$26&lt;&gt;"",BC$23&lt;&gt;""),IF(EOMONTH($BB$3+INT((DAY(EOMONTH($BB$3,0))-1)/2)+BC$23,0)=EOMONTH($DV$3,0),BC$26,0),0),IF(AND(AY$26&lt;&gt;"",AY$23&lt;&gt;""),IF(EOMONTH($AX$3+INT((DAY(EOMONTH($AX$3,0))-1)/2)+AY$23,0)=EOMONTH($DV$3,0),AY$26,0),0),IF(AND(AU$26&lt;&gt;"",AU$23&lt;&gt;""),IF(EOMONTH($AT$3+INT((DAY(EOMONTH($AT$3,0))-1)/2)+AU$23,0)=EOMONTH($DV$3,0),AU$26,0),0),IF(AND(AQ$26&lt;&gt;"",AQ$23&lt;&gt;""),IF(EOMONTH($AP$3+INT((DAY(EOMONTH($AP$3,0))-1)/2)+AQ$23,0)=EOMONTH($DV$3,0),AQ$26,0),0),IF(AND(AM$26&lt;&gt;"",AM$23&lt;&gt;""),IF(EOMONTH($AL$3+INT((DAY(EOMONTH($AL$3,0))-1)/2)+AM$23,0)=EOMONTH($DV$3,0),AM$26,0),0),IF(AND(AI$26&lt;&gt;"",AI$23&lt;&gt;""),IF(EOMONTH($AH$3+INT((DAY(EOMONTH($AH$3,0))-1)/2)+AI$23,0)=EOMONTH($DV$3,0),AI$26,0),0),IF(AND(AE$26&lt;&gt;"",AE$23&lt;&gt;""),IF(EOMONTH($AD$3+INT((DAY(EOMONTH($AD$3,0))-1)/2)+AE$23,0)=EOMONTH($DV$3,0),AE$26,0),0),IF(AND(AA$26&lt;&gt;"",AA$23&lt;&gt;""),IF(EOMONTH($Z$3+INT((DAY(EOMONTH($Z$3,0))-1)/2)+AA$23,0)=EOMONTH($DV$3,0),AA$26,0),0),IF(AND(W$26&lt;&gt;"",W$23&lt;&gt;""),IF(EOMONTH($V$3+INT((DAY(EOMONTH($V$3,0))-1)/2)+W$23,0)=EOMONTH($DV$3,0),W$26,0),0),IF(AND(S$26&lt;&gt;"",S$23&lt;&gt;""),IF(EOMONTH($R$3+INT((DAY(EOMONTH($R$3,0))-1)/2)+S$23,0)=EOMONTH($DV$3,0),S$26,0),0),IF(AND(O$26&lt;&gt;"",O$23&lt;&gt;""),IF(EOMONTH($N$3+INT((DAY(EOMONTH($N$3,0))-1)/2)+O$23,0)=EOMONTH($DV$3,0),O$26,0),0),IF(AND(K$26&lt;&gt;"",K$23&lt;&gt;""),IF(EOMONTH($J$3+INT((DAY(EOMONTH($J$3,0))-1)/2)+K$23,0)=EOMONTH($DV$3,0),K$26,0),0),IF(AND(G$26&lt;&gt;"",G$23&lt;&gt;""),IF(EOMONTH($F$3+INT((DAY(EOMONTH($F$3,0))-1)/2)+G$23,0)=EOMONTH($DV$3,0),G$26,0),0),IF($EP$75="",0,IF(EOMONTH($EP$75+EQ$23,0)=EOMONTH($DV$3,0),$EP$78*EQ$13,0))),0))</f>
        <v>0</v>
      </c>
      <c r="DX57" s="32">
        <f>ROUND(SUM(IF(AND(ER$26&lt;&gt;"",ER$23&lt;&gt;""),IF(EOMONTH($EP$3+INT((DAY(EOMONTH($EP$3,0))-1)/2)+ER$23,0)=EOMONTH($DV$3,0),ER$26,0),0),IF(AND(EN$26&lt;&gt;"",EN$23&lt;&gt;""),IF(EOMONTH($EL$3+INT((DAY(EOMONTH($EL$3,0))-1)/2)+EN$23,0)=EOMONTH($DV$3,0),EN$26,0),0),IF(AND(EJ$26&lt;&gt;"",EJ$23&lt;&gt;""),IF(EOMONTH($EH$3+INT((DAY(EOMONTH($EH$3,0))-1)/2)+EJ$23,0)=EOMONTH($DV$3,0),EJ$26,0),0),IF(AND(EF$26&lt;&gt;"",EF$23&lt;&gt;""),IF(EOMONTH($ED$3+INT((DAY(EOMONTH($ED$3,0))-1)/2)+EF$23,0)=EOMONTH($DV$3,0),EF$26,0),0),IF(AND(EB$26&lt;&gt;"",EB$23&lt;&gt;""),IF(EOMONTH($DZ$3+INT((DAY(EOMONTH($DZ$3,0))-1)/2)+EB$23,0)=EOMONTH($DV$3,0),EB$26,0),0),IF(AND(DX$26&lt;&gt;"",DX$23&lt;&gt;""),IF(EOMONTH($DV$3+INT((DAY(EOMONTH($DV$3,0))-1)/2)+DX$23,0)=EOMONTH($DV$3,0),DX$26,0),0),IF(AND(DT$26&lt;&gt;"",DT$23&lt;&gt;""),IF(EOMONTH($DR$3+INT((DAY(EOMONTH($DR$3,0))-1)/2)+DT$23,0)=EOMONTH($DV$3,0),DT$26,0),0),IF(AND(DP$26&lt;&gt;"",DP$23&lt;&gt;""),IF(EOMONTH($DN$3+INT((DAY(EOMONTH($DN$3,0))-1)/2)+DP$23,0)=EOMONTH($DV$3,0),DP$26,0),0),IF(AND(DL$26&lt;&gt;"",DL$23&lt;&gt;""),IF(EOMONTH($DJ$3+INT((DAY(EOMONTH($DJ$3,0))-1)/2)+DL$23,0)=EOMONTH($DV$3,0),DL$26,0),0),IF(AND(DH$26&lt;&gt;"",DH$23&lt;&gt;""),IF(EOMONTH($DF$3+INT((DAY(EOMONTH($DF$3,0))-1)/2)+DH$23,0)=EOMONTH($DV$3,0),DH$26,0),0),IF(AND(DD$26&lt;&gt;"",DD$23&lt;&gt;""),IF(EOMONTH($DB$3+INT((DAY(EOMONTH($DB$3,0))-1)/2)+DD$23,0)=EOMONTH($DV$3,0),DD$26,0),0),IF(AND(CZ$26&lt;&gt;"",CZ$23&lt;&gt;""),IF(EOMONTH($CX$3+INT((DAY(EOMONTH($CX$3,0))-1)/2)+CZ$23,0)=EOMONTH($DV$3,0),CZ$26,0),0),IF(AND(CV$26&lt;&gt;"",CV$23&lt;&gt;""),IF(EOMONTH($CT$3+INT((DAY(EOMONTH($CT$3,0))-1)/2)+CV$23,0)=EOMONTH($DV$3,0),CV$26,0),0),IF(AND(CR$26&lt;&gt;"",CR$23&lt;&gt;""),IF(EOMONTH($CP$3+INT((DAY(EOMONTH($CP$3,0))-1)/2)+CR$23,0)=EOMONTH($DV$3,0),CR$26,0),0),IF(AND(CN$26&lt;&gt;"",CN$23&lt;&gt;""),IF(EOMONTH($CL$3+INT((DAY(EOMONTH($CL$3,0))-1)/2)+CN$23,0)=EOMONTH($DV$3,0),CN$26,0),0),IF(AND(CJ$26&lt;&gt;"",CJ$23&lt;&gt;""),IF(EOMONTH($CH$3+INT((DAY(EOMONTH($CH$3,0))-1)/2)+CJ$23,0)=EOMONTH($DV$3,0),CJ$26,0),0),IF(AND(CF$26&lt;&gt;"",CF$23&lt;&gt;""),IF(EOMONTH($CD$3+INT((DAY(EOMONTH($CD$3,0))-1)/2)+CF$23,0)=EOMONTH($DV$3,0),CF$26,0),0),IF(AND(CB$26&lt;&gt;"",CB$23&lt;&gt;""),IF(EOMONTH($BZ$3+INT((DAY(EOMONTH($BZ$3,0))-1)/2)+CB$23,0)=EOMONTH($DV$3,0),CB$26,0),0),IF(AND(BX$26&lt;&gt;"",BX$23&lt;&gt;""),IF(EOMONTH($BV$3+INT((DAY(EOMONTH($BV$3,0))-1)/2)+BX$23,0)=EOMONTH($DV$3,0),BX$26,0),0),IF(AND(BT$26&lt;&gt;"",BT$23&lt;&gt;""),IF(EOMONTH($BR$3+INT((DAY(EOMONTH($BR$3,0))-1)/2)+BT$23,0)=EOMONTH($DV$3,0),BT$26,0),0),IF(AND(BP$26&lt;&gt;"",BP$23&lt;&gt;""),IF(EOMONTH($BN$3+INT((DAY(EOMONTH($BN$3,0))-1)/2)+BP$23,0)=EOMONTH($DV$3,0),BP$26,0),0),IF(AND(BL$26&lt;&gt;"",BL$23&lt;&gt;""),IF(EOMONTH($BJ$3+INT((DAY(EOMONTH($BJ$3,0))-1)/2)+BL$23,0)=EOMONTH($DV$3,0),BL$26,0),0),IF(AND(BH$26&lt;&gt;"",BH$23&lt;&gt;""),IF(EOMONTH($BF$3+INT((DAY(EOMONTH($BF$3,0))-1)/2)+BH$23,0)=EOMONTH($DV$3,0),BH$26,0),0),IF(AND(BD$26&lt;&gt;"",BD$23&lt;&gt;""),IF(EOMONTH($BB$3+INT((DAY(EOMONTH($BB$3,0))-1)/2)+BD$23,0)=EOMONTH($DV$3,0),BD$26,0),0),IF(AND(AZ$26&lt;&gt;"",AZ$23&lt;&gt;""),IF(EOMONTH($AX$3+INT((DAY(EOMONTH($AX$3,0))-1)/2)+AZ$23,0)=EOMONTH($DV$3,0),AZ$26,0),0),IF(AND(AV$26&lt;&gt;"",AV$23&lt;&gt;""),IF(EOMONTH($AT$3+INT((DAY(EOMONTH($AT$3,0))-1)/2)+AV$23,0)=EOMONTH($DV$3,0),AV$26,0),0),IF(AND(AR$26&lt;&gt;"",AR$23&lt;&gt;""),IF(EOMONTH($AP$3+INT((DAY(EOMONTH($AP$3,0))-1)/2)+AR$23,0)=EOMONTH($DV$3,0),AR$26,0),0),IF(AND(AN$26&lt;&gt;"",AN$23&lt;&gt;""),IF(EOMONTH($AL$3+INT((DAY(EOMONTH($AL$3,0))-1)/2)+AN$23,0)=EOMONTH($DV$3,0),AN$26,0),0),IF(AND(AJ$26&lt;&gt;"",AJ$23&lt;&gt;""),IF(EOMONTH($AH$3+INT((DAY(EOMONTH($AH$3,0))-1)/2)+AJ$23,0)=EOMONTH($DV$3,0),AJ$26,0),0),IF(AND(AF$26&lt;&gt;"",AF$23&lt;&gt;""),IF(EOMONTH($AD$3+INT((DAY(EOMONTH($AD$3,0))-1)/2)+AF$23,0)=EOMONTH($DV$3,0),AF$26,0),0),IF(AND(AB$26&lt;&gt;"",AB$23&lt;&gt;""),IF(EOMONTH($Z$3+INT((DAY(EOMONTH($Z$3,0))-1)/2)+AB$23,0)=EOMONTH($DV$3,0),AB$26,0),0),IF(AND(X$26&lt;&gt;"",X$23&lt;&gt;""),IF(EOMONTH($V$3+INT((DAY(EOMONTH($V$3,0))-1)/2)+X$23,0)=EOMONTH($DV$3,0),X$26,0),0),IF(AND(T$26&lt;&gt;"",T$23&lt;&gt;""),IF(EOMONTH($R$3+INT((DAY(EOMONTH($R$3,0))-1)/2)+T$23,0)=EOMONTH($DV$3,0),T$26,0),0),IF(AND(P$26&lt;&gt;"",P$23&lt;&gt;""),IF(EOMONTH($N$3+INT((DAY(EOMONTH($N$3,0))-1)/2)+P$23,0)=EOMONTH($DV$3,0),P$26,0),0),IF(AND(L$26&lt;&gt;"",L$23&lt;&gt;""),IF(EOMONTH($J$3+INT((DAY(EOMONTH($J$3,0))-1)/2)+L$23,0)=EOMONTH($DV$3,0),L$26,0),0),IF(AND(H$26&lt;&gt;"",H$23&lt;&gt;""),IF(EOMONTH($F$3+INT((DAY(EOMONTH($F$3,0))-1)/2)+H$23,0)=EOMONTH($DV$3,0),H$26,0),0),IF($EP$75="",0,IF(EOMONTH($EP$75+ER$23,0)=EOMONTH($DV$3,0),$EP$78*ER$13,0))),0)</f>
        <v>0</v>
      </c>
      <c r="DY57" s="33">
        <f t="shared" ref="DY57:DY70" si="762">IFERROR(IF(OR(DW57="",DX57=""),"",DW57-DX57),"")</f>
        <v>0</v>
      </c>
      <c r="DZ57" s="34"/>
      <c r="EA57" s="31">
        <f>IF(DZ$98=1,DZ57,ROUND(SUM(IF(AND(EQ$26&lt;&gt;"",EQ$23&lt;&gt;""),IF(EOMONTH($EP$3+INT((DAY(EOMONTH($EP$3,0))-1)/2)+EQ$23,0)=EOMONTH($DZ$3,0),EQ$26,0),0),IF(AND(EM$26&lt;&gt;"",EM$23&lt;&gt;""),IF(EOMONTH($EL$3+INT((DAY(EOMONTH($EL$3,0))-1)/2)+EM$23,0)=EOMONTH($DZ$3,0),EM$26,0),0),IF(AND(EI$26&lt;&gt;"",EI$23&lt;&gt;""),IF(EOMONTH($EH$3+INT((DAY(EOMONTH($EH$3,0))-1)/2)+EI$23,0)=EOMONTH($DZ$3,0),EI$26,0),0),IF(AND(EE$26&lt;&gt;"",EE$23&lt;&gt;""),IF(EOMONTH($ED$3+INT((DAY(EOMONTH($ED$3,0))-1)/2)+EE$23,0)=EOMONTH($DZ$3,0),EE$26,0),0),IF(AND(EA$26&lt;&gt;"",EA$23&lt;&gt;""),IF(EOMONTH($DZ$3+INT((DAY(EOMONTH($DZ$3,0))-1)/2)+EA$23,0)=EOMONTH($DZ$3,0),EA$26,0),0),IF(AND(DW$26&lt;&gt;"",DW$23&lt;&gt;""),IF(EOMONTH($DV$3+INT((DAY(EOMONTH($DV$3,0))-1)/2)+DW$23,0)=EOMONTH($DZ$3,0),DW$26,0),0),IF(AND(DS$26&lt;&gt;"",DS$23&lt;&gt;""),IF(EOMONTH($DR$3+INT((DAY(EOMONTH($DR$3,0))-1)/2)+DS$23,0)=EOMONTH($DZ$3,0),DS$26,0),0),IF(AND(DO$26&lt;&gt;"",DO$23&lt;&gt;""),IF(EOMONTH($DN$3+INT((DAY(EOMONTH($DN$3,0))-1)/2)+DO$23,0)=EOMONTH($DZ$3,0),DO$26,0),0),IF(AND(DK$26&lt;&gt;"",DK$23&lt;&gt;""),IF(EOMONTH($DJ$3+INT((DAY(EOMONTH($DJ$3,0))-1)/2)+DK$23,0)=EOMONTH($DZ$3,0),DK$26,0),0),IF(AND(DG$26&lt;&gt;"",DG$23&lt;&gt;""),IF(EOMONTH($DF$3+INT((DAY(EOMONTH($DF$3,0))-1)/2)+DG$23,0)=EOMONTH($DZ$3,0),DG$26,0),0),IF(AND(DC$26&lt;&gt;"",DC$23&lt;&gt;""),IF(EOMONTH($DB$3+INT((DAY(EOMONTH($DB$3,0))-1)/2)+DC$23,0)=EOMONTH($DZ$3,0),DC$26,0),0),IF(AND(CY$26&lt;&gt;"",CY$23&lt;&gt;""),IF(EOMONTH($CX$3+INT((DAY(EOMONTH($CX$3,0))-1)/2)+CY$23,0)=EOMONTH($DZ$3,0),CY$26,0),0),IF(AND(CU$26&lt;&gt;"",CU$23&lt;&gt;""),IF(EOMONTH($CT$3+INT((DAY(EOMONTH($CT$3,0))-1)/2)+CU$23,0)=EOMONTH($DZ$3,0),CU$26,0),0),IF(AND(CQ$26&lt;&gt;"",CQ$23&lt;&gt;""),IF(EOMONTH($CP$3+INT((DAY(EOMONTH($CP$3,0))-1)/2)+CQ$23,0)=EOMONTH($DZ$3,0),CQ$26,0),0),IF(AND(CM$26&lt;&gt;"",CM$23&lt;&gt;""),IF(EOMONTH($CL$3+INT((DAY(EOMONTH($CL$3,0))-1)/2)+CM$23,0)=EOMONTH($DZ$3,0),CM$26,0),0),IF(AND(CI$26&lt;&gt;"",CI$23&lt;&gt;""),IF(EOMONTH($CH$3+INT((DAY(EOMONTH($CH$3,0))-1)/2)+CI$23,0)=EOMONTH($DZ$3,0),CI$26,0),0),IF(AND(CE$26&lt;&gt;"",CE$23&lt;&gt;""),IF(EOMONTH($CD$3+INT((DAY(EOMONTH($CD$3,0))-1)/2)+CE$23,0)=EOMONTH($DZ$3,0),CE$26,0),0),IF(AND(CA$26&lt;&gt;"",CA$23&lt;&gt;""),IF(EOMONTH($BZ$3+INT((DAY(EOMONTH($BZ$3,0))-1)/2)+CA$23,0)=EOMONTH($DZ$3,0),CA$26,0),0),IF(AND(BW$26&lt;&gt;"",BW$23&lt;&gt;""),IF(EOMONTH($BV$3+INT((DAY(EOMONTH($BV$3,0))-1)/2)+BW$23,0)=EOMONTH($DZ$3,0),BW$26,0),0),IF(AND(BS$26&lt;&gt;"",BS$23&lt;&gt;""),IF(EOMONTH($BR$3+INT((DAY(EOMONTH($BR$3,0))-1)/2)+BS$23,0)=EOMONTH($DZ$3,0),BS$26,0),0),IF(AND(BO$26&lt;&gt;"",BO$23&lt;&gt;""),IF(EOMONTH($BN$3+INT((DAY(EOMONTH($BN$3,0))-1)/2)+BO$23,0)=EOMONTH($DZ$3,0),BO$26,0),0),IF(AND(BK$26&lt;&gt;"",BK$23&lt;&gt;""),IF(EOMONTH($BJ$3+INT((DAY(EOMONTH($BJ$3,0))-1)/2)+BK$23,0)=EOMONTH($DZ$3,0),BK$26,0),0),IF(AND(BG$26&lt;&gt;"",BG$23&lt;&gt;""),IF(EOMONTH($BF$3+INT((DAY(EOMONTH($BF$3,0))-1)/2)+BG$23,0)=EOMONTH($DZ$3,0),BG$26,0),0),IF(AND(BC$26&lt;&gt;"",BC$23&lt;&gt;""),IF(EOMONTH($BB$3+INT((DAY(EOMONTH($BB$3,0))-1)/2)+BC$23,0)=EOMONTH($DZ$3,0),BC$26,0),0),IF(AND(AY$26&lt;&gt;"",AY$23&lt;&gt;""),IF(EOMONTH($AX$3+INT((DAY(EOMONTH($AX$3,0))-1)/2)+AY$23,0)=EOMONTH($DZ$3,0),AY$26,0),0),IF(AND(AU$26&lt;&gt;"",AU$23&lt;&gt;""),IF(EOMONTH($AT$3+INT((DAY(EOMONTH($AT$3,0))-1)/2)+AU$23,0)=EOMONTH($DZ$3,0),AU$26,0),0),IF(AND(AQ$26&lt;&gt;"",AQ$23&lt;&gt;""),IF(EOMONTH($AP$3+INT((DAY(EOMONTH($AP$3,0))-1)/2)+AQ$23,0)=EOMONTH($DZ$3,0),AQ$26,0),0),IF(AND(AM$26&lt;&gt;"",AM$23&lt;&gt;""),IF(EOMONTH($AL$3+INT((DAY(EOMONTH($AL$3,0))-1)/2)+AM$23,0)=EOMONTH($DZ$3,0),AM$26,0),0),IF(AND(AI$26&lt;&gt;"",AI$23&lt;&gt;""),IF(EOMONTH($AH$3+INT((DAY(EOMONTH($AH$3,0))-1)/2)+AI$23,0)=EOMONTH($DZ$3,0),AI$26,0),0),IF(AND(AE$26&lt;&gt;"",AE$23&lt;&gt;""),IF(EOMONTH($AD$3+INT((DAY(EOMONTH($AD$3,0))-1)/2)+AE$23,0)=EOMONTH($DZ$3,0),AE$26,0),0),IF(AND(AA$26&lt;&gt;"",AA$23&lt;&gt;""),IF(EOMONTH($Z$3+INT((DAY(EOMONTH($Z$3,0))-1)/2)+AA$23,0)=EOMONTH($DZ$3,0),AA$26,0),0),IF(AND(W$26&lt;&gt;"",W$23&lt;&gt;""),IF(EOMONTH($V$3+INT((DAY(EOMONTH($V$3,0))-1)/2)+W$23,0)=EOMONTH($DZ$3,0),W$26,0),0),IF(AND(S$26&lt;&gt;"",S$23&lt;&gt;""),IF(EOMONTH($R$3+INT((DAY(EOMONTH($R$3,0))-1)/2)+S$23,0)=EOMONTH($DZ$3,0),S$26,0),0),IF(AND(O$26&lt;&gt;"",O$23&lt;&gt;""),IF(EOMONTH($N$3+INT((DAY(EOMONTH($N$3,0))-1)/2)+O$23,0)=EOMONTH($DZ$3,0),O$26,0),0),IF(AND(K$26&lt;&gt;"",K$23&lt;&gt;""),IF(EOMONTH($J$3+INT((DAY(EOMONTH($J$3,0))-1)/2)+K$23,0)=EOMONTH($DZ$3,0),K$26,0),0),IF(AND(G$26&lt;&gt;"",G$23&lt;&gt;""),IF(EOMONTH($F$3+INT((DAY(EOMONTH($F$3,0))-1)/2)+G$23,0)=EOMONTH($DZ$3,0),G$26,0),0),IF($EP$75="",0,IF(EOMONTH($EP$75+EQ$23,0)=EOMONTH($DZ$3,0),$EP$78*EQ$13,0))),0))</f>
        <v>0</v>
      </c>
      <c r="EB57" s="32">
        <f>ROUND(SUM(IF(AND(ER$26&lt;&gt;"",ER$23&lt;&gt;""),IF(EOMONTH($EP$3+INT((DAY(EOMONTH($EP$3,0))-1)/2)+ER$23,0)=EOMONTH($DZ$3,0),ER$26,0),0),IF(AND(EN$26&lt;&gt;"",EN$23&lt;&gt;""),IF(EOMONTH($EL$3+INT((DAY(EOMONTH($EL$3,0))-1)/2)+EN$23,0)=EOMONTH($DZ$3,0),EN$26,0),0),IF(AND(EJ$26&lt;&gt;"",EJ$23&lt;&gt;""),IF(EOMONTH($EH$3+INT((DAY(EOMONTH($EH$3,0))-1)/2)+EJ$23,0)=EOMONTH($DZ$3,0),EJ$26,0),0),IF(AND(EF$26&lt;&gt;"",EF$23&lt;&gt;""),IF(EOMONTH($ED$3+INT((DAY(EOMONTH($ED$3,0))-1)/2)+EF$23,0)=EOMONTH($DZ$3,0),EF$26,0),0),IF(AND(EB$26&lt;&gt;"",EB$23&lt;&gt;""),IF(EOMONTH($DZ$3+INT((DAY(EOMONTH($DZ$3,0))-1)/2)+EB$23,0)=EOMONTH($DZ$3,0),EB$26,0),0),IF(AND(DX$26&lt;&gt;"",DX$23&lt;&gt;""),IF(EOMONTH($DV$3+INT((DAY(EOMONTH($DV$3,0))-1)/2)+DX$23,0)=EOMONTH($DZ$3,0),DX$26,0),0),IF(AND(DT$26&lt;&gt;"",DT$23&lt;&gt;""),IF(EOMONTH($DR$3+INT((DAY(EOMONTH($DR$3,0))-1)/2)+DT$23,0)=EOMONTH($DZ$3,0),DT$26,0),0),IF(AND(DP$26&lt;&gt;"",DP$23&lt;&gt;""),IF(EOMONTH($DN$3+INT((DAY(EOMONTH($DN$3,0))-1)/2)+DP$23,0)=EOMONTH($DZ$3,0),DP$26,0),0),IF(AND(DL$26&lt;&gt;"",DL$23&lt;&gt;""),IF(EOMONTH($DJ$3+INT((DAY(EOMONTH($DJ$3,0))-1)/2)+DL$23,0)=EOMONTH($DZ$3,0),DL$26,0),0),IF(AND(DH$26&lt;&gt;"",DH$23&lt;&gt;""),IF(EOMONTH($DF$3+INT((DAY(EOMONTH($DF$3,0))-1)/2)+DH$23,0)=EOMONTH($DZ$3,0),DH$26,0),0),IF(AND(DD$26&lt;&gt;"",DD$23&lt;&gt;""),IF(EOMONTH($DB$3+INT((DAY(EOMONTH($DB$3,0))-1)/2)+DD$23,0)=EOMONTH($DZ$3,0),DD$26,0),0),IF(AND(CZ$26&lt;&gt;"",CZ$23&lt;&gt;""),IF(EOMONTH($CX$3+INT((DAY(EOMONTH($CX$3,0))-1)/2)+CZ$23,0)=EOMONTH($DZ$3,0),CZ$26,0),0),IF(AND(CV$26&lt;&gt;"",CV$23&lt;&gt;""),IF(EOMONTH($CT$3+INT((DAY(EOMONTH($CT$3,0))-1)/2)+CV$23,0)=EOMONTH($DZ$3,0),CV$26,0),0),IF(AND(CR$26&lt;&gt;"",CR$23&lt;&gt;""),IF(EOMONTH($CP$3+INT((DAY(EOMONTH($CP$3,0))-1)/2)+CR$23,0)=EOMONTH($DZ$3,0),CR$26,0),0),IF(AND(CN$26&lt;&gt;"",CN$23&lt;&gt;""),IF(EOMONTH($CL$3+INT((DAY(EOMONTH($CL$3,0))-1)/2)+CN$23,0)=EOMONTH($DZ$3,0),CN$26,0),0),IF(AND(CJ$26&lt;&gt;"",CJ$23&lt;&gt;""),IF(EOMONTH($CH$3+INT((DAY(EOMONTH($CH$3,0))-1)/2)+CJ$23,0)=EOMONTH($DZ$3,0),CJ$26,0),0),IF(AND(CF$26&lt;&gt;"",CF$23&lt;&gt;""),IF(EOMONTH($CD$3+INT((DAY(EOMONTH($CD$3,0))-1)/2)+CF$23,0)=EOMONTH($DZ$3,0),CF$26,0),0),IF(AND(CB$26&lt;&gt;"",CB$23&lt;&gt;""),IF(EOMONTH($BZ$3+INT((DAY(EOMONTH($BZ$3,0))-1)/2)+CB$23,0)=EOMONTH($DZ$3,0),CB$26,0),0),IF(AND(BX$26&lt;&gt;"",BX$23&lt;&gt;""),IF(EOMONTH($BV$3+INT((DAY(EOMONTH($BV$3,0))-1)/2)+BX$23,0)=EOMONTH($DZ$3,0),BX$26,0),0),IF(AND(BT$26&lt;&gt;"",BT$23&lt;&gt;""),IF(EOMONTH($BR$3+INT((DAY(EOMONTH($BR$3,0))-1)/2)+BT$23,0)=EOMONTH($DZ$3,0),BT$26,0),0),IF(AND(BP$26&lt;&gt;"",BP$23&lt;&gt;""),IF(EOMONTH($BN$3+INT((DAY(EOMONTH($BN$3,0))-1)/2)+BP$23,0)=EOMONTH($DZ$3,0),BP$26,0),0),IF(AND(BL$26&lt;&gt;"",BL$23&lt;&gt;""),IF(EOMONTH($BJ$3+INT((DAY(EOMONTH($BJ$3,0))-1)/2)+BL$23,0)=EOMONTH($DZ$3,0),BL$26,0),0),IF(AND(BH$26&lt;&gt;"",BH$23&lt;&gt;""),IF(EOMONTH($BF$3+INT((DAY(EOMONTH($BF$3,0))-1)/2)+BH$23,0)=EOMONTH($DZ$3,0),BH$26,0),0),IF(AND(BD$26&lt;&gt;"",BD$23&lt;&gt;""),IF(EOMONTH($BB$3+INT((DAY(EOMONTH($BB$3,0))-1)/2)+BD$23,0)=EOMONTH($DZ$3,0),BD$26,0),0),IF(AND(AZ$26&lt;&gt;"",AZ$23&lt;&gt;""),IF(EOMONTH($AX$3+INT((DAY(EOMONTH($AX$3,0))-1)/2)+AZ$23,0)=EOMONTH($DZ$3,0),AZ$26,0),0),IF(AND(AV$26&lt;&gt;"",AV$23&lt;&gt;""),IF(EOMONTH($AT$3+INT((DAY(EOMONTH($AT$3,0))-1)/2)+AV$23,0)=EOMONTH($DZ$3,0),AV$26,0),0),IF(AND(AR$26&lt;&gt;"",AR$23&lt;&gt;""),IF(EOMONTH($AP$3+INT((DAY(EOMONTH($AP$3,0))-1)/2)+AR$23,0)=EOMONTH($DZ$3,0),AR$26,0),0),IF(AND(AN$26&lt;&gt;"",AN$23&lt;&gt;""),IF(EOMONTH($AL$3+INT((DAY(EOMONTH($AL$3,0))-1)/2)+AN$23,0)=EOMONTH($DZ$3,0),AN$26,0),0),IF(AND(AJ$26&lt;&gt;"",AJ$23&lt;&gt;""),IF(EOMONTH($AH$3+INT((DAY(EOMONTH($AH$3,0))-1)/2)+AJ$23,0)=EOMONTH($DZ$3,0),AJ$26,0),0),IF(AND(AF$26&lt;&gt;"",AF$23&lt;&gt;""),IF(EOMONTH($AD$3+INT((DAY(EOMONTH($AD$3,0))-1)/2)+AF$23,0)=EOMONTH($DZ$3,0),AF$26,0),0),IF(AND(AB$26&lt;&gt;"",AB$23&lt;&gt;""),IF(EOMONTH($Z$3+INT((DAY(EOMONTH($Z$3,0))-1)/2)+AB$23,0)=EOMONTH($DZ$3,0),AB$26,0),0),IF(AND(X$26&lt;&gt;"",X$23&lt;&gt;""),IF(EOMONTH($V$3+INT((DAY(EOMONTH($V$3,0))-1)/2)+X$23,0)=EOMONTH($DZ$3,0),X$26,0),0),IF(AND(T$26&lt;&gt;"",T$23&lt;&gt;""),IF(EOMONTH($R$3+INT((DAY(EOMONTH($R$3,0))-1)/2)+T$23,0)=EOMONTH($DZ$3,0),T$26,0),0),IF(AND(P$26&lt;&gt;"",P$23&lt;&gt;""),IF(EOMONTH($N$3+INT((DAY(EOMONTH($N$3,0))-1)/2)+P$23,0)=EOMONTH($DZ$3,0),P$26,0),0),IF(AND(L$26&lt;&gt;"",L$23&lt;&gt;""),IF(EOMONTH($J$3+INT((DAY(EOMONTH($J$3,0))-1)/2)+L$23,0)=EOMONTH($DZ$3,0),L$26,0),0),IF(AND(H$26&lt;&gt;"",H$23&lt;&gt;""),IF(EOMONTH($F$3+INT((DAY(EOMONTH($F$3,0))-1)/2)+H$23,0)=EOMONTH($DZ$3,0),H$26,0),0),IF($EP$75="",0,IF(EOMONTH($EP$75+ER$23,0)=EOMONTH($DZ$3,0),$EP$78*ER$13,0))),0)</f>
        <v>0</v>
      </c>
      <c r="EC57" s="33">
        <f t="shared" ref="EC57:EC70" si="764">IFERROR(IF(OR(EA57="",EB57=""),"",EA57-EB57),"")</f>
        <v>0</v>
      </c>
      <c r="ED57" s="34"/>
      <c r="EE57" s="31">
        <f>IF(ED$98=1,ED57,ROUND(SUM(IF(AND(EQ$26&lt;&gt;"",EQ$23&lt;&gt;""),IF(EOMONTH($EP$3+INT((DAY(EOMONTH($EP$3,0))-1)/2)+EQ$23,0)=EOMONTH($ED$3,0),EQ$26,0),0),IF(AND(EM$26&lt;&gt;"",EM$23&lt;&gt;""),IF(EOMONTH($EL$3+INT((DAY(EOMONTH($EL$3,0))-1)/2)+EM$23,0)=EOMONTH($ED$3,0),EM$26,0),0),IF(AND(EI$26&lt;&gt;"",EI$23&lt;&gt;""),IF(EOMONTH($EH$3+INT((DAY(EOMONTH($EH$3,0))-1)/2)+EI$23,0)=EOMONTH($ED$3,0),EI$26,0),0),IF(AND(EE$26&lt;&gt;"",EE$23&lt;&gt;""),IF(EOMONTH($ED$3+INT((DAY(EOMONTH($ED$3,0))-1)/2)+EE$23,0)=EOMONTH($ED$3,0),EE$26,0),0),IF(AND(EA$26&lt;&gt;"",EA$23&lt;&gt;""),IF(EOMONTH($DZ$3+INT((DAY(EOMONTH($DZ$3,0))-1)/2)+EA$23,0)=EOMONTH($ED$3,0),EA$26,0),0),IF(AND(DW$26&lt;&gt;"",DW$23&lt;&gt;""),IF(EOMONTH($DV$3+INT((DAY(EOMONTH($DV$3,0))-1)/2)+DW$23,0)=EOMONTH($ED$3,0),DW$26,0),0),IF(AND(DS$26&lt;&gt;"",DS$23&lt;&gt;""),IF(EOMONTH($DR$3+INT((DAY(EOMONTH($DR$3,0))-1)/2)+DS$23,0)=EOMONTH($ED$3,0),DS$26,0),0),IF(AND(DO$26&lt;&gt;"",DO$23&lt;&gt;""),IF(EOMONTH($DN$3+INT((DAY(EOMONTH($DN$3,0))-1)/2)+DO$23,0)=EOMONTH($ED$3,0),DO$26,0),0),IF(AND(DK$26&lt;&gt;"",DK$23&lt;&gt;""),IF(EOMONTH($DJ$3+INT((DAY(EOMONTH($DJ$3,0))-1)/2)+DK$23,0)=EOMONTH($ED$3,0),DK$26,0),0),IF(AND(DG$26&lt;&gt;"",DG$23&lt;&gt;""),IF(EOMONTH($DF$3+INT((DAY(EOMONTH($DF$3,0))-1)/2)+DG$23,0)=EOMONTH($ED$3,0),DG$26,0),0),IF(AND(DC$26&lt;&gt;"",DC$23&lt;&gt;""),IF(EOMONTH($DB$3+INT((DAY(EOMONTH($DB$3,0))-1)/2)+DC$23,0)=EOMONTH($ED$3,0),DC$26,0),0),IF(AND(CY$26&lt;&gt;"",CY$23&lt;&gt;""),IF(EOMONTH($CX$3+INT((DAY(EOMONTH($CX$3,0))-1)/2)+CY$23,0)=EOMONTH($ED$3,0),CY$26,0),0),IF(AND(CU$26&lt;&gt;"",CU$23&lt;&gt;""),IF(EOMONTH($CT$3+INT((DAY(EOMONTH($CT$3,0))-1)/2)+CU$23,0)=EOMONTH($ED$3,0),CU$26,0),0),IF(AND(CQ$26&lt;&gt;"",CQ$23&lt;&gt;""),IF(EOMONTH($CP$3+INT((DAY(EOMONTH($CP$3,0))-1)/2)+CQ$23,0)=EOMONTH($ED$3,0),CQ$26,0),0),IF(AND(CM$26&lt;&gt;"",CM$23&lt;&gt;""),IF(EOMONTH($CL$3+INT((DAY(EOMONTH($CL$3,0))-1)/2)+CM$23,0)=EOMONTH($ED$3,0),CM$26,0),0),IF(AND(CI$26&lt;&gt;"",CI$23&lt;&gt;""),IF(EOMONTH($CH$3+INT((DAY(EOMONTH($CH$3,0))-1)/2)+CI$23,0)=EOMONTH($ED$3,0),CI$26,0),0),IF(AND(CE$26&lt;&gt;"",CE$23&lt;&gt;""),IF(EOMONTH($CD$3+INT((DAY(EOMONTH($CD$3,0))-1)/2)+CE$23,0)=EOMONTH($ED$3,0),CE$26,0),0),IF(AND(CA$26&lt;&gt;"",CA$23&lt;&gt;""),IF(EOMONTH($BZ$3+INT((DAY(EOMONTH($BZ$3,0))-1)/2)+CA$23,0)=EOMONTH($ED$3,0),CA$26,0),0),IF(AND(BW$26&lt;&gt;"",BW$23&lt;&gt;""),IF(EOMONTH($BV$3+INT((DAY(EOMONTH($BV$3,0))-1)/2)+BW$23,0)=EOMONTH($ED$3,0),BW$26,0),0),IF(AND(BS$26&lt;&gt;"",BS$23&lt;&gt;""),IF(EOMONTH($BR$3+INT((DAY(EOMONTH($BR$3,0))-1)/2)+BS$23,0)=EOMONTH($ED$3,0),BS$26,0),0),IF(AND(BO$26&lt;&gt;"",BO$23&lt;&gt;""),IF(EOMONTH($BN$3+INT((DAY(EOMONTH($BN$3,0))-1)/2)+BO$23,0)=EOMONTH($ED$3,0),BO$26,0),0),IF(AND(BK$26&lt;&gt;"",BK$23&lt;&gt;""),IF(EOMONTH($BJ$3+INT((DAY(EOMONTH($BJ$3,0))-1)/2)+BK$23,0)=EOMONTH($ED$3,0),BK$26,0),0),IF(AND(BG$26&lt;&gt;"",BG$23&lt;&gt;""),IF(EOMONTH($BF$3+INT((DAY(EOMONTH($BF$3,0))-1)/2)+BG$23,0)=EOMONTH($ED$3,0),BG$26,0),0),IF(AND(BC$26&lt;&gt;"",BC$23&lt;&gt;""),IF(EOMONTH($BB$3+INT((DAY(EOMONTH($BB$3,0))-1)/2)+BC$23,0)=EOMONTH($ED$3,0),BC$26,0),0),IF(AND(AY$26&lt;&gt;"",AY$23&lt;&gt;""),IF(EOMONTH($AX$3+INT((DAY(EOMONTH($AX$3,0))-1)/2)+AY$23,0)=EOMONTH($ED$3,0),AY$26,0),0),IF(AND(AU$26&lt;&gt;"",AU$23&lt;&gt;""),IF(EOMONTH($AT$3+INT((DAY(EOMONTH($AT$3,0))-1)/2)+AU$23,0)=EOMONTH($ED$3,0),AU$26,0),0),IF(AND(AQ$26&lt;&gt;"",AQ$23&lt;&gt;""),IF(EOMONTH($AP$3+INT((DAY(EOMONTH($AP$3,0))-1)/2)+AQ$23,0)=EOMONTH($ED$3,0),AQ$26,0),0),IF(AND(AM$26&lt;&gt;"",AM$23&lt;&gt;""),IF(EOMONTH($AL$3+INT((DAY(EOMONTH($AL$3,0))-1)/2)+AM$23,0)=EOMONTH($ED$3,0),AM$26,0),0),IF(AND(AI$26&lt;&gt;"",AI$23&lt;&gt;""),IF(EOMONTH($AH$3+INT((DAY(EOMONTH($AH$3,0))-1)/2)+AI$23,0)=EOMONTH($ED$3,0),AI$26,0),0),IF(AND(AE$26&lt;&gt;"",AE$23&lt;&gt;""),IF(EOMONTH($AD$3+INT((DAY(EOMONTH($AD$3,0))-1)/2)+AE$23,0)=EOMONTH($ED$3,0),AE$26,0),0),IF(AND(AA$26&lt;&gt;"",AA$23&lt;&gt;""),IF(EOMONTH($Z$3+INT((DAY(EOMONTH($Z$3,0))-1)/2)+AA$23,0)=EOMONTH($ED$3,0),AA$26,0),0),IF(AND(W$26&lt;&gt;"",W$23&lt;&gt;""),IF(EOMONTH($V$3+INT((DAY(EOMONTH($V$3,0))-1)/2)+W$23,0)=EOMONTH($ED$3,0),W$26,0),0),IF(AND(S$26&lt;&gt;"",S$23&lt;&gt;""),IF(EOMONTH($R$3+INT((DAY(EOMONTH($R$3,0))-1)/2)+S$23,0)=EOMONTH($ED$3,0),S$26,0),0),IF(AND(O$26&lt;&gt;"",O$23&lt;&gt;""),IF(EOMONTH($N$3+INT((DAY(EOMONTH($N$3,0))-1)/2)+O$23,0)=EOMONTH($ED$3,0),O$26,0),0),IF(AND(K$26&lt;&gt;"",K$23&lt;&gt;""),IF(EOMONTH($J$3+INT((DAY(EOMONTH($J$3,0))-1)/2)+K$23,0)=EOMONTH($ED$3,0),K$26,0),0),IF(AND(G$26&lt;&gt;"",G$23&lt;&gt;""),IF(EOMONTH($F$3+INT((DAY(EOMONTH($F$3,0))-1)/2)+G$23,0)=EOMONTH($ED$3,0),G$26,0),0),IF($EP$75="",0,IF(EOMONTH($EP$75+EQ$23,0)=EOMONTH($ED$3,0),$EP$78*EQ$13,0))),0))</f>
        <v>0</v>
      </c>
      <c r="EF57" s="32">
        <f>ROUND(SUM(IF(AND(ER$26&lt;&gt;"",ER$23&lt;&gt;""),IF(EOMONTH($EP$3+INT((DAY(EOMONTH($EP$3,0))-1)/2)+ER$23,0)=EOMONTH($ED$3,0),ER$26,0),0),IF(AND(EN$26&lt;&gt;"",EN$23&lt;&gt;""),IF(EOMONTH($EL$3+INT((DAY(EOMONTH($EL$3,0))-1)/2)+EN$23,0)=EOMONTH($ED$3,0),EN$26,0),0),IF(AND(EJ$26&lt;&gt;"",EJ$23&lt;&gt;""),IF(EOMONTH($EH$3+INT((DAY(EOMONTH($EH$3,0))-1)/2)+EJ$23,0)=EOMONTH($ED$3,0),EJ$26,0),0),IF(AND(EF$26&lt;&gt;"",EF$23&lt;&gt;""),IF(EOMONTH($ED$3+INT((DAY(EOMONTH($ED$3,0))-1)/2)+EF$23,0)=EOMONTH($ED$3,0),EF$26,0),0),IF(AND(EB$26&lt;&gt;"",EB$23&lt;&gt;""),IF(EOMONTH($DZ$3+INT((DAY(EOMONTH($DZ$3,0))-1)/2)+EB$23,0)=EOMONTH($ED$3,0),EB$26,0),0),IF(AND(DX$26&lt;&gt;"",DX$23&lt;&gt;""),IF(EOMONTH($DV$3+INT((DAY(EOMONTH($DV$3,0))-1)/2)+DX$23,0)=EOMONTH($ED$3,0),DX$26,0),0),IF(AND(DT$26&lt;&gt;"",DT$23&lt;&gt;""),IF(EOMONTH($DR$3+INT((DAY(EOMONTH($DR$3,0))-1)/2)+DT$23,0)=EOMONTH($ED$3,0),DT$26,0),0),IF(AND(DP$26&lt;&gt;"",DP$23&lt;&gt;""),IF(EOMONTH($DN$3+INT((DAY(EOMONTH($DN$3,0))-1)/2)+DP$23,0)=EOMONTH($ED$3,0),DP$26,0),0),IF(AND(DL$26&lt;&gt;"",DL$23&lt;&gt;""),IF(EOMONTH($DJ$3+INT((DAY(EOMONTH($DJ$3,0))-1)/2)+DL$23,0)=EOMONTH($ED$3,0),DL$26,0),0),IF(AND(DH$26&lt;&gt;"",DH$23&lt;&gt;""),IF(EOMONTH($DF$3+INT((DAY(EOMONTH($DF$3,0))-1)/2)+DH$23,0)=EOMONTH($ED$3,0),DH$26,0),0),IF(AND(DD$26&lt;&gt;"",DD$23&lt;&gt;""),IF(EOMONTH($DB$3+INT((DAY(EOMONTH($DB$3,0))-1)/2)+DD$23,0)=EOMONTH($ED$3,0),DD$26,0),0),IF(AND(CZ$26&lt;&gt;"",CZ$23&lt;&gt;""),IF(EOMONTH($CX$3+INT((DAY(EOMONTH($CX$3,0))-1)/2)+CZ$23,0)=EOMONTH($ED$3,0),CZ$26,0),0),IF(AND(CV$26&lt;&gt;"",CV$23&lt;&gt;""),IF(EOMONTH($CT$3+INT((DAY(EOMONTH($CT$3,0))-1)/2)+CV$23,0)=EOMONTH($ED$3,0),CV$26,0),0),IF(AND(CR$26&lt;&gt;"",CR$23&lt;&gt;""),IF(EOMONTH($CP$3+INT((DAY(EOMONTH($CP$3,0))-1)/2)+CR$23,0)=EOMONTH($ED$3,0),CR$26,0),0),IF(AND(CN$26&lt;&gt;"",CN$23&lt;&gt;""),IF(EOMONTH($CL$3+INT((DAY(EOMONTH($CL$3,0))-1)/2)+CN$23,0)=EOMONTH($ED$3,0),CN$26,0),0),IF(AND(CJ$26&lt;&gt;"",CJ$23&lt;&gt;""),IF(EOMONTH($CH$3+INT((DAY(EOMONTH($CH$3,0))-1)/2)+CJ$23,0)=EOMONTH($ED$3,0),CJ$26,0),0),IF(AND(CF$26&lt;&gt;"",CF$23&lt;&gt;""),IF(EOMONTH($CD$3+INT((DAY(EOMONTH($CD$3,0))-1)/2)+CF$23,0)=EOMONTH($ED$3,0),CF$26,0),0),IF(AND(CB$26&lt;&gt;"",CB$23&lt;&gt;""),IF(EOMONTH($BZ$3+INT((DAY(EOMONTH($BZ$3,0))-1)/2)+CB$23,0)=EOMONTH($ED$3,0),CB$26,0),0),IF(AND(BX$26&lt;&gt;"",BX$23&lt;&gt;""),IF(EOMONTH($BV$3+INT((DAY(EOMONTH($BV$3,0))-1)/2)+BX$23,0)=EOMONTH($ED$3,0),BX$26,0),0),IF(AND(BT$26&lt;&gt;"",BT$23&lt;&gt;""),IF(EOMONTH($BR$3+INT((DAY(EOMONTH($BR$3,0))-1)/2)+BT$23,0)=EOMONTH($ED$3,0),BT$26,0),0),IF(AND(BP$26&lt;&gt;"",BP$23&lt;&gt;""),IF(EOMONTH($BN$3+INT((DAY(EOMONTH($BN$3,0))-1)/2)+BP$23,0)=EOMONTH($ED$3,0),BP$26,0),0),IF(AND(BL$26&lt;&gt;"",BL$23&lt;&gt;""),IF(EOMONTH($BJ$3+INT((DAY(EOMONTH($BJ$3,0))-1)/2)+BL$23,0)=EOMONTH($ED$3,0),BL$26,0),0),IF(AND(BH$26&lt;&gt;"",BH$23&lt;&gt;""),IF(EOMONTH($BF$3+INT((DAY(EOMONTH($BF$3,0))-1)/2)+BH$23,0)=EOMONTH($ED$3,0),BH$26,0),0),IF(AND(BD$26&lt;&gt;"",BD$23&lt;&gt;""),IF(EOMONTH($BB$3+INT((DAY(EOMONTH($BB$3,0))-1)/2)+BD$23,0)=EOMONTH($ED$3,0),BD$26,0),0),IF(AND(AZ$26&lt;&gt;"",AZ$23&lt;&gt;""),IF(EOMONTH($AX$3+INT((DAY(EOMONTH($AX$3,0))-1)/2)+AZ$23,0)=EOMONTH($ED$3,0),AZ$26,0),0),IF(AND(AV$26&lt;&gt;"",AV$23&lt;&gt;""),IF(EOMONTH($AT$3+INT((DAY(EOMONTH($AT$3,0))-1)/2)+AV$23,0)=EOMONTH($ED$3,0),AV$26,0),0),IF(AND(AR$26&lt;&gt;"",AR$23&lt;&gt;""),IF(EOMONTH($AP$3+INT((DAY(EOMONTH($AP$3,0))-1)/2)+AR$23,0)=EOMONTH($ED$3,0),AR$26,0),0),IF(AND(AN$26&lt;&gt;"",AN$23&lt;&gt;""),IF(EOMONTH($AL$3+INT((DAY(EOMONTH($AL$3,0))-1)/2)+AN$23,0)=EOMONTH($ED$3,0),AN$26,0),0),IF(AND(AJ$26&lt;&gt;"",AJ$23&lt;&gt;""),IF(EOMONTH($AH$3+INT((DAY(EOMONTH($AH$3,0))-1)/2)+AJ$23,0)=EOMONTH($ED$3,0),AJ$26,0),0),IF(AND(AF$26&lt;&gt;"",AF$23&lt;&gt;""),IF(EOMONTH($AD$3+INT((DAY(EOMONTH($AD$3,0))-1)/2)+AF$23,0)=EOMONTH($ED$3,0),AF$26,0),0),IF(AND(AB$26&lt;&gt;"",AB$23&lt;&gt;""),IF(EOMONTH($Z$3+INT((DAY(EOMONTH($Z$3,0))-1)/2)+AB$23,0)=EOMONTH($ED$3,0),AB$26,0),0),IF(AND(X$26&lt;&gt;"",X$23&lt;&gt;""),IF(EOMONTH($V$3+INT((DAY(EOMONTH($V$3,0))-1)/2)+X$23,0)=EOMONTH($ED$3,0),X$26,0),0),IF(AND(T$26&lt;&gt;"",T$23&lt;&gt;""),IF(EOMONTH($R$3+INT((DAY(EOMONTH($R$3,0))-1)/2)+T$23,0)=EOMONTH($ED$3,0),T$26,0),0),IF(AND(P$26&lt;&gt;"",P$23&lt;&gt;""),IF(EOMONTH($N$3+INT((DAY(EOMONTH($N$3,0))-1)/2)+P$23,0)=EOMONTH($ED$3,0),P$26,0),0),IF(AND(L$26&lt;&gt;"",L$23&lt;&gt;""),IF(EOMONTH($J$3+INT((DAY(EOMONTH($J$3,0))-1)/2)+L$23,0)=EOMONTH($ED$3,0),L$26,0),0),IF(AND(H$26&lt;&gt;"",H$23&lt;&gt;""),IF(EOMONTH($F$3+INT((DAY(EOMONTH($F$3,0))-1)/2)+H$23,0)=EOMONTH($ED$3,0),H$26,0),0),IF($EP$75="",0,IF(EOMONTH($EP$75+ER$23,0)=EOMONTH($ED$3,0),$EP$78*ER$13,0))),0)</f>
        <v>0</v>
      </c>
      <c r="EG57" s="33">
        <f t="shared" ref="EG57:EG70" si="766">IFERROR(IF(OR(EE57="",EF57=""),"",EE57-EF57),"")</f>
        <v>0</v>
      </c>
      <c r="EH57" s="34"/>
      <c r="EI57" s="31">
        <f>IF(EH$98=1,EH57,ROUND(SUM(IF(AND(EQ$26&lt;&gt;"",EQ$23&lt;&gt;""),IF(EOMONTH($EP$3+INT((DAY(EOMONTH($EP$3,0))-1)/2)+EQ$23,0)=EOMONTH($EH$3,0),EQ$26,0),0),IF(AND(EM$26&lt;&gt;"",EM$23&lt;&gt;""),IF(EOMONTH($EL$3+INT((DAY(EOMONTH($EL$3,0))-1)/2)+EM$23,0)=EOMONTH($EH$3,0),EM$26,0),0),IF(AND(EI$26&lt;&gt;"",EI$23&lt;&gt;""),IF(EOMONTH($EH$3+INT((DAY(EOMONTH($EH$3,0))-1)/2)+EI$23,0)=EOMONTH($EH$3,0),EI$26,0),0),IF(AND(EE$26&lt;&gt;"",EE$23&lt;&gt;""),IF(EOMONTH($ED$3+INT((DAY(EOMONTH($ED$3,0))-1)/2)+EE$23,0)=EOMONTH($EH$3,0),EE$26,0),0),IF(AND(EA$26&lt;&gt;"",EA$23&lt;&gt;""),IF(EOMONTH($DZ$3+INT((DAY(EOMONTH($DZ$3,0))-1)/2)+EA$23,0)=EOMONTH($EH$3,0),EA$26,0),0),IF(AND(DW$26&lt;&gt;"",DW$23&lt;&gt;""),IF(EOMONTH($DV$3+INT((DAY(EOMONTH($DV$3,0))-1)/2)+DW$23,0)=EOMONTH($EH$3,0),DW$26,0),0),IF(AND(DS$26&lt;&gt;"",DS$23&lt;&gt;""),IF(EOMONTH($DR$3+INT((DAY(EOMONTH($DR$3,0))-1)/2)+DS$23,0)=EOMONTH($EH$3,0),DS$26,0),0),IF(AND(DO$26&lt;&gt;"",DO$23&lt;&gt;""),IF(EOMONTH($DN$3+INT((DAY(EOMONTH($DN$3,0))-1)/2)+DO$23,0)=EOMONTH($EH$3,0),DO$26,0),0),IF(AND(DK$26&lt;&gt;"",DK$23&lt;&gt;""),IF(EOMONTH($DJ$3+INT((DAY(EOMONTH($DJ$3,0))-1)/2)+DK$23,0)=EOMONTH($EH$3,0),DK$26,0),0),IF(AND(DG$26&lt;&gt;"",DG$23&lt;&gt;""),IF(EOMONTH($DF$3+INT((DAY(EOMONTH($DF$3,0))-1)/2)+DG$23,0)=EOMONTH($EH$3,0),DG$26,0),0),IF(AND(DC$26&lt;&gt;"",DC$23&lt;&gt;""),IF(EOMONTH($DB$3+INT((DAY(EOMONTH($DB$3,0))-1)/2)+DC$23,0)=EOMONTH($EH$3,0),DC$26,0),0),IF(AND(CY$26&lt;&gt;"",CY$23&lt;&gt;""),IF(EOMONTH($CX$3+INT((DAY(EOMONTH($CX$3,0))-1)/2)+CY$23,0)=EOMONTH($EH$3,0),CY$26,0),0),IF(AND(CU$26&lt;&gt;"",CU$23&lt;&gt;""),IF(EOMONTH($CT$3+INT((DAY(EOMONTH($CT$3,0))-1)/2)+CU$23,0)=EOMONTH($EH$3,0),CU$26,0),0),IF(AND(CQ$26&lt;&gt;"",CQ$23&lt;&gt;""),IF(EOMONTH($CP$3+INT((DAY(EOMONTH($CP$3,0))-1)/2)+CQ$23,0)=EOMONTH($EH$3,0),CQ$26,0),0),IF(AND(CM$26&lt;&gt;"",CM$23&lt;&gt;""),IF(EOMONTH($CL$3+INT((DAY(EOMONTH($CL$3,0))-1)/2)+CM$23,0)=EOMONTH($EH$3,0),CM$26,0),0),IF(AND(CI$26&lt;&gt;"",CI$23&lt;&gt;""),IF(EOMONTH($CH$3+INT((DAY(EOMONTH($CH$3,0))-1)/2)+CI$23,0)=EOMONTH($EH$3,0),CI$26,0),0),IF(AND(CE$26&lt;&gt;"",CE$23&lt;&gt;""),IF(EOMONTH($CD$3+INT((DAY(EOMONTH($CD$3,0))-1)/2)+CE$23,0)=EOMONTH($EH$3,0),CE$26,0),0),IF(AND(CA$26&lt;&gt;"",CA$23&lt;&gt;""),IF(EOMONTH($BZ$3+INT((DAY(EOMONTH($BZ$3,0))-1)/2)+CA$23,0)=EOMONTH($EH$3,0),CA$26,0),0),IF(AND(BW$26&lt;&gt;"",BW$23&lt;&gt;""),IF(EOMONTH($BV$3+INT((DAY(EOMONTH($BV$3,0))-1)/2)+BW$23,0)=EOMONTH($EH$3,0),BW$26,0),0),IF(AND(BS$26&lt;&gt;"",BS$23&lt;&gt;""),IF(EOMONTH($BR$3+INT((DAY(EOMONTH($BR$3,0))-1)/2)+BS$23,0)=EOMONTH($EH$3,0),BS$26,0),0),IF(AND(BO$26&lt;&gt;"",BO$23&lt;&gt;""),IF(EOMONTH($BN$3+INT((DAY(EOMONTH($BN$3,0))-1)/2)+BO$23,0)=EOMONTH($EH$3,0),BO$26,0),0),IF(AND(BK$26&lt;&gt;"",BK$23&lt;&gt;""),IF(EOMONTH($BJ$3+INT((DAY(EOMONTH($BJ$3,0))-1)/2)+BK$23,0)=EOMONTH($EH$3,0),BK$26,0),0),IF(AND(BG$26&lt;&gt;"",BG$23&lt;&gt;""),IF(EOMONTH($BF$3+INT((DAY(EOMONTH($BF$3,0))-1)/2)+BG$23,0)=EOMONTH($EH$3,0),BG$26,0),0),IF(AND(BC$26&lt;&gt;"",BC$23&lt;&gt;""),IF(EOMONTH($BB$3+INT((DAY(EOMONTH($BB$3,0))-1)/2)+BC$23,0)=EOMONTH($EH$3,0),BC$26,0),0),IF(AND(AY$26&lt;&gt;"",AY$23&lt;&gt;""),IF(EOMONTH($AX$3+INT((DAY(EOMONTH($AX$3,0))-1)/2)+AY$23,0)=EOMONTH($EH$3,0),AY$26,0),0),IF(AND(AU$26&lt;&gt;"",AU$23&lt;&gt;""),IF(EOMONTH($AT$3+INT((DAY(EOMONTH($AT$3,0))-1)/2)+AU$23,0)=EOMONTH($EH$3,0),AU$26,0),0),IF(AND(AQ$26&lt;&gt;"",AQ$23&lt;&gt;""),IF(EOMONTH($AP$3+INT((DAY(EOMONTH($AP$3,0))-1)/2)+AQ$23,0)=EOMONTH($EH$3,0),AQ$26,0),0),IF(AND(AM$26&lt;&gt;"",AM$23&lt;&gt;""),IF(EOMONTH($AL$3+INT((DAY(EOMONTH($AL$3,0))-1)/2)+AM$23,0)=EOMONTH($EH$3,0),AM$26,0),0),IF(AND(AI$26&lt;&gt;"",AI$23&lt;&gt;""),IF(EOMONTH($AH$3+INT((DAY(EOMONTH($AH$3,0))-1)/2)+AI$23,0)=EOMONTH($EH$3,0),AI$26,0),0),IF(AND(AE$26&lt;&gt;"",AE$23&lt;&gt;""),IF(EOMONTH($AD$3+INT((DAY(EOMONTH($AD$3,0))-1)/2)+AE$23,0)=EOMONTH($EH$3,0),AE$26,0),0),IF(AND(AA$26&lt;&gt;"",AA$23&lt;&gt;""),IF(EOMONTH($Z$3+INT((DAY(EOMONTH($Z$3,0))-1)/2)+AA$23,0)=EOMONTH($EH$3,0),AA$26,0),0),IF(AND(W$26&lt;&gt;"",W$23&lt;&gt;""),IF(EOMONTH($V$3+INT((DAY(EOMONTH($V$3,0))-1)/2)+W$23,0)=EOMONTH($EH$3,0),W$26,0),0),IF(AND(S$26&lt;&gt;"",S$23&lt;&gt;""),IF(EOMONTH($R$3+INT((DAY(EOMONTH($R$3,0))-1)/2)+S$23,0)=EOMONTH($EH$3,0),S$26,0),0),IF(AND(O$26&lt;&gt;"",O$23&lt;&gt;""),IF(EOMONTH($N$3+INT((DAY(EOMONTH($N$3,0))-1)/2)+O$23,0)=EOMONTH($EH$3,0),O$26,0),0),IF(AND(K$26&lt;&gt;"",K$23&lt;&gt;""),IF(EOMONTH($J$3+INT((DAY(EOMONTH($J$3,0))-1)/2)+K$23,0)=EOMONTH($EH$3,0),K$26,0),0),IF(AND(G$26&lt;&gt;"",G$23&lt;&gt;""),IF(EOMONTH($F$3+INT((DAY(EOMONTH($F$3,0))-1)/2)+G$23,0)=EOMONTH($EH$3,0),G$26,0),0),IF($EP$75="",0,IF(EOMONTH($EP$75+EQ$23,0)=EOMONTH($EH$3,0),$EP$78*EQ$13,0))),0))</f>
        <v>0</v>
      </c>
      <c r="EJ57" s="32">
        <f>ROUND(SUM(IF(AND(ER$26&lt;&gt;"",ER$23&lt;&gt;""),IF(EOMONTH($EP$3+INT((DAY(EOMONTH($EP$3,0))-1)/2)+ER$23,0)=EOMONTH($EH$3,0),ER$26,0),0),IF(AND(EN$26&lt;&gt;"",EN$23&lt;&gt;""),IF(EOMONTH($EL$3+INT((DAY(EOMONTH($EL$3,0))-1)/2)+EN$23,0)=EOMONTH($EH$3,0),EN$26,0),0),IF(AND(EJ$26&lt;&gt;"",EJ$23&lt;&gt;""),IF(EOMONTH($EH$3+INT((DAY(EOMONTH($EH$3,0))-1)/2)+EJ$23,0)=EOMONTH($EH$3,0),EJ$26,0),0),IF(AND(EF$26&lt;&gt;"",EF$23&lt;&gt;""),IF(EOMONTH($ED$3+INT((DAY(EOMONTH($ED$3,0))-1)/2)+EF$23,0)=EOMONTH($EH$3,0),EF$26,0),0),IF(AND(EB$26&lt;&gt;"",EB$23&lt;&gt;""),IF(EOMONTH($DZ$3+INT((DAY(EOMONTH($DZ$3,0))-1)/2)+EB$23,0)=EOMONTH($EH$3,0),EB$26,0),0),IF(AND(DX$26&lt;&gt;"",DX$23&lt;&gt;""),IF(EOMONTH($DV$3+INT((DAY(EOMONTH($DV$3,0))-1)/2)+DX$23,0)=EOMONTH($EH$3,0),DX$26,0),0),IF(AND(DT$26&lt;&gt;"",DT$23&lt;&gt;""),IF(EOMONTH($DR$3+INT((DAY(EOMONTH($DR$3,0))-1)/2)+DT$23,0)=EOMONTH($EH$3,0),DT$26,0),0),IF(AND(DP$26&lt;&gt;"",DP$23&lt;&gt;""),IF(EOMONTH($DN$3+INT((DAY(EOMONTH($DN$3,0))-1)/2)+DP$23,0)=EOMONTH($EH$3,0),DP$26,0),0),IF(AND(DL$26&lt;&gt;"",DL$23&lt;&gt;""),IF(EOMONTH($DJ$3+INT((DAY(EOMONTH($DJ$3,0))-1)/2)+DL$23,0)=EOMONTH($EH$3,0),DL$26,0),0),IF(AND(DH$26&lt;&gt;"",DH$23&lt;&gt;""),IF(EOMONTH($DF$3+INT((DAY(EOMONTH($DF$3,0))-1)/2)+DH$23,0)=EOMONTH($EH$3,0),DH$26,0),0),IF(AND(DD$26&lt;&gt;"",DD$23&lt;&gt;""),IF(EOMONTH($DB$3+INT((DAY(EOMONTH($DB$3,0))-1)/2)+DD$23,0)=EOMONTH($EH$3,0),DD$26,0),0),IF(AND(CZ$26&lt;&gt;"",CZ$23&lt;&gt;""),IF(EOMONTH($CX$3+INT((DAY(EOMONTH($CX$3,0))-1)/2)+CZ$23,0)=EOMONTH($EH$3,0),CZ$26,0),0),IF(AND(CV$26&lt;&gt;"",CV$23&lt;&gt;""),IF(EOMONTH($CT$3+INT((DAY(EOMONTH($CT$3,0))-1)/2)+CV$23,0)=EOMONTH($EH$3,0),CV$26,0),0),IF(AND(CR$26&lt;&gt;"",CR$23&lt;&gt;""),IF(EOMONTH($CP$3+INT((DAY(EOMONTH($CP$3,0))-1)/2)+CR$23,0)=EOMONTH($EH$3,0),CR$26,0),0),IF(AND(CN$26&lt;&gt;"",CN$23&lt;&gt;""),IF(EOMONTH($CL$3+INT((DAY(EOMONTH($CL$3,0))-1)/2)+CN$23,0)=EOMONTH($EH$3,0),CN$26,0),0),IF(AND(CJ$26&lt;&gt;"",CJ$23&lt;&gt;""),IF(EOMONTH($CH$3+INT((DAY(EOMONTH($CH$3,0))-1)/2)+CJ$23,0)=EOMONTH($EH$3,0),CJ$26,0),0),IF(AND(CF$26&lt;&gt;"",CF$23&lt;&gt;""),IF(EOMONTH($CD$3+INT((DAY(EOMONTH($CD$3,0))-1)/2)+CF$23,0)=EOMONTH($EH$3,0),CF$26,0),0),IF(AND(CB$26&lt;&gt;"",CB$23&lt;&gt;""),IF(EOMONTH($BZ$3+INT((DAY(EOMONTH($BZ$3,0))-1)/2)+CB$23,0)=EOMONTH($EH$3,0),CB$26,0),0),IF(AND(BX$26&lt;&gt;"",BX$23&lt;&gt;""),IF(EOMONTH($BV$3+INT((DAY(EOMONTH($BV$3,0))-1)/2)+BX$23,0)=EOMONTH($EH$3,0),BX$26,0),0),IF(AND(BT$26&lt;&gt;"",BT$23&lt;&gt;""),IF(EOMONTH($BR$3+INT((DAY(EOMONTH($BR$3,0))-1)/2)+BT$23,0)=EOMONTH($EH$3,0),BT$26,0),0),IF(AND(BP$26&lt;&gt;"",BP$23&lt;&gt;""),IF(EOMONTH($BN$3+INT((DAY(EOMONTH($BN$3,0))-1)/2)+BP$23,0)=EOMONTH($EH$3,0),BP$26,0),0),IF(AND(BL$26&lt;&gt;"",BL$23&lt;&gt;""),IF(EOMONTH($BJ$3+INT((DAY(EOMONTH($BJ$3,0))-1)/2)+BL$23,0)=EOMONTH($EH$3,0),BL$26,0),0),IF(AND(BH$26&lt;&gt;"",BH$23&lt;&gt;""),IF(EOMONTH($BF$3+INT((DAY(EOMONTH($BF$3,0))-1)/2)+BH$23,0)=EOMONTH($EH$3,0),BH$26,0),0),IF(AND(BD$26&lt;&gt;"",BD$23&lt;&gt;""),IF(EOMONTH($BB$3+INT((DAY(EOMONTH($BB$3,0))-1)/2)+BD$23,0)=EOMONTH($EH$3,0),BD$26,0),0),IF(AND(AZ$26&lt;&gt;"",AZ$23&lt;&gt;""),IF(EOMONTH($AX$3+INT((DAY(EOMONTH($AX$3,0))-1)/2)+AZ$23,0)=EOMONTH($EH$3,0),AZ$26,0),0),IF(AND(AV$26&lt;&gt;"",AV$23&lt;&gt;""),IF(EOMONTH($AT$3+INT((DAY(EOMONTH($AT$3,0))-1)/2)+AV$23,0)=EOMONTH($EH$3,0),AV$26,0),0),IF(AND(AR$26&lt;&gt;"",AR$23&lt;&gt;""),IF(EOMONTH($AP$3+INT((DAY(EOMONTH($AP$3,0))-1)/2)+AR$23,0)=EOMONTH($EH$3,0),AR$26,0),0),IF(AND(AN$26&lt;&gt;"",AN$23&lt;&gt;""),IF(EOMONTH($AL$3+INT((DAY(EOMONTH($AL$3,0))-1)/2)+AN$23,0)=EOMONTH($EH$3,0),AN$26,0),0),IF(AND(AJ$26&lt;&gt;"",AJ$23&lt;&gt;""),IF(EOMONTH($AH$3+INT((DAY(EOMONTH($AH$3,0))-1)/2)+AJ$23,0)=EOMONTH($EH$3,0),AJ$26,0),0),IF(AND(AF$26&lt;&gt;"",AF$23&lt;&gt;""),IF(EOMONTH($AD$3+INT((DAY(EOMONTH($AD$3,0))-1)/2)+AF$23,0)=EOMONTH($EH$3,0),AF$26,0),0),IF(AND(AB$26&lt;&gt;"",AB$23&lt;&gt;""),IF(EOMONTH($Z$3+INT((DAY(EOMONTH($Z$3,0))-1)/2)+AB$23,0)=EOMONTH($EH$3,0),AB$26,0),0),IF(AND(X$26&lt;&gt;"",X$23&lt;&gt;""),IF(EOMONTH($V$3+INT((DAY(EOMONTH($V$3,0))-1)/2)+X$23,0)=EOMONTH($EH$3,0),X$26,0),0),IF(AND(T$26&lt;&gt;"",T$23&lt;&gt;""),IF(EOMONTH($R$3+INT((DAY(EOMONTH($R$3,0))-1)/2)+T$23,0)=EOMONTH($EH$3,0),T$26,0),0),IF(AND(P$26&lt;&gt;"",P$23&lt;&gt;""),IF(EOMONTH($N$3+INT((DAY(EOMONTH($N$3,0))-1)/2)+P$23,0)=EOMONTH($EH$3,0),P$26,0),0),IF(AND(L$26&lt;&gt;"",L$23&lt;&gt;""),IF(EOMONTH($J$3+INT((DAY(EOMONTH($J$3,0))-1)/2)+L$23,0)=EOMONTH($EH$3,0),L$26,0),0),IF(AND(H$26&lt;&gt;"",H$23&lt;&gt;""),IF(EOMONTH($F$3+INT((DAY(EOMONTH($F$3,0))-1)/2)+H$23,0)=EOMONTH($EH$3,0),H$26,0),0),IF($EP$75="",0,IF(EOMONTH($EP$75+ER$23,0)=EOMONTH($EH$3,0),$EP$78*ER$13,0))),0)</f>
        <v>0</v>
      </c>
      <c r="EK57" s="33">
        <f t="shared" ref="EK57:EK70" si="768">IFERROR(IF(OR(EI57="",EJ57=""),"",EI57-EJ57),"")</f>
        <v>0</v>
      </c>
      <c r="EL57" s="34"/>
      <c r="EM57" s="31">
        <f>IF(EL$98=1,EL57,ROUND(SUM(IF(AND(EQ$26&lt;&gt;"",EQ$23&lt;&gt;""),IF(EOMONTH($EP$3+INT((DAY(EOMONTH($EP$3,0))-1)/2)+EQ$23,0)=EOMONTH($EL$3,0),EQ$26,0),0),IF(AND(EM$26&lt;&gt;"",EM$23&lt;&gt;""),IF(EOMONTH($EL$3+INT((DAY(EOMONTH($EL$3,0))-1)/2)+EM$23,0)=EOMONTH($EL$3,0),EM$26,0),0),IF(AND(EI$26&lt;&gt;"",EI$23&lt;&gt;""),IF(EOMONTH($EH$3+INT((DAY(EOMONTH($EH$3,0))-1)/2)+EI$23,0)=EOMONTH($EL$3,0),EI$26,0),0),IF(AND(EE$26&lt;&gt;"",EE$23&lt;&gt;""),IF(EOMONTH($ED$3+INT((DAY(EOMONTH($ED$3,0))-1)/2)+EE$23,0)=EOMONTH($EL$3,0),EE$26,0),0),IF(AND(EA$26&lt;&gt;"",EA$23&lt;&gt;""),IF(EOMONTH($DZ$3+INT((DAY(EOMONTH($DZ$3,0))-1)/2)+EA$23,0)=EOMONTH($EL$3,0),EA$26,0),0),IF(AND(DW$26&lt;&gt;"",DW$23&lt;&gt;""),IF(EOMONTH($DV$3+INT((DAY(EOMONTH($DV$3,0))-1)/2)+DW$23,0)=EOMONTH($EL$3,0),DW$26,0),0),IF(AND(DS$26&lt;&gt;"",DS$23&lt;&gt;""),IF(EOMONTH($DR$3+INT((DAY(EOMONTH($DR$3,0))-1)/2)+DS$23,0)=EOMONTH($EL$3,0),DS$26,0),0),IF(AND(DO$26&lt;&gt;"",DO$23&lt;&gt;""),IF(EOMONTH($DN$3+INT((DAY(EOMONTH($DN$3,0))-1)/2)+DO$23,0)=EOMONTH($EL$3,0),DO$26,0),0),IF(AND(DK$26&lt;&gt;"",DK$23&lt;&gt;""),IF(EOMONTH($DJ$3+INT((DAY(EOMONTH($DJ$3,0))-1)/2)+DK$23,0)=EOMONTH($EL$3,0),DK$26,0),0),IF(AND(DG$26&lt;&gt;"",DG$23&lt;&gt;""),IF(EOMONTH($DF$3+INT((DAY(EOMONTH($DF$3,0))-1)/2)+DG$23,0)=EOMONTH($EL$3,0),DG$26,0),0),IF(AND(DC$26&lt;&gt;"",DC$23&lt;&gt;""),IF(EOMONTH($DB$3+INT((DAY(EOMONTH($DB$3,0))-1)/2)+DC$23,0)=EOMONTH($EL$3,0),DC$26,0),0),IF(AND(CY$26&lt;&gt;"",CY$23&lt;&gt;""),IF(EOMONTH($CX$3+INT((DAY(EOMONTH($CX$3,0))-1)/2)+CY$23,0)=EOMONTH($EL$3,0),CY$26,0),0),IF(AND(CU$26&lt;&gt;"",CU$23&lt;&gt;""),IF(EOMONTH($CT$3+INT((DAY(EOMONTH($CT$3,0))-1)/2)+CU$23,0)=EOMONTH($EL$3,0),CU$26,0),0),IF(AND(CQ$26&lt;&gt;"",CQ$23&lt;&gt;""),IF(EOMONTH($CP$3+INT((DAY(EOMONTH($CP$3,0))-1)/2)+CQ$23,0)=EOMONTH($EL$3,0),CQ$26,0),0),IF(AND(CM$26&lt;&gt;"",CM$23&lt;&gt;""),IF(EOMONTH($CL$3+INT((DAY(EOMONTH($CL$3,0))-1)/2)+CM$23,0)=EOMONTH($EL$3,0),CM$26,0),0),IF(AND(CI$26&lt;&gt;"",CI$23&lt;&gt;""),IF(EOMONTH($CH$3+INT((DAY(EOMONTH($CH$3,0))-1)/2)+CI$23,0)=EOMONTH($EL$3,0),CI$26,0),0),IF(AND(CE$26&lt;&gt;"",CE$23&lt;&gt;""),IF(EOMONTH($CD$3+INT((DAY(EOMONTH($CD$3,0))-1)/2)+CE$23,0)=EOMONTH($EL$3,0),CE$26,0),0),IF(AND(CA$26&lt;&gt;"",CA$23&lt;&gt;""),IF(EOMONTH($BZ$3+INT((DAY(EOMONTH($BZ$3,0))-1)/2)+CA$23,0)=EOMONTH($EL$3,0),CA$26,0),0),IF(AND(BW$26&lt;&gt;"",BW$23&lt;&gt;""),IF(EOMONTH($BV$3+INT((DAY(EOMONTH($BV$3,0))-1)/2)+BW$23,0)=EOMONTH($EL$3,0),BW$26,0),0),IF(AND(BS$26&lt;&gt;"",BS$23&lt;&gt;""),IF(EOMONTH($BR$3+INT((DAY(EOMONTH($BR$3,0))-1)/2)+BS$23,0)=EOMONTH($EL$3,0),BS$26,0),0),IF(AND(BO$26&lt;&gt;"",BO$23&lt;&gt;""),IF(EOMONTH($BN$3+INT((DAY(EOMONTH($BN$3,0))-1)/2)+BO$23,0)=EOMONTH($EL$3,0),BO$26,0),0),IF(AND(BK$26&lt;&gt;"",BK$23&lt;&gt;""),IF(EOMONTH($BJ$3+INT((DAY(EOMONTH($BJ$3,0))-1)/2)+BK$23,0)=EOMONTH($EL$3,0),BK$26,0),0),IF(AND(BG$26&lt;&gt;"",BG$23&lt;&gt;""),IF(EOMONTH($BF$3+INT((DAY(EOMONTH($BF$3,0))-1)/2)+BG$23,0)=EOMONTH($EL$3,0),BG$26,0),0),IF(AND(BC$26&lt;&gt;"",BC$23&lt;&gt;""),IF(EOMONTH($BB$3+INT((DAY(EOMONTH($BB$3,0))-1)/2)+BC$23,0)=EOMONTH($EL$3,0),BC$26,0),0),IF(AND(AY$26&lt;&gt;"",AY$23&lt;&gt;""),IF(EOMONTH($AX$3+INT((DAY(EOMONTH($AX$3,0))-1)/2)+AY$23,0)=EOMONTH($EL$3,0),AY$26,0),0),IF(AND(AU$26&lt;&gt;"",AU$23&lt;&gt;""),IF(EOMONTH($AT$3+INT((DAY(EOMONTH($AT$3,0))-1)/2)+AU$23,0)=EOMONTH($EL$3,0),AU$26,0),0),IF(AND(AQ$26&lt;&gt;"",AQ$23&lt;&gt;""),IF(EOMONTH($AP$3+INT((DAY(EOMONTH($AP$3,0))-1)/2)+AQ$23,0)=EOMONTH($EL$3,0),AQ$26,0),0),IF(AND(AM$26&lt;&gt;"",AM$23&lt;&gt;""),IF(EOMONTH($AL$3+INT((DAY(EOMONTH($AL$3,0))-1)/2)+AM$23,0)=EOMONTH($EL$3,0),AM$26,0),0),IF(AND(AI$26&lt;&gt;"",AI$23&lt;&gt;""),IF(EOMONTH($AH$3+INT((DAY(EOMONTH($AH$3,0))-1)/2)+AI$23,0)=EOMONTH($EL$3,0),AI$26,0),0),IF(AND(AE$26&lt;&gt;"",AE$23&lt;&gt;""),IF(EOMONTH($AD$3+INT((DAY(EOMONTH($AD$3,0))-1)/2)+AE$23,0)=EOMONTH($EL$3,0),AE$26,0),0),IF(AND(AA$26&lt;&gt;"",AA$23&lt;&gt;""),IF(EOMONTH($Z$3+INT((DAY(EOMONTH($Z$3,0))-1)/2)+AA$23,0)=EOMONTH($EL$3,0),AA$26,0),0),IF(AND(W$26&lt;&gt;"",W$23&lt;&gt;""),IF(EOMONTH($V$3+INT((DAY(EOMONTH($V$3,0))-1)/2)+W$23,0)=EOMONTH($EL$3,0),W$26,0),0),IF(AND(S$26&lt;&gt;"",S$23&lt;&gt;""),IF(EOMONTH($R$3+INT((DAY(EOMONTH($R$3,0))-1)/2)+S$23,0)=EOMONTH($EL$3,0),S$26,0),0),IF(AND(O$26&lt;&gt;"",O$23&lt;&gt;""),IF(EOMONTH($N$3+INT((DAY(EOMONTH($N$3,0))-1)/2)+O$23,0)=EOMONTH($EL$3,0),O$26,0),0),IF(AND(K$26&lt;&gt;"",K$23&lt;&gt;""),IF(EOMONTH($J$3+INT((DAY(EOMONTH($J$3,0))-1)/2)+K$23,0)=EOMONTH($EL$3,0),K$26,0),0),IF(AND(G$26&lt;&gt;"",G$23&lt;&gt;""),IF(EOMONTH($F$3+INT((DAY(EOMONTH($F$3,0))-1)/2)+G$23,0)=EOMONTH($EL$3,0),G$26,0),0),IF($EP$75="",0,IF(EOMONTH($EP$75+EQ$23,0)=EOMONTH($EL$3,0),$EP$78*EQ$13,0))),0))</f>
        <v>0</v>
      </c>
      <c r="EN57" s="32">
        <f>ROUND(SUM(IF(AND(ER$26&lt;&gt;"",ER$23&lt;&gt;""),IF(EOMONTH($EP$3+INT((DAY(EOMONTH($EP$3,0))-1)/2)+ER$23,0)=EOMONTH($EL$3,0),ER$26,0),0),IF(AND(EN$26&lt;&gt;"",EN$23&lt;&gt;""),IF(EOMONTH($EL$3+INT((DAY(EOMONTH($EL$3,0))-1)/2)+EN$23,0)=EOMONTH($EL$3,0),EN$26,0),0),IF(AND(EJ$26&lt;&gt;"",EJ$23&lt;&gt;""),IF(EOMONTH($EH$3+INT((DAY(EOMONTH($EH$3,0))-1)/2)+EJ$23,0)=EOMONTH($EL$3,0),EJ$26,0),0),IF(AND(EF$26&lt;&gt;"",EF$23&lt;&gt;""),IF(EOMONTH($ED$3+INT((DAY(EOMONTH($ED$3,0))-1)/2)+EF$23,0)=EOMONTH($EL$3,0),EF$26,0),0),IF(AND(EB$26&lt;&gt;"",EB$23&lt;&gt;""),IF(EOMONTH($DZ$3+INT((DAY(EOMONTH($DZ$3,0))-1)/2)+EB$23,0)=EOMONTH($EL$3,0),EB$26,0),0),IF(AND(DX$26&lt;&gt;"",DX$23&lt;&gt;""),IF(EOMONTH($DV$3+INT((DAY(EOMONTH($DV$3,0))-1)/2)+DX$23,0)=EOMONTH($EL$3,0),DX$26,0),0),IF(AND(DT$26&lt;&gt;"",DT$23&lt;&gt;""),IF(EOMONTH($DR$3+INT((DAY(EOMONTH($DR$3,0))-1)/2)+DT$23,0)=EOMONTH($EL$3,0),DT$26,0),0),IF(AND(DP$26&lt;&gt;"",DP$23&lt;&gt;""),IF(EOMONTH($DN$3+INT((DAY(EOMONTH($DN$3,0))-1)/2)+DP$23,0)=EOMONTH($EL$3,0),DP$26,0),0),IF(AND(DL$26&lt;&gt;"",DL$23&lt;&gt;""),IF(EOMONTH($DJ$3+INT((DAY(EOMONTH($DJ$3,0))-1)/2)+DL$23,0)=EOMONTH($EL$3,0),DL$26,0),0),IF(AND(DH$26&lt;&gt;"",DH$23&lt;&gt;""),IF(EOMONTH($DF$3+INT((DAY(EOMONTH($DF$3,0))-1)/2)+DH$23,0)=EOMONTH($EL$3,0),DH$26,0),0),IF(AND(DD$26&lt;&gt;"",DD$23&lt;&gt;""),IF(EOMONTH($DB$3+INT((DAY(EOMONTH($DB$3,0))-1)/2)+DD$23,0)=EOMONTH($EL$3,0),DD$26,0),0),IF(AND(CZ$26&lt;&gt;"",CZ$23&lt;&gt;""),IF(EOMONTH($CX$3+INT((DAY(EOMONTH($CX$3,0))-1)/2)+CZ$23,0)=EOMONTH($EL$3,0),CZ$26,0),0),IF(AND(CV$26&lt;&gt;"",CV$23&lt;&gt;""),IF(EOMONTH($CT$3+INT((DAY(EOMONTH($CT$3,0))-1)/2)+CV$23,0)=EOMONTH($EL$3,0),CV$26,0),0),IF(AND(CR$26&lt;&gt;"",CR$23&lt;&gt;""),IF(EOMONTH($CP$3+INT((DAY(EOMONTH($CP$3,0))-1)/2)+CR$23,0)=EOMONTH($EL$3,0),CR$26,0),0),IF(AND(CN$26&lt;&gt;"",CN$23&lt;&gt;""),IF(EOMONTH($CL$3+INT((DAY(EOMONTH($CL$3,0))-1)/2)+CN$23,0)=EOMONTH($EL$3,0),CN$26,0),0),IF(AND(CJ$26&lt;&gt;"",CJ$23&lt;&gt;""),IF(EOMONTH($CH$3+INT((DAY(EOMONTH($CH$3,0))-1)/2)+CJ$23,0)=EOMONTH($EL$3,0),CJ$26,0),0),IF(AND(CF$26&lt;&gt;"",CF$23&lt;&gt;""),IF(EOMONTH($CD$3+INT((DAY(EOMONTH($CD$3,0))-1)/2)+CF$23,0)=EOMONTH($EL$3,0),CF$26,0),0),IF(AND(CB$26&lt;&gt;"",CB$23&lt;&gt;""),IF(EOMONTH($BZ$3+INT((DAY(EOMONTH($BZ$3,0))-1)/2)+CB$23,0)=EOMONTH($EL$3,0),CB$26,0),0),IF(AND(BX$26&lt;&gt;"",BX$23&lt;&gt;""),IF(EOMONTH($BV$3+INT((DAY(EOMONTH($BV$3,0))-1)/2)+BX$23,0)=EOMONTH($EL$3,0),BX$26,0),0),IF(AND(BT$26&lt;&gt;"",BT$23&lt;&gt;""),IF(EOMONTH($BR$3+INT((DAY(EOMONTH($BR$3,0))-1)/2)+BT$23,0)=EOMONTH($EL$3,0),BT$26,0),0),IF(AND(BP$26&lt;&gt;"",BP$23&lt;&gt;""),IF(EOMONTH($BN$3+INT((DAY(EOMONTH($BN$3,0))-1)/2)+BP$23,0)=EOMONTH($EL$3,0),BP$26,0),0),IF(AND(BL$26&lt;&gt;"",BL$23&lt;&gt;""),IF(EOMONTH($BJ$3+INT((DAY(EOMONTH($BJ$3,0))-1)/2)+BL$23,0)=EOMONTH($EL$3,0),BL$26,0),0),IF(AND(BH$26&lt;&gt;"",BH$23&lt;&gt;""),IF(EOMONTH($BF$3+INT((DAY(EOMONTH($BF$3,0))-1)/2)+BH$23,0)=EOMONTH($EL$3,0),BH$26,0),0),IF(AND(BD$26&lt;&gt;"",BD$23&lt;&gt;""),IF(EOMONTH($BB$3+INT((DAY(EOMONTH($BB$3,0))-1)/2)+BD$23,0)=EOMONTH($EL$3,0),BD$26,0),0),IF(AND(AZ$26&lt;&gt;"",AZ$23&lt;&gt;""),IF(EOMONTH($AX$3+INT((DAY(EOMONTH($AX$3,0))-1)/2)+AZ$23,0)=EOMONTH($EL$3,0),AZ$26,0),0),IF(AND(AV$26&lt;&gt;"",AV$23&lt;&gt;""),IF(EOMONTH($AT$3+INT((DAY(EOMONTH($AT$3,0))-1)/2)+AV$23,0)=EOMONTH($EL$3,0),AV$26,0),0),IF(AND(AR$26&lt;&gt;"",AR$23&lt;&gt;""),IF(EOMONTH($AP$3+INT((DAY(EOMONTH($AP$3,0))-1)/2)+AR$23,0)=EOMONTH($EL$3,0),AR$26,0),0),IF(AND(AN$26&lt;&gt;"",AN$23&lt;&gt;""),IF(EOMONTH($AL$3+INT((DAY(EOMONTH($AL$3,0))-1)/2)+AN$23,0)=EOMONTH($EL$3,0),AN$26,0),0),IF(AND(AJ$26&lt;&gt;"",AJ$23&lt;&gt;""),IF(EOMONTH($AH$3+INT((DAY(EOMONTH($AH$3,0))-1)/2)+AJ$23,0)=EOMONTH($EL$3,0),AJ$26,0),0),IF(AND(AF$26&lt;&gt;"",AF$23&lt;&gt;""),IF(EOMONTH($AD$3+INT((DAY(EOMONTH($AD$3,0))-1)/2)+AF$23,0)=EOMONTH($EL$3,0),AF$26,0),0),IF(AND(AB$26&lt;&gt;"",AB$23&lt;&gt;""),IF(EOMONTH($Z$3+INT((DAY(EOMONTH($Z$3,0))-1)/2)+AB$23,0)=EOMONTH($EL$3,0),AB$26,0),0),IF(AND(X$26&lt;&gt;"",X$23&lt;&gt;""),IF(EOMONTH($V$3+INT((DAY(EOMONTH($V$3,0))-1)/2)+X$23,0)=EOMONTH($EL$3,0),X$26,0),0),IF(AND(T$26&lt;&gt;"",T$23&lt;&gt;""),IF(EOMONTH($R$3+INT((DAY(EOMONTH($R$3,0))-1)/2)+T$23,0)=EOMONTH($EL$3,0),T$26,0),0),IF(AND(P$26&lt;&gt;"",P$23&lt;&gt;""),IF(EOMONTH($N$3+INT((DAY(EOMONTH($N$3,0))-1)/2)+P$23,0)=EOMONTH($EL$3,0),P$26,0),0),IF(AND(L$26&lt;&gt;"",L$23&lt;&gt;""),IF(EOMONTH($J$3+INT((DAY(EOMONTH($J$3,0))-1)/2)+L$23,0)=EOMONTH($EL$3,0),L$26,0),0),IF(AND(H$26&lt;&gt;"",H$23&lt;&gt;""),IF(EOMONTH($F$3+INT((DAY(EOMONTH($F$3,0))-1)/2)+H$23,0)=EOMONTH($EL$3,0),H$26,0),0),IF($EP$75="",0,IF(EOMONTH($EP$75+ER$23,0)=EOMONTH($EL$3,0),$EP$78*ER$13,0))),0)</f>
        <v>0</v>
      </c>
      <c r="EO57" s="33">
        <f t="shared" ref="EO57:EO70" si="770">IFERROR(IF(OR(EM57="",EN57=""),"",EM57-EN57),"")</f>
        <v>0</v>
      </c>
      <c r="EP57" s="34"/>
      <c r="EQ57" s="31">
        <f>IF(EP$98=1,EP57,ROUND(SUM(IF(AND(EQ$26&lt;&gt;"",EQ$23&lt;&gt;""),IF(EOMONTH($EP$3+INT((DAY(EOMONTH($EP$3,0))-1)/2)+EQ$23,0)=EOMONTH($EP$3,0),EQ$26,0),0),IF(AND(EM$26&lt;&gt;"",EM$23&lt;&gt;""),IF(EOMONTH($EL$3+INT((DAY(EOMONTH($EL$3,0))-1)/2)+EM$23,0)=EOMONTH($EP$3,0),EM$26,0),0),IF(AND(EI$26&lt;&gt;"",EI$23&lt;&gt;""),IF(EOMONTH($EH$3+INT((DAY(EOMONTH($EH$3,0))-1)/2)+EI$23,0)=EOMONTH($EP$3,0),EI$26,0),0),IF(AND(EE$26&lt;&gt;"",EE$23&lt;&gt;""),IF(EOMONTH($ED$3+INT((DAY(EOMONTH($ED$3,0))-1)/2)+EE$23,0)=EOMONTH($EP$3,0),EE$26,0),0),IF(AND(EA$26&lt;&gt;"",EA$23&lt;&gt;""),IF(EOMONTH($DZ$3+INT((DAY(EOMONTH($DZ$3,0))-1)/2)+EA$23,0)=EOMONTH($EP$3,0),EA$26,0),0),IF(AND(DW$26&lt;&gt;"",DW$23&lt;&gt;""),IF(EOMONTH($DV$3+INT((DAY(EOMONTH($DV$3,0))-1)/2)+DW$23,0)=EOMONTH($EP$3,0),DW$26,0),0),IF(AND(DS$26&lt;&gt;"",DS$23&lt;&gt;""),IF(EOMONTH($DR$3+INT((DAY(EOMONTH($DR$3,0))-1)/2)+DS$23,0)=EOMONTH($EP$3,0),DS$26,0),0),IF(AND(DO$26&lt;&gt;"",DO$23&lt;&gt;""),IF(EOMONTH($DN$3+INT((DAY(EOMONTH($DN$3,0))-1)/2)+DO$23,0)=EOMONTH($EP$3,0),DO$26,0),0),IF(AND(DK$26&lt;&gt;"",DK$23&lt;&gt;""),IF(EOMONTH($DJ$3+INT((DAY(EOMONTH($DJ$3,0))-1)/2)+DK$23,0)=EOMONTH($EP$3,0),DK$26,0),0),IF(AND(DG$26&lt;&gt;"",DG$23&lt;&gt;""),IF(EOMONTH($DF$3+INT((DAY(EOMONTH($DF$3,0))-1)/2)+DG$23,0)=EOMONTH($EP$3,0),DG$26,0),0),IF(AND(DC$26&lt;&gt;"",DC$23&lt;&gt;""),IF(EOMONTH($DB$3+INT((DAY(EOMONTH($DB$3,0))-1)/2)+DC$23,0)=EOMONTH($EP$3,0),DC$26,0),0),IF(AND(CY$26&lt;&gt;"",CY$23&lt;&gt;""),IF(EOMONTH($CX$3+INT((DAY(EOMONTH($CX$3,0))-1)/2)+CY$23,0)=EOMONTH($EP$3,0),CY$26,0),0),IF(AND(CU$26&lt;&gt;"",CU$23&lt;&gt;""),IF(EOMONTH($CT$3+INT((DAY(EOMONTH($CT$3,0))-1)/2)+CU$23,0)=EOMONTH($EP$3,0),CU$26,0),0),IF(AND(CQ$26&lt;&gt;"",CQ$23&lt;&gt;""),IF(EOMONTH($CP$3+INT((DAY(EOMONTH($CP$3,0))-1)/2)+CQ$23,0)=EOMONTH($EP$3,0),CQ$26,0),0),IF(AND(CM$26&lt;&gt;"",CM$23&lt;&gt;""),IF(EOMONTH($CL$3+INT((DAY(EOMONTH($CL$3,0))-1)/2)+CM$23,0)=EOMONTH($EP$3,0),CM$26,0),0),IF(AND(CI$26&lt;&gt;"",CI$23&lt;&gt;""),IF(EOMONTH($CH$3+INT((DAY(EOMONTH($CH$3,0))-1)/2)+CI$23,0)=EOMONTH($EP$3,0),CI$26,0),0),IF(AND(CE$26&lt;&gt;"",CE$23&lt;&gt;""),IF(EOMONTH($CD$3+INT((DAY(EOMONTH($CD$3,0))-1)/2)+CE$23,0)=EOMONTH($EP$3,0),CE$26,0),0),IF(AND(CA$26&lt;&gt;"",CA$23&lt;&gt;""),IF(EOMONTH($BZ$3+INT((DAY(EOMONTH($BZ$3,0))-1)/2)+CA$23,0)=EOMONTH($EP$3,0),CA$26,0),0),IF(AND(BW$26&lt;&gt;"",BW$23&lt;&gt;""),IF(EOMONTH($BV$3+INT((DAY(EOMONTH($BV$3,0))-1)/2)+BW$23,0)=EOMONTH($EP$3,0),BW$26,0),0),IF(AND(BS$26&lt;&gt;"",BS$23&lt;&gt;""),IF(EOMONTH($BR$3+INT((DAY(EOMONTH($BR$3,0))-1)/2)+BS$23,0)=EOMONTH($EP$3,0),BS$26,0),0),IF(AND(BO$26&lt;&gt;"",BO$23&lt;&gt;""),IF(EOMONTH($BN$3+INT((DAY(EOMONTH($BN$3,0))-1)/2)+BO$23,0)=EOMONTH($EP$3,0),BO$26,0),0),IF(AND(BK$26&lt;&gt;"",BK$23&lt;&gt;""),IF(EOMONTH($BJ$3+INT((DAY(EOMONTH($BJ$3,0))-1)/2)+BK$23,0)=EOMONTH($EP$3,0),BK$26,0),0),IF(AND(BG$26&lt;&gt;"",BG$23&lt;&gt;""),IF(EOMONTH($BF$3+INT((DAY(EOMONTH($BF$3,0))-1)/2)+BG$23,0)=EOMONTH($EP$3,0),BG$26,0),0),IF(AND(BC$26&lt;&gt;"",BC$23&lt;&gt;""),IF(EOMONTH($BB$3+INT((DAY(EOMONTH($BB$3,0))-1)/2)+BC$23,0)=EOMONTH($EP$3,0),BC$26,0),0),IF(AND(AY$26&lt;&gt;"",AY$23&lt;&gt;""),IF(EOMONTH($AX$3+INT((DAY(EOMONTH($AX$3,0))-1)/2)+AY$23,0)=EOMONTH($EP$3,0),AY$26,0),0),IF(AND(AU$26&lt;&gt;"",AU$23&lt;&gt;""),IF(EOMONTH($AT$3+INT((DAY(EOMONTH($AT$3,0))-1)/2)+AU$23,0)=EOMONTH($EP$3,0),AU$26,0),0),IF(AND(AQ$26&lt;&gt;"",AQ$23&lt;&gt;""),IF(EOMONTH($AP$3+INT((DAY(EOMONTH($AP$3,0))-1)/2)+AQ$23,0)=EOMONTH($EP$3,0),AQ$26,0),0),IF(AND(AM$26&lt;&gt;"",AM$23&lt;&gt;""),IF(EOMONTH($AL$3+INT((DAY(EOMONTH($AL$3,0))-1)/2)+AM$23,0)=EOMONTH($EP$3,0),AM$26,0),0),IF(AND(AI$26&lt;&gt;"",AI$23&lt;&gt;""),IF(EOMONTH($AH$3+INT((DAY(EOMONTH($AH$3,0))-1)/2)+AI$23,0)=EOMONTH($EP$3,0),AI$26,0),0),IF(AND(AE$26&lt;&gt;"",AE$23&lt;&gt;""),IF(EOMONTH($AD$3+INT((DAY(EOMONTH($AD$3,0))-1)/2)+AE$23,0)=EOMONTH($EP$3,0),AE$26,0),0),IF(AND(AA$26&lt;&gt;"",AA$23&lt;&gt;""),IF(EOMONTH($Z$3+INT((DAY(EOMONTH($Z$3,0))-1)/2)+AA$23,0)=EOMONTH($EP$3,0),AA$26,0),0),IF(AND(W$26&lt;&gt;"",W$23&lt;&gt;""),IF(EOMONTH($V$3+INT((DAY(EOMONTH($V$3,0))-1)/2)+W$23,0)=EOMONTH($EP$3,0),W$26,0),0),IF(AND(S$26&lt;&gt;"",S$23&lt;&gt;""),IF(EOMONTH($R$3+INT((DAY(EOMONTH($R$3,0))-1)/2)+S$23,0)=EOMONTH($EP$3,0),S$26,0),0),IF(AND(O$26&lt;&gt;"",O$23&lt;&gt;""),IF(EOMONTH($N$3+INT((DAY(EOMONTH($N$3,0))-1)/2)+O$23,0)=EOMONTH($EP$3,0),O$26,0),0),IF(AND(K$26&lt;&gt;"",K$23&lt;&gt;""),IF(EOMONTH($J$3+INT((DAY(EOMONTH($J$3,0))-1)/2)+K$23,0)=EOMONTH($EP$3,0),K$26,0),0),IF(AND(G$26&lt;&gt;"",G$23&lt;&gt;""),IF(EOMONTH($F$3+INT((DAY(EOMONTH($F$3,0))-1)/2)+G$23,0)=EOMONTH($EP$3,0),G$26,0),0),IF($EP$75="",0,IF(EOMONTH($EP$75+EQ$23,0)=EOMONTH($EP$3,0),$EP$78*EQ$13,0))),0))</f>
        <v>0</v>
      </c>
      <c r="ER57" s="32">
        <f>ROUND(SUM(IF(AND(ER$26&lt;&gt;"",ER$23&lt;&gt;""),IF(EOMONTH($EP$3+INT((DAY(EOMONTH($EP$3,0))-1)/2)+ER$23,0)=EOMONTH($EP$3,0),ER$26,0),0),IF(AND(EN$26&lt;&gt;"",EN$23&lt;&gt;""),IF(EOMONTH($EL$3+INT((DAY(EOMONTH($EL$3,0))-1)/2)+EN$23,0)=EOMONTH($EP$3,0),EN$26,0),0),IF(AND(EJ$26&lt;&gt;"",EJ$23&lt;&gt;""),IF(EOMONTH($EH$3+INT((DAY(EOMONTH($EH$3,0))-1)/2)+EJ$23,0)=EOMONTH($EP$3,0),EJ$26,0),0),IF(AND(EF$26&lt;&gt;"",EF$23&lt;&gt;""),IF(EOMONTH($ED$3+INT((DAY(EOMONTH($ED$3,0))-1)/2)+EF$23,0)=EOMONTH($EP$3,0),EF$26,0),0),IF(AND(EB$26&lt;&gt;"",EB$23&lt;&gt;""),IF(EOMONTH($DZ$3+INT((DAY(EOMONTH($DZ$3,0))-1)/2)+EB$23,0)=EOMONTH($EP$3,0),EB$26,0),0),IF(AND(DX$26&lt;&gt;"",DX$23&lt;&gt;""),IF(EOMONTH($DV$3+INT((DAY(EOMONTH($DV$3,0))-1)/2)+DX$23,0)=EOMONTH($EP$3,0),DX$26,0),0),IF(AND(DT$26&lt;&gt;"",DT$23&lt;&gt;""),IF(EOMONTH($DR$3+INT((DAY(EOMONTH($DR$3,0))-1)/2)+DT$23,0)=EOMONTH($EP$3,0),DT$26,0),0),IF(AND(DP$26&lt;&gt;"",DP$23&lt;&gt;""),IF(EOMONTH($DN$3+INT((DAY(EOMONTH($DN$3,0))-1)/2)+DP$23,0)=EOMONTH($EP$3,0),DP$26,0),0),IF(AND(DL$26&lt;&gt;"",DL$23&lt;&gt;""),IF(EOMONTH($DJ$3+INT((DAY(EOMONTH($DJ$3,0))-1)/2)+DL$23,0)=EOMONTH($EP$3,0),DL$26,0),0),IF(AND(DH$26&lt;&gt;"",DH$23&lt;&gt;""),IF(EOMONTH($DF$3+INT((DAY(EOMONTH($DF$3,0))-1)/2)+DH$23,0)=EOMONTH($EP$3,0),DH$26,0),0),IF(AND(DD$26&lt;&gt;"",DD$23&lt;&gt;""),IF(EOMONTH($DB$3+INT((DAY(EOMONTH($DB$3,0))-1)/2)+DD$23,0)=EOMONTH($EP$3,0),DD$26,0),0),IF(AND(CZ$26&lt;&gt;"",CZ$23&lt;&gt;""),IF(EOMONTH($CX$3+INT((DAY(EOMONTH($CX$3,0))-1)/2)+CZ$23,0)=EOMONTH($EP$3,0),CZ$26,0),0),IF(AND(CV$26&lt;&gt;"",CV$23&lt;&gt;""),IF(EOMONTH($CT$3+INT((DAY(EOMONTH($CT$3,0))-1)/2)+CV$23,0)=EOMONTH($EP$3,0),CV$26,0),0),IF(AND(CR$26&lt;&gt;"",CR$23&lt;&gt;""),IF(EOMONTH($CP$3+INT((DAY(EOMONTH($CP$3,0))-1)/2)+CR$23,0)=EOMONTH($EP$3,0),CR$26,0),0),IF(AND(CN$26&lt;&gt;"",CN$23&lt;&gt;""),IF(EOMONTH($CL$3+INT((DAY(EOMONTH($CL$3,0))-1)/2)+CN$23,0)=EOMONTH($EP$3,0),CN$26,0),0),IF(AND(CJ$26&lt;&gt;"",CJ$23&lt;&gt;""),IF(EOMONTH($CH$3+INT((DAY(EOMONTH($CH$3,0))-1)/2)+CJ$23,0)=EOMONTH($EP$3,0),CJ$26,0),0),IF(AND(CF$26&lt;&gt;"",CF$23&lt;&gt;""),IF(EOMONTH($CD$3+INT((DAY(EOMONTH($CD$3,0))-1)/2)+CF$23,0)=EOMONTH($EP$3,0),CF$26,0),0),IF(AND(CB$26&lt;&gt;"",CB$23&lt;&gt;""),IF(EOMONTH($BZ$3+INT((DAY(EOMONTH($BZ$3,0))-1)/2)+CB$23,0)=EOMONTH($EP$3,0),CB$26,0),0),IF(AND(BX$26&lt;&gt;"",BX$23&lt;&gt;""),IF(EOMONTH($BV$3+INT((DAY(EOMONTH($BV$3,0))-1)/2)+BX$23,0)=EOMONTH($EP$3,0),BX$26,0),0),IF(AND(BT$26&lt;&gt;"",BT$23&lt;&gt;""),IF(EOMONTH($BR$3+INT((DAY(EOMONTH($BR$3,0))-1)/2)+BT$23,0)=EOMONTH($EP$3,0),BT$26,0),0),IF(AND(BP$26&lt;&gt;"",BP$23&lt;&gt;""),IF(EOMONTH($BN$3+INT((DAY(EOMONTH($BN$3,0))-1)/2)+BP$23,0)=EOMONTH($EP$3,0),BP$26,0),0),IF(AND(BL$26&lt;&gt;"",BL$23&lt;&gt;""),IF(EOMONTH($BJ$3+INT((DAY(EOMONTH($BJ$3,0))-1)/2)+BL$23,0)=EOMONTH($EP$3,0),BL$26,0),0),IF(AND(BH$26&lt;&gt;"",BH$23&lt;&gt;""),IF(EOMONTH($BF$3+INT((DAY(EOMONTH($BF$3,0))-1)/2)+BH$23,0)=EOMONTH($EP$3,0),BH$26,0),0),IF(AND(BD$26&lt;&gt;"",BD$23&lt;&gt;""),IF(EOMONTH($BB$3+INT((DAY(EOMONTH($BB$3,0))-1)/2)+BD$23,0)=EOMONTH($EP$3,0),BD$26,0),0),IF(AND(AZ$26&lt;&gt;"",AZ$23&lt;&gt;""),IF(EOMONTH($AX$3+INT((DAY(EOMONTH($AX$3,0))-1)/2)+AZ$23,0)=EOMONTH($EP$3,0),AZ$26,0),0),IF(AND(AV$26&lt;&gt;"",AV$23&lt;&gt;""),IF(EOMONTH($AT$3+INT((DAY(EOMONTH($AT$3,0))-1)/2)+AV$23,0)=EOMONTH($EP$3,0),AV$26,0),0),IF(AND(AR$26&lt;&gt;"",AR$23&lt;&gt;""),IF(EOMONTH($AP$3+INT((DAY(EOMONTH($AP$3,0))-1)/2)+AR$23,0)=EOMONTH($EP$3,0),AR$26,0),0),IF(AND(AN$26&lt;&gt;"",AN$23&lt;&gt;""),IF(EOMONTH($AL$3+INT((DAY(EOMONTH($AL$3,0))-1)/2)+AN$23,0)=EOMONTH($EP$3,0),AN$26,0),0),IF(AND(AJ$26&lt;&gt;"",AJ$23&lt;&gt;""),IF(EOMONTH($AH$3+INT((DAY(EOMONTH($AH$3,0))-1)/2)+AJ$23,0)=EOMONTH($EP$3,0),AJ$26,0),0),IF(AND(AF$26&lt;&gt;"",AF$23&lt;&gt;""),IF(EOMONTH($AD$3+INT((DAY(EOMONTH($AD$3,0))-1)/2)+AF$23,0)=EOMONTH($EP$3,0),AF$26,0),0),IF(AND(AB$26&lt;&gt;"",AB$23&lt;&gt;""),IF(EOMONTH($Z$3+INT((DAY(EOMONTH($Z$3,0))-1)/2)+AB$23,0)=EOMONTH($EP$3,0),AB$26,0),0),IF(AND(X$26&lt;&gt;"",X$23&lt;&gt;""),IF(EOMONTH($V$3+INT((DAY(EOMONTH($V$3,0))-1)/2)+X$23,0)=EOMONTH($EP$3,0),X$26,0),0),IF(AND(T$26&lt;&gt;"",T$23&lt;&gt;""),IF(EOMONTH($R$3+INT((DAY(EOMONTH($R$3,0))-1)/2)+T$23,0)=EOMONTH($EP$3,0),T$26,0),0),IF(AND(P$26&lt;&gt;"",P$23&lt;&gt;""),IF(EOMONTH($N$3+INT((DAY(EOMONTH($N$3,0))-1)/2)+P$23,0)=EOMONTH($EP$3,0),P$26,0),0),IF(AND(L$26&lt;&gt;"",L$23&lt;&gt;""),IF(EOMONTH($J$3+INT((DAY(EOMONTH($J$3,0))-1)/2)+L$23,0)=EOMONTH($EP$3,0),L$26,0),0),IF(AND(H$26&lt;&gt;"",H$23&lt;&gt;""),IF(EOMONTH($F$3+INT((DAY(EOMONTH($F$3,0))-1)/2)+H$23,0)=EOMONTH($EP$3,0),H$26,0),0),IF($EP$75="",0,IF(EOMONTH($EP$75+ER$23,0)=EOMONTH($EP$3,0),$EP$78*ER$13,0))),0)</f>
        <v>0</v>
      </c>
      <c r="ES57" s="33">
        <f t="shared" ref="ES57:ES70" si="772">IFERROR(IF(OR(EQ57="",ER57=""),"",EQ57-ER57),"")</f>
        <v>0</v>
      </c>
    </row>
    <row r="58" ht="18.0" customHeight="1">
      <c r="A58" s="2" t="s">
        <v>60</v>
      </c>
      <c r="B58" s="30">
        <f t="shared" ref="B58:D58" si="699">SUM(EP58,EL58,EH58,ED58,DZ58,DV58,DR58,DN58,DJ58,DF58,DB58,CX58,CT58,CP58,CL58,CH58,CD58,BZ58,BV58,BR58,BN58,BJ58,BF58,BB58,AX58,AT58,AP58,AL58,AH58,AD58,Z58,V58,R58,N58,J58,F58)</f>
        <v>0</v>
      </c>
      <c r="C58" s="31">
        <f t="shared" si="699"/>
        <v>0</v>
      </c>
      <c r="D58" s="32">
        <f t="shared" si="699"/>
        <v>0</v>
      </c>
      <c r="E58" s="33">
        <f t="shared" si="700"/>
        <v>0</v>
      </c>
      <c r="F58" s="30" t="str">
        <f>IF(F34="","",F34)</f>
        <v/>
      </c>
      <c r="G58" s="31" t="str">
        <f t="shared" ref="G58:H58" si="701">G34</f>
        <v/>
      </c>
      <c r="H58" s="32" t="str">
        <f t="shared" si="701"/>
        <v/>
      </c>
      <c r="I58" s="33" t="str">
        <f t="shared" si="702"/>
        <v/>
      </c>
      <c r="J58" s="30" t="str">
        <f>IF(J34="","",J34)</f>
        <v/>
      </c>
      <c r="K58" s="31" t="str">
        <f t="shared" ref="K58:L58" si="703">K34</f>
        <v/>
      </c>
      <c r="L58" s="32" t="str">
        <f t="shared" si="703"/>
        <v/>
      </c>
      <c r="M58" s="33" t="str">
        <f t="shared" si="704"/>
        <v/>
      </c>
      <c r="N58" s="30" t="str">
        <f>IF(N34="","",N34)</f>
        <v/>
      </c>
      <c r="O58" s="31" t="str">
        <f t="shared" ref="O58:P58" si="705">O34</f>
        <v/>
      </c>
      <c r="P58" s="32" t="str">
        <f t="shared" si="705"/>
        <v/>
      </c>
      <c r="Q58" s="33" t="str">
        <f t="shared" si="706"/>
        <v/>
      </c>
      <c r="R58" s="30" t="str">
        <f>IF(R34="","",R34)</f>
        <v/>
      </c>
      <c r="S58" s="31" t="str">
        <f t="shared" ref="S58:T58" si="707">S34</f>
        <v/>
      </c>
      <c r="T58" s="32" t="str">
        <f t="shared" si="707"/>
        <v/>
      </c>
      <c r="U58" s="33" t="str">
        <f t="shared" si="708"/>
        <v/>
      </c>
      <c r="V58" s="30" t="str">
        <f>IF(V34="","",V34)</f>
        <v/>
      </c>
      <c r="W58" s="31" t="str">
        <f t="shared" ref="W58:X58" si="709">W34</f>
        <v/>
      </c>
      <c r="X58" s="32" t="str">
        <f t="shared" si="709"/>
        <v/>
      </c>
      <c r="Y58" s="33" t="str">
        <f t="shared" si="710"/>
        <v/>
      </c>
      <c r="Z58" s="30" t="str">
        <f>IF(Z34="","",Z34)</f>
        <v/>
      </c>
      <c r="AA58" s="31" t="str">
        <f t="shared" ref="AA58:AB58" si="711">AA34</f>
        <v/>
      </c>
      <c r="AB58" s="32" t="str">
        <f t="shared" si="711"/>
        <v/>
      </c>
      <c r="AC58" s="33" t="str">
        <f t="shared" si="712"/>
        <v/>
      </c>
      <c r="AD58" s="30" t="str">
        <f>IF(AD34="","",AD34)</f>
        <v/>
      </c>
      <c r="AE58" s="31" t="str">
        <f t="shared" ref="AE58:AF58" si="713">AE34</f>
        <v/>
      </c>
      <c r="AF58" s="32" t="str">
        <f t="shared" si="713"/>
        <v/>
      </c>
      <c r="AG58" s="33" t="str">
        <f t="shared" si="714"/>
        <v/>
      </c>
      <c r="AH58" s="30" t="str">
        <f>IF(AH34="","",AH34)</f>
        <v/>
      </c>
      <c r="AI58" s="31" t="str">
        <f t="shared" ref="AI58:AJ58" si="715">AI34</f>
        <v/>
      </c>
      <c r="AJ58" s="32" t="str">
        <f t="shared" si="715"/>
        <v/>
      </c>
      <c r="AK58" s="33" t="str">
        <f t="shared" si="716"/>
        <v/>
      </c>
      <c r="AL58" s="30" t="str">
        <f>IF(AL34="","",AL34)</f>
        <v/>
      </c>
      <c r="AM58" s="31" t="str">
        <f t="shared" ref="AM58:AN58" si="717">AM34</f>
        <v/>
      </c>
      <c r="AN58" s="32" t="str">
        <f t="shared" si="717"/>
        <v/>
      </c>
      <c r="AO58" s="33" t="str">
        <f t="shared" si="718"/>
        <v/>
      </c>
      <c r="AP58" s="30" t="str">
        <f>IF(AP34="","",AP34)</f>
        <v/>
      </c>
      <c r="AQ58" s="31" t="str">
        <f t="shared" ref="AQ58:AR58" si="719">AQ34</f>
        <v/>
      </c>
      <c r="AR58" s="32" t="str">
        <f t="shared" si="719"/>
        <v/>
      </c>
      <c r="AS58" s="33" t="str">
        <f t="shared" si="720"/>
        <v/>
      </c>
      <c r="AT58" s="30" t="str">
        <f>IF(AT34="","",AT34)</f>
        <v/>
      </c>
      <c r="AU58" s="31" t="str">
        <f t="shared" ref="AU58:AV58" si="721">AU34</f>
        <v/>
      </c>
      <c r="AV58" s="32" t="str">
        <f t="shared" si="721"/>
        <v/>
      </c>
      <c r="AW58" s="33" t="str">
        <f t="shared" si="722"/>
        <v/>
      </c>
      <c r="AX58" s="30" t="str">
        <f>IF(AX34="","",AX34)</f>
        <v/>
      </c>
      <c r="AY58" s="31" t="str">
        <f t="shared" ref="AY58:AZ58" si="723">AY34</f>
        <v/>
      </c>
      <c r="AZ58" s="32" t="str">
        <f t="shared" si="723"/>
        <v/>
      </c>
      <c r="BA58" s="33" t="str">
        <f t="shared" si="724"/>
        <v/>
      </c>
      <c r="BB58" s="30" t="str">
        <f>IF(BB34="","",BB34)</f>
        <v/>
      </c>
      <c r="BC58" s="31" t="str">
        <f t="shared" ref="BC58:BD58" si="725">BC34</f>
        <v/>
      </c>
      <c r="BD58" s="32" t="str">
        <f t="shared" si="725"/>
        <v/>
      </c>
      <c r="BE58" s="33" t="str">
        <f t="shared" si="726"/>
        <v/>
      </c>
      <c r="BF58" s="30" t="str">
        <f>IF(BF34="","",BF34)</f>
        <v/>
      </c>
      <c r="BG58" s="31" t="str">
        <f t="shared" ref="BG58:BH58" si="727">BG34</f>
        <v/>
      </c>
      <c r="BH58" s="32" t="str">
        <f t="shared" si="727"/>
        <v/>
      </c>
      <c r="BI58" s="33" t="str">
        <f t="shared" si="728"/>
        <v/>
      </c>
      <c r="BJ58" s="30" t="str">
        <f>IF(BJ34="","",BJ34)</f>
        <v/>
      </c>
      <c r="BK58" s="31" t="str">
        <f t="shared" ref="BK58:BL58" si="729">BK34</f>
        <v/>
      </c>
      <c r="BL58" s="32" t="str">
        <f t="shared" si="729"/>
        <v/>
      </c>
      <c r="BM58" s="33" t="str">
        <f t="shared" si="730"/>
        <v/>
      </c>
      <c r="BN58" s="30" t="str">
        <f>IF(BN34="","",BN34)</f>
        <v/>
      </c>
      <c r="BO58" s="31" t="str">
        <f t="shared" ref="BO58:BP58" si="731">BO34</f>
        <v/>
      </c>
      <c r="BP58" s="32" t="str">
        <f t="shared" si="731"/>
        <v/>
      </c>
      <c r="BQ58" s="33" t="str">
        <f t="shared" si="732"/>
        <v/>
      </c>
      <c r="BR58" s="30" t="str">
        <f>IF(BR34="","",BR34)</f>
        <v/>
      </c>
      <c r="BS58" s="31" t="str">
        <f t="shared" ref="BS58:BT58" si="733">BS34</f>
        <v/>
      </c>
      <c r="BT58" s="32" t="str">
        <f t="shared" si="733"/>
        <v/>
      </c>
      <c r="BU58" s="33" t="str">
        <f t="shared" si="734"/>
        <v/>
      </c>
      <c r="BV58" s="30" t="str">
        <f>IF(BV34="","",BV34)</f>
        <v/>
      </c>
      <c r="BW58" s="31" t="str">
        <f t="shared" ref="BW58:BX58" si="735">BW34</f>
        <v/>
      </c>
      <c r="BX58" s="32" t="str">
        <f t="shared" si="735"/>
        <v/>
      </c>
      <c r="BY58" s="33" t="str">
        <f t="shared" si="736"/>
        <v/>
      </c>
      <c r="BZ58" s="30" t="str">
        <f>IF(BZ34="","",BZ34)</f>
        <v/>
      </c>
      <c r="CA58" s="31" t="str">
        <f t="shared" ref="CA58:CB58" si="737">CA34</f>
        <v/>
      </c>
      <c r="CB58" s="32" t="str">
        <f t="shared" si="737"/>
        <v/>
      </c>
      <c r="CC58" s="33" t="str">
        <f t="shared" si="738"/>
        <v/>
      </c>
      <c r="CD58" s="30" t="str">
        <f>IF(CD34="","",CD34)</f>
        <v/>
      </c>
      <c r="CE58" s="31" t="str">
        <f t="shared" ref="CE58:CF58" si="739">CE34</f>
        <v/>
      </c>
      <c r="CF58" s="32" t="str">
        <f t="shared" si="739"/>
        <v/>
      </c>
      <c r="CG58" s="33" t="str">
        <f t="shared" si="740"/>
        <v/>
      </c>
      <c r="CH58" s="30" t="str">
        <f>IF(CH34="","",CH34)</f>
        <v/>
      </c>
      <c r="CI58" s="31" t="str">
        <f t="shared" ref="CI58:CJ58" si="741">CI34</f>
        <v/>
      </c>
      <c r="CJ58" s="32" t="str">
        <f t="shared" si="741"/>
        <v/>
      </c>
      <c r="CK58" s="33" t="str">
        <f t="shared" si="742"/>
        <v/>
      </c>
      <c r="CL58" s="30" t="str">
        <f>IF(CL34="","",CL34)</f>
        <v/>
      </c>
      <c r="CM58" s="31" t="str">
        <f t="shared" ref="CM58:CN58" si="743">CM34</f>
        <v/>
      </c>
      <c r="CN58" s="32" t="str">
        <f t="shared" si="743"/>
        <v/>
      </c>
      <c r="CO58" s="33" t="str">
        <f t="shared" si="744"/>
        <v/>
      </c>
      <c r="CP58" s="30" t="str">
        <f>IF(CP34="","",CP34)</f>
        <v/>
      </c>
      <c r="CQ58" s="31" t="str">
        <f t="shared" ref="CQ58:CR58" si="745">CQ34</f>
        <v/>
      </c>
      <c r="CR58" s="32" t="str">
        <f t="shared" si="745"/>
        <v/>
      </c>
      <c r="CS58" s="33" t="str">
        <f t="shared" si="746"/>
        <v/>
      </c>
      <c r="CT58" s="30" t="str">
        <f>IF(CT34="","",CT34)</f>
        <v/>
      </c>
      <c r="CU58" s="31" t="str">
        <f t="shared" ref="CU58:CV58" si="747">CU34</f>
        <v/>
      </c>
      <c r="CV58" s="32" t="str">
        <f t="shared" si="747"/>
        <v/>
      </c>
      <c r="CW58" s="33" t="str">
        <f t="shared" si="748"/>
        <v/>
      </c>
      <c r="CX58" s="30" t="str">
        <f>IF(CX34="","",CX34)</f>
        <v/>
      </c>
      <c r="CY58" s="31" t="str">
        <f t="shared" ref="CY58:CZ58" si="749">CY34</f>
        <v/>
      </c>
      <c r="CZ58" s="32" t="str">
        <f t="shared" si="749"/>
        <v/>
      </c>
      <c r="DA58" s="33" t="str">
        <f t="shared" si="750"/>
        <v/>
      </c>
      <c r="DB58" s="30" t="str">
        <f>IF(DB34="","",DB34)</f>
        <v/>
      </c>
      <c r="DC58" s="31" t="str">
        <f t="shared" ref="DC58:DD58" si="751">DC34</f>
        <v/>
      </c>
      <c r="DD58" s="32" t="str">
        <f t="shared" si="751"/>
        <v/>
      </c>
      <c r="DE58" s="33" t="str">
        <f t="shared" si="752"/>
        <v/>
      </c>
      <c r="DF58" s="30" t="str">
        <f>IF(DF34="","",DF34)</f>
        <v/>
      </c>
      <c r="DG58" s="31" t="str">
        <f t="shared" ref="DG58:DH58" si="753">DG34</f>
        <v/>
      </c>
      <c r="DH58" s="32" t="str">
        <f t="shared" si="753"/>
        <v/>
      </c>
      <c r="DI58" s="33" t="str">
        <f t="shared" si="754"/>
        <v/>
      </c>
      <c r="DJ58" s="30" t="str">
        <f>IF(DJ34="","",DJ34)</f>
        <v/>
      </c>
      <c r="DK58" s="31" t="str">
        <f t="shared" ref="DK58:DL58" si="755">DK34</f>
        <v/>
      </c>
      <c r="DL58" s="32" t="str">
        <f t="shared" si="755"/>
        <v/>
      </c>
      <c r="DM58" s="33" t="str">
        <f t="shared" si="756"/>
        <v/>
      </c>
      <c r="DN58" s="30" t="str">
        <f>IF(DN34="","",DN34)</f>
        <v/>
      </c>
      <c r="DO58" s="31" t="str">
        <f t="shared" ref="DO58:DP58" si="757">DO34</f>
        <v/>
      </c>
      <c r="DP58" s="32" t="str">
        <f t="shared" si="757"/>
        <v/>
      </c>
      <c r="DQ58" s="33" t="str">
        <f t="shared" si="758"/>
        <v/>
      </c>
      <c r="DR58" s="30" t="str">
        <f>IF(DR34="","",DR34)</f>
        <v/>
      </c>
      <c r="DS58" s="31" t="str">
        <f t="shared" ref="DS58:DT58" si="759">DS34</f>
        <v/>
      </c>
      <c r="DT58" s="32" t="str">
        <f t="shared" si="759"/>
        <v/>
      </c>
      <c r="DU58" s="33" t="str">
        <f t="shared" si="760"/>
        <v/>
      </c>
      <c r="DV58" s="30" t="str">
        <f>IF(DV34="","",DV34)</f>
        <v/>
      </c>
      <c r="DW58" s="31" t="str">
        <f t="shared" ref="DW58:DX58" si="761">DW34</f>
        <v/>
      </c>
      <c r="DX58" s="32" t="str">
        <f t="shared" si="761"/>
        <v/>
      </c>
      <c r="DY58" s="33" t="str">
        <f t="shared" si="762"/>
        <v/>
      </c>
      <c r="DZ58" s="30" t="str">
        <f>IF(DZ34="","",DZ34)</f>
        <v/>
      </c>
      <c r="EA58" s="31" t="str">
        <f t="shared" ref="EA58:EB58" si="763">EA34</f>
        <v/>
      </c>
      <c r="EB58" s="32" t="str">
        <f t="shared" si="763"/>
        <v/>
      </c>
      <c r="EC58" s="33" t="str">
        <f t="shared" si="764"/>
        <v/>
      </c>
      <c r="ED58" s="30" t="str">
        <f>IF(ED34="","",ED34)</f>
        <v/>
      </c>
      <c r="EE58" s="31" t="str">
        <f t="shared" ref="EE58:EF58" si="765">EE34</f>
        <v/>
      </c>
      <c r="EF58" s="32" t="str">
        <f t="shared" si="765"/>
        <v/>
      </c>
      <c r="EG58" s="33" t="str">
        <f t="shared" si="766"/>
        <v/>
      </c>
      <c r="EH58" s="30" t="str">
        <f>IF(EH34="","",EH34)</f>
        <v/>
      </c>
      <c r="EI58" s="31" t="str">
        <f t="shared" ref="EI58:EJ58" si="767">EI34</f>
        <v/>
      </c>
      <c r="EJ58" s="32" t="str">
        <f t="shared" si="767"/>
        <v/>
      </c>
      <c r="EK58" s="33" t="str">
        <f t="shared" si="768"/>
        <v/>
      </c>
      <c r="EL58" s="30" t="str">
        <f>IF(EL34="","",EL34)</f>
        <v/>
      </c>
      <c r="EM58" s="31" t="str">
        <f t="shared" ref="EM58:EN58" si="769">EM34</f>
        <v/>
      </c>
      <c r="EN58" s="32" t="str">
        <f t="shared" si="769"/>
        <v/>
      </c>
      <c r="EO58" s="33" t="str">
        <f t="shared" si="770"/>
        <v/>
      </c>
      <c r="EP58" s="30" t="str">
        <f>IF(EP34="","",EP34)</f>
        <v/>
      </c>
      <c r="EQ58" s="31" t="str">
        <f t="shared" ref="EQ58:ER58" si="771">EQ34</f>
        <v/>
      </c>
      <c r="ER58" s="32" t="str">
        <f t="shared" si="771"/>
        <v/>
      </c>
      <c r="ES58" s="33" t="str">
        <f t="shared" si="772"/>
        <v/>
      </c>
    </row>
    <row r="59" ht="18.0" customHeight="1">
      <c r="A59" s="2" t="s">
        <v>61</v>
      </c>
      <c r="B59" s="30">
        <f t="shared" ref="B59:D59" si="773">SUM(EP59,EL59,EH59,ED59,DZ59,DV59,DR59,DN59,DJ59,DF59,DB59,CX59,CT59,CP59,CL59,CH59,CD59,BZ59,BV59,BR59,BN59,BJ59,BF59,BB59,AX59,AT59,AP59,AL59,AH59,AD59,Z59,V59,R59,N59,J59,F59)</f>
        <v>0</v>
      </c>
      <c r="C59" s="31">
        <f t="shared" si="773"/>
        <v>0</v>
      </c>
      <c r="D59" s="32">
        <f t="shared" si="773"/>
        <v>0</v>
      </c>
      <c r="E59" s="33">
        <f t="shared" si="700"/>
        <v>0</v>
      </c>
      <c r="F59" s="30" t="str">
        <f>IF(F53="","",F53)</f>
        <v/>
      </c>
      <c r="G59" s="31" t="str">
        <f t="shared" ref="G59:H59" si="774">G53</f>
        <v/>
      </c>
      <c r="H59" s="32" t="str">
        <f t="shared" si="774"/>
        <v/>
      </c>
      <c r="I59" s="33" t="str">
        <f t="shared" si="702"/>
        <v/>
      </c>
      <c r="J59" s="30" t="str">
        <f>IF(J53="","",J53)</f>
        <v/>
      </c>
      <c r="K59" s="31" t="str">
        <f t="shared" ref="K59:L59" si="775">K53</f>
        <v/>
      </c>
      <c r="L59" s="32" t="str">
        <f t="shared" si="775"/>
        <v/>
      </c>
      <c r="M59" s="33" t="str">
        <f t="shared" si="704"/>
        <v/>
      </c>
      <c r="N59" s="30" t="str">
        <f>IF(N53="","",N53)</f>
        <v/>
      </c>
      <c r="O59" s="31" t="str">
        <f t="shared" ref="O59:P59" si="776">O53</f>
        <v/>
      </c>
      <c r="P59" s="32" t="str">
        <f t="shared" si="776"/>
        <v/>
      </c>
      <c r="Q59" s="33" t="str">
        <f t="shared" si="706"/>
        <v/>
      </c>
      <c r="R59" s="30" t="str">
        <f>IF(R53="","",R53)</f>
        <v/>
      </c>
      <c r="S59" s="31" t="str">
        <f t="shared" ref="S59:T59" si="777">S53</f>
        <v/>
      </c>
      <c r="T59" s="32" t="str">
        <f t="shared" si="777"/>
        <v/>
      </c>
      <c r="U59" s="33" t="str">
        <f t="shared" si="708"/>
        <v/>
      </c>
      <c r="V59" s="30" t="str">
        <f>IF(V53="","",V53)</f>
        <v/>
      </c>
      <c r="W59" s="31" t="str">
        <f t="shared" ref="W59:X59" si="778">W53</f>
        <v/>
      </c>
      <c r="X59" s="32" t="str">
        <f t="shared" si="778"/>
        <v/>
      </c>
      <c r="Y59" s="33" t="str">
        <f t="shared" si="710"/>
        <v/>
      </c>
      <c r="Z59" s="30" t="str">
        <f>IF(Z53="","",Z53)</f>
        <v/>
      </c>
      <c r="AA59" s="31" t="str">
        <f t="shared" ref="AA59:AB59" si="779">AA53</f>
        <v/>
      </c>
      <c r="AB59" s="32" t="str">
        <f t="shared" si="779"/>
        <v/>
      </c>
      <c r="AC59" s="33" t="str">
        <f t="shared" si="712"/>
        <v/>
      </c>
      <c r="AD59" s="30" t="str">
        <f>IF(AD53="","",AD53)</f>
        <v/>
      </c>
      <c r="AE59" s="31" t="str">
        <f t="shared" ref="AE59:AF59" si="780">AE53</f>
        <v/>
      </c>
      <c r="AF59" s="32" t="str">
        <f t="shared" si="780"/>
        <v/>
      </c>
      <c r="AG59" s="33" t="str">
        <f t="shared" si="714"/>
        <v/>
      </c>
      <c r="AH59" s="30" t="str">
        <f>IF(AH53="","",AH53)</f>
        <v/>
      </c>
      <c r="AI59" s="31" t="str">
        <f t="shared" ref="AI59:AJ59" si="781">AI53</f>
        <v/>
      </c>
      <c r="AJ59" s="32" t="str">
        <f t="shared" si="781"/>
        <v/>
      </c>
      <c r="AK59" s="33" t="str">
        <f t="shared" si="716"/>
        <v/>
      </c>
      <c r="AL59" s="30" t="str">
        <f>IF(AL53="","",AL53)</f>
        <v/>
      </c>
      <c r="AM59" s="31" t="str">
        <f t="shared" ref="AM59:AN59" si="782">AM53</f>
        <v/>
      </c>
      <c r="AN59" s="32" t="str">
        <f t="shared" si="782"/>
        <v/>
      </c>
      <c r="AO59" s="33" t="str">
        <f t="shared" si="718"/>
        <v/>
      </c>
      <c r="AP59" s="30" t="str">
        <f>IF(AP53="","",AP53)</f>
        <v/>
      </c>
      <c r="AQ59" s="31" t="str">
        <f t="shared" ref="AQ59:AR59" si="783">AQ53</f>
        <v/>
      </c>
      <c r="AR59" s="32" t="str">
        <f t="shared" si="783"/>
        <v/>
      </c>
      <c r="AS59" s="33" t="str">
        <f t="shared" si="720"/>
        <v/>
      </c>
      <c r="AT59" s="30" t="str">
        <f>IF(AT53="","",AT53)</f>
        <v/>
      </c>
      <c r="AU59" s="31" t="str">
        <f t="shared" ref="AU59:AV59" si="784">AU53</f>
        <v/>
      </c>
      <c r="AV59" s="32" t="str">
        <f t="shared" si="784"/>
        <v/>
      </c>
      <c r="AW59" s="33" t="str">
        <f t="shared" si="722"/>
        <v/>
      </c>
      <c r="AX59" s="30" t="str">
        <f>IF(AX53="","",AX53)</f>
        <v/>
      </c>
      <c r="AY59" s="31" t="str">
        <f t="shared" ref="AY59:AZ59" si="785">AY53</f>
        <v/>
      </c>
      <c r="AZ59" s="32" t="str">
        <f t="shared" si="785"/>
        <v/>
      </c>
      <c r="BA59" s="33" t="str">
        <f t="shared" si="724"/>
        <v/>
      </c>
      <c r="BB59" s="30" t="str">
        <f>IF(BB53="","",BB53)</f>
        <v/>
      </c>
      <c r="BC59" s="31" t="str">
        <f t="shared" ref="BC59:BD59" si="786">BC53</f>
        <v/>
      </c>
      <c r="BD59" s="32" t="str">
        <f t="shared" si="786"/>
        <v/>
      </c>
      <c r="BE59" s="33" t="str">
        <f t="shared" si="726"/>
        <v/>
      </c>
      <c r="BF59" s="30" t="str">
        <f>IF(BF53="","",BF53)</f>
        <v/>
      </c>
      <c r="BG59" s="31" t="str">
        <f t="shared" ref="BG59:BH59" si="787">BG53</f>
        <v/>
      </c>
      <c r="BH59" s="32" t="str">
        <f t="shared" si="787"/>
        <v/>
      </c>
      <c r="BI59" s="33" t="str">
        <f t="shared" si="728"/>
        <v/>
      </c>
      <c r="BJ59" s="30" t="str">
        <f>IF(BJ53="","",BJ53)</f>
        <v/>
      </c>
      <c r="BK59" s="31" t="str">
        <f t="shared" ref="BK59:BL59" si="788">BK53</f>
        <v/>
      </c>
      <c r="BL59" s="32" t="str">
        <f t="shared" si="788"/>
        <v/>
      </c>
      <c r="BM59" s="33" t="str">
        <f t="shared" si="730"/>
        <v/>
      </c>
      <c r="BN59" s="30" t="str">
        <f>IF(BN53="","",BN53)</f>
        <v/>
      </c>
      <c r="BO59" s="31" t="str">
        <f t="shared" ref="BO59:BP59" si="789">BO53</f>
        <v/>
      </c>
      <c r="BP59" s="32" t="str">
        <f t="shared" si="789"/>
        <v/>
      </c>
      <c r="BQ59" s="33" t="str">
        <f t="shared" si="732"/>
        <v/>
      </c>
      <c r="BR59" s="30" t="str">
        <f>IF(BR53="","",BR53)</f>
        <v/>
      </c>
      <c r="BS59" s="31" t="str">
        <f t="shared" ref="BS59:BT59" si="790">BS53</f>
        <v/>
      </c>
      <c r="BT59" s="32" t="str">
        <f t="shared" si="790"/>
        <v/>
      </c>
      <c r="BU59" s="33" t="str">
        <f t="shared" si="734"/>
        <v/>
      </c>
      <c r="BV59" s="30" t="str">
        <f>IF(BV53="","",BV53)</f>
        <v/>
      </c>
      <c r="BW59" s="31" t="str">
        <f t="shared" ref="BW59:BX59" si="791">BW53</f>
        <v/>
      </c>
      <c r="BX59" s="32" t="str">
        <f t="shared" si="791"/>
        <v/>
      </c>
      <c r="BY59" s="33" t="str">
        <f t="shared" si="736"/>
        <v/>
      </c>
      <c r="BZ59" s="30" t="str">
        <f>IF(BZ53="","",BZ53)</f>
        <v/>
      </c>
      <c r="CA59" s="31" t="str">
        <f t="shared" ref="CA59:CB59" si="792">CA53</f>
        <v/>
      </c>
      <c r="CB59" s="32" t="str">
        <f t="shared" si="792"/>
        <v/>
      </c>
      <c r="CC59" s="33" t="str">
        <f t="shared" si="738"/>
        <v/>
      </c>
      <c r="CD59" s="30" t="str">
        <f>IF(CD53="","",CD53)</f>
        <v/>
      </c>
      <c r="CE59" s="31" t="str">
        <f t="shared" ref="CE59:CF59" si="793">CE53</f>
        <v/>
      </c>
      <c r="CF59" s="32" t="str">
        <f t="shared" si="793"/>
        <v/>
      </c>
      <c r="CG59" s="33" t="str">
        <f t="shared" si="740"/>
        <v/>
      </c>
      <c r="CH59" s="30" t="str">
        <f>IF(CH53="","",CH53)</f>
        <v/>
      </c>
      <c r="CI59" s="31" t="str">
        <f t="shared" ref="CI59:CJ59" si="794">CI53</f>
        <v/>
      </c>
      <c r="CJ59" s="32" t="str">
        <f t="shared" si="794"/>
        <v/>
      </c>
      <c r="CK59" s="33" t="str">
        <f t="shared" si="742"/>
        <v/>
      </c>
      <c r="CL59" s="30" t="str">
        <f>IF(CL53="","",CL53)</f>
        <v/>
      </c>
      <c r="CM59" s="31" t="str">
        <f t="shared" ref="CM59:CN59" si="795">CM53</f>
        <v/>
      </c>
      <c r="CN59" s="32" t="str">
        <f t="shared" si="795"/>
        <v/>
      </c>
      <c r="CO59" s="33" t="str">
        <f t="shared" si="744"/>
        <v/>
      </c>
      <c r="CP59" s="30" t="str">
        <f>IF(CP53="","",CP53)</f>
        <v/>
      </c>
      <c r="CQ59" s="31" t="str">
        <f t="shared" ref="CQ59:CR59" si="796">CQ53</f>
        <v/>
      </c>
      <c r="CR59" s="32" t="str">
        <f t="shared" si="796"/>
        <v/>
      </c>
      <c r="CS59" s="33" t="str">
        <f t="shared" si="746"/>
        <v/>
      </c>
      <c r="CT59" s="30" t="str">
        <f>IF(CT53="","",CT53)</f>
        <v/>
      </c>
      <c r="CU59" s="31" t="str">
        <f t="shared" ref="CU59:CV59" si="797">CU53</f>
        <v/>
      </c>
      <c r="CV59" s="32" t="str">
        <f t="shared" si="797"/>
        <v/>
      </c>
      <c r="CW59" s="33" t="str">
        <f t="shared" si="748"/>
        <v/>
      </c>
      <c r="CX59" s="30" t="str">
        <f>IF(CX53="","",CX53)</f>
        <v/>
      </c>
      <c r="CY59" s="31" t="str">
        <f t="shared" ref="CY59:CZ59" si="798">CY53</f>
        <v/>
      </c>
      <c r="CZ59" s="32" t="str">
        <f t="shared" si="798"/>
        <v/>
      </c>
      <c r="DA59" s="33" t="str">
        <f t="shared" si="750"/>
        <v/>
      </c>
      <c r="DB59" s="30" t="str">
        <f>IF(DB53="","",DB53)</f>
        <v/>
      </c>
      <c r="DC59" s="31" t="str">
        <f t="shared" ref="DC59:DD59" si="799">DC53</f>
        <v/>
      </c>
      <c r="DD59" s="32" t="str">
        <f t="shared" si="799"/>
        <v/>
      </c>
      <c r="DE59" s="33" t="str">
        <f t="shared" si="752"/>
        <v/>
      </c>
      <c r="DF59" s="30" t="str">
        <f>IF(DF53="","",DF53)</f>
        <v/>
      </c>
      <c r="DG59" s="31" t="str">
        <f t="shared" ref="DG59:DH59" si="800">DG53</f>
        <v/>
      </c>
      <c r="DH59" s="32" t="str">
        <f t="shared" si="800"/>
        <v/>
      </c>
      <c r="DI59" s="33" t="str">
        <f t="shared" si="754"/>
        <v/>
      </c>
      <c r="DJ59" s="30" t="str">
        <f>IF(DJ53="","",DJ53)</f>
        <v/>
      </c>
      <c r="DK59" s="31" t="str">
        <f t="shared" ref="DK59:DL59" si="801">DK53</f>
        <v/>
      </c>
      <c r="DL59" s="32" t="str">
        <f t="shared" si="801"/>
        <v/>
      </c>
      <c r="DM59" s="33" t="str">
        <f t="shared" si="756"/>
        <v/>
      </c>
      <c r="DN59" s="30" t="str">
        <f>IF(DN53="","",DN53)</f>
        <v/>
      </c>
      <c r="DO59" s="31" t="str">
        <f t="shared" ref="DO59:DP59" si="802">DO53</f>
        <v/>
      </c>
      <c r="DP59" s="32" t="str">
        <f t="shared" si="802"/>
        <v/>
      </c>
      <c r="DQ59" s="33" t="str">
        <f t="shared" si="758"/>
        <v/>
      </c>
      <c r="DR59" s="30" t="str">
        <f>IF(DR53="","",DR53)</f>
        <v/>
      </c>
      <c r="DS59" s="31" t="str">
        <f t="shared" ref="DS59:DT59" si="803">DS53</f>
        <v/>
      </c>
      <c r="DT59" s="32" t="str">
        <f t="shared" si="803"/>
        <v/>
      </c>
      <c r="DU59" s="33" t="str">
        <f t="shared" si="760"/>
        <v/>
      </c>
      <c r="DV59" s="30" t="str">
        <f>IF(DV53="","",DV53)</f>
        <v/>
      </c>
      <c r="DW59" s="31" t="str">
        <f t="shared" ref="DW59:DX59" si="804">DW53</f>
        <v/>
      </c>
      <c r="DX59" s="32" t="str">
        <f t="shared" si="804"/>
        <v/>
      </c>
      <c r="DY59" s="33" t="str">
        <f t="shared" si="762"/>
        <v/>
      </c>
      <c r="DZ59" s="30" t="str">
        <f>IF(DZ53="","",DZ53)</f>
        <v/>
      </c>
      <c r="EA59" s="31" t="str">
        <f t="shared" ref="EA59:EB59" si="805">EA53</f>
        <v/>
      </c>
      <c r="EB59" s="32" t="str">
        <f t="shared" si="805"/>
        <v/>
      </c>
      <c r="EC59" s="33" t="str">
        <f t="shared" si="764"/>
        <v/>
      </c>
      <c r="ED59" s="30" t="str">
        <f>IF(ED53="","",ED53)</f>
        <v/>
      </c>
      <c r="EE59" s="31" t="str">
        <f t="shared" ref="EE59:EF59" si="806">EE53</f>
        <v/>
      </c>
      <c r="EF59" s="32" t="str">
        <f t="shared" si="806"/>
        <v/>
      </c>
      <c r="EG59" s="33" t="str">
        <f t="shared" si="766"/>
        <v/>
      </c>
      <c r="EH59" s="30" t="str">
        <f>IF(EH53="","",EH53)</f>
        <v/>
      </c>
      <c r="EI59" s="31" t="str">
        <f t="shared" ref="EI59:EJ59" si="807">EI53</f>
        <v/>
      </c>
      <c r="EJ59" s="32" t="str">
        <f t="shared" si="807"/>
        <v/>
      </c>
      <c r="EK59" s="33" t="str">
        <f t="shared" si="768"/>
        <v/>
      </c>
      <c r="EL59" s="30" t="str">
        <f>IF(EL53="","",EL53)</f>
        <v/>
      </c>
      <c r="EM59" s="31" t="str">
        <f t="shared" ref="EM59:EN59" si="808">EM53</f>
        <v/>
      </c>
      <c r="EN59" s="32" t="str">
        <f t="shared" si="808"/>
        <v/>
      </c>
      <c r="EO59" s="33" t="str">
        <f t="shared" si="770"/>
        <v/>
      </c>
      <c r="EP59" s="30" t="str">
        <f>IF(EP53="","",EP53)</f>
        <v/>
      </c>
      <c r="EQ59" s="31" t="str">
        <f t="shared" ref="EQ59:ER59" si="809">EQ53</f>
        <v/>
      </c>
      <c r="ER59" s="32" t="str">
        <f t="shared" si="809"/>
        <v/>
      </c>
      <c r="ES59" s="33" t="str">
        <f t="shared" si="772"/>
        <v/>
      </c>
    </row>
    <row r="60" ht="18.0" customHeight="1">
      <c r="A60" s="2" t="s">
        <v>62</v>
      </c>
      <c r="B60" s="30">
        <f t="shared" ref="B60:D60" si="810">SUM(EP60,EL60,EH60,ED60,DZ60,DV60,DR60,DN60,DJ60,DF60,DB60,CX60,CT60,CP60,CL60,CH60,CD60,BZ60,BV60,BR60,BN60,BJ60,BF60,BB60,AX60,AT60,AP60,AL60,AH60,AD60,Z60,V60,R60,N60,J60,F60)</f>
        <v>0</v>
      </c>
      <c r="C60" s="31">
        <f t="shared" si="810"/>
        <v>0</v>
      </c>
      <c r="D60" s="32">
        <f t="shared" si="810"/>
        <v>0</v>
      </c>
      <c r="E60" s="33">
        <f t="shared" si="700"/>
        <v>0</v>
      </c>
      <c r="F60" s="34"/>
      <c r="G60" s="31" t="str">
        <f t="shared" ref="G60:G64" si="812">IF(F$98=1,F60,H60)</f>
        <v/>
      </c>
      <c r="H60" s="35"/>
      <c r="I60" s="33" t="str">
        <f t="shared" si="702"/>
        <v/>
      </c>
      <c r="J60" s="34"/>
      <c r="K60" s="31" t="str">
        <f t="shared" ref="K60:K64" si="813">IF(J$98=1,J60,L60)</f>
        <v/>
      </c>
      <c r="L60" s="35"/>
      <c r="M60" s="33" t="str">
        <f t="shared" si="704"/>
        <v/>
      </c>
      <c r="N60" s="34"/>
      <c r="O60" s="31" t="str">
        <f t="shared" ref="O60:O64" si="814">IF(N$98=1,N60,P60)</f>
        <v/>
      </c>
      <c r="P60" s="35"/>
      <c r="Q60" s="33" t="str">
        <f t="shared" si="706"/>
        <v/>
      </c>
      <c r="R60" s="34"/>
      <c r="S60" s="31" t="str">
        <f t="shared" ref="S60:S64" si="815">IF(R$98=1,R60,T60)</f>
        <v/>
      </c>
      <c r="T60" s="35"/>
      <c r="U60" s="33" t="str">
        <f t="shared" si="708"/>
        <v/>
      </c>
      <c r="V60" s="34"/>
      <c r="W60" s="31" t="str">
        <f t="shared" ref="W60:W64" si="816">IF(V$98=1,V60,X60)</f>
        <v/>
      </c>
      <c r="X60" s="35"/>
      <c r="Y60" s="33" t="str">
        <f t="shared" si="710"/>
        <v/>
      </c>
      <c r="Z60" s="34"/>
      <c r="AA60" s="31" t="str">
        <f t="shared" ref="AA60:AA64" si="817">IF(Z$98=1,Z60,AB60)</f>
        <v/>
      </c>
      <c r="AB60" s="35"/>
      <c r="AC60" s="33" t="str">
        <f t="shared" si="712"/>
        <v/>
      </c>
      <c r="AD60" s="34"/>
      <c r="AE60" s="31" t="str">
        <f t="shared" ref="AE60:AE64" si="818">IF(AD$98=1,AD60,AF60)</f>
        <v/>
      </c>
      <c r="AF60" s="35"/>
      <c r="AG60" s="33" t="str">
        <f t="shared" si="714"/>
        <v/>
      </c>
      <c r="AH60" s="34"/>
      <c r="AI60" s="31" t="str">
        <f t="shared" ref="AI60:AI64" si="819">IF(AH$98=1,AH60,AJ60)</f>
        <v/>
      </c>
      <c r="AJ60" s="35"/>
      <c r="AK60" s="33" t="str">
        <f t="shared" si="716"/>
        <v/>
      </c>
      <c r="AL60" s="34"/>
      <c r="AM60" s="31" t="str">
        <f t="shared" ref="AM60:AM64" si="820">IF(AL$98=1,AL60,AN60)</f>
        <v/>
      </c>
      <c r="AN60" s="35"/>
      <c r="AO60" s="33" t="str">
        <f t="shared" si="718"/>
        <v/>
      </c>
      <c r="AP60" s="34"/>
      <c r="AQ60" s="31" t="str">
        <f t="shared" ref="AQ60:AQ64" si="821">IF(AP$98=1,AP60,AR60)</f>
        <v/>
      </c>
      <c r="AR60" s="35"/>
      <c r="AS60" s="33" t="str">
        <f t="shared" si="720"/>
        <v/>
      </c>
      <c r="AT60" s="34"/>
      <c r="AU60" s="31" t="str">
        <f t="shared" ref="AU60:AU64" si="822">IF(AT$98=1,AT60,AV60)</f>
        <v/>
      </c>
      <c r="AV60" s="35"/>
      <c r="AW60" s="33" t="str">
        <f t="shared" si="722"/>
        <v/>
      </c>
      <c r="AX60" s="34"/>
      <c r="AY60" s="31" t="str">
        <f t="shared" ref="AY60:AY64" si="823">IF(AX$98=1,AX60,AZ60)</f>
        <v/>
      </c>
      <c r="AZ60" s="35"/>
      <c r="BA60" s="33" t="str">
        <f t="shared" si="724"/>
        <v/>
      </c>
      <c r="BB60" s="34"/>
      <c r="BC60" s="31" t="str">
        <f t="shared" ref="BC60:BC64" si="824">IF(BB$98=1,BB60,BD60)</f>
        <v/>
      </c>
      <c r="BD60" s="35"/>
      <c r="BE60" s="33" t="str">
        <f t="shared" si="726"/>
        <v/>
      </c>
      <c r="BF60" s="34"/>
      <c r="BG60" s="31" t="str">
        <f t="shared" ref="BG60:BG64" si="825">IF(BF$98=1,BF60,BH60)</f>
        <v/>
      </c>
      <c r="BH60" s="35"/>
      <c r="BI60" s="33" t="str">
        <f t="shared" si="728"/>
        <v/>
      </c>
      <c r="BJ60" s="34"/>
      <c r="BK60" s="31" t="str">
        <f t="shared" ref="BK60:BK64" si="826">IF(BJ$98=1,BJ60,BL60)</f>
        <v/>
      </c>
      <c r="BL60" s="35"/>
      <c r="BM60" s="33" t="str">
        <f t="shared" si="730"/>
        <v/>
      </c>
      <c r="BN60" s="34"/>
      <c r="BO60" s="31" t="str">
        <f t="shared" ref="BO60:BO64" si="827">IF(BN$98=1,BN60,BP60)</f>
        <v/>
      </c>
      <c r="BP60" s="35"/>
      <c r="BQ60" s="33" t="str">
        <f t="shared" si="732"/>
        <v/>
      </c>
      <c r="BR60" s="34"/>
      <c r="BS60" s="31" t="str">
        <f t="shared" ref="BS60:BS64" si="828">IF(BR$98=1,BR60,BT60)</f>
        <v/>
      </c>
      <c r="BT60" s="35"/>
      <c r="BU60" s="33" t="str">
        <f t="shared" si="734"/>
        <v/>
      </c>
      <c r="BV60" s="34"/>
      <c r="BW60" s="31" t="str">
        <f t="shared" ref="BW60:BW64" si="829">IF(BV$98=1,BV60,BX60)</f>
        <v/>
      </c>
      <c r="BX60" s="35"/>
      <c r="BY60" s="33" t="str">
        <f t="shared" si="736"/>
        <v/>
      </c>
      <c r="BZ60" s="34"/>
      <c r="CA60" s="31" t="str">
        <f t="shared" ref="CA60:CA64" si="830">IF(BZ$98=1,BZ60,CB60)</f>
        <v/>
      </c>
      <c r="CB60" s="35"/>
      <c r="CC60" s="33" t="str">
        <f t="shared" si="738"/>
        <v/>
      </c>
      <c r="CD60" s="34"/>
      <c r="CE60" s="31" t="str">
        <f t="shared" ref="CE60:CE64" si="831">IF(CD$98=1,CD60,CF60)</f>
        <v/>
      </c>
      <c r="CF60" s="35"/>
      <c r="CG60" s="33" t="str">
        <f t="shared" si="740"/>
        <v/>
      </c>
      <c r="CH60" s="34"/>
      <c r="CI60" s="31" t="str">
        <f t="shared" ref="CI60:CI64" si="832">IF(CH$98=1,CH60,CJ60)</f>
        <v/>
      </c>
      <c r="CJ60" s="35"/>
      <c r="CK60" s="33" t="str">
        <f t="shared" si="742"/>
        <v/>
      </c>
      <c r="CL60" s="34"/>
      <c r="CM60" s="31" t="str">
        <f t="shared" ref="CM60:CM64" si="833">IF(CL$98=1,CL60,CN60)</f>
        <v/>
      </c>
      <c r="CN60" s="35"/>
      <c r="CO60" s="33" t="str">
        <f t="shared" si="744"/>
        <v/>
      </c>
      <c r="CP60" s="34"/>
      <c r="CQ60" s="31" t="str">
        <f t="shared" ref="CQ60:CQ64" si="834">IF(CP$98=1,CP60,CR60)</f>
        <v/>
      </c>
      <c r="CR60" s="35"/>
      <c r="CS60" s="33" t="str">
        <f t="shared" si="746"/>
        <v/>
      </c>
      <c r="CT60" s="34"/>
      <c r="CU60" s="31" t="str">
        <f t="shared" ref="CU60:CU64" si="835">IF(CT$98=1,CT60,CV60)</f>
        <v/>
      </c>
      <c r="CV60" s="35"/>
      <c r="CW60" s="33" t="str">
        <f t="shared" si="748"/>
        <v/>
      </c>
      <c r="CX60" s="34"/>
      <c r="CY60" s="31" t="str">
        <f t="shared" ref="CY60:CY64" si="836">IF(CX$98=1,CX60,CZ60)</f>
        <v/>
      </c>
      <c r="CZ60" s="35"/>
      <c r="DA60" s="33" t="str">
        <f t="shared" si="750"/>
        <v/>
      </c>
      <c r="DB60" s="34"/>
      <c r="DC60" s="31" t="str">
        <f t="shared" ref="DC60:DC64" si="837">IF(DB$98=1,DB60,DD60)</f>
        <v/>
      </c>
      <c r="DD60" s="35"/>
      <c r="DE60" s="33" t="str">
        <f t="shared" si="752"/>
        <v/>
      </c>
      <c r="DF60" s="34"/>
      <c r="DG60" s="31" t="str">
        <f t="shared" ref="DG60:DG64" si="838">IF(DF$98=1,DF60,DH60)</f>
        <v/>
      </c>
      <c r="DH60" s="35"/>
      <c r="DI60" s="33" t="str">
        <f t="shared" si="754"/>
        <v/>
      </c>
      <c r="DJ60" s="34"/>
      <c r="DK60" s="31" t="str">
        <f t="shared" ref="DK60:DK64" si="839">IF(DJ$98=1,DJ60,DL60)</f>
        <v/>
      </c>
      <c r="DL60" s="35"/>
      <c r="DM60" s="33" t="str">
        <f t="shared" si="756"/>
        <v/>
      </c>
      <c r="DN60" s="34"/>
      <c r="DO60" s="31" t="str">
        <f t="shared" ref="DO60:DO64" si="840">IF(DN$98=1,DN60,DP60)</f>
        <v/>
      </c>
      <c r="DP60" s="35"/>
      <c r="DQ60" s="33" t="str">
        <f t="shared" si="758"/>
        <v/>
      </c>
      <c r="DR60" s="34"/>
      <c r="DS60" s="31" t="str">
        <f t="shared" ref="DS60:DS64" si="841">IF(DR$98=1,DR60,DT60)</f>
        <v/>
      </c>
      <c r="DT60" s="35"/>
      <c r="DU60" s="33" t="str">
        <f t="shared" si="760"/>
        <v/>
      </c>
      <c r="DV60" s="34"/>
      <c r="DW60" s="31" t="str">
        <f t="shared" ref="DW60:DW64" si="842">IF(DV$98=1,DV60,DX60)</f>
        <v/>
      </c>
      <c r="DX60" s="35"/>
      <c r="DY60" s="33" t="str">
        <f t="shared" si="762"/>
        <v/>
      </c>
      <c r="DZ60" s="34"/>
      <c r="EA60" s="31" t="str">
        <f t="shared" ref="EA60:EA64" si="843">IF(DZ$98=1,DZ60,EB60)</f>
        <v/>
      </c>
      <c r="EB60" s="35"/>
      <c r="EC60" s="33" t="str">
        <f t="shared" si="764"/>
        <v/>
      </c>
      <c r="ED60" s="34"/>
      <c r="EE60" s="31" t="str">
        <f t="shared" ref="EE60:EE64" si="844">IF(ED$98=1,ED60,EF60)</f>
        <v/>
      </c>
      <c r="EF60" s="35"/>
      <c r="EG60" s="33" t="str">
        <f t="shared" si="766"/>
        <v/>
      </c>
      <c r="EH60" s="34"/>
      <c r="EI60" s="31" t="str">
        <f t="shared" ref="EI60:EI64" si="845">IF(EH$98=1,EH60,EJ60)</f>
        <v/>
      </c>
      <c r="EJ60" s="35"/>
      <c r="EK60" s="33" t="str">
        <f t="shared" si="768"/>
        <v/>
      </c>
      <c r="EL60" s="34"/>
      <c r="EM60" s="31" t="str">
        <f t="shared" ref="EM60:EM64" si="846">IF(EL$98=1,EL60,EN60)</f>
        <v/>
      </c>
      <c r="EN60" s="35"/>
      <c r="EO60" s="33" t="str">
        <f t="shared" si="770"/>
        <v/>
      </c>
      <c r="EP60" s="34"/>
      <c r="EQ60" s="31" t="str">
        <f t="shared" ref="EQ60:EQ64" si="847">IF(EP$98=1,EP60,ER60)</f>
        <v/>
      </c>
      <c r="ER60" s="35"/>
      <c r="ES60" s="33" t="str">
        <f t="shared" si="772"/>
        <v/>
      </c>
    </row>
    <row r="61" ht="18.0" customHeight="1">
      <c r="A61" s="2" t="s">
        <v>63</v>
      </c>
      <c r="B61" s="30">
        <f t="shared" ref="B61:D61" si="811">SUM(EP61,EL61,EH61,ED61,DZ61,DV61,DR61,DN61,DJ61,DF61,DB61,CX61,CT61,CP61,CL61,CH61,CD61,BZ61,BV61,BR61,BN61,BJ61,BF61,BB61,AX61,AT61,AP61,AL61,AH61,AD61,Z61,V61,R61,N61,J61,F61)</f>
        <v>0</v>
      </c>
      <c r="C61" s="31">
        <f t="shared" si="811"/>
        <v>0</v>
      </c>
      <c r="D61" s="32">
        <f t="shared" si="811"/>
        <v>0</v>
      </c>
      <c r="E61" s="33">
        <f t="shared" si="700"/>
        <v>0</v>
      </c>
      <c r="F61" s="34"/>
      <c r="G61" s="31" t="str">
        <f t="shared" si="812"/>
        <v/>
      </c>
      <c r="H61" s="35"/>
      <c r="I61" s="33" t="str">
        <f t="shared" si="702"/>
        <v/>
      </c>
      <c r="J61" s="34"/>
      <c r="K61" s="31" t="str">
        <f t="shared" si="813"/>
        <v/>
      </c>
      <c r="L61" s="35"/>
      <c r="M61" s="33" t="str">
        <f t="shared" si="704"/>
        <v/>
      </c>
      <c r="N61" s="34"/>
      <c r="O61" s="31" t="str">
        <f t="shared" si="814"/>
        <v/>
      </c>
      <c r="P61" s="35"/>
      <c r="Q61" s="33" t="str">
        <f t="shared" si="706"/>
        <v/>
      </c>
      <c r="R61" s="34"/>
      <c r="S61" s="31" t="str">
        <f t="shared" si="815"/>
        <v/>
      </c>
      <c r="T61" s="35"/>
      <c r="U61" s="33" t="str">
        <f t="shared" si="708"/>
        <v/>
      </c>
      <c r="V61" s="34"/>
      <c r="W61" s="31" t="str">
        <f t="shared" si="816"/>
        <v/>
      </c>
      <c r="X61" s="35"/>
      <c r="Y61" s="33" t="str">
        <f t="shared" si="710"/>
        <v/>
      </c>
      <c r="Z61" s="34"/>
      <c r="AA61" s="31" t="str">
        <f t="shared" si="817"/>
        <v/>
      </c>
      <c r="AB61" s="35"/>
      <c r="AC61" s="33" t="str">
        <f t="shared" si="712"/>
        <v/>
      </c>
      <c r="AD61" s="34"/>
      <c r="AE61" s="31" t="str">
        <f t="shared" si="818"/>
        <v/>
      </c>
      <c r="AF61" s="35"/>
      <c r="AG61" s="33" t="str">
        <f t="shared" si="714"/>
        <v/>
      </c>
      <c r="AH61" s="34"/>
      <c r="AI61" s="31" t="str">
        <f t="shared" si="819"/>
        <v/>
      </c>
      <c r="AJ61" s="35"/>
      <c r="AK61" s="33" t="str">
        <f t="shared" si="716"/>
        <v/>
      </c>
      <c r="AL61" s="34"/>
      <c r="AM61" s="31" t="str">
        <f t="shared" si="820"/>
        <v/>
      </c>
      <c r="AN61" s="35"/>
      <c r="AO61" s="33" t="str">
        <f t="shared" si="718"/>
        <v/>
      </c>
      <c r="AP61" s="34"/>
      <c r="AQ61" s="31" t="str">
        <f t="shared" si="821"/>
        <v/>
      </c>
      <c r="AR61" s="35"/>
      <c r="AS61" s="33" t="str">
        <f t="shared" si="720"/>
        <v/>
      </c>
      <c r="AT61" s="34"/>
      <c r="AU61" s="31" t="str">
        <f t="shared" si="822"/>
        <v/>
      </c>
      <c r="AV61" s="35"/>
      <c r="AW61" s="33" t="str">
        <f t="shared" si="722"/>
        <v/>
      </c>
      <c r="AX61" s="34"/>
      <c r="AY61" s="31" t="str">
        <f t="shared" si="823"/>
        <v/>
      </c>
      <c r="AZ61" s="35"/>
      <c r="BA61" s="33" t="str">
        <f t="shared" si="724"/>
        <v/>
      </c>
      <c r="BB61" s="34"/>
      <c r="BC61" s="31" t="str">
        <f t="shared" si="824"/>
        <v/>
      </c>
      <c r="BD61" s="35"/>
      <c r="BE61" s="33" t="str">
        <f t="shared" si="726"/>
        <v/>
      </c>
      <c r="BF61" s="34"/>
      <c r="BG61" s="31" t="str">
        <f t="shared" si="825"/>
        <v/>
      </c>
      <c r="BH61" s="35"/>
      <c r="BI61" s="33" t="str">
        <f t="shared" si="728"/>
        <v/>
      </c>
      <c r="BJ61" s="34"/>
      <c r="BK61" s="31" t="str">
        <f t="shared" si="826"/>
        <v/>
      </c>
      <c r="BL61" s="35"/>
      <c r="BM61" s="33" t="str">
        <f t="shared" si="730"/>
        <v/>
      </c>
      <c r="BN61" s="34"/>
      <c r="BO61" s="31" t="str">
        <f t="shared" si="827"/>
        <v/>
      </c>
      <c r="BP61" s="35"/>
      <c r="BQ61" s="33" t="str">
        <f t="shared" si="732"/>
        <v/>
      </c>
      <c r="BR61" s="34"/>
      <c r="BS61" s="31" t="str">
        <f t="shared" si="828"/>
        <v/>
      </c>
      <c r="BT61" s="35"/>
      <c r="BU61" s="33" t="str">
        <f t="shared" si="734"/>
        <v/>
      </c>
      <c r="BV61" s="34"/>
      <c r="BW61" s="31" t="str">
        <f t="shared" si="829"/>
        <v/>
      </c>
      <c r="BX61" s="35"/>
      <c r="BY61" s="33" t="str">
        <f t="shared" si="736"/>
        <v/>
      </c>
      <c r="BZ61" s="34"/>
      <c r="CA61" s="31" t="str">
        <f t="shared" si="830"/>
        <v/>
      </c>
      <c r="CB61" s="35"/>
      <c r="CC61" s="33" t="str">
        <f t="shared" si="738"/>
        <v/>
      </c>
      <c r="CD61" s="34"/>
      <c r="CE61" s="31" t="str">
        <f t="shared" si="831"/>
        <v/>
      </c>
      <c r="CF61" s="35"/>
      <c r="CG61" s="33" t="str">
        <f t="shared" si="740"/>
        <v/>
      </c>
      <c r="CH61" s="34"/>
      <c r="CI61" s="31" t="str">
        <f t="shared" si="832"/>
        <v/>
      </c>
      <c r="CJ61" s="35"/>
      <c r="CK61" s="33" t="str">
        <f t="shared" si="742"/>
        <v/>
      </c>
      <c r="CL61" s="34"/>
      <c r="CM61" s="31" t="str">
        <f t="shared" si="833"/>
        <v/>
      </c>
      <c r="CN61" s="35"/>
      <c r="CO61" s="33" t="str">
        <f t="shared" si="744"/>
        <v/>
      </c>
      <c r="CP61" s="34"/>
      <c r="CQ61" s="31" t="str">
        <f t="shared" si="834"/>
        <v/>
      </c>
      <c r="CR61" s="35"/>
      <c r="CS61" s="33" t="str">
        <f t="shared" si="746"/>
        <v/>
      </c>
      <c r="CT61" s="34"/>
      <c r="CU61" s="31" t="str">
        <f t="shared" si="835"/>
        <v/>
      </c>
      <c r="CV61" s="35"/>
      <c r="CW61" s="33" t="str">
        <f t="shared" si="748"/>
        <v/>
      </c>
      <c r="CX61" s="34"/>
      <c r="CY61" s="31" t="str">
        <f t="shared" si="836"/>
        <v/>
      </c>
      <c r="CZ61" s="35"/>
      <c r="DA61" s="33" t="str">
        <f t="shared" si="750"/>
        <v/>
      </c>
      <c r="DB61" s="34"/>
      <c r="DC61" s="31" t="str">
        <f t="shared" si="837"/>
        <v/>
      </c>
      <c r="DD61" s="35"/>
      <c r="DE61" s="33" t="str">
        <f t="shared" si="752"/>
        <v/>
      </c>
      <c r="DF61" s="34"/>
      <c r="DG61" s="31" t="str">
        <f t="shared" si="838"/>
        <v/>
      </c>
      <c r="DH61" s="35"/>
      <c r="DI61" s="33" t="str">
        <f t="shared" si="754"/>
        <v/>
      </c>
      <c r="DJ61" s="34"/>
      <c r="DK61" s="31" t="str">
        <f t="shared" si="839"/>
        <v/>
      </c>
      <c r="DL61" s="35"/>
      <c r="DM61" s="33" t="str">
        <f t="shared" si="756"/>
        <v/>
      </c>
      <c r="DN61" s="34"/>
      <c r="DO61" s="31" t="str">
        <f t="shared" si="840"/>
        <v/>
      </c>
      <c r="DP61" s="35"/>
      <c r="DQ61" s="33" t="str">
        <f t="shared" si="758"/>
        <v/>
      </c>
      <c r="DR61" s="34"/>
      <c r="DS61" s="31" t="str">
        <f t="shared" si="841"/>
        <v/>
      </c>
      <c r="DT61" s="35"/>
      <c r="DU61" s="33" t="str">
        <f t="shared" si="760"/>
        <v/>
      </c>
      <c r="DV61" s="34"/>
      <c r="DW61" s="31" t="str">
        <f t="shared" si="842"/>
        <v/>
      </c>
      <c r="DX61" s="35"/>
      <c r="DY61" s="33" t="str">
        <f t="shared" si="762"/>
        <v/>
      </c>
      <c r="DZ61" s="34"/>
      <c r="EA61" s="31" t="str">
        <f t="shared" si="843"/>
        <v/>
      </c>
      <c r="EB61" s="35"/>
      <c r="EC61" s="33" t="str">
        <f t="shared" si="764"/>
        <v/>
      </c>
      <c r="ED61" s="34"/>
      <c r="EE61" s="31" t="str">
        <f t="shared" si="844"/>
        <v/>
      </c>
      <c r="EF61" s="35"/>
      <c r="EG61" s="33" t="str">
        <f t="shared" si="766"/>
        <v/>
      </c>
      <c r="EH61" s="34"/>
      <c r="EI61" s="31" t="str">
        <f t="shared" si="845"/>
        <v/>
      </c>
      <c r="EJ61" s="35"/>
      <c r="EK61" s="33" t="str">
        <f t="shared" si="768"/>
        <v/>
      </c>
      <c r="EL61" s="34"/>
      <c r="EM61" s="31" t="str">
        <f t="shared" si="846"/>
        <v/>
      </c>
      <c r="EN61" s="35"/>
      <c r="EO61" s="33" t="str">
        <f t="shared" si="770"/>
        <v/>
      </c>
      <c r="EP61" s="34"/>
      <c r="EQ61" s="31" t="str">
        <f t="shared" si="847"/>
        <v/>
      </c>
      <c r="ER61" s="35"/>
      <c r="ES61" s="33" t="str">
        <f t="shared" si="772"/>
        <v/>
      </c>
    </row>
    <row r="62" ht="18.0" customHeight="1">
      <c r="A62" s="2" t="s">
        <v>64</v>
      </c>
      <c r="B62" s="30">
        <f t="shared" ref="B62:D62" si="848">SUM(EP62,EL62,EH62,ED62,DZ62,DV62,DR62,DN62,DJ62,DF62,DB62,CX62,CT62,CP62,CL62,CH62,CD62,BZ62,BV62,BR62,BN62,BJ62,BF62,BB62,AX62,AT62,AP62,AL62,AH62,AD62,Z62,V62,R62,N62,J62,F62)</f>
        <v>0</v>
      </c>
      <c r="C62" s="31">
        <f t="shared" si="848"/>
        <v>0</v>
      </c>
      <c r="D62" s="32">
        <f t="shared" si="848"/>
        <v>0</v>
      </c>
      <c r="E62" s="33">
        <f t="shared" si="700"/>
        <v>0</v>
      </c>
      <c r="F62" s="34"/>
      <c r="G62" s="31" t="str">
        <f t="shared" si="812"/>
        <v/>
      </c>
      <c r="H62" s="35"/>
      <c r="I62" s="33" t="str">
        <f t="shared" si="702"/>
        <v/>
      </c>
      <c r="J62" s="34"/>
      <c r="K62" s="31" t="str">
        <f t="shared" si="813"/>
        <v/>
      </c>
      <c r="L62" s="35"/>
      <c r="M62" s="33" t="str">
        <f t="shared" si="704"/>
        <v/>
      </c>
      <c r="N62" s="34"/>
      <c r="O62" s="31" t="str">
        <f t="shared" si="814"/>
        <v/>
      </c>
      <c r="P62" s="35"/>
      <c r="Q62" s="33" t="str">
        <f t="shared" si="706"/>
        <v/>
      </c>
      <c r="R62" s="34"/>
      <c r="S62" s="31" t="str">
        <f t="shared" si="815"/>
        <v/>
      </c>
      <c r="T62" s="35"/>
      <c r="U62" s="33" t="str">
        <f t="shared" si="708"/>
        <v/>
      </c>
      <c r="V62" s="34"/>
      <c r="W62" s="31" t="str">
        <f t="shared" si="816"/>
        <v/>
      </c>
      <c r="X62" s="35"/>
      <c r="Y62" s="33" t="str">
        <f t="shared" si="710"/>
        <v/>
      </c>
      <c r="Z62" s="34"/>
      <c r="AA62" s="31" t="str">
        <f t="shared" si="817"/>
        <v/>
      </c>
      <c r="AB62" s="35"/>
      <c r="AC62" s="33" t="str">
        <f t="shared" si="712"/>
        <v/>
      </c>
      <c r="AD62" s="34"/>
      <c r="AE62" s="31" t="str">
        <f t="shared" si="818"/>
        <v/>
      </c>
      <c r="AF62" s="35"/>
      <c r="AG62" s="33" t="str">
        <f t="shared" si="714"/>
        <v/>
      </c>
      <c r="AH62" s="34"/>
      <c r="AI62" s="31" t="str">
        <f t="shared" si="819"/>
        <v/>
      </c>
      <c r="AJ62" s="35"/>
      <c r="AK62" s="33" t="str">
        <f t="shared" si="716"/>
        <v/>
      </c>
      <c r="AL62" s="34"/>
      <c r="AM62" s="31" t="str">
        <f t="shared" si="820"/>
        <v/>
      </c>
      <c r="AN62" s="35"/>
      <c r="AO62" s="33" t="str">
        <f t="shared" si="718"/>
        <v/>
      </c>
      <c r="AP62" s="34"/>
      <c r="AQ62" s="31" t="str">
        <f t="shared" si="821"/>
        <v/>
      </c>
      <c r="AR62" s="35"/>
      <c r="AS62" s="33" t="str">
        <f t="shared" si="720"/>
        <v/>
      </c>
      <c r="AT62" s="34"/>
      <c r="AU62" s="31" t="str">
        <f t="shared" si="822"/>
        <v/>
      </c>
      <c r="AV62" s="35"/>
      <c r="AW62" s="33" t="str">
        <f t="shared" si="722"/>
        <v/>
      </c>
      <c r="AX62" s="34"/>
      <c r="AY62" s="31" t="str">
        <f t="shared" si="823"/>
        <v/>
      </c>
      <c r="AZ62" s="35"/>
      <c r="BA62" s="33" t="str">
        <f t="shared" si="724"/>
        <v/>
      </c>
      <c r="BB62" s="34"/>
      <c r="BC62" s="31" t="str">
        <f t="shared" si="824"/>
        <v/>
      </c>
      <c r="BD62" s="35"/>
      <c r="BE62" s="33" t="str">
        <f t="shared" si="726"/>
        <v/>
      </c>
      <c r="BF62" s="34"/>
      <c r="BG62" s="31" t="str">
        <f t="shared" si="825"/>
        <v/>
      </c>
      <c r="BH62" s="35"/>
      <c r="BI62" s="33" t="str">
        <f t="shared" si="728"/>
        <v/>
      </c>
      <c r="BJ62" s="34"/>
      <c r="BK62" s="31" t="str">
        <f t="shared" si="826"/>
        <v/>
      </c>
      <c r="BL62" s="35"/>
      <c r="BM62" s="33" t="str">
        <f t="shared" si="730"/>
        <v/>
      </c>
      <c r="BN62" s="34"/>
      <c r="BO62" s="31" t="str">
        <f t="shared" si="827"/>
        <v/>
      </c>
      <c r="BP62" s="35"/>
      <c r="BQ62" s="33" t="str">
        <f t="shared" si="732"/>
        <v/>
      </c>
      <c r="BR62" s="34"/>
      <c r="BS62" s="31" t="str">
        <f t="shared" si="828"/>
        <v/>
      </c>
      <c r="BT62" s="35"/>
      <c r="BU62" s="33" t="str">
        <f t="shared" si="734"/>
        <v/>
      </c>
      <c r="BV62" s="34"/>
      <c r="BW62" s="31" t="str">
        <f t="shared" si="829"/>
        <v/>
      </c>
      <c r="BX62" s="35"/>
      <c r="BY62" s="33" t="str">
        <f t="shared" si="736"/>
        <v/>
      </c>
      <c r="BZ62" s="34"/>
      <c r="CA62" s="31" t="str">
        <f t="shared" si="830"/>
        <v/>
      </c>
      <c r="CB62" s="35"/>
      <c r="CC62" s="33" t="str">
        <f t="shared" si="738"/>
        <v/>
      </c>
      <c r="CD62" s="34"/>
      <c r="CE62" s="31" t="str">
        <f t="shared" si="831"/>
        <v/>
      </c>
      <c r="CF62" s="35"/>
      <c r="CG62" s="33" t="str">
        <f t="shared" si="740"/>
        <v/>
      </c>
      <c r="CH62" s="34"/>
      <c r="CI62" s="31" t="str">
        <f t="shared" si="832"/>
        <v/>
      </c>
      <c r="CJ62" s="35"/>
      <c r="CK62" s="33" t="str">
        <f t="shared" si="742"/>
        <v/>
      </c>
      <c r="CL62" s="34"/>
      <c r="CM62" s="31" t="str">
        <f t="shared" si="833"/>
        <v/>
      </c>
      <c r="CN62" s="35"/>
      <c r="CO62" s="33" t="str">
        <f t="shared" si="744"/>
        <v/>
      </c>
      <c r="CP62" s="34"/>
      <c r="CQ62" s="31" t="str">
        <f t="shared" si="834"/>
        <v/>
      </c>
      <c r="CR62" s="35"/>
      <c r="CS62" s="33" t="str">
        <f t="shared" si="746"/>
        <v/>
      </c>
      <c r="CT62" s="34"/>
      <c r="CU62" s="31" t="str">
        <f t="shared" si="835"/>
        <v/>
      </c>
      <c r="CV62" s="35"/>
      <c r="CW62" s="33" t="str">
        <f t="shared" si="748"/>
        <v/>
      </c>
      <c r="CX62" s="34"/>
      <c r="CY62" s="31" t="str">
        <f t="shared" si="836"/>
        <v/>
      </c>
      <c r="CZ62" s="35"/>
      <c r="DA62" s="33" t="str">
        <f t="shared" si="750"/>
        <v/>
      </c>
      <c r="DB62" s="34"/>
      <c r="DC62" s="31" t="str">
        <f t="shared" si="837"/>
        <v/>
      </c>
      <c r="DD62" s="35"/>
      <c r="DE62" s="33" t="str">
        <f t="shared" si="752"/>
        <v/>
      </c>
      <c r="DF62" s="34"/>
      <c r="DG62" s="31" t="str">
        <f t="shared" si="838"/>
        <v/>
      </c>
      <c r="DH62" s="35"/>
      <c r="DI62" s="33" t="str">
        <f t="shared" si="754"/>
        <v/>
      </c>
      <c r="DJ62" s="34"/>
      <c r="DK62" s="31" t="str">
        <f t="shared" si="839"/>
        <v/>
      </c>
      <c r="DL62" s="35"/>
      <c r="DM62" s="33" t="str">
        <f t="shared" si="756"/>
        <v/>
      </c>
      <c r="DN62" s="34"/>
      <c r="DO62" s="31" t="str">
        <f t="shared" si="840"/>
        <v/>
      </c>
      <c r="DP62" s="35"/>
      <c r="DQ62" s="33" t="str">
        <f t="shared" si="758"/>
        <v/>
      </c>
      <c r="DR62" s="34"/>
      <c r="DS62" s="31" t="str">
        <f t="shared" si="841"/>
        <v/>
      </c>
      <c r="DT62" s="35"/>
      <c r="DU62" s="33" t="str">
        <f t="shared" si="760"/>
        <v/>
      </c>
      <c r="DV62" s="34"/>
      <c r="DW62" s="31" t="str">
        <f t="shared" si="842"/>
        <v/>
      </c>
      <c r="DX62" s="35"/>
      <c r="DY62" s="33" t="str">
        <f t="shared" si="762"/>
        <v/>
      </c>
      <c r="DZ62" s="34"/>
      <c r="EA62" s="31" t="str">
        <f t="shared" si="843"/>
        <v/>
      </c>
      <c r="EB62" s="35"/>
      <c r="EC62" s="33" t="str">
        <f t="shared" si="764"/>
        <v/>
      </c>
      <c r="ED62" s="34"/>
      <c r="EE62" s="31" t="str">
        <f t="shared" si="844"/>
        <v/>
      </c>
      <c r="EF62" s="35"/>
      <c r="EG62" s="33" t="str">
        <f t="shared" si="766"/>
        <v/>
      </c>
      <c r="EH62" s="34"/>
      <c r="EI62" s="31" t="str">
        <f t="shared" si="845"/>
        <v/>
      </c>
      <c r="EJ62" s="35"/>
      <c r="EK62" s="33" t="str">
        <f t="shared" si="768"/>
        <v/>
      </c>
      <c r="EL62" s="34"/>
      <c r="EM62" s="31" t="str">
        <f t="shared" si="846"/>
        <v/>
      </c>
      <c r="EN62" s="35"/>
      <c r="EO62" s="33" t="str">
        <f t="shared" si="770"/>
        <v/>
      </c>
      <c r="EP62" s="34"/>
      <c r="EQ62" s="31" t="str">
        <f t="shared" si="847"/>
        <v/>
      </c>
      <c r="ER62" s="35"/>
      <c r="ES62" s="33" t="str">
        <f t="shared" si="772"/>
        <v/>
      </c>
    </row>
    <row r="63" ht="18.0" customHeight="1">
      <c r="A63" s="2" t="s">
        <v>65</v>
      </c>
      <c r="B63" s="30">
        <f t="shared" ref="B63:D63" si="849">SUM(EP63,EL63,EH63,ED63,DZ63,DV63,DR63,DN63,DJ63,DF63,DB63,CX63,CT63,CP63,CL63,CH63,CD63,BZ63,BV63,BR63,BN63,BJ63,BF63,BB63,AX63,AT63,AP63,AL63,AH63,AD63,Z63,V63,R63,N63,J63,F63)</f>
        <v>0</v>
      </c>
      <c r="C63" s="31">
        <f t="shared" si="849"/>
        <v>0</v>
      </c>
      <c r="D63" s="32">
        <f t="shared" si="849"/>
        <v>0</v>
      </c>
      <c r="E63" s="33">
        <f t="shared" si="700"/>
        <v>0</v>
      </c>
      <c r="F63" s="34"/>
      <c r="G63" s="31" t="str">
        <f t="shared" si="812"/>
        <v/>
      </c>
      <c r="H63" s="35"/>
      <c r="I63" s="33" t="str">
        <f t="shared" si="702"/>
        <v/>
      </c>
      <c r="J63" s="34"/>
      <c r="K63" s="31" t="str">
        <f t="shared" si="813"/>
        <v/>
      </c>
      <c r="L63" s="35"/>
      <c r="M63" s="33" t="str">
        <f t="shared" si="704"/>
        <v/>
      </c>
      <c r="N63" s="34"/>
      <c r="O63" s="31" t="str">
        <f t="shared" si="814"/>
        <v/>
      </c>
      <c r="P63" s="35"/>
      <c r="Q63" s="33" t="str">
        <f t="shared" si="706"/>
        <v/>
      </c>
      <c r="R63" s="34"/>
      <c r="S63" s="31" t="str">
        <f t="shared" si="815"/>
        <v/>
      </c>
      <c r="T63" s="35"/>
      <c r="U63" s="33" t="str">
        <f t="shared" si="708"/>
        <v/>
      </c>
      <c r="V63" s="34"/>
      <c r="W63" s="31" t="str">
        <f t="shared" si="816"/>
        <v/>
      </c>
      <c r="X63" s="35"/>
      <c r="Y63" s="33" t="str">
        <f t="shared" si="710"/>
        <v/>
      </c>
      <c r="Z63" s="34"/>
      <c r="AA63" s="31" t="str">
        <f t="shared" si="817"/>
        <v/>
      </c>
      <c r="AB63" s="35"/>
      <c r="AC63" s="33" t="str">
        <f t="shared" si="712"/>
        <v/>
      </c>
      <c r="AD63" s="34"/>
      <c r="AE63" s="31" t="str">
        <f t="shared" si="818"/>
        <v/>
      </c>
      <c r="AF63" s="35"/>
      <c r="AG63" s="33" t="str">
        <f t="shared" si="714"/>
        <v/>
      </c>
      <c r="AH63" s="34"/>
      <c r="AI63" s="31" t="str">
        <f t="shared" si="819"/>
        <v/>
      </c>
      <c r="AJ63" s="35"/>
      <c r="AK63" s="33" t="str">
        <f t="shared" si="716"/>
        <v/>
      </c>
      <c r="AL63" s="34"/>
      <c r="AM63" s="31" t="str">
        <f t="shared" si="820"/>
        <v/>
      </c>
      <c r="AN63" s="35"/>
      <c r="AO63" s="33" t="str">
        <f t="shared" si="718"/>
        <v/>
      </c>
      <c r="AP63" s="34"/>
      <c r="AQ63" s="31" t="str">
        <f t="shared" si="821"/>
        <v/>
      </c>
      <c r="AR63" s="35"/>
      <c r="AS63" s="33" t="str">
        <f t="shared" si="720"/>
        <v/>
      </c>
      <c r="AT63" s="34"/>
      <c r="AU63" s="31" t="str">
        <f t="shared" si="822"/>
        <v/>
      </c>
      <c r="AV63" s="35"/>
      <c r="AW63" s="33" t="str">
        <f t="shared" si="722"/>
        <v/>
      </c>
      <c r="AX63" s="34"/>
      <c r="AY63" s="31" t="str">
        <f t="shared" si="823"/>
        <v/>
      </c>
      <c r="AZ63" s="35"/>
      <c r="BA63" s="33" t="str">
        <f t="shared" si="724"/>
        <v/>
      </c>
      <c r="BB63" s="34"/>
      <c r="BC63" s="31" t="str">
        <f t="shared" si="824"/>
        <v/>
      </c>
      <c r="BD63" s="35"/>
      <c r="BE63" s="33" t="str">
        <f t="shared" si="726"/>
        <v/>
      </c>
      <c r="BF63" s="34"/>
      <c r="BG63" s="31" t="str">
        <f t="shared" si="825"/>
        <v/>
      </c>
      <c r="BH63" s="35"/>
      <c r="BI63" s="33" t="str">
        <f t="shared" si="728"/>
        <v/>
      </c>
      <c r="BJ63" s="34"/>
      <c r="BK63" s="31" t="str">
        <f t="shared" si="826"/>
        <v/>
      </c>
      <c r="BL63" s="35"/>
      <c r="BM63" s="33" t="str">
        <f t="shared" si="730"/>
        <v/>
      </c>
      <c r="BN63" s="34"/>
      <c r="BO63" s="31" t="str">
        <f t="shared" si="827"/>
        <v/>
      </c>
      <c r="BP63" s="35"/>
      <c r="BQ63" s="33" t="str">
        <f t="shared" si="732"/>
        <v/>
      </c>
      <c r="BR63" s="34"/>
      <c r="BS63" s="31" t="str">
        <f t="shared" si="828"/>
        <v/>
      </c>
      <c r="BT63" s="35"/>
      <c r="BU63" s="33" t="str">
        <f t="shared" si="734"/>
        <v/>
      </c>
      <c r="BV63" s="34"/>
      <c r="BW63" s="31" t="str">
        <f t="shared" si="829"/>
        <v/>
      </c>
      <c r="BX63" s="35"/>
      <c r="BY63" s="33" t="str">
        <f t="shared" si="736"/>
        <v/>
      </c>
      <c r="BZ63" s="34"/>
      <c r="CA63" s="31" t="str">
        <f t="shared" si="830"/>
        <v/>
      </c>
      <c r="CB63" s="35"/>
      <c r="CC63" s="33" t="str">
        <f t="shared" si="738"/>
        <v/>
      </c>
      <c r="CD63" s="34"/>
      <c r="CE63" s="31" t="str">
        <f t="shared" si="831"/>
        <v/>
      </c>
      <c r="CF63" s="35"/>
      <c r="CG63" s="33" t="str">
        <f t="shared" si="740"/>
        <v/>
      </c>
      <c r="CH63" s="34"/>
      <c r="CI63" s="31" t="str">
        <f t="shared" si="832"/>
        <v/>
      </c>
      <c r="CJ63" s="35"/>
      <c r="CK63" s="33" t="str">
        <f t="shared" si="742"/>
        <v/>
      </c>
      <c r="CL63" s="34"/>
      <c r="CM63" s="31" t="str">
        <f t="shared" si="833"/>
        <v/>
      </c>
      <c r="CN63" s="35"/>
      <c r="CO63" s="33" t="str">
        <f t="shared" si="744"/>
        <v/>
      </c>
      <c r="CP63" s="34"/>
      <c r="CQ63" s="31" t="str">
        <f t="shared" si="834"/>
        <v/>
      </c>
      <c r="CR63" s="35"/>
      <c r="CS63" s="33" t="str">
        <f t="shared" si="746"/>
        <v/>
      </c>
      <c r="CT63" s="34"/>
      <c r="CU63" s="31" t="str">
        <f t="shared" si="835"/>
        <v/>
      </c>
      <c r="CV63" s="35"/>
      <c r="CW63" s="33" t="str">
        <f t="shared" si="748"/>
        <v/>
      </c>
      <c r="CX63" s="34"/>
      <c r="CY63" s="31" t="str">
        <f t="shared" si="836"/>
        <v/>
      </c>
      <c r="CZ63" s="35"/>
      <c r="DA63" s="33" t="str">
        <f t="shared" si="750"/>
        <v/>
      </c>
      <c r="DB63" s="34"/>
      <c r="DC63" s="31" t="str">
        <f t="shared" si="837"/>
        <v/>
      </c>
      <c r="DD63" s="35"/>
      <c r="DE63" s="33" t="str">
        <f t="shared" si="752"/>
        <v/>
      </c>
      <c r="DF63" s="34"/>
      <c r="DG63" s="31" t="str">
        <f t="shared" si="838"/>
        <v/>
      </c>
      <c r="DH63" s="35"/>
      <c r="DI63" s="33" t="str">
        <f t="shared" si="754"/>
        <v/>
      </c>
      <c r="DJ63" s="34"/>
      <c r="DK63" s="31" t="str">
        <f t="shared" si="839"/>
        <v/>
      </c>
      <c r="DL63" s="35"/>
      <c r="DM63" s="33" t="str">
        <f t="shared" si="756"/>
        <v/>
      </c>
      <c r="DN63" s="34"/>
      <c r="DO63" s="31" t="str">
        <f t="shared" si="840"/>
        <v/>
      </c>
      <c r="DP63" s="35"/>
      <c r="DQ63" s="33" t="str">
        <f t="shared" si="758"/>
        <v/>
      </c>
      <c r="DR63" s="34"/>
      <c r="DS63" s="31" t="str">
        <f t="shared" si="841"/>
        <v/>
      </c>
      <c r="DT63" s="35"/>
      <c r="DU63" s="33" t="str">
        <f t="shared" si="760"/>
        <v/>
      </c>
      <c r="DV63" s="34"/>
      <c r="DW63" s="31" t="str">
        <f t="shared" si="842"/>
        <v/>
      </c>
      <c r="DX63" s="35"/>
      <c r="DY63" s="33" t="str">
        <f t="shared" si="762"/>
        <v/>
      </c>
      <c r="DZ63" s="34"/>
      <c r="EA63" s="31" t="str">
        <f t="shared" si="843"/>
        <v/>
      </c>
      <c r="EB63" s="35"/>
      <c r="EC63" s="33" t="str">
        <f t="shared" si="764"/>
        <v/>
      </c>
      <c r="ED63" s="34"/>
      <c r="EE63" s="31" t="str">
        <f t="shared" si="844"/>
        <v/>
      </c>
      <c r="EF63" s="35"/>
      <c r="EG63" s="33" t="str">
        <f t="shared" si="766"/>
        <v/>
      </c>
      <c r="EH63" s="34"/>
      <c r="EI63" s="31" t="str">
        <f t="shared" si="845"/>
        <v/>
      </c>
      <c r="EJ63" s="35"/>
      <c r="EK63" s="33" t="str">
        <f t="shared" si="768"/>
        <v/>
      </c>
      <c r="EL63" s="34"/>
      <c r="EM63" s="31" t="str">
        <f t="shared" si="846"/>
        <v/>
      </c>
      <c r="EN63" s="35"/>
      <c r="EO63" s="33" t="str">
        <f t="shared" si="770"/>
        <v/>
      </c>
      <c r="EP63" s="34"/>
      <c r="EQ63" s="31" t="str">
        <f t="shared" si="847"/>
        <v/>
      </c>
      <c r="ER63" s="35"/>
      <c r="ES63" s="33" t="str">
        <f t="shared" si="772"/>
        <v/>
      </c>
    </row>
    <row r="64" ht="18.0" customHeight="1">
      <c r="A64" s="2" t="s">
        <v>66</v>
      </c>
      <c r="B64" s="30">
        <f t="shared" ref="B64:D64" si="850">SUM(EP64,EL64,EH64,ED64,DZ64,DV64,DR64,DN64,DJ64,DF64,DB64,CX64,CT64,CP64,CL64,CH64,CD64,BZ64,BV64,BR64,BN64,BJ64,BF64,BB64,AX64,AT64,AP64,AL64,AH64,AD64,Z64,V64,R64,N64,J64,F64)</f>
        <v>0</v>
      </c>
      <c r="C64" s="31">
        <f t="shared" si="850"/>
        <v>0</v>
      </c>
      <c r="D64" s="32">
        <f t="shared" si="850"/>
        <v>0</v>
      </c>
      <c r="E64" s="33">
        <f t="shared" si="700"/>
        <v>0</v>
      </c>
      <c r="F64" s="34"/>
      <c r="G64" s="31" t="str">
        <f t="shared" si="812"/>
        <v/>
      </c>
      <c r="H64" s="35"/>
      <c r="I64" s="33" t="str">
        <f t="shared" si="702"/>
        <v/>
      </c>
      <c r="J64" s="34"/>
      <c r="K64" s="31" t="str">
        <f t="shared" si="813"/>
        <v/>
      </c>
      <c r="L64" s="35"/>
      <c r="M64" s="33" t="str">
        <f t="shared" si="704"/>
        <v/>
      </c>
      <c r="N64" s="34"/>
      <c r="O64" s="31" t="str">
        <f t="shared" si="814"/>
        <v/>
      </c>
      <c r="P64" s="35"/>
      <c r="Q64" s="33" t="str">
        <f t="shared" si="706"/>
        <v/>
      </c>
      <c r="R64" s="34"/>
      <c r="S64" s="31" t="str">
        <f t="shared" si="815"/>
        <v/>
      </c>
      <c r="T64" s="35"/>
      <c r="U64" s="33" t="str">
        <f t="shared" si="708"/>
        <v/>
      </c>
      <c r="V64" s="34"/>
      <c r="W64" s="31" t="str">
        <f t="shared" si="816"/>
        <v/>
      </c>
      <c r="X64" s="35"/>
      <c r="Y64" s="33" t="str">
        <f t="shared" si="710"/>
        <v/>
      </c>
      <c r="Z64" s="34"/>
      <c r="AA64" s="31" t="str">
        <f t="shared" si="817"/>
        <v/>
      </c>
      <c r="AB64" s="35"/>
      <c r="AC64" s="33" t="str">
        <f t="shared" si="712"/>
        <v/>
      </c>
      <c r="AD64" s="34"/>
      <c r="AE64" s="31" t="str">
        <f t="shared" si="818"/>
        <v/>
      </c>
      <c r="AF64" s="35"/>
      <c r="AG64" s="33" t="str">
        <f t="shared" si="714"/>
        <v/>
      </c>
      <c r="AH64" s="34"/>
      <c r="AI64" s="31" t="str">
        <f t="shared" si="819"/>
        <v/>
      </c>
      <c r="AJ64" s="35"/>
      <c r="AK64" s="33" t="str">
        <f t="shared" si="716"/>
        <v/>
      </c>
      <c r="AL64" s="34"/>
      <c r="AM64" s="31" t="str">
        <f t="shared" si="820"/>
        <v/>
      </c>
      <c r="AN64" s="35"/>
      <c r="AO64" s="33" t="str">
        <f t="shared" si="718"/>
        <v/>
      </c>
      <c r="AP64" s="34"/>
      <c r="AQ64" s="31" t="str">
        <f t="shared" si="821"/>
        <v/>
      </c>
      <c r="AR64" s="35"/>
      <c r="AS64" s="33" t="str">
        <f t="shared" si="720"/>
        <v/>
      </c>
      <c r="AT64" s="34"/>
      <c r="AU64" s="31" t="str">
        <f t="shared" si="822"/>
        <v/>
      </c>
      <c r="AV64" s="35"/>
      <c r="AW64" s="33" t="str">
        <f t="shared" si="722"/>
        <v/>
      </c>
      <c r="AX64" s="34"/>
      <c r="AY64" s="31" t="str">
        <f t="shared" si="823"/>
        <v/>
      </c>
      <c r="AZ64" s="35"/>
      <c r="BA64" s="33" t="str">
        <f t="shared" si="724"/>
        <v/>
      </c>
      <c r="BB64" s="34"/>
      <c r="BC64" s="31" t="str">
        <f t="shared" si="824"/>
        <v/>
      </c>
      <c r="BD64" s="35"/>
      <c r="BE64" s="33" t="str">
        <f t="shared" si="726"/>
        <v/>
      </c>
      <c r="BF64" s="34"/>
      <c r="BG64" s="31" t="str">
        <f t="shared" si="825"/>
        <v/>
      </c>
      <c r="BH64" s="35"/>
      <c r="BI64" s="33" t="str">
        <f t="shared" si="728"/>
        <v/>
      </c>
      <c r="BJ64" s="34"/>
      <c r="BK64" s="31" t="str">
        <f t="shared" si="826"/>
        <v/>
      </c>
      <c r="BL64" s="35"/>
      <c r="BM64" s="33" t="str">
        <f t="shared" si="730"/>
        <v/>
      </c>
      <c r="BN64" s="34"/>
      <c r="BO64" s="31" t="str">
        <f t="shared" si="827"/>
        <v/>
      </c>
      <c r="BP64" s="35"/>
      <c r="BQ64" s="33" t="str">
        <f t="shared" si="732"/>
        <v/>
      </c>
      <c r="BR64" s="34"/>
      <c r="BS64" s="31" t="str">
        <f t="shared" si="828"/>
        <v/>
      </c>
      <c r="BT64" s="35"/>
      <c r="BU64" s="33" t="str">
        <f t="shared" si="734"/>
        <v/>
      </c>
      <c r="BV64" s="34"/>
      <c r="BW64" s="31" t="str">
        <f t="shared" si="829"/>
        <v/>
      </c>
      <c r="BX64" s="35"/>
      <c r="BY64" s="33" t="str">
        <f t="shared" si="736"/>
        <v/>
      </c>
      <c r="BZ64" s="34"/>
      <c r="CA64" s="31" t="str">
        <f t="shared" si="830"/>
        <v/>
      </c>
      <c r="CB64" s="35"/>
      <c r="CC64" s="33" t="str">
        <f t="shared" si="738"/>
        <v/>
      </c>
      <c r="CD64" s="34"/>
      <c r="CE64" s="31" t="str">
        <f t="shared" si="831"/>
        <v/>
      </c>
      <c r="CF64" s="35"/>
      <c r="CG64" s="33" t="str">
        <f t="shared" si="740"/>
        <v/>
      </c>
      <c r="CH64" s="34"/>
      <c r="CI64" s="31" t="str">
        <f t="shared" si="832"/>
        <v/>
      </c>
      <c r="CJ64" s="35"/>
      <c r="CK64" s="33" t="str">
        <f t="shared" si="742"/>
        <v/>
      </c>
      <c r="CL64" s="34"/>
      <c r="CM64" s="31" t="str">
        <f t="shared" si="833"/>
        <v/>
      </c>
      <c r="CN64" s="35"/>
      <c r="CO64" s="33" t="str">
        <f t="shared" si="744"/>
        <v/>
      </c>
      <c r="CP64" s="34"/>
      <c r="CQ64" s="31" t="str">
        <f t="shared" si="834"/>
        <v/>
      </c>
      <c r="CR64" s="35"/>
      <c r="CS64" s="33" t="str">
        <f t="shared" si="746"/>
        <v/>
      </c>
      <c r="CT64" s="34"/>
      <c r="CU64" s="31" t="str">
        <f t="shared" si="835"/>
        <v/>
      </c>
      <c r="CV64" s="35"/>
      <c r="CW64" s="33" t="str">
        <f t="shared" si="748"/>
        <v/>
      </c>
      <c r="CX64" s="34"/>
      <c r="CY64" s="31" t="str">
        <f t="shared" si="836"/>
        <v/>
      </c>
      <c r="CZ64" s="35"/>
      <c r="DA64" s="33" t="str">
        <f t="shared" si="750"/>
        <v/>
      </c>
      <c r="DB64" s="34"/>
      <c r="DC64" s="31" t="str">
        <f t="shared" si="837"/>
        <v/>
      </c>
      <c r="DD64" s="35"/>
      <c r="DE64" s="33" t="str">
        <f t="shared" si="752"/>
        <v/>
      </c>
      <c r="DF64" s="34"/>
      <c r="DG64" s="31" t="str">
        <f t="shared" si="838"/>
        <v/>
      </c>
      <c r="DH64" s="35"/>
      <c r="DI64" s="33" t="str">
        <f t="shared" si="754"/>
        <v/>
      </c>
      <c r="DJ64" s="34"/>
      <c r="DK64" s="31" t="str">
        <f t="shared" si="839"/>
        <v/>
      </c>
      <c r="DL64" s="35"/>
      <c r="DM64" s="33" t="str">
        <f t="shared" si="756"/>
        <v/>
      </c>
      <c r="DN64" s="34"/>
      <c r="DO64" s="31" t="str">
        <f t="shared" si="840"/>
        <v/>
      </c>
      <c r="DP64" s="35"/>
      <c r="DQ64" s="33" t="str">
        <f t="shared" si="758"/>
        <v/>
      </c>
      <c r="DR64" s="34"/>
      <c r="DS64" s="31" t="str">
        <f t="shared" si="841"/>
        <v/>
      </c>
      <c r="DT64" s="35"/>
      <c r="DU64" s="33" t="str">
        <f t="shared" si="760"/>
        <v/>
      </c>
      <c r="DV64" s="34"/>
      <c r="DW64" s="31" t="str">
        <f t="shared" si="842"/>
        <v/>
      </c>
      <c r="DX64" s="35"/>
      <c r="DY64" s="33" t="str">
        <f t="shared" si="762"/>
        <v/>
      </c>
      <c r="DZ64" s="34"/>
      <c r="EA64" s="31" t="str">
        <f t="shared" si="843"/>
        <v/>
      </c>
      <c r="EB64" s="35"/>
      <c r="EC64" s="33" t="str">
        <f t="shared" si="764"/>
        <v/>
      </c>
      <c r="ED64" s="34"/>
      <c r="EE64" s="31" t="str">
        <f t="shared" si="844"/>
        <v/>
      </c>
      <c r="EF64" s="35"/>
      <c r="EG64" s="33" t="str">
        <f t="shared" si="766"/>
        <v/>
      </c>
      <c r="EH64" s="34"/>
      <c r="EI64" s="31" t="str">
        <f t="shared" si="845"/>
        <v/>
      </c>
      <c r="EJ64" s="35"/>
      <c r="EK64" s="33" t="str">
        <f t="shared" si="768"/>
        <v/>
      </c>
      <c r="EL64" s="34"/>
      <c r="EM64" s="31" t="str">
        <f t="shared" si="846"/>
        <v/>
      </c>
      <c r="EN64" s="35"/>
      <c r="EO64" s="33" t="str">
        <f t="shared" si="770"/>
        <v/>
      </c>
      <c r="EP64" s="34"/>
      <c r="EQ64" s="31" t="str">
        <f t="shared" si="847"/>
        <v/>
      </c>
      <c r="ER64" s="35"/>
      <c r="ES64" s="33" t="str">
        <f t="shared" si="772"/>
        <v/>
      </c>
    </row>
    <row r="65" ht="18.0" customHeight="1">
      <c r="A65" s="36" t="s">
        <v>67</v>
      </c>
      <c r="B65" s="39">
        <f t="shared" ref="B65:D65" si="851">SUM(EP65,EL65,EH65,ED65,DZ65,DV65,DR65,DN65,DJ65,DF65,DB65,CX65,CT65,CP65,CL65,CH65,CD65,BZ65,BV65,BR65,BN65,BJ65,BF65,BB65,AX65,AT65,AP65,AL65,AH65,AD65,Z65,V65,R65,N65,J65,F65)</f>
        <v>0</v>
      </c>
      <c r="C65" s="39">
        <f t="shared" si="851"/>
        <v>0</v>
      </c>
      <c r="D65" s="39">
        <f t="shared" si="851"/>
        <v>0</v>
      </c>
      <c r="E65" s="39">
        <f t="shared" si="700"/>
        <v>0</v>
      </c>
      <c r="F65" s="39" t="str">
        <f t="shared" ref="F65:H65" si="852">IF(COUNT(F61:F64)&gt;0,SUM(F61:F64),"")</f>
        <v/>
      </c>
      <c r="G65" s="39" t="str">
        <f t="shared" si="852"/>
        <v/>
      </c>
      <c r="H65" s="39" t="str">
        <f t="shared" si="852"/>
        <v/>
      </c>
      <c r="I65" s="39" t="str">
        <f t="shared" si="702"/>
        <v/>
      </c>
      <c r="J65" s="39" t="str">
        <f t="shared" ref="J65:L65" si="853">IF(COUNT(J61:J64)&gt;0,SUM(J61:J64),"")</f>
        <v/>
      </c>
      <c r="K65" s="39" t="str">
        <f t="shared" si="853"/>
        <v/>
      </c>
      <c r="L65" s="39" t="str">
        <f t="shared" si="853"/>
        <v/>
      </c>
      <c r="M65" s="39" t="str">
        <f t="shared" si="704"/>
        <v/>
      </c>
      <c r="N65" s="39" t="str">
        <f t="shared" ref="N65:P65" si="854">IF(COUNT(N61:N64)&gt;0,SUM(N61:N64),"")</f>
        <v/>
      </c>
      <c r="O65" s="39" t="str">
        <f t="shared" si="854"/>
        <v/>
      </c>
      <c r="P65" s="39" t="str">
        <f t="shared" si="854"/>
        <v/>
      </c>
      <c r="Q65" s="39" t="str">
        <f t="shared" si="706"/>
        <v/>
      </c>
      <c r="R65" s="39" t="str">
        <f t="shared" ref="R65:T65" si="855">IF(COUNT(R61:R64)&gt;0,SUM(R61:R64),"")</f>
        <v/>
      </c>
      <c r="S65" s="39" t="str">
        <f t="shared" si="855"/>
        <v/>
      </c>
      <c r="T65" s="39" t="str">
        <f t="shared" si="855"/>
        <v/>
      </c>
      <c r="U65" s="39" t="str">
        <f t="shared" si="708"/>
        <v/>
      </c>
      <c r="V65" s="39" t="str">
        <f t="shared" ref="V65:X65" si="856">IF(COUNT(V61:V64)&gt;0,SUM(V61:V64),"")</f>
        <v/>
      </c>
      <c r="W65" s="39" t="str">
        <f t="shared" si="856"/>
        <v/>
      </c>
      <c r="X65" s="39" t="str">
        <f t="shared" si="856"/>
        <v/>
      </c>
      <c r="Y65" s="39" t="str">
        <f t="shared" si="710"/>
        <v/>
      </c>
      <c r="Z65" s="39" t="str">
        <f t="shared" ref="Z65:AB65" si="857">IF(COUNT(Z61:Z64)&gt;0,SUM(Z61:Z64),"")</f>
        <v/>
      </c>
      <c r="AA65" s="39" t="str">
        <f t="shared" si="857"/>
        <v/>
      </c>
      <c r="AB65" s="39" t="str">
        <f t="shared" si="857"/>
        <v/>
      </c>
      <c r="AC65" s="39" t="str">
        <f t="shared" si="712"/>
        <v/>
      </c>
      <c r="AD65" s="39" t="str">
        <f t="shared" ref="AD65:AF65" si="858">IF(COUNT(AD61:AD64)&gt;0,SUM(AD61:AD64),"")</f>
        <v/>
      </c>
      <c r="AE65" s="39" t="str">
        <f t="shared" si="858"/>
        <v/>
      </c>
      <c r="AF65" s="39" t="str">
        <f t="shared" si="858"/>
        <v/>
      </c>
      <c r="AG65" s="39" t="str">
        <f t="shared" si="714"/>
        <v/>
      </c>
      <c r="AH65" s="39" t="str">
        <f t="shared" ref="AH65:AJ65" si="859">IF(COUNT(AH61:AH64)&gt;0,SUM(AH61:AH64),"")</f>
        <v/>
      </c>
      <c r="AI65" s="39" t="str">
        <f t="shared" si="859"/>
        <v/>
      </c>
      <c r="AJ65" s="39" t="str">
        <f t="shared" si="859"/>
        <v/>
      </c>
      <c r="AK65" s="39" t="str">
        <f t="shared" si="716"/>
        <v/>
      </c>
      <c r="AL65" s="39" t="str">
        <f t="shared" ref="AL65:AN65" si="860">IF(COUNT(AL61:AL64)&gt;0,SUM(AL61:AL64),"")</f>
        <v/>
      </c>
      <c r="AM65" s="39" t="str">
        <f t="shared" si="860"/>
        <v/>
      </c>
      <c r="AN65" s="39" t="str">
        <f t="shared" si="860"/>
        <v/>
      </c>
      <c r="AO65" s="39" t="str">
        <f t="shared" si="718"/>
        <v/>
      </c>
      <c r="AP65" s="39" t="str">
        <f t="shared" ref="AP65:AR65" si="861">IF(COUNT(AP61:AP64)&gt;0,SUM(AP61:AP64),"")</f>
        <v/>
      </c>
      <c r="AQ65" s="39" t="str">
        <f t="shared" si="861"/>
        <v/>
      </c>
      <c r="AR65" s="39" t="str">
        <f t="shared" si="861"/>
        <v/>
      </c>
      <c r="AS65" s="39" t="str">
        <f t="shared" si="720"/>
        <v/>
      </c>
      <c r="AT65" s="39" t="str">
        <f t="shared" ref="AT65:AV65" si="862">IF(COUNT(AT61:AT64)&gt;0,SUM(AT61:AT64),"")</f>
        <v/>
      </c>
      <c r="AU65" s="39" t="str">
        <f t="shared" si="862"/>
        <v/>
      </c>
      <c r="AV65" s="39" t="str">
        <f t="shared" si="862"/>
        <v/>
      </c>
      <c r="AW65" s="39" t="str">
        <f t="shared" si="722"/>
        <v/>
      </c>
      <c r="AX65" s="39" t="str">
        <f t="shared" ref="AX65:AZ65" si="863">IF(COUNT(AX61:AX64)&gt;0,SUM(AX61:AX64),"")</f>
        <v/>
      </c>
      <c r="AY65" s="39" t="str">
        <f t="shared" si="863"/>
        <v/>
      </c>
      <c r="AZ65" s="39" t="str">
        <f t="shared" si="863"/>
        <v/>
      </c>
      <c r="BA65" s="39" t="str">
        <f t="shared" si="724"/>
        <v/>
      </c>
      <c r="BB65" s="39" t="str">
        <f t="shared" ref="BB65:BD65" si="864">IF(COUNT(BB61:BB64)&gt;0,SUM(BB61:BB64),"")</f>
        <v/>
      </c>
      <c r="BC65" s="39" t="str">
        <f t="shared" si="864"/>
        <v/>
      </c>
      <c r="BD65" s="39" t="str">
        <f t="shared" si="864"/>
        <v/>
      </c>
      <c r="BE65" s="39" t="str">
        <f t="shared" si="726"/>
        <v/>
      </c>
      <c r="BF65" s="39" t="str">
        <f t="shared" ref="BF65:BH65" si="865">IF(COUNT(BF61:BF64)&gt;0,SUM(BF61:BF64),"")</f>
        <v/>
      </c>
      <c r="BG65" s="39" t="str">
        <f t="shared" si="865"/>
        <v/>
      </c>
      <c r="BH65" s="39" t="str">
        <f t="shared" si="865"/>
        <v/>
      </c>
      <c r="BI65" s="39" t="str">
        <f t="shared" si="728"/>
        <v/>
      </c>
      <c r="BJ65" s="39" t="str">
        <f t="shared" ref="BJ65:BL65" si="866">IF(COUNT(BJ61:BJ64)&gt;0,SUM(BJ61:BJ64),"")</f>
        <v/>
      </c>
      <c r="BK65" s="39" t="str">
        <f t="shared" si="866"/>
        <v/>
      </c>
      <c r="BL65" s="39" t="str">
        <f t="shared" si="866"/>
        <v/>
      </c>
      <c r="BM65" s="39" t="str">
        <f t="shared" si="730"/>
        <v/>
      </c>
      <c r="BN65" s="39" t="str">
        <f t="shared" ref="BN65:BP65" si="867">IF(COUNT(BN61:BN64)&gt;0,SUM(BN61:BN64),"")</f>
        <v/>
      </c>
      <c r="BO65" s="39" t="str">
        <f t="shared" si="867"/>
        <v/>
      </c>
      <c r="BP65" s="39" t="str">
        <f t="shared" si="867"/>
        <v/>
      </c>
      <c r="BQ65" s="39" t="str">
        <f t="shared" si="732"/>
        <v/>
      </c>
      <c r="BR65" s="39" t="str">
        <f t="shared" ref="BR65:BT65" si="868">IF(COUNT(BR61:BR64)&gt;0,SUM(BR61:BR64),"")</f>
        <v/>
      </c>
      <c r="BS65" s="39" t="str">
        <f t="shared" si="868"/>
        <v/>
      </c>
      <c r="BT65" s="39" t="str">
        <f t="shared" si="868"/>
        <v/>
      </c>
      <c r="BU65" s="39" t="str">
        <f t="shared" si="734"/>
        <v/>
      </c>
      <c r="BV65" s="39" t="str">
        <f t="shared" ref="BV65:BX65" si="869">IF(COUNT(BV61:BV64)&gt;0,SUM(BV61:BV64),"")</f>
        <v/>
      </c>
      <c r="BW65" s="39" t="str">
        <f t="shared" si="869"/>
        <v/>
      </c>
      <c r="BX65" s="39" t="str">
        <f t="shared" si="869"/>
        <v/>
      </c>
      <c r="BY65" s="39" t="str">
        <f t="shared" si="736"/>
        <v/>
      </c>
      <c r="BZ65" s="39" t="str">
        <f t="shared" ref="BZ65:CB65" si="870">IF(COUNT(BZ61:BZ64)&gt;0,SUM(BZ61:BZ64),"")</f>
        <v/>
      </c>
      <c r="CA65" s="39" t="str">
        <f t="shared" si="870"/>
        <v/>
      </c>
      <c r="CB65" s="39" t="str">
        <f t="shared" si="870"/>
        <v/>
      </c>
      <c r="CC65" s="39" t="str">
        <f t="shared" si="738"/>
        <v/>
      </c>
      <c r="CD65" s="39" t="str">
        <f t="shared" ref="CD65:CF65" si="871">IF(COUNT(CD61:CD64)&gt;0,SUM(CD61:CD64),"")</f>
        <v/>
      </c>
      <c r="CE65" s="39" t="str">
        <f t="shared" si="871"/>
        <v/>
      </c>
      <c r="CF65" s="39" t="str">
        <f t="shared" si="871"/>
        <v/>
      </c>
      <c r="CG65" s="39" t="str">
        <f t="shared" si="740"/>
        <v/>
      </c>
      <c r="CH65" s="39" t="str">
        <f t="shared" ref="CH65:CJ65" si="872">IF(COUNT(CH61:CH64)&gt;0,SUM(CH61:CH64),"")</f>
        <v/>
      </c>
      <c r="CI65" s="39" t="str">
        <f t="shared" si="872"/>
        <v/>
      </c>
      <c r="CJ65" s="39" t="str">
        <f t="shared" si="872"/>
        <v/>
      </c>
      <c r="CK65" s="39" t="str">
        <f t="shared" si="742"/>
        <v/>
      </c>
      <c r="CL65" s="39" t="str">
        <f t="shared" ref="CL65:CN65" si="873">IF(COUNT(CL61:CL64)&gt;0,SUM(CL61:CL64),"")</f>
        <v/>
      </c>
      <c r="CM65" s="39" t="str">
        <f t="shared" si="873"/>
        <v/>
      </c>
      <c r="CN65" s="39" t="str">
        <f t="shared" si="873"/>
        <v/>
      </c>
      <c r="CO65" s="39" t="str">
        <f t="shared" si="744"/>
        <v/>
      </c>
      <c r="CP65" s="39" t="str">
        <f t="shared" ref="CP65:CR65" si="874">IF(COUNT(CP61:CP64)&gt;0,SUM(CP61:CP64),"")</f>
        <v/>
      </c>
      <c r="CQ65" s="39" t="str">
        <f t="shared" si="874"/>
        <v/>
      </c>
      <c r="CR65" s="39" t="str">
        <f t="shared" si="874"/>
        <v/>
      </c>
      <c r="CS65" s="39" t="str">
        <f t="shared" si="746"/>
        <v/>
      </c>
      <c r="CT65" s="39" t="str">
        <f t="shared" ref="CT65:CV65" si="875">IF(COUNT(CT61:CT64)&gt;0,SUM(CT61:CT64),"")</f>
        <v/>
      </c>
      <c r="CU65" s="39" t="str">
        <f t="shared" si="875"/>
        <v/>
      </c>
      <c r="CV65" s="39" t="str">
        <f t="shared" si="875"/>
        <v/>
      </c>
      <c r="CW65" s="39" t="str">
        <f t="shared" si="748"/>
        <v/>
      </c>
      <c r="CX65" s="39" t="str">
        <f t="shared" ref="CX65:CZ65" si="876">IF(COUNT(CX61:CX64)&gt;0,SUM(CX61:CX64),"")</f>
        <v/>
      </c>
      <c r="CY65" s="39" t="str">
        <f t="shared" si="876"/>
        <v/>
      </c>
      <c r="CZ65" s="39" t="str">
        <f t="shared" si="876"/>
        <v/>
      </c>
      <c r="DA65" s="39" t="str">
        <f t="shared" si="750"/>
        <v/>
      </c>
      <c r="DB65" s="39" t="str">
        <f t="shared" ref="DB65:DD65" si="877">IF(COUNT(DB61:DB64)&gt;0,SUM(DB61:DB64),"")</f>
        <v/>
      </c>
      <c r="DC65" s="39" t="str">
        <f t="shared" si="877"/>
        <v/>
      </c>
      <c r="DD65" s="39" t="str">
        <f t="shared" si="877"/>
        <v/>
      </c>
      <c r="DE65" s="39" t="str">
        <f t="shared" si="752"/>
        <v/>
      </c>
      <c r="DF65" s="39" t="str">
        <f t="shared" ref="DF65:DH65" si="878">IF(COUNT(DF61:DF64)&gt;0,SUM(DF61:DF64),"")</f>
        <v/>
      </c>
      <c r="DG65" s="39" t="str">
        <f t="shared" si="878"/>
        <v/>
      </c>
      <c r="DH65" s="39" t="str">
        <f t="shared" si="878"/>
        <v/>
      </c>
      <c r="DI65" s="39" t="str">
        <f t="shared" si="754"/>
        <v/>
      </c>
      <c r="DJ65" s="39" t="str">
        <f t="shared" ref="DJ65:DL65" si="879">IF(COUNT(DJ61:DJ64)&gt;0,SUM(DJ61:DJ64),"")</f>
        <v/>
      </c>
      <c r="DK65" s="39" t="str">
        <f t="shared" si="879"/>
        <v/>
      </c>
      <c r="DL65" s="39" t="str">
        <f t="shared" si="879"/>
        <v/>
      </c>
      <c r="DM65" s="39" t="str">
        <f t="shared" si="756"/>
        <v/>
      </c>
      <c r="DN65" s="39" t="str">
        <f t="shared" ref="DN65:DP65" si="880">IF(COUNT(DN61:DN64)&gt;0,SUM(DN61:DN64),"")</f>
        <v/>
      </c>
      <c r="DO65" s="39" t="str">
        <f t="shared" si="880"/>
        <v/>
      </c>
      <c r="DP65" s="39" t="str">
        <f t="shared" si="880"/>
        <v/>
      </c>
      <c r="DQ65" s="39" t="str">
        <f t="shared" si="758"/>
        <v/>
      </c>
      <c r="DR65" s="39" t="str">
        <f t="shared" ref="DR65:DT65" si="881">IF(COUNT(DR61:DR64)&gt;0,SUM(DR61:DR64),"")</f>
        <v/>
      </c>
      <c r="DS65" s="39" t="str">
        <f t="shared" si="881"/>
        <v/>
      </c>
      <c r="DT65" s="39" t="str">
        <f t="shared" si="881"/>
        <v/>
      </c>
      <c r="DU65" s="39" t="str">
        <f t="shared" si="760"/>
        <v/>
      </c>
      <c r="DV65" s="39" t="str">
        <f t="shared" ref="DV65:DX65" si="882">IF(COUNT(DV61:DV64)&gt;0,SUM(DV61:DV64),"")</f>
        <v/>
      </c>
      <c r="DW65" s="39" t="str">
        <f t="shared" si="882"/>
        <v/>
      </c>
      <c r="DX65" s="39" t="str">
        <f t="shared" si="882"/>
        <v/>
      </c>
      <c r="DY65" s="39" t="str">
        <f t="shared" si="762"/>
        <v/>
      </c>
      <c r="DZ65" s="39" t="str">
        <f t="shared" ref="DZ65:EB65" si="883">IF(COUNT(DZ61:DZ64)&gt;0,SUM(DZ61:DZ64),"")</f>
        <v/>
      </c>
      <c r="EA65" s="39" t="str">
        <f t="shared" si="883"/>
        <v/>
      </c>
      <c r="EB65" s="39" t="str">
        <f t="shared" si="883"/>
        <v/>
      </c>
      <c r="EC65" s="39" t="str">
        <f t="shared" si="764"/>
        <v/>
      </c>
      <c r="ED65" s="39" t="str">
        <f t="shared" ref="ED65:EF65" si="884">IF(COUNT(ED61:ED64)&gt;0,SUM(ED61:ED64),"")</f>
        <v/>
      </c>
      <c r="EE65" s="39" t="str">
        <f t="shared" si="884"/>
        <v/>
      </c>
      <c r="EF65" s="39" t="str">
        <f t="shared" si="884"/>
        <v/>
      </c>
      <c r="EG65" s="39" t="str">
        <f t="shared" si="766"/>
        <v/>
      </c>
      <c r="EH65" s="39" t="str">
        <f t="shared" ref="EH65:EJ65" si="885">IF(COUNT(EH61:EH64)&gt;0,SUM(EH61:EH64),"")</f>
        <v/>
      </c>
      <c r="EI65" s="39" t="str">
        <f t="shared" si="885"/>
        <v/>
      </c>
      <c r="EJ65" s="39" t="str">
        <f t="shared" si="885"/>
        <v/>
      </c>
      <c r="EK65" s="39" t="str">
        <f t="shared" si="768"/>
        <v/>
      </c>
      <c r="EL65" s="39" t="str">
        <f t="shared" ref="EL65:EN65" si="886">IF(COUNT(EL61:EL64)&gt;0,SUM(EL61:EL64),"")</f>
        <v/>
      </c>
      <c r="EM65" s="39" t="str">
        <f t="shared" si="886"/>
        <v/>
      </c>
      <c r="EN65" s="39" t="str">
        <f t="shared" si="886"/>
        <v/>
      </c>
      <c r="EO65" s="39" t="str">
        <f t="shared" si="770"/>
        <v/>
      </c>
      <c r="EP65" s="39" t="str">
        <f t="shared" ref="EP65:ER65" si="887">IF(COUNT(EP61:EP64)&gt;0,SUM(EP61:EP64),"")</f>
        <v/>
      </c>
      <c r="EQ65" s="39" t="str">
        <f t="shared" si="887"/>
        <v/>
      </c>
      <c r="ER65" s="39" t="str">
        <f t="shared" si="887"/>
        <v/>
      </c>
      <c r="ES65" s="39" t="str">
        <f t="shared" si="772"/>
        <v/>
      </c>
    </row>
    <row r="66" ht="18.0" customHeight="1">
      <c r="A66" s="36" t="s">
        <v>68</v>
      </c>
      <c r="B66" s="39">
        <f t="shared" ref="B66:D66" si="888">SUM(EP66,EL66,EH66,ED66,DZ66,DV66,DR66,DN66,DJ66,DF66,DB66,CX66,CT66,CP66,CL66,CH66,CD66,BZ66,BV66,BR66,BN66,BJ66,BF66,BB66,AX66,AT66,AP66,AL66,AH66,AD66,Z66,V66,R66,N66,J66,F66)</f>
        <v>0</v>
      </c>
      <c r="C66" s="39">
        <f t="shared" si="888"/>
        <v>0</v>
      </c>
      <c r="D66" s="39">
        <f t="shared" si="888"/>
        <v>0</v>
      </c>
      <c r="E66" s="39">
        <f t="shared" si="700"/>
        <v>0</v>
      </c>
      <c r="F66" s="39" t="str">
        <f>IF(COUNT(F57:F64)&gt;0,SUM(F57,F60)-SUM(F58,F59,F65),"")</f>
        <v/>
      </c>
      <c r="G66" s="39">
        <f t="shared" ref="G66:H66" si="889">SUM(G57,G60)-SUM(G58,G59,G65)</f>
        <v>0</v>
      </c>
      <c r="H66" s="39">
        <f t="shared" si="889"/>
        <v>0</v>
      </c>
      <c r="I66" s="39">
        <f t="shared" si="702"/>
        <v>0</v>
      </c>
      <c r="J66" s="39" t="str">
        <f>IF(COUNT(J57:J64)&gt;0,SUM(J57,J60)-SUM(J58,J59,J65),"")</f>
        <v/>
      </c>
      <c r="K66" s="39">
        <f t="shared" ref="K66:L66" si="890">SUM(K57,K60)-SUM(K58,K59,K65)</f>
        <v>0</v>
      </c>
      <c r="L66" s="39">
        <f t="shared" si="890"/>
        <v>0</v>
      </c>
      <c r="M66" s="39">
        <f t="shared" si="704"/>
        <v>0</v>
      </c>
      <c r="N66" s="39" t="str">
        <f>IF(COUNT(N57:N64)&gt;0,SUM(N57,N60)-SUM(N58,N59,N65),"")</f>
        <v/>
      </c>
      <c r="O66" s="39">
        <f t="shared" ref="O66:P66" si="891">SUM(O57,O60)-SUM(O58,O59,O65)</f>
        <v>0</v>
      </c>
      <c r="P66" s="39">
        <f t="shared" si="891"/>
        <v>0</v>
      </c>
      <c r="Q66" s="39">
        <f t="shared" si="706"/>
        <v>0</v>
      </c>
      <c r="R66" s="39" t="str">
        <f>IF(COUNT(R57:R64)&gt;0,SUM(R57,R60)-SUM(R58,R59,R65),"")</f>
        <v/>
      </c>
      <c r="S66" s="39">
        <f t="shared" ref="S66:T66" si="892">SUM(S57,S60)-SUM(S58,S59,S65)</f>
        <v>0</v>
      </c>
      <c r="T66" s="39">
        <f t="shared" si="892"/>
        <v>0</v>
      </c>
      <c r="U66" s="39">
        <f t="shared" si="708"/>
        <v>0</v>
      </c>
      <c r="V66" s="39" t="str">
        <f>IF(COUNT(V57:V64)&gt;0,SUM(V57,V60)-SUM(V58,V59,V65),"")</f>
        <v/>
      </c>
      <c r="W66" s="39">
        <f t="shared" ref="W66:X66" si="893">SUM(W57,W60)-SUM(W58,W59,W65)</f>
        <v>0</v>
      </c>
      <c r="X66" s="39">
        <f t="shared" si="893"/>
        <v>0</v>
      </c>
      <c r="Y66" s="39">
        <f t="shared" si="710"/>
        <v>0</v>
      </c>
      <c r="Z66" s="39" t="str">
        <f>IF(COUNT(Z57:Z64)&gt;0,SUM(Z57,Z60)-SUM(Z58,Z59,Z65),"")</f>
        <v/>
      </c>
      <c r="AA66" s="39">
        <f t="shared" ref="AA66:AB66" si="894">SUM(AA57,AA60)-SUM(AA58,AA59,AA65)</f>
        <v>0</v>
      </c>
      <c r="AB66" s="39">
        <f t="shared" si="894"/>
        <v>0</v>
      </c>
      <c r="AC66" s="39">
        <f t="shared" si="712"/>
        <v>0</v>
      </c>
      <c r="AD66" s="39" t="str">
        <f>IF(COUNT(AD57:AD64)&gt;0,SUM(AD57,AD60)-SUM(AD58,AD59,AD65),"")</f>
        <v/>
      </c>
      <c r="AE66" s="39">
        <f t="shared" ref="AE66:AF66" si="895">SUM(AE57,AE60)-SUM(AE58,AE59,AE65)</f>
        <v>0</v>
      </c>
      <c r="AF66" s="39">
        <f t="shared" si="895"/>
        <v>0</v>
      </c>
      <c r="AG66" s="39">
        <f t="shared" si="714"/>
        <v>0</v>
      </c>
      <c r="AH66" s="39" t="str">
        <f>IF(COUNT(AH57:AH64)&gt;0,SUM(AH57,AH60)-SUM(AH58,AH59,AH65),"")</f>
        <v/>
      </c>
      <c r="AI66" s="39">
        <f t="shared" ref="AI66:AJ66" si="896">SUM(AI57,AI60)-SUM(AI58,AI59,AI65)</f>
        <v>0</v>
      </c>
      <c r="AJ66" s="39">
        <f t="shared" si="896"/>
        <v>0</v>
      </c>
      <c r="AK66" s="39">
        <f t="shared" si="716"/>
        <v>0</v>
      </c>
      <c r="AL66" s="39" t="str">
        <f>IF(COUNT(AL57:AL64)&gt;0,SUM(AL57,AL60)-SUM(AL58,AL59,AL65),"")</f>
        <v/>
      </c>
      <c r="AM66" s="39">
        <f t="shared" ref="AM66:AN66" si="897">SUM(AM57,AM60)-SUM(AM58,AM59,AM65)</f>
        <v>0</v>
      </c>
      <c r="AN66" s="39">
        <f t="shared" si="897"/>
        <v>0</v>
      </c>
      <c r="AO66" s="39">
        <f t="shared" si="718"/>
        <v>0</v>
      </c>
      <c r="AP66" s="39" t="str">
        <f>IF(COUNT(AP57:AP64)&gt;0,SUM(AP57,AP60)-SUM(AP58,AP59,AP65),"")</f>
        <v/>
      </c>
      <c r="AQ66" s="39">
        <f t="shared" ref="AQ66:AR66" si="898">SUM(AQ57,AQ60)-SUM(AQ58,AQ59,AQ65)</f>
        <v>0</v>
      </c>
      <c r="AR66" s="39">
        <f t="shared" si="898"/>
        <v>0</v>
      </c>
      <c r="AS66" s="39">
        <f t="shared" si="720"/>
        <v>0</v>
      </c>
      <c r="AT66" s="39" t="str">
        <f>IF(COUNT(AT57:AT64)&gt;0,SUM(AT57,AT60)-SUM(AT58,AT59,AT65),"")</f>
        <v/>
      </c>
      <c r="AU66" s="39">
        <f t="shared" ref="AU66:AV66" si="899">SUM(AU57,AU60)-SUM(AU58,AU59,AU65)</f>
        <v>0</v>
      </c>
      <c r="AV66" s="39">
        <f t="shared" si="899"/>
        <v>0</v>
      </c>
      <c r="AW66" s="39">
        <f t="shared" si="722"/>
        <v>0</v>
      </c>
      <c r="AX66" s="39" t="str">
        <f>IF(COUNT(AX57:AX64)&gt;0,SUM(AX57,AX60)-SUM(AX58,AX59,AX65),"")</f>
        <v/>
      </c>
      <c r="AY66" s="39">
        <f t="shared" ref="AY66:AZ66" si="900">SUM(AY57,AY60)-SUM(AY58,AY59,AY65)</f>
        <v>0</v>
      </c>
      <c r="AZ66" s="39">
        <f t="shared" si="900"/>
        <v>0</v>
      </c>
      <c r="BA66" s="39">
        <f t="shared" si="724"/>
        <v>0</v>
      </c>
      <c r="BB66" s="39" t="str">
        <f>IF(COUNT(BB57:BB64)&gt;0,SUM(BB57,BB60)-SUM(BB58,BB59,BB65),"")</f>
        <v/>
      </c>
      <c r="BC66" s="39">
        <f t="shared" ref="BC66:BD66" si="901">SUM(BC57,BC60)-SUM(BC58,BC59,BC65)</f>
        <v>0</v>
      </c>
      <c r="BD66" s="39">
        <f t="shared" si="901"/>
        <v>0</v>
      </c>
      <c r="BE66" s="39">
        <f t="shared" si="726"/>
        <v>0</v>
      </c>
      <c r="BF66" s="39" t="str">
        <f>IF(COUNT(BF57:BF64)&gt;0,SUM(BF57,BF60)-SUM(BF58,BF59,BF65),"")</f>
        <v/>
      </c>
      <c r="BG66" s="39">
        <f t="shared" ref="BG66:BH66" si="902">SUM(BG57,BG60)-SUM(BG58,BG59,BG65)</f>
        <v>0</v>
      </c>
      <c r="BH66" s="39">
        <f t="shared" si="902"/>
        <v>0</v>
      </c>
      <c r="BI66" s="39">
        <f t="shared" si="728"/>
        <v>0</v>
      </c>
      <c r="BJ66" s="39" t="str">
        <f>IF(COUNT(BJ57:BJ64)&gt;0,SUM(BJ57,BJ60)-SUM(BJ58,BJ59,BJ65),"")</f>
        <v/>
      </c>
      <c r="BK66" s="39">
        <f t="shared" ref="BK66:BL66" si="903">SUM(BK57,BK60)-SUM(BK58,BK59,BK65)</f>
        <v>0</v>
      </c>
      <c r="BL66" s="39">
        <f t="shared" si="903"/>
        <v>0</v>
      </c>
      <c r="BM66" s="39">
        <f t="shared" si="730"/>
        <v>0</v>
      </c>
      <c r="BN66" s="39" t="str">
        <f>IF(COUNT(BN57:BN64)&gt;0,SUM(BN57,BN60)-SUM(BN58,BN59,BN65),"")</f>
        <v/>
      </c>
      <c r="BO66" s="39">
        <f t="shared" ref="BO66:BP66" si="904">SUM(BO57,BO60)-SUM(BO58,BO59,BO65)</f>
        <v>0</v>
      </c>
      <c r="BP66" s="39">
        <f t="shared" si="904"/>
        <v>0</v>
      </c>
      <c r="BQ66" s="39">
        <f t="shared" si="732"/>
        <v>0</v>
      </c>
      <c r="BR66" s="39" t="str">
        <f>IF(COUNT(BR57:BR64)&gt;0,SUM(BR57,BR60)-SUM(BR58,BR59,BR65),"")</f>
        <v/>
      </c>
      <c r="BS66" s="39">
        <f t="shared" ref="BS66:BT66" si="905">SUM(BS57,BS60)-SUM(BS58,BS59,BS65)</f>
        <v>0</v>
      </c>
      <c r="BT66" s="39">
        <f t="shared" si="905"/>
        <v>0</v>
      </c>
      <c r="BU66" s="39">
        <f t="shared" si="734"/>
        <v>0</v>
      </c>
      <c r="BV66" s="39" t="str">
        <f>IF(COUNT(BV57:BV64)&gt;0,SUM(BV57,BV60)-SUM(BV58,BV59,BV65),"")</f>
        <v/>
      </c>
      <c r="BW66" s="39">
        <f t="shared" ref="BW66:BX66" si="906">SUM(BW57,BW60)-SUM(BW58,BW59,BW65)</f>
        <v>0</v>
      </c>
      <c r="BX66" s="39">
        <f t="shared" si="906"/>
        <v>0</v>
      </c>
      <c r="BY66" s="39">
        <f t="shared" si="736"/>
        <v>0</v>
      </c>
      <c r="BZ66" s="39" t="str">
        <f>IF(COUNT(BZ57:BZ64)&gt;0,SUM(BZ57,BZ60)-SUM(BZ58,BZ59,BZ65),"")</f>
        <v/>
      </c>
      <c r="CA66" s="39">
        <f t="shared" ref="CA66:CB66" si="907">SUM(CA57,CA60)-SUM(CA58,CA59,CA65)</f>
        <v>0</v>
      </c>
      <c r="CB66" s="39">
        <f t="shared" si="907"/>
        <v>0</v>
      </c>
      <c r="CC66" s="39">
        <f t="shared" si="738"/>
        <v>0</v>
      </c>
      <c r="CD66" s="39" t="str">
        <f>IF(COUNT(CD57:CD64)&gt;0,SUM(CD57,CD60)-SUM(CD58,CD59,CD65),"")</f>
        <v/>
      </c>
      <c r="CE66" s="39">
        <f t="shared" ref="CE66:CF66" si="908">SUM(CE57,CE60)-SUM(CE58,CE59,CE65)</f>
        <v>0</v>
      </c>
      <c r="CF66" s="39">
        <f t="shared" si="908"/>
        <v>0</v>
      </c>
      <c r="CG66" s="39">
        <f t="shared" si="740"/>
        <v>0</v>
      </c>
      <c r="CH66" s="39" t="str">
        <f>IF(COUNT(CH57:CH64)&gt;0,SUM(CH57,CH60)-SUM(CH58,CH59,CH65),"")</f>
        <v/>
      </c>
      <c r="CI66" s="39">
        <f t="shared" ref="CI66:CJ66" si="909">SUM(CI57,CI60)-SUM(CI58,CI59,CI65)</f>
        <v>0</v>
      </c>
      <c r="CJ66" s="39">
        <f t="shared" si="909"/>
        <v>0</v>
      </c>
      <c r="CK66" s="39">
        <f t="shared" si="742"/>
        <v>0</v>
      </c>
      <c r="CL66" s="39" t="str">
        <f>IF(COUNT(CL57:CL64)&gt;0,SUM(CL57,CL60)-SUM(CL58,CL59,CL65),"")</f>
        <v/>
      </c>
      <c r="CM66" s="39">
        <f t="shared" ref="CM66:CN66" si="910">SUM(CM57,CM60)-SUM(CM58,CM59,CM65)</f>
        <v>0</v>
      </c>
      <c r="CN66" s="39">
        <f t="shared" si="910"/>
        <v>0</v>
      </c>
      <c r="CO66" s="39">
        <f t="shared" si="744"/>
        <v>0</v>
      </c>
      <c r="CP66" s="39" t="str">
        <f>IF(COUNT(CP57:CP64)&gt;0,SUM(CP57,CP60)-SUM(CP58,CP59,CP65),"")</f>
        <v/>
      </c>
      <c r="CQ66" s="39">
        <f t="shared" ref="CQ66:CR66" si="911">SUM(CQ57,CQ60)-SUM(CQ58,CQ59,CQ65)</f>
        <v>0</v>
      </c>
      <c r="CR66" s="39">
        <f t="shared" si="911"/>
        <v>0</v>
      </c>
      <c r="CS66" s="39">
        <f t="shared" si="746"/>
        <v>0</v>
      </c>
      <c r="CT66" s="39" t="str">
        <f>IF(COUNT(CT57:CT64)&gt;0,SUM(CT57,CT60)-SUM(CT58,CT59,CT65),"")</f>
        <v/>
      </c>
      <c r="CU66" s="39">
        <f t="shared" ref="CU66:CV66" si="912">SUM(CU57,CU60)-SUM(CU58,CU59,CU65)</f>
        <v>0</v>
      </c>
      <c r="CV66" s="39">
        <f t="shared" si="912"/>
        <v>0</v>
      </c>
      <c r="CW66" s="39">
        <f t="shared" si="748"/>
        <v>0</v>
      </c>
      <c r="CX66" s="39" t="str">
        <f>IF(COUNT(CX57:CX64)&gt;0,SUM(CX57,CX60)-SUM(CX58,CX59,CX65),"")</f>
        <v/>
      </c>
      <c r="CY66" s="39">
        <f t="shared" ref="CY66:CZ66" si="913">SUM(CY57,CY60)-SUM(CY58,CY59,CY65)</f>
        <v>0</v>
      </c>
      <c r="CZ66" s="39">
        <f t="shared" si="913"/>
        <v>0</v>
      </c>
      <c r="DA66" s="39">
        <f t="shared" si="750"/>
        <v>0</v>
      </c>
      <c r="DB66" s="39" t="str">
        <f>IF(COUNT(DB57:DB64)&gt;0,SUM(DB57,DB60)-SUM(DB58,DB59,DB65),"")</f>
        <v/>
      </c>
      <c r="DC66" s="39">
        <f t="shared" ref="DC66:DD66" si="914">SUM(DC57,DC60)-SUM(DC58,DC59,DC65)</f>
        <v>0</v>
      </c>
      <c r="DD66" s="39">
        <f t="shared" si="914"/>
        <v>0</v>
      </c>
      <c r="DE66" s="39">
        <f t="shared" si="752"/>
        <v>0</v>
      </c>
      <c r="DF66" s="39" t="str">
        <f>IF(COUNT(DF57:DF64)&gt;0,SUM(DF57,DF60)-SUM(DF58,DF59,DF65),"")</f>
        <v/>
      </c>
      <c r="DG66" s="39">
        <f t="shared" ref="DG66:DH66" si="915">SUM(DG57,DG60)-SUM(DG58,DG59,DG65)</f>
        <v>0</v>
      </c>
      <c r="DH66" s="39">
        <f t="shared" si="915"/>
        <v>0</v>
      </c>
      <c r="DI66" s="39">
        <f t="shared" si="754"/>
        <v>0</v>
      </c>
      <c r="DJ66" s="39" t="str">
        <f>IF(COUNT(DJ57:DJ64)&gt;0,SUM(DJ57,DJ60)-SUM(DJ58,DJ59,DJ65),"")</f>
        <v/>
      </c>
      <c r="DK66" s="39">
        <f t="shared" ref="DK66:DL66" si="916">SUM(DK57,DK60)-SUM(DK58,DK59,DK65)</f>
        <v>0</v>
      </c>
      <c r="DL66" s="39">
        <f t="shared" si="916"/>
        <v>0</v>
      </c>
      <c r="DM66" s="39">
        <f t="shared" si="756"/>
        <v>0</v>
      </c>
      <c r="DN66" s="39" t="str">
        <f>IF(COUNT(DN57:DN64)&gt;0,SUM(DN57,DN60)-SUM(DN58,DN59,DN65),"")</f>
        <v/>
      </c>
      <c r="DO66" s="39">
        <f t="shared" ref="DO66:DP66" si="917">SUM(DO57,DO60)-SUM(DO58,DO59,DO65)</f>
        <v>0</v>
      </c>
      <c r="DP66" s="39">
        <f t="shared" si="917"/>
        <v>0</v>
      </c>
      <c r="DQ66" s="39">
        <f t="shared" si="758"/>
        <v>0</v>
      </c>
      <c r="DR66" s="39" t="str">
        <f>IF(COUNT(DR57:DR64)&gt;0,SUM(DR57,DR60)-SUM(DR58,DR59,DR65),"")</f>
        <v/>
      </c>
      <c r="DS66" s="39">
        <f t="shared" ref="DS66:DT66" si="918">SUM(DS57,DS60)-SUM(DS58,DS59,DS65)</f>
        <v>0</v>
      </c>
      <c r="DT66" s="39">
        <f t="shared" si="918"/>
        <v>0</v>
      </c>
      <c r="DU66" s="39">
        <f t="shared" si="760"/>
        <v>0</v>
      </c>
      <c r="DV66" s="39" t="str">
        <f>IF(COUNT(DV57:DV64)&gt;0,SUM(DV57,DV60)-SUM(DV58,DV59,DV65),"")</f>
        <v/>
      </c>
      <c r="DW66" s="39">
        <f t="shared" ref="DW66:DX66" si="919">SUM(DW57,DW60)-SUM(DW58,DW59,DW65)</f>
        <v>0</v>
      </c>
      <c r="DX66" s="39">
        <f t="shared" si="919"/>
        <v>0</v>
      </c>
      <c r="DY66" s="39">
        <f t="shared" si="762"/>
        <v>0</v>
      </c>
      <c r="DZ66" s="39" t="str">
        <f>IF(COUNT(DZ57:DZ64)&gt;0,SUM(DZ57,DZ60)-SUM(DZ58,DZ59,DZ65),"")</f>
        <v/>
      </c>
      <c r="EA66" s="39">
        <f t="shared" ref="EA66:EB66" si="920">SUM(EA57,EA60)-SUM(EA58,EA59,EA65)</f>
        <v>0</v>
      </c>
      <c r="EB66" s="39">
        <f t="shared" si="920"/>
        <v>0</v>
      </c>
      <c r="EC66" s="39">
        <f t="shared" si="764"/>
        <v>0</v>
      </c>
      <c r="ED66" s="39" t="str">
        <f>IF(COUNT(ED57:ED64)&gt;0,SUM(ED57,ED60)-SUM(ED58,ED59,ED65),"")</f>
        <v/>
      </c>
      <c r="EE66" s="39">
        <f t="shared" ref="EE66:EF66" si="921">SUM(EE57,EE60)-SUM(EE58,EE59,EE65)</f>
        <v>0</v>
      </c>
      <c r="EF66" s="39">
        <f t="shared" si="921"/>
        <v>0</v>
      </c>
      <c r="EG66" s="39">
        <f t="shared" si="766"/>
        <v>0</v>
      </c>
      <c r="EH66" s="39" t="str">
        <f>IF(COUNT(EH57:EH64)&gt;0,SUM(EH57,EH60)-SUM(EH58,EH59,EH65),"")</f>
        <v/>
      </c>
      <c r="EI66" s="39">
        <f t="shared" ref="EI66:EJ66" si="922">SUM(EI57,EI60)-SUM(EI58,EI59,EI65)</f>
        <v>0</v>
      </c>
      <c r="EJ66" s="39">
        <f t="shared" si="922"/>
        <v>0</v>
      </c>
      <c r="EK66" s="39">
        <f t="shared" si="768"/>
        <v>0</v>
      </c>
      <c r="EL66" s="39" t="str">
        <f>IF(COUNT(EL57:EL64)&gt;0,SUM(EL57,EL60)-SUM(EL58,EL59,EL65),"")</f>
        <v/>
      </c>
      <c r="EM66" s="39">
        <f t="shared" ref="EM66:EN66" si="923">SUM(EM57,EM60)-SUM(EM58,EM59,EM65)</f>
        <v>0</v>
      </c>
      <c r="EN66" s="39">
        <f t="shared" si="923"/>
        <v>0</v>
      </c>
      <c r="EO66" s="39">
        <f t="shared" si="770"/>
        <v>0</v>
      </c>
      <c r="EP66" s="39" t="str">
        <f>IF(COUNT(EP57:EP64)&gt;0,SUM(EP57,EP60)-SUM(EP58,EP59,EP65),"")</f>
        <v/>
      </c>
      <c r="EQ66" s="39">
        <f t="shared" ref="EQ66:ER66" si="924">SUM(EQ57,EQ60)-SUM(EQ58,EQ59,EQ65)</f>
        <v>0</v>
      </c>
      <c r="ER66" s="39">
        <f t="shared" si="924"/>
        <v>0</v>
      </c>
      <c r="ES66" s="39">
        <f t="shared" si="772"/>
        <v>0</v>
      </c>
    </row>
    <row r="67" ht="18.0" customHeight="1">
      <c r="A67" s="2" t="s">
        <v>69</v>
      </c>
      <c r="B67" s="30" t="str">
        <f t="shared" ref="B67:D67" si="925">EP67</f>
        <v/>
      </c>
      <c r="C67" s="31" t="str">
        <f t="shared" si="925"/>
        <v/>
      </c>
      <c r="D67" s="32" t="str">
        <f t="shared" si="925"/>
        <v/>
      </c>
      <c r="E67" s="33" t="str">
        <f t="shared" si="700"/>
        <v/>
      </c>
      <c r="F67" s="30" t="str">
        <f>IF(F66="","",IF(J$98=1,J68,K68))</f>
        <v/>
      </c>
      <c r="G67" s="31">
        <f>IF(J$98=1,J68,K68)</f>
        <v>0</v>
      </c>
      <c r="H67" s="32">
        <f>L68</f>
        <v>0</v>
      </c>
      <c r="I67" s="33">
        <f t="shared" si="702"/>
        <v>0</v>
      </c>
      <c r="J67" s="30" t="str">
        <f>IF(J66="","",IF(N$98=1,N68,O68))</f>
        <v/>
      </c>
      <c r="K67" s="31">
        <f>IF(N$98=1,N68,O68)</f>
        <v>0</v>
      </c>
      <c r="L67" s="32">
        <f>P68</f>
        <v>0</v>
      </c>
      <c r="M67" s="33">
        <f t="shared" si="704"/>
        <v>0</v>
      </c>
      <c r="N67" s="30" t="str">
        <f>IF(N66="","",IF(R$98=1,R68,S68))</f>
        <v/>
      </c>
      <c r="O67" s="31">
        <f>IF(R$98=1,R68,S68)</f>
        <v>0</v>
      </c>
      <c r="P67" s="32">
        <f>T68</f>
        <v>0</v>
      </c>
      <c r="Q67" s="33">
        <f t="shared" si="706"/>
        <v>0</v>
      </c>
      <c r="R67" s="30" t="str">
        <f>IF(R66="","",IF(V$98=1,V68,W68))</f>
        <v/>
      </c>
      <c r="S67" s="31">
        <f>IF(V$98=1,V68,W68)</f>
        <v>0</v>
      </c>
      <c r="T67" s="32">
        <f>X68</f>
        <v>0</v>
      </c>
      <c r="U67" s="33">
        <f t="shared" si="708"/>
        <v>0</v>
      </c>
      <c r="V67" s="30" t="str">
        <f>IF(V66="","",IF(Z$98=1,Z68,AA68))</f>
        <v/>
      </c>
      <c r="W67" s="31">
        <f>IF(Z$98=1,Z68,AA68)</f>
        <v>0</v>
      </c>
      <c r="X67" s="32">
        <f>AB68</f>
        <v>0</v>
      </c>
      <c r="Y67" s="33">
        <f t="shared" si="710"/>
        <v>0</v>
      </c>
      <c r="Z67" s="30" t="str">
        <f>IF(Z66="","",IF(AD$98=1,AD68,AE68))</f>
        <v/>
      </c>
      <c r="AA67" s="31">
        <f>IF(AD$98=1,AD68,AE68)</f>
        <v>0</v>
      </c>
      <c r="AB67" s="32">
        <f>AF68</f>
        <v>0</v>
      </c>
      <c r="AC67" s="33">
        <f t="shared" si="712"/>
        <v>0</v>
      </c>
      <c r="AD67" s="30" t="str">
        <f>IF(AD66="","",IF(AH$98=1,AH68,AI68))</f>
        <v/>
      </c>
      <c r="AE67" s="31">
        <f>IF(AH$98=1,AH68,AI68)</f>
        <v>0</v>
      </c>
      <c r="AF67" s="32">
        <f>AJ68</f>
        <v>0</v>
      </c>
      <c r="AG67" s="33">
        <f t="shared" si="714"/>
        <v>0</v>
      </c>
      <c r="AH67" s="30" t="str">
        <f>IF(AH66="","",IF(AL$98=1,AL68,AM68))</f>
        <v/>
      </c>
      <c r="AI67" s="31">
        <f>IF(AL$98=1,AL68,AM68)</f>
        <v>0</v>
      </c>
      <c r="AJ67" s="32">
        <f>AN68</f>
        <v>0</v>
      </c>
      <c r="AK67" s="33">
        <f t="shared" si="716"/>
        <v>0</v>
      </c>
      <c r="AL67" s="30" t="str">
        <f>IF(AL66="","",IF(AP$98=1,AP68,AQ68))</f>
        <v/>
      </c>
      <c r="AM67" s="31">
        <f>IF(AP$98=1,AP68,AQ68)</f>
        <v>0</v>
      </c>
      <c r="AN67" s="32">
        <f>AR68</f>
        <v>0</v>
      </c>
      <c r="AO67" s="33">
        <f t="shared" si="718"/>
        <v>0</v>
      </c>
      <c r="AP67" s="30" t="str">
        <f>IF(AP66="","",IF(AT$98=1,AT68,AU68))</f>
        <v/>
      </c>
      <c r="AQ67" s="31">
        <f>IF(AT$98=1,AT68,AU68)</f>
        <v>0</v>
      </c>
      <c r="AR67" s="32">
        <f>AV68</f>
        <v>0</v>
      </c>
      <c r="AS67" s="33">
        <f t="shared" si="720"/>
        <v>0</v>
      </c>
      <c r="AT67" s="30" t="str">
        <f>IF(AT66="","",IF(AX$98=1,AX68,AY68))</f>
        <v/>
      </c>
      <c r="AU67" s="31">
        <f>IF(AX$98=1,AX68,AY68)</f>
        <v>0</v>
      </c>
      <c r="AV67" s="32">
        <f>AZ68</f>
        <v>0</v>
      </c>
      <c r="AW67" s="33">
        <f t="shared" si="722"/>
        <v>0</v>
      </c>
      <c r="AX67" s="30" t="str">
        <f>IF(AX66="","",IF(BB$98=1,BB68,BC68))</f>
        <v/>
      </c>
      <c r="AY67" s="31">
        <f>IF(BB$98=1,BB68,BC68)</f>
        <v>0</v>
      </c>
      <c r="AZ67" s="32">
        <f>BD68</f>
        <v>0</v>
      </c>
      <c r="BA67" s="33">
        <f t="shared" si="724"/>
        <v>0</v>
      </c>
      <c r="BB67" s="30" t="str">
        <f>IF(BB66="","",IF(BF$98=1,BF68,BG68))</f>
        <v/>
      </c>
      <c r="BC67" s="31">
        <f>IF(BF$98=1,BF68,BG68)</f>
        <v>0</v>
      </c>
      <c r="BD67" s="32">
        <f>BH68</f>
        <v>0</v>
      </c>
      <c r="BE67" s="33">
        <f t="shared" si="726"/>
        <v>0</v>
      </c>
      <c r="BF67" s="30" t="str">
        <f>IF(BF66="","",IF(BJ$98=1,BJ68,BK68))</f>
        <v/>
      </c>
      <c r="BG67" s="31">
        <f>IF(BJ$98=1,BJ68,BK68)</f>
        <v>0</v>
      </c>
      <c r="BH67" s="32">
        <f>BL68</f>
        <v>0</v>
      </c>
      <c r="BI67" s="33">
        <f t="shared" si="728"/>
        <v>0</v>
      </c>
      <c r="BJ67" s="30" t="str">
        <f>IF(BJ66="","",IF(BN$98=1,BN68,BO68))</f>
        <v/>
      </c>
      <c r="BK67" s="31">
        <f>IF(BN$98=1,BN68,BO68)</f>
        <v>0</v>
      </c>
      <c r="BL67" s="32">
        <f>BP68</f>
        <v>0</v>
      </c>
      <c r="BM67" s="33">
        <f t="shared" si="730"/>
        <v>0</v>
      </c>
      <c r="BN67" s="30" t="str">
        <f>IF(BN66="","",IF(BR$98=1,BR68,BS68))</f>
        <v/>
      </c>
      <c r="BO67" s="31">
        <f>IF(BR$98=1,BR68,BS68)</f>
        <v>0</v>
      </c>
      <c r="BP67" s="32">
        <f>BT68</f>
        <v>0</v>
      </c>
      <c r="BQ67" s="33">
        <f t="shared" si="732"/>
        <v>0</v>
      </c>
      <c r="BR67" s="30" t="str">
        <f>IF(BR66="","",IF(BV$98=1,BV68,BW68))</f>
        <v/>
      </c>
      <c r="BS67" s="31">
        <f>IF(BV$98=1,BV68,BW68)</f>
        <v>0</v>
      </c>
      <c r="BT67" s="32">
        <f>BX68</f>
        <v>0</v>
      </c>
      <c r="BU67" s="33">
        <f t="shared" si="734"/>
        <v>0</v>
      </c>
      <c r="BV67" s="30" t="str">
        <f>IF(BV66="","",IF(BZ$98=1,BZ68,CA68))</f>
        <v/>
      </c>
      <c r="BW67" s="31">
        <f>IF(BZ$98=1,BZ68,CA68)</f>
        <v>0</v>
      </c>
      <c r="BX67" s="32">
        <f>CB68</f>
        <v>0</v>
      </c>
      <c r="BY67" s="33">
        <f t="shared" si="736"/>
        <v>0</v>
      </c>
      <c r="BZ67" s="30" t="str">
        <f>IF(BZ66="","",IF(CD$98=1,CD68,CE68))</f>
        <v/>
      </c>
      <c r="CA67" s="31">
        <f>IF(CD$98=1,CD68,CE68)</f>
        <v>0</v>
      </c>
      <c r="CB67" s="32">
        <f>CF68</f>
        <v>0</v>
      </c>
      <c r="CC67" s="33">
        <f t="shared" si="738"/>
        <v>0</v>
      </c>
      <c r="CD67" s="30" t="str">
        <f>IF(CD66="","",IF(CH$98=1,CH68,CI68))</f>
        <v/>
      </c>
      <c r="CE67" s="31">
        <f>IF(CH$98=1,CH68,CI68)</f>
        <v>0</v>
      </c>
      <c r="CF67" s="32">
        <f>CJ68</f>
        <v>0</v>
      </c>
      <c r="CG67" s="33">
        <f t="shared" si="740"/>
        <v>0</v>
      </c>
      <c r="CH67" s="30" t="str">
        <f>IF(CH66="","",IF(CL$98=1,CL68,CM68))</f>
        <v/>
      </c>
      <c r="CI67" s="31">
        <f>IF(CL$98=1,CL68,CM68)</f>
        <v>0</v>
      </c>
      <c r="CJ67" s="32">
        <f>CN68</f>
        <v>0</v>
      </c>
      <c r="CK67" s="33">
        <f t="shared" si="742"/>
        <v>0</v>
      </c>
      <c r="CL67" s="30" t="str">
        <f>IF(CL66="","",IF(CP$98=1,CP68,CQ68))</f>
        <v/>
      </c>
      <c r="CM67" s="31">
        <f>IF(CP$98=1,CP68,CQ68)</f>
        <v>0</v>
      </c>
      <c r="CN67" s="32">
        <f>CR68</f>
        <v>0</v>
      </c>
      <c r="CO67" s="33">
        <f t="shared" si="744"/>
        <v>0</v>
      </c>
      <c r="CP67" s="30" t="str">
        <f>IF(CP66="","",IF(CT$98=1,CT68,CU68))</f>
        <v/>
      </c>
      <c r="CQ67" s="31">
        <f>IF(CT$98=1,CT68,CU68)</f>
        <v>0</v>
      </c>
      <c r="CR67" s="32">
        <f>CV68</f>
        <v>0</v>
      </c>
      <c r="CS67" s="33">
        <f t="shared" si="746"/>
        <v>0</v>
      </c>
      <c r="CT67" s="30" t="str">
        <f>IF(CT66="","",IF(CX$98=1,CX68,CY68))</f>
        <v/>
      </c>
      <c r="CU67" s="31">
        <f>IF(CX$98=1,CX68,CY68)</f>
        <v>0</v>
      </c>
      <c r="CV67" s="32">
        <f>CZ68</f>
        <v>0</v>
      </c>
      <c r="CW67" s="33">
        <f t="shared" si="748"/>
        <v>0</v>
      </c>
      <c r="CX67" s="30" t="str">
        <f>IF(CX66="","",IF(DB$98=1,DB68,DC68))</f>
        <v/>
      </c>
      <c r="CY67" s="31">
        <f>IF(DB$98=1,DB68,DC68)</f>
        <v>0</v>
      </c>
      <c r="CZ67" s="32">
        <f>DD68</f>
        <v>0</v>
      </c>
      <c r="DA67" s="33">
        <f t="shared" si="750"/>
        <v>0</v>
      </c>
      <c r="DB67" s="30" t="str">
        <f>IF(DB66="","",IF(DF$98=1,DF68,DG68))</f>
        <v/>
      </c>
      <c r="DC67" s="31">
        <f>IF(DF$98=1,DF68,DG68)</f>
        <v>0</v>
      </c>
      <c r="DD67" s="32">
        <f>DH68</f>
        <v>0</v>
      </c>
      <c r="DE67" s="33">
        <f t="shared" si="752"/>
        <v>0</v>
      </c>
      <c r="DF67" s="30" t="str">
        <f>IF(DF66="","",IF(DJ$98=1,DJ68,DK68))</f>
        <v/>
      </c>
      <c r="DG67" s="31">
        <f>IF(DJ$98=1,DJ68,DK68)</f>
        <v>0</v>
      </c>
      <c r="DH67" s="32">
        <f>DL68</f>
        <v>0</v>
      </c>
      <c r="DI67" s="33">
        <f t="shared" si="754"/>
        <v>0</v>
      </c>
      <c r="DJ67" s="30" t="str">
        <f>IF(DJ66="","",IF(DN$98=1,DN68,DO68))</f>
        <v/>
      </c>
      <c r="DK67" s="31">
        <f>IF(DN$98=1,DN68,DO68)</f>
        <v>0</v>
      </c>
      <c r="DL67" s="32">
        <f>DP68</f>
        <v>0</v>
      </c>
      <c r="DM67" s="33">
        <f t="shared" si="756"/>
        <v>0</v>
      </c>
      <c r="DN67" s="30" t="str">
        <f>IF(DN66="","",IF(DR$98=1,DR68,DS68))</f>
        <v/>
      </c>
      <c r="DO67" s="31">
        <f>IF(DR$98=1,DR68,DS68)</f>
        <v>0</v>
      </c>
      <c r="DP67" s="32">
        <f>DT68</f>
        <v>0</v>
      </c>
      <c r="DQ67" s="33">
        <f t="shared" si="758"/>
        <v>0</v>
      </c>
      <c r="DR67" s="30" t="str">
        <f>IF(DR66="","",IF(DV$98=1,DV68,DW68))</f>
        <v/>
      </c>
      <c r="DS67" s="31">
        <f>IF(DV$98=1,DV68,DW68)</f>
        <v>0</v>
      </c>
      <c r="DT67" s="32">
        <f>DX68</f>
        <v>0</v>
      </c>
      <c r="DU67" s="33">
        <f t="shared" si="760"/>
        <v>0</v>
      </c>
      <c r="DV67" s="30" t="str">
        <f>IF(DV66="","",IF(DZ$98=1,DZ68,EA68))</f>
        <v/>
      </c>
      <c r="DW67" s="31">
        <f>IF(DZ$98=1,DZ68,EA68)</f>
        <v>0</v>
      </c>
      <c r="DX67" s="32">
        <f>EB68</f>
        <v>0</v>
      </c>
      <c r="DY67" s="33">
        <f t="shared" si="762"/>
        <v>0</v>
      </c>
      <c r="DZ67" s="30" t="str">
        <f>IF(DZ66="","",IF(ED$98=1,ED68,EE68))</f>
        <v/>
      </c>
      <c r="EA67" s="31">
        <f>IF(ED$98=1,ED68,EE68)</f>
        <v>0</v>
      </c>
      <c r="EB67" s="32">
        <f>EF68</f>
        <v>0</v>
      </c>
      <c r="EC67" s="33">
        <f t="shared" si="764"/>
        <v>0</v>
      </c>
      <c r="ED67" s="30" t="str">
        <f>IF(ED66="","",IF(EH$98=1,EH68,EI68))</f>
        <v/>
      </c>
      <c r="EE67" s="31">
        <f>IF(EH$98=1,EH68,EI68)</f>
        <v>0</v>
      </c>
      <c r="EF67" s="32">
        <f>EJ68</f>
        <v>0</v>
      </c>
      <c r="EG67" s="33">
        <f t="shared" si="766"/>
        <v>0</v>
      </c>
      <c r="EH67" s="30" t="str">
        <f>IF(EH66="","",IF(EL$98=1,EL68,EM68))</f>
        <v/>
      </c>
      <c r="EI67" s="31">
        <f>IF(EL$98=1,EL68,EM68)</f>
        <v>0</v>
      </c>
      <c r="EJ67" s="32">
        <f>EN68</f>
        <v>0</v>
      </c>
      <c r="EK67" s="33">
        <f t="shared" si="768"/>
        <v>0</v>
      </c>
      <c r="EL67" s="30" t="str">
        <f>IF(EL66="","",IF(EP$98=1,EP68,EQ68))</f>
        <v/>
      </c>
      <c r="EM67" s="31">
        <f>IF(EP$98=1,EP68,EQ68)</f>
        <v>0</v>
      </c>
      <c r="EN67" s="32">
        <f>ER68</f>
        <v>0</v>
      </c>
      <c r="EO67" s="33">
        <f t="shared" si="770"/>
        <v>0</v>
      </c>
      <c r="EP67" s="34"/>
      <c r="EQ67" s="31" t="str">
        <f>EP67</f>
        <v/>
      </c>
      <c r="ER67" s="32" t="str">
        <f>EP67</f>
        <v/>
      </c>
      <c r="ES67" s="33" t="str">
        <f t="shared" si="772"/>
        <v/>
      </c>
    </row>
    <row r="68" ht="18.0" customHeight="1">
      <c r="A68" s="36" t="s">
        <v>70</v>
      </c>
      <c r="B68" s="39" t="str">
        <f t="shared" ref="B68:B71" si="963">IF(F$98=1,F68,IF(J$98=1,J68,IF(N$98=1,N68,IF(R$98=1,R68,IF(V$98=1,V68,IF(Z$98=1,Z68,IF(AD$98=1,AD68,IF(AH$98=1,AH68,IF(AL$98=1,AL68,IF(AP$98=1,AP68,IF(AT$98=1,AT68,IF(AX$98=1,AX68,IF(BB$98=1,BB68,IF(BF$98=1,BF68,IF(BJ$98=1,BJ68,IF(BN$98=1,BN68,IF(BR$98=1,BR68,IF(BV$98=1,BV68,IF(BZ$98=1,BZ68,IF(CD$98=1,CD68,IF(CH$98=1,CH68,IF(CL$98=1,CL68,IF(CP$98=1,CP68,IF(CT$98=1,CT68,IF(CX$98=1,CX68,IF(DB$98=1,DB68,IF(DF$98=1,DF68,IF(DJ$98=1,DJ68,IF(DN$98=1,DN68,IF(DR$98=1,DR68,IF(DV$98=1,DV68,IF(DZ$98=1,DZ68,IF(ED$98=1,ED68,IF(EH$98=1,EH68,IF(EL$98=1,EL68,IF(EP$98=1,EP68,""))))))))))))))))))))))))))))))))))))</f>
        <v/>
      </c>
      <c r="C68" s="39">
        <f t="shared" ref="C68:D68" si="926">G68</f>
        <v>0</v>
      </c>
      <c r="D68" s="39">
        <f t="shared" si="926"/>
        <v>0</v>
      </c>
      <c r="E68" s="39">
        <f t="shared" si="700"/>
        <v>0</v>
      </c>
      <c r="F68" s="39" t="str">
        <f>IF(F66="","",F67+F66)</f>
        <v/>
      </c>
      <c r="G68" s="39">
        <f t="shared" ref="G68:H68" si="927">G67+G66</f>
        <v>0</v>
      </c>
      <c r="H68" s="39">
        <f t="shared" si="927"/>
        <v>0</v>
      </c>
      <c r="I68" s="39">
        <f t="shared" si="702"/>
        <v>0</v>
      </c>
      <c r="J68" s="39" t="str">
        <f>IF(J66="","",J67+J66)</f>
        <v/>
      </c>
      <c r="K68" s="39">
        <f t="shared" ref="K68:L68" si="928">K67+K66</f>
        <v>0</v>
      </c>
      <c r="L68" s="39">
        <f t="shared" si="928"/>
        <v>0</v>
      </c>
      <c r="M68" s="39">
        <f t="shared" si="704"/>
        <v>0</v>
      </c>
      <c r="N68" s="39" t="str">
        <f>IF(N66="","",N67+N66)</f>
        <v/>
      </c>
      <c r="O68" s="39">
        <f t="shared" ref="O68:P68" si="929">O67+O66</f>
        <v>0</v>
      </c>
      <c r="P68" s="39">
        <f t="shared" si="929"/>
        <v>0</v>
      </c>
      <c r="Q68" s="39">
        <f t="shared" si="706"/>
        <v>0</v>
      </c>
      <c r="R68" s="39" t="str">
        <f>IF(R66="","",R67+R66)</f>
        <v/>
      </c>
      <c r="S68" s="39">
        <f t="shared" ref="S68:T68" si="930">S67+S66</f>
        <v>0</v>
      </c>
      <c r="T68" s="39">
        <f t="shared" si="930"/>
        <v>0</v>
      </c>
      <c r="U68" s="39">
        <f t="shared" si="708"/>
        <v>0</v>
      </c>
      <c r="V68" s="39" t="str">
        <f>IF(V66="","",V67+V66)</f>
        <v/>
      </c>
      <c r="W68" s="39">
        <f t="shared" ref="W68:X68" si="931">W67+W66</f>
        <v>0</v>
      </c>
      <c r="X68" s="39">
        <f t="shared" si="931"/>
        <v>0</v>
      </c>
      <c r="Y68" s="39">
        <f t="shared" si="710"/>
        <v>0</v>
      </c>
      <c r="Z68" s="39" t="str">
        <f>IF(Z66="","",Z67+Z66)</f>
        <v/>
      </c>
      <c r="AA68" s="39">
        <f t="shared" ref="AA68:AB68" si="932">AA67+AA66</f>
        <v>0</v>
      </c>
      <c r="AB68" s="39">
        <f t="shared" si="932"/>
        <v>0</v>
      </c>
      <c r="AC68" s="39">
        <f t="shared" si="712"/>
        <v>0</v>
      </c>
      <c r="AD68" s="39" t="str">
        <f>IF(AD66="","",AD67+AD66)</f>
        <v/>
      </c>
      <c r="AE68" s="39">
        <f t="shared" ref="AE68:AF68" si="933">AE67+AE66</f>
        <v>0</v>
      </c>
      <c r="AF68" s="39">
        <f t="shared" si="933"/>
        <v>0</v>
      </c>
      <c r="AG68" s="39">
        <f t="shared" si="714"/>
        <v>0</v>
      </c>
      <c r="AH68" s="39" t="str">
        <f>IF(AH66="","",AH67+AH66)</f>
        <v/>
      </c>
      <c r="AI68" s="39">
        <f t="shared" ref="AI68:AJ68" si="934">AI67+AI66</f>
        <v>0</v>
      </c>
      <c r="AJ68" s="39">
        <f t="shared" si="934"/>
        <v>0</v>
      </c>
      <c r="AK68" s="39">
        <f t="shared" si="716"/>
        <v>0</v>
      </c>
      <c r="AL68" s="39" t="str">
        <f>IF(AL66="","",AL67+AL66)</f>
        <v/>
      </c>
      <c r="AM68" s="39">
        <f t="shared" ref="AM68:AN68" si="935">AM67+AM66</f>
        <v>0</v>
      </c>
      <c r="AN68" s="39">
        <f t="shared" si="935"/>
        <v>0</v>
      </c>
      <c r="AO68" s="39">
        <f t="shared" si="718"/>
        <v>0</v>
      </c>
      <c r="AP68" s="39" t="str">
        <f>IF(AP66="","",AP67+AP66)</f>
        <v/>
      </c>
      <c r="AQ68" s="39">
        <f t="shared" ref="AQ68:AR68" si="936">AQ67+AQ66</f>
        <v>0</v>
      </c>
      <c r="AR68" s="39">
        <f t="shared" si="936"/>
        <v>0</v>
      </c>
      <c r="AS68" s="39">
        <f t="shared" si="720"/>
        <v>0</v>
      </c>
      <c r="AT68" s="39" t="str">
        <f>IF(AT66="","",AT67+AT66)</f>
        <v/>
      </c>
      <c r="AU68" s="39">
        <f t="shared" ref="AU68:AV68" si="937">AU67+AU66</f>
        <v>0</v>
      </c>
      <c r="AV68" s="39">
        <f t="shared" si="937"/>
        <v>0</v>
      </c>
      <c r="AW68" s="39">
        <f t="shared" si="722"/>
        <v>0</v>
      </c>
      <c r="AX68" s="39" t="str">
        <f>IF(AX66="","",AX67+AX66)</f>
        <v/>
      </c>
      <c r="AY68" s="39">
        <f t="shared" ref="AY68:AZ68" si="938">AY67+AY66</f>
        <v>0</v>
      </c>
      <c r="AZ68" s="39">
        <f t="shared" si="938"/>
        <v>0</v>
      </c>
      <c r="BA68" s="39">
        <f t="shared" si="724"/>
        <v>0</v>
      </c>
      <c r="BB68" s="39" t="str">
        <f>IF(BB66="","",BB67+BB66)</f>
        <v/>
      </c>
      <c r="BC68" s="39">
        <f t="shared" ref="BC68:BD68" si="939">BC67+BC66</f>
        <v>0</v>
      </c>
      <c r="BD68" s="39">
        <f t="shared" si="939"/>
        <v>0</v>
      </c>
      <c r="BE68" s="39">
        <f t="shared" si="726"/>
        <v>0</v>
      </c>
      <c r="BF68" s="39" t="str">
        <f>IF(BF66="","",BF67+BF66)</f>
        <v/>
      </c>
      <c r="BG68" s="39">
        <f t="shared" ref="BG68:BH68" si="940">BG67+BG66</f>
        <v>0</v>
      </c>
      <c r="BH68" s="39">
        <f t="shared" si="940"/>
        <v>0</v>
      </c>
      <c r="BI68" s="39">
        <f t="shared" si="728"/>
        <v>0</v>
      </c>
      <c r="BJ68" s="39" t="str">
        <f>IF(BJ66="","",BJ67+BJ66)</f>
        <v/>
      </c>
      <c r="BK68" s="39">
        <f t="shared" ref="BK68:BL68" si="941">BK67+BK66</f>
        <v>0</v>
      </c>
      <c r="BL68" s="39">
        <f t="shared" si="941"/>
        <v>0</v>
      </c>
      <c r="BM68" s="39">
        <f t="shared" si="730"/>
        <v>0</v>
      </c>
      <c r="BN68" s="39" t="str">
        <f>IF(BN66="","",BN67+BN66)</f>
        <v/>
      </c>
      <c r="BO68" s="39">
        <f t="shared" ref="BO68:BP68" si="942">BO67+BO66</f>
        <v>0</v>
      </c>
      <c r="BP68" s="39">
        <f t="shared" si="942"/>
        <v>0</v>
      </c>
      <c r="BQ68" s="39">
        <f t="shared" si="732"/>
        <v>0</v>
      </c>
      <c r="BR68" s="39" t="str">
        <f>IF(BR66="","",BR67+BR66)</f>
        <v/>
      </c>
      <c r="BS68" s="39">
        <f t="shared" ref="BS68:BT68" si="943">BS67+BS66</f>
        <v>0</v>
      </c>
      <c r="BT68" s="39">
        <f t="shared" si="943"/>
        <v>0</v>
      </c>
      <c r="BU68" s="39">
        <f t="shared" si="734"/>
        <v>0</v>
      </c>
      <c r="BV68" s="39" t="str">
        <f>IF(BV66="","",BV67+BV66)</f>
        <v/>
      </c>
      <c r="BW68" s="39">
        <f t="shared" ref="BW68:BX68" si="944">BW67+BW66</f>
        <v>0</v>
      </c>
      <c r="BX68" s="39">
        <f t="shared" si="944"/>
        <v>0</v>
      </c>
      <c r="BY68" s="39">
        <f t="shared" si="736"/>
        <v>0</v>
      </c>
      <c r="BZ68" s="39" t="str">
        <f>IF(BZ66="","",BZ67+BZ66)</f>
        <v/>
      </c>
      <c r="CA68" s="39">
        <f t="shared" ref="CA68:CB68" si="945">CA67+CA66</f>
        <v>0</v>
      </c>
      <c r="CB68" s="39">
        <f t="shared" si="945"/>
        <v>0</v>
      </c>
      <c r="CC68" s="39">
        <f t="shared" si="738"/>
        <v>0</v>
      </c>
      <c r="CD68" s="39" t="str">
        <f>IF(CD66="","",CD67+CD66)</f>
        <v/>
      </c>
      <c r="CE68" s="39">
        <f t="shared" ref="CE68:CF68" si="946">CE67+CE66</f>
        <v>0</v>
      </c>
      <c r="CF68" s="39">
        <f t="shared" si="946"/>
        <v>0</v>
      </c>
      <c r="CG68" s="39">
        <f t="shared" si="740"/>
        <v>0</v>
      </c>
      <c r="CH68" s="39" t="str">
        <f>IF(CH66="","",CH67+CH66)</f>
        <v/>
      </c>
      <c r="CI68" s="39">
        <f t="shared" ref="CI68:CJ68" si="947">CI67+CI66</f>
        <v>0</v>
      </c>
      <c r="CJ68" s="39">
        <f t="shared" si="947"/>
        <v>0</v>
      </c>
      <c r="CK68" s="39">
        <f t="shared" si="742"/>
        <v>0</v>
      </c>
      <c r="CL68" s="39" t="str">
        <f>IF(CL66="","",CL67+CL66)</f>
        <v/>
      </c>
      <c r="CM68" s="39">
        <f t="shared" ref="CM68:CN68" si="948">CM67+CM66</f>
        <v>0</v>
      </c>
      <c r="CN68" s="39">
        <f t="shared" si="948"/>
        <v>0</v>
      </c>
      <c r="CO68" s="39">
        <f t="shared" si="744"/>
        <v>0</v>
      </c>
      <c r="CP68" s="39" t="str">
        <f>IF(CP66="","",CP67+CP66)</f>
        <v/>
      </c>
      <c r="CQ68" s="39">
        <f t="shared" ref="CQ68:CR68" si="949">CQ67+CQ66</f>
        <v>0</v>
      </c>
      <c r="CR68" s="39">
        <f t="shared" si="949"/>
        <v>0</v>
      </c>
      <c r="CS68" s="39">
        <f t="shared" si="746"/>
        <v>0</v>
      </c>
      <c r="CT68" s="39" t="str">
        <f>IF(CT66="","",CT67+CT66)</f>
        <v/>
      </c>
      <c r="CU68" s="39">
        <f t="shared" ref="CU68:CV68" si="950">CU67+CU66</f>
        <v>0</v>
      </c>
      <c r="CV68" s="39">
        <f t="shared" si="950"/>
        <v>0</v>
      </c>
      <c r="CW68" s="39">
        <f t="shared" si="748"/>
        <v>0</v>
      </c>
      <c r="CX68" s="39" t="str">
        <f>IF(CX66="","",CX67+CX66)</f>
        <v/>
      </c>
      <c r="CY68" s="39">
        <f t="shared" ref="CY68:CZ68" si="951">CY67+CY66</f>
        <v>0</v>
      </c>
      <c r="CZ68" s="39">
        <f t="shared" si="951"/>
        <v>0</v>
      </c>
      <c r="DA68" s="39">
        <f t="shared" si="750"/>
        <v>0</v>
      </c>
      <c r="DB68" s="39" t="str">
        <f>IF(DB66="","",DB67+DB66)</f>
        <v/>
      </c>
      <c r="DC68" s="39">
        <f t="shared" ref="DC68:DD68" si="952">DC67+DC66</f>
        <v>0</v>
      </c>
      <c r="DD68" s="39">
        <f t="shared" si="952"/>
        <v>0</v>
      </c>
      <c r="DE68" s="39">
        <f t="shared" si="752"/>
        <v>0</v>
      </c>
      <c r="DF68" s="39" t="str">
        <f>IF(DF66="","",DF67+DF66)</f>
        <v/>
      </c>
      <c r="DG68" s="39">
        <f t="shared" ref="DG68:DH68" si="953">DG67+DG66</f>
        <v>0</v>
      </c>
      <c r="DH68" s="39">
        <f t="shared" si="953"/>
        <v>0</v>
      </c>
      <c r="DI68" s="39">
        <f t="shared" si="754"/>
        <v>0</v>
      </c>
      <c r="DJ68" s="39" t="str">
        <f>IF(DJ66="","",DJ67+DJ66)</f>
        <v/>
      </c>
      <c r="DK68" s="39">
        <f t="shared" ref="DK68:DL68" si="954">DK67+DK66</f>
        <v>0</v>
      </c>
      <c r="DL68" s="39">
        <f t="shared" si="954"/>
        <v>0</v>
      </c>
      <c r="DM68" s="39">
        <f t="shared" si="756"/>
        <v>0</v>
      </c>
      <c r="DN68" s="39" t="str">
        <f>IF(DN66="","",DN67+DN66)</f>
        <v/>
      </c>
      <c r="DO68" s="39">
        <f t="shared" ref="DO68:DP68" si="955">DO67+DO66</f>
        <v>0</v>
      </c>
      <c r="DP68" s="39">
        <f t="shared" si="955"/>
        <v>0</v>
      </c>
      <c r="DQ68" s="39">
        <f t="shared" si="758"/>
        <v>0</v>
      </c>
      <c r="DR68" s="39" t="str">
        <f>IF(DR66="","",DR67+DR66)</f>
        <v/>
      </c>
      <c r="DS68" s="39">
        <f t="shared" ref="DS68:DT68" si="956">DS67+DS66</f>
        <v>0</v>
      </c>
      <c r="DT68" s="39">
        <f t="shared" si="956"/>
        <v>0</v>
      </c>
      <c r="DU68" s="39">
        <f t="shared" si="760"/>
        <v>0</v>
      </c>
      <c r="DV68" s="39" t="str">
        <f>IF(DV66="","",DV67+DV66)</f>
        <v/>
      </c>
      <c r="DW68" s="39">
        <f t="shared" ref="DW68:DX68" si="957">DW67+DW66</f>
        <v>0</v>
      </c>
      <c r="DX68" s="39">
        <f t="shared" si="957"/>
        <v>0</v>
      </c>
      <c r="DY68" s="39">
        <f t="shared" si="762"/>
        <v>0</v>
      </c>
      <c r="DZ68" s="39" t="str">
        <f>IF(DZ66="","",DZ67+DZ66)</f>
        <v/>
      </c>
      <c r="EA68" s="39">
        <f t="shared" ref="EA68:EB68" si="958">EA67+EA66</f>
        <v>0</v>
      </c>
      <c r="EB68" s="39">
        <f t="shared" si="958"/>
        <v>0</v>
      </c>
      <c r="EC68" s="39">
        <f t="shared" si="764"/>
        <v>0</v>
      </c>
      <c r="ED68" s="39" t="str">
        <f>IF(ED66="","",ED67+ED66)</f>
        <v/>
      </c>
      <c r="EE68" s="39">
        <f t="shared" ref="EE68:EF68" si="959">EE67+EE66</f>
        <v>0</v>
      </c>
      <c r="EF68" s="39">
        <f t="shared" si="959"/>
        <v>0</v>
      </c>
      <c r="EG68" s="39">
        <f t="shared" si="766"/>
        <v>0</v>
      </c>
      <c r="EH68" s="39" t="str">
        <f>IF(EH66="","",EH67+EH66)</f>
        <v/>
      </c>
      <c r="EI68" s="39">
        <f t="shared" ref="EI68:EJ68" si="960">EI67+EI66</f>
        <v>0</v>
      </c>
      <c r="EJ68" s="39">
        <f t="shared" si="960"/>
        <v>0</v>
      </c>
      <c r="EK68" s="39">
        <f t="shared" si="768"/>
        <v>0</v>
      </c>
      <c r="EL68" s="39" t="str">
        <f>IF(EL66="","",EL67+EL66)</f>
        <v/>
      </c>
      <c r="EM68" s="39">
        <f t="shared" ref="EM68:EN68" si="961">EM67+EM66</f>
        <v>0</v>
      </c>
      <c r="EN68" s="39">
        <f t="shared" si="961"/>
        <v>0</v>
      </c>
      <c r="EO68" s="39">
        <f t="shared" si="770"/>
        <v>0</v>
      </c>
      <c r="EP68" s="39" t="str">
        <f>IF(EP66="","",EP67+EP66)</f>
        <v/>
      </c>
      <c r="EQ68" s="39">
        <f t="shared" ref="EQ68:ER68" si="962">EQ67+EQ66</f>
        <v>0</v>
      </c>
      <c r="ER68" s="39">
        <f t="shared" si="962"/>
        <v>0</v>
      </c>
      <c r="ES68" s="39">
        <f t="shared" si="772"/>
        <v>0</v>
      </c>
    </row>
    <row r="69" ht="18.0" customHeight="1">
      <c r="A69" s="2" t="s">
        <v>71</v>
      </c>
      <c r="B69" s="30" t="str">
        <f t="shared" si="963"/>
        <v/>
      </c>
      <c r="C69" s="31" t="str">
        <f t="shared" ref="C69:D69" si="964">G69</f>
        <v/>
      </c>
      <c r="D69" s="32" t="str">
        <f t="shared" si="964"/>
        <v/>
      </c>
      <c r="E69" s="33" t="str">
        <f t="shared" si="700"/>
        <v/>
      </c>
      <c r="F69" s="34"/>
      <c r="G69" s="31" t="str">
        <f>IF(F$98=1,F69,H69)</f>
        <v/>
      </c>
      <c r="H69" s="35"/>
      <c r="I69" s="33" t="str">
        <f t="shared" si="702"/>
        <v/>
      </c>
      <c r="J69" s="34"/>
      <c r="K69" s="31" t="str">
        <f>IF(J$98=1,J69,L69)</f>
        <v/>
      </c>
      <c r="L69" s="35"/>
      <c r="M69" s="33" t="str">
        <f t="shared" si="704"/>
        <v/>
      </c>
      <c r="N69" s="34"/>
      <c r="O69" s="31" t="str">
        <f>IF(N$98=1,N69,P69)</f>
        <v/>
      </c>
      <c r="P69" s="35"/>
      <c r="Q69" s="33" t="str">
        <f t="shared" si="706"/>
        <v/>
      </c>
      <c r="R69" s="34"/>
      <c r="S69" s="31" t="str">
        <f>IF(R$98=1,R69,T69)</f>
        <v/>
      </c>
      <c r="T69" s="35"/>
      <c r="U69" s="33" t="str">
        <f t="shared" si="708"/>
        <v/>
      </c>
      <c r="V69" s="34"/>
      <c r="W69" s="31" t="str">
        <f>IF(V$98=1,V69,X69)</f>
        <v/>
      </c>
      <c r="X69" s="35"/>
      <c r="Y69" s="33" t="str">
        <f t="shared" si="710"/>
        <v/>
      </c>
      <c r="Z69" s="34"/>
      <c r="AA69" s="31" t="str">
        <f>IF(Z$98=1,Z69,AB69)</f>
        <v/>
      </c>
      <c r="AB69" s="35"/>
      <c r="AC69" s="33" t="str">
        <f t="shared" si="712"/>
        <v/>
      </c>
      <c r="AD69" s="34"/>
      <c r="AE69" s="31" t="str">
        <f>IF(AD$98=1,AD69,AF69)</f>
        <v/>
      </c>
      <c r="AF69" s="35"/>
      <c r="AG69" s="33" t="str">
        <f t="shared" si="714"/>
        <v/>
      </c>
      <c r="AH69" s="34"/>
      <c r="AI69" s="31" t="str">
        <f>IF(AH$98=1,AH69,AJ69)</f>
        <v/>
      </c>
      <c r="AJ69" s="35"/>
      <c r="AK69" s="33" t="str">
        <f t="shared" si="716"/>
        <v/>
      </c>
      <c r="AL69" s="34"/>
      <c r="AM69" s="31" t="str">
        <f>IF(AL$98=1,AL69,AN69)</f>
        <v/>
      </c>
      <c r="AN69" s="35"/>
      <c r="AO69" s="33" t="str">
        <f t="shared" si="718"/>
        <v/>
      </c>
      <c r="AP69" s="34"/>
      <c r="AQ69" s="31" t="str">
        <f>IF(AP$98=1,AP69,AR69)</f>
        <v/>
      </c>
      <c r="AR69" s="35"/>
      <c r="AS69" s="33" t="str">
        <f t="shared" si="720"/>
        <v/>
      </c>
      <c r="AT69" s="34"/>
      <c r="AU69" s="31" t="str">
        <f>IF(AT$98=1,AT69,AV69)</f>
        <v/>
      </c>
      <c r="AV69" s="35"/>
      <c r="AW69" s="33" t="str">
        <f t="shared" si="722"/>
        <v/>
      </c>
      <c r="AX69" s="34"/>
      <c r="AY69" s="31" t="str">
        <f>IF(AX$98=1,AX69,AZ69)</f>
        <v/>
      </c>
      <c r="AZ69" s="35"/>
      <c r="BA69" s="33" t="str">
        <f t="shared" si="724"/>
        <v/>
      </c>
      <c r="BB69" s="34"/>
      <c r="BC69" s="31" t="str">
        <f>IF(BB$98=1,BB69,BD69)</f>
        <v/>
      </c>
      <c r="BD69" s="35"/>
      <c r="BE69" s="33" t="str">
        <f t="shared" si="726"/>
        <v/>
      </c>
      <c r="BF69" s="34"/>
      <c r="BG69" s="31" t="str">
        <f>IF(BF$98=1,BF69,BH69)</f>
        <v/>
      </c>
      <c r="BH69" s="35"/>
      <c r="BI69" s="33" t="str">
        <f t="shared" si="728"/>
        <v/>
      </c>
      <c r="BJ69" s="34"/>
      <c r="BK69" s="31" t="str">
        <f>IF(BJ$98=1,BJ69,BL69)</f>
        <v/>
      </c>
      <c r="BL69" s="35"/>
      <c r="BM69" s="33" t="str">
        <f t="shared" si="730"/>
        <v/>
      </c>
      <c r="BN69" s="34"/>
      <c r="BO69" s="31" t="str">
        <f>IF(BN$98=1,BN69,BP69)</f>
        <v/>
      </c>
      <c r="BP69" s="35"/>
      <c r="BQ69" s="33" t="str">
        <f t="shared" si="732"/>
        <v/>
      </c>
      <c r="BR69" s="34"/>
      <c r="BS69" s="31" t="str">
        <f>IF(BR$98=1,BR69,BT69)</f>
        <v/>
      </c>
      <c r="BT69" s="35"/>
      <c r="BU69" s="33" t="str">
        <f t="shared" si="734"/>
        <v/>
      </c>
      <c r="BV69" s="34"/>
      <c r="BW69" s="31" t="str">
        <f>IF(BV$98=1,BV69,BX69)</f>
        <v/>
      </c>
      <c r="BX69" s="35"/>
      <c r="BY69" s="33" t="str">
        <f t="shared" si="736"/>
        <v/>
      </c>
      <c r="BZ69" s="34"/>
      <c r="CA69" s="31" t="str">
        <f>IF(BZ$98=1,BZ69,CB69)</f>
        <v/>
      </c>
      <c r="CB69" s="35"/>
      <c r="CC69" s="33" t="str">
        <f t="shared" si="738"/>
        <v/>
      </c>
      <c r="CD69" s="34"/>
      <c r="CE69" s="31" t="str">
        <f>IF(CD$98=1,CD69,CF69)</f>
        <v/>
      </c>
      <c r="CF69" s="35"/>
      <c r="CG69" s="33" t="str">
        <f t="shared" si="740"/>
        <v/>
      </c>
      <c r="CH69" s="34"/>
      <c r="CI69" s="31" t="str">
        <f>IF(CH$98=1,CH69,CJ69)</f>
        <v/>
      </c>
      <c r="CJ69" s="35"/>
      <c r="CK69" s="33" t="str">
        <f t="shared" si="742"/>
        <v/>
      </c>
      <c r="CL69" s="34"/>
      <c r="CM69" s="31" t="str">
        <f>IF(CL$98=1,CL69,CN69)</f>
        <v/>
      </c>
      <c r="CN69" s="35"/>
      <c r="CO69" s="33" t="str">
        <f t="shared" si="744"/>
        <v/>
      </c>
      <c r="CP69" s="34"/>
      <c r="CQ69" s="31" t="str">
        <f>IF(CP$98=1,CP69,CR69)</f>
        <v/>
      </c>
      <c r="CR69" s="35"/>
      <c r="CS69" s="33" t="str">
        <f t="shared" si="746"/>
        <v/>
      </c>
      <c r="CT69" s="34"/>
      <c r="CU69" s="31" t="str">
        <f>IF(CT$98=1,CT69,CV69)</f>
        <v/>
      </c>
      <c r="CV69" s="35"/>
      <c r="CW69" s="33" t="str">
        <f t="shared" si="748"/>
        <v/>
      </c>
      <c r="CX69" s="34"/>
      <c r="CY69" s="31" t="str">
        <f>IF(CX$98=1,CX69,CZ69)</f>
        <v/>
      </c>
      <c r="CZ69" s="35"/>
      <c r="DA69" s="33" t="str">
        <f t="shared" si="750"/>
        <v/>
      </c>
      <c r="DB69" s="34"/>
      <c r="DC69" s="31" t="str">
        <f>IF(DB$98=1,DB69,DD69)</f>
        <v/>
      </c>
      <c r="DD69" s="35"/>
      <c r="DE69" s="33" t="str">
        <f t="shared" si="752"/>
        <v/>
      </c>
      <c r="DF69" s="34"/>
      <c r="DG69" s="31" t="str">
        <f>IF(DF$98=1,DF69,DH69)</f>
        <v/>
      </c>
      <c r="DH69" s="35"/>
      <c r="DI69" s="33" t="str">
        <f t="shared" si="754"/>
        <v/>
      </c>
      <c r="DJ69" s="34"/>
      <c r="DK69" s="31" t="str">
        <f>IF(DJ$98=1,DJ69,DL69)</f>
        <v/>
      </c>
      <c r="DL69" s="35"/>
      <c r="DM69" s="33" t="str">
        <f t="shared" si="756"/>
        <v/>
      </c>
      <c r="DN69" s="34"/>
      <c r="DO69" s="31" t="str">
        <f>IF(DN$98=1,DN69,DP69)</f>
        <v/>
      </c>
      <c r="DP69" s="35"/>
      <c r="DQ69" s="33" t="str">
        <f t="shared" si="758"/>
        <v/>
      </c>
      <c r="DR69" s="34"/>
      <c r="DS69" s="31" t="str">
        <f>IF(DR$98=1,DR69,DT69)</f>
        <v/>
      </c>
      <c r="DT69" s="35"/>
      <c r="DU69" s="33" t="str">
        <f t="shared" si="760"/>
        <v/>
      </c>
      <c r="DV69" s="34"/>
      <c r="DW69" s="31" t="str">
        <f>IF(DV$98=1,DV69,DX69)</f>
        <v/>
      </c>
      <c r="DX69" s="35"/>
      <c r="DY69" s="33" t="str">
        <f t="shared" si="762"/>
        <v/>
      </c>
      <c r="DZ69" s="34"/>
      <c r="EA69" s="31" t="str">
        <f>IF(DZ$98=1,DZ69,EB69)</f>
        <v/>
      </c>
      <c r="EB69" s="35"/>
      <c r="EC69" s="33" t="str">
        <f t="shared" si="764"/>
        <v/>
      </c>
      <c r="ED69" s="34"/>
      <c r="EE69" s="31" t="str">
        <f>IF(ED$98=1,ED69,EF69)</f>
        <v/>
      </c>
      <c r="EF69" s="35"/>
      <c r="EG69" s="33" t="str">
        <f t="shared" si="766"/>
        <v/>
      </c>
      <c r="EH69" s="34"/>
      <c r="EI69" s="31" t="str">
        <f>IF(EH$98=1,EH69,EJ69)</f>
        <v/>
      </c>
      <c r="EJ69" s="35"/>
      <c r="EK69" s="33" t="str">
        <f t="shared" si="768"/>
        <v/>
      </c>
      <c r="EL69" s="34"/>
      <c r="EM69" s="31" t="str">
        <f>IF(EL$98=1,EL69,EN69)</f>
        <v/>
      </c>
      <c r="EN69" s="35"/>
      <c r="EO69" s="33" t="str">
        <f t="shared" si="770"/>
        <v/>
      </c>
      <c r="EP69" s="34"/>
      <c r="EQ69" s="31" t="str">
        <f>IF(EP$98=1,EP69,ER69)</f>
        <v/>
      </c>
      <c r="ER69" s="35"/>
      <c r="ES69" s="33" t="str">
        <f t="shared" si="772"/>
        <v/>
      </c>
    </row>
    <row r="70" ht="18.0" customHeight="1">
      <c r="A70" s="36" t="s">
        <v>72</v>
      </c>
      <c r="B70" s="39" t="str">
        <f t="shared" si="963"/>
        <v/>
      </c>
      <c r="C70" s="39">
        <f t="shared" ref="C70:D70" si="965">G70</f>
        <v>0</v>
      </c>
      <c r="D70" s="39">
        <f t="shared" si="965"/>
        <v>0</v>
      </c>
      <c r="E70" s="39">
        <f t="shared" si="700"/>
        <v>0</v>
      </c>
      <c r="F70" s="39" t="str">
        <f t="shared" ref="F70:H70" si="966">IF(F68="","",F68-F69)</f>
        <v/>
      </c>
      <c r="G70" s="39">
        <f t="shared" si="966"/>
        <v>0</v>
      </c>
      <c r="H70" s="39">
        <f t="shared" si="966"/>
        <v>0</v>
      </c>
      <c r="I70" s="39">
        <f t="shared" si="702"/>
        <v>0</v>
      </c>
      <c r="J70" s="39" t="str">
        <f t="shared" ref="J70:L70" si="967">IF(J68="","",J68-J69)</f>
        <v/>
      </c>
      <c r="K70" s="39">
        <f t="shared" si="967"/>
        <v>0</v>
      </c>
      <c r="L70" s="39">
        <f t="shared" si="967"/>
        <v>0</v>
      </c>
      <c r="M70" s="39">
        <f t="shared" si="704"/>
        <v>0</v>
      </c>
      <c r="N70" s="39" t="str">
        <f t="shared" ref="N70:P70" si="968">IF(N68="","",N68-N69)</f>
        <v/>
      </c>
      <c r="O70" s="39">
        <f t="shared" si="968"/>
        <v>0</v>
      </c>
      <c r="P70" s="39">
        <f t="shared" si="968"/>
        <v>0</v>
      </c>
      <c r="Q70" s="39">
        <f t="shared" si="706"/>
        <v>0</v>
      </c>
      <c r="R70" s="39" t="str">
        <f t="shared" ref="R70:T70" si="969">IF(R68="","",R68-R69)</f>
        <v/>
      </c>
      <c r="S70" s="39">
        <f t="shared" si="969"/>
        <v>0</v>
      </c>
      <c r="T70" s="39">
        <f t="shared" si="969"/>
        <v>0</v>
      </c>
      <c r="U70" s="39">
        <f t="shared" si="708"/>
        <v>0</v>
      </c>
      <c r="V70" s="39" t="str">
        <f t="shared" ref="V70:X70" si="970">IF(V68="","",V68-V69)</f>
        <v/>
      </c>
      <c r="W70" s="39">
        <f t="shared" si="970"/>
        <v>0</v>
      </c>
      <c r="X70" s="39">
        <f t="shared" si="970"/>
        <v>0</v>
      </c>
      <c r="Y70" s="39">
        <f t="shared" si="710"/>
        <v>0</v>
      </c>
      <c r="Z70" s="39" t="str">
        <f t="shared" ref="Z70:AB70" si="971">IF(Z68="","",Z68-Z69)</f>
        <v/>
      </c>
      <c r="AA70" s="39">
        <f t="shared" si="971"/>
        <v>0</v>
      </c>
      <c r="AB70" s="39">
        <f t="shared" si="971"/>
        <v>0</v>
      </c>
      <c r="AC70" s="39">
        <f t="shared" si="712"/>
        <v>0</v>
      </c>
      <c r="AD70" s="39" t="str">
        <f t="shared" ref="AD70:AF70" si="972">IF(AD68="","",AD68-AD69)</f>
        <v/>
      </c>
      <c r="AE70" s="39">
        <f t="shared" si="972"/>
        <v>0</v>
      </c>
      <c r="AF70" s="39">
        <f t="shared" si="972"/>
        <v>0</v>
      </c>
      <c r="AG70" s="39">
        <f t="shared" si="714"/>
        <v>0</v>
      </c>
      <c r="AH70" s="39" t="str">
        <f t="shared" ref="AH70:AJ70" si="973">IF(AH68="","",AH68-AH69)</f>
        <v/>
      </c>
      <c r="AI70" s="39">
        <f t="shared" si="973"/>
        <v>0</v>
      </c>
      <c r="AJ70" s="39">
        <f t="shared" si="973"/>
        <v>0</v>
      </c>
      <c r="AK70" s="39">
        <f t="shared" si="716"/>
        <v>0</v>
      </c>
      <c r="AL70" s="39" t="str">
        <f t="shared" ref="AL70:AN70" si="974">IF(AL68="","",AL68-AL69)</f>
        <v/>
      </c>
      <c r="AM70" s="39">
        <f t="shared" si="974"/>
        <v>0</v>
      </c>
      <c r="AN70" s="39">
        <f t="shared" si="974"/>
        <v>0</v>
      </c>
      <c r="AO70" s="39">
        <f t="shared" si="718"/>
        <v>0</v>
      </c>
      <c r="AP70" s="39" t="str">
        <f t="shared" ref="AP70:AR70" si="975">IF(AP68="","",AP68-AP69)</f>
        <v/>
      </c>
      <c r="AQ70" s="39">
        <f t="shared" si="975"/>
        <v>0</v>
      </c>
      <c r="AR70" s="39">
        <f t="shared" si="975"/>
        <v>0</v>
      </c>
      <c r="AS70" s="39">
        <f t="shared" si="720"/>
        <v>0</v>
      </c>
      <c r="AT70" s="39" t="str">
        <f t="shared" ref="AT70:AV70" si="976">IF(AT68="","",AT68-AT69)</f>
        <v/>
      </c>
      <c r="AU70" s="39">
        <f t="shared" si="976"/>
        <v>0</v>
      </c>
      <c r="AV70" s="39">
        <f t="shared" si="976"/>
        <v>0</v>
      </c>
      <c r="AW70" s="39">
        <f t="shared" si="722"/>
        <v>0</v>
      </c>
      <c r="AX70" s="39" t="str">
        <f t="shared" ref="AX70:AZ70" si="977">IF(AX68="","",AX68-AX69)</f>
        <v/>
      </c>
      <c r="AY70" s="39">
        <f t="shared" si="977"/>
        <v>0</v>
      </c>
      <c r="AZ70" s="39">
        <f t="shared" si="977"/>
        <v>0</v>
      </c>
      <c r="BA70" s="39">
        <f t="shared" si="724"/>
        <v>0</v>
      </c>
      <c r="BB70" s="39" t="str">
        <f t="shared" ref="BB70:BD70" si="978">IF(BB68="","",BB68-BB69)</f>
        <v/>
      </c>
      <c r="BC70" s="39">
        <f t="shared" si="978"/>
        <v>0</v>
      </c>
      <c r="BD70" s="39">
        <f t="shared" si="978"/>
        <v>0</v>
      </c>
      <c r="BE70" s="39">
        <f t="shared" si="726"/>
        <v>0</v>
      </c>
      <c r="BF70" s="39" t="str">
        <f t="shared" ref="BF70:BH70" si="979">IF(BF68="","",BF68-BF69)</f>
        <v/>
      </c>
      <c r="BG70" s="39">
        <f t="shared" si="979"/>
        <v>0</v>
      </c>
      <c r="BH70" s="39">
        <f t="shared" si="979"/>
        <v>0</v>
      </c>
      <c r="BI70" s="39">
        <f t="shared" si="728"/>
        <v>0</v>
      </c>
      <c r="BJ70" s="39" t="str">
        <f t="shared" ref="BJ70:BL70" si="980">IF(BJ68="","",BJ68-BJ69)</f>
        <v/>
      </c>
      <c r="BK70" s="39">
        <f t="shared" si="980"/>
        <v>0</v>
      </c>
      <c r="BL70" s="39">
        <f t="shared" si="980"/>
        <v>0</v>
      </c>
      <c r="BM70" s="39">
        <f t="shared" si="730"/>
        <v>0</v>
      </c>
      <c r="BN70" s="39" t="str">
        <f t="shared" ref="BN70:BP70" si="981">IF(BN68="","",BN68-BN69)</f>
        <v/>
      </c>
      <c r="BO70" s="39">
        <f t="shared" si="981"/>
        <v>0</v>
      </c>
      <c r="BP70" s="39">
        <f t="shared" si="981"/>
        <v>0</v>
      </c>
      <c r="BQ70" s="39">
        <f t="shared" si="732"/>
        <v>0</v>
      </c>
      <c r="BR70" s="39" t="str">
        <f t="shared" ref="BR70:BT70" si="982">IF(BR68="","",BR68-BR69)</f>
        <v/>
      </c>
      <c r="BS70" s="39">
        <f t="shared" si="982"/>
        <v>0</v>
      </c>
      <c r="BT70" s="39">
        <f t="shared" si="982"/>
        <v>0</v>
      </c>
      <c r="BU70" s="39">
        <f t="shared" si="734"/>
        <v>0</v>
      </c>
      <c r="BV70" s="39" t="str">
        <f t="shared" ref="BV70:BX70" si="983">IF(BV68="","",BV68-BV69)</f>
        <v/>
      </c>
      <c r="BW70" s="39">
        <f t="shared" si="983"/>
        <v>0</v>
      </c>
      <c r="BX70" s="39">
        <f t="shared" si="983"/>
        <v>0</v>
      </c>
      <c r="BY70" s="39">
        <f t="shared" si="736"/>
        <v>0</v>
      </c>
      <c r="BZ70" s="39" t="str">
        <f t="shared" ref="BZ70:CB70" si="984">IF(BZ68="","",BZ68-BZ69)</f>
        <v/>
      </c>
      <c r="CA70" s="39">
        <f t="shared" si="984"/>
        <v>0</v>
      </c>
      <c r="CB70" s="39">
        <f t="shared" si="984"/>
        <v>0</v>
      </c>
      <c r="CC70" s="39">
        <f t="shared" si="738"/>
        <v>0</v>
      </c>
      <c r="CD70" s="39" t="str">
        <f t="shared" ref="CD70:CF70" si="985">IF(CD68="","",CD68-CD69)</f>
        <v/>
      </c>
      <c r="CE70" s="39">
        <f t="shared" si="985"/>
        <v>0</v>
      </c>
      <c r="CF70" s="39">
        <f t="shared" si="985"/>
        <v>0</v>
      </c>
      <c r="CG70" s="39">
        <f t="shared" si="740"/>
        <v>0</v>
      </c>
      <c r="CH70" s="39" t="str">
        <f t="shared" ref="CH70:CJ70" si="986">IF(CH68="","",CH68-CH69)</f>
        <v/>
      </c>
      <c r="CI70" s="39">
        <f t="shared" si="986"/>
        <v>0</v>
      </c>
      <c r="CJ70" s="39">
        <f t="shared" si="986"/>
        <v>0</v>
      </c>
      <c r="CK70" s="39">
        <f t="shared" si="742"/>
        <v>0</v>
      </c>
      <c r="CL70" s="39" t="str">
        <f t="shared" ref="CL70:CN70" si="987">IF(CL68="","",CL68-CL69)</f>
        <v/>
      </c>
      <c r="CM70" s="39">
        <f t="shared" si="987"/>
        <v>0</v>
      </c>
      <c r="CN70" s="39">
        <f t="shared" si="987"/>
        <v>0</v>
      </c>
      <c r="CO70" s="39">
        <f t="shared" si="744"/>
        <v>0</v>
      </c>
      <c r="CP70" s="39" t="str">
        <f t="shared" ref="CP70:CR70" si="988">IF(CP68="","",CP68-CP69)</f>
        <v/>
      </c>
      <c r="CQ70" s="39">
        <f t="shared" si="988"/>
        <v>0</v>
      </c>
      <c r="CR70" s="39">
        <f t="shared" si="988"/>
        <v>0</v>
      </c>
      <c r="CS70" s="39">
        <f t="shared" si="746"/>
        <v>0</v>
      </c>
      <c r="CT70" s="39" t="str">
        <f t="shared" ref="CT70:CV70" si="989">IF(CT68="","",CT68-CT69)</f>
        <v/>
      </c>
      <c r="CU70" s="39">
        <f t="shared" si="989"/>
        <v>0</v>
      </c>
      <c r="CV70" s="39">
        <f t="shared" si="989"/>
        <v>0</v>
      </c>
      <c r="CW70" s="39">
        <f t="shared" si="748"/>
        <v>0</v>
      </c>
      <c r="CX70" s="39" t="str">
        <f t="shared" ref="CX70:CZ70" si="990">IF(CX68="","",CX68-CX69)</f>
        <v/>
      </c>
      <c r="CY70" s="39">
        <f t="shared" si="990"/>
        <v>0</v>
      </c>
      <c r="CZ70" s="39">
        <f t="shared" si="990"/>
        <v>0</v>
      </c>
      <c r="DA70" s="39">
        <f t="shared" si="750"/>
        <v>0</v>
      </c>
      <c r="DB70" s="39" t="str">
        <f t="shared" ref="DB70:DD70" si="991">IF(DB68="","",DB68-DB69)</f>
        <v/>
      </c>
      <c r="DC70" s="39">
        <f t="shared" si="991"/>
        <v>0</v>
      </c>
      <c r="DD70" s="39">
        <f t="shared" si="991"/>
        <v>0</v>
      </c>
      <c r="DE70" s="39">
        <f t="shared" si="752"/>
        <v>0</v>
      </c>
      <c r="DF70" s="39" t="str">
        <f t="shared" ref="DF70:DH70" si="992">IF(DF68="","",DF68-DF69)</f>
        <v/>
      </c>
      <c r="DG70" s="39">
        <f t="shared" si="992"/>
        <v>0</v>
      </c>
      <c r="DH70" s="39">
        <f t="shared" si="992"/>
        <v>0</v>
      </c>
      <c r="DI70" s="39">
        <f t="shared" si="754"/>
        <v>0</v>
      </c>
      <c r="DJ70" s="39" t="str">
        <f t="shared" ref="DJ70:DL70" si="993">IF(DJ68="","",DJ68-DJ69)</f>
        <v/>
      </c>
      <c r="DK70" s="39">
        <f t="shared" si="993"/>
        <v>0</v>
      </c>
      <c r="DL70" s="39">
        <f t="shared" si="993"/>
        <v>0</v>
      </c>
      <c r="DM70" s="39">
        <f t="shared" si="756"/>
        <v>0</v>
      </c>
      <c r="DN70" s="39" t="str">
        <f t="shared" ref="DN70:DP70" si="994">IF(DN68="","",DN68-DN69)</f>
        <v/>
      </c>
      <c r="DO70" s="39">
        <f t="shared" si="994"/>
        <v>0</v>
      </c>
      <c r="DP70" s="39">
        <f t="shared" si="994"/>
        <v>0</v>
      </c>
      <c r="DQ70" s="39">
        <f t="shared" si="758"/>
        <v>0</v>
      </c>
      <c r="DR70" s="39" t="str">
        <f t="shared" ref="DR70:DT70" si="995">IF(DR68="","",DR68-DR69)</f>
        <v/>
      </c>
      <c r="DS70" s="39">
        <f t="shared" si="995"/>
        <v>0</v>
      </c>
      <c r="DT70" s="39">
        <f t="shared" si="995"/>
        <v>0</v>
      </c>
      <c r="DU70" s="39">
        <f t="shared" si="760"/>
        <v>0</v>
      </c>
      <c r="DV70" s="39" t="str">
        <f t="shared" ref="DV70:DX70" si="996">IF(DV68="","",DV68-DV69)</f>
        <v/>
      </c>
      <c r="DW70" s="39">
        <f t="shared" si="996"/>
        <v>0</v>
      </c>
      <c r="DX70" s="39">
        <f t="shared" si="996"/>
        <v>0</v>
      </c>
      <c r="DY70" s="39">
        <f t="shared" si="762"/>
        <v>0</v>
      </c>
      <c r="DZ70" s="39" t="str">
        <f t="shared" ref="DZ70:EB70" si="997">IF(DZ68="","",DZ68-DZ69)</f>
        <v/>
      </c>
      <c r="EA70" s="39">
        <f t="shared" si="997"/>
        <v>0</v>
      </c>
      <c r="EB70" s="39">
        <f t="shared" si="997"/>
        <v>0</v>
      </c>
      <c r="EC70" s="39">
        <f t="shared" si="764"/>
        <v>0</v>
      </c>
      <c r="ED70" s="39" t="str">
        <f t="shared" ref="ED70:EF70" si="998">IF(ED68="","",ED68-ED69)</f>
        <v/>
      </c>
      <c r="EE70" s="39">
        <f t="shared" si="998"/>
        <v>0</v>
      </c>
      <c r="EF70" s="39">
        <f t="shared" si="998"/>
        <v>0</v>
      </c>
      <c r="EG70" s="39">
        <f t="shared" si="766"/>
        <v>0</v>
      </c>
      <c r="EH70" s="39" t="str">
        <f t="shared" ref="EH70:EJ70" si="999">IF(EH68="","",EH68-EH69)</f>
        <v/>
      </c>
      <c r="EI70" s="39">
        <f t="shared" si="999"/>
        <v>0</v>
      </c>
      <c r="EJ70" s="39">
        <f t="shared" si="999"/>
        <v>0</v>
      </c>
      <c r="EK70" s="39">
        <f t="shared" si="768"/>
        <v>0</v>
      </c>
      <c r="EL70" s="39" t="str">
        <f t="shared" ref="EL70:EN70" si="1000">IF(EL68="","",EL68-EL69)</f>
        <v/>
      </c>
      <c r="EM70" s="39">
        <f t="shared" si="1000"/>
        <v>0</v>
      </c>
      <c r="EN70" s="39">
        <f t="shared" si="1000"/>
        <v>0</v>
      </c>
      <c r="EO70" s="39">
        <f t="shared" si="770"/>
        <v>0</v>
      </c>
      <c r="EP70" s="39" t="str">
        <f t="shared" ref="EP70:ER70" si="1001">IF(EP68="","",EP68-EP69)</f>
        <v/>
      </c>
      <c r="EQ70" s="39">
        <f t="shared" si="1001"/>
        <v>0</v>
      </c>
      <c r="ER70" s="39">
        <f t="shared" si="1001"/>
        <v>0</v>
      </c>
      <c r="ES70" s="39">
        <f t="shared" si="772"/>
        <v>0</v>
      </c>
    </row>
    <row r="71" ht="18.0" customHeight="1">
      <c r="A71" s="2" t="s">
        <v>73</v>
      </c>
      <c r="B71" s="40" t="str">
        <f t="shared" si="963"/>
        <v/>
      </c>
      <c r="C71" s="40" t="str">
        <f t="shared" ref="C71:D71" si="1002">G71</f>
        <v>OK</v>
      </c>
      <c r="D71" s="40" t="str">
        <f t="shared" si="1002"/>
        <v>OK</v>
      </c>
      <c r="E71" s="40"/>
      <c r="F71" s="40" t="str">
        <f t="shared" ref="F71:H71" si="1003">IF(F70="","",IF(F70&lt;0,"ACTION","OK"))</f>
        <v/>
      </c>
      <c r="G71" s="40" t="str">
        <f t="shared" si="1003"/>
        <v>OK</v>
      </c>
      <c r="H71" s="40" t="str">
        <f t="shared" si="1003"/>
        <v>OK</v>
      </c>
      <c r="I71" s="40"/>
      <c r="J71" s="40" t="str">
        <f t="shared" ref="J71:L71" si="1004">IF(J70="","",IF(J70&lt;0,"ACTION","OK"))</f>
        <v/>
      </c>
      <c r="K71" s="40" t="str">
        <f t="shared" si="1004"/>
        <v>OK</v>
      </c>
      <c r="L71" s="40" t="str">
        <f t="shared" si="1004"/>
        <v>OK</v>
      </c>
      <c r="M71" s="40"/>
      <c r="N71" s="40" t="str">
        <f t="shared" ref="N71:P71" si="1005">IF(N70="","",IF(N70&lt;0,"ACTION","OK"))</f>
        <v/>
      </c>
      <c r="O71" s="40" t="str">
        <f t="shared" si="1005"/>
        <v>OK</v>
      </c>
      <c r="P71" s="40" t="str">
        <f t="shared" si="1005"/>
        <v>OK</v>
      </c>
      <c r="Q71" s="40"/>
      <c r="R71" s="40" t="str">
        <f t="shared" ref="R71:T71" si="1006">IF(R70="","",IF(R70&lt;0,"ACTION","OK"))</f>
        <v/>
      </c>
      <c r="S71" s="40" t="str">
        <f t="shared" si="1006"/>
        <v>OK</v>
      </c>
      <c r="T71" s="40" t="str">
        <f t="shared" si="1006"/>
        <v>OK</v>
      </c>
      <c r="U71" s="40"/>
      <c r="V71" s="40" t="str">
        <f t="shared" ref="V71:X71" si="1007">IF(V70="","",IF(V70&lt;0,"ACTION","OK"))</f>
        <v/>
      </c>
      <c r="W71" s="40" t="str">
        <f t="shared" si="1007"/>
        <v>OK</v>
      </c>
      <c r="X71" s="40" t="str">
        <f t="shared" si="1007"/>
        <v>OK</v>
      </c>
      <c r="Y71" s="40"/>
      <c r="Z71" s="40" t="str">
        <f t="shared" ref="Z71:AB71" si="1008">IF(Z70="","",IF(Z70&lt;0,"ACTION","OK"))</f>
        <v/>
      </c>
      <c r="AA71" s="40" t="str">
        <f t="shared" si="1008"/>
        <v>OK</v>
      </c>
      <c r="AB71" s="40" t="str">
        <f t="shared" si="1008"/>
        <v>OK</v>
      </c>
      <c r="AC71" s="40"/>
      <c r="AD71" s="40" t="str">
        <f t="shared" ref="AD71:AF71" si="1009">IF(AD70="","",IF(AD70&lt;0,"ACTION","OK"))</f>
        <v/>
      </c>
      <c r="AE71" s="40" t="str">
        <f t="shared" si="1009"/>
        <v>OK</v>
      </c>
      <c r="AF71" s="40" t="str">
        <f t="shared" si="1009"/>
        <v>OK</v>
      </c>
      <c r="AG71" s="40"/>
      <c r="AH71" s="40" t="str">
        <f t="shared" ref="AH71:AJ71" si="1010">IF(AH70="","",IF(AH70&lt;0,"ACTION","OK"))</f>
        <v/>
      </c>
      <c r="AI71" s="40" t="str">
        <f t="shared" si="1010"/>
        <v>OK</v>
      </c>
      <c r="AJ71" s="40" t="str">
        <f t="shared" si="1010"/>
        <v>OK</v>
      </c>
      <c r="AK71" s="40"/>
      <c r="AL71" s="40" t="str">
        <f t="shared" ref="AL71:AN71" si="1011">IF(AL70="","",IF(AL70&lt;0,"ACTION","OK"))</f>
        <v/>
      </c>
      <c r="AM71" s="40" t="str">
        <f t="shared" si="1011"/>
        <v>OK</v>
      </c>
      <c r="AN71" s="40" t="str">
        <f t="shared" si="1011"/>
        <v>OK</v>
      </c>
      <c r="AO71" s="40"/>
      <c r="AP71" s="40" t="str">
        <f t="shared" ref="AP71:AR71" si="1012">IF(AP70="","",IF(AP70&lt;0,"ACTION","OK"))</f>
        <v/>
      </c>
      <c r="AQ71" s="40" t="str">
        <f t="shared" si="1012"/>
        <v>OK</v>
      </c>
      <c r="AR71" s="40" t="str">
        <f t="shared" si="1012"/>
        <v>OK</v>
      </c>
      <c r="AS71" s="40"/>
      <c r="AT71" s="40" t="str">
        <f t="shared" ref="AT71:AV71" si="1013">IF(AT70="","",IF(AT70&lt;0,"ACTION","OK"))</f>
        <v/>
      </c>
      <c r="AU71" s="40" t="str">
        <f t="shared" si="1013"/>
        <v>OK</v>
      </c>
      <c r="AV71" s="40" t="str">
        <f t="shared" si="1013"/>
        <v>OK</v>
      </c>
      <c r="AW71" s="40"/>
      <c r="AX71" s="40" t="str">
        <f t="shared" ref="AX71:AZ71" si="1014">IF(AX70="","",IF(AX70&lt;0,"ACTION","OK"))</f>
        <v/>
      </c>
      <c r="AY71" s="40" t="str">
        <f t="shared" si="1014"/>
        <v>OK</v>
      </c>
      <c r="AZ71" s="40" t="str">
        <f t="shared" si="1014"/>
        <v>OK</v>
      </c>
      <c r="BA71" s="40"/>
      <c r="BB71" s="40" t="str">
        <f t="shared" ref="BB71:BD71" si="1015">IF(BB70="","",IF(BB70&lt;0,"ACTION","OK"))</f>
        <v/>
      </c>
      <c r="BC71" s="40" t="str">
        <f t="shared" si="1015"/>
        <v>OK</v>
      </c>
      <c r="BD71" s="40" t="str">
        <f t="shared" si="1015"/>
        <v>OK</v>
      </c>
      <c r="BE71" s="40"/>
      <c r="BF71" s="40" t="str">
        <f t="shared" ref="BF71:BH71" si="1016">IF(BF70="","",IF(BF70&lt;0,"ACTION","OK"))</f>
        <v/>
      </c>
      <c r="BG71" s="40" t="str">
        <f t="shared" si="1016"/>
        <v>OK</v>
      </c>
      <c r="BH71" s="40" t="str">
        <f t="shared" si="1016"/>
        <v>OK</v>
      </c>
      <c r="BI71" s="40"/>
      <c r="BJ71" s="40" t="str">
        <f t="shared" ref="BJ71:BL71" si="1017">IF(BJ70="","",IF(BJ70&lt;0,"ACTION","OK"))</f>
        <v/>
      </c>
      <c r="BK71" s="40" t="str">
        <f t="shared" si="1017"/>
        <v>OK</v>
      </c>
      <c r="BL71" s="40" t="str">
        <f t="shared" si="1017"/>
        <v>OK</v>
      </c>
      <c r="BM71" s="40"/>
      <c r="BN71" s="40" t="str">
        <f t="shared" ref="BN71:BP71" si="1018">IF(BN70="","",IF(BN70&lt;0,"ACTION","OK"))</f>
        <v/>
      </c>
      <c r="BO71" s="40" t="str">
        <f t="shared" si="1018"/>
        <v>OK</v>
      </c>
      <c r="BP71" s="40" t="str">
        <f t="shared" si="1018"/>
        <v>OK</v>
      </c>
      <c r="BQ71" s="40"/>
      <c r="BR71" s="40" t="str">
        <f t="shared" ref="BR71:BT71" si="1019">IF(BR70="","",IF(BR70&lt;0,"ACTION","OK"))</f>
        <v/>
      </c>
      <c r="BS71" s="40" t="str">
        <f t="shared" si="1019"/>
        <v>OK</v>
      </c>
      <c r="BT71" s="40" t="str">
        <f t="shared" si="1019"/>
        <v>OK</v>
      </c>
      <c r="BU71" s="40"/>
      <c r="BV71" s="40" t="str">
        <f t="shared" ref="BV71:BX71" si="1020">IF(BV70="","",IF(BV70&lt;0,"ACTION","OK"))</f>
        <v/>
      </c>
      <c r="BW71" s="40" t="str">
        <f t="shared" si="1020"/>
        <v>OK</v>
      </c>
      <c r="BX71" s="40" t="str">
        <f t="shared" si="1020"/>
        <v>OK</v>
      </c>
      <c r="BY71" s="40"/>
      <c r="BZ71" s="40" t="str">
        <f t="shared" ref="BZ71:CB71" si="1021">IF(BZ70="","",IF(BZ70&lt;0,"ACTION","OK"))</f>
        <v/>
      </c>
      <c r="CA71" s="40" t="str">
        <f t="shared" si="1021"/>
        <v>OK</v>
      </c>
      <c r="CB71" s="40" t="str">
        <f t="shared" si="1021"/>
        <v>OK</v>
      </c>
      <c r="CC71" s="40"/>
      <c r="CD71" s="40" t="str">
        <f t="shared" ref="CD71:CF71" si="1022">IF(CD70="","",IF(CD70&lt;0,"ACTION","OK"))</f>
        <v/>
      </c>
      <c r="CE71" s="40" t="str">
        <f t="shared" si="1022"/>
        <v>OK</v>
      </c>
      <c r="CF71" s="40" t="str">
        <f t="shared" si="1022"/>
        <v>OK</v>
      </c>
      <c r="CG71" s="40"/>
      <c r="CH71" s="40" t="str">
        <f t="shared" ref="CH71:CJ71" si="1023">IF(CH70="","",IF(CH70&lt;0,"ACTION","OK"))</f>
        <v/>
      </c>
      <c r="CI71" s="40" t="str">
        <f t="shared" si="1023"/>
        <v>OK</v>
      </c>
      <c r="CJ71" s="40" t="str">
        <f t="shared" si="1023"/>
        <v>OK</v>
      </c>
      <c r="CK71" s="40"/>
      <c r="CL71" s="40" t="str">
        <f t="shared" ref="CL71:CN71" si="1024">IF(CL70="","",IF(CL70&lt;0,"ACTION","OK"))</f>
        <v/>
      </c>
      <c r="CM71" s="40" t="str">
        <f t="shared" si="1024"/>
        <v>OK</v>
      </c>
      <c r="CN71" s="40" t="str">
        <f t="shared" si="1024"/>
        <v>OK</v>
      </c>
      <c r="CO71" s="40"/>
      <c r="CP71" s="40" t="str">
        <f t="shared" ref="CP71:CR71" si="1025">IF(CP70="","",IF(CP70&lt;0,"ACTION","OK"))</f>
        <v/>
      </c>
      <c r="CQ71" s="40" t="str">
        <f t="shared" si="1025"/>
        <v>OK</v>
      </c>
      <c r="CR71" s="40" t="str">
        <f t="shared" si="1025"/>
        <v>OK</v>
      </c>
      <c r="CS71" s="40"/>
      <c r="CT71" s="40" t="str">
        <f t="shared" ref="CT71:CV71" si="1026">IF(CT70="","",IF(CT70&lt;0,"ACTION","OK"))</f>
        <v/>
      </c>
      <c r="CU71" s="40" t="str">
        <f t="shared" si="1026"/>
        <v>OK</v>
      </c>
      <c r="CV71" s="40" t="str">
        <f t="shared" si="1026"/>
        <v>OK</v>
      </c>
      <c r="CW71" s="40"/>
      <c r="CX71" s="40" t="str">
        <f t="shared" ref="CX71:CZ71" si="1027">IF(CX70="","",IF(CX70&lt;0,"ACTION","OK"))</f>
        <v/>
      </c>
      <c r="CY71" s="40" t="str">
        <f t="shared" si="1027"/>
        <v>OK</v>
      </c>
      <c r="CZ71" s="40" t="str">
        <f t="shared" si="1027"/>
        <v>OK</v>
      </c>
      <c r="DA71" s="40"/>
      <c r="DB71" s="40" t="str">
        <f t="shared" ref="DB71:DD71" si="1028">IF(DB70="","",IF(DB70&lt;0,"ACTION","OK"))</f>
        <v/>
      </c>
      <c r="DC71" s="40" t="str">
        <f t="shared" si="1028"/>
        <v>OK</v>
      </c>
      <c r="DD71" s="40" t="str">
        <f t="shared" si="1028"/>
        <v>OK</v>
      </c>
      <c r="DE71" s="40"/>
      <c r="DF71" s="40" t="str">
        <f t="shared" ref="DF71:DH71" si="1029">IF(DF70="","",IF(DF70&lt;0,"ACTION","OK"))</f>
        <v/>
      </c>
      <c r="DG71" s="40" t="str">
        <f t="shared" si="1029"/>
        <v>OK</v>
      </c>
      <c r="DH71" s="40" t="str">
        <f t="shared" si="1029"/>
        <v>OK</v>
      </c>
      <c r="DI71" s="40"/>
      <c r="DJ71" s="40" t="str">
        <f t="shared" ref="DJ71:DL71" si="1030">IF(DJ70="","",IF(DJ70&lt;0,"ACTION","OK"))</f>
        <v/>
      </c>
      <c r="DK71" s="40" t="str">
        <f t="shared" si="1030"/>
        <v>OK</v>
      </c>
      <c r="DL71" s="40" t="str">
        <f t="shared" si="1030"/>
        <v>OK</v>
      </c>
      <c r="DM71" s="40"/>
      <c r="DN71" s="40" t="str">
        <f t="shared" ref="DN71:DP71" si="1031">IF(DN70="","",IF(DN70&lt;0,"ACTION","OK"))</f>
        <v/>
      </c>
      <c r="DO71" s="40" t="str">
        <f t="shared" si="1031"/>
        <v>OK</v>
      </c>
      <c r="DP71" s="40" t="str">
        <f t="shared" si="1031"/>
        <v>OK</v>
      </c>
      <c r="DQ71" s="40"/>
      <c r="DR71" s="40" t="str">
        <f t="shared" ref="DR71:DT71" si="1032">IF(DR70="","",IF(DR70&lt;0,"ACTION","OK"))</f>
        <v/>
      </c>
      <c r="DS71" s="40" t="str">
        <f t="shared" si="1032"/>
        <v>OK</v>
      </c>
      <c r="DT71" s="40" t="str">
        <f t="shared" si="1032"/>
        <v>OK</v>
      </c>
      <c r="DU71" s="40"/>
      <c r="DV71" s="40" t="str">
        <f t="shared" ref="DV71:DX71" si="1033">IF(DV70="","",IF(DV70&lt;0,"ACTION","OK"))</f>
        <v/>
      </c>
      <c r="DW71" s="40" t="str">
        <f t="shared" si="1033"/>
        <v>OK</v>
      </c>
      <c r="DX71" s="40" t="str">
        <f t="shared" si="1033"/>
        <v>OK</v>
      </c>
      <c r="DY71" s="40"/>
      <c r="DZ71" s="40" t="str">
        <f t="shared" ref="DZ71:EB71" si="1034">IF(DZ70="","",IF(DZ70&lt;0,"ACTION","OK"))</f>
        <v/>
      </c>
      <c r="EA71" s="40" t="str">
        <f t="shared" si="1034"/>
        <v>OK</v>
      </c>
      <c r="EB71" s="40" t="str">
        <f t="shared" si="1034"/>
        <v>OK</v>
      </c>
      <c r="EC71" s="40"/>
      <c r="ED71" s="40" t="str">
        <f t="shared" ref="ED71:EF71" si="1035">IF(ED70="","",IF(ED70&lt;0,"ACTION","OK"))</f>
        <v/>
      </c>
      <c r="EE71" s="40" t="str">
        <f t="shared" si="1035"/>
        <v>OK</v>
      </c>
      <c r="EF71" s="40" t="str">
        <f t="shared" si="1035"/>
        <v>OK</v>
      </c>
      <c r="EG71" s="40"/>
      <c r="EH71" s="40" t="str">
        <f t="shared" ref="EH71:EJ71" si="1036">IF(EH70="","",IF(EH70&lt;0,"ACTION","OK"))</f>
        <v/>
      </c>
      <c r="EI71" s="40" t="str">
        <f t="shared" si="1036"/>
        <v>OK</v>
      </c>
      <c r="EJ71" s="40" t="str">
        <f t="shared" si="1036"/>
        <v>OK</v>
      </c>
      <c r="EK71" s="40"/>
      <c r="EL71" s="40" t="str">
        <f t="shared" ref="EL71:EN71" si="1037">IF(EL70="","",IF(EL70&lt;0,"ACTION","OK"))</f>
        <v/>
      </c>
      <c r="EM71" s="40" t="str">
        <f t="shared" si="1037"/>
        <v>OK</v>
      </c>
      <c r="EN71" s="40" t="str">
        <f t="shared" si="1037"/>
        <v>OK</v>
      </c>
      <c r="EO71" s="40"/>
      <c r="EP71" s="40" t="str">
        <f t="shared" ref="EP71:ER71" si="1038">IF(EP70="","",IF(EP70&lt;0,"ACTION","OK"))</f>
        <v/>
      </c>
      <c r="EQ71" s="40" t="str">
        <f t="shared" si="1038"/>
        <v>OK</v>
      </c>
      <c r="ER71" s="40" t="str">
        <f t="shared" si="1038"/>
        <v>OK</v>
      </c>
      <c r="ES71" s="40"/>
    </row>
    <row r="72" ht="18.0" hidden="1" customHeight="1">
      <c r="A72" s="2" t="s">
        <v>74</v>
      </c>
      <c r="B72" s="41"/>
      <c r="C72" s="41"/>
      <c r="D72" s="41"/>
      <c r="E72" s="41" t="str">
        <f t="shared" ref="E72:E73" si="1075">IFERROR(IF(OR(C72="",D72=""),"",C72-D72),"")</f>
        <v/>
      </c>
      <c r="F72" s="41" t="str">
        <f>IF(F21="","",MAX(0,J72+J73-J26))</f>
        <v/>
      </c>
      <c r="G72" s="41">
        <f t="shared" ref="G72:H72" si="1039">MAX(0,K72+K73-K26)</f>
        <v>0</v>
      </c>
      <c r="H72" s="41">
        <f t="shared" si="1039"/>
        <v>0</v>
      </c>
      <c r="I72" s="41">
        <f t="shared" ref="I72:I73" si="1077">IFERROR(IF(OR(G72="",H72=""),"",G72-H72),"")</f>
        <v>0</v>
      </c>
      <c r="J72" s="41" t="str">
        <f>IF(J21="","",MAX(0,N72+N73-N26))</f>
        <v/>
      </c>
      <c r="K72" s="41">
        <f t="shared" ref="K72:L72" si="1040">MAX(0,O72+O73-O26)</f>
        <v>0</v>
      </c>
      <c r="L72" s="41">
        <f t="shared" si="1040"/>
        <v>0</v>
      </c>
      <c r="M72" s="41">
        <f t="shared" ref="M72:M73" si="1079">IFERROR(IF(OR(K72="",L72=""),"",K72-L72),"")</f>
        <v>0</v>
      </c>
      <c r="N72" s="41" t="str">
        <f>IF(N21="","",MAX(0,R72+R73-R26))</f>
        <v/>
      </c>
      <c r="O72" s="41">
        <f t="shared" ref="O72:P72" si="1041">MAX(0,S72+S73-S26)</f>
        <v>0</v>
      </c>
      <c r="P72" s="41">
        <f t="shared" si="1041"/>
        <v>0</v>
      </c>
      <c r="Q72" s="41">
        <f t="shared" ref="Q72:Q73" si="1081">IFERROR(IF(OR(O72="",P72=""),"",O72-P72),"")</f>
        <v>0</v>
      </c>
      <c r="R72" s="41" t="str">
        <f>IF(R21="","",MAX(0,V72+V73-V26))</f>
        <v/>
      </c>
      <c r="S72" s="41">
        <f t="shared" ref="S72:T72" si="1042">MAX(0,W72+W73-W26)</f>
        <v>0</v>
      </c>
      <c r="T72" s="41">
        <f t="shared" si="1042"/>
        <v>0</v>
      </c>
      <c r="U72" s="41">
        <f t="shared" ref="U72:U73" si="1083">IFERROR(IF(OR(S72="",T72=""),"",S72-T72),"")</f>
        <v>0</v>
      </c>
      <c r="V72" s="41" t="str">
        <f>IF(V21="","",MAX(0,Z72+Z73-Z26))</f>
        <v/>
      </c>
      <c r="W72" s="41">
        <f t="shared" ref="W72:X72" si="1043">MAX(0,AA72+AA73-AA26)</f>
        <v>0</v>
      </c>
      <c r="X72" s="41">
        <f t="shared" si="1043"/>
        <v>0</v>
      </c>
      <c r="Y72" s="41">
        <f t="shared" ref="Y72:Y73" si="1085">IFERROR(IF(OR(W72="",X72=""),"",W72-X72),"")</f>
        <v>0</v>
      </c>
      <c r="Z72" s="41" t="str">
        <f>IF(Z21="","",MAX(0,AD72+AD73-AD26))</f>
        <v/>
      </c>
      <c r="AA72" s="41">
        <f t="shared" ref="AA72:AB72" si="1044">MAX(0,AE72+AE73-AE26)</f>
        <v>0</v>
      </c>
      <c r="AB72" s="41">
        <f t="shared" si="1044"/>
        <v>0</v>
      </c>
      <c r="AC72" s="41">
        <f t="shared" ref="AC72:AC73" si="1087">IFERROR(IF(OR(AA72="",AB72=""),"",AA72-AB72),"")</f>
        <v>0</v>
      </c>
      <c r="AD72" s="41" t="str">
        <f>IF(AD21="","",MAX(0,AH72+AH73-AH26))</f>
        <v/>
      </c>
      <c r="AE72" s="41">
        <f t="shared" ref="AE72:AF72" si="1045">MAX(0,AI72+AI73-AI26)</f>
        <v>0</v>
      </c>
      <c r="AF72" s="41">
        <f t="shared" si="1045"/>
        <v>0</v>
      </c>
      <c r="AG72" s="41">
        <f t="shared" ref="AG72:AG73" si="1089">IFERROR(IF(OR(AE72="",AF72=""),"",AE72-AF72),"")</f>
        <v>0</v>
      </c>
      <c r="AH72" s="41" t="str">
        <f>IF(AH21="","",MAX(0,AL72+AL73-AL26))</f>
        <v/>
      </c>
      <c r="AI72" s="41">
        <f t="shared" ref="AI72:AJ72" si="1046">MAX(0,AM72+AM73-AM26)</f>
        <v>0</v>
      </c>
      <c r="AJ72" s="41">
        <f t="shared" si="1046"/>
        <v>0</v>
      </c>
      <c r="AK72" s="41">
        <f t="shared" ref="AK72:AK73" si="1091">IFERROR(IF(OR(AI72="",AJ72=""),"",AI72-AJ72),"")</f>
        <v>0</v>
      </c>
      <c r="AL72" s="41" t="str">
        <f>IF(AL21="","",MAX(0,AP72+AP73-AP26))</f>
        <v/>
      </c>
      <c r="AM72" s="41">
        <f t="shared" ref="AM72:AN72" si="1047">MAX(0,AQ72+AQ73-AQ26)</f>
        <v>0</v>
      </c>
      <c r="AN72" s="41">
        <f t="shared" si="1047"/>
        <v>0</v>
      </c>
      <c r="AO72" s="41">
        <f t="shared" ref="AO72:AO73" si="1093">IFERROR(IF(OR(AM72="",AN72=""),"",AM72-AN72),"")</f>
        <v>0</v>
      </c>
      <c r="AP72" s="41" t="str">
        <f>IF(AP21="","",MAX(0,AT72+AT73-AT26))</f>
        <v/>
      </c>
      <c r="AQ72" s="41">
        <f t="shared" ref="AQ72:AR72" si="1048">MAX(0,AU72+AU73-AU26)</f>
        <v>0</v>
      </c>
      <c r="AR72" s="41">
        <f t="shared" si="1048"/>
        <v>0</v>
      </c>
      <c r="AS72" s="41">
        <f t="shared" ref="AS72:AS73" si="1095">IFERROR(IF(OR(AQ72="",AR72=""),"",AQ72-AR72),"")</f>
        <v>0</v>
      </c>
      <c r="AT72" s="41" t="str">
        <f>IF(AT21="","",MAX(0,AX72+AX73-AX26))</f>
        <v/>
      </c>
      <c r="AU72" s="41">
        <f t="shared" ref="AU72:AV72" si="1049">MAX(0,AY72+AY73-AY26)</f>
        <v>0</v>
      </c>
      <c r="AV72" s="41">
        <f t="shared" si="1049"/>
        <v>0</v>
      </c>
      <c r="AW72" s="41">
        <f t="shared" ref="AW72:AW73" si="1097">IFERROR(IF(OR(AU72="",AV72=""),"",AU72-AV72),"")</f>
        <v>0</v>
      </c>
      <c r="AX72" s="41" t="str">
        <f>IF(AX21="","",MAX(0,BB72+BB73-BB26))</f>
        <v/>
      </c>
      <c r="AY72" s="41">
        <f t="shared" ref="AY72:AZ72" si="1050">MAX(0,BC72+BC73-BC26)</f>
        <v>0</v>
      </c>
      <c r="AZ72" s="41">
        <f t="shared" si="1050"/>
        <v>0</v>
      </c>
      <c r="BA72" s="41">
        <f t="shared" ref="BA72:BA73" si="1099">IFERROR(IF(OR(AY72="",AZ72=""),"",AY72-AZ72),"")</f>
        <v>0</v>
      </c>
      <c r="BB72" s="41" t="str">
        <f>IF(BB21="","",MAX(0,BF72+BF73-BF26))</f>
        <v/>
      </c>
      <c r="BC72" s="41">
        <f t="shared" ref="BC72:BD72" si="1051">MAX(0,BG72+BG73-BG26)</f>
        <v>0</v>
      </c>
      <c r="BD72" s="41">
        <f t="shared" si="1051"/>
        <v>0</v>
      </c>
      <c r="BE72" s="41">
        <f t="shared" ref="BE72:BE73" si="1101">IFERROR(IF(OR(BC72="",BD72=""),"",BC72-BD72),"")</f>
        <v>0</v>
      </c>
      <c r="BF72" s="41" t="str">
        <f>IF(BF21="","",MAX(0,BJ72+BJ73-BJ26))</f>
        <v/>
      </c>
      <c r="BG72" s="41">
        <f t="shared" ref="BG72:BH72" si="1052">MAX(0,BK72+BK73-BK26)</f>
        <v>0</v>
      </c>
      <c r="BH72" s="41">
        <f t="shared" si="1052"/>
        <v>0</v>
      </c>
      <c r="BI72" s="41">
        <f t="shared" ref="BI72:BI73" si="1103">IFERROR(IF(OR(BG72="",BH72=""),"",BG72-BH72),"")</f>
        <v>0</v>
      </c>
      <c r="BJ72" s="41" t="str">
        <f>IF(BJ21="","",MAX(0,BN72+BN73-BN26))</f>
        <v/>
      </c>
      <c r="BK72" s="41">
        <f t="shared" ref="BK72:BL72" si="1053">MAX(0,BO72+BO73-BO26)</f>
        <v>0</v>
      </c>
      <c r="BL72" s="41">
        <f t="shared" si="1053"/>
        <v>0</v>
      </c>
      <c r="BM72" s="41">
        <f t="shared" ref="BM72:BM73" si="1105">IFERROR(IF(OR(BK72="",BL72=""),"",BK72-BL72),"")</f>
        <v>0</v>
      </c>
      <c r="BN72" s="41" t="str">
        <f>IF(BN21="","",MAX(0,BR72+BR73-BR26))</f>
        <v/>
      </c>
      <c r="BO72" s="41">
        <f t="shared" ref="BO72:BP72" si="1054">MAX(0,BS72+BS73-BS26)</f>
        <v>0</v>
      </c>
      <c r="BP72" s="41">
        <f t="shared" si="1054"/>
        <v>0</v>
      </c>
      <c r="BQ72" s="41">
        <f t="shared" ref="BQ72:BQ73" si="1107">IFERROR(IF(OR(BO72="",BP72=""),"",BO72-BP72),"")</f>
        <v>0</v>
      </c>
      <c r="BR72" s="41" t="str">
        <f>IF(BR21="","",MAX(0,BV72+BV73-BV26))</f>
        <v/>
      </c>
      <c r="BS72" s="41">
        <f t="shared" ref="BS72:BT72" si="1055">MAX(0,BW72+BW73-BW26)</f>
        <v>0</v>
      </c>
      <c r="BT72" s="41">
        <f t="shared" si="1055"/>
        <v>0</v>
      </c>
      <c r="BU72" s="41">
        <f t="shared" ref="BU72:BU73" si="1109">IFERROR(IF(OR(BS72="",BT72=""),"",BS72-BT72),"")</f>
        <v>0</v>
      </c>
      <c r="BV72" s="41" t="str">
        <f>IF(BV21="","",MAX(0,BZ72+BZ73-BZ26))</f>
        <v/>
      </c>
      <c r="BW72" s="41">
        <f t="shared" ref="BW72:BX72" si="1056">MAX(0,CA72+CA73-CA26)</f>
        <v>0</v>
      </c>
      <c r="BX72" s="41">
        <f t="shared" si="1056"/>
        <v>0</v>
      </c>
      <c r="BY72" s="41">
        <f t="shared" ref="BY72:BY73" si="1111">IFERROR(IF(OR(BW72="",BX72=""),"",BW72-BX72),"")</f>
        <v>0</v>
      </c>
      <c r="BZ72" s="41" t="str">
        <f>IF(BZ21="","",MAX(0,CD72+CD73-CD26))</f>
        <v/>
      </c>
      <c r="CA72" s="41">
        <f t="shared" ref="CA72:CB72" si="1057">MAX(0,CE72+CE73-CE26)</f>
        <v>0</v>
      </c>
      <c r="CB72" s="41">
        <f t="shared" si="1057"/>
        <v>0</v>
      </c>
      <c r="CC72" s="41">
        <f t="shared" ref="CC72:CC73" si="1113">IFERROR(IF(OR(CA72="",CB72=""),"",CA72-CB72),"")</f>
        <v>0</v>
      </c>
      <c r="CD72" s="41" t="str">
        <f>IF(CD21="","",MAX(0,CH72+CH73-CH26))</f>
        <v/>
      </c>
      <c r="CE72" s="41">
        <f t="shared" ref="CE72:CF72" si="1058">MAX(0,CI72+CI73-CI26)</f>
        <v>0</v>
      </c>
      <c r="CF72" s="41">
        <f t="shared" si="1058"/>
        <v>0</v>
      </c>
      <c r="CG72" s="41">
        <f t="shared" ref="CG72:CG73" si="1115">IFERROR(IF(OR(CE72="",CF72=""),"",CE72-CF72),"")</f>
        <v>0</v>
      </c>
      <c r="CH72" s="41" t="str">
        <f>IF(CH21="","",MAX(0,CL72+CL73-CL26))</f>
        <v/>
      </c>
      <c r="CI72" s="41">
        <f t="shared" ref="CI72:CJ72" si="1059">MAX(0,CM72+CM73-CM26)</f>
        <v>0</v>
      </c>
      <c r="CJ72" s="41">
        <f t="shared" si="1059"/>
        <v>0</v>
      </c>
      <c r="CK72" s="41">
        <f t="shared" ref="CK72:CK73" si="1117">IFERROR(IF(OR(CI72="",CJ72=""),"",CI72-CJ72),"")</f>
        <v>0</v>
      </c>
      <c r="CL72" s="41" t="str">
        <f>IF(CL21="","",MAX(0,CP72+CP73-CP26))</f>
        <v/>
      </c>
      <c r="CM72" s="41">
        <f t="shared" ref="CM72:CN72" si="1060">MAX(0,CQ72+CQ73-CQ26)</f>
        <v>0</v>
      </c>
      <c r="CN72" s="41">
        <f t="shared" si="1060"/>
        <v>0</v>
      </c>
      <c r="CO72" s="41">
        <f t="shared" ref="CO72:CO73" si="1119">IFERROR(IF(OR(CM72="",CN72=""),"",CM72-CN72),"")</f>
        <v>0</v>
      </c>
      <c r="CP72" s="41" t="str">
        <f>IF(CP21="","",MAX(0,CT72+CT73-CT26))</f>
        <v/>
      </c>
      <c r="CQ72" s="41">
        <f t="shared" ref="CQ72:CR72" si="1061">MAX(0,CU72+CU73-CU26)</f>
        <v>0</v>
      </c>
      <c r="CR72" s="41">
        <f t="shared" si="1061"/>
        <v>0</v>
      </c>
      <c r="CS72" s="41">
        <f t="shared" ref="CS72:CS73" si="1121">IFERROR(IF(OR(CQ72="",CR72=""),"",CQ72-CR72),"")</f>
        <v>0</v>
      </c>
      <c r="CT72" s="41" t="str">
        <f>IF(CT21="","",MAX(0,CX72+CX73-CX26))</f>
        <v/>
      </c>
      <c r="CU72" s="41">
        <f t="shared" ref="CU72:CV72" si="1062">MAX(0,CY72+CY73-CY26)</f>
        <v>0</v>
      </c>
      <c r="CV72" s="41">
        <f t="shared" si="1062"/>
        <v>0</v>
      </c>
      <c r="CW72" s="41">
        <f t="shared" ref="CW72:CW73" si="1123">IFERROR(IF(OR(CU72="",CV72=""),"",CU72-CV72),"")</f>
        <v>0</v>
      </c>
      <c r="CX72" s="41" t="str">
        <f>IF(CX21="","",MAX(0,DB72+DB73-DB26))</f>
        <v/>
      </c>
      <c r="CY72" s="41">
        <f t="shared" ref="CY72:CZ72" si="1063">MAX(0,DC72+DC73-DC26)</f>
        <v>0</v>
      </c>
      <c r="CZ72" s="41">
        <f t="shared" si="1063"/>
        <v>0</v>
      </c>
      <c r="DA72" s="41">
        <f t="shared" ref="DA72:DA73" si="1125">IFERROR(IF(OR(CY72="",CZ72=""),"",CY72-CZ72),"")</f>
        <v>0</v>
      </c>
      <c r="DB72" s="41" t="str">
        <f>IF(DB21="","",MAX(0,DF72+DF73-DF26))</f>
        <v/>
      </c>
      <c r="DC72" s="41">
        <f t="shared" ref="DC72:DD72" si="1064">MAX(0,DG72+DG73-DG26)</f>
        <v>0</v>
      </c>
      <c r="DD72" s="41">
        <f t="shared" si="1064"/>
        <v>0</v>
      </c>
      <c r="DE72" s="41">
        <f t="shared" ref="DE72:DE73" si="1127">IFERROR(IF(OR(DC72="",DD72=""),"",DC72-DD72),"")</f>
        <v>0</v>
      </c>
      <c r="DF72" s="41" t="str">
        <f>IF(DF21="","",MAX(0,DJ72+DJ73-DJ26))</f>
        <v/>
      </c>
      <c r="DG72" s="41">
        <f t="shared" ref="DG72:DH72" si="1065">MAX(0,DK72+DK73-DK26)</f>
        <v>0</v>
      </c>
      <c r="DH72" s="41">
        <f t="shared" si="1065"/>
        <v>0</v>
      </c>
      <c r="DI72" s="41">
        <f t="shared" ref="DI72:DI73" si="1129">IFERROR(IF(OR(DG72="",DH72=""),"",DG72-DH72),"")</f>
        <v>0</v>
      </c>
      <c r="DJ72" s="41" t="str">
        <f>IF(DJ21="","",MAX(0,DN72+DN73-DN26))</f>
        <v/>
      </c>
      <c r="DK72" s="41">
        <f t="shared" ref="DK72:DL72" si="1066">MAX(0,DO72+DO73-DO26)</f>
        <v>0</v>
      </c>
      <c r="DL72" s="41">
        <f t="shared" si="1066"/>
        <v>0</v>
      </c>
      <c r="DM72" s="41">
        <f t="shared" ref="DM72:DM73" si="1131">IFERROR(IF(OR(DK72="",DL72=""),"",DK72-DL72),"")</f>
        <v>0</v>
      </c>
      <c r="DN72" s="41" t="str">
        <f>IF(DN21="","",MAX(0,DR72+DR73-DR26))</f>
        <v/>
      </c>
      <c r="DO72" s="41">
        <f t="shared" ref="DO72:DP72" si="1067">MAX(0,DS72+DS73-DS26)</f>
        <v>0</v>
      </c>
      <c r="DP72" s="41">
        <f t="shared" si="1067"/>
        <v>0</v>
      </c>
      <c r="DQ72" s="41">
        <f t="shared" ref="DQ72:DQ73" si="1133">IFERROR(IF(OR(DO72="",DP72=""),"",DO72-DP72),"")</f>
        <v>0</v>
      </c>
      <c r="DR72" s="41" t="str">
        <f>IF(DR21="","",MAX(0,DV72+DV73-DV26))</f>
        <v/>
      </c>
      <c r="DS72" s="41">
        <f t="shared" ref="DS72:DT72" si="1068">MAX(0,DW72+DW73-DW26)</f>
        <v>0</v>
      </c>
      <c r="DT72" s="41">
        <f t="shared" si="1068"/>
        <v>0</v>
      </c>
      <c r="DU72" s="41">
        <f t="shared" ref="DU72:DU73" si="1135">IFERROR(IF(OR(DS72="",DT72=""),"",DS72-DT72),"")</f>
        <v>0</v>
      </c>
      <c r="DV72" s="41" t="str">
        <f>IF(DV21="","",MAX(0,DZ72+DZ73-DZ26))</f>
        <v/>
      </c>
      <c r="DW72" s="41">
        <f t="shared" ref="DW72:DX72" si="1069">MAX(0,EA72+EA73-EA26)</f>
        <v>0</v>
      </c>
      <c r="DX72" s="41">
        <f t="shared" si="1069"/>
        <v>0</v>
      </c>
      <c r="DY72" s="41">
        <f t="shared" ref="DY72:DY73" si="1137">IFERROR(IF(OR(DW72="",DX72=""),"",DW72-DX72),"")</f>
        <v>0</v>
      </c>
      <c r="DZ72" s="41" t="str">
        <f>IF(DZ21="","",MAX(0,ED72+ED73-ED26))</f>
        <v/>
      </c>
      <c r="EA72" s="41">
        <f t="shared" ref="EA72:EB72" si="1070">MAX(0,EE72+EE73-EE26)</f>
        <v>0</v>
      </c>
      <c r="EB72" s="41">
        <f t="shared" si="1070"/>
        <v>0</v>
      </c>
      <c r="EC72" s="41">
        <f t="shared" ref="EC72:EC73" si="1139">IFERROR(IF(OR(EA72="",EB72=""),"",EA72-EB72),"")</f>
        <v>0</v>
      </c>
      <c r="ED72" s="41" t="str">
        <f>IF(ED21="","",MAX(0,EH72+EH73-EH26))</f>
        <v/>
      </c>
      <c r="EE72" s="41">
        <f t="shared" ref="EE72:EF72" si="1071">MAX(0,EI72+EI73-EI26)</f>
        <v>0</v>
      </c>
      <c r="EF72" s="41">
        <f t="shared" si="1071"/>
        <v>0</v>
      </c>
      <c r="EG72" s="41">
        <f t="shared" ref="EG72:EG73" si="1141">IFERROR(IF(OR(EE72="",EF72=""),"",EE72-EF72),"")</f>
        <v>0</v>
      </c>
      <c r="EH72" s="41" t="str">
        <f>IF(EH21="","",MAX(0,EL72+EL73-EL26))</f>
        <v/>
      </c>
      <c r="EI72" s="41">
        <f t="shared" ref="EI72:EJ72" si="1072">MAX(0,EM72+EM73-EM26)</f>
        <v>0</v>
      </c>
      <c r="EJ72" s="41">
        <f t="shared" si="1072"/>
        <v>0</v>
      </c>
      <c r="EK72" s="41">
        <f t="shared" ref="EK72:EK73" si="1143">IFERROR(IF(OR(EI72="",EJ72=""),"",EI72-EJ72),"")</f>
        <v>0</v>
      </c>
      <c r="EL72" s="41" t="str">
        <f>IF(EL21="","",MAX(0,EP72+EP73-EP26))</f>
        <v/>
      </c>
      <c r="EM72" s="41">
        <f t="shared" ref="EM72:EN72" si="1073">MAX(0,EQ72+EQ73-EQ26)</f>
        <v>0</v>
      </c>
      <c r="EN72" s="41">
        <f t="shared" si="1073"/>
        <v>0</v>
      </c>
      <c r="EO72" s="41">
        <f t="shared" ref="EO72:EO73" si="1145">IFERROR(IF(OR(EM72="",EN72=""),"",EM72-EN72),"")</f>
        <v>0</v>
      </c>
      <c r="EP72" s="41">
        <f t="shared" ref="EP72:ER72" si="1074">$EP$79*EP13</f>
        <v>0</v>
      </c>
      <c r="EQ72" s="41">
        <f t="shared" si="1074"/>
        <v>0</v>
      </c>
      <c r="ER72" s="41">
        <f t="shared" si="1074"/>
        <v>0</v>
      </c>
      <c r="ES72" s="41">
        <f t="shared" ref="ES72:ES73" si="1147">IFERROR(IF(OR(EQ72="",ER72=""),"",EQ72-ER72),"")</f>
        <v>0</v>
      </c>
    </row>
    <row r="73" ht="18.0" hidden="1" customHeight="1">
      <c r="A73" s="2" t="s">
        <v>75</v>
      </c>
      <c r="B73" s="41"/>
      <c r="C73" s="41"/>
      <c r="D73" s="41"/>
      <c r="E73" s="41" t="str">
        <f t="shared" si="1075"/>
        <v/>
      </c>
      <c r="F73" s="41">
        <f t="shared" ref="F73:H73" si="1076">ROUND(SUM(IF(AND(EP$12&lt;&gt;"",EP$14&lt;&gt;""),IF(EOMONTH($EP$3+INT((DAY(EOMONTH($EP$3,0))-1)/2)+EP$14,0)=EOMONTH($F$3,0),EP$12*EP$13,0),0),IF(AND(EL$12&lt;&gt;"",EL$14&lt;&gt;""),IF(EOMONTH($EL$3+INT((DAY(EOMONTH($EL$3,0))-1)/2)+EL$14,0)=EOMONTH($F$3,0),EL$12*EL$13,0),0),IF(AND(EH$12&lt;&gt;"",EH$14&lt;&gt;""),IF(EOMONTH($EH$3+INT((DAY(EOMONTH($EH$3,0))-1)/2)+EH$14,0)=EOMONTH($F$3,0),EH$12*EH$13,0),0),IF(AND(ED$12&lt;&gt;"",ED$14&lt;&gt;""),IF(EOMONTH($ED$3+INT((DAY(EOMONTH($ED$3,0))-1)/2)+ED$14,0)=EOMONTH($F$3,0),ED$12*ED$13,0),0),IF(AND(DZ$12&lt;&gt;"",DZ$14&lt;&gt;""),IF(EOMONTH($DZ$3+INT((DAY(EOMONTH($DZ$3,0))-1)/2)+DZ$14,0)=EOMONTH($F$3,0),DZ$12*DZ$13,0),0),IF(AND(DV$12&lt;&gt;"",DV$14&lt;&gt;""),IF(EOMONTH($DV$3+INT((DAY(EOMONTH($DV$3,0))-1)/2)+DV$14,0)=EOMONTH($F$3,0),DV$12*DV$13,0),0),IF(AND(DR$12&lt;&gt;"",DR$14&lt;&gt;""),IF(EOMONTH($DR$3+INT((DAY(EOMONTH($DR$3,0))-1)/2)+DR$14,0)=EOMONTH($F$3,0),DR$12*DR$13,0),0),IF(AND(DN$12&lt;&gt;"",DN$14&lt;&gt;""),IF(EOMONTH($DN$3+INT((DAY(EOMONTH($DN$3,0))-1)/2)+DN$14,0)=EOMONTH($F$3,0),DN$12*DN$13,0),0),IF(AND(DJ$12&lt;&gt;"",DJ$14&lt;&gt;""),IF(EOMONTH($DJ$3+INT((DAY(EOMONTH($DJ$3,0))-1)/2)+DJ$14,0)=EOMONTH($F$3,0),DJ$12*DJ$13,0),0),IF(AND(DF$12&lt;&gt;"",DF$14&lt;&gt;""),IF(EOMONTH($DF$3+INT((DAY(EOMONTH($DF$3,0))-1)/2)+DF$14,0)=EOMONTH($F$3,0),DF$12*DF$13,0),0),IF(AND(DB$12&lt;&gt;"",DB$14&lt;&gt;""),IF(EOMONTH($DB$3+INT((DAY(EOMONTH($DB$3,0))-1)/2)+DB$14,0)=EOMONTH($F$3,0),DB$12*DB$13,0),0),IF(AND(CX$12&lt;&gt;"",CX$14&lt;&gt;""),IF(EOMONTH($CX$3+INT((DAY(EOMONTH($CX$3,0))-1)/2)+CX$14,0)=EOMONTH($F$3,0),CX$12*CX$13,0),0),IF(AND(CT$12&lt;&gt;"",CT$14&lt;&gt;""),IF(EOMONTH($CT$3+INT((DAY(EOMONTH($CT$3,0))-1)/2)+CT$14,0)=EOMONTH($F$3,0),CT$12*CT$13,0),0),IF(AND(CP$12&lt;&gt;"",CP$14&lt;&gt;""),IF(EOMONTH($CP$3+INT((DAY(EOMONTH($CP$3,0))-1)/2)+CP$14,0)=EOMONTH($F$3,0),CP$12*CP$13,0),0),IF(AND(CL$12&lt;&gt;"",CL$14&lt;&gt;""),IF(EOMONTH($CL$3+INT((DAY(EOMONTH($CL$3,0))-1)/2)+CL$14,0)=EOMONTH($F$3,0),CL$12*CL$13,0),0),IF(AND(CH$12&lt;&gt;"",CH$14&lt;&gt;""),IF(EOMONTH($CH$3+INT((DAY(EOMONTH($CH$3,0))-1)/2)+CH$14,0)=EOMONTH($F$3,0),CH$12*CH$13,0),0),IF(AND(CD$12&lt;&gt;"",CD$14&lt;&gt;""),IF(EOMONTH($CD$3+INT((DAY(EOMONTH($CD$3,0))-1)/2)+CD$14,0)=EOMONTH($F$3,0),CD$12*CD$13,0),0),IF(AND(BZ$12&lt;&gt;"",BZ$14&lt;&gt;""),IF(EOMONTH($BZ$3+INT((DAY(EOMONTH($BZ$3,0))-1)/2)+BZ$14,0)=EOMONTH($F$3,0),BZ$12*BZ$13,0),0),IF(AND(BV$12&lt;&gt;"",BV$14&lt;&gt;""),IF(EOMONTH($BV$3+INT((DAY(EOMONTH($BV$3,0))-1)/2)+BV$14,0)=EOMONTH($F$3,0),BV$12*BV$13,0),0),IF(AND(BR$12&lt;&gt;"",BR$14&lt;&gt;""),IF(EOMONTH($BR$3+INT((DAY(EOMONTH($BR$3,0))-1)/2)+BR$14,0)=EOMONTH($F$3,0),BR$12*BR$13,0),0),IF(AND(BN$12&lt;&gt;"",BN$14&lt;&gt;""),IF(EOMONTH($BN$3+INT((DAY(EOMONTH($BN$3,0))-1)/2)+BN$14,0)=EOMONTH($F$3,0),BN$12*BN$13,0),0),IF(AND(BJ$12&lt;&gt;"",BJ$14&lt;&gt;""),IF(EOMONTH($BJ$3+INT((DAY(EOMONTH($BJ$3,0))-1)/2)+BJ$14,0)=EOMONTH($F$3,0),BJ$12*BJ$13,0),0),IF(AND(BF$12&lt;&gt;"",BF$14&lt;&gt;""),IF(EOMONTH($BF$3+INT((DAY(EOMONTH($BF$3,0))-1)/2)+BF$14,0)=EOMONTH($F$3,0),BF$12*BF$13,0),0),IF(AND(BB$12&lt;&gt;"",BB$14&lt;&gt;""),IF(EOMONTH($BB$3+INT((DAY(EOMONTH($BB$3,0))-1)/2)+BB$14,0)=EOMONTH($F$3,0),BB$12*BB$13,0),0),IF(AND(AX$12&lt;&gt;"",AX$14&lt;&gt;""),IF(EOMONTH($AX$3+INT((DAY(EOMONTH($AX$3,0))-1)/2)+AX$14,0)=EOMONTH($F$3,0),AX$12*AX$13,0),0),IF(AND(AT$12&lt;&gt;"",AT$14&lt;&gt;""),IF(EOMONTH($AT$3+INT((DAY(EOMONTH($AT$3,0))-1)/2)+AT$14,0)=EOMONTH($F$3,0),AT$12*AT$13,0),0),IF(AND(AP$12&lt;&gt;"",AP$14&lt;&gt;""),IF(EOMONTH($AP$3+INT((DAY(EOMONTH($AP$3,0))-1)/2)+AP$14,0)=EOMONTH($F$3,0),AP$12*AP$13,0),0),IF(AND(AL$12&lt;&gt;"",AL$14&lt;&gt;""),IF(EOMONTH($AL$3+INT((DAY(EOMONTH($AL$3,0))-1)/2)+AL$14,0)=EOMONTH($F$3,0),AL$12*AL$13,0),0),IF(AND(AH$12&lt;&gt;"",AH$14&lt;&gt;""),IF(EOMONTH($AH$3+INT((DAY(EOMONTH($AH$3,0))-1)/2)+AH$14,0)=EOMONTH($F$3,0),AH$12*AH$13,0),0),IF(AND(AD$12&lt;&gt;"",AD$14&lt;&gt;""),IF(EOMONTH($AD$3+INT((DAY(EOMONTH($AD$3,0))-1)/2)+AD$14,0)=EOMONTH($F$3,0),AD$12*AD$13,0),0),IF(AND(Z$12&lt;&gt;"",Z$14&lt;&gt;""),IF(EOMONTH($Z$3+INT((DAY(EOMONTH($Z$3,0))-1)/2)+Z$14,0)=EOMONTH($F$3,0),Z$12*Z$13,0),0),IF(AND(V$12&lt;&gt;"",V$14&lt;&gt;""),IF(EOMONTH($V$3+INT((DAY(EOMONTH($V$3,0))-1)/2)+V$14,0)=EOMONTH($F$3,0),V$12*V$13,0),0),IF(AND(R$12&lt;&gt;"",R$14&lt;&gt;""),IF(EOMONTH($R$3+INT((DAY(EOMONTH($R$3,0))-1)/2)+R$14,0)=EOMONTH($F$3,0),R$12*R$13,0),0),IF(AND(N$12&lt;&gt;"",N$14&lt;&gt;""),IF(EOMONTH($N$3+INT((DAY(EOMONTH($N$3,0))-1)/2)+N$14,0)=EOMONTH($F$3,0),N$12*N$13,0),0),IF(AND(J$12&lt;&gt;"",J$14&lt;&gt;""),IF(EOMONTH($J$3+INT((DAY(EOMONTH($J$3,0))-1)/2)+J$14,0)=EOMONTH($F$3,0),J$12*J$13,0),0),IF(AND(F$12&lt;&gt;"",F$14&lt;&gt;""),IF(EOMONTH($F$3+INT((DAY(EOMONTH($F$3,0))-1)/2)+F$14,0)=EOMONTH($F$3,0),F$12*F$13,0),0),IF($EP$75="",0,IF(EOMONTH($EP$75+EP$14,0)=EOMONTH($F$3,0),$EP$77*EP$13,0))),0)</f>
        <v>0</v>
      </c>
      <c r="G73" s="41">
        <f t="shared" si="1076"/>
        <v>0</v>
      </c>
      <c r="H73" s="41">
        <f t="shared" si="1076"/>
        <v>0</v>
      </c>
      <c r="I73" s="41">
        <f t="shared" si="1077"/>
        <v>0</v>
      </c>
      <c r="J73" s="41">
        <f t="shared" ref="J73:L73" si="1078">ROUND(SUM(IF(AND(EP$12&lt;&gt;"",EP$14&lt;&gt;""),IF(EOMONTH($EP$3+INT((DAY(EOMONTH($EP$3,0))-1)/2)+EP$14,0)=EOMONTH($J$3,0),EP$12*EP$13,0),0),IF(AND(EL$12&lt;&gt;"",EL$14&lt;&gt;""),IF(EOMONTH($EL$3+INT((DAY(EOMONTH($EL$3,0))-1)/2)+EL$14,0)=EOMONTH($J$3,0),EL$12*EL$13,0),0),IF(AND(EH$12&lt;&gt;"",EH$14&lt;&gt;""),IF(EOMONTH($EH$3+INT((DAY(EOMONTH($EH$3,0))-1)/2)+EH$14,0)=EOMONTH($J$3,0),EH$12*EH$13,0),0),IF(AND(ED$12&lt;&gt;"",ED$14&lt;&gt;""),IF(EOMONTH($ED$3+INT((DAY(EOMONTH($ED$3,0))-1)/2)+ED$14,0)=EOMONTH($J$3,0),ED$12*ED$13,0),0),IF(AND(DZ$12&lt;&gt;"",DZ$14&lt;&gt;""),IF(EOMONTH($DZ$3+INT((DAY(EOMONTH($DZ$3,0))-1)/2)+DZ$14,0)=EOMONTH($J$3,0),DZ$12*DZ$13,0),0),IF(AND(DV$12&lt;&gt;"",DV$14&lt;&gt;""),IF(EOMONTH($DV$3+INT((DAY(EOMONTH($DV$3,0))-1)/2)+DV$14,0)=EOMONTH($J$3,0),DV$12*DV$13,0),0),IF(AND(DR$12&lt;&gt;"",DR$14&lt;&gt;""),IF(EOMONTH($DR$3+INT((DAY(EOMONTH($DR$3,0))-1)/2)+DR$14,0)=EOMONTH($J$3,0),DR$12*DR$13,0),0),IF(AND(DN$12&lt;&gt;"",DN$14&lt;&gt;""),IF(EOMONTH($DN$3+INT((DAY(EOMONTH($DN$3,0))-1)/2)+DN$14,0)=EOMONTH($J$3,0),DN$12*DN$13,0),0),IF(AND(DJ$12&lt;&gt;"",DJ$14&lt;&gt;""),IF(EOMONTH($DJ$3+INT((DAY(EOMONTH($DJ$3,0))-1)/2)+DJ$14,0)=EOMONTH($J$3,0),DJ$12*DJ$13,0),0),IF(AND(DF$12&lt;&gt;"",DF$14&lt;&gt;""),IF(EOMONTH($DF$3+INT((DAY(EOMONTH($DF$3,0))-1)/2)+DF$14,0)=EOMONTH($J$3,0),DF$12*DF$13,0),0),IF(AND(DB$12&lt;&gt;"",DB$14&lt;&gt;""),IF(EOMONTH($DB$3+INT((DAY(EOMONTH($DB$3,0))-1)/2)+DB$14,0)=EOMONTH($J$3,0),DB$12*DB$13,0),0),IF(AND(CX$12&lt;&gt;"",CX$14&lt;&gt;""),IF(EOMONTH($CX$3+INT((DAY(EOMONTH($CX$3,0))-1)/2)+CX$14,0)=EOMONTH($J$3,0),CX$12*CX$13,0),0),IF(AND(CT$12&lt;&gt;"",CT$14&lt;&gt;""),IF(EOMONTH($CT$3+INT((DAY(EOMONTH($CT$3,0))-1)/2)+CT$14,0)=EOMONTH($J$3,0),CT$12*CT$13,0),0),IF(AND(CP$12&lt;&gt;"",CP$14&lt;&gt;""),IF(EOMONTH($CP$3+INT((DAY(EOMONTH($CP$3,0))-1)/2)+CP$14,0)=EOMONTH($J$3,0),CP$12*CP$13,0),0),IF(AND(CL$12&lt;&gt;"",CL$14&lt;&gt;""),IF(EOMONTH($CL$3+INT((DAY(EOMONTH($CL$3,0))-1)/2)+CL$14,0)=EOMONTH($J$3,0),CL$12*CL$13,0),0),IF(AND(CH$12&lt;&gt;"",CH$14&lt;&gt;""),IF(EOMONTH($CH$3+INT((DAY(EOMONTH($CH$3,0))-1)/2)+CH$14,0)=EOMONTH($J$3,0),CH$12*CH$13,0),0),IF(AND(CD$12&lt;&gt;"",CD$14&lt;&gt;""),IF(EOMONTH($CD$3+INT((DAY(EOMONTH($CD$3,0))-1)/2)+CD$14,0)=EOMONTH($J$3,0),CD$12*CD$13,0),0),IF(AND(BZ$12&lt;&gt;"",BZ$14&lt;&gt;""),IF(EOMONTH($BZ$3+INT((DAY(EOMONTH($BZ$3,0))-1)/2)+BZ$14,0)=EOMONTH($J$3,0),BZ$12*BZ$13,0),0),IF(AND(BV$12&lt;&gt;"",BV$14&lt;&gt;""),IF(EOMONTH($BV$3+INT((DAY(EOMONTH($BV$3,0))-1)/2)+BV$14,0)=EOMONTH($J$3,0),BV$12*BV$13,0),0),IF(AND(BR$12&lt;&gt;"",BR$14&lt;&gt;""),IF(EOMONTH($BR$3+INT((DAY(EOMONTH($BR$3,0))-1)/2)+BR$14,0)=EOMONTH($J$3,0),BR$12*BR$13,0),0),IF(AND(BN$12&lt;&gt;"",BN$14&lt;&gt;""),IF(EOMONTH($BN$3+INT((DAY(EOMONTH($BN$3,0))-1)/2)+BN$14,0)=EOMONTH($J$3,0),BN$12*BN$13,0),0),IF(AND(BJ$12&lt;&gt;"",BJ$14&lt;&gt;""),IF(EOMONTH($BJ$3+INT((DAY(EOMONTH($BJ$3,0))-1)/2)+BJ$14,0)=EOMONTH($J$3,0),BJ$12*BJ$13,0),0),IF(AND(BF$12&lt;&gt;"",BF$14&lt;&gt;""),IF(EOMONTH($BF$3+INT((DAY(EOMONTH($BF$3,0))-1)/2)+BF$14,0)=EOMONTH($J$3,0),BF$12*BF$13,0),0),IF(AND(BB$12&lt;&gt;"",BB$14&lt;&gt;""),IF(EOMONTH($BB$3+INT((DAY(EOMONTH($BB$3,0))-1)/2)+BB$14,0)=EOMONTH($J$3,0),BB$12*BB$13,0),0),IF(AND(AX$12&lt;&gt;"",AX$14&lt;&gt;""),IF(EOMONTH($AX$3+INT((DAY(EOMONTH($AX$3,0))-1)/2)+AX$14,0)=EOMONTH($J$3,0),AX$12*AX$13,0),0),IF(AND(AT$12&lt;&gt;"",AT$14&lt;&gt;""),IF(EOMONTH($AT$3+INT((DAY(EOMONTH($AT$3,0))-1)/2)+AT$14,0)=EOMONTH($J$3,0),AT$12*AT$13,0),0),IF(AND(AP$12&lt;&gt;"",AP$14&lt;&gt;""),IF(EOMONTH($AP$3+INT((DAY(EOMONTH($AP$3,0))-1)/2)+AP$14,0)=EOMONTH($J$3,0),AP$12*AP$13,0),0),IF(AND(AL$12&lt;&gt;"",AL$14&lt;&gt;""),IF(EOMONTH($AL$3+INT((DAY(EOMONTH($AL$3,0))-1)/2)+AL$14,0)=EOMONTH($J$3,0),AL$12*AL$13,0),0),IF(AND(AH$12&lt;&gt;"",AH$14&lt;&gt;""),IF(EOMONTH($AH$3+INT((DAY(EOMONTH($AH$3,0))-1)/2)+AH$14,0)=EOMONTH($J$3,0),AH$12*AH$13,0),0),IF(AND(AD$12&lt;&gt;"",AD$14&lt;&gt;""),IF(EOMONTH($AD$3+INT((DAY(EOMONTH($AD$3,0))-1)/2)+AD$14,0)=EOMONTH($J$3,0),AD$12*AD$13,0),0),IF(AND(Z$12&lt;&gt;"",Z$14&lt;&gt;""),IF(EOMONTH($Z$3+INT((DAY(EOMONTH($Z$3,0))-1)/2)+Z$14,0)=EOMONTH($J$3,0),Z$12*Z$13,0),0),IF(AND(V$12&lt;&gt;"",V$14&lt;&gt;""),IF(EOMONTH($V$3+INT((DAY(EOMONTH($V$3,0))-1)/2)+V$14,0)=EOMONTH($J$3,0),V$12*V$13,0),0),IF(AND(R$12&lt;&gt;"",R$14&lt;&gt;""),IF(EOMONTH($R$3+INT((DAY(EOMONTH($R$3,0))-1)/2)+R$14,0)=EOMONTH($J$3,0),R$12*R$13,0),0),IF(AND(N$12&lt;&gt;"",N$14&lt;&gt;""),IF(EOMONTH($N$3+INT((DAY(EOMONTH($N$3,0))-1)/2)+N$14,0)=EOMONTH($J$3,0),N$12*N$13,0),0),IF(AND(J$12&lt;&gt;"",J$14&lt;&gt;""),IF(EOMONTH($J$3+INT((DAY(EOMONTH($J$3,0))-1)/2)+J$14,0)=EOMONTH($J$3,0),J$12*J$13,0),0),IF(AND(F$12&lt;&gt;"",F$14&lt;&gt;""),IF(EOMONTH($F$3+INT((DAY(EOMONTH($F$3,0))-1)/2)+F$14,0)=EOMONTH($J$3,0),F$12*F$13,0),0),IF($EP$75="",0,IF(EOMONTH($EP$75+EP$14,0)=EOMONTH($J$3,0),$EP$77*EP$13,0))),0)</f>
        <v>0</v>
      </c>
      <c r="K73" s="41">
        <f t="shared" si="1078"/>
        <v>0</v>
      </c>
      <c r="L73" s="41">
        <f t="shared" si="1078"/>
        <v>0</v>
      </c>
      <c r="M73" s="41">
        <f t="shared" si="1079"/>
        <v>0</v>
      </c>
      <c r="N73" s="41">
        <f t="shared" ref="N73:P73" si="1080">ROUND(SUM(IF(AND(EP$12&lt;&gt;"",EP$14&lt;&gt;""),IF(EOMONTH($EP$3+INT((DAY(EOMONTH($EP$3,0))-1)/2)+EP$14,0)=EOMONTH($N$3,0),EP$12*EP$13,0),0),IF(AND(EL$12&lt;&gt;"",EL$14&lt;&gt;""),IF(EOMONTH($EL$3+INT((DAY(EOMONTH($EL$3,0))-1)/2)+EL$14,0)=EOMONTH($N$3,0),EL$12*EL$13,0),0),IF(AND(EH$12&lt;&gt;"",EH$14&lt;&gt;""),IF(EOMONTH($EH$3+INT((DAY(EOMONTH($EH$3,0))-1)/2)+EH$14,0)=EOMONTH($N$3,0),EH$12*EH$13,0),0),IF(AND(ED$12&lt;&gt;"",ED$14&lt;&gt;""),IF(EOMONTH($ED$3+INT((DAY(EOMONTH($ED$3,0))-1)/2)+ED$14,0)=EOMONTH($N$3,0),ED$12*ED$13,0),0),IF(AND(DZ$12&lt;&gt;"",DZ$14&lt;&gt;""),IF(EOMONTH($DZ$3+INT((DAY(EOMONTH($DZ$3,0))-1)/2)+DZ$14,0)=EOMONTH($N$3,0),DZ$12*DZ$13,0),0),IF(AND(DV$12&lt;&gt;"",DV$14&lt;&gt;""),IF(EOMONTH($DV$3+INT((DAY(EOMONTH($DV$3,0))-1)/2)+DV$14,0)=EOMONTH($N$3,0),DV$12*DV$13,0),0),IF(AND(DR$12&lt;&gt;"",DR$14&lt;&gt;""),IF(EOMONTH($DR$3+INT((DAY(EOMONTH($DR$3,0))-1)/2)+DR$14,0)=EOMONTH($N$3,0),DR$12*DR$13,0),0),IF(AND(DN$12&lt;&gt;"",DN$14&lt;&gt;""),IF(EOMONTH($DN$3+INT((DAY(EOMONTH($DN$3,0))-1)/2)+DN$14,0)=EOMONTH($N$3,0),DN$12*DN$13,0),0),IF(AND(DJ$12&lt;&gt;"",DJ$14&lt;&gt;""),IF(EOMONTH($DJ$3+INT((DAY(EOMONTH($DJ$3,0))-1)/2)+DJ$14,0)=EOMONTH($N$3,0),DJ$12*DJ$13,0),0),IF(AND(DF$12&lt;&gt;"",DF$14&lt;&gt;""),IF(EOMONTH($DF$3+INT((DAY(EOMONTH($DF$3,0))-1)/2)+DF$14,0)=EOMONTH($N$3,0),DF$12*DF$13,0),0),IF(AND(DB$12&lt;&gt;"",DB$14&lt;&gt;""),IF(EOMONTH($DB$3+INT((DAY(EOMONTH($DB$3,0))-1)/2)+DB$14,0)=EOMONTH($N$3,0),DB$12*DB$13,0),0),IF(AND(CX$12&lt;&gt;"",CX$14&lt;&gt;""),IF(EOMONTH($CX$3+INT((DAY(EOMONTH($CX$3,0))-1)/2)+CX$14,0)=EOMONTH($N$3,0),CX$12*CX$13,0),0),IF(AND(CT$12&lt;&gt;"",CT$14&lt;&gt;""),IF(EOMONTH($CT$3+INT((DAY(EOMONTH($CT$3,0))-1)/2)+CT$14,0)=EOMONTH($N$3,0),CT$12*CT$13,0),0),IF(AND(CP$12&lt;&gt;"",CP$14&lt;&gt;""),IF(EOMONTH($CP$3+INT((DAY(EOMONTH($CP$3,0))-1)/2)+CP$14,0)=EOMONTH($N$3,0),CP$12*CP$13,0),0),IF(AND(CL$12&lt;&gt;"",CL$14&lt;&gt;""),IF(EOMONTH($CL$3+INT((DAY(EOMONTH($CL$3,0))-1)/2)+CL$14,0)=EOMONTH($N$3,0),CL$12*CL$13,0),0),IF(AND(CH$12&lt;&gt;"",CH$14&lt;&gt;""),IF(EOMONTH($CH$3+INT((DAY(EOMONTH($CH$3,0))-1)/2)+CH$14,0)=EOMONTH($N$3,0),CH$12*CH$13,0),0),IF(AND(CD$12&lt;&gt;"",CD$14&lt;&gt;""),IF(EOMONTH($CD$3+INT((DAY(EOMONTH($CD$3,0))-1)/2)+CD$14,0)=EOMONTH($N$3,0),CD$12*CD$13,0),0),IF(AND(BZ$12&lt;&gt;"",BZ$14&lt;&gt;""),IF(EOMONTH($BZ$3+INT((DAY(EOMONTH($BZ$3,0))-1)/2)+BZ$14,0)=EOMONTH($N$3,0),BZ$12*BZ$13,0),0),IF(AND(BV$12&lt;&gt;"",BV$14&lt;&gt;""),IF(EOMONTH($BV$3+INT((DAY(EOMONTH($BV$3,0))-1)/2)+BV$14,0)=EOMONTH($N$3,0),BV$12*BV$13,0),0),IF(AND(BR$12&lt;&gt;"",BR$14&lt;&gt;""),IF(EOMONTH($BR$3+INT((DAY(EOMONTH($BR$3,0))-1)/2)+BR$14,0)=EOMONTH($N$3,0),BR$12*BR$13,0),0),IF(AND(BN$12&lt;&gt;"",BN$14&lt;&gt;""),IF(EOMONTH($BN$3+INT((DAY(EOMONTH($BN$3,0))-1)/2)+BN$14,0)=EOMONTH($N$3,0),BN$12*BN$13,0),0),IF(AND(BJ$12&lt;&gt;"",BJ$14&lt;&gt;""),IF(EOMONTH($BJ$3+INT((DAY(EOMONTH($BJ$3,0))-1)/2)+BJ$14,0)=EOMONTH($N$3,0),BJ$12*BJ$13,0),0),IF(AND(BF$12&lt;&gt;"",BF$14&lt;&gt;""),IF(EOMONTH($BF$3+INT((DAY(EOMONTH($BF$3,0))-1)/2)+BF$14,0)=EOMONTH($N$3,0),BF$12*BF$13,0),0),IF(AND(BB$12&lt;&gt;"",BB$14&lt;&gt;""),IF(EOMONTH($BB$3+INT((DAY(EOMONTH($BB$3,0))-1)/2)+BB$14,0)=EOMONTH($N$3,0),BB$12*BB$13,0),0),IF(AND(AX$12&lt;&gt;"",AX$14&lt;&gt;""),IF(EOMONTH($AX$3+INT((DAY(EOMONTH($AX$3,0))-1)/2)+AX$14,0)=EOMONTH($N$3,0),AX$12*AX$13,0),0),IF(AND(AT$12&lt;&gt;"",AT$14&lt;&gt;""),IF(EOMONTH($AT$3+INT((DAY(EOMONTH($AT$3,0))-1)/2)+AT$14,0)=EOMONTH($N$3,0),AT$12*AT$13,0),0),IF(AND(AP$12&lt;&gt;"",AP$14&lt;&gt;""),IF(EOMONTH($AP$3+INT((DAY(EOMONTH($AP$3,0))-1)/2)+AP$14,0)=EOMONTH($N$3,0),AP$12*AP$13,0),0),IF(AND(AL$12&lt;&gt;"",AL$14&lt;&gt;""),IF(EOMONTH($AL$3+INT((DAY(EOMONTH($AL$3,0))-1)/2)+AL$14,0)=EOMONTH($N$3,0),AL$12*AL$13,0),0),IF(AND(AH$12&lt;&gt;"",AH$14&lt;&gt;""),IF(EOMONTH($AH$3+INT((DAY(EOMONTH($AH$3,0))-1)/2)+AH$14,0)=EOMONTH($N$3,0),AH$12*AH$13,0),0),IF(AND(AD$12&lt;&gt;"",AD$14&lt;&gt;""),IF(EOMONTH($AD$3+INT((DAY(EOMONTH($AD$3,0))-1)/2)+AD$14,0)=EOMONTH($N$3,0),AD$12*AD$13,0),0),IF(AND(Z$12&lt;&gt;"",Z$14&lt;&gt;""),IF(EOMONTH($Z$3+INT((DAY(EOMONTH($Z$3,0))-1)/2)+Z$14,0)=EOMONTH($N$3,0),Z$12*Z$13,0),0),IF(AND(V$12&lt;&gt;"",V$14&lt;&gt;""),IF(EOMONTH($V$3+INT((DAY(EOMONTH($V$3,0))-1)/2)+V$14,0)=EOMONTH($N$3,0),V$12*V$13,0),0),IF(AND(R$12&lt;&gt;"",R$14&lt;&gt;""),IF(EOMONTH($R$3+INT((DAY(EOMONTH($R$3,0))-1)/2)+R$14,0)=EOMONTH($N$3,0),R$12*R$13,0),0),IF(AND(N$12&lt;&gt;"",N$14&lt;&gt;""),IF(EOMONTH($N$3+INT((DAY(EOMONTH($N$3,0))-1)/2)+N$14,0)=EOMONTH($N$3,0),N$12*N$13,0),0),IF(AND(J$12&lt;&gt;"",J$14&lt;&gt;""),IF(EOMONTH($J$3+INT((DAY(EOMONTH($J$3,0))-1)/2)+J$14,0)=EOMONTH($N$3,0),J$12*J$13,0),0),IF(AND(F$12&lt;&gt;"",F$14&lt;&gt;""),IF(EOMONTH($F$3+INT((DAY(EOMONTH($F$3,0))-1)/2)+F$14,0)=EOMONTH($N$3,0),F$12*F$13,0),0),IF($EP$75="",0,IF(EOMONTH($EP$75+EP$14,0)=EOMONTH($N$3,0),$EP$77*EP$13,0))),0)</f>
        <v>0</v>
      </c>
      <c r="O73" s="41">
        <f t="shared" si="1080"/>
        <v>0</v>
      </c>
      <c r="P73" s="41">
        <f t="shared" si="1080"/>
        <v>0</v>
      </c>
      <c r="Q73" s="41">
        <f t="shared" si="1081"/>
        <v>0</v>
      </c>
      <c r="R73" s="41">
        <f t="shared" ref="R73:T73" si="1082">ROUND(SUM(IF(AND(EP$12&lt;&gt;"",EP$14&lt;&gt;""),IF(EOMONTH($EP$3+INT((DAY(EOMONTH($EP$3,0))-1)/2)+EP$14,0)=EOMONTH($R$3,0),EP$12*EP$13,0),0),IF(AND(EL$12&lt;&gt;"",EL$14&lt;&gt;""),IF(EOMONTH($EL$3+INT((DAY(EOMONTH($EL$3,0))-1)/2)+EL$14,0)=EOMONTH($R$3,0),EL$12*EL$13,0),0),IF(AND(EH$12&lt;&gt;"",EH$14&lt;&gt;""),IF(EOMONTH($EH$3+INT((DAY(EOMONTH($EH$3,0))-1)/2)+EH$14,0)=EOMONTH($R$3,0),EH$12*EH$13,0),0),IF(AND(ED$12&lt;&gt;"",ED$14&lt;&gt;""),IF(EOMONTH($ED$3+INT((DAY(EOMONTH($ED$3,0))-1)/2)+ED$14,0)=EOMONTH($R$3,0),ED$12*ED$13,0),0),IF(AND(DZ$12&lt;&gt;"",DZ$14&lt;&gt;""),IF(EOMONTH($DZ$3+INT((DAY(EOMONTH($DZ$3,0))-1)/2)+DZ$14,0)=EOMONTH($R$3,0),DZ$12*DZ$13,0),0),IF(AND(DV$12&lt;&gt;"",DV$14&lt;&gt;""),IF(EOMONTH($DV$3+INT((DAY(EOMONTH($DV$3,0))-1)/2)+DV$14,0)=EOMONTH($R$3,0),DV$12*DV$13,0),0),IF(AND(DR$12&lt;&gt;"",DR$14&lt;&gt;""),IF(EOMONTH($DR$3+INT((DAY(EOMONTH($DR$3,0))-1)/2)+DR$14,0)=EOMONTH($R$3,0),DR$12*DR$13,0),0),IF(AND(DN$12&lt;&gt;"",DN$14&lt;&gt;""),IF(EOMONTH($DN$3+INT((DAY(EOMONTH($DN$3,0))-1)/2)+DN$14,0)=EOMONTH($R$3,0),DN$12*DN$13,0),0),IF(AND(DJ$12&lt;&gt;"",DJ$14&lt;&gt;""),IF(EOMONTH($DJ$3+INT((DAY(EOMONTH($DJ$3,0))-1)/2)+DJ$14,0)=EOMONTH($R$3,0),DJ$12*DJ$13,0),0),IF(AND(DF$12&lt;&gt;"",DF$14&lt;&gt;""),IF(EOMONTH($DF$3+INT((DAY(EOMONTH($DF$3,0))-1)/2)+DF$14,0)=EOMONTH($R$3,0),DF$12*DF$13,0),0),IF(AND(DB$12&lt;&gt;"",DB$14&lt;&gt;""),IF(EOMONTH($DB$3+INT((DAY(EOMONTH($DB$3,0))-1)/2)+DB$14,0)=EOMONTH($R$3,0),DB$12*DB$13,0),0),IF(AND(CX$12&lt;&gt;"",CX$14&lt;&gt;""),IF(EOMONTH($CX$3+INT((DAY(EOMONTH($CX$3,0))-1)/2)+CX$14,0)=EOMONTH($R$3,0),CX$12*CX$13,0),0),IF(AND(CT$12&lt;&gt;"",CT$14&lt;&gt;""),IF(EOMONTH($CT$3+INT((DAY(EOMONTH($CT$3,0))-1)/2)+CT$14,0)=EOMONTH($R$3,0),CT$12*CT$13,0),0),IF(AND(CP$12&lt;&gt;"",CP$14&lt;&gt;""),IF(EOMONTH($CP$3+INT((DAY(EOMONTH($CP$3,0))-1)/2)+CP$14,0)=EOMONTH($R$3,0),CP$12*CP$13,0),0),IF(AND(CL$12&lt;&gt;"",CL$14&lt;&gt;""),IF(EOMONTH($CL$3+INT((DAY(EOMONTH($CL$3,0))-1)/2)+CL$14,0)=EOMONTH($R$3,0),CL$12*CL$13,0),0),IF(AND(CH$12&lt;&gt;"",CH$14&lt;&gt;""),IF(EOMONTH($CH$3+INT((DAY(EOMONTH($CH$3,0))-1)/2)+CH$14,0)=EOMONTH($R$3,0),CH$12*CH$13,0),0),IF(AND(CD$12&lt;&gt;"",CD$14&lt;&gt;""),IF(EOMONTH($CD$3+INT((DAY(EOMONTH($CD$3,0))-1)/2)+CD$14,0)=EOMONTH($R$3,0),CD$12*CD$13,0),0),IF(AND(BZ$12&lt;&gt;"",BZ$14&lt;&gt;""),IF(EOMONTH($BZ$3+INT((DAY(EOMONTH($BZ$3,0))-1)/2)+BZ$14,0)=EOMONTH($R$3,0),BZ$12*BZ$13,0),0),IF(AND(BV$12&lt;&gt;"",BV$14&lt;&gt;""),IF(EOMONTH($BV$3+INT((DAY(EOMONTH($BV$3,0))-1)/2)+BV$14,0)=EOMONTH($R$3,0),BV$12*BV$13,0),0),IF(AND(BR$12&lt;&gt;"",BR$14&lt;&gt;""),IF(EOMONTH($BR$3+INT((DAY(EOMONTH($BR$3,0))-1)/2)+BR$14,0)=EOMONTH($R$3,0),BR$12*BR$13,0),0),IF(AND(BN$12&lt;&gt;"",BN$14&lt;&gt;""),IF(EOMONTH($BN$3+INT((DAY(EOMONTH($BN$3,0))-1)/2)+BN$14,0)=EOMONTH($R$3,0),BN$12*BN$13,0),0),IF(AND(BJ$12&lt;&gt;"",BJ$14&lt;&gt;""),IF(EOMONTH($BJ$3+INT((DAY(EOMONTH($BJ$3,0))-1)/2)+BJ$14,0)=EOMONTH($R$3,0),BJ$12*BJ$13,0),0),IF(AND(BF$12&lt;&gt;"",BF$14&lt;&gt;""),IF(EOMONTH($BF$3+INT((DAY(EOMONTH($BF$3,0))-1)/2)+BF$14,0)=EOMONTH($R$3,0),BF$12*BF$13,0),0),IF(AND(BB$12&lt;&gt;"",BB$14&lt;&gt;""),IF(EOMONTH($BB$3+INT((DAY(EOMONTH($BB$3,0))-1)/2)+BB$14,0)=EOMONTH($R$3,0),BB$12*BB$13,0),0),IF(AND(AX$12&lt;&gt;"",AX$14&lt;&gt;""),IF(EOMONTH($AX$3+INT((DAY(EOMONTH($AX$3,0))-1)/2)+AX$14,0)=EOMONTH($R$3,0),AX$12*AX$13,0),0),IF(AND(AT$12&lt;&gt;"",AT$14&lt;&gt;""),IF(EOMONTH($AT$3+INT((DAY(EOMONTH($AT$3,0))-1)/2)+AT$14,0)=EOMONTH($R$3,0),AT$12*AT$13,0),0),IF(AND(AP$12&lt;&gt;"",AP$14&lt;&gt;""),IF(EOMONTH($AP$3+INT((DAY(EOMONTH($AP$3,0))-1)/2)+AP$14,0)=EOMONTH($R$3,0),AP$12*AP$13,0),0),IF(AND(AL$12&lt;&gt;"",AL$14&lt;&gt;""),IF(EOMONTH($AL$3+INT((DAY(EOMONTH($AL$3,0))-1)/2)+AL$14,0)=EOMONTH($R$3,0),AL$12*AL$13,0),0),IF(AND(AH$12&lt;&gt;"",AH$14&lt;&gt;""),IF(EOMONTH($AH$3+INT((DAY(EOMONTH($AH$3,0))-1)/2)+AH$14,0)=EOMONTH($R$3,0),AH$12*AH$13,0),0),IF(AND(AD$12&lt;&gt;"",AD$14&lt;&gt;""),IF(EOMONTH($AD$3+INT((DAY(EOMONTH($AD$3,0))-1)/2)+AD$14,0)=EOMONTH($R$3,0),AD$12*AD$13,0),0),IF(AND(Z$12&lt;&gt;"",Z$14&lt;&gt;""),IF(EOMONTH($Z$3+INT((DAY(EOMONTH($Z$3,0))-1)/2)+Z$14,0)=EOMONTH($R$3,0),Z$12*Z$13,0),0),IF(AND(V$12&lt;&gt;"",V$14&lt;&gt;""),IF(EOMONTH($V$3+INT((DAY(EOMONTH($V$3,0))-1)/2)+V$14,0)=EOMONTH($R$3,0),V$12*V$13,0),0),IF(AND(R$12&lt;&gt;"",R$14&lt;&gt;""),IF(EOMONTH($R$3+INT((DAY(EOMONTH($R$3,0))-1)/2)+R$14,0)=EOMONTH($R$3,0),R$12*R$13,0),0),IF(AND(N$12&lt;&gt;"",N$14&lt;&gt;""),IF(EOMONTH($N$3+INT((DAY(EOMONTH($N$3,0))-1)/2)+N$14,0)=EOMONTH($R$3,0),N$12*N$13,0),0),IF(AND(J$12&lt;&gt;"",J$14&lt;&gt;""),IF(EOMONTH($J$3+INT((DAY(EOMONTH($J$3,0))-1)/2)+J$14,0)=EOMONTH($R$3,0),J$12*J$13,0),0),IF(AND(F$12&lt;&gt;"",F$14&lt;&gt;""),IF(EOMONTH($F$3+INT((DAY(EOMONTH($F$3,0))-1)/2)+F$14,0)=EOMONTH($R$3,0),F$12*F$13,0),0),IF($EP$75="",0,IF(EOMONTH($EP$75+EP$14,0)=EOMONTH($R$3,0),$EP$77*EP$13,0))),0)</f>
        <v>0</v>
      </c>
      <c r="S73" s="41">
        <f t="shared" si="1082"/>
        <v>0</v>
      </c>
      <c r="T73" s="41">
        <f t="shared" si="1082"/>
        <v>0</v>
      </c>
      <c r="U73" s="41">
        <f t="shared" si="1083"/>
        <v>0</v>
      </c>
      <c r="V73" s="41">
        <f t="shared" ref="V73:X73" si="1084">ROUND(SUM(IF(AND(EP$12&lt;&gt;"",EP$14&lt;&gt;""),IF(EOMONTH($EP$3+INT((DAY(EOMONTH($EP$3,0))-1)/2)+EP$14,0)=EOMONTH($V$3,0),EP$12*EP$13,0),0),IF(AND(EL$12&lt;&gt;"",EL$14&lt;&gt;""),IF(EOMONTH($EL$3+INT((DAY(EOMONTH($EL$3,0))-1)/2)+EL$14,0)=EOMONTH($V$3,0),EL$12*EL$13,0),0),IF(AND(EH$12&lt;&gt;"",EH$14&lt;&gt;""),IF(EOMONTH($EH$3+INT((DAY(EOMONTH($EH$3,0))-1)/2)+EH$14,0)=EOMONTH($V$3,0),EH$12*EH$13,0),0),IF(AND(ED$12&lt;&gt;"",ED$14&lt;&gt;""),IF(EOMONTH($ED$3+INT((DAY(EOMONTH($ED$3,0))-1)/2)+ED$14,0)=EOMONTH($V$3,0),ED$12*ED$13,0),0),IF(AND(DZ$12&lt;&gt;"",DZ$14&lt;&gt;""),IF(EOMONTH($DZ$3+INT((DAY(EOMONTH($DZ$3,0))-1)/2)+DZ$14,0)=EOMONTH($V$3,0),DZ$12*DZ$13,0),0),IF(AND(DV$12&lt;&gt;"",DV$14&lt;&gt;""),IF(EOMONTH($DV$3+INT((DAY(EOMONTH($DV$3,0))-1)/2)+DV$14,0)=EOMONTH($V$3,0),DV$12*DV$13,0),0),IF(AND(DR$12&lt;&gt;"",DR$14&lt;&gt;""),IF(EOMONTH($DR$3+INT((DAY(EOMONTH($DR$3,0))-1)/2)+DR$14,0)=EOMONTH($V$3,0),DR$12*DR$13,0),0),IF(AND(DN$12&lt;&gt;"",DN$14&lt;&gt;""),IF(EOMONTH($DN$3+INT((DAY(EOMONTH($DN$3,0))-1)/2)+DN$14,0)=EOMONTH($V$3,0),DN$12*DN$13,0),0),IF(AND(DJ$12&lt;&gt;"",DJ$14&lt;&gt;""),IF(EOMONTH($DJ$3+INT((DAY(EOMONTH($DJ$3,0))-1)/2)+DJ$14,0)=EOMONTH($V$3,0),DJ$12*DJ$13,0),0),IF(AND(DF$12&lt;&gt;"",DF$14&lt;&gt;""),IF(EOMONTH($DF$3+INT((DAY(EOMONTH($DF$3,0))-1)/2)+DF$14,0)=EOMONTH($V$3,0),DF$12*DF$13,0),0),IF(AND(DB$12&lt;&gt;"",DB$14&lt;&gt;""),IF(EOMONTH($DB$3+INT((DAY(EOMONTH($DB$3,0))-1)/2)+DB$14,0)=EOMONTH($V$3,0),DB$12*DB$13,0),0),IF(AND(CX$12&lt;&gt;"",CX$14&lt;&gt;""),IF(EOMONTH($CX$3+INT((DAY(EOMONTH($CX$3,0))-1)/2)+CX$14,0)=EOMONTH($V$3,0),CX$12*CX$13,0),0),IF(AND(CT$12&lt;&gt;"",CT$14&lt;&gt;""),IF(EOMONTH($CT$3+INT((DAY(EOMONTH($CT$3,0))-1)/2)+CT$14,0)=EOMONTH($V$3,0),CT$12*CT$13,0),0),IF(AND(CP$12&lt;&gt;"",CP$14&lt;&gt;""),IF(EOMONTH($CP$3+INT((DAY(EOMONTH($CP$3,0))-1)/2)+CP$14,0)=EOMONTH($V$3,0),CP$12*CP$13,0),0),IF(AND(CL$12&lt;&gt;"",CL$14&lt;&gt;""),IF(EOMONTH($CL$3+INT((DAY(EOMONTH($CL$3,0))-1)/2)+CL$14,0)=EOMONTH($V$3,0),CL$12*CL$13,0),0),IF(AND(CH$12&lt;&gt;"",CH$14&lt;&gt;""),IF(EOMONTH($CH$3+INT((DAY(EOMONTH($CH$3,0))-1)/2)+CH$14,0)=EOMONTH($V$3,0),CH$12*CH$13,0),0),IF(AND(CD$12&lt;&gt;"",CD$14&lt;&gt;""),IF(EOMONTH($CD$3+INT((DAY(EOMONTH($CD$3,0))-1)/2)+CD$14,0)=EOMONTH($V$3,0),CD$12*CD$13,0),0),IF(AND(BZ$12&lt;&gt;"",BZ$14&lt;&gt;""),IF(EOMONTH($BZ$3+INT((DAY(EOMONTH($BZ$3,0))-1)/2)+BZ$14,0)=EOMONTH($V$3,0),BZ$12*BZ$13,0),0),IF(AND(BV$12&lt;&gt;"",BV$14&lt;&gt;""),IF(EOMONTH($BV$3+INT((DAY(EOMONTH($BV$3,0))-1)/2)+BV$14,0)=EOMONTH($V$3,0),BV$12*BV$13,0),0),IF(AND(BR$12&lt;&gt;"",BR$14&lt;&gt;""),IF(EOMONTH($BR$3+INT((DAY(EOMONTH($BR$3,0))-1)/2)+BR$14,0)=EOMONTH($V$3,0),BR$12*BR$13,0),0),IF(AND(BN$12&lt;&gt;"",BN$14&lt;&gt;""),IF(EOMONTH($BN$3+INT((DAY(EOMONTH($BN$3,0))-1)/2)+BN$14,0)=EOMONTH($V$3,0),BN$12*BN$13,0),0),IF(AND(BJ$12&lt;&gt;"",BJ$14&lt;&gt;""),IF(EOMONTH($BJ$3+INT((DAY(EOMONTH($BJ$3,0))-1)/2)+BJ$14,0)=EOMONTH($V$3,0),BJ$12*BJ$13,0),0),IF(AND(BF$12&lt;&gt;"",BF$14&lt;&gt;""),IF(EOMONTH($BF$3+INT((DAY(EOMONTH($BF$3,0))-1)/2)+BF$14,0)=EOMONTH($V$3,0),BF$12*BF$13,0),0),IF(AND(BB$12&lt;&gt;"",BB$14&lt;&gt;""),IF(EOMONTH($BB$3+INT((DAY(EOMONTH($BB$3,0))-1)/2)+BB$14,0)=EOMONTH($V$3,0),BB$12*BB$13,0),0),IF(AND(AX$12&lt;&gt;"",AX$14&lt;&gt;""),IF(EOMONTH($AX$3+INT((DAY(EOMONTH($AX$3,0))-1)/2)+AX$14,0)=EOMONTH($V$3,0),AX$12*AX$13,0),0),IF(AND(AT$12&lt;&gt;"",AT$14&lt;&gt;""),IF(EOMONTH($AT$3+INT((DAY(EOMONTH($AT$3,0))-1)/2)+AT$14,0)=EOMONTH($V$3,0),AT$12*AT$13,0),0),IF(AND(AP$12&lt;&gt;"",AP$14&lt;&gt;""),IF(EOMONTH($AP$3+INT((DAY(EOMONTH($AP$3,0))-1)/2)+AP$14,0)=EOMONTH($V$3,0),AP$12*AP$13,0),0),IF(AND(AL$12&lt;&gt;"",AL$14&lt;&gt;""),IF(EOMONTH($AL$3+INT((DAY(EOMONTH($AL$3,0))-1)/2)+AL$14,0)=EOMONTH($V$3,0),AL$12*AL$13,0),0),IF(AND(AH$12&lt;&gt;"",AH$14&lt;&gt;""),IF(EOMONTH($AH$3+INT((DAY(EOMONTH($AH$3,0))-1)/2)+AH$14,0)=EOMONTH($V$3,0),AH$12*AH$13,0),0),IF(AND(AD$12&lt;&gt;"",AD$14&lt;&gt;""),IF(EOMONTH($AD$3+INT((DAY(EOMONTH($AD$3,0))-1)/2)+AD$14,0)=EOMONTH($V$3,0),AD$12*AD$13,0),0),IF(AND(Z$12&lt;&gt;"",Z$14&lt;&gt;""),IF(EOMONTH($Z$3+INT((DAY(EOMONTH($Z$3,0))-1)/2)+Z$14,0)=EOMONTH($V$3,0),Z$12*Z$13,0),0),IF(AND(V$12&lt;&gt;"",V$14&lt;&gt;""),IF(EOMONTH($V$3+INT((DAY(EOMONTH($V$3,0))-1)/2)+V$14,0)=EOMONTH($V$3,0),V$12*V$13,0),0),IF(AND(R$12&lt;&gt;"",R$14&lt;&gt;""),IF(EOMONTH($R$3+INT((DAY(EOMONTH($R$3,0))-1)/2)+R$14,0)=EOMONTH($V$3,0),R$12*R$13,0),0),IF(AND(N$12&lt;&gt;"",N$14&lt;&gt;""),IF(EOMONTH($N$3+INT((DAY(EOMONTH($N$3,0))-1)/2)+N$14,0)=EOMONTH($V$3,0),N$12*N$13,0),0),IF(AND(J$12&lt;&gt;"",J$14&lt;&gt;""),IF(EOMONTH($J$3+INT((DAY(EOMONTH($J$3,0))-1)/2)+J$14,0)=EOMONTH($V$3,0),J$12*J$13,0),0),IF(AND(F$12&lt;&gt;"",F$14&lt;&gt;""),IF(EOMONTH($F$3+INT((DAY(EOMONTH($F$3,0))-1)/2)+F$14,0)=EOMONTH($V$3,0),F$12*F$13,0),0),IF($EP$75="",0,IF(EOMONTH($EP$75+EP$14,0)=EOMONTH($V$3,0),$EP$77*EP$13,0))),0)</f>
        <v>0</v>
      </c>
      <c r="W73" s="41">
        <f t="shared" si="1084"/>
        <v>0</v>
      </c>
      <c r="X73" s="41">
        <f t="shared" si="1084"/>
        <v>0</v>
      </c>
      <c r="Y73" s="41">
        <f t="shared" si="1085"/>
        <v>0</v>
      </c>
      <c r="Z73" s="41">
        <f t="shared" ref="Z73:AB73" si="1086">ROUND(SUM(IF(AND(EP$12&lt;&gt;"",EP$14&lt;&gt;""),IF(EOMONTH($EP$3+INT((DAY(EOMONTH($EP$3,0))-1)/2)+EP$14,0)=EOMONTH($Z$3,0),EP$12*EP$13,0),0),IF(AND(EL$12&lt;&gt;"",EL$14&lt;&gt;""),IF(EOMONTH($EL$3+INT((DAY(EOMONTH($EL$3,0))-1)/2)+EL$14,0)=EOMONTH($Z$3,0),EL$12*EL$13,0),0),IF(AND(EH$12&lt;&gt;"",EH$14&lt;&gt;""),IF(EOMONTH($EH$3+INT((DAY(EOMONTH($EH$3,0))-1)/2)+EH$14,0)=EOMONTH($Z$3,0),EH$12*EH$13,0),0),IF(AND(ED$12&lt;&gt;"",ED$14&lt;&gt;""),IF(EOMONTH($ED$3+INT((DAY(EOMONTH($ED$3,0))-1)/2)+ED$14,0)=EOMONTH($Z$3,0),ED$12*ED$13,0),0),IF(AND(DZ$12&lt;&gt;"",DZ$14&lt;&gt;""),IF(EOMONTH($DZ$3+INT((DAY(EOMONTH($DZ$3,0))-1)/2)+DZ$14,0)=EOMONTH($Z$3,0),DZ$12*DZ$13,0),0),IF(AND(DV$12&lt;&gt;"",DV$14&lt;&gt;""),IF(EOMONTH($DV$3+INT((DAY(EOMONTH($DV$3,0))-1)/2)+DV$14,0)=EOMONTH($Z$3,0),DV$12*DV$13,0),0),IF(AND(DR$12&lt;&gt;"",DR$14&lt;&gt;""),IF(EOMONTH($DR$3+INT((DAY(EOMONTH($DR$3,0))-1)/2)+DR$14,0)=EOMONTH($Z$3,0),DR$12*DR$13,0),0),IF(AND(DN$12&lt;&gt;"",DN$14&lt;&gt;""),IF(EOMONTH($DN$3+INT((DAY(EOMONTH($DN$3,0))-1)/2)+DN$14,0)=EOMONTH($Z$3,0),DN$12*DN$13,0),0),IF(AND(DJ$12&lt;&gt;"",DJ$14&lt;&gt;""),IF(EOMONTH($DJ$3+INT((DAY(EOMONTH($DJ$3,0))-1)/2)+DJ$14,0)=EOMONTH($Z$3,0),DJ$12*DJ$13,0),0),IF(AND(DF$12&lt;&gt;"",DF$14&lt;&gt;""),IF(EOMONTH($DF$3+INT((DAY(EOMONTH($DF$3,0))-1)/2)+DF$14,0)=EOMONTH($Z$3,0),DF$12*DF$13,0),0),IF(AND(DB$12&lt;&gt;"",DB$14&lt;&gt;""),IF(EOMONTH($DB$3+INT((DAY(EOMONTH($DB$3,0))-1)/2)+DB$14,0)=EOMONTH($Z$3,0),DB$12*DB$13,0),0),IF(AND(CX$12&lt;&gt;"",CX$14&lt;&gt;""),IF(EOMONTH($CX$3+INT((DAY(EOMONTH($CX$3,0))-1)/2)+CX$14,0)=EOMONTH($Z$3,0),CX$12*CX$13,0),0),IF(AND(CT$12&lt;&gt;"",CT$14&lt;&gt;""),IF(EOMONTH($CT$3+INT((DAY(EOMONTH($CT$3,0))-1)/2)+CT$14,0)=EOMONTH($Z$3,0),CT$12*CT$13,0),0),IF(AND(CP$12&lt;&gt;"",CP$14&lt;&gt;""),IF(EOMONTH($CP$3+INT((DAY(EOMONTH($CP$3,0))-1)/2)+CP$14,0)=EOMONTH($Z$3,0),CP$12*CP$13,0),0),IF(AND(CL$12&lt;&gt;"",CL$14&lt;&gt;""),IF(EOMONTH($CL$3+INT((DAY(EOMONTH($CL$3,0))-1)/2)+CL$14,0)=EOMONTH($Z$3,0),CL$12*CL$13,0),0),IF(AND(CH$12&lt;&gt;"",CH$14&lt;&gt;""),IF(EOMONTH($CH$3+INT((DAY(EOMONTH($CH$3,0))-1)/2)+CH$14,0)=EOMONTH($Z$3,0),CH$12*CH$13,0),0),IF(AND(CD$12&lt;&gt;"",CD$14&lt;&gt;""),IF(EOMONTH($CD$3+INT((DAY(EOMONTH($CD$3,0))-1)/2)+CD$14,0)=EOMONTH($Z$3,0),CD$12*CD$13,0),0),IF(AND(BZ$12&lt;&gt;"",BZ$14&lt;&gt;""),IF(EOMONTH($BZ$3+INT((DAY(EOMONTH($BZ$3,0))-1)/2)+BZ$14,0)=EOMONTH($Z$3,0),BZ$12*BZ$13,0),0),IF(AND(BV$12&lt;&gt;"",BV$14&lt;&gt;""),IF(EOMONTH($BV$3+INT((DAY(EOMONTH($BV$3,0))-1)/2)+BV$14,0)=EOMONTH($Z$3,0),BV$12*BV$13,0),0),IF(AND(BR$12&lt;&gt;"",BR$14&lt;&gt;""),IF(EOMONTH($BR$3+INT((DAY(EOMONTH($BR$3,0))-1)/2)+BR$14,0)=EOMONTH($Z$3,0),BR$12*BR$13,0),0),IF(AND(BN$12&lt;&gt;"",BN$14&lt;&gt;""),IF(EOMONTH($BN$3+INT((DAY(EOMONTH($BN$3,0))-1)/2)+BN$14,0)=EOMONTH($Z$3,0),BN$12*BN$13,0),0),IF(AND(BJ$12&lt;&gt;"",BJ$14&lt;&gt;""),IF(EOMONTH($BJ$3+INT((DAY(EOMONTH($BJ$3,0))-1)/2)+BJ$14,0)=EOMONTH($Z$3,0),BJ$12*BJ$13,0),0),IF(AND(BF$12&lt;&gt;"",BF$14&lt;&gt;""),IF(EOMONTH($BF$3+INT((DAY(EOMONTH($BF$3,0))-1)/2)+BF$14,0)=EOMONTH($Z$3,0),BF$12*BF$13,0),0),IF(AND(BB$12&lt;&gt;"",BB$14&lt;&gt;""),IF(EOMONTH($BB$3+INT((DAY(EOMONTH($BB$3,0))-1)/2)+BB$14,0)=EOMONTH($Z$3,0),BB$12*BB$13,0),0),IF(AND(AX$12&lt;&gt;"",AX$14&lt;&gt;""),IF(EOMONTH($AX$3+INT((DAY(EOMONTH($AX$3,0))-1)/2)+AX$14,0)=EOMONTH($Z$3,0),AX$12*AX$13,0),0),IF(AND(AT$12&lt;&gt;"",AT$14&lt;&gt;""),IF(EOMONTH($AT$3+INT((DAY(EOMONTH($AT$3,0))-1)/2)+AT$14,0)=EOMONTH($Z$3,0),AT$12*AT$13,0),0),IF(AND(AP$12&lt;&gt;"",AP$14&lt;&gt;""),IF(EOMONTH($AP$3+INT((DAY(EOMONTH($AP$3,0))-1)/2)+AP$14,0)=EOMONTH($Z$3,0),AP$12*AP$13,0),0),IF(AND(AL$12&lt;&gt;"",AL$14&lt;&gt;""),IF(EOMONTH($AL$3+INT((DAY(EOMONTH($AL$3,0))-1)/2)+AL$14,0)=EOMONTH($Z$3,0),AL$12*AL$13,0),0),IF(AND(AH$12&lt;&gt;"",AH$14&lt;&gt;""),IF(EOMONTH($AH$3+INT((DAY(EOMONTH($AH$3,0))-1)/2)+AH$14,0)=EOMONTH($Z$3,0),AH$12*AH$13,0),0),IF(AND(AD$12&lt;&gt;"",AD$14&lt;&gt;""),IF(EOMONTH($AD$3+INT((DAY(EOMONTH($AD$3,0))-1)/2)+AD$14,0)=EOMONTH($Z$3,0),AD$12*AD$13,0),0),IF(AND(Z$12&lt;&gt;"",Z$14&lt;&gt;""),IF(EOMONTH($Z$3+INT((DAY(EOMONTH($Z$3,0))-1)/2)+Z$14,0)=EOMONTH($Z$3,0),Z$12*Z$13,0),0),IF(AND(V$12&lt;&gt;"",V$14&lt;&gt;""),IF(EOMONTH($V$3+INT((DAY(EOMONTH($V$3,0))-1)/2)+V$14,0)=EOMONTH($Z$3,0),V$12*V$13,0),0),IF(AND(R$12&lt;&gt;"",R$14&lt;&gt;""),IF(EOMONTH($R$3+INT((DAY(EOMONTH($R$3,0))-1)/2)+R$14,0)=EOMONTH($Z$3,0),R$12*R$13,0),0),IF(AND(N$12&lt;&gt;"",N$14&lt;&gt;""),IF(EOMONTH($N$3+INT((DAY(EOMONTH($N$3,0))-1)/2)+N$14,0)=EOMONTH($Z$3,0),N$12*N$13,0),0),IF(AND(J$12&lt;&gt;"",J$14&lt;&gt;""),IF(EOMONTH($J$3+INT((DAY(EOMONTH($J$3,0))-1)/2)+J$14,0)=EOMONTH($Z$3,0),J$12*J$13,0),0),IF(AND(F$12&lt;&gt;"",F$14&lt;&gt;""),IF(EOMONTH($F$3+INT((DAY(EOMONTH($F$3,0))-1)/2)+F$14,0)=EOMONTH($Z$3,0),F$12*F$13,0),0),IF($EP$75="",0,IF(EOMONTH($EP$75+EP$14,0)=EOMONTH($Z$3,0),$EP$77*EP$13,0))),0)</f>
        <v>0</v>
      </c>
      <c r="AA73" s="41">
        <f t="shared" si="1086"/>
        <v>0</v>
      </c>
      <c r="AB73" s="41">
        <f t="shared" si="1086"/>
        <v>0</v>
      </c>
      <c r="AC73" s="41">
        <f t="shared" si="1087"/>
        <v>0</v>
      </c>
      <c r="AD73" s="41">
        <f t="shared" ref="AD73:AF73" si="1088">ROUND(SUM(IF(AND(EP$12&lt;&gt;"",EP$14&lt;&gt;""),IF(EOMONTH($EP$3+INT((DAY(EOMONTH($EP$3,0))-1)/2)+EP$14,0)=EOMONTH($AD$3,0),EP$12*EP$13,0),0),IF(AND(EL$12&lt;&gt;"",EL$14&lt;&gt;""),IF(EOMONTH($EL$3+INT((DAY(EOMONTH($EL$3,0))-1)/2)+EL$14,0)=EOMONTH($AD$3,0),EL$12*EL$13,0),0),IF(AND(EH$12&lt;&gt;"",EH$14&lt;&gt;""),IF(EOMONTH($EH$3+INT((DAY(EOMONTH($EH$3,0))-1)/2)+EH$14,0)=EOMONTH($AD$3,0),EH$12*EH$13,0),0),IF(AND(ED$12&lt;&gt;"",ED$14&lt;&gt;""),IF(EOMONTH($ED$3+INT((DAY(EOMONTH($ED$3,0))-1)/2)+ED$14,0)=EOMONTH($AD$3,0),ED$12*ED$13,0),0),IF(AND(DZ$12&lt;&gt;"",DZ$14&lt;&gt;""),IF(EOMONTH($DZ$3+INT((DAY(EOMONTH($DZ$3,0))-1)/2)+DZ$14,0)=EOMONTH($AD$3,0),DZ$12*DZ$13,0),0),IF(AND(DV$12&lt;&gt;"",DV$14&lt;&gt;""),IF(EOMONTH($DV$3+INT((DAY(EOMONTH($DV$3,0))-1)/2)+DV$14,0)=EOMONTH($AD$3,0),DV$12*DV$13,0),0),IF(AND(DR$12&lt;&gt;"",DR$14&lt;&gt;""),IF(EOMONTH($DR$3+INT((DAY(EOMONTH($DR$3,0))-1)/2)+DR$14,0)=EOMONTH($AD$3,0),DR$12*DR$13,0),0),IF(AND(DN$12&lt;&gt;"",DN$14&lt;&gt;""),IF(EOMONTH($DN$3+INT((DAY(EOMONTH($DN$3,0))-1)/2)+DN$14,0)=EOMONTH($AD$3,0),DN$12*DN$13,0),0),IF(AND(DJ$12&lt;&gt;"",DJ$14&lt;&gt;""),IF(EOMONTH($DJ$3+INT((DAY(EOMONTH($DJ$3,0))-1)/2)+DJ$14,0)=EOMONTH($AD$3,0),DJ$12*DJ$13,0),0),IF(AND(DF$12&lt;&gt;"",DF$14&lt;&gt;""),IF(EOMONTH($DF$3+INT((DAY(EOMONTH($DF$3,0))-1)/2)+DF$14,0)=EOMONTH($AD$3,0),DF$12*DF$13,0),0),IF(AND(DB$12&lt;&gt;"",DB$14&lt;&gt;""),IF(EOMONTH($DB$3+INT((DAY(EOMONTH($DB$3,0))-1)/2)+DB$14,0)=EOMONTH($AD$3,0),DB$12*DB$13,0),0),IF(AND(CX$12&lt;&gt;"",CX$14&lt;&gt;""),IF(EOMONTH($CX$3+INT((DAY(EOMONTH($CX$3,0))-1)/2)+CX$14,0)=EOMONTH($AD$3,0),CX$12*CX$13,0),0),IF(AND(CT$12&lt;&gt;"",CT$14&lt;&gt;""),IF(EOMONTH($CT$3+INT((DAY(EOMONTH($CT$3,0))-1)/2)+CT$14,0)=EOMONTH($AD$3,0),CT$12*CT$13,0),0),IF(AND(CP$12&lt;&gt;"",CP$14&lt;&gt;""),IF(EOMONTH($CP$3+INT((DAY(EOMONTH($CP$3,0))-1)/2)+CP$14,0)=EOMONTH($AD$3,0),CP$12*CP$13,0),0),IF(AND(CL$12&lt;&gt;"",CL$14&lt;&gt;""),IF(EOMONTH($CL$3+INT((DAY(EOMONTH($CL$3,0))-1)/2)+CL$14,0)=EOMONTH($AD$3,0),CL$12*CL$13,0),0),IF(AND(CH$12&lt;&gt;"",CH$14&lt;&gt;""),IF(EOMONTH($CH$3+INT((DAY(EOMONTH($CH$3,0))-1)/2)+CH$14,0)=EOMONTH($AD$3,0),CH$12*CH$13,0),0),IF(AND(CD$12&lt;&gt;"",CD$14&lt;&gt;""),IF(EOMONTH($CD$3+INT((DAY(EOMONTH($CD$3,0))-1)/2)+CD$14,0)=EOMONTH($AD$3,0),CD$12*CD$13,0),0),IF(AND(BZ$12&lt;&gt;"",BZ$14&lt;&gt;""),IF(EOMONTH($BZ$3+INT((DAY(EOMONTH($BZ$3,0))-1)/2)+BZ$14,0)=EOMONTH($AD$3,0),BZ$12*BZ$13,0),0),IF(AND(BV$12&lt;&gt;"",BV$14&lt;&gt;""),IF(EOMONTH($BV$3+INT((DAY(EOMONTH($BV$3,0))-1)/2)+BV$14,0)=EOMONTH($AD$3,0),BV$12*BV$13,0),0),IF(AND(BR$12&lt;&gt;"",BR$14&lt;&gt;""),IF(EOMONTH($BR$3+INT((DAY(EOMONTH($BR$3,0))-1)/2)+BR$14,0)=EOMONTH($AD$3,0),BR$12*BR$13,0),0),IF(AND(BN$12&lt;&gt;"",BN$14&lt;&gt;""),IF(EOMONTH($BN$3+INT((DAY(EOMONTH($BN$3,0))-1)/2)+BN$14,0)=EOMONTH($AD$3,0),BN$12*BN$13,0),0),IF(AND(BJ$12&lt;&gt;"",BJ$14&lt;&gt;""),IF(EOMONTH($BJ$3+INT((DAY(EOMONTH($BJ$3,0))-1)/2)+BJ$14,0)=EOMONTH($AD$3,0),BJ$12*BJ$13,0),0),IF(AND(BF$12&lt;&gt;"",BF$14&lt;&gt;""),IF(EOMONTH($BF$3+INT((DAY(EOMONTH($BF$3,0))-1)/2)+BF$14,0)=EOMONTH($AD$3,0),BF$12*BF$13,0),0),IF(AND(BB$12&lt;&gt;"",BB$14&lt;&gt;""),IF(EOMONTH($BB$3+INT((DAY(EOMONTH($BB$3,0))-1)/2)+BB$14,0)=EOMONTH($AD$3,0),BB$12*BB$13,0),0),IF(AND(AX$12&lt;&gt;"",AX$14&lt;&gt;""),IF(EOMONTH($AX$3+INT((DAY(EOMONTH($AX$3,0))-1)/2)+AX$14,0)=EOMONTH($AD$3,0),AX$12*AX$13,0),0),IF(AND(AT$12&lt;&gt;"",AT$14&lt;&gt;""),IF(EOMONTH($AT$3+INT((DAY(EOMONTH($AT$3,0))-1)/2)+AT$14,0)=EOMONTH($AD$3,0),AT$12*AT$13,0),0),IF(AND(AP$12&lt;&gt;"",AP$14&lt;&gt;""),IF(EOMONTH($AP$3+INT((DAY(EOMONTH($AP$3,0))-1)/2)+AP$14,0)=EOMONTH($AD$3,0),AP$12*AP$13,0),0),IF(AND(AL$12&lt;&gt;"",AL$14&lt;&gt;""),IF(EOMONTH($AL$3+INT((DAY(EOMONTH($AL$3,0))-1)/2)+AL$14,0)=EOMONTH($AD$3,0),AL$12*AL$13,0),0),IF(AND(AH$12&lt;&gt;"",AH$14&lt;&gt;""),IF(EOMONTH($AH$3+INT((DAY(EOMONTH($AH$3,0))-1)/2)+AH$14,0)=EOMONTH($AD$3,0),AH$12*AH$13,0),0),IF(AND(AD$12&lt;&gt;"",AD$14&lt;&gt;""),IF(EOMONTH($AD$3+INT((DAY(EOMONTH($AD$3,0))-1)/2)+AD$14,0)=EOMONTH($AD$3,0),AD$12*AD$13,0),0),IF(AND(Z$12&lt;&gt;"",Z$14&lt;&gt;""),IF(EOMONTH($Z$3+INT((DAY(EOMONTH($Z$3,0))-1)/2)+Z$14,0)=EOMONTH($AD$3,0),Z$12*Z$13,0),0),IF(AND(V$12&lt;&gt;"",V$14&lt;&gt;""),IF(EOMONTH($V$3+INT((DAY(EOMONTH($V$3,0))-1)/2)+V$14,0)=EOMONTH($AD$3,0),V$12*V$13,0),0),IF(AND(R$12&lt;&gt;"",R$14&lt;&gt;""),IF(EOMONTH($R$3+INT((DAY(EOMONTH($R$3,0))-1)/2)+R$14,0)=EOMONTH($AD$3,0),R$12*R$13,0),0),IF(AND(N$12&lt;&gt;"",N$14&lt;&gt;""),IF(EOMONTH($N$3+INT((DAY(EOMONTH($N$3,0))-1)/2)+N$14,0)=EOMONTH($AD$3,0),N$12*N$13,0),0),IF(AND(J$12&lt;&gt;"",J$14&lt;&gt;""),IF(EOMONTH($J$3+INT((DAY(EOMONTH($J$3,0))-1)/2)+J$14,0)=EOMONTH($AD$3,0),J$12*J$13,0),0),IF(AND(F$12&lt;&gt;"",F$14&lt;&gt;""),IF(EOMONTH($F$3+INT((DAY(EOMONTH($F$3,0))-1)/2)+F$14,0)=EOMONTH($AD$3,0),F$12*F$13,0),0),IF($EP$75="",0,IF(EOMONTH($EP$75+EP$14,0)=EOMONTH($AD$3,0),$EP$77*EP$13,0))),0)</f>
        <v>0</v>
      </c>
      <c r="AE73" s="41">
        <f t="shared" si="1088"/>
        <v>0</v>
      </c>
      <c r="AF73" s="41">
        <f t="shared" si="1088"/>
        <v>0</v>
      </c>
      <c r="AG73" s="41">
        <f t="shared" si="1089"/>
        <v>0</v>
      </c>
      <c r="AH73" s="41">
        <f t="shared" ref="AH73:AJ73" si="1090">ROUND(SUM(IF(AND(EP$12&lt;&gt;"",EP$14&lt;&gt;""),IF(EOMONTH($EP$3+INT((DAY(EOMONTH($EP$3,0))-1)/2)+EP$14,0)=EOMONTH($AH$3,0),EP$12*EP$13,0),0),IF(AND(EL$12&lt;&gt;"",EL$14&lt;&gt;""),IF(EOMONTH($EL$3+INT((DAY(EOMONTH($EL$3,0))-1)/2)+EL$14,0)=EOMONTH($AH$3,0),EL$12*EL$13,0),0),IF(AND(EH$12&lt;&gt;"",EH$14&lt;&gt;""),IF(EOMONTH($EH$3+INT((DAY(EOMONTH($EH$3,0))-1)/2)+EH$14,0)=EOMONTH($AH$3,0),EH$12*EH$13,0),0),IF(AND(ED$12&lt;&gt;"",ED$14&lt;&gt;""),IF(EOMONTH($ED$3+INT((DAY(EOMONTH($ED$3,0))-1)/2)+ED$14,0)=EOMONTH($AH$3,0),ED$12*ED$13,0),0),IF(AND(DZ$12&lt;&gt;"",DZ$14&lt;&gt;""),IF(EOMONTH($DZ$3+INT((DAY(EOMONTH($DZ$3,0))-1)/2)+DZ$14,0)=EOMONTH($AH$3,0),DZ$12*DZ$13,0),0),IF(AND(DV$12&lt;&gt;"",DV$14&lt;&gt;""),IF(EOMONTH($DV$3+INT((DAY(EOMONTH($DV$3,0))-1)/2)+DV$14,0)=EOMONTH($AH$3,0),DV$12*DV$13,0),0),IF(AND(DR$12&lt;&gt;"",DR$14&lt;&gt;""),IF(EOMONTH($DR$3+INT((DAY(EOMONTH($DR$3,0))-1)/2)+DR$14,0)=EOMONTH($AH$3,0),DR$12*DR$13,0),0),IF(AND(DN$12&lt;&gt;"",DN$14&lt;&gt;""),IF(EOMONTH($DN$3+INT((DAY(EOMONTH($DN$3,0))-1)/2)+DN$14,0)=EOMONTH($AH$3,0),DN$12*DN$13,0),0),IF(AND(DJ$12&lt;&gt;"",DJ$14&lt;&gt;""),IF(EOMONTH($DJ$3+INT((DAY(EOMONTH($DJ$3,0))-1)/2)+DJ$14,0)=EOMONTH($AH$3,0),DJ$12*DJ$13,0),0),IF(AND(DF$12&lt;&gt;"",DF$14&lt;&gt;""),IF(EOMONTH($DF$3+INT((DAY(EOMONTH($DF$3,0))-1)/2)+DF$14,0)=EOMONTH($AH$3,0),DF$12*DF$13,0),0),IF(AND(DB$12&lt;&gt;"",DB$14&lt;&gt;""),IF(EOMONTH($DB$3+INT((DAY(EOMONTH($DB$3,0))-1)/2)+DB$14,0)=EOMONTH($AH$3,0),DB$12*DB$13,0),0),IF(AND(CX$12&lt;&gt;"",CX$14&lt;&gt;""),IF(EOMONTH($CX$3+INT((DAY(EOMONTH($CX$3,0))-1)/2)+CX$14,0)=EOMONTH($AH$3,0),CX$12*CX$13,0),0),IF(AND(CT$12&lt;&gt;"",CT$14&lt;&gt;""),IF(EOMONTH($CT$3+INT((DAY(EOMONTH($CT$3,0))-1)/2)+CT$14,0)=EOMONTH($AH$3,0),CT$12*CT$13,0),0),IF(AND(CP$12&lt;&gt;"",CP$14&lt;&gt;""),IF(EOMONTH($CP$3+INT((DAY(EOMONTH($CP$3,0))-1)/2)+CP$14,0)=EOMONTH($AH$3,0),CP$12*CP$13,0),0),IF(AND(CL$12&lt;&gt;"",CL$14&lt;&gt;""),IF(EOMONTH($CL$3+INT((DAY(EOMONTH($CL$3,0))-1)/2)+CL$14,0)=EOMONTH($AH$3,0),CL$12*CL$13,0),0),IF(AND(CH$12&lt;&gt;"",CH$14&lt;&gt;""),IF(EOMONTH($CH$3+INT((DAY(EOMONTH($CH$3,0))-1)/2)+CH$14,0)=EOMONTH($AH$3,0),CH$12*CH$13,0),0),IF(AND(CD$12&lt;&gt;"",CD$14&lt;&gt;""),IF(EOMONTH($CD$3+INT((DAY(EOMONTH($CD$3,0))-1)/2)+CD$14,0)=EOMONTH($AH$3,0),CD$12*CD$13,0),0),IF(AND(BZ$12&lt;&gt;"",BZ$14&lt;&gt;""),IF(EOMONTH($BZ$3+INT((DAY(EOMONTH($BZ$3,0))-1)/2)+BZ$14,0)=EOMONTH($AH$3,0),BZ$12*BZ$13,0),0),IF(AND(BV$12&lt;&gt;"",BV$14&lt;&gt;""),IF(EOMONTH($BV$3+INT((DAY(EOMONTH($BV$3,0))-1)/2)+BV$14,0)=EOMONTH($AH$3,0),BV$12*BV$13,0),0),IF(AND(BR$12&lt;&gt;"",BR$14&lt;&gt;""),IF(EOMONTH($BR$3+INT((DAY(EOMONTH($BR$3,0))-1)/2)+BR$14,0)=EOMONTH($AH$3,0),BR$12*BR$13,0),0),IF(AND(BN$12&lt;&gt;"",BN$14&lt;&gt;""),IF(EOMONTH($BN$3+INT((DAY(EOMONTH($BN$3,0))-1)/2)+BN$14,0)=EOMONTH($AH$3,0),BN$12*BN$13,0),0),IF(AND(BJ$12&lt;&gt;"",BJ$14&lt;&gt;""),IF(EOMONTH($BJ$3+INT((DAY(EOMONTH($BJ$3,0))-1)/2)+BJ$14,0)=EOMONTH($AH$3,0),BJ$12*BJ$13,0),0),IF(AND(BF$12&lt;&gt;"",BF$14&lt;&gt;""),IF(EOMONTH($BF$3+INT((DAY(EOMONTH($BF$3,0))-1)/2)+BF$14,0)=EOMONTH($AH$3,0),BF$12*BF$13,0),0),IF(AND(BB$12&lt;&gt;"",BB$14&lt;&gt;""),IF(EOMONTH($BB$3+INT((DAY(EOMONTH($BB$3,0))-1)/2)+BB$14,0)=EOMONTH($AH$3,0),BB$12*BB$13,0),0),IF(AND(AX$12&lt;&gt;"",AX$14&lt;&gt;""),IF(EOMONTH($AX$3+INT((DAY(EOMONTH($AX$3,0))-1)/2)+AX$14,0)=EOMONTH($AH$3,0),AX$12*AX$13,0),0),IF(AND(AT$12&lt;&gt;"",AT$14&lt;&gt;""),IF(EOMONTH($AT$3+INT((DAY(EOMONTH($AT$3,0))-1)/2)+AT$14,0)=EOMONTH($AH$3,0),AT$12*AT$13,0),0),IF(AND(AP$12&lt;&gt;"",AP$14&lt;&gt;""),IF(EOMONTH($AP$3+INT((DAY(EOMONTH($AP$3,0))-1)/2)+AP$14,0)=EOMONTH($AH$3,0),AP$12*AP$13,0),0),IF(AND(AL$12&lt;&gt;"",AL$14&lt;&gt;""),IF(EOMONTH($AL$3+INT((DAY(EOMONTH($AL$3,0))-1)/2)+AL$14,0)=EOMONTH($AH$3,0),AL$12*AL$13,0),0),IF(AND(AH$12&lt;&gt;"",AH$14&lt;&gt;""),IF(EOMONTH($AH$3+INT((DAY(EOMONTH($AH$3,0))-1)/2)+AH$14,0)=EOMONTH($AH$3,0),AH$12*AH$13,0),0),IF(AND(AD$12&lt;&gt;"",AD$14&lt;&gt;""),IF(EOMONTH($AD$3+INT((DAY(EOMONTH($AD$3,0))-1)/2)+AD$14,0)=EOMONTH($AH$3,0),AD$12*AD$13,0),0),IF(AND(Z$12&lt;&gt;"",Z$14&lt;&gt;""),IF(EOMONTH($Z$3+INT((DAY(EOMONTH($Z$3,0))-1)/2)+Z$14,0)=EOMONTH($AH$3,0),Z$12*Z$13,0),0),IF(AND(V$12&lt;&gt;"",V$14&lt;&gt;""),IF(EOMONTH($V$3+INT((DAY(EOMONTH($V$3,0))-1)/2)+V$14,0)=EOMONTH($AH$3,0),V$12*V$13,0),0),IF(AND(R$12&lt;&gt;"",R$14&lt;&gt;""),IF(EOMONTH($R$3+INT((DAY(EOMONTH($R$3,0))-1)/2)+R$14,0)=EOMONTH($AH$3,0),R$12*R$13,0),0),IF(AND(N$12&lt;&gt;"",N$14&lt;&gt;""),IF(EOMONTH($N$3+INT((DAY(EOMONTH($N$3,0))-1)/2)+N$14,0)=EOMONTH($AH$3,0),N$12*N$13,0),0),IF(AND(J$12&lt;&gt;"",J$14&lt;&gt;""),IF(EOMONTH($J$3+INT((DAY(EOMONTH($J$3,0))-1)/2)+J$14,0)=EOMONTH($AH$3,0),J$12*J$13,0),0),IF(AND(F$12&lt;&gt;"",F$14&lt;&gt;""),IF(EOMONTH($F$3+INT((DAY(EOMONTH($F$3,0))-1)/2)+F$14,0)=EOMONTH($AH$3,0),F$12*F$13,0),0),IF($EP$75="",0,IF(EOMONTH($EP$75+EP$14,0)=EOMONTH($AH$3,0),$EP$77*EP$13,0))),0)</f>
        <v>0</v>
      </c>
      <c r="AI73" s="41">
        <f t="shared" si="1090"/>
        <v>0</v>
      </c>
      <c r="AJ73" s="41">
        <f t="shared" si="1090"/>
        <v>0</v>
      </c>
      <c r="AK73" s="41">
        <f t="shared" si="1091"/>
        <v>0</v>
      </c>
      <c r="AL73" s="41">
        <f t="shared" ref="AL73:AN73" si="1092">ROUND(SUM(IF(AND(EP$12&lt;&gt;"",EP$14&lt;&gt;""),IF(EOMONTH($EP$3+INT((DAY(EOMONTH($EP$3,0))-1)/2)+EP$14,0)=EOMONTH($AL$3,0),EP$12*EP$13,0),0),IF(AND(EL$12&lt;&gt;"",EL$14&lt;&gt;""),IF(EOMONTH($EL$3+INT((DAY(EOMONTH($EL$3,0))-1)/2)+EL$14,0)=EOMONTH($AL$3,0),EL$12*EL$13,0),0),IF(AND(EH$12&lt;&gt;"",EH$14&lt;&gt;""),IF(EOMONTH($EH$3+INT((DAY(EOMONTH($EH$3,0))-1)/2)+EH$14,0)=EOMONTH($AL$3,0),EH$12*EH$13,0),0),IF(AND(ED$12&lt;&gt;"",ED$14&lt;&gt;""),IF(EOMONTH($ED$3+INT((DAY(EOMONTH($ED$3,0))-1)/2)+ED$14,0)=EOMONTH($AL$3,0),ED$12*ED$13,0),0),IF(AND(DZ$12&lt;&gt;"",DZ$14&lt;&gt;""),IF(EOMONTH($DZ$3+INT((DAY(EOMONTH($DZ$3,0))-1)/2)+DZ$14,0)=EOMONTH($AL$3,0),DZ$12*DZ$13,0),0),IF(AND(DV$12&lt;&gt;"",DV$14&lt;&gt;""),IF(EOMONTH($DV$3+INT((DAY(EOMONTH($DV$3,0))-1)/2)+DV$14,0)=EOMONTH($AL$3,0),DV$12*DV$13,0),0),IF(AND(DR$12&lt;&gt;"",DR$14&lt;&gt;""),IF(EOMONTH($DR$3+INT((DAY(EOMONTH($DR$3,0))-1)/2)+DR$14,0)=EOMONTH($AL$3,0),DR$12*DR$13,0),0),IF(AND(DN$12&lt;&gt;"",DN$14&lt;&gt;""),IF(EOMONTH($DN$3+INT((DAY(EOMONTH($DN$3,0))-1)/2)+DN$14,0)=EOMONTH($AL$3,0),DN$12*DN$13,0),0),IF(AND(DJ$12&lt;&gt;"",DJ$14&lt;&gt;""),IF(EOMONTH($DJ$3+INT((DAY(EOMONTH($DJ$3,0))-1)/2)+DJ$14,0)=EOMONTH($AL$3,0),DJ$12*DJ$13,0),0),IF(AND(DF$12&lt;&gt;"",DF$14&lt;&gt;""),IF(EOMONTH($DF$3+INT((DAY(EOMONTH($DF$3,0))-1)/2)+DF$14,0)=EOMONTH($AL$3,0),DF$12*DF$13,0),0),IF(AND(DB$12&lt;&gt;"",DB$14&lt;&gt;""),IF(EOMONTH($DB$3+INT((DAY(EOMONTH($DB$3,0))-1)/2)+DB$14,0)=EOMONTH($AL$3,0),DB$12*DB$13,0),0),IF(AND(CX$12&lt;&gt;"",CX$14&lt;&gt;""),IF(EOMONTH($CX$3+INT((DAY(EOMONTH($CX$3,0))-1)/2)+CX$14,0)=EOMONTH($AL$3,0),CX$12*CX$13,0),0),IF(AND(CT$12&lt;&gt;"",CT$14&lt;&gt;""),IF(EOMONTH($CT$3+INT((DAY(EOMONTH($CT$3,0))-1)/2)+CT$14,0)=EOMONTH($AL$3,0),CT$12*CT$13,0),0),IF(AND(CP$12&lt;&gt;"",CP$14&lt;&gt;""),IF(EOMONTH($CP$3+INT((DAY(EOMONTH($CP$3,0))-1)/2)+CP$14,0)=EOMONTH($AL$3,0),CP$12*CP$13,0),0),IF(AND(CL$12&lt;&gt;"",CL$14&lt;&gt;""),IF(EOMONTH($CL$3+INT((DAY(EOMONTH($CL$3,0))-1)/2)+CL$14,0)=EOMONTH($AL$3,0),CL$12*CL$13,0),0),IF(AND(CH$12&lt;&gt;"",CH$14&lt;&gt;""),IF(EOMONTH($CH$3+INT((DAY(EOMONTH($CH$3,0))-1)/2)+CH$14,0)=EOMONTH($AL$3,0),CH$12*CH$13,0),0),IF(AND(CD$12&lt;&gt;"",CD$14&lt;&gt;""),IF(EOMONTH($CD$3+INT((DAY(EOMONTH($CD$3,0))-1)/2)+CD$14,0)=EOMONTH($AL$3,0),CD$12*CD$13,0),0),IF(AND(BZ$12&lt;&gt;"",BZ$14&lt;&gt;""),IF(EOMONTH($BZ$3+INT((DAY(EOMONTH($BZ$3,0))-1)/2)+BZ$14,0)=EOMONTH($AL$3,0),BZ$12*BZ$13,0),0),IF(AND(BV$12&lt;&gt;"",BV$14&lt;&gt;""),IF(EOMONTH($BV$3+INT((DAY(EOMONTH($BV$3,0))-1)/2)+BV$14,0)=EOMONTH($AL$3,0),BV$12*BV$13,0),0),IF(AND(BR$12&lt;&gt;"",BR$14&lt;&gt;""),IF(EOMONTH($BR$3+INT((DAY(EOMONTH($BR$3,0))-1)/2)+BR$14,0)=EOMONTH($AL$3,0),BR$12*BR$13,0),0),IF(AND(BN$12&lt;&gt;"",BN$14&lt;&gt;""),IF(EOMONTH($BN$3+INT((DAY(EOMONTH($BN$3,0))-1)/2)+BN$14,0)=EOMONTH($AL$3,0),BN$12*BN$13,0),0),IF(AND(BJ$12&lt;&gt;"",BJ$14&lt;&gt;""),IF(EOMONTH($BJ$3+INT((DAY(EOMONTH($BJ$3,0))-1)/2)+BJ$14,0)=EOMONTH($AL$3,0),BJ$12*BJ$13,0),0),IF(AND(BF$12&lt;&gt;"",BF$14&lt;&gt;""),IF(EOMONTH($BF$3+INT((DAY(EOMONTH($BF$3,0))-1)/2)+BF$14,0)=EOMONTH($AL$3,0),BF$12*BF$13,0),0),IF(AND(BB$12&lt;&gt;"",BB$14&lt;&gt;""),IF(EOMONTH($BB$3+INT((DAY(EOMONTH($BB$3,0))-1)/2)+BB$14,0)=EOMONTH($AL$3,0),BB$12*BB$13,0),0),IF(AND(AX$12&lt;&gt;"",AX$14&lt;&gt;""),IF(EOMONTH($AX$3+INT((DAY(EOMONTH($AX$3,0))-1)/2)+AX$14,0)=EOMONTH($AL$3,0),AX$12*AX$13,0),0),IF(AND(AT$12&lt;&gt;"",AT$14&lt;&gt;""),IF(EOMONTH($AT$3+INT((DAY(EOMONTH($AT$3,0))-1)/2)+AT$14,0)=EOMONTH($AL$3,0),AT$12*AT$13,0),0),IF(AND(AP$12&lt;&gt;"",AP$14&lt;&gt;""),IF(EOMONTH($AP$3+INT((DAY(EOMONTH($AP$3,0))-1)/2)+AP$14,0)=EOMONTH($AL$3,0),AP$12*AP$13,0),0),IF(AND(AL$12&lt;&gt;"",AL$14&lt;&gt;""),IF(EOMONTH($AL$3+INT((DAY(EOMONTH($AL$3,0))-1)/2)+AL$14,0)=EOMONTH($AL$3,0),AL$12*AL$13,0),0),IF(AND(AH$12&lt;&gt;"",AH$14&lt;&gt;""),IF(EOMONTH($AH$3+INT((DAY(EOMONTH($AH$3,0))-1)/2)+AH$14,0)=EOMONTH($AL$3,0),AH$12*AH$13,0),0),IF(AND(AD$12&lt;&gt;"",AD$14&lt;&gt;""),IF(EOMONTH($AD$3+INT((DAY(EOMONTH($AD$3,0))-1)/2)+AD$14,0)=EOMONTH($AL$3,0),AD$12*AD$13,0),0),IF(AND(Z$12&lt;&gt;"",Z$14&lt;&gt;""),IF(EOMONTH($Z$3+INT((DAY(EOMONTH($Z$3,0))-1)/2)+Z$14,0)=EOMONTH($AL$3,0),Z$12*Z$13,0),0),IF(AND(V$12&lt;&gt;"",V$14&lt;&gt;""),IF(EOMONTH($V$3+INT((DAY(EOMONTH($V$3,0))-1)/2)+V$14,0)=EOMONTH($AL$3,0),V$12*V$13,0),0),IF(AND(R$12&lt;&gt;"",R$14&lt;&gt;""),IF(EOMONTH($R$3+INT((DAY(EOMONTH($R$3,0))-1)/2)+R$14,0)=EOMONTH($AL$3,0),R$12*R$13,0),0),IF(AND(N$12&lt;&gt;"",N$14&lt;&gt;""),IF(EOMONTH($N$3+INT((DAY(EOMONTH($N$3,0))-1)/2)+N$14,0)=EOMONTH($AL$3,0),N$12*N$13,0),0),IF(AND(J$12&lt;&gt;"",J$14&lt;&gt;""),IF(EOMONTH($J$3+INT((DAY(EOMONTH($J$3,0))-1)/2)+J$14,0)=EOMONTH($AL$3,0),J$12*J$13,0),0),IF(AND(F$12&lt;&gt;"",F$14&lt;&gt;""),IF(EOMONTH($F$3+INT((DAY(EOMONTH($F$3,0))-1)/2)+F$14,0)=EOMONTH($AL$3,0),F$12*F$13,0),0),IF($EP$75="",0,IF(EOMONTH($EP$75+EP$14,0)=EOMONTH($AL$3,0),$EP$77*EP$13,0))),0)</f>
        <v>0</v>
      </c>
      <c r="AM73" s="41">
        <f t="shared" si="1092"/>
        <v>0</v>
      </c>
      <c r="AN73" s="41">
        <f t="shared" si="1092"/>
        <v>0</v>
      </c>
      <c r="AO73" s="41">
        <f t="shared" si="1093"/>
        <v>0</v>
      </c>
      <c r="AP73" s="41">
        <f t="shared" ref="AP73:AR73" si="1094">ROUND(SUM(IF(AND(EP$12&lt;&gt;"",EP$14&lt;&gt;""),IF(EOMONTH($EP$3+INT((DAY(EOMONTH($EP$3,0))-1)/2)+EP$14,0)=EOMONTH($AP$3,0),EP$12*EP$13,0),0),IF(AND(EL$12&lt;&gt;"",EL$14&lt;&gt;""),IF(EOMONTH($EL$3+INT((DAY(EOMONTH($EL$3,0))-1)/2)+EL$14,0)=EOMONTH($AP$3,0),EL$12*EL$13,0),0),IF(AND(EH$12&lt;&gt;"",EH$14&lt;&gt;""),IF(EOMONTH($EH$3+INT((DAY(EOMONTH($EH$3,0))-1)/2)+EH$14,0)=EOMONTH($AP$3,0),EH$12*EH$13,0),0),IF(AND(ED$12&lt;&gt;"",ED$14&lt;&gt;""),IF(EOMONTH($ED$3+INT((DAY(EOMONTH($ED$3,0))-1)/2)+ED$14,0)=EOMONTH($AP$3,0),ED$12*ED$13,0),0),IF(AND(DZ$12&lt;&gt;"",DZ$14&lt;&gt;""),IF(EOMONTH($DZ$3+INT((DAY(EOMONTH($DZ$3,0))-1)/2)+DZ$14,0)=EOMONTH($AP$3,0),DZ$12*DZ$13,0),0),IF(AND(DV$12&lt;&gt;"",DV$14&lt;&gt;""),IF(EOMONTH($DV$3+INT((DAY(EOMONTH($DV$3,0))-1)/2)+DV$14,0)=EOMONTH($AP$3,0),DV$12*DV$13,0),0),IF(AND(DR$12&lt;&gt;"",DR$14&lt;&gt;""),IF(EOMONTH($DR$3+INT((DAY(EOMONTH($DR$3,0))-1)/2)+DR$14,0)=EOMONTH($AP$3,0),DR$12*DR$13,0),0),IF(AND(DN$12&lt;&gt;"",DN$14&lt;&gt;""),IF(EOMONTH($DN$3+INT((DAY(EOMONTH($DN$3,0))-1)/2)+DN$14,0)=EOMONTH($AP$3,0),DN$12*DN$13,0),0),IF(AND(DJ$12&lt;&gt;"",DJ$14&lt;&gt;""),IF(EOMONTH($DJ$3+INT((DAY(EOMONTH($DJ$3,0))-1)/2)+DJ$14,0)=EOMONTH($AP$3,0),DJ$12*DJ$13,0),0),IF(AND(DF$12&lt;&gt;"",DF$14&lt;&gt;""),IF(EOMONTH($DF$3+INT((DAY(EOMONTH($DF$3,0))-1)/2)+DF$14,0)=EOMONTH($AP$3,0),DF$12*DF$13,0),0),IF(AND(DB$12&lt;&gt;"",DB$14&lt;&gt;""),IF(EOMONTH($DB$3+INT((DAY(EOMONTH($DB$3,0))-1)/2)+DB$14,0)=EOMONTH($AP$3,0),DB$12*DB$13,0),0),IF(AND(CX$12&lt;&gt;"",CX$14&lt;&gt;""),IF(EOMONTH($CX$3+INT((DAY(EOMONTH($CX$3,0))-1)/2)+CX$14,0)=EOMONTH($AP$3,0),CX$12*CX$13,0),0),IF(AND(CT$12&lt;&gt;"",CT$14&lt;&gt;""),IF(EOMONTH($CT$3+INT((DAY(EOMONTH($CT$3,0))-1)/2)+CT$14,0)=EOMONTH($AP$3,0),CT$12*CT$13,0),0),IF(AND(CP$12&lt;&gt;"",CP$14&lt;&gt;""),IF(EOMONTH($CP$3+INT((DAY(EOMONTH($CP$3,0))-1)/2)+CP$14,0)=EOMONTH($AP$3,0),CP$12*CP$13,0),0),IF(AND(CL$12&lt;&gt;"",CL$14&lt;&gt;""),IF(EOMONTH($CL$3+INT((DAY(EOMONTH($CL$3,0))-1)/2)+CL$14,0)=EOMONTH($AP$3,0),CL$12*CL$13,0),0),IF(AND(CH$12&lt;&gt;"",CH$14&lt;&gt;""),IF(EOMONTH($CH$3+INT((DAY(EOMONTH($CH$3,0))-1)/2)+CH$14,0)=EOMONTH($AP$3,0),CH$12*CH$13,0),0),IF(AND(CD$12&lt;&gt;"",CD$14&lt;&gt;""),IF(EOMONTH($CD$3+INT((DAY(EOMONTH($CD$3,0))-1)/2)+CD$14,0)=EOMONTH($AP$3,0),CD$12*CD$13,0),0),IF(AND(BZ$12&lt;&gt;"",BZ$14&lt;&gt;""),IF(EOMONTH($BZ$3+INT((DAY(EOMONTH($BZ$3,0))-1)/2)+BZ$14,0)=EOMONTH($AP$3,0),BZ$12*BZ$13,0),0),IF(AND(BV$12&lt;&gt;"",BV$14&lt;&gt;""),IF(EOMONTH($BV$3+INT((DAY(EOMONTH($BV$3,0))-1)/2)+BV$14,0)=EOMONTH($AP$3,0),BV$12*BV$13,0),0),IF(AND(BR$12&lt;&gt;"",BR$14&lt;&gt;""),IF(EOMONTH($BR$3+INT((DAY(EOMONTH($BR$3,0))-1)/2)+BR$14,0)=EOMONTH($AP$3,0),BR$12*BR$13,0),0),IF(AND(BN$12&lt;&gt;"",BN$14&lt;&gt;""),IF(EOMONTH($BN$3+INT((DAY(EOMONTH($BN$3,0))-1)/2)+BN$14,0)=EOMONTH($AP$3,0),BN$12*BN$13,0),0),IF(AND(BJ$12&lt;&gt;"",BJ$14&lt;&gt;""),IF(EOMONTH($BJ$3+INT((DAY(EOMONTH($BJ$3,0))-1)/2)+BJ$14,0)=EOMONTH($AP$3,0),BJ$12*BJ$13,0),0),IF(AND(BF$12&lt;&gt;"",BF$14&lt;&gt;""),IF(EOMONTH($BF$3+INT((DAY(EOMONTH($BF$3,0))-1)/2)+BF$14,0)=EOMONTH($AP$3,0),BF$12*BF$13,0),0),IF(AND(BB$12&lt;&gt;"",BB$14&lt;&gt;""),IF(EOMONTH($BB$3+INT((DAY(EOMONTH($BB$3,0))-1)/2)+BB$14,0)=EOMONTH($AP$3,0),BB$12*BB$13,0),0),IF(AND(AX$12&lt;&gt;"",AX$14&lt;&gt;""),IF(EOMONTH($AX$3+INT((DAY(EOMONTH($AX$3,0))-1)/2)+AX$14,0)=EOMONTH($AP$3,0),AX$12*AX$13,0),0),IF(AND(AT$12&lt;&gt;"",AT$14&lt;&gt;""),IF(EOMONTH($AT$3+INT((DAY(EOMONTH($AT$3,0))-1)/2)+AT$14,0)=EOMONTH($AP$3,0),AT$12*AT$13,0),0),IF(AND(AP$12&lt;&gt;"",AP$14&lt;&gt;""),IF(EOMONTH($AP$3+INT((DAY(EOMONTH($AP$3,0))-1)/2)+AP$14,0)=EOMONTH($AP$3,0),AP$12*AP$13,0),0),IF(AND(AL$12&lt;&gt;"",AL$14&lt;&gt;""),IF(EOMONTH($AL$3+INT((DAY(EOMONTH($AL$3,0))-1)/2)+AL$14,0)=EOMONTH($AP$3,0),AL$12*AL$13,0),0),IF(AND(AH$12&lt;&gt;"",AH$14&lt;&gt;""),IF(EOMONTH($AH$3+INT((DAY(EOMONTH($AH$3,0))-1)/2)+AH$14,0)=EOMONTH($AP$3,0),AH$12*AH$13,0),0),IF(AND(AD$12&lt;&gt;"",AD$14&lt;&gt;""),IF(EOMONTH($AD$3+INT((DAY(EOMONTH($AD$3,0))-1)/2)+AD$14,0)=EOMONTH($AP$3,0),AD$12*AD$13,0),0),IF(AND(Z$12&lt;&gt;"",Z$14&lt;&gt;""),IF(EOMONTH($Z$3+INT((DAY(EOMONTH($Z$3,0))-1)/2)+Z$14,0)=EOMONTH($AP$3,0),Z$12*Z$13,0),0),IF(AND(V$12&lt;&gt;"",V$14&lt;&gt;""),IF(EOMONTH($V$3+INT((DAY(EOMONTH($V$3,0))-1)/2)+V$14,0)=EOMONTH($AP$3,0),V$12*V$13,0),0),IF(AND(R$12&lt;&gt;"",R$14&lt;&gt;""),IF(EOMONTH($R$3+INT((DAY(EOMONTH($R$3,0))-1)/2)+R$14,0)=EOMONTH($AP$3,0),R$12*R$13,0),0),IF(AND(N$12&lt;&gt;"",N$14&lt;&gt;""),IF(EOMONTH($N$3+INT((DAY(EOMONTH($N$3,0))-1)/2)+N$14,0)=EOMONTH($AP$3,0),N$12*N$13,0),0),IF(AND(J$12&lt;&gt;"",J$14&lt;&gt;""),IF(EOMONTH($J$3+INT((DAY(EOMONTH($J$3,0))-1)/2)+J$14,0)=EOMONTH($AP$3,0),J$12*J$13,0),0),IF(AND(F$12&lt;&gt;"",F$14&lt;&gt;""),IF(EOMONTH($F$3+INT((DAY(EOMONTH($F$3,0))-1)/2)+F$14,0)=EOMONTH($AP$3,0),F$12*F$13,0),0),IF($EP$75="",0,IF(EOMONTH($EP$75+EP$14,0)=EOMONTH($AP$3,0),$EP$77*EP$13,0))),0)</f>
        <v>0</v>
      </c>
      <c r="AQ73" s="41">
        <f t="shared" si="1094"/>
        <v>0</v>
      </c>
      <c r="AR73" s="41">
        <f t="shared" si="1094"/>
        <v>0</v>
      </c>
      <c r="AS73" s="41">
        <f t="shared" si="1095"/>
        <v>0</v>
      </c>
      <c r="AT73" s="41">
        <f t="shared" ref="AT73:AV73" si="1096">ROUND(SUM(IF(AND(EP$12&lt;&gt;"",EP$14&lt;&gt;""),IF(EOMONTH($EP$3+INT((DAY(EOMONTH($EP$3,0))-1)/2)+EP$14,0)=EOMONTH($AT$3,0),EP$12*EP$13,0),0),IF(AND(EL$12&lt;&gt;"",EL$14&lt;&gt;""),IF(EOMONTH($EL$3+INT((DAY(EOMONTH($EL$3,0))-1)/2)+EL$14,0)=EOMONTH($AT$3,0),EL$12*EL$13,0),0),IF(AND(EH$12&lt;&gt;"",EH$14&lt;&gt;""),IF(EOMONTH($EH$3+INT((DAY(EOMONTH($EH$3,0))-1)/2)+EH$14,0)=EOMONTH($AT$3,0),EH$12*EH$13,0),0),IF(AND(ED$12&lt;&gt;"",ED$14&lt;&gt;""),IF(EOMONTH($ED$3+INT((DAY(EOMONTH($ED$3,0))-1)/2)+ED$14,0)=EOMONTH($AT$3,0),ED$12*ED$13,0),0),IF(AND(DZ$12&lt;&gt;"",DZ$14&lt;&gt;""),IF(EOMONTH($DZ$3+INT((DAY(EOMONTH($DZ$3,0))-1)/2)+DZ$14,0)=EOMONTH($AT$3,0),DZ$12*DZ$13,0),0),IF(AND(DV$12&lt;&gt;"",DV$14&lt;&gt;""),IF(EOMONTH($DV$3+INT((DAY(EOMONTH($DV$3,0))-1)/2)+DV$14,0)=EOMONTH($AT$3,0),DV$12*DV$13,0),0),IF(AND(DR$12&lt;&gt;"",DR$14&lt;&gt;""),IF(EOMONTH($DR$3+INT((DAY(EOMONTH($DR$3,0))-1)/2)+DR$14,0)=EOMONTH($AT$3,0),DR$12*DR$13,0),0),IF(AND(DN$12&lt;&gt;"",DN$14&lt;&gt;""),IF(EOMONTH($DN$3+INT((DAY(EOMONTH($DN$3,0))-1)/2)+DN$14,0)=EOMONTH($AT$3,0),DN$12*DN$13,0),0),IF(AND(DJ$12&lt;&gt;"",DJ$14&lt;&gt;""),IF(EOMONTH($DJ$3+INT((DAY(EOMONTH($DJ$3,0))-1)/2)+DJ$14,0)=EOMONTH($AT$3,0),DJ$12*DJ$13,0),0),IF(AND(DF$12&lt;&gt;"",DF$14&lt;&gt;""),IF(EOMONTH($DF$3+INT((DAY(EOMONTH($DF$3,0))-1)/2)+DF$14,0)=EOMONTH($AT$3,0),DF$12*DF$13,0),0),IF(AND(DB$12&lt;&gt;"",DB$14&lt;&gt;""),IF(EOMONTH($DB$3+INT((DAY(EOMONTH($DB$3,0))-1)/2)+DB$14,0)=EOMONTH($AT$3,0),DB$12*DB$13,0),0),IF(AND(CX$12&lt;&gt;"",CX$14&lt;&gt;""),IF(EOMONTH($CX$3+INT((DAY(EOMONTH($CX$3,0))-1)/2)+CX$14,0)=EOMONTH($AT$3,0),CX$12*CX$13,0),0),IF(AND(CT$12&lt;&gt;"",CT$14&lt;&gt;""),IF(EOMONTH($CT$3+INT((DAY(EOMONTH($CT$3,0))-1)/2)+CT$14,0)=EOMONTH($AT$3,0),CT$12*CT$13,0),0),IF(AND(CP$12&lt;&gt;"",CP$14&lt;&gt;""),IF(EOMONTH($CP$3+INT((DAY(EOMONTH($CP$3,0))-1)/2)+CP$14,0)=EOMONTH($AT$3,0),CP$12*CP$13,0),0),IF(AND(CL$12&lt;&gt;"",CL$14&lt;&gt;""),IF(EOMONTH($CL$3+INT((DAY(EOMONTH($CL$3,0))-1)/2)+CL$14,0)=EOMONTH($AT$3,0),CL$12*CL$13,0),0),IF(AND(CH$12&lt;&gt;"",CH$14&lt;&gt;""),IF(EOMONTH($CH$3+INT((DAY(EOMONTH($CH$3,0))-1)/2)+CH$14,0)=EOMONTH($AT$3,0),CH$12*CH$13,0),0),IF(AND(CD$12&lt;&gt;"",CD$14&lt;&gt;""),IF(EOMONTH($CD$3+INT((DAY(EOMONTH($CD$3,0))-1)/2)+CD$14,0)=EOMONTH($AT$3,0),CD$12*CD$13,0),0),IF(AND(BZ$12&lt;&gt;"",BZ$14&lt;&gt;""),IF(EOMONTH($BZ$3+INT((DAY(EOMONTH($BZ$3,0))-1)/2)+BZ$14,0)=EOMONTH($AT$3,0),BZ$12*BZ$13,0),0),IF(AND(BV$12&lt;&gt;"",BV$14&lt;&gt;""),IF(EOMONTH($BV$3+INT((DAY(EOMONTH($BV$3,0))-1)/2)+BV$14,0)=EOMONTH($AT$3,0),BV$12*BV$13,0),0),IF(AND(BR$12&lt;&gt;"",BR$14&lt;&gt;""),IF(EOMONTH($BR$3+INT((DAY(EOMONTH($BR$3,0))-1)/2)+BR$14,0)=EOMONTH($AT$3,0),BR$12*BR$13,0),0),IF(AND(BN$12&lt;&gt;"",BN$14&lt;&gt;""),IF(EOMONTH($BN$3+INT((DAY(EOMONTH($BN$3,0))-1)/2)+BN$14,0)=EOMONTH($AT$3,0),BN$12*BN$13,0),0),IF(AND(BJ$12&lt;&gt;"",BJ$14&lt;&gt;""),IF(EOMONTH($BJ$3+INT((DAY(EOMONTH($BJ$3,0))-1)/2)+BJ$14,0)=EOMONTH($AT$3,0),BJ$12*BJ$13,0),0),IF(AND(BF$12&lt;&gt;"",BF$14&lt;&gt;""),IF(EOMONTH($BF$3+INT((DAY(EOMONTH($BF$3,0))-1)/2)+BF$14,0)=EOMONTH($AT$3,0),BF$12*BF$13,0),0),IF(AND(BB$12&lt;&gt;"",BB$14&lt;&gt;""),IF(EOMONTH($BB$3+INT((DAY(EOMONTH($BB$3,0))-1)/2)+BB$14,0)=EOMONTH($AT$3,0),BB$12*BB$13,0),0),IF(AND(AX$12&lt;&gt;"",AX$14&lt;&gt;""),IF(EOMONTH($AX$3+INT((DAY(EOMONTH($AX$3,0))-1)/2)+AX$14,0)=EOMONTH($AT$3,0),AX$12*AX$13,0),0),IF(AND(AT$12&lt;&gt;"",AT$14&lt;&gt;""),IF(EOMONTH($AT$3+INT((DAY(EOMONTH($AT$3,0))-1)/2)+AT$14,0)=EOMONTH($AT$3,0),AT$12*AT$13,0),0),IF(AND(AP$12&lt;&gt;"",AP$14&lt;&gt;""),IF(EOMONTH($AP$3+INT((DAY(EOMONTH($AP$3,0))-1)/2)+AP$14,0)=EOMONTH($AT$3,0),AP$12*AP$13,0),0),IF(AND(AL$12&lt;&gt;"",AL$14&lt;&gt;""),IF(EOMONTH($AL$3+INT((DAY(EOMONTH($AL$3,0))-1)/2)+AL$14,0)=EOMONTH($AT$3,0),AL$12*AL$13,0),0),IF(AND(AH$12&lt;&gt;"",AH$14&lt;&gt;""),IF(EOMONTH($AH$3+INT((DAY(EOMONTH($AH$3,0))-1)/2)+AH$14,0)=EOMONTH($AT$3,0),AH$12*AH$13,0),0),IF(AND(AD$12&lt;&gt;"",AD$14&lt;&gt;""),IF(EOMONTH($AD$3+INT((DAY(EOMONTH($AD$3,0))-1)/2)+AD$14,0)=EOMONTH($AT$3,0),AD$12*AD$13,0),0),IF(AND(Z$12&lt;&gt;"",Z$14&lt;&gt;""),IF(EOMONTH($Z$3+INT((DAY(EOMONTH($Z$3,0))-1)/2)+Z$14,0)=EOMONTH($AT$3,0),Z$12*Z$13,0),0),IF(AND(V$12&lt;&gt;"",V$14&lt;&gt;""),IF(EOMONTH($V$3+INT((DAY(EOMONTH($V$3,0))-1)/2)+V$14,0)=EOMONTH($AT$3,0),V$12*V$13,0),0),IF(AND(R$12&lt;&gt;"",R$14&lt;&gt;""),IF(EOMONTH($R$3+INT((DAY(EOMONTH($R$3,0))-1)/2)+R$14,0)=EOMONTH($AT$3,0),R$12*R$13,0),0),IF(AND(N$12&lt;&gt;"",N$14&lt;&gt;""),IF(EOMONTH($N$3+INT((DAY(EOMONTH($N$3,0))-1)/2)+N$14,0)=EOMONTH($AT$3,0),N$12*N$13,0),0),IF(AND(J$12&lt;&gt;"",J$14&lt;&gt;""),IF(EOMONTH($J$3+INT((DAY(EOMONTH($J$3,0))-1)/2)+J$14,0)=EOMONTH($AT$3,0),J$12*J$13,0),0),IF(AND(F$12&lt;&gt;"",F$14&lt;&gt;""),IF(EOMONTH($F$3+INT((DAY(EOMONTH($F$3,0))-1)/2)+F$14,0)=EOMONTH($AT$3,0),F$12*F$13,0),0),IF($EP$75="",0,IF(EOMONTH($EP$75+EP$14,0)=EOMONTH($AT$3,0),$EP$77*EP$13,0))),0)</f>
        <v>0</v>
      </c>
      <c r="AU73" s="41">
        <f t="shared" si="1096"/>
        <v>0</v>
      </c>
      <c r="AV73" s="41">
        <f t="shared" si="1096"/>
        <v>0</v>
      </c>
      <c r="AW73" s="41">
        <f t="shared" si="1097"/>
        <v>0</v>
      </c>
      <c r="AX73" s="41">
        <f t="shared" ref="AX73:AZ73" si="1098">ROUND(SUM(IF(AND(EP$12&lt;&gt;"",EP$14&lt;&gt;""),IF(EOMONTH($EP$3+INT((DAY(EOMONTH($EP$3,0))-1)/2)+EP$14,0)=EOMONTH($AX$3,0),EP$12*EP$13,0),0),IF(AND(EL$12&lt;&gt;"",EL$14&lt;&gt;""),IF(EOMONTH($EL$3+INT((DAY(EOMONTH($EL$3,0))-1)/2)+EL$14,0)=EOMONTH($AX$3,0),EL$12*EL$13,0),0),IF(AND(EH$12&lt;&gt;"",EH$14&lt;&gt;""),IF(EOMONTH($EH$3+INT((DAY(EOMONTH($EH$3,0))-1)/2)+EH$14,0)=EOMONTH($AX$3,0),EH$12*EH$13,0),0),IF(AND(ED$12&lt;&gt;"",ED$14&lt;&gt;""),IF(EOMONTH($ED$3+INT((DAY(EOMONTH($ED$3,0))-1)/2)+ED$14,0)=EOMONTH($AX$3,0),ED$12*ED$13,0),0),IF(AND(DZ$12&lt;&gt;"",DZ$14&lt;&gt;""),IF(EOMONTH($DZ$3+INT((DAY(EOMONTH($DZ$3,0))-1)/2)+DZ$14,0)=EOMONTH($AX$3,0),DZ$12*DZ$13,0),0),IF(AND(DV$12&lt;&gt;"",DV$14&lt;&gt;""),IF(EOMONTH($DV$3+INT((DAY(EOMONTH($DV$3,0))-1)/2)+DV$14,0)=EOMONTH($AX$3,0),DV$12*DV$13,0),0),IF(AND(DR$12&lt;&gt;"",DR$14&lt;&gt;""),IF(EOMONTH($DR$3+INT((DAY(EOMONTH($DR$3,0))-1)/2)+DR$14,0)=EOMONTH($AX$3,0),DR$12*DR$13,0),0),IF(AND(DN$12&lt;&gt;"",DN$14&lt;&gt;""),IF(EOMONTH($DN$3+INT((DAY(EOMONTH($DN$3,0))-1)/2)+DN$14,0)=EOMONTH($AX$3,0),DN$12*DN$13,0),0),IF(AND(DJ$12&lt;&gt;"",DJ$14&lt;&gt;""),IF(EOMONTH($DJ$3+INT((DAY(EOMONTH($DJ$3,0))-1)/2)+DJ$14,0)=EOMONTH($AX$3,0),DJ$12*DJ$13,0),0),IF(AND(DF$12&lt;&gt;"",DF$14&lt;&gt;""),IF(EOMONTH($DF$3+INT((DAY(EOMONTH($DF$3,0))-1)/2)+DF$14,0)=EOMONTH($AX$3,0),DF$12*DF$13,0),0),IF(AND(DB$12&lt;&gt;"",DB$14&lt;&gt;""),IF(EOMONTH($DB$3+INT((DAY(EOMONTH($DB$3,0))-1)/2)+DB$14,0)=EOMONTH($AX$3,0),DB$12*DB$13,0),0),IF(AND(CX$12&lt;&gt;"",CX$14&lt;&gt;""),IF(EOMONTH($CX$3+INT((DAY(EOMONTH($CX$3,0))-1)/2)+CX$14,0)=EOMONTH($AX$3,0),CX$12*CX$13,0),0),IF(AND(CT$12&lt;&gt;"",CT$14&lt;&gt;""),IF(EOMONTH($CT$3+INT((DAY(EOMONTH($CT$3,0))-1)/2)+CT$14,0)=EOMONTH($AX$3,0),CT$12*CT$13,0),0),IF(AND(CP$12&lt;&gt;"",CP$14&lt;&gt;""),IF(EOMONTH($CP$3+INT((DAY(EOMONTH($CP$3,0))-1)/2)+CP$14,0)=EOMONTH($AX$3,0),CP$12*CP$13,0),0),IF(AND(CL$12&lt;&gt;"",CL$14&lt;&gt;""),IF(EOMONTH($CL$3+INT((DAY(EOMONTH($CL$3,0))-1)/2)+CL$14,0)=EOMONTH($AX$3,0),CL$12*CL$13,0),0),IF(AND(CH$12&lt;&gt;"",CH$14&lt;&gt;""),IF(EOMONTH($CH$3+INT((DAY(EOMONTH($CH$3,0))-1)/2)+CH$14,0)=EOMONTH($AX$3,0),CH$12*CH$13,0),0),IF(AND(CD$12&lt;&gt;"",CD$14&lt;&gt;""),IF(EOMONTH($CD$3+INT((DAY(EOMONTH($CD$3,0))-1)/2)+CD$14,0)=EOMONTH($AX$3,0),CD$12*CD$13,0),0),IF(AND(BZ$12&lt;&gt;"",BZ$14&lt;&gt;""),IF(EOMONTH($BZ$3+INT((DAY(EOMONTH($BZ$3,0))-1)/2)+BZ$14,0)=EOMONTH($AX$3,0),BZ$12*BZ$13,0),0),IF(AND(BV$12&lt;&gt;"",BV$14&lt;&gt;""),IF(EOMONTH($BV$3+INT((DAY(EOMONTH($BV$3,0))-1)/2)+BV$14,0)=EOMONTH($AX$3,0),BV$12*BV$13,0),0),IF(AND(BR$12&lt;&gt;"",BR$14&lt;&gt;""),IF(EOMONTH($BR$3+INT((DAY(EOMONTH($BR$3,0))-1)/2)+BR$14,0)=EOMONTH($AX$3,0),BR$12*BR$13,0),0),IF(AND(BN$12&lt;&gt;"",BN$14&lt;&gt;""),IF(EOMONTH($BN$3+INT((DAY(EOMONTH($BN$3,0))-1)/2)+BN$14,0)=EOMONTH($AX$3,0),BN$12*BN$13,0),0),IF(AND(BJ$12&lt;&gt;"",BJ$14&lt;&gt;""),IF(EOMONTH($BJ$3+INT((DAY(EOMONTH($BJ$3,0))-1)/2)+BJ$14,0)=EOMONTH($AX$3,0),BJ$12*BJ$13,0),0),IF(AND(BF$12&lt;&gt;"",BF$14&lt;&gt;""),IF(EOMONTH($BF$3+INT((DAY(EOMONTH($BF$3,0))-1)/2)+BF$14,0)=EOMONTH($AX$3,0),BF$12*BF$13,0),0),IF(AND(BB$12&lt;&gt;"",BB$14&lt;&gt;""),IF(EOMONTH($BB$3+INT((DAY(EOMONTH($BB$3,0))-1)/2)+BB$14,0)=EOMONTH($AX$3,0),BB$12*BB$13,0),0),IF(AND(AX$12&lt;&gt;"",AX$14&lt;&gt;""),IF(EOMONTH($AX$3+INT((DAY(EOMONTH($AX$3,0))-1)/2)+AX$14,0)=EOMONTH($AX$3,0),AX$12*AX$13,0),0),IF(AND(AT$12&lt;&gt;"",AT$14&lt;&gt;""),IF(EOMONTH($AT$3+INT((DAY(EOMONTH($AT$3,0))-1)/2)+AT$14,0)=EOMONTH($AX$3,0),AT$12*AT$13,0),0),IF(AND(AP$12&lt;&gt;"",AP$14&lt;&gt;""),IF(EOMONTH($AP$3+INT((DAY(EOMONTH($AP$3,0))-1)/2)+AP$14,0)=EOMONTH($AX$3,0),AP$12*AP$13,0),0),IF(AND(AL$12&lt;&gt;"",AL$14&lt;&gt;""),IF(EOMONTH($AL$3+INT((DAY(EOMONTH($AL$3,0))-1)/2)+AL$14,0)=EOMONTH($AX$3,0),AL$12*AL$13,0),0),IF(AND(AH$12&lt;&gt;"",AH$14&lt;&gt;""),IF(EOMONTH($AH$3+INT((DAY(EOMONTH($AH$3,0))-1)/2)+AH$14,0)=EOMONTH($AX$3,0),AH$12*AH$13,0),0),IF(AND(AD$12&lt;&gt;"",AD$14&lt;&gt;""),IF(EOMONTH($AD$3+INT((DAY(EOMONTH($AD$3,0))-1)/2)+AD$14,0)=EOMONTH($AX$3,0),AD$12*AD$13,0),0),IF(AND(Z$12&lt;&gt;"",Z$14&lt;&gt;""),IF(EOMONTH($Z$3+INT((DAY(EOMONTH($Z$3,0))-1)/2)+Z$14,0)=EOMONTH($AX$3,0),Z$12*Z$13,0),0),IF(AND(V$12&lt;&gt;"",V$14&lt;&gt;""),IF(EOMONTH($V$3+INT((DAY(EOMONTH($V$3,0))-1)/2)+V$14,0)=EOMONTH($AX$3,0),V$12*V$13,0),0),IF(AND(R$12&lt;&gt;"",R$14&lt;&gt;""),IF(EOMONTH($R$3+INT((DAY(EOMONTH($R$3,0))-1)/2)+R$14,0)=EOMONTH($AX$3,0),R$12*R$13,0),0),IF(AND(N$12&lt;&gt;"",N$14&lt;&gt;""),IF(EOMONTH($N$3+INT((DAY(EOMONTH($N$3,0))-1)/2)+N$14,0)=EOMONTH($AX$3,0),N$12*N$13,0),0),IF(AND(J$12&lt;&gt;"",J$14&lt;&gt;""),IF(EOMONTH($J$3+INT((DAY(EOMONTH($J$3,0))-1)/2)+J$14,0)=EOMONTH($AX$3,0),J$12*J$13,0),0),IF(AND(F$12&lt;&gt;"",F$14&lt;&gt;""),IF(EOMONTH($F$3+INT((DAY(EOMONTH($F$3,0))-1)/2)+F$14,0)=EOMONTH($AX$3,0),F$12*F$13,0),0),IF($EP$75="",0,IF(EOMONTH($EP$75+EP$14,0)=EOMONTH($AX$3,0),$EP$77*EP$13,0))),0)</f>
        <v>0</v>
      </c>
      <c r="AY73" s="41">
        <f t="shared" si="1098"/>
        <v>0</v>
      </c>
      <c r="AZ73" s="41">
        <f t="shared" si="1098"/>
        <v>0</v>
      </c>
      <c r="BA73" s="41">
        <f t="shared" si="1099"/>
        <v>0</v>
      </c>
      <c r="BB73" s="41">
        <f t="shared" ref="BB73:BD73" si="1100">ROUND(SUM(IF(AND(EP$12&lt;&gt;"",EP$14&lt;&gt;""),IF(EOMONTH($EP$3+INT((DAY(EOMONTH($EP$3,0))-1)/2)+EP$14,0)=EOMONTH($BB$3,0),EP$12*EP$13,0),0),IF(AND(EL$12&lt;&gt;"",EL$14&lt;&gt;""),IF(EOMONTH($EL$3+INT((DAY(EOMONTH($EL$3,0))-1)/2)+EL$14,0)=EOMONTH($BB$3,0),EL$12*EL$13,0),0),IF(AND(EH$12&lt;&gt;"",EH$14&lt;&gt;""),IF(EOMONTH($EH$3+INT((DAY(EOMONTH($EH$3,0))-1)/2)+EH$14,0)=EOMONTH($BB$3,0),EH$12*EH$13,0),0),IF(AND(ED$12&lt;&gt;"",ED$14&lt;&gt;""),IF(EOMONTH($ED$3+INT((DAY(EOMONTH($ED$3,0))-1)/2)+ED$14,0)=EOMONTH($BB$3,0),ED$12*ED$13,0),0),IF(AND(DZ$12&lt;&gt;"",DZ$14&lt;&gt;""),IF(EOMONTH($DZ$3+INT((DAY(EOMONTH($DZ$3,0))-1)/2)+DZ$14,0)=EOMONTH($BB$3,0),DZ$12*DZ$13,0),0),IF(AND(DV$12&lt;&gt;"",DV$14&lt;&gt;""),IF(EOMONTH($DV$3+INT((DAY(EOMONTH($DV$3,0))-1)/2)+DV$14,0)=EOMONTH($BB$3,0),DV$12*DV$13,0),0),IF(AND(DR$12&lt;&gt;"",DR$14&lt;&gt;""),IF(EOMONTH($DR$3+INT((DAY(EOMONTH($DR$3,0))-1)/2)+DR$14,0)=EOMONTH($BB$3,0),DR$12*DR$13,0),0),IF(AND(DN$12&lt;&gt;"",DN$14&lt;&gt;""),IF(EOMONTH($DN$3+INT((DAY(EOMONTH($DN$3,0))-1)/2)+DN$14,0)=EOMONTH($BB$3,0),DN$12*DN$13,0),0),IF(AND(DJ$12&lt;&gt;"",DJ$14&lt;&gt;""),IF(EOMONTH($DJ$3+INT((DAY(EOMONTH($DJ$3,0))-1)/2)+DJ$14,0)=EOMONTH($BB$3,0),DJ$12*DJ$13,0),0),IF(AND(DF$12&lt;&gt;"",DF$14&lt;&gt;""),IF(EOMONTH($DF$3+INT((DAY(EOMONTH($DF$3,0))-1)/2)+DF$14,0)=EOMONTH($BB$3,0),DF$12*DF$13,0),0),IF(AND(DB$12&lt;&gt;"",DB$14&lt;&gt;""),IF(EOMONTH($DB$3+INT((DAY(EOMONTH($DB$3,0))-1)/2)+DB$14,0)=EOMONTH($BB$3,0),DB$12*DB$13,0),0),IF(AND(CX$12&lt;&gt;"",CX$14&lt;&gt;""),IF(EOMONTH($CX$3+INT((DAY(EOMONTH($CX$3,0))-1)/2)+CX$14,0)=EOMONTH($BB$3,0),CX$12*CX$13,0),0),IF(AND(CT$12&lt;&gt;"",CT$14&lt;&gt;""),IF(EOMONTH($CT$3+INT((DAY(EOMONTH($CT$3,0))-1)/2)+CT$14,0)=EOMONTH($BB$3,0),CT$12*CT$13,0),0),IF(AND(CP$12&lt;&gt;"",CP$14&lt;&gt;""),IF(EOMONTH($CP$3+INT((DAY(EOMONTH($CP$3,0))-1)/2)+CP$14,0)=EOMONTH($BB$3,0),CP$12*CP$13,0),0),IF(AND(CL$12&lt;&gt;"",CL$14&lt;&gt;""),IF(EOMONTH($CL$3+INT((DAY(EOMONTH($CL$3,0))-1)/2)+CL$14,0)=EOMONTH($BB$3,0),CL$12*CL$13,0),0),IF(AND(CH$12&lt;&gt;"",CH$14&lt;&gt;""),IF(EOMONTH($CH$3+INT((DAY(EOMONTH($CH$3,0))-1)/2)+CH$14,0)=EOMONTH($BB$3,0),CH$12*CH$13,0),0),IF(AND(CD$12&lt;&gt;"",CD$14&lt;&gt;""),IF(EOMONTH($CD$3+INT((DAY(EOMONTH($CD$3,0))-1)/2)+CD$14,0)=EOMONTH($BB$3,0),CD$12*CD$13,0),0),IF(AND(BZ$12&lt;&gt;"",BZ$14&lt;&gt;""),IF(EOMONTH($BZ$3+INT((DAY(EOMONTH($BZ$3,0))-1)/2)+BZ$14,0)=EOMONTH($BB$3,0),BZ$12*BZ$13,0),0),IF(AND(BV$12&lt;&gt;"",BV$14&lt;&gt;""),IF(EOMONTH($BV$3+INT((DAY(EOMONTH($BV$3,0))-1)/2)+BV$14,0)=EOMONTH($BB$3,0),BV$12*BV$13,0),0),IF(AND(BR$12&lt;&gt;"",BR$14&lt;&gt;""),IF(EOMONTH($BR$3+INT((DAY(EOMONTH($BR$3,0))-1)/2)+BR$14,0)=EOMONTH($BB$3,0),BR$12*BR$13,0),0),IF(AND(BN$12&lt;&gt;"",BN$14&lt;&gt;""),IF(EOMONTH($BN$3+INT((DAY(EOMONTH($BN$3,0))-1)/2)+BN$14,0)=EOMONTH($BB$3,0),BN$12*BN$13,0),0),IF(AND(BJ$12&lt;&gt;"",BJ$14&lt;&gt;""),IF(EOMONTH($BJ$3+INT((DAY(EOMONTH($BJ$3,0))-1)/2)+BJ$14,0)=EOMONTH($BB$3,0),BJ$12*BJ$13,0),0),IF(AND(BF$12&lt;&gt;"",BF$14&lt;&gt;""),IF(EOMONTH($BF$3+INT((DAY(EOMONTH($BF$3,0))-1)/2)+BF$14,0)=EOMONTH($BB$3,0),BF$12*BF$13,0),0),IF(AND(BB$12&lt;&gt;"",BB$14&lt;&gt;""),IF(EOMONTH($BB$3+INT((DAY(EOMONTH($BB$3,0))-1)/2)+BB$14,0)=EOMONTH($BB$3,0),BB$12*BB$13,0),0),IF(AND(AX$12&lt;&gt;"",AX$14&lt;&gt;""),IF(EOMONTH($AX$3+INT((DAY(EOMONTH($AX$3,0))-1)/2)+AX$14,0)=EOMONTH($BB$3,0),AX$12*AX$13,0),0),IF(AND(AT$12&lt;&gt;"",AT$14&lt;&gt;""),IF(EOMONTH($AT$3+INT((DAY(EOMONTH($AT$3,0))-1)/2)+AT$14,0)=EOMONTH($BB$3,0),AT$12*AT$13,0),0),IF(AND(AP$12&lt;&gt;"",AP$14&lt;&gt;""),IF(EOMONTH($AP$3+INT((DAY(EOMONTH($AP$3,0))-1)/2)+AP$14,0)=EOMONTH($BB$3,0),AP$12*AP$13,0),0),IF(AND(AL$12&lt;&gt;"",AL$14&lt;&gt;""),IF(EOMONTH($AL$3+INT((DAY(EOMONTH($AL$3,0))-1)/2)+AL$14,0)=EOMONTH($BB$3,0),AL$12*AL$13,0),0),IF(AND(AH$12&lt;&gt;"",AH$14&lt;&gt;""),IF(EOMONTH($AH$3+INT((DAY(EOMONTH($AH$3,0))-1)/2)+AH$14,0)=EOMONTH($BB$3,0),AH$12*AH$13,0),0),IF(AND(AD$12&lt;&gt;"",AD$14&lt;&gt;""),IF(EOMONTH($AD$3+INT((DAY(EOMONTH($AD$3,0))-1)/2)+AD$14,0)=EOMONTH($BB$3,0),AD$12*AD$13,0),0),IF(AND(Z$12&lt;&gt;"",Z$14&lt;&gt;""),IF(EOMONTH($Z$3+INT((DAY(EOMONTH($Z$3,0))-1)/2)+Z$14,0)=EOMONTH($BB$3,0),Z$12*Z$13,0),0),IF(AND(V$12&lt;&gt;"",V$14&lt;&gt;""),IF(EOMONTH($V$3+INT((DAY(EOMONTH($V$3,0))-1)/2)+V$14,0)=EOMONTH($BB$3,0),V$12*V$13,0),0),IF(AND(R$12&lt;&gt;"",R$14&lt;&gt;""),IF(EOMONTH($R$3+INT((DAY(EOMONTH($R$3,0))-1)/2)+R$14,0)=EOMONTH($BB$3,0),R$12*R$13,0),0),IF(AND(N$12&lt;&gt;"",N$14&lt;&gt;""),IF(EOMONTH($N$3+INT((DAY(EOMONTH($N$3,0))-1)/2)+N$14,0)=EOMONTH($BB$3,0),N$12*N$13,0),0),IF(AND(J$12&lt;&gt;"",J$14&lt;&gt;""),IF(EOMONTH($J$3+INT((DAY(EOMONTH($J$3,0))-1)/2)+J$14,0)=EOMONTH($BB$3,0),J$12*J$13,0),0),IF(AND(F$12&lt;&gt;"",F$14&lt;&gt;""),IF(EOMONTH($F$3+INT((DAY(EOMONTH($F$3,0))-1)/2)+F$14,0)=EOMONTH($BB$3,0),F$12*F$13,0),0),IF($EP$75="",0,IF(EOMONTH($EP$75+EP$14,0)=EOMONTH($BB$3,0),$EP$77*EP$13,0))),0)</f>
        <v>0</v>
      </c>
      <c r="BC73" s="41">
        <f t="shared" si="1100"/>
        <v>0</v>
      </c>
      <c r="BD73" s="41">
        <f t="shared" si="1100"/>
        <v>0</v>
      </c>
      <c r="BE73" s="41">
        <f t="shared" si="1101"/>
        <v>0</v>
      </c>
      <c r="BF73" s="41">
        <f t="shared" ref="BF73:BH73" si="1102">ROUND(SUM(IF(AND(EP$12&lt;&gt;"",EP$14&lt;&gt;""),IF(EOMONTH($EP$3+INT((DAY(EOMONTH($EP$3,0))-1)/2)+EP$14,0)=EOMONTH($BF$3,0),EP$12*EP$13,0),0),IF(AND(EL$12&lt;&gt;"",EL$14&lt;&gt;""),IF(EOMONTH($EL$3+INT((DAY(EOMONTH($EL$3,0))-1)/2)+EL$14,0)=EOMONTH($BF$3,0),EL$12*EL$13,0),0),IF(AND(EH$12&lt;&gt;"",EH$14&lt;&gt;""),IF(EOMONTH($EH$3+INT((DAY(EOMONTH($EH$3,0))-1)/2)+EH$14,0)=EOMONTH($BF$3,0),EH$12*EH$13,0),0),IF(AND(ED$12&lt;&gt;"",ED$14&lt;&gt;""),IF(EOMONTH($ED$3+INT((DAY(EOMONTH($ED$3,0))-1)/2)+ED$14,0)=EOMONTH($BF$3,0),ED$12*ED$13,0),0),IF(AND(DZ$12&lt;&gt;"",DZ$14&lt;&gt;""),IF(EOMONTH($DZ$3+INT((DAY(EOMONTH($DZ$3,0))-1)/2)+DZ$14,0)=EOMONTH($BF$3,0),DZ$12*DZ$13,0),0),IF(AND(DV$12&lt;&gt;"",DV$14&lt;&gt;""),IF(EOMONTH($DV$3+INT((DAY(EOMONTH($DV$3,0))-1)/2)+DV$14,0)=EOMONTH($BF$3,0),DV$12*DV$13,0),0),IF(AND(DR$12&lt;&gt;"",DR$14&lt;&gt;""),IF(EOMONTH($DR$3+INT((DAY(EOMONTH($DR$3,0))-1)/2)+DR$14,0)=EOMONTH($BF$3,0),DR$12*DR$13,0),0),IF(AND(DN$12&lt;&gt;"",DN$14&lt;&gt;""),IF(EOMONTH($DN$3+INT((DAY(EOMONTH($DN$3,0))-1)/2)+DN$14,0)=EOMONTH($BF$3,0),DN$12*DN$13,0),0),IF(AND(DJ$12&lt;&gt;"",DJ$14&lt;&gt;""),IF(EOMONTH($DJ$3+INT((DAY(EOMONTH($DJ$3,0))-1)/2)+DJ$14,0)=EOMONTH($BF$3,0),DJ$12*DJ$13,0),0),IF(AND(DF$12&lt;&gt;"",DF$14&lt;&gt;""),IF(EOMONTH($DF$3+INT((DAY(EOMONTH($DF$3,0))-1)/2)+DF$14,0)=EOMONTH($BF$3,0),DF$12*DF$13,0),0),IF(AND(DB$12&lt;&gt;"",DB$14&lt;&gt;""),IF(EOMONTH($DB$3+INT((DAY(EOMONTH($DB$3,0))-1)/2)+DB$14,0)=EOMONTH($BF$3,0),DB$12*DB$13,0),0),IF(AND(CX$12&lt;&gt;"",CX$14&lt;&gt;""),IF(EOMONTH($CX$3+INT((DAY(EOMONTH($CX$3,0))-1)/2)+CX$14,0)=EOMONTH($BF$3,0),CX$12*CX$13,0),0),IF(AND(CT$12&lt;&gt;"",CT$14&lt;&gt;""),IF(EOMONTH($CT$3+INT((DAY(EOMONTH($CT$3,0))-1)/2)+CT$14,0)=EOMONTH($BF$3,0),CT$12*CT$13,0),0),IF(AND(CP$12&lt;&gt;"",CP$14&lt;&gt;""),IF(EOMONTH($CP$3+INT((DAY(EOMONTH($CP$3,0))-1)/2)+CP$14,0)=EOMONTH($BF$3,0),CP$12*CP$13,0),0),IF(AND(CL$12&lt;&gt;"",CL$14&lt;&gt;""),IF(EOMONTH($CL$3+INT((DAY(EOMONTH($CL$3,0))-1)/2)+CL$14,0)=EOMONTH($BF$3,0),CL$12*CL$13,0),0),IF(AND(CH$12&lt;&gt;"",CH$14&lt;&gt;""),IF(EOMONTH($CH$3+INT((DAY(EOMONTH($CH$3,0))-1)/2)+CH$14,0)=EOMONTH($BF$3,0),CH$12*CH$13,0),0),IF(AND(CD$12&lt;&gt;"",CD$14&lt;&gt;""),IF(EOMONTH($CD$3+INT((DAY(EOMONTH($CD$3,0))-1)/2)+CD$14,0)=EOMONTH($BF$3,0),CD$12*CD$13,0),0),IF(AND(BZ$12&lt;&gt;"",BZ$14&lt;&gt;""),IF(EOMONTH($BZ$3+INT((DAY(EOMONTH($BZ$3,0))-1)/2)+BZ$14,0)=EOMONTH($BF$3,0),BZ$12*BZ$13,0),0),IF(AND(BV$12&lt;&gt;"",BV$14&lt;&gt;""),IF(EOMONTH($BV$3+INT((DAY(EOMONTH($BV$3,0))-1)/2)+BV$14,0)=EOMONTH($BF$3,0),BV$12*BV$13,0),0),IF(AND(BR$12&lt;&gt;"",BR$14&lt;&gt;""),IF(EOMONTH($BR$3+INT((DAY(EOMONTH($BR$3,0))-1)/2)+BR$14,0)=EOMONTH($BF$3,0),BR$12*BR$13,0),0),IF(AND(BN$12&lt;&gt;"",BN$14&lt;&gt;""),IF(EOMONTH($BN$3+INT((DAY(EOMONTH($BN$3,0))-1)/2)+BN$14,0)=EOMONTH($BF$3,0),BN$12*BN$13,0),0),IF(AND(BJ$12&lt;&gt;"",BJ$14&lt;&gt;""),IF(EOMONTH($BJ$3+INT((DAY(EOMONTH($BJ$3,0))-1)/2)+BJ$14,0)=EOMONTH($BF$3,0),BJ$12*BJ$13,0),0),IF(AND(BF$12&lt;&gt;"",BF$14&lt;&gt;""),IF(EOMONTH($BF$3+INT((DAY(EOMONTH($BF$3,0))-1)/2)+BF$14,0)=EOMONTH($BF$3,0),BF$12*BF$13,0),0),IF(AND(BB$12&lt;&gt;"",BB$14&lt;&gt;""),IF(EOMONTH($BB$3+INT((DAY(EOMONTH($BB$3,0))-1)/2)+BB$14,0)=EOMONTH($BF$3,0),BB$12*BB$13,0),0),IF(AND(AX$12&lt;&gt;"",AX$14&lt;&gt;""),IF(EOMONTH($AX$3+INT((DAY(EOMONTH($AX$3,0))-1)/2)+AX$14,0)=EOMONTH($BF$3,0),AX$12*AX$13,0),0),IF(AND(AT$12&lt;&gt;"",AT$14&lt;&gt;""),IF(EOMONTH($AT$3+INT((DAY(EOMONTH($AT$3,0))-1)/2)+AT$14,0)=EOMONTH($BF$3,0),AT$12*AT$13,0),0),IF(AND(AP$12&lt;&gt;"",AP$14&lt;&gt;""),IF(EOMONTH($AP$3+INT((DAY(EOMONTH($AP$3,0))-1)/2)+AP$14,0)=EOMONTH($BF$3,0),AP$12*AP$13,0),0),IF(AND(AL$12&lt;&gt;"",AL$14&lt;&gt;""),IF(EOMONTH($AL$3+INT((DAY(EOMONTH($AL$3,0))-1)/2)+AL$14,0)=EOMONTH($BF$3,0),AL$12*AL$13,0),0),IF(AND(AH$12&lt;&gt;"",AH$14&lt;&gt;""),IF(EOMONTH($AH$3+INT((DAY(EOMONTH($AH$3,0))-1)/2)+AH$14,0)=EOMONTH($BF$3,0),AH$12*AH$13,0),0),IF(AND(AD$12&lt;&gt;"",AD$14&lt;&gt;""),IF(EOMONTH($AD$3+INT((DAY(EOMONTH($AD$3,0))-1)/2)+AD$14,0)=EOMONTH($BF$3,0),AD$12*AD$13,0),0),IF(AND(Z$12&lt;&gt;"",Z$14&lt;&gt;""),IF(EOMONTH($Z$3+INT((DAY(EOMONTH($Z$3,0))-1)/2)+Z$14,0)=EOMONTH($BF$3,0),Z$12*Z$13,0),0),IF(AND(V$12&lt;&gt;"",V$14&lt;&gt;""),IF(EOMONTH($V$3+INT((DAY(EOMONTH($V$3,0))-1)/2)+V$14,0)=EOMONTH($BF$3,0),V$12*V$13,0),0),IF(AND(R$12&lt;&gt;"",R$14&lt;&gt;""),IF(EOMONTH($R$3+INT((DAY(EOMONTH($R$3,0))-1)/2)+R$14,0)=EOMONTH($BF$3,0),R$12*R$13,0),0),IF(AND(N$12&lt;&gt;"",N$14&lt;&gt;""),IF(EOMONTH($N$3+INT((DAY(EOMONTH($N$3,0))-1)/2)+N$14,0)=EOMONTH($BF$3,0),N$12*N$13,0),0),IF(AND(J$12&lt;&gt;"",J$14&lt;&gt;""),IF(EOMONTH($J$3+INT((DAY(EOMONTH($J$3,0))-1)/2)+J$14,0)=EOMONTH($BF$3,0),J$12*J$13,0),0),IF(AND(F$12&lt;&gt;"",F$14&lt;&gt;""),IF(EOMONTH($F$3+INT((DAY(EOMONTH($F$3,0))-1)/2)+F$14,0)=EOMONTH($BF$3,0),F$12*F$13,0),0),IF($EP$75="",0,IF(EOMONTH($EP$75+EP$14,0)=EOMONTH($BF$3,0),$EP$77*EP$13,0))),0)</f>
        <v>0</v>
      </c>
      <c r="BG73" s="41">
        <f t="shared" si="1102"/>
        <v>0</v>
      </c>
      <c r="BH73" s="41">
        <f t="shared" si="1102"/>
        <v>0</v>
      </c>
      <c r="BI73" s="41">
        <f t="shared" si="1103"/>
        <v>0</v>
      </c>
      <c r="BJ73" s="41">
        <f t="shared" ref="BJ73:BL73" si="1104">ROUND(SUM(IF(AND(EP$12&lt;&gt;"",EP$14&lt;&gt;""),IF(EOMONTH($EP$3+INT((DAY(EOMONTH($EP$3,0))-1)/2)+EP$14,0)=EOMONTH($BJ$3,0),EP$12*EP$13,0),0),IF(AND(EL$12&lt;&gt;"",EL$14&lt;&gt;""),IF(EOMONTH($EL$3+INT((DAY(EOMONTH($EL$3,0))-1)/2)+EL$14,0)=EOMONTH($BJ$3,0),EL$12*EL$13,0),0),IF(AND(EH$12&lt;&gt;"",EH$14&lt;&gt;""),IF(EOMONTH($EH$3+INT((DAY(EOMONTH($EH$3,0))-1)/2)+EH$14,0)=EOMONTH($BJ$3,0),EH$12*EH$13,0),0),IF(AND(ED$12&lt;&gt;"",ED$14&lt;&gt;""),IF(EOMONTH($ED$3+INT((DAY(EOMONTH($ED$3,0))-1)/2)+ED$14,0)=EOMONTH($BJ$3,0),ED$12*ED$13,0),0),IF(AND(DZ$12&lt;&gt;"",DZ$14&lt;&gt;""),IF(EOMONTH($DZ$3+INT((DAY(EOMONTH($DZ$3,0))-1)/2)+DZ$14,0)=EOMONTH($BJ$3,0),DZ$12*DZ$13,0),0),IF(AND(DV$12&lt;&gt;"",DV$14&lt;&gt;""),IF(EOMONTH($DV$3+INT((DAY(EOMONTH($DV$3,0))-1)/2)+DV$14,0)=EOMONTH($BJ$3,0),DV$12*DV$13,0),0),IF(AND(DR$12&lt;&gt;"",DR$14&lt;&gt;""),IF(EOMONTH($DR$3+INT((DAY(EOMONTH($DR$3,0))-1)/2)+DR$14,0)=EOMONTH($BJ$3,0),DR$12*DR$13,0),0),IF(AND(DN$12&lt;&gt;"",DN$14&lt;&gt;""),IF(EOMONTH($DN$3+INT((DAY(EOMONTH($DN$3,0))-1)/2)+DN$14,0)=EOMONTH($BJ$3,0),DN$12*DN$13,0),0),IF(AND(DJ$12&lt;&gt;"",DJ$14&lt;&gt;""),IF(EOMONTH($DJ$3+INT((DAY(EOMONTH($DJ$3,0))-1)/2)+DJ$14,0)=EOMONTH($BJ$3,0),DJ$12*DJ$13,0),0),IF(AND(DF$12&lt;&gt;"",DF$14&lt;&gt;""),IF(EOMONTH($DF$3+INT((DAY(EOMONTH($DF$3,0))-1)/2)+DF$14,0)=EOMONTH($BJ$3,0),DF$12*DF$13,0),0),IF(AND(DB$12&lt;&gt;"",DB$14&lt;&gt;""),IF(EOMONTH($DB$3+INT((DAY(EOMONTH($DB$3,0))-1)/2)+DB$14,0)=EOMONTH($BJ$3,0),DB$12*DB$13,0),0),IF(AND(CX$12&lt;&gt;"",CX$14&lt;&gt;""),IF(EOMONTH($CX$3+INT((DAY(EOMONTH($CX$3,0))-1)/2)+CX$14,0)=EOMONTH($BJ$3,0),CX$12*CX$13,0),0),IF(AND(CT$12&lt;&gt;"",CT$14&lt;&gt;""),IF(EOMONTH($CT$3+INT((DAY(EOMONTH($CT$3,0))-1)/2)+CT$14,0)=EOMONTH($BJ$3,0),CT$12*CT$13,0),0),IF(AND(CP$12&lt;&gt;"",CP$14&lt;&gt;""),IF(EOMONTH($CP$3+INT((DAY(EOMONTH($CP$3,0))-1)/2)+CP$14,0)=EOMONTH($BJ$3,0),CP$12*CP$13,0),0),IF(AND(CL$12&lt;&gt;"",CL$14&lt;&gt;""),IF(EOMONTH($CL$3+INT((DAY(EOMONTH($CL$3,0))-1)/2)+CL$14,0)=EOMONTH($BJ$3,0),CL$12*CL$13,0),0),IF(AND(CH$12&lt;&gt;"",CH$14&lt;&gt;""),IF(EOMONTH($CH$3+INT((DAY(EOMONTH($CH$3,0))-1)/2)+CH$14,0)=EOMONTH($BJ$3,0),CH$12*CH$13,0),0),IF(AND(CD$12&lt;&gt;"",CD$14&lt;&gt;""),IF(EOMONTH($CD$3+INT((DAY(EOMONTH($CD$3,0))-1)/2)+CD$14,0)=EOMONTH($BJ$3,0),CD$12*CD$13,0),0),IF(AND(BZ$12&lt;&gt;"",BZ$14&lt;&gt;""),IF(EOMONTH($BZ$3+INT((DAY(EOMONTH($BZ$3,0))-1)/2)+BZ$14,0)=EOMONTH($BJ$3,0),BZ$12*BZ$13,0),0),IF(AND(BV$12&lt;&gt;"",BV$14&lt;&gt;""),IF(EOMONTH($BV$3+INT((DAY(EOMONTH($BV$3,0))-1)/2)+BV$14,0)=EOMONTH($BJ$3,0),BV$12*BV$13,0),0),IF(AND(BR$12&lt;&gt;"",BR$14&lt;&gt;""),IF(EOMONTH($BR$3+INT((DAY(EOMONTH($BR$3,0))-1)/2)+BR$14,0)=EOMONTH($BJ$3,0),BR$12*BR$13,0),0),IF(AND(BN$12&lt;&gt;"",BN$14&lt;&gt;""),IF(EOMONTH($BN$3+INT((DAY(EOMONTH($BN$3,0))-1)/2)+BN$14,0)=EOMONTH($BJ$3,0),BN$12*BN$13,0),0),IF(AND(BJ$12&lt;&gt;"",BJ$14&lt;&gt;""),IF(EOMONTH($BJ$3+INT((DAY(EOMONTH($BJ$3,0))-1)/2)+BJ$14,0)=EOMONTH($BJ$3,0),BJ$12*BJ$13,0),0),IF(AND(BF$12&lt;&gt;"",BF$14&lt;&gt;""),IF(EOMONTH($BF$3+INT((DAY(EOMONTH($BF$3,0))-1)/2)+BF$14,0)=EOMONTH($BJ$3,0),BF$12*BF$13,0),0),IF(AND(BB$12&lt;&gt;"",BB$14&lt;&gt;""),IF(EOMONTH($BB$3+INT((DAY(EOMONTH($BB$3,0))-1)/2)+BB$14,0)=EOMONTH($BJ$3,0),BB$12*BB$13,0),0),IF(AND(AX$12&lt;&gt;"",AX$14&lt;&gt;""),IF(EOMONTH($AX$3+INT((DAY(EOMONTH($AX$3,0))-1)/2)+AX$14,0)=EOMONTH($BJ$3,0),AX$12*AX$13,0),0),IF(AND(AT$12&lt;&gt;"",AT$14&lt;&gt;""),IF(EOMONTH($AT$3+INT((DAY(EOMONTH($AT$3,0))-1)/2)+AT$14,0)=EOMONTH($BJ$3,0),AT$12*AT$13,0),0),IF(AND(AP$12&lt;&gt;"",AP$14&lt;&gt;""),IF(EOMONTH($AP$3+INT((DAY(EOMONTH($AP$3,0))-1)/2)+AP$14,0)=EOMONTH($BJ$3,0),AP$12*AP$13,0),0),IF(AND(AL$12&lt;&gt;"",AL$14&lt;&gt;""),IF(EOMONTH($AL$3+INT((DAY(EOMONTH($AL$3,0))-1)/2)+AL$14,0)=EOMONTH($BJ$3,0),AL$12*AL$13,0),0),IF(AND(AH$12&lt;&gt;"",AH$14&lt;&gt;""),IF(EOMONTH($AH$3+INT((DAY(EOMONTH($AH$3,0))-1)/2)+AH$14,0)=EOMONTH($BJ$3,0),AH$12*AH$13,0),0),IF(AND(AD$12&lt;&gt;"",AD$14&lt;&gt;""),IF(EOMONTH($AD$3+INT((DAY(EOMONTH($AD$3,0))-1)/2)+AD$14,0)=EOMONTH($BJ$3,0),AD$12*AD$13,0),0),IF(AND(Z$12&lt;&gt;"",Z$14&lt;&gt;""),IF(EOMONTH($Z$3+INT((DAY(EOMONTH($Z$3,0))-1)/2)+Z$14,0)=EOMONTH($BJ$3,0),Z$12*Z$13,0),0),IF(AND(V$12&lt;&gt;"",V$14&lt;&gt;""),IF(EOMONTH($V$3+INT((DAY(EOMONTH($V$3,0))-1)/2)+V$14,0)=EOMONTH($BJ$3,0),V$12*V$13,0),0),IF(AND(R$12&lt;&gt;"",R$14&lt;&gt;""),IF(EOMONTH($R$3+INT((DAY(EOMONTH($R$3,0))-1)/2)+R$14,0)=EOMONTH($BJ$3,0),R$12*R$13,0),0),IF(AND(N$12&lt;&gt;"",N$14&lt;&gt;""),IF(EOMONTH($N$3+INT((DAY(EOMONTH($N$3,0))-1)/2)+N$14,0)=EOMONTH($BJ$3,0),N$12*N$13,0),0),IF(AND(J$12&lt;&gt;"",J$14&lt;&gt;""),IF(EOMONTH($J$3+INT((DAY(EOMONTH($J$3,0))-1)/2)+J$14,0)=EOMONTH($BJ$3,0),J$12*J$13,0),0),IF(AND(F$12&lt;&gt;"",F$14&lt;&gt;""),IF(EOMONTH($F$3+INT((DAY(EOMONTH($F$3,0))-1)/2)+F$14,0)=EOMONTH($BJ$3,0),F$12*F$13,0),0),IF($EP$75="",0,IF(EOMONTH($EP$75+EP$14,0)=EOMONTH($BJ$3,0),$EP$77*EP$13,0))),0)</f>
        <v>0</v>
      </c>
      <c r="BK73" s="41">
        <f t="shared" si="1104"/>
        <v>0</v>
      </c>
      <c r="BL73" s="41">
        <f t="shared" si="1104"/>
        <v>0</v>
      </c>
      <c r="BM73" s="41">
        <f t="shared" si="1105"/>
        <v>0</v>
      </c>
      <c r="BN73" s="41">
        <f t="shared" ref="BN73:BP73" si="1106">ROUND(SUM(IF(AND(EP$12&lt;&gt;"",EP$14&lt;&gt;""),IF(EOMONTH($EP$3+INT((DAY(EOMONTH($EP$3,0))-1)/2)+EP$14,0)=EOMONTH($BN$3,0),EP$12*EP$13,0),0),IF(AND(EL$12&lt;&gt;"",EL$14&lt;&gt;""),IF(EOMONTH($EL$3+INT((DAY(EOMONTH($EL$3,0))-1)/2)+EL$14,0)=EOMONTH($BN$3,0),EL$12*EL$13,0),0),IF(AND(EH$12&lt;&gt;"",EH$14&lt;&gt;""),IF(EOMONTH($EH$3+INT((DAY(EOMONTH($EH$3,0))-1)/2)+EH$14,0)=EOMONTH($BN$3,0),EH$12*EH$13,0),0),IF(AND(ED$12&lt;&gt;"",ED$14&lt;&gt;""),IF(EOMONTH($ED$3+INT((DAY(EOMONTH($ED$3,0))-1)/2)+ED$14,0)=EOMONTH($BN$3,0),ED$12*ED$13,0),0),IF(AND(DZ$12&lt;&gt;"",DZ$14&lt;&gt;""),IF(EOMONTH($DZ$3+INT((DAY(EOMONTH($DZ$3,0))-1)/2)+DZ$14,0)=EOMONTH($BN$3,0),DZ$12*DZ$13,0),0),IF(AND(DV$12&lt;&gt;"",DV$14&lt;&gt;""),IF(EOMONTH($DV$3+INT((DAY(EOMONTH($DV$3,0))-1)/2)+DV$14,0)=EOMONTH($BN$3,0),DV$12*DV$13,0),0),IF(AND(DR$12&lt;&gt;"",DR$14&lt;&gt;""),IF(EOMONTH($DR$3+INT((DAY(EOMONTH($DR$3,0))-1)/2)+DR$14,0)=EOMONTH($BN$3,0),DR$12*DR$13,0),0),IF(AND(DN$12&lt;&gt;"",DN$14&lt;&gt;""),IF(EOMONTH($DN$3+INT((DAY(EOMONTH($DN$3,0))-1)/2)+DN$14,0)=EOMONTH($BN$3,0),DN$12*DN$13,0),0),IF(AND(DJ$12&lt;&gt;"",DJ$14&lt;&gt;""),IF(EOMONTH($DJ$3+INT((DAY(EOMONTH($DJ$3,0))-1)/2)+DJ$14,0)=EOMONTH($BN$3,0),DJ$12*DJ$13,0),0),IF(AND(DF$12&lt;&gt;"",DF$14&lt;&gt;""),IF(EOMONTH($DF$3+INT((DAY(EOMONTH($DF$3,0))-1)/2)+DF$14,0)=EOMONTH($BN$3,0),DF$12*DF$13,0),0),IF(AND(DB$12&lt;&gt;"",DB$14&lt;&gt;""),IF(EOMONTH($DB$3+INT((DAY(EOMONTH($DB$3,0))-1)/2)+DB$14,0)=EOMONTH($BN$3,0),DB$12*DB$13,0),0),IF(AND(CX$12&lt;&gt;"",CX$14&lt;&gt;""),IF(EOMONTH($CX$3+INT((DAY(EOMONTH($CX$3,0))-1)/2)+CX$14,0)=EOMONTH($BN$3,0),CX$12*CX$13,0),0),IF(AND(CT$12&lt;&gt;"",CT$14&lt;&gt;""),IF(EOMONTH($CT$3+INT((DAY(EOMONTH($CT$3,0))-1)/2)+CT$14,0)=EOMONTH($BN$3,0),CT$12*CT$13,0),0),IF(AND(CP$12&lt;&gt;"",CP$14&lt;&gt;""),IF(EOMONTH($CP$3+INT((DAY(EOMONTH($CP$3,0))-1)/2)+CP$14,0)=EOMONTH($BN$3,0),CP$12*CP$13,0),0),IF(AND(CL$12&lt;&gt;"",CL$14&lt;&gt;""),IF(EOMONTH($CL$3+INT((DAY(EOMONTH($CL$3,0))-1)/2)+CL$14,0)=EOMONTH($BN$3,0),CL$12*CL$13,0),0),IF(AND(CH$12&lt;&gt;"",CH$14&lt;&gt;""),IF(EOMONTH($CH$3+INT((DAY(EOMONTH($CH$3,0))-1)/2)+CH$14,0)=EOMONTH($BN$3,0),CH$12*CH$13,0),0),IF(AND(CD$12&lt;&gt;"",CD$14&lt;&gt;""),IF(EOMONTH($CD$3+INT((DAY(EOMONTH($CD$3,0))-1)/2)+CD$14,0)=EOMONTH($BN$3,0),CD$12*CD$13,0),0),IF(AND(BZ$12&lt;&gt;"",BZ$14&lt;&gt;""),IF(EOMONTH($BZ$3+INT((DAY(EOMONTH($BZ$3,0))-1)/2)+BZ$14,0)=EOMONTH($BN$3,0),BZ$12*BZ$13,0),0),IF(AND(BV$12&lt;&gt;"",BV$14&lt;&gt;""),IF(EOMONTH($BV$3+INT((DAY(EOMONTH($BV$3,0))-1)/2)+BV$14,0)=EOMONTH($BN$3,0),BV$12*BV$13,0),0),IF(AND(BR$12&lt;&gt;"",BR$14&lt;&gt;""),IF(EOMONTH($BR$3+INT((DAY(EOMONTH($BR$3,0))-1)/2)+BR$14,0)=EOMONTH($BN$3,0),BR$12*BR$13,0),0),IF(AND(BN$12&lt;&gt;"",BN$14&lt;&gt;""),IF(EOMONTH($BN$3+INT((DAY(EOMONTH($BN$3,0))-1)/2)+BN$14,0)=EOMONTH($BN$3,0),BN$12*BN$13,0),0),IF(AND(BJ$12&lt;&gt;"",BJ$14&lt;&gt;""),IF(EOMONTH($BJ$3+INT((DAY(EOMONTH($BJ$3,0))-1)/2)+BJ$14,0)=EOMONTH($BN$3,0),BJ$12*BJ$13,0),0),IF(AND(BF$12&lt;&gt;"",BF$14&lt;&gt;""),IF(EOMONTH($BF$3+INT((DAY(EOMONTH($BF$3,0))-1)/2)+BF$14,0)=EOMONTH($BN$3,0),BF$12*BF$13,0),0),IF(AND(BB$12&lt;&gt;"",BB$14&lt;&gt;""),IF(EOMONTH($BB$3+INT((DAY(EOMONTH($BB$3,0))-1)/2)+BB$14,0)=EOMONTH($BN$3,0),BB$12*BB$13,0),0),IF(AND(AX$12&lt;&gt;"",AX$14&lt;&gt;""),IF(EOMONTH($AX$3+INT((DAY(EOMONTH($AX$3,0))-1)/2)+AX$14,0)=EOMONTH($BN$3,0),AX$12*AX$13,0),0),IF(AND(AT$12&lt;&gt;"",AT$14&lt;&gt;""),IF(EOMONTH($AT$3+INT((DAY(EOMONTH($AT$3,0))-1)/2)+AT$14,0)=EOMONTH($BN$3,0),AT$12*AT$13,0),0),IF(AND(AP$12&lt;&gt;"",AP$14&lt;&gt;""),IF(EOMONTH($AP$3+INT((DAY(EOMONTH($AP$3,0))-1)/2)+AP$14,0)=EOMONTH($BN$3,0),AP$12*AP$13,0),0),IF(AND(AL$12&lt;&gt;"",AL$14&lt;&gt;""),IF(EOMONTH($AL$3+INT((DAY(EOMONTH($AL$3,0))-1)/2)+AL$14,0)=EOMONTH($BN$3,0),AL$12*AL$13,0),0),IF(AND(AH$12&lt;&gt;"",AH$14&lt;&gt;""),IF(EOMONTH($AH$3+INT((DAY(EOMONTH($AH$3,0))-1)/2)+AH$14,0)=EOMONTH($BN$3,0),AH$12*AH$13,0),0),IF(AND(AD$12&lt;&gt;"",AD$14&lt;&gt;""),IF(EOMONTH($AD$3+INT((DAY(EOMONTH($AD$3,0))-1)/2)+AD$14,0)=EOMONTH($BN$3,0),AD$12*AD$13,0),0),IF(AND(Z$12&lt;&gt;"",Z$14&lt;&gt;""),IF(EOMONTH($Z$3+INT((DAY(EOMONTH($Z$3,0))-1)/2)+Z$14,0)=EOMONTH($BN$3,0),Z$12*Z$13,0),0),IF(AND(V$12&lt;&gt;"",V$14&lt;&gt;""),IF(EOMONTH($V$3+INT((DAY(EOMONTH($V$3,0))-1)/2)+V$14,0)=EOMONTH($BN$3,0),V$12*V$13,0),0),IF(AND(R$12&lt;&gt;"",R$14&lt;&gt;""),IF(EOMONTH($R$3+INT((DAY(EOMONTH($R$3,0))-1)/2)+R$14,0)=EOMONTH($BN$3,0),R$12*R$13,0),0),IF(AND(N$12&lt;&gt;"",N$14&lt;&gt;""),IF(EOMONTH($N$3+INT((DAY(EOMONTH($N$3,0))-1)/2)+N$14,0)=EOMONTH($BN$3,0),N$12*N$13,0),0),IF(AND(J$12&lt;&gt;"",J$14&lt;&gt;""),IF(EOMONTH($J$3+INT((DAY(EOMONTH($J$3,0))-1)/2)+J$14,0)=EOMONTH($BN$3,0),J$12*J$13,0),0),IF(AND(F$12&lt;&gt;"",F$14&lt;&gt;""),IF(EOMONTH($F$3+INT((DAY(EOMONTH($F$3,0))-1)/2)+F$14,0)=EOMONTH($BN$3,0),F$12*F$13,0),0),IF($EP$75="",0,IF(EOMONTH($EP$75+EP$14,0)=EOMONTH($BN$3,0),$EP$77*EP$13,0))),0)</f>
        <v>0</v>
      </c>
      <c r="BO73" s="41">
        <f t="shared" si="1106"/>
        <v>0</v>
      </c>
      <c r="BP73" s="41">
        <f t="shared" si="1106"/>
        <v>0</v>
      </c>
      <c r="BQ73" s="41">
        <f t="shared" si="1107"/>
        <v>0</v>
      </c>
      <c r="BR73" s="41">
        <f t="shared" ref="BR73:BT73" si="1108">ROUND(SUM(IF(AND(EP$12&lt;&gt;"",EP$14&lt;&gt;""),IF(EOMONTH($EP$3+INT((DAY(EOMONTH($EP$3,0))-1)/2)+EP$14,0)=EOMONTH($BR$3,0),EP$12*EP$13,0),0),IF(AND(EL$12&lt;&gt;"",EL$14&lt;&gt;""),IF(EOMONTH($EL$3+INT((DAY(EOMONTH($EL$3,0))-1)/2)+EL$14,0)=EOMONTH($BR$3,0),EL$12*EL$13,0),0),IF(AND(EH$12&lt;&gt;"",EH$14&lt;&gt;""),IF(EOMONTH($EH$3+INT((DAY(EOMONTH($EH$3,0))-1)/2)+EH$14,0)=EOMONTH($BR$3,0),EH$12*EH$13,0),0),IF(AND(ED$12&lt;&gt;"",ED$14&lt;&gt;""),IF(EOMONTH($ED$3+INT((DAY(EOMONTH($ED$3,0))-1)/2)+ED$14,0)=EOMONTH($BR$3,0),ED$12*ED$13,0),0),IF(AND(DZ$12&lt;&gt;"",DZ$14&lt;&gt;""),IF(EOMONTH($DZ$3+INT((DAY(EOMONTH($DZ$3,0))-1)/2)+DZ$14,0)=EOMONTH($BR$3,0),DZ$12*DZ$13,0),0),IF(AND(DV$12&lt;&gt;"",DV$14&lt;&gt;""),IF(EOMONTH($DV$3+INT((DAY(EOMONTH($DV$3,0))-1)/2)+DV$14,0)=EOMONTH($BR$3,0),DV$12*DV$13,0),0),IF(AND(DR$12&lt;&gt;"",DR$14&lt;&gt;""),IF(EOMONTH($DR$3+INT((DAY(EOMONTH($DR$3,0))-1)/2)+DR$14,0)=EOMONTH($BR$3,0),DR$12*DR$13,0),0),IF(AND(DN$12&lt;&gt;"",DN$14&lt;&gt;""),IF(EOMONTH($DN$3+INT((DAY(EOMONTH($DN$3,0))-1)/2)+DN$14,0)=EOMONTH($BR$3,0),DN$12*DN$13,0),0),IF(AND(DJ$12&lt;&gt;"",DJ$14&lt;&gt;""),IF(EOMONTH($DJ$3+INT((DAY(EOMONTH($DJ$3,0))-1)/2)+DJ$14,0)=EOMONTH($BR$3,0),DJ$12*DJ$13,0),0),IF(AND(DF$12&lt;&gt;"",DF$14&lt;&gt;""),IF(EOMONTH($DF$3+INT((DAY(EOMONTH($DF$3,0))-1)/2)+DF$14,0)=EOMONTH($BR$3,0),DF$12*DF$13,0),0),IF(AND(DB$12&lt;&gt;"",DB$14&lt;&gt;""),IF(EOMONTH($DB$3+INT((DAY(EOMONTH($DB$3,0))-1)/2)+DB$14,0)=EOMONTH($BR$3,0),DB$12*DB$13,0),0),IF(AND(CX$12&lt;&gt;"",CX$14&lt;&gt;""),IF(EOMONTH($CX$3+INT((DAY(EOMONTH($CX$3,0))-1)/2)+CX$14,0)=EOMONTH($BR$3,0),CX$12*CX$13,0),0),IF(AND(CT$12&lt;&gt;"",CT$14&lt;&gt;""),IF(EOMONTH($CT$3+INT((DAY(EOMONTH($CT$3,0))-1)/2)+CT$14,0)=EOMONTH($BR$3,0),CT$12*CT$13,0),0),IF(AND(CP$12&lt;&gt;"",CP$14&lt;&gt;""),IF(EOMONTH($CP$3+INT((DAY(EOMONTH($CP$3,0))-1)/2)+CP$14,0)=EOMONTH($BR$3,0),CP$12*CP$13,0),0),IF(AND(CL$12&lt;&gt;"",CL$14&lt;&gt;""),IF(EOMONTH($CL$3+INT((DAY(EOMONTH($CL$3,0))-1)/2)+CL$14,0)=EOMONTH($BR$3,0),CL$12*CL$13,0),0),IF(AND(CH$12&lt;&gt;"",CH$14&lt;&gt;""),IF(EOMONTH($CH$3+INT((DAY(EOMONTH($CH$3,0))-1)/2)+CH$14,0)=EOMONTH($BR$3,0),CH$12*CH$13,0),0),IF(AND(CD$12&lt;&gt;"",CD$14&lt;&gt;""),IF(EOMONTH($CD$3+INT((DAY(EOMONTH($CD$3,0))-1)/2)+CD$14,0)=EOMONTH($BR$3,0),CD$12*CD$13,0),0),IF(AND(BZ$12&lt;&gt;"",BZ$14&lt;&gt;""),IF(EOMONTH($BZ$3+INT((DAY(EOMONTH($BZ$3,0))-1)/2)+BZ$14,0)=EOMONTH($BR$3,0),BZ$12*BZ$13,0),0),IF(AND(BV$12&lt;&gt;"",BV$14&lt;&gt;""),IF(EOMONTH($BV$3+INT((DAY(EOMONTH($BV$3,0))-1)/2)+BV$14,0)=EOMONTH($BR$3,0),BV$12*BV$13,0),0),IF(AND(BR$12&lt;&gt;"",BR$14&lt;&gt;""),IF(EOMONTH($BR$3+INT((DAY(EOMONTH($BR$3,0))-1)/2)+BR$14,0)=EOMONTH($BR$3,0),BR$12*BR$13,0),0),IF(AND(BN$12&lt;&gt;"",BN$14&lt;&gt;""),IF(EOMONTH($BN$3+INT((DAY(EOMONTH($BN$3,0))-1)/2)+BN$14,0)=EOMONTH($BR$3,0),BN$12*BN$13,0),0),IF(AND(BJ$12&lt;&gt;"",BJ$14&lt;&gt;""),IF(EOMONTH($BJ$3+INT((DAY(EOMONTH($BJ$3,0))-1)/2)+BJ$14,0)=EOMONTH($BR$3,0),BJ$12*BJ$13,0),0),IF(AND(BF$12&lt;&gt;"",BF$14&lt;&gt;""),IF(EOMONTH($BF$3+INT((DAY(EOMONTH($BF$3,0))-1)/2)+BF$14,0)=EOMONTH($BR$3,0),BF$12*BF$13,0),0),IF(AND(BB$12&lt;&gt;"",BB$14&lt;&gt;""),IF(EOMONTH($BB$3+INT((DAY(EOMONTH($BB$3,0))-1)/2)+BB$14,0)=EOMONTH($BR$3,0),BB$12*BB$13,0),0),IF(AND(AX$12&lt;&gt;"",AX$14&lt;&gt;""),IF(EOMONTH($AX$3+INT((DAY(EOMONTH($AX$3,0))-1)/2)+AX$14,0)=EOMONTH($BR$3,0),AX$12*AX$13,0),0),IF(AND(AT$12&lt;&gt;"",AT$14&lt;&gt;""),IF(EOMONTH($AT$3+INT((DAY(EOMONTH($AT$3,0))-1)/2)+AT$14,0)=EOMONTH($BR$3,0),AT$12*AT$13,0),0),IF(AND(AP$12&lt;&gt;"",AP$14&lt;&gt;""),IF(EOMONTH($AP$3+INT((DAY(EOMONTH($AP$3,0))-1)/2)+AP$14,0)=EOMONTH($BR$3,0),AP$12*AP$13,0),0),IF(AND(AL$12&lt;&gt;"",AL$14&lt;&gt;""),IF(EOMONTH($AL$3+INT((DAY(EOMONTH($AL$3,0))-1)/2)+AL$14,0)=EOMONTH($BR$3,0),AL$12*AL$13,0),0),IF(AND(AH$12&lt;&gt;"",AH$14&lt;&gt;""),IF(EOMONTH($AH$3+INT((DAY(EOMONTH($AH$3,0))-1)/2)+AH$14,0)=EOMONTH($BR$3,0),AH$12*AH$13,0),0),IF(AND(AD$12&lt;&gt;"",AD$14&lt;&gt;""),IF(EOMONTH($AD$3+INT((DAY(EOMONTH($AD$3,0))-1)/2)+AD$14,0)=EOMONTH($BR$3,0),AD$12*AD$13,0),0),IF(AND(Z$12&lt;&gt;"",Z$14&lt;&gt;""),IF(EOMONTH($Z$3+INT((DAY(EOMONTH($Z$3,0))-1)/2)+Z$14,0)=EOMONTH($BR$3,0),Z$12*Z$13,0),0),IF(AND(V$12&lt;&gt;"",V$14&lt;&gt;""),IF(EOMONTH($V$3+INT((DAY(EOMONTH($V$3,0))-1)/2)+V$14,0)=EOMONTH($BR$3,0),V$12*V$13,0),0),IF(AND(R$12&lt;&gt;"",R$14&lt;&gt;""),IF(EOMONTH($R$3+INT((DAY(EOMONTH($R$3,0))-1)/2)+R$14,0)=EOMONTH($BR$3,0),R$12*R$13,0),0),IF(AND(N$12&lt;&gt;"",N$14&lt;&gt;""),IF(EOMONTH($N$3+INT((DAY(EOMONTH($N$3,0))-1)/2)+N$14,0)=EOMONTH($BR$3,0),N$12*N$13,0),0),IF(AND(J$12&lt;&gt;"",J$14&lt;&gt;""),IF(EOMONTH($J$3+INT((DAY(EOMONTH($J$3,0))-1)/2)+J$14,0)=EOMONTH($BR$3,0),J$12*J$13,0),0),IF(AND(F$12&lt;&gt;"",F$14&lt;&gt;""),IF(EOMONTH($F$3+INT((DAY(EOMONTH($F$3,0))-1)/2)+F$14,0)=EOMONTH($BR$3,0),F$12*F$13,0),0),IF($EP$75="",0,IF(EOMONTH($EP$75+EP$14,0)=EOMONTH($BR$3,0),$EP$77*EP$13,0))),0)</f>
        <v>0</v>
      </c>
      <c r="BS73" s="41">
        <f t="shared" si="1108"/>
        <v>0</v>
      </c>
      <c r="BT73" s="41">
        <f t="shared" si="1108"/>
        <v>0</v>
      </c>
      <c r="BU73" s="41">
        <f t="shared" si="1109"/>
        <v>0</v>
      </c>
      <c r="BV73" s="41">
        <f t="shared" ref="BV73:BX73" si="1110">ROUND(SUM(IF(AND(EP$12&lt;&gt;"",EP$14&lt;&gt;""),IF(EOMONTH($EP$3+INT((DAY(EOMONTH($EP$3,0))-1)/2)+EP$14,0)=EOMONTH($BV$3,0),EP$12*EP$13,0),0),IF(AND(EL$12&lt;&gt;"",EL$14&lt;&gt;""),IF(EOMONTH($EL$3+INT((DAY(EOMONTH($EL$3,0))-1)/2)+EL$14,0)=EOMONTH($BV$3,0),EL$12*EL$13,0),0),IF(AND(EH$12&lt;&gt;"",EH$14&lt;&gt;""),IF(EOMONTH($EH$3+INT((DAY(EOMONTH($EH$3,0))-1)/2)+EH$14,0)=EOMONTH($BV$3,0),EH$12*EH$13,0),0),IF(AND(ED$12&lt;&gt;"",ED$14&lt;&gt;""),IF(EOMONTH($ED$3+INT((DAY(EOMONTH($ED$3,0))-1)/2)+ED$14,0)=EOMONTH($BV$3,0),ED$12*ED$13,0),0),IF(AND(DZ$12&lt;&gt;"",DZ$14&lt;&gt;""),IF(EOMONTH($DZ$3+INT((DAY(EOMONTH($DZ$3,0))-1)/2)+DZ$14,0)=EOMONTH($BV$3,0),DZ$12*DZ$13,0),0),IF(AND(DV$12&lt;&gt;"",DV$14&lt;&gt;""),IF(EOMONTH($DV$3+INT((DAY(EOMONTH($DV$3,0))-1)/2)+DV$14,0)=EOMONTH($BV$3,0),DV$12*DV$13,0),0),IF(AND(DR$12&lt;&gt;"",DR$14&lt;&gt;""),IF(EOMONTH($DR$3+INT((DAY(EOMONTH($DR$3,0))-1)/2)+DR$14,0)=EOMONTH($BV$3,0),DR$12*DR$13,0),0),IF(AND(DN$12&lt;&gt;"",DN$14&lt;&gt;""),IF(EOMONTH($DN$3+INT((DAY(EOMONTH($DN$3,0))-1)/2)+DN$14,0)=EOMONTH($BV$3,0),DN$12*DN$13,0),0),IF(AND(DJ$12&lt;&gt;"",DJ$14&lt;&gt;""),IF(EOMONTH($DJ$3+INT((DAY(EOMONTH($DJ$3,0))-1)/2)+DJ$14,0)=EOMONTH($BV$3,0),DJ$12*DJ$13,0),0),IF(AND(DF$12&lt;&gt;"",DF$14&lt;&gt;""),IF(EOMONTH($DF$3+INT((DAY(EOMONTH($DF$3,0))-1)/2)+DF$14,0)=EOMONTH($BV$3,0),DF$12*DF$13,0),0),IF(AND(DB$12&lt;&gt;"",DB$14&lt;&gt;""),IF(EOMONTH($DB$3+INT((DAY(EOMONTH($DB$3,0))-1)/2)+DB$14,0)=EOMONTH($BV$3,0),DB$12*DB$13,0),0),IF(AND(CX$12&lt;&gt;"",CX$14&lt;&gt;""),IF(EOMONTH($CX$3+INT((DAY(EOMONTH($CX$3,0))-1)/2)+CX$14,0)=EOMONTH($BV$3,0),CX$12*CX$13,0),0),IF(AND(CT$12&lt;&gt;"",CT$14&lt;&gt;""),IF(EOMONTH($CT$3+INT((DAY(EOMONTH($CT$3,0))-1)/2)+CT$14,0)=EOMONTH($BV$3,0),CT$12*CT$13,0),0),IF(AND(CP$12&lt;&gt;"",CP$14&lt;&gt;""),IF(EOMONTH($CP$3+INT((DAY(EOMONTH($CP$3,0))-1)/2)+CP$14,0)=EOMONTH($BV$3,0),CP$12*CP$13,0),0),IF(AND(CL$12&lt;&gt;"",CL$14&lt;&gt;""),IF(EOMONTH($CL$3+INT((DAY(EOMONTH($CL$3,0))-1)/2)+CL$14,0)=EOMONTH($BV$3,0),CL$12*CL$13,0),0),IF(AND(CH$12&lt;&gt;"",CH$14&lt;&gt;""),IF(EOMONTH($CH$3+INT((DAY(EOMONTH($CH$3,0))-1)/2)+CH$14,0)=EOMONTH($BV$3,0),CH$12*CH$13,0),0),IF(AND(CD$12&lt;&gt;"",CD$14&lt;&gt;""),IF(EOMONTH($CD$3+INT((DAY(EOMONTH($CD$3,0))-1)/2)+CD$14,0)=EOMONTH($BV$3,0),CD$12*CD$13,0),0),IF(AND(BZ$12&lt;&gt;"",BZ$14&lt;&gt;""),IF(EOMONTH($BZ$3+INT((DAY(EOMONTH($BZ$3,0))-1)/2)+BZ$14,0)=EOMONTH($BV$3,0),BZ$12*BZ$13,0),0),IF(AND(BV$12&lt;&gt;"",BV$14&lt;&gt;""),IF(EOMONTH($BV$3+INT((DAY(EOMONTH($BV$3,0))-1)/2)+BV$14,0)=EOMONTH($BV$3,0),BV$12*BV$13,0),0),IF(AND(BR$12&lt;&gt;"",BR$14&lt;&gt;""),IF(EOMONTH($BR$3+INT((DAY(EOMONTH($BR$3,0))-1)/2)+BR$14,0)=EOMONTH($BV$3,0),BR$12*BR$13,0),0),IF(AND(BN$12&lt;&gt;"",BN$14&lt;&gt;""),IF(EOMONTH($BN$3+INT((DAY(EOMONTH($BN$3,0))-1)/2)+BN$14,0)=EOMONTH($BV$3,0),BN$12*BN$13,0),0),IF(AND(BJ$12&lt;&gt;"",BJ$14&lt;&gt;""),IF(EOMONTH($BJ$3+INT((DAY(EOMONTH($BJ$3,0))-1)/2)+BJ$14,0)=EOMONTH($BV$3,0),BJ$12*BJ$13,0),0),IF(AND(BF$12&lt;&gt;"",BF$14&lt;&gt;""),IF(EOMONTH($BF$3+INT((DAY(EOMONTH($BF$3,0))-1)/2)+BF$14,0)=EOMONTH($BV$3,0),BF$12*BF$13,0),0),IF(AND(BB$12&lt;&gt;"",BB$14&lt;&gt;""),IF(EOMONTH($BB$3+INT((DAY(EOMONTH($BB$3,0))-1)/2)+BB$14,0)=EOMONTH($BV$3,0),BB$12*BB$13,0),0),IF(AND(AX$12&lt;&gt;"",AX$14&lt;&gt;""),IF(EOMONTH($AX$3+INT((DAY(EOMONTH($AX$3,0))-1)/2)+AX$14,0)=EOMONTH($BV$3,0),AX$12*AX$13,0),0),IF(AND(AT$12&lt;&gt;"",AT$14&lt;&gt;""),IF(EOMONTH($AT$3+INT((DAY(EOMONTH($AT$3,0))-1)/2)+AT$14,0)=EOMONTH($BV$3,0),AT$12*AT$13,0),0),IF(AND(AP$12&lt;&gt;"",AP$14&lt;&gt;""),IF(EOMONTH($AP$3+INT((DAY(EOMONTH($AP$3,0))-1)/2)+AP$14,0)=EOMONTH($BV$3,0),AP$12*AP$13,0),0),IF(AND(AL$12&lt;&gt;"",AL$14&lt;&gt;""),IF(EOMONTH($AL$3+INT((DAY(EOMONTH($AL$3,0))-1)/2)+AL$14,0)=EOMONTH($BV$3,0),AL$12*AL$13,0),0),IF(AND(AH$12&lt;&gt;"",AH$14&lt;&gt;""),IF(EOMONTH($AH$3+INT((DAY(EOMONTH($AH$3,0))-1)/2)+AH$14,0)=EOMONTH($BV$3,0),AH$12*AH$13,0),0),IF(AND(AD$12&lt;&gt;"",AD$14&lt;&gt;""),IF(EOMONTH($AD$3+INT((DAY(EOMONTH($AD$3,0))-1)/2)+AD$14,0)=EOMONTH($BV$3,0),AD$12*AD$13,0),0),IF(AND(Z$12&lt;&gt;"",Z$14&lt;&gt;""),IF(EOMONTH($Z$3+INT((DAY(EOMONTH($Z$3,0))-1)/2)+Z$14,0)=EOMONTH($BV$3,0),Z$12*Z$13,0),0),IF(AND(V$12&lt;&gt;"",V$14&lt;&gt;""),IF(EOMONTH($V$3+INT((DAY(EOMONTH($V$3,0))-1)/2)+V$14,0)=EOMONTH($BV$3,0),V$12*V$13,0),0),IF(AND(R$12&lt;&gt;"",R$14&lt;&gt;""),IF(EOMONTH($R$3+INT((DAY(EOMONTH($R$3,0))-1)/2)+R$14,0)=EOMONTH($BV$3,0),R$12*R$13,0),0),IF(AND(N$12&lt;&gt;"",N$14&lt;&gt;""),IF(EOMONTH($N$3+INT((DAY(EOMONTH($N$3,0))-1)/2)+N$14,0)=EOMONTH($BV$3,0),N$12*N$13,0),0),IF(AND(J$12&lt;&gt;"",J$14&lt;&gt;""),IF(EOMONTH($J$3+INT((DAY(EOMONTH($J$3,0))-1)/2)+J$14,0)=EOMONTH($BV$3,0),J$12*J$13,0),0),IF(AND(F$12&lt;&gt;"",F$14&lt;&gt;""),IF(EOMONTH($F$3+INT((DAY(EOMONTH($F$3,0))-1)/2)+F$14,0)=EOMONTH($BV$3,0),F$12*F$13,0),0),IF($EP$75="",0,IF(EOMONTH($EP$75+EP$14,0)=EOMONTH($BV$3,0),$EP$77*EP$13,0))),0)</f>
        <v>0</v>
      </c>
      <c r="BW73" s="41">
        <f t="shared" si="1110"/>
        <v>0</v>
      </c>
      <c r="BX73" s="41">
        <f t="shared" si="1110"/>
        <v>0</v>
      </c>
      <c r="BY73" s="41">
        <f t="shared" si="1111"/>
        <v>0</v>
      </c>
      <c r="BZ73" s="41">
        <f t="shared" ref="BZ73:CB73" si="1112">ROUND(SUM(IF(AND(EP$12&lt;&gt;"",EP$14&lt;&gt;""),IF(EOMONTH($EP$3+INT((DAY(EOMONTH($EP$3,0))-1)/2)+EP$14,0)=EOMONTH($BZ$3,0),EP$12*EP$13,0),0),IF(AND(EL$12&lt;&gt;"",EL$14&lt;&gt;""),IF(EOMONTH($EL$3+INT((DAY(EOMONTH($EL$3,0))-1)/2)+EL$14,0)=EOMONTH($BZ$3,0),EL$12*EL$13,0),0),IF(AND(EH$12&lt;&gt;"",EH$14&lt;&gt;""),IF(EOMONTH($EH$3+INT((DAY(EOMONTH($EH$3,0))-1)/2)+EH$14,0)=EOMONTH($BZ$3,0),EH$12*EH$13,0),0),IF(AND(ED$12&lt;&gt;"",ED$14&lt;&gt;""),IF(EOMONTH($ED$3+INT((DAY(EOMONTH($ED$3,0))-1)/2)+ED$14,0)=EOMONTH($BZ$3,0),ED$12*ED$13,0),0),IF(AND(DZ$12&lt;&gt;"",DZ$14&lt;&gt;""),IF(EOMONTH($DZ$3+INT((DAY(EOMONTH($DZ$3,0))-1)/2)+DZ$14,0)=EOMONTH($BZ$3,0),DZ$12*DZ$13,0),0),IF(AND(DV$12&lt;&gt;"",DV$14&lt;&gt;""),IF(EOMONTH($DV$3+INT((DAY(EOMONTH($DV$3,0))-1)/2)+DV$14,0)=EOMONTH($BZ$3,0),DV$12*DV$13,0),0),IF(AND(DR$12&lt;&gt;"",DR$14&lt;&gt;""),IF(EOMONTH($DR$3+INT((DAY(EOMONTH($DR$3,0))-1)/2)+DR$14,0)=EOMONTH($BZ$3,0),DR$12*DR$13,0),0),IF(AND(DN$12&lt;&gt;"",DN$14&lt;&gt;""),IF(EOMONTH($DN$3+INT((DAY(EOMONTH($DN$3,0))-1)/2)+DN$14,0)=EOMONTH($BZ$3,0),DN$12*DN$13,0),0),IF(AND(DJ$12&lt;&gt;"",DJ$14&lt;&gt;""),IF(EOMONTH($DJ$3+INT((DAY(EOMONTH($DJ$3,0))-1)/2)+DJ$14,0)=EOMONTH($BZ$3,0),DJ$12*DJ$13,0),0),IF(AND(DF$12&lt;&gt;"",DF$14&lt;&gt;""),IF(EOMONTH($DF$3+INT((DAY(EOMONTH($DF$3,0))-1)/2)+DF$14,0)=EOMONTH($BZ$3,0),DF$12*DF$13,0),0),IF(AND(DB$12&lt;&gt;"",DB$14&lt;&gt;""),IF(EOMONTH($DB$3+INT((DAY(EOMONTH($DB$3,0))-1)/2)+DB$14,0)=EOMONTH($BZ$3,0),DB$12*DB$13,0),0),IF(AND(CX$12&lt;&gt;"",CX$14&lt;&gt;""),IF(EOMONTH($CX$3+INT((DAY(EOMONTH($CX$3,0))-1)/2)+CX$14,0)=EOMONTH($BZ$3,0),CX$12*CX$13,0),0),IF(AND(CT$12&lt;&gt;"",CT$14&lt;&gt;""),IF(EOMONTH($CT$3+INT((DAY(EOMONTH($CT$3,0))-1)/2)+CT$14,0)=EOMONTH($BZ$3,0),CT$12*CT$13,0),0),IF(AND(CP$12&lt;&gt;"",CP$14&lt;&gt;""),IF(EOMONTH($CP$3+INT((DAY(EOMONTH($CP$3,0))-1)/2)+CP$14,0)=EOMONTH($BZ$3,0),CP$12*CP$13,0),0),IF(AND(CL$12&lt;&gt;"",CL$14&lt;&gt;""),IF(EOMONTH($CL$3+INT((DAY(EOMONTH($CL$3,0))-1)/2)+CL$14,0)=EOMONTH($BZ$3,0),CL$12*CL$13,0),0),IF(AND(CH$12&lt;&gt;"",CH$14&lt;&gt;""),IF(EOMONTH($CH$3+INT((DAY(EOMONTH($CH$3,0))-1)/2)+CH$14,0)=EOMONTH($BZ$3,0),CH$12*CH$13,0),0),IF(AND(CD$12&lt;&gt;"",CD$14&lt;&gt;""),IF(EOMONTH($CD$3+INT((DAY(EOMONTH($CD$3,0))-1)/2)+CD$14,0)=EOMONTH($BZ$3,0),CD$12*CD$13,0),0),IF(AND(BZ$12&lt;&gt;"",BZ$14&lt;&gt;""),IF(EOMONTH($BZ$3+INT((DAY(EOMONTH($BZ$3,0))-1)/2)+BZ$14,0)=EOMONTH($BZ$3,0),BZ$12*BZ$13,0),0),IF(AND(BV$12&lt;&gt;"",BV$14&lt;&gt;""),IF(EOMONTH($BV$3+INT((DAY(EOMONTH($BV$3,0))-1)/2)+BV$14,0)=EOMONTH($BZ$3,0),BV$12*BV$13,0),0),IF(AND(BR$12&lt;&gt;"",BR$14&lt;&gt;""),IF(EOMONTH($BR$3+INT((DAY(EOMONTH($BR$3,0))-1)/2)+BR$14,0)=EOMONTH($BZ$3,0),BR$12*BR$13,0),0),IF(AND(BN$12&lt;&gt;"",BN$14&lt;&gt;""),IF(EOMONTH($BN$3+INT((DAY(EOMONTH($BN$3,0))-1)/2)+BN$14,0)=EOMONTH($BZ$3,0),BN$12*BN$13,0),0),IF(AND(BJ$12&lt;&gt;"",BJ$14&lt;&gt;""),IF(EOMONTH($BJ$3+INT((DAY(EOMONTH($BJ$3,0))-1)/2)+BJ$14,0)=EOMONTH($BZ$3,0),BJ$12*BJ$13,0),0),IF(AND(BF$12&lt;&gt;"",BF$14&lt;&gt;""),IF(EOMONTH($BF$3+INT((DAY(EOMONTH($BF$3,0))-1)/2)+BF$14,0)=EOMONTH($BZ$3,0),BF$12*BF$13,0),0),IF(AND(BB$12&lt;&gt;"",BB$14&lt;&gt;""),IF(EOMONTH($BB$3+INT((DAY(EOMONTH($BB$3,0))-1)/2)+BB$14,0)=EOMONTH($BZ$3,0),BB$12*BB$13,0),0),IF(AND(AX$12&lt;&gt;"",AX$14&lt;&gt;""),IF(EOMONTH($AX$3+INT((DAY(EOMONTH($AX$3,0))-1)/2)+AX$14,0)=EOMONTH($BZ$3,0),AX$12*AX$13,0),0),IF(AND(AT$12&lt;&gt;"",AT$14&lt;&gt;""),IF(EOMONTH($AT$3+INT((DAY(EOMONTH($AT$3,0))-1)/2)+AT$14,0)=EOMONTH($BZ$3,0),AT$12*AT$13,0),0),IF(AND(AP$12&lt;&gt;"",AP$14&lt;&gt;""),IF(EOMONTH($AP$3+INT((DAY(EOMONTH($AP$3,0))-1)/2)+AP$14,0)=EOMONTH($BZ$3,0),AP$12*AP$13,0),0),IF(AND(AL$12&lt;&gt;"",AL$14&lt;&gt;""),IF(EOMONTH($AL$3+INT((DAY(EOMONTH($AL$3,0))-1)/2)+AL$14,0)=EOMONTH($BZ$3,0),AL$12*AL$13,0),0),IF(AND(AH$12&lt;&gt;"",AH$14&lt;&gt;""),IF(EOMONTH($AH$3+INT((DAY(EOMONTH($AH$3,0))-1)/2)+AH$14,0)=EOMONTH($BZ$3,0),AH$12*AH$13,0),0),IF(AND(AD$12&lt;&gt;"",AD$14&lt;&gt;""),IF(EOMONTH($AD$3+INT((DAY(EOMONTH($AD$3,0))-1)/2)+AD$14,0)=EOMONTH($BZ$3,0),AD$12*AD$13,0),0),IF(AND(Z$12&lt;&gt;"",Z$14&lt;&gt;""),IF(EOMONTH($Z$3+INT((DAY(EOMONTH($Z$3,0))-1)/2)+Z$14,0)=EOMONTH($BZ$3,0),Z$12*Z$13,0),0),IF(AND(V$12&lt;&gt;"",V$14&lt;&gt;""),IF(EOMONTH($V$3+INT((DAY(EOMONTH($V$3,0))-1)/2)+V$14,0)=EOMONTH($BZ$3,0),V$12*V$13,0),0),IF(AND(R$12&lt;&gt;"",R$14&lt;&gt;""),IF(EOMONTH($R$3+INT((DAY(EOMONTH($R$3,0))-1)/2)+R$14,0)=EOMONTH($BZ$3,0),R$12*R$13,0),0),IF(AND(N$12&lt;&gt;"",N$14&lt;&gt;""),IF(EOMONTH($N$3+INT((DAY(EOMONTH($N$3,0))-1)/2)+N$14,0)=EOMONTH($BZ$3,0),N$12*N$13,0),0),IF(AND(J$12&lt;&gt;"",J$14&lt;&gt;""),IF(EOMONTH($J$3+INT((DAY(EOMONTH($J$3,0))-1)/2)+J$14,0)=EOMONTH($BZ$3,0),J$12*J$13,0),0),IF(AND(F$12&lt;&gt;"",F$14&lt;&gt;""),IF(EOMONTH($F$3+INT((DAY(EOMONTH($F$3,0))-1)/2)+F$14,0)=EOMONTH($BZ$3,0),F$12*F$13,0),0),IF($EP$75="",0,IF(EOMONTH($EP$75+EP$14,0)=EOMONTH($BZ$3,0),$EP$77*EP$13,0))),0)</f>
        <v>0</v>
      </c>
      <c r="CA73" s="41">
        <f t="shared" si="1112"/>
        <v>0</v>
      </c>
      <c r="CB73" s="41">
        <f t="shared" si="1112"/>
        <v>0</v>
      </c>
      <c r="CC73" s="41">
        <f t="shared" si="1113"/>
        <v>0</v>
      </c>
      <c r="CD73" s="41">
        <f t="shared" ref="CD73:CF73" si="1114">ROUND(SUM(IF(AND(EP$12&lt;&gt;"",EP$14&lt;&gt;""),IF(EOMONTH($EP$3+INT((DAY(EOMONTH($EP$3,0))-1)/2)+EP$14,0)=EOMONTH($CD$3,0),EP$12*EP$13,0),0),IF(AND(EL$12&lt;&gt;"",EL$14&lt;&gt;""),IF(EOMONTH($EL$3+INT((DAY(EOMONTH($EL$3,0))-1)/2)+EL$14,0)=EOMONTH($CD$3,0),EL$12*EL$13,0),0),IF(AND(EH$12&lt;&gt;"",EH$14&lt;&gt;""),IF(EOMONTH($EH$3+INT((DAY(EOMONTH($EH$3,0))-1)/2)+EH$14,0)=EOMONTH($CD$3,0),EH$12*EH$13,0),0),IF(AND(ED$12&lt;&gt;"",ED$14&lt;&gt;""),IF(EOMONTH($ED$3+INT((DAY(EOMONTH($ED$3,0))-1)/2)+ED$14,0)=EOMONTH($CD$3,0),ED$12*ED$13,0),0),IF(AND(DZ$12&lt;&gt;"",DZ$14&lt;&gt;""),IF(EOMONTH($DZ$3+INT((DAY(EOMONTH($DZ$3,0))-1)/2)+DZ$14,0)=EOMONTH($CD$3,0),DZ$12*DZ$13,0),0),IF(AND(DV$12&lt;&gt;"",DV$14&lt;&gt;""),IF(EOMONTH($DV$3+INT((DAY(EOMONTH($DV$3,0))-1)/2)+DV$14,0)=EOMONTH($CD$3,0),DV$12*DV$13,0),0),IF(AND(DR$12&lt;&gt;"",DR$14&lt;&gt;""),IF(EOMONTH($DR$3+INT((DAY(EOMONTH($DR$3,0))-1)/2)+DR$14,0)=EOMONTH($CD$3,0),DR$12*DR$13,0),0),IF(AND(DN$12&lt;&gt;"",DN$14&lt;&gt;""),IF(EOMONTH($DN$3+INT((DAY(EOMONTH($DN$3,0))-1)/2)+DN$14,0)=EOMONTH($CD$3,0),DN$12*DN$13,0),0),IF(AND(DJ$12&lt;&gt;"",DJ$14&lt;&gt;""),IF(EOMONTH($DJ$3+INT((DAY(EOMONTH($DJ$3,0))-1)/2)+DJ$14,0)=EOMONTH($CD$3,0),DJ$12*DJ$13,0),0),IF(AND(DF$12&lt;&gt;"",DF$14&lt;&gt;""),IF(EOMONTH($DF$3+INT((DAY(EOMONTH($DF$3,0))-1)/2)+DF$14,0)=EOMONTH($CD$3,0),DF$12*DF$13,0),0),IF(AND(DB$12&lt;&gt;"",DB$14&lt;&gt;""),IF(EOMONTH($DB$3+INT((DAY(EOMONTH($DB$3,0))-1)/2)+DB$14,0)=EOMONTH($CD$3,0),DB$12*DB$13,0),0),IF(AND(CX$12&lt;&gt;"",CX$14&lt;&gt;""),IF(EOMONTH($CX$3+INT((DAY(EOMONTH($CX$3,0))-1)/2)+CX$14,0)=EOMONTH($CD$3,0),CX$12*CX$13,0),0),IF(AND(CT$12&lt;&gt;"",CT$14&lt;&gt;""),IF(EOMONTH($CT$3+INT((DAY(EOMONTH($CT$3,0))-1)/2)+CT$14,0)=EOMONTH($CD$3,0),CT$12*CT$13,0),0),IF(AND(CP$12&lt;&gt;"",CP$14&lt;&gt;""),IF(EOMONTH($CP$3+INT((DAY(EOMONTH($CP$3,0))-1)/2)+CP$14,0)=EOMONTH($CD$3,0),CP$12*CP$13,0),0),IF(AND(CL$12&lt;&gt;"",CL$14&lt;&gt;""),IF(EOMONTH($CL$3+INT((DAY(EOMONTH($CL$3,0))-1)/2)+CL$14,0)=EOMONTH($CD$3,0),CL$12*CL$13,0),0),IF(AND(CH$12&lt;&gt;"",CH$14&lt;&gt;""),IF(EOMONTH($CH$3+INT((DAY(EOMONTH($CH$3,0))-1)/2)+CH$14,0)=EOMONTH($CD$3,0),CH$12*CH$13,0),0),IF(AND(CD$12&lt;&gt;"",CD$14&lt;&gt;""),IF(EOMONTH($CD$3+INT((DAY(EOMONTH($CD$3,0))-1)/2)+CD$14,0)=EOMONTH($CD$3,0),CD$12*CD$13,0),0),IF(AND(BZ$12&lt;&gt;"",BZ$14&lt;&gt;""),IF(EOMONTH($BZ$3+INT((DAY(EOMONTH($BZ$3,0))-1)/2)+BZ$14,0)=EOMONTH($CD$3,0),BZ$12*BZ$13,0),0),IF(AND(BV$12&lt;&gt;"",BV$14&lt;&gt;""),IF(EOMONTH($BV$3+INT((DAY(EOMONTH($BV$3,0))-1)/2)+BV$14,0)=EOMONTH($CD$3,0),BV$12*BV$13,0),0),IF(AND(BR$12&lt;&gt;"",BR$14&lt;&gt;""),IF(EOMONTH($BR$3+INT((DAY(EOMONTH($BR$3,0))-1)/2)+BR$14,0)=EOMONTH($CD$3,0),BR$12*BR$13,0),0),IF(AND(BN$12&lt;&gt;"",BN$14&lt;&gt;""),IF(EOMONTH($BN$3+INT((DAY(EOMONTH($BN$3,0))-1)/2)+BN$14,0)=EOMONTH($CD$3,0),BN$12*BN$13,0),0),IF(AND(BJ$12&lt;&gt;"",BJ$14&lt;&gt;""),IF(EOMONTH($BJ$3+INT((DAY(EOMONTH($BJ$3,0))-1)/2)+BJ$14,0)=EOMONTH($CD$3,0),BJ$12*BJ$13,0),0),IF(AND(BF$12&lt;&gt;"",BF$14&lt;&gt;""),IF(EOMONTH($BF$3+INT((DAY(EOMONTH($BF$3,0))-1)/2)+BF$14,0)=EOMONTH($CD$3,0),BF$12*BF$13,0),0),IF(AND(BB$12&lt;&gt;"",BB$14&lt;&gt;""),IF(EOMONTH($BB$3+INT((DAY(EOMONTH($BB$3,0))-1)/2)+BB$14,0)=EOMONTH($CD$3,0),BB$12*BB$13,0),0),IF(AND(AX$12&lt;&gt;"",AX$14&lt;&gt;""),IF(EOMONTH($AX$3+INT((DAY(EOMONTH($AX$3,0))-1)/2)+AX$14,0)=EOMONTH($CD$3,0),AX$12*AX$13,0),0),IF(AND(AT$12&lt;&gt;"",AT$14&lt;&gt;""),IF(EOMONTH($AT$3+INT((DAY(EOMONTH($AT$3,0))-1)/2)+AT$14,0)=EOMONTH($CD$3,0),AT$12*AT$13,0),0),IF(AND(AP$12&lt;&gt;"",AP$14&lt;&gt;""),IF(EOMONTH($AP$3+INT((DAY(EOMONTH($AP$3,0))-1)/2)+AP$14,0)=EOMONTH($CD$3,0),AP$12*AP$13,0),0),IF(AND(AL$12&lt;&gt;"",AL$14&lt;&gt;""),IF(EOMONTH($AL$3+INT((DAY(EOMONTH($AL$3,0))-1)/2)+AL$14,0)=EOMONTH($CD$3,0),AL$12*AL$13,0),0),IF(AND(AH$12&lt;&gt;"",AH$14&lt;&gt;""),IF(EOMONTH($AH$3+INT((DAY(EOMONTH($AH$3,0))-1)/2)+AH$14,0)=EOMONTH($CD$3,0),AH$12*AH$13,0),0),IF(AND(AD$12&lt;&gt;"",AD$14&lt;&gt;""),IF(EOMONTH($AD$3+INT((DAY(EOMONTH($AD$3,0))-1)/2)+AD$14,0)=EOMONTH($CD$3,0),AD$12*AD$13,0),0),IF(AND(Z$12&lt;&gt;"",Z$14&lt;&gt;""),IF(EOMONTH($Z$3+INT((DAY(EOMONTH($Z$3,0))-1)/2)+Z$14,0)=EOMONTH($CD$3,0),Z$12*Z$13,0),0),IF(AND(V$12&lt;&gt;"",V$14&lt;&gt;""),IF(EOMONTH($V$3+INT((DAY(EOMONTH($V$3,0))-1)/2)+V$14,0)=EOMONTH($CD$3,0),V$12*V$13,0),0),IF(AND(R$12&lt;&gt;"",R$14&lt;&gt;""),IF(EOMONTH($R$3+INT((DAY(EOMONTH($R$3,0))-1)/2)+R$14,0)=EOMONTH($CD$3,0),R$12*R$13,0),0),IF(AND(N$12&lt;&gt;"",N$14&lt;&gt;""),IF(EOMONTH($N$3+INT((DAY(EOMONTH($N$3,0))-1)/2)+N$14,0)=EOMONTH($CD$3,0),N$12*N$13,0),0),IF(AND(J$12&lt;&gt;"",J$14&lt;&gt;""),IF(EOMONTH($J$3+INT((DAY(EOMONTH($J$3,0))-1)/2)+J$14,0)=EOMONTH($CD$3,0),J$12*J$13,0),0),IF(AND(F$12&lt;&gt;"",F$14&lt;&gt;""),IF(EOMONTH($F$3+INT((DAY(EOMONTH($F$3,0))-1)/2)+F$14,0)=EOMONTH($CD$3,0),F$12*F$13,0),0),IF($EP$75="",0,IF(EOMONTH($EP$75+EP$14,0)=EOMONTH($CD$3,0),$EP$77*EP$13,0))),0)</f>
        <v>0</v>
      </c>
      <c r="CE73" s="41">
        <f t="shared" si="1114"/>
        <v>0</v>
      </c>
      <c r="CF73" s="41">
        <f t="shared" si="1114"/>
        <v>0</v>
      </c>
      <c r="CG73" s="41">
        <f t="shared" si="1115"/>
        <v>0</v>
      </c>
      <c r="CH73" s="41">
        <f t="shared" ref="CH73:CJ73" si="1116">ROUND(SUM(IF(AND(EP$12&lt;&gt;"",EP$14&lt;&gt;""),IF(EOMONTH($EP$3+INT((DAY(EOMONTH($EP$3,0))-1)/2)+EP$14,0)=EOMONTH($CH$3,0),EP$12*EP$13,0),0),IF(AND(EL$12&lt;&gt;"",EL$14&lt;&gt;""),IF(EOMONTH($EL$3+INT((DAY(EOMONTH($EL$3,0))-1)/2)+EL$14,0)=EOMONTH($CH$3,0),EL$12*EL$13,0),0),IF(AND(EH$12&lt;&gt;"",EH$14&lt;&gt;""),IF(EOMONTH($EH$3+INT((DAY(EOMONTH($EH$3,0))-1)/2)+EH$14,0)=EOMONTH($CH$3,0),EH$12*EH$13,0),0),IF(AND(ED$12&lt;&gt;"",ED$14&lt;&gt;""),IF(EOMONTH($ED$3+INT((DAY(EOMONTH($ED$3,0))-1)/2)+ED$14,0)=EOMONTH($CH$3,0),ED$12*ED$13,0),0),IF(AND(DZ$12&lt;&gt;"",DZ$14&lt;&gt;""),IF(EOMONTH($DZ$3+INT((DAY(EOMONTH($DZ$3,0))-1)/2)+DZ$14,0)=EOMONTH($CH$3,0),DZ$12*DZ$13,0),0),IF(AND(DV$12&lt;&gt;"",DV$14&lt;&gt;""),IF(EOMONTH($DV$3+INT((DAY(EOMONTH($DV$3,0))-1)/2)+DV$14,0)=EOMONTH($CH$3,0),DV$12*DV$13,0),0),IF(AND(DR$12&lt;&gt;"",DR$14&lt;&gt;""),IF(EOMONTH($DR$3+INT((DAY(EOMONTH($DR$3,0))-1)/2)+DR$14,0)=EOMONTH($CH$3,0),DR$12*DR$13,0),0),IF(AND(DN$12&lt;&gt;"",DN$14&lt;&gt;""),IF(EOMONTH($DN$3+INT((DAY(EOMONTH($DN$3,0))-1)/2)+DN$14,0)=EOMONTH($CH$3,0),DN$12*DN$13,0),0),IF(AND(DJ$12&lt;&gt;"",DJ$14&lt;&gt;""),IF(EOMONTH($DJ$3+INT((DAY(EOMONTH($DJ$3,0))-1)/2)+DJ$14,0)=EOMONTH($CH$3,0),DJ$12*DJ$13,0),0),IF(AND(DF$12&lt;&gt;"",DF$14&lt;&gt;""),IF(EOMONTH($DF$3+INT((DAY(EOMONTH($DF$3,0))-1)/2)+DF$14,0)=EOMONTH($CH$3,0),DF$12*DF$13,0),0),IF(AND(DB$12&lt;&gt;"",DB$14&lt;&gt;""),IF(EOMONTH($DB$3+INT((DAY(EOMONTH($DB$3,0))-1)/2)+DB$14,0)=EOMONTH($CH$3,0),DB$12*DB$13,0),0),IF(AND(CX$12&lt;&gt;"",CX$14&lt;&gt;""),IF(EOMONTH($CX$3+INT((DAY(EOMONTH($CX$3,0))-1)/2)+CX$14,0)=EOMONTH($CH$3,0),CX$12*CX$13,0),0),IF(AND(CT$12&lt;&gt;"",CT$14&lt;&gt;""),IF(EOMONTH($CT$3+INT((DAY(EOMONTH($CT$3,0))-1)/2)+CT$14,0)=EOMONTH($CH$3,0),CT$12*CT$13,0),0),IF(AND(CP$12&lt;&gt;"",CP$14&lt;&gt;""),IF(EOMONTH($CP$3+INT((DAY(EOMONTH($CP$3,0))-1)/2)+CP$14,0)=EOMONTH($CH$3,0),CP$12*CP$13,0),0),IF(AND(CL$12&lt;&gt;"",CL$14&lt;&gt;""),IF(EOMONTH($CL$3+INT((DAY(EOMONTH($CL$3,0))-1)/2)+CL$14,0)=EOMONTH($CH$3,0),CL$12*CL$13,0),0),IF(AND(CH$12&lt;&gt;"",CH$14&lt;&gt;""),IF(EOMONTH($CH$3+INT((DAY(EOMONTH($CH$3,0))-1)/2)+CH$14,0)=EOMONTH($CH$3,0),CH$12*CH$13,0),0),IF(AND(CD$12&lt;&gt;"",CD$14&lt;&gt;""),IF(EOMONTH($CD$3+INT((DAY(EOMONTH($CD$3,0))-1)/2)+CD$14,0)=EOMONTH($CH$3,0),CD$12*CD$13,0),0),IF(AND(BZ$12&lt;&gt;"",BZ$14&lt;&gt;""),IF(EOMONTH($BZ$3+INT((DAY(EOMONTH($BZ$3,0))-1)/2)+BZ$14,0)=EOMONTH($CH$3,0),BZ$12*BZ$13,0),0),IF(AND(BV$12&lt;&gt;"",BV$14&lt;&gt;""),IF(EOMONTH($BV$3+INT((DAY(EOMONTH($BV$3,0))-1)/2)+BV$14,0)=EOMONTH($CH$3,0),BV$12*BV$13,0),0),IF(AND(BR$12&lt;&gt;"",BR$14&lt;&gt;""),IF(EOMONTH($BR$3+INT((DAY(EOMONTH($BR$3,0))-1)/2)+BR$14,0)=EOMONTH($CH$3,0),BR$12*BR$13,0),0),IF(AND(BN$12&lt;&gt;"",BN$14&lt;&gt;""),IF(EOMONTH($BN$3+INT((DAY(EOMONTH($BN$3,0))-1)/2)+BN$14,0)=EOMONTH($CH$3,0),BN$12*BN$13,0),0),IF(AND(BJ$12&lt;&gt;"",BJ$14&lt;&gt;""),IF(EOMONTH($BJ$3+INT((DAY(EOMONTH($BJ$3,0))-1)/2)+BJ$14,0)=EOMONTH($CH$3,0),BJ$12*BJ$13,0),0),IF(AND(BF$12&lt;&gt;"",BF$14&lt;&gt;""),IF(EOMONTH($BF$3+INT((DAY(EOMONTH($BF$3,0))-1)/2)+BF$14,0)=EOMONTH($CH$3,0),BF$12*BF$13,0),0),IF(AND(BB$12&lt;&gt;"",BB$14&lt;&gt;""),IF(EOMONTH($BB$3+INT((DAY(EOMONTH($BB$3,0))-1)/2)+BB$14,0)=EOMONTH($CH$3,0),BB$12*BB$13,0),0),IF(AND(AX$12&lt;&gt;"",AX$14&lt;&gt;""),IF(EOMONTH($AX$3+INT((DAY(EOMONTH($AX$3,0))-1)/2)+AX$14,0)=EOMONTH($CH$3,0),AX$12*AX$13,0),0),IF(AND(AT$12&lt;&gt;"",AT$14&lt;&gt;""),IF(EOMONTH($AT$3+INT((DAY(EOMONTH($AT$3,0))-1)/2)+AT$14,0)=EOMONTH($CH$3,0),AT$12*AT$13,0),0),IF(AND(AP$12&lt;&gt;"",AP$14&lt;&gt;""),IF(EOMONTH($AP$3+INT((DAY(EOMONTH($AP$3,0))-1)/2)+AP$14,0)=EOMONTH($CH$3,0),AP$12*AP$13,0),0),IF(AND(AL$12&lt;&gt;"",AL$14&lt;&gt;""),IF(EOMONTH($AL$3+INT((DAY(EOMONTH($AL$3,0))-1)/2)+AL$14,0)=EOMONTH($CH$3,0),AL$12*AL$13,0),0),IF(AND(AH$12&lt;&gt;"",AH$14&lt;&gt;""),IF(EOMONTH($AH$3+INT((DAY(EOMONTH($AH$3,0))-1)/2)+AH$14,0)=EOMONTH($CH$3,0),AH$12*AH$13,0),0),IF(AND(AD$12&lt;&gt;"",AD$14&lt;&gt;""),IF(EOMONTH($AD$3+INT((DAY(EOMONTH($AD$3,0))-1)/2)+AD$14,0)=EOMONTH($CH$3,0),AD$12*AD$13,0),0),IF(AND(Z$12&lt;&gt;"",Z$14&lt;&gt;""),IF(EOMONTH($Z$3+INT((DAY(EOMONTH($Z$3,0))-1)/2)+Z$14,0)=EOMONTH($CH$3,0),Z$12*Z$13,0),0),IF(AND(V$12&lt;&gt;"",V$14&lt;&gt;""),IF(EOMONTH($V$3+INT((DAY(EOMONTH($V$3,0))-1)/2)+V$14,0)=EOMONTH($CH$3,0),V$12*V$13,0),0),IF(AND(R$12&lt;&gt;"",R$14&lt;&gt;""),IF(EOMONTH($R$3+INT((DAY(EOMONTH($R$3,0))-1)/2)+R$14,0)=EOMONTH($CH$3,0),R$12*R$13,0),0),IF(AND(N$12&lt;&gt;"",N$14&lt;&gt;""),IF(EOMONTH($N$3+INT((DAY(EOMONTH($N$3,0))-1)/2)+N$14,0)=EOMONTH($CH$3,0),N$12*N$13,0),0),IF(AND(J$12&lt;&gt;"",J$14&lt;&gt;""),IF(EOMONTH($J$3+INT((DAY(EOMONTH($J$3,0))-1)/2)+J$14,0)=EOMONTH($CH$3,0),J$12*J$13,0),0),IF(AND(F$12&lt;&gt;"",F$14&lt;&gt;""),IF(EOMONTH($F$3+INT((DAY(EOMONTH($F$3,0))-1)/2)+F$14,0)=EOMONTH($CH$3,0),F$12*F$13,0),0),IF($EP$75="",0,IF(EOMONTH($EP$75+EP$14,0)=EOMONTH($CH$3,0),$EP$77*EP$13,0))),0)</f>
        <v>0</v>
      </c>
      <c r="CI73" s="41">
        <f t="shared" si="1116"/>
        <v>0</v>
      </c>
      <c r="CJ73" s="41">
        <f t="shared" si="1116"/>
        <v>0</v>
      </c>
      <c r="CK73" s="41">
        <f t="shared" si="1117"/>
        <v>0</v>
      </c>
      <c r="CL73" s="41">
        <f t="shared" ref="CL73:CN73" si="1118">ROUND(SUM(IF(AND(EP$12&lt;&gt;"",EP$14&lt;&gt;""),IF(EOMONTH($EP$3+INT((DAY(EOMONTH($EP$3,0))-1)/2)+EP$14,0)=EOMONTH($CL$3,0),EP$12*EP$13,0),0),IF(AND(EL$12&lt;&gt;"",EL$14&lt;&gt;""),IF(EOMONTH($EL$3+INT((DAY(EOMONTH($EL$3,0))-1)/2)+EL$14,0)=EOMONTH($CL$3,0),EL$12*EL$13,0),0),IF(AND(EH$12&lt;&gt;"",EH$14&lt;&gt;""),IF(EOMONTH($EH$3+INT((DAY(EOMONTH($EH$3,0))-1)/2)+EH$14,0)=EOMONTH($CL$3,0),EH$12*EH$13,0),0),IF(AND(ED$12&lt;&gt;"",ED$14&lt;&gt;""),IF(EOMONTH($ED$3+INT((DAY(EOMONTH($ED$3,0))-1)/2)+ED$14,0)=EOMONTH($CL$3,0),ED$12*ED$13,0),0),IF(AND(DZ$12&lt;&gt;"",DZ$14&lt;&gt;""),IF(EOMONTH($DZ$3+INT((DAY(EOMONTH($DZ$3,0))-1)/2)+DZ$14,0)=EOMONTH($CL$3,0),DZ$12*DZ$13,0),0),IF(AND(DV$12&lt;&gt;"",DV$14&lt;&gt;""),IF(EOMONTH($DV$3+INT((DAY(EOMONTH($DV$3,0))-1)/2)+DV$14,0)=EOMONTH($CL$3,0),DV$12*DV$13,0),0),IF(AND(DR$12&lt;&gt;"",DR$14&lt;&gt;""),IF(EOMONTH($DR$3+INT((DAY(EOMONTH($DR$3,0))-1)/2)+DR$14,0)=EOMONTH($CL$3,0),DR$12*DR$13,0),0),IF(AND(DN$12&lt;&gt;"",DN$14&lt;&gt;""),IF(EOMONTH($DN$3+INT((DAY(EOMONTH($DN$3,0))-1)/2)+DN$14,0)=EOMONTH($CL$3,0),DN$12*DN$13,0),0),IF(AND(DJ$12&lt;&gt;"",DJ$14&lt;&gt;""),IF(EOMONTH($DJ$3+INT((DAY(EOMONTH($DJ$3,0))-1)/2)+DJ$14,0)=EOMONTH($CL$3,0),DJ$12*DJ$13,0),0),IF(AND(DF$12&lt;&gt;"",DF$14&lt;&gt;""),IF(EOMONTH($DF$3+INT((DAY(EOMONTH($DF$3,0))-1)/2)+DF$14,0)=EOMONTH($CL$3,0),DF$12*DF$13,0),0),IF(AND(DB$12&lt;&gt;"",DB$14&lt;&gt;""),IF(EOMONTH($DB$3+INT((DAY(EOMONTH($DB$3,0))-1)/2)+DB$14,0)=EOMONTH($CL$3,0),DB$12*DB$13,0),0),IF(AND(CX$12&lt;&gt;"",CX$14&lt;&gt;""),IF(EOMONTH($CX$3+INT((DAY(EOMONTH($CX$3,0))-1)/2)+CX$14,0)=EOMONTH($CL$3,0),CX$12*CX$13,0),0),IF(AND(CT$12&lt;&gt;"",CT$14&lt;&gt;""),IF(EOMONTH($CT$3+INT((DAY(EOMONTH($CT$3,0))-1)/2)+CT$14,0)=EOMONTH($CL$3,0),CT$12*CT$13,0),0),IF(AND(CP$12&lt;&gt;"",CP$14&lt;&gt;""),IF(EOMONTH($CP$3+INT((DAY(EOMONTH($CP$3,0))-1)/2)+CP$14,0)=EOMONTH($CL$3,0),CP$12*CP$13,0),0),IF(AND(CL$12&lt;&gt;"",CL$14&lt;&gt;""),IF(EOMONTH($CL$3+INT((DAY(EOMONTH($CL$3,0))-1)/2)+CL$14,0)=EOMONTH($CL$3,0),CL$12*CL$13,0),0),IF(AND(CH$12&lt;&gt;"",CH$14&lt;&gt;""),IF(EOMONTH($CH$3+INT((DAY(EOMONTH($CH$3,0))-1)/2)+CH$14,0)=EOMONTH($CL$3,0),CH$12*CH$13,0),0),IF(AND(CD$12&lt;&gt;"",CD$14&lt;&gt;""),IF(EOMONTH($CD$3+INT((DAY(EOMONTH($CD$3,0))-1)/2)+CD$14,0)=EOMONTH($CL$3,0),CD$12*CD$13,0),0),IF(AND(BZ$12&lt;&gt;"",BZ$14&lt;&gt;""),IF(EOMONTH($BZ$3+INT((DAY(EOMONTH($BZ$3,0))-1)/2)+BZ$14,0)=EOMONTH($CL$3,0),BZ$12*BZ$13,0),0),IF(AND(BV$12&lt;&gt;"",BV$14&lt;&gt;""),IF(EOMONTH($BV$3+INT((DAY(EOMONTH($BV$3,0))-1)/2)+BV$14,0)=EOMONTH($CL$3,0),BV$12*BV$13,0),0),IF(AND(BR$12&lt;&gt;"",BR$14&lt;&gt;""),IF(EOMONTH($BR$3+INT((DAY(EOMONTH($BR$3,0))-1)/2)+BR$14,0)=EOMONTH($CL$3,0),BR$12*BR$13,0),0),IF(AND(BN$12&lt;&gt;"",BN$14&lt;&gt;""),IF(EOMONTH($BN$3+INT((DAY(EOMONTH($BN$3,0))-1)/2)+BN$14,0)=EOMONTH($CL$3,0),BN$12*BN$13,0),0),IF(AND(BJ$12&lt;&gt;"",BJ$14&lt;&gt;""),IF(EOMONTH($BJ$3+INT((DAY(EOMONTH($BJ$3,0))-1)/2)+BJ$14,0)=EOMONTH($CL$3,0),BJ$12*BJ$13,0),0),IF(AND(BF$12&lt;&gt;"",BF$14&lt;&gt;""),IF(EOMONTH($BF$3+INT((DAY(EOMONTH($BF$3,0))-1)/2)+BF$14,0)=EOMONTH($CL$3,0),BF$12*BF$13,0),0),IF(AND(BB$12&lt;&gt;"",BB$14&lt;&gt;""),IF(EOMONTH($BB$3+INT((DAY(EOMONTH($BB$3,0))-1)/2)+BB$14,0)=EOMONTH($CL$3,0),BB$12*BB$13,0),0),IF(AND(AX$12&lt;&gt;"",AX$14&lt;&gt;""),IF(EOMONTH($AX$3+INT((DAY(EOMONTH($AX$3,0))-1)/2)+AX$14,0)=EOMONTH($CL$3,0),AX$12*AX$13,0),0),IF(AND(AT$12&lt;&gt;"",AT$14&lt;&gt;""),IF(EOMONTH($AT$3+INT((DAY(EOMONTH($AT$3,0))-1)/2)+AT$14,0)=EOMONTH($CL$3,0),AT$12*AT$13,0),0),IF(AND(AP$12&lt;&gt;"",AP$14&lt;&gt;""),IF(EOMONTH($AP$3+INT((DAY(EOMONTH($AP$3,0))-1)/2)+AP$14,0)=EOMONTH($CL$3,0),AP$12*AP$13,0),0),IF(AND(AL$12&lt;&gt;"",AL$14&lt;&gt;""),IF(EOMONTH($AL$3+INT((DAY(EOMONTH($AL$3,0))-1)/2)+AL$14,0)=EOMONTH($CL$3,0),AL$12*AL$13,0),0),IF(AND(AH$12&lt;&gt;"",AH$14&lt;&gt;""),IF(EOMONTH($AH$3+INT((DAY(EOMONTH($AH$3,0))-1)/2)+AH$14,0)=EOMONTH($CL$3,0),AH$12*AH$13,0),0),IF(AND(AD$12&lt;&gt;"",AD$14&lt;&gt;""),IF(EOMONTH($AD$3+INT((DAY(EOMONTH($AD$3,0))-1)/2)+AD$14,0)=EOMONTH($CL$3,0),AD$12*AD$13,0),0),IF(AND(Z$12&lt;&gt;"",Z$14&lt;&gt;""),IF(EOMONTH($Z$3+INT((DAY(EOMONTH($Z$3,0))-1)/2)+Z$14,0)=EOMONTH($CL$3,0),Z$12*Z$13,0),0),IF(AND(V$12&lt;&gt;"",V$14&lt;&gt;""),IF(EOMONTH($V$3+INT((DAY(EOMONTH($V$3,0))-1)/2)+V$14,0)=EOMONTH($CL$3,0),V$12*V$13,0),0),IF(AND(R$12&lt;&gt;"",R$14&lt;&gt;""),IF(EOMONTH($R$3+INT((DAY(EOMONTH($R$3,0))-1)/2)+R$14,0)=EOMONTH($CL$3,0),R$12*R$13,0),0),IF(AND(N$12&lt;&gt;"",N$14&lt;&gt;""),IF(EOMONTH($N$3+INT((DAY(EOMONTH($N$3,0))-1)/2)+N$14,0)=EOMONTH($CL$3,0),N$12*N$13,0),0),IF(AND(J$12&lt;&gt;"",J$14&lt;&gt;""),IF(EOMONTH($J$3+INT((DAY(EOMONTH($J$3,0))-1)/2)+J$14,0)=EOMONTH($CL$3,0),J$12*J$13,0),0),IF(AND(F$12&lt;&gt;"",F$14&lt;&gt;""),IF(EOMONTH($F$3+INT((DAY(EOMONTH($F$3,0))-1)/2)+F$14,0)=EOMONTH($CL$3,0),F$12*F$13,0),0),IF($EP$75="",0,IF(EOMONTH($EP$75+EP$14,0)=EOMONTH($CL$3,0),$EP$77*EP$13,0))),0)</f>
        <v>0</v>
      </c>
      <c r="CM73" s="41">
        <f t="shared" si="1118"/>
        <v>0</v>
      </c>
      <c r="CN73" s="41">
        <f t="shared" si="1118"/>
        <v>0</v>
      </c>
      <c r="CO73" s="41">
        <f t="shared" si="1119"/>
        <v>0</v>
      </c>
      <c r="CP73" s="41">
        <f t="shared" ref="CP73:CR73" si="1120">ROUND(SUM(IF(AND(EP$12&lt;&gt;"",EP$14&lt;&gt;""),IF(EOMONTH($EP$3+INT((DAY(EOMONTH($EP$3,0))-1)/2)+EP$14,0)=EOMONTH($CP$3,0),EP$12*EP$13,0),0),IF(AND(EL$12&lt;&gt;"",EL$14&lt;&gt;""),IF(EOMONTH($EL$3+INT((DAY(EOMONTH($EL$3,0))-1)/2)+EL$14,0)=EOMONTH($CP$3,0),EL$12*EL$13,0),0),IF(AND(EH$12&lt;&gt;"",EH$14&lt;&gt;""),IF(EOMONTH($EH$3+INT((DAY(EOMONTH($EH$3,0))-1)/2)+EH$14,0)=EOMONTH($CP$3,0),EH$12*EH$13,0),0),IF(AND(ED$12&lt;&gt;"",ED$14&lt;&gt;""),IF(EOMONTH($ED$3+INT((DAY(EOMONTH($ED$3,0))-1)/2)+ED$14,0)=EOMONTH($CP$3,0),ED$12*ED$13,0),0),IF(AND(DZ$12&lt;&gt;"",DZ$14&lt;&gt;""),IF(EOMONTH($DZ$3+INT((DAY(EOMONTH($DZ$3,0))-1)/2)+DZ$14,0)=EOMONTH($CP$3,0),DZ$12*DZ$13,0),0),IF(AND(DV$12&lt;&gt;"",DV$14&lt;&gt;""),IF(EOMONTH($DV$3+INT((DAY(EOMONTH($DV$3,0))-1)/2)+DV$14,0)=EOMONTH($CP$3,0),DV$12*DV$13,0),0),IF(AND(DR$12&lt;&gt;"",DR$14&lt;&gt;""),IF(EOMONTH($DR$3+INT((DAY(EOMONTH($DR$3,0))-1)/2)+DR$14,0)=EOMONTH($CP$3,0),DR$12*DR$13,0),0),IF(AND(DN$12&lt;&gt;"",DN$14&lt;&gt;""),IF(EOMONTH($DN$3+INT((DAY(EOMONTH($DN$3,0))-1)/2)+DN$14,0)=EOMONTH($CP$3,0),DN$12*DN$13,0),0),IF(AND(DJ$12&lt;&gt;"",DJ$14&lt;&gt;""),IF(EOMONTH($DJ$3+INT((DAY(EOMONTH($DJ$3,0))-1)/2)+DJ$14,0)=EOMONTH($CP$3,0),DJ$12*DJ$13,0),0),IF(AND(DF$12&lt;&gt;"",DF$14&lt;&gt;""),IF(EOMONTH($DF$3+INT((DAY(EOMONTH($DF$3,0))-1)/2)+DF$14,0)=EOMONTH($CP$3,0),DF$12*DF$13,0),0),IF(AND(DB$12&lt;&gt;"",DB$14&lt;&gt;""),IF(EOMONTH($DB$3+INT((DAY(EOMONTH($DB$3,0))-1)/2)+DB$14,0)=EOMONTH($CP$3,0),DB$12*DB$13,0),0),IF(AND(CX$12&lt;&gt;"",CX$14&lt;&gt;""),IF(EOMONTH($CX$3+INT((DAY(EOMONTH($CX$3,0))-1)/2)+CX$14,0)=EOMONTH($CP$3,0),CX$12*CX$13,0),0),IF(AND(CT$12&lt;&gt;"",CT$14&lt;&gt;""),IF(EOMONTH($CT$3+INT((DAY(EOMONTH($CT$3,0))-1)/2)+CT$14,0)=EOMONTH($CP$3,0),CT$12*CT$13,0),0),IF(AND(CP$12&lt;&gt;"",CP$14&lt;&gt;""),IF(EOMONTH($CP$3+INT((DAY(EOMONTH($CP$3,0))-1)/2)+CP$14,0)=EOMONTH($CP$3,0),CP$12*CP$13,0),0),IF(AND(CL$12&lt;&gt;"",CL$14&lt;&gt;""),IF(EOMONTH($CL$3+INT((DAY(EOMONTH($CL$3,0))-1)/2)+CL$14,0)=EOMONTH($CP$3,0),CL$12*CL$13,0),0),IF(AND(CH$12&lt;&gt;"",CH$14&lt;&gt;""),IF(EOMONTH($CH$3+INT((DAY(EOMONTH($CH$3,0))-1)/2)+CH$14,0)=EOMONTH($CP$3,0),CH$12*CH$13,0),0),IF(AND(CD$12&lt;&gt;"",CD$14&lt;&gt;""),IF(EOMONTH($CD$3+INT((DAY(EOMONTH($CD$3,0))-1)/2)+CD$14,0)=EOMONTH($CP$3,0),CD$12*CD$13,0),0),IF(AND(BZ$12&lt;&gt;"",BZ$14&lt;&gt;""),IF(EOMONTH($BZ$3+INT((DAY(EOMONTH($BZ$3,0))-1)/2)+BZ$14,0)=EOMONTH($CP$3,0),BZ$12*BZ$13,0),0),IF(AND(BV$12&lt;&gt;"",BV$14&lt;&gt;""),IF(EOMONTH($BV$3+INT((DAY(EOMONTH($BV$3,0))-1)/2)+BV$14,0)=EOMONTH($CP$3,0),BV$12*BV$13,0),0),IF(AND(BR$12&lt;&gt;"",BR$14&lt;&gt;""),IF(EOMONTH($BR$3+INT((DAY(EOMONTH($BR$3,0))-1)/2)+BR$14,0)=EOMONTH($CP$3,0),BR$12*BR$13,0),0),IF(AND(BN$12&lt;&gt;"",BN$14&lt;&gt;""),IF(EOMONTH($BN$3+INT((DAY(EOMONTH($BN$3,0))-1)/2)+BN$14,0)=EOMONTH($CP$3,0),BN$12*BN$13,0),0),IF(AND(BJ$12&lt;&gt;"",BJ$14&lt;&gt;""),IF(EOMONTH($BJ$3+INT((DAY(EOMONTH($BJ$3,0))-1)/2)+BJ$14,0)=EOMONTH($CP$3,0),BJ$12*BJ$13,0),0),IF(AND(BF$12&lt;&gt;"",BF$14&lt;&gt;""),IF(EOMONTH($BF$3+INT((DAY(EOMONTH($BF$3,0))-1)/2)+BF$14,0)=EOMONTH($CP$3,0),BF$12*BF$13,0),0),IF(AND(BB$12&lt;&gt;"",BB$14&lt;&gt;""),IF(EOMONTH($BB$3+INT((DAY(EOMONTH($BB$3,0))-1)/2)+BB$14,0)=EOMONTH($CP$3,0),BB$12*BB$13,0),0),IF(AND(AX$12&lt;&gt;"",AX$14&lt;&gt;""),IF(EOMONTH($AX$3+INT((DAY(EOMONTH($AX$3,0))-1)/2)+AX$14,0)=EOMONTH($CP$3,0),AX$12*AX$13,0),0),IF(AND(AT$12&lt;&gt;"",AT$14&lt;&gt;""),IF(EOMONTH($AT$3+INT((DAY(EOMONTH($AT$3,0))-1)/2)+AT$14,0)=EOMONTH($CP$3,0),AT$12*AT$13,0),0),IF(AND(AP$12&lt;&gt;"",AP$14&lt;&gt;""),IF(EOMONTH($AP$3+INT((DAY(EOMONTH($AP$3,0))-1)/2)+AP$14,0)=EOMONTH($CP$3,0),AP$12*AP$13,0),0),IF(AND(AL$12&lt;&gt;"",AL$14&lt;&gt;""),IF(EOMONTH($AL$3+INT((DAY(EOMONTH($AL$3,0))-1)/2)+AL$14,0)=EOMONTH($CP$3,0),AL$12*AL$13,0),0),IF(AND(AH$12&lt;&gt;"",AH$14&lt;&gt;""),IF(EOMONTH($AH$3+INT((DAY(EOMONTH($AH$3,0))-1)/2)+AH$14,0)=EOMONTH($CP$3,0),AH$12*AH$13,0),0),IF(AND(AD$12&lt;&gt;"",AD$14&lt;&gt;""),IF(EOMONTH($AD$3+INT((DAY(EOMONTH($AD$3,0))-1)/2)+AD$14,0)=EOMONTH($CP$3,0),AD$12*AD$13,0),0),IF(AND(Z$12&lt;&gt;"",Z$14&lt;&gt;""),IF(EOMONTH($Z$3+INT((DAY(EOMONTH($Z$3,0))-1)/2)+Z$14,0)=EOMONTH($CP$3,0),Z$12*Z$13,0),0),IF(AND(V$12&lt;&gt;"",V$14&lt;&gt;""),IF(EOMONTH($V$3+INT((DAY(EOMONTH($V$3,0))-1)/2)+V$14,0)=EOMONTH($CP$3,0),V$12*V$13,0),0),IF(AND(R$12&lt;&gt;"",R$14&lt;&gt;""),IF(EOMONTH($R$3+INT((DAY(EOMONTH($R$3,0))-1)/2)+R$14,0)=EOMONTH($CP$3,0),R$12*R$13,0),0),IF(AND(N$12&lt;&gt;"",N$14&lt;&gt;""),IF(EOMONTH($N$3+INT((DAY(EOMONTH($N$3,0))-1)/2)+N$14,0)=EOMONTH($CP$3,0),N$12*N$13,0),0),IF(AND(J$12&lt;&gt;"",J$14&lt;&gt;""),IF(EOMONTH($J$3+INT((DAY(EOMONTH($J$3,0))-1)/2)+J$14,0)=EOMONTH($CP$3,0),J$12*J$13,0),0),IF(AND(F$12&lt;&gt;"",F$14&lt;&gt;""),IF(EOMONTH($F$3+INT((DAY(EOMONTH($F$3,0))-1)/2)+F$14,0)=EOMONTH($CP$3,0),F$12*F$13,0),0),IF($EP$75="",0,IF(EOMONTH($EP$75+EP$14,0)=EOMONTH($CP$3,0),$EP$77*EP$13,0))),0)</f>
        <v>0</v>
      </c>
      <c r="CQ73" s="41">
        <f t="shared" si="1120"/>
        <v>0</v>
      </c>
      <c r="CR73" s="41">
        <f t="shared" si="1120"/>
        <v>0</v>
      </c>
      <c r="CS73" s="41">
        <f t="shared" si="1121"/>
        <v>0</v>
      </c>
      <c r="CT73" s="41">
        <f t="shared" ref="CT73:CV73" si="1122">ROUND(SUM(IF(AND(EP$12&lt;&gt;"",EP$14&lt;&gt;""),IF(EOMONTH($EP$3+INT((DAY(EOMONTH($EP$3,0))-1)/2)+EP$14,0)=EOMONTH($CT$3,0),EP$12*EP$13,0),0),IF(AND(EL$12&lt;&gt;"",EL$14&lt;&gt;""),IF(EOMONTH($EL$3+INT((DAY(EOMONTH($EL$3,0))-1)/2)+EL$14,0)=EOMONTH($CT$3,0),EL$12*EL$13,0),0),IF(AND(EH$12&lt;&gt;"",EH$14&lt;&gt;""),IF(EOMONTH($EH$3+INT((DAY(EOMONTH($EH$3,0))-1)/2)+EH$14,0)=EOMONTH($CT$3,0),EH$12*EH$13,0),0),IF(AND(ED$12&lt;&gt;"",ED$14&lt;&gt;""),IF(EOMONTH($ED$3+INT((DAY(EOMONTH($ED$3,0))-1)/2)+ED$14,0)=EOMONTH($CT$3,0),ED$12*ED$13,0),0),IF(AND(DZ$12&lt;&gt;"",DZ$14&lt;&gt;""),IF(EOMONTH($DZ$3+INT((DAY(EOMONTH($DZ$3,0))-1)/2)+DZ$14,0)=EOMONTH($CT$3,0),DZ$12*DZ$13,0),0),IF(AND(DV$12&lt;&gt;"",DV$14&lt;&gt;""),IF(EOMONTH($DV$3+INT((DAY(EOMONTH($DV$3,0))-1)/2)+DV$14,0)=EOMONTH($CT$3,0),DV$12*DV$13,0),0),IF(AND(DR$12&lt;&gt;"",DR$14&lt;&gt;""),IF(EOMONTH($DR$3+INT((DAY(EOMONTH($DR$3,0))-1)/2)+DR$14,0)=EOMONTH($CT$3,0),DR$12*DR$13,0),0),IF(AND(DN$12&lt;&gt;"",DN$14&lt;&gt;""),IF(EOMONTH($DN$3+INT((DAY(EOMONTH($DN$3,0))-1)/2)+DN$14,0)=EOMONTH($CT$3,0),DN$12*DN$13,0),0),IF(AND(DJ$12&lt;&gt;"",DJ$14&lt;&gt;""),IF(EOMONTH($DJ$3+INT((DAY(EOMONTH($DJ$3,0))-1)/2)+DJ$14,0)=EOMONTH($CT$3,0),DJ$12*DJ$13,0),0),IF(AND(DF$12&lt;&gt;"",DF$14&lt;&gt;""),IF(EOMONTH($DF$3+INT((DAY(EOMONTH($DF$3,0))-1)/2)+DF$14,0)=EOMONTH($CT$3,0),DF$12*DF$13,0),0),IF(AND(DB$12&lt;&gt;"",DB$14&lt;&gt;""),IF(EOMONTH($DB$3+INT((DAY(EOMONTH($DB$3,0))-1)/2)+DB$14,0)=EOMONTH($CT$3,0),DB$12*DB$13,0),0),IF(AND(CX$12&lt;&gt;"",CX$14&lt;&gt;""),IF(EOMONTH($CX$3+INT((DAY(EOMONTH($CX$3,0))-1)/2)+CX$14,0)=EOMONTH($CT$3,0),CX$12*CX$13,0),0),IF(AND(CT$12&lt;&gt;"",CT$14&lt;&gt;""),IF(EOMONTH($CT$3+INT((DAY(EOMONTH($CT$3,0))-1)/2)+CT$14,0)=EOMONTH($CT$3,0),CT$12*CT$13,0),0),IF(AND(CP$12&lt;&gt;"",CP$14&lt;&gt;""),IF(EOMONTH($CP$3+INT((DAY(EOMONTH($CP$3,0))-1)/2)+CP$14,0)=EOMONTH($CT$3,0),CP$12*CP$13,0),0),IF(AND(CL$12&lt;&gt;"",CL$14&lt;&gt;""),IF(EOMONTH($CL$3+INT((DAY(EOMONTH($CL$3,0))-1)/2)+CL$14,0)=EOMONTH($CT$3,0),CL$12*CL$13,0),0),IF(AND(CH$12&lt;&gt;"",CH$14&lt;&gt;""),IF(EOMONTH($CH$3+INT((DAY(EOMONTH($CH$3,0))-1)/2)+CH$14,0)=EOMONTH($CT$3,0),CH$12*CH$13,0),0),IF(AND(CD$12&lt;&gt;"",CD$14&lt;&gt;""),IF(EOMONTH($CD$3+INT((DAY(EOMONTH($CD$3,0))-1)/2)+CD$14,0)=EOMONTH($CT$3,0),CD$12*CD$13,0),0),IF(AND(BZ$12&lt;&gt;"",BZ$14&lt;&gt;""),IF(EOMONTH($BZ$3+INT((DAY(EOMONTH($BZ$3,0))-1)/2)+BZ$14,0)=EOMONTH($CT$3,0),BZ$12*BZ$13,0),0),IF(AND(BV$12&lt;&gt;"",BV$14&lt;&gt;""),IF(EOMONTH($BV$3+INT((DAY(EOMONTH($BV$3,0))-1)/2)+BV$14,0)=EOMONTH($CT$3,0),BV$12*BV$13,0),0),IF(AND(BR$12&lt;&gt;"",BR$14&lt;&gt;""),IF(EOMONTH($BR$3+INT((DAY(EOMONTH($BR$3,0))-1)/2)+BR$14,0)=EOMONTH($CT$3,0),BR$12*BR$13,0),0),IF(AND(BN$12&lt;&gt;"",BN$14&lt;&gt;""),IF(EOMONTH($BN$3+INT((DAY(EOMONTH($BN$3,0))-1)/2)+BN$14,0)=EOMONTH($CT$3,0),BN$12*BN$13,0),0),IF(AND(BJ$12&lt;&gt;"",BJ$14&lt;&gt;""),IF(EOMONTH($BJ$3+INT((DAY(EOMONTH($BJ$3,0))-1)/2)+BJ$14,0)=EOMONTH($CT$3,0),BJ$12*BJ$13,0),0),IF(AND(BF$12&lt;&gt;"",BF$14&lt;&gt;""),IF(EOMONTH($BF$3+INT((DAY(EOMONTH($BF$3,0))-1)/2)+BF$14,0)=EOMONTH($CT$3,0),BF$12*BF$13,0),0),IF(AND(BB$12&lt;&gt;"",BB$14&lt;&gt;""),IF(EOMONTH($BB$3+INT((DAY(EOMONTH($BB$3,0))-1)/2)+BB$14,0)=EOMONTH($CT$3,0),BB$12*BB$13,0),0),IF(AND(AX$12&lt;&gt;"",AX$14&lt;&gt;""),IF(EOMONTH($AX$3+INT((DAY(EOMONTH($AX$3,0))-1)/2)+AX$14,0)=EOMONTH($CT$3,0),AX$12*AX$13,0),0),IF(AND(AT$12&lt;&gt;"",AT$14&lt;&gt;""),IF(EOMONTH($AT$3+INT((DAY(EOMONTH($AT$3,0))-1)/2)+AT$14,0)=EOMONTH($CT$3,0),AT$12*AT$13,0),0),IF(AND(AP$12&lt;&gt;"",AP$14&lt;&gt;""),IF(EOMONTH($AP$3+INT((DAY(EOMONTH($AP$3,0))-1)/2)+AP$14,0)=EOMONTH($CT$3,0),AP$12*AP$13,0),0),IF(AND(AL$12&lt;&gt;"",AL$14&lt;&gt;""),IF(EOMONTH($AL$3+INT((DAY(EOMONTH($AL$3,0))-1)/2)+AL$14,0)=EOMONTH($CT$3,0),AL$12*AL$13,0),0),IF(AND(AH$12&lt;&gt;"",AH$14&lt;&gt;""),IF(EOMONTH($AH$3+INT((DAY(EOMONTH($AH$3,0))-1)/2)+AH$14,0)=EOMONTH($CT$3,0),AH$12*AH$13,0),0),IF(AND(AD$12&lt;&gt;"",AD$14&lt;&gt;""),IF(EOMONTH($AD$3+INT((DAY(EOMONTH($AD$3,0))-1)/2)+AD$14,0)=EOMONTH($CT$3,0),AD$12*AD$13,0),0),IF(AND(Z$12&lt;&gt;"",Z$14&lt;&gt;""),IF(EOMONTH($Z$3+INT((DAY(EOMONTH($Z$3,0))-1)/2)+Z$14,0)=EOMONTH($CT$3,0),Z$12*Z$13,0),0),IF(AND(V$12&lt;&gt;"",V$14&lt;&gt;""),IF(EOMONTH($V$3+INT((DAY(EOMONTH($V$3,0))-1)/2)+V$14,0)=EOMONTH($CT$3,0),V$12*V$13,0),0),IF(AND(R$12&lt;&gt;"",R$14&lt;&gt;""),IF(EOMONTH($R$3+INT((DAY(EOMONTH($R$3,0))-1)/2)+R$14,0)=EOMONTH($CT$3,0),R$12*R$13,0),0),IF(AND(N$12&lt;&gt;"",N$14&lt;&gt;""),IF(EOMONTH($N$3+INT((DAY(EOMONTH($N$3,0))-1)/2)+N$14,0)=EOMONTH($CT$3,0),N$12*N$13,0),0),IF(AND(J$12&lt;&gt;"",J$14&lt;&gt;""),IF(EOMONTH($J$3+INT((DAY(EOMONTH($J$3,0))-1)/2)+J$14,0)=EOMONTH($CT$3,0),J$12*J$13,0),0),IF(AND(F$12&lt;&gt;"",F$14&lt;&gt;""),IF(EOMONTH($F$3+INT((DAY(EOMONTH($F$3,0))-1)/2)+F$14,0)=EOMONTH($CT$3,0),F$12*F$13,0),0),IF($EP$75="",0,IF(EOMONTH($EP$75+EP$14,0)=EOMONTH($CT$3,0),$EP$77*EP$13,0))),0)</f>
        <v>0</v>
      </c>
      <c r="CU73" s="41">
        <f t="shared" si="1122"/>
        <v>0</v>
      </c>
      <c r="CV73" s="41">
        <f t="shared" si="1122"/>
        <v>0</v>
      </c>
      <c r="CW73" s="41">
        <f t="shared" si="1123"/>
        <v>0</v>
      </c>
      <c r="CX73" s="41">
        <f t="shared" ref="CX73:CZ73" si="1124">ROUND(SUM(IF(AND(EP$12&lt;&gt;"",EP$14&lt;&gt;""),IF(EOMONTH($EP$3+INT((DAY(EOMONTH($EP$3,0))-1)/2)+EP$14,0)=EOMONTH($CX$3,0),EP$12*EP$13,0),0),IF(AND(EL$12&lt;&gt;"",EL$14&lt;&gt;""),IF(EOMONTH($EL$3+INT((DAY(EOMONTH($EL$3,0))-1)/2)+EL$14,0)=EOMONTH($CX$3,0),EL$12*EL$13,0),0),IF(AND(EH$12&lt;&gt;"",EH$14&lt;&gt;""),IF(EOMONTH($EH$3+INT((DAY(EOMONTH($EH$3,0))-1)/2)+EH$14,0)=EOMONTH($CX$3,0),EH$12*EH$13,0),0),IF(AND(ED$12&lt;&gt;"",ED$14&lt;&gt;""),IF(EOMONTH($ED$3+INT((DAY(EOMONTH($ED$3,0))-1)/2)+ED$14,0)=EOMONTH($CX$3,0),ED$12*ED$13,0),0),IF(AND(DZ$12&lt;&gt;"",DZ$14&lt;&gt;""),IF(EOMONTH($DZ$3+INT((DAY(EOMONTH($DZ$3,0))-1)/2)+DZ$14,0)=EOMONTH($CX$3,0),DZ$12*DZ$13,0),0),IF(AND(DV$12&lt;&gt;"",DV$14&lt;&gt;""),IF(EOMONTH($DV$3+INT((DAY(EOMONTH($DV$3,0))-1)/2)+DV$14,0)=EOMONTH($CX$3,0),DV$12*DV$13,0),0),IF(AND(DR$12&lt;&gt;"",DR$14&lt;&gt;""),IF(EOMONTH($DR$3+INT((DAY(EOMONTH($DR$3,0))-1)/2)+DR$14,0)=EOMONTH($CX$3,0),DR$12*DR$13,0),0),IF(AND(DN$12&lt;&gt;"",DN$14&lt;&gt;""),IF(EOMONTH($DN$3+INT((DAY(EOMONTH($DN$3,0))-1)/2)+DN$14,0)=EOMONTH($CX$3,0),DN$12*DN$13,0),0),IF(AND(DJ$12&lt;&gt;"",DJ$14&lt;&gt;""),IF(EOMONTH($DJ$3+INT((DAY(EOMONTH($DJ$3,0))-1)/2)+DJ$14,0)=EOMONTH($CX$3,0),DJ$12*DJ$13,0),0),IF(AND(DF$12&lt;&gt;"",DF$14&lt;&gt;""),IF(EOMONTH($DF$3+INT((DAY(EOMONTH($DF$3,0))-1)/2)+DF$14,0)=EOMONTH($CX$3,0),DF$12*DF$13,0),0),IF(AND(DB$12&lt;&gt;"",DB$14&lt;&gt;""),IF(EOMONTH($DB$3+INT((DAY(EOMONTH($DB$3,0))-1)/2)+DB$14,0)=EOMONTH($CX$3,0),DB$12*DB$13,0),0),IF(AND(CX$12&lt;&gt;"",CX$14&lt;&gt;""),IF(EOMONTH($CX$3+INT((DAY(EOMONTH($CX$3,0))-1)/2)+CX$14,0)=EOMONTH($CX$3,0),CX$12*CX$13,0),0),IF(AND(CT$12&lt;&gt;"",CT$14&lt;&gt;""),IF(EOMONTH($CT$3+INT((DAY(EOMONTH($CT$3,0))-1)/2)+CT$14,0)=EOMONTH($CX$3,0),CT$12*CT$13,0),0),IF(AND(CP$12&lt;&gt;"",CP$14&lt;&gt;""),IF(EOMONTH($CP$3+INT((DAY(EOMONTH($CP$3,0))-1)/2)+CP$14,0)=EOMONTH($CX$3,0),CP$12*CP$13,0),0),IF(AND(CL$12&lt;&gt;"",CL$14&lt;&gt;""),IF(EOMONTH($CL$3+INT((DAY(EOMONTH($CL$3,0))-1)/2)+CL$14,0)=EOMONTH($CX$3,0),CL$12*CL$13,0),0),IF(AND(CH$12&lt;&gt;"",CH$14&lt;&gt;""),IF(EOMONTH($CH$3+INT((DAY(EOMONTH($CH$3,0))-1)/2)+CH$14,0)=EOMONTH($CX$3,0),CH$12*CH$13,0),0),IF(AND(CD$12&lt;&gt;"",CD$14&lt;&gt;""),IF(EOMONTH($CD$3+INT((DAY(EOMONTH($CD$3,0))-1)/2)+CD$14,0)=EOMONTH($CX$3,0),CD$12*CD$13,0),0),IF(AND(BZ$12&lt;&gt;"",BZ$14&lt;&gt;""),IF(EOMONTH($BZ$3+INT((DAY(EOMONTH($BZ$3,0))-1)/2)+BZ$14,0)=EOMONTH($CX$3,0),BZ$12*BZ$13,0),0),IF(AND(BV$12&lt;&gt;"",BV$14&lt;&gt;""),IF(EOMONTH($BV$3+INT((DAY(EOMONTH($BV$3,0))-1)/2)+BV$14,0)=EOMONTH($CX$3,0),BV$12*BV$13,0),0),IF(AND(BR$12&lt;&gt;"",BR$14&lt;&gt;""),IF(EOMONTH($BR$3+INT((DAY(EOMONTH($BR$3,0))-1)/2)+BR$14,0)=EOMONTH($CX$3,0),BR$12*BR$13,0),0),IF(AND(BN$12&lt;&gt;"",BN$14&lt;&gt;""),IF(EOMONTH($BN$3+INT((DAY(EOMONTH($BN$3,0))-1)/2)+BN$14,0)=EOMONTH($CX$3,0),BN$12*BN$13,0),0),IF(AND(BJ$12&lt;&gt;"",BJ$14&lt;&gt;""),IF(EOMONTH($BJ$3+INT((DAY(EOMONTH($BJ$3,0))-1)/2)+BJ$14,0)=EOMONTH($CX$3,0),BJ$12*BJ$13,0),0),IF(AND(BF$12&lt;&gt;"",BF$14&lt;&gt;""),IF(EOMONTH($BF$3+INT((DAY(EOMONTH($BF$3,0))-1)/2)+BF$14,0)=EOMONTH($CX$3,0),BF$12*BF$13,0),0),IF(AND(BB$12&lt;&gt;"",BB$14&lt;&gt;""),IF(EOMONTH($BB$3+INT((DAY(EOMONTH($BB$3,0))-1)/2)+BB$14,0)=EOMONTH($CX$3,0),BB$12*BB$13,0),0),IF(AND(AX$12&lt;&gt;"",AX$14&lt;&gt;""),IF(EOMONTH($AX$3+INT((DAY(EOMONTH($AX$3,0))-1)/2)+AX$14,0)=EOMONTH($CX$3,0),AX$12*AX$13,0),0),IF(AND(AT$12&lt;&gt;"",AT$14&lt;&gt;""),IF(EOMONTH($AT$3+INT((DAY(EOMONTH($AT$3,0))-1)/2)+AT$14,0)=EOMONTH($CX$3,0),AT$12*AT$13,0),0),IF(AND(AP$12&lt;&gt;"",AP$14&lt;&gt;""),IF(EOMONTH($AP$3+INT((DAY(EOMONTH($AP$3,0))-1)/2)+AP$14,0)=EOMONTH($CX$3,0),AP$12*AP$13,0),0),IF(AND(AL$12&lt;&gt;"",AL$14&lt;&gt;""),IF(EOMONTH($AL$3+INT((DAY(EOMONTH($AL$3,0))-1)/2)+AL$14,0)=EOMONTH($CX$3,0),AL$12*AL$13,0),0),IF(AND(AH$12&lt;&gt;"",AH$14&lt;&gt;""),IF(EOMONTH($AH$3+INT((DAY(EOMONTH($AH$3,0))-1)/2)+AH$14,0)=EOMONTH($CX$3,0),AH$12*AH$13,0),0),IF(AND(AD$12&lt;&gt;"",AD$14&lt;&gt;""),IF(EOMONTH($AD$3+INT((DAY(EOMONTH($AD$3,0))-1)/2)+AD$14,0)=EOMONTH($CX$3,0),AD$12*AD$13,0),0),IF(AND(Z$12&lt;&gt;"",Z$14&lt;&gt;""),IF(EOMONTH($Z$3+INT((DAY(EOMONTH($Z$3,0))-1)/2)+Z$14,0)=EOMONTH($CX$3,0),Z$12*Z$13,0),0),IF(AND(V$12&lt;&gt;"",V$14&lt;&gt;""),IF(EOMONTH($V$3+INT((DAY(EOMONTH($V$3,0))-1)/2)+V$14,0)=EOMONTH($CX$3,0),V$12*V$13,0),0),IF(AND(R$12&lt;&gt;"",R$14&lt;&gt;""),IF(EOMONTH($R$3+INT((DAY(EOMONTH($R$3,0))-1)/2)+R$14,0)=EOMONTH($CX$3,0),R$12*R$13,0),0),IF(AND(N$12&lt;&gt;"",N$14&lt;&gt;""),IF(EOMONTH($N$3+INT((DAY(EOMONTH($N$3,0))-1)/2)+N$14,0)=EOMONTH($CX$3,0),N$12*N$13,0),0),IF(AND(J$12&lt;&gt;"",J$14&lt;&gt;""),IF(EOMONTH($J$3+INT((DAY(EOMONTH($J$3,0))-1)/2)+J$14,0)=EOMONTH($CX$3,0),J$12*J$13,0),0),IF(AND(F$12&lt;&gt;"",F$14&lt;&gt;""),IF(EOMONTH($F$3+INT((DAY(EOMONTH($F$3,0))-1)/2)+F$14,0)=EOMONTH($CX$3,0),F$12*F$13,0),0),IF($EP$75="",0,IF(EOMONTH($EP$75+EP$14,0)=EOMONTH($CX$3,0),$EP$77*EP$13,0))),0)</f>
        <v>0</v>
      </c>
      <c r="CY73" s="41">
        <f t="shared" si="1124"/>
        <v>0</v>
      </c>
      <c r="CZ73" s="41">
        <f t="shared" si="1124"/>
        <v>0</v>
      </c>
      <c r="DA73" s="41">
        <f t="shared" si="1125"/>
        <v>0</v>
      </c>
      <c r="DB73" s="41">
        <f t="shared" ref="DB73:DD73" si="1126">ROUND(SUM(IF(AND(EP$12&lt;&gt;"",EP$14&lt;&gt;""),IF(EOMONTH($EP$3+INT((DAY(EOMONTH($EP$3,0))-1)/2)+EP$14,0)=EOMONTH($DB$3,0),EP$12*EP$13,0),0),IF(AND(EL$12&lt;&gt;"",EL$14&lt;&gt;""),IF(EOMONTH($EL$3+INT((DAY(EOMONTH($EL$3,0))-1)/2)+EL$14,0)=EOMONTH($DB$3,0),EL$12*EL$13,0),0),IF(AND(EH$12&lt;&gt;"",EH$14&lt;&gt;""),IF(EOMONTH($EH$3+INT((DAY(EOMONTH($EH$3,0))-1)/2)+EH$14,0)=EOMONTH($DB$3,0),EH$12*EH$13,0),0),IF(AND(ED$12&lt;&gt;"",ED$14&lt;&gt;""),IF(EOMONTH($ED$3+INT((DAY(EOMONTH($ED$3,0))-1)/2)+ED$14,0)=EOMONTH($DB$3,0),ED$12*ED$13,0),0),IF(AND(DZ$12&lt;&gt;"",DZ$14&lt;&gt;""),IF(EOMONTH($DZ$3+INT((DAY(EOMONTH($DZ$3,0))-1)/2)+DZ$14,0)=EOMONTH($DB$3,0),DZ$12*DZ$13,0),0),IF(AND(DV$12&lt;&gt;"",DV$14&lt;&gt;""),IF(EOMONTH($DV$3+INT((DAY(EOMONTH($DV$3,0))-1)/2)+DV$14,0)=EOMONTH($DB$3,0),DV$12*DV$13,0),0),IF(AND(DR$12&lt;&gt;"",DR$14&lt;&gt;""),IF(EOMONTH($DR$3+INT((DAY(EOMONTH($DR$3,0))-1)/2)+DR$14,0)=EOMONTH($DB$3,0),DR$12*DR$13,0),0),IF(AND(DN$12&lt;&gt;"",DN$14&lt;&gt;""),IF(EOMONTH($DN$3+INT((DAY(EOMONTH($DN$3,0))-1)/2)+DN$14,0)=EOMONTH($DB$3,0),DN$12*DN$13,0),0),IF(AND(DJ$12&lt;&gt;"",DJ$14&lt;&gt;""),IF(EOMONTH($DJ$3+INT((DAY(EOMONTH($DJ$3,0))-1)/2)+DJ$14,0)=EOMONTH($DB$3,0),DJ$12*DJ$13,0),0),IF(AND(DF$12&lt;&gt;"",DF$14&lt;&gt;""),IF(EOMONTH($DF$3+INT((DAY(EOMONTH($DF$3,0))-1)/2)+DF$14,0)=EOMONTH($DB$3,0),DF$12*DF$13,0),0),IF(AND(DB$12&lt;&gt;"",DB$14&lt;&gt;""),IF(EOMONTH($DB$3+INT((DAY(EOMONTH($DB$3,0))-1)/2)+DB$14,0)=EOMONTH($DB$3,0),DB$12*DB$13,0),0),IF(AND(CX$12&lt;&gt;"",CX$14&lt;&gt;""),IF(EOMONTH($CX$3+INT((DAY(EOMONTH($CX$3,0))-1)/2)+CX$14,0)=EOMONTH($DB$3,0),CX$12*CX$13,0),0),IF(AND(CT$12&lt;&gt;"",CT$14&lt;&gt;""),IF(EOMONTH($CT$3+INT((DAY(EOMONTH($CT$3,0))-1)/2)+CT$14,0)=EOMONTH($DB$3,0),CT$12*CT$13,0),0),IF(AND(CP$12&lt;&gt;"",CP$14&lt;&gt;""),IF(EOMONTH($CP$3+INT((DAY(EOMONTH($CP$3,0))-1)/2)+CP$14,0)=EOMONTH($DB$3,0),CP$12*CP$13,0),0),IF(AND(CL$12&lt;&gt;"",CL$14&lt;&gt;""),IF(EOMONTH($CL$3+INT((DAY(EOMONTH($CL$3,0))-1)/2)+CL$14,0)=EOMONTH($DB$3,0),CL$12*CL$13,0),0),IF(AND(CH$12&lt;&gt;"",CH$14&lt;&gt;""),IF(EOMONTH($CH$3+INT((DAY(EOMONTH($CH$3,0))-1)/2)+CH$14,0)=EOMONTH($DB$3,0),CH$12*CH$13,0),0),IF(AND(CD$12&lt;&gt;"",CD$14&lt;&gt;""),IF(EOMONTH($CD$3+INT((DAY(EOMONTH($CD$3,0))-1)/2)+CD$14,0)=EOMONTH($DB$3,0),CD$12*CD$13,0),0),IF(AND(BZ$12&lt;&gt;"",BZ$14&lt;&gt;""),IF(EOMONTH($BZ$3+INT((DAY(EOMONTH($BZ$3,0))-1)/2)+BZ$14,0)=EOMONTH($DB$3,0),BZ$12*BZ$13,0),0),IF(AND(BV$12&lt;&gt;"",BV$14&lt;&gt;""),IF(EOMONTH($BV$3+INT((DAY(EOMONTH($BV$3,0))-1)/2)+BV$14,0)=EOMONTH($DB$3,0),BV$12*BV$13,0),0),IF(AND(BR$12&lt;&gt;"",BR$14&lt;&gt;""),IF(EOMONTH($BR$3+INT((DAY(EOMONTH($BR$3,0))-1)/2)+BR$14,0)=EOMONTH($DB$3,0),BR$12*BR$13,0),0),IF(AND(BN$12&lt;&gt;"",BN$14&lt;&gt;""),IF(EOMONTH($BN$3+INT((DAY(EOMONTH($BN$3,0))-1)/2)+BN$14,0)=EOMONTH($DB$3,0),BN$12*BN$13,0),0),IF(AND(BJ$12&lt;&gt;"",BJ$14&lt;&gt;""),IF(EOMONTH($BJ$3+INT((DAY(EOMONTH($BJ$3,0))-1)/2)+BJ$14,0)=EOMONTH($DB$3,0),BJ$12*BJ$13,0),0),IF(AND(BF$12&lt;&gt;"",BF$14&lt;&gt;""),IF(EOMONTH($BF$3+INT((DAY(EOMONTH($BF$3,0))-1)/2)+BF$14,0)=EOMONTH($DB$3,0),BF$12*BF$13,0),0),IF(AND(BB$12&lt;&gt;"",BB$14&lt;&gt;""),IF(EOMONTH($BB$3+INT((DAY(EOMONTH($BB$3,0))-1)/2)+BB$14,0)=EOMONTH($DB$3,0),BB$12*BB$13,0),0),IF(AND(AX$12&lt;&gt;"",AX$14&lt;&gt;""),IF(EOMONTH($AX$3+INT((DAY(EOMONTH($AX$3,0))-1)/2)+AX$14,0)=EOMONTH($DB$3,0),AX$12*AX$13,0),0),IF(AND(AT$12&lt;&gt;"",AT$14&lt;&gt;""),IF(EOMONTH($AT$3+INT((DAY(EOMONTH($AT$3,0))-1)/2)+AT$14,0)=EOMONTH($DB$3,0),AT$12*AT$13,0),0),IF(AND(AP$12&lt;&gt;"",AP$14&lt;&gt;""),IF(EOMONTH($AP$3+INT((DAY(EOMONTH($AP$3,0))-1)/2)+AP$14,0)=EOMONTH($DB$3,0),AP$12*AP$13,0),0),IF(AND(AL$12&lt;&gt;"",AL$14&lt;&gt;""),IF(EOMONTH($AL$3+INT((DAY(EOMONTH($AL$3,0))-1)/2)+AL$14,0)=EOMONTH($DB$3,0),AL$12*AL$13,0),0),IF(AND(AH$12&lt;&gt;"",AH$14&lt;&gt;""),IF(EOMONTH($AH$3+INT((DAY(EOMONTH($AH$3,0))-1)/2)+AH$14,0)=EOMONTH($DB$3,0),AH$12*AH$13,0),0),IF(AND(AD$12&lt;&gt;"",AD$14&lt;&gt;""),IF(EOMONTH($AD$3+INT((DAY(EOMONTH($AD$3,0))-1)/2)+AD$14,0)=EOMONTH($DB$3,0),AD$12*AD$13,0),0),IF(AND(Z$12&lt;&gt;"",Z$14&lt;&gt;""),IF(EOMONTH($Z$3+INT((DAY(EOMONTH($Z$3,0))-1)/2)+Z$14,0)=EOMONTH($DB$3,0),Z$12*Z$13,0),0),IF(AND(V$12&lt;&gt;"",V$14&lt;&gt;""),IF(EOMONTH($V$3+INT((DAY(EOMONTH($V$3,0))-1)/2)+V$14,0)=EOMONTH($DB$3,0),V$12*V$13,0),0),IF(AND(R$12&lt;&gt;"",R$14&lt;&gt;""),IF(EOMONTH($R$3+INT((DAY(EOMONTH($R$3,0))-1)/2)+R$14,0)=EOMONTH($DB$3,0),R$12*R$13,0),0),IF(AND(N$12&lt;&gt;"",N$14&lt;&gt;""),IF(EOMONTH($N$3+INT((DAY(EOMONTH($N$3,0))-1)/2)+N$14,0)=EOMONTH($DB$3,0),N$12*N$13,0),0),IF(AND(J$12&lt;&gt;"",J$14&lt;&gt;""),IF(EOMONTH($J$3+INT((DAY(EOMONTH($J$3,0))-1)/2)+J$14,0)=EOMONTH($DB$3,0),J$12*J$13,0),0),IF(AND(F$12&lt;&gt;"",F$14&lt;&gt;""),IF(EOMONTH($F$3+INT((DAY(EOMONTH($F$3,0))-1)/2)+F$14,0)=EOMONTH($DB$3,0),F$12*F$13,0),0),IF($EP$75="",0,IF(EOMONTH($EP$75+EP$14,0)=EOMONTH($DB$3,0),$EP$77*EP$13,0))),0)</f>
        <v>0</v>
      </c>
      <c r="DC73" s="41">
        <f t="shared" si="1126"/>
        <v>0</v>
      </c>
      <c r="DD73" s="41">
        <f t="shared" si="1126"/>
        <v>0</v>
      </c>
      <c r="DE73" s="41">
        <f t="shared" si="1127"/>
        <v>0</v>
      </c>
      <c r="DF73" s="41">
        <f t="shared" ref="DF73:DH73" si="1128">ROUND(SUM(IF(AND(EP$12&lt;&gt;"",EP$14&lt;&gt;""),IF(EOMONTH($EP$3+INT((DAY(EOMONTH($EP$3,0))-1)/2)+EP$14,0)=EOMONTH($DF$3,0),EP$12*EP$13,0),0),IF(AND(EL$12&lt;&gt;"",EL$14&lt;&gt;""),IF(EOMONTH($EL$3+INT((DAY(EOMONTH($EL$3,0))-1)/2)+EL$14,0)=EOMONTH($DF$3,0),EL$12*EL$13,0),0),IF(AND(EH$12&lt;&gt;"",EH$14&lt;&gt;""),IF(EOMONTH($EH$3+INT((DAY(EOMONTH($EH$3,0))-1)/2)+EH$14,0)=EOMONTH($DF$3,0),EH$12*EH$13,0),0),IF(AND(ED$12&lt;&gt;"",ED$14&lt;&gt;""),IF(EOMONTH($ED$3+INT((DAY(EOMONTH($ED$3,0))-1)/2)+ED$14,0)=EOMONTH($DF$3,0),ED$12*ED$13,0),0),IF(AND(DZ$12&lt;&gt;"",DZ$14&lt;&gt;""),IF(EOMONTH($DZ$3+INT((DAY(EOMONTH($DZ$3,0))-1)/2)+DZ$14,0)=EOMONTH($DF$3,0),DZ$12*DZ$13,0),0),IF(AND(DV$12&lt;&gt;"",DV$14&lt;&gt;""),IF(EOMONTH($DV$3+INT((DAY(EOMONTH($DV$3,0))-1)/2)+DV$14,0)=EOMONTH($DF$3,0),DV$12*DV$13,0),0),IF(AND(DR$12&lt;&gt;"",DR$14&lt;&gt;""),IF(EOMONTH($DR$3+INT((DAY(EOMONTH($DR$3,0))-1)/2)+DR$14,0)=EOMONTH($DF$3,0),DR$12*DR$13,0),0),IF(AND(DN$12&lt;&gt;"",DN$14&lt;&gt;""),IF(EOMONTH($DN$3+INT((DAY(EOMONTH($DN$3,0))-1)/2)+DN$14,0)=EOMONTH($DF$3,0),DN$12*DN$13,0),0),IF(AND(DJ$12&lt;&gt;"",DJ$14&lt;&gt;""),IF(EOMONTH($DJ$3+INT((DAY(EOMONTH($DJ$3,0))-1)/2)+DJ$14,0)=EOMONTH($DF$3,0),DJ$12*DJ$13,0),0),IF(AND(DF$12&lt;&gt;"",DF$14&lt;&gt;""),IF(EOMONTH($DF$3+INT((DAY(EOMONTH($DF$3,0))-1)/2)+DF$14,0)=EOMONTH($DF$3,0),DF$12*DF$13,0),0),IF(AND(DB$12&lt;&gt;"",DB$14&lt;&gt;""),IF(EOMONTH($DB$3+INT((DAY(EOMONTH($DB$3,0))-1)/2)+DB$14,0)=EOMONTH($DF$3,0),DB$12*DB$13,0),0),IF(AND(CX$12&lt;&gt;"",CX$14&lt;&gt;""),IF(EOMONTH($CX$3+INT((DAY(EOMONTH($CX$3,0))-1)/2)+CX$14,0)=EOMONTH($DF$3,0),CX$12*CX$13,0),0),IF(AND(CT$12&lt;&gt;"",CT$14&lt;&gt;""),IF(EOMONTH($CT$3+INT((DAY(EOMONTH($CT$3,0))-1)/2)+CT$14,0)=EOMONTH($DF$3,0),CT$12*CT$13,0),0),IF(AND(CP$12&lt;&gt;"",CP$14&lt;&gt;""),IF(EOMONTH($CP$3+INT((DAY(EOMONTH($CP$3,0))-1)/2)+CP$14,0)=EOMONTH($DF$3,0),CP$12*CP$13,0),0),IF(AND(CL$12&lt;&gt;"",CL$14&lt;&gt;""),IF(EOMONTH($CL$3+INT((DAY(EOMONTH($CL$3,0))-1)/2)+CL$14,0)=EOMONTH($DF$3,0),CL$12*CL$13,0),0),IF(AND(CH$12&lt;&gt;"",CH$14&lt;&gt;""),IF(EOMONTH($CH$3+INT((DAY(EOMONTH($CH$3,0))-1)/2)+CH$14,0)=EOMONTH($DF$3,0),CH$12*CH$13,0),0),IF(AND(CD$12&lt;&gt;"",CD$14&lt;&gt;""),IF(EOMONTH($CD$3+INT((DAY(EOMONTH($CD$3,0))-1)/2)+CD$14,0)=EOMONTH($DF$3,0),CD$12*CD$13,0),0),IF(AND(BZ$12&lt;&gt;"",BZ$14&lt;&gt;""),IF(EOMONTH($BZ$3+INT((DAY(EOMONTH($BZ$3,0))-1)/2)+BZ$14,0)=EOMONTH($DF$3,0),BZ$12*BZ$13,0),0),IF(AND(BV$12&lt;&gt;"",BV$14&lt;&gt;""),IF(EOMONTH($BV$3+INT((DAY(EOMONTH($BV$3,0))-1)/2)+BV$14,0)=EOMONTH($DF$3,0),BV$12*BV$13,0),0),IF(AND(BR$12&lt;&gt;"",BR$14&lt;&gt;""),IF(EOMONTH($BR$3+INT((DAY(EOMONTH($BR$3,0))-1)/2)+BR$14,0)=EOMONTH($DF$3,0),BR$12*BR$13,0),0),IF(AND(BN$12&lt;&gt;"",BN$14&lt;&gt;""),IF(EOMONTH($BN$3+INT((DAY(EOMONTH($BN$3,0))-1)/2)+BN$14,0)=EOMONTH($DF$3,0),BN$12*BN$13,0),0),IF(AND(BJ$12&lt;&gt;"",BJ$14&lt;&gt;""),IF(EOMONTH($BJ$3+INT((DAY(EOMONTH($BJ$3,0))-1)/2)+BJ$14,0)=EOMONTH($DF$3,0),BJ$12*BJ$13,0),0),IF(AND(BF$12&lt;&gt;"",BF$14&lt;&gt;""),IF(EOMONTH($BF$3+INT((DAY(EOMONTH($BF$3,0))-1)/2)+BF$14,0)=EOMONTH($DF$3,0),BF$12*BF$13,0),0),IF(AND(BB$12&lt;&gt;"",BB$14&lt;&gt;""),IF(EOMONTH($BB$3+INT((DAY(EOMONTH($BB$3,0))-1)/2)+BB$14,0)=EOMONTH($DF$3,0),BB$12*BB$13,0),0),IF(AND(AX$12&lt;&gt;"",AX$14&lt;&gt;""),IF(EOMONTH($AX$3+INT((DAY(EOMONTH($AX$3,0))-1)/2)+AX$14,0)=EOMONTH($DF$3,0),AX$12*AX$13,0),0),IF(AND(AT$12&lt;&gt;"",AT$14&lt;&gt;""),IF(EOMONTH($AT$3+INT((DAY(EOMONTH($AT$3,0))-1)/2)+AT$14,0)=EOMONTH($DF$3,0),AT$12*AT$13,0),0),IF(AND(AP$12&lt;&gt;"",AP$14&lt;&gt;""),IF(EOMONTH($AP$3+INT((DAY(EOMONTH($AP$3,0))-1)/2)+AP$14,0)=EOMONTH($DF$3,0),AP$12*AP$13,0),0),IF(AND(AL$12&lt;&gt;"",AL$14&lt;&gt;""),IF(EOMONTH($AL$3+INT((DAY(EOMONTH($AL$3,0))-1)/2)+AL$14,0)=EOMONTH($DF$3,0),AL$12*AL$13,0),0),IF(AND(AH$12&lt;&gt;"",AH$14&lt;&gt;""),IF(EOMONTH($AH$3+INT((DAY(EOMONTH($AH$3,0))-1)/2)+AH$14,0)=EOMONTH($DF$3,0),AH$12*AH$13,0),0),IF(AND(AD$12&lt;&gt;"",AD$14&lt;&gt;""),IF(EOMONTH($AD$3+INT((DAY(EOMONTH($AD$3,0))-1)/2)+AD$14,0)=EOMONTH($DF$3,0),AD$12*AD$13,0),0),IF(AND(Z$12&lt;&gt;"",Z$14&lt;&gt;""),IF(EOMONTH($Z$3+INT((DAY(EOMONTH($Z$3,0))-1)/2)+Z$14,0)=EOMONTH($DF$3,0),Z$12*Z$13,0),0),IF(AND(V$12&lt;&gt;"",V$14&lt;&gt;""),IF(EOMONTH($V$3+INT((DAY(EOMONTH($V$3,0))-1)/2)+V$14,0)=EOMONTH($DF$3,0),V$12*V$13,0),0),IF(AND(R$12&lt;&gt;"",R$14&lt;&gt;""),IF(EOMONTH($R$3+INT((DAY(EOMONTH($R$3,0))-1)/2)+R$14,0)=EOMONTH($DF$3,0),R$12*R$13,0),0),IF(AND(N$12&lt;&gt;"",N$14&lt;&gt;""),IF(EOMONTH($N$3+INT((DAY(EOMONTH($N$3,0))-1)/2)+N$14,0)=EOMONTH($DF$3,0),N$12*N$13,0),0),IF(AND(J$12&lt;&gt;"",J$14&lt;&gt;""),IF(EOMONTH($J$3+INT((DAY(EOMONTH($J$3,0))-1)/2)+J$14,0)=EOMONTH($DF$3,0),J$12*J$13,0),0),IF(AND(F$12&lt;&gt;"",F$14&lt;&gt;""),IF(EOMONTH($F$3+INT((DAY(EOMONTH($F$3,0))-1)/2)+F$14,0)=EOMONTH($DF$3,0),F$12*F$13,0),0),IF($EP$75="",0,IF(EOMONTH($EP$75+EP$14,0)=EOMONTH($DF$3,0),$EP$77*EP$13,0))),0)</f>
        <v>0</v>
      </c>
      <c r="DG73" s="41">
        <f t="shared" si="1128"/>
        <v>0</v>
      </c>
      <c r="DH73" s="41">
        <f t="shared" si="1128"/>
        <v>0</v>
      </c>
      <c r="DI73" s="41">
        <f t="shared" si="1129"/>
        <v>0</v>
      </c>
      <c r="DJ73" s="41">
        <f t="shared" ref="DJ73:DL73" si="1130">ROUND(SUM(IF(AND(EP$12&lt;&gt;"",EP$14&lt;&gt;""),IF(EOMONTH($EP$3+INT((DAY(EOMONTH($EP$3,0))-1)/2)+EP$14,0)=EOMONTH($DJ$3,0),EP$12*EP$13,0),0),IF(AND(EL$12&lt;&gt;"",EL$14&lt;&gt;""),IF(EOMONTH($EL$3+INT((DAY(EOMONTH($EL$3,0))-1)/2)+EL$14,0)=EOMONTH($DJ$3,0),EL$12*EL$13,0),0),IF(AND(EH$12&lt;&gt;"",EH$14&lt;&gt;""),IF(EOMONTH($EH$3+INT((DAY(EOMONTH($EH$3,0))-1)/2)+EH$14,0)=EOMONTH($DJ$3,0),EH$12*EH$13,0),0),IF(AND(ED$12&lt;&gt;"",ED$14&lt;&gt;""),IF(EOMONTH($ED$3+INT((DAY(EOMONTH($ED$3,0))-1)/2)+ED$14,0)=EOMONTH($DJ$3,0),ED$12*ED$13,0),0),IF(AND(DZ$12&lt;&gt;"",DZ$14&lt;&gt;""),IF(EOMONTH($DZ$3+INT((DAY(EOMONTH($DZ$3,0))-1)/2)+DZ$14,0)=EOMONTH($DJ$3,0),DZ$12*DZ$13,0),0),IF(AND(DV$12&lt;&gt;"",DV$14&lt;&gt;""),IF(EOMONTH($DV$3+INT((DAY(EOMONTH($DV$3,0))-1)/2)+DV$14,0)=EOMONTH($DJ$3,0),DV$12*DV$13,0),0),IF(AND(DR$12&lt;&gt;"",DR$14&lt;&gt;""),IF(EOMONTH($DR$3+INT((DAY(EOMONTH($DR$3,0))-1)/2)+DR$14,0)=EOMONTH($DJ$3,0),DR$12*DR$13,0),0),IF(AND(DN$12&lt;&gt;"",DN$14&lt;&gt;""),IF(EOMONTH($DN$3+INT((DAY(EOMONTH($DN$3,0))-1)/2)+DN$14,0)=EOMONTH($DJ$3,0),DN$12*DN$13,0),0),IF(AND(DJ$12&lt;&gt;"",DJ$14&lt;&gt;""),IF(EOMONTH($DJ$3+INT((DAY(EOMONTH($DJ$3,0))-1)/2)+DJ$14,0)=EOMONTH($DJ$3,0),DJ$12*DJ$13,0),0),IF(AND(DF$12&lt;&gt;"",DF$14&lt;&gt;""),IF(EOMONTH($DF$3+INT((DAY(EOMONTH($DF$3,0))-1)/2)+DF$14,0)=EOMONTH($DJ$3,0),DF$12*DF$13,0),0),IF(AND(DB$12&lt;&gt;"",DB$14&lt;&gt;""),IF(EOMONTH($DB$3+INT((DAY(EOMONTH($DB$3,0))-1)/2)+DB$14,0)=EOMONTH($DJ$3,0),DB$12*DB$13,0),0),IF(AND(CX$12&lt;&gt;"",CX$14&lt;&gt;""),IF(EOMONTH($CX$3+INT((DAY(EOMONTH($CX$3,0))-1)/2)+CX$14,0)=EOMONTH($DJ$3,0),CX$12*CX$13,0),0),IF(AND(CT$12&lt;&gt;"",CT$14&lt;&gt;""),IF(EOMONTH($CT$3+INT((DAY(EOMONTH($CT$3,0))-1)/2)+CT$14,0)=EOMONTH($DJ$3,0),CT$12*CT$13,0),0),IF(AND(CP$12&lt;&gt;"",CP$14&lt;&gt;""),IF(EOMONTH($CP$3+INT((DAY(EOMONTH($CP$3,0))-1)/2)+CP$14,0)=EOMONTH($DJ$3,0),CP$12*CP$13,0),0),IF(AND(CL$12&lt;&gt;"",CL$14&lt;&gt;""),IF(EOMONTH($CL$3+INT((DAY(EOMONTH($CL$3,0))-1)/2)+CL$14,0)=EOMONTH($DJ$3,0),CL$12*CL$13,0),0),IF(AND(CH$12&lt;&gt;"",CH$14&lt;&gt;""),IF(EOMONTH($CH$3+INT((DAY(EOMONTH($CH$3,0))-1)/2)+CH$14,0)=EOMONTH($DJ$3,0),CH$12*CH$13,0),0),IF(AND(CD$12&lt;&gt;"",CD$14&lt;&gt;""),IF(EOMONTH($CD$3+INT((DAY(EOMONTH($CD$3,0))-1)/2)+CD$14,0)=EOMONTH($DJ$3,0),CD$12*CD$13,0),0),IF(AND(BZ$12&lt;&gt;"",BZ$14&lt;&gt;""),IF(EOMONTH($BZ$3+INT((DAY(EOMONTH($BZ$3,0))-1)/2)+BZ$14,0)=EOMONTH($DJ$3,0),BZ$12*BZ$13,0),0),IF(AND(BV$12&lt;&gt;"",BV$14&lt;&gt;""),IF(EOMONTH($BV$3+INT((DAY(EOMONTH($BV$3,0))-1)/2)+BV$14,0)=EOMONTH($DJ$3,0),BV$12*BV$13,0),0),IF(AND(BR$12&lt;&gt;"",BR$14&lt;&gt;""),IF(EOMONTH($BR$3+INT((DAY(EOMONTH($BR$3,0))-1)/2)+BR$14,0)=EOMONTH($DJ$3,0),BR$12*BR$13,0),0),IF(AND(BN$12&lt;&gt;"",BN$14&lt;&gt;""),IF(EOMONTH($BN$3+INT((DAY(EOMONTH($BN$3,0))-1)/2)+BN$14,0)=EOMONTH($DJ$3,0),BN$12*BN$13,0),0),IF(AND(BJ$12&lt;&gt;"",BJ$14&lt;&gt;""),IF(EOMONTH($BJ$3+INT((DAY(EOMONTH($BJ$3,0))-1)/2)+BJ$14,0)=EOMONTH($DJ$3,0),BJ$12*BJ$13,0),0),IF(AND(BF$12&lt;&gt;"",BF$14&lt;&gt;""),IF(EOMONTH($BF$3+INT((DAY(EOMONTH($BF$3,0))-1)/2)+BF$14,0)=EOMONTH($DJ$3,0),BF$12*BF$13,0),0),IF(AND(BB$12&lt;&gt;"",BB$14&lt;&gt;""),IF(EOMONTH($BB$3+INT((DAY(EOMONTH($BB$3,0))-1)/2)+BB$14,0)=EOMONTH($DJ$3,0),BB$12*BB$13,0),0),IF(AND(AX$12&lt;&gt;"",AX$14&lt;&gt;""),IF(EOMONTH($AX$3+INT((DAY(EOMONTH($AX$3,0))-1)/2)+AX$14,0)=EOMONTH($DJ$3,0),AX$12*AX$13,0),0),IF(AND(AT$12&lt;&gt;"",AT$14&lt;&gt;""),IF(EOMONTH($AT$3+INT((DAY(EOMONTH($AT$3,0))-1)/2)+AT$14,0)=EOMONTH($DJ$3,0),AT$12*AT$13,0),0),IF(AND(AP$12&lt;&gt;"",AP$14&lt;&gt;""),IF(EOMONTH($AP$3+INT((DAY(EOMONTH($AP$3,0))-1)/2)+AP$14,0)=EOMONTH($DJ$3,0),AP$12*AP$13,0),0),IF(AND(AL$12&lt;&gt;"",AL$14&lt;&gt;""),IF(EOMONTH($AL$3+INT((DAY(EOMONTH($AL$3,0))-1)/2)+AL$14,0)=EOMONTH($DJ$3,0),AL$12*AL$13,0),0),IF(AND(AH$12&lt;&gt;"",AH$14&lt;&gt;""),IF(EOMONTH($AH$3+INT((DAY(EOMONTH($AH$3,0))-1)/2)+AH$14,0)=EOMONTH($DJ$3,0),AH$12*AH$13,0),0),IF(AND(AD$12&lt;&gt;"",AD$14&lt;&gt;""),IF(EOMONTH($AD$3+INT((DAY(EOMONTH($AD$3,0))-1)/2)+AD$14,0)=EOMONTH($DJ$3,0),AD$12*AD$13,0),0),IF(AND(Z$12&lt;&gt;"",Z$14&lt;&gt;""),IF(EOMONTH($Z$3+INT((DAY(EOMONTH($Z$3,0))-1)/2)+Z$14,0)=EOMONTH($DJ$3,0),Z$12*Z$13,0),0),IF(AND(V$12&lt;&gt;"",V$14&lt;&gt;""),IF(EOMONTH($V$3+INT((DAY(EOMONTH($V$3,0))-1)/2)+V$14,0)=EOMONTH($DJ$3,0),V$12*V$13,0),0),IF(AND(R$12&lt;&gt;"",R$14&lt;&gt;""),IF(EOMONTH($R$3+INT((DAY(EOMONTH($R$3,0))-1)/2)+R$14,0)=EOMONTH($DJ$3,0),R$12*R$13,0),0),IF(AND(N$12&lt;&gt;"",N$14&lt;&gt;""),IF(EOMONTH($N$3+INT((DAY(EOMONTH($N$3,0))-1)/2)+N$14,0)=EOMONTH($DJ$3,0),N$12*N$13,0),0),IF(AND(J$12&lt;&gt;"",J$14&lt;&gt;""),IF(EOMONTH($J$3+INT((DAY(EOMONTH($J$3,0))-1)/2)+J$14,0)=EOMONTH($DJ$3,0),J$12*J$13,0),0),IF(AND(F$12&lt;&gt;"",F$14&lt;&gt;""),IF(EOMONTH($F$3+INT((DAY(EOMONTH($F$3,0))-1)/2)+F$14,0)=EOMONTH($DJ$3,0),F$12*F$13,0),0),IF($EP$75="",0,IF(EOMONTH($EP$75+EP$14,0)=EOMONTH($DJ$3,0),$EP$77*EP$13,0))),0)</f>
        <v>0</v>
      </c>
      <c r="DK73" s="41">
        <f t="shared" si="1130"/>
        <v>0</v>
      </c>
      <c r="DL73" s="41">
        <f t="shared" si="1130"/>
        <v>0</v>
      </c>
      <c r="DM73" s="41">
        <f t="shared" si="1131"/>
        <v>0</v>
      </c>
      <c r="DN73" s="41">
        <f t="shared" ref="DN73:DP73" si="1132">ROUND(SUM(IF(AND(EP$12&lt;&gt;"",EP$14&lt;&gt;""),IF(EOMONTH($EP$3+INT((DAY(EOMONTH($EP$3,0))-1)/2)+EP$14,0)=EOMONTH($DN$3,0),EP$12*EP$13,0),0),IF(AND(EL$12&lt;&gt;"",EL$14&lt;&gt;""),IF(EOMONTH($EL$3+INT((DAY(EOMONTH($EL$3,0))-1)/2)+EL$14,0)=EOMONTH($DN$3,0),EL$12*EL$13,0),0),IF(AND(EH$12&lt;&gt;"",EH$14&lt;&gt;""),IF(EOMONTH($EH$3+INT((DAY(EOMONTH($EH$3,0))-1)/2)+EH$14,0)=EOMONTH($DN$3,0),EH$12*EH$13,0),0),IF(AND(ED$12&lt;&gt;"",ED$14&lt;&gt;""),IF(EOMONTH($ED$3+INT((DAY(EOMONTH($ED$3,0))-1)/2)+ED$14,0)=EOMONTH($DN$3,0),ED$12*ED$13,0),0),IF(AND(DZ$12&lt;&gt;"",DZ$14&lt;&gt;""),IF(EOMONTH($DZ$3+INT((DAY(EOMONTH($DZ$3,0))-1)/2)+DZ$14,0)=EOMONTH($DN$3,0),DZ$12*DZ$13,0),0),IF(AND(DV$12&lt;&gt;"",DV$14&lt;&gt;""),IF(EOMONTH($DV$3+INT((DAY(EOMONTH($DV$3,0))-1)/2)+DV$14,0)=EOMONTH($DN$3,0),DV$12*DV$13,0),0),IF(AND(DR$12&lt;&gt;"",DR$14&lt;&gt;""),IF(EOMONTH($DR$3+INT((DAY(EOMONTH($DR$3,0))-1)/2)+DR$14,0)=EOMONTH($DN$3,0),DR$12*DR$13,0),0),IF(AND(DN$12&lt;&gt;"",DN$14&lt;&gt;""),IF(EOMONTH($DN$3+INT((DAY(EOMONTH($DN$3,0))-1)/2)+DN$14,0)=EOMONTH($DN$3,0),DN$12*DN$13,0),0),IF(AND(DJ$12&lt;&gt;"",DJ$14&lt;&gt;""),IF(EOMONTH($DJ$3+INT((DAY(EOMONTH($DJ$3,0))-1)/2)+DJ$14,0)=EOMONTH($DN$3,0),DJ$12*DJ$13,0),0),IF(AND(DF$12&lt;&gt;"",DF$14&lt;&gt;""),IF(EOMONTH($DF$3+INT((DAY(EOMONTH($DF$3,0))-1)/2)+DF$14,0)=EOMONTH($DN$3,0),DF$12*DF$13,0),0),IF(AND(DB$12&lt;&gt;"",DB$14&lt;&gt;""),IF(EOMONTH($DB$3+INT((DAY(EOMONTH($DB$3,0))-1)/2)+DB$14,0)=EOMONTH($DN$3,0),DB$12*DB$13,0),0),IF(AND(CX$12&lt;&gt;"",CX$14&lt;&gt;""),IF(EOMONTH($CX$3+INT((DAY(EOMONTH($CX$3,0))-1)/2)+CX$14,0)=EOMONTH($DN$3,0),CX$12*CX$13,0),0),IF(AND(CT$12&lt;&gt;"",CT$14&lt;&gt;""),IF(EOMONTH($CT$3+INT((DAY(EOMONTH($CT$3,0))-1)/2)+CT$14,0)=EOMONTH($DN$3,0),CT$12*CT$13,0),0),IF(AND(CP$12&lt;&gt;"",CP$14&lt;&gt;""),IF(EOMONTH($CP$3+INT((DAY(EOMONTH($CP$3,0))-1)/2)+CP$14,0)=EOMONTH($DN$3,0),CP$12*CP$13,0),0),IF(AND(CL$12&lt;&gt;"",CL$14&lt;&gt;""),IF(EOMONTH($CL$3+INT((DAY(EOMONTH($CL$3,0))-1)/2)+CL$14,0)=EOMONTH($DN$3,0),CL$12*CL$13,0),0),IF(AND(CH$12&lt;&gt;"",CH$14&lt;&gt;""),IF(EOMONTH($CH$3+INT((DAY(EOMONTH($CH$3,0))-1)/2)+CH$14,0)=EOMONTH($DN$3,0),CH$12*CH$13,0),0),IF(AND(CD$12&lt;&gt;"",CD$14&lt;&gt;""),IF(EOMONTH($CD$3+INT((DAY(EOMONTH($CD$3,0))-1)/2)+CD$14,0)=EOMONTH($DN$3,0),CD$12*CD$13,0),0),IF(AND(BZ$12&lt;&gt;"",BZ$14&lt;&gt;""),IF(EOMONTH($BZ$3+INT((DAY(EOMONTH($BZ$3,0))-1)/2)+BZ$14,0)=EOMONTH($DN$3,0),BZ$12*BZ$13,0),0),IF(AND(BV$12&lt;&gt;"",BV$14&lt;&gt;""),IF(EOMONTH($BV$3+INT((DAY(EOMONTH($BV$3,0))-1)/2)+BV$14,0)=EOMONTH($DN$3,0),BV$12*BV$13,0),0),IF(AND(BR$12&lt;&gt;"",BR$14&lt;&gt;""),IF(EOMONTH($BR$3+INT((DAY(EOMONTH($BR$3,0))-1)/2)+BR$14,0)=EOMONTH($DN$3,0),BR$12*BR$13,0),0),IF(AND(BN$12&lt;&gt;"",BN$14&lt;&gt;""),IF(EOMONTH($BN$3+INT((DAY(EOMONTH($BN$3,0))-1)/2)+BN$14,0)=EOMONTH($DN$3,0),BN$12*BN$13,0),0),IF(AND(BJ$12&lt;&gt;"",BJ$14&lt;&gt;""),IF(EOMONTH($BJ$3+INT((DAY(EOMONTH($BJ$3,0))-1)/2)+BJ$14,0)=EOMONTH($DN$3,0),BJ$12*BJ$13,0),0),IF(AND(BF$12&lt;&gt;"",BF$14&lt;&gt;""),IF(EOMONTH($BF$3+INT((DAY(EOMONTH($BF$3,0))-1)/2)+BF$14,0)=EOMONTH($DN$3,0),BF$12*BF$13,0),0),IF(AND(BB$12&lt;&gt;"",BB$14&lt;&gt;""),IF(EOMONTH($BB$3+INT((DAY(EOMONTH($BB$3,0))-1)/2)+BB$14,0)=EOMONTH($DN$3,0),BB$12*BB$13,0),0),IF(AND(AX$12&lt;&gt;"",AX$14&lt;&gt;""),IF(EOMONTH($AX$3+INT((DAY(EOMONTH($AX$3,0))-1)/2)+AX$14,0)=EOMONTH($DN$3,0),AX$12*AX$13,0),0),IF(AND(AT$12&lt;&gt;"",AT$14&lt;&gt;""),IF(EOMONTH($AT$3+INT((DAY(EOMONTH($AT$3,0))-1)/2)+AT$14,0)=EOMONTH($DN$3,0),AT$12*AT$13,0),0),IF(AND(AP$12&lt;&gt;"",AP$14&lt;&gt;""),IF(EOMONTH($AP$3+INT((DAY(EOMONTH($AP$3,0))-1)/2)+AP$14,0)=EOMONTH($DN$3,0),AP$12*AP$13,0),0),IF(AND(AL$12&lt;&gt;"",AL$14&lt;&gt;""),IF(EOMONTH($AL$3+INT((DAY(EOMONTH($AL$3,0))-1)/2)+AL$14,0)=EOMONTH($DN$3,0),AL$12*AL$13,0),0),IF(AND(AH$12&lt;&gt;"",AH$14&lt;&gt;""),IF(EOMONTH($AH$3+INT((DAY(EOMONTH($AH$3,0))-1)/2)+AH$14,0)=EOMONTH($DN$3,0),AH$12*AH$13,0),0),IF(AND(AD$12&lt;&gt;"",AD$14&lt;&gt;""),IF(EOMONTH($AD$3+INT((DAY(EOMONTH($AD$3,0))-1)/2)+AD$14,0)=EOMONTH($DN$3,0),AD$12*AD$13,0),0),IF(AND(Z$12&lt;&gt;"",Z$14&lt;&gt;""),IF(EOMONTH($Z$3+INT((DAY(EOMONTH($Z$3,0))-1)/2)+Z$14,0)=EOMONTH($DN$3,0),Z$12*Z$13,0),0),IF(AND(V$12&lt;&gt;"",V$14&lt;&gt;""),IF(EOMONTH($V$3+INT((DAY(EOMONTH($V$3,0))-1)/2)+V$14,0)=EOMONTH($DN$3,0),V$12*V$13,0),0),IF(AND(R$12&lt;&gt;"",R$14&lt;&gt;""),IF(EOMONTH($R$3+INT((DAY(EOMONTH($R$3,0))-1)/2)+R$14,0)=EOMONTH($DN$3,0),R$12*R$13,0),0),IF(AND(N$12&lt;&gt;"",N$14&lt;&gt;""),IF(EOMONTH($N$3+INT((DAY(EOMONTH($N$3,0))-1)/2)+N$14,0)=EOMONTH($DN$3,0),N$12*N$13,0),0),IF(AND(J$12&lt;&gt;"",J$14&lt;&gt;""),IF(EOMONTH($J$3+INT((DAY(EOMONTH($J$3,0))-1)/2)+J$14,0)=EOMONTH($DN$3,0),J$12*J$13,0),0),IF(AND(F$12&lt;&gt;"",F$14&lt;&gt;""),IF(EOMONTH($F$3+INT((DAY(EOMONTH($F$3,0))-1)/2)+F$14,0)=EOMONTH($DN$3,0),F$12*F$13,0),0),IF($EP$75="",0,IF(EOMONTH($EP$75+EP$14,0)=EOMONTH($DN$3,0),$EP$77*EP$13,0))),0)</f>
        <v>0</v>
      </c>
      <c r="DO73" s="41">
        <f t="shared" si="1132"/>
        <v>0</v>
      </c>
      <c r="DP73" s="41">
        <f t="shared" si="1132"/>
        <v>0</v>
      </c>
      <c r="DQ73" s="41">
        <f t="shared" si="1133"/>
        <v>0</v>
      </c>
      <c r="DR73" s="41">
        <f t="shared" ref="DR73:DT73" si="1134">ROUND(SUM(IF(AND(EP$12&lt;&gt;"",EP$14&lt;&gt;""),IF(EOMONTH($EP$3+INT((DAY(EOMONTH($EP$3,0))-1)/2)+EP$14,0)=EOMONTH($DR$3,0),EP$12*EP$13,0),0),IF(AND(EL$12&lt;&gt;"",EL$14&lt;&gt;""),IF(EOMONTH($EL$3+INT((DAY(EOMONTH($EL$3,0))-1)/2)+EL$14,0)=EOMONTH($DR$3,0),EL$12*EL$13,0),0),IF(AND(EH$12&lt;&gt;"",EH$14&lt;&gt;""),IF(EOMONTH($EH$3+INT((DAY(EOMONTH($EH$3,0))-1)/2)+EH$14,0)=EOMONTH($DR$3,0),EH$12*EH$13,0),0),IF(AND(ED$12&lt;&gt;"",ED$14&lt;&gt;""),IF(EOMONTH($ED$3+INT((DAY(EOMONTH($ED$3,0))-1)/2)+ED$14,0)=EOMONTH($DR$3,0),ED$12*ED$13,0),0),IF(AND(DZ$12&lt;&gt;"",DZ$14&lt;&gt;""),IF(EOMONTH($DZ$3+INT((DAY(EOMONTH($DZ$3,0))-1)/2)+DZ$14,0)=EOMONTH($DR$3,0),DZ$12*DZ$13,0),0),IF(AND(DV$12&lt;&gt;"",DV$14&lt;&gt;""),IF(EOMONTH($DV$3+INT((DAY(EOMONTH($DV$3,0))-1)/2)+DV$14,0)=EOMONTH($DR$3,0),DV$12*DV$13,0),0),IF(AND(DR$12&lt;&gt;"",DR$14&lt;&gt;""),IF(EOMONTH($DR$3+INT((DAY(EOMONTH($DR$3,0))-1)/2)+DR$14,0)=EOMONTH($DR$3,0),DR$12*DR$13,0),0),IF(AND(DN$12&lt;&gt;"",DN$14&lt;&gt;""),IF(EOMONTH($DN$3+INT((DAY(EOMONTH($DN$3,0))-1)/2)+DN$14,0)=EOMONTH($DR$3,0),DN$12*DN$13,0),0),IF(AND(DJ$12&lt;&gt;"",DJ$14&lt;&gt;""),IF(EOMONTH($DJ$3+INT((DAY(EOMONTH($DJ$3,0))-1)/2)+DJ$14,0)=EOMONTH($DR$3,0),DJ$12*DJ$13,0),0),IF(AND(DF$12&lt;&gt;"",DF$14&lt;&gt;""),IF(EOMONTH($DF$3+INT((DAY(EOMONTH($DF$3,0))-1)/2)+DF$14,0)=EOMONTH($DR$3,0),DF$12*DF$13,0),0),IF(AND(DB$12&lt;&gt;"",DB$14&lt;&gt;""),IF(EOMONTH($DB$3+INT((DAY(EOMONTH($DB$3,0))-1)/2)+DB$14,0)=EOMONTH($DR$3,0),DB$12*DB$13,0),0),IF(AND(CX$12&lt;&gt;"",CX$14&lt;&gt;""),IF(EOMONTH($CX$3+INT((DAY(EOMONTH($CX$3,0))-1)/2)+CX$14,0)=EOMONTH($DR$3,0),CX$12*CX$13,0),0),IF(AND(CT$12&lt;&gt;"",CT$14&lt;&gt;""),IF(EOMONTH($CT$3+INT((DAY(EOMONTH($CT$3,0))-1)/2)+CT$14,0)=EOMONTH($DR$3,0),CT$12*CT$13,0),0),IF(AND(CP$12&lt;&gt;"",CP$14&lt;&gt;""),IF(EOMONTH($CP$3+INT((DAY(EOMONTH($CP$3,0))-1)/2)+CP$14,0)=EOMONTH($DR$3,0),CP$12*CP$13,0),0),IF(AND(CL$12&lt;&gt;"",CL$14&lt;&gt;""),IF(EOMONTH($CL$3+INT((DAY(EOMONTH($CL$3,0))-1)/2)+CL$14,0)=EOMONTH($DR$3,0),CL$12*CL$13,0),0),IF(AND(CH$12&lt;&gt;"",CH$14&lt;&gt;""),IF(EOMONTH($CH$3+INT((DAY(EOMONTH($CH$3,0))-1)/2)+CH$14,0)=EOMONTH($DR$3,0),CH$12*CH$13,0),0),IF(AND(CD$12&lt;&gt;"",CD$14&lt;&gt;""),IF(EOMONTH($CD$3+INT((DAY(EOMONTH($CD$3,0))-1)/2)+CD$14,0)=EOMONTH($DR$3,0),CD$12*CD$13,0),0),IF(AND(BZ$12&lt;&gt;"",BZ$14&lt;&gt;""),IF(EOMONTH($BZ$3+INT((DAY(EOMONTH($BZ$3,0))-1)/2)+BZ$14,0)=EOMONTH($DR$3,0),BZ$12*BZ$13,0),0),IF(AND(BV$12&lt;&gt;"",BV$14&lt;&gt;""),IF(EOMONTH($BV$3+INT((DAY(EOMONTH($BV$3,0))-1)/2)+BV$14,0)=EOMONTH($DR$3,0),BV$12*BV$13,0),0),IF(AND(BR$12&lt;&gt;"",BR$14&lt;&gt;""),IF(EOMONTH($BR$3+INT((DAY(EOMONTH($BR$3,0))-1)/2)+BR$14,0)=EOMONTH($DR$3,0),BR$12*BR$13,0),0),IF(AND(BN$12&lt;&gt;"",BN$14&lt;&gt;""),IF(EOMONTH($BN$3+INT((DAY(EOMONTH($BN$3,0))-1)/2)+BN$14,0)=EOMONTH($DR$3,0),BN$12*BN$13,0),0),IF(AND(BJ$12&lt;&gt;"",BJ$14&lt;&gt;""),IF(EOMONTH($BJ$3+INT((DAY(EOMONTH($BJ$3,0))-1)/2)+BJ$14,0)=EOMONTH($DR$3,0),BJ$12*BJ$13,0),0),IF(AND(BF$12&lt;&gt;"",BF$14&lt;&gt;""),IF(EOMONTH($BF$3+INT((DAY(EOMONTH($BF$3,0))-1)/2)+BF$14,0)=EOMONTH($DR$3,0),BF$12*BF$13,0),0),IF(AND(BB$12&lt;&gt;"",BB$14&lt;&gt;""),IF(EOMONTH($BB$3+INT((DAY(EOMONTH($BB$3,0))-1)/2)+BB$14,0)=EOMONTH($DR$3,0),BB$12*BB$13,0),0),IF(AND(AX$12&lt;&gt;"",AX$14&lt;&gt;""),IF(EOMONTH($AX$3+INT((DAY(EOMONTH($AX$3,0))-1)/2)+AX$14,0)=EOMONTH($DR$3,0),AX$12*AX$13,0),0),IF(AND(AT$12&lt;&gt;"",AT$14&lt;&gt;""),IF(EOMONTH($AT$3+INT((DAY(EOMONTH($AT$3,0))-1)/2)+AT$14,0)=EOMONTH($DR$3,0),AT$12*AT$13,0),0),IF(AND(AP$12&lt;&gt;"",AP$14&lt;&gt;""),IF(EOMONTH($AP$3+INT((DAY(EOMONTH($AP$3,0))-1)/2)+AP$14,0)=EOMONTH($DR$3,0),AP$12*AP$13,0),0),IF(AND(AL$12&lt;&gt;"",AL$14&lt;&gt;""),IF(EOMONTH($AL$3+INT((DAY(EOMONTH($AL$3,0))-1)/2)+AL$14,0)=EOMONTH($DR$3,0),AL$12*AL$13,0),0),IF(AND(AH$12&lt;&gt;"",AH$14&lt;&gt;""),IF(EOMONTH($AH$3+INT((DAY(EOMONTH($AH$3,0))-1)/2)+AH$14,0)=EOMONTH($DR$3,0),AH$12*AH$13,0),0),IF(AND(AD$12&lt;&gt;"",AD$14&lt;&gt;""),IF(EOMONTH($AD$3+INT((DAY(EOMONTH($AD$3,0))-1)/2)+AD$14,0)=EOMONTH($DR$3,0),AD$12*AD$13,0),0),IF(AND(Z$12&lt;&gt;"",Z$14&lt;&gt;""),IF(EOMONTH($Z$3+INT((DAY(EOMONTH($Z$3,0))-1)/2)+Z$14,0)=EOMONTH($DR$3,0),Z$12*Z$13,0),0),IF(AND(V$12&lt;&gt;"",V$14&lt;&gt;""),IF(EOMONTH($V$3+INT((DAY(EOMONTH($V$3,0))-1)/2)+V$14,0)=EOMONTH($DR$3,0),V$12*V$13,0),0),IF(AND(R$12&lt;&gt;"",R$14&lt;&gt;""),IF(EOMONTH($R$3+INT((DAY(EOMONTH($R$3,0))-1)/2)+R$14,0)=EOMONTH($DR$3,0),R$12*R$13,0),0),IF(AND(N$12&lt;&gt;"",N$14&lt;&gt;""),IF(EOMONTH($N$3+INT((DAY(EOMONTH($N$3,0))-1)/2)+N$14,0)=EOMONTH($DR$3,0),N$12*N$13,0),0),IF(AND(J$12&lt;&gt;"",J$14&lt;&gt;""),IF(EOMONTH($J$3+INT((DAY(EOMONTH($J$3,0))-1)/2)+J$14,0)=EOMONTH($DR$3,0),J$12*J$13,0),0),IF(AND(F$12&lt;&gt;"",F$14&lt;&gt;""),IF(EOMONTH($F$3+INT((DAY(EOMONTH($F$3,0))-1)/2)+F$14,0)=EOMONTH($DR$3,0),F$12*F$13,0),0),IF($EP$75="",0,IF(EOMONTH($EP$75+EP$14,0)=EOMONTH($DR$3,0),$EP$77*EP$13,0))),0)</f>
        <v>0</v>
      </c>
      <c r="DS73" s="41">
        <f t="shared" si="1134"/>
        <v>0</v>
      </c>
      <c r="DT73" s="41">
        <f t="shared" si="1134"/>
        <v>0</v>
      </c>
      <c r="DU73" s="41">
        <f t="shared" si="1135"/>
        <v>0</v>
      </c>
      <c r="DV73" s="41">
        <f t="shared" ref="DV73:DX73" si="1136">ROUND(SUM(IF(AND(EP$12&lt;&gt;"",EP$14&lt;&gt;""),IF(EOMONTH($EP$3+INT((DAY(EOMONTH($EP$3,0))-1)/2)+EP$14,0)=EOMONTH($DV$3,0),EP$12*EP$13,0),0),IF(AND(EL$12&lt;&gt;"",EL$14&lt;&gt;""),IF(EOMONTH($EL$3+INT((DAY(EOMONTH($EL$3,0))-1)/2)+EL$14,0)=EOMONTH($DV$3,0),EL$12*EL$13,0),0),IF(AND(EH$12&lt;&gt;"",EH$14&lt;&gt;""),IF(EOMONTH($EH$3+INT((DAY(EOMONTH($EH$3,0))-1)/2)+EH$14,0)=EOMONTH($DV$3,0),EH$12*EH$13,0),0),IF(AND(ED$12&lt;&gt;"",ED$14&lt;&gt;""),IF(EOMONTH($ED$3+INT((DAY(EOMONTH($ED$3,0))-1)/2)+ED$14,0)=EOMONTH($DV$3,0),ED$12*ED$13,0),0),IF(AND(DZ$12&lt;&gt;"",DZ$14&lt;&gt;""),IF(EOMONTH($DZ$3+INT((DAY(EOMONTH($DZ$3,0))-1)/2)+DZ$14,0)=EOMONTH($DV$3,0),DZ$12*DZ$13,0),0),IF(AND(DV$12&lt;&gt;"",DV$14&lt;&gt;""),IF(EOMONTH($DV$3+INT((DAY(EOMONTH($DV$3,0))-1)/2)+DV$14,0)=EOMONTH($DV$3,0),DV$12*DV$13,0),0),IF(AND(DR$12&lt;&gt;"",DR$14&lt;&gt;""),IF(EOMONTH($DR$3+INT((DAY(EOMONTH($DR$3,0))-1)/2)+DR$14,0)=EOMONTH($DV$3,0),DR$12*DR$13,0),0),IF(AND(DN$12&lt;&gt;"",DN$14&lt;&gt;""),IF(EOMONTH($DN$3+INT((DAY(EOMONTH($DN$3,0))-1)/2)+DN$14,0)=EOMONTH($DV$3,0),DN$12*DN$13,0),0),IF(AND(DJ$12&lt;&gt;"",DJ$14&lt;&gt;""),IF(EOMONTH($DJ$3+INT((DAY(EOMONTH($DJ$3,0))-1)/2)+DJ$14,0)=EOMONTH($DV$3,0),DJ$12*DJ$13,0),0),IF(AND(DF$12&lt;&gt;"",DF$14&lt;&gt;""),IF(EOMONTH($DF$3+INT((DAY(EOMONTH($DF$3,0))-1)/2)+DF$14,0)=EOMONTH($DV$3,0),DF$12*DF$13,0),0),IF(AND(DB$12&lt;&gt;"",DB$14&lt;&gt;""),IF(EOMONTH($DB$3+INT((DAY(EOMONTH($DB$3,0))-1)/2)+DB$14,0)=EOMONTH($DV$3,0),DB$12*DB$13,0),0),IF(AND(CX$12&lt;&gt;"",CX$14&lt;&gt;""),IF(EOMONTH($CX$3+INT((DAY(EOMONTH($CX$3,0))-1)/2)+CX$14,0)=EOMONTH($DV$3,0),CX$12*CX$13,0),0),IF(AND(CT$12&lt;&gt;"",CT$14&lt;&gt;""),IF(EOMONTH($CT$3+INT((DAY(EOMONTH($CT$3,0))-1)/2)+CT$14,0)=EOMONTH($DV$3,0),CT$12*CT$13,0),0),IF(AND(CP$12&lt;&gt;"",CP$14&lt;&gt;""),IF(EOMONTH($CP$3+INT((DAY(EOMONTH($CP$3,0))-1)/2)+CP$14,0)=EOMONTH($DV$3,0),CP$12*CP$13,0),0),IF(AND(CL$12&lt;&gt;"",CL$14&lt;&gt;""),IF(EOMONTH($CL$3+INT((DAY(EOMONTH($CL$3,0))-1)/2)+CL$14,0)=EOMONTH($DV$3,0),CL$12*CL$13,0),0),IF(AND(CH$12&lt;&gt;"",CH$14&lt;&gt;""),IF(EOMONTH($CH$3+INT((DAY(EOMONTH($CH$3,0))-1)/2)+CH$14,0)=EOMONTH($DV$3,0),CH$12*CH$13,0),0),IF(AND(CD$12&lt;&gt;"",CD$14&lt;&gt;""),IF(EOMONTH($CD$3+INT((DAY(EOMONTH($CD$3,0))-1)/2)+CD$14,0)=EOMONTH($DV$3,0),CD$12*CD$13,0),0),IF(AND(BZ$12&lt;&gt;"",BZ$14&lt;&gt;""),IF(EOMONTH($BZ$3+INT((DAY(EOMONTH($BZ$3,0))-1)/2)+BZ$14,0)=EOMONTH($DV$3,0),BZ$12*BZ$13,0),0),IF(AND(BV$12&lt;&gt;"",BV$14&lt;&gt;""),IF(EOMONTH($BV$3+INT((DAY(EOMONTH($BV$3,0))-1)/2)+BV$14,0)=EOMONTH($DV$3,0),BV$12*BV$13,0),0),IF(AND(BR$12&lt;&gt;"",BR$14&lt;&gt;""),IF(EOMONTH($BR$3+INT((DAY(EOMONTH($BR$3,0))-1)/2)+BR$14,0)=EOMONTH($DV$3,0),BR$12*BR$13,0),0),IF(AND(BN$12&lt;&gt;"",BN$14&lt;&gt;""),IF(EOMONTH($BN$3+INT((DAY(EOMONTH($BN$3,0))-1)/2)+BN$14,0)=EOMONTH($DV$3,0),BN$12*BN$13,0),0),IF(AND(BJ$12&lt;&gt;"",BJ$14&lt;&gt;""),IF(EOMONTH($BJ$3+INT((DAY(EOMONTH($BJ$3,0))-1)/2)+BJ$14,0)=EOMONTH($DV$3,0),BJ$12*BJ$13,0),0),IF(AND(BF$12&lt;&gt;"",BF$14&lt;&gt;""),IF(EOMONTH($BF$3+INT((DAY(EOMONTH($BF$3,0))-1)/2)+BF$14,0)=EOMONTH($DV$3,0),BF$12*BF$13,0),0),IF(AND(BB$12&lt;&gt;"",BB$14&lt;&gt;""),IF(EOMONTH($BB$3+INT((DAY(EOMONTH($BB$3,0))-1)/2)+BB$14,0)=EOMONTH($DV$3,0),BB$12*BB$13,0),0),IF(AND(AX$12&lt;&gt;"",AX$14&lt;&gt;""),IF(EOMONTH($AX$3+INT((DAY(EOMONTH($AX$3,0))-1)/2)+AX$14,0)=EOMONTH($DV$3,0),AX$12*AX$13,0),0),IF(AND(AT$12&lt;&gt;"",AT$14&lt;&gt;""),IF(EOMONTH($AT$3+INT((DAY(EOMONTH($AT$3,0))-1)/2)+AT$14,0)=EOMONTH($DV$3,0),AT$12*AT$13,0),0),IF(AND(AP$12&lt;&gt;"",AP$14&lt;&gt;""),IF(EOMONTH($AP$3+INT((DAY(EOMONTH($AP$3,0))-1)/2)+AP$14,0)=EOMONTH($DV$3,0),AP$12*AP$13,0),0),IF(AND(AL$12&lt;&gt;"",AL$14&lt;&gt;""),IF(EOMONTH($AL$3+INT((DAY(EOMONTH($AL$3,0))-1)/2)+AL$14,0)=EOMONTH($DV$3,0),AL$12*AL$13,0),0),IF(AND(AH$12&lt;&gt;"",AH$14&lt;&gt;""),IF(EOMONTH($AH$3+INT((DAY(EOMONTH($AH$3,0))-1)/2)+AH$14,0)=EOMONTH($DV$3,0),AH$12*AH$13,0),0),IF(AND(AD$12&lt;&gt;"",AD$14&lt;&gt;""),IF(EOMONTH($AD$3+INT((DAY(EOMONTH($AD$3,0))-1)/2)+AD$14,0)=EOMONTH($DV$3,0),AD$12*AD$13,0),0),IF(AND(Z$12&lt;&gt;"",Z$14&lt;&gt;""),IF(EOMONTH($Z$3+INT((DAY(EOMONTH($Z$3,0))-1)/2)+Z$14,0)=EOMONTH($DV$3,0),Z$12*Z$13,0),0),IF(AND(V$12&lt;&gt;"",V$14&lt;&gt;""),IF(EOMONTH($V$3+INT((DAY(EOMONTH($V$3,0))-1)/2)+V$14,0)=EOMONTH($DV$3,0),V$12*V$13,0),0),IF(AND(R$12&lt;&gt;"",R$14&lt;&gt;""),IF(EOMONTH($R$3+INT((DAY(EOMONTH($R$3,0))-1)/2)+R$14,0)=EOMONTH($DV$3,0),R$12*R$13,0),0),IF(AND(N$12&lt;&gt;"",N$14&lt;&gt;""),IF(EOMONTH($N$3+INT((DAY(EOMONTH($N$3,0))-1)/2)+N$14,0)=EOMONTH($DV$3,0),N$12*N$13,0),0),IF(AND(J$12&lt;&gt;"",J$14&lt;&gt;""),IF(EOMONTH($J$3+INT((DAY(EOMONTH($J$3,0))-1)/2)+J$14,0)=EOMONTH($DV$3,0),J$12*J$13,0),0),IF(AND(F$12&lt;&gt;"",F$14&lt;&gt;""),IF(EOMONTH($F$3+INT((DAY(EOMONTH($F$3,0))-1)/2)+F$14,0)=EOMONTH($DV$3,0),F$12*F$13,0),0),IF($EP$75="",0,IF(EOMONTH($EP$75+EP$14,0)=EOMONTH($DV$3,0),$EP$77*EP$13,0))),0)</f>
        <v>0</v>
      </c>
      <c r="DW73" s="41">
        <f t="shared" si="1136"/>
        <v>0</v>
      </c>
      <c r="DX73" s="41">
        <f t="shared" si="1136"/>
        <v>0</v>
      </c>
      <c r="DY73" s="41">
        <f t="shared" si="1137"/>
        <v>0</v>
      </c>
      <c r="DZ73" s="41">
        <f t="shared" ref="DZ73:EB73" si="1138">ROUND(SUM(IF(AND(EP$12&lt;&gt;"",EP$14&lt;&gt;""),IF(EOMONTH($EP$3+INT((DAY(EOMONTH($EP$3,0))-1)/2)+EP$14,0)=EOMONTH($DZ$3,0),EP$12*EP$13,0),0),IF(AND(EL$12&lt;&gt;"",EL$14&lt;&gt;""),IF(EOMONTH($EL$3+INT((DAY(EOMONTH($EL$3,0))-1)/2)+EL$14,0)=EOMONTH($DZ$3,0),EL$12*EL$13,0),0),IF(AND(EH$12&lt;&gt;"",EH$14&lt;&gt;""),IF(EOMONTH($EH$3+INT((DAY(EOMONTH($EH$3,0))-1)/2)+EH$14,0)=EOMONTH($DZ$3,0),EH$12*EH$13,0),0),IF(AND(ED$12&lt;&gt;"",ED$14&lt;&gt;""),IF(EOMONTH($ED$3+INT((DAY(EOMONTH($ED$3,0))-1)/2)+ED$14,0)=EOMONTH($DZ$3,0),ED$12*ED$13,0),0),IF(AND(DZ$12&lt;&gt;"",DZ$14&lt;&gt;""),IF(EOMONTH($DZ$3+INT((DAY(EOMONTH($DZ$3,0))-1)/2)+DZ$14,0)=EOMONTH($DZ$3,0),DZ$12*DZ$13,0),0),IF(AND(DV$12&lt;&gt;"",DV$14&lt;&gt;""),IF(EOMONTH($DV$3+INT((DAY(EOMONTH($DV$3,0))-1)/2)+DV$14,0)=EOMONTH($DZ$3,0),DV$12*DV$13,0),0),IF(AND(DR$12&lt;&gt;"",DR$14&lt;&gt;""),IF(EOMONTH($DR$3+INT((DAY(EOMONTH($DR$3,0))-1)/2)+DR$14,0)=EOMONTH($DZ$3,0),DR$12*DR$13,0),0),IF(AND(DN$12&lt;&gt;"",DN$14&lt;&gt;""),IF(EOMONTH($DN$3+INT((DAY(EOMONTH($DN$3,0))-1)/2)+DN$14,0)=EOMONTH($DZ$3,0),DN$12*DN$13,0),0),IF(AND(DJ$12&lt;&gt;"",DJ$14&lt;&gt;""),IF(EOMONTH($DJ$3+INT((DAY(EOMONTH($DJ$3,0))-1)/2)+DJ$14,0)=EOMONTH($DZ$3,0),DJ$12*DJ$13,0),0),IF(AND(DF$12&lt;&gt;"",DF$14&lt;&gt;""),IF(EOMONTH($DF$3+INT((DAY(EOMONTH($DF$3,0))-1)/2)+DF$14,0)=EOMONTH($DZ$3,0),DF$12*DF$13,0),0),IF(AND(DB$12&lt;&gt;"",DB$14&lt;&gt;""),IF(EOMONTH($DB$3+INT((DAY(EOMONTH($DB$3,0))-1)/2)+DB$14,0)=EOMONTH($DZ$3,0),DB$12*DB$13,0),0),IF(AND(CX$12&lt;&gt;"",CX$14&lt;&gt;""),IF(EOMONTH($CX$3+INT((DAY(EOMONTH($CX$3,0))-1)/2)+CX$14,0)=EOMONTH($DZ$3,0),CX$12*CX$13,0),0),IF(AND(CT$12&lt;&gt;"",CT$14&lt;&gt;""),IF(EOMONTH($CT$3+INT((DAY(EOMONTH($CT$3,0))-1)/2)+CT$14,0)=EOMONTH($DZ$3,0),CT$12*CT$13,0),0),IF(AND(CP$12&lt;&gt;"",CP$14&lt;&gt;""),IF(EOMONTH($CP$3+INT((DAY(EOMONTH($CP$3,0))-1)/2)+CP$14,0)=EOMONTH($DZ$3,0),CP$12*CP$13,0),0),IF(AND(CL$12&lt;&gt;"",CL$14&lt;&gt;""),IF(EOMONTH($CL$3+INT((DAY(EOMONTH($CL$3,0))-1)/2)+CL$14,0)=EOMONTH($DZ$3,0),CL$12*CL$13,0),0),IF(AND(CH$12&lt;&gt;"",CH$14&lt;&gt;""),IF(EOMONTH($CH$3+INT((DAY(EOMONTH($CH$3,0))-1)/2)+CH$14,0)=EOMONTH($DZ$3,0),CH$12*CH$13,0),0),IF(AND(CD$12&lt;&gt;"",CD$14&lt;&gt;""),IF(EOMONTH($CD$3+INT((DAY(EOMONTH($CD$3,0))-1)/2)+CD$14,0)=EOMONTH($DZ$3,0),CD$12*CD$13,0),0),IF(AND(BZ$12&lt;&gt;"",BZ$14&lt;&gt;""),IF(EOMONTH($BZ$3+INT((DAY(EOMONTH($BZ$3,0))-1)/2)+BZ$14,0)=EOMONTH($DZ$3,0),BZ$12*BZ$13,0),0),IF(AND(BV$12&lt;&gt;"",BV$14&lt;&gt;""),IF(EOMONTH($BV$3+INT((DAY(EOMONTH($BV$3,0))-1)/2)+BV$14,0)=EOMONTH($DZ$3,0),BV$12*BV$13,0),0),IF(AND(BR$12&lt;&gt;"",BR$14&lt;&gt;""),IF(EOMONTH($BR$3+INT((DAY(EOMONTH($BR$3,0))-1)/2)+BR$14,0)=EOMONTH($DZ$3,0),BR$12*BR$13,0),0),IF(AND(BN$12&lt;&gt;"",BN$14&lt;&gt;""),IF(EOMONTH($BN$3+INT((DAY(EOMONTH($BN$3,0))-1)/2)+BN$14,0)=EOMONTH($DZ$3,0),BN$12*BN$13,0),0),IF(AND(BJ$12&lt;&gt;"",BJ$14&lt;&gt;""),IF(EOMONTH($BJ$3+INT((DAY(EOMONTH($BJ$3,0))-1)/2)+BJ$14,0)=EOMONTH($DZ$3,0),BJ$12*BJ$13,0),0),IF(AND(BF$12&lt;&gt;"",BF$14&lt;&gt;""),IF(EOMONTH($BF$3+INT((DAY(EOMONTH($BF$3,0))-1)/2)+BF$14,0)=EOMONTH($DZ$3,0),BF$12*BF$13,0),0),IF(AND(BB$12&lt;&gt;"",BB$14&lt;&gt;""),IF(EOMONTH($BB$3+INT((DAY(EOMONTH($BB$3,0))-1)/2)+BB$14,0)=EOMONTH($DZ$3,0),BB$12*BB$13,0),0),IF(AND(AX$12&lt;&gt;"",AX$14&lt;&gt;""),IF(EOMONTH($AX$3+INT((DAY(EOMONTH($AX$3,0))-1)/2)+AX$14,0)=EOMONTH($DZ$3,0),AX$12*AX$13,0),0),IF(AND(AT$12&lt;&gt;"",AT$14&lt;&gt;""),IF(EOMONTH($AT$3+INT((DAY(EOMONTH($AT$3,0))-1)/2)+AT$14,0)=EOMONTH($DZ$3,0),AT$12*AT$13,0),0),IF(AND(AP$12&lt;&gt;"",AP$14&lt;&gt;""),IF(EOMONTH($AP$3+INT((DAY(EOMONTH($AP$3,0))-1)/2)+AP$14,0)=EOMONTH($DZ$3,0),AP$12*AP$13,0),0),IF(AND(AL$12&lt;&gt;"",AL$14&lt;&gt;""),IF(EOMONTH($AL$3+INT((DAY(EOMONTH($AL$3,0))-1)/2)+AL$14,0)=EOMONTH($DZ$3,0),AL$12*AL$13,0),0),IF(AND(AH$12&lt;&gt;"",AH$14&lt;&gt;""),IF(EOMONTH($AH$3+INT((DAY(EOMONTH($AH$3,0))-1)/2)+AH$14,0)=EOMONTH($DZ$3,0),AH$12*AH$13,0),0),IF(AND(AD$12&lt;&gt;"",AD$14&lt;&gt;""),IF(EOMONTH($AD$3+INT((DAY(EOMONTH($AD$3,0))-1)/2)+AD$14,0)=EOMONTH($DZ$3,0),AD$12*AD$13,0),0),IF(AND(Z$12&lt;&gt;"",Z$14&lt;&gt;""),IF(EOMONTH($Z$3+INT((DAY(EOMONTH($Z$3,0))-1)/2)+Z$14,0)=EOMONTH($DZ$3,0),Z$12*Z$13,0),0),IF(AND(V$12&lt;&gt;"",V$14&lt;&gt;""),IF(EOMONTH($V$3+INT((DAY(EOMONTH($V$3,0))-1)/2)+V$14,0)=EOMONTH($DZ$3,0),V$12*V$13,0),0),IF(AND(R$12&lt;&gt;"",R$14&lt;&gt;""),IF(EOMONTH($R$3+INT((DAY(EOMONTH($R$3,0))-1)/2)+R$14,0)=EOMONTH($DZ$3,0),R$12*R$13,0),0),IF(AND(N$12&lt;&gt;"",N$14&lt;&gt;""),IF(EOMONTH($N$3+INT((DAY(EOMONTH($N$3,0))-1)/2)+N$14,0)=EOMONTH($DZ$3,0),N$12*N$13,0),0),IF(AND(J$12&lt;&gt;"",J$14&lt;&gt;""),IF(EOMONTH($J$3+INT((DAY(EOMONTH($J$3,0))-1)/2)+J$14,0)=EOMONTH($DZ$3,0),J$12*J$13,0),0),IF(AND(F$12&lt;&gt;"",F$14&lt;&gt;""),IF(EOMONTH($F$3+INT((DAY(EOMONTH($F$3,0))-1)/2)+F$14,0)=EOMONTH($DZ$3,0),F$12*F$13,0),0),IF($EP$75="",0,IF(EOMONTH($EP$75+EP$14,0)=EOMONTH($DZ$3,0),$EP$77*EP$13,0))),0)</f>
        <v>0</v>
      </c>
      <c r="EA73" s="41">
        <f t="shared" si="1138"/>
        <v>0</v>
      </c>
      <c r="EB73" s="41">
        <f t="shared" si="1138"/>
        <v>0</v>
      </c>
      <c r="EC73" s="41">
        <f t="shared" si="1139"/>
        <v>0</v>
      </c>
      <c r="ED73" s="41">
        <f t="shared" ref="ED73:EF73" si="1140">ROUND(SUM(IF(AND(EP$12&lt;&gt;"",EP$14&lt;&gt;""),IF(EOMONTH($EP$3+INT((DAY(EOMONTH($EP$3,0))-1)/2)+EP$14,0)=EOMONTH($ED$3,0),EP$12*EP$13,0),0),IF(AND(EL$12&lt;&gt;"",EL$14&lt;&gt;""),IF(EOMONTH($EL$3+INT((DAY(EOMONTH($EL$3,0))-1)/2)+EL$14,0)=EOMONTH($ED$3,0),EL$12*EL$13,0),0),IF(AND(EH$12&lt;&gt;"",EH$14&lt;&gt;""),IF(EOMONTH($EH$3+INT((DAY(EOMONTH($EH$3,0))-1)/2)+EH$14,0)=EOMONTH($ED$3,0),EH$12*EH$13,0),0),IF(AND(ED$12&lt;&gt;"",ED$14&lt;&gt;""),IF(EOMONTH($ED$3+INT((DAY(EOMONTH($ED$3,0))-1)/2)+ED$14,0)=EOMONTH($ED$3,0),ED$12*ED$13,0),0),IF(AND(DZ$12&lt;&gt;"",DZ$14&lt;&gt;""),IF(EOMONTH($DZ$3+INT((DAY(EOMONTH($DZ$3,0))-1)/2)+DZ$14,0)=EOMONTH($ED$3,0),DZ$12*DZ$13,0),0),IF(AND(DV$12&lt;&gt;"",DV$14&lt;&gt;""),IF(EOMONTH($DV$3+INT((DAY(EOMONTH($DV$3,0))-1)/2)+DV$14,0)=EOMONTH($ED$3,0),DV$12*DV$13,0),0),IF(AND(DR$12&lt;&gt;"",DR$14&lt;&gt;""),IF(EOMONTH($DR$3+INT((DAY(EOMONTH($DR$3,0))-1)/2)+DR$14,0)=EOMONTH($ED$3,0),DR$12*DR$13,0),0),IF(AND(DN$12&lt;&gt;"",DN$14&lt;&gt;""),IF(EOMONTH($DN$3+INT((DAY(EOMONTH($DN$3,0))-1)/2)+DN$14,0)=EOMONTH($ED$3,0),DN$12*DN$13,0),0),IF(AND(DJ$12&lt;&gt;"",DJ$14&lt;&gt;""),IF(EOMONTH($DJ$3+INT((DAY(EOMONTH($DJ$3,0))-1)/2)+DJ$14,0)=EOMONTH($ED$3,0),DJ$12*DJ$13,0),0),IF(AND(DF$12&lt;&gt;"",DF$14&lt;&gt;""),IF(EOMONTH($DF$3+INT((DAY(EOMONTH($DF$3,0))-1)/2)+DF$14,0)=EOMONTH($ED$3,0),DF$12*DF$13,0),0),IF(AND(DB$12&lt;&gt;"",DB$14&lt;&gt;""),IF(EOMONTH($DB$3+INT((DAY(EOMONTH($DB$3,0))-1)/2)+DB$14,0)=EOMONTH($ED$3,0),DB$12*DB$13,0),0),IF(AND(CX$12&lt;&gt;"",CX$14&lt;&gt;""),IF(EOMONTH($CX$3+INT((DAY(EOMONTH($CX$3,0))-1)/2)+CX$14,0)=EOMONTH($ED$3,0),CX$12*CX$13,0),0),IF(AND(CT$12&lt;&gt;"",CT$14&lt;&gt;""),IF(EOMONTH($CT$3+INT((DAY(EOMONTH($CT$3,0))-1)/2)+CT$14,0)=EOMONTH($ED$3,0),CT$12*CT$13,0),0),IF(AND(CP$12&lt;&gt;"",CP$14&lt;&gt;""),IF(EOMONTH($CP$3+INT((DAY(EOMONTH($CP$3,0))-1)/2)+CP$14,0)=EOMONTH($ED$3,0),CP$12*CP$13,0),0),IF(AND(CL$12&lt;&gt;"",CL$14&lt;&gt;""),IF(EOMONTH($CL$3+INT((DAY(EOMONTH($CL$3,0))-1)/2)+CL$14,0)=EOMONTH($ED$3,0),CL$12*CL$13,0),0),IF(AND(CH$12&lt;&gt;"",CH$14&lt;&gt;""),IF(EOMONTH($CH$3+INT((DAY(EOMONTH($CH$3,0))-1)/2)+CH$14,0)=EOMONTH($ED$3,0),CH$12*CH$13,0),0),IF(AND(CD$12&lt;&gt;"",CD$14&lt;&gt;""),IF(EOMONTH($CD$3+INT((DAY(EOMONTH($CD$3,0))-1)/2)+CD$14,0)=EOMONTH($ED$3,0),CD$12*CD$13,0),0),IF(AND(BZ$12&lt;&gt;"",BZ$14&lt;&gt;""),IF(EOMONTH($BZ$3+INT((DAY(EOMONTH($BZ$3,0))-1)/2)+BZ$14,0)=EOMONTH($ED$3,0),BZ$12*BZ$13,0),0),IF(AND(BV$12&lt;&gt;"",BV$14&lt;&gt;""),IF(EOMONTH($BV$3+INT((DAY(EOMONTH($BV$3,0))-1)/2)+BV$14,0)=EOMONTH($ED$3,0),BV$12*BV$13,0),0),IF(AND(BR$12&lt;&gt;"",BR$14&lt;&gt;""),IF(EOMONTH($BR$3+INT((DAY(EOMONTH($BR$3,0))-1)/2)+BR$14,0)=EOMONTH($ED$3,0),BR$12*BR$13,0),0),IF(AND(BN$12&lt;&gt;"",BN$14&lt;&gt;""),IF(EOMONTH($BN$3+INT((DAY(EOMONTH($BN$3,0))-1)/2)+BN$14,0)=EOMONTH($ED$3,0),BN$12*BN$13,0),0),IF(AND(BJ$12&lt;&gt;"",BJ$14&lt;&gt;""),IF(EOMONTH($BJ$3+INT((DAY(EOMONTH($BJ$3,0))-1)/2)+BJ$14,0)=EOMONTH($ED$3,0),BJ$12*BJ$13,0),0),IF(AND(BF$12&lt;&gt;"",BF$14&lt;&gt;""),IF(EOMONTH($BF$3+INT((DAY(EOMONTH($BF$3,0))-1)/2)+BF$14,0)=EOMONTH($ED$3,0),BF$12*BF$13,0),0),IF(AND(BB$12&lt;&gt;"",BB$14&lt;&gt;""),IF(EOMONTH($BB$3+INT((DAY(EOMONTH($BB$3,0))-1)/2)+BB$14,0)=EOMONTH($ED$3,0),BB$12*BB$13,0),0),IF(AND(AX$12&lt;&gt;"",AX$14&lt;&gt;""),IF(EOMONTH($AX$3+INT((DAY(EOMONTH($AX$3,0))-1)/2)+AX$14,0)=EOMONTH($ED$3,0),AX$12*AX$13,0),0),IF(AND(AT$12&lt;&gt;"",AT$14&lt;&gt;""),IF(EOMONTH($AT$3+INT((DAY(EOMONTH($AT$3,0))-1)/2)+AT$14,0)=EOMONTH($ED$3,0),AT$12*AT$13,0),0),IF(AND(AP$12&lt;&gt;"",AP$14&lt;&gt;""),IF(EOMONTH($AP$3+INT((DAY(EOMONTH($AP$3,0))-1)/2)+AP$14,0)=EOMONTH($ED$3,0),AP$12*AP$13,0),0),IF(AND(AL$12&lt;&gt;"",AL$14&lt;&gt;""),IF(EOMONTH($AL$3+INT((DAY(EOMONTH($AL$3,0))-1)/2)+AL$14,0)=EOMONTH($ED$3,0),AL$12*AL$13,0),0),IF(AND(AH$12&lt;&gt;"",AH$14&lt;&gt;""),IF(EOMONTH($AH$3+INT((DAY(EOMONTH($AH$3,0))-1)/2)+AH$14,0)=EOMONTH($ED$3,0),AH$12*AH$13,0),0),IF(AND(AD$12&lt;&gt;"",AD$14&lt;&gt;""),IF(EOMONTH($AD$3+INT((DAY(EOMONTH($AD$3,0))-1)/2)+AD$14,0)=EOMONTH($ED$3,0),AD$12*AD$13,0),0),IF(AND(Z$12&lt;&gt;"",Z$14&lt;&gt;""),IF(EOMONTH($Z$3+INT((DAY(EOMONTH($Z$3,0))-1)/2)+Z$14,0)=EOMONTH($ED$3,0),Z$12*Z$13,0),0),IF(AND(V$12&lt;&gt;"",V$14&lt;&gt;""),IF(EOMONTH($V$3+INT((DAY(EOMONTH($V$3,0))-1)/2)+V$14,0)=EOMONTH($ED$3,0),V$12*V$13,0),0),IF(AND(R$12&lt;&gt;"",R$14&lt;&gt;""),IF(EOMONTH($R$3+INT((DAY(EOMONTH($R$3,0))-1)/2)+R$14,0)=EOMONTH($ED$3,0),R$12*R$13,0),0),IF(AND(N$12&lt;&gt;"",N$14&lt;&gt;""),IF(EOMONTH($N$3+INT((DAY(EOMONTH($N$3,0))-1)/2)+N$14,0)=EOMONTH($ED$3,0),N$12*N$13,0),0),IF(AND(J$12&lt;&gt;"",J$14&lt;&gt;""),IF(EOMONTH($J$3+INT((DAY(EOMONTH($J$3,0))-1)/2)+J$14,0)=EOMONTH($ED$3,0),J$12*J$13,0),0),IF(AND(F$12&lt;&gt;"",F$14&lt;&gt;""),IF(EOMONTH($F$3+INT((DAY(EOMONTH($F$3,0))-1)/2)+F$14,0)=EOMONTH($ED$3,0),F$12*F$13,0),0),IF($EP$75="",0,IF(EOMONTH($EP$75+EP$14,0)=EOMONTH($ED$3,0),$EP$77*EP$13,0))),0)</f>
        <v>0</v>
      </c>
      <c r="EE73" s="41">
        <f t="shared" si="1140"/>
        <v>0</v>
      </c>
      <c r="EF73" s="41">
        <f t="shared" si="1140"/>
        <v>0</v>
      </c>
      <c r="EG73" s="41">
        <f t="shared" si="1141"/>
        <v>0</v>
      </c>
      <c r="EH73" s="41">
        <f t="shared" ref="EH73:EJ73" si="1142">ROUND(SUM(IF(AND(EP$12&lt;&gt;"",EP$14&lt;&gt;""),IF(EOMONTH($EP$3+INT((DAY(EOMONTH($EP$3,0))-1)/2)+EP$14,0)=EOMONTH($EH$3,0),EP$12*EP$13,0),0),IF(AND(EL$12&lt;&gt;"",EL$14&lt;&gt;""),IF(EOMONTH($EL$3+INT((DAY(EOMONTH($EL$3,0))-1)/2)+EL$14,0)=EOMONTH($EH$3,0),EL$12*EL$13,0),0),IF(AND(EH$12&lt;&gt;"",EH$14&lt;&gt;""),IF(EOMONTH($EH$3+INT((DAY(EOMONTH($EH$3,0))-1)/2)+EH$14,0)=EOMONTH($EH$3,0),EH$12*EH$13,0),0),IF(AND(ED$12&lt;&gt;"",ED$14&lt;&gt;""),IF(EOMONTH($ED$3+INT((DAY(EOMONTH($ED$3,0))-1)/2)+ED$14,0)=EOMONTH($EH$3,0),ED$12*ED$13,0),0),IF(AND(DZ$12&lt;&gt;"",DZ$14&lt;&gt;""),IF(EOMONTH($DZ$3+INT((DAY(EOMONTH($DZ$3,0))-1)/2)+DZ$14,0)=EOMONTH($EH$3,0),DZ$12*DZ$13,0),0),IF(AND(DV$12&lt;&gt;"",DV$14&lt;&gt;""),IF(EOMONTH($DV$3+INT((DAY(EOMONTH($DV$3,0))-1)/2)+DV$14,0)=EOMONTH($EH$3,0),DV$12*DV$13,0),0),IF(AND(DR$12&lt;&gt;"",DR$14&lt;&gt;""),IF(EOMONTH($DR$3+INT((DAY(EOMONTH($DR$3,0))-1)/2)+DR$14,0)=EOMONTH($EH$3,0),DR$12*DR$13,0),0),IF(AND(DN$12&lt;&gt;"",DN$14&lt;&gt;""),IF(EOMONTH($DN$3+INT((DAY(EOMONTH($DN$3,0))-1)/2)+DN$14,0)=EOMONTH($EH$3,0),DN$12*DN$13,0),0),IF(AND(DJ$12&lt;&gt;"",DJ$14&lt;&gt;""),IF(EOMONTH($DJ$3+INT((DAY(EOMONTH($DJ$3,0))-1)/2)+DJ$14,0)=EOMONTH($EH$3,0),DJ$12*DJ$13,0),0),IF(AND(DF$12&lt;&gt;"",DF$14&lt;&gt;""),IF(EOMONTH($DF$3+INT((DAY(EOMONTH($DF$3,0))-1)/2)+DF$14,0)=EOMONTH($EH$3,0),DF$12*DF$13,0),0),IF(AND(DB$12&lt;&gt;"",DB$14&lt;&gt;""),IF(EOMONTH($DB$3+INT((DAY(EOMONTH($DB$3,0))-1)/2)+DB$14,0)=EOMONTH($EH$3,0),DB$12*DB$13,0),0),IF(AND(CX$12&lt;&gt;"",CX$14&lt;&gt;""),IF(EOMONTH($CX$3+INT((DAY(EOMONTH($CX$3,0))-1)/2)+CX$14,0)=EOMONTH($EH$3,0),CX$12*CX$13,0),0),IF(AND(CT$12&lt;&gt;"",CT$14&lt;&gt;""),IF(EOMONTH($CT$3+INT((DAY(EOMONTH($CT$3,0))-1)/2)+CT$14,0)=EOMONTH($EH$3,0),CT$12*CT$13,0),0),IF(AND(CP$12&lt;&gt;"",CP$14&lt;&gt;""),IF(EOMONTH($CP$3+INT((DAY(EOMONTH($CP$3,0))-1)/2)+CP$14,0)=EOMONTH($EH$3,0),CP$12*CP$13,0),0),IF(AND(CL$12&lt;&gt;"",CL$14&lt;&gt;""),IF(EOMONTH($CL$3+INT((DAY(EOMONTH($CL$3,0))-1)/2)+CL$14,0)=EOMONTH($EH$3,0),CL$12*CL$13,0),0),IF(AND(CH$12&lt;&gt;"",CH$14&lt;&gt;""),IF(EOMONTH($CH$3+INT((DAY(EOMONTH($CH$3,0))-1)/2)+CH$14,0)=EOMONTH($EH$3,0),CH$12*CH$13,0),0),IF(AND(CD$12&lt;&gt;"",CD$14&lt;&gt;""),IF(EOMONTH($CD$3+INT((DAY(EOMONTH($CD$3,0))-1)/2)+CD$14,0)=EOMONTH($EH$3,0),CD$12*CD$13,0),0),IF(AND(BZ$12&lt;&gt;"",BZ$14&lt;&gt;""),IF(EOMONTH($BZ$3+INT((DAY(EOMONTH($BZ$3,0))-1)/2)+BZ$14,0)=EOMONTH($EH$3,0),BZ$12*BZ$13,0),0),IF(AND(BV$12&lt;&gt;"",BV$14&lt;&gt;""),IF(EOMONTH($BV$3+INT((DAY(EOMONTH($BV$3,0))-1)/2)+BV$14,0)=EOMONTH($EH$3,0),BV$12*BV$13,0),0),IF(AND(BR$12&lt;&gt;"",BR$14&lt;&gt;""),IF(EOMONTH($BR$3+INT((DAY(EOMONTH($BR$3,0))-1)/2)+BR$14,0)=EOMONTH($EH$3,0),BR$12*BR$13,0),0),IF(AND(BN$12&lt;&gt;"",BN$14&lt;&gt;""),IF(EOMONTH($BN$3+INT((DAY(EOMONTH($BN$3,0))-1)/2)+BN$14,0)=EOMONTH($EH$3,0),BN$12*BN$13,0),0),IF(AND(BJ$12&lt;&gt;"",BJ$14&lt;&gt;""),IF(EOMONTH($BJ$3+INT((DAY(EOMONTH($BJ$3,0))-1)/2)+BJ$14,0)=EOMONTH($EH$3,0),BJ$12*BJ$13,0),0),IF(AND(BF$12&lt;&gt;"",BF$14&lt;&gt;""),IF(EOMONTH($BF$3+INT((DAY(EOMONTH($BF$3,0))-1)/2)+BF$14,0)=EOMONTH($EH$3,0),BF$12*BF$13,0),0),IF(AND(BB$12&lt;&gt;"",BB$14&lt;&gt;""),IF(EOMONTH($BB$3+INT((DAY(EOMONTH($BB$3,0))-1)/2)+BB$14,0)=EOMONTH($EH$3,0),BB$12*BB$13,0),0),IF(AND(AX$12&lt;&gt;"",AX$14&lt;&gt;""),IF(EOMONTH($AX$3+INT((DAY(EOMONTH($AX$3,0))-1)/2)+AX$14,0)=EOMONTH($EH$3,0),AX$12*AX$13,0),0),IF(AND(AT$12&lt;&gt;"",AT$14&lt;&gt;""),IF(EOMONTH($AT$3+INT((DAY(EOMONTH($AT$3,0))-1)/2)+AT$14,0)=EOMONTH($EH$3,0),AT$12*AT$13,0),0),IF(AND(AP$12&lt;&gt;"",AP$14&lt;&gt;""),IF(EOMONTH($AP$3+INT((DAY(EOMONTH($AP$3,0))-1)/2)+AP$14,0)=EOMONTH($EH$3,0),AP$12*AP$13,0),0),IF(AND(AL$12&lt;&gt;"",AL$14&lt;&gt;""),IF(EOMONTH($AL$3+INT((DAY(EOMONTH($AL$3,0))-1)/2)+AL$14,0)=EOMONTH($EH$3,0),AL$12*AL$13,0),0),IF(AND(AH$12&lt;&gt;"",AH$14&lt;&gt;""),IF(EOMONTH($AH$3+INT((DAY(EOMONTH($AH$3,0))-1)/2)+AH$14,0)=EOMONTH($EH$3,0),AH$12*AH$13,0),0),IF(AND(AD$12&lt;&gt;"",AD$14&lt;&gt;""),IF(EOMONTH($AD$3+INT((DAY(EOMONTH($AD$3,0))-1)/2)+AD$14,0)=EOMONTH($EH$3,0),AD$12*AD$13,0),0),IF(AND(Z$12&lt;&gt;"",Z$14&lt;&gt;""),IF(EOMONTH($Z$3+INT((DAY(EOMONTH($Z$3,0))-1)/2)+Z$14,0)=EOMONTH($EH$3,0),Z$12*Z$13,0),0),IF(AND(V$12&lt;&gt;"",V$14&lt;&gt;""),IF(EOMONTH($V$3+INT((DAY(EOMONTH($V$3,0))-1)/2)+V$14,0)=EOMONTH($EH$3,0),V$12*V$13,0),0),IF(AND(R$12&lt;&gt;"",R$14&lt;&gt;""),IF(EOMONTH($R$3+INT((DAY(EOMONTH($R$3,0))-1)/2)+R$14,0)=EOMONTH($EH$3,0),R$12*R$13,0),0),IF(AND(N$12&lt;&gt;"",N$14&lt;&gt;""),IF(EOMONTH($N$3+INT((DAY(EOMONTH($N$3,0))-1)/2)+N$14,0)=EOMONTH($EH$3,0),N$12*N$13,0),0),IF(AND(J$12&lt;&gt;"",J$14&lt;&gt;""),IF(EOMONTH($J$3+INT((DAY(EOMONTH($J$3,0))-1)/2)+J$14,0)=EOMONTH($EH$3,0),J$12*J$13,0),0),IF(AND(F$12&lt;&gt;"",F$14&lt;&gt;""),IF(EOMONTH($F$3+INT((DAY(EOMONTH($F$3,0))-1)/2)+F$14,0)=EOMONTH($EH$3,0),F$12*F$13,0),0),IF($EP$75="",0,IF(EOMONTH($EP$75+EP$14,0)=EOMONTH($EH$3,0),$EP$77*EP$13,0))),0)</f>
        <v>0</v>
      </c>
      <c r="EI73" s="41">
        <f t="shared" si="1142"/>
        <v>0</v>
      </c>
      <c r="EJ73" s="41">
        <f t="shared" si="1142"/>
        <v>0</v>
      </c>
      <c r="EK73" s="41">
        <f t="shared" si="1143"/>
        <v>0</v>
      </c>
      <c r="EL73" s="41">
        <f t="shared" ref="EL73:EN73" si="1144">ROUND(SUM(IF(AND(EP$12&lt;&gt;"",EP$14&lt;&gt;""),IF(EOMONTH($EP$3+INT((DAY(EOMONTH($EP$3,0))-1)/2)+EP$14,0)=EOMONTH($EL$3,0),EP$12*EP$13,0),0),IF(AND(EL$12&lt;&gt;"",EL$14&lt;&gt;""),IF(EOMONTH($EL$3+INT((DAY(EOMONTH($EL$3,0))-1)/2)+EL$14,0)=EOMONTH($EL$3,0),EL$12*EL$13,0),0),IF(AND(EH$12&lt;&gt;"",EH$14&lt;&gt;""),IF(EOMONTH($EH$3+INT((DAY(EOMONTH($EH$3,0))-1)/2)+EH$14,0)=EOMONTH($EL$3,0),EH$12*EH$13,0),0),IF(AND(ED$12&lt;&gt;"",ED$14&lt;&gt;""),IF(EOMONTH($ED$3+INT((DAY(EOMONTH($ED$3,0))-1)/2)+ED$14,0)=EOMONTH($EL$3,0),ED$12*ED$13,0),0),IF(AND(DZ$12&lt;&gt;"",DZ$14&lt;&gt;""),IF(EOMONTH($DZ$3+INT((DAY(EOMONTH($DZ$3,0))-1)/2)+DZ$14,0)=EOMONTH($EL$3,0),DZ$12*DZ$13,0),0),IF(AND(DV$12&lt;&gt;"",DV$14&lt;&gt;""),IF(EOMONTH($DV$3+INT((DAY(EOMONTH($DV$3,0))-1)/2)+DV$14,0)=EOMONTH($EL$3,0),DV$12*DV$13,0),0),IF(AND(DR$12&lt;&gt;"",DR$14&lt;&gt;""),IF(EOMONTH($DR$3+INT((DAY(EOMONTH($DR$3,0))-1)/2)+DR$14,0)=EOMONTH($EL$3,0),DR$12*DR$13,0),0),IF(AND(DN$12&lt;&gt;"",DN$14&lt;&gt;""),IF(EOMONTH($DN$3+INT((DAY(EOMONTH($DN$3,0))-1)/2)+DN$14,0)=EOMONTH($EL$3,0),DN$12*DN$13,0),0),IF(AND(DJ$12&lt;&gt;"",DJ$14&lt;&gt;""),IF(EOMONTH($DJ$3+INT((DAY(EOMONTH($DJ$3,0))-1)/2)+DJ$14,0)=EOMONTH($EL$3,0),DJ$12*DJ$13,0),0),IF(AND(DF$12&lt;&gt;"",DF$14&lt;&gt;""),IF(EOMONTH($DF$3+INT((DAY(EOMONTH($DF$3,0))-1)/2)+DF$14,0)=EOMONTH($EL$3,0),DF$12*DF$13,0),0),IF(AND(DB$12&lt;&gt;"",DB$14&lt;&gt;""),IF(EOMONTH($DB$3+INT((DAY(EOMONTH($DB$3,0))-1)/2)+DB$14,0)=EOMONTH($EL$3,0),DB$12*DB$13,0),0),IF(AND(CX$12&lt;&gt;"",CX$14&lt;&gt;""),IF(EOMONTH($CX$3+INT((DAY(EOMONTH($CX$3,0))-1)/2)+CX$14,0)=EOMONTH($EL$3,0),CX$12*CX$13,0),0),IF(AND(CT$12&lt;&gt;"",CT$14&lt;&gt;""),IF(EOMONTH($CT$3+INT((DAY(EOMONTH($CT$3,0))-1)/2)+CT$14,0)=EOMONTH($EL$3,0),CT$12*CT$13,0),0),IF(AND(CP$12&lt;&gt;"",CP$14&lt;&gt;""),IF(EOMONTH($CP$3+INT((DAY(EOMONTH($CP$3,0))-1)/2)+CP$14,0)=EOMONTH($EL$3,0),CP$12*CP$13,0),0),IF(AND(CL$12&lt;&gt;"",CL$14&lt;&gt;""),IF(EOMONTH($CL$3+INT((DAY(EOMONTH($CL$3,0))-1)/2)+CL$14,0)=EOMONTH($EL$3,0),CL$12*CL$13,0),0),IF(AND(CH$12&lt;&gt;"",CH$14&lt;&gt;""),IF(EOMONTH($CH$3+INT((DAY(EOMONTH($CH$3,0))-1)/2)+CH$14,0)=EOMONTH($EL$3,0),CH$12*CH$13,0),0),IF(AND(CD$12&lt;&gt;"",CD$14&lt;&gt;""),IF(EOMONTH($CD$3+INT((DAY(EOMONTH($CD$3,0))-1)/2)+CD$14,0)=EOMONTH($EL$3,0),CD$12*CD$13,0),0),IF(AND(BZ$12&lt;&gt;"",BZ$14&lt;&gt;""),IF(EOMONTH($BZ$3+INT((DAY(EOMONTH($BZ$3,0))-1)/2)+BZ$14,0)=EOMONTH($EL$3,0),BZ$12*BZ$13,0),0),IF(AND(BV$12&lt;&gt;"",BV$14&lt;&gt;""),IF(EOMONTH($BV$3+INT((DAY(EOMONTH($BV$3,0))-1)/2)+BV$14,0)=EOMONTH($EL$3,0),BV$12*BV$13,0),0),IF(AND(BR$12&lt;&gt;"",BR$14&lt;&gt;""),IF(EOMONTH($BR$3+INT((DAY(EOMONTH($BR$3,0))-1)/2)+BR$14,0)=EOMONTH($EL$3,0),BR$12*BR$13,0),0),IF(AND(BN$12&lt;&gt;"",BN$14&lt;&gt;""),IF(EOMONTH($BN$3+INT((DAY(EOMONTH($BN$3,0))-1)/2)+BN$14,0)=EOMONTH($EL$3,0),BN$12*BN$13,0),0),IF(AND(BJ$12&lt;&gt;"",BJ$14&lt;&gt;""),IF(EOMONTH($BJ$3+INT((DAY(EOMONTH($BJ$3,0))-1)/2)+BJ$14,0)=EOMONTH($EL$3,0),BJ$12*BJ$13,0),0),IF(AND(BF$12&lt;&gt;"",BF$14&lt;&gt;""),IF(EOMONTH($BF$3+INT((DAY(EOMONTH($BF$3,0))-1)/2)+BF$14,0)=EOMONTH($EL$3,0),BF$12*BF$13,0),0),IF(AND(BB$12&lt;&gt;"",BB$14&lt;&gt;""),IF(EOMONTH($BB$3+INT((DAY(EOMONTH($BB$3,0))-1)/2)+BB$14,0)=EOMONTH($EL$3,0),BB$12*BB$13,0),0),IF(AND(AX$12&lt;&gt;"",AX$14&lt;&gt;""),IF(EOMONTH($AX$3+INT((DAY(EOMONTH($AX$3,0))-1)/2)+AX$14,0)=EOMONTH($EL$3,0),AX$12*AX$13,0),0),IF(AND(AT$12&lt;&gt;"",AT$14&lt;&gt;""),IF(EOMONTH($AT$3+INT((DAY(EOMONTH($AT$3,0))-1)/2)+AT$14,0)=EOMONTH($EL$3,0),AT$12*AT$13,0),0),IF(AND(AP$12&lt;&gt;"",AP$14&lt;&gt;""),IF(EOMONTH($AP$3+INT((DAY(EOMONTH($AP$3,0))-1)/2)+AP$14,0)=EOMONTH($EL$3,0),AP$12*AP$13,0),0),IF(AND(AL$12&lt;&gt;"",AL$14&lt;&gt;""),IF(EOMONTH($AL$3+INT((DAY(EOMONTH($AL$3,0))-1)/2)+AL$14,0)=EOMONTH($EL$3,0),AL$12*AL$13,0),0),IF(AND(AH$12&lt;&gt;"",AH$14&lt;&gt;""),IF(EOMONTH($AH$3+INT((DAY(EOMONTH($AH$3,0))-1)/2)+AH$14,0)=EOMONTH($EL$3,0),AH$12*AH$13,0),0),IF(AND(AD$12&lt;&gt;"",AD$14&lt;&gt;""),IF(EOMONTH($AD$3+INT((DAY(EOMONTH($AD$3,0))-1)/2)+AD$14,0)=EOMONTH($EL$3,0),AD$12*AD$13,0),0),IF(AND(Z$12&lt;&gt;"",Z$14&lt;&gt;""),IF(EOMONTH($Z$3+INT((DAY(EOMONTH($Z$3,0))-1)/2)+Z$14,0)=EOMONTH($EL$3,0),Z$12*Z$13,0),0),IF(AND(V$12&lt;&gt;"",V$14&lt;&gt;""),IF(EOMONTH($V$3+INT((DAY(EOMONTH($V$3,0))-1)/2)+V$14,0)=EOMONTH($EL$3,0),V$12*V$13,0),0),IF(AND(R$12&lt;&gt;"",R$14&lt;&gt;""),IF(EOMONTH($R$3+INT((DAY(EOMONTH($R$3,0))-1)/2)+R$14,0)=EOMONTH($EL$3,0),R$12*R$13,0),0),IF(AND(N$12&lt;&gt;"",N$14&lt;&gt;""),IF(EOMONTH($N$3+INT((DAY(EOMONTH($N$3,0))-1)/2)+N$14,0)=EOMONTH($EL$3,0),N$12*N$13,0),0),IF(AND(J$12&lt;&gt;"",J$14&lt;&gt;""),IF(EOMONTH($J$3+INT((DAY(EOMONTH($J$3,0))-1)/2)+J$14,0)=EOMONTH($EL$3,0),J$12*J$13,0),0),IF(AND(F$12&lt;&gt;"",F$14&lt;&gt;""),IF(EOMONTH($F$3+INT((DAY(EOMONTH($F$3,0))-1)/2)+F$14,0)=EOMONTH($EL$3,0),F$12*F$13,0),0),IF($EP$75="",0,IF(EOMONTH($EP$75+EP$14,0)=EOMONTH($EL$3,0),$EP$77*EP$13,0))),0)</f>
        <v>0</v>
      </c>
      <c r="EM73" s="41">
        <f t="shared" si="1144"/>
        <v>0</v>
      </c>
      <c r="EN73" s="41">
        <f t="shared" si="1144"/>
        <v>0</v>
      </c>
      <c r="EO73" s="41">
        <f t="shared" si="1145"/>
        <v>0</v>
      </c>
      <c r="EP73" s="41">
        <f t="shared" ref="EP73:ER73" si="1146">ROUND(SUM(IF(AND(EP$12&lt;&gt;"",EP$14&lt;&gt;""),IF(EOMONTH($EP$3+INT((DAY(EOMONTH($EP$3,0))-1)/2)+EP$14,0)=EOMONTH($EP$3,0),EP$12*EP$13,0),0),IF(AND(EL$12&lt;&gt;"",EL$14&lt;&gt;""),IF(EOMONTH($EL$3+INT((DAY(EOMONTH($EL$3,0))-1)/2)+EL$14,0)=EOMONTH($EP$3,0),EL$12*EL$13,0),0),IF(AND(EH$12&lt;&gt;"",EH$14&lt;&gt;""),IF(EOMONTH($EH$3+INT((DAY(EOMONTH($EH$3,0))-1)/2)+EH$14,0)=EOMONTH($EP$3,0),EH$12*EH$13,0),0),IF(AND(ED$12&lt;&gt;"",ED$14&lt;&gt;""),IF(EOMONTH($ED$3+INT((DAY(EOMONTH($ED$3,0))-1)/2)+ED$14,0)=EOMONTH($EP$3,0),ED$12*ED$13,0),0),IF(AND(DZ$12&lt;&gt;"",DZ$14&lt;&gt;""),IF(EOMONTH($DZ$3+INT((DAY(EOMONTH($DZ$3,0))-1)/2)+DZ$14,0)=EOMONTH($EP$3,0),DZ$12*DZ$13,0),0),IF(AND(DV$12&lt;&gt;"",DV$14&lt;&gt;""),IF(EOMONTH($DV$3+INT((DAY(EOMONTH($DV$3,0))-1)/2)+DV$14,0)=EOMONTH($EP$3,0),DV$12*DV$13,0),0),IF(AND(DR$12&lt;&gt;"",DR$14&lt;&gt;""),IF(EOMONTH($DR$3+INT((DAY(EOMONTH($DR$3,0))-1)/2)+DR$14,0)=EOMONTH($EP$3,0),DR$12*DR$13,0),0),IF(AND(DN$12&lt;&gt;"",DN$14&lt;&gt;""),IF(EOMONTH($DN$3+INT((DAY(EOMONTH($DN$3,0))-1)/2)+DN$14,0)=EOMONTH($EP$3,0),DN$12*DN$13,0),0),IF(AND(DJ$12&lt;&gt;"",DJ$14&lt;&gt;""),IF(EOMONTH($DJ$3+INT((DAY(EOMONTH($DJ$3,0))-1)/2)+DJ$14,0)=EOMONTH($EP$3,0),DJ$12*DJ$13,0),0),IF(AND(DF$12&lt;&gt;"",DF$14&lt;&gt;""),IF(EOMONTH($DF$3+INT((DAY(EOMONTH($DF$3,0))-1)/2)+DF$14,0)=EOMONTH($EP$3,0),DF$12*DF$13,0),0),IF(AND(DB$12&lt;&gt;"",DB$14&lt;&gt;""),IF(EOMONTH($DB$3+INT((DAY(EOMONTH($DB$3,0))-1)/2)+DB$14,0)=EOMONTH($EP$3,0),DB$12*DB$13,0),0),IF(AND(CX$12&lt;&gt;"",CX$14&lt;&gt;""),IF(EOMONTH($CX$3+INT((DAY(EOMONTH($CX$3,0))-1)/2)+CX$14,0)=EOMONTH($EP$3,0),CX$12*CX$13,0),0),IF(AND(CT$12&lt;&gt;"",CT$14&lt;&gt;""),IF(EOMONTH($CT$3+INT((DAY(EOMONTH($CT$3,0))-1)/2)+CT$14,0)=EOMONTH($EP$3,0),CT$12*CT$13,0),0),IF(AND(CP$12&lt;&gt;"",CP$14&lt;&gt;""),IF(EOMONTH($CP$3+INT((DAY(EOMONTH($CP$3,0))-1)/2)+CP$14,0)=EOMONTH($EP$3,0),CP$12*CP$13,0),0),IF(AND(CL$12&lt;&gt;"",CL$14&lt;&gt;""),IF(EOMONTH($CL$3+INT((DAY(EOMONTH($CL$3,0))-1)/2)+CL$14,0)=EOMONTH($EP$3,0),CL$12*CL$13,0),0),IF(AND(CH$12&lt;&gt;"",CH$14&lt;&gt;""),IF(EOMONTH($CH$3+INT((DAY(EOMONTH($CH$3,0))-1)/2)+CH$14,0)=EOMONTH($EP$3,0),CH$12*CH$13,0),0),IF(AND(CD$12&lt;&gt;"",CD$14&lt;&gt;""),IF(EOMONTH($CD$3+INT((DAY(EOMONTH($CD$3,0))-1)/2)+CD$14,0)=EOMONTH($EP$3,0),CD$12*CD$13,0),0),IF(AND(BZ$12&lt;&gt;"",BZ$14&lt;&gt;""),IF(EOMONTH($BZ$3+INT((DAY(EOMONTH($BZ$3,0))-1)/2)+BZ$14,0)=EOMONTH($EP$3,0),BZ$12*BZ$13,0),0),IF(AND(BV$12&lt;&gt;"",BV$14&lt;&gt;""),IF(EOMONTH($BV$3+INT((DAY(EOMONTH($BV$3,0))-1)/2)+BV$14,0)=EOMONTH($EP$3,0),BV$12*BV$13,0),0),IF(AND(BR$12&lt;&gt;"",BR$14&lt;&gt;""),IF(EOMONTH($BR$3+INT((DAY(EOMONTH($BR$3,0))-1)/2)+BR$14,0)=EOMONTH($EP$3,0),BR$12*BR$13,0),0),IF(AND(BN$12&lt;&gt;"",BN$14&lt;&gt;""),IF(EOMONTH($BN$3+INT((DAY(EOMONTH($BN$3,0))-1)/2)+BN$14,0)=EOMONTH($EP$3,0),BN$12*BN$13,0),0),IF(AND(BJ$12&lt;&gt;"",BJ$14&lt;&gt;""),IF(EOMONTH($BJ$3+INT((DAY(EOMONTH($BJ$3,0))-1)/2)+BJ$14,0)=EOMONTH($EP$3,0),BJ$12*BJ$13,0),0),IF(AND(BF$12&lt;&gt;"",BF$14&lt;&gt;""),IF(EOMONTH($BF$3+INT((DAY(EOMONTH($BF$3,0))-1)/2)+BF$14,0)=EOMONTH($EP$3,0),BF$12*BF$13,0),0),IF(AND(BB$12&lt;&gt;"",BB$14&lt;&gt;""),IF(EOMONTH($BB$3+INT((DAY(EOMONTH($BB$3,0))-1)/2)+BB$14,0)=EOMONTH($EP$3,0),BB$12*BB$13,0),0),IF(AND(AX$12&lt;&gt;"",AX$14&lt;&gt;""),IF(EOMONTH($AX$3+INT((DAY(EOMONTH($AX$3,0))-1)/2)+AX$14,0)=EOMONTH($EP$3,0),AX$12*AX$13,0),0),IF(AND(AT$12&lt;&gt;"",AT$14&lt;&gt;""),IF(EOMONTH($AT$3+INT((DAY(EOMONTH($AT$3,0))-1)/2)+AT$14,0)=EOMONTH($EP$3,0),AT$12*AT$13,0),0),IF(AND(AP$12&lt;&gt;"",AP$14&lt;&gt;""),IF(EOMONTH($AP$3+INT((DAY(EOMONTH($AP$3,0))-1)/2)+AP$14,0)=EOMONTH($EP$3,0),AP$12*AP$13,0),0),IF(AND(AL$12&lt;&gt;"",AL$14&lt;&gt;""),IF(EOMONTH($AL$3+INT((DAY(EOMONTH($AL$3,0))-1)/2)+AL$14,0)=EOMONTH($EP$3,0),AL$12*AL$13,0),0),IF(AND(AH$12&lt;&gt;"",AH$14&lt;&gt;""),IF(EOMONTH($AH$3+INT((DAY(EOMONTH($AH$3,0))-1)/2)+AH$14,0)=EOMONTH($EP$3,0),AH$12*AH$13,0),0),IF(AND(AD$12&lt;&gt;"",AD$14&lt;&gt;""),IF(EOMONTH($AD$3+INT((DAY(EOMONTH($AD$3,0))-1)/2)+AD$14,0)=EOMONTH($EP$3,0),AD$12*AD$13,0),0),IF(AND(Z$12&lt;&gt;"",Z$14&lt;&gt;""),IF(EOMONTH($Z$3+INT((DAY(EOMONTH($Z$3,0))-1)/2)+Z$14,0)=EOMONTH($EP$3,0),Z$12*Z$13,0),0),IF(AND(V$12&lt;&gt;"",V$14&lt;&gt;""),IF(EOMONTH($V$3+INT((DAY(EOMONTH($V$3,0))-1)/2)+V$14,0)=EOMONTH($EP$3,0),V$12*V$13,0),0),IF(AND(R$12&lt;&gt;"",R$14&lt;&gt;""),IF(EOMONTH($R$3+INT((DAY(EOMONTH($R$3,0))-1)/2)+R$14,0)=EOMONTH($EP$3,0),R$12*R$13,0),0),IF(AND(N$12&lt;&gt;"",N$14&lt;&gt;""),IF(EOMONTH($N$3+INT((DAY(EOMONTH($N$3,0))-1)/2)+N$14,0)=EOMONTH($EP$3,0),N$12*N$13,0),0),IF(AND(J$12&lt;&gt;"",J$14&lt;&gt;""),IF(EOMONTH($J$3+INT((DAY(EOMONTH($J$3,0))-1)/2)+J$14,0)=EOMONTH($EP$3,0),J$12*J$13,0),0),IF(AND(F$12&lt;&gt;"",F$14&lt;&gt;""),IF(EOMONTH($F$3+INT((DAY(EOMONTH($F$3,0))-1)/2)+F$14,0)=EOMONTH($EP$3,0),F$12*F$13,0),0),IF($EP$75="",0,IF(EOMONTH($EP$75+EP$14,0)=EOMONTH($EP$3,0),$EP$77*EP$13,0))),0)</f>
        <v>0</v>
      </c>
      <c r="EQ73" s="41">
        <f t="shared" si="1146"/>
        <v>0</v>
      </c>
      <c r="ER73" s="41">
        <f t="shared" si="1146"/>
        <v>0</v>
      </c>
      <c r="ES73" s="41">
        <f t="shared" si="1147"/>
        <v>0</v>
      </c>
    </row>
    <row r="74" ht="18.0" customHeight="1">
      <c r="A74" s="12" t="s">
        <v>76</v>
      </c>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row>
    <row r="75" ht="18.0" customHeight="1">
      <c r="A75" s="42" t="s">
        <v>77</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43"/>
    </row>
    <row r="76" ht="18.0" customHeight="1">
      <c r="A76" s="42" t="s">
        <v>78</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44"/>
    </row>
    <row r="77" ht="18.0" customHeight="1">
      <c r="A77" s="42" t="s">
        <v>79</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44"/>
    </row>
    <row r="78" ht="18.0" customHeight="1">
      <c r="A78" s="42" t="s">
        <v>80</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44"/>
    </row>
    <row r="79" ht="18.0" customHeight="1">
      <c r="A79" s="42" t="s">
        <v>21</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44"/>
    </row>
    <row r="80" ht="18.0" customHeight="1">
      <c r="A80" s="12" t="s">
        <v>81</v>
      </c>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row>
    <row r="81" ht="18.0" customHeight="1">
      <c r="A81" s="42" t="s">
        <v>82</v>
      </c>
      <c r="B81" s="40" t="str">
        <f>IF(AND(AND(EQ8&gt;=0,EQ11&gt;=0,EQ14&gt;=0,EQ23&gt;=0),AND(ER8&gt;=0,ER11&gt;=0,ER14&gt;=0,ER23&gt;=0),AND(EM8&gt;=0,EM11&gt;=0,EM14&gt;=0,EM23&gt;=0),AND(EN8&gt;=0,EN11&gt;=0,EN14&gt;=0,EN23&gt;=0),AND(EI8&gt;=0,EI11&gt;=0,EI14&gt;=0,EI23&gt;=0),AND(EJ8&gt;=0,EJ11&gt;=0,EJ14&gt;=0,EJ23&gt;=0),AND(EE8&gt;=0,EE11&gt;=0,EE14&gt;=0,EE23&gt;=0),AND(EF8&gt;=0,EF11&gt;=0,EF14&gt;=0,EF23&gt;=0),AND(EA8&gt;=0,EA11&gt;=0,EA14&gt;=0,EA23&gt;=0),AND(EB8&gt;=0,EB11&gt;=0,EB14&gt;=0,EB23&gt;=0),AND(DW8&gt;=0,DW11&gt;=0,DW14&gt;=0,DW23&gt;=0),AND(DX8&gt;=0,DX11&gt;=0,DX14&gt;=0,DX23&gt;=0),AND(DS8&gt;=0,DS11&gt;=0,DS14&gt;=0,DS23&gt;=0),AND(DT8&gt;=0,DT11&gt;=0,DT14&gt;=0,DT23&gt;=0),AND(DO8&gt;=0,DO11&gt;=0,DO14&gt;=0,DO23&gt;=0),AND(DP8&gt;=0,DP11&gt;=0,DP14&gt;=0,DP23&gt;=0),AND(DK8&gt;=0,DK11&gt;=0,DK14&gt;=0,DK23&gt;=0),AND(DL8&gt;=0,DL11&gt;=0,DL14&gt;=0,DL23&gt;=0),AND(DG8&gt;=0,DG11&gt;=0,DG14&gt;=0,DG23&gt;=0),AND(DH8&gt;=0,DH11&gt;=0,DH14&gt;=0,DH23&gt;=0),AND(DC8&gt;=0,DC11&gt;=0,DC14&gt;=0,DC23&gt;=0),AND(DD8&gt;=0,DD11&gt;=0,DD14&gt;=0,DD23&gt;=0),AND(CY8&gt;=0,CY11&gt;=0,CY14&gt;=0,CY23&gt;=0),AND(CZ8&gt;=0,CZ11&gt;=0,CZ14&gt;=0,CZ23&gt;=0),AND(CU8&gt;=0,CU11&gt;=0,CU14&gt;=0,CU23&gt;=0),AND(CV8&gt;=0,CV11&gt;=0,CV14&gt;=0,CV23&gt;=0),AND(CQ8&gt;=0,CQ11&gt;=0,CQ14&gt;=0,CQ23&gt;=0),AND(CR8&gt;=0,CR11&gt;=0,CR14&gt;=0,CR23&gt;=0),AND(CM8&gt;=0,CM11&gt;=0,CM14&gt;=0,CM23&gt;=0),AND(CN8&gt;=0,CN11&gt;=0,CN14&gt;=0,CN23&gt;=0),AND(CI8&gt;=0,CI11&gt;=0,CI14&gt;=0,CI23&gt;=0),AND(CJ8&gt;=0,CJ11&gt;=0,CJ14&gt;=0,CJ23&gt;=0),AND(CE8&gt;=0,CE11&gt;=0,CE14&gt;=0,CE23&gt;=0),AND(CF8&gt;=0,CF11&gt;=0,CF14&gt;=0,CF23&gt;=0),AND(CA8&gt;=0,CA11&gt;=0,CA14&gt;=0,CA23&gt;=0),AND(CB8&gt;=0,CB11&gt;=0,CB14&gt;=0,CB23&gt;=0),AND(BW8&gt;=0,BW11&gt;=0,BW14&gt;=0,BW23&gt;=0),AND(BX8&gt;=0,BX11&gt;=0,BX14&gt;=0,BX23&gt;=0),AND(BS8&gt;=0,BS11&gt;=0,BS14&gt;=0,BS23&gt;=0),AND(BT8&gt;=0,BT11&gt;=0,BT14&gt;=0,BT23&gt;=0),AND(BO8&gt;=0,BO11&gt;=0,BO14&gt;=0,BO23&gt;=0),AND(BP8&gt;=0,BP11&gt;=0,BP14&gt;=0,BP23&gt;=0),AND(BK8&gt;=0,BK11&gt;=0,BK14&gt;=0,BK23&gt;=0),AND(BL8&gt;=0,BL11&gt;=0,BL14&gt;=0,BL23&gt;=0),AND(BG8&gt;=0,BG11&gt;=0,BG14&gt;=0,BG23&gt;=0),AND(BH8&gt;=0,BH11&gt;=0,BH14&gt;=0,BH23&gt;=0),AND(BC8&gt;=0,BC11&gt;=0,BC14&gt;=0,BC23&gt;=0),AND(BD8&gt;=0,BD11&gt;=0,BD14&gt;=0,BD23&gt;=0),AND(AY8&gt;=0,AY11&gt;=0,AY14&gt;=0,AY23&gt;=0),AND(AZ8&gt;=0,AZ11&gt;=0,AZ14&gt;=0,AZ23&gt;=0),AND(AU8&gt;=0,AU11&gt;=0,AU14&gt;=0,AU23&gt;=0),AND(AV8&gt;=0,AV11&gt;=0,AV14&gt;=0,AV23&gt;=0),AND(AQ8&gt;=0,AQ11&gt;=0,AQ14&gt;=0,AQ23&gt;=0),AND(AR8&gt;=0,AR11&gt;=0,AR14&gt;=0,AR23&gt;=0),AND(AM8&gt;=0,AM11&gt;=0,AM14&gt;=0,AM23&gt;=0),AND(AN8&gt;=0,AN11&gt;=0,AN14&gt;=0,AN23&gt;=0),AND(AI8&gt;=0,AI11&gt;=0,AI14&gt;=0,AI23&gt;=0),AND(AJ8&gt;=0,AJ11&gt;=0,AJ14&gt;=0,AJ23&gt;=0),AND(AE8&gt;=0,AE11&gt;=0,AE14&gt;=0,AE23&gt;=0),AND(AF8&gt;=0,AF11&gt;=0,AF14&gt;=0,AF23&gt;=0),AND(AA8&gt;=0,AA11&gt;=0,AA14&gt;=0,AA23&gt;=0),AND(AB8&gt;=0,AB11&gt;=0,AB14&gt;=0,AB23&gt;=0),AND(W8&gt;=0,W11&gt;=0,W14&gt;=0,W23&gt;=0),AND(X8&gt;=0,X11&gt;=0,X14&gt;=0,X23&gt;=0),AND(S8&gt;=0,S11&gt;=0,S14&gt;=0,S23&gt;=0),AND(T8&gt;=0,T11&gt;=0,T14&gt;=0,T23&gt;=0),AND(O8&gt;=0,O11&gt;=0,O14&gt;=0,O23&gt;=0),AND(P8&gt;=0,P11&gt;=0,P14&gt;=0,P23&gt;=0),AND(K8&gt;=0,K11&gt;=0,K14&gt;=0,K23&gt;=0),AND(L8&gt;=0,L11&gt;=0,L14&gt;=0,L23&gt;=0),AND(G8&gt;=0,G11&gt;=0,G14&gt;=0,G23&gt;=0),AND(H8&gt;=0,H11&gt;=0,H14&gt;=0,H23&gt;=0)),"OK","CHECK")</f>
        <v>OK</v>
      </c>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row>
    <row r="82" ht="18.0" customHeight="1">
      <c r="A82" s="42" t="s">
        <v>83</v>
      </c>
      <c r="B82" s="40" t="str">
        <f>IF(AND(AND(EQ7&gt;=0,EQ7&lt;=1,EQ10&gt;=0,EQ10&lt;=1),AND(ER7&gt;=0,ER7&lt;=1,ER10&gt;=0,ER10&lt;=1),AND(EM7&gt;=0,EM7&lt;=1,EM10&gt;=0,EM10&lt;=1),AND(EN7&gt;=0,EN7&lt;=1,EN10&gt;=0,EN10&lt;=1),AND(EI7&gt;=0,EI7&lt;=1,EI10&gt;=0,EI10&lt;=1),AND(EJ7&gt;=0,EJ7&lt;=1,EJ10&gt;=0,EJ10&lt;=1),AND(EE7&gt;=0,EE7&lt;=1,EE10&gt;=0,EE10&lt;=1),AND(EF7&gt;=0,EF7&lt;=1,EF10&gt;=0,EF10&lt;=1),AND(EA7&gt;=0,EA7&lt;=1,EA10&gt;=0,EA10&lt;=1),AND(EB7&gt;=0,EB7&lt;=1,EB10&gt;=0,EB10&lt;=1),AND(DW7&gt;=0,DW7&lt;=1,DW10&gt;=0,DW10&lt;=1),AND(DX7&gt;=0,DX7&lt;=1,DX10&gt;=0,DX10&lt;=1),AND(DS7&gt;=0,DS7&lt;=1,DS10&gt;=0,DS10&lt;=1),AND(DT7&gt;=0,DT7&lt;=1,DT10&gt;=0,DT10&lt;=1),AND(DO7&gt;=0,DO7&lt;=1,DO10&gt;=0,DO10&lt;=1),AND(DP7&gt;=0,DP7&lt;=1,DP10&gt;=0,DP10&lt;=1),AND(DK7&gt;=0,DK7&lt;=1,DK10&gt;=0,DK10&lt;=1),AND(DL7&gt;=0,DL7&lt;=1,DL10&gt;=0,DL10&lt;=1),AND(DG7&gt;=0,DG7&lt;=1,DG10&gt;=0,DG10&lt;=1),AND(DH7&gt;=0,DH7&lt;=1,DH10&gt;=0,DH10&lt;=1),AND(DC7&gt;=0,DC7&lt;=1,DC10&gt;=0,DC10&lt;=1),AND(DD7&gt;=0,DD7&lt;=1,DD10&gt;=0,DD10&lt;=1),AND(CY7&gt;=0,CY7&lt;=1,CY10&gt;=0,CY10&lt;=1),AND(CZ7&gt;=0,CZ7&lt;=1,CZ10&gt;=0,CZ10&lt;=1),AND(CU7&gt;=0,CU7&lt;=1,CU10&gt;=0,CU10&lt;=1),AND(CV7&gt;=0,CV7&lt;=1,CV10&gt;=0,CV10&lt;=1),AND(CQ7&gt;=0,CQ7&lt;=1,CQ10&gt;=0,CQ10&lt;=1),AND(CR7&gt;=0,CR7&lt;=1,CR10&gt;=0,CR10&lt;=1),AND(CM7&gt;=0,CM7&lt;=1,CM10&gt;=0,CM10&lt;=1),AND(CN7&gt;=0,CN7&lt;=1,CN10&gt;=0,CN10&lt;=1),AND(CI7&gt;=0,CI7&lt;=1,CI10&gt;=0,CI10&lt;=1),AND(CJ7&gt;=0,CJ7&lt;=1,CJ10&gt;=0,CJ10&lt;=1),AND(CE7&gt;=0,CE7&lt;=1,CE10&gt;=0,CE10&lt;=1),AND(CF7&gt;=0,CF7&lt;=1,CF10&gt;=0,CF10&lt;=1),AND(CA7&gt;=0,CA7&lt;=1,CA10&gt;=0,CA10&lt;=1),AND(CB7&gt;=0,CB7&lt;=1,CB10&gt;=0,CB10&lt;=1),AND(BW7&gt;=0,BW7&lt;=1,BW10&gt;=0,BW10&lt;=1),AND(BX7&gt;=0,BX7&lt;=1,BX10&gt;=0,BX10&lt;=1),AND(BS7&gt;=0,BS7&lt;=1,BS10&gt;=0,BS10&lt;=1),AND(BT7&gt;=0,BT7&lt;=1,BT10&gt;=0,BT10&lt;=1),AND(BO7&gt;=0,BO7&lt;=1,BO10&gt;=0,BO10&lt;=1),AND(BP7&gt;=0,BP7&lt;=1,BP10&gt;=0,BP10&lt;=1),AND(BK7&gt;=0,BK7&lt;=1,BK10&gt;=0,BK10&lt;=1),AND(BL7&gt;=0,BL7&lt;=1,BL10&gt;=0,BL10&lt;=1),AND(BG7&gt;=0,BG7&lt;=1,BG10&gt;=0,BG10&lt;=1),AND(BH7&gt;=0,BH7&lt;=1,BH10&gt;=0,BH10&lt;=1),AND(BC7&gt;=0,BC7&lt;=1,BC10&gt;=0,BC10&lt;=1),AND(BD7&gt;=0,BD7&lt;=1,BD10&gt;=0,BD10&lt;=1),AND(AY7&gt;=0,AY7&lt;=1,AY10&gt;=0,AY10&lt;=1),AND(AZ7&gt;=0,AZ7&lt;=1,AZ10&gt;=0,AZ10&lt;=1),AND(AU7&gt;=0,AU7&lt;=1,AU10&gt;=0,AU10&lt;=1),AND(AV7&gt;=0,AV7&lt;=1,AV10&gt;=0,AV10&lt;=1),AND(AQ7&gt;=0,AQ7&lt;=1,AQ10&gt;=0,AQ10&lt;=1),AND(AR7&gt;=0,AR7&lt;=1,AR10&gt;=0,AR10&lt;=1),AND(AM7&gt;=0,AM7&lt;=1,AM10&gt;=0,AM10&lt;=1),AND(AN7&gt;=0,AN7&lt;=1,AN10&gt;=0,AN10&lt;=1),AND(AI7&gt;=0,AI7&lt;=1,AI10&gt;=0,AI10&lt;=1),AND(AJ7&gt;=0,AJ7&lt;=1,AJ10&gt;=0,AJ10&lt;=1),AND(AE7&gt;=0,AE7&lt;=1,AE10&gt;=0,AE10&lt;=1),AND(AF7&gt;=0,AF7&lt;=1,AF10&gt;=0,AF10&lt;=1),AND(AA7&gt;=0,AA7&lt;=1,AA10&gt;=0,AA10&lt;=1),AND(AB7&gt;=0,AB7&lt;=1,AB10&gt;=0,AB10&lt;=1),AND(W7&gt;=0,W7&lt;=1,W10&gt;=0,W10&lt;=1),AND(X7&gt;=0,X7&lt;=1,X10&gt;=0,X10&lt;=1),AND(S7&gt;=0,S7&lt;=1,S10&gt;=0,S10&lt;=1),AND(T7&gt;=0,T7&lt;=1,T10&gt;=0,T10&lt;=1),AND(O7&gt;=0,O7&lt;=1,O10&gt;=0,O10&lt;=1),AND(P7&gt;=0,P7&lt;=1,P10&gt;=0,P10&lt;=1),AND(K7&gt;=0,K7&lt;=1,K10&gt;=0,K10&lt;=1),AND(L7&gt;=0,L7&lt;=1,L10&gt;=0,L10&lt;=1),AND(G7&gt;=0,G7&lt;=1,G10&gt;=0,G10&lt;=1),AND(H7&gt;=0,H7&lt;=1,H10&gt;=0,H10&lt;=1)),"OK","CHECK")</f>
        <v>OK</v>
      </c>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row>
    <row r="83" ht="18.0" customHeight="1">
      <c r="A83" s="42" t="s">
        <v>84</v>
      </c>
      <c r="B83" s="40" t="str">
        <f>IF(AND(ISNUMBER($EP$75),COUNT($EP$76:$EP$79)=4,MIN($EP$76:$EP$79)&gt;=0,MIN(EQ6,EQ13,EQ15,EQ16,EQ18,EQ28,EQ30,EQ31,EQ32,EQ33,EQ38,EQ39,EQ40,EQ41,EQ42,EQ43,EQ44,EQ45,EQ46,EQ47,EQ48,EQ49,EQ50,EQ51,EQ52,EQ60,EQ61,EQ62,EQ63,EQ64,EQ69)&gt;=0,MIN(ER6,ER13,ER15,ER16,ER18,ER28,ER30,ER31,ER32,ER33,ER38,ER39,ER40,ER41,ER42,ER43,ER44,ER45,ER46,ER47,ER48,ER49,ER50,ER51,ER52,ER60,ER61,ER62,ER63,ER64,ER69)&gt;=0,MIN(EM6,EM13,EM15,EM16,EM18,EM28,EM30,EM31,EM32,EM33,EM38,EM39,EM40,EM41,EM42,EM43,EM44,EM45,EM46,EM47,EM48,EM49,EM50,EM51,EM52,EM60,EM61,EM62,EM63,EM64,EM69)&gt;=0,MIN(EN6,EN13,EN15,EN16,EN18,EN28,EN30,EN31,EN32,EN33,EN38,EN39,EN40,EN41,EN42,EN43,EN44,EN45,EN46,EN47,EN48,EN49,EN50,EN51,EN52,EN60,EN61,EN62,EN63,EN64,EN69)&gt;=0,MIN(EI6,EI13,EI15,EI16,EI18,EI28,EI30,EI31,EI32,EI33,EI38,EI39,EI40,EI41,EI42,EI43,EI44,EI45,EI46,EI47,EI48,EI49,EI50,EI51,EI52,EI60,EI61,EI62,EI63,EI64,EI69)&gt;=0,MIN(EJ6,EJ13,EJ15,EJ16,EJ18,EJ28,EJ30,EJ31,EJ32,EJ33,EJ38,EJ39,EJ40,EJ41,EJ42,EJ43,EJ44,EJ45,EJ46,EJ47,EJ48,EJ49,EJ50,EJ51,EJ52,EJ60,EJ61,EJ62,EJ63,EJ64,EJ69)&gt;=0,MIN(EE6,EE13,EE15,EE16,EE18,EE28,EE30,EE31,EE32,EE33,EE38,EE39,EE40,EE41,EE42,EE43,EE44,EE45,EE46,EE47,EE48,EE49,EE50,EE51,EE52,EE60,EE61,EE62,EE63,EE64,EE69)&gt;=0,MIN(EF6,EF13,EF15,EF16,EF18,EF28,EF30,EF31,EF32,EF33,EF38,EF39,EF40,EF41,EF42,EF43,EF44,EF45,EF46,EF47,EF48,EF49,EF50,EF51,EF52,EF60,EF61,EF62,EF63,EF64,EF69)&gt;=0,MIN(EA6,EA13,EA15,EA16,EA18,EA28,EA30,EA31,EA32,EA33,EA38,EA39,EA40,EA41,EA42,EA43,EA44,EA45,EA46,EA47,EA48,EA49,EA50,EA51,EA52,EA60,EA61,EA62,EA63,EA64,EA69)&gt;=0,MIN(EB6,EB13,EB15,EB16,EB18,EB28,EB30,EB31,EB32,EB33,EB38,EB39,EB40,EB41,EB42,EB43,EB44,EB45,EB46,EB47,EB48,EB49,EB50,EB51,EB52,EB60,EB61,EB62,EB63,EB64,EB69)&gt;=0,MIN(DW6,DW13,DW15,DW16,DW18,DW28,DW30,DW31,DW32,DW33,DW38,DW39,DW40,DW41,DW42,DW43,DW44,DW45,DW46,DW47,DW48,DW49,DW50,DW51,DW52,DW60,DW61,DW62,DW63,DW64,DW69)&gt;=0,MIN(DX6,DX13,DX15,DX16,DX18,DX28,DX30,DX31,DX32,DX33,DX38,DX39,DX40,DX41,DX42,DX43,DX44,DX45,DX46,DX47,DX48,DX49,DX50,DX51,DX52,DX60,DX61,DX62,DX63,DX64,DX69)&gt;=0,MIN(DS6,DS13,DS15,DS16,DS18,DS28,DS30,DS31,DS32,DS33,DS38,DS39,DS40,DS41,DS42,DS43,DS44,DS45,DS46,DS47,DS48,DS49,DS50,DS51,DS52,DS60,DS61,DS62,DS63,DS64,DS69)&gt;=0,MIN(DT6,DT13,DT15,DT16,DT18,DT28,DT30,DT31,DT32,DT33,DT38,DT39,DT40,DT41,DT42,DT43,DT44,DT45,DT46,DT47,DT48,DT49,DT50,DT51,DT52,DT60,DT61,DT62,DT63,DT64,DT69)&gt;=0,MIN(DO6,DO13,DO15,DO16,DO18,DO28,DO30,DO31,DO32,DO33,DO38,DO39,DO40,DO41,DO42,DO43,DO44,DO45,DO46,DO47,DO48,DO49,DO50,DO51,DO52,DO60,DO61,DO62,DO63,DO64,DO69)&gt;=0,MIN(DP6,DP13,DP15,DP16,DP18,DP28,DP30,DP31,DP32,DP33,DP38,DP39,DP40,DP41,DP42,DP43,DP44,DP45,DP46,DP47,DP48,DP49,DP50,DP51,DP52,DP60,DP61,DP62,DP63,DP64,DP69)&gt;=0,MIN(DK6,DK13,DK15,DK16,DK18,DK28,DK30,DK31,DK32,DK33,DK38,DK39,DK40,DK41,DK42,DK43,DK44,DK45,DK46,DK47,DK48,DK49,DK50,DK51,DK52,DK60,DK61,DK62,DK63,DK64,DK69)&gt;=0,MIN(DL6,DL13,DL15,DL16,DL18,DL28,DL30,DL31,DL32,DL33,DL38,DL39,DL40,DL41,DL42,DL43,DL44,DL45,DL46,DL47,DL48,DL49,DL50,DL51,DL52,DL60,DL61,DL62,DL63,DL64,DL69)&gt;=0,MIN(DG6,DG13,DG15,DG16,DG18,DG28,DG30,DG31,DG32,DG33,DG38,DG39,DG40,DG41,DG42,DG43,DG44,DG45,DG46,DG47,DG48,DG49,DG50,DG51,DG52,DG60,DG61,DG62,DG63,DG64,DG69)&gt;=0,MIN(DH6,DH13,DH15,DH16,DH18,DH28,DH30,DH31,DH32,DH33,DH38,DH39,DH40,DH41,DH42,DH43,DH44,DH45,DH46,DH47,DH48,DH49,DH50,DH51,DH52,DH60,DH61,DH62,DH63,DH64,DH69)&gt;=0,MIN(DC6,DC13,DC15,DC16,DC18,DC28,DC30,DC31,DC32,DC33,DC38,DC39,DC40,DC41,DC42,DC43,DC44,DC45,DC46,DC47,DC48,DC49,DC50,DC51,DC52,DC60,DC61,DC62,DC63,DC64,DC69)&gt;=0,MIN(DD6,DD13,DD15,DD16,DD18,DD28,DD30,DD31,DD32,DD33,DD38,DD39,DD40,DD41,DD42,DD43,DD44,DD45,DD46,DD47,DD48,DD49,DD50,DD51,DD52,DD60,DD61,DD62,DD63,DD64,DD69)&gt;=0,MIN(CY6,CY13,CY15,CY16,CY18,CY28,CY30,CY31,CY32,CY33,CY38,CY39,CY40,CY41,CY42,CY43,CY44,CY45,CY46,CY47,CY48,CY49,CY50,CY51,CY52,CY60,CY61,CY62,CY63,CY64,CY69)&gt;=0,MIN(CZ6,CZ13,CZ15,CZ16,CZ18,CZ28,CZ30,CZ31,CZ32,CZ33,CZ38,CZ39,CZ40,CZ41,CZ42,CZ43,CZ44,CZ45,CZ46,CZ47,CZ48,CZ49,CZ50,CZ51,CZ52,CZ60,CZ61,CZ62,CZ63,CZ64,CZ69)&gt;=0,MIN(CU6,CU13,CU15,CU16,CU18,CU28,CU30,CU31,CU32,CU33,CU38,CU39,CU40,CU41,CU42,CU43,CU44,CU45,CU46,CU47,CU48,CU49,CU50,CU51,CU52,CU60,CU61,CU62,CU63,CU64,CU69)&gt;=0,MIN(CV6,CV13,CV15,CV16,CV18,CV28,CV30,CV31,CV32,CV33,CV38,CV39,CV40,CV41,CV42,CV43,CV44,CV45,CV46,CV47,CV48,CV49,CV50,CV51,CV52,CV60,CV61,CV62,CV63,CV64,CV69)&gt;=0,MIN(CQ6,CQ13,CQ15,CQ16,CQ18,CQ28,CQ30,CQ31,CQ32,CQ33,CQ38,CQ39,CQ40,CQ41,CQ42,CQ43,CQ44,CQ45,CQ46,CQ47,CQ48,CQ49,CQ50,CQ51,CQ52,CQ60,CQ61,CQ62,CQ63,CQ64,CQ69)&gt;=0,MIN(CR6,CR13,CR15,CR16,CR18,CR28,CR30,CR31,CR32,CR33,CR38,CR39,CR40,CR41,CR42,CR43,CR44,CR45,CR46,CR47,CR48,CR49,CR50,CR51,CR52,CR60,CR61,CR62,CR63,CR64,CR69)&gt;=0,MIN(CM6,CM13,CM15,CM16,CM18,CM28,CM30,CM31,CM32,CM33,CM38,CM39,CM40,CM41,CM42,CM43,CM44,CM45,CM46,CM47,CM48,CM49,CM50,CM51,CM52,CM60,CM61,CM62,CM63,CM64,CM69)&gt;=0,MIN(CN6,CN13,CN15,CN16,CN18,CN28,CN30,CN31,CN32,CN33,CN38,CN39,CN40,CN41,CN42,CN43,CN44,CN45,CN46,CN47,CN48,CN49,CN50,CN51,CN52,CN60,CN61,CN62,CN63,CN64,CN69)&gt;=0,MIN(CI6,CI13,CI15,CI16,CI18,CI28,CI30,CI31,CI32,CI33,CI38,CI39,CI40,CI41,CI42,CI43,CI44,CI45,CI46,CI47,CI48,CI49,CI50,CI51,CI52,CI60,CI61,CI62,CI63,CI64,CI69)&gt;=0,MIN(CJ6,CJ13,CJ15,CJ16,CJ18,CJ28,CJ30,CJ31,CJ32,CJ33,CJ38,CJ39,CJ40,CJ41,CJ42,CJ43,CJ44,CJ45,CJ46,CJ47,CJ48,CJ49,CJ50,CJ51,CJ52,CJ60,CJ61,CJ62,CJ63,CJ64,CJ69)&gt;=0,MIN(CE6,CE13,CE15,CE16,CE18,CE28,CE30,CE31,CE32,CE33,CE38,CE39,CE40,CE41,CE42,CE43,CE44,CE45,CE46,CE47,CE48,CE49,CE50,CE51,CE52,CE60,CE61,CE62,CE63,CE64,CE69)&gt;=0,MIN(CF6,CF13,CF15,CF16,CF18,CF28,CF30,CF31,CF32,CF33,CF38,CF39,CF40,CF41,CF42,CF43,CF44,CF45,CF46,CF47,CF48,CF49,CF50,CF51,CF52,CF60,CF61,CF62,CF63,CF64,CF69)&gt;=0,MIN(CA6,CA13,CA15,CA16,CA18,CA28,CA30,CA31,CA32,CA33,CA38,CA39,CA40,CA41,CA42,CA43,CA44,CA45,CA46,CA47,CA48,CA49,CA50,CA51,CA52,CA60,CA61,CA62,CA63,CA64,CA69)&gt;=0,MIN(CB6,CB13,CB15,CB16,CB18,CB28,CB30,CB31,CB32,CB33,CB38,CB39,CB40,CB41,CB42,CB43,CB44,CB45,CB46,CB47,CB48,CB49,CB50,CB51,CB52,CB60,CB61,CB62,CB63,CB64,CB69)&gt;=0,MIN(BW6,BW13,BW15,BW16,BW18,BW28,BW30,BW31,BW32,BW33,BW38,BW39,BW40,BW41,BW42,BW43,BW44,BW45,BW46,BW47,BW48,BW49,BW50,BW51,BW52,BW60,BW61,BW62,BW63,BW64,BW69)&gt;=0,MIN(BX6,BX13,BX15,BX16,BX18,BX28,BX30,BX31,BX32,BX33,BX38,BX39,BX40,BX41,BX42,BX43,BX44,BX45,BX46,BX47,BX48,BX49,BX50,BX51,BX52,BX60,BX61,BX62,BX63,BX64,BX69)&gt;=0,MIN(BS6,BS13,BS15,BS16,BS18,BS28,BS30,BS31,BS32,BS33,BS38,BS39,BS40,BS41,BS42,BS43,BS44,BS45,BS46,BS47,BS48,BS49,BS50,BS51,BS52,BS60,BS61,BS62,BS63,BS64,BS69)&gt;=0,MIN(BT6,BT13,BT15,BT16,BT18,BT28,BT30,BT31,BT32,BT33,BT38,BT39,BT40,BT41,BT42,BT43,BT44,BT45,BT46,BT47,BT48,BT49,BT50,BT51,BT52,BT60,BT61,BT62,BT63,BT64,BT69)&gt;=0,MIN(BO6,BO13,BO15,BO16,BO18,BO28,BO30,BO31,BO32,BO33,BO38,BO39,BO40,BO41,BO42,BO43,BO44,BO45,BO46,BO47,BO48,BO49,BO50,BO51,BO52,BO60,BO61,BO62,BO63,BO64,BO69)&gt;=0,MIN(BP6,BP13,BP15,BP16,BP18,BP28,BP30,BP31,BP32,BP33,BP38,BP39,BP40,BP41,BP42,BP43,BP44,BP45,BP46,BP47,BP48,BP49,BP50,BP51,BP52,BP60,BP61,BP62,BP63,BP64,BP69)&gt;=0,MIN(BK6,BK13,BK15,BK16,BK18,BK28,BK30,BK31,BK32,BK33,BK38,BK39,BK40,BK41,BK42,BK43,BK44,BK45,BK46,BK47,BK48,BK49,BK50,BK51,BK52,BK60,BK61,BK62,BK63,BK64,BK69)&gt;=0,MIN(BL6,BL13,BL15,BL16,BL18,BL28,BL30,BL31,BL32,BL33,BL38,BL39,BL40,BL41,BL42,BL43,BL44,BL45,BL46,BL47,BL48,BL49,BL50,BL51,BL52,BL60,BL61,BL62,BL63,BL64,BL69)&gt;=0,MIN(BG6,BG13,BG15,BG16,BG18,BG28,BG30,BG31,BG32,BG33,BG38,BG39,BG40,BG41,BG42,BG43,BG44,BG45,BG46,BG47,BG48,BG49,BG50,BG51,BG52,BG60,BG61,BG62,BG63,BG64,BG69)&gt;=0,MIN(BH6,BH13,BH15,BH16,BH18,BH28,BH30,BH31,BH32,BH33,BH38,BH39,BH40,BH41,BH42,BH43,BH44,BH45,BH46,BH47,BH48,BH49,BH50,BH51,BH52,BH60,BH61,BH62,BH63,BH64,BH69)&gt;=0,MIN(BC6,BC13,BC15,BC16,BC18,BC28,BC30,BC31,BC32,BC33,BC38,BC39,BC40,BC41,BC42,BC43,BC44,BC45,BC46,BC47,BC48,BC49,BC50,BC51,BC52,BC60,BC61,BC62,BC63,BC64,BC69)&gt;=0,MIN(BD6,BD13,BD15,BD16,BD18,BD28,BD30,BD31,BD32,BD33,BD38,BD39,BD40,BD41,BD42,BD43,BD44,BD45,BD46,BD47,BD48,BD49,BD50,BD51,BD52,BD60,BD61,BD62,BD63,BD64,BD69)&gt;=0,MIN(AY6,AY13,AY15,AY16,AY18,AY28,AY30,AY31,AY32,AY33,AY38,AY39,AY40,AY41,AY42,AY43,AY44,AY45,AY46,AY47,AY48,AY49,AY50,AY51,AY52,AY60,AY61,AY62,AY63,AY64,AY69)&gt;=0,MIN(AZ6,AZ13,AZ15,AZ16,AZ18,AZ28,AZ30,AZ31,AZ32,AZ33,AZ38,AZ39,AZ40,AZ41,AZ42,AZ43,AZ44,AZ45,AZ46,AZ47,AZ48,AZ49,AZ50,AZ51,AZ52,AZ60,AZ61,AZ62,AZ63,AZ64,AZ69)&gt;=0,MIN(AU6,AU13,AU15,AU16,AU18,AU28,AU30,AU31,AU32,AU33,AU38,AU39,AU40,AU41,AU42,AU43,AU44,AU45,AU46,AU47,AU48,AU49,AU50,AU51,AU52,AU60,AU61,AU62,AU63,AU64,AU69)&gt;=0,MIN(AV6,AV13,AV15,AV16,AV18,AV28,AV30,AV31,AV32,AV33,AV38,AV39,AV40,AV41,AV42,AV43,AV44,AV45,AV46,AV47,AV48,AV49,AV50,AV51,AV52,AV60,AV61,AV62,AV63,AV64,AV69)&gt;=0,MIN(AQ6,AQ13,AQ15,AQ16,AQ18,AQ28,AQ30,AQ31,AQ32,AQ33,AQ38,AQ39,AQ40,AQ41,AQ42,AQ43,AQ44,AQ45,AQ46,AQ47,AQ48,AQ49,AQ50,AQ51,AQ52,AQ60,AQ61,AQ62,AQ63,AQ64,AQ69)&gt;=0,MIN(AR6,AR13,AR15,AR16,AR18,AR28,AR30,AR31,AR32,AR33,AR38,AR39,AR40,AR41,AR42,AR43,AR44,AR45,AR46,AR47,AR48,AR49,AR50,AR51,AR52,AR60,AR61,AR62,AR63,AR64,AR69)&gt;=0,MIN(AM6,AM13,AM15,AM16,AM18,AM28,AM30,AM31,AM32,AM33,AM38,AM39,AM40,AM41,AM42,AM43,AM44,AM45,AM46,AM47,AM48,AM49,AM50,AM51,AM52,AM60,AM61,AM62,AM63,AM64,AM69)&gt;=0,MIN(AN6,AN13,AN15,AN16,AN18,AN28,AN30,AN31,AN32,AN33,AN38,AN39,AN40,AN41,AN42,AN43,AN44,AN45,AN46,AN47,AN48,AN49,AN50,AN51,AN52,AN60,AN61,AN62,AN63,AN64,AN69)&gt;=0,MIN(AI6,AI13,AI15,AI16,AI18,AI28,AI30,AI31,AI32,AI33,AI38,AI39,AI40,AI41,AI42,AI43,AI44,AI45,AI46,AI47,AI48,AI49,AI50,AI51,AI52,AI60,AI61,AI62,AI63,AI64,AI69)&gt;=0,MIN(AJ6,AJ13,AJ15,AJ16,AJ18,AJ28,AJ30,AJ31,AJ32,AJ33,AJ38,AJ39,AJ40,AJ41,AJ42,AJ43,AJ44,AJ45,AJ46,AJ47,AJ48,AJ49,AJ50,AJ51,AJ52,AJ60,AJ61,AJ62,AJ63,AJ64,AJ69)&gt;=0,MIN(AE6,AE13,AE15,AE16,AE18,AE28,AE30,AE31,AE32,AE33,AE38,AE39,AE40,AE41,AE42,AE43,AE44,AE45,AE46,AE47,AE48,AE49,AE50,AE51,AE52,AE60,AE61,AE62,AE63,AE64,AE69)&gt;=0,MIN(AF6,AF13,AF15,AF16,AF18,AF28,AF30,AF31,AF32,AF33,AF38,AF39,AF40,AF41,AF42,AF43,AF44,AF45,AF46,AF47,AF48,AF49,AF50,AF51,AF52,AF60,AF61,AF62,AF63,AF64,AF69)&gt;=0,MIN(AA6,AA13,AA15,AA16,AA18,AA28,AA30,AA31,AA32,AA33,AA38,AA39,AA40,AA41,AA42,AA43,AA44,AA45,AA46,AA47,AA48,AA49,AA50,AA51,AA52,AA60,AA61,AA62,AA63,AA64,AA69)&gt;=0,MIN(AB6,AB13,AB15,AB16,AB18,AB28,AB30,AB31,AB32,AB33,AB38,AB39,AB40,AB41,AB42,AB43,AB44,AB45,AB46,AB47,AB48,AB49,AB50,AB51,AB52,AB60,AB61,AB62,AB63,AB64,AB69)&gt;=0,MIN(W6,W13,W15,W16,W18,W28,W30,W31,W32,W33,W38,W39,W40,W41,W42,W43,W44,W45,W46,W47,W48,W49,W50,W51,W52,W60,W61,W62,W63,W64,W69)&gt;=0,MIN(X6,X13,X15,X16,X18,X28,X30,X31,X32,X33,X38,X39,X40,X41,X42,X43,X44,X45,X46,X47,X48,X49,X50,X51,X52,X60,X61,X62,X63,X64,X69)&gt;=0,MIN(S6,S13,S15,S16,S18,S28,S30,S31,S32,S33,S38,S39,S40,S41,S42,S43,S44,S45,S46,S47,S48,S49,S50,S51,S52,S60,S61,S62,S63,S64,S69)&gt;=0,MIN(T6,T13,T15,T16,T18,T28,T30,T31,T32,T33,T38,T39,T40,T41,T42,T43,T44,T45,T46,T47,T48,T49,T50,T51,T52,T60,T61,T62,T63,T64,T69)&gt;=0,MIN(O6,O13,O15,O16,O18,O28,O30,O31,O32,O33,O38,O39,O40,O41,O42,O43,O44,O45,O46,O47,O48,O49,O50,O51,O52,O60,O61,O62,O63,O64,O69)&gt;=0,MIN(P6,P13,P15,P16,P18,P28,P30,P31,P32,P33,P38,P39,P40,P41,P42,P43,P44,P45,P46,P47,P48,P49,P50,P51,P52,P60,P61,P62,P63,P64,P69)&gt;=0,MIN(K6,K13,K15,K16,K18,K28,K30,K31,K32,K33,K38,K39,K40,K41,K42,K43,K44,K45,K46,K47,K48,K49,K50,K51,K52,K60,K61,K62,K63,K64,K69)&gt;=0,MIN(L6,L13,L15,L16,L18,L28,L30,L31,L32,L33,L38,L39,L40,L41,L42,L43,L44,L45,L46,L47,L48,L49,L50,L51,L52,L60,L61,L62,L63,L64,L69)&gt;=0,MIN(G6,G13,G15,G16,G18,G28,G30,G31,G32,G33,G38,G39,G40,G41,G42,G43,G44,G45,G46,G47,G48,G49,G50,G51,G52,G60,G61,G62,G63,G64,G69)&gt;=0,MIN(H6,H13,H15,H16,H18,H28,H30,H31,H32,H33,H38,H39,H40,H41,H42,H43,H44,H45,H46,H47,H48,H49,H50,H51,H52,H60,H61,H62,H63,H64,H69)&gt;=0),"OK","CHECK")</f>
        <v>CHECK</v>
      </c>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row>
    <row r="84" ht="18.0" customHeight="1">
      <c r="A84" s="42" t="s">
        <v>85</v>
      </c>
      <c r="B84" s="40" t="str">
        <f>IF(AND(OR(AND(EP$57="",COUNT(EP6,EP8,EP9,EP11,EP12,EP13,EP14,EP15,EP16,EP18,EP21,EP23,EP28,EP30,EP31,EP32,EP33,EP38,EP39,EP40,EP41,EP42,EP43,EP44,EP45,EP46,EP47,EP48,EP49,EP50,EP51,EP52,EP57,EP60,EP61,EP62,EP63,EP64,EP69)=0),AND(EP$57&lt;&gt;"",COUNT(EP6,EP8,EP9,EP11,EP12,EP13,EP14,EP15,EP16,EP18,EP21,EP23,EP28,EP30,EP31,EP32,EP33,EP38,EP39,EP40,EP41,EP42,EP43,EP44,EP45,EP46,EP47,EP48,EP49,EP50,EP51,EP52,EP57,EP60,EP61,EP62,EP63,EP64,EP69)=39)),OR(AND(EL$57="",COUNT(EL6,EL8,EL9,EL11,EL12,EL13,EL14,EL15,EL16,EL18,EL21,EL23,EL28,EL30,EL31,EL32,EL33,EL38,EL39,EL40,EL41,EL42,EL43,EL44,EL45,EL46,EL47,EL48,EL49,EL50,EL51,EL52,EL57,EL60,EL61,EL62,EL63,EL64,EL69)=0),AND(EL$57&lt;&gt;"",COUNT(EL6,EL8,EL9,EL11,EL12,EL13,EL14,EL15,EL16,EL18,EL21,EL23,EL28,EL30,EL31,EL32,EL33,EL38,EL39,EL40,EL41,EL42,EL43,EL44,EL45,EL46,EL47,EL48,EL49,EL50,EL51,EL52,EL57,EL60,EL61,EL62,EL63,EL64,EL69)=39)),OR(AND(EH$57="",COUNT(EH6,EH8,EH9,EH11,EH12,EH13,EH14,EH15,EH16,EH18,EH21,EH23,EH28,EH30,EH31,EH32,EH33,EH38,EH39,EH40,EH41,EH42,EH43,EH44,EH45,EH46,EH47,EH48,EH49,EH50,EH51,EH52,EH57,EH60,EH61,EH62,EH63,EH64,EH69)=0),AND(EH$57&lt;&gt;"",COUNT(EH6,EH8,EH9,EH11,EH12,EH13,EH14,EH15,EH16,EH18,EH21,EH23,EH28,EH30,EH31,EH32,EH33,EH38,EH39,EH40,EH41,EH42,EH43,EH44,EH45,EH46,EH47,EH48,EH49,EH50,EH51,EH52,EH57,EH60,EH61,EH62,EH63,EH64,EH69)=39)),OR(AND(ED$57="",COUNT(ED6,ED8,ED9,ED11,ED12,ED13,ED14,ED15,ED16,ED18,ED21,ED23,ED28,ED30,ED31,ED32,ED33,ED38,ED39,ED40,ED41,ED42,ED43,ED44,ED45,ED46,ED47,ED48,ED49,ED50,ED51,ED52,ED57,ED60,ED61,ED62,ED63,ED64,ED69)=0),AND(ED$57&lt;&gt;"",COUNT(ED6,ED8,ED9,ED11,ED12,ED13,ED14,ED15,ED16,ED18,ED21,ED23,ED28,ED30,ED31,ED32,ED33,ED38,ED39,ED40,ED41,ED42,ED43,ED44,ED45,ED46,ED47,ED48,ED49,ED50,ED51,ED52,ED57,ED60,ED61,ED62,ED63,ED64,ED69)=39)),OR(AND(DZ$57="",COUNT(DZ6,DZ8,DZ9,DZ11,DZ12,DZ13,DZ14,DZ15,DZ16,DZ18,DZ21,DZ23,DZ28,DZ30,DZ31,DZ32,DZ33,DZ38,DZ39,DZ40,DZ41,DZ42,DZ43,DZ44,DZ45,DZ46,DZ47,DZ48,DZ49,DZ50,DZ51,DZ52,DZ57,DZ60,DZ61,DZ62,DZ63,DZ64,DZ69)=0),AND(DZ$57&lt;&gt;"",COUNT(DZ6,DZ8,DZ9,DZ11,DZ12,DZ13,DZ14,DZ15,DZ16,DZ18,DZ21,DZ23,DZ28,DZ30,DZ31,DZ32,DZ33,DZ38,DZ39,DZ40,DZ41,DZ42,DZ43,DZ44,DZ45,DZ46,DZ47,DZ48,DZ49,DZ50,DZ51,DZ52,DZ57,DZ60,DZ61,DZ62,DZ63,DZ64,DZ69)=39)),OR(AND(DV$57="",COUNT(DV6,DV8,DV9,DV11,DV12,DV13,DV14,DV15,DV16,DV18,DV21,DV23,DV28,DV30,DV31,DV32,DV33,DV38,DV39,DV40,DV41,DV42,DV43,DV44,DV45,DV46,DV47,DV48,DV49,DV50,DV51,DV52,DV57,DV60,DV61,DV62,DV63,DV64,DV69)=0),AND(DV$57&lt;&gt;"",COUNT(DV6,DV8,DV9,DV11,DV12,DV13,DV14,DV15,DV16,DV18,DV21,DV23,DV28,DV30,DV31,DV32,DV33,DV38,DV39,DV40,DV41,DV42,DV43,DV44,DV45,DV46,DV47,DV48,DV49,DV50,DV51,DV52,DV57,DV60,DV61,DV62,DV63,DV64,DV69)=39)),OR(AND(DR$57="",COUNT(DR6,DR8,DR9,DR11,DR12,DR13,DR14,DR15,DR16,DR18,DR21,DR23,DR28,DR30,DR31,DR32,DR33,DR38,DR39,DR40,DR41,DR42,DR43,DR44,DR45,DR46,DR47,DR48,DR49,DR50,DR51,DR52,DR57,DR60,DR61,DR62,DR63,DR64,DR69)=0),AND(DR$57&lt;&gt;"",COUNT(DR6,DR8,DR9,DR11,DR12,DR13,DR14,DR15,DR16,DR18,DR21,DR23,DR28,DR30,DR31,DR32,DR33,DR38,DR39,DR40,DR41,DR42,DR43,DR44,DR45,DR46,DR47,DR48,DR49,DR50,DR51,DR52,DR57,DR60,DR61,DR62,DR63,DR64,DR69)=39)),OR(AND(DN$57="",COUNT(DN6,DN8,DN9,DN11,DN12,DN13,DN14,DN15,DN16,DN18,DN21,DN23,DN28,DN30,DN31,DN32,DN33,DN38,DN39,DN40,DN41,DN42,DN43,DN44,DN45,DN46,DN47,DN48,DN49,DN50,DN51,DN52,DN57,DN60,DN61,DN62,DN63,DN64,DN69)=0),AND(DN$57&lt;&gt;"",COUNT(DN6,DN8,DN9,DN11,DN12,DN13,DN14,DN15,DN16,DN18,DN21,DN23,DN28,DN30,DN31,DN32,DN33,DN38,DN39,DN40,DN41,DN42,DN43,DN44,DN45,DN46,DN47,DN48,DN49,DN50,DN51,DN52,DN57,DN60,DN61,DN62,DN63,DN64,DN69)=39)),OR(AND(DJ$57="",COUNT(DJ6,DJ8,DJ9,DJ11,DJ12,DJ13,DJ14,DJ15,DJ16,DJ18,DJ21,DJ23,DJ28,DJ30,DJ31,DJ32,DJ33,DJ38,DJ39,DJ40,DJ41,DJ42,DJ43,DJ44,DJ45,DJ46,DJ47,DJ48,DJ49,DJ50,DJ51,DJ52,DJ57,DJ60,DJ61,DJ62,DJ63,DJ64,DJ69)=0),AND(DJ$57&lt;&gt;"",COUNT(DJ6,DJ8,DJ9,DJ11,DJ12,DJ13,DJ14,DJ15,DJ16,DJ18,DJ21,DJ23,DJ28,DJ30,DJ31,DJ32,DJ33,DJ38,DJ39,DJ40,DJ41,DJ42,DJ43,DJ44,DJ45,DJ46,DJ47,DJ48,DJ49,DJ50,DJ51,DJ52,DJ57,DJ60,DJ61,DJ62,DJ63,DJ64,DJ69)=39)),OR(AND(DF$57="",COUNT(DF6,DF8,DF9,DF11,DF12,DF13,DF14,DF15,DF16,DF18,DF21,DF23,DF28,DF30,DF31,DF32,DF33,DF38,DF39,DF40,DF41,DF42,DF43,DF44,DF45,DF46,DF47,DF48,DF49,DF50,DF51,DF52,DF57,DF60,DF61,DF62,DF63,DF64,DF69)=0),AND(DF$57&lt;&gt;"",COUNT(DF6,DF8,DF9,DF11,DF12,DF13,DF14,DF15,DF16,DF18,DF21,DF23,DF28,DF30,DF31,DF32,DF33,DF38,DF39,DF40,DF41,DF42,DF43,DF44,DF45,DF46,DF47,DF48,DF49,DF50,DF51,DF52,DF57,DF60,DF61,DF62,DF63,DF64,DF69)=39)),OR(AND(DB$57="",COUNT(DB6,DB8,DB9,DB11,DB12,DB13,DB14,DB15,DB16,DB18,DB21,DB23,DB28,DB30,DB31,DB32,DB33,DB38,DB39,DB40,DB41,DB42,DB43,DB44,DB45,DB46,DB47,DB48,DB49,DB50,DB51,DB52,DB57,DB60,DB61,DB62,DB63,DB64,DB69)=0),AND(DB$57&lt;&gt;"",COUNT(DB6,DB8,DB9,DB11,DB12,DB13,DB14,DB15,DB16,DB18,DB21,DB23,DB28,DB30,DB31,DB32,DB33,DB38,DB39,DB40,DB41,DB42,DB43,DB44,DB45,DB46,DB47,DB48,DB49,DB50,DB51,DB52,DB57,DB60,DB61,DB62,DB63,DB64,DB69)=39)),OR(AND(CX$57="",COUNT(CX6,CX8,CX9,CX11,CX12,CX13,CX14,CX15,CX16,CX18,CX21,CX23,CX28,CX30,CX31,CX32,CX33,CX38,CX39,CX40,CX41,CX42,CX43,CX44,CX45,CX46,CX47,CX48,CX49,CX50,CX51,CX52,CX57,CX60,CX61,CX62,CX63,CX64,CX69)=0),AND(CX$57&lt;&gt;"",COUNT(CX6,CX8,CX9,CX11,CX12,CX13,CX14,CX15,CX16,CX18,CX21,CX23,CX28,CX30,CX31,CX32,CX33,CX38,CX39,CX40,CX41,CX42,CX43,CX44,CX45,CX46,CX47,CX48,CX49,CX50,CX51,CX52,CX57,CX60,CX61,CX62,CX63,CX64,CX69)=39)),OR(AND(CT$57="",COUNT(CT6,CT8,CT9,CT11,CT12,CT13,CT14,CT15,CT16,CT18,CT21,CT23,CT28,CT30,CT31,CT32,CT33,CT38,CT39,CT40,CT41,CT42,CT43,CT44,CT45,CT46,CT47,CT48,CT49,CT50,CT51,CT52,CT57,CT60,CT61,CT62,CT63,CT64,CT69)=0),AND(CT$57&lt;&gt;"",COUNT(CT6,CT8,CT9,CT11,CT12,CT13,CT14,CT15,CT16,CT18,CT21,CT23,CT28,CT30,CT31,CT32,CT33,CT38,CT39,CT40,CT41,CT42,CT43,CT44,CT45,CT46,CT47,CT48,CT49,CT50,CT51,CT52,CT57,CT60,CT61,CT62,CT63,CT64,CT69)=39)),OR(AND(CP$57="",COUNT(CP6,CP8,CP9,CP11,CP12,CP13,CP14,CP15,CP16,CP18,CP21,CP23,CP28,CP30,CP31,CP32,CP33,CP38,CP39,CP40,CP41,CP42,CP43,CP44,CP45,CP46,CP47,CP48,CP49,CP50,CP51,CP52,CP57,CP60,CP61,CP62,CP63,CP64,CP69)=0),AND(CP$57&lt;&gt;"",COUNT(CP6,CP8,CP9,CP11,CP12,CP13,CP14,CP15,CP16,CP18,CP21,CP23,CP28,CP30,CP31,CP32,CP33,CP38,CP39,CP40,CP41,CP42,CP43,CP44,CP45,CP46,CP47,CP48,CP49,CP50,CP51,CP52,CP57,CP60,CP61,CP62,CP63,CP64,CP69)=39)),OR(AND(CL$57="",COUNT(CL6,CL8,CL9,CL11,CL12,CL13,CL14,CL15,CL16,CL18,CL21,CL23,CL28,CL30,CL31,CL32,CL33,CL38,CL39,CL40,CL41,CL42,CL43,CL44,CL45,CL46,CL47,CL48,CL49,CL50,CL51,CL52,CL57,CL60,CL61,CL62,CL63,CL64,CL69)=0),AND(CL$57&lt;&gt;"",COUNT(CL6,CL8,CL9,CL11,CL12,CL13,CL14,CL15,CL16,CL18,CL21,CL23,CL28,CL30,CL31,CL32,CL33,CL38,CL39,CL40,CL41,CL42,CL43,CL44,CL45,CL46,CL47,CL48,CL49,CL50,CL51,CL52,CL57,CL60,CL61,CL62,CL63,CL64,CL69)=39)),OR(AND(CH$57="",COUNT(CH6,CH8,CH9,CH11,CH12,CH13,CH14,CH15,CH16,CH18,CH21,CH23,CH28,CH30,CH31,CH32,CH33,CH38,CH39,CH40,CH41,CH42,CH43,CH44,CH45,CH46,CH47,CH48,CH49,CH50,CH51,CH52,CH57,CH60,CH61,CH62,CH63,CH64,CH69)=0),AND(CH$57&lt;&gt;"",COUNT(CH6,CH8,CH9,CH11,CH12,CH13,CH14,CH15,CH16,CH18,CH21,CH23,CH28,CH30,CH31,CH32,CH33,CH38,CH39,CH40,CH41,CH42,CH43,CH44,CH45,CH46,CH47,CH48,CH49,CH50,CH51,CH52,CH57,CH60,CH61,CH62,CH63,CH64,CH69)=39)),OR(AND(CD$57="",COUNT(CD6,CD8,CD9,CD11,CD12,CD13,CD14,CD15,CD16,CD18,CD21,CD23,CD28,CD30,CD31,CD32,CD33,CD38,CD39,CD40,CD41,CD42,CD43,CD44,CD45,CD46,CD47,CD48,CD49,CD50,CD51,CD52,CD57,CD60,CD61,CD62,CD63,CD64,CD69)=0),AND(CD$57&lt;&gt;"",COUNT(CD6,CD8,CD9,CD11,CD12,CD13,CD14,CD15,CD16,CD18,CD21,CD23,CD28,CD30,CD31,CD32,CD33,CD38,CD39,CD40,CD41,CD42,CD43,CD44,CD45,CD46,CD47,CD48,CD49,CD50,CD51,CD52,CD57,CD60,CD61,CD62,CD63,CD64,CD69)=39)),OR(AND(BZ$57="",COUNT(BZ6,BZ8,BZ9,BZ11,BZ12,BZ13,BZ14,BZ15,BZ16,BZ18,BZ21,BZ23,BZ28,BZ30,BZ31,BZ32,BZ33,BZ38,BZ39,BZ40,BZ41,BZ42,BZ43,BZ44,BZ45,BZ46,BZ47,BZ48,BZ49,BZ50,BZ51,BZ52,BZ57,BZ60,BZ61,BZ62,BZ63,BZ64,BZ69)=0),AND(BZ$57&lt;&gt;"",COUNT(BZ6,BZ8,BZ9,BZ11,BZ12,BZ13,BZ14,BZ15,BZ16,BZ18,BZ21,BZ23,BZ28,BZ30,BZ31,BZ32,BZ33,BZ38,BZ39,BZ40,BZ41,BZ42,BZ43,BZ44,BZ45,BZ46,BZ47,BZ48,BZ49,BZ50,BZ51,BZ52,BZ57,BZ60,BZ61,BZ62,BZ63,BZ64,BZ69)=39)),OR(AND(BV$57="",COUNT(BV6,BV8,BV9,BV11,BV12,BV13,BV14,BV15,BV16,BV18,BV21,BV23,BV28,BV30,BV31,BV32,BV33,BV38,BV39,BV40,BV41,BV42,BV43,BV44,BV45,BV46,BV47,BV48,BV49,BV50,BV51,BV52,BV57,BV60,BV61,BV62,BV63,BV64,BV69)=0),AND(BV$57&lt;&gt;"",COUNT(BV6,BV8,BV9,BV11,BV12,BV13,BV14,BV15,BV16,BV18,BV21,BV23,BV28,BV30,BV31,BV32,BV33,BV38,BV39,BV40,BV41,BV42,BV43,BV44,BV45,BV46,BV47,BV48,BV49,BV50,BV51,BV52,BV57,BV60,BV61,BV62,BV63,BV64,BV69)=39)),OR(AND(BR$57="",COUNT(BR6,BR8,BR9,BR11,BR12,BR13,BR14,BR15,BR16,BR18,BR21,BR23,BR28,BR30,BR31,BR32,BR33,BR38,BR39,BR40,BR41,BR42,BR43,BR44,BR45,BR46,BR47,BR48,BR49,BR50,BR51,BR52,BR57,BR60,BR61,BR62,BR63,BR64,BR69)=0),AND(BR$57&lt;&gt;"",COUNT(BR6,BR8,BR9,BR11,BR12,BR13,BR14,BR15,BR16,BR18,BR21,BR23,BR28,BR30,BR31,BR32,BR33,BR38,BR39,BR40,BR41,BR42,BR43,BR44,BR45,BR46,BR47,BR48,BR49,BR50,BR51,BR52,BR57,BR60,BR61,BR62,BR63,BR64,BR69)=39)),OR(AND(BN$57="",COUNT(BN6,BN8,BN9,BN11,BN12,BN13,BN14,BN15,BN16,BN18,BN21,BN23,BN28,BN30,BN31,BN32,BN33,BN38,BN39,BN40,BN41,BN42,BN43,BN44,BN45,BN46,BN47,BN48,BN49,BN50,BN51,BN52,BN57,BN60,BN61,BN62,BN63,BN64,BN69)=0),AND(BN$57&lt;&gt;"",COUNT(BN6,BN8,BN9,BN11,BN12,BN13,BN14,BN15,BN16,BN18,BN21,BN23,BN28,BN30,BN31,BN32,BN33,BN38,BN39,BN40,BN41,BN42,BN43,BN44,BN45,BN46,BN47,BN48,BN49,BN50,BN51,BN52,BN57,BN60,BN61,BN62,BN63,BN64,BN69)=39)),OR(AND(BJ$57="",COUNT(BJ6,BJ8,BJ9,BJ11,BJ12,BJ13,BJ14,BJ15,BJ16,BJ18,BJ21,BJ23,BJ28,BJ30,BJ31,BJ32,BJ33,BJ38,BJ39,BJ40,BJ41,BJ42,BJ43,BJ44,BJ45,BJ46,BJ47,BJ48,BJ49,BJ50,BJ51,BJ52,BJ57,BJ60,BJ61,BJ62,BJ63,BJ64,BJ69)=0),AND(BJ$57&lt;&gt;"",COUNT(BJ6,BJ8,BJ9,BJ11,BJ12,BJ13,BJ14,BJ15,BJ16,BJ18,BJ21,BJ23,BJ28,BJ30,BJ31,BJ32,BJ33,BJ38,BJ39,BJ40,BJ41,BJ42,BJ43,BJ44,BJ45,BJ46,BJ47,BJ48,BJ49,BJ50,BJ51,BJ52,BJ57,BJ60,BJ61,BJ62,BJ63,BJ64,BJ69)=39)),OR(AND(BF$57="",COUNT(BF6,BF8,BF9,BF11,BF12,BF13,BF14,BF15,BF16,BF18,BF21,BF23,BF28,BF30,BF31,BF32,BF33,BF38,BF39,BF40,BF41,BF42,BF43,BF44,BF45,BF46,BF47,BF48,BF49,BF50,BF51,BF52,BF57,BF60,BF61,BF62,BF63,BF64,BF69)=0),AND(BF$57&lt;&gt;"",COUNT(BF6,BF8,BF9,BF11,BF12,BF13,BF14,BF15,BF16,BF18,BF21,BF23,BF28,BF30,BF31,BF32,BF33,BF38,BF39,BF40,BF41,BF42,BF43,BF44,BF45,BF46,BF47,BF48,BF49,BF50,BF51,BF52,BF57,BF60,BF61,BF62,BF63,BF64,BF69)=39)),OR(AND(BB$57="",COUNT(BB6,BB8,BB9,BB11,BB12,BB13,BB14,BB15,BB16,BB18,BB21,BB23,BB28,BB30,BB31,BB32,BB33,BB38,BB39,BB40,BB41,BB42,BB43,BB44,BB45,BB46,BB47,BB48,BB49,BB50,BB51,BB52,BB57,BB60,BB61,BB62,BB63,BB64,BB69)=0),AND(BB$57&lt;&gt;"",COUNT(BB6,BB8,BB9,BB11,BB12,BB13,BB14,BB15,BB16,BB18,BB21,BB23,BB28,BB30,BB31,BB32,BB33,BB38,BB39,BB40,BB41,BB42,BB43,BB44,BB45,BB46,BB47,BB48,BB49,BB50,BB51,BB52,BB57,BB60,BB61,BB62,BB63,BB64,BB69)=39)),OR(AND(AX$57="",COUNT(AX6,AX8,AX9,AX11,AX12,AX13,AX14,AX15,AX16,AX18,AX21,AX23,AX28,AX30,AX31,AX32,AX33,AX38,AX39,AX40,AX41,AX42,AX43,AX44,AX45,AX46,AX47,AX48,AX49,AX50,AX51,AX52,AX57,AX60,AX61,AX62,AX63,AX64,AX69)=0),AND(AX$57&lt;&gt;"",COUNT(AX6,AX8,AX9,AX11,AX12,AX13,AX14,AX15,AX16,AX18,AX21,AX23,AX28,AX30,AX31,AX32,AX33,AX38,AX39,AX40,AX41,AX42,AX43,AX44,AX45,AX46,AX47,AX48,AX49,AX50,AX51,AX52,AX57,AX60,AX61,AX62,AX63,AX64,AX69)=39)),OR(AND(AT$57="",COUNT(AT6,AT8,AT9,AT11,AT12,AT13,AT14,AT15,AT16,AT18,AT21,AT23,AT28,AT30,AT31,AT32,AT33,AT38,AT39,AT40,AT41,AT42,AT43,AT44,AT45,AT46,AT47,AT48,AT49,AT50,AT51,AT52,AT57,AT60,AT61,AT62,AT63,AT64,AT69)=0),AND(AT$57&lt;&gt;"",COUNT(AT6,AT8,AT9,AT11,AT12,AT13,AT14,AT15,AT16,AT18,AT21,AT23,AT28,AT30,AT31,AT32,AT33,AT38,AT39,AT40,AT41,AT42,AT43,AT44,AT45,AT46,AT47,AT48,AT49,AT50,AT51,AT52,AT57,AT60,AT61,AT62,AT63,AT64,AT69)=39)),OR(AND(AP$57="",COUNT(AP6,AP8,AP9,AP11,AP12,AP13,AP14,AP15,AP16,AP18,AP21,AP23,AP28,AP30,AP31,AP32,AP33,AP38,AP39,AP40,AP41,AP42,AP43,AP44,AP45,AP46,AP47,AP48,AP49,AP50,AP51,AP52,AP57,AP60,AP61,AP62,AP63,AP64,AP69)=0),AND(AP$57&lt;&gt;"",COUNT(AP6,AP8,AP9,AP11,AP12,AP13,AP14,AP15,AP16,AP18,AP21,AP23,AP28,AP30,AP31,AP32,AP33,AP38,AP39,AP40,AP41,AP42,AP43,AP44,AP45,AP46,AP47,AP48,AP49,AP50,AP51,AP52,AP57,AP60,AP61,AP62,AP63,AP64,AP69)=39)),OR(AND(AL$57="",COUNT(AL6,AL8,AL9,AL11,AL12,AL13,AL14,AL15,AL16,AL18,AL21,AL23,AL28,AL30,AL31,AL32,AL33,AL38,AL39,AL40,AL41,AL42,AL43,AL44,AL45,AL46,AL47,AL48,AL49,AL50,AL51,AL52,AL57,AL60,AL61,AL62,AL63,AL64,AL69)=0),AND(AL$57&lt;&gt;"",COUNT(AL6,AL8,AL9,AL11,AL12,AL13,AL14,AL15,AL16,AL18,AL21,AL23,AL28,AL30,AL31,AL32,AL33,AL38,AL39,AL40,AL41,AL42,AL43,AL44,AL45,AL46,AL47,AL48,AL49,AL50,AL51,AL52,AL57,AL60,AL61,AL62,AL63,AL64,AL69)=39)),OR(AND(AH$57="",COUNT(AH6,AH8,AH9,AH11,AH12,AH13,AH14,AH15,AH16,AH18,AH21,AH23,AH28,AH30,AH31,AH32,AH33,AH38,AH39,AH40,AH41,AH42,AH43,AH44,AH45,AH46,AH47,AH48,AH49,AH50,AH51,AH52,AH57,AH60,AH61,AH62,AH63,AH64,AH69)=0),AND(AH$57&lt;&gt;"",COUNT(AH6,AH8,AH9,AH11,AH12,AH13,AH14,AH15,AH16,AH18,AH21,AH23,AH28,AH30,AH31,AH32,AH33,AH38,AH39,AH40,AH41,AH42,AH43,AH44,AH45,AH46,AH47,AH48,AH49,AH50,AH51,AH52,AH57,AH60,AH61,AH62,AH63,AH64,AH69)=39)),OR(AND(AD$57="",COUNT(AD6,AD8,AD9,AD11,AD12,AD13,AD14,AD15,AD16,AD18,AD21,AD23,AD28,AD30,AD31,AD32,AD33,AD38,AD39,AD40,AD41,AD42,AD43,AD44,AD45,AD46,AD47,AD48,AD49,AD50,AD51,AD52,AD57,AD60,AD61,AD62,AD63,AD64,AD69)=0),AND(AD$57&lt;&gt;"",COUNT(AD6,AD8,AD9,AD11,AD12,AD13,AD14,AD15,AD16,AD18,AD21,AD23,AD28,AD30,AD31,AD32,AD33,AD38,AD39,AD40,AD41,AD42,AD43,AD44,AD45,AD46,AD47,AD48,AD49,AD50,AD51,AD52,AD57,AD60,AD61,AD62,AD63,AD64,AD69)=39)),OR(AND(Z$57="",COUNT(Z6,Z8,Z9,Z11,Z12,Z13,Z14,Z15,Z16,Z18,Z21,Z23,Z28,Z30,Z31,Z32,Z33,Z38,Z39,Z40,Z41,Z42,Z43,Z44,Z45,Z46,Z47,Z48,Z49,Z50,Z51,Z52,Z57,Z60,Z61,Z62,Z63,Z64,Z69)=0),AND(Z$57&lt;&gt;"",COUNT(Z6,Z8,Z9,Z11,Z12,Z13,Z14,Z15,Z16,Z18,Z21,Z23,Z28,Z30,Z31,Z32,Z33,Z38,Z39,Z40,Z41,Z42,Z43,Z44,Z45,Z46,Z47,Z48,Z49,Z50,Z51,Z52,Z57,Z60,Z61,Z62,Z63,Z64,Z69)=39)),OR(AND(V$57="",COUNT(V6,V8,V9,V11,V12,V13,V14,V15,V16,V18,V21,V23,V28,V30,V31,V32,V33,V38,V39,V40,V41,V42,V43,V44,V45,V46,V47,V48,V49,V50,V51,V52,V57,V60,V61,V62,V63,V64,V69)=0),AND(V$57&lt;&gt;"",COUNT(V6,V8,V9,V11,V12,V13,V14,V15,V16,V18,V21,V23,V28,V30,V31,V32,V33,V38,V39,V40,V41,V42,V43,V44,V45,V46,V47,V48,V49,V50,V51,V52,V57,V60,V61,V62,V63,V64,V69)=39)),OR(AND(R$57="",COUNT(R6,R8,R9,R11,R12,R13,R14,R15,R16,R18,R21,R23,R28,R30,R31,R32,R33,R38,R39,R40,R41,R42,R43,R44,R45,R46,R47,R48,R49,R50,R51,R52,R57,R60,R61,R62,R63,R64,R69)=0),AND(R$57&lt;&gt;"",COUNT(R6,R8,R9,R11,R12,R13,R14,R15,R16,R18,R21,R23,R28,R30,R31,R32,R33,R38,R39,R40,R41,R42,R43,R44,R45,R46,R47,R48,R49,R50,R51,R52,R57,R60,R61,R62,R63,R64,R69)=39)),OR(AND(N$57="",COUNT(N6,N8,N9,N11,N12,N13,N14,N15,N16,N18,N21,N23,N28,N30,N31,N32,N33,N38,N39,N40,N41,N42,N43,N44,N45,N46,N47,N48,N49,N50,N51,N52,N57,N60,N61,N62,N63,N64,N69)=0),AND(N$57&lt;&gt;"",COUNT(N6,N8,N9,N11,N12,N13,N14,N15,N16,N18,N21,N23,N28,N30,N31,N32,N33,N38,N39,N40,N41,N42,N43,N44,N45,N46,N47,N48,N49,N50,N51,N52,N57,N60,N61,N62,N63,N64,N69)=39)),OR(AND(J$57="",COUNT(J6,J8,J9,J11,J12,J13,J14,J15,J16,J18,J21,J23,J28,J30,J31,J32,J33,J38,J39,J40,J41,J42,J43,J44,J45,J46,J47,J48,J49,J50,J51,J52,J57,J60,J61,J62,J63,J64,J69)=0),AND(J$57&lt;&gt;"",COUNT(J6,J8,J9,J11,J12,J13,J14,J15,J16,J18,J21,J23,J28,J30,J31,J32,J33,J38,J39,J40,J41,J42,J43,J44,J45,J46,J47,J48,J49,J50,J51,J52,J57,J60,J61,J62,J63,J64,J69)=39)),OR(AND(F$57="",COUNT(F6,F8,F9,F11,F12,F13,F14,F15,F16,F18,F21,F23,F28,F30,F31,F32,F33,F38,F39,F40,F41,F42,F43,F44,F45,F46,F47,F48,F49,F50,F51,F52,F57,F60,F61,F62,F63,F64,F69)=0),AND(F$57&lt;&gt;"",COUNT(F6,F8,F9,F11,F12,F13,F14,F15,F16,F18,F21,F23,F28,F30,F31,F32,F33,F38,F39,F40,F41,F42,F43,F44,F45,F46,F47,F48,F49,F50,F51,F52,F57,F60,F61,F62,F63,F64,F69)=39)),OR(EL97&lt;&gt;1,EP97=1),OR(EH97&lt;&gt;1,EL97=1),OR(ED97&lt;&gt;1,EH97=1),OR(DZ97&lt;&gt;1,ED97=1),OR(DV97&lt;&gt;1,DZ97=1),OR(DR97&lt;&gt;1,DV97=1),OR(DN97&lt;&gt;1,DR97=1),OR(DJ97&lt;&gt;1,DN97=1),OR(DF97&lt;&gt;1,DJ97=1),OR(DB97&lt;&gt;1,DF97=1),OR(CX97&lt;&gt;1,DB97=1),OR(CT97&lt;&gt;1,CX97=1),OR(CP97&lt;&gt;1,CT97=1),OR(CL97&lt;&gt;1,CP97=1),OR(CH97&lt;&gt;1,CL97=1),OR(CD97&lt;&gt;1,CH97=1),OR(BZ97&lt;&gt;1,CD97=1),OR(BV97&lt;&gt;1,BZ97=1),OR(BR97&lt;&gt;1,BV97=1),OR(BN97&lt;&gt;1,BR97=1),OR(BJ97&lt;&gt;1,BN97=1),OR(BF97&lt;&gt;1,BJ97=1),OR(BB97&lt;&gt;1,BF97=1),OR(AX97&lt;&gt;1,BB97=1),OR(AT97&lt;&gt;1,AX97=1),OR(AP97&lt;&gt;1,AT97=1),OR(AL97&lt;&gt;1,AP97=1),OR(AH97&lt;&gt;1,AL97=1),OR(AD97&lt;&gt;1,AH97=1),OR(Z97&lt;&gt;1,AD97=1),OR(V97&lt;&gt;1,Z97=1),OR(R97&lt;&gt;1,V97=1),OR(N97&lt;&gt;1,R97=1),OR(J97&lt;&gt;1,N97=1),OR(F97&lt;&gt;1,J97=1)),"OK","CHECK")</f>
        <v>OK</v>
      </c>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row>
    <row r="85" ht="18.0" customHeight="1">
      <c r="A85" s="42" t="s">
        <v>86</v>
      </c>
      <c r="B85" s="40" t="str">
        <f>IF(AND(ABS(EQ17-EQ15*EQ16)&lt;0.01,ABS(ER17-ER15*ER16)&lt;0.01,ABS(EM17-EM15*EM16)&lt;0.01,ABS(EN17-EN15*EN16)&lt;0.01,ABS(EI17-EI15*EI16)&lt;0.01,ABS(EJ17-EJ15*EJ16)&lt;0.01,ABS(EE17-EE15*EE16)&lt;0.01,ABS(EF17-EF15*EF16)&lt;0.01,ABS(EA17-EA15*EA16)&lt;0.01,ABS(EB17-EB15*EB16)&lt;0.01,ABS(DW17-DW15*DW16)&lt;0.01,ABS(DX17-DX15*DX16)&lt;0.01,ABS(DS17-DS15*DS16)&lt;0.01,ABS(DT17-DT15*DT16)&lt;0.01,ABS(DO17-DO15*DO16)&lt;0.01,ABS(DP17-DP15*DP16)&lt;0.01,ABS(DK17-DK15*DK16)&lt;0.01,ABS(DL17-DL15*DL16)&lt;0.01,ABS(DG17-DG15*DG16)&lt;0.01,ABS(DH17-DH15*DH16)&lt;0.01,ABS(DC17-DC15*DC16)&lt;0.01,ABS(DD17-DD15*DD16)&lt;0.01,ABS(CY17-CY15*CY16)&lt;0.01,ABS(CZ17-CZ15*CZ16)&lt;0.01,ABS(CU17-CU15*CU16)&lt;0.01,ABS(CV17-CV15*CV16)&lt;0.01,ABS(CQ17-CQ15*CQ16)&lt;0.01,ABS(CR17-CR15*CR16)&lt;0.01,ABS(CM17-CM15*CM16)&lt;0.01,ABS(CN17-CN15*CN16)&lt;0.01,ABS(CI17-CI15*CI16)&lt;0.01,ABS(CJ17-CJ15*CJ16)&lt;0.01,ABS(CE17-CE15*CE16)&lt;0.01,ABS(CF17-CF15*CF16)&lt;0.01,ABS(CA17-CA15*CA16)&lt;0.01,ABS(CB17-CB15*CB16)&lt;0.01,ABS(BW17-BW15*BW16)&lt;0.01,ABS(BX17-BX15*BX16)&lt;0.01,ABS(BS17-BS15*BS16)&lt;0.01,ABS(BT17-BT15*BT16)&lt;0.01,ABS(BO17-BO15*BO16)&lt;0.01,ABS(BP17-BP15*BP16)&lt;0.01,ABS(BK17-BK15*BK16)&lt;0.01,ABS(BL17-BL15*BL16)&lt;0.01,ABS(BG17-BG15*BG16)&lt;0.01,ABS(BH17-BH15*BH16)&lt;0.01,ABS(BC17-BC15*BC16)&lt;0.01,ABS(BD17-BD15*BD16)&lt;0.01,ABS(AY17-AY15*AY16)&lt;0.01,ABS(AZ17-AZ15*AZ16)&lt;0.01,ABS(AU17-AU15*AU16)&lt;0.01,ABS(AV17-AV15*AV16)&lt;0.01,ABS(AQ17-AQ15*AQ16)&lt;0.01,ABS(AR17-AR15*AR16)&lt;0.01,ABS(AM17-AM15*AM16)&lt;0.01,ABS(AN17-AN15*AN16)&lt;0.01,ABS(AI17-AI15*AI16)&lt;0.01,ABS(AJ17-AJ15*AJ16)&lt;0.01,ABS(AE17-AE15*AE16)&lt;0.01,ABS(AF17-AF15*AF16)&lt;0.01,ABS(AA17-AA15*AA16)&lt;0.01,ABS(AB17-AB15*AB16)&lt;0.01,ABS(W17-W15*W16)&lt;0.01,ABS(X17-X15*X16)&lt;0.01,ABS(S17-S15*S16)&lt;0.01,ABS(T17-T15*T16)&lt;0.01,ABS(O17-O15*O16)&lt;0.01,ABS(P17-P15*P16)&lt;0.01,ABS(K17-K15*K16)&lt;0.01,ABS(L17-L15*L16)&lt;0.01,ABS(G17-G15*G16)&lt;0.01,ABS(H17-H15*H16)&lt;0.01),"OK","CHECK")</f>
        <v>OK</v>
      </c>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row>
    <row r="86" ht="18.0" customHeight="1">
      <c r="A86" s="42" t="s">
        <v>87</v>
      </c>
      <c r="B86" s="40" t="str">
        <f>IF(AND(EQ21&lt;=EQ17,ER21&lt;=ER17,EM21&lt;=EM17,EN21&lt;=EN17,EI21&lt;=EI17,EJ21&lt;=EJ17,EE21&lt;=EE17,EF21&lt;=EF17,EA21&lt;=EA17,EB21&lt;=EB17,DW21&lt;=DW17,DX21&lt;=DX17,DS21&lt;=DS17,DT21&lt;=DT17,DO21&lt;=DO17,DP21&lt;=DP17,DK21&lt;=DK17,DL21&lt;=DL17,DG21&lt;=DG17,DH21&lt;=DH17,DC21&lt;=DC17,DD21&lt;=DD17,CY21&lt;=CY17,CZ21&lt;=CZ17,CU21&lt;=CU17,CV21&lt;=CV17,CQ21&lt;=CQ17,CR21&lt;=CR17,CM21&lt;=CM17,CN21&lt;=CN17,CI21&lt;=CI17,CJ21&lt;=CJ17,CE21&lt;=CE17,CF21&lt;=CF17,CA21&lt;=CA17,CB21&lt;=CB17,BW21&lt;=BW17,BX21&lt;=BX17,BS21&lt;=BS17,BT21&lt;=BT17,BO21&lt;=BO17,BP21&lt;=BP17,BK21&lt;=BK17,BL21&lt;=BL17,BG21&lt;=BG17,BH21&lt;=BH17,BC21&lt;=BC17,BD21&lt;=BD17,AY21&lt;=AY17,AZ21&lt;=AZ17,AU21&lt;=AU17,AV21&lt;=AV17,AQ21&lt;=AQ17,AR21&lt;=AR17,AM21&lt;=AM17,AN21&lt;=AN17,AI21&lt;=AI17,AJ21&lt;=AJ17,AE21&lt;=AE17,AF21&lt;=AF17,AA21&lt;=AA17,AB21&lt;=AB17,W21&lt;=W17,X21&lt;=X17,S21&lt;=S17,T21&lt;=T17,O21&lt;=O17,P21&lt;=P17,K21&lt;=K17,L21&lt;=L17,G21&lt;=G17,H21&lt;=H17),"OK","CHECK")</f>
        <v>OK</v>
      </c>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row>
    <row r="87" ht="18.0" customHeight="1">
      <c r="A87" s="42" t="s">
        <v>88</v>
      </c>
      <c r="B87" s="40" t="str">
        <f>IF(AND(ABS(EQ22-MAX(0,EQ19+EQ20-EQ21))&lt;0.01,ABS(ER22-MAX(0,ER19+ER20-ER21))&lt;0.01,ABS(EM22-MAX(0,EM19+EM20-EM21))&lt;0.01,ABS(EN22-MAX(0,EN19+EN20-EN21))&lt;0.01,ABS(EI22-MAX(0,EI19+EI20-EI21))&lt;0.01,ABS(EJ22-MAX(0,EJ19+EJ20-EJ21))&lt;0.01,ABS(EE22-MAX(0,EE19+EE20-EE21))&lt;0.01,ABS(EF22-MAX(0,EF19+EF20-EF21))&lt;0.01,ABS(EA22-MAX(0,EA19+EA20-EA21))&lt;0.01,ABS(EB22-MAX(0,EB19+EB20-EB21))&lt;0.01,ABS(DW22-MAX(0,DW19+DW20-DW21))&lt;0.01,ABS(DX22-MAX(0,DX19+DX20-DX21))&lt;0.01,ABS(DS22-MAX(0,DS19+DS20-DS21))&lt;0.01,ABS(DT22-MAX(0,DT19+DT20-DT21))&lt;0.01,ABS(DO22-MAX(0,DO19+DO20-DO21))&lt;0.01,ABS(DP22-MAX(0,DP19+DP20-DP21))&lt;0.01,ABS(DK22-MAX(0,DK19+DK20-DK21))&lt;0.01,ABS(DL22-MAX(0,DL19+DL20-DL21))&lt;0.01,ABS(DG22-MAX(0,DG19+DG20-DG21))&lt;0.01,ABS(DH22-MAX(0,DH19+DH20-DH21))&lt;0.01,ABS(DC22-MAX(0,DC19+DC20-DC21))&lt;0.01,ABS(DD22-MAX(0,DD19+DD20-DD21))&lt;0.01,ABS(CY22-MAX(0,CY19+CY20-CY21))&lt;0.01,ABS(CZ22-MAX(0,CZ19+CZ20-CZ21))&lt;0.01,ABS(CU22-MAX(0,CU19+CU20-CU21))&lt;0.01,ABS(CV22-MAX(0,CV19+CV20-CV21))&lt;0.01,ABS(CQ22-MAX(0,CQ19+CQ20-CQ21))&lt;0.01,ABS(CR22-MAX(0,CR19+CR20-CR21))&lt;0.01,ABS(CM22-MAX(0,CM19+CM20-CM21))&lt;0.01,ABS(CN22-MAX(0,CN19+CN20-CN21))&lt;0.01,ABS(CI22-MAX(0,CI19+CI20-CI21))&lt;0.01,ABS(CJ22-MAX(0,CJ19+CJ20-CJ21))&lt;0.01,ABS(CE22-MAX(0,CE19+CE20-CE21))&lt;0.01,ABS(CF22-MAX(0,CF19+CF20-CF21))&lt;0.01,ABS(CA22-MAX(0,CA19+CA20-CA21))&lt;0.01,ABS(CB22-MAX(0,CB19+CB20-CB21))&lt;0.01,ABS(BW22-MAX(0,BW19+BW20-BW21))&lt;0.01,ABS(BX22-MAX(0,BX19+BX20-BX21))&lt;0.01,ABS(BS22-MAX(0,BS19+BS20-BS21))&lt;0.01,ABS(BT22-MAX(0,BT19+BT20-BT21))&lt;0.01,ABS(BO22-MAX(0,BO19+BO20-BO21))&lt;0.01,ABS(BP22-MAX(0,BP19+BP20-BP21))&lt;0.01,ABS(BK22-MAX(0,BK19+BK20-BK21))&lt;0.01,ABS(BL22-MAX(0,BL19+BL20-BL21))&lt;0.01,ABS(BG22-MAX(0,BG19+BG20-BG21))&lt;0.01,ABS(BH22-MAX(0,BH19+BH20-BH21))&lt;0.01,ABS(BC22-MAX(0,BC19+BC20-BC21))&lt;0.01,ABS(BD22-MAX(0,BD19+BD20-BD21))&lt;0.01,ABS(AY22-MAX(0,AY19+AY20-AY21))&lt;0.01,ABS(AZ22-MAX(0,AZ19+AZ20-AZ21))&lt;0.01,ABS(AU22-MAX(0,AU19+AU20-AU21))&lt;0.01,ABS(AV22-MAX(0,AV19+AV20-AV21))&lt;0.01,ABS(AQ22-MAX(0,AQ19+AQ20-AQ21))&lt;0.01,ABS(AR22-MAX(0,AR19+AR20-AR21))&lt;0.01,ABS(AM22-MAX(0,AM19+AM20-AM21))&lt;0.01,ABS(AN22-MAX(0,AN19+AN20-AN21))&lt;0.01,ABS(AI22-MAX(0,AI19+AI20-AI21))&lt;0.01,ABS(AJ22-MAX(0,AJ19+AJ20-AJ21))&lt;0.01,ABS(AE22-MAX(0,AE19+AE20-AE21))&lt;0.01,ABS(AF22-MAX(0,AF19+AF20-AF21))&lt;0.01,ABS(AA22-MAX(0,AA19+AA20-AA21))&lt;0.01,ABS(AB22-MAX(0,AB19+AB20-AB21))&lt;0.01,ABS(W22-MAX(0,W19+W20-W21))&lt;0.01,ABS(X22-MAX(0,X19+X20-X21))&lt;0.01,ABS(S22-MAX(0,S19+S20-S21))&lt;0.01,ABS(T22-MAX(0,T19+T20-T21))&lt;0.01,ABS(O22-MAX(0,O19+O20-O21))&lt;0.01,ABS(P22-MAX(0,P19+P20-P21))&lt;0.01,ABS(K22-MAX(0,K19+K20-K21))&lt;0.01,ABS(L22-MAX(0,L19+L20-L21))&lt;0.01,ABS(G22-MAX(0,G19+G20-G21))&lt;0.01,ABS(H22-MAX(0,H19+H20-H21))&lt;0.01),"OK","CHECK")</f>
        <v>OK</v>
      </c>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row>
    <row r="88" ht="18.0" customHeight="1">
      <c r="A88" s="42" t="s">
        <v>89</v>
      </c>
      <c r="B88" s="40" t="str">
        <f>IF(AND(ABS(EQ26-IF((EQ19+EQ20)=0,0,ROUND(EQ21*(EQ72+EQ73)/(EQ19+EQ20),0)))&lt;0.01,ABS(ER26-IF((ER19+ER20)=0,0,ROUND(ER21*(ER72+ER73)/(ER19+ER20),0)))&lt;0.01,ABS(EM26-IF((EM19+EM20)=0,0,ROUND(EM21*(EM72+EM73)/(EM19+EM20),0)))&lt;0.01,ABS(EM72-MAX(0,EQ72+EQ73-EQ26))&lt;0.01,ABS(EN26-IF((EN19+EN20)=0,0,ROUND(EN21*(EN72+EN73)/(EN19+EN20),0)))&lt;0.01,ABS(EN72-MAX(0,ER72+ER73-ER26))&lt;0.01,ABS(EI26-IF((EI19+EI20)=0,0,ROUND(EI21*(EI72+EI73)/(EI19+EI20),0)))&lt;0.01,ABS(EI72-MAX(0,EM72+EM73-EM26))&lt;0.01,ABS(EJ26-IF((EJ19+EJ20)=0,0,ROUND(EJ21*(EJ72+EJ73)/(EJ19+EJ20),0)))&lt;0.01,ABS(EJ72-MAX(0,EN72+EN73-EN26))&lt;0.01,ABS(EE26-IF((EE19+EE20)=0,0,ROUND(EE21*(EE72+EE73)/(EE19+EE20),0)))&lt;0.01,ABS(EE72-MAX(0,EI72+EI73-EI26))&lt;0.01,ABS(EF26-IF((EF19+EF20)=0,0,ROUND(EF21*(EF72+EF73)/(EF19+EF20),0)))&lt;0.01,ABS(EF72-MAX(0,EJ72+EJ73-EJ26))&lt;0.01,ABS(EA26-IF((EA19+EA20)=0,0,ROUND(EA21*(EA72+EA73)/(EA19+EA20),0)))&lt;0.01,ABS(EA72-MAX(0,EE72+EE73-EE26))&lt;0.01,ABS(EB26-IF((EB19+EB20)=0,0,ROUND(EB21*(EB72+EB73)/(EB19+EB20),0)))&lt;0.01,ABS(EB72-MAX(0,EF72+EF73-EF26))&lt;0.01,ABS(DW26-IF((DW19+DW20)=0,0,ROUND(DW21*(DW72+DW73)/(DW19+DW20),0)))&lt;0.01,ABS(DW72-MAX(0,EA72+EA73-EA26))&lt;0.01,ABS(DX26-IF((DX19+DX20)=0,0,ROUND(DX21*(DX72+DX73)/(DX19+DX20),0)))&lt;0.01,ABS(DX72-MAX(0,EB72+EB73-EB26))&lt;0.01,ABS(DS26-IF((DS19+DS20)=0,0,ROUND(DS21*(DS72+DS73)/(DS19+DS20),0)))&lt;0.01,ABS(DS72-MAX(0,DW72+DW73-DW26))&lt;0.01,ABS(DT26-IF((DT19+DT20)=0,0,ROUND(DT21*(DT72+DT73)/(DT19+DT20),0)))&lt;0.01,ABS(DT72-MAX(0,DX72+DX73-DX26))&lt;0.01,ABS(DO26-IF((DO19+DO20)=0,0,ROUND(DO21*(DO72+DO73)/(DO19+DO20),0)))&lt;0.01,ABS(DO72-MAX(0,DS72+DS73-DS26))&lt;0.01,ABS(DP26-IF((DP19+DP20)=0,0,ROUND(DP21*(DP72+DP73)/(DP19+DP20),0)))&lt;0.01,ABS(DP72-MAX(0,DT72+DT73-DT26))&lt;0.01,ABS(DK26-IF((DK19+DK20)=0,0,ROUND(DK21*(DK72+DK73)/(DK19+DK20),0)))&lt;0.01,ABS(DK72-MAX(0,DO72+DO73-DO26))&lt;0.01,ABS(DL26-IF((DL19+DL20)=0,0,ROUND(DL21*(DL72+DL73)/(DL19+DL20),0)))&lt;0.01,ABS(DL72-MAX(0,DP72+DP73-DP26))&lt;0.01,ABS(DG26-IF((DG19+DG20)=0,0,ROUND(DG21*(DG72+DG73)/(DG19+DG20),0)))&lt;0.01,ABS(DG72-MAX(0,DK72+DK73-DK26))&lt;0.01,ABS(DH26-IF((DH19+DH20)=0,0,ROUND(DH21*(DH72+DH73)/(DH19+DH20),0)))&lt;0.01,ABS(DH72-MAX(0,DL72+DL73-DL26))&lt;0.01,ABS(DC26-IF((DC19+DC20)=0,0,ROUND(DC21*(DC72+DC73)/(DC19+DC20),0)))&lt;0.01,ABS(DC72-MAX(0,DG72+DG73-DG26))&lt;0.01,ABS(DD26-IF((DD19+DD20)=0,0,ROUND(DD21*(DD72+DD73)/(DD19+DD20),0)))&lt;0.01,ABS(DD72-MAX(0,DH72+DH73-DH26))&lt;0.01,ABS(CY26-IF((CY19+CY20)=0,0,ROUND(CY21*(CY72+CY73)/(CY19+CY20),0)))&lt;0.01,ABS(CY72-MAX(0,DC72+DC73-DC26))&lt;0.01,ABS(CZ26-IF((CZ19+CZ20)=0,0,ROUND(CZ21*(CZ72+CZ73)/(CZ19+CZ20),0)))&lt;0.01,ABS(CZ72-MAX(0,DD72+DD73-DD26))&lt;0.01,ABS(CU26-IF((CU19+CU20)=0,0,ROUND(CU21*(CU72+CU73)/(CU19+CU20),0)))&lt;0.01,ABS(CU72-MAX(0,CY72+CY73-CY26))&lt;0.01,ABS(CV26-IF((CV19+CV20)=0,0,ROUND(CV21*(CV72+CV73)/(CV19+CV20),0)))&lt;0.01,ABS(CV72-MAX(0,CZ72+CZ73-CZ26))&lt;0.01,ABS(CQ26-IF((CQ19+CQ20)=0,0,ROUND(CQ21*(CQ72+CQ73)/(CQ19+CQ20),0)))&lt;0.01,ABS(CQ72-MAX(0,CU72+CU73-CU26))&lt;0.01,ABS(CR26-IF((CR19+CR20)=0,0,ROUND(CR21*(CR72+CR73)/(CR19+CR20),0)))&lt;0.01,ABS(CR72-MAX(0,CV72+CV73-CV26))&lt;0.01,ABS(CM26-IF((CM19+CM20)=0,0,ROUND(CM21*(CM72+CM73)/(CM19+CM20),0)))&lt;0.01,ABS(CM72-MAX(0,CQ72+CQ73-CQ26))&lt;0.01,ABS(CN26-IF((CN19+CN20)=0,0,ROUND(CN21*(CN72+CN73)/(CN19+CN20),0)))&lt;0.01,ABS(CN72-MAX(0,CR72+CR73-CR26))&lt;0.01,ABS(CI26-IF((CI19+CI20)=0,0,ROUND(CI21*(CI72+CI73)/(CI19+CI20),0)))&lt;0.01,ABS(CI72-MAX(0,CM72+CM73-CM26))&lt;0.01,ABS(CJ26-IF((CJ19+CJ20)=0,0,ROUND(CJ21*(CJ72+CJ73)/(CJ19+CJ20),0)))&lt;0.01,ABS(CJ72-MAX(0,CN72+CN73-CN26))&lt;0.01,ABS(CE26-IF((CE19+CE20)=0,0,ROUND(CE21*(CE72+CE73)/(CE19+CE20),0)))&lt;0.01,ABS(CE72-MAX(0,CI72+CI73-CI26))&lt;0.01,ABS(CF26-IF((CF19+CF20)=0,0,ROUND(CF21*(CF72+CF73)/(CF19+CF20),0)))&lt;0.01,ABS(CF72-MAX(0,CJ72+CJ73-CJ26))&lt;0.01,ABS(CA26-IF((CA19+CA20)=0,0,ROUND(CA21*(CA72+CA73)/(CA19+CA20),0)))&lt;0.01,ABS(CA72-MAX(0,CE72+CE73-CE26))&lt;0.01,ABS(CB26-IF((CB19+CB20)=0,0,ROUND(CB21*(CB72+CB73)/(CB19+CB20),0)))&lt;0.01,ABS(CB72-MAX(0,CF72+CF73-CF26))&lt;0.01,ABS(BW26-IF((BW19+BW20)=0,0,ROUND(BW21*(BW72+BW73)/(BW19+BW20),0)))&lt;0.01,ABS(BW72-MAX(0,CA72+CA73-CA26))&lt;0.01,ABS(BX26-IF((BX19+BX20)=0,0,ROUND(BX21*(BX72+BX73)/(BX19+BX20),0)))&lt;0.01,ABS(BX72-MAX(0,CB72+CB73-CB26))&lt;0.01,ABS(BS26-IF((BS19+BS20)=0,0,ROUND(BS21*(BS72+BS73)/(BS19+BS20),0)))&lt;0.01,ABS(BS72-MAX(0,BW72+BW73-BW26))&lt;0.01,ABS(BT26-IF((BT19+BT20)=0,0,ROUND(BT21*(BT72+BT73)/(BT19+BT20),0)))&lt;0.01,ABS(BT72-MAX(0,BX72+BX73-BX26))&lt;0.01,ABS(BO26-IF((BO19+BO20)=0,0,ROUND(BO21*(BO72+BO73)/(BO19+BO20),0)))&lt;0.01,ABS(BO72-MAX(0,BS72+BS73-BS26))&lt;0.01,ABS(BP26-IF((BP19+BP20)=0,0,ROUND(BP21*(BP72+BP73)/(BP19+BP20),0)))&lt;0.01,ABS(BP72-MAX(0,BT72+BT73-BT26))&lt;0.01,ABS(BK26-IF((BK19+BK20)=0,0,ROUND(BK21*(BK72+BK73)/(BK19+BK20),0)))&lt;0.01,ABS(BK72-MAX(0,BO72+BO73-BO26))&lt;0.01,ABS(BL26-IF((BL19+BL20)=0,0,ROUND(BL21*(BL72+BL73)/(BL19+BL20),0)))&lt;0.01,ABS(BL72-MAX(0,BP72+BP73-BP26))&lt;0.01,ABS(BG26-IF((BG19+BG20)=0,0,ROUND(BG21*(BG72+BG73)/(BG19+BG20),0)))&lt;0.01,ABS(BG72-MAX(0,BK72+BK73-BK26))&lt;0.01,ABS(BH26-IF((BH19+BH20)=0,0,ROUND(BH21*(BH72+BH73)/(BH19+BH20),0)))&lt;0.01,ABS(BH72-MAX(0,BL72+BL73-BL26))&lt;0.01,ABS(BC26-IF((BC19+BC20)=0,0,ROUND(BC21*(BC72+BC73)/(BC19+BC20),0)))&lt;0.01,ABS(BC72-MAX(0,BG72+BG73-BG26))&lt;0.01,ABS(BD26-IF((BD19+BD20)=0,0,ROUND(BD21*(BD72+BD73)/(BD19+BD20),0)))&lt;0.01,ABS(BD72-MAX(0,BH72+BH73-BH26))&lt;0.01,ABS(AY26-IF((AY19+AY20)=0,0,ROUND(AY21*(AY72+AY73)/(AY19+AY20),0)))&lt;0.01,ABS(AY72-MAX(0,BC72+BC73-BC26))&lt;0.01,ABS(AZ26-IF((AZ19+AZ20)=0,0,ROUND(AZ21*(AZ72+AZ73)/(AZ19+AZ20),0)))&lt;0.01,ABS(AZ72-MAX(0,BD72+BD73-BD26))&lt;0.01,ABS(AU26-IF((AU19+AU20)=0,0,ROUND(AU21*(AU72+AU73)/(AU19+AU20),0)))&lt;0.01,ABS(AU72-MAX(0,AY72+AY73-AY26))&lt;0.01,ABS(AV26-IF((AV19+AV20)=0,0,ROUND(AV21*(AV72+AV73)/(AV19+AV20),0)))&lt;0.01,ABS(AV72-MAX(0,AZ72+AZ73-AZ26))&lt;0.01,ABS(AQ26-IF((AQ19+AQ20)=0,0,ROUND(AQ21*(AQ72+AQ73)/(AQ19+AQ20),0)))&lt;0.01,ABS(AQ72-MAX(0,AU72+AU73-AU26))&lt;0.01,ABS(AR26-IF((AR19+AR20)=0,0,ROUND(AR21*(AR72+AR73)/(AR19+AR20),0)))&lt;0.01,ABS(AR72-MAX(0,AV72+AV73-AV26))&lt;0.01,ABS(AM26-IF((AM19+AM20)=0,0,ROUND(AM21*(AM72+AM73)/(AM19+AM20),0)))&lt;0.01,ABS(AM72-MAX(0,AQ72+AQ73-AQ26))&lt;0.01,ABS(AN26-IF((AN19+AN20)=0,0,ROUND(AN21*(AN72+AN73)/(AN19+AN20),0)))&lt;0.01,ABS(AN72-MAX(0,AR72+AR73-AR26))&lt;0.01,ABS(AI26-IF((AI19+AI20)=0,0,ROUND(AI21*(AI72+AI73)/(AI19+AI20),0)))&lt;0.01,ABS(AI72-MAX(0,AM72+AM73-AM26))&lt;0.01,ABS(AJ26-IF((AJ19+AJ20)=0,0,ROUND(AJ21*(AJ72+AJ73)/(AJ19+AJ20),0)))&lt;0.01,ABS(AJ72-MAX(0,AN72+AN73-AN26))&lt;0.01,ABS(AE26-IF((AE19+AE20)=0,0,ROUND(AE21*(AE72+AE73)/(AE19+AE20),0)))&lt;0.01,ABS(AE72-MAX(0,AI72+AI73-AI26))&lt;0.01,ABS(AF26-IF((AF19+AF20)=0,0,ROUND(AF21*(AF72+AF73)/(AF19+AF20),0)))&lt;0.01,ABS(AF72-MAX(0,AJ72+AJ73-AJ26))&lt;0.01,ABS(AA26-IF((AA19+AA20)=0,0,ROUND(AA21*(AA72+AA73)/(AA19+AA20),0)))&lt;0.01,ABS(AA72-MAX(0,AE72+AE73-AE26))&lt;0.01,ABS(AB26-IF((AB19+AB20)=0,0,ROUND(AB21*(AB72+AB73)/(AB19+AB20),0)))&lt;0.01,ABS(AB72-MAX(0,AF72+AF73-AF26))&lt;0.01,ABS(W26-IF((W19+W20)=0,0,ROUND(W21*(W72+W73)/(W19+W20),0)))&lt;0.01,ABS(W72-MAX(0,AA72+AA73-AA26))&lt;0.01,ABS(X26-IF((X19+X20)=0,0,ROUND(X21*(X72+X73)/(X19+X20),0)))&lt;0.01,ABS(X72-MAX(0,AB72+AB73-AB26))&lt;0.01,ABS(S26-IF((S19+S20)=0,0,ROUND(S21*(S72+S73)/(S19+S20),0)))&lt;0.01,ABS(S72-MAX(0,W72+W73-W26))&lt;0.01,ABS(T26-IF((T19+T20)=0,0,ROUND(T21*(T72+T73)/(T19+T20),0)))&lt;0.01,ABS(T72-MAX(0,X72+X73-X26))&lt;0.01,ABS(O26-IF((O19+O20)=0,0,ROUND(O21*(O72+O73)/(O19+O20),0)))&lt;0.01,ABS(O72-MAX(0,S72+S73-S26))&lt;0.01,ABS(P26-IF((P19+P20)=0,0,ROUND(P21*(P72+P73)/(P19+P20),0)))&lt;0.01,ABS(P72-MAX(0,T72+T73-T26))&lt;0.01,ABS(K26-IF((K19+K20)=0,0,ROUND(K21*(K72+K73)/(K19+K20),0)))&lt;0.01,ABS(K72-MAX(0,O72+O73-O26))&lt;0.01,ABS(L26-IF((L19+L20)=0,0,ROUND(L21*(L72+L73)/(L19+L20),0)))&lt;0.01,ABS(L72-MAX(0,P72+P73-P26))&lt;0.01,ABS(G26-IF((G19+G20)=0,0,ROUND(G21*(G72+G73)/(G19+G20),0)))&lt;0.01,ABS(G72-MAX(0,K72+K73-K26))&lt;0.01,ABS(H26-IF((H19+H20)=0,0,ROUND(H21*(H72+H73)/(H19+H20),0)))&lt;0.01,ABS(H72-MAX(0,L72+L73-L26))&lt;0.01),"OK","CHECK")</f>
        <v>OK</v>
      </c>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row>
    <row r="89" ht="18.0" customHeight="1">
      <c r="A89" s="42" t="s">
        <v>90</v>
      </c>
      <c r="B89" s="40" t="str">
        <f>IF(AND(ABS(EQ34-SUM(EQ28:EQ33))&lt;0.01,ABS(ER34-SUM(ER28:ER33))&lt;0.01,ABS(EM34-SUM(EM28:EM33))&lt;0.01,ABS(EN34-SUM(EN28:EN33))&lt;0.01,ABS(EI34-SUM(EI28:EI33))&lt;0.01,ABS(EJ34-SUM(EJ28:EJ33))&lt;0.01,ABS(EE34-SUM(EE28:EE33))&lt;0.01,ABS(EF34-SUM(EF28:EF33))&lt;0.01,ABS(EA34-SUM(EA28:EA33))&lt;0.01,ABS(EB34-SUM(EB28:EB33))&lt;0.01,ABS(DW34-SUM(DW28:DW33))&lt;0.01,ABS(DX34-SUM(DX28:DX33))&lt;0.01,ABS(DS34-SUM(DS28:DS33))&lt;0.01,ABS(DT34-SUM(DT28:DT33))&lt;0.01,ABS(DO34-SUM(DO28:DO33))&lt;0.01,ABS(DP34-SUM(DP28:DP33))&lt;0.01,ABS(DK34-SUM(DK28:DK33))&lt;0.01,ABS(DL34-SUM(DL28:DL33))&lt;0.01,ABS(DG34-SUM(DG28:DG33))&lt;0.01,ABS(DH34-SUM(DH28:DH33))&lt;0.01,ABS(DC34-SUM(DC28:DC33))&lt;0.01,ABS(DD34-SUM(DD28:DD33))&lt;0.01,ABS(CY34-SUM(CY28:CY33))&lt;0.01,ABS(CZ34-SUM(CZ28:CZ33))&lt;0.01,ABS(CU34-SUM(CU28:CU33))&lt;0.01,ABS(CV34-SUM(CV28:CV33))&lt;0.01,ABS(CQ34-SUM(CQ28:CQ33))&lt;0.01,ABS(CR34-SUM(CR28:CR33))&lt;0.01,ABS(CM34-SUM(CM28:CM33))&lt;0.01,ABS(CN34-SUM(CN28:CN33))&lt;0.01,ABS(CI34-SUM(CI28:CI33))&lt;0.01,ABS(CJ34-SUM(CJ28:CJ33))&lt;0.01,ABS(CE34-SUM(CE28:CE33))&lt;0.01,ABS(CF34-SUM(CF28:CF33))&lt;0.01,ABS(CA34-SUM(CA28:CA33))&lt;0.01,ABS(CB34-SUM(CB28:CB33))&lt;0.01,ABS(BW34-SUM(BW28:BW33))&lt;0.01,ABS(BX34-SUM(BX28:BX33))&lt;0.01,ABS(BS34-SUM(BS28:BS33))&lt;0.01,ABS(BT34-SUM(BT28:BT33))&lt;0.01,ABS(BO34-SUM(BO28:BO33))&lt;0.01,ABS(BP34-SUM(BP28:BP33))&lt;0.01,ABS(BK34-SUM(BK28:BK33))&lt;0.01,ABS(BL34-SUM(BL28:BL33))&lt;0.01,ABS(BG34-SUM(BG28:BG33))&lt;0.01,ABS(BH34-SUM(BH28:BH33))&lt;0.01,ABS(BC34-SUM(BC28:BC33))&lt;0.01,ABS(BD34-SUM(BD28:BD33))&lt;0.01,ABS(AY34-SUM(AY28:AY33))&lt;0.01,ABS(AZ34-SUM(AZ28:AZ33))&lt;0.01,ABS(AU34-SUM(AU28:AU33))&lt;0.01,ABS(AV34-SUM(AV28:AV33))&lt;0.01,ABS(AQ34-SUM(AQ28:AQ33))&lt;0.01,ABS(AR34-SUM(AR28:AR33))&lt;0.01,ABS(AM34-SUM(AM28:AM33))&lt;0.01,ABS(AN34-SUM(AN28:AN33))&lt;0.01,ABS(AI34-SUM(AI28:AI33))&lt;0.01,ABS(AJ34-SUM(AJ28:AJ33))&lt;0.01,ABS(AE34-SUM(AE28:AE33))&lt;0.01,ABS(AF34-SUM(AF28:AF33))&lt;0.01,ABS(AA34-SUM(AA28:AA33))&lt;0.01,ABS(AB34-SUM(AB28:AB33))&lt;0.01,ABS(W34-SUM(W28:W33))&lt;0.01,ABS(X34-SUM(X28:X33))&lt;0.01,ABS(S34-SUM(S28:S33))&lt;0.01,ABS(T34-SUM(T28:T33))&lt;0.01,ABS(O34-SUM(O28:O33))&lt;0.01,ABS(P34-SUM(P28:P33))&lt;0.01,ABS(K34-SUM(K28:K33))&lt;0.01,ABS(L34-SUM(L28:L33))&lt;0.01,ABS(G34-SUM(G28:G33))&lt;0.01,ABS(H34-SUM(H28:H33))&lt;0.01),"OK","CHECK")</f>
        <v>OK</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row>
    <row r="90" ht="18.0" customHeight="1">
      <c r="A90" s="42" t="s">
        <v>91</v>
      </c>
      <c r="B90" s="40" t="str">
        <f>IF(AND(ABS(EQ53-SUM(EQ38:EQ52))&lt;0.01,ABS(ER53-SUM(ER38:ER52))&lt;0.01,ABS(EM53-SUM(EM38:EM52))&lt;0.01,ABS(EN53-SUM(EN38:EN52))&lt;0.01,ABS(EI53-SUM(EI38:EI52))&lt;0.01,ABS(EJ53-SUM(EJ38:EJ52))&lt;0.01,ABS(EE53-SUM(EE38:EE52))&lt;0.01,ABS(EF53-SUM(EF38:EF52))&lt;0.01,ABS(EA53-SUM(EA38:EA52))&lt;0.01,ABS(EB53-SUM(EB38:EB52))&lt;0.01,ABS(DW53-SUM(DW38:DW52))&lt;0.01,ABS(DX53-SUM(DX38:DX52))&lt;0.01,ABS(DS53-SUM(DS38:DS52))&lt;0.01,ABS(DT53-SUM(DT38:DT52))&lt;0.01,ABS(DO53-SUM(DO38:DO52))&lt;0.01,ABS(DP53-SUM(DP38:DP52))&lt;0.01,ABS(DK53-SUM(DK38:DK52))&lt;0.01,ABS(DL53-SUM(DL38:DL52))&lt;0.01,ABS(DG53-SUM(DG38:DG52))&lt;0.01,ABS(DH53-SUM(DH38:DH52))&lt;0.01,ABS(DC53-SUM(DC38:DC52))&lt;0.01,ABS(DD53-SUM(DD38:DD52))&lt;0.01,ABS(CY53-SUM(CY38:CY52))&lt;0.01,ABS(CZ53-SUM(CZ38:CZ52))&lt;0.01,ABS(CU53-SUM(CU38:CU52))&lt;0.01,ABS(CV53-SUM(CV38:CV52))&lt;0.01,ABS(CQ53-SUM(CQ38:CQ52))&lt;0.01,ABS(CR53-SUM(CR38:CR52))&lt;0.01,ABS(CM53-SUM(CM38:CM52))&lt;0.01,ABS(CN53-SUM(CN38:CN52))&lt;0.01,ABS(CI53-SUM(CI38:CI52))&lt;0.01,ABS(CJ53-SUM(CJ38:CJ52))&lt;0.01,ABS(CE53-SUM(CE38:CE52))&lt;0.01,ABS(CF53-SUM(CF38:CF52))&lt;0.01,ABS(CA53-SUM(CA38:CA52))&lt;0.01,ABS(CB53-SUM(CB38:CB52))&lt;0.01,ABS(BW53-SUM(BW38:BW52))&lt;0.01,ABS(BX53-SUM(BX38:BX52))&lt;0.01,ABS(BS53-SUM(BS38:BS52))&lt;0.01,ABS(BT53-SUM(BT38:BT52))&lt;0.01,ABS(BO53-SUM(BO38:BO52))&lt;0.01,ABS(BP53-SUM(BP38:BP52))&lt;0.01,ABS(BK53-SUM(BK38:BK52))&lt;0.01,ABS(BL53-SUM(BL38:BL52))&lt;0.01,ABS(BG53-SUM(BG38:BG52))&lt;0.01,ABS(BH53-SUM(BH38:BH52))&lt;0.01,ABS(BC53-SUM(BC38:BC52))&lt;0.01,ABS(BD53-SUM(BD38:BD52))&lt;0.01,ABS(AY53-SUM(AY38:AY52))&lt;0.01,ABS(AZ53-SUM(AZ38:AZ52))&lt;0.01,ABS(AU53-SUM(AU38:AU52))&lt;0.01,ABS(AV53-SUM(AV38:AV52))&lt;0.01,ABS(AQ53-SUM(AQ38:AQ52))&lt;0.01,ABS(AR53-SUM(AR38:AR52))&lt;0.01,ABS(AM53-SUM(AM38:AM52))&lt;0.01,ABS(AN53-SUM(AN38:AN52))&lt;0.01,ABS(AI53-SUM(AI38:AI52))&lt;0.01,ABS(AJ53-SUM(AJ38:AJ52))&lt;0.01,ABS(AE53-SUM(AE38:AE52))&lt;0.01,ABS(AF53-SUM(AF38:AF52))&lt;0.01,ABS(AA53-SUM(AA38:AA52))&lt;0.01,ABS(AB53-SUM(AB38:AB52))&lt;0.01,ABS(W53-SUM(W38:W52))&lt;0.01,ABS(X53-SUM(X38:X52))&lt;0.01,ABS(S53-SUM(S38:S52))&lt;0.01,ABS(T53-SUM(T38:T52))&lt;0.01,ABS(O53-SUM(O38:O52))&lt;0.01,ABS(P53-SUM(P38:P52))&lt;0.01,ABS(K53-SUM(K38:K52))&lt;0.01,ABS(L53-SUM(L38:L52))&lt;0.01,ABS(G53-SUM(G38:G52))&lt;0.01,ABS(H53-SUM(H38:H52))&lt;0.01),"OK","CHECK")</f>
        <v>OK</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row>
    <row r="91" ht="18.0" customHeight="1">
      <c r="A91" s="42" t="s">
        <v>92</v>
      </c>
      <c r="B91" s="40" t="str">
        <f>IF(AND(ABS(EQ55-(EQ36-EQ53))&lt;0.01,ABS(ER55-(ER36-ER53))&lt;0.01,ABS(EM55-(EM36-EM53))&lt;0.01,ABS(EN55-(EN36-EN53))&lt;0.01,ABS(EI55-(EI36-EI53))&lt;0.01,ABS(EJ55-(EJ36-EJ53))&lt;0.01,ABS(EE55-(EE36-EE53))&lt;0.01,ABS(EF55-(EF36-EF53))&lt;0.01,ABS(EA55-(EA36-EA53))&lt;0.01,ABS(EB55-(EB36-EB53))&lt;0.01,ABS(DW55-(DW36-DW53))&lt;0.01,ABS(DX55-(DX36-DX53))&lt;0.01,ABS(DS55-(DS36-DS53))&lt;0.01,ABS(DT55-(DT36-DT53))&lt;0.01,ABS(DO55-(DO36-DO53))&lt;0.01,ABS(DP55-(DP36-DP53))&lt;0.01,ABS(DK55-(DK36-DK53))&lt;0.01,ABS(DL55-(DL36-DL53))&lt;0.01,ABS(DG55-(DG36-DG53))&lt;0.01,ABS(DH55-(DH36-DH53))&lt;0.01,ABS(DC55-(DC36-DC53))&lt;0.01,ABS(DD55-(DD36-DD53))&lt;0.01,ABS(CY55-(CY36-CY53))&lt;0.01,ABS(CZ55-(CZ36-CZ53))&lt;0.01,ABS(CU55-(CU36-CU53))&lt;0.01,ABS(CV55-(CV36-CV53))&lt;0.01,ABS(CQ55-(CQ36-CQ53))&lt;0.01,ABS(CR55-(CR36-CR53))&lt;0.01,ABS(CM55-(CM36-CM53))&lt;0.01,ABS(CN55-(CN36-CN53))&lt;0.01,ABS(CI55-(CI36-CI53))&lt;0.01,ABS(CJ55-(CJ36-CJ53))&lt;0.01,ABS(CE55-(CE36-CE53))&lt;0.01,ABS(CF55-(CF36-CF53))&lt;0.01,ABS(CA55-(CA36-CA53))&lt;0.01,ABS(CB55-(CB36-CB53))&lt;0.01,ABS(BW55-(BW36-BW53))&lt;0.01,ABS(BX55-(BX36-BX53))&lt;0.01,ABS(BS55-(BS36-BS53))&lt;0.01,ABS(BT55-(BT36-BT53))&lt;0.01,ABS(BO55-(BO36-BO53))&lt;0.01,ABS(BP55-(BP36-BP53))&lt;0.01,ABS(BK55-(BK36-BK53))&lt;0.01,ABS(BL55-(BL36-BL53))&lt;0.01,ABS(BG55-(BG36-BG53))&lt;0.01,ABS(BH55-(BH36-BH53))&lt;0.01,ABS(BC55-(BC36-BC53))&lt;0.01,ABS(BD55-(BD36-BD53))&lt;0.01,ABS(AY55-(AY36-AY53))&lt;0.01,ABS(AZ55-(AZ36-AZ53))&lt;0.01,ABS(AU55-(AU36-AU53))&lt;0.01,ABS(AV55-(AV36-AV53))&lt;0.01,ABS(AQ55-(AQ36-AQ53))&lt;0.01,ABS(AR55-(AR36-AR53))&lt;0.01,ABS(AM55-(AM36-AM53))&lt;0.01,ABS(AN55-(AN36-AN53))&lt;0.01,ABS(AI55-(AI36-AI53))&lt;0.01,ABS(AJ55-(AJ36-AJ53))&lt;0.01,ABS(AE55-(AE36-AE53))&lt;0.01,ABS(AF55-(AF36-AF53))&lt;0.01,ABS(AA55-(AA36-AA53))&lt;0.01,ABS(AB55-(AB36-AB53))&lt;0.01,ABS(W55-(W36-W53))&lt;0.01,ABS(X55-(X36-X53))&lt;0.01,ABS(S55-(S36-S53))&lt;0.01,ABS(T55-(T36-T53))&lt;0.01,ABS(O55-(O36-O53))&lt;0.01,ABS(P55-(P36-P53))&lt;0.01,ABS(K55-(K36-K53))&lt;0.01,ABS(L55-(L36-L53))&lt;0.01,ABS(G55-(G36-G53))&lt;0.01,ABS(H55-(H36-H53))&lt;0.01),"OK","CHECK")</f>
        <v>OK</v>
      </c>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row>
    <row r="92" ht="18.0" customHeight="1">
      <c r="A92" s="42" t="s">
        <v>93</v>
      </c>
      <c r="B92" s="40" t="str">
        <f>IF(AND(ABS(EQ66-(SUM(EQ57,EQ60)-SUM(EQ58,EQ59,EQ65)))&lt;0.01,ABS(ER66-(SUM(ER57,ER60)-SUM(ER58,ER59,ER65)))&lt;0.01,ABS(EM66-(SUM(EM57,EM60)-SUM(EM58,EM59,EM65)))&lt;0.01,ABS(EN66-(SUM(EN57,EN60)-SUM(EN58,EN59,EN65)))&lt;0.01,ABS(EI66-(SUM(EI57,EI60)-SUM(EI58,EI59,EI65)))&lt;0.01,ABS(EJ66-(SUM(EJ57,EJ60)-SUM(EJ58,EJ59,EJ65)))&lt;0.01,ABS(EE66-(SUM(EE57,EE60)-SUM(EE58,EE59,EE65)))&lt;0.01,ABS(EF66-(SUM(EF57,EF60)-SUM(EF58,EF59,EF65)))&lt;0.01,ABS(EA66-(SUM(EA57,EA60)-SUM(EA58,EA59,EA65)))&lt;0.01,ABS(EB66-(SUM(EB57,EB60)-SUM(EB58,EB59,EB65)))&lt;0.01,ABS(DW66-(SUM(DW57,DW60)-SUM(DW58,DW59,DW65)))&lt;0.01,ABS(DX66-(SUM(DX57,DX60)-SUM(DX58,DX59,DX65)))&lt;0.01,ABS(DS66-(SUM(DS57,DS60)-SUM(DS58,DS59,DS65)))&lt;0.01,ABS(DT66-(SUM(DT57,DT60)-SUM(DT58,DT59,DT65)))&lt;0.01,ABS(DO66-(SUM(DO57,DO60)-SUM(DO58,DO59,DO65)))&lt;0.01,ABS(DP66-(SUM(DP57,DP60)-SUM(DP58,DP59,DP65)))&lt;0.01,ABS(DK66-(SUM(DK57,DK60)-SUM(DK58,DK59,DK65)))&lt;0.01,ABS(DL66-(SUM(DL57,DL60)-SUM(DL58,DL59,DL65)))&lt;0.01,ABS(DG66-(SUM(DG57,DG60)-SUM(DG58,DG59,DG65)))&lt;0.01,ABS(DH66-(SUM(DH57,DH60)-SUM(DH58,DH59,DH65)))&lt;0.01,ABS(DC66-(SUM(DC57,DC60)-SUM(DC58,DC59,DC65)))&lt;0.01,ABS(DD66-(SUM(DD57,DD60)-SUM(DD58,DD59,DD65)))&lt;0.01,ABS(CY66-(SUM(CY57,CY60)-SUM(CY58,CY59,CY65)))&lt;0.01,ABS(CZ66-(SUM(CZ57,CZ60)-SUM(CZ58,CZ59,CZ65)))&lt;0.01,ABS(CU66-(SUM(CU57,CU60)-SUM(CU58,CU59,CU65)))&lt;0.01,ABS(CV66-(SUM(CV57,CV60)-SUM(CV58,CV59,CV65)))&lt;0.01,ABS(CQ66-(SUM(CQ57,CQ60)-SUM(CQ58,CQ59,CQ65)))&lt;0.01,ABS(CR66-(SUM(CR57,CR60)-SUM(CR58,CR59,CR65)))&lt;0.01,ABS(CM66-(SUM(CM57,CM60)-SUM(CM58,CM59,CM65)))&lt;0.01,ABS(CN66-(SUM(CN57,CN60)-SUM(CN58,CN59,CN65)))&lt;0.01,ABS(CI66-(SUM(CI57,CI60)-SUM(CI58,CI59,CI65)))&lt;0.01,ABS(CJ66-(SUM(CJ57,CJ60)-SUM(CJ58,CJ59,CJ65)))&lt;0.01,ABS(CE66-(SUM(CE57,CE60)-SUM(CE58,CE59,CE65)))&lt;0.01,ABS(CF66-(SUM(CF57,CF60)-SUM(CF58,CF59,CF65)))&lt;0.01,ABS(CA66-(SUM(CA57,CA60)-SUM(CA58,CA59,CA65)))&lt;0.01,ABS(CB66-(SUM(CB57,CB60)-SUM(CB58,CB59,CB65)))&lt;0.01,ABS(BW66-(SUM(BW57,BW60)-SUM(BW58,BW59,BW65)))&lt;0.01,ABS(BX66-(SUM(BX57,BX60)-SUM(BX58,BX59,BX65)))&lt;0.01,ABS(BS66-(SUM(BS57,BS60)-SUM(BS58,BS59,BS65)))&lt;0.01,ABS(BT66-(SUM(BT57,BT60)-SUM(BT58,BT59,BT65)))&lt;0.01,ABS(BO66-(SUM(BO57,BO60)-SUM(BO58,BO59,BO65)))&lt;0.01,ABS(BP66-(SUM(BP57,BP60)-SUM(BP58,BP59,BP65)))&lt;0.01,ABS(BK66-(SUM(BK57,BK60)-SUM(BK58,BK59,BK65)))&lt;0.01,ABS(BL66-(SUM(BL57,BL60)-SUM(BL58,BL59,BL65)))&lt;0.01,ABS(BG66-(SUM(BG57,BG60)-SUM(BG58,BG59,BG65)))&lt;0.01,ABS(BH66-(SUM(BH57,BH60)-SUM(BH58,BH59,BH65)))&lt;0.01,ABS(BC66-(SUM(BC57,BC60)-SUM(BC58,BC59,BC65)))&lt;0.01,ABS(BD66-(SUM(BD57,BD60)-SUM(BD58,BD59,BD65)))&lt;0.01,ABS(AY66-(SUM(AY57,AY60)-SUM(AY58,AY59,AY65)))&lt;0.01,ABS(AZ66-(SUM(AZ57,AZ60)-SUM(AZ58,AZ59,AZ65)))&lt;0.01,ABS(AU66-(SUM(AU57,AU60)-SUM(AU58,AU59,AU65)))&lt;0.01,ABS(AV66-(SUM(AV57,AV60)-SUM(AV58,AV59,AV65)))&lt;0.01,ABS(AQ66-(SUM(AQ57,AQ60)-SUM(AQ58,AQ59,AQ65)))&lt;0.01,ABS(AR66-(SUM(AR57,AR60)-SUM(AR58,AR59,AR65)))&lt;0.01,ABS(AM66-(SUM(AM57,AM60)-SUM(AM58,AM59,AM65)))&lt;0.01,ABS(AN66-(SUM(AN57,AN60)-SUM(AN58,AN59,AN65)))&lt;0.01,ABS(AI66-(SUM(AI57,AI60)-SUM(AI58,AI59,AI65)))&lt;0.01,ABS(AJ66-(SUM(AJ57,AJ60)-SUM(AJ58,AJ59,AJ65)))&lt;0.01,ABS(AE66-(SUM(AE57,AE60)-SUM(AE58,AE59,AE65)))&lt;0.01,ABS(AF66-(SUM(AF57,AF60)-SUM(AF58,AF59,AF65)))&lt;0.01,ABS(AA66-(SUM(AA57,AA60)-SUM(AA58,AA59,AA65)))&lt;0.01,ABS(AB66-(SUM(AB57,AB60)-SUM(AB58,AB59,AB65)))&lt;0.01,ABS(W66-(SUM(W57,W60)-SUM(W58,W59,W65)))&lt;0.01,ABS(X66-(SUM(X57,X60)-SUM(X58,X59,X65)))&lt;0.01,ABS(S66-(SUM(S57,S60)-SUM(S58,S59,S65)))&lt;0.01,ABS(T66-(SUM(T57,T60)-SUM(T58,T59,T65)))&lt;0.01,ABS(O66-(SUM(O57,O60)-SUM(O58,O59,O65)))&lt;0.01,ABS(P66-(SUM(P57,P60)-SUM(P58,P59,P65)))&lt;0.01,ABS(K66-(SUM(K57,K60)-SUM(K58,K59,K65)))&lt;0.01,ABS(L66-(SUM(L57,L60)-SUM(L58,L59,L65)))&lt;0.01,ABS(G66-(SUM(G57,G60)-SUM(G58,G59,G65)))&lt;0.01,ABS(H66-(SUM(H57,H60)-SUM(H58,H59,H65)))&lt;0.01),"OK","CHECK")</f>
        <v>OK</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row>
    <row r="93" ht="18.0" customHeight="1">
      <c r="A93" s="42" t="s">
        <v>94</v>
      </c>
      <c r="B93" s="40" t="str">
        <f>IF(AND(ABS(EQ68-(EQ67+EQ66))&lt;0.01,ABS(ER68-(ER67+ER66))&lt;0.01,ABS(EM68-(EM67+EM66))&lt;0.01,ABS(EN68-(EN67+EN66))&lt;0.01,ABS(EI68-(EI67+EI66))&lt;0.01,ABS(EJ68-(EJ67+EJ66))&lt;0.01,ABS(EE68-(EE67+EE66))&lt;0.01,ABS(EF68-(EF67+EF66))&lt;0.01,ABS(EA68-(EA67+EA66))&lt;0.01,ABS(EB68-(EB67+EB66))&lt;0.01,ABS(DW68-(DW67+DW66))&lt;0.01,ABS(DX68-(DX67+DX66))&lt;0.01,ABS(DS68-(DS67+DS66))&lt;0.01,ABS(DT68-(DT67+DT66))&lt;0.01,ABS(DO68-(DO67+DO66))&lt;0.01,ABS(DP68-(DP67+DP66))&lt;0.01,ABS(DK68-(DK67+DK66))&lt;0.01,ABS(DL68-(DL67+DL66))&lt;0.01,ABS(DG68-(DG67+DG66))&lt;0.01,ABS(DH68-(DH67+DH66))&lt;0.01,ABS(DC68-(DC67+DC66))&lt;0.01,ABS(DD68-(DD67+DD66))&lt;0.01,ABS(CY68-(CY67+CY66))&lt;0.01,ABS(CZ68-(CZ67+CZ66))&lt;0.01,ABS(CU68-(CU67+CU66))&lt;0.01,ABS(CV68-(CV67+CV66))&lt;0.01,ABS(CQ68-(CQ67+CQ66))&lt;0.01,ABS(CR68-(CR67+CR66))&lt;0.01,ABS(CM68-(CM67+CM66))&lt;0.01,ABS(CN68-(CN67+CN66))&lt;0.01,ABS(CI68-(CI67+CI66))&lt;0.01,ABS(CJ68-(CJ67+CJ66))&lt;0.01,ABS(CE68-(CE67+CE66))&lt;0.01,ABS(CF68-(CF67+CF66))&lt;0.01,ABS(CA68-(CA67+CA66))&lt;0.01,ABS(CB68-(CB67+CB66))&lt;0.01,ABS(BW68-(BW67+BW66))&lt;0.01,ABS(BX68-(BX67+BX66))&lt;0.01,ABS(BS68-(BS67+BS66))&lt;0.01,ABS(BT68-(BT67+BT66))&lt;0.01,ABS(BO68-(BO67+BO66))&lt;0.01,ABS(BP68-(BP67+BP66))&lt;0.01,ABS(BK68-(BK67+BK66))&lt;0.01,ABS(BL68-(BL67+BL66))&lt;0.01,ABS(BG68-(BG67+BG66))&lt;0.01,ABS(BH68-(BH67+BH66))&lt;0.01,ABS(BC68-(BC67+BC66))&lt;0.01,ABS(BD68-(BD67+BD66))&lt;0.01,ABS(AY68-(AY67+AY66))&lt;0.01,ABS(AZ68-(AZ67+AZ66))&lt;0.01,ABS(AU68-(AU67+AU66))&lt;0.01,ABS(AV68-(AV67+AV66))&lt;0.01,ABS(AQ68-(AQ67+AQ66))&lt;0.01,ABS(AR68-(AR67+AR66))&lt;0.01,ABS(AM68-(AM67+AM66))&lt;0.01,ABS(AN68-(AN67+AN66))&lt;0.01,ABS(AI68-(AI67+AI66))&lt;0.01,ABS(AJ68-(AJ67+AJ66))&lt;0.01,ABS(AE68-(AE67+AE66))&lt;0.01,ABS(AF68-(AF67+AF66))&lt;0.01,ABS(AA68-(AA67+AA66))&lt;0.01,ABS(AB68-(AB67+AB66))&lt;0.01,ABS(W68-(W67+W66))&lt;0.01,ABS(X68-(X67+X66))&lt;0.01,ABS(S68-(S67+S66))&lt;0.01,ABS(T68-(T67+T66))&lt;0.01,ABS(O68-(O67+O66))&lt;0.01,ABS(P68-(P67+P66))&lt;0.01,ABS(K68-(K67+K66))&lt;0.01,ABS(L68-(L67+L66))&lt;0.01,ABS(G68-(G67+G66))&lt;0.01,ABS(H68-(H67+H66))&lt;0.01),"OK","CHECK")</f>
        <v>OK</v>
      </c>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row>
    <row r="94" ht="18.0" customHeight="1">
      <c r="A94" s="42" t="s">
        <v>95</v>
      </c>
      <c r="B94" s="40" t="str">
        <f>IF(AND(ABS(EQ24-SUM(EQ8,EQ11,EQ14,EQ23))&lt;0.01,ABS(ER24-SUM(ER8,ER11,ER14,ER23))&lt;0.01,ABS(EM24-SUM(EM8,EM11,EM14,EM23))&lt;0.01,ABS(EN24-SUM(EN8,EN11,EN14,EN23))&lt;0.01,ABS(EI24-SUM(EI8,EI11,EI14,EI23))&lt;0.01,ABS(EJ24-SUM(EJ8,EJ11,EJ14,EJ23))&lt;0.01,ABS(EE24-SUM(EE8,EE11,EE14,EE23))&lt;0.01,ABS(EF24-SUM(EF8,EF11,EF14,EF23))&lt;0.01,ABS(EA24-SUM(EA8,EA11,EA14,EA23))&lt;0.01,ABS(EB24-SUM(EB8,EB11,EB14,EB23))&lt;0.01,ABS(DW24-SUM(DW8,DW11,DW14,DW23))&lt;0.01,ABS(DX24-SUM(DX8,DX11,DX14,DX23))&lt;0.01,ABS(DS24-SUM(DS8,DS11,DS14,DS23))&lt;0.01,ABS(DT24-SUM(DT8,DT11,DT14,DT23))&lt;0.01,ABS(DO24-SUM(DO8,DO11,DO14,DO23))&lt;0.01,ABS(DP24-SUM(DP8,DP11,DP14,DP23))&lt;0.01,ABS(DK24-SUM(DK8,DK11,DK14,DK23))&lt;0.01,ABS(DL24-SUM(DL8,DL11,DL14,DL23))&lt;0.01,ABS(DG24-SUM(DG8,DG11,DG14,DG23))&lt;0.01,ABS(DH24-SUM(DH8,DH11,DH14,DH23))&lt;0.01,ABS(DC24-SUM(DC8,DC11,DC14,DC23))&lt;0.01,ABS(DD24-SUM(DD8,DD11,DD14,DD23))&lt;0.01,ABS(CY24-SUM(CY8,CY11,CY14,CY23))&lt;0.01,ABS(CZ24-SUM(CZ8,CZ11,CZ14,CZ23))&lt;0.01,ABS(CU24-SUM(CU8,CU11,CU14,CU23))&lt;0.01,ABS(CV24-SUM(CV8,CV11,CV14,CV23))&lt;0.01,ABS(CQ24-SUM(CQ8,CQ11,CQ14,CQ23))&lt;0.01,ABS(CR24-SUM(CR8,CR11,CR14,CR23))&lt;0.01,ABS(CM24-SUM(CM8,CM11,CM14,CM23))&lt;0.01,ABS(CN24-SUM(CN8,CN11,CN14,CN23))&lt;0.01,ABS(CI24-SUM(CI8,CI11,CI14,CI23))&lt;0.01,ABS(CJ24-SUM(CJ8,CJ11,CJ14,CJ23))&lt;0.01,ABS(CE24-SUM(CE8,CE11,CE14,CE23))&lt;0.01,ABS(CF24-SUM(CF8,CF11,CF14,CF23))&lt;0.01,ABS(CA24-SUM(CA8,CA11,CA14,CA23))&lt;0.01,ABS(CB24-SUM(CB8,CB11,CB14,CB23))&lt;0.01,ABS(BW24-SUM(BW8,BW11,BW14,BW23))&lt;0.01,ABS(BX24-SUM(BX8,BX11,BX14,BX23))&lt;0.01,ABS(BS24-SUM(BS8,BS11,BS14,BS23))&lt;0.01,ABS(BT24-SUM(BT8,BT11,BT14,BT23))&lt;0.01,ABS(BO24-SUM(BO8,BO11,BO14,BO23))&lt;0.01,ABS(BP24-SUM(BP8,BP11,BP14,BP23))&lt;0.01,ABS(BK24-SUM(BK8,BK11,BK14,BK23))&lt;0.01,ABS(BL24-SUM(BL8,BL11,BL14,BL23))&lt;0.01,ABS(BG24-SUM(BG8,BG11,BG14,BG23))&lt;0.01,ABS(BH24-SUM(BH8,BH11,BH14,BH23))&lt;0.01,ABS(BC24-SUM(BC8,BC11,BC14,BC23))&lt;0.01,ABS(BD24-SUM(BD8,BD11,BD14,BD23))&lt;0.01,ABS(AY24-SUM(AY8,AY11,AY14,AY23))&lt;0.01,ABS(AZ24-SUM(AZ8,AZ11,AZ14,AZ23))&lt;0.01,ABS(AU24-SUM(AU8,AU11,AU14,AU23))&lt;0.01,ABS(AV24-SUM(AV8,AV11,AV14,AV23))&lt;0.01,ABS(AQ24-SUM(AQ8,AQ11,AQ14,AQ23))&lt;0.01,ABS(AR24-SUM(AR8,AR11,AR14,AR23))&lt;0.01,ABS(AM24-SUM(AM8,AM11,AM14,AM23))&lt;0.01,ABS(AN24-SUM(AN8,AN11,AN14,AN23))&lt;0.01,ABS(AI24-SUM(AI8,AI11,AI14,AI23))&lt;0.01,ABS(AJ24-SUM(AJ8,AJ11,AJ14,AJ23))&lt;0.01,ABS(AE24-SUM(AE8,AE11,AE14,AE23))&lt;0.01,ABS(AF24-SUM(AF8,AF11,AF14,AF23))&lt;0.01,ABS(AA24-SUM(AA8,AA11,AA14,AA23))&lt;0.01,ABS(AB24-SUM(AB8,AB11,AB14,AB23))&lt;0.01,ABS(W24-SUM(W8,W11,W14,W23))&lt;0.01,ABS(X24-SUM(X8,X11,X14,X23))&lt;0.01,ABS(S24-SUM(S8,S11,S14,S23))&lt;0.01,ABS(T24-SUM(T8,T11,T14,T23))&lt;0.01,ABS(O24-SUM(O8,O11,O14,O23))&lt;0.01,ABS(P24-SUM(P8,P11,P14,P23))&lt;0.01,ABS(K24-SUM(K8,K11,K14,K23))&lt;0.01,ABS(L24-SUM(L8,L11,L14,L23))&lt;0.01,ABS(G24-SUM(G8,G11,G14,G23))&lt;0.01,ABS(H24-SUM(H8,H11,H14,H23))&lt;0.01),"OK","CHECK")</f>
        <v>OK</v>
      </c>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row>
    <row r="95" ht="18.0" customHeight="1">
      <c r="A95" s="42" t="s">
        <v>96</v>
      </c>
      <c r="B95" s="40" t="str">
        <f>IF(SUMPRODUCT(--ISERROR(B3:ES73))=0,"OK","CHECK")</f>
        <v>OK</v>
      </c>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row>
    <row r="96" ht="18.0" customHeight="1">
      <c r="A96" s="42" t="s">
        <v>97</v>
      </c>
      <c r="B96" s="40" t="str">
        <f>IF($EP$75="","NOT STARTED",IF(COUNTIF(B81:B95,"OK")=15,"PASS","CHECK"))</f>
        <v>NOT STARTED</v>
      </c>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c r="BM96" s="36"/>
      <c r="BN96" s="36"/>
      <c r="BO96" s="36"/>
      <c r="BP96" s="36"/>
      <c r="BQ96" s="36"/>
      <c r="BR96" s="36"/>
      <c r="BS96" s="36"/>
      <c r="BT96" s="36"/>
      <c r="BU96" s="36"/>
      <c r="BV96" s="36"/>
      <c r="BW96" s="36"/>
      <c r="BX96" s="36"/>
      <c r="BY96" s="36"/>
      <c r="BZ96" s="36"/>
      <c r="CA96" s="36"/>
      <c r="CB96" s="36"/>
      <c r="CC96" s="36"/>
      <c r="CD96" s="36"/>
      <c r="CE96" s="36"/>
      <c r="CF96" s="36"/>
      <c r="CG96" s="36"/>
      <c r="CH96" s="36"/>
      <c r="CI96" s="36"/>
      <c r="CJ96" s="36"/>
      <c r="CK96" s="36"/>
      <c r="CL96" s="36"/>
      <c r="CM96" s="36"/>
      <c r="CN96" s="36"/>
      <c r="CO96" s="36"/>
      <c r="CP96" s="36"/>
      <c r="CQ96" s="36"/>
      <c r="CR96" s="36"/>
      <c r="CS96" s="36"/>
      <c r="CT96" s="36"/>
      <c r="CU96" s="36"/>
      <c r="CV96" s="36"/>
      <c r="CW96" s="36"/>
      <c r="CX96" s="36"/>
      <c r="CY96" s="36"/>
      <c r="CZ96" s="36"/>
      <c r="DA96" s="36"/>
      <c r="DB96" s="36"/>
      <c r="DC96" s="36"/>
      <c r="DD96" s="36"/>
      <c r="DE96" s="36"/>
      <c r="DF96" s="36"/>
      <c r="DG96" s="36"/>
      <c r="DH96" s="36"/>
      <c r="DI96" s="36"/>
      <c r="DJ96" s="36"/>
      <c r="DK96" s="36"/>
      <c r="DL96" s="36"/>
      <c r="DM96" s="36"/>
      <c r="DN96" s="36"/>
      <c r="DO96" s="36"/>
      <c r="DP96" s="36"/>
      <c r="DQ96" s="36"/>
      <c r="DR96" s="36"/>
      <c r="DS96" s="36"/>
      <c r="DT96" s="36"/>
      <c r="DU96" s="36"/>
      <c r="DV96" s="36"/>
      <c r="DW96" s="36"/>
      <c r="DX96" s="36"/>
      <c r="DY96" s="36"/>
      <c r="DZ96" s="36"/>
      <c r="EA96" s="36"/>
      <c r="EB96" s="36"/>
      <c r="EC96" s="36"/>
      <c r="ED96" s="36"/>
      <c r="EE96" s="36"/>
      <c r="EF96" s="36"/>
      <c r="EG96" s="36"/>
      <c r="EH96" s="36"/>
      <c r="EI96" s="36"/>
      <c r="EJ96" s="36"/>
      <c r="EK96" s="36"/>
      <c r="EL96" s="36"/>
      <c r="EM96" s="36"/>
      <c r="EN96" s="36"/>
      <c r="EO96" s="36"/>
      <c r="EP96" s="36"/>
      <c r="EQ96" s="36"/>
      <c r="ER96" s="36"/>
      <c r="ES96" s="36"/>
    </row>
    <row r="97" ht="18.0" hidden="1" customHeight="1">
      <c r="A97" s="2" t="s">
        <v>98</v>
      </c>
      <c r="B97" s="2"/>
      <c r="C97" s="2"/>
      <c r="D97" s="2"/>
      <c r="E97" s="2"/>
      <c r="F97" s="2">
        <f>IF(AND(F$57&lt;&gt;"",COUNT(F6,F8,F9,F11,F12,F13,F14,F15,F16,F18,F21,F23,F28,F30,F31,F32,F33,F38,F39,F40,F41,F42,F43,F44,F45,F46,F47,F48,F49,F50,F51,F52,F57,F60,F61,F62,F63,F64,F69)=39),1,0)</f>
        <v>0</v>
      </c>
      <c r="G97" s="2"/>
      <c r="H97" s="2"/>
      <c r="I97" s="2"/>
      <c r="J97" s="2">
        <f>IF(AND(J$57&lt;&gt;"",COUNT(J6,J8,J9,J11,J12,J13,J14,J15,J16,J18,J21,J23,J28,J30,J31,J32,J33,J38,J39,J40,J41,J42,J43,J44,J45,J46,J47,J48,J49,J50,J51,J52,J57,J60,J61,J62,J63,J64,J69)=39),1,0)</f>
        <v>0</v>
      </c>
      <c r="K97" s="2"/>
      <c r="L97" s="2"/>
      <c r="M97" s="2"/>
      <c r="N97" s="2">
        <f>IF(AND(N$57&lt;&gt;"",COUNT(N6,N8,N9,N11,N12,N13,N14,N15,N16,N18,N21,N23,N28,N30,N31,N32,N33,N38,N39,N40,N41,N42,N43,N44,N45,N46,N47,N48,N49,N50,N51,N52,N57,N60,N61,N62,N63,N64,N69)=39),1,0)</f>
        <v>0</v>
      </c>
      <c r="O97" s="2"/>
      <c r="P97" s="2"/>
      <c r="Q97" s="2"/>
      <c r="R97" s="2">
        <f>IF(AND(R$57&lt;&gt;"",COUNT(R6,R8,R9,R11,R12,R13,R14,R15,R16,R18,R21,R23,R28,R30,R31,R32,R33,R38,R39,R40,R41,R42,R43,R44,R45,R46,R47,R48,R49,R50,R51,R52,R57,R60,R61,R62,R63,R64,R69)=39),1,0)</f>
        <v>0</v>
      </c>
      <c r="S97" s="2"/>
      <c r="T97" s="2"/>
      <c r="U97" s="2"/>
      <c r="V97" s="2">
        <f>IF(AND(V$57&lt;&gt;"",COUNT(V6,V8,V9,V11,V12,V13,V14,V15,V16,V18,V21,V23,V28,V30,V31,V32,V33,V38,V39,V40,V41,V42,V43,V44,V45,V46,V47,V48,V49,V50,V51,V52,V57,V60,V61,V62,V63,V64,V69)=39),1,0)</f>
        <v>0</v>
      </c>
      <c r="W97" s="2"/>
      <c r="X97" s="2"/>
      <c r="Y97" s="2"/>
      <c r="Z97" s="2">
        <f>IF(AND(Z$57&lt;&gt;"",COUNT(Z6,Z8,Z9,Z11,Z12,Z13,Z14,Z15,Z16,Z18,Z21,Z23,Z28,Z30,Z31,Z32,Z33,Z38,Z39,Z40,Z41,Z42,Z43,Z44,Z45,Z46,Z47,Z48,Z49,Z50,Z51,Z52,Z57,Z60,Z61,Z62,Z63,Z64,Z69)=39),1,0)</f>
        <v>0</v>
      </c>
      <c r="AA97" s="2"/>
      <c r="AB97" s="2"/>
      <c r="AC97" s="2"/>
      <c r="AD97" s="2">
        <f>IF(AND(AD$57&lt;&gt;"",COUNT(AD6,AD8,AD9,AD11,AD12,AD13,AD14,AD15,AD16,AD18,AD21,AD23,AD28,AD30,AD31,AD32,AD33,AD38,AD39,AD40,AD41,AD42,AD43,AD44,AD45,AD46,AD47,AD48,AD49,AD50,AD51,AD52,AD57,AD60,AD61,AD62,AD63,AD64,AD69)=39),1,0)</f>
        <v>0</v>
      </c>
      <c r="AE97" s="2"/>
      <c r="AF97" s="2"/>
      <c r="AG97" s="2"/>
      <c r="AH97" s="2">
        <f>IF(AND(AH$57&lt;&gt;"",COUNT(AH6,AH8,AH9,AH11,AH12,AH13,AH14,AH15,AH16,AH18,AH21,AH23,AH28,AH30,AH31,AH32,AH33,AH38,AH39,AH40,AH41,AH42,AH43,AH44,AH45,AH46,AH47,AH48,AH49,AH50,AH51,AH52,AH57,AH60,AH61,AH62,AH63,AH64,AH69)=39),1,0)</f>
        <v>0</v>
      </c>
      <c r="AI97" s="2"/>
      <c r="AJ97" s="2"/>
      <c r="AK97" s="2"/>
      <c r="AL97" s="2">
        <f>IF(AND(AL$57&lt;&gt;"",COUNT(AL6,AL8,AL9,AL11,AL12,AL13,AL14,AL15,AL16,AL18,AL21,AL23,AL28,AL30,AL31,AL32,AL33,AL38,AL39,AL40,AL41,AL42,AL43,AL44,AL45,AL46,AL47,AL48,AL49,AL50,AL51,AL52,AL57,AL60,AL61,AL62,AL63,AL64,AL69)=39),1,0)</f>
        <v>0</v>
      </c>
      <c r="AM97" s="2"/>
      <c r="AN97" s="2"/>
      <c r="AO97" s="2"/>
      <c r="AP97" s="2">
        <f>IF(AND(AP$57&lt;&gt;"",COUNT(AP6,AP8,AP9,AP11,AP12,AP13,AP14,AP15,AP16,AP18,AP21,AP23,AP28,AP30,AP31,AP32,AP33,AP38,AP39,AP40,AP41,AP42,AP43,AP44,AP45,AP46,AP47,AP48,AP49,AP50,AP51,AP52,AP57,AP60,AP61,AP62,AP63,AP64,AP69)=39),1,0)</f>
        <v>0</v>
      </c>
      <c r="AQ97" s="2"/>
      <c r="AR97" s="2"/>
      <c r="AS97" s="2"/>
      <c r="AT97" s="2">
        <f>IF(AND(AT$57&lt;&gt;"",COUNT(AT6,AT8,AT9,AT11,AT12,AT13,AT14,AT15,AT16,AT18,AT21,AT23,AT28,AT30,AT31,AT32,AT33,AT38,AT39,AT40,AT41,AT42,AT43,AT44,AT45,AT46,AT47,AT48,AT49,AT50,AT51,AT52,AT57,AT60,AT61,AT62,AT63,AT64,AT69)=39),1,0)</f>
        <v>0</v>
      </c>
      <c r="AU97" s="2"/>
      <c r="AV97" s="2"/>
      <c r="AW97" s="2"/>
      <c r="AX97" s="2">
        <f>IF(AND(AX$57&lt;&gt;"",COUNT(AX6,AX8,AX9,AX11,AX12,AX13,AX14,AX15,AX16,AX18,AX21,AX23,AX28,AX30,AX31,AX32,AX33,AX38,AX39,AX40,AX41,AX42,AX43,AX44,AX45,AX46,AX47,AX48,AX49,AX50,AX51,AX52,AX57,AX60,AX61,AX62,AX63,AX64,AX69)=39),1,0)</f>
        <v>0</v>
      </c>
      <c r="AY97" s="2"/>
      <c r="AZ97" s="2"/>
      <c r="BA97" s="2"/>
      <c r="BB97" s="2">
        <f>IF(AND(BB$57&lt;&gt;"",COUNT(BB6,BB8,BB9,BB11,BB12,BB13,BB14,BB15,BB16,BB18,BB21,BB23,BB28,BB30,BB31,BB32,BB33,BB38,BB39,BB40,BB41,BB42,BB43,BB44,BB45,BB46,BB47,BB48,BB49,BB50,BB51,BB52,BB57,BB60,BB61,BB62,BB63,BB64,BB69)=39),1,0)</f>
        <v>0</v>
      </c>
      <c r="BC97" s="2"/>
      <c r="BD97" s="2"/>
      <c r="BE97" s="2"/>
      <c r="BF97" s="2">
        <f>IF(AND(BF$57&lt;&gt;"",COUNT(BF6,BF8,BF9,BF11,BF12,BF13,BF14,BF15,BF16,BF18,BF21,BF23,BF28,BF30,BF31,BF32,BF33,BF38,BF39,BF40,BF41,BF42,BF43,BF44,BF45,BF46,BF47,BF48,BF49,BF50,BF51,BF52,BF57,BF60,BF61,BF62,BF63,BF64,BF69)=39),1,0)</f>
        <v>0</v>
      </c>
      <c r="BG97" s="2"/>
      <c r="BH97" s="2"/>
      <c r="BI97" s="2"/>
      <c r="BJ97" s="2">
        <f>IF(AND(BJ$57&lt;&gt;"",COUNT(BJ6,BJ8,BJ9,BJ11,BJ12,BJ13,BJ14,BJ15,BJ16,BJ18,BJ21,BJ23,BJ28,BJ30,BJ31,BJ32,BJ33,BJ38,BJ39,BJ40,BJ41,BJ42,BJ43,BJ44,BJ45,BJ46,BJ47,BJ48,BJ49,BJ50,BJ51,BJ52,BJ57,BJ60,BJ61,BJ62,BJ63,BJ64,BJ69)=39),1,0)</f>
        <v>0</v>
      </c>
      <c r="BK97" s="2"/>
      <c r="BL97" s="2"/>
      <c r="BM97" s="2"/>
      <c r="BN97" s="2">
        <f>IF(AND(BN$57&lt;&gt;"",COUNT(BN6,BN8,BN9,BN11,BN12,BN13,BN14,BN15,BN16,BN18,BN21,BN23,BN28,BN30,BN31,BN32,BN33,BN38,BN39,BN40,BN41,BN42,BN43,BN44,BN45,BN46,BN47,BN48,BN49,BN50,BN51,BN52,BN57,BN60,BN61,BN62,BN63,BN64,BN69)=39),1,0)</f>
        <v>0</v>
      </c>
      <c r="BO97" s="2"/>
      <c r="BP97" s="2"/>
      <c r="BQ97" s="2"/>
      <c r="BR97" s="2">
        <f>IF(AND(BR$57&lt;&gt;"",COUNT(BR6,BR8,BR9,BR11,BR12,BR13,BR14,BR15,BR16,BR18,BR21,BR23,BR28,BR30,BR31,BR32,BR33,BR38,BR39,BR40,BR41,BR42,BR43,BR44,BR45,BR46,BR47,BR48,BR49,BR50,BR51,BR52,BR57,BR60,BR61,BR62,BR63,BR64,BR69)=39),1,0)</f>
        <v>0</v>
      </c>
      <c r="BS97" s="2"/>
      <c r="BT97" s="2"/>
      <c r="BU97" s="2"/>
      <c r="BV97" s="2">
        <f>IF(AND(BV$57&lt;&gt;"",COUNT(BV6,BV8,BV9,BV11,BV12,BV13,BV14,BV15,BV16,BV18,BV21,BV23,BV28,BV30,BV31,BV32,BV33,BV38,BV39,BV40,BV41,BV42,BV43,BV44,BV45,BV46,BV47,BV48,BV49,BV50,BV51,BV52,BV57,BV60,BV61,BV62,BV63,BV64,BV69)=39),1,0)</f>
        <v>0</v>
      </c>
      <c r="BW97" s="2"/>
      <c r="BX97" s="2"/>
      <c r="BY97" s="2"/>
      <c r="BZ97" s="2">
        <f>IF(AND(BZ$57&lt;&gt;"",COUNT(BZ6,BZ8,BZ9,BZ11,BZ12,BZ13,BZ14,BZ15,BZ16,BZ18,BZ21,BZ23,BZ28,BZ30,BZ31,BZ32,BZ33,BZ38,BZ39,BZ40,BZ41,BZ42,BZ43,BZ44,BZ45,BZ46,BZ47,BZ48,BZ49,BZ50,BZ51,BZ52,BZ57,BZ60,BZ61,BZ62,BZ63,BZ64,BZ69)=39),1,0)</f>
        <v>0</v>
      </c>
      <c r="CA97" s="2"/>
      <c r="CB97" s="2"/>
      <c r="CC97" s="2"/>
      <c r="CD97" s="2">
        <f>IF(AND(CD$57&lt;&gt;"",COUNT(CD6,CD8,CD9,CD11,CD12,CD13,CD14,CD15,CD16,CD18,CD21,CD23,CD28,CD30,CD31,CD32,CD33,CD38,CD39,CD40,CD41,CD42,CD43,CD44,CD45,CD46,CD47,CD48,CD49,CD50,CD51,CD52,CD57,CD60,CD61,CD62,CD63,CD64,CD69)=39),1,0)</f>
        <v>0</v>
      </c>
      <c r="CE97" s="2"/>
      <c r="CF97" s="2"/>
      <c r="CG97" s="2"/>
      <c r="CH97" s="2">
        <f>IF(AND(CH$57&lt;&gt;"",COUNT(CH6,CH8,CH9,CH11,CH12,CH13,CH14,CH15,CH16,CH18,CH21,CH23,CH28,CH30,CH31,CH32,CH33,CH38,CH39,CH40,CH41,CH42,CH43,CH44,CH45,CH46,CH47,CH48,CH49,CH50,CH51,CH52,CH57,CH60,CH61,CH62,CH63,CH64,CH69)=39),1,0)</f>
        <v>0</v>
      </c>
      <c r="CI97" s="2"/>
      <c r="CJ97" s="2"/>
      <c r="CK97" s="2"/>
      <c r="CL97" s="2">
        <f>IF(AND(CL$57&lt;&gt;"",COUNT(CL6,CL8,CL9,CL11,CL12,CL13,CL14,CL15,CL16,CL18,CL21,CL23,CL28,CL30,CL31,CL32,CL33,CL38,CL39,CL40,CL41,CL42,CL43,CL44,CL45,CL46,CL47,CL48,CL49,CL50,CL51,CL52,CL57,CL60,CL61,CL62,CL63,CL64,CL69)=39),1,0)</f>
        <v>0</v>
      </c>
      <c r="CM97" s="2"/>
      <c r="CN97" s="2"/>
      <c r="CO97" s="2"/>
      <c r="CP97" s="2">
        <f>IF(AND(CP$57&lt;&gt;"",COUNT(CP6,CP8,CP9,CP11,CP12,CP13,CP14,CP15,CP16,CP18,CP21,CP23,CP28,CP30,CP31,CP32,CP33,CP38,CP39,CP40,CP41,CP42,CP43,CP44,CP45,CP46,CP47,CP48,CP49,CP50,CP51,CP52,CP57,CP60,CP61,CP62,CP63,CP64,CP69)=39),1,0)</f>
        <v>0</v>
      </c>
      <c r="CQ97" s="2"/>
      <c r="CR97" s="2"/>
      <c r="CS97" s="2"/>
      <c r="CT97" s="2">
        <f>IF(AND(CT$57&lt;&gt;"",COUNT(CT6,CT8,CT9,CT11,CT12,CT13,CT14,CT15,CT16,CT18,CT21,CT23,CT28,CT30,CT31,CT32,CT33,CT38,CT39,CT40,CT41,CT42,CT43,CT44,CT45,CT46,CT47,CT48,CT49,CT50,CT51,CT52,CT57,CT60,CT61,CT62,CT63,CT64,CT69)=39),1,0)</f>
        <v>0</v>
      </c>
      <c r="CU97" s="2"/>
      <c r="CV97" s="2"/>
      <c r="CW97" s="2"/>
      <c r="CX97" s="2">
        <f>IF(AND(CX$57&lt;&gt;"",COUNT(CX6,CX8,CX9,CX11,CX12,CX13,CX14,CX15,CX16,CX18,CX21,CX23,CX28,CX30,CX31,CX32,CX33,CX38,CX39,CX40,CX41,CX42,CX43,CX44,CX45,CX46,CX47,CX48,CX49,CX50,CX51,CX52,CX57,CX60,CX61,CX62,CX63,CX64,CX69)=39),1,0)</f>
        <v>0</v>
      </c>
      <c r="CY97" s="2"/>
      <c r="CZ97" s="2"/>
      <c r="DA97" s="2"/>
      <c r="DB97" s="2">
        <f>IF(AND(DB$57&lt;&gt;"",COUNT(DB6,DB8,DB9,DB11,DB12,DB13,DB14,DB15,DB16,DB18,DB21,DB23,DB28,DB30,DB31,DB32,DB33,DB38,DB39,DB40,DB41,DB42,DB43,DB44,DB45,DB46,DB47,DB48,DB49,DB50,DB51,DB52,DB57,DB60,DB61,DB62,DB63,DB64,DB69)=39),1,0)</f>
        <v>0</v>
      </c>
      <c r="DC97" s="2"/>
      <c r="DD97" s="2"/>
      <c r="DE97" s="2"/>
      <c r="DF97" s="2">
        <f>IF(AND(DF$57&lt;&gt;"",COUNT(DF6,DF8,DF9,DF11,DF12,DF13,DF14,DF15,DF16,DF18,DF21,DF23,DF28,DF30,DF31,DF32,DF33,DF38,DF39,DF40,DF41,DF42,DF43,DF44,DF45,DF46,DF47,DF48,DF49,DF50,DF51,DF52,DF57,DF60,DF61,DF62,DF63,DF64,DF69)=39),1,0)</f>
        <v>0</v>
      </c>
      <c r="DG97" s="2"/>
      <c r="DH97" s="2"/>
      <c r="DI97" s="2"/>
      <c r="DJ97" s="2">
        <f>IF(AND(DJ$57&lt;&gt;"",COUNT(DJ6,DJ8,DJ9,DJ11,DJ12,DJ13,DJ14,DJ15,DJ16,DJ18,DJ21,DJ23,DJ28,DJ30,DJ31,DJ32,DJ33,DJ38,DJ39,DJ40,DJ41,DJ42,DJ43,DJ44,DJ45,DJ46,DJ47,DJ48,DJ49,DJ50,DJ51,DJ52,DJ57,DJ60,DJ61,DJ62,DJ63,DJ64,DJ69)=39),1,0)</f>
        <v>0</v>
      </c>
      <c r="DK97" s="2"/>
      <c r="DL97" s="2"/>
      <c r="DM97" s="2"/>
      <c r="DN97" s="2">
        <f>IF(AND(DN$57&lt;&gt;"",COUNT(DN6,DN8,DN9,DN11,DN12,DN13,DN14,DN15,DN16,DN18,DN21,DN23,DN28,DN30,DN31,DN32,DN33,DN38,DN39,DN40,DN41,DN42,DN43,DN44,DN45,DN46,DN47,DN48,DN49,DN50,DN51,DN52,DN57,DN60,DN61,DN62,DN63,DN64,DN69)=39),1,0)</f>
        <v>0</v>
      </c>
      <c r="DO97" s="2"/>
      <c r="DP97" s="2"/>
      <c r="DQ97" s="2"/>
      <c r="DR97" s="2">
        <f>IF(AND(DR$57&lt;&gt;"",COUNT(DR6,DR8,DR9,DR11,DR12,DR13,DR14,DR15,DR16,DR18,DR21,DR23,DR28,DR30,DR31,DR32,DR33,DR38,DR39,DR40,DR41,DR42,DR43,DR44,DR45,DR46,DR47,DR48,DR49,DR50,DR51,DR52,DR57,DR60,DR61,DR62,DR63,DR64,DR69)=39),1,0)</f>
        <v>0</v>
      </c>
      <c r="DS97" s="2"/>
      <c r="DT97" s="2"/>
      <c r="DU97" s="2"/>
      <c r="DV97" s="2">
        <f>IF(AND(DV$57&lt;&gt;"",COUNT(DV6,DV8,DV9,DV11,DV12,DV13,DV14,DV15,DV16,DV18,DV21,DV23,DV28,DV30,DV31,DV32,DV33,DV38,DV39,DV40,DV41,DV42,DV43,DV44,DV45,DV46,DV47,DV48,DV49,DV50,DV51,DV52,DV57,DV60,DV61,DV62,DV63,DV64,DV69)=39),1,0)</f>
        <v>0</v>
      </c>
      <c r="DW97" s="2"/>
      <c r="DX97" s="2"/>
      <c r="DY97" s="2"/>
      <c r="DZ97" s="2">
        <f>IF(AND(DZ$57&lt;&gt;"",COUNT(DZ6,DZ8,DZ9,DZ11,DZ12,DZ13,DZ14,DZ15,DZ16,DZ18,DZ21,DZ23,DZ28,DZ30,DZ31,DZ32,DZ33,DZ38,DZ39,DZ40,DZ41,DZ42,DZ43,DZ44,DZ45,DZ46,DZ47,DZ48,DZ49,DZ50,DZ51,DZ52,DZ57,DZ60,DZ61,DZ62,DZ63,DZ64,DZ69)=39),1,0)</f>
        <v>0</v>
      </c>
      <c r="EA97" s="2"/>
      <c r="EB97" s="2"/>
      <c r="EC97" s="2"/>
      <c r="ED97" s="2">
        <f>IF(AND(ED$57&lt;&gt;"",COUNT(ED6,ED8,ED9,ED11,ED12,ED13,ED14,ED15,ED16,ED18,ED21,ED23,ED28,ED30,ED31,ED32,ED33,ED38,ED39,ED40,ED41,ED42,ED43,ED44,ED45,ED46,ED47,ED48,ED49,ED50,ED51,ED52,ED57,ED60,ED61,ED62,ED63,ED64,ED69)=39),1,0)</f>
        <v>0</v>
      </c>
      <c r="EE97" s="2"/>
      <c r="EF97" s="2"/>
      <c r="EG97" s="2"/>
      <c r="EH97" s="2">
        <f>IF(AND(EH$57&lt;&gt;"",COUNT(EH6,EH8,EH9,EH11,EH12,EH13,EH14,EH15,EH16,EH18,EH21,EH23,EH28,EH30,EH31,EH32,EH33,EH38,EH39,EH40,EH41,EH42,EH43,EH44,EH45,EH46,EH47,EH48,EH49,EH50,EH51,EH52,EH57,EH60,EH61,EH62,EH63,EH64,EH69)=39),1,0)</f>
        <v>0</v>
      </c>
      <c r="EI97" s="2"/>
      <c r="EJ97" s="2"/>
      <c r="EK97" s="2"/>
      <c r="EL97" s="2">
        <f>IF(AND(EL$57&lt;&gt;"",COUNT(EL6,EL8,EL9,EL11,EL12,EL13,EL14,EL15,EL16,EL18,EL21,EL23,EL28,EL30,EL31,EL32,EL33,EL38,EL39,EL40,EL41,EL42,EL43,EL44,EL45,EL46,EL47,EL48,EL49,EL50,EL51,EL52,EL57,EL60,EL61,EL62,EL63,EL64,EL69)=39),1,0)</f>
        <v>0</v>
      </c>
      <c r="EM97" s="2"/>
      <c r="EN97" s="2"/>
      <c r="EO97" s="2"/>
      <c r="EP97" s="2">
        <f>IF(AND(EP$57&lt;&gt;"",COUNT(EP6,EP8,EP9,EP11,EP12,EP13,EP14,EP15,EP16,EP18,EP21,EP23,EP28,EP30,EP31,EP32,EP33,EP38,EP39,EP40,EP41,EP42,EP43,EP44,EP45,EP46,EP47,EP48,EP49,EP50,EP51,EP52,EP57,EP60,EP61,EP62,EP63,EP64,EP69)=39),1,0)</f>
        <v>0</v>
      </c>
      <c r="EQ97" s="2"/>
      <c r="ER97" s="2"/>
      <c r="ES97" s="2"/>
    </row>
    <row r="98" ht="18.0" hidden="1" customHeight="1">
      <c r="A98" s="2" t="s">
        <v>99</v>
      </c>
      <c r="B98" s="2"/>
      <c r="C98" s="2"/>
      <c r="D98" s="2"/>
      <c r="E98" s="2"/>
      <c r="F98" s="2">
        <f>IF(AND(J98=1,F97=1),1,0)</f>
        <v>0</v>
      </c>
      <c r="G98" s="2"/>
      <c r="H98" s="2"/>
      <c r="I98" s="2"/>
      <c r="J98" s="2">
        <f>IF(AND(N98=1,J97=1),1,0)</f>
        <v>0</v>
      </c>
      <c r="K98" s="2"/>
      <c r="L98" s="2"/>
      <c r="M98" s="2"/>
      <c r="N98" s="2">
        <f>IF(AND(R98=1,N97=1),1,0)</f>
        <v>0</v>
      </c>
      <c r="O98" s="2"/>
      <c r="P98" s="2"/>
      <c r="Q98" s="2"/>
      <c r="R98" s="2">
        <f>IF(AND(V98=1,R97=1),1,0)</f>
        <v>0</v>
      </c>
      <c r="S98" s="2"/>
      <c r="T98" s="2"/>
      <c r="U98" s="2"/>
      <c r="V98" s="2">
        <f>IF(AND(Z98=1,V97=1),1,0)</f>
        <v>0</v>
      </c>
      <c r="W98" s="2"/>
      <c r="X98" s="2"/>
      <c r="Y98" s="2"/>
      <c r="Z98" s="2">
        <f>IF(AND(AD98=1,Z97=1),1,0)</f>
        <v>0</v>
      </c>
      <c r="AA98" s="2"/>
      <c r="AB98" s="2"/>
      <c r="AC98" s="2"/>
      <c r="AD98" s="2">
        <f>IF(AND(AH98=1,AD97=1),1,0)</f>
        <v>0</v>
      </c>
      <c r="AE98" s="2"/>
      <c r="AF98" s="2"/>
      <c r="AG98" s="2"/>
      <c r="AH98" s="2">
        <f>IF(AND(AL98=1,AH97=1),1,0)</f>
        <v>0</v>
      </c>
      <c r="AI98" s="2"/>
      <c r="AJ98" s="2"/>
      <c r="AK98" s="2"/>
      <c r="AL98" s="2">
        <f>IF(AND(AP98=1,AL97=1),1,0)</f>
        <v>0</v>
      </c>
      <c r="AM98" s="2"/>
      <c r="AN98" s="2"/>
      <c r="AO98" s="2"/>
      <c r="AP98" s="2">
        <f>IF(AND(AT98=1,AP97=1),1,0)</f>
        <v>0</v>
      </c>
      <c r="AQ98" s="2"/>
      <c r="AR98" s="2"/>
      <c r="AS98" s="2"/>
      <c r="AT98" s="2">
        <f>IF(AND(AX98=1,AT97=1),1,0)</f>
        <v>0</v>
      </c>
      <c r="AU98" s="2"/>
      <c r="AV98" s="2"/>
      <c r="AW98" s="2"/>
      <c r="AX98" s="2">
        <f>IF(AND(BB98=1,AX97=1),1,0)</f>
        <v>0</v>
      </c>
      <c r="AY98" s="2"/>
      <c r="AZ98" s="2"/>
      <c r="BA98" s="2"/>
      <c r="BB98" s="2">
        <f>IF(AND(BF98=1,BB97=1),1,0)</f>
        <v>0</v>
      </c>
      <c r="BC98" s="2"/>
      <c r="BD98" s="2"/>
      <c r="BE98" s="2"/>
      <c r="BF98" s="2">
        <f>IF(AND(BJ98=1,BF97=1),1,0)</f>
        <v>0</v>
      </c>
      <c r="BG98" s="2"/>
      <c r="BH98" s="2"/>
      <c r="BI98" s="2"/>
      <c r="BJ98" s="2">
        <f>IF(AND(BN98=1,BJ97=1),1,0)</f>
        <v>0</v>
      </c>
      <c r="BK98" s="2"/>
      <c r="BL98" s="2"/>
      <c r="BM98" s="2"/>
      <c r="BN98" s="2">
        <f>IF(AND(BR98=1,BN97=1),1,0)</f>
        <v>0</v>
      </c>
      <c r="BO98" s="2"/>
      <c r="BP98" s="2"/>
      <c r="BQ98" s="2"/>
      <c r="BR98" s="2">
        <f>IF(AND(BV98=1,BR97=1),1,0)</f>
        <v>0</v>
      </c>
      <c r="BS98" s="2"/>
      <c r="BT98" s="2"/>
      <c r="BU98" s="2"/>
      <c r="BV98" s="2">
        <f>IF(AND(BZ98=1,BV97=1),1,0)</f>
        <v>0</v>
      </c>
      <c r="BW98" s="2"/>
      <c r="BX98" s="2"/>
      <c r="BY98" s="2"/>
      <c r="BZ98" s="2">
        <f>IF(AND(CD98=1,BZ97=1),1,0)</f>
        <v>0</v>
      </c>
      <c r="CA98" s="2"/>
      <c r="CB98" s="2"/>
      <c r="CC98" s="2"/>
      <c r="CD98" s="2">
        <f>IF(AND(CH98=1,CD97=1),1,0)</f>
        <v>0</v>
      </c>
      <c r="CE98" s="2"/>
      <c r="CF98" s="2"/>
      <c r="CG98" s="2"/>
      <c r="CH98" s="2">
        <f>IF(AND(CL98=1,CH97=1),1,0)</f>
        <v>0</v>
      </c>
      <c r="CI98" s="2"/>
      <c r="CJ98" s="2"/>
      <c r="CK98" s="2"/>
      <c r="CL98" s="2">
        <f>IF(AND(CP98=1,CL97=1),1,0)</f>
        <v>0</v>
      </c>
      <c r="CM98" s="2"/>
      <c r="CN98" s="2"/>
      <c r="CO98" s="2"/>
      <c r="CP98" s="2">
        <f>IF(AND(CT98=1,CP97=1),1,0)</f>
        <v>0</v>
      </c>
      <c r="CQ98" s="2"/>
      <c r="CR98" s="2"/>
      <c r="CS98" s="2"/>
      <c r="CT98" s="2">
        <f>IF(AND(CX98=1,CT97=1),1,0)</f>
        <v>0</v>
      </c>
      <c r="CU98" s="2"/>
      <c r="CV98" s="2"/>
      <c r="CW98" s="2"/>
      <c r="CX98" s="2">
        <f>IF(AND(DB98=1,CX97=1),1,0)</f>
        <v>0</v>
      </c>
      <c r="CY98" s="2"/>
      <c r="CZ98" s="2"/>
      <c r="DA98" s="2"/>
      <c r="DB98" s="2">
        <f>IF(AND(DF98=1,DB97=1),1,0)</f>
        <v>0</v>
      </c>
      <c r="DC98" s="2"/>
      <c r="DD98" s="2"/>
      <c r="DE98" s="2"/>
      <c r="DF98" s="2">
        <f>IF(AND(DJ98=1,DF97=1),1,0)</f>
        <v>0</v>
      </c>
      <c r="DG98" s="2"/>
      <c r="DH98" s="2"/>
      <c r="DI98" s="2"/>
      <c r="DJ98" s="2">
        <f>IF(AND(DN98=1,DJ97=1),1,0)</f>
        <v>0</v>
      </c>
      <c r="DK98" s="2"/>
      <c r="DL98" s="2"/>
      <c r="DM98" s="2"/>
      <c r="DN98" s="2">
        <f>IF(AND(DR98=1,DN97=1),1,0)</f>
        <v>0</v>
      </c>
      <c r="DO98" s="2"/>
      <c r="DP98" s="2"/>
      <c r="DQ98" s="2"/>
      <c r="DR98" s="2">
        <f>IF(AND(DV98=1,DR97=1),1,0)</f>
        <v>0</v>
      </c>
      <c r="DS98" s="2"/>
      <c r="DT98" s="2"/>
      <c r="DU98" s="2"/>
      <c r="DV98" s="2">
        <f>IF(AND(DZ98=1,DV97=1),1,0)</f>
        <v>0</v>
      </c>
      <c r="DW98" s="2"/>
      <c r="DX98" s="2"/>
      <c r="DY98" s="2"/>
      <c r="DZ98" s="2">
        <f>IF(AND(ED98=1,DZ97=1),1,0)</f>
        <v>0</v>
      </c>
      <c r="EA98" s="2"/>
      <c r="EB98" s="2"/>
      <c r="EC98" s="2"/>
      <c r="ED98" s="2">
        <f>IF(AND(EH98=1,ED97=1),1,0)</f>
        <v>0</v>
      </c>
      <c r="EE98" s="2"/>
      <c r="EF98" s="2"/>
      <c r="EG98" s="2"/>
      <c r="EH98" s="2">
        <f>IF(AND(EL98=1,EH97=1),1,0)</f>
        <v>0</v>
      </c>
      <c r="EI98" s="2"/>
      <c r="EJ98" s="2"/>
      <c r="EK98" s="2"/>
      <c r="EL98" s="2">
        <f>IF(AND(EP98=1,EL97=1),1,0)</f>
        <v>0</v>
      </c>
      <c r="EM98" s="2"/>
      <c r="EN98" s="2"/>
      <c r="EO98" s="2"/>
      <c r="EP98" s="2">
        <f>EP97</f>
        <v>0</v>
      </c>
      <c r="EQ98" s="2"/>
      <c r="ER98" s="2"/>
      <c r="ES98" s="2"/>
    </row>
  </sheetData>
  <mergeCells count="43">
    <mergeCell ref="DV3:DY3"/>
    <mergeCell ref="DR3:DU3"/>
    <mergeCell ref="EP75:ES75"/>
    <mergeCell ref="EP76:ES76"/>
    <mergeCell ref="EP77:ES77"/>
    <mergeCell ref="EP78:ES78"/>
    <mergeCell ref="EP79:ES79"/>
    <mergeCell ref="DN3:DQ3"/>
    <mergeCell ref="DJ3:DM3"/>
    <mergeCell ref="DF3:DI3"/>
    <mergeCell ref="DB3:DE3"/>
    <mergeCell ref="CX3:DA3"/>
    <mergeCell ref="CT3:CW3"/>
    <mergeCell ref="CP3:CS3"/>
    <mergeCell ref="CL3:CO3"/>
    <mergeCell ref="CH3:CK3"/>
    <mergeCell ref="CD3:CG3"/>
    <mergeCell ref="BZ3:CC3"/>
    <mergeCell ref="BV3:BY3"/>
    <mergeCell ref="N3:Q3"/>
    <mergeCell ref="J3:M3"/>
    <mergeCell ref="A3:A4"/>
    <mergeCell ref="B3:E3"/>
    <mergeCell ref="EP3:ES3"/>
    <mergeCell ref="EL3:EO3"/>
    <mergeCell ref="EH3:EK3"/>
    <mergeCell ref="ED3:EG3"/>
    <mergeCell ref="DZ3:EC3"/>
    <mergeCell ref="F3:I3"/>
    <mergeCell ref="BR3:BU3"/>
    <mergeCell ref="BN3:BQ3"/>
    <mergeCell ref="BJ3:BM3"/>
    <mergeCell ref="BF3:BI3"/>
    <mergeCell ref="BB3:BE3"/>
    <mergeCell ref="AX3:BA3"/>
    <mergeCell ref="AT3:AW3"/>
    <mergeCell ref="AP3:AS3"/>
    <mergeCell ref="AL3:AO3"/>
    <mergeCell ref="AH3:AK3"/>
    <mergeCell ref="AD3:AG3"/>
    <mergeCell ref="Z3:AC3"/>
    <mergeCell ref="V3:Y3"/>
    <mergeCell ref="R3:U3"/>
  </mergeCells>
  <conditionalFormatting sqref="B70:ES70">
    <cfRule type="cellIs" dxfId="0" priority="1" stopIfTrue="1" operator="lessThan">
      <formula>0</formula>
    </cfRule>
  </conditionalFormatting>
  <conditionalFormatting sqref="B71:ES71">
    <cfRule type="containsText" dxfId="0" priority="2" stopIfTrue="1" operator="containsText" text="ACTION">
      <formula>NOT(ISERROR(SEARCH(("ACTION"),(B71))))</formula>
    </cfRule>
  </conditionalFormatting>
  <dataValidations>
    <dataValidation type="decimal" operator="greaterThanOrEqual" allowBlank="1" showErrorMessage="1" sqref="F6 H6 J6 L6 N6 P6 R6 T6 V6 X6 Z6 AB6 AD6 AF6 AH6 AJ6 AL6 AN6 AP6 AR6 AT6 AV6 AX6 AZ6 BB6 BD6 BF6 BH6 BJ6 BL6 BN6 BP6 BR6 BT6 BV6 BX6 BZ6 CB6 CD6 CF6 CH6 CJ6 CL6 CN6 CP6 CR6 CT6 CV6 CX6 CZ6 DB6 DD6 DF6 DH6 DJ6 DL6 DN6 DP6 DR6 DT6 DV6 DX6 DZ6 EB6 ED6 EF6 EH6 EJ6 EL6 EN6 EP6 ER6 H8 L8 P8 T8 X8 AB8 AF8 AJ8 AN8 AR8 AV8 AZ8 BD8 BH8 BL8 BP8 BT8 BX8 CB8 CF8 CJ8 CN8 CR8 CV8 CZ8 DD8 DH8 DL8 DP8 DT8 DX8 EB8 EF8 EJ8 EN8 ER8 F8:F9 J8:J9 N8:N9 R8:R9 V8:V9 Z8:Z9 AD8:AD9 AH8:AH9 AL8:AL9 AP8:AP9 AT8:AT9 AX8:AX9 BB8:BB9 BF8:BF9 BJ8:BJ9 BN8:BN9 BR8:BR9 BV8:BV9 BZ8:BZ9 CD8:CD9 CH8:CH9 CL8:CL9 CP8:CP9 CT8:CT9 CX8:CX9 DB8:DB9 DF8:DF9 DJ8:DJ9 DN8:DN9 DR8:DR9 DV8:DV9 DZ8:DZ9 ED8:ED9 EH8:EH9 EL8:EL9 EP8:EP9 H11 L11 P11 T11 X11 AB11 AF11 AJ11 AN11 AR11 AV11 AZ11 BD11 BH11 BL11 BP11 BT11 BX11 CB11 CF11 CJ11 CN11 CR11 CV11 CZ11 DD11 DH11 DL11 DP11 DT11 DX11 EB11 EF11 EJ11 EN11 ER11 F11:F16 H13:H16 J11:J16 L13:L16 N11:N16 P13:P16 R11:R16 T13:T16 V11:V16 X13:X16 Z11:Z16 AB13:AB16 AD11:AD16 AF13:AF16 AH11:AH16 AJ13:AJ16 AL11:AL16 AN13:AN16 AP11:AP16 AR13:AR16 AT11:AT16 AV13:AV16 AX11:AX16 AZ13:AZ16 BB11:BB16 BD13:BD16 BF11:BF16 BH13:BH16 BJ11:BJ16 BL13:BL16 BN11:BN16 BP13:BP16 BR11:BR16 BT13:BT16 BV11:BV16 BX13:BX16 BZ11:BZ16 CB13:CB16 CD11:CD16 CF13:CF16 CH11:CH16 CJ13:CJ16 CL11:CL16 CN13:CN16 CP11:CP16 CR13:CR16 CT11:CT16 CV13:CV16 CX11:CX16 CZ13:CZ16 DB11:DB16 DD13:DD16 DF11:DF16 DH13:DH16 DJ11:DJ16 DL13:DL16 DN11:DN16 DP13:DP16 DR11:DR16 DT13:DT16 DV11:DV16 DX13:DX16 DZ11:DZ16 EB13:EB16 ED11:ED16 EF13:EF16 EH11:EH16 EJ13:EJ16 EL11:EL16 EN13:EN16 EP11:EP16 ER13:ER16 F18 H18 J18 L18 N18 P18 R18 T18 V18 X18 Z18 AB18 AD18 AF18 AH18 AJ18 AL18 AN18 AP18 AR18 AT18 AV18 AX18 AZ18 BB18 BD18 BF18 BH18 BJ18 BL18 BN18 BP18 BR18 BT18 BV18 BX18 BZ18 CB18 CD18 CF18 CH18 CJ18 CL18 CN18 CP18 CR18 CT18 CV18 CX18 CZ18 DB18 DD18 DF18 DH18 DJ18 DL18 DN18 DP18 DR18 DT18 DV18 DX18 DZ18 EB18 ED18 EF18 EH18 EJ18 EL18 EN18 EP18 ER18 F21 J21 N21 R21 V21 Z21 AD21 AH21 AL21 AP21 AT21 AX21 BB21 BF21 BJ21 BN21 BR21 BV21 BZ21 CD21 CH21 CL21 CP21 CT21 CX21 DB21 DF21 DJ21 DN21 DR21 DV21 DZ21 ED21 EH21 EL21 EP21 F23 H23 J23 L23 N23 P23 R23 T23 V23 X23 Z23 AB23 AD23 AF23 AH23 AJ23 AL23 AN23 AP23 AR23 AT23 AV23 AX23 AZ23 BB23 BD23 BF23 BH23 BJ23 BL23 BN23 BP23 BR23 BT23 BV23 BX23 BZ23 CB23 CD23 CF23 CH23 CJ23 CL23 CN23 CP23 CR23 CT23 CV23 CX23 CZ23 DB23 DD23 DF23 DH23 DJ23 DL23 DN23 DP23 DR23 DT23 DV23 DX23 DZ23 EB23 ED23 EF23 EH23 EJ23 EL23 EN23 EP23 ER23 F28 H28 J28 L28 N28 P28 R28 T28 V28 X28 Z28 AB28 AD28 AF28 AH28 AJ28 AL28 AN28 AP28 AR28 AT28 AV28 AX28 AZ28 BB28 BD28 BF28 BH28 BJ28 BL28 BN28 BP28 BR28 BT28 BV28 BX28 BZ28 CB28 CD28 CF28 CH28 CJ28 CL28 CN28 CP28 CR28 CT28 CV28 CX28 CZ28 DB28 DD28 DF28 DH28 DJ28 DL28 DN28 DP28 DR28 DT28 DV28 DX28 DZ28 EB28 ED28 EF28 EH28 EJ28 EL28 EN28 EP28 ER28 F30:F33 H30:H33 J30:J33 L30:L33 N30:N33 P30:P33 R30:R33 T30:T33 V30:V33 X30:X33 Z30:Z33 AB30:AB33 AD30:AD33 AF30:AF33 AH30:AH33 AJ30:AJ33 AL30:AL33 AN30:AN33 AP30:AP33 AR30:AR33 AT30:AT33 AV30:AV33 AX30:AX33 AZ30:AZ33 BB30:BB33 BD30:BD33 BF30:BF33 BH30:BH33 BJ30:BJ33 BL30:BL33 BN30:BN33 BP30:BP33 BR30:BR33 BT30:BT33 BV30:BV33 BX30:BX33 BZ30:BZ33 CB30:CB33 CD30:CD33 CF30:CF33 CH30:CH33 CJ30:CJ33 CL30:CL33 CN30:CN33 CP30:CP33 CR30:CR33 CT30:CT33 CV30:CV33 CX30:CX33 CZ30:CZ33 DB30:DB33 DD30:DD33 DF30:DF33 DH30:DH33 DJ30:DJ33 DL30:DL33 DN30:DN33 DP30:DP33 DR30:DR33 DT30:DT33 DV30:DV33 DX30:DX33 DZ30:DZ33 EB30:EB33 ED30:ED33 EF30:EF33 EH30:EH33 EJ30:EJ33 EL30:EL33 EN30:EN33 EP30:EP33 ER30:ER33 F38:F52 H38:H52 J38:J52 L38:L52 N38:N52 P38:P52 R38:R52 T38:T52 V38:V52 X38:X52 Z38:Z52 AB38:AB52 AD38:AD52 AF38:AF52 AH38:AH52 AJ38:AJ52 AL38:AL52 AN38:AN52 AP38:AP52 AR38:AR52 AT38:AT52 AV38:AV52 AX38:AX52 AZ38:AZ52 BB38:BB52 BD38:BD52 BF38:BF52 BH38:BH52 BJ38:BJ52 BL38:BL52 BN38:BN52 BP38:BP52 BR38:BR52 BT38:BT52 BV38:BV52 BX38:BX52 BZ38:BZ52 CB38:CB52 CD38:CD52 CF38:CF52 CH38:CH52 CJ38:CJ52 CL38:CL52 CN38:CN52 CP38:CP52 CR38:CR52 CT38:CT52 CV38:CV52 CX38:CX52 CZ38:CZ52 DB38:DB52 DD38:DD52 DF38:DF52 DH38:DH52 DJ38:DJ52 DL38:DL52 DN38:DN52 DP38:DP52 DR38:DR52 DT38:DT52 DV38:DV52 DX38:DX52 DZ38:DZ52 EB38:EB52 ED38:ED52 EF38:EF52 EH38:EH52 EJ38:EJ52 EL38:EL52 EN38:EN52 EP38:EP52 ER38:ER52 F57 J57 N57 R57 V57 Z57 AD57 AH57 AL57 AP57 AT57 AX57 BB57 BF57 BJ57 BN57 BR57 BV57 BZ57 CD57 CH57 CL57 CP57 CT57 CX57 DB57 DF57 DJ57 DN57 DR57 DV57 DZ57 ED57 EH57 EL57 EP57 F60:F64 H60:H64 J60:J64 L60:L64 N60:N64 P60:P64 R60:R64 T60:T64 V60:V64 X60:X64 Z60:Z64 AB60:AB64 AD60:AD64 AF60:AF64 AH60:AH64 AJ60:AJ64 AL60:AL64 AN60:AN64 AP60:AP64 AR60:AR64 AT60:AT64 AV60:AV64 AX60:AX64 AZ60:AZ64 BB60:BB64 BD60:BD64 BF60:BF64 BH60:BH64 BJ60:BJ64 BL60:BL64 BN60:BN64 BP60:BP64 BR60:BR64 BT60:BT64 BV60:BV64 BX60:BX64 BZ60:BZ64 CB60:CB64 CD60:CD64 CF60:CF64 CH60:CH64 CJ60:CJ64 CL60:CL64 CN60:CN64 CP60:CP64 CR60:CR64 CT60:CT64 CV60:CV64 CX60:CX64 CZ60:CZ64 DB60:DB64 DD60:DD64 DF60:DF64 DH60:DH64 DJ60:DJ64 DL60:DL64 DN60:DN64 DP60:DP64 DR60:DR64 DT60:DT64 DV60:DV64 DX60:DX64 DZ60:DZ64 EB60:EB64 ED60:ED64 EF60:EF64 EH60:EH64 EJ60:EJ64 EL60:EL64 EN60:EN64 EP60:EP64 ER60:ER64 F69 H69 J69 L69 N69 P69 R69 T69 V69 X69 Z69 AB69 AD69 AF69 AH69 AJ69 AL69 AN69 AP69 AR69 AT69 AV69 AX69 AZ69 BB69 BD69 BF69 BH69 BJ69 BL69 BN69 BP69 BR69 BT69 BV69 BX69 BZ69 CB69 CD69 CF69 CH69 CJ69 CL69 CN69 CP69 CR69 CT69 CV69 CX69 CZ69 DB69 DD69 DF69 DH69 DJ69 DL69 DN69 DP69 DR69 DT69 DV69 DX69 DZ69 EB69 ED69 EF69 EH69 EJ69 EL69 EN69 EP69 ER69 EP76:EP79">
      <formula1>0.0</formula1>
    </dataValidation>
    <dataValidation type="decimal" allowBlank="1" showErrorMessage="1" sqref="H7 L7 P7 T7 X7 AB7 AF7 AJ7 AN7 AR7 AV7 AZ7 BD7 BH7 BL7 BP7 BT7 BX7 CB7 CF7 CJ7 CN7 CR7 CV7 CZ7 DD7 DH7 DL7 DP7 DT7 DX7 EB7 EF7 EJ7 EN7 ER7 H10 L10 P10 T10 X10 AB10 AF10 AJ10 AN10 AR10 AV10 AZ10 BD10 BH10 BL10 BP10 BT10 BX10 CB10 CF10 CJ10 CN10 CR10 CV10 CZ10 DD10 DH10 DL10 DP10 DT10 DX10 EB10 EF10 EJ10 EN10 ER10">
      <formula1>0.0</formula1>
      <formula2>1.0</formula2>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5.75"/>
  <cols>
    <col customWidth="1" min="1" max="1" width="50.13"/>
    <col customWidth="1" min="2" max="5" width="11.63"/>
    <col customWidth="1" min="6" max="149" width="10.38"/>
  </cols>
  <sheetData>
    <row r="1" ht="28.5" customHeight="1">
      <c r="A1" s="1" t="s">
        <v>100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row>
    <row r="2" ht="18.0" customHeight="1">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row>
    <row r="3" ht="18.0" customHeight="1">
      <c r="A3" s="3" t="s">
        <v>1</v>
      </c>
      <c r="B3" s="4" t="s">
        <v>2</v>
      </c>
      <c r="C3" s="5"/>
      <c r="D3" s="5"/>
      <c r="E3" s="5"/>
      <c r="F3" s="6">
        <f>IF(J$3="","",EDATE(J$3,1))</f>
        <v>47453</v>
      </c>
      <c r="G3" s="5"/>
      <c r="H3" s="5"/>
      <c r="I3" s="5"/>
      <c r="J3" s="7">
        <f>IF(N$3="","",EDATE(N$3,1))</f>
        <v>47423</v>
      </c>
      <c r="K3" s="5"/>
      <c r="L3" s="5"/>
      <c r="M3" s="5"/>
      <c r="N3" s="6">
        <f>IF(R$3="","",EDATE(R$3,1))</f>
        <v>47392</v>
      </c>
      <c r="O3" s="5"/>
      <c r="P3" s="5"/>
      <c r="Q3" s="5"/>
      <c r="R3" s="7">
        <f>IF(V$3="","",EDATE(V$3,1))</f>
        <v>47362</v>
      </c>
      <c r="S3" s="5"/>
      <c r="T3" s="5"/>
      <c r="U3" s="5"/>
      <c r="V3" s="6">
        <f>IF(Z$3="","",EDATE(Z$3,1))</f>
        <v>47331</v>
      </c>
      <c r="W3" s="5"/>
      <c r="X3" s="5"/>
      <c r="Y3" s="5"/>
      <c r="Z3" s="7">
        <f>IF(AD$3="","",EDATE(AD$3,1))</f>
        <v>47300</v>
      </c>
      <c r="AA3" s="5"/>
      <c r="AB3" s="5"/>
      <c r="AC3" s="5"/>
      <c r="AD3" s="6">
        <f>IF(AH$3="","",EDATE(AH$3,1))</f>
        <v>47270</v>
      </c>
      <c r="AE3" s="5"/>
      <c r="AF3" s="5"/>
      <c r="AG3" s="5"/>
      <c r="AH3" s="7">
        <f>IF(AL$3="","",EDATE(AL$3,1))</f>
        <v>47239</v>
      </c>
      <c r="AI3" s="5"/>
      <c r="AJ3" s="5"/>
      <c r="AK3" s="5"/>
      <c r="AL3" s="6">
        <f>IF(AP$3="","",EDATE(AP$3,1))</f>
        <v>47209</v>
      </c>
      <c r="AM3" s="5"/>
      <c r="AN3" s="5"/>
      <c r="AO3" s="5"/>
      <c r="AP3" s="7">
        <f>IF(AT$3="","",EDATE(AT$3,1))</f>
        <v>47178</v>
      </c>
      <c r="AQ3" s="5"/>
      <c r="AR3" s="5"/>
      <c r="AS3" s="5"/>
      <c r="AT3" s="6">
        <f>IF(AX$3="","",EDATE(AX$3,1))</f>
        <v>47150</v>
      </c>
      <c r="AU3" s="5"/>
      <c r="AV3" s="5"/>
      <c r="AW3" s="5"/>
      <c r="AX3" s="7">
        <f>IF(BB$3="","",EDATE(BB$3,1))</f>
        <v>47119</v>
      </c>
      <c r="AY3" s="5"/>
      <c r="AZ3" s="5"/>
      <c r="BA3" s="5"/>
      <c r="BB3" s="6">
        <f>IF(BF$3="","",EDATE(BF$3,1))</f>
        <v>47088</v>
      </c>
      <c r="BC3" s="5"/>
      <c r="BD3" s="5"/>
      <c r="BE3" s="5"/>
      <c r="BF3" s="7">
        <f>IF(BJ$3="","",EDATE(BJ$3,1))</f>
        <v>47058</v>
      </c>
      <c r="BG3" s="5"/>
      <c r="BH3" s="5"/>
      <c r="BI3" s="5"/>
      <c r="BJ3" s="6">
        <f>IF(BN$3="","",EDATE(BN$3,1))</f>
        <v>47027</v>
      </c>
      <c r="BK3" s="5"/>
      <c r="BL3" s="5"/>
      <c r="BM3" s="5"/>
      <c r="BN3" s="7">
        <f>IF(BR$3="","",EDATE(BR$3,1))</f>
        <v>46997</v>
      </c>
      <c r="BO3" s="5"/>
      <c r="BP3" s="5"/>
      <c r="BQ3" s="5"/>
      <c r="BR3" s="6">
        <f>IF(BV$3="","",EDATE(BV$3,1))</f>
        <v>46966</v>
      </c>
      <c r="BS3" s="5"/>
      <c r="BT3" s="5"/>
      <c r="BU3" s="5"/>
      <c r="BV3" s="7">
        <f>IF(BZ$3="","",EDATE(BZ$3,1))</f>
        <v>46935</v>
      </c>
      <c r="BW3" s="5"/>
      <c r="BX3" s="5"/>
      <c r="BY3" s="5"/>
      <c r="BZ3" s="6">
        <f>IF(CD$3="","",EDATE(CD$3,1))</f>
        <v>46905</v>
      </c>
      <c r="CA3" s="5"/>
      <c r="CB3" s="5"/>
      <c r="CC3" s="5"/>
      <c r="CD3" s="7">
        <f>IF(CH$3="","",EDATE(CH$3,1))</f>
        <v>46874</v>
      </c>
      <c r="CE3" s="5"/>
      <c r="CF3" s="5"/>
      <c r="CG3" s="5"/>
      <c r="CH3" s="6">
        <f>IF(CL$3="","",EDATE(CL$3,1))</f>
        <v>46844</v>
      </c>
      <c r="CI3" s="5"/>
      <c r="CJ3" s="5"/>
      <c r="CK3" s="5"/>
      <c r="CL3" s="7">
        <f>IF(CP$3="","",EDATE(CP$3,1))</f>
        <v>46813</v>
      </c>
      <c r="CM3" s="5"/>
      <c r="CN3" s="5"/>
      <c r="CO3" s="5"/>
      <c r="CP3" s="6">
        <f>IF(CT$3="","",EDATE(CT$3,1))</f>
        <v>46784</v>
      </c>
      <c r="CQ3" s="5"/>
      <c r="CR3" s="5"/>
      <c r="CS3" s="5"/>
      <c r="CT3" s="7">
        <f>IF(CX$3="","",EDATE(CX$3,1))</f>
        <v>46753</v>
      </c>
      <c r="CU3" s="5"/>
      <c r="CV3" s="5"/>
      <c r="CW3" s="5"/>
      <c r="CX3" s="6">
        <f>IF(DB$3="","",EDATE(DB$3,1))</f>
        <v>46722</v>
      </c>
      <c r="CY3" s="5"/>
      <c r="CZ3" s="5"/>
      <c r="DA3" s="5"/>
      <c r="DB3" s="7">
        <f>IF(DF$3="","",EDATE(DF$3,1))</f>
        <v>46692</v>
      </c>
      <c r="DC3" s="5"/>
      <c r="DD3" s="5"/>
      <c r="DE3" s="5"/>
      <c r="DF3" s="6">
        <f>IF(DJ$3="","",EDATE(DJ$3,1))</f>
        <v>46661</v>
      </c>
      <c r="DG3" s="5"/>
      <c r="DH3" s="5"/>
      <c r="DI3" s="5"/>
      <c r="DJ3" s="7">
        <f>IF(DN$3="","",EDATE(DN$3,1))</f>
        <v>46631</v>
      </c>
      <c r="DK3" s="5"/>
      <c r="DL3" s="5"/>
      <c r="DM3" s="5"/>
      <c r="DN3" s="6">
        <f>IF(DR$3="","",EDATE(DR$3,1))</f>
        <v>46600</v>
      </c>
      <c r="DO3" s="5"/>
      <c r="DP3" s="5"/>
      <c r="DQ3" s="5"/>
      <c r="DR3" s="7">
        <f>IF(DV$3="","",EDATE(DV$3,1))</f>
        <v>46569</v>
      </c>
      <c r="DS3" s="5"/>
      <c r="DT3" s="5"/>
      <c r="DU3" s="5"/>
      <c r="DV3" s="6">
        <f>IF(DZ$3="","",EDATE(DZ$3,1))</f>
        <v>46539</v>
      </c>
      <c r="DW3" s="5"/>
      <c r="DX3" s="5"/>
      <c r="DY3" s="5"/>
      <c r="DZ3" s="7">
        <f>IF(ED$3="","",EDATE(ED$3,1))</f>
        <v>46508</v>
      </c>
      <c r="EA3" s="5"/>
      <c r="EB3" s="5"/>
      <c r="EC3" s="5"/>
      <c r="ED3" s="6">
        <f>IF(EH$3="","",EDATE(EH$3,1))</f>
        <v>46478</v>
      </c>
      <c r="EE3" s="5"/>
      <c r="EF3" s="5"/>
      <c r="EG3" s="5"/>
      <c r="EH3" s="7">
        <f>IF(EL$3="","",EDATE(EL$3,1))</f>
        <v>46447</v>
      </c>
      <c r="EI3" s="5"/>
      <c r="EJ3" s="5"/>
      <c r="EK3" s="5"/>
      <c r="EL3" s="6">
        <f>IF(EP$3="","",EDATE(EP$3,1))</f>
        <v>46419</v>
      </c>
      <c r="EM3" s="5"/>
      <c r="EN3" s="5"/>
      <c r="EO3" s="5"/>
      <c r="EP3" s="7">
        <f>IF($EP$75="","",$EP$75)</f>
        <v>46388</v>
      </c>
      <c r="EQ3" s="5"/>
      <c r="ER3" s="5"/>
      <c r="ES3" s="5"/>
    </row>
    <row r="4" ht="18.0" customHeight="1">
      <c r="B4" s="8" t="s">
        <v>3</v>
      </c>
      <c r="C4" s="9" t="s">
        <v>4</v>
      </c>
      <c r="D4" s="10" t="s">
        <v>5</v>
      </c>
      <c r="E4" s="11" t="s">
        <v>6</v>
      </c>
      <c r="F4" s="8" t="s">
        <v>3</v>
      </c>
      <c r="G4" s="9" t="s">
        <v>4</v>
      </c>
      <c r="H4" s="10" t="s">
        <v>5</v>
      </c>
      <c r="I4" s="11" t="s">
        <v>6</v>
      </c>
      <c r="J4" s="8" t="s">
        <v>3</v>
      </c>
      <c r="K4" s="9" t="s">
        <v>4</v>
      </c>
      <c r="L4" s="10" t="s">
        <v>5</v>
      </c>
      <c r="M4" s="11" t="s">
        <v>6</v>
      </c>
      <c r="N4" s="8" t="s">
        <v>3</v>
      </c>
      <c r="O4" s="9" t="s">
        <v>4</v>
      </c>
      <c r="P4" s="10" t="s">
        <v>5</v>
      </c>
      <c r="Q4" s="11" t="s">
        <v>6</v>
      </c>
      <c r="R4" s="8" t="s">
        <v>3</v>
      </c>
      <c r="S4" s="9" t="s">
        <v>4</v>
      </c>
      <c r="T4" s="10" t="s">
        <v>5</v>
      </c>
      <c r="U4" s="11" t="s">
        <v>6</v>
      </c>
      <c r="V4" s="8" t="s">
        <v>3</v>
      </c>
      <c r="W4" s="9" t="s">
        <v>4</v>
      </c>
      <c r="X4" s="10" t="s">
        <v>5</v>
      </c>
      <c r="Y4" s="11" t="s">
        <v>6</v>
      </c>
      <c r="Z4" s="8" t="s">
        <v>3</v>
      </c>
      <c r="AA4" s="9" t="s">
        <v>4</v>
      </c>
      <c r="AB4" s="10" t="s">
        <v>5</v>
      </c>
      <c r="AC4" s="11" t="s">
        <v>6</v>
      </c>
      <c r="AD4" s="8" t="s">
        <v>3</v>
      </c>
      <c r="AE4" s="9" t="s">
        <v>4</v>
      </c>
      <c r="AF4" s="10" t="s">
        <v>5</v>
      </c>
      <c r="AG4" s="11" t="s">
        <v>6</v>
      </c>
      <c r="AH4" s="8" t="s">
        <v>3</v>
      </c>
      <c r="AI4" s="9" t="s">
        <v>4</v>
      </c>
      <c r="AJ4" s="10" t="s">
        <v>5</v>
      </c>
      <c r="AK4" s="11" t="s">
        <v>6</v>
      </c>
      <c r="AL4" s="8" t="s">
        <v>3</v>
      </c>
      <c r="AM4" s="9" t="s">
        <v>4</v>
      </c>
      <c r="AN4" s="10" t="s">
        <v>5</v>
      </c>
      <c r="AO4" s="11" t="s">
        <v>6</v>
      </c>
      <c r="AP4" s="8" t="s">
        <v>3</v>
      </c>
      <c r="AQ4" s="9" t="s">
        <v>4</v>
      </c>
      <c r="AR4" s="10" t="s">
        <v>5</v>
      </c>
      <c r="AS4" s="11" t="s">
        <v>6</v>
      </c>
      <c r="AT4" s="8" t="s">
        <v>3</v>
      </c>
      <c r="AU4" s="9" t="s">
        <v>4</v>
      </c>
      <c r="AV4" s="10" t="s">
        <v>5</v>
      </c>
      <c r="AW4" s="11" t="s">
        <v>6</v>
      </c>
      <c r="AX4" s="8" t="s">
        <v>3</v>
      </c>
      <c r="AY4" s="9" t="s">
        <v>4</v>
      </c>
      <c r="AZ4" s="10" t="s">
        <v>5</v>
      </c>
      <c r="BA4" s="11" t="s">
        <v>6</v>
      </c>
      <c r="BB4" s="8" t="s">
        <v>3</v>
      </c>
      <c r="BC4" s="9" t="s">
        <v>4</v>
      </c>
      <c r="BD4" s="10" t="s">
        <v>5</v>
      </c>
      <c r="BE4" s="11" t="s">
        <v>6</v>
      </c>
      <c r="BF4" s="8" t="s">
        <v>3</v>
      </c>
      <c r="BG4" s="9" t="s">
        <v>4</v>
      </c>
      <c r="BH4" s="10" t="s">
        <v>5</v>
      </c>
      <c r="BI4" s="11" t="s">
        <v>6</v>
      </c>
      <c r="BJ4" s="8" t="s">
        <v>3</v>
      </c>
      <c r="BK4" s="9" t="s">
        <v>4</v>
      </c>
      <c r="BL4" s="10" t="s">
        <v>5</v>
      </c>
      <c r="BM4" s="11" t="s">
        <v>6</v>
      </c>
      <c r="BN4" s="8" t="s">
        <v>3</v>
      </c>
      <c r="BO4" s="9" t="s">
        <v>4</v>
      </c>
      <c r="BP4" s="10" t="s">
        <v>5</v>
      </c>
      <c r="BQ4" s="11" t="s">
        <v>6</v>
      </c>
      <c r="BR4" s="8" t="s">
        <v>3</v>
      </c>
      <c r="BS4" s="9" t="s">
        <v>4</v>
      </c>
      <c r="BT4" s="10" t="s">
        <v>5</v>
      </c>
      <c r="BU4" s="11" t="s">
        <v>6</v>
      </c>
      <c r="BV4" s="8" t="s">
        <v>3</v>
      </c>
      <c r="BW4" s="9" t="s">
        <v>4</v>
      </c>
      <c r="BX4" s="10" t="s">
        <v>5</v>
      </c>
      <c r="BY4" s="11" t="s">
        <v>6</v>
      </c>
      <c r="BZ4" s="8" t="s">
        <v>3</v>
      </c>
      <c r="CA4" s="9" t="s">
        <v>4</v>
      </c>
      <c r="CB4" s="10" t="s">
        <v>5</v>
      </c>
      <c r="CC4" s="11" t="s">
        <v>6</v>
      </c>
      <c r="CD4" s="8" t="s">
        <v>3</v>
      </c>
      <c r="CE4" s="9" t="s">
        <v>4</v>
      </c>
      <c r="CF4" s="10" t="s">
        <v>5</v>
      </c>
      <c r="CG4" s="11" t="s">
        <v>6</v>
      </c>
      <c r="CH4" s="8" t="s">
        <v>3</v>
      </c>
      <c r="CI4" s="9" t="s">
        <v>4</v>
      </c>
      <c r="CJ4" s="10" t="s">
        <v>5</v>
      </c>
      <c r="CK4" s="11" t="s">
        <v>6</v>
      </c>
      <c r="CL4" s="8" t="s">
        <v>3</v>
      </c>
      <c r="CM4" s="9" t="s">
        <v>4</v>
      </c>
      <c r="CN4" s="10" t="s">
        <v>5</v>
      </c>
      <c r="CO4" s="11" t="s">
        <v>6</v>
      </c>
      <c r="CP4" s="8" t="s">
        <v>3</v>
      </c>
      <c r="CQ4" s="9" t="s">
        <v>4</v>
      </c>
      <c r="CR4" s="10" t="s">
        <v>5</v>
      </c>
      <c r="CS4" s="11" t="s">
        <v>6</v>
      </c>
      <c r="CT4" s="8" t="s">
        <v>3</v>
      </c>
      <c r="CU4" s="9" t="s">
        <v>4</v>
      </c>
      <c r="CV4" s="10" t="s">
        <v>5</v>
      </c>
      <c r="CW4" s="11" t="s">
        <v>6</v>
      </c>
      <c r="CX4" s="8" t="s">
        <v>3</v>
      </c>
      <c r="CY4" s="9" t="s">
        <v>4</v>
      </c>
      <c r="CZ4" s="10" t="s">
        <v>5</v>
      </c>
      <c r="DA4" s="11" t="s">
        <v>6</v>
      </c>
      <c r="DB4" s="8" t="s">
        <v>3</v>
      </c>
      <c r="DC4" s="9" t="s">
        <v>4</v>
      </c>
      <c r="DD4" s="10" t="s">
        <v>5</v>
      </c>
      <c r="DE4" s="11" t="s">
        <v>6</v>
      </c>
      <c r="DF4" s="8" t="s">
        <v>3</v>
      </c>
      <c r="DG4" s="9" t="s">
        <v>4</v>
      </c>
      <c r="DH4" s="10" t="s">
        <v>5</v>
      </c>
      <c r="DI4" s="11" t="s">
        <v>6</v>
      </c>
      <c r="DJ4" s="8" t="s">
        <v>3</v>
      </c>
      <c r="DK4" s="9" t="s">
        <v>4</v>
      </c>
      <c r="DL4" s="10" t="s">
        <v>5</v>
      </c>
      <c r="DM4" s="11" t="s">
        <v>6</v>
      </c>
      <c r="DN4" s="8" t="s">
        <v>3</v>
      </c>
      <c r="DO4" s="9" t="s">
        <v>4</v>
      </c>
      <c r="DP4" s="10" t="s">
        <v>5</v>
      </c>
      <c r="DQ4" s="11" t="s">
        <v>6</v>
      </c>
      <c r="DR4" s="8" t="s">
        <v>3</v>
      </c>
      <c r="DS4" s="9" t="s">
        <v>4</v>
      </c>
      <c r="DT4" s="10" t="s">
        <v>5</v>
      </c>
      <c r="DU4" s="11" t="s">
        <v>6</v>
      </c>
      <c r="DV4" s="8" t="s">
        <v>3</v>
      </c>
      <c r="DW4" s="9" t="s">
        <v>4</v>
      </c>
      <c r="DX4" s="10" t="s">
        <v>5</v>
      </c>
      <c r="DY4" s="11" t="s">
        <v>6</v>
      </c>
      <c r="DZ4" s="8" t="s">
        <v>3</v>
      </c>
      <c r="EA4" s="9" t="s">
        <v>4</v>
      </c>
      <c r="EB4" s="10" t="s">
        <v>5</v>
      </c>
      <c r="EC4" s="11" t="s">
        <v>6</v>
      </c>
      <c r="ED4" s="8" t="s">
        <v>3</v>
      </c>
      <c r="EE4" s="9" t="s">
        <v>4</v>
      </c>
      <c r="EF4" s="10" t="s">
        <v>5</v>
      </c>
      <c r="EG4" s="11" t="s">
        <v>6</v>
      </c>
      <c r="EH4" s="8" t="s">
        <v>3</v>
      </c>
      <c r="EI4" s="9" t="s">
        <v>4</v>
      </c>
      <c r="EJ4" s="10" t="s">
        <v>5</v>
      </c>
      <c r="EK4" s="11" t="s">
        <v>6</v>
      </c>
      <c r="EL4" s="8" t="s">
        <v>3</v>
      </c>
      <c r="EM4" s="9" t="s">
        <v>4</v>
      </c>
      <c r="EN4" s="10" t="s">
        <v>5</v>
      </c>
      <c r="EO4" s="11" t="s">
        <v>6</v>
      </c>
      <c r="EP4" s="8" t="s">
        <v>3</v>
      </c>
      <c r="EQ4" s="9" t="s">
        <v>4</v>
      </c>
      <c r="ER4" s="10" t="s">
        <v>5</v>
      </c>
      <c r="ES4" s="11" t="s">
        <v>6</v>
      </c>
    </row>
    <row r="5" ht="18.0" customHeight="1">
      <c r="A5" s="12" t="s">
        <v>7</v>
      </c>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2"/>
      <c r="CP5" s="12"/>
      <c r="CQ5" s="12"/>
      <c r="CR5" s="12"/>
      <c r="CS5" s="12"/>
      <c r="CT5" s="12"/>
      <c r="CU5" s="12"/>
      <c r="CV5" s="12"/>
      <c r="CW5" s="12"/>
      <c r="CX5" s="12"/>
      <c r="CY5" s="12"/>
      <c r="CZ5" s="12"/>
      <c r="DA5" s="12"/>
      <c r="DB5" s="12"/>
      <c r="DC5" s="12"/>
      <c r="DD5" s="12"/>
      <c r="DE5" s="12"/>
      <c r="DF5" s="12"/>
      <c r="DG5" s="12"/>
      <c r="DH5" s="12"/>
      <c r="DI5" s="12"/>
      <c r="DJ5" s="12"/>
      <c r="DK5" s="12"/>
      <c r="DL5" s="12"/>
      <c r="DM5" s="12"/>
      <c r="DN5" s="12"/>
      <c r="DO5" s="12"/>
      <c r="DP5" s="12"/>
      <c r="DQ5" s="12"/>
      <c r="DR5" s="12"/>
      <c r="DS5" s="12"/>
      <c r="DT5" s="12"/>
      <c r="DU5" s="12"/>
      <c r="DV5" s="12"/>
      <c r="DW5" s="12"/>
      <c r="DX5" s="12"/>
      <c r="DY5" s="12"/>
      <c r="DZ5" s="12"/>
      <c r="EA5" s="12"/>
      <c r="EB5" s="12"/>
      <c r="EC5" s="12"/>
      <c r="ED5" s="12"/>
      <c r="EE5" s="12"/>
      <c r="EF5" s="12"/>
      <c r="EG5" s="12"/>
      <c r="EH5" s="12"/>
      <c r="EI5" s="12"/>
      <c r="EJ5" s="12"/>
      <c r="EK5" s="12"/>
      <c r="EL5" s="12"/>
      <c r="EM5" s="12"/>
      <c r="EN5" s="12"/>
      <c r="EO5" s="12"/>
      <c r="EP5" s="12"/>
      <c r="EQ5" s="12"/>
      <c r="ER5" s="12"/>
      <c r="ES5" s="12"/>
    </row>
    <row r="6" ht="18.0" customHeight="1">
      <c r="A6" s="2" t="s">
        <v>8</v>
      </c>
      <c r="B6" s="13">
        <f t="shared" ref="B6:D6" si="1">SUM(EP6,EL6,EH6,ED6,DZ6,DV6,DR6,DN6,DJ6,DF6,DB6,CX6,CT6,CP6,CL6,CH6,CD6,BZ6,BV6,BR6,BN6,BJ6,BF6,BB6,AX6,AT6,AP6,AL6,AH6,AD6,Z6,V6,R6,N6,J6,F6)</f>
        <v>185</v>
      </c>
      <c r="C6" s="14">
        <f t="shared" si="1"/>
        <v>5149</v>
      </c>
      <c r="D6" s="15">
        <f t="shared" si="1"/>
        <v>5166</v>
      </c>
      <c r="E6" s="16">
        <f t="shared" ref="E6:E24" si="3">IFERROR(IF(OR(C6="",D6=""),"",C6-D6),"")</f>
        <v>-17</v>
      </c>
      <c r="F6" s="17"/>
      <c r="G6" s="14">
        <f t="shared" ref="G6:G8" si="4">IF(F$98=1,F6,H6)</f>
        <v>187</v>
      </c>
      <c r="H6" s="18">
        <v>187.0</v>
      </c>
      <c r="I6" s="16">
        <f t="shared" ref="I6:I24" si="5">IFERROR(IF(OR(G6="",H6=""),"",G6-H6),"")</f>
        <v>0</v>
      </c>
      <c r="J6" s="17"/>
      <c r="K6" s="14">
        <f t="shared" ref="K6:K8" si="6">IF(J$98=1,J6,L6)</f>
        <v>185</v>
      </c>
      <c r="L6" s="18">
        <v>185.0</v>
      </c>
      <c r="M6" s="16">
        <f t="shared" ref="M6:M24" si="7">IFERROR(IF(OR(K6="",L6=""),"",K6-L6),"")</f>
        <v>0</v>
      </c>
      <c r="N6" s="17"/>
      <c r="O6" s="14">
        <f t="shared" ref="O6:O8" si="8">IF(N$98=1,N6,P6)</f>
        <v>182</v>
      </c>
      <c r="P6" s="18">
        <v>182.0</v>
      </c>
      <c r="Q6" s="16">
        <f t="shared" ref="Q6:Q24" si="9">IFERROR(IF(OR(O6="",P6=""),"",O6-P6),"")</f>
        <v>0</v>
      </c>
      <c r="R6" s="17"/>
      <c r="S6" s="14">
        <f t="shared" ref="S6:S8" si="10">IF(R$98=1,R6,T6)</f>
        <v>180</v>
      </c>
      <c r="T6" s="18">
        <v>180.0</v>
      </c>
      <c r="U6" s="16">
        <f t="shared" ref="U6:U24" si="11">IFERROR(IF(OR(S6="",T6=""),"",S6-T6),"")</f>
        <v>0</v>
      </c>
      <c r="V6" s="17"/>
      <c r="W6" s="14">
        <f t="shared" ref="W6:W8" si="12">IF(V$98=1,V6,X6)</f>
        <v>177</v>
      </c>
      <c r="X6" s="18">
        <v>177.0</v>
      </c>
      <c r="Y6" s="16">
        <f t="shared" ref="Y6:Y24" si="13">IFERROR(IF(OR(W6="",X6=""),"",W6-X6),"")</f>
        <v>0</v>
      </c>
      <c r="Z6" s="17"/>
      <c r="AA6" s="14">
        <f t="shared" ref="AA6:AA8" si="14">IF(Z$98=1,Z6,AB6)</f>
        <v>175</v>
      </c>
      <c r="AB6" s="18">
        <v>175.0</v>
      </c>
      <c r="AC6" s="16">
        <f t="shared" ref="AC6:AC24" si="15">IFERROR(IF(OR(AA6="",AB6=""),"",AA6-AB6),"")</f>
        <v>0</v>
      </c>
      <c r="AD6" s="17"/>
      <c r="AE6" s="14">
        <f t="shared" ref="AE6:AE8" si="16">IF(AD$98=1,AD6,AF6)</f>
        <v>172</v>
      </c>
      <c r="AF6" s="18">
        <v>172.0</v>
      </c>
      <c r="AG6" s="16">
        <f t="shared" ref="AG6:AG24" si="17">IFERROR(IF(OR(AE6="",AF6=""),"",AE6-AF6),"")</f>
        <v>0</v>
      </c>
      <c r="AH6" s="17"/>
      <c r="AI6" s="14">
        <f t="shared" ref="AI6:AI8" si="18">IF(AH$98=1,AH6,AJ6)</f>
        <v>170</v>
      </c>
      <c r="AJ6" s="18">
        <v>170.0</v>
      </c>
      <c r="AK6" s="16">
        <f t="shared" ref="AK6:AK24" si="19">IFERROR(IF(OR(AI6="",AJ6=""),"",AI6-AJ6),"")</f>
        <v>0</v>
      </c>
      <c r="AL6" s="17"/>
      <c r="AM6" s="14">
        <f t="shared" ref="AM6:AM8" si="20">IF(AL$98=1,AL6,AN6)</f>
        <v>167</v>
      </c>
      <c r="AN6" s="18">
        <v>167.0</v>
      </c>
      <c r="AO6" s="16">
        <f t="shared" ref="AO6:AO24" si="21">IFERROR(IF(OR(AM6="",AN6=""),"",AM6-AN6),"")</f>
        <v>0</v>
      </c>
      <c r="AP6" s="17"/>
      <c r="AQ6" s="14">
        <f t="shared" ref="AQ6:AQ8" si="22">IF(AP$98=1,AP6,AR6)</f>
        <v>165</v>
      </c>
      <c r="AR6" s="18">
        <v>165.0</v>
      </c>
      <c r="AS6" s="16">
        <f t="shared" ref="AS6:AS24" si="23">IFERROR(IF(OR(AQ6="",AR6=""),"",AQ6-AR6),"")</f>
        <v>0</v>
      </c>
      <c r="AT6" s="17"/>
      <c r="AU6" s="14">
        <f t="shared" ref="AU6:AU8" si="24">IF(AT$98=1,AT6,AV6)</f>
        <v>162</v>
      </c>
      <c r="AV6" s="18">
        <v>162.0</v>
      </c>
      <c r="AW6" s="16">
        <f t="shared" ref="AW6:AW24" si="25">IFERROR(IF(OR(AU6="",AV6=""),"",AU6-AV6),"")</f>
        <v>0</v>
      </c>
      <c r="AX6" s="17"/>
      <c r="AY6" s="14">
        <f t="shared" ref="AY6:AY8" si="26">IF(AX$98=1,AX6,AZ6)</f>
        <v>160</v>
      </c>
      <c r="AZ6" s="18">
        <v>160.0</v>
      </c>
      <c r="BA6" s="16">
        <f t="shared" ref="BA6:BA24" si="27">IFERROR(IF(OR(AY6="",AZ6=""),"",AY6-AZ6),"")</f>
        <v>0</v>
      </c>
      <c r="BB6" s="17"/>
      <c r="BC6" s="14">
        <f t="shared" ref="BC6:BC8" si="28">IF(BB$98=1,BB6,BD6)</f>
        <v>157</v>
      </c>
      <c r="BD6" s="18">
        <v>157.0</v>
      </c>
      <c r="BE6" s="16">
        <f t="shared" ref="BE6:BE24" si="29">IFERROR(IF(OR(BC6="",BD6=""),"",BC6-BD6),"")</f>
        <v>0</v>
      </c>
      <c r="BF6" s="17"/>
      <c r="BG6" s="14">
        <f t="shared" ref="BG6:BG8" si="30">IF(BF$98=1,BF6,BH6)</f>
        <v>155</v>
      </c>
      <c r="BH6" s="18">
        <v>155.0</v>
      </c>
      <c r="BI6" s="16">
        <f t="shared" ref="BI6:BI24" si="31">IFERROR(IF(OR(BG6="",BH6=""),"",BG6-BH6),"")</f>
        <v>0</v>
      </c>
      <c r="BJ6" s="17"/>
      <c r="BK6" s="14">
        <f t="shared" ref="BK6:BK8" si="32">IF(BJ$98=1,BJ6,BL6)</f>
        <v>152</v>
      </c>
      <c r="BL6" s="18">
        <v>152.0</v>
      </c>
      <c r="BM6" s="16">
        <f t="shared" ref="BM6:BM24" si="33">IFERROR(IF(OR(BK6="",BL6=""),"",BK6-BL6),"")</f>
        <v>0</v>
      </c>
      <c r="BN6" s="17"/>
      <c r="BO6" s="14">
        <f t="shared" ref="BO6:BO8" si="34">IF(BN$98=1,BN6,BP6)</f>
        <v>150</v>
      </c>
      <c r="BP6" s="18">
        <v>150.0</v>
      </c>
      <c r="BQ6" s="16">
        <f t="shared" ref="BQ6:BQ24" si="35">IFERROR(IF(OR(BO6="",BP6=""),"",BO6-BP6),"")</f>
        <v>0</v>
      </c>
      <c r="BR6" s="17"/>
      <c r="BS6" s="14">
        <f t="shared" ref="BS6:BS8" si="36">IF(BR$98=1,BR6,BT6)</f>
        <v>147</v>
      </c>
      <c r="BT6" s="18">
        <v>147.0</v>
      </c>
      <c r="BU6" s="16">
        <f t="shared" ref="BU6:BU24" si="37">IFERROR(IF(OR(BS6="",BT6=""),"",BS6-BT6),"")</f>
        <v>0</v>
      </c>
      <c r="BV6" s="17"/>
      <c r="BW6" s="14">
        <f t="shared" ref="BW6:BW8" si="38">IF(BV$98=1,BV6,BX6)</f>
        <v>145</v>
      </c>
      <c r="BX6" s="18">
        <v>145.0</v>
      </c>
      <c r="BY6" s="16">
        <f t="shared" ref="BY6:BY24" si="39">IFERROR(IF(OR(BW6="",BX6=""),"",BW6-BX6),"")</f>
        <v>0</v>
      </c>
      <c r="BZ6" s="17"/>
      <c r="CA6" s="14">
        <f t="shared" ref="CA6:CA8" si="40">IF(BZ$98=1,BZ6,CB6)</f>
        <v>142</v>
      </c>
      <c r="CB6" s="18">
        <v>142.0</v>
      </c>
      <c r="CC6" s="16">
        <f t="shared" ref="CC6:CC24" si="41">IFERROR(IF(OR(CA6="",CB6=""),"",CA6-CB6),"")</f>
        <v>0</v>
      </c>
      <c r="CD6" s="17"/>
      <c r="CE6" s="14">
        <f t="shared" ref="CE6:CE8" si="42">IF(CD$98=1,CD6,CF6)</f>
        <v>140</v>
      </c>
      <c r="CF6" s="18">
        <v>140.0</v>
      </c>
      <c r="CG6" s="16">
        <f t="shared" ref="CG6:CG24" si="43">IFERROR(IF(OR(CE6="",CF6=""),"",CE6-CF6),"")</f>
        <v>0</v>
      </c>
      <c r="CH6" s="17"/>
      <c r="CI6" s="14">
        <f t="shared" ref="CI6:CI8" si="44">IF(CH$98=1,CH6,CJ6)</f>
        <v>137</v>
      </c>
      <c r="CJ6" s="18">
        <v>137.0</v>
      </c>
      <c r="CK6" s="16">
        <f t="shared" ref="CK6:CK24" si="45">IFERROR(IF(OR(CI6="",CJ6=""),"",CI6-CJ6),"")</f>
        <v>0</v>
      </c>
      <c r="CL6" s="17"/>
      <c r="CM6" s="14">
        <f t="shared" ref="CM6:CM8" si="46">IF(CL$98=1,CL6,CN6)</f>
        <v>135</v>
      </c>
      <c r="CN6" s="18">
        <v>135.0</v>
      </c>
      <c r="CO6" s="16">
        <f t="shared" ref="CO6:CO24" si="47">IFERROR(IF(OR(CM6="",CN6=""),"",CM6-CN6),"")</f>
        <v>0</v>
      </c>
      <c r="CP6" s="17"/>
      <c r="CQ6" s="14">
        <f t="shared" ref="CQ6:CQ8" si="48">IF(CP$98=1,CP6,CR6)</f>
        <v>132</v>
      </c>
      <c r="CR6" s="18">
        <v>132.0</v>
      </c>
      <c r="CS6" s="16">
        <f t="shared" ref="CS6:CS24" si="49">IFERROR(IF(OR(CQ6="",CR6=""),"",CQ6-CR6),"")</f>
        <v>0</v>
      </c>
      <c r="CT6" s="17"/>
      <c r="CU6" s="14">
        <f t="shared" ref="CU6:CU8" si="50">IF(CT$98=1,CT6,CV6)</f>
        <v>130</v>
      </c>
      <c r="CV6" s="18">
        <v>130.0</v>
      </c>
      <c r="CW6" s="16">
        <f t="shared" ref="CW6:CW24" si="51">IFERROR(IF(OR(CU6="",CV6=""),"",CU6-CV6),"")</f>
        <v>0</v>
      </c>
      <c r="CX6" s="17"/>
      <c r="CY6" s="14">
        <f t="shared" ref="CY6:CY8" si="52">IF(CX$98=1,CX6,CZ6)</f>
        <v>127</v>
      </c>
      <c r="CZ6" s="18">
        <v>127.0</v>
      </c>
      <c r="DA6" s="16">
        <f t="shared" ref="DA6:DA24" si="53">IFERROR(IF(OR(CY6="",CZ6=""),"",CY6-CZ6),"")</f>
        <v>0</v>
      </c>
      <c r="DB6" s="17"/>
      <c r="DC6" s="14">
        <f t="shared" ref="DC6:DC8" si="54">IF(DB$98=1,DB6,DD6)</f>
        <v>125</v>
      </c>
      <c r="DD6" s="18">
        <v>125.0</v>
      </c>
      <c r="DE6" s="16">
        <f t="shared" ref="DE6:DE24" si="55">IFERROR(IF(OR(DC6="",DD6=""),"",DC6-DD6),"")</f>
        <v>0</v>
      </c>
      <c r="DF6" s="17"/>
      <c r="DG6" s="14">
        <f t="shared" ref="DG6:DG8" si="56">IF(DF$98=1,DF6,DH6)</f>
        <v>122</v>
      </c>
      <c r="DH6" s="18">
        <v>122.0</v>
      </c>
      <c r="DI6" s="16">
        <f t="shared" ref="DI6:DI24" si="57">IFERROR(IF(OR(DG6="",DH6=""),"",DG6-DH6),"")</f>
        <v>0</v>
      </c>
      <c r="DJ6" s="17"/>
      <c r="DK6" s="14">
        <f t="shared" ref="DK6:DK8" si="58">IF(DJ$98=1,DJ6,DL6)</f>
        <v>120</v>
      </c>
      <c r="DL6" s="18">
        <v>120.0</v>
      </c>
      <c r="DM6" s="16">
        <f t="shared" ref="DM6:DM24" si="59">IFERROR(IF(OR(DK6="",DL6=""),"",DK6-DL6),"")</f>
        <v>0</v>
      </c>
      <c r="DN6" s="17"/>
      <c r="DO6" s="14">
        <f t="shared" ref="DO6:DO8" si="60">IF(DN$98=1,DN6,DP6)</f>
        <v>117</v>
      </c>
      <c r="DP6" s="18">
        <v>117.0</v>
      </c>
      <c r="DQ6" s="16">
        <f t="shared" ref="DQ6:DQ24" si="61">IFERROR(IF(OR(DO6="",DP6=""),"",DO6-DP6),"")</f>
        <v>0</v>
      </c>
      <c r="DR6" s="17"/>
      <c r="DS6" s="14">
        <f t="shared" ref="DS6:DS8" si="62">IF(DR$98=1,DR6,DT6)</f>
        <v>115</v>
      </c>
      <c r="DT6" s="18">
        <v>115.0</v>
      </c>
      <c r="DU6" s="16">
        <f t="shared" ref="DU6:DU24" si="63">IFERROR(IF(OR(DS6="",DT6=""),"",DS6-DT6),"")</f>
        <v>0</v>
      </c>
      <c r="DV6" s="17"/>
      <c r="DW6" s="14">
        <f t="shared" ref="DW6:DW8" si="64">IF(DV$98=1,DV6,DX6)</f>
        <v>112</v>
      </c>
      <c r="DX6" s="18">
        <v>112.0</v>
      </c>
      <c r="DY6" s="16">
        <f t="shared" ref="DY6:DY24" si="65">IFERROR(IF(OR(DW6="",DX6=""),"",DW6-DX6),"")</f>
        <v>0</v>
      </c>
      <c r="DZ6" s="17"/>
      <c r="EA6" s="14">
        <f t="shared" ref="EA6:EA8" si="66">IF(DZ$98=1,DZ6,EB6)</f>
        <v>110</v>
      </c>
      <c r="EB6" s="18">
        <v>110.0</v>
      </c>
      <c r="EC6" s="16">
        <f t="shared" ref="EC6:EC24" si="67">IFERROR(IF(OR(EA6="",EB6=""),"",EA6-EB6),"")</f>
        <v>0</v>
      </c>
      <c r="ED6" s="17"/>
      <c r="EE6" s="14">
        <f t="shared" ref="EE6:EE8" si="68">IF(ED$98=1,ED6,EF6)</f>
        <v>107</v>
      </c>
      <c r="EF6" s="18">
        <v>107.0</v>
      </c>
      <c r="EG6" s="16">
        <f t="shared" ref="EG6:EG24" si="69">IFERROR(IF(OR(EE6="",EF6=""),"",EE6-EF6),"")</f>
        <v>0</v>
      </c>
      <c r="EH6" s="17"/>
      <c r="EI6" s="14">
        <f t="shared" ref="EI6:EI8" si="70">IF(EH$98=1,EH6,EJ6)</f>
        <v>105</v>
      </c>
      <c r="EJ6" s="18">
        <v>105.0</v>
      </c>
      <c r="EK6" s="16">
        <f t="shared" ref="EK6:EK24" si="71">IFERROR(IF(OR(EI6="",EJ6=""),"",EI6-EJ6),"")</f>
        <v>0</v>
      </c>
      <c r="EL6" s="17">
        <v>95.0</v>
      </c>
      <c r="EM6" s="14">
        <f t="shared" ref="EM6:EM8" si="72">IF(EL$98=1,EL6,EN6)</f>
        <v>95</v>
      </c>
      <c r="EN6" s="18">
        <v>102.0</v>
      </c>
      <c r="EO6" s="16">
        <f t="shared" ref="EO6:EO24" si="73">IFERROR(IF(OR(EM6="",EN6=""),"",EM6-EN6),"")</f>
        <v>-7</v>
      </c>
      <c r="EP6" s="17">
        <v>90.0</v>
      </c>
      <c r="EQ6" s="14">
        <f t="shared" ref="EQ6:EQ8" si="74">IF(EP$98=1,EP6,ER6)</f>
        <v>90</v>
      </c>
      <c r="ER6" s="18">
        <v>100.0</v>
      </c>
      <c r="ES6" s="16">
        <f t="shared" ref="ES6:ES24" si="75">IFERROR(IF(OR(EQ6="",ER6=""),"",EQ6-ER6),"")</f>
        <v>-10</v>
      </c>
    </row>
    <row r="7" ht="18.0" customHeight="1">
      <c r="A7" s="2" t="s">
        <v>9</v>
      </c>
      <c r="B7" s="19">
        <f t="shared" ref="B7:D7" si="2">IFERROR(B9/B6,"")</f>
        <v>0.4</v>
      </c>
      <c r="C7" s="20">
        <f t="shared" si="2"/>
        <v>0.4006603224</v>
      </c>
      <c r="D7" s="21">
        <f t="shared" si="2"/>
        <v>0.4006968641</v>
      </c>
      <c r="E7" s="22">
        <f t="shared" si="3"/>
        <v>-0.0000365417188</v>
      </c>
      <c r="F7" s="19" t="str">
        <f>IFERROR(IF(F9="","",F9/F6),"")</f>
        <v/>
      </c>
      <c r="G7" s="20">
        <f t="shared" si="4"/>
        <v>0.4</v>
      </c>
      <c r="H7" s="23">
        <v>0.4</v>
      </c>
      <c r="I7" s="22">
        <f t="shared" si="5"/>
        <v>0</v>
      </c>
      <c r="J7" s="19" t="str">
        <f>IFERROR(IF(J9="","",J9/J6),"")</f>
        <v/>
      </c>
      <c r="K7" s="20">
        <f t="shared" si="6"/>
        <v>0.4</v>
      </c>
      <c r="L7" s="23">
        <v>0.4</v>
      </c>
      <c r="M7" s="22">
        <f t="shared" si="7"/>
        <v>0</v>
      </c>
      <c r="N7" s="19" t="str">
        <f>IFERROR(IF(N9="","",N9/N6),"")</f>
        <v/>
      </c>
      <c r="O7" s="20">
        <f t="shared" si="8"/>
        <v>0.4</v>
      </c>
      <c r="P7" s="23">
        <v>0.4</v>
      </c>
      <c r="Q7" s="22">
        <f t="shared" si="9"/>
        <v>0</v>
      </c>
      <c r="R7" s="19" t="str">
        <f>IFERROR(IF(R9="","",R9/R6),"")</f>
        <v/>
      </c>
      <c r="S7" s="20">
        <f t="shared" si="10"/>
        <v>0.4</v>
      </c>
      <c r="T7" s="23">
        <v>0.4</v>
      </c>
      <c r="U7" s="22">
        <f t="shared" si="11"/>
        <v>0</v>
      </c>
      <c r="V7" s="19" t="str">
        <f>IFERROR(IF(V9="","",V9/V6),"")</f>
        <v/>
      </c>
      <c r="W7" s="20">
        <f t="shared" si="12"/>
        <v>0.4</v>
      </c>
      <c r="X7" s="23">
        <v>0.4</v>
      </c>
      <c r="Y7" s="22">
        <f t="shared" si="13"/>
        <v>0</v>
      </c>
      <c r="Z7" s="19" t="str">
        <f>IFERROR(IF(Z9="","",Z9/Z6),"")</f>
        <v/>
      </c>
      <c r="AA7" s="20">
        <f t="shared" si="14"/>
        <v>0.4</v>
      </c>
      <c r="AB7" s="23">
        <v>0.4</v>
      </c>
      <c r="AC7" s="22">
        <f t="shared" si="15"/>
        <v>0</v>
      </c>
      <c r="AD7" s="19" t="str">
        <f>IFERROR(IF(AD9="","",AD9/AD6),"")</f>
        <v/>
      </c>
      <c r="AE7" s="20">
        <f t="shared" si="16"/>
        <v>0.4</v>
      </c>
      <c r="AF7" s="23">
        <v>0.4</v>
      </c>
      <c r="AG7" s="22">
        <f t="shared" si="17"/>
        <v>0</v>
      </c>
      <c r="AH7" s="19" t="str">
        <f>IFERROR(IF(AH9="","",AH9/AH6),"")</f>
        <v/>
      </c>
      <c r="AI7" s="20">
        <f t="shared" si="18"/>
        <v>0.4</v>
      </c>
      <c r="AJ7" s="23">
        <v>0.4</v>
      </c>
      <c r="AK7" s="22">
        <f t="shared" si="19"/>
        <v>0</v>
      </c>
      <c r="AL7" s="19" t="str">
        <f>IFERROR(IF(AL9="","",AL9/AL6),"")</f>
        <v/>
      </c>
      <c r="AM7" s="20">
        <f t="shared" si="20"/>
        <v>0.4</v>
      </c>
      <c r="AN7" s="23">
        <v>0.4</v>
      </c>
      <c r="AO7" s="22">
        <f t="shared" si="21"/>
        <v>0</v>
      </c>
      <c r="AP7" s="19" t="str">
        <f>IFERROR(IF(AP9="","",AP9/AP6),"")</f>
        <v/>
      </c>
      <c r="AQ7" s="20">
        <f t="shared" si="22"/>
        <v>0.4</v>
      </c>
      <c r="AR7" s="23">
        <v>0.4</v>
      </c>
      <c r="AS7" s="22">
        <f t="shared" si="23"/>
        <v>0</v>
      </c>
      <c r="AT7" s="19" t="str">
        <f>IFERROR(IF(AT9="","",AT9/AT6),"")</f>
        <v/>
      </c>
      <c r="AU7" s="20">
        <f t="shared" si="24"/>
        <v>0.4</v>
      </c>
      <c r="AV7" s="23">
        <v>0.4</v>
      </c>
      <c r="AW7" s="22">
        <f t="shared" si="25"/>
        <v>0</v>
      </c>
      <c r="AX7" s="19" t="str">
        <f>IFERROR(IF(AX9="","",AX9/AX6),"")</f>
        <v/>
      </c>
      <c r="AY7" s="20">
        <f t="shared" si="26"/>
        <v>0.4</v>
      </c>
      <c r="AZ7" s="23">
        <v>0.4</v>
      </c>
      <c r="BA7" s="22">
        <f t="shared" si="27"/>
        <v>0</v>
      </c>
      <c r="BB7" s="19" t="str">
        <f>IFERROR(IF(BB9="","",BB9/BB6),"")</f>
        <v/>
      </c>
      <c r="BC7" s="20">
        <f t="shared" si="28"/>
        <v>0.4</v>
      </c>
      <c r="BD7" s="23">
        <v>0.4</v>
      </c>
      <c r="BE7" s="22">
        <f t="shared" si="29"/>
        <v>0</v>
      </c>
      <c r="BF7" s="19" t="str">
        <f>IFERROR(IF(BF9="","",BF9/BF6),"")</f>
        <v/>
      </c>
      <c r="BG7" s="20">
        <f t="shared" si="30"/>
        <v>0.4</v>
      </c>
      <c r="BH7" s="23">
        <v>0.4</v>
      </c>
      <c r="BI7" s="22">
        <f t="shared" si="31"/>
        <v>0</v>
      </c>
      <c r="BJ7" s="19" t="str">
        <f>IFERROR(IF(BJ9="","",BJ9/BJ6),"")</f>
        <v/>
      </c>
      <c r="BK7" s="20">
        <f t="shared" si="32"/>
        <v>0.4</v>
      </c>
      <c r="BL7" s="23">
        <v>0.4</v>
      </c>
      <c r="BM7" s="22">
        <f t="shared" si="33"/>
        <v>0</v>
      </c>
      <c r="BN7" s="19" t="str">
        <f>IFERROR(IF(BN9="","",BN9/BN6),"")</f>
        <v/>
      </c>
      <c r="BO7" s="20">
        <f t="shared" si="34"/>
        <v>0.4</v>
      </c>
      <c r="BP7" s="23">
        <v>0.4</v>
      </c>
      <c r="BQ7" s="22">
        <f t="shared" si="35"/>
        <v>0</v>
      </c>
      <c r="BR7" s="19" t="str">
        <f>IFERROR(IF(BR9="","",BR9/BR6),"")</f>
        <v/>
      </c>
      <c r="BS7" s="20">
        <f t="shared" si="36"/>
        <v>0.4</v>
      </c>
      <c r="BT7" s="23">
        <v>0.4</v>
      </c>
      <c r="BU7" s="22">
        <f t="shared" si="37"/>
        <v>0</v>
      </c>
      <c r="BV7" s="19" t="str">
        <f>IFERROR(IF(BV9="","",BV9/BV6),"")</f>
        <v/>
      </c>
      <c r="BW7" s="20">
        <f t="shared" si="38"/>
        <v>0.4</v>
      </c>
      <c r="BX7" s="23">
        <v>0.4</v>
      </c>
      <c r="BY7" s="22">
        <f t="shared" si="39"/>
        <v>0</v>
      </c>
      <c r="BZ7" s="19" t="str">
        <f>IFERROR(IF(BZ9="","",BZ9/BZ6),"")</f>
        <v/>
      </c>
      <c r="CA7" s="20">
        <f t="shared" si="40"/>
        <v>0.4</v>
      </c>
      <c r="CB7" s="23">
        <v>0.4</v>
      </c>
      <c r="CC7" s="22">
        <f t="shared" si="41"/>
        <v>0</v>
      </c>
      <c r="CD7" s="19" t="str">
        <f>IFERROR(IF(CD9="","",CD9/CD6),"")</f>
        <v/>
      </c>
      <c r="CE7" s="20">
        <f t="shared" si="42"/>
        <v>0.4</v>
      </c>
      <c r="CF7" s="23">
        <v>0.4</v>
      </c>
      <c r="CG7" s="22">
        <f t="shared" si="43"/>
        <v>0</v>
      </c>
      <c r="CH7" s="19" t="str">
        <f>IFERROR(IF(CH9="","",CH9/CH6),"")</f>
        <v/>
      </c>
      <c r="CI7" s="20">
        <f t="shared" si="44"/>
        <v>0.4</v>
      </c>
      <c r="CJ7" s="23">
        <v>0.4</v>
      </c>
      <c r="CK7" s="22">
        <f t="shared" si="45"/>
        <v>0</v>
      </c>
      <c r="CL7" s="19" t="str">
        <f>IFERROR(IF(CL9="","",CL9/CL6),"")</f>
        <v/>
      </c>
      <c r="CM7" s="20">
        <f t="shared" si="46"/>
        <v>0.4</v>
      </c>
      <c r="CN7" s="23">
        <v>0.4</v>
      </c>
      <c r="CO7" s="22">
        <f t="shared" si="47"/>
        <v>0</v>
      </c>
      <c r="CP7" s="19" t="str">
        <f>IFERROR(IF(CP9="","",CP9/CP6),"")</f>
        <v/>
      </c>
      <c r="CQ7" s="20">
        <f t="shared" si="48"/>
        <v>0.4</v>
      </c>
      <c r="CR7" s="23">
        <v>0.4</v>
      </c>
      <c r="CS7" s="22">
        <f t="shared" si="49"/>
        <v>0</v>
      </c>
      <c r="CT7" s="19" t="str">
        <f>IFERROR(IF(CT9="","",CT9/CT6),"")</f>
        <v/>
      </c>
      <c r="CU7" s="20">
        <f t="shared" si="50"/>
        <v>0.4</v>
      </c>
      <c r="CV7" s="23">
        <v>0.4</v>
      </c>
      <c r="CW7" s="22">
        <f t="shared" si="51"/>
        <v>0</v>
      </c>
      <c r="CX7" s="19" t="str">
        <f>IFERROR(IF(CX9="","",CX9/CX6),"")</f>
        <v/>
      </c>
      <c r="CY7" s="20">
        <f t="shared" si="52"/>
        <v>0.4</v>
      </c>
      <c r="CZ7" s="23">
        <v>0.4</v>
      </c>
      <c r="DA7" s="22">
        <f t="shared" si="53"/>
        <v>0</v>
      </c>
      <c r="DB7" s="19" t="str">
        <f>IFERROR(IF(DB9="","",DB9/DB6),"")</f>
        <v/>
      </c>
      <c r="DC7" s="20">
        <f t="shared" si="54"/>
        <v>0.4</v>
      </c>
      <c r="DD7" s="23">
        <v>0.4</v>
      </c>
      <c r="DE7" s="22">
        <f t="shared" si="55"/>
        <v>0</v>
      </c>
      <c r="DF7" s="19" t="str">
        <f>IFERROR(IF(DF9="","",DF9/DF6),"")</f>
        <v/>
      </c>
      <c r="DG7" s="20">
        <f t="shared" si="56"/>
        <v>0.4</v>
      </c>
      <c r="DH7" s="23">
        <v>0.4</v>
      </c>
      <c r="DI7" s="22">
        <f t="shared" si="57"/>
        <v>0</v>
      </c>
      <c r="DJ7" s="19" t="str">
        <f>IFERROR(IF(DJ9="","",DJ9/DJ6),"")</f>
        <v/>
      </c>
      <c r="DK7" s="20">
        <f t="shared" si="58"/>
        <v>0.4</v>
      </c>
      <c r="DL7" s="23">
        <v>0.4</v>
      </c>
      <c r="DM7" s="22">
        <f t="shared" si="59"/>
        <v>0</v>
      </c>
      <c r="DN7" s="19" t="str">
        <f>IFERROR(IF(DN9="","",DN9/DN6),"")</f>
        <v/>
      </c>
      <c r="DO7" s="20">
        <f t="shared" si="60"/>
        <v>0.4</v>
      </c>
      <c r="DP7" s="23">
        <v>0.4</v>
      </c>
      <c r="DQ7" s="22">
        <f t="shared" si="61"/>
        <v>0</v>
      </c>
      <c r="DR7" s="19" t="str">
        <f>IFERROR(IF(DR9="","",DR9/DR6),"")</f>
        <v/>
      </c>
      <c r="DS7" s="20">
        <f t="shared" si="62"/>
        <v>0.4</v>
      </c>
      <c r="DT7" s="23">
        <v>0.4</v>
      </c>
      <c r="DU7" s="22">
        <f t="shared" si="63"/>
        <v>0</v>
      </c>
      <c r="DV7" s="19" t="str">
        <f>IFERROR(IF(DV9="","",DV9/DV6),"")</f>
        <v/>
      </c>
      <c r="DW7" s="20">
        <f t="shared" si="64"/>
        <v>0.4</v>
      </c>
      <c r="DX7" s="23">
        <v>0.4</v>
      </c>
      <c r="DY7" s="22">
        <f t="shared" si="65"/>
        <v>0</v>
      </c>
      <c r="DZ7" s="19" t="str">
        <f>IFERROR(IF(DZ9="","",DZ9/DZ6),"")</f>
        <v/>
      </c>
      <c r="EA7" s="20">
        <f t="shared" si="66"/>
        <v>0.4</v>
      </c>
      <c r="EB7" s="23">
        <v>0.4</v>
      </c>
      <c r="EC7" s="22">
        <f t="shared" si="67"/>
        <v>0</v>
      </c>
      <c r="ED7" s="19" t="str">
        <f>IFERROR(IF(ED9="","",ED9/ED6),"")</f>
        <v/>
      </c>
      <c r="EE7" s="20">
        <f t="shared" si="68"/>
        <v>0.4</v>
      </c>
      <c r="EF7" s="23">
        <v>0.4</v>
      </c>
      <c r="EG7" s="22">
        <f t="shared" si="69"/>
        <v>0</v>
      </c>
      <c r="EH7" s="19" t="str">
        <f>IFERROR(IF(EH9="","",EH9/EH6),"")</f>
        <v/>
      </c>
      <c r="EI7" s="20">
        <f t="shared" si="70"/>
        <v>0.4</v>
      </c>
      <c r="EJ7" s="23">
        <v>0.4</v>
      </c>
      <c r="EK7" s="22">
        <f t="shared" si="71"/>
        <v>0</v>
      </c>
      <c r="EL7" s="19">
        <f>IFERROR(IF(EL9="","",EL9/EL6),"")</f>
        <v>0.4</v>
      </c>
      <c r="EM7" s="20">
        <f t="shared" si="72"/>
        <v>0.4</v>
      </c>
      <c r="EN7" s="23">
        <v>0.4</v>
      </c>
      <c r="EO7" s="22">
        <f t="shared" si="73"/>
        <v>0</v>
      </c>
      <c r="EP7" s="19">
        <f>IFERROR(IF(EP9="","",EP9/EP6),"")</f>
        <v>0.4</v>
      </c>
      <c r="EQ7" s="20">
        <f t="shared" si="74"/>
        <v>0.4</v>
      </c>
      <c r="ER7" s="23">
        <v>0.4</v>
      </c>
      <c r="ES7" s="22">
        <f t="shared" si="75"/>
        <v>0</v>
      </c>
    </row>
    <row r="8" ht="18.0" customHeight="1">
      <c r="A8" s="2" t="s">
        <v>10</v>
      </c>
      <c r="B8" s="24">
        <f t="shared" ref="B8:D8" si="76">IFERROR(SUM(EP8*EP6,EL8*EL6,EH8*EH6,ED8*ED6,DZ8*DZ6,DV8*DV6,DR8*DR6,DN8*DN6,DJ8*DJ6,DF8*DF6,DB8*DB6,CX8*CX6,CT8*CT6,CP8*CP6,CL8*CL6,CH8*CH6,CD8*CD6,BZ8*BZ6,BV8*BV6,BR8*BR6,BN8*BN6,BJ8*BJ6,BF8*BF6,BB8*BB6,AX8*AX6,AT8*AT6,AP8*AP6,AL8*AL6,AH8*AH6,AD8*AD6,Z8*Z6,V8*V6,R8*R6,N8*N6,J8*J6,F8*F6)/SUM(EP6,EL6,EH6,ED6,DZ6,DV6,DR6,DN6,DJ6,DF6,DB6,CX6,CT6,CP6,CL6,CH6,CD6,BZ6,BV6,BR6,BN6,BJ6,BF6,BB6,AX6,AT6,AP6,AL6,AH6,AD6,Z6,V6,R6,N6,J6,F6),"")</f>
        <v>14</v>
      </c>
      <c r="C8" s="25">
        <f t="shared" si="76"/>
        <v>14</v>
      </c>
      <c r="D8" s="26">
        <f t="shared" si="76"/>
        <v>14</v>
      </c>
      <c r="E8" s="27">
        <f t="shared" si="3"/>
        <v>0</v>
      </c>
      <c r="F8" s="28"/>
      <c r="G8" s="25">
        <f t="shared" si="4"/>
        <v>14</v>
      </c>
      <c r="H8" s="29">
        <v>14.0</v>
      </c>
      <c r="I8" s="27">
        <f t="shared" si="5"/>
        <v>0</v>
      </c>
      <c r="J8" s="28"/>
      <c r="K8" s="25">
        <f t="shared" si="6"/>
        <v>14</v>
      </c>
      <c r="L8" s="29">
        <v>14.0</v>
      </c>
      <c r="M8" s="27">
        <f t="shared" si="7"/>
        <v>0</v>
      </c>
      <c r="N8" s="28"/>
      <c r="O8" s="25">
        <f t="shared" si="8"/>
        <v>14</v>
      </c>
      <c r="P8" s="29">
        <v>14.0</v>
      </c>
      <c r="Q8" s="27">
        <f t="shared" si="9"/>
        <v>0</v>
      </c>
      <c r="R8" s="28"/>
      <c r="S8" s="25">
        <f t="shared" si="10"/>
        <v>14</v>
      </c>
      <c r="T8" s="29">
        <v>14.0</v>
      </c>
      <c r="U8" s="27">
        <f t="shared" si="11"/>
        <v>0</v>
      </c>
      <c r="V8" s="28"/>
      <c r="W8" s="25">
        <f t="shared" si="12"/>
        <v>14</v>
      </c>
      <c r="X8" s="29">
        <v>14.0</v>
      </c>
      <c r="Y8" s="27">
        <f t="shared" si="13"/>
        <v>0</v>
      </c>
      <c r="Z8" s="28"/>
      <c r="AA8" s="25">
        <f t="shared" si="14"/>
        <v>14</v>
      </c>
      <c r="AB8" s="29">
        <v>14.0</v>
      </c>
      <c r="AC8" s="27">
        <f t="shared" si="15"/>
        <v>0</v>
      </c>
      <c r="AD8" s="28"/>
      <c r="AE8" s="25">
        <f t="shared" si="16"/>
        <v>14</v>
      </c>
      <c r="AF8" s="29">
        <v>14.0</v>
      </c>
      <c r="AG8" s="27">
        <f t="shared" si="17"/>
        <v>0</v>
      </c>
      <c r="AH8" s="28"/>
      <c r="AI8" s="25">
        <f t="shared" si="18"/>
        <v>14</v>
      </c>
      <c r="AJ8" s="29">
        <v>14.0</v>
      </c>
      <c r="AK8" s="27">
        <f t="shared" si="19"/>
        <v>0</v>
      </c>
      <c r="AL8" s="28"/>
      <c r="AM8" s="25">
        <f t="shared" si="20"/>
        <v>14</v>
      </c>
      <c r="AN8" s="29">
        <v>14.0</v>
      </c>
      <c r="AO8" s="27">
        <f t="shared" si="21"/>
        <v>0</v>
      </c>
      <c r="AP8" s="28"/>
      <c r="AQ8" s="25">
        <f t="shared" si="22"/>
        <v>14</v>
      </c>
      <c r="AR8" s="29">
        <v>14.0</v>
      </c>
      <c r="AS8" s="27">
        <f t="shared" si="23"/>
        <v>0</v>
      </c>
      <c r="AT8" s="28"/>
      <c r="AU8" s="25">
        <f t="shared" si="24"/>
        <v>14</v>
      </c>
      <c r="AV8" s="29">
        <v>14.0</v>
      </c>
      <c r="AW8" s="27">
        <f t="shared" si="25"/>
        <v>0</v>
      </c>
      <c r="AX8" s="28"/>
      <c r="AY8" s="25">
        <f t="shared" si="26"/>
        <v>14</v>
      </c>
      <c r="AZ8" s="29">
        <v>14.0</v>
      </c>
      <c r="BA8" s="27">
        <f t="shared" si="27"/>
        <v>0</v>
      </c>
      <c r="BB8" s="28"/>
      <c r="BC8" s="25">
        <f t="shared" si="28"/>
        <v>14</v>
      </c>
      <c r="BD8" s="29">
        <v>14.0</v>
      </c>
      <c r="BE8" s="27">
        <f t="shared" si="29"/>
        <v>0</v>
      </c>
      <c r="BF8" s="28"/>
      <c r="BG8" s="25">
        <f t="shared" si="30"/>
        <v>14</v>
      </c>
      <c r="BH8" s="29">
        <v>14.0</v>
      </c>
      <c r="BI8" s="27">
        <f t="shared" si="31"/>
        <v>0</v>
      </c>
      <c r="BJ8" s="28"/>
      <c r="BK8" s="25">
        <f t="shared" si="32"/>
        <v>14</v>
      </c>
      <c r="BL8" s="29">
        <v>14.0</v>
      </c>
      <c r="BM8" s="27">
        <f t="shared" si="33"/>
        <v>0</v>
      </c>
      <c r="BN8" s="28"/>
      <c r="BO8" s="25">
        <f t="shared" si="34"/>
        <v>14</v>
      </c>
      <c r="BP8" s="29">
        <v>14.0</v>
      </c>
      <c r="BQ8" s="27">
        <f t="shared" si="35"/>
        <v>0</v>
      </c>
      <c r="BR8" s="28"/>
      <c r="BS8" s="25">
        <f t="shared" si="36"/>
        <v>14</v>
      </c>
      <c r="BT8" s="29">
        <v>14.0</v>
      </c>
      <c r="BU8" s="27">
        <f t="shared" si="37"/>
        <v>0</v>
      </c>
      <c r="BV8" s="28"/>
      <c r="BW8" s="25">
        <f t="shared" si="38"/>
        <v>14</v>
      </c>
      <c r="BX8" s="29">
        <v>14.0</v>
      </c>
      <c r="BY8" s="27">
        <f t="shared" si="39"/>
        <v>0</v>
      </c>
      <c r="BZ8" s="28"/>
      <c r="CA8" s="25">
        <f t="shared" si="40"/>
        <v>14</v>
      </c>
      <c r="CB8" s="29">
        <v>14.0</v>
      </c>
      <c r="CC8" s="27">
        <f t="shared" si="41"/>
        <v>0</v>
      </c>
      <c r="CD8" s="28"/>
      <c r="CE8" s="25">
        <f t="shared" si="42"/>
        <v>14</v>
      </c>
      <c r="CF8" s="29">
        <v>14.0</v>
      </c>
      <c r="CG8" s="27">
        <f t="shared" si="43"/>
        <v>0</v>
      </c>
      <c r="CH8" s="28"/>
      <c r="CI8" s="25">
        <f t="shared" si="44"/>
        <v>14</v>
      </c>
      <c r="CJ8" s="29">
        <v>14.0</v>
      </c>
      <c r="CK8" s="27">
        <f t="shared" si="45"/>
        <v>0</v>
      </c>
      <c r="CL8" s="28"/>
      <c r="CM8" s="25">
        <f t="shared" si="46"/>
        <v>14</v>
      </c>
      <c r="CN8" s="29">
        <v>14.0</v>
      </c>
      <c r="CO8" s="27">
        <f t="shared" si="47"/>
        <v>0</v>
      </c>
      <c r="CP8" s="28"/>
      <c r="CQ8" s="25">
        <f t="shared" si="48"/>
        <v>14</v>
      </c>
      <c r="CR8" s="29">
        <v>14.0</v>
      </c>
      <c r="CS8" s="27">
        <f t="shared" si="49"/>
        <v>0</v>
      </c>
      <c r="CT8" s="28"/>
      <c r="CU8" s="25">
        <f t="shared" si="50"/>
        <v>14</v>
      </c>
      <c r="CV8" s="29">
        <v>14.0</v>
      </c>
      <c r="CW8" s="27">
        <f t="shared" si="51"/>
        <v>0</v>
      </c>
      <c r="CX8" s="28"/>
      <c r="CY8" s="25">
        <f t="shared" si="52"/>
        <v>14</v>
      </c>
      <c r="CZ8" s="29">
        <v>14.0</v>
      </c>
      <c r="DA8" s="27">
        <f t="shared" si="53"/>
        <v>0</v>
      </c>
      <c r="DB8" s="28"/>
      <c r="DC8" s="25">
        <f t="shared" si="54"/>
        <v>14</v>
      </c>
      <c r="DD8" s="29">
        <v>14.0</v>
      </c>
      <c r="DE8" s="27">
        <f t="shared" si="55"/>
        <v>0</v>
      </c>
      <c r="DF8" s="28"/>
      <c r="DG8" s="25">
        <f t="shared" si="56"/>
        <v>14</v>
      </c>
      <c r="DH8" s="29">
        <v>14.0</v>
      </c>
      <c r="DI8" s="27">
        <f t="shared" si="57"/>
        <v>0</v>
      </c>
      <c r="DJ8" s="28"/>
      <c r="DK8" s="25">
        <f t="shared" si="58"/>
        <v>14</v>
      </c>
      <c r="DL8" s="29">
        <v>14.0</v>
      </c>
      <c r="DM8" s="27">
        <f t="shared" si="59"/>
        <v>0</v>
      </c>
      <c r="DN8" s="28"/>
      <c r="DO8" s="25">
        <f t="shared" si="60"/>
        <v>14</v>
      </c>
      <c r="DP8" s="29">
        <v>14.0</v>
      </c>
      <c r="DQ8" s="27">
        <f t="shared" si="61"/>
        <v>0</v>
      </c>
      <c r="DR8" s="28"/>
      <c r="DS8" s="25">
        <f t="shared" si="62"/>
        <v>14</v>
      </c>
      <c r="DT8" s="29">
        <v>14.0</v>
      </c>
      <c r="DU8" s="27">
        <f t="shared" si="63"/>
        <v>0</v>
      </c>
      <c r="DV8" s="28"/>
      <c r="DW8" s="25">
        <f t="shared" si="64"/>
        <v>14</v>
      </c>
      <c r="DX8" s="29">
        <v>14.0</v>
      </c>
      <c r="DY8" s="27">
        <f t="shared" si="65"/>
        <v>0</v>
      </c>
      <c r="DZ8" s="28"/>
      <c r="EA8" s="25">
        <f t="shared" si="66"/>
        <v>14</v>
      </c>
      <c r="EB8" s="29">
        <v>14.0</v>
      </c>
      <c r="EC8" s="27">
        <f t="shared" si="67"/>
        <v>0</v>
      </c>
      <c r="ED8" s="28"/>
      <c r="EE8" s="25">
        <f t="shared" si="68"/>
        <v>14</v>
      </c>
      <c r="EF8" s="29">
        <v>14.0</v>
      </c>
      <c r="EG8" s="27">
        <f t="shared" si="69"/>
        <v>0</v>
      </c>
      <c r="EH8" s="28"/>
      <c r="EI8" s="25">
        <f t="shared" si="70"/>
        <v>14</v>
      </c>
      <c r="EJ8" s="29">
        <v>14.0</v>
      </c>
      <c r="EK8" s="27">
        <f t="shared" si="71"/>
        <v>0</v>
      </c>
      <c r="EL8" s="28">
        <v>14.0</v>
      </c>
      <c r="EM8" s="25">
        <f t="shared" si="72"/>
        <v>14</v>
      </c>
      <c r="EN8" s="29">
        <v>14.0</v>
      </c>
      <c r="EO8" s="27">
        <f t="shared" si="73"/>
        <v>0</v>
      </c>
      <c r="EP8" s="28">
        <v>14.0</v>
      </c>
      <c r="EQ8" s="25">
        <f t="shared" si="74"/>
        <v>14</v>
      </c>
      <c r="ER8" s="29">
        <v>14.0</v>
      </c>
      <c r="ES8" s="27">
        <f t="shared" si="75"/>
        <v>0</v>
      </c>
    </row>
    <row r="9" ht="18.0" customHeight="1">
      <c r="A9" s="2" t="s">
        <v>11</v>
      </c>
      <c r="B9" s="13">
        <f t="shared" ref="B9:D9" si="77">SUM(EP9,EL9,EH9,ED9,DZ9,DV9,DR9,DN9,DJ9,DF9,DB9,CX9,CT9,CP9,CL9,CH9,CD9,BZ9,BV9,BR9,BN9,BJ9,BF9,BB9,AX9,AT9,AP9,AL9,AH9,AD9,Z9,V9,R9,N9,J9,F9)</f>
        <v>74</v>
      </c>
      <c r="C9" s="14">
        <f t="shared" si="77"/>
        <v>2063</v>
      </c>
      <c r="D9" s="15">
        <f t="shared" si="77"/>
        <v>2070</v>
      </c>
      <c r="E9" s="16">
        <f t="shared" si="3"/>
        <v>-7</v>
      </c>
      <c r="F9" s="17"/>
      <c r="G9" s="14">
        <f>IF(F$98=1,F9,ROUND(SUM(IF(AND(EQ$6&lt;&gt;"",EQ$8&lt;&gt;""),IF(EOMONTH($EP$3+INT((DAY(EOMONTH($EP$3,0))-1)/2)+EQ$8,0)=EOMONTH($F$3,0),EQ$6*EQ$7,0),0),IF(AND(EM$6&lt;&gt;"",EM$8&lt;&gt;""),IF(EOMONTH($EL$3+INT((DAY(EOMONTH($EL$3,0))-1)/2)+EM$8,0)=EOMONTH($F$3,0),EM$6*EM$7,0),0),IF(AND(EI$6&lt;&gt;"",EI$8&lt;&gt;""),IF(EOMONTH($EH$3+INT((DAY(EOMONTH($EH$3,0))-1)/2)+EI$8,0)=EOMONTH($F$3,0),EI$6*EI$7,0),0),IF(AND(EE$6&lt;&gt;"",EE$8&lt;&gt;""),IF(EOMONTH($ED$3+INT((DAY(EOMONTH($ED$3,0))-1)/2)+EE$8,0)=EOMONTH($F$3,0),EE$6*EE$7,0),0),IF(AND(EA$6&lt;&gt;"",EA$8&lt;&gt;""),IF(EOMONTH($DZ$3+INT((DAY(EOMONTH($DZ$3,0))-1)/2)+EA$8,0)=EOMONTH($F$3,0),EA$6*EA$7,0),0),IF(AND(DW$6&lt;&gt;"",DW$8&lt;&gt;""),IF(EOMONTH($DV$3+INT((DAY(EOMONTH($DV$3,0))-1)/2)+DW$8,0)=EOMONTH($F$3,0),DW$6*DW$7,0),0),IF(AND(DS$6&lt;&gt;"",DS$8&lt;&gt;""),IF(EOMONTH($DR$3+INT((DAY(EOMONTH($DR$3,0))-1)/2)+DS$8,0)=EOMONTH($F$3,0),DS$6*DS$7,0),0),IF(AND(DO$6&lt;&gt;"",DO$8&lt;&gt;""),IF(EOMONTH($DN$3+INT((DAY(EOMONTH($DN$3,0))-1)/2)+DO$8,0)=EOMONTH($F$3,0),DO$6*DO$7,0),0),IF(AND(DK$6&lt;&gt;"",DK$8&lt;&gt;""),IF(EOMONTH($DJ$3+INT((DAY(EOMONTH($DJ$3,0))-1)/2)+DK$8,0)=EOMONTH($F$3,0),DK$6*DK$7,0),0),IF(AND(DG$6&lt;&gt;"",DG$8&lt;&gt;""),IF(EOMONTH($DF$3+INT((DAY(EOMONTH($DF$3,0))-1)/2)+DG$8,0)=EOMONTH($F$3,0),DG$6*DG$7,0),0),IF(AND(DC$6&lt;&gt;"",DC$8&lt;&gt;""),IF(EOMONTH($DB$3+INT((DAY(EOMONTH($DB$3,0))-1)/2)+DC$8,0)=EOMONTH($F$3,0),DC$6*DC$7,0),0),IF(AND(CY$6&lt;&gt;"",CY$8&lt;&gt;""),IF(EOMONTH($CX$3+INT((DAY(EOMONTH($CX$3,0))-1)/2)+CY$8,0)=EOMONTH($F$3,0),CY$6*CY$7,0),0),IF(AND(CU$6&lt;&gt;"",CU$8&lt;&gt;""),IF(EOMONTH($CT$3+INT((DAY(EOMONTH($CT$3,0))-1)/2)+CU$8,0)=EOMONTH($F$3,0),CU$6*CU$7,0),0),IF(AND(CQ$6&lt;&gt;"",CQ$8&lt;&gt;""),IF(EOMONTH($CP$3+INT((DAY(EOMONTH($CP$3,0))-1)/2)+CQ$8,0)=EOMONTH($F$3,0),CQ$6*CQ$7,0),0),IF(AND(CM$6&lt;&gt;"",CM$8&lt;&gt;""),IF(EOMONTH($CL$3+INT((DAY(EOMONTH($CL$3,0))-1)/2)+CM$8,0)=EOMONTH($F$3,0),CM$6*CM$7,0),0),IF(AND(CI$6&lt;&gt;"",CI$8&lt;&gt;""),IF(EOMONTH($CH$3+INT((DAY(EOMONTH($CH$3,0))-1)/2)+CI$8,0)=EOMONTH($F$3,0),CI$6*CI$7,0),0),IF(AND(CE$6&lt;&gt;"",CE$8&lt;&gt;""),IF(EOMONTH($CD$3+INT((DAY(EOMONTH($CD$3,0))-1)/2)+CE$8,0)=EOMONTH($F$3,0),CE$6*CE$7,0),0),IF(AND(CA$6&lt;&gt;"",CA$8&lt;&gt;""),IF(EOMONTH($BZ$3+INT((DAY(EOMONTH($BZ$3,0))-1)/2)+CA$8,0)=EOMONTH($F$3,0),CA$6*CA$7,0),0),IF(AND(BW$6&lt;&gt;"",BW$8&lt;&gt;""),IF(EOMONTH($BV$3+INT((DAY(EOMONTH($BV$3,0))-1)/2)+BW$8,0)=EOMONTH($F$3,0),BW$6*BW$7,0),0),IF(AND(BS$6&lt;&gt;"",BS$8&lt;&gt;""),IF(EOMONTH($BR$3+INT((DAY(EOMONTH($BR$3,0))-1)/2)+BS$8,0)=EOMONTH($F$3,0),BS$6*BS$7,0),0),IF(AND(BO$6&lt;&gt;"",BO$8&lt;&gt;""),IF(EOMONTH($BN$3+INT((DAY(EOMONTH($BN$3,0))-1)/2)+BO$8,0)=EOMONTH($F$3,0),BO$6*BO$7,0),0),IF(AND(BK$6&lt;&gt;"",BK$8&lt;&gt;""),IF(EOMONTH($BJ$3+INT((DAY(EOMONTH($BJ$3,0))-1)/2)+BK$8,0)=EOMONTH($F$3,0),BK$6*BK$7,0),0),IF(AND(BG$6&lt;&gt;"",BG$8&lt;&gt;""),IF(EOMONTH($BF$3+INT((DAY(EOMONTH($BF$3,0))-1)/2)+BG$8,0)=EOMONTH($F$3,0),BG$6*BG$7,0),0),IF(AND(BC$6&lt;&gt;"",BC$8&lt;&gt;""),IF(EOMONTH($BB$3+INT((DAY(EOMONTH($BB$3,0))-1)/2)+BC$8,0)=EOMONTH($F$3,0),BC$6*BC$7,0),0),IF(AND(AY$6&lt;&gt;"",AY$8&lt;&gt;""),IF(EOMONTH($AX$3+INT((DAY(EOMONTH($AX$3,0))-1)/2)+AY$8,0)=EOMONTH($F$3,0),AY$6*AY$7,0),0),IF(AND(AU$6&lt;&gt;"",AU$8&lt;&gt;""),IF(EOMONTH($AT$3+INT((DAY(EOMONTH($AT$3,0))-1)/2)+AU$8,0)=EOMONTH($F$3,0),AU$6*AU$7,0),0),IF(AND(AQ$6&lt;&gt;"",AQ$8&lt;&gt;""),IF(EOMONTH($AP$3+INT((DAY(EOMONTH($AP$3,0))-1)/2)+AQ$8,0)=EOMONTH($F$3,0),AQ$6*AQ$7,0),0),IF(AND(AM$6&lt;&gt;"",AM$8&lt;&gt;""),IF(EOMONTH($AL$3+INT((DAY(EOMONTH($AL$3,0))-1)/2)+AM$8,0)=EOMONTH($F$3,0),AM$6*AM$7,0),0),IF(AND(AI$6&lt;&gt;"",AI$8&lt;&gt;""),IF(EOMONTH($AH$3+INT((DAY(EOMONTH($AH$3,0))-1)/2)+AI$8,0)=EOMONTH($F$3,0),AI$6*AI$7,0),0),IF(AND(AE$6&lt;&gt;"",AE$8&lt;&gt;""),IF(EOMONTH($AD$3+INT((DAY(EOMONTH($AD$3,0))-1)/2)+AE$8,0)=EOMONTH($F$3,0),AE$6*AE$7,0),0),IF(AND(AA$6&lt;&gt;"",AA$8&lt;&gt;""),IF(EOMONTH($Z$3+INT((DAY(EOMONTH($Z$3,0))-1)/2)+AA$8,0)=EOMONTH($F$3,0),AA$6*AA$7,0),0),IF(AND(W$6&lt;&gt;"",W$8&lt;&gt;""),IF(EOMONTH($V$3+INT((DAY(EOMONTH($V$3,0))-1)/2)+W$8,0)=EOMONTH($F$3,0),W$6*W$7,0),0),IF(AND(S$6&lt;&gt;"",S$8&lt;&gt;""),IF(EOMONTH($R$3+INT((DAY(EOMONTH($R$3,0))-1)/2)+S$8,0)=EOMONTH($F$3,0),S$6*S$7,0),0),IF(AND(O$6&lt;&gt;"",O$8&lt;&gt;""),IF(EOMONTH($N$3+INT((DAY(EOMONTH($N$3,0))-1)/2)+O$8,0)=EOMONTH($F$3,0),O$6*O$7,0),0),IF(AND(K$6&lt;&gt;"",K$8&lt;&gt;""),IF(EOMONTH($J$3+INT((DAY(EOMONTH($J$3,0))-1)/2)+K$8,0)=EOMONTH($F$3,0),K$6*K$7,0),0),IF(AND(G$6&lt;&gt;"",G$8&lt;&gt;""),IF(EOMONTH($F$3+INT((DAY(EOMONTH($F$3,0))-1)/2)+G$8,0)=EOMONTH($F$3,0),G$6*G$7,0),0)),0))</f>
        <v>75</v>
      </c>
      <c r="H9" s="15">
        <f>ROUND(SUM(IF(AND(ER$6&lt;&gt;"",ER$8&lt;&gt;""),IF(EOMONTH($EP$3+INT((DAY(EOMONTH($EP$3,0))-1)/2)+ER$8,0)=EOMONTH($F$3,0),ER$6*ER$7,0),0),IF(AND(EN$6&lt;&gt;"",EN$8&lt;&gt;""),IF(EOMONTH($EL$3+INT((DAY(EOMONTH($EL$3,0))-1)/2)+EN$8,0)=EOMONTH($F$3,0),EN$6*EN$7,0),0),IF(AND(EJ$6&lt;&gt;"",EJ$8&lt;&gt;""),IF(EOMONTH($EH$3+INT((DAY(EOMONTH($EH$3,0))-1)/2)+EJ$8,0)=EOMONTH($F$3,0),EJ$6*EJ$7,0),0),IF(AND(EF$6&lt;&gt;"",EF$8&lt;&gt;""),IF(EOMONTH($ED$3+INT((DAY(EOMONTH($ED$3,0))-1)/2)+EF$8,0)=EOMONTH($F$3,0),EF$6*EF$7,0),0),IF(AND(EB$6&lt;&gt;"",EB$8&lt;&gt;""),IF(EOMONTH($DZ$3+INT((DAY(EOMONTH($DZ$3,0))-1)/2)+EB$8,0)=EOMONTH($F$3,0),EB$6*EB$7,0),0),IF(AND(DX$6&lt;&gt;"",DX$8&lt;&gt;""),IF(EOMONTH($DV$3+INT((DAY(EOMONTH($DV$3,0))-1)/2)+DX$8,0)=EOMONTH($F$3,0),DX$6*DX$7,0),0),IF(AND(DT$6&lt;&gt;"",DT$8&lt;&gt;""),IF(EOMONTH($DR$3+INT((DAY(EOMONTH($DR$3,0))-1)/2)+DT$8,0)=EOMONTH($F$3,0),DT$6*DT$7,0),0),IF(AND(DP$6&lt;&gt;"",DP$8&lt;&gt;""),IF(EOMONTH($DN$3+INT((DAY(EOMONTH($DN$3,0))-1)/2)+DP$8,0)=EOMONTH($F$3,0),DP$6*DP$7,0),0),IF(AND(DL$6&lt;&gt;"",DL$8&lt;&gt;""),IF(EOMONTH($DJ$3+INT((DAY(EOMONTH($DJ$3,0))-1)/2)+DL$8,0)=EOMONTH($F$3,0),DL$6*DL$7,0),0),IF(AND(DH$6&lt;&gt;"",DH$8&lt;&gt;""),IF(EOMONTH($DF$3+INT((DAY(EOMONTH($DF$3,0))-1)/2)+DH$8,0)=EOMONTH($F$3,0),DH$6*DH$7,0),0),IF(AND(DD$6&lt;&gt;"",DD$8&lt;&gt;""),IF(EOMONTH($DB$3+INT((DAY(EOMONTH($DB$3,0))-1)/2)+DD$8,0)=EOMONTH($F$3,0),DD$6*DD$7,0),0),IF(AND(CZ$6&lt;&gt;"",CZ$8&lt;&gt;""),IF(EOMONTH($CX$3+INT((DAY(EOMONTH($CX$3,0))-1)/2)+CZ$8,0)=EOMONTH($F$3,0),CZ$6*CZ$7,0),0),IF(AND(CV$6&lt;&gt;"",CV$8&lt;&gt;""),IF(EOMONTH($CT$3+INT((DAY(EOMONTH($CT$3,0))-1)/2)+CV$8,0)=EOMONTH($F$3,0),CV$6*CV$7,0),0),IF(AND(CR$6&lt;&gt;"",CR$8&lt;&gt;""),IF(EOMONTH($CP$3+INT((DAY(EOMONTH($CP$3,0))-1)/2)+CR$8,0)=EOMONTH($F$3,0),CR$6*CR$7,0),0),IF(AND(CN$6&lt;&gt;"",CN$8&lt;&gt;""),IF(EOMONTH($CL$3+INT((DAY(EOMONTH($CL$3,0))-1)/2)+CN$8,0)=EOMONTH($F$3,0),CN$6*CN$7,0),0),IF(AND(CJ$6&lt;&gt;"",CJ$8&lt;&gt;""),IF(EOMONTH($CH$3+INT((DAY(EOMONTH($CH$3,0))-1)/2)+CJ$8,0)=EOMONTH($F$3,0),CJ$6*CJ$7,0),0),IF(AND(CF$6&lt;&gt;"",CF$8&lt;&gt;""),IF(EOMONTH($CD$3+INT((DAY(EOMONTH($CD$3,0))-1)/2)+CF$8,0)=EOMONTH($F$3,0),CF$6*CF$7,0),0),IF(AND(CB$6&lt;&gt;"",CB$8&lt;&gt;""),IF(EOMONTH($BZ$3+INT((DAY(EOMONTH($BZ$3,0))-1)/2)+CB$8,0)=EOMONTH($F$3,0),CB$6*CB$7,0),0),IF(AND(BX$6&lt;&gt;"",BX$8&lt;&gt;""),IF(EOMONTH($BV$3+INT((DAY(EOMONTH($BV$3,0))-1)/2)+BX$8,0)=EOMONTH($F$3,0),BX$6*BX$7,0),0),IF(AND(BT$6&lt;&gt;"",BT$8&lt;&gt;""),IF(EOMONTH($BR$3+INT((DAY(EOMONTH($BR$3,0))-1)/2)+BT$8,0)=EOMONTH($F$3,0),BT$6*BT$7,0),0),IF(AND(BP$6&lt;&gt;"",BP$8&lt;&gt;""),IF(EOMONTH($BN$3+INT((DAY(EOMONTH($BN$3,0))-1)/2)+BP$8,0)=EOMONTH($F$3,0),BP$6*BP$7,0),0),IF(AND(BL$6&lt;&gt;"",BL$8&lt;&gt;""),IF(EOMONTH($BJ$3+INT((DAY(EOMONTH($BJ$3,0))-1)/2)+BL$8,0)=EOMONTH($F$3,0),BL$6*BL$7,0),0),IF(AND(BH$6&lt;&gt;"",BH$8&lt;&gt;""),IF(EOMONTH($BF$3+INT((DAY(EOMONTH($BF$3,0))-1)/2)+BH$8,0)=EOMONTH($F$3,0),BH$6*BH$7,0),0),IF(AND(BD$6&lt;&gt;"",BD$8&lt;&gt;""),IF(EOMONTH($BB$3+INT((DAY(EOMONTH($BB$3,0))-1)/2)+BD$8,0)=EOMONTH($F$3,0),BD$6*BD$7,0),0),IF(AND(AZ$6&lt;&gt;"",AZ$8&lt;&gt;""),IF(EOMONTH($AX$3+INT((DAY(EOMONTH($AX$3,0))-1)/2)+AZ$8,0)=EOMONTH($F$3,0),AZ$6*AZ$7,0),0),IF(AND(AV$6&lt;&gt;"",AV$8&lt;&gt;""),IF(EOMONTH($AT$3+INT((DAY(EOMONTH($AT$3,0))-1)/2)+AV$8,0)=EOMONTH($F$3,0),AV$6*AV$7,0),0),IF(AND(AR$6&lt;&gt;"",AR$8&lt;&gt;""),IF(EOMONTH($AP$3+INT((DAY(EOMONTH($AP$3,0))-1)/2)+AR$8,0)=EOMONTH($F$3,0),AR$6*AR$7,0),0),IF(AND(AN$6&lt;&gt;"",AN$8&lt;&gt;""),IF(EOMONTH($AL$3+INT((DAY(EOMONTH($AL$3,0))-1)/2)+AN$8,0)=EOMONTH($F$3,0),AN$6*AN$7,0),0),IF(AND(AJ$6&lt;&gt;"",AJ$8&lt;&gt;""),IF(EOMONTH($AH$3+INT((DAY(EOMONTH($AH$3,0))-1)/2)+AJ$8,0)=EOMONTH($F$3,0),AJ$6*AJ$7,0),0),IF(AND(AF$6&lt;&gt;"",AF$8&lt;&gt;""),IF(EOMONTH($AD$3+INT((DAY(EOMONTH($AD$3,0))-1)/2)+AF$8,0)=EOMONTH($F$3,0),AF$6*AF$7,0),0),IF(AND(AB$6&lt;&gt;"",AB$8&lt;&gt;""),IF(EOMONTH($Z$3+INT((DAY(EOMONTH($Z$3,0))-1)/2)+AB$8,0)=EOMONTH($F$3,0),AB$6*AB$7,0),0),IF(AND(X$6&lt;&gt;"",X$8&lt;&gt;""),IF(EOMONTH($V$3+INT((DAY(EOMONTH($V$3,0))-1)/2)+X$8,0)=EOMONTH($F$3,0),X$6*X$7,0),0),IF(AND(T$6&lt;&gt;"",T$8&lt;&gt;""),IF(EOMONTH($R$3+INT((DAY(EOMONTH($R$3,0))-1)/2)+T$8,0)=EOMONTH($F$3,0),T$6*T$7,0),0),IF(AND(P$6&lt;&gt;"",P$8&lt;&gt;""),IF(EOMONTH($N$3+INT((DAY(EOMONTH($N$3,0))-1)/2)+P$8,0)=EOMONTH($F$3,0),P$6*P$7,0),0),IF(AND(L$6&lt;&gt;"",L$8&lt;&gt;""),IF(EOMONTH($J$3+INT((DAY(EOMONTH($J$3,0))-1)/2)+L$8,0)=EOMONTH($F$3,0),L$6*L$7,0),0),IF(AND(H$6&lt;&gt;"",H$8&lt;&gt;""),IF(EOMONTH($F$3+INT((DAY(EOMONTH($F$3,0))-1)/2)+H$8,0)=EOMONTH($F$3,0),H$6*H$7,0),0)),0)</f>
        <v>75</v>
      </c>
      <c r="I9" s="16">
        <f t="shared" si="5"/>
        <v>0</v>
      </c>
      <c r="J9" s="17"/>
      <c r="K9" s="14">
        <f>IF(J$98=1,J9,ROUND(SUM(IF(AND(EQ$6&lt;&gt;"",EQ$8&lt;&gt;""),IF(EOMONTH($EP$3+INT((DAY(EOMONTH($EP$3,0))-1)/2)+EQ$8,0)=EOMONTH($J$3,0),EQ$6*EQ$7,0),0),IF(AND(EM$6&lt;&gt;"",EM$8&lt;&gt;""),IF(EOMONTH($EL$3+INT((DAY(EOMONTH($EL$3,0))-1)/2)+EM$8,0)=EOMONTH($J$3,0),EM$6*EM$7,0),0),IF(AND(EI$6&lt;&gt;"",EI$8&lt;&gt;""),IF(EOMONTH($EH$3+INT((DAY(EOMONTH($EH$3,0))-1)/2)+EI$8,0)=EOMONTH($J$3,0),EI$6*EI$7,0),0),IF(AND(EE$6&lt;&gt;"",EE$8&lt;&gt;""),IF(EOMONTH($ED$3+INT((DAY(EOMONTH($ED$3,0))-1)/2)+EE$8,0)=EOMONTH($J$3,0),EE$6*EE$7,0),0),IF(AND(EA$6&lt;&gt;"",EA$8&lt;&gt;""),IF(EOMONTH($DZ$3+INT((DAY(EOMONTH($DZ$3,0))-1)/2)+EA$8,0)=EOMONTH($J$3,0),EA$6*EA$7,0),0),IF(AND(DW$6&lt;&gt;"",DW$8&lt;&gt;""),IF(EOMONTH($DV$3+INT((DAY(EOMONTH($DV$3,0))-1)/2)+DW$8,0)=EOMONTH($J$3,0),DW$6*DW$7,0),0),IF(AND(DS$6&lt;&gt;"",DS$8&lt;&gt;""),IF(EOMONTH($DR$3+INT((DAY(EOMONTH($DR$3,0))-1)/2)+DS$8,0)=EOMONTH($J$3,0),DS$6*DS$7,0),0),IF(AND(DO$6&lt;&gt;"",DO$8&lt;&gt;""),IF(EOMONTH($DN$3+INT((DAY(EOMONTH($DN$3,0))-1)/2)+DO$8,0)=EOMONTH($J$3,0),DO$6*DO$7,0),0),IF(AND(DK$6&lt;&gt;"",DK$8&lt;&gt;""),IF(EOMONTH($DJ$3+INT((DAY(EOMONTH($DJ$3,0))-1)/2)+DK$8,0)=EOMONTH($J$3,0),DK$6*DK$7,0),0),IF(AND(DG$6&lt;&gt;"",DG$8&lt;&gt;""),IF(EOMONTH($DF$3+INT((DAY(EOMONTH($DF$3,0))-1)/2)+DG$8,0)=EOMONTH($J$3,0),DG$6*DG$7,0),0),IF(AND(DC$6&lt;&gt;"",DC$8&lt;&gt;""),IF(EOMONTH($DB$3+INT((DAY(EOMONTH($DB$3,0))-1)/2)+DC$8,0)=EOMONTH($J$3,0),DC$6*DC$7,0),0),IF(AND(CY$6&lt;&gt;"",CY$8&lt;&gt;""),IF(EOMONTH($CX$3+INT((DAY(EOMONTH($CX$3,0))-1)/2)+CY$8,0)=EOMONTH($J$3,0),CY$6*CY$7,0),0),IF(AND(CU$6&lt;&gt;"",CU$8&lt;&gt;""),IF(EOMONTH($CT$3+INT((DAY(EOMONTH($CT$3,0))-1)/2)+CU$8,0)=EOMONTH($J$3,0),CU$6*CU$7,0),0),IF(AND(CQ$6&lt;&gt;"",CQ$8&lt;&gt;""),IF(EOMONTH($CP$3+INT((DAY(EOMONTH($CP$3,0))-1)/2)+CQ$8,0)=EOMONTH($J$3,0),CQ$6*CQ$7,0),0),IF(AND(CM$6&lt;&gt;"",CM$8&lt;&gt;""),IF(EOMONTH($CL$3+INT((DAY(EOMONTH($CL$3,0))-1)/2)+CM$8,0)=EOMONTH($J$3,0),CM$6*CM$7,0),0),IF(AND(CI$6&lt;&gt;"",CI$8&lt;&gt;""),IF(EOMONTH($CH$3+INT((DAY(EOMONTH($CH$3,0))-1)/2)+CI$8,0)=EOMONTH($J$3,0),CI$6*CI$7,0),0),IF(AND(CE$6&lt;&gt;"",CE$8&lt;&gt;""),IF(EOMONTH($CD$3+INT((DAY(EOMONTH($CD$3,0))-1)/2)+CE$8,0)=EOMONTH($J$3,0),CE$6*CE$7,0),0),IF(AND(CA$6&lt;&gt;"",CA$8&lt;&gt;""),IF(EOMONTH($BZ$3+INT((DAY(EOMONTH($BZ$3,0))-1)/2)+CA$8,0)=EOMONTH($J$3,0),CA$6*CA$7,0),0),IF(AND(BW$6&lt;&gt;"",BW$8&lt;&gt;""),IF(EOMONTH($BV$3+INT((DAY(EOMONTH($BV$3,0))-1)/2)+BW$8,0)=EOMONTH($J$3,0),BW$6*BW$7,0),0),IF(AND(BS$6&lt;&gt;"",BS$8&lt;&gt;""),IF(EOMONTH($BR$3+INT((DAY(EOMONTH($BR$3,0))-1)/2)+BS$8,0)=EOMONTH($J$3,0),BS$6*BS$7,0),0),IF(AND(BO$6&lt;&gt;"",BO$8&lt;&gt;""),IF(EOMONTH($BN$3+INT((DAY(EOMONTH($BN$3,0))-1)/2)+BO$8,0)=EOMONTH($J$3,0),BO$6*BO$7,0),0),IF(AND(BK$6&lt;&gt;"",BK$8&lt;&gt;""),IF(EOMONTH($BJ$3+INT((DAY(EOMONTH($BJ$3,0))-1)/2)+BK$8,0)=EOMONTH($J$3,0),BK$6*BK$7,0),0),IF(AND(BG$6&lt;&gt;"",BG$8&lt;&gt;""),IF(EOMONTH($BF$3+INT((DAY(EOMONTH($BF$3,0))-1)/2)+BG$8,0)=EOMONTH($J$3,0),BG$6*BG$7,0),0),IF(AND(BC$6&lt;&gt;"",BC$8&lt;&gt;""),IF(EOMONTH($BB$3+INT((DAY(EOMONTH($BB$3,0))-1)/2)+BC$8,0)=EOMONTH($J$3,0),BC$6*BC$7,0),0),IF(AND(AY$6&lt;&gt;"",AY$8&lt;&gt;""),IF(EOMONTH($AX$3+INT((DAY(EOMONTH($AX$3,0))-1)/2)+AY$8,0)=EOMONTH($J$3,0),AY$6*AY$7,0),0),IF(AND(AU$6&lt;&gt;"",AU$8&lt;&gt;""),IF(EOMONTH($AT$3+INT((DAY(EOMONTH($AT$3,0))-1)/2)+AU$8,0)=EOMONTH($J$3,0),AU$6*AU$7,0),0),IF(AND(AQ$6&lt;&gt;"",AQ$8&lt;&gt;""),IF(EOMONTH($AP$3+INT((DAY(EOMONTH($AP$3,0))-1)/2)+AQ$8,0)=EOMONTH($J$3,0),AQ$6*AQ$7,0),0),IF(AND(AM$6&lt;&gt;"",AM$8&lt;&gt;""),IF(EOMONTH($AL$3+INT((DAY(EOMONTH($AL$3,0))-1)/2)+AM$8,0)=EOMONTH($J$3,0),AM$6*AM$7,0),0),IF(AND(AI$6&lt;&gt;"",AI$8&lt;&gt;""),IF(EOMONTH($AH$3+INT((DAY(EOMONTH($AH$3,0))-1)/2)+AI$8,0)=EOMONTH($J$3,0),AI$6*AI$7,0),0),IF(AND(AE$6&lt;&gt;"",AE$8&lt;&gt;""),IF(EOMONTH($AD$3+INT((DAY(EOMONTH($AD$3,0))-1)/2)+AE$8,0)=EOMONTH($J$3,0),AE$6*AE$7,0),0),IF(AND(AA$6&lt;&gt;"",AA$8&lt;&gt;""),IF(EOMONTH($Z$3+INT((DAY(EOMONTH($Z$3,0))-1)/2)+AA$8,0)=EOMONTH($J$3,0),AA$6*AA$7,0),0),IF(AND(W$6&lt;&gt;"",W$8&lt;&gt;""),IF(EOMONTH($V$3+INT((DAY(EOMONTH($V$3,0))-1)/2)+W$8,0)=EOMONTH($J$3,0),W$6*W$7,0),0),IF(AND(S$6&lt;&gt;"",S$8&lt;&gt;""),IF(EOMONTH($R$3+INT((DAY(EOMONTH($R$3,0))-1)/2)+S$8,0)=EOMONTH($J$3,0),S$6*S$7,0),0),IF(AND(O$6&lt;&gt;"",O$8&lt;&gt;""),IF(EOMONTH($N$3+INT((DAY(EOMONTH($N$3,0))-1)/2)+O$8,0)=EOMONTH($J$3,0),O$6*O$7,0),0),IF(AND(K$6&lt;&gt;"",K$8&lt;&gt;""),IF(EOMONTH($J$3+INT((DAY(EOMONTH($J$3,0))-1)/2)+K$8,0)=EOMONTH($J$3,0),K$6*K$7,0),0),IF(AND(G$6&lt;&gt;"",G$8&lt;&gt;""),IF(EOMONTH($F$3+INT((DAY(EOMONTH($F$3,0))-1)/2)+G$8,0)=EOMONTH($J$3,0),G$6*G$7,0),0)),0))</f>
        <v>74</v>
      </c>
      <c r="L9" s="15">
        <f>ROUND(SUM(IF(AND(ER$6&lt;&gt;"",ER$8&lt;&gt;""),IF(EOMONTH($EP$3+INT((DAY(EOMONTH($EP$3,0))-1)/2)+ER$8,0)=EOMONTH($J$3,0),ER$6*ER$7,0),0),IF(AND(EN$6&lt;&gt;"",EN$8&lt;&gt;""),IF(EOMONTH($EL$3+INT((DAY(EOMONTH($EL$3,0))-1)/2)+EN$8,0)=EOMONTH($J$3,0),EN$6*EN$7,0),0),IF(AND(EJ$6&lt;&gt;"",EJ$8&lt;&gt;""),IF(EOMONTH($EH$3+INT((DAY(EOMONTH($EH$3,0))-1)/2)+EJ$8,0)=EOMONTH($J$3,0),EJ$6*EJ$7,0),0),IF(AND(EF$6&lt;&gt;"",EF$8&lt;&gt;""),IF(EOMONTH($ED$3+INT((DAY(EOMONTH($ED$3,0))-1)/2)+EF$8,0)=EOMONTH($J$3,0),EF$6*EF$7,0),0),IF(AND(EB$6&lt;&gt;"",EB$8&lt;&gt;""),IF(EOMONTH($DZ$3+INT((DAY(EOMONTH($DZ$3,0))-1)/2)+EB$8,0)=EOMONTH($J$3,0),EB$6*EB$7,0),0),IF(AND(DX$6&lt;&gt;"",DX$8&lt;&gt;""),IF(EOMONTH($DV$3+INT((DAY(EOMONTH($DV$3,0))-1)/2)+DX$8,0)=EOMONTH($J$3,0),DX$6*DX$7,0),0),IF(AND(DT$6&lt;&gt;"",DT$8&lt;&gt;""),IF(EOMONTH($DR$3+INT((DAY(EOMONTH($DR$3,0))-1)/2)+DT$8,0)=EOMONTH($J$3,0),DT$6*DT$7,0),0),IF(AND(DP$6&lt;&gt;"",DP$8&lt;&gt;""),IF(EOMONTH($DN$3+INT((DAY(EOMONTH($DN$3,0))-1)/2)+DP$8,0)=EOMONTH($J$3,0),DP$6*DP$7,0),0),IF(AND(DL$6&lt;&gt;"",DL$8&lt;&gt;""),IF(EOMONTH($DJ$3+INT((DAY(EOMONTH($DJ$3,0))-1)/2)+DL$8,0)=EOMONTH($J$3,0),DL$6*DL$7,0),0),IF(AND(DH$6&lt;&gt;"",DH$8&lt;&gt;""),IF(EOMONTH($DF$3+INT((DAY(EOMONTH($DF$3,0))-1)/2)+DH$8,0)=EOMONTH($J$3,0),DH$6*DH$7,0),0),IF(AND(DD$6&lt;&gt;"",DD$8&lt;&gt;""),IF(EOMONTH($DB$3+INT((DAY(EOMONTH($DB$3,0))-1)/2)+DD$8,0)=EOMONTH($J$3,0),DD$6*DD$7,0),0),IF(AND(CZ$6&lt;&gt;"",CZ$8&lt;&gt;""),IF(EOMONTH($CX$3+INT((DAY(EOMONTH($CX$3,0))-1)/2)+CZ$8,0)=EOMONTH($J$3,0),CZ$6*CZ$7,0),0),IF(AND(CV$6&lt;&gt;"",CV$8&lt;&gt;""),IF(EOMONTH($CT$3+INT((DAY(EOMONTH($CT$3,0))-1)/2)+CV$8,0)=EOMONTH($J$3,0),CV$6*CV$7,0),0),IF(AND(CR$6&lt;&gt;"",CR$8&lt;&gt;""),IF(EOMONTH($CP$3+INT((DAY(EOMONTH($CP$3,0))-1)/2)+CR$8,0)=EOMONTH($J$3,0),CR$6*CR$7,0),0),IF(AND(CN$6&lt;&gt;"",CN$8&lt;&gt;""),IF(EOMONTH($CL$3+INT((DAY(EOMONTH($CL$3,0))-1)/2)+CN$8,0)=EOMONTH($J$3,0),CN$6*CN$7,0),0),IF(AND(CJ$6&lt;&gt;"",CJ$8&lt;&gt;""),IF(EOMONTH($CH$3+INT((DAY(EOMONTH($CH$3,0))-1)/2)+CJ$8,0)=EOMONTH($J$3,0),CJ$6*CJ$7,0),0),IF(AND(CF$6&lt;&gt;"",CF$8&lt;&gt;""),IF(EOMONTH($CD$3+INT((DAY(EOMONTH($CD$3,0))-1)/2)+CF$8,0)=EOMONTH($J$3,0),CF$6*CF$7,0),0),IF(AND(CB$6&lt;&gt;"",CB$8&lt;&gt;""),IF(EOMONTH($BZ$3+INT((DAY(EOMONTH($BZ$3,0))-1)/2)+CB$8,0)=EOMONTH($J$3,0),CB$6*CB$7,0),0),IF(AND(BX$6&lt;&gt;"",BX$8&lt;&gt;""),IF(EOMONTH($BV$3+INT((DAY(EOMONTH($BV$3,0))-1)/2)+BX$8,0)=EOMONTH($J$3,0),BX$6*BX$7,0),0),IF(AND(BT$6&lt;&gt;"",BT$8&lt;&gt;""),IF(EOMONTH($BR$3+INT((DAY(EOMONTH($BR$3,0))-1)/2)+BT$8,0)=EOMONTH($J$3,0),BT$6*BT$7,0),0),IF(AND(BP$6&lt;&gt;"",BP$8&lt;&gt;""),IF(EOMONTH($BN$3+INT((DAY(EOMONTH($BN$3,0))-1)/2)+BP$8,0)=EOMONTH($J$3,0),BP$6*BP$7,0),0),IF(AND(BL$6&lt;&gt;"",BL$8&lt;&gt;""),IF(EOMONTH($BJ$3+INT((DAY(EOMONTH($BJ$3,0))-1)/2)+BL$8,0)=EOMONTH($J$3,0),BL$6*BL$7,0),0),IF(AND(BH$6&lt;&gt;"",BH$8&lt;&gt;""),IF(EOMONTH($BF$3+INT((DAY(EOMONTH($BF$3,0))-1)/2)+BH$8,0)=EOMONTH($J$3,0),BH$6*BH$7,0),0),IF(AND(BD$6&lt;&gt;"",BD$8&lt;&gt;""),IF(EOMONTH($BB$3+INT((DAY(EOMONTH($BB$3,0))-1)/2)+BD$8,0)=EOMONTH($J$3,0),BD$6*BD$7,0),0),IF(AND(AZ$6&lt;&gt;"",AZ$8&lt;&gt;""),IF(EOMONTH($AX$3+INT((DAY(EOMONTH($AX$3,0))-1)/2)+AZ$8,0)=EOMONTH($J$3,0),AZ$6*AZ$7,0),0),IF(AND(AV$6&lt;&gt;"",AV$8&lt;&gt;""),IF(EOMONTH($AT$3+INT((DAY(EOMONTH($AT$3,0))-1)/2)+AV$8,0)=EOMONTH($J$3,0),AV$6*AV$7,0),0),IF(AND(AR$6&lt;&gt;"",AR$8&lt;&gt;""),IF(EOMONTH($AP$3+INT((DAY(EOMONTH($AP$3,0))-1)/2)+AR$8,0)=EOMONTH($J$3,0),AR$6*AR$7,0),0),IF(AND(AN$6&lt;&gt;"",AN$8&lt;&gt;""),IF(EOMONTH($AL$3+INT((DAY(EOMONTH($AL$3,0))-1)/2)+AN$8,0)=EOMONTH($J$3,0),AN$6*AN$7,0),0),IF(AND(AJ$6&lt;&gt;"",AJ$8&lt;&gt;""),IF(EOMONTH($AH$3+INT((DAY(EOMONTH($AH$3,0))-1)/2)+AJ$8,0)=EOMONTH($J$3,0),AJ$6*AJ$7,0),0),IF(AND(AF$6&lt;&gt;"",AF$8&lt;&gt;""),IF(EOMONTH($AD$3+INT((DAY(EOMONTH($AD$3,0))-1)/2)+AF$8,0)=EOMONTH($J$3,0),AF$6*AF$7,0),0),IF(AND(AB$6&lt;&gt;"",AB$8&lt;&gt;""),IF(EOMONTH($Z$3+INT((DAY(EOMONTH($Z$3,0))-1)/2)+AB$8,0)=EOMONTH($J$3,0),AB$6*AB$7,0),0),IF(AND(X$6&lt;&gt;"",X$8&lt;&gt;""),IF(EOMONTH($V$3+INT((DAY(EOMONTH($V$3,0))-1)/2)+X$8,0)=EOMONTH($J$3,0),X$6*X$7,0),0),IF(AND(T$6&lt;&gt;"",T$8&lt;&gt;""),IF(EOMONTH($R$3+INT((DAY(EOMONTH($R$3,0))-1)/2)+T$8,0)=EOMONTH($J$3,0),T$6*T$7,0),0),IF(AND(P$6&lt;&gt;"",P$8&lt;&gt;""),IF(EOMONTH($N$3+INT((DAY(EOMONTH($N$3,0))-1)/2)+P$8,0)=EOMONTH($J$3,0),P$6*P$7,0),0),IF(AND(L$6&lt;&gt;"",L$8&lt;&gt;""),IF(EOMONTH($J$3+INT((DAY(EOMONTH($J$3,0))-1)/2)+L$8,0)=EOMONTH($J$3,0),L$6*L$7,0),0),IF(AND(H$6&lt;&gt;"",H$8&lt;&gt;""),IF(EOMONTH($F$3+INT((DAY(EOMONTH($F$3,0))-1)/2)+H$8,0)=EOMONTH($J$3,0),H$6*H$7,0),0)),0)</f>
        <v>74</v>
      </c>
      <c r="M9" s="16">
        <f t="shared" si="7"/>
        <v>0</v>
      </c>
      <c r="N9" s="17"/>
      <c r="O9" s="14">
        <f>IF(N$98=1,N9,ROUND(SUM(IF(AND(EQ$6&lt;&gt;"",EQ$8&lt;&gt;""),IF(EOMONTH($EP$3+INT((DAY(EOMONTH($EP$3,0))-1)/2)+EQ$8,0)=EOMONTH($N$3,0),EQ$6*EQ$7,0),0),IF(AND(EM$6&lt;&gt;"",EM$8&lt;&gt;""),IF(EOMONTH($EL$3+INT((DAY(EOMONTH($EL$3,0))-1)/2)+EM$8,0)=EOMONTH($N$3,0),EM$6*EM$7,0),0),IF(AND(EI$6&lt;&gt;"",EI$8&lt;&gt;""),IF(EOMONTH($EH$3+INT((DAY(EOMONTH($EH$3,0))-1)/2)+EI$8,0)=EOMONTH($N$3,0),EI$6*EI$7,0),0),IF(AND(EE$6&lt;&gt;"",EE$8&lt;&gt;""),IF(EOMONTH($ED$3+INT((DAY(EOMONTH($ED$3,0))-1)/2)+EE$8,0)=EOMONTH($N$3,0),EE$6*EE$7,0),0),IF(AND(EA$6&lt;&gt;"",EA$8&lt;&gt;""),IF(EOMONTH($DZ$3+INT((DAY(EOMONTH($DZ$3,0))-1)/2)+EA$8,0)=EOMONTH($N$3,0),EA$6*EA$7,0),0),IF(AND(DW$6&lt;&gt;"",DW$8&lt;&gt;""),IF(EOMONTH($DV$3+INT((DAY(EOMONTH($DV$3,0))-1)/2)+DW$8,0)=EOMONTH($N$3,0),DW$6*DW$7,0),0),IF(AND(DS$6&lt;&gt;"",DS$8&lt;&gt;""),IF(EOMONTH($DR$3+INT((DAY(EOMONTH($DR$3,0))-1)/2)+DS$8,0)=EOMONTH($N$3,0),DS$6*DS$7,0),0),IF(AND(DO$6&lt;&gt;"",DO$8&lt;&gt;""),IF(EOMONTH($DN$3+INT((DAY(EOMONTH($DN$3,0))-1)/2)+DO$8,0)=EOMONTH($N$3,0),DO$6*DO$7,0),0),IF(AND(DK$6&lt;&gt;"",DK$8&lt;&gt;""),IF(EOMONTH($DJ$3+INT((DAY(EOMONTH($DJ$3,0))-1)/2)+DK$8,0)=EOMONTH($N$3,0),DK$6*DK$7,0),0),IF(AND(DG$6&lt;&gt;"",DG$8&lt;&gt;""),IF(EOMONTH($DF$3+INT((DAY(EOMONTH($DF$3,0))-1)/2)+DG$8,0)=EOMONTH($N$3,0),DG$6*DG$7,0),0),IF(AND(DC$6&lt;&gt;"",DC$8&lt;&gt;""),IF(EOMONTH($DB$3+INT((DAY(EOMONTH($DB$3,0))-1)/2)+DC$8,0)=EOMONTH($N$3,0),DC$6*DC$7,0),0),IF(AND(CY$6&lt;&gt;"",CY$8&lt;&gt;""),IF(EOMONTH($CX$3+INT((DAY(EOMONTH($CX$3,0))-1)/2)+CY$8,0)=EOMONTH($N$3,0),CY$6*CY$7,0),0),IF(AND(CU$6&lt;&gt;"",CU$8&lt;&gt;""),IF(EOMONTH($CT$3+INT((DAY(EOMONTH($CT$3,0))-1)/2)+CU$8,0)=EOMONTH($N$3,0),CU$6*CU$7,0),0),IF(AND(CQ$6&lt;&gt;"",CQ$8&lt;&gt;""),IF(EOMONTH($CP$3+INT((DAY(EOMONTH($CP$3,0))-1)/2)+CQ$8,0)=EOMONTH($N$3,0),CQ$6*CQ$7,0),0),IF(AND(CM$6&lt;&gt;"",CM$8&lt;&gt;""),IF(EOMONTH($CL$3+INT((DAY(EOMONTH($CL$3,0))-1)/2)+CM$8,0)=EOMONTH($N$3,0),CM$6*CM$7,0),0),IF(AND(CI$6&lt;&gt;"",CI$8&lt;&gt;""),IF(EOMONTH($CH$3+INT((DAY(EOMONTH($CH$3,0))-1)/2)+CI$8,0)=EOMONTH($N$3,0),CI$6*CI$7,0),0),IF(AND(CE$6&lt;&gt;"",CE$8&lt;&gt;""),IF(EOMONTH($CD$3+INT((DAY(EOMONTH($CD$3,0))-1)/2)+CE$8,0)=EOMONTH($N$3,0),CE$6*CE$7,0),0),IF(AND(CA$6&lt;&gt;"",CA$8&lt;&gt;""),IF(EOMONTH($BZ$3+INT((DAY(EOMONTH($BZ$3,0))-1)/2)+CA$8,0)=EOMONTH($N$3,0),CA$6*CA$7,0),0),IF(AND(BW$6&lt;&gt;"",BW$8&lt;&gt;""),IF(EOMONTH($BV$3+INT((DAY(EOMONTH($BV$3,0))-1)/2)+BW$8,0)=EOMONTH($N$3,0),BW$6*BW$7,0),0),IF(AND(BS$6&lt;&gt;"",BS$8&lt;&gt;""),IF(EOMONTH($BR$3+INT((DAY(EOMONTH($BR$3,0))-1)/2)+BS$8,0)=EOMONTH($N$3,0),BS$6*BS$7,0),0),IF(AND(BO$6&lt;&gt;"",BO$8&lt;&gt;""),IF(EOMONTH($BN$3+INT((DAY(EOMONTH($BN$3,0))-1)/2)+BO$8,0)=EOMONTH($N$3,0),BO$6*BO$7,0),0),IF(AND(BK$6&lt;&gt;"",BK$8&lt;&gt;""),IF(EOMONTH($BJ$3+INT((DAY(EOMONTH($BJ$3,0))-1)/2)+BK$8,0)=EOMONTH($N$3,0),BK$6*BK$7,0),0),IF(AND(BG$6&lt;&gt;"",BG$8&lt;&gt;""),IF(EOMONTH($BF$3+INT((DAY(EOMONTH($BF$3,0))-1)/2)+BG$8,0)=EOMONTH($N$3,0),BG$6*BG$7,0),0),IF(AND(BC$6&lt;&gt;"",BC$8&lt;&gt;""),IF(EOMONTH($BB$3+INT((DAY(EOMONTH($BB$3,0))-1)/2)+BC$8,0)=EOMONTH($N$3,0),BC$6*BC$7,0),0),IF(AND(AY$6&lt;&gt;"",AY$8&lt;&gt;""),IF(EOMONTH($AX$3+INT((DAY(EOMONTH($AX$3,0))-1)/2)+AY$8,0)=EOMONTH($N$3,0),AY$6*AY$7,0),0),IF(AND(AU$6&lt;&gt;"",AU$8&lt;&gt;""),IF(EOMONTH($AT$3+INT((DAY(EOMONTH($AT$3,0))-1)/2)+AU$8,0)=EOMONTH($N$3,0),AU$6*AU$7,0),0),IF(AND(AQ$6&lt;&gt;"",AQ$8&lt;&gt;""),IF(EOMONTH($AP$3+INT((DAY(EOMONTH($AP$3,0))-1)/2)+AQ$8,0)=EOMONTH($N$3,0),AQ$6*AQ$7,0),0),IF(AND(AM$6&lt;&gt;"",AM$8&lt;&gt;""),IF(EOMONTH($AL$3+INT((DAY(EOMONTH($AL$3,0))-1)/2)+AM$8,0)=EOMONTH($N$3,0),AM$6*AM$7,0),0),IF(AND(AI$6&lt;&gt;"",AI$8&lt;&gt;""),IF(EOMONTH($AH$3+INT((DAY(EOMONTH($AH$3,0))-1)/2)+AI$8,0)=EOMONTH($N$3,0),AI$6*AI$7,0),0),IF(AND(AE$6&lt;&gt;"",AE$8&lt;&gt;""),IF(EOMONTH($AD$3+INT((DAY(EOMONTH($AD$3,0))-1)/2)+AE$8,0)=EOMONTH($N$3,0),AE$6*AE$7,0),0),IF(AND(AA$6&lt;&gt;"",AA$8&lt;&gt;""),IF(EOMONTH($Z$3+INT((DAY(EOMONTH($Z$3,0))-1)/2)+AA$8,0)=EOMONTH($N$3,0),AA$6*AA$7,0),0),IF(AND(W$6&lt;&gt;"",W$8&lt;&gt;""),IF(EOMONTH($V$3+INT((DAY(EOMONTH($V$3,0))-1)/2)+W$8,0)=EOMONTH($N$3,0),W$6*W$7,0),0),IF(AND(S$6&lt;&gt;"",S$8&lt;&gt;""),IF(EOMONTH($R$3+INT((DAY(EOMONTH($R$3,0))-1)/2)+S$8,0)=EOMONTH($N$3,0),S$6*S$7,0),0),IF(AND(O$6&lt;&gt;"",O$8&lt;&gt;""),IF(EOMONTH($N$3+INT((DAY(EOMONTH($N$3,0))-1)/2)+O$8,0)=EOMONTH($N$3,0),O$6*O$7,0),0),IF(AND(K$6&lt;&gt;"",K$8&lt;&gt;""),IF(EOMONTH($J$3+INT((DAY(EOMONTH($J$3,0))-1)/2)+K$8,0)=EOMONTH($N$3,0),K$6*K$7,0),0),IF(AND(G$6&lt;&gt;"",G$8&lt;&gt;""),IF(EOMONTH($F$3+INT((DAY(EOMONTH($F$3,0))-1)/2)+G$8,0)=EOMONTH($N$3,0),G$6*G$7,0),0)),0))</f>
        <v>73</v>
      </c>
      <c r="P9" s="15">
        <f>ROUND(SUM(IF(AND(ER$6&lt;&gt;"",ER$8&lt;&gt;""),IF(EOMONTH($EP$3+INT((DAY(EOMONTH($EP$3,0))-1)/2)+ER$8,0)=EOMONTH($N$3,0),ER$6*ER$7,0),0),IF(AND(EN$6&lt;&gt;"",EN$8&lt;&gt;""),IF(EOMONTH($EL$3+INT((DAY(EOMONTH($EL$3,0))-1)/2)+EN$8,0)=EOMONTH($N$3,0),EN$6*EN$7,0),0),IF(AND(EJ$6&lt;&gt;"",EJ$8&lt;&gt;""),IF(EOMONTH($EH$3+INT((DAY(EOMONTH($EH$3,0))-1)/2)+EJ$8,0)=EOMONTH($N$3,0),EJ$6*EJ$7,0),0),IF(AND(EF$6&lt;&gt;"",EF$8&lt;&gt;""),IF(EOMONTH($ED$3+INT((DAY(EOMONTH($ED$3,0))-1)/2)+EF$8,0)=EOMONTH($N$3,0),EF$6*EF$7,0),0),IF(AND(EB$6&lt;&gt;"",EB$8&lt;&gt;""),IF(EOMONTH($DZ$3+INT((DAY(EOMONTH($DZ$3,0))-1)/2)+EB$8,0)=EOMONTH($N$3,0),EB$6*EB$7,0),0),IF(AND(DX$6&lt;&gt;"",DX$8&lt;&gt;""),IF(EOMONTH($DV$3+INT((DAY(EOMONTH($DV$3,0))-1)/2)+DX$8,0)=EOMONTH($N$3,0),DX$6*DX$7,0),0),IF(AND(DT$6&lt;&gt;"",DT$8&lt;&gt;""),IF(EOMONTH($DR$3+INT((DAY(EOMONTH($DR$3,0))-1)/2)+DT$8,0)=EOMONTH($N$3,0),DT$6*DT$7,0),0),IF(AND(DP$6&lt;&gt;"",DP$8&lt;&gt;""),IF(EOMONTH($DN$3+INT((DAY(EOMONTH($DN$3,0))-1)/2)+DP$8,0)=EOMONTH($N$3,0),DP$6*DP$7,0),0),IF(AND(DL$6&lt;&gt;"",DL$8&lt;&gt;""),IF(EOMONTH($DJ$3+INT((DAY(EOMONTH($DJ$3,0))-1)/2)+DL$8,0)=EOMONTH($N$3,0),DL$6*DL$7,0),0),IF(AND(DH$6&lt;&gt;"",DH$8&lt;&gt;""),IF(EOMONTH($DF$3+INT((DAY(EOMONTH($DF$3,0))-1)/2)+DH$8,0)=EOMONTH($N$3,0),DH$6*DH$7,0),0),IF(AND(DD$6&lt;&gt;"",DD$8&lt;&gt;""),IF(EOMONTH($DB$3+INT((DAY(EOMONTH($DB$3,0))-1)/2)+DD$8,0)=EOMONTH($N$3,0),DD$6*DD$7,0),0),IF(AND(CZ$6&lt;&gt;"",CZ$8&lt;&gt;""),IF(EOMONTH($CX$3+INT((DAY(EOMONTH($CX$3,0))-1)/2)+CZ$8,0)=EOMONTH($N$3,0),CZ$6*CZ$7,0),0),IF(AND(CV$6&lt;&gt;"",CV$8&lt;&gt;""),IF(EOMONTH($CT$3+INT((DAY(EOMONTH($CT$3,0))-1)/2)+CV$8,0)=EOMONTH($N$3,0),CV$6*CV$7,0),0),IF(AND(CR$6&lt;&gt;"",CR$8&lt;&gt;""),IF(EOMONTH($CP$3+INT((DAY(EOMONTH($CP$3,0))-1)/2)+CR$8,0)=EOMONTH($N$3,0),CR$6*CR$7,0),0),IF(AND(CN$6&lt;&gt;"",CN$8&lt;&gt;""),IF(EOMONTH($CL$3+INT((DAY(EOMONTH($CL$3,0))-1)/2)+CN$8,0)=EOMONTH($N$3,0),CN$6*CN$7,0),0),IF(AND(CJ$6&lt;&gt;"",CJ$8&lt;&gt;""),IF(EOMONTH($CH$3+INT((DAY(EOMONTH($CH$3,0))-1)/2)+CJ$8,0)=EOMONTH($N$3,0),CJ$6*CJ$7,0),0),IF(AND(CF$6&lt;&gt;"",CF$8&lt;&gt;""),IF(EOMONTH($CD$3+INT((DAY(EOMONTH($CD$3,0))-1)/2)+CF$8,0)=EOMONTH($N$3,0),CF$6*CF$7,0),0),IF(AND(CB$6&lt;&gt;"",CB$8&lt;&gt;""),IF(EOMONTH($BZ$3+INT((DAY(EOMONTH($BZ$3,0))-1)/2)+CB$8,0)=EOMONTH($N$3,0),CB$6*CB$7,0),0),IF(AND(BX$6&lt;&gt;"",BX$8&lt;&gt;""),IF(EOMONTH($BV$3+INT((DAY(EOMONTH($BV$3,0))-1)/2)+BX$8,0)=EOMONTH($N$3,0),BX$6*BX$7,0),0),IF(AND(BT$6&lt;&gt;"",BT$8&lt;&gt;""),IF(EOMONTH($BR$3+INT((DAY(EOMONTH($BR$3,0))-1)/2)+BT$8,0)=EOMONTH($N$3,0),BT$6*BT$7,0),0),IF(AND(BP$6&lt;&gt;"",BP$8&lt;&gt;""),IF(EOMONTH($BN$3+INT((DAY(EOMONTH($BN$3,0))-1)/2)+BP$8,0)=EOMONTH($N$3,0),BP$6*BP$7,0),0),IF(AND(BL$6&lt;&gt;"",BL$8&lt;&gt;""),IF(EOMONTH($BJ$3+INT((DAY(EOMONTH($BJ$3,0))-1)/2)+BL$8,0)=EOMONTH($N$3,0),BL$6*BL$7,0),0),IF(AND(BH$6&lt;&gt;"",BH$8&lt;&gt;""),IF(EOMONTH($BF$3+INT((DAY(EOMONTH($BF$3,0))-1)/2)+BH$8,0)=EOMONTH($N$3,0),BH$6*BH$7,0),0),IF(AND(BD$6&lt;&gt;"",BD$8&lt;&gt;""),IF(EOMONTH($BB$3+INT((DAY(EOMONTH($BB$3,0))-1)/2)+BD$8,0)=EOMONTH($N$3,0),BD$6*BD$7,0),0),IF(AND(AZ$6&lt;&gt;"",AZ$8&lt;&gt;""),IF(EOMONTH($AX$3+INT((DAY(EOMONTH($AX$3,0))-1)/2)+AZ$8,0)=EOMONTH($N$3,0),AZ$6*AZ$7,0),0),IF(AND(AV$6&lt;&gt;"",AV$8&lt;&gt;""),IF(EOMONTH($AT$3+INT((DAY(EOMONTH($AT$3,0))-1)/2)+AV$8,0)=EOMONTH($N$3,0),AV$6*AV$7,0),0),IF(AND(AR$6&lt;&gt;"",AR$8&lt;&gt;""),IF(EOMONTH($AP$3+INT((DAY(EOMONTH($AP$3,0))-1)/2)+AR$8,0)=EOMONTH($N$3,0),AR$6*AR$7,0),0),IF(AND(AN$6&lt;&gt;"",AN$8&lt;&gt;""),IF(EOMONTH($AL$3+INT((DAY(EOMONTH($AL$3,0))-1)/2)+AN$8,0)=EOMONTH($N$3,0),AN$6*AN$7,0),0),IF(AND(AJ$6&lt;&gt;"",AJ$8&lt;&gt;""),IF(EOMONTH($AH$3+INT((DAY(EOMONTH($AH$3,0))-1)/2)+AJ$8,0)=EOMONTH($N$3,0),AJ$6*AJ$7,0),0),IF(AND(AF$6&lt;&gt;"",AF$8&lt;&gt;""),IF(EOMONTH($AD$3+INT((DAY(EOMONTH($AD$3,0))-1)/2)+AF$8,0)=EOMONTH($N$3,0),AF$6*AF$7,0),0),IF(AND(AB$6&lt;&gt;"",AB$8&lt;&gt;""),IF(EOMONTH($Z$3+INT((DAY(EOMONTH($Z$3,0))-1)/2)+AB$8,0)=EOMONTH($N$3,0),AB$6*AB$7,0),0),IF(AND(X$6&lt;&gt;"",X$8&lt;&gt;""),IF(EOMONTH($V$3+INT((DAY(EOMONTH($V$3,0))-1)/2)+X$8,0)=EOMONTH($N$3,0),X$6*X$7,0),0),IF(AND(T$6&lt;&gt;"",T$8&lt;&gt;""),IF(EOMONTH($R$3+INT((DAY(EOMONTH($R$3,0))-1)/2)+T$8,0)=EOMONTH($N$3,0),T$6*T$7,0),0),IF(AND(P$6&lt;&gt;"",P$8&lt;&gt;""),IF(EOMONTH($N$3+INT((DAY(EOMONTH($N$3,0))-1)/2)+P$8,0)=EOMONTH($N$3,0),P$6*P$7,0),0),IF(AND(L$6&lt;&gt;"",L$8&lt;&gt;""),IF(EOMONTH($J$3+INT((DAY(EOMONTH($J$3,0))-1)/2)+L$8,0)=EOMONTH($N$3,0),L$6*L$7,0),0),IF(AND(H$6&lt;&gt;"",H$8&lt;&gt;""),IF(EOMONTH($F$3+INT((DAY(EOMONTH($F$3,0))-1)/2)+H$8,0)=EOMONTH($N$3,0),H$6*H$7,0),0)),0)</f>
        <v>73</v>
      </c>
      <c r="Q9" s="16">
        <f t="shared" si="9"/>
        <v>0</v>
      </c>
      <c r="R9" s="17"/>
      <c r="S9" s="14">
        <f>IF(R$98=1,R9,ROUND(SUM(IF(AND(EQ$6&lt;&gt;"",EQ$8&lt;&gt;""),IF(EOMONTH($EP$3+INT((DAY(EOMONTH($EP$3,0))-1)/2)+EQ$8,0)=EOMONTH($R$3,0),EQ$6*EQ$7,0),0),IF(AND(EM$6&lt;&gt;"",EM$8&lt;&gt;""),IF(EOMONTH($EL$3+INT((DAY(EOMONTH($EL$3,0))-1)/2)+EM$8,0)=EOMONTH($R$3,0),EM$6*EM$7,0),0),IF(AND(EI$6&lt;&gt;"",EI$8&lt;&gt;""),IF(EOMONTH($EH$3+INT((DAY(EOMONTH($EH$3,0))-1)/2)+EI$8,0)=EOMONTH($R$3,0),EI$6*EI$7,0),0),IF(AND(EE$6&lt;&gt;"",EE$8&lt;&gt;""),IF(EOMONTH($ED$3+INT((DAY(EOMONTH($ED$3,0))-1)/2)+EE$8,0)=EOMONTH($R$3,0),EE$6*EE$7,0),0),IF(AND(EA$6&lt;&gt;"",EA$8&lt;&gt;""),IF(EOMONTH($DZ$3+INT((DAY(EOMONTH($DZ$3,0))-1)/2)+EA$8,0)=EOMONTH($R$3,0),EA$6*EA$7,0),0),IF(AND(DW$6&lt;&gt;"",DW$8&lt;&gt;""),IF(EOMONTH($DV$3+INT((DAY(EOMONTH($DV$3,0))-1)/2)+DW$8,0)=EOMONTH($R$3,0),DW$6*DW$7,0),0),IF(AND(DS$6&lt;&gt;"",DS$8&lt;&gt;""),IF(EOMONTH($DR$3+INT((DAY(EOMONTH($DR$3,0))-1)/2)+DS$8,0)=EOMONTH($R$3,0),DS$6*DS$7,0),0),IF(AND(DO$6&lt;&gt;"",DO$8&lt;&gt;""),IF(EOMONTH($DN$3+INT((DAY(EOMONTH($DN$3,0))-1)/2)+DO$8,0)=EOMONTH($R$3,0),DO$6*DO$7,0),0),IF(AND(DK$6&lt;&gt;"",DK$8&lt;&gt;""),IF(EOMONTH($DJ$3+INT((DAY(EOMONTH($DJ$3,0))-1)/2)+DK$8,0)=EOMONTH($R$3,0),DK$6*DK$7,0),0),IF(AND(DG$6&lt;&gt;"",DG$8&lt;&gt;""),IF(EOMONTH($DF$3+INT((DAY(EOMONTH($DF$3,0))-1)/2)+DG$8,0)=EOMONTH($R$3,0),DG$6*DG$7,0),0),IF(AND(DC$6&lt;&gt;"",DC$8&lt;&gt;""),IF(EOMONTH($DB$3+INT((DAY(EOMONTH($DB$3,0))-1)/2)+DC$8,0)=EOMONTH($R$3,0),DC$6*DC$7,0),0),IF(AND(CY$6&lt;&gt;"",CY$8&lt;&gt;""),IF(EOMONTH($CX$3+INT((DAY(EOMONTH($CX$3,0))-1)/2)+CY$8,0)=EOMONTH($R$3,0),CY$6*CY$7,0),0),IF(AND(CU$6&lt;&gt;"",CU$8&lt;&gt;""),IF(EOMONTH($CT$3+INT((DAY(EOMONTH($CT$3,0))-1)/2)+CU$8,0)=EOMONTH($R$3,0),CU$6*CU$7,0),0),IF(AND(CQ$6&lt;&gt;"",CQ$8&lt;&gt;""),IF(EOMONTH($CP$3+INT((DAY(EOMONTH($CP$3,0))-1)/2)+CQ$8,0)=EOMONTH($R$3,0),CQ$6*CQ$7,0),0),IF(AND(CM$6&lt;&gt;"",CM$8&lt;&gt;""),IF(EOMONTH($CL$3+INT((DAY(EOMONTH($CL$3,0))-1)/2)+CM$8,0)=EOMONTH($R$3,0),CM$6*CM$7,0),0),IF(AND(CI$6&lt;&gt;"",CI$8&lt;&gt;""),IF(EOMONTH($CH$3+INT((DAY(EOMONTH($CH$3,0))-1)/2)+CI$8,0)=EOMONTH($R$3,0),CI$6*CI$7,0),0),IF(AND(CE$6&lt;&gt;"",CE$8&lt;&gt;""),IF(EOMONTH($CD$3+INT((DAY(EOMONTH($CD$3,0))-1)/2)+CE$8,0)=EOMONTH($R$3,0),CE$6*CE$7,0),0),IF(AND(CA$6&lt;&gt;"",CA$8&lt;&gt;""),IF(EOMONTH($BZ$3+INT((DAY(EOMONTH($BZ$3,0))-1)/2)+CA$8,0)=EOMONTH($R$3,0),CA$6*CA$7,0),0),IF(AND(BW$6&lt;&gt;"",BW$8&lt;&gt;""),IF(EOMONTH($BV$3+INT((DAY(EOMONTH($BV$3,0))-1)/2)+BW$8,0)=EOMONTH($R$3,0),BW$6*BW$7,0),0),IF(AND(BS$6&lt;&gt;"",BS$8&lt;&gt;""),IF(EOMONTH($BR$3+INT((DAY(EOMONTH($BR$3,0))-1)/2)+BS$8,0)=EOMONTH($R$3,0),BS$6*BS$7,0),0),IF(AND(BO$6&lt;&gt;"",BO$8&lt;&gt;""),IF(EOMONTH($BN$3+INT((DAY(EOMONTH($BN$3,0))-1)/2)+BO$8,0)=EOMONTH($R$3,0),BO$6*BO$7,0),0),IF(AND(BK$6&lt;&gt;"",BK$8&lt;&gt;""),IF(EOMONTH($BJ$3+INT((DAY(EOMONTH($BJ$3,0))-1)/2)+BK$8,0)=EOMONTH($R$3,0),BK$6*BK$7,0),0),IF(AND(BG$6&lt;&gt;"",BG$8&lt;&gt;""),IF(EOMONTH($BF$3+INT((DAY(EOMONTH($BF$3,0))-1)/2)+BG$8,0)=EOMONTH($R$3,0),BG$6*BG$7,0),0),IF(AND(BC$6&lt;&gt;"",BC$8&lt;&gt;""),IF(EOMONTH($BB$3+INT((DAY(EOMONTH($BB$3,0))-1)/2)+BC$8,0)=EOMONTH($R$3,0),BC$6*BC$7,0),0),IF(AND(AY$6&lt;&gt;"",AY$8&lt;&gt;""),IF(EOMONTH($AX$3+INT((DAY(EOMONTH($AX$3,0))-1)/2)+AY$8,0)=EOMONTH($R$3,0),AY$6*AY$7,0),0),IF(AND(AU$6&lt;&gt;"",AU$8&lt;&gt;""),IF(EOMONTH($AT$3+INT((DAY(EOMONTH($AT$3,0))-1)/2)+AU$8,0)=EOMONTH($R$3,0),AU$6*AU$7,0),0),IF(AND(AQ$6&lt;&gt;"",AQ$8&lt;&gt;""),IF(EOMONTH($AP$3+INT((DAY(EOMONTH($AP$3,0))-1)/2)+AQ$8,0)=EOMONTH($R$3,0),AQ$6*AQ$7,0),0),IF(AND(AM$6&lt;&gt;"",AM$8&lt;&gt;""),IF(EOMONTH($AL$3+INT((DAY(EOMONTH($AL$3,0))-1)/2)+AM$8,0)=EOMONTH($R$3,0),AM$6*AM$7,0),0),IF(AND(AI$6&lt;&gt;"",AI$8&lt;&gt;""),IF(EOMONTH($AH$3+INT((DAY(EOMONTH($AH$3,0))-1)/2)+AI$8,0)=EOMONTH($R$3,0),AI$6*AI$7,0),0),IF(AND(AE$6&lt;&gt;"",AE$8&lt;&gt;""),IF(EOMONTH($AD$3+INT((DAY(EOMONTH($AD$3,0))-1)/2)+AE$8,0)=EOMONTH($R$3,0),AE$6*AE$7,0),0),IF(AND(AA$6&lt;&gt;"",AA$8&lt;&gt;""),IF(EOMONTH($Z$3+INT((DAY(EOMONTH($Z$3,0))-1)/2)+AA$8,0)=EOMONTH($R$3,0),AA$6*AA$7,0),0),IF(AND(W$6&lt;&gt;"",W$8&lt;&gt;""),IF(EOMONTH($V$3+INT((DAY(EOMONTH($V$3,0))-1)/2)+W$8,0)=EOMONTH($R$3,0),W$6*W$7,0),0),IF(AND(S$6&lt;&gt;"",S$8&lt;&gt;""),IF(EOMONTH($R$3+INT((DAY(EOMONTH($R$3,0))-1)/2)+S$8,0)=EOMONTH($R$3,0),S$6*S$7,0),0),IF(AND(O$6&lt;&gt;"",O$8&lt;&gt;""),IF(EOMONTH($N$3+INT((DAY(EOMONTH($N$3,0))-1)/2)+O$8,0)=EOMONTH($R$3,0),O$6*O$7,0),0),IF(AND(K$6&lt;&gt;"",K$8&lt;&gt;""),IF(EOMONTH($J$3+INT((DAY(EOMONTH($J$3,0))-1)/2)+K$8,0)=EOMONTH($R$3,0),K$6*K$7,0),0),IF(AND(G$6&lt;&gt;"",G$8&lt;&gt;""),IF(EOMONTH($F$3+INT((DAY(EOMONTH($F$3,0))-1)/2)+G$8,0)=EOMONTH($R$3,0),G$6*G$7,0),0)),0))</f>
        <v>72</v>
      </c>
      <c r="T9" s="15">
        <f>ROUND(SUM(IF(AND(ER$6&lt;&gt;"",ER$8&lt;&gt;""),IF(EOMONTH($EP$3+INT((DAY(EOMONTH($EP$3,0))-1)/2)+ER$8,0)=EOMONTH($R$3,0),ER$6*ER$7,0),0),IF(AND(EN$6&lt;&gt;"",EN$8&lt;&gt;""),IF(EOMONTH($EL$3+INT((DAY(EOMONTH($EL$3,0))-1)/2)+EN$8,0)=EOMONTH($R$3,0),EN$6*EN$7,0),0),IF(AND(EJ$6&lt;&gt;"",EJ$8&lt;&gt;""),IF(EOMONTH($EH$3+INT((DAY(EOMONTH($EH$3,0))-1)/2)+EJ$8,0)=EOMONTH($R$3,0),EJ$6*EJ$7,0),0),IF(AND(EF$6&lt;&gt;"",EF$8&lt;&gt;""),IF(EOMONTH($ED$3+INT((DAY(EOMONTH($ED$3,0))-1)/2)+EF$8,0)=EOMONTH($R$3,0),EF$6*EF$7,0),0),IF(AND(EB$6&lt;&gt;"",EB$8&lt;&gt;""),IF(EOMONTH($DZ$3+INT((DAY(EOMONTH($DZ$3,0))-1)/2)+EB$8,0)=EOMONTH($R$3,0),EB$6*EB$7,0),0),IF(AND(DX$6&lt;&gt;"",DX$8&lt;&gt;""),IF(EOMONTH($DV$3+INT((DAY(EOMONTH($DV$3,0))-1)/2)+DX$8,0)=EOMONTH($R$3,0),DX$6*DX$7,0),0),IF(AND(DT$6&lt;&gt;"",DT$8&lt;&gt;""),IF(EOMONTH($DR$3+INT((DAY(EOMONTH($DR$3,0))-1)/2)+DT$8,0)=EOMONTH($R$3,0),DT$6*DT$7,0),0),IF(AND(DP$6&lt;&gt;"",DP$8&lt;&gt;""),IF(EOMONTH($DN$3+INT((DAY(EOMONTH($DN$3,0))-1)/2)+DP$8,0)=EOMONTH($R$3,0),DP$6*DP$7,0),0),IF(AND(DL$6&lt;&gt;"",DL$8&lt;&gt;""),IF(EOMONTH($DJ$3+INT((DAY(EOMONTH($DJ$3,0))-1)/2)+DL$8,0)=EOMONTH($R$3,0),DL$6*DL$7,0),0),IF(AND(DH$6&lt;&gt;"",DH$8&lt;&gt;""),IF(EOMONTH($DF$3+INT((DAY(EOMONTH($DF$3,0))-1)/2)+DH$8,0)=EOMONTH($R$3,0),DH$6*DH$7,0),0),IF(AND(DD$6&lt;&gt;"",DD$8&lt;&gt;""),IF(EOMONTH($DB$3+INT((DAY(EOMONTH($DB$3,0))-1)/2)+DD$8,0)=EOMONTH($R$3,0),DD$6*DD$7,0),0),IF(AND(CZ$6&lt;&gt;"",CZ$8&lt;&gt;""),IF(EOMONTH($CX$3+INT((DAY(EOMONTH($CX$3,0))-1)/2)+CZ$8,0)=EOMONTH($R$3,0),CZ$6*CZ$7,0),0),IF(AND(CV$6&lt;&gt;"",CV$8&lt;&gt;""),IF(EOMONTH($CT$3+INT((DAY(EOMONTH($CT$3,0))-1)/2)+CV$8,0)=EOMONTH($R$3,0),CV$6*CV$7,0),0),IF(AND(CR$6&lt;&gt;"",CR$8&lt;&gt;""),IF(EOMONTH($CP$3+INT((DAY(EOMONTH($CP$3,0))-1)/2)+CR$8,0)=EOMONTH($R$3,0),CR$6*CR$7,0),0),IF(AND(CN$6&lt;&gt;"",CN$8&lt;&gt;""),IF(EOMONTH($CL$3+INT((DAY(EOMONTH($CL$3,0))-1)/2)+CN$8,0)=EOMONTH($R$3,0),CN$6*CN$7,0),0),IF(AND(CJ$6&lt;&gt;"",CJ$8&lt;&gt;""),IF(EOMONTH($CH$3+INT((DAY(EOMONTH($CH$3,0))-1)/2)+CJ$8,0)=EOMONTH($R$3,0),CJ$6*CJ$7,0),0),IF(AND(CF$6&lt;&gt;"",CF$8&lt;&gt;""),IF(EOMONTH($CD$3+INT((DAY(EOMONTH($CD$3,0))-1)/2)+CF$8,0)=EOMONTH($R$3,0),CF$6*CF$7,0),0),IF(AND(CB$6&lt;&gt;"",CB$8&lt;&gt;""),IF(EOMONTH($BZ$3+INT((DAY(EOMONTH($BZ$3,0))-1)/2)+CB$8,0)=EOMONTH($R$3,0),CB$6*CB$7,0),0),IF(AND(BX$6&lt;&gt;"",BX$8&lt;&gt;""),IF(EOMONTH($BV$3+INT((DAY(EOMONTH($BV$3,0))-1)/2)+BX$8,0)=EOMONTH($R$3,0),BX$6*BX$7,0),0),IF(AND(BT$6&lt;&gt;"",BT$8&lt;&gt;""),IF(EOMONTH($BR$3+INT((DAY(EOMONTH($BR$3,0))-1)/2)+BT$8,0)=EOMONTH($R$3,0),BT$6*BT$7,0),0),IF(AND(BP$6&lt;&gt;"",BP$8&lt;&gt;""),IF(EOMONTH($BN$3+INT((DAY(EOMONTH($BN$3,0))-1)/2)+BP$8,0)=EOMONTH($R$3,0),BP$6*BP$7,0),0),IF(AND(BL$6&lt;&gt;"",BL$8&lt;&gt;""),IF(EOMONTH($BJ$3+INT((DAY(EOMONTH($BJ$3,0))-1)/2)+BL$8,0)=EOMONTH($R$3,0),BL$6*BL$7,0),0),IF(AND(BH$6&lt;&gt;"",BH$8&lt;&gt;""),IF(EOMONTH($BF$3+INT((DAY(EOMONTH($BF$3,0))-1)/2)+BH$8,0)=EOMONTH($R$3,0),BH$6*BH$7,0),0),IF(AND(BD$6&lt;&gt;"",BD$8&lt;&gt;""),IF(EOMONTH($BB$3+INT((DAY(EOMONTH($BB$3,0))-1)/2)+BD$8,0)=EOMONTH($R$3,0),BD$6*BD$7,0),0),IF(AND(AZ$6&lt;&gt;"",AZ$8&lt;&gt;""),IF(EOMONTH($AX$3+INT((DAY(EOMONTH($AX$3,0))-1)/2)+AZ$8,0)=EOMONTH($R$3,0),AZ$6*AZ$7,0),0),IF(AND(AV$6&lt;&gt;"",AV$8&lt;&gt;""),IF(EOMONTH($AT$3+INT((DAY(EOMONTH($AT$3,0))-1)/2)+AV$8,0)=EOMONTH($R$3,0),AV$6*AV$7,0),0),IF(AND(AR$6&lt;&gt;"",AR$8&lt;&gt;""),IF(EOMONTH($AP$3+INT((DAY(EOMONTH($AP$3,0))-1)/2)+AR$8,0)=EOMONTH($R$3,0),AR$6*AR$7,0),0),IF(AND(AN$6&lt;&gt;"",AN$8&lt;&gt;""),IF(EOMONTH($AL$3+INT((DAY(EOMONTH($AL$3,0))-1)/2)+AN$8,0)=EOMONTH($R$3,0),AN$6*AN$7,0),0),IF(AND(AJ$6&lt;&gt;"",AJ$8&lt;&gt;""),IF(EOMONTH($AH$3+INT((DAY(EOMONTH($AH$3,0))-1)/2)+AJ$8,0)=EOMONTH($R$3,0),AJ$6*AJ$7,0),0),IF(AND(AF$6&lt;&gt;"",AF$8&lt;&gt;""),IF(EOMONTH($AD$3+INT((DAY(EOMONTH($AD$3,0))-1)/2)+AF$8,0)=EOMONTH($R$3,0),AF$6*AF$7,0),0),IF(AND(AB$6&lt;&gt;"",AB$8&lt;&gt;""),IF(EOMONTH($Z$3+INT((DAY(EOMONTH($Z$3,0))-1)/2)+AB$8,0)=EOMONTH($R$3,0),AB$6*AB$7,0),0),IF(AND(X$6&lt;&gt;"",X$8&lt;&gt;""),IF(EOMONTH($V$3+INT((DAY(EOMONTH($V$3,0))-1)/2)+X$8,0)=EOMONTH($R$3,0),X$6*X$7,0),0),IF(AND(T$6&lt;&gt;"",T$8&lt;&gt;""),IF(EOMONTH($R$3+INT((DAY(EOMONTH($R$3,0))-1)/2)+T$8,0)=EOMONTH($R$3,0),T$6*T$7,0),0),IF(AND(P$6&lt;&gt;"",P$8&lt;&gt;""),IF(EOMONTH($N$3+INT((DAY(EOMONTH($N$3,0))-1)/2)+P$8,0)=EOMONTH($R$3,0),P$6*P$7,0),0),IF(AND(L$6&lt;&gt;"",L$8&lt;&gt;""),IF(EOMONTH($J$3+INT((DAY(EOMONTH($J$3,0))-1)/2)+L$8,0)=EOMONTH($R$3,0),L$6*L$7,0),0),IF(AND(H$6&lt;&gt;"",H$8&lt;&gt;""),IF(EOMONTH($F$3+INT((DAY(EOMONTH($F$3,0))-1)/2)+H$8,0)=EOMONTH($R$3,0),H$6*H$7,0),0)),0)</f>
        <v>72</v>
      </c>
      <c r="U9" s="16">
        <f t="shared" si="11"/>
        <v>0</v>
      </c>
      <c r="V9" s="17"/>
      <c r="W9" s="14">
        <f>IF(V$98=1,V9,ROUND(SUM(IF(AND(EQ$6&lt;&gt;"",EQ$8&lt;&gt;""),IF(EOMONTH($EP$3+INT((DAY(EOMONTH($EP$3,0))-1)/2)+EQ$8,0)=EOMONTH($V$3,0),EQ$6*EQ$7,0),0),IF(AND(EM$6&lt;&gt;"",EM$8&lt;&gt;""),IF(EOMONTH($EL$3+INT((DAY(EOMONTH($EL$3,0))-1)/2)+EM$8,0)=EOMONTH($V$3,0),EM$6*EM$7,0),0),IF(AND(EI$6&lt;&gt;"",EI$8&lt;&gt;""),IF(EOMONTH($EH$3+INT((DAY(EOMONTH($EH$3,0))-1)/2)+EI$8,0)=EOMONTH($V$3,0),EI$6*EI$7,0),0),IF(AND(EE$6&lt;&gt;"",EE$8&lt;&gt;""),IF(EOMONTH($ED$3+INT((DAY(EOMONTH($ED$3,0))-1)/2)+EE$8,0)=EOMONTH($V$3,0),EE$6*EE$7,0),0),IF(AND(EA$6&lt;&gt;"",EA$8&lt;&gt;""),IF(EOMONTH($DZ$3+INT((DAY(EOMONTH($DZ$3,0))-1)/2)+EA$8,0)=EOMONTH($V$3,0),EA$6*EA$7,0),0),IF(AND(DW$6&lt;&gt;"",DW$8&lt;&gt;""),IF(EOMONTH($DV$3+INT((DAY(EOMONTH($DV$3,0))-1)/2)+DW$8,0)=EOMONTH($V$3,0),DW$6*DW$7,0),0),IF(AND(DS$6&lt;&gt;"",DS$8&lt;&gt;""),IF(EOMONTH($DR$3+INT((DAY(EOMONTH($DR$3,0))-1)/2)+DS$8,0)=EOMONTH($V$3,0),DS$6*DS$7,0),0),IF(AND(DO$6&lt;&gt;"",DO$8&lt;&gt;""),IF(EOMONTH($DN$3+INT((DAY(EOMONTH($DN$3,0))-1)/2)+DO$8,0)=EOMONTH($V$3,0),DO$6*DO$7,0),0),IF(AND(DK$6&lt;&gt;"",DK$8&lt;&gt;""),IF(EOMONTH($DJ$3+INT((DAY(EOMONTH($DJ$3,0))-1)/2)+DK$8,0)=EOMONTH($V$3,0),DK$6*DK$7,0),0),IF(AND(DG$6&lt;&gt;"",DG$8&lt;&gt;""),IF(EOMONTH($DF$3+INT((DAY(EOMONTH($DF$3,0))-1)/2)+DG$8,0)=EOMONTH($V$3,0),DG$6*DG$7,0),0),IF(AND(DC$6&lt;&gt;"",DC$8&lt;&gt;""),IF(EOMONTH($DB$3+INT((DAY(EOMONTH($DB$3,0))-1)/2)+DC$8,0)=EOMONTH($V$3,0),DC$6*DC$7,0),0),IF(AND(CY$6&lt;&gt;"",CY$8&lt;&gt;""),IF(EOMONTH($CX$3+INT((DAY(EOMONTH($CX$3,0))-1)/2)+CY$8,0)=EOMONTH($V$3,0),CY$6*CY$7,0),0),IF(AND(CU$6&lt;&gt;"",CU$8&lt;&gt;""),IF(EOMONTH($CT$3+INT((DAY(EOMONTH($CT$3,0))-1)/2)+CU$8,0)=EOMONTH($V$3,0),CU$6*CU$7,0),0),IF(AND(CQ$6&lt;&gt;"",CQ$8&lt;&gt;""),IF(EOMONTH($CP$3+INT((DAY(EOMONTH($CP$3,0))-1)/2)+CQ$8,0)=EOMONTH($V$3,0),CQ$6*CQ$7,0),0),IF(AND(CM$6&lt;&gt;"",CM$8&lt;&gt;""),IF(EOMONTH($CL$3+INT((DAY(EOMONTH($CL$3,0))-1)/2)+CM$8,0)=EOMONTH($V$3,0),CM$6*CM$7,0),0),IF(AND(CI$6&lt;&gt;"",CI$8&lt;&gt;""),IF(EOMONTH($CH$3+INT((DAY(EOMONTH($CH$3,0))-1)/2)+CI$8,0)=EOMONTH($V$3,0),CI$6*CI$7,0),0),IF(AND(CE$6&lt;&gt;"",CE$8&lt;&gt;""),IF(EOMONTH($CD$3+INT((DAY(EOMONTH($CD$3,0))-1)/2)+CE$8,0)=EOMONTH($V$3,0),CE$6*CE$7,0),0),IF(AND(CA$6&lt;&gt;"",CA$8&lt;&gt;""),IF(EOMONTH($BZ$3+INT((DAY(EOMONTH($BZ$3,0))-1)/2)+CA$8,0)=EOMONTH($V$3,0),CA$6*CA$7,0),0),IF(AND(BW$6&lt;&gt;"",BW$8&lt;&gt;""),IF(EOMONTH($BV$3+INT((DAY(EOMONTH($BV$3,0))-1)/2)+BW$8,0)=EOMONTH($V$3,0),BW$6*BW$7,0),0),IF(AND(BS$6&lt;&gt;"",BS$8&lt;&gt;""),IF(EOMONTH($BR$3+INT((DAY(EOMONTH($BR$3,0))-1)/2)+BS$8,0)=EOMONTH($V$3,0),BS$6*BS$7,0),0),IF(AND(BO$6&lt;&gt;"",BO$8&lt;&gt;""),IF(EOMONTH($BN$3+INT((DAY(EOMONTH($BN$3,0))-1)/2)+BO$8,0)=EOMONTH($V$3,0),BO$6*BO$7,0),0),IF(AND(BK$6&lt;&gt;"",BK$8&lt;&gt;""),IF(EOMONTH($BJ$3+INT((DAY(EOMONTH($BJ$3,0))-1)/2)+BK$8,0)=EOMONTH($V$3,0),BK$6*BK$7,0),0),IF(AND(BG$6&lt;&gt;"",BG$8&lt;&gt;""),IF(EOMONTH($BF$3+INT((DAY(EOMONTH($BF$3,0))-1)/2)+BG$8,0)=EOMONTH($V$3,0),BG$6*BG$7,0),0),IF(AND(BC$6&lt;&gt;"",BC$8&lt;&gt;""),IF(EOMONTH($BB$3+INT((DAY(EOMONTH($BB$3,0))-1)/2)+BC$8,0)=EOMONTH($V$3,0),BC$6*BC$7,0),0),IF(AND(AY$6&lt;&gt;"",AY$8&lt;&gt;""),IF(EOMONTH($AX$3+INT((DAY(EOMONTH($AX$3,0))-1)/2)+AY$8,0)=EOMONTH($V$3,0),AY$6*AY$7,0),0),IF(AND(AU$6&lt;&gt;"",AU$8&lt;&gt;""),IF(EOMONTH($AT$3+INT((DAY(EOMONTH($AT$3,0))-1)/2)+AU$8,0)=EOMONTH($V$3,0),AU$6*AU$7,0),0),IF(AND(AQ$6&lt;&gt;"",AQ$8&lt;&gt;""),IF(EOMONTH($AP$3+INT((DAY(EOMONTH($AP$3,0))-1)/2)+AQ$8,0)=EOMONTH($V$3,0),AQ$6*AQ$7,0),0),IF(AND(AM$6&lt;&gt;"",AM$8&lt;&gt;""),IF(EOMONTH($AL$3+INT((DAY(EOMONTH($AL$3,0))-1)/2)+AM$8,0)=EOMONTH($V$3,0),AM$6*AM$7,0),0),IF(AND(AI$6&lt;&gt;"",AI$8&lt;&gt;""),IF(EOMONTH($AH$3+INT((DAY(EOMONTH($AH$3,0))-1)/2)+AI$8,0)=EOMONTH($V$3,0),AI$6*AI$7,0),0),IF(AND(AE$6&lt;&gt;"",AE$8&lt;&gt;""),IF(EOMONTH($AD$3+INT((DAY(EOMONTH($AD$3,0))-1)/2)+AE$8,0)=EOMONTH($V$3,0),AE$6*AE$7,0),0),IF(AND(AA$6&lt;&gt;"",AA$8&lt;&gt;""),IF(EOMONTH($Z$3+INT((DAY(EOMONTH($Z$3,0))-1)/2)+AA$8,0)=EOMONTH($V$3,0),AA$6*AA$7,0),0),IF(AND(W$6&lt;&gt;"",W$8&lt;&gt;""),IF(EOMONTH($V$3+INT((DAY(EOMONTH($V$3,0))-1)/2)+W$8,0)=EOMONTH($V$3,0),W$6*W$7,0),0),IF(AND(S$6&lt;&gt;"",S$8&lt;&gt;""),IF(EOMONTH($R$3+INT((DAY(EOMONTH($R$3,0))-1)/2)+S$8,0)=EOMONTH($V$3,0),S$6*S$7,0),0),IF(AND(O$6&lt;&gt;"",O$8&lt;&gt;""),IF(EOMONTH($N$3+INT((DAY(EOMONTH($N$3,0))-1)/2)+O$8,0)=EOMONTH($V$3,0),O$6*O$7,0),0),IF(AND(K$6&lt;&gt;"",K$8&lt;&gt;""),IF(EOMONTH($J$3+INT((DAY(EOMONTH($J$3,0))-1)/2)+K$8,0)=EOMONTH($V$3,0),K$6*K$7,0),0),IF(AND(G$6&lt;&gt;"",G$8&lt;&gt;""),IF(EOMONTH($F$3+INT((DAY(EOMONTH($F$3,0))-1)/2)+G$8,0)=EOMONTH($V$3,0),G$6*G$7,0),0)),0))</f>
        <v>71</v>
      </c>
      <c r="X9" s="15">
        <f>ROUND(SUM(IF(AND(ER$6&lt;&gt;"",ER$8&lt;&gt;""),IF(EOMONTH($EP$3+INT((DAY(EOMONTH($EP$3,0))-1)/2)+ER$8,0)=EOMONTH($V$3,0),ER$6*ER$7,0),0),IF(AND(EN$6&lt;&gt;"",EN$8&lt;&gt;""),IF(EOMONTH($EL$3+INT((DAY(EOMONTH($EL$3,0))-1)/2)+EN$8,0)=EOMONTH($V$3,0),EN$6*EN$7,0),0),IF(AND(EJ$6&lt;&gt;"",EJ$8&lt;&gt;""),IF(EOMONTH($EH$3+INT((DAY(EOMONTH($EH$3,0))-1)/2)+EJ$8,0)=EOMONTH($V$3,0),EJ$6*EJ$7,0),0),IF(AND(EF$6&lt;&gt;"",EF$8&lt;&gt;""),IF(EOMONTH($ED$3+INT((DAY(EOMONTH($ED$3,0))-1)/2)+EF$8,0)=EOMONTH($V$3,0),EF$6*EF$7,0),0),IF(AND(EB$6&lt;&gt;"",EB$8&lt;&gt;""),IF(EOMONTH($DZ$3+INT((DAY(EOMONTH($DZ$3,0))-1)/2)+EB$8,0)=EOMONTH($V$3,0),EB$6*EB$7,0),0),IF(AND(DX$6&lt;&gt;"",DX$8&lt;&gt;""),IF(EOMONTH($DV$3+INT((DAY(EOMONTH($DV$3,0))-1)/2)+DX$8,0)=EOMONTH($V$3,0),DX$6*DX$7,0),0),IF(AND(DT$6&lt;&gt;"",DT$8&lt;&gt;""),IF(EOMONTH($DR$3+INT((DAY(EOMONTH($DR$3,0))-1)/2)+DT$8,0)=EOMONTH($V$3,0),DT$6*DT$7,0),0),IF(AND(DP$6&lt;&gt;"",DP$8&lt;&gt;""),IF(EOMONTH($DN$3+INT((DAY(EOMONTH($DN$3,0))-1)/2)+DP$8,0)=EOMONTH($V$3,0),DP$6*DP$7,0),0),IF(AND(DL$6&lt;&gt;"",DL$8&lt;&gt;""),IF(EOMONTH($DJ$3+INT((DAY(EOMONTH($DJ$3,0))-1)/2)+DL$8,0)=EOMONTH($V$3,0),DL$6*DL$7,0),0),IF(AND(DH$6&lt;&gt;"",DH$8&lt;&gt;""),IF(EOMONTH($DF$3+INT((DAY(EOMONTH($DF$3,0))-1)/2)+DH$8,0)=EOMONTH($V$3,0),DH$6*DH$7,0),0),IF(AND(DD$6&lt;&gt;"",DD$8&lt;&gt;""),IF(EOMONTH($DB$3+INT((DAY(EOMONTH($DB$3,0))-1)/2)+DD$8,0)=EOMONTH($V$3,0),DD$6*DD$7,0),0),IF(AND(CZ$6&lt;&gt;"",CZ$8&lt;&gt;""),IF(EOMONTH($CX$3+INT((DAY(EOMONTH($CX$3,0))-1)/2)+CZ$8,0)=EOMONTH($V$3,0),CZ$6*CZ$7,0),0),IF(AND(CV$6&lt;&gt;"",CV$8&lt;&gt;""),IF(EOMONTH($CT$3+INT((DAY(EOMONTH($CT$3,0))-1)/2)+CV$8,0)=EOMONTH($V$3,0),CV$6*CV$7,0),0),IF(AND(CR$6&lt;&gt;"",CR$8&lt;&gt;""),IF(EOMONTH($CP$3+INT((DAY(EOMONTH($CP$3,0))-1)/2)+CR$8,0)=EOMONTH($V$3,0),CR$6*CR$7,0),0),IF(AND(CN$6&lt;&gt;"",CN$8&lt;&gt;""),IF(EOMONTH($CL$3+INT((DAY(EOMONTH($CL$3,0))-1)/2)+CN$8,0)=EOMONTH($V$3,0),CN$6*CN$7,0),0),IF(AND(CJ$6&lt;&gt;"",CJ$8&lt;&gt;""),IF(EOMONTH($CH$3+INT((DAY(EOMONTH($CH$3,0))-1)/2)+CJ$8,0)=EOMONTH($V$3,0),CJ$6*CJ$7,0),0),IF(AND(CF$6&lt;&gt;"",CF$8&lt;&gt;""),IF(EOMONTH($CD$3+INT((DAY(EOMONTH($CD$3,0))-1)/2)+CF$8,0)=EOMONTH($V$3,0),CF$6*CF$7,0),0),IF(AND(CB$6&lt;&gt;"",CB$8&lt;&gt;""),IF(EOMONTH($BZ$3+INT((DAY(EOMONTH($BZ$3,0))-1)/2)+CB$8,0)=EOMONTH($V$3,0),CB$6*CB$7,0),0),IF(AND(BX$6&lt;&gt;"",BX$8&lt;&gt;""),IF(EOMONTH($BV$3+INT((DAY(EOMONTH($BV$3,0))-1)/2)+BX$8,0)=EOMONTH($V$3,0),BX$6*BX$7,0),0),IF(AND(BT$6&lt;&gt;"",BT$8&lt;&gt;""),IF(EOMONTH($BR$3+INT((DAY(EOMONTH($BR$3,0))-1)/2)+BT$8,0)=EOMONTH($V$3,0),BT$6*BT$7,0),0),IF(AND(BP$6&lt;&gt;"",BP$8&lt;&gt;""),IF(EOMONTH($BN$3+INT((DAY(EOMONTH($BN$3,0))-1)/2)+BP$8,0)=EOMONTH($V$3,0),BP$6*BP$7,0),0),IF(AND(BL$6&lt;&gt;"",BL$8&lt;&gt;""),IF(EOMONTH($BJ$3+INT((DAY(EOMONTH($BJ$3,0))-1)/2)+BL$8,0)=EOMONTH($V$3,0),BL$6*BL$7,0),0),IF(AND(BH$6&lt;&gt;"",BH$8&lt;&gt;""),IF(EOMONTH($BF$3+INT((DAY(EOMONTH($BF$3,0))-1)/2)+BH$8,0)=EOMONTH($V$3,0),BH$6*BH$7,0),0),IF(AND(BD$6&lt;&gt;"",BD$8&lt;&gt;""),IF(EOMONTH($BB$3+INT((DAY(EOMONTH($BB$3,0))-1)/2)+BD$8,0)=EOMONTH($V$3,0),BD$6*BD$7,0),0),IF(AND(AZ$6&lt;&gt;"",AZ$8&lt;&gt;""),IF(EOMONTH($AX$3+INT((DAY(EOMONTH($AX$3,0))-1)/2)+AZ$8,0)=EOMONTH($V$3,0),AZ$6*AZ$7,0),0),IF(AND(AV$6&lt;&gt;"",AV$8&lt;&gt;""),IF(EOMONTH($AT$3+INT((DAY(EOMONTH($AT$3,0))-1)/2)+AV$8,0)=EOMONTH($V$3,0),AV$6*AV$7,0),0),IF(AND(AR$6&lt;&gt;"",AR$8&lt;&gt;""),IF(EOMONTH($AP$3+INT((DAY(EOMONTH($AP$3,0))-1)/2)+AR$8,0)=EOMONTH($V$3,0),AR$6*AR$7,0),0),IF(AND(AN$6&lt;&gt;"",AN$8&lt;&gt;""),IF(EOMONTH($AL$3+INT((DAY(EOMONTH($AL$3,0))-1)/2)+AN$8,0)=EOMONTH($V$3,0),AN$6*AN$7,0),0),IF(AND(AJ$6&lt;&gt;"",AJ$8&lt;&gt;""),IF(EOMONTH($AH$3+INT((DAY(EOMONTH($AH$3,0))-1)/2)+AJ$8,0)=EOMONTH($V$3,0),AJ$6*AJ$7,0),0),IF(AND(AF$6&lt;&gt;"",AF$8&lt;&gt;""),IF(EOMONTH($AD$3+INT((DAY(EOMONTH($AD$3,0))-1)/2)+AF$8,0)=EOMONTH($V$3,0),AF$6*AF$7,0),0),IF(AND(AB$6&lt;&gt;"",AB$8&lt;&gt;""),IF(EOMONTH($Z$3+INT((DAY(EOMONTH($Z$3,0))-1)/2)+AB$8,0)=EOMONTH($V$3,0),AB$6*AB$7,0),0),IF(AND(X$6&lt;&gt;"",X$8&lt;&gt;""),IF(EOMONTH($V$3+INT((DAY(EOMONTH($V$3,0))-1)/2)+X$8,0)=EOMONTH($V$3,0),X$6*X$7,0),0),IF(AND(T$6&lt;&gt;"",T$8&lt;&gt;""),IF(EOMONTH($R$3+INT((DAY(EOMONTH($R$3,0))-1)/2)+T$8,0)=EOMONTH($V$3,0),T$6*T$7,0),0),IF(AND(P$6&lt;&gt;"",P$8&lt;&gt;""),IF(EOMONTH($N$3+INT((DAY(EOMONTH($N$3,0))-1)/2)+P$8,0)=EOMONTH($V$3,0),P$6*P$7,0),0),IF(AND(L$6&lt;&gt;"",L$8&lt;&gt;""),IF(EOMONTH($J$3+INT((DAY(EOMONTH($J$3,0))-1)/2)+L$8,0)=EOMONTH($V$3,0),L$6*L$7,0),0),IF(AND(H$6&lt;&gt;"",H$8&lt;&gt;""),IF(EOMONTH($F$3+INT((DAY(EOMONTH($F$3,0))-1)/2)+H$8,0)=EOMONTH($V$3,0),H$6*H$7,0),0)),0)</f>
        <v>71</v>
      </c>
      <c r="Y9" s="16">
        <f t="shared" si="13"/>
        <v>0</v>
      </c>
      <c r="Z9" s="17"/>
      <c r="AA9" s="14">
        <f>IF(Z$98=1,Z9,ROUND(SUM(IF(AND(EQ$6&lt;&gt;"",EQ$8&lt;&gt;""),IF(EOMONTH($EP$3+INT((DAY(EOMONTH($EP$3,0))-1)/2)+EQ$8,0)=EOMONTH($Z$3,0),EQ$6*EQ$7,0),0),IF(AND(EM$6&lt;&gt;"",EM$8&lt;&gt;""),IF(EOMONTH($EL$3+INT((DAY(EOMONTH($EL$3,0))-1)/2)+EM$8,0)=EOMONTH($Z$3,0),EM$6*EM$7,0),0),IF(AND(EI$6&lt;&gt;"",EI$8&lt;&gt;""),IF(EOMONTH($EH$3+INT((DAY(EOMONTH($EH$3,0))-1)/2)+EI$8,0)=EOMONTH($Z$3,0),EI$6*EI$7,0),0),IF(AND(EE$6&lt;&gt;"",EE$8&lt;&gt;""),IF(EOMONTH($ED$3+INT((DAY(EOMONTH($ED$3,0))-1)/2)+EE$8,0)=EOMONTH($Z$3,0),EE$6*EE$7,0),0),IF(AND(EA$6&lt;&gt;"",EA$8&lt;&gt;""),IF(EOMONTH($DZ$3+INT((DAY(EOMONTH($DZ$3,0))-1)/2)+EA$8,0)=EOMONTH($Z$3,0),EA$6*EA$7,0),0),IF(AND(DW$6&lt;&gt;"",DW$8&lt;&gt;""),IF(EOMONTH($DV$3+INT((DAY(EOMONTH($DV$3,0))-1)/2)+DW$8,0)=EOMONTH($Z$3,0),DW$6*DW$7,0),0),IF(AND(DS$6&lt;&gt;"",DS$8&lt;&gt;""),IF(EOMONTH($DR$3+INT((DAY(EOMONTH($DR$3,0))-1)/2)+DS$8,0)=EOMONTH($Z$3,0),DS$6*DS$7,0),0),IF(AND(DO$6&lt;&gt;"",DO$8&lt;&gt;""),IF(EOMONTH($DN$3+INT((DAY(EOMONTH($DN$3,0))-1)/2)+DO$8,0)=EOMONTH($Z$3,0),DO$6*DO$7,0),0),IF(AND(DK$6&lt;&gt;"",DK$8&lt;&gt;""),IF(EOMONTH($DJ$3+INT((DAY(EOMONTH($DJ$3,0))-1)/2)+DK$8,0)=EOMONTH($Z$3,0),DK$6*DK$7,0),0),IF(AND(DG$6&lt;&gt;"",DG$8&lt;&gt;""),IF(EOMONTH($DF$3+INT((DAY(EOMONTH($DF$3,0))-1)/2)+DG$8,0)=EOMONTH($Z$3,0),DG$6*DG$7,0),0),IF(AND(DC$6&lt;&gt;"",DC$8&lt;&gt;""),IF(EOMONTH($DB$3+INT((DAY(EOMONTH($DB$3,0))-1)/2)+DC$8,0)=EOMONTH($Z$3,0),DC$6*DC$7,0),0),IF(AND(CY$6&lt;&gt;"",CY$8&lt;&gt;""),IF(EOMONTH($CX$3+INT((DAY(EOMONTH($CX$3,0))-1)/2)+CY$8,0)=EOMONTH($Z$3,0),CY$6*CY$7,0),0),IF(AND(CU$6&lt;&gt;"",CU$8&lt;&gt;""),IF(EOMONTH($CT$3+INT((DAY(EOMONTH($CT$3,0))-1)/2)+CU$8,0)=EOMONTH($Z$3,0),CU$6*CU$7,0),0),IF(AND(CQ$6&lt;&gt;"",CQ$8&lt;&gt;""),IF(EOMONTH($CP$3+INT((DAY(EOMONTH($CP$3,0))-1)/2)+CQ$8,0)=EOMONTH($Z$3,0),CQ$6*CQ$7,0),0),IF(AND(CM$6&lt;&gt;"",CM$8&lt;&gt;""),IF(EOMONTH($CL$3+INT((DAY(EOMONTH($CL$3,0))-1)/2)+CM$8,0)=EOMONTH($Z$3,0),CM$6*CM$7,0),0),IF(AND(CI$6&lt;&gt;"",CI$8&lt;&gt;""),IF(EOMONTH($CH$3+INT((DAY(EOMONTH($CH$3,0))-1)/2)+CI$8,0)=EOMONTH($Z$3,0),CI$6*CI$7,0),0),IF(AND(CE$6&lt;&gt;"",CE$8&lt;&gt;""),IF(EOMONTH($CD$3+INT((DAY(EOMONTH($CD$3,0))-1)/2)+CE$8,0)=EOMONTH($Z$3,0),CE$6*CE$7,0),0),IF(AND(CA$6&lt;&gt;"",CA$8&lt;&gt;""),IF(EOMONTH($BZ$3+INT((DAY(EOMONTH($BZ$3,0))-1)/2)+CA$8,0)=EOMONTH($Z$3,0),CA$6*CA$7,0),0),IF(AND(BW$6&lt;&gt;"",BW$8&lt;&gt;""),IF(EOMONTH($BV$3+INT((DAY(EOMONTH($BV$3,0))-1)/2)+BW$8,0)=EOMONTH($Z$3,0),BW$6*BW$7,0),0),IF(AND(BS$6&lt;&gt;"",BS$8&lt;&gt;""),IF(EOMONTH($BR$3+INT((DAY(EOMONTH($BR$3,0))-1)/2)+BS$8,0)=EOMONTH($Z$3,0),BS$6*BS$7,0),0),IF(AND(BO$6&lt;&gt;"",BO$8&lt;&gt;""),IF(EOMONTH($BN$3+INT((DAY(EOMONTH($BN$3,0))-1)/2)+BO$8,0)=EOMONTH($Z$3,0),BO$6*BO$7,0),0),IF(AND(BK$6&lt;&gt;"",BK$8&lt;&gt;""),IF(EOMONTH($BJ$3+INT((DAY(EOMONTH($BJ$3,0))-1)/2)+BK$8,0)=EOMONTH($Z$3,0),BK$6*BK$7,0),0),IF(AND(BG$6&lt;&gt;"",BG$8&lt;&gt;""),IF(EOMONTH($BF$3+INT((DAY(EOMONTH($BF$3,0))-1)/2)+BG$8,0)=EOMONTH($Z$3,0),BG$6*BG$7,0),0),IF(AND(BC$6&lt;&gt;"",BC$8&lt;&gt;""),IF(EOMONTH($BB$3+INT((DAY(EOMONTH($BB$3,0))-1)/2)+BC$8,0)=EOMONTH($Z$3,0),BC$6*BC$7,0),0),IF(AND(AY$6&lt;&gt;"",AY$8&lt;&gt;""),IF(EOMONTH($AX$3+INT((DAY(EOMONTH($AX$3,0))-1)/2)+AY$8,0)=EOMONTH($Z$3,0),AY$6*AY$7,0),0),IF(AND(AU$6&lt;&gt;"",AU$8&lt;&gt;""),IF(EOMONTH($AT$3+INT((DAY(EOMONTH($AT$3,0))-1)/2)+AU$8,0)=EOMONTH($Z$3,0),AU$6*AU$7,0),0),IF(AND(AQ$6&lt;&gt;"",AQ$8&lt;&gt;""),IF(EOMONTH($AP$3+INT((DAY(EOMONTH($AP$3,0))-1)/2)+AQ$8,0)=EOMONTH($Z$3,0),AQ$6*AQ$7,0),0),IF(AND(AM$6&lt;&gt;"",AM$8&lt;&gt;""),IF(EOMONTH($AL$3+INT((DAY(EOMONTH($AL$3,0))-1)/2)+AM$8,0)=EOMONTH($Z$3,0),AM$6*AM$7,0),0),IF(AND(AI$6&lt;&gt;"",AI$8&lt;&gt;""),IF(EOMONTH($AH$3+INT((DAY(EOMONTH($AH$3,0))-1)/2)+AI$8,0)=EOMONTH($Z$3,0),AI$6*AI$7,0),0),IF(AND(AE$6&lt;&gt;"",AE$8&lt;&gt;""),IF(EOMONTH($AD$3+INT((DAY(EOMONTH($AD$3,0))-1)/2)+AE$8,0)=EOMONTH($Z$3,0),AE$6*AE$7,0),0),IF(AND(AA$6&lt;&gt;"",AA$8&lt;&gt;""),IF(EOMONTH($Z$3+INT((DAY(EOMONTH($Z$3,0))-1)/2)+AA$8,0)=EOMONTH($Z$3,0),AA$6*AA$7,0),0),IF(AND(W$6&lt;&gt;"",W$8&lt;&gt;""),IF(EOMONTH($V$3+INT((DAY(EOMONTH($V$3,0))-1)/2)+W$8,0)=EOMONTH($Z$3,0),W$6*W$7,0),0),IF(AND(S$6&lt;&gt;"",S$8&lt;&gt;""),IF(EOMONTH($R$3+INT((DAY(EOMONTH($R$3,0))-1)/2)+S$8,0)=EOMONTH($Z$3,0),S$6*S$7,0),0),IF(AND(O$6&lt;&gt;"",O$8&lt;&gt;""),IF(EOMONTH($N$3+INT((DAY(EOMONTH($N$3,0))-1)/2)+O$8,0)=EOMONTH($Z$3,0),O$6*O$7,0),0),IF(AND(K$6&lt;&gt;"",K$8&lt;&gt;""),IF(EOMONTH($J$3+INT((DAY(EOMONTH($J$3,0))-1)/2)+K$8,0)=EOMONTH($Z$3,0),K$6*K$7,0),0),IF(AND(G$6&lt;&gt;"",G$8&lt;&gt;""),IF(EOMONTH($F$3+INT((DAY(EOMONTH($F$3,0))-1)/2)+G$8,0)=EOMONTH($Z$3,0),G$6*G$7,0),0)),0))</f>
        <v>70</v>
      </c>
      <c r="AB9" s="15">
        <f>ROUND(SUM(IF(AND(ER$6&lt;&gt;"",ER$8&lt;&gt;""),IF(EOMONTH($EP$3+INT((DAY(EOMONTH($EP$3,0))-1)/2)+ER$8,0)=EOMONTH($Z$3,0),ER$6*ER$7,0),0),IF(AND(EN$6&lt;&gt;"",EN$8&lt;&gt;""),IF(EOMONTH($EL$3+INT((DAY(EOMONTH($EL$3,0))-1)/2)+EN$8,0)=EOMONTH($Z$3,0),EN$6*EN$7,0),0),IF(AND(EJ$6&lt;&gt;"",EJ$8&lt;&gt;""),IF(EOMONTH($EH$3+INT((DAY(EOMONTH($EH$3,0))-1)/2)+EJ$8,0)=EOMONTH($Z$3,0),EJ$6*EJ$7,0),0),IF(AND(EF$6&lt;&gt;"",EF$8&lt;&gt;""),IF(EOMONTH($ED$3+INT((DAY(EOMONTH($ED$3,0))-1)/2)+EF$8,0)=EOMONTH($Z$3,0),EF$6*EF$7,0),0),IF(AND(EB$6&lt;&gt;"",EB$8&lt;&gt;""),IF(EOMONTH($DZ$3+INT((DAY(EOMONTH($DZ$3,0))-1)/2)+EB$8,0)=EOMONTH($Z$3,0),EB$6*EB$7,0),0),IF(AND(DX$6&lt;&gt;"",DX$8&lt;&gt;""),IF(EOMONTH($DV$3+INT((DAY(EOMONTH($DV$3,0))-1)/2)+DX$8,0)=EOMONTH($Z$3,0),DX$6*DX$7,0),0),IF(AND(DT$6&lt;&gt;"",DT$8&lt;&gt;""),IF(EOMONTH($DR$3+INT((DAY(EOMONTH($DR$3,0))-1)/2)+DT$8,0)=EOMONTH($Z$3,0),DT$6*DT$7,0),0),IF(AND(DP$6&lt;&gt;"",DP$8&lt;&gt;""),IF(EOMONTH($DN$3+INT((DAY(EOMONTH($DN$3,0))-1)/2)+DP$8,0)=EOMONTH($Z$3,0),DP$6*DP$7,0),0),IF(AND(DL$6&lt;&gt;"",DL$8&lt;&gt;""),IF(EOMONTH($DJ$3+INT((DAY(EOMONTH($DJ$3,0))-1)/2)+DL$8,0)=EOMONTH($Z$3,0),DL$6*DL$7,0),0),IF(AND(DH$6&lt;&gt;"",DH$8&lt;&gt;""),IF(EOMONTH($DF$3+INT((DAY(EOMONTH($DF$3,0))-1)/2)+DH$8,0)=EOMONTH($Z$3,0),DH$6*DH$7,0),0),IF(AND(DD$6&lt;&gt;"",DD$8&lt;&gt;""),IF(EOMONTH($DB$3+INT((DAY(EOMONTH($DB$3,0))-1)/2)+DD$8,0)=EOMONTH($Z$3,0),DD$6*DD$7,0),0),IF(AND(CZ$6&lt;&gt;"",CZ$8&lt;&gt;""),IF(EOMONTH($CX$3+INT((DAY(EOMONTH($CX$3,0))-1)/2)+CZ$8,0)=EOMONTH($Z$3,0),CZ$6*CZ$7,0),0),IF(AND(CV$6&lt;&gt;"",CV$8&lt;&gt;""),IF(EOMONTH($CT$3+INT((DAY(EOMONTH($CT$3,0))-1)/2)+CV$8,0)=EOMONTH($Z$3,0),CV$6*CV$7,0),0),IF(AND(CR$6&lt;&gt;"",CR$8&lt;&gt;""),IF(EOMONTH($CP$3+INT((DAY(EOMONTH($CP$3,0))-1)/2)+CR$8,0)=EOMONTH($Z$3,0),CR$6*CR$7,0),0),IF(AND(CN$6&lt;&gt;"",CN$8&lt;&gt;""),IF(EOMONTH($CL$3+INT((DAY(EOMONTH($CL$3,0))-1)/2)+CN$8,0)=EOMONTH($Z$3,0),CN$6*CN$7,0),0),IF(AND(CJ$6&lt;&gt;"",CJ$8&lt;&gt;""),IF(EOMONTH($CH$3+INT((DAY(EOMONTH($CH$3,0))-1)/2)+CJ$8,0)=EOMONTH($Z$3,0),CJ$6*CJ$7,0),0),IF(AND(CF$6&lt;&gt;"",CF$8&lt;&gt;""),IF(EOMONTH($CD$3+INT((DAY(EOMONTH($CD$3,0))-1)/2)+CF$8,0)=EOMONTH($Z$3,0),CF$6*CF$7,0),0),IF(AND(CB$6&lt;&gt;"",CB$8&lt;&gt;""),IF(EOMONTH($BZ$3+INT((DAY(EOMONTH($BZ$3,0))-1)/2)+CB$8,0)=EOMONTH($Z$3,0),CB$6*CB$7,0),0),IF(AND(BX$6&lt;&gt;"",BX$8&lt;&gt;""),IF(EOMONTH($BV$3+INT((DAY(EOMONTH($BV$3,0))-1)/2)+BX$8,0)=EOMONTH($Z$3,0),BX$6*BX$7,0),0),IF(AND(BT$6&lt;&gt;"",BT$8&lt;&gt;""),IF(EOMONTH($BR$3+INT((DAY(EOMONTH($BR$3,0))-1)/2)+BT$8,0)=EOMONTH($Z$3,0),BT$6*BT$7,0),0),IF(AND(BP$6&lt;&gt;"",BP$8&lt;&gt;""),IF(EOMONTH($BN$3+INT((DAY(EOMONTH($BN$3,0))-1)/2)+BP$8,0)=EOMONTH($Z$3,0),BP$6*BP$7,0),0),IF(AND(BL$6&lt;&gt;"",BL$8&lt;&gt;""),IF(EOMONTH($BJ$3+INT((DAY(EOMONTH($BJ$3,0))-1)/2)+BL$8,0)=EOMONTH($Z$3,0),BL$6*BL$7,0),0),IF(AND(BH$6&lt;&gt;"",BH$8&lt;&gt;""),IF(EOMONTH($BF$3+INT((DAY(EOMONTH($BF$3,0))-1)/2)+BH$8,0)=EOMONTH($Z$3,0),BH$6*BH$7,0),0),IF(AND(BD$6&lt;&gt;"",BD$8&lt;&gt;""),IF(EOMONTH($BB$3+INT((DAY(EOMONTH($BB$3,0))-1)/2)+BD$8,0)=EOMONTH($Z$3,0),BD$6*BD$7,0),0),IF(AND(AZ$6&lt;&gt;"",AZ$8&lt;&gt;""),IF(EOMONTH($AX$3+INT((DAY(EOMONTH($AX$3,0))-1)/2)+AZ$8,0)=EOMONTH($Z$3,0),AZ$6*AZ$7,0),0),IF(AND(AV$6&lt;&gt;"",AV$8&lt;&gt;""),IF(EOMONTH($AT$3+INT((DAY(EOMONTH($AT$3,0))-1)/2)+AV$8,0)=EOMONTH($Z$3,0),AV$6*AV$7,0),0),IF(AND(AR$6&lt;&gt;"",AR$8&lt;&gt;""),IF(EOMONTH($AP$3+INT((DAY(EOMONTH($AP$3,0))-1)/2)+AR$8,0)=EOMONTH($Z$3,0),AR$6*AR$7,0),0),IF(AND(AN$6&lt;&gt;"",AN$8&lt;&gt;""),IF(EOMONTH($AL$3+INT((DAY(EOMONTH($AL$3,0))-1)/2)+AN$8,0)=EOMONTH($Z$3,0),AN$6*AN$7,0),0),IF(AND(AJ$6&lt;&gt;"",AJ$8&lt;&gt;""),IF(EOMONTH($AH$3+INT((DAY(EOMONTH($AH$3,0))-1)/2)+AJ$8,0)=EOMONTH($Z$3,0),AJ$6*AJ$7,0),0),IF(AND(AF$6&lt;&gt;"",AF$8&lt;&gt;""),IF(EOMONTH($AD$3+INT((DAY(EOMONTH($AD$3,0))-1)/2)+AF$8,0)=EOMONTH($Z$3,0),AF$6*AF$7,0),0),IF(AND(AB$6&lt;&gt;"",AB$8&lt;&gt;""),IF(EOMONTH($Z$3+INT((DAY(EOMONTH($Z$3,0))-1)/2)+AB$8,0)=EOMONTH($Z$3,0),AB$6*AB$7,0),0),IF(AND(X$6&lt;&gt;"",X$8&lt;&gt;""),IF(EOMONTH($V$3+INT((DAY(EOMONTH($V$3,0))-1)/2)+X$8,0)=EOMONTH($Z$3,0),X$6*X$7,0),0),IF(AND(T$6&lt;&gt;"",T$8&lt;&gt;""),IF(EOMONTH($R$3+INT((DAY(EOMONTH($R$3,0))-1)/2)+T$8,0)=EOMONTH($Z$3,0),T$6*T$7,0),0),IF(AND(P$6&lt;&gt;"",P$8&lt;&gt;""),IF(EOMONTH($N$3+INT((DAY(EOMONTH($N$3,0))-1)/2)+P$8,0)=EOMONTH($Z$3,0),P$6*P$7,0),0),IF(AND(L$6&lt;&gt;"",L$8&lt;&gt;""),IF(EOMONTH($J$3+INT((DAY(EOMONTH($J$3,0))-1)/2)+L$8,0)=EOMONTH($Z$3,0),L$6*L$7,0),0),IF(AND(H$6&lt;&gt;"",H$8&lt;&gt;""),IF(EOMONTH($F$3+INT((DAY(EOMONTH($F$3,0))-1)/2)+H$8,0)=EOMONTH($Z$3,0),H$6*H$7,0),0)),0)</f>
        <v>70</v>
      </c>
      <c r="AC9" s="16">
        <f t="shared" si="15"/>
        <v>0</v>
      </c>
      <c r="AD9" s="17"/>
      <c r="AE9" s="14">
        <f>IF(AD$98=1,AD9,ROUND(SUM(IF(AND(EQ$6&lt;&gt;"",EQ$8&lt;&gt;""),IF(EOMONTH($EP$3+INT((DAY(EOMONTH($EP$3,0))-1)/2)+EQ$8,0)=EOMONTH($AD$3,0),EQ$6*EQ$7,0),0),IF(AND(EM$6&lt;&gt;"",EM$8&lt;&gt;""),IF(EOMONTH($EL$3+INT((DAY(EOMONTH($EL$3,0))-1)/2)+EM$8,0)=EOMONTH($AD$3,0),EM$6*EM$7,0),0),IF(AND(EI$6&lt;&gt;"",EI$8&lt;&gt;""),IF(EOMONTH($EH$3+INT((DAY(EOMONTH($EH$3,0))-1)/2)+EI$8,0)=EOMONTH($AD$3,0),EI$6*EI$7,0),0),IF(AND(EE$6&lt;&gt;"",EE$8&lt;&gt;""),IF(EOMONTH($ED$3+INT((DAY(EOMONTH($ED$3,0))-1)/2)+EE$8,0)=EOMONTH($AD$3,0),EE$6*EE$7,0),0),IF(AND(EA$6&lt;&gt;"",EA$8&lt;&gt;""),IF(EOMONTH($DZ$3+INT((DAY(EOMONTH($DZ$3,0))-1)/2)+EA$8,0)=EOMONTH($AD$3,0),EA$6*EA$7,0),0),IF(AND(DW$6&lt;&gt;"",DW$8&lt;&gt;""),IF(EOMONTH($DV$3+INT((DAY(EOMONTH($DV$3,0))-1)/2)+DW$8,0)=EOMONTH($AD$3,0),DW$6*DW$7,0),0),IF(AND(DS$6&lt;&gt;"",DS$8&lt;&gt;""),IF(EOMONTH($DR$3+INT((DAY(EOMONTH($DR$3,0))-1)/2)+DS$8,0)=EOMONTH($AD$3,0),DS$6*DS$7,0),0),IF(AND(DO$6&lt;&gt;"",DO$8&lt;&gt;""),IF(EOMONTH($DN$3+INT((DAY(EOMONTH($DN$3,0))-1)/2)+DO$8,0)=EOMONTH($AD$3,0),DO$6*DO$7,0),0),IF(AND(DK$6&lt;&gt;"",DK$8&lt;&gt;""),IF(EOMONTH($DJ$3+INT((DAY(EOMONTH($DJ$3,0))-1)/2)+DK$8,0)=EOMONTH($AD$3,0),DK$6*DK$7,0),0),IF(AND(DG$6&lt;&gt;"",DG$8&lt;&gt;""),IF(EOMONTH($DF$3+INT((DAY(EOMONTH($DF$3,0))-1)/2)+DG$8,0)=EOMONTH($AD$3,0),DG$6*DG$7,0),0),IF(AND(DC$6&lt;&gt;"",DC$8&lt;&gt;""),IF(EOMONTH($DB$3+INT((DAY(EOMONTH($DB$3,0))-1)/2)+DC$8,0)=EOMONTH($AD$3,0),DC$6*DC$7,0),0),IF(AND(CY$6&lt;&gt;"",CY$8&lt;&gt;""),IF(EOMONTH($CX$3+INT((DAY(EOMONTH($CX$3,0))-1)/2)+CY$8,0)=EOMONTH($AD$3,0),CY$6*CY$7,0),0),IF(AND(CU$6&lt;&gt;"",CU$8&lt;&gt;""),IF(EOMONTH($CT$3+INT((DAY(EOMONTH($CT$3,0))-1)/2)+CU$8,0)=EOMONTH($AD$3,0),CU$6*CU$7,0),0),IF(AND(CQ$6&lt;&gt;"",CQ$8&lt;&gt;""),IF(EOMONTH($CP$3+INT((DAY(EOMONTH($CP$3,0))-1)/2)+CQ$8,0)=EOMONTH($AD$3,0),CQ$6*CQ$7,0),0),IF(AND(CM$6&lt;&gt;"",CM$8&lt;&gt;""),IF(EOMONTH($CL$3+INT((DAY(EOMONTH($CL$3,0))-1)/2)+CM$8,0)=EOMONTH($AD$3,0),CM$6*CM$7,0),0),IF(AND(CI$6&lt;&gt;"",CI$8&lt;&gt;""),IF(EOMONTH($CH$3+INT((DAY(EOMONTH($CH$3,0))-1)/2)+CI$8,0)=EOMONTH($AD$3,0),CI$6*CI$7,0),0),IF(AND(CE$6&lt;&gt;"",CE$8&lt;&gt;""),IF(EOMONTH($CD$3+INT((DAY(EOMONTH($CD$3,0))-1)/2)+CE$8,0)=EOMONTH($AD$3,0),CE$6*CE$7,0),0),IF(AND(CA$6&lt;&gt;"",CA$8&lt;&gt;""),IF(EOMONTH($BZ$3+INT((DAY(EOMONTH($BZ$3,0))-1)/2)+CA$8,0)=EOMONTH($AD$3,0),CA$6*CA$7,0),0),IF(AND(BW$6&lt;&gt;"",BW$8&lt;&gt;""),IF(EOMONTH($BV$3+INT((DAY(EOMONTH($BV$3,0))-1)/2)+BW$8,0)=EOMONTH($AD$3,0),BW$6*BW$7,0),0),IF(AND(BS$6&lt;&gt;"",BS$8&lt;&gt;""),IF(EOMONTH($BR$3+INT((DAY(EOMONTH($BR$3,0))-1)/2)+BS$8,0)=EOMONTH($AD$3,0),BS$6*BS$7,0),0),IF(AND(BO$6&lt;&gt;"",BO$8&lt;&gt;""),IF(EOMONTH($BN$3+INT((DAY(EOMONTH($BN$3,0))-1)/2)+BO$8,0)=EOMONTH($AD$3,0),BO$6*BO$7,0),0),IF(AND(BK$6&lt;&gt;"",BK$8&lt;&gt;""),IF(EOMONTH($BJ$3+INT((DAY(EOMONTH($BJ$3,0))-1)/2)+BK$8,0)=EOMONTH($AD$3,0),BK$6*BK$7,0),0),IF(AND(BG$6&lt;&gt;"",BG$8&lt;&gt;""),IF(EOMONTH($BF$3+INT((DAY(EOMONTH($BF$3,0))-1)/2)+BG$8,0)=EOMONTH($AD$3,0),BG$6*BG$7,0),0),IF(AND(BC$6&lt;&gt;"",BC$8&lt;&gt;""),IF(EOMONTH($BB$3+INT((DAY(EOMONTH($BB$3,0))-1)/2)+BC$8,0)=EOMONTH($AD$3,0),BC$6*BC$7,0),0),IF(AND(AY$6&lt;&gt;"",AY$8&lt;&gt;""),IF(EOMONTH($AX$3+INT((DAY(EOMONTH($AX$3,0))-1)/2)+AY$8,0)=EOMONTH($AD$3,0),AY$6*AY$7,0),0),IF(AND(AU$6&lt;&gt;"",AU$8&lt;&gt;""),IF(EOMONTH($AT$3+INT((DAY(EOMONTH($AT$3,0))-1)/2)+AU$8,0)=EOMONTH($AD$3,0),AU$6*AU$7,0),0),IF(AND(AQ$6&lt;&gt;"",AQ$8&lt;&gt;""),IF(EOMONTH($AP$3+INT((DAY(EOMONTH($AP$3,0))-1)/2)+AQ$8,0)=EOMONTH($AD$3,0),AQ$6*AQ$7,0),0),IF(AND(AM$6&lt;&gt;"",AM$8&lt;&gt;""),IF(EOMONTH($AL$3+INT((DAY(EOMONTH($AL$3,0))-1)/2)+AM$8,0)=EOMONTH($AD$3,0),AM$6*AM$7,0),0),IF(AND(AI$6&lt;&gt;"",AI$8&lt;&gt;""),IF(EOMONTH($AH$3+INT((DAY(EOMONTH($AH$3,0))-1)/2)+AI$8,0)=EOMONTH($AD$3,0),AI$6*AI$7,0),0),IF(AND(AE$6&lt;&gt;"",AE$8&lt;&gt;""),IF(EOMONTH($AD$3+INT((DAY(EOMONTH($AD$3,0))-1)/2)+AE$8,0)=EOMONTH($AD$3,0),AE$6*AE$7,0),0),IF(AND(AA$6&lt;&gt;"",AA$8&lt;&gt;""),IF(EOMONTH($Z$3+INT((DAY(EOMONTH($Z$3,0))-1)/2)+AA$8,0)=EOMONTH($AD$3,0),AA$6*AA$7,0),0),IF(AND(W$6&lt;&gt;"",W$8&lt;&gt;""),IF(EOMONTH($V$3+INT((DAY(EOMONTH($V$3,0))-1)/2)+W$8,0)=EOMONTH($AD$3,0),W$6*W$7,0),0),IF(AND(S$6&lt;&gt;"",S$8&lt;&gt;""),IF(EOMONTH($R$3+INT((DAY(EOMONTH($R$3,0))-1)/2)+S$8,0)=EOMONTH($AD$3,0),S$6*S$7,0),0),IF(AND(O$6&lt;&gt;"",O$8&lt;&gt;""),IF(EOMONTH($N$3+INT((DAY(EOMONTH($N$3,0))-1)/2)+O$8,0)=EOMONTH($AD$3,0),O$6*O$7,0),0),IF(AND(K$6&lt;&gt;"",K$8&lt;&gt;""),IF(EOMONTH($J$3+INT((DAY(EOMONTH($J$3,0))-1)/2)+K$8,0)=EOMONTH($AD$3,0),K$6*K$7,0),0),IF(AND(G$6&lt;&gt;"",G$8&lt;&gt;""),IF(EOMONTH($F$3+INT((DAY(EOMONTH($F$3,0))-1)/2)+G$8,0)=EOMONTH($AD$3,0),G$6*G$7,0),0)),0))</f>
        <v>69</v>
      </c>
      <c r="AF9" s="15">
        <f>ROUND(SUM(IF(AND(ER$6&lt;&gt;"",ER$8&lt;&gt;""),IF(EOMONTH($EP$3+INT((DAY(EOMONTH($EP$3,0))-1)/2)+ER$8,0)=EOMONTH($AD$3,0),ER$6*ER$7,0),0),IF(AND(EN$6&lt;&gt;"",EN$8&lt;&gt;""),IF(EOMONTH($EL$3+INT((DAY(EOMONTH($EL$3,0))-1)/2)+EN$8,0)=EOMONTH($AD$3,0),EN$6*EN$7,0),0),IF(AND(EJ$6&lt;&gt;"",EJ$8&lt;&gt;""),IF(EOMONTH($EH$3+INT((DAY(EOMONTH($EH$3,0))-1)/2)+EJ$8,0)=EOMONTH($AD$3,0),EJ$6*EJ$7,0),0),IF(AND(EF$6&lt;&gt;"",EF$8&lt;&gt;""),IF(EOMONTH($ED$3+INT((DAY(EOMONTH($ED$3,0))-1)/2)+EF$8,0)=EOMONTH($AD$3,0),EF$6*EF$7,0),0),IF(AND(EB$6&lt;&gt;"",EB$8&lt;&gt;""),IF(EOMONTH($DZ$3+INT((DAY(EOMONTH($DZ$3,0))-1)/2)+EB$8,0)=EOMONTH($AD$3,0),EB$6*EB$7,0),0),IF(AND(DX$6&lt;&gt;"",DX$8&lt;&gt;""),IF(EOMONTH($DV$3+INT((DAY(EOMONTH($DV$3,0))-1)/2)+DX$8,0)=EOMONTH($AD$3,0),DX$6*DX$7,0),0),IF(AND(DT$6&lt;&gt;"",DT$8&lt;&gt;""),IF(EOMONTH($DR$3+INT((DAY(EOMONTH($DR$3,0))-1)/2)+DT$8,0)=EOMONTH($AD$3,0),DT$6*DT$7,0),0),IF(AND(DP$6&lt;&gt;"",DP$8&lt;&gt;""),IF(EOMONTH($DN$3+INT((DAY(EOMONTH($DN$3,0))-1)/2)+DP$8,0)=EOMONTH($AD$3,0),DP$6*DP$7,0),0),IF(AND(DL$6&lt;&gt;"",DL$8&lt;&gt;""),IF(EOMONTH($DJ$3+INT((DAY(EOMONTH($DJ$3,0))-1)/2)+DL$8,0)=EOMONTH($AD$3,0),DL$6*DL$7,0),0),IF(AND(DH$6&lt;&gt;"",DH$8&lt;&gt;""),IF(EOMONTH($DF$3+INT((DAY(EOMONTH($DF$3,0))-1)/2)+DH$8,0)=EOMONTH($AD$3,0),DH$6*DH$7,0),0),IF(AND(DD$6&lt;&gt;"",DD$8&lt;&gt;""),IF(EOMONTH($DB$3+INT((DAY(EOMONTH($DB$3,0))-1)/2)+DD$8,0)=EOMONTH($AD$3,0),DD$6*DD$7,0),0),IF(AND(CZ$6&lt;&gt;"",CZ$8&lt;&gt;""),IF(EOMONTH($CX$3+INT((DAY(EOMONTH($CX$3,0))-1)/2)+CZ$8,0)=EOMONTH($AD$3,0),CZ$6*CZ$7,0),0),IF(AND(CV$6&lt;&gt;"",CV$8&lt;&gt;""),IF(EOMONTH($CT$3+INT((DAY(EOMONTH($CT$3,0))-1)/2)+CV$8,0)=EOMONTH($AD$3,0),CV$6*CV$7,0),0),IF(AND(CR$6&lt;&gt;"",CR$8&lt;&gt;""),IF(EOMONTH($CP$3+INT((DAY(EOMONTH($CP$3,0))-1)/2)+CR$8,0)=EOMONTH($AD$3,0),CR$6*CR$7,0),0),IF(AND(CN$6&lt;&gt;"",CN$8&lt;&gt;""),IF(EOMONTH($CL$3+INT((DAY(EOMONTH($CL$3,0))-1)/2)+CN$8,0)=EOMONTH($AD$3,0),CN$6*CN$7,0),0),IF(AND(CJ$6&lt;&gt;"",CJ$8&lt;&gt;""),IF(EOMONTH($CH$3+INT((DAY(EOMONTH($CH$3,0))-1)/2)+CJ$8,0)=EOMONTH($AD$3,0),CJ$6*CJ$7,0),0),IF(AND(CF$6&lt;&gt;"",CF$8&lt;&gt;""),IF(EOMONTH($CD$3+INT((DAY(EOMONTH($CD$3,0))-1)/2)+CF$8,0)=EOMONTH($AD$3,0),CF$6*CF$7,0),0),IF(AND(CB$6&lt;&gt;"",CB$8&lt;&gt;""),IF(EOMONTH($BZ$3+INT((DAY(EOMONTH($BZ$3,0))-1)/2)+CB$8,0)=EOMONTH($AD$3,0),CB$6*CB$7,0),0),IF(AND(BX$6&lt;&gt;"",BX$8&lt;&gt;""),IF(EOMONTH($BV$3+INT((DAY(EOMONTH($BV$3,0))-1)/2)+BX$8,0)=EOMONTH($AD$3,0),BX$6*BX$7,0),0),IF(AND(BT$6&lt;&gt;"",BT$8&lt;&gt;""),IF(EOMONTH($BR$3+INT((DAY(EOMONTH($BR$3,0))-1)/2)+BT$8,0)=EOMONTH($AD$3,0),BT$6*BT$7,0),0),IF(AND(BP$6&lt;&gt;"",BP$8&lt;&gt;""),IF(EOMONTH($BN$3+INT((DAY(EOMONTH($BN$3,0))-1)/2)+BP$8,0)=EOMONTH($AD$3,0),BP$6*BP$7,0),0),IF(AND(BL$6&lt;&gt;"",BL$8&lt;&gt;""),IF(EOMONTH($BJ$3+INT((DAY(EOMONTH($BJ$3,0))-1)/2)+BL$8,0)=EOMONTH($AD$3,0),BL$6*BL$7,0),0),IF(AND(BH$6&lt;&gt;"",BH$8&lt;&gt;""),IF(EOMONTH($BF$3+INT((DAY(EOMONTH($BF$3,0))-1)/2)+BH$8,0)=EOMONTH($AD$3,0),BH$6*BH$7,0),0),IF(AND(BD$6&lt;&gt;"",BD$8&lt;&gt;""),IF(EOMONTH($BB$3+INT((DAY(EOMONTH($BB$3,0))-1)/2)+BD$8,0)=EOMONTH($AD$3,0),BD$6*BD$7,0),0),IF(AND(AZ$6&lt;&gt;"",AZ$8&lt;&gt;""),IF(EOMONTH($AX$3+INT((DAY(EOMONTH($AX$3,0))-1)/2)+AZ$8,0)=EOMONTH($AD$3,0),AZ$6*AZ$7,0),0),IF(AND(AV$6&lt;&gt;"",AV$8&lt;&gt;""),IF(EOMONTH($AT$3+INT((DAY(EOMONTH($AT$3,0))-1)/2)+AV$8,0)=EOMONTH($AD$3,0),AV$6*AV$7,0),0),IF(AND(AR$6&lt;&gt;"",AR$8&lt;&gt;""),IF(EOMONTH($AP$3+INT((DAY(EOMONTH($AP$3,0))-1)/2)+AR$8,0)=EOMONTH($AD$3,0),AR$6*AR$7,0),0),IF(AND(AN$6&lt;&gt;"",AN$8&lt;&gt;""),IF(EOMONTH($AL$3+INT((DAY(EOMONTH($AL$3,0))-1)/2)+AN$8,0)=EOMONTH($AD$3,0),AN$6*AN$7,0),0),IF(AND(AJ$6&lt;&gt;"",AJ$8&lt;&gt;""),IF(EOMONTH($AH$3+INT((DAY(EOMONTH($AH$3,0))-1)/2)+AJ$8,0)=EOMONTH($AD$3,0),AJ$6*AJ$7,0),0),IF(AND(AF$6&lt;&gt;"",AF$8&lt;&gt;""),IF(EOMONTH($AD$3+INT((DAY(EOMONTH($AD$3,0))-1)/2)+AF$8,0)=EOMONTH($AD$3,0),AF$6*AF$7,0),0),IF(AND(AB$6&lt;&gt;"",AB$8&lt;&gt;""),IF(EOMONTH($Z$3+INT((DAY(EOMONTH($Z$3,0))-1)/2)+AB$8,0)=EOMONTH($AD$3,0),AB$6*AB$7,0),0),IF(AND(X$6&lt;&gt;"",X$8&lt;&gt;""),IF(EOMONTH($V$3+INT((DAY(EOMONTH($V$3,0))-1)/2)+X$8,0)=EOMONTH($AD$3,0),X$6*X$7,0),0),IF(AND(T$6&lt;&gt;"",T$8&lt;&gt;""),IF(EOMONTH($R$3+INT((DAY(EOMONTH($R$3,0))-1)/2)+T$8,0)=EOMONTH($AD$3,0),T$6*T$7,0),0),IF(AND(P$6&lt;&gt;"",P$8&lt;&gt;""),IF(EOMONTH($N$3+INT((DAY(EOMONTH($N$3,0))-1)/2)+P$8,0)=EOMONTH($AD$3,0),P$6*P$7,0),0),IF(AND(L$6&lt;&gt;"",L$8&lt;&gt;""),IF(EOMONTH($J$3+INT((DAY(EOMONTH($J$3,0))-1)/2)+L$8,0)=EOMONTH($AD$3,0),L$6*L$7,0),0),IF(AND(H$6&lt;&gt;"",H$8&lt;&gt;""),IF(EOMONTH($F$3+INT((DAY(EOMONTH($F$3,0))-1)/2)+H$8,0)=EOMONTH($AD$3,0),H$6*H$7,0),0)),0)</f>
        <v>69</v>
      </c>
      <c r="AG9" s="16">
        <f t="shared" si="17"/>
        <v>0</v>
      </c>
      <c r="AH9" s="17"/>
      <c r="AI9" s="14">
        <f>IF(AH$98=1,AH9,ROUND(SUM(IF(AND(EQ$6&lt;&gt;"",EQ$8&lt;&gt;""),IF(EOMONTH($EP$3+INT((DAY(EOMONTH($EP$3,0))-1)/2)+EQ$8,0)=EOMONTH($AH$3,0),EQ$6*EQ$7,0),0),IF(AND(EM$6&lt;&gt;"",EM$8&lt;&gt;""),IF(EOMONTH($EL$3+INT((DAY(EOMONTH($EL$3,0))-1)/2)+EM$8,0)=EOMONTH($AH$3,0),EM$6*EM$7,0),0),IF(AND(EI$6&lt;&gt;"",EI$8&lt;&gt;""),IF(EOMONTH($EH$3+INT((DAY(EOMONTH($EH$3,0))-1)/2)+EI$8,0)=EOMONTH($AH$3,0),EI$6*EI$7,0),0),IF(AND(EE$6&lt;&gt;"",EE$8&lt;&gt;""),IF(EOMONTH($ED$3+INT((DAY(EOMONTH($ED$3,0))-1)/2)+EE$8,0)=EOMONTH($AH$3,0),EE$6*EE$7,0),0),IF(AND(EA$6&lt;&gt;"",EA$8&lt;&gt;""),IF(EOMONTH($DZ$3+INT((DAY(EOMONTH($DZ$3,0))-1)/2)+EA$8,0)=EOMONTH($AH$3,0),EA$6*EA$7,0),0),IF(AND(DW$6&lt;&gt;"",DW$8&lt;&gt;""),IF(EOMONTH($DV$3+INT((DAY(EOMONTH($DV$3,0))-1)/2)+DW$8,0)=EOMONTH($AH$3,0),DW$6*DW$7,0),0),IF(AND(DS$6&lt;&gt;"",DS$8&lt;&gt;""),IF(EOMONTH($DR$3+INT((DAY(EOMONTH($DR$3,0))-1)/2)+DS$8,0)=EOMONTH($AH$3,0),DS$6*DS$7,0),0),IF(AND(DO$6&lt;&gt;"",DO$8&lt;&gt;""),IF(EOMONTH($DN$3+INT((DAY(EOMONTH($DN$3,0))-1)/2)+DO$8,0)=EOMONTH($AH$3,0),DO$6*DO$7,0),0),IF(AND(DK$6&lt;&gt;"",DK$8&lt;&gt;""),IF(EOMONTH($DJ$3+INT((DAY(EOMONTH($DJ$3,0))-1)/2)+DK$8,0)=EOMONTH($AH$3,0),DK$6*DK$7,0),0),IF(AND(DG$6&lt;&gt;"",DG$8&lt;&gt;""),IF(EOMONTH($DF$3+INT((DAY(EOMONTH($DF$3,0))-1)/2)+DG$8,0)=EOMONTH($AH$3,0),DG$6*DG$7,0),0),IF(AND(DC$6&lt;&gt;"",DC$8&lt;&gt;""),IF(EOMONTH($DB$3+INT((DAY(EOMONTH($DB$3,0))-1)/2)+DC$8,0)=EOMONTH($AH$3,0),DC$6*DC$7,0),0),IF(AND(CY$6&lt;&gt;"",CY$8&lt;&gt;""),IF(EOMONTH($CX$3+INT((DAY(EOMONTH($CX$3,0))-1)/2)+CY$8,0)=EOMONTH($AH$3,0),CY$6*CY$7,0),0),IF(AND(CU$6&lt;&gt;"",CU$8&lt;&gt;""),IF(EOMONTH($CT$3+INT((DAY(EOMONTH($CT$3,0))-1)/2)+CU$8,0)=EOMONTH($AH$3,0),CU$6*CU$7,0),0),IF(AND(CQ$6&lt;&gt;"",CQ$8&lt;&gt;""),IF(EOMONTH($CP$3+INT((DAY(EOMONTH($CP$3,0))-1)/2)+CQ$8,0)=EOMONTH($AH$3,0),CQ$6*CQ$7,0),0),IF(AND(CM$6&lt;&gt;"",CM$8&lt;&gt;""),IF(EOMONTH($CL$3+INT((DAY(EOMONTH($CL$3,0))-1)/2)+CM$8,0)=EOMONTH($AH$3,0),CM$6*CM$7,0),0),IF(AND(CI$6&lt;&gt;"",CI$8&lt;&gt;""),IF(EOMONTH($CH$3+INT((DAY(EOMONTH($CH$3,0))-1)/2)+CI$8,0)=EOMONTH($AH$3,0),CI$6*CI$7,0),0),IF(AND(CE$6&lt;&gt;"",CE$8&lt;&gt;""),IF(EOMONTH($CD$3+INT((DAY(EOMONTH($CD$3,0))-1)/2)+CE$8,0)=EOMONTH($AH$3,0),CE$6*CE$7,0),0),IF(AND(CA$6&lt;&gt;"",CA$8&lt;&gt;""),IF(EOMONTH($BZ$3+INT((DAY(EOMONTH($BZ$3,0))-1)/2)+CA$8,0)=EOMONTH($AH$3,0),CA$6*CA$7,0),0),IF(AND(BW$6&lt;&gt;"",BW$8&lt;&gt;""),IF(EOMONTH($BV$3+INT((DAY(EOMONTH($BV$3,0))-1)/2)+BW$8,0)=EOMONTH($AH$3,0),BW$6*BW$7,0),0),IF(AND(BS$6&lt;&gt;"",BS$8&lt;&gt;""),IF(EOMONTH($BR$3+INT((DAY(EOMONTH($BR$3,0))-1)/2)+BS$8,0)=EOMONTH($AH$3,0),BS$6*BS$7,0),0),IF(AND(BO$6&lt;&gt;"",BO$8&lt;&gt;""),IF(EOMONTH($BN$3+INT((DAY(EOMONTH($BN$3,0))-1)/2)+BO$8,0)=EOMONTH($AH$3,0),BO$6*BO$7,0),0),IF(AND(BK$6&lt;&gt;"",BK$8&lt;&gt;""),IF(EOMONTH($BJ$3+INT((DAY(EOMONTH($BJ$3,0))-1)/2)+BK$8,0)=EOMONTH($AH$3,0),BK$6*BK$7,0),0),IF(AND(BG$6&lt;&gt;"",BG$8&lt;&gt;""),IF(EOMONTH($BF$3+INT((DAY(EOMONTH($BF$3,0))-1)/2)+BG$8,0)=EOMONTH($AH$3,0),BG$6*BG$7,0),0),IF(AND(BC$6&lt;&gt;"",BC$8&lt;&gt;""),IF(EOMONTH($BB$3+INT((DAY(EOMONTH($BB$3,0))-1)/2)+BC$8,0)=EOMONTH($AH$3,0),BC$6*BC$7,0),0),IF(AND(AY$6&lt;&gt;"",AY$8&lt;&gt;""),IF(EOMONTH($AX$3+INT((DAY(EOMONTH($AX$3,0))-1)/2)+AY$8,0)=EOMONTH($AH$3,0),AY$6*AY$7,0),0),IF(AND(AU$6&lt;&gt;"",AU$8&lt;&gt;""),IF(EOMONTH($AT$3+INT((DAY(EOMONTH($AT$3,0))-1)/2)+AU$8,0)=EOMONTH($AH$3,0),AU$6*AU$7,0),0),IF(AND(AQ$6&lt;&gt;"",AQ$8&lt;&gt;""),IF(EOMONTH($AP$3+INT((DAY(EOMONTH($AP$3,0))-1)/2)+AQ$8,0)=EOMONTH($AH$3,0),AQ$6*AQ$7,0),0),IF(AND(AM$6&lt;&gt;"",AM$8&lt;&gt;""),IF(EOMONTH($AL$3+INT((DAY(EOMONTH($AL$3,0))-1)/2)+AM$8,0)=EOMONTH($AH$3,0),AM$6*AM$7,0),0),IF(AND(AI$6&lt;&gt;"",AI$8&lt;&gt;""),IF(EOMONTH($AH$3+INT((DAY(EOMONTH($AH$3,0))-1)/2)+AI$8,0)=EOMONTH($AH$3,0),AI$6*AI$7,0),0),IF(AND(AE$6&lt;&gt;"",AE$8&lt;&gt;""),IF(EOMONTH($AD$3+INT((DAY(EOMONTH($AD$3,0))-1)/2)+AE$8,0)=EOMONTH($AH$3,0),AE$6*AE$7,0),0),IF(AND(AA$6&lt;&gt;"",AA$8&lt;&gt;""),IF(EOMONTH($Z$3+INT((DAY(EOMONTH($Z$3,0))-1)/2)+AA$8,0)=EOMONTH($AH$3,0),AA$6*AA$7,0),0),IF(AND(W$6&lt;&gt;"",W$8&lt;&gt;""),IF(EOMONTH($V$3+INT((DAY(EOMONTH($V$3,0))-1)/2)+W$8,0)=EOMONTH($AH$3,0),W$6*W$7,0),0),IF(AND(S$6&lt;&gt;"",S$8&lt;&gt;""),IF(EOMONTH($R$3+INT((DAY(EOMONTH($R$3,0))-1)/2)+S$8,0)=EOMONTH($AH$3,0),S$6*S$7,0),0),IF(AND(O$6&lt;&gt;"",O$8&lt;&gt;""),IF(EOMONTH($N$3+INT((DAY(EOMONTH($N$3,0))-1)/2)+O$8,0)=EOMONTH($AH$3,0),O$6*O$7,0),0),IF(AND(K$6&lt;&gt;"",K$8&lt;&gt;""),IF(EOMONTH($J$3+INT((DAY(EOMONTH($J$3,0))-1)/2)+K$8,0)=EOMONTH($AH$3,0),K$6*K$7,0),0),IF(AND(G$6&lt;&gt;"",G$8&lt;&gt;""),IF(EOMONTH($F$3+INT((DAY(EOMONTH($F$3,0))-1)/2)+G$8,0)=EOMONTH($AH$3,0),G$6*G$7,0),0)),0))</f>
        <v>68</v>
      </c>
      <c r="AJ9" s="15">
        <f>ROUND(SUM(IF(AND(ER$6&lt;&gt;"",ER$8&lt;&gt;""),IF(EOMONTH($EP$3+INT((DAY(EOMONTH($EP$3,0))-1)/2)+ER$8,0)=EOMONTH($AH$3,0),ER$6*ER$7,0),0),IF(AND(EN$6&lt;&gt;"",EN$8&lt;&gt;""),IF(EOMONTH($EL$3+INT((DAY(EOMONTH($EL$3,0))-1)/2)+EN$8,0)=EOMONTH($AH$3,0),EN$6*EN$7,0),0),IF(AND(EJ$6&lt;&gt;"",EJ$8&lt;&gt;""),IF(EOMONTH($EH$3+INT((DAY(EOMONTH($EH$3,0))-1)/2)+EJ$8,0)=EOMONTH($AH$3,0),EJ$6*EJ$7,0),0),IF(AND(EF$6&lt;&gt;"",EF$8&lt;&gt;""),IF(EOMONTH($ED$3+INT((DAY(EOMONTH($ED$3,0))-1)/2)+EF$8,0)=EOMONTH($AH$3,0),EF$6*EF$7,0),0),IF(AND(EB$6&lt;&gt;"",EB$8&lt;&gt;""),IF(EOMONTH($DZ$3+INT((DAY(EOMONTH($DZ$3,0))-1)/2)+EB$8,0)=EOMONTH($AH$3,0),EB$6*EB$7,0),0),IF(AND(DX$6&lt;&gt;"",DX$8&lt;&gt;""),IF(EOMONTH($DV$3+INT((DAY(EOMONTH($DV$3,0))-1)/2)+DX$8,0)=EOMONTH($AH$3,0),DX$6*DX$7,0),0),IF(AND(DT$6&lt;&gt;"",DT$8&lt;&gt;""),IF(EOMONTH($DR$3+INT((DAY(EOMONTH($DR$3,0))-1)/2)+DT$8,0)=EOMONTH($AH$3,0),DT$6*DT$7,0),0),IF(AND(DP$6&lt;&gt;"",DP$8&lt;&gt;""),IF(EOMONTH($DN$3+INT((DAY(EOMONTH($DN$3,0))-1)/2)+DP$8,0)=EOMONTH($AH$3,0),DP$6*DP$7,0),0),IF(AND(DL$6&lt;&gt;"",DL$8&lt;&gt;""),IF(EOMONTH($DJ$3+INT((DAY(EOMONTH($DJ$3,0))-1)/2)+DL$8,0)=EOMONTH($AH$3,0),DL$6*DL$7,0),0),IF(AND(DH$6&lt;&gt;"",DH$8&lt;&gt;""),IF(EOMONTH($DF$3+INT((DAY(EOMONTH($DF$3,0))-1)/2)+DH$8,0)=EOMONTH($AH$3,0),DH$6*DH$7,0),0),IF(AND(DD$6&lt;&gt;"",DD$8&lt;&gt;""),IF(EOMONTH($DB$3+INT((DAY(EOMONTH($DB$3,0))-1)/2)+DD$8,0)=EOMONTH($AH$3,0),DD$6*DD$7,0),0),IF(AND(CZ$6&lt;&gt;"",CZ$8&lt;&gt;""),IF(EOMONTH($CX$3+INT((DAY(EOMONTH($CX$3,0))-1)/2)+CZ$8,0)=EOMONTH($AH$3,0),CZ$6*CZ$7,0),0),IF(AND(CV$6&lt;&gt;"",CV$8&lt;&gt;""),IF(EOMONTH($CT$3+INT((DAY(EOMONTH($CT$3,0))-1)/2)+CV$8,0)=EOMONTH($AH$3,0),CV$6*CV$7,0),0),IF(AND(CR$6&lt;&gt;"",CR$8&lt;&gt;""),IF(EOMONTH($CP$3+INT((DAY(EOMONTH($CP$3,0))-1)/2)+CR$8,0)=EOMONTH($AH$3,0),CR$6*CR$7,0),0),IF(AND(CN$6&lt;&gt;"",CN$8&lt;&gt;""),IF(EOMONTH($CL$3+INT((DAY(EOMONTH($CL$3,0))-1)/2)+CN$8,0)=EOMONTH($AH$3,0),CN$6*CN$7,0),0),IF(AND(CJ$6&lt;&gt;"",CJ$8&lt;&gt;""),IF(EOMONTH($CH$3+INT((DAY(EOMONTH($CH$3,0))-1)/2)+CJ$8,0)=EOMONTH($AH$3,0),CJ$6*CJ$7,0),0),IF(AND(CF$6&lt;&gt;"",CF$8&lt;&gt;""),IF(EOMONTH($CD$3+INT((DAY(EOMONTH($CD$3,0))-1)/2)+CF$8,0)=EOMONTH($AH$3,0),CF$6*CF$7,0),0),IF(AND(CB$6&lt;&gt;"",CB$8&lt;&gt;""),IF(EOMONTH($BZ$3+INT((DAY(EOMONTH($BZ$3,0))-1)/2)+CB$8,0)=EOMONTH($AH$3,0),CB$6*CB$7,0),0),IF(AND(BX$6&lt;&gt;"",BX$8&lt;&gt;""),IF(EOMONTH($BV$3+INT((DAY(EOMONTH($BV$3,0))-1)/2)+BX$8,0)=EOMONTH($AH$3,0),BX$6*BX$7,0),0),IF(AND(BT$6&lt;&gt;"",BT$8&lt;&gt;""),IF(EOMONTH($BR$3+INT((DAY(EOMONTH($BR$3,0))-1)/2)+BT$8,0)=EOMONTH($AH$3,0),BT$6*BT$7,0),0),IF(AND(BP$6&lt;&gt;"",BP$8&lt;&gt;""),IF(EOMONTH($BN$3+INT((DAY(EOMONTH($BN$3,0))-1)/2)+BP$8,0)=EOMONTH($AH$3,0),BP$6*BP$7,0),0),IF(AND(BL$6&lt;&gt;"",BL$8&lt;&gt;""),IF(EOMONTH($BJ$3+INT((DAY(EOMONTH($BJ$3,0))-1)/2)+BL$8,0)=EOMONTH($AH$3,0),BL$6*BL$7,0),0),IF(AND(BH$6&lt;&gt;"",BH$8&lt;&gt;""),IF(EOMONTH($BF$3+INT((DAY(EOMONTH($BF$3,0))-1)/2)+BH$8,0)=EOMONTH($AH$3,0),BH$6*BH$7,0),0),IF(AND(BD$6&lt;&gt;"",BD$8&lt;&gt;""),IF(EOMONTH($BB$3+INT((DAY(EOMONTH($BB$3,0))-1)/2)+BD$8,0)=EOMONTH($AH$3,0),BD$6*BD$7,0),0),IF(AND(AZ$6&lt;&gt;"",AZ$8&lt;&gt;""),IF(EOMONTH($AX$3+INT((DAY(EOMONTH($AX$3,0))-1)/2)+AZ$8,0)=EOMONTH($AH$3,0),AZ$6*AZ$7,0),0),IF(AND(AV$6&lt;&gt;"",AV$8&lt;&gt;""),IF(EOMONTH($AT$3+INT((DAY(EOMONTH($AT$3,0))-1)/2)+AV$8,0)=EOMONTH($AH$3,0),AV$6*AV$7,0),0),IF(AND(AR$6&lt;&gt;"",AR$8&lt;&gt;""),IF(EOMONTH($AP$3+INT((DAY(EOMONTH($AP$3,0))-1)/2)+AR$8,0)=EOMONTH($AH$3,0),AR$6*AR$7,0),0),IF(AND(AN$6&lt;&gt;"",AN$8&lt;&gt;""),IF(EOMONTH($AL$3+INT((DAY(EOMONTH($AL$3,0))-1)/2)+AN$8,0)=EOMONTH($AH$3,0),AN$6*AN$7,0),0),IF(AND(AJ$6&lt;&gt;"",AJ$8&lt;&gt;""),IF(EOMONTH($AH$3+INT((DAY(EOMONTH($AH$3,0))-1)/2)+AJ$8,0)=EOMONTH($AH$3,0),AJ$6*AJ$7,0),0),IF(AND(AF$6&lt;&gt;"",AF$8&lt;&gt;""),IF(EOMONTH($AD$3+INT((DAY(EOMONTH($AD$3,0))-1)/2)+AF$8,0)=EOMONTH($AH$3,0),AF$6*AF$7,0),0),IF(AND(AB$6&lt;&gt;"",AB$8&lt;&gt;""),IF(EOMONTH($Z$3+INT((DAY(EOMONTH($Z$3,0))-1)/2)+AB$8,0)=EOMONTH($AH$3,0),AB$6*AB$7,0),0),IF(AND(X$6&lt;&gt;"",X$8&lt;&gt;""),IF(EOMONTH($V$3+INT((DAY(EOMONTH($V$3,0))-1)/2)+X$8,0)=EOMONTH($AH$3,0),X$6*X$7,0),0),IF(AND(T$6&lt;&gt;"",T$8&lt;&gt;""),IF(EOMONTH($R$3+INT((DAY(EOMONTH($R$3,0))-1)/2)+T$8,0)=EOMONTH($AH$3,0),T$6*T$7,0),0),IF(AND(P$6&lt;&gt;"",P$8&lt;&gt;""),IF(EOMONTH($N$3+INT((DAY(EOMONTH($N$3,0))-1)/2)+P$8,0)=EOMONTH($AH$3,0),P$6*P$7,0),0),IF(AND(L$6&lt;&gt;"",L$8&lt;&gt;""),IF(EOMONTH($J$3+INT((DAY(EOMONTH($J$3,0))-1)/2)+L$8,0)=EOMONTH($AH$3,0),L$6*L$7,0),0),IF(AND(H$6&lt;&gt;"",H$8&lt;&gt;""),IF(EOMONTH($F$3+INT((DAY(EOMONTH($F$3,0))-1)/2)+H$8,0)=EOMONTH($AH$3,0),H$6*H$7,0),0)),0)</f>
        <v>68</v>
      </c>
      <c r="AK9" s="16">
        <f t="shared" si="19"/>
        <v>0</v>
      </c>
      <c r="AL9" s="17"/>
      <c r="AM9" s="14">
        <f>IF(AL$98=1,AL9,ROUND(SUM(IF(AND(EQ$6&lt;&gt;"",EQ$8&lt;&gt;""),IF(EOMONTH($EP$3+INT((DAY(EOMONTH($EP$3,0))-1)/2)+EQ$8,0)=EOMONTH($AL$3,0),EQ$6*EQ$7,0),0),IF(AND(EM$6&lt;&gt;"",EM$8&lt;&gt;""),IF(EOMONTH($EL$3+INT((DAY(EOMONTH($EL$3,0))-1)/2)+EM$8,0)=EOMONTH($AL$3,0),EM$6*EM$7,0),0),IF(AND(EI$6&lt;&gt;"",EI$8&lt;&gt;""),IF(EOMONTH($EH$3+INT((DAY(EOMONTH($EH$3,0))-1)/2)+EI$8,0)=EOMONTH($AL$3,0),EI$6*EI$7,0),0),IF(AND(EE$6&lt;&gt;"",EE$8&lt;&gt;""),IF(EOMONTH($ED$3+INT((DAY(EOMONTH($ED$3,0))-1)/2)+EE$8,0)=EOMONTH($AL$3,0),EE$6*EE$7,0),0),IF(AND(EA$6&lt;&gt;"",EA$8&lt;&gt;""),IF(EOMONTH($DZ$3+INT((DAY(EOMONTH($DZ$3,0))-1)/2)+EA$8,0)=EOMONTH($AL$3,0),EA$6*EA$7,0),0),IF(AND(DW$6&lt;&gt;"",DW$8&lt;&gt;""),IF(EOMONTH($DV$3+INT((DAY(EOMONTH($DV$3,0))-1)/2)+DW$8,0)=EOMONTH($AL$3,0),DW$6*DW$7,0),0),IF(AND(DS$6&lt;&gt;"",DS$8&lt;&gt;""),IF(EOMONTH($DR$3+INT((DAY(EOMONTH($DR$3,0))-1)/2)+DS$8,0)=EOMONTH($AL$3,0),DS$6*DS$7,0),0),IF(AND(DO$6&lt;&gt;"",DO$8&lt;&gt;""),IF(EOMONTH($DN$3+INT((DAY(EOMONTH($DN$3,0))-1)/2)+DO$8,0)=EOMONTH($AL$3,0),DO$6*DO$7,0),0),IF(AND(DK$6&lt;&gt;"",DK$8&lt;&gt;""),IF(EOMONTH($DJ$3+INT((DAY(EOMONTH($DJ$3,0))-1)/2)+DK$8,0)=EOMONTH($AL$3,0),DK$6*DK$7,0),0),IF(AND(DG$6&lt;&gt;"",DG$8&lt;&gt;""),IF(EOMONTH($DF$3+INT((DAY(EOMONTH($DF$3,0))-1)/2)+DG$8,0)=EOMONTH($AL$3,0),DG$6*DG$7,0),0),IF(AND(DC$6&lt;&gt;"",DC$8&lt;&gt;""),IF(EOMONTH($DB$3+INT((DAY(EOMONTH($DB$3,0))-1)/2)+DC$8,0)=EOMONTH($AL$3,0),DC$6*DC$7,0),0),IF(AND(CY$6&lt;&gt;"",CY$8&lt;&gt;""),IF(EOMONTH($CX$3+INT((DAY(EOMONTH($CX$3,0))-1)/2)+CY$8,0)=EOMONTH($AL$3,0),CY$6*CY$7,0),0),IF(AND(CU$6&lt;&gt;"",CU$8&lt;&gt;""),IF(EOMONTH($CT$3+INT((DAY(EOMONTH($CT$3,0))-1)/2)+CU$8,0)=EOMONTH($AL$3,0),CU$6*CU$7,0),0),IF(AND(CQ$6&lt;&gt;"",CQ$8&lt;&gt;""),IF(EOMONTH($CP$3+INT((DAY(EOMONTH($CP$3,0))-1)/2)+CQ$8,0)=EOMONTH($AL$3,0),CQ$6*CQ$7,0),0),IF(AND(CM$6&lt;&gt;"",CM$8&lt;&gt;""),IF(EOMONTH($CL$3+INT((DAY(EOMONTH($CL$3,0))-1)/2)+CM$8,0)=EOMONTH($AL$3,0),CM$6*CM$7,0),0),IF(AND(CI$6&lt;&gt;"",CI$8&lt;&gt;""),IF(EOMONTH($CH$3+INT((DAY(EOMONTH($CH$3,0))-1)/2)+CI$8,0)=EOMONTH($AL$3,0),CI$6*CI$7,0),0),IF(AND(CE$6&lt;&gt;"",CE$8&lt;&gt;""),IF(EOMONTH($CD$3+INT((DAY(EOMONTH($CD$3,0))-1)/2)+CE$8,0)=EOMONTH($AL$3,0),CE$6*CE$7,0),0),IF(AND(CA$6&lt;&gt;"",CA$8&lt;&gt;""),IF(EOMONTH($BZ$3+INT((DAY(EOMONTH($BZ$3,0))-1)/2)+CA$8,0)=EOMONTH($AL$3,0),CA$6*CA$7,0),0),IF(AND(BW$6&lt;&gt;"",BW$8&lt;&gt;""),IF(EOMONTH($BV$3+INT((DAY(EOMONTH($BV$3,0))-1)/2)+BW$8,0)=EOMONTH($AL$3,0),BW$6*BW$7,0),0),IF(AND(BS$6&lt;&gt;"",BS$8&lt;&gt;""),IF(EOMONTH($BR$3+INT((DAY(EOMONTH($BR$3,0))-1)/2)+BS$8,0)=EOMONTH($AL$3,0),BS$6*BS$7,0),0),IF(AND(BO$6&lt;&gt;"",BO$8&lt;&gt;""),IF(EOMONTH($BN$3+INT((DAY(EOMONTH($BN$3,0))-1)/2)+BO$8,0)=EOMONTH($AL$3,0),BO$6*BO$7,0),0),IF(AND(BK$6&lt;&gt;"",BK$8&lt;&gt;""),IF(EOMONTH($BJ$3+INT((DAY(EOMONTH($BJ$3,0))-1)/2)+BK$8,0)=EOMONTH($AL$3,0),BK$6*BK$7,0),0),IF(AND(BG$6&lt;&gt;"",BG$8&lt;&gt;""),IF(EOMONTH($BF$3+INT((DAY(EOMONTH($BF$3,0))-1)/2)+BG$8,0)=EOMONTH($AL$3,0),BG$6*BG$7,0),0),IF(AND(BC$6&lt;&gt;"",BC$8&lt;&gt;""),IF(EOMONTH($BB$3+INT((DAY(EOMONTH($BB$3,0))-1)/2)+BC$8,0)=EOMONTH($AL$3,0),BC$6*BC$7,0),0),IF(AND(AY$6&lt;&gt;"",AY$8&lt;&gt;""),IF(EOMONTH($AX$3+INT((DAY(EOMONTH($AX$3,0))-1)/2)+AY$8,0)=EOMONTH($AL$3,0),AY$6*AY$7,0),0),IF(AND(AU$6&lt;&gt;"",AU$8&lt;&gt;""),IF(EOMONTH($AT$3+INT((DAY(EOMONTH($AT$3,0))-1)/2)+AU$8,0)=EOMONTH($AL$3,0),AU$6*AU$7,0),0),IF(AND(AQ$6&lt;&gt;"",AQ$8&lt;&gt;""),IF(EOMONTH($AP$3+INT((DAY(EOMONTH($AP$3,0))-1)/2)+AQ$8,0)=EOMONTH($AL$3,0),AQ$6*AQ$7,0),0),IF(AND(AM$6&lt;&gt;"",AM$8&lt;&gt;""),IF(EOMONTH($AL$3+INT((DAY(EOMONTH($AL$3,0))-1)/2)+AM$8,0)=EOMONTH($AL$3,0),AM$6*AM$7,0),0),IF(AND(AI$6&lt;&gt;"",AI$8&lt;&gt;""),IF(EOMONTH($AH$3+INT((DAY(EOMONTH($AH$3,0))-1)/2)+AI$8,0)=EOMONTH($AL$3,0),AI$6*AI$7,0),0),IF(AND(AE$6&lt;&gt;"",AE$8&lt;&gt;""),IF(EOMONTH($AD$3+INT((DAY(EOMONTH($AD$3,0))-1)/2)+AE$8,0)=EOMONTH($AL$3,0),AE$6*AE$7,0),0),IF(AND(AA$6&lt;&gt;"",AA$8&lt;&gt;""),IF(EOMONTH($Z$3+INT((DAY(EOMONTH($Z$3,0))-1)/2)+AA$8,0)=EOMONTH($AL$3,0),AA$6*AA$7,0),0),IF(AND(W$6&lt;&gt;"",W$8&lt;&gt;""),IF(EOMONTH($V$3+INT((DAY(EOMONTH($V$3,0))-1)/2)+W$8,0)=EOMONTH($AL$3,0),W$6*W$7,0),0),IF(AND(S$6&lt;&gt;"",S$8&lt;&gt;""),IF(EOMONTH($R$3+INT((DAY(EOMONTH($R$3,0))-1)/2)+S$8,0)=EOMONTH($AL$3,0),S$6*S$7,0),0),IF(AND(O$6&lt;&gt;"",O$8&lt;&gt;""),IF(EOMONTH($N$3+INT((DAY(EOMONTH($N$3,0))-1)/2)+O$8,0)=EOMONTH($AL$3,0),O$6*O$7,0),0),IF(AND(K$6&lt;&gt;"",K$8&lt;&gt;""),IF(EOMONTH($J$3+INT((DAY(EOMONTH($J$3,0))-1)/2)+K$8,0)=EOMONTH($AL$3,0),K$6*K$7,0),0),IF(AND(G$6&lt;&gt;"",G$8&lt;&gt;""),IF(EOMONTH($F$3+INT((DAY(EOMONTH($F$3,0))-1)/2)+G$8,0)=EOMONTH($AL$3,0),G$6*G$7,0),0)),0))</f>
        <v>67</v>
      </c>
      <c r="AN9" s="15">
        <f>ROUND(SUM(IF(AND(ER$6&lt;&gt;"",ER$8&lt;&gt;""),IF(EOMONTH($EP$3+INT((DAY(EOMONTH($EP$3,0))-1)/2)+ER$8,0)=EOMONTH($AL$3,0),ER$6*ER$7,0),0),IF(AND(EN$6&lt;&gt;"",EN$8&lt;&gt;""),IF(EOMONTH($EL$3+INT((DAY(EOMONTH($EL$3,0))-1)/2)+EN$8,0)=EOMONTH($AL$3,0),EN$6*EN$7,0),0),IF(AND(EJ$6&lt;&gt;"",EJ$8&lt;&gt;""),IF(EOMONTH($EH$3+INT((DAY(EOMONTH($EH$3,0))-1)/2)+EJ$8,0)=EOMONTH($AL$3,0),EJ$6*EJ$7,0),0),IF(AND(EF$6&lt;&gt;"",EF$8&lt;&gt;""),IF(EOMONTH($ED$3+INT((DAY(EOMONTH($ED$3,0))-1)/2)+EF$8,0)=EOMONTH($AL$3,0),EF$6*EF$7,0),0),IF(AND(EB$6&lt;&gt;"",EB$8&lt;&gt;""),IF(EOMONTH($DZ$3+INT((DAY(EOMONTH($DZ$3,0))-1)/2)+EB$8,0)=EOMONTH($AL$3,0),EB$6*EB$7,0),0),IF(AND(DX$6&lt;&gt;"",DX$8&lt;&gt;""),IF(EOMONTH($DV$3+INT((DAY(EOMONTH($DV$3,0))-1)/2)+DX$8,0)=EOMONTH($AL$3,0),DX$6*DX$7,0),0),IF(AND(DT$6&lt;&gt;"",DT$8&lt;&gt;""),IF(EOMONTH($DR$3+INT((DAY(EOMONTH($DR$3,0))-1)/2)+DT$8,0)=EOMONTH($AL$3,0),DT$6*DT$7,0),0),IF(AND(DP$6&lt;&gt;"",DP$8&lt;&gt;""),IF(EOMONTH($DN$3+INT((DAY(EOMONTH($DN$3,0))-1)/2)+DP$8,0)=EOMONTH($AL$3,0),DP$6*DP$7,0),0),IF(AND(DL$6&lt;&gt;"",DL$8&lt;&gt;""),IF(EOMONTH($DJ$3+INT((DAY(EOMONTH($DJ$3,0))-1)/2)+DL$8,0)=EOMONTH($AL$3,0),DL$6*DL$7,0),0),IF(AND(DH$6&lt;&gt;"",DH$8&lt;&gt;""),IF(EOMONTH($DF$3+INT((DAY(EOMONTH($DF$3,0))-1)/2)+DH$8,0)=EOMONTH($AL$3,0),DH$6*DH$7,0),0),IF(AND(DD$6&lt;&gt;"",DD$8&lt;&gt;""),IF(EOMONTH($DB$3+INT((DAY(EOMONTH($DB$3,0))-1)/2)+DD$8,0)=EOMONTH($AL$3,0),DD$6*DD$7,0),0),IF(AND(CZ$6&lt;&gt;"",CZ$8&lt;&gt;""),IF(EOMONTH($CX$3+INT((DAY(EOMONTH($CX$3,0))-1)/2)+CZ$8,0)=EOMONTH($AL$3,0),CZ$6*CZ$7,0),0),IF(AND(CV$6&lt;&gt;"",CV$8&lt;&gt;""),IF(EOMONTH($CT$3+INT((DAY(EOMONTH($CT$3,0))-1)/2)+CV$8,0)=EOMONTH($AL$3,0),CV$6*CV$7,0),0),IF(AND(CR$6&lt;&gt;"",CR$8&lt;&gt;""),IF(EOMONTH($CP$3+INT((DAY(EOMONTH($CP$3,0))-1)/2)+CR$8,0)=EOMONTH($AL$3,0),CR$6*CR$7,0),0),IF(AND(CN$6&lt;&gt;"",CN$8&lt;&gt;""),IF(EOMONTH($CL$3+INT((DAY(EOMONTH($CL$3,0))-1)/2)+CN$8,0)=EOMONTH($AL$3,0),CN$6*CN$7,0),0),IF(AND(CJ$6&lt;&gt;"",CJ$8&lt;&gt;""),IF(EOMONTH($CH$3+INT((DAY(EOMONTH($CH$3,0))-1)/2)+CJ$8,0)=EOMONTH($AL$3,0),CJ$6*CJ$7,0),0),IF(AND(CF$6&lt;&gt;"",CF$8&lt;&gt;""),IF(EOMONTH($CD$3+INT((DAY(EOMONTH($CD$3,0))-1)/2)+CF$8,0)=EOMONTH($AL$3,0),CF$6*CF$7,0),0),IF(AND(CB$6&lt;&gt;"",CB$8&lt;&gt;""),IF(EOMONTH($BZ$3+INT((DAY(EOMONTH($BZ$3,0))-1)/2)+CB$8,0)=EOMONTH($AL$3,0),CB$6*CB$7,0),0),IF(AND(BX$6&lt;&gt;"",BX$8&lt;&gt;""),IF(EOMONTH($BV$3+INT((DAY(EOMONTH($BV$3,0))-1)/2)+BX$8,0)=EOMONTH($AL$3,0),BX$6*BX$7,0),0),IF(AND(BT$6&lt;&gt;"",BT$8&lt;&gt;""),IF(EOMONTH($BR$3+INT((DAY(EOMONTH($BR$3,0))-1)/2)+BT$8,0)=EOMONTH($AL$3,0),BT$6*BT$7,0),0),IF(AND(BP$6&lt;&gt;"",BP$8&lt;&gt;""),IF(EOMONTH($BN$3+INT((DAY(EOMONTH($BN$3,0))-1)/2)+BP$8,0)=EOMONTH($AL$3,0),BP$6*BP$7,0),0),IF(AND(BL$6&lt;&gt;"",BL$8&lt;&gt;""),IF(EOMONTH($BJ$3+INT((DAY(EOMONTH($BJ$3,0))-1)/2)+BL$8,0)=EOMONTH($AL$3,0),BL$6*BL$7,0),0),IF(AND(BH$6&lt;&gt;"",BH$8&lt;&gt;""),IF(EOMONTH($BF$3+INT((DAY(EOMONTH($BF$3,0))-1)/2)+BH$8,0)=EOMONTH($AL$3,0),BH$6*BH$7,0),0),IF(AND(BD$6&lt;&gt;"",BD$8&lt;&gt;""),IF(EOMONTH($BB$3+INT((DAY(EOMONTH($BB$3,0))-1)/2)+BD$8,0)=EOMONTH($AL$3,0),BD$6*BD$7,0),0),IF(AND(AZ$6&lt;&gt;"",AZ$8&lt;&gt;""),IF(EOMONTH($AX$3+INT((DAY(EOMONTH($AX$3,0))-1)/2)+AZ$8,0)=EOMONTH($AL$3,0),AZ$6*AZ$7,0),0),IF(AND(AV$6&lt;&gt;"",AV$8&lt;&gt;""),IF(EOMONTH($AT$3+INT((DAY(EOMONTH($AT$3,0))-1)/2)+AV$8,0)=EOMONTH($AL$3,0),AV$6*AV$7,0),0),IF(AND(AR$6&lt;&gt;"",AR$8&lt;&gt;""),IF(EOMONTH($AP$3+INT((DAY(EOMONTH($AP$3,0))-1)/2)+AR$8,0)=EOMONTH($AL$3,0),AR$6*AR$7,0),0),IF(AND(AN$6&lt;&gt;"",AN$8&lt;&gt;""),IF(EOMONTH($AL$3+INT((DAY(EOMONTH($AL$3,0))-1)/2)+AN$8,0)=EOMONTH($AL$3,0),AN$6*AN$7,0),0),IF(AND(AJ$6&lt;&gt;"",AJ$8&lt;&gt;""),IF(EOMONTH($AH$3+INT((DAY(EOMONTH($AH$3,0))-1)/2)+AJ$8,0)=EOMONTH($AL$3,0),AJ$6*AJ$7,0),0),IF(AND(AF$6&lt;&gt;"",AF$8&lt;&gt;""),IF(EOMONTH($AD$3+INT((DAY(EOMONTH($AD$3,0))-1)/2)+AF$8,0)=EOMONTH($AL$3,0),AF$6*AF$7,0),0),IF(AND(AB$6&lt;&gt;"",AB$8&lt;&gt;""),IF(EOMONTH($Z$3+INT((DAY(EOMONTH($Z$3,0))-1)/2)+AB$8,0)=EOMONTH($AL$3,0),AB$6*AB$7,0),0),IF(AND(X$6&lt;&gt;"",X$8&lt;&gt;""),IF(EOMONTH($V$3+INT((DAY(EOMONTH($V$3,0))-1)/2)+X$8,0)=EOMONTH($AL$3,0),X$6*X$7,0),0),IF(AND(T$6&lt;&gt;"",T$8&lt;&gt;""),IF(EOMONTH($R$3+INT((DAY(EOMONTH($R$3,0))-1)/2)+T$8,0)=EOMONTH($AL$3,0),T$6*T$7,0),0),IF(AND(P$6&lt;&gt;"",P$8&lt;&gt;""),IF(EOMONTH($N$3+INT((DAY(EOMONTH($N$3,0))-1)/2)+P$8,0)=EOMONTH($AL$3,0),P$6*P$7,0),0),IF(AND(L$6&lt;&gt;"",L$8&lt;&gt;""),IF(EOMONTH($J$3+INT((DAY(EOMONTH($J$3,0))-1)/2)+L$8,0)=EOMONTH($AL$3,0),L$6*L$7,0),0),IF(AND(H$6&lt;&gt;"",H$8&lt;&gt;""),IF(EOMONTH($F$3+INT((DAY(EOMONTH($F$3,0))-1)/2)+H$8,0)=EOMONTH($AL$3,0),H$6*H$7,0),0)),0)</f>
        <v>67</v>
      </c>
      <c r="AO9" s="16">
        <f t="shared" si="21"/>
        <v>0</v>
      </c>
      <c r="AP9" s="17"/>
      <c r="AQ9" s="14">
        <f>IF(AP$98=1,AP9,ROUND(SUM(IF(AND(EQ$6&lt;&gt;"",EQ$8&lt;&gt;""),IF(EOMONTH($EP$3+INT((DAY(EOMONTH($EP$3,0))-1)/2)+EQ$8,0)=EOMONTH($AP$3,0),EQ$6*EQ$7,0),0),IF(AND(EM$6&lt;&gt;"",EM$8&lt;&gt;""),IF(EOMONTH($EL$3+INT((DAY(EOMONTH($EL$3,0))-1)/2)+EM$8,0)=EOMONTH($AP$3,0),EM$6*EM$7,0),0),IF(AND(EI$6&lt;&gt;"",EI$8&lt;&gt;""),IF(EOMONTH($EH$3+INT((DAY(EOMONTH($EH$3,0))-1)/2)+EI$8,0)=EOMONTH($AP$3,0),EI$6*EI$7,0),0),IF(AND(EE$6&lt;&gt;"",EE$8&lt;&gt;""),IF(EOMONTH($ED$3+INT((DAY(EOMONTH($ED$3,0))-1)/2)+EE$8,0)=EOMONTH($AP$3,0),EE$6*EE$7,0),0),IF(AND(EA$6&lt;&gt;"",EA$8&lt;&gt;""),IF(EOMONTH($DZ$3+INT((DAY(EOMONTH($DZ$3,0))-1)/2)+EA$8,0)=EOMONTH($AP$3,0),EA$6*EA$7,0),0),IF(AND(DW$6&lt;&gt;"",DW$8&lt;&gt;""),IF(EOMONTH($DV$3+INT((DAY(EOMONTH($DV$3,0))-1)/2)+DW$8,0)=EOMONTH($AP$3,0),DW$6*DW$7,0),0),IF(AND(DS$6&lt;&gt;"",DS$8&lt;&gt;""),IF(EOMONTH($DR$3+INT((DAY(EOMONTH($DR$3,0))-1)/2)+DS$8,0)=EOMONTH($AP$3,0),DS$6*DS$7,0),0),IF(AND(DO$6&lt;&gt;"",DO$8&lt;&gt;""),IF(EOMONTH($DN$3+INT((DAY(EOMONTH($DN$3,0))-1)/2)+DO$8,0)=EOMONTH($AP$3,0),DO$6*DO$7,0),0),IF(AND(DK$6&lt;&gt;"",DK$8&lt;&gt;""),IF(EOMONTH($DJ$3+INT((DAY(EOMONTH($DJ$3,0))-1)/2)+DK$8,0)=EOMONTH($AP$3,0),DK$6*DK$7,0),0),IF(AND(DG$6&lt;&gt;"",DG$8&lt;&gt;""),IF(EOMONTH($DF$3+INT((DAY(EOMONTH($DF$3,0))-1)/2)+DG$8,0)=EOMONTH($AP$3,0),DG$6*DG$7,0),0),IF(AND(DC$6&lt;&gt;"",DC$8&lt;&gt;""),IF(EOMONTH($DB$3+INT((DAY(EOMONTH($DB$3,0))-1)/2)+DC$8,0)=EOMONTH($AP$3,0),DC$6*DC$7,0),0),IF(AND(CY$6&lt;&gt;"",CY$8&lt;&gt;""),IF(EOMONTH($CX$3+INT((DAY(EOMONTH($CX$3,0))-1)/2)+CY$8,0)=EOMONTH($AP$3,0),CY$6*CY$7,0),0),IF(AND(CU$6&lt;&gt;"",CU$8&lt;&gt;""),IF(EOMONTH($CT$3+INT((DAY(EOMONTH($CT$3,0))-1)/2)+CU$8,0)=EOMONTH($AP$3,0),CU$6*CU$7,0),0),IF(AND(CQ$6&lt;&gt;"",CQ$8&lt;&gt;""),IF(EOMONTH($CP$3+INT((DAY(EOMONTH($CP$3,0))-1)/2)+CQ$8,0)=EOMONTH($AP$3,0),CQ$6*CQ$7,0),0),IF(AND(CM$6&lt;&gt;"",CM$8&lt;&gt;""),IF(EOMONTH($CL$3+INT((DAY(EOMONTH($CL$3,0))-1)/2)+CM$8,0)=EOMONTH($AP$3,0),CM$6*CM$7,0),0),IF(AND(CI$6&lt;&gt;"",CI$8&lt;&gt;""),IF(EOMONTH($CH$3+INT((DAY(EOMONTH($CH$3,0))-1)/2)+CI$8,0)=EOMONTH($AP$3,0),CI$6*CI$7,0),0),IF(AND(CE$6&lt;&gt;"",CE$8&lt;&gt;""),IF(EOMONTH($CD$3+INT((DAY(EOMONTH($CD$3,0))-1)/2)+CE$8,0)=EOMONTH($AP$3,0),CE$6*CE$7,0),0),IF(AND(CA$6&lt;&gt;"",CA$8&lt;&gt;""),IF(EOMONTH($BZ$3+INT((DAY(EOMONTH($BZ$3,0))-1)/2)+CA$8,0)=EOMONTH($AP$3,0),CA$6*CA$7,0),0),IF(AND(BW$6&lt;&gt;"",BW$8&lt;&gt;""),IF(EOMONTH($BV$3+INT((DAY(EOMONTH($BV$3,0))-1)/2)+BW$8,0)=EOMONTH($AP$3,0),BW$6*BW$7,0),0),IF(AND(BS$6&lt;&gt;"",BS$8&lt;&gt;""),IF(EOMONTH($BR$3+INT((DAY(EOMONTH($BR$3,0))-1)/2)+BS$8,0)=EOMONTH($AP$3,0),BS$6*BS$7,0),0),IF(AND(BO$6&lt;&gt;"",BO$8&lt;&gt;""),IF(EOMONTH($BN$3+INT((DAY(EOMONTH($BN$3,0))-1)/2)+BO$8,0)=EOMONTH($AP$3,0),BO$6*BO$7,0),0),IF(AND(BK$6&lt;&gt;"",BK$8&lt;&gt;""),IF(EOMONTH($BJ$3+INT((DAY(EOMONTH($BJ$3,0))-1)/2)+BK$8,0)=EOMONTH($AP$3,0),BK$6*BK$7,0),0),IF(AND(BG$6&lt;&gt;"",BG$8&lt;&gt;""),IF(EOMONTH($BF$3+INT((DAY(EOMONTH($BF$3,0))-1)/2)+BG$8,0)=EOMONTH($AP$3,0),BG$6*BG$7,0),0),IF(AND(BC$6&lt;&gt;"",BC$8&lt;&gt;""),IF(EOMONTH($BB$3+INT((DAY(EOMONTH($BB$3,0))-1)/2)+BC$8,0)=EOMONTH($AP$3,0),BC$6*BC$7,0),0),IF(AND(AY$6&lt;&gt;"",AY$8&lt;&gt;""),IF(EOMONTH($AX$3+INT((DAY(EOMONTH($AX$3,0))-1)/2)+AY$8,0)=EOMONTH($AP$3,0),AY$6*AY$7,0),0),IF(AND(AU$6&lt;&gt;"",AU$8&lt;&gt;""),IF(EOMONTH($AT$3+INT((DAY(EOMONTH($AT$3,0))-1)/2)+AU$8,0)=EOMONTH($AP$3,0),AU$6*AU$7,0),0),IF(AND(AQ$6&lt;&gt;"",AQ$8&lt;&gt;""),IF(EOMONTH($AP$3+INT((DAY(EOMONTH($AP$3,0))-1)/2)+AQ$8,0)=EOMONTH($AP$3,0),AQ$6*AQ$7,0),0),IF(AND(AM$6&lt;&gt;"",AM$8&lt;&gt;""),IF(EOMONTH($AL$3+INT((DAY(EOMONTH($AL$3,0))-1)/2)+AM$8,0)=EOMONTH($AP$3,0),AM$6*AM$7,0),0),IF(AND(AI$6&lt;&gt;"",AI$8&lt;&gt;""),IF(EOMONTH($AH$3+INT((DAY(EOMONTH($AH$3,0))-1)/2)+AI$8,0)=EOMONTH($AP$3,0),AI$6*AI$7,0),0),IF(AND(AE$6&lt;&gt;"",AE$8&lt;&gt;""),IF(EOMONTH($AD$3+INT((DAY(EOMONTH($AD$3,0))-1)/2)+AE$8,0)=EOMONTH($AP$3,0),AE$6*AE$7,0),0),IF(AND(AA$6&lt;&gt;"",AA$8&lt;&gt;""),IF(EOMONTH($Z$3+INT((DAY(EOMONTH($Z$3,0))-1)/2)+AA$8,0)=EOMONTH($AP$3,0),AA$6*AA$7,0),0),IF(AND(W$6&lt;&gt;"",W$8&lt;&gt;""),IF(EOMONTH($V$3+INT((DAY(EOMONTH($V$3,0))-1)/2)+W$8,0)=EOMONTH($AP$3,0),W$6*W$7,0),0),IF(AND(S$6&lt;&gt;"",S$8&lt;&gt;""),IF(EOMONTH($R$3+INT((DAY(EOMONTH($R$3,0))-1)/2)+S$8,0)=EOMONTH($AP$3,0),S$6*S$7,0),0),IF(AND(O$6&lt;&gt;"",O$8&lt;&gt;""),IF(EOMONTH($N$3+INT((DAY(EOMONTH($N$3,0))-1)/2)+O$8,0)=EOMONTH($AP$3,0),O$6*O$7,0),0),IF(AND(K$6&lt;&gt;"",K$8&lt;&gt;""),IF(EOMONTH($J$3+INT((DAY(EOMONTH($J$3,0))-1)/2)+K$8,0)=EOMONTH($AP$3,0),K$6*K$7,0),0),IF(AND(G$6&lt;&gt;"",G$8&lt;&gt;""),IF(EOMONTH($F$3+INT((DAY(EOMONTH($F$3,0))-1)/2)+G$8,0)=EOMONTH($AP$3,0),G$6*G$7,0),0)),0))</f>
        <v>66</v>
      </c>
      <c r="AR9" s="15">
        <f>ROUND(SUM(IF(AND(ER$6&lt;&gt;"",ER$8&lt;&gt;""),IF(EOMONTH($EP$3+INT((DAY(EOMONTH($EP$3,0))-1)/2)+ER$8,0)=EOMONTH($AP$3,0),ER$6*ER$7,0),0),IF(AND(EN$6&lt;&gt;"",EN$8&lt;&gt;""),IF(EOMONTH($EL$3+INT((DAY(EOMONTH($EL$3,0))-1)/2)+EN$8,0)=EOMONTH($AP$3,0),EN$6*EN$7,0),0),IF(AND(EJ$6&lt;&gt;"",EJ$8&lt;&gt;""),IF(EOMONTH($EH$3+INT((DAY(EOMONTH($EH$3,0))-1)/2)+EJ$8,0)=EOMONTH($AP$3,0),EJ$6*EJ$7,0),0),IF(AND(EF$6&lt;&gt;"",EF$8&lt;&gt;""),IF(EOMONTH($ED$3+INT((DAY(EOMONTH($ED$3,0))-1)/2)+EF$8,0)=EOMONTH($AP$3,0),EF$6*EF$7,0),0),IF(AND(EB$6&lt;&gt;"",EB$8&lt;&gt;""),IF(EOMONTH($DZ$3+INT((DAY(EOMONTH($DZ$3,0))-1)/2)+EB$8,0)=EOMONTH($AP$3,0),EB$6*EB$7,0),0),IF(AND(DX$6&lt;&gt;"",DX$8&lt;&gt;""),IF(EOMONTH($DV$3+INT((DAY(EOMONTH($DV$3,0))-1)/2)+DX$8,0)=EOMONTH($AP$3,0),DX$6*DX$7,0),0),IF(AND(DT$6&lt;&gt;"",DT$8&lt;&gt;""),IF(EOMONTH($DR$3+INT((DAY(EOMONTH($DR$3,0))-1)/2)+DT$8,0)=EOMONTH($AP$3,0),DT$6*DT$7,0),0),IF(AND(DP$6&lt;&gt;"",DP$8&lt;&gt;""),IF(EOMONTH($DN$3+INT((DAY(EOMONTH($DN$3,0))-1)/2)+DP$8,0)=EOMONTH($AP$3,0),DP$6*DP$7,0),0),IF(AND(DL$6&lt;&gt;"",DL$8&lt;&gt;""),IF(EOMONTH($DJ$3+INT((DAY(EOMONTH($DJ$3,0))-1)/2)+DL$8,0)=EOMONTH($AP$3,0),DL$6*DL$7,0),0),IF(AND(DH$6&lt;&gt;"",DH$8&lt;&gt;""),IF(EOMONTH($DF$3+INT((DAY(EOMONTH($DF$3,0))-1)/2)+DH$8,0)=EOMONTH($AP$3,0),DH$6*DH$7,0),0),IF(AND(DD$6&lt;&gt;"",DD$8&lt;&gt;""),IF(EOMONTH($DB$3+INT((DAY(EOMONTH($DB$3,0))-1)/2)+DD$8,0)=EOMONTH($AP$3,0),DD$6*DD$7,0),0),IF(AND(CZ$6&lt;&gt;"",CZ$8&lt;&gt;""),IF(EOMONTH($CX$3+INT((DAY(EOMONTH($CX$3,0))-1)/2)+CZ$8,0)=EOMONTH($AP$3,0),CZ$6*CZ$7,0),0),IF(AND(CV$6&lt;&gt;"",CV$8&lt;&gt;""),IF(EOMONTH($CT$3+INT((DAY(EOMONTH($CT$3,0))-1)/2)+CV$8,0)=EOMONTH($AP$3,0),CV$6*CV$7,0),0),IF(AND(CR$6&lt;&gt;"",CR$8&lt;&gt;""),IF(EOMONTH($CP$3+INT((DAY(EOMONTH($CP$3,0))-1)/2)+CR$8,0)=EOMONTH($AP$3,0),CR$6*CR$7,0),0),IF(AND(CN$6&lt;&gt;"",CN$8&lt;&gt;""),IF(EOMONTH($CL$3+INT((DAY(EOMONTH($CL$3,0))-1)/2)+CN$8,0)=EOMONTH($AP$3,0),CN$6*CN$7,0),0),IF(AND(CJ$6&lt;&gt;"",CJ$8&lt;&gt;""),IF(EOMONTH($CH$3+INT((DAY(EOMONTH($CH$3,0))-1)/2)+CJ$8,0)=EOMONTH($AP$3,0),CJ$6*CJ$7,0),0),IF(AND(CF$6&lt;&gt;"",CF$8&lt;&gt;""),IF(EOMONTH($CD$3+INT((DAY(EOMONTH($CD$3,0))-1)/2)+CF$8,0)=EOMONTH($AP$3,0),CF$6*CF$7,0),0),IF(AND(CB$6&lt;&gt;"",CB$8&lt;&gt;""),IF(EOMONTH($BZ$3+INT((DAY(EOMONTH($BZ$3,0))-1)/2)+CB$8,0)=EOMONTH($AP$3,0),CB$6*CB$7,0),0),IF(AND(BX$6&lt;&gt;"",BX$8&lt;&gt;""),IF(EOMONTH($BV$3+INT((DAY(EOMONTH($BV$3,0))-1)/2)+BX$8,0)=EOMONTH($AP$3,0),BX$6*BX$7,0),0),IF(AND(BT$6&lt;&gt;"",BT$8&lt;&gt;""),IF(EOMONTH($BR$3+INT((DAY(EOMONTH($BR$3,0))-1)/2)+BT$8,0)=EOMONTH($AP$3,0),BT$6*BT$7,0),0),IF(AND(BP$6&lt;&gt;"",BP$8&lt;&gt;""),IF(EOMONTH($BN$3+INT((DAY(EOMONTH($BN$3,0))-1)/2)+BP$8,0)=EOMONTH($AP$3,0),BP$6*BP$7,0),0),IF(AND(BL$6&lt;&gt;"",BL$8&lt;&gt;""),IF(EOMONTH($BJ$3+INT((DAY(EOMONTH($BJ$3,0))-1)/2)+BL$8,0)=EOMONTH($AP$3,0),BL$6*BL$7,0),0),IF(AND(BH$6&lt;&gt;"",BH$8&lt;&gt;""),IF(EOMONTH($BF$3+INT((DAY(EOMONTH($BF$3,0))-1)/2)+BH$8,0)=EOMONTH($AP$3,0),BH$6*BH$7,0),0),IF(AND(BD$6&lt;&gt;"",BD$8&lt;&gt;""),IF(EOMONTH($BB$3+INT((DAY(EOMONTH($BB$3,0))-1)/2)+BD$8,0)=EOMONTH($AP$3,0),BD$6*BD$7,0),0),IF(AND(AZ$6&lt;&gt;"",AZ$8&lt;&gt;""),IF(EOMONTH($AX$3+INT((DAY(EOMONTH($AX$3,0))-1)/2)+AZ$8,0)=EOMONTH($AP$3,0),AZ$6*AZ$7,0),0),IF(AND(AV$6&lt;&gt;"",AV$8&lt;&gt;""),IF(EOMONTH($AT$3+INT((DAY(EOMONTH($AT$3,0))-1)/2)+AV$8,0)=EOMONTH($AP$3,0),AV$6*AV$7,0),0),IF(AND(AR$6&lt;&gt;"",AR$8&lt;&gt;""),IF(EOMONTH($AP$3+INT((DAY(EOMONTH($AP$3,0))-1)/2)+AR$8,0)=EOMONTH($AP$3,0),AR$6*AR$7,0),0),IF(AND(AN$6&lt;&gt;"",AN$8&lt;&gt;""),IF(EOMONTH($AL$3+INT((DAY(EOMONTH($AL$3,0))-1)/2)+AN$8,0)=EOMONTH($AP$3,0),AN$6*AN$7,0),0),IF(AND(AJ$6&lt;&gt;"",AJ$8&lt;&gt;""),IF(EOMONTH($AH$3+INT((DAY(EOMONTH($AH$3,0))-1)/2)+AJ$8,0)=EOMONTH($AP$3,0),AJ$6*AJ$7,0),0),IF(AND(AF$6&lt;&gt;"",AF$8&lt;&gt;""),IF(EOMONTH($AD$3+INT((DAY(EOMONTH($AD$3,0))-1)/2)+AF$8,0)=EOMONTH($AP$3,0),AF$6*AF$7,0),0),IF(AND(AB$6&lt;&gt;"",AB$8&lt;&gt;""),IF(EOMONTH($Z$3+INT((DAY(EOMONTH($Z$3,0))-1)/2)+AB$8,0)=EOMONTH($AP$3,0),AB$6*AB$7,0),0),IF(AND(X$6&lt;&gt;"",X$8&lt;&gt;""),IF(EOMONTH($V$3+INT((DAY(EOMONTH($V$3,0))-1)/2)+X$8,0)=EOMONTH($AP$3,0),X$6*X$7,0),0),IF(AND(T$6&lt;&gt;"",T$8&lt;&gt;""),IF(EOMONTH($R$3+INT((DAY(EOMONTH($R$3,0))-1)/2)+T$8,0)=EOMONTH($AP$3,0),T$6*T$7,0),0),IF(AND(P$6&lt;&gt;"",P$8&lt;&gt;""),IF(EOMONTH($N$3+INT((DAY(EOMONTH($N$3,0))-1)/2)+P$8,0)=EOMONTH($AP$3,0),P$6*P$7,0),0),IF(AND(L$6&lt;&gt;"",L$8&lt;&gt;""),IF(EOMONTH($J$3+INT((DAY(EOMONTH($J$3,0))-1)/2)+L$8,0)=EOMONTH($AP$3,0),L$6*L$7,0),0),IF(AND(H$6&lt;&gt;"",H$8&lt;&gt;""),IF(EOMONTH($F$3+INT((DAY(EOMONTH($F$3,0))-1)/2)+H$8,0)=EOMONTH($AP$3,0),H$6*H$7,0),0)),0)</f>
        <v>66</v>
      </c>
      <c r="AS9" s="16">
        <f t="shared" si="23"/>
        <v>0</v>
      </c>
      <c r="AT9" s="17"/>
      <c r="AU9" s="14">
        <f>IF(AT$98=1,AT9,ROUND(SUM(IF(AND(EQ$6&lt;&gt;"",EQ$8&lt;&gt;""),IF(EOMONTH($EP$3+INT((DAY(EOMONTH($EP$3,0))-1)/2)+EQ$8,0)=EOMONTH($AT$3,0),EQ$6*EQ$7,0),0),IF(AND(EM$6&lt;&gt;"",EM$8&lt;&gt;""),IF(EOMONTH($EL$3+INT((DAY(EOMONTH($EL$3,0))-1)/2)+EM$8,0)=EOMONTH($AT$3,0),EM$6*EM$7,0),0),IF(AND(EI$6&lt;&gt;"",EI$8&lt;&gt;""),IF(EOMONTH($EH$3+INT((DAY(EOMONTH($EH$3,0))-1)/2)+EI$8,0)=EOMONTH($AT$3,0),EI$6*EI$7,0),0),IF(AND(EE$6&lt;&gt;"",EE$8&lt;&gt;""),IF(EOMONTH($ED$3+INT((DAY(EOMONTH($ED$3,0))-1)/2)+EE$8,0)=EOMONTH($AT$3,0),EE$6*EE$7,0),0),IF(AND(EA$6&lt;&gt;"",EA$8&lt;&gt;""),IF(EOMONTH($DZ$3+INT((DAY(EOMONTH($DZ$3,0))-1)/2)+EA$8,0)=EOMONTH($AT$3,0),EA$6*EA$7,0),0),IF(AND(DW$6&lt;&gt;"",DW$8&lt;&gt;""),IF(EOMONTH($DV$3+INT((DAY(EOMONTH($DV$3,0))-1)/2)+DW$8,0)=EOMONTH($AT$3,0),DW$6*DW$7,0),0),IF(AND(DS$6&lt;&gt;"",DS$8&lt;&gt;""),IF(EOMONTH($DR$3+INT((DAY(EOMONTH($DR$3,0))-1)/2)+DS$8,0)=EOMONTH($AT$3,0),DS$6*DS$7,0),0),IF(AND(DO$6&lt;&gt;"",DO$8&lt;&gt;""),IF(EOMONTH($DN$3+INT((DAY(EOMONTH($DN$3,0))-1)/2)+DO$8,0)=EOMONTH($AT$3,0),DO$6*DO$7,0),0),IF(AND(DK$6&lt;&gt;"",DK$8&lt;&gt;""),IF(EOMONTH($DJ$3+INT((DAY(EOMONTH($DJ$3,0))-1)/2)+DK$8,0)=EOMONTH($AT$3,0),DK$6*DK$7,0),0),IF(AND(DG$6&lt;&gt;"",DG$8&lt;&gt;""),IF(EOMONTH($DF$3+INT((DAY(EOMONTH($DF$3,0))-1)/2)+DG$8,0)=EOMONTH($AT$3,0),DG$6*DG$7,0),0),IF(AND(DC$6&lt;&gt;"",DC$8&lt;&gt;""),IF(EOMONTH($DB$3+INT((DAY(EOMONTH($DB$3,0))-1)/2)+DC$8,0)=EOMONTH($AT$3,0),DC$6*DC$7,0),0),IF(AND(CY$6&lt;&gt;"",CY$8&lt;&gt;""),IF(EOMONTH($CX$3+INT((DAY(EOMONTH($CX$3,0))-1)/2)+CY$8,0)=EOMONTH($AT$3,0),CY$6*CY$7,0),0),IF(AND(CU$6&lt;&gt;"",CU$8&lt;&gt;""),IF(EOMONTH($CT$3+INT((DAY(EOMONTH($CT$3,0))-1)/2)+CU$8,0)=EOMONTH($AT$3,0),CU$6*CU$7,0),0),IF(AND(CQ$6&lt;&gt;"",CQ$8&lt;&gt;""),IF(EOMONTH($CP$3+INT((DAY(EOMONTH($CP$3,0))-1)/2)+CQ$8,0)=EOMONTH($AT$3,0),CQ$6*CQ$7,0),0),IF(AND(CM$6&lt;&gt;"",CM$8&lt;&gt;""),IF(EOMONTH($CL$3+INT((DAY(EOMONTH($CL$3,0))-1)/2)+CM$8,0)=EOMONTH($AT$3,0),CM$6*CM$7,0),0),IF(AND(CI$6&lt;&gt;"",CI$8&lt;&gt;""),IF(EOMONTH($CH$3+INT((DAY(EOMONTH($CH$3,0))-1)/2)+CI$8,0)=EOMONTH($AT$3,0),CI$6*CI$7,0),0),IF(AND(CE$6&lt;&gt;"",CE$8&lt;&gt;""),IF(EOMONTH($CD$3+INT((DAY(EOMONTH($CD$3,0))-1)/2)+CE$8,0)=EOMONTH($AT$3,0),CE$6*CE$7,0),0),IF(AND(CA$6&lt;&gt;"",CA$8&lt;&gt;""),IF(EOMONTH($BZ$3+INT((DAY(EOMONTH($BZ$3,0))-1)/2)+CA$8,0)=EOMONTH($AT$3,0),CA$6*CA$7,0),0),IF(AND(BW$6&lt;&gt;"",BW$8&lt;&gt;""),IF(EOMONTH($BV$3+INT((DAY(EOMONTH($BV$3,0))-1)/2)+BW$8,0)=EOMONTH($AT$3,0),BW$6*BW$7,0),0),IF(AND(BS$6&lt;&gt;"",BS$8&lt;&gt;""),IF(EOMONTH($BR$3+INT((DAY(EOMONTH($BR$3,0))-1)/2)+BS$8,0)=EOMONTH($AT$3,0),BS$6*BS$7,0),0),IF(AND(BO$6&lt;&gt;"",BO$8&lt;&gt;""),IF(EOMONTH($BN$3+INT((DAY(EOMONTH($BN$3,0))-1)/2)+BO$8,0)=EOMONTH($AT$3,0),BO$6*BO$7,0),0),IF(AND(BK$6&lt;&gt;"",BK$8&lt;&gt;""),IF(EOMONTH($BJ$3+INT((DAY(EOMONTH($BJ$3,0))-1)/2)+BK$8,0)=EOMONTH($AT$3,0),BK$6*BK$7,0),0),IF(AND(BG$6&lt;&gt;"",BG$8&lt;&gt;""),IF(EOMONTH($BF$3+INT((DAY(EOMONTH($BF$3,0))-1)/2)+BG$8,0)=EOMONTH($AT$3,0),BG$6*BG$7,0),0),IF(AND(BC$6&lt;&gt;"",BC$8&lt;&gt;""),IF(EOMONTH($BB$3+INT((DAY(EOMONTH($BB$3,0))-1)/2)+BC$8,0)=EOMONTH($AT$3,0),BC$6*BC$7,0),0),IF(AND(AY$6&lt;&gt;"",AY$8&lt;&gt;""),IF(EOMONTH($AX$3+INT((DAY(EOMONTH($AX$3,0))-1)/2)+AY$8,0)=EOMONTH($AT$3,0),AY$6*AY$7,0),0),IF(AND(AU$6&lt;&gt;"",AU$8&lt;&gt;""),IF(EOMONTH($AT$3+INT((DAY(EOMONTH($AT$3,0))-1)/2)+AU$8,0)=EOMONTH($AT$3,0),AU$6*AU$7,0),0),IF(AND(AQ$6&lt;&gt;"",AQ$8&lt;&gt;""),IF(EOMONTH($AP$3+INT((DAY(EOMONTH($AP$3,0))-1)/2)+AQ$8,0)=EOMONTH($AT$3,0),AQ$6*AQ$7,0),0),IF(AND(AM$6&lt;&gt;"",AM$8&lt;&gt;""),IF(EOMONTH($AL$3+INT((DAY(EOMONTH($AL$3,0))-1)/2)+AM$8,0)=EOMONTH($AT$3,0),AM$6*AM$7,0),0),IF(AND(AI$6&lt;&gt;"",AI$8&lt;&gt;""),IF(EOMONTH($AH$3+INT((DAY(EOMONTH($AH$3,0))-1)/2)+AI$8,0)=EOMONTH($AT$3,0),AI$6*AI$7,0),0),IF(AND(AE$6&lt;&gt;"",AE$8&lt;&gt;""),IF(EOMONTH($AD$3+INT((DAY(EOMONTH($AD$3,0))-1)/2)+AE$8,0)=EOMONTH($AT$3,0),AE$6*AE$7,0),0),IF(AND(AA$6&lt;&gt;"",AA$8&lt;&gt;""),IF(EOMONTH($Z$3+INT((DAY(EOMONTH($Z$3,0))-1)/2)+AA$8,0)=EOMONTH($AT$3,0),AA$6*AA$7,0),0),IF(AND(W$6&lt;&gt;"",W$8&lt;&gt;""),IF(EOMONTH($V$3+INT((DAY(EOMONTH($V$3,0))-1)/2)+W$8,0)=EOMONTH($AT$3,0),W$6*W$7,0),0),IF(AND(S$6&lt;&gt;"",S$8&lt;&gt;""),IF(EOMONTH($R$3+INT((DAY(EOMONTH($R$3,0))-1)/2)+S$8,0)=EOMONTH($AT$3,0),S$6*S$7,0),0),IF(AND(O$6&lt;&gt;"",O$8&lt;&gt;""),IF(EOMONTH($N$3+INT((DAY(EOMONTH($N$3,0))-1)/2)+O$8,0)=EOMONTH($AT$3,0),O$6*O$7,0),0),IF(AND(K$6&lt;&gt;"",K$8&lt;&gt;""),IF(EOMONTH($J$3+INT((DAY(EOMONTH($J$3,0))-1)/2)+K$8,0)=EOMONTH($AT$3,0),K$6*K$7,0),0),IF(AND(G$6&lt;&gt;"",G$8&lt;&gt;""),IF(EOMONTH($F$3+INT((DAY(EOMONTH($F$3,0))-1)/2)+G$8,0)=EOMONTH($AT$3,0),G$6*G$7,0),0)),0))</f>
        <v>65</v>
      </c>
      <c r="AV9" s="15">
        <f>ROUND(SUM(IF(AND(ER$6&lt;&gt;"",ER$8&lt;&gt;""),IF(EOMONTH($EP$3+INT((DAY(EOMONTH($EP$3,0))-1)/2)+ER$8,0)=EOMONTH($AT$3,0),ER$6*ER$7,0),0),IF(AND(EN$6&lt;&gt;"",EN$8&lt;&gt;""),IF(EOMONTH($EL$3+INT((DAY(EOMONTH($EL$3,0))-1)/2)+EN$8,0)=EOMONTH($AT$3,0),EN$6*EN$7,0),0),IF(AND(EJ$6&lt;&gt;"",EJ$8&lt;&gt;""),IF(EOMONTH($EH$3+INT((DAY(EOMONTH($EH$3,0))-1)/2)+EJ$8,0)=EOMONTH($AT$3,0),EJ$6*EJ$7,0),0),IF(AND(EF$6&lt;&gt;"",EF$8&lt;&gt;""),IF(EOMONTH($ED$3+INT((DAY(EOMONTH($ED$3,0))-1)/2)+EF$8,0)=EOMONTH($AT$3,0),EF$6*EF$7,0),0),IF(AND(EB$6&lt;&gt;"",EB$8&lt;&gt;""),IF(EOMONTH($DZ$3+INT((DAY(EOMONTH($DZ$3,0))-1)/2)+EB$8,0)=EOMONTH($AT$3,0),EB$6*EB$7,0),0),IF(AND(DX$6&lt;&gt;"",DX$8&lt;&gt;""),IF(EOMONTH($DV$3+INT((DAY(EOMONTH($DV$3,0))-1)/2)+DX$8,0)=EOMONTH($AT$3,0),DX$6*DX$7,0),0),IF(AND(DT$6&lt;&gt;"",DT$8&lt;&gt;""),IF(EOMONTH($DR$3+INT((DAY(EOMONTH($DR$3,0))-1)/2)+DT$8,0)=EOMONTH($AT$3,0),DT$6*DT$7,0),0),IF(AND(DP$6&lt;&gt;"",DP$8&lt;&gt;""),IF(EOMONTH($DN$3+INT((DAY(EOMONTH($DN$3,0))-1)/2)+DP$8,0)=EOMONTH($AT$3,0),DP$6*DP$7,0),0),IF(AND(DL$6&lt;&gt;"",DL$8&lt;&gt;""),IF(EOMONTH($DJ$3+INT((DAY(EOMONTH($DJ$3,0))-1)/2)+DL$8,0)=EOMONTH($AT$3,0),DL$6*DL$7,0),0),IF(AND(DH$6&lt;&gt;"",DH$8&lt;&gt;""),IF(EOMONTH($DF$3+INT((DAY(EOMONTH($DF$3,0))-1)/2)+DH$8,0)=EOMONTH($AT$3,0),DH$6*DH$7,0),0),IF(AND(DD$6&lt;&gt;"",DD$8&lt;&gt;""),IF(EOMONTH($DB$3+INT((DAY(EOMONTH($DB$3,0))-1)/2)+DD$8,0)=EOMONTH($AT$3,0),DD$6*DD$7,0),0),IF(AND(CZ$6&lt;&gt;"",CZ$8&lt;&gt;""),IF(EOMONTH($CX$3+INT((DAY(EOMONTH($CX$3,0))-1)/2)+CZ$8,0)=EOMONTH($AT$3,0),CZ$6*CZ$7,0),0),IF(AND(CV$6&lt;&gt;"",CV$8&lt;&gt;""),IF(EOMONTH($CT$3+INT((DAY(EOMONTH($CT$3,0))-1)/2)+CV$8,0)=EOMONTH($AT$3,0),CV$6*CV$7,0),0),IF(AND(CR$6&lt;&gt;"",CR$8&lt;&gt;""),IF(EOMONTH($CP$3+INT((DAY(EOMONTH($CP$3,0))-1)/2)+CR$8,0)=EOMONTH($AT$3,0),CR$6*CR$7,0),0),IF(AND(CN$6&lt;&gt;"",CN$8&lt;&gt;""),IF(EOMONTH($CL$3+INT((DAY(EOMONTH($CL$3,0))-1)/2)+CN$8,0)=EOMONTH($AT$3,0),CN$6*CN$7,0),0),IF(AND(CJ$6&lt;&gt;"",CJ$8&lt;&gt;""),IF(EOMONTH($CH$3+INT((DAY(EOMONTH($CH$3,0))-1)/2)+CJ$8,0)=EOMONTH($AT$3,0),CJ$6*CJ$7,0),0),IF(AND(CF$6&lt;&gt;"",CF$8&lt;&gt;""),IF(EOMONTH($CD$3+INT((DAY(EOMONTH($CD$3,0))-1)/2)+CF$8,0)=EOMONTH($AT$3,0),CF$6*CF$7,0),0),IF(AND(CB$6&lt;&gt;"",CB$8&lt;&gt;""),IF(EOMONTH($BZ$3+INT((DAY(EOMONTH($BZ$3,0))-1)/2)+CB$8,0)=EOMONTH($AT$3,0),CB$6*CB$7,0),0),IF(AND(BX$6&lt;&gt;"",BX$8&lt;&gt;""),IF(EOMONTH($BV$3+INT((DAY(EOMONTH($BV$3,0))-1)/2)+BX$8,0)=EOMONTH($AT$3,0),BX$6*BX$7,0),0),IF(AND(BT$6&lt;&gt;"",BT$8&lt;&gt;""),IF(EOMONTH($BR$3+INT((DAY(EOMONTH($BR$3,0))-1)/2)+BT$8,0)=EOMONTH($AT$3,0),BT$6*BT$7,0),0),IF(AND(BP$6&lt;&gt;"",BP$8&lt;&gt;""),IF(EOMONTH($BN$3+INT((DAY(EOMONTH($BN$3,0))-1)/2)+BP$8,0)=EOMONTH($AT$3,0),BP$6*BP$7,0),0),IF(AND(BL$6&lt;&gt;"",BL$8&lt;&gt;""),IF(EOMONTH($BJ$3+INT((DAY(EOMONTH($BJ$3,0))-1)/2)+BL$8,0)=EOMONTH($AT$3,0),BL$6*BL$7,0),0),IF(AND(BH$6&lt;&gt;"",BH$8&lt;&gt;""),IF(EOMONTH($BF$3+INT((DAY(EOMONTH($BF$3,0))-1)/2)+BH$8,0)=EOMONTH($AT$3,0),BH$6*BH$7,0),0),IF(AND(BD$6&lt;&gt;"",BD$8&lt;&gt;""),IF(EOMONTH($BB$3+INT((DAY(EOMONTH($BB$3,0))-1)/2)+BD$8,0)=EOMONTH($AT$3,0),BD$6*BD$7,0),0),IF(AND(AZ$6&lt;&gt;"",AZ$8&lt;&gt;""),IF(EOMONTH($AX$3+INT((DAY(EOMONTH($AX$3,0))-1)/2)+AZ$8,0)=EOMONTH($AT$3,0),AZ$6*AZ$7,0),0),IF(AND(AV$6&lt;&gt;"",AV$8&lt;&gt;""),IF(EOMONTH($AT$3+INT((DAY(EOMONTH($AT$3,0))-1)/2)+AV$8,0)=EOMONTH($AT$3,0),AV$6*AV$7,0),0),IF(AND(AR$6&lt;&gt;"",AR$8&lt;&gt;""),IF(EOMONTH($AP$3+INT((DAY(EOMONTH($AP$3,0))-1)/2)+AR$8,0)=EOMONTH($AT$3,0),AR$6*AR$7,0),0),IF(AND(AN$6&lt;&gt;"",AN$8&lt;&gt;""),IF(EOMONTH($AL$3+INT((DAY(EOMONTH($AL$3,0))-1)/2)+AN$8,0)=EOMONTH($AT$3,0),AN$6*AN$7,0),0),IF(AND(AJ$6&lt;&gt;"",AJ$8&lt;&gt;""),IF(EOMONTH($AH$3+INT((DAY(EOMONTH($AH$3,0))-1)/2)+AJ$8,0)=EOMONTH($AT$3,0),AJ$6*AJ$7,0),0),IF(AND(AF$6&lt;&gt;"",AF$8&lt;&gt;""),IF(EOMONTH($AD$3+INT((DAY(EOMONTH($AD$3,0))-1)/2)+AF$8,0)=EOMONTH($AT$3,0),AF$6*AF$7,0),0),IF(AND(AB$6&lt;&gt;"",AB$8&lt;&gt;""),IF(EOMONTH($Z$3+INT((DAY(EOMONTH($Z$3,0))-1)/2)+AB$8,0)=EOMONTH($AT$3,0),AB$6*AB$7,0),0),IF(AND(X$6&lt;&gt;"",X$8&lt;&gt;""),IF(EOMONTH($V$3+INT((DAY(EOMONTH($V$3,0))-1)/2)+X$8,0)=EOMONTH($AT$3,0),X$6*X$7,0),0),IF(AND(T$6&lt;&gt;"",T$8&lt;&gt;""),IF(EOMONTH($R$3+INT((DAY(EOMONTH($R$3,0))-1)/2)+T$8,0)=EOMONTH($AT$3,0),T$6*T$7,0),0),IF(AND(P$6&lt;&gt;"",P$8&lt;&gt;""),IF(EOMONTH($N$3+INT((DAY(EOMONTH($N$3,0))-1)/2)+P$8,0)=EOMONTH($AT$3,0),P$6*P$7,0),0),IF(AND(L$6&lt;&gt;"",L$8&lt;&gt;""),IF(EOMONTH($J$3+INT((DAY(EOMONTH($J$3,0))-1)/2)+L$8,0)=EOMONTH($AT$3,0),L$6*L$7,0),0),IF(AND(H$6&lt;&gt;"",H$8&lt;&gt;""),IF(EOMONTH($F$3+INT((DAY(EOMONTH($F$3,0))-1)/2)+H$8,0)=EOMONTH($AT$3,0),H$6*H$7,0),0)),0)</f>
        <v>65</v>
      </c>
      <c r="AW9" s="16">
        <f t="shared" si="25"/>
        <v>0</v>
      </c>
      <c r="AX9" s="17"/>
      <c r="AY9" s="14">
        <f>IF(AX$98=1,AX9,ROUND(SUM(IF(AND(EQ$6&lt;&gt;"",EQ$8&lt;&gt;""),IF(EOMONTH($EP$3+INT((DAY(EOMONTH($EP$3,0))-1)/2)+EQ$8,0)=EOMONTH($AX$3,0),EQ$6*EQ$7,0),0),IF(AND(EM$6&lt;&gt;"",EM$8&lt;&gt;""),IF(EOMONTH($EL$3+INT((DAY(EOMONTH($EL$3,0))-1)/2)+EM$8,0)=EOMONTH($AX$3,0),EM$6*EM$7,0),0),IF(AND(EI$6&lt;&gt;"",EI$8&lt;&gt;""),IF(EOMONTH($EH$3+INT((DAY(EOMONTH($EH$3,0))-1)/2)+EI$8,0)=EOMONTH($AX$3,0),EI$6*EI$7,0),0),IF(AND(EE$6&lt;&gt;"",EE$8&lt;&gt;""),IF(EOMONTH($ED$3+INT((DAY(EOMONTH($ED$3,0))-1)/2)+EE$8,0)=EOMONTH($AX$3,0),EE$6*EE$7,0),0),IF(AND(EA$6&lt;&gt;"",EA$8&lt;&gt;""),IF(EOMONTH($DZ$3+INT((DAY(EOMONTH($DZ$3,0))-1)/2)+EA$8,0)=EOMONTH($AX$3,0),EA$6*EA$7,0),0),IF(AND(DW$6&lt;&gt;"",DW$8&lt;&gt;""),IF(EOMONTH($DV$3+INT((DAY(EOMONTH($DV$3,0))-1)/2)+DW$8,0)=EOMONTH($AX$3,0),DW$6*DW$7,0),0),IF(AND(DS$6&lt;&gt;"",DS$8&lt;&gt;""),IF(EOMONTH($DR$3+INT((DAY(EOMONTH($DR$3,0))-1)/2)+DS$8,0)=EOMONTH($AX$3,0),DS$6*DS$7,0),0),IF(AND(DO$6&lt;&gt;"",DO$8&lt;&gt;""),IF(EOMONTH($DN$3+INT((DAY(EOMONTH($DN$3,0))-1)/2)+DO$8,0)=EOMONTH($AX$3,0),DO$6*DO$7,0),0),IF(AND(DK$6&lt;&gt;"",DK$8&lt;&gt;""),IF(EOMONTH($DJ$3+INT((DAY(EOMONTH($DJ$3,0))-1)/2)+DK$8,0)=EOMONTH($AX$3,0),DK$6*DK$7,0),0),IF(AND(DG$6&lt;&gt;"",DG$8&lt;&gt;""),IF(EOMONTH($DF$3+INT((DAY(EOMONTH($DF$3,0))-1)/2)+DG$8,0)=EOMONTH($AX$3,0),DG$6*DG$7,0),0),IF(AND(DC$6&lt;&gt;"",DC$8&lt;&gt;""),IF(EOMONTH($DB$3+INT((DAY(EOMONTH($DB$3,0))-1)/2)+DC$8,0)=EOMONTH($AX$3,0),DC$6*DC$7,0),0),IF(AND(CY$6&lt;&gt;"",CY$8&lt;&gt;""),IF(EOMONTH($CX$3+INT((DAY(EOMONTH($CX$3,0))-1)/2)+CY$8,0)=EOMONTH($AX$3,0),CY$6*CY$7,0),0),IF(AND(CU$6&lt;&gt;"",CU$8&lt;&gt;""),IF(EOMONTH($CT$3+INT((DAY(EOMONTH($CT$3,0))-1)/2)+CU$8,0)=EOMONTH($AX$3,0),CU$6*CU$7,0),0),IF(AND(CQ$6&lt;&gt;"",CQ$8&lt;&gt;""),IF(EOMONTH($CP$3+INT((DAY(EOMONTH($CP$3,0))-1)/2)+CQ$8,0)=EOMONTH($AX$3,0),CQ$6*CQ$7,0),0),IF(AND(CM$6&lt;&gt;"",CM$8&lt;&gt;""),IF(EOMONTH($CL$3+INT((DAY(EOMONTH($CL$3,0))-1)/2)+CM$8,0)=EOMONTH($AX$3,0),CM$6*CM$7,0),0),IF(AND(CI$6&lt;&gt;"",CI$8&lt;&gt;""),IF(EOMONTH($CH$3+INT((DAY(EOMONTH($CH$3,0))-1)/2)+CI$8,0)=EOMONTH($AX$3,0),CI$6*CI$7,0),0),IF(AND(CE$6&lt;&gt;"",CE$8&lt;&gt;""),IF(EOMONTH($CD$3+INT((DAY(EOMONTH($CD$3,0))-1)/2)+CE$8,0)=EOMONTH($AX$3,0),CE$6*CE$7,0),0),IF(AND(CA$6&lt;&gt;"",CA$8&lt;&gt;""),IF(EOMONTH($BZ$3+INT((DAY(EOMONTH($BZ$3,0))-1)/2)+CA$8,0)=EOMONTH($AX$3,0),CA$6*CA$7,0),0),IF(AND(BW$6&lt;&gt;"",BW$8&lt;&gt;""),IF(EOMONTH($BV$3+INT((DAY(EOMONTH($BV$3,0))-1)/2)+BW$8,0)=EOMONTH($AX$3,0),BW$6*BW$7,0),0),IF(AND(BS$6&lt;&gt;"",BS$8&lt;&gt;""),IF(EOMONTH($BR$3+INT((DAY(EOMONTH($BR$3,0))-1)/2)+BS$8,0)=EOMONTH($AX$3,0),BS$6*BS$7,0),0),IF(AND(BO$6&lt;&gt;"",BO$8&lt;&gt;""),IF(EOMONTH($BN$3+INT((DAY(EOMONTH($BN$3,0))-1)/2)+BO$8,0)=EOMONTH($AX$3,0),BO$6*BO$7,0),0),IF(AND(BK$6&lt;&gt;"",BK$8&lt;&gt;""),IF(EOMONTH($BJ$3+INT((DAY(EOMONTH($BJ$3,0))-1)/2)+BK$8,0)=EOMONTH($AX$3,0),BK$6*BK$7,0),0),IF(AND(BG$6&lt;&gt;"",BG$8&lt;&gt;""),IF(EOMONTH($BF$3+INT((DAY(EOMONTH($BF$3,0))-1)/2)+BG$8,0)=EOMONTH($AX$3,0),BG$6*BG$7,0),0),IF(AND(BC$6&lt;&gt;"",BC$8&lt;&gt;""),IF(EOMONTH($BB$3+INT((DAY(EOMONTH($BB$3,0))-1)/2)+BC$8,0)=EOMONTH($AX$3,0),BC$6*BC$7,0),0),IF(AND(AY$6&lt;&gt;"",AY$8&lt;&gt;""),IF(EOMONTH($AX$3+INT((DAY(EOMONTH($AX$3,0))-1)/2)+AY$8,0)=EOMONTH($AX$3,0),AY$6*AY$7,0),0),IF(AND(AU$6&lt;&gt;"",AU$8&lt;&gt;""),IF(EOMONTH($AT$3+INT((DAY(EOMONTH($AT$3,0))-1)/2)+AU$8,0)=EOMONTH($AX$3,0),AU$6*AU$7,0),0),IF(AND(AQ$6&lt;&gt;"",AQ$8&lt;&gt;""),IF(EOMONTH($AP$3+INT((DAY(EOMONTH($AP$3,0))-1)/2)+AQ$8,0)=EOMONTH($AX$3,0),AQ$6*AQ$7,0),0),IF(AND(AM$6&lt;&gt;"",AM$8&lt;&gt;""),IF(EOMONTH($AL$3+INT((DAY(EOMONTH($AL$3,0))-1)/2)+AM$8,0)=EOMONTH($AX$3,0),AM$6*AM$7,0),0),IF(AND(AI$6&lt;&gt;"",AI$8&lt;&gt;""),IF(EOMONTH($AH$3+INT((DAY(EOMONTH($AH$3,0))-1)/2)+AI$8,0)=EOMONTH($AX$3,0),AI$6*AI$7,0),0),IF(AND(AE$6&lt;&gt;"",AE$8&lt;&gt;""),IF(EOMONTH($AD$3+INT((DAY(EOMONTH($AD$3,0))-1)/2)+AE$8,0)=EOMONTH($AX$3,0),AE$6*AE$7,0),0),IF(AND(AA$6&lt;&gt;"",AA$8&lt;&gt;""),IF(EOMONTH($Z$3+INT((DAY(EOMONTH($Z$3,0))-1)/2)+AA$8,0)=EOMONTH($AX$3,0),AA$6*AA$7,0),0),IF(AND(W$6&lt;&gt;"",W$8&lt;&gt;""),IF(EOMONTH($V$3+INT((DAY(EOMONTH($V$3,0))-1)/2)+W$8,0)=EOMONTH($AX$3,0),W$6*W$7,0),0),IF(AND(S$6&lt;&gt;"",S$8&lt;&gt;""),IF(EOMONTH($R$3+INT((DAY(EOMONTH($R$3,0))-1)/2)+S$8,0)=EOMONTH($AX$3,0),S$6*S$7,0),0),IF(AND(O$6&lt;&gt;"",O$8&lt;&gt;""),IF(EOMONTH($N$3+INT((DAY(EOMONTH($N$3,0))-1)/2)+O$8,0)=EOMONTH($AX$3,0),O$6*O$7,0),0),IF(AND(K$6&lt;&gt;"",K$8&lt;&gt;""),IF(EOMONTH($J$3+INT((DAY(EOMONTH($J$3,0))-1)/2)+K$8,0)=EOMONTH($AX$3,0),K$6*K$7,0),0),IF(AND(G$6&lt;&gt;"",G$8&lt;&gt;""),IF(EOMONTH($F$3+INT((DAY(EOMONTH($F$3,0))-1)/2)+G$8,0)=EOMONTH($AX$3,0),G$6*G$7,0),0)),0))</f>
        <v>64</v>
      </c>
      <c r="AZ9" s="15">
        <f>ROUND(SUM(IF(AND(ER$6&lt;&gt;"",ER$8&lt;&gt;""),IF(EOMONTH($EP$3+INT((DAY(EOMONTH($EP$3,0))-1)/2)+ER$8,0)=EOMONTH($AX$3,0),ER$6*ER$7,0),0),IF(AND(EN$6&lt;&gt;"",EN$8&lt;&gt;""),IF(EOMONTH($EL$3+INT((DAY(EOMONTH($EL$3,0))-1)/2)+EN$8,0)=EOMONTH($AX$3,0),EN$6*EN$7,0),0),IF(AND(EJ$6&lt;&gt;"",EJ$8&lt;&gt;""),IF(EOMONTH($EH$3+INT((DAY(EOMONTH($EH$3,0))-1)/2)+EJ$8,0)=EOMONTH($AX$3,0),EJ$6*EJ$7,0),0),IF(AND(EF$6&lt;&gt;"",EF$8&lt;&gt;""),IF(EOMONTH($ED$3+INT((DAY(EOMONTH($ED$3,0))-1)/2)+EF$8,0)=EOMONTH($AX$3,0),EF$6*EF$7,0),0),IF(AND(EB$6&lt;&gt;"",EB$8&lt;&gt;""),IF(EOMONTH($DZ$3+INT((DAY(EOMONTH($DZ$3,0))-1)/2)+EB$8,0)=EOMONTH($AX$3,0),EB$6*EB$7,0),0),IF(AND(DX$6&lt;&gt;"",DX$8&lt;&gt;""),IF(EOMONTH($DV$3+INT((DAY(EOMONTH($DV$3,0))-1)/2)+DX$8,0)=EOMONTH($AX$3,0),DX$6*DX$7,0),0),IF(AND(DT$6&lt;&gt;"",DT$8&lt;&gt;""),IF(EOMONTH($DR$3+INT((DAY(EOMONTH($DR$3,0))-1)/2)+DT$8,0)=EOMONTH($AX$3,0),DT$6*DT$7,0),0),IF(AND(DP$6&lt;&gt;"",DP$8&lt;&gt;""),IF(EOMONTH($DN$3+INT((DAY(EOMONTH($DN$3,0))-1)/2)+DP$8,0)=EOMONTH($AX$3,0),DP$6*DP$7,0),0),IF(AND(DL$6&lt;&gt;"",DL$8&lt;&gt;""),IF(EOMONTH($DJ$3+INT((DAY(EOMONTH($DJ$3,0))-1)/2)+DL$8,0)=EOMONTH($AX$3,0),DL$6*DL$7,0),0),IF(AND(DH$6&lt;&gt;"",DH$8&lt;&gt;""),IF(EOMONTH($DF$3+INT((DAY(EOMONTH($DF$3,0))-1)/2)+DH$8,0)=EOMONTH($AX$3,0),DH$6*DH$7,0),0),IF(AND(DD$6&lt;&gt;"",DD$8&lt;&gt;""),IF(EOMONTH($DB$3+INT((DAY(EOMONTH($DB$3,0))-1)/2)+DD$8,0)=EOMONTH($AX$3,0),DD$6*DD$7,0),0),IF(AND(CZ$6&lt;&gt;"",CZ$8&lt;&gt;""),IF(EOMONTH($CX$3+INT((DAY(EOMONTH($CX$3,0))-1)/2)+CZ$8,0)=EOMONTH($AX$3,0),CZ$6*CZ$7,0),0),IF(AND(CV$6&lt;&gt;"",CV$8&lt;&gt;""),IF(EOMONTH($CT$3+INT((DAY(EOMONTH($CT$3,0))-1)/2)+CV$8,0)=EOMONTH($AX$3,0),CV$6*CV$7,0),0),IF(AND(CR$6&lt;&gt;"",CR$8&lt;&gt;""),IF(EOMONTH($CP$3+INT((DAY(EOMONTH($CP$3,0))-1)/2)+CR$8,0)=EOMONTH($AX$3,0),CR$6*CR$7,0),0),IF(AND(CN$6&lt;&gt;"",CN$8&lt;&gt;""),IF(EOMONTH($CL$3+INT((DAY(EOMONTH($CL$3,0))-1)/2)+CN$8,0)=EOMONTH($AX$3,0),CN$6*CN$7,0),0),IF(AND(CJ$6&lt;&gt;"",CJ$8&lt;&gt;""),IF(EOMONTH($CH$3+INT((DAY(EOMONTH($CH$3,0))-1)/2)+CJ$8,0)=EOMONTH($AX$3,0),CJ$6*CJ$7,0),0),IF(AND(CF$6&lt;&gt;"",CF$8&lt;&gt;""),IF(EOMONTH($CD$3+INT((DAY(EOMONTH($CD$3,0))-1)/2)+CF$8,0)=EOMONTH($AX$3,0),CF$6*CF$7,0),0),IF(AND(CB$6&lt;&gt;"",CB$8&lt;&gt;""),IF(EOMONTH($BZ$3+INT((DAY(EOMONTH($BZ$3,0))-1)/2)+CB$8,0)=EOMONTH($AX$3,0),CB$6*CB$7,0),0),IF(AND(BX$6&lt;&gt;"",BX$8&lt;&gt;""),IF(EOMONTH($BV$3+INT((DAY(EOMONTH($BV$3,0))-1)/2)+BX$8,0)=EOMONTH($AX$3,0),BX$6*BX$7,0),0),IF(AND(BT$6&lt;&gt;"",BT$8&lt;&gt;""),IF(EOMONTH($BR$3+INT((DAY(EOMONTH($BR$3,0))-1)/2)+BT$8,0)=EOMONTH($AX$3,0),BT$6*BT$7,0),0),IF(AND(BP$6&lt;&gt;"",BP$8&lt;&gt;""),IF(EOMONTH($BN$3+INT((DAY(EOMONTH($BN$3,0))-1)/2)+BP$8,0)=EOMONTH($AX$3,0),BP$6*BP$7,0),0),IF(AND(BL$6&lt;&gt;"",BL$8&lt;&gt;""),IF(EOMONTH($BJ$3+INT((DAY(EOMONTH($BJ$3,0))-1)/2)+BL$8,0)=EOMONTH($AX$3,0),BL$6*BL$7,0),0),IF(AND(BH$6&lt;&gt;"",BH$8&lt;&gt;""),IF(EOMONTH($BF$3+INT((DAY(EOMONTH($BF$3,0))-1)/2)+BH$8,0)=EOMONTH($AX$3,0),BH$6*BH$7,0),0),IF(AND(BD$6&lt;&gt;"",BD$8&lt;&gt;""),IF(EOMONTH($BB$3+INT((DAY(EOMONTH($BB$3,0))-1)/2)+BD$8,0)=EOMONTH($AX$3,0),BD$6*BD$7,0),0),IF(AND(AZ$6&lt;&gt;"",AZ$8&lt;&gt;""),IF(EOMONTH($AX$3+INT((DAY(EOMONTH($AX$3,0))-1)/2)+AZ$8,0)=EOMONTH($AX$3,0),AZ$6*AZ$7,0),0),IF(AND(AV$6&lt;&gt;"",AV$8&lt;&gt;""),IF(EOMONTH($AT$3+INT((DAY(EOMONTH($AT$3,0))-1)/2)+AV$8,0)=EOMONTH($AX$3,0),AV$6*AV$7,0),0),IF(AND(AR$6&lt;&gt;"",AR$8&lt;&gt;""),IF(EOMONTH($AP$3+INT((DAY(EOMONTH($AP$3,0))-1)/2)+AR$8,0)=EOMONTH($AX$3,0),AR$6*AR$7,0),0),IF(AND(AN$6&lt;&gt;"",AN$8&lt;&gt;""),IF(EOMONTH($AL$3+INT((DAY(EOMONTH($AL$3,0))-1)/2)+AN$8,0)=EOMONTH($AX$3,0),AN$6*AN$7,0),0),IF(AND(AJ$6&lt;&gt;"",AJ$8&lt;&gt;""),IF(EOMONTH($AH$3+INT((DAY(EOMONTH($AH$3,0))-1)/2)+AJ$8,0)=EOMONTH($AX$3,0),AJ$6*AJ$7,0),0),IF(AND(AF$6&lt;&gt;"",AF$8&lt;&gt;""),IF(EOMONTH($AD$3+INT((DAY(EOMONTH($AD$3,0))-1)/2)+AF$8,0)=EOMONTH($AX$3,0),AF$6*AF$7,0),0),IF(AND(AB$6&lt;&gt;"",AB$8&lt;&gt;""),IF(EOMONTH($Z$3+INT((DAY(EOMONTH($Z$3,0))-1)/2)+AB$8,0)=EOMONTH($AX$3,0),AB$6*AB$7,0),0),IF(AND(X$6&lt;&gt;"",X$8&lt;&gt;""),IF(EOMONTH($V$3+INT((DAY(EOMONTH($V$3,0))-1)/2)+X$8,0)=EOMONTH($AX$3,0),X$6*X$7,0),0),IF(AND(T$6&lt;&gt;"",T$8&lt;&gt;""),IF(EOMONTH($R$3+INT((DAY(EOMONTH($R$3,0))-1)/2)+T$8,0)=EOMONTH($AX$3,0),T$6*T$7,0),0),IF(AND(P$6&lt;&gt;"",P$8&lt;&gt;""),IF(EOMONTH($N$3+INT((DAY(EOMONTH($N$3,0))-1)/2)+P$8,0)=EOMONTH($AX$3,0),P$6*P$7,0),0),IF(AND(L$6&lt;&gt;"",L$8&lt;&gt;""),IF(EOMONTH($J$3+INT((DAY(EOMONTH($J$3,0))-1)/2)+L$8,0)=EOMONTH($AX$3,0),L$6*L$7,0),0),IF(AND(H$6&lt;&gt;"",H$8&lt;&gt;""),IF(EOMONTH($F$3+INT((DAY(EOMONTH($F$3,0))-1)/2)+H$8,0)=EOMONTH($AX$3,0),H$6*H$7,0),0)),0)</f>
        <v>64</v>
      </c>
      <c r="BA9" s="16">
        <f t="shared" si="27"/>
        <v>0</v>
      </c>
      <c r="BB9" s="17"/>
      <c r="BC9" s="14">
        <f>IF(BB$98=1,BB9,ROUND(SUM(IF(AND(EQ$6&lt;&gt;"",EQ$8&lt;&gt;""),IF(EOMONTH($EP$3+INT((DAY(EOMONTH($EP$3,0))-1)/2)+EQ$8,0)=EOMONTH($BB$3,0),EQ$6*EQ$7,0),0),IF(AND(EM$6&lt;&gt;"",EM$8&lt;&gt;""),IF(EOMONTH($EL$3+INT((DAY(EOMONTH($EL$3,0))-1)/2)+EM$8,0)=EOMONTH($BB$3,0),EM$6*EM$7,0),0),IF(AND(EI$6&lt;&gt;"",EI$8&lt;&gt;""),IF(EOMONTH($EH$3+INT((DAY(EOMONTH($EH$3,0))-1)/2)+EI$8,0)=EOMONTH($BB$3,0),EI$6*EI$7,0),0),IF(AND(EE$6&lt;&gt;"",EE$8&lt;&gt;""),IF(EOMONTH($ED$3+INT((DAY(EOMONTH($ED$3,0))-1)/2)+EE$8,0)=EOMONTH($BB$3,0),EE$6*EE$7,0),0),IF(AND(EA$6&lt;&gt;"",EA$8&lt;&gt;""),IF(EOMONTH($DZ$3+INT((DAY(EOMONTH($DZ$3,0))-1)/2)+EA$8,0)=EOMONTH($BB$3,0),EA$6*EA$7,0),0),IF(AND(DW$6&lt;&gt;"",DW$8&lt;&gt;""),IF(EOMONTH($DV$3+INT((DAY(EOMONTH($DV$3,0))-1)/2)+DW$8,0)=EOMONTH($BB$3,0),DW$6*DW$7,0),0),IF(AND(DS$6&lt;&gt;"",DS$8&lt;&gt;""),IF(EOMONTH($DR$3+INT((DAY(EOMONTH($DR$3,0))-1)/2)+DS$8,0)=EOMONTH($BB$3,0),DS$6*DS$7,0),0),IF(AND(DO$6&lt;&gt;"",DO$8&lt;&gt;""),IF(EOMONTH($DN$3+INT((DAY(EOMONTH($DN$3,0))-1)/2)+DO$8,0)=EOMONTH($BB$3,0),DO$6*DO$7,0),0),IF(AND(DK$6&lt;&gt;"",DK$8&lt;&gt;""),IF(EOMONTH($DJ$3+INT((DAY(EOMONTH($DJ$3,0))-1)/2)+DK$8,0)=EOMONTH($BB$3,0),DK$6*DK$7,0),0),IF(AND(DG$6&lt;&gt;"",DG$8&lt;&gt;""),IF(EOMONTH($DF$3+INT((DAY(EOMONTH($DF$3,0))-1)/2)+DG$8,0)=EOMONTH($BB$3,0),DG$6*DG$7,0),0),IF(AND(DC$6&lt;&gt;"",DC$8&lt;&gt;""),IF(EOMONTH($DB$3+INT((DAY(EOMONTH($DB$3,0))-1)/2)+DC$8,0)=EOMONTH($BB$3,0),DC$6*DC$7,0),0),IF(AND(CY$6&lt;&gt;"",CY$8&lt;&gt;""),IF(EOMONTH($CX$3+INT((DAY(EOMONTH($CX$3,0))-1)/2)+CY$8,0)=EOMONTH($BB$3,0),CY$6*CY$7,0),0),IF(AND(CU$6&lt;&gt;"",CU$8&lt;&gt;""),IF(EOMONTH($CT$3+INT((DAY(EOMONTH($CT$3,0))-1)/2)+CU$8,0)=EOMONTH($BB$3,0),CU$6*CU$7,0),0),IF(AND(CQ$6&lt;&gt;"",CQ$8&lt;&gt;""),IF(EOMONTH($CP$3+INT((DAY(EOMONTH($CP$3,0))-1)/2)+CQ$8,0)=EOMONTH($BB$3,0),CQ$6*CQ$7,0),0),IF(AND(CM$6&lt;&gt;"",CM$8&lt;&gt;""),IF(EOMONTH($CL$3+INT((DAY(EOMONTH($CL$3,0))-1)/2)+CM$8,0)=EOMONTH($BB$3,0),CM$6*CM$7,0),0),IF(AND(CI$6&lt;&gt;"",CI$8&lt;&gt;""),IF(EOMONTH($CH$3+INT((DAY(EOMONTH($CH$3,0))-1)/2)+CI$8,0)=EOMONTH($BB$3,0),CI$6*CI$7,0),0),IF(AND(CE$6&lt;&gt;"",CE$8&lt;&gt;""),IF(EOMONTH($CD$3+INT((DAY(EOMONTH($CD$3,0))-1)/2)+CE$8,0)=EOMONTH($BB$3,0),CE$6*CE$7,0),0),IF(AND(CA$6&lt;&gt;"",CA$8&lt;&gt;""),IF(EOMONTH($BZ$3+INT((DAY(EOMONTH($BZ$3,0))-1)/2)+CA$8,0)=EOMONTH($BB$3,0),CA$6*CA$7,0),0),IF(AND(BW$6&lt;&gt;"",BW$8&lt;&gt;""),IF(EOMONTH($BV$3+INT((DAY(EOMONTH($BV$3,0))-1)/2)+BW$8,0)=EOMONTH($BB$3,0),BW$6*BW$7,0),0),IF(AND(BS$6&lt;&gt;"",BS$8&lt;&gt;""),IF(EOMONTH($BR$3+INT((DAY(EOMONTH($BR$3,0))-1)/2)+BS$8,0)=EOMONTH($BB$3,0),BS$6*BS$7,0),0),IF(AND(BO$6&lt;&gt;"",BO$8&lt;&gt;""),IF(EOMONTH($BN$3+INT((DAY(EOMONTH($BN$3,0))-1)/2)+BO$8,0)=EOMONTH($BB$3,0),BO$6*BO$7,0),0),IF(AND(BK$6&lt;&gt;"",BK$8&lt;&gt;""),IF(EOMONTH($BJ$3+INT((DAY(EOMONTH($BJ$3,0))-1)/2)+BK$8,0)=EOMONTH($BB$3,0),BK$6*BK$7,0),0),IF(AND(BG$6&lt;&gt;"",BG$8&lt;&gt;""),IF(EOMONTH($BF$3+INT((DAY(EOMONTH($BF$3,0))-1)/2)+BG$8,0)=EOMONTH($BB$3,0),BG$6*BG$7,0),0),IF(AND(BC$6&lt;&gt;"",BC$8&lt;&gt;""),IF(EOMONTH($BB$3+INT((DAY(EOMONTH($BB$3,0))-1)/2)+BC$8,0)=EOMONTH($BB$3,0),BC$6*BC$7,0),0),IF(AND(AY$6&lt;&gt;"",AY$8&lt;&gt;""),IF(EOMONTH($AX$3+INT((DAY(EOMONTH($AX$3,0))-1)/2)+AY$8,0)=EOMONTH($BB$3,0),AY$6*AY$7,0),0),IF(AND(AU$6&lt;&gt;"",AU$8&lt;&gt;""),IF(EOMONTH($AT$3+INT((DAY(EOMONTH($AT$3,0))-1)/2)+AU$8,0)=EOMONTH($BB$3,0),AU$6*AU$7,0),0),IF(AND(AQ$6&lt;&gt;"",AQ$8&lt;&gt;""),IF(EOMONTH($AP$3+INT((DAY(EOMONTH($AP$3,0))-1)/2)+AQ$8,0)=EOMONTH($BB$3,0),AQ$6*AQ$7,0),0),IF(AND(AM$6&lt;&gt;"",AM$8&lt;&gt;""),IF(EOMONTH($AL$3+INT((DAY(EOMONTH($AL$3,0))-1)/2)+AM$8,0)=EOMONTH($BB$3,0),AM$6*AM$7,0),0),IF(AND(AI$6&lt;&gt;"",AI$8&lt;&gt;""),IF(EOMONTH($AH$3+INT((DAY(EOMONTH($AH$3,0))-1)/2)+AI$8,0)=EOMONTH($BB$3,0),AI$6*AI$7,0),0),IF(AND(AE$6&lt;&gt;"",AE$8&lt;&gt;""),IF(EOMONTH($AD$3+INT((DAY(EOMONTH($AD$3,0))-1)/2)+AE$8,0)=EOMONTH($BB$3,0),AE$6*AE$7,0),0),IF(AND(AA$6&lt;&gt;"",AA$8&lt;&gt;""),IF(EOMONTH($Z$3+INT((DAY(EOMONTH($Z$3,0))-1)/2)+AA$8,0)=EOMONTH($BB$3,0),AA$6*AA$7,0),0),IF(AND(W$6&lt;&gt;"",W$8&lt;&gt;""),IF(EOMONTH($V$3+INT((DAY(EOMONTH($V$3,0))-1)/2)+W$8,0)=EOMONTH($BB$3,0),W$6*W$7,0),0),IF(AND(S$6&lt;&gt;"",S$8&lt;&gt;""),IF(EOMONTH($R$3+INT((DAY(EOMONTH($R$3,0))-1)/2)+S$8,0)=EOMONTH($BB$3,0),S$6*S$7,0),0),IF(AND(O$6&lt;&gt;"",O$8&lt;&gt;""),IF(EOMONTH($N$3+INT((DAY(EOMONTH($N$3,0))-1)/2)+O$8,0)=EOMONTH($BB$3,0),O$6*O$7,0),0),IF(AND(K$6&lt;&gt;"",K$8&lt;&gt;""),IF(EOMONTH($J$3+INT((DAY(EOMONTH($J$3,0))-1)/2)+K$8,0)=EOMONTH($BB$3,0),K$6*K$7,0),0),IF(AND(G$6&lt;&gt;"",G$8&lt;&gt;""),IF(EOMONTH($F$3+INT((DAY(EOMONTH($F$3,0))-1)/2)+G$8,0)=EOMONTH($BB$3,0),G$6*G$7,0),0)),0))</f>
        <v>63</v>
      </c>
      <c r="BD9" s="15">
        <f>ROUND(SUM(IF(AND(ER$6&lt;&gt;"",ER$8&lt;&gt;""),IF(EOMONTH($EP$3+INT((DAY(EOMONTH($EP$3,0))-1)/2)+ER$8,0)=EOMONTH($BB$3,0),ER$6*ER$7,0),0),IF(AND(EN$6&lt;&gt;"",EN$8&lt;&gt;""),IF(EOMONTH($EL$3+INT((DAY(EOMONTH($EL$3,0))-1)/2)+EN$8,0)=EOMONTH($BB$3,0),EN$6*EN$7,0),0),IF(AND(EJ$6&lt;&gt;"",EJ$8&lt;&gt;""),IF(EOMONTH($EH$3+INT((DAY(EOMONTH($EH$3,0))-1)/2)+EJ$8,0)=EOMONTH($BB$3,0),EJ$6*EJ$7,0),0),IF(AND(EF$6&lt;&gt;"",EF$8&lt;&gt;""),IF(EOMONTH($ED$3+INT((DAY(EOMONTH($ED$3,0))-1)/2)+EF$8,0)=EOMONTH($BB$3,0),EF$6*EF$7,0),0),IF(AND(EB$6&lt;&gt;"",EB$8&lt;&gt;""),IF(EOMONTH($DZ$3+INT((DAY(EOMONTH($DZ$3,0))-1)/2)+EB$8,0)=EOMONTH($BB$3,0),EB$6*EB$7,0),0),IF(AND(DX$6&lt;&gt;"",DX$8&lt;&gt;""),IF(EOMONTH($DV$3+INT((DAY(EOMONTH($DV$3,0))-1)/2)+DX$8,0)=EOMONTH($BB$3,0),DX$6*DX$7,0),0),IF(AND(DT$6&lt;&gt;"",DT$8&lt;&gt;""),IF(EOMONTH($DR$3+INT((DAY(EOMONTH($DR$3,0))-1)/2)+DT$8,0)=EOMONTH($BB$3,0),DT$6*DT$7,0),0),IF(AND(DP$6&lt;&gt;"",DP$8&lt;&gt;""),IF(EOMONTH($DN$3+INT((DAY(EOMONTH($DN$3,0))-1)/2)+DP$8,0)=EOMONTH($BB$3,0),DP$6*DP$7,0),0),IF(AND(DL$6&lt;&gt;"",DL$8&lt;&gt;""),IF(EOMONTH($DJ$3+INT((DAY(EOMONTH($DJ$3,0))-1)/2)+DL$8,0)=EOMONTH($BB$3,0),DL$6*DL$7,0),0),IF(AND(DH$6&lt;&gt;"",DH$8&lt;&gt;""),IF(EOMONTH($DF$3+INT((DAY(EOMONTH($DF$3,0))-1)/2)+DH$8,0)=EOMONTH($BB$3,0),DH$6*DH$7,0),0),IF(AND(DD$6&lt;&gt;"",DD$8&lt;&gt;""),IF(EOMONTH($DB$3+INT((DAY(EOMONTH($DB$3,0))-1)/2)+DD$8,0)=EOMONTH($BB$3,0),DD$6*DD$7,0),0),IF(AND(CZ$6&lt;&gt;"",CZ$8&lt;&gt;""),IF(EOMONTH($CX$3+INT((DAY(EOMONTH($CX$3,0))-1)/2)+CZ$8,0)=EOMONTH($BB$3,0),CZ$6*CZ$7,0),0),IF(AND(CV$6&lt;&gt;"",CV$8&lt;&gt;""),IF(EOMONTH($CT$3+INT((DAY(EOMONTH($CT$3,0))-1)/2)+CV$8,0)=EOMONTH($BB$3,0),CV$6*CV$7,0),0),IF(AND(CR$6&lt;&gt;"",CR$8&lt;&gt;""),IF(EOMONTH($CP$3+INT((DAY(EOMONTH($CP$3,0))-1)/2)+CR$8,0)=EOMONTH($BB$3,0),CR$6*CR$7,0),0),IF(AND(CN$6&lt;&gt;"",CN$8&lt;&gt;""),IF(EOMONTH($CL$3+INT((DAY(EOMONTH($CL$3,0))-1)/2)+CN$8,0)=EOMONTH($BB$3,0),CN$6*CN$7,0),0),IF(AND(CJ$6&lt;&gt;"",CJ$8&lt;&gt;""),IF(EOMONTH($CH$3+INT((DAY(EOMONTH($CH$3,0))-1)/2)+CJ$8,0)=EOMONTH($BB$3,0),CJ$6*CJ$7,0),0),IF(AND(CF$6&lt;&gt;"",CF$8&lt;&gt;""),IF(EOMONTH($CD$3+INT((DAY(EOMONTH($CD$3,0))-1)/2)+CF$8,0)=EOMONTH($BB$3,0),CF$6*CF$7,0),0),IF(AND(CB$6&lt;&gt;"",CB$8&lt;&gt;""),IF(EOMONTH($BZ$3+INT((DAY(EOMONTH($BZ$3,0))-1)/2)+CB$8,0)=EOMONTH($BB$3,0),CB$6*CB$7,0),0),IF(AND(BX$6&lt;&gt;"",BX$8&lt;&gt;""),IF(EOMONTH($BV$3+INT((DAY(EOMONTH($BV$3,0))-1)/2)+BX$8,0)=EOMONTH($BB$3,0),BX$6*BX$7,0),0),IF(AND(BT$6&lt;&gt;"",BT$8&lt;&gt;""),IF(EOMONTH($BR$3+INT((DAY(EOMONTH($BR$3,0))-1)/2)+BT$8,0)=EOMONTH($BB$3,0),BT$6*BT$7,0),0),IF(AND(BP$6&lt;&gt;"",BP$8&lt;&gt;""),IF(EOMONTH($BN$3+INT((DAY(EOMONTH($BN$3,0))-1)/2)+BP$8,0)=EOMONTH($BB$3,0),BP$6*BP$7,0),0),IF(AND(BL$6&lt;&gt;"",BL$8&lt;&gt;""),IF(EOMONTH($BJ$3+INT((DAY(EOMONTH($BJ$3,0))-1)/2)+BL$8,0)=EOMONTH($BB$3,0),BL$6*BL$7,0),0),IF(AND(BH$6&lt;&gt;"",BH$8&lt;&gt;""),IF(EOMONTH($BF$3+INT((DAY(EOMONTH($BF$3,0))-1)/2)+BH$8,0)=EOMONTH($BB$3,0),BH$6*BH$7,0),0),IF(AND(BD$6&lt;&gt;"",BD$8&lt;&gt;""),IF(EOMONTH($BB$3+INT((DAY(EOMONTH($BB$3,0))-1)/2)+BD$8,0)=EOMONTH($BB$3,0),BD$6*BD$7,0),0),IF(AND(AZ$6&lt;&gt;"",AZ$8&lt;&gt;""),IF(EOMONTH($AX$3+INT((DAY(EOMONTH($AX$3,0))-1)/2)+AZ$8,0)=EOMONTH($BB$3,0),AZ$6*AZ$7,0),0),IF(AND(AV$6&lt;&gt;"",AV$8&lt;&gt;""),IF(EOMONTH($AT$3+INT((DAY(EOMONTH($AT$3,0))-1)/2)+AV$8,0)=EOMONTH($BB$3,0),AV$6*AV$7,0),0),IF(AND(AR$6&lt;&gt;"",AR$8&lt;&gt;""),IF(EOMONTH($AP$3+INT((DAY(EOMONTH($AP$3,0))-1)/2)+AR$8,0)=EOMONTH($BB$3,0),AR$6*AR$7,0),0),IF(AND(AN$6&lt;&gt;"",AN$8&lt;&gt;""),IF(EOMONTH($AL$3+INT((DAY(EOMONTH($AL$3,0))-1)/2)+AN$8,0)=EOMONTH($BB$3,0),AN$6*AN$7,0),0),IF(AND(AJ$6&lt;&gt;"",AJ$8&lt;&gt;""),IF(EOMONTH($AH$3+INT((DAY(EOMONTH($AH$3,0))-1)/2)+AJ$8,0)=EOMONTH($BB$3,0),AJ$6*AJ$7,0),0),IF(AND(AF$6&lt;&gt;"",AF$8&lt;&gt;""),IF(EOMONTH($AD$3+INT((DAY(EOMONTH($AD$3,0))-1)/2)+AF$8,0)=EOMONTH($BB$3,0),AF$6*AF$7,0),0),IF(AND(AB$6&lt;&gt;"",AB$8&lt;&gt;""),IF(EOMONTH($Z$3+INT((DAY(EOMONTH($Z$3,0))-1)/2)+AB$8,0)=EOMONTH($BB$3,0),AB$6*AB$7,0),0),IF(AND(X$6&lt;&gt;"",X$8&lt;&gt;""),IF(EOMONTH($V$3+INT((DAY(EOMONTH($V$3,0))-1)/2)+X$8,0)=EOMONTH($BB$3,0),X$6*X$7,0),0),IF(AND(T$6&lt;&gt;"",T$8&lt;&gt;""),IF(EOMONTH($R$3+INT((DAY(EOMONTH($R$3,0))-1)/2)+T$8,0)=EOMONTH($BB$3,0),T$6*T$7,0),0),IF(AND(P$6&lt;&gt;"",P$8&lt;&gt;""),IF(EOMONTH($N$3+INT((DAY(EOMONTH($N$3,0))-1)/2)+P$8,0)=EOMONTH($BB$3,0),P$6*P$7,0),0),IF(AND(L$6&lt;&gt;"",L$8&lt;&gt;""),IF(EOMONTH($J$3+INT((DAY(EOMONTH($J$3,0))-1)/2)+L$8,0)=EOMONTH($BB$3,0),L$6*L$7,0),0),IF(AND(H$6&lt;&gt;"",H$8&lt;&gt;""),IF(EOMONTH($F$3+INT((DAY(EOMONTH($F$3,0))-1)/2)+H$8,0)=EOMONTH($BB$3,0),H$6*H$7,0),0)),0)</f>
        <v>63</v>
      </c>
      <c r="BE9" s="16">
        <f t="shared" si="29"/>
        <v>0</v>
      </c>
      <c r="BF9" s="17"/>
      <c r="BG9" s="14">
        <f>IF(BF$98=1,BF9,ROUND(SUM(IF(AND(EQ$6&lt;&gt;"",EQ$8&lt;&gt;""),IF(EOMONTH($EP$3+INT((DAY(EOMONTH($EP$3,0))-1)/2)+EQ$8,0)=EOMONTH($BF$3,0),EQ$6*EQ$7,0),0),IF(AND(EM$6&lt;&gt;"",EM$8&lt;&gt;""),IF(EOMONTH($EL$3+INT((DAY(EOMONTH($EL$3,0))-1)/2)+EM$8,0)=EOMONTH($BF$3,0),EM$6*EM$7,0),0),IF(AND(EI$6&lt;&gt;"",EI$8&lt;&gt;""),IF(EOMONTH($EH$3+INT((DAY(EOMONTH($EH$3,0))-1)/2)+EI$8,0)=EOMONTH($BF$3,0),EI$6*EI$7,0),0),IF(AND(EE$6&lt;&gt;"",EE$8&lt;&gt;""),IF(EOMONTH($ED$3+INT((DAY(EOMONTH($ED$3,0))-1)/2)+EE$8,0)=EOMONTH($BF$3,0),EE$6*EE$7,0),0),IF(AND(EA$6&lt;&gt;"",EA$8&lt;&gt;""),IF(EOMONTH($DZ$3+INT((DAY(EOMONTH($DZ$3,0))-1)/2)+EA$8,0)=EOMONTH($BF$3,0),EA$6*EA$7,0),0),IF(AND(DW$6&lt;&gt;"",DW$8&lt;&gt;""),IF(EOMONTH($DV$3+INT((DAY(EOMONTH($DV$3,0))-1)/2)+DW$8,0)=EOMONTH($BF$3,0),DW$6*DW$7,0),0),IF(AND(DS$6&lt;&gt;"",DS$8&lt;&gt;""),IF(EOMONTH($DR$3+INT((DAY(EOMONTH($DR$3,0))-1)/2)+DS$8,0)=EOMONTH($BF$3,0),DS$6*DS$7,0),0),IF(AND(DO$6&lt;&gt;"",DO$8&lt;&gt;""),IF(EOMONTH($DN$3+INT((DAY(EOMONTH($DN$3,0))-1)/2)+DO$8,0)=EOMONTH($BF$3,0),DO$6*DO$7,0),0),IF(AND(DK$6&lt;&gt;"",DK$8&lt;&gt;""),IF(EOMONTH($DJ$3+INT((DAY(EOMONTH($DJ$3,0))-1)/2)+DK$8,0)=EOMONTH($BF$3,0),DK$6*DK$7,0),0),IF(AND(DG$6&lt;&gt;"",DG$8&lt;&gt;""),IF(EOMONTH($DF$3+INT((DAY(EOMONTH($DF$3,0))-1)/2)+DG$8,0)=EOMONTH($BF$3,0),DG$6*DG$7,0),0),IF(AND(DC$6&lt;&gt;"",DC$8&lt;&gt;""),IF(EOMONTH($DB$3+INT((DAY(EOMONTH($DB$3,0))-1)/2)+DC$8,0)=EOMONTH($BF$3,0),DC$6*DC$7,0),0),IF(AND(CY$6&lt;&gt;"",CY$8&lt;&gt;""),IF(EOMONTH($CX$3+INT((DAY(EOMONTH($CX$3,0))-1)/2)+CY$8,0)=EOMONTH($BF$3,0),CY$6*CY$7,0),0),IF(AND(CU$6&lt;&gt;"",CU$8&lt;&gt;""),IF(EOMONTH($CT$3+INT((DAY(EOMONTH($CT$3,0))-1)/2)+CU$8,0)=EOMONTH($BF$3,0),CU$6*CU$7,0),0),IF(AND(CQ$6&lt;&gt;"",CQ$8&lt;&gt;""),IF(EOMONTH($CP$3+INT((DAY(EOMONTH($CP$3,0))-1)/2)+CQ$8,0)=EOMONTH($BF$3,0),CQ$6*CQ$7,0),0),IF(AND(CM$6&lt;&gt;"",CM$8&lt;&gt;""),IF(EOMONTH($CL$3+INT((DAY(EOMONTH($CL$3,0))-1)/2)+CM$8,0)=EOMONTH($BF$3,0),CM$6*CM$7,0),0),IF(AND(CI$6&lt;&gt;"",CI$8&lt;&gt;""),IF(EOMONTH($CH$3+INT((DAY(EOMONTH($CH$3,0))-1)/2)+CI$8,0)=EOMONTH($BF$3,0),CI$6*CI$7,0),0),IF(AND(CE$6&lt;&gt;"",CE$8&lt;&gt;""),IF(EOMONTH($CD$3+INT((DAY(EOMONTH($CD$3,0))-1)/2)+CE$8,0)=EOMONTH($BF$3,0),CE$6*CE$7,0),0),IF(AND(CA$6&lt;&gt;"",CA$8&lt;&gt;""),IF(EOMONTH($BZ$3+INT((DAY(EOMONTH($BZ$3,0))-1)/2)+CA$8,0)=EOMONTH($BF$3,0),CA$6*CA$7,0),0),IF(AND(BW$6&lt;&gt;"",BW$8&lt;&gt;""),IF(EOMONTH($BV$3+INT((DAY(EOMONTH($BV$3,0))-1)/2)+BW$8,0)=EOMONTH($BF$3,0),BW$6*BW$7,0),0),IF(AND(BS$6&lt;&gt;"",BS$8&lt;&gt;""),IF(EOMONTH($BR$3+INT((DAY(EOMONTH($BR$3,0))-1)/2)+BS$8,0)=EOMONTH($BF$3,0),BS$6*BS$7,0),0),IF(AND(BO$6&lt;&gt;"",BO$8&lt;&gt;""),IF(EOMONTH($BN$3+INT((DAY(EOMONTH($BN$3,0))-1)/2)+BO$8,0)=EOMONTH($BF$3,0),BO$6*BO$7,0),0),IF(AND(BK$6&lt;&gt;"",BK$8&lt;&gt;""),IF(EOMONTH($BJ$3+INT((DAY(EOMONTH($BJ$3,0))-1)/2)+BK$8,0)=EOMONTH($BF$3,0),BK$6*BK$7,0),0),IF(AND(BG$6&lt;&gt;"",BG$8&lt;&gt;""),IF(EOMONTH($BF$3+INT((DAY(EOMONTH($BF$3,0))-1)/2)+BG$8,0)=EOMONTH($BF$3,0),BG$6*BG$7,0),0),IF(AND(BC$6&lt;&gt;"",BC$8&lt;&gt;""),IF(EOMONTH($BB$3+INT((DAY(EOMONTH($BB$3,0))-1)/2)+BC$8,0)=EOMONTH($BF$3,0),BC$6*BC$7,0),0),IF(AND(AY$6&lt;&gt;"",AY$8&lt;&gt;""),IF(EOMONTH($AX$3+INT((DAY(EOMONTH($AX$3,0))-1)/2)+AY$8,0)=EOMONTH($BF$3,0),AY$6*AY$7,0),0),IF(AND(AU$6&lt;&gt;"",AU$8&lt;&gt;""),IF(EOMONTH($AT$3+INT((DAY(EOMONTH($AT$3,0))-1)/2)+AU$8,0)=EOMONTH($BF$3,0),AU$6*AU$7,0),0),IF(AND(AQ$6&lt;&gt;"",AQ$8&lt;&gt;""),IF(EOMONTH($AP$3+INT((DAY(EOMONTH($AP$3,0))-1)/2)+AQ$8,0)=EOMONTH($BF$3,0),AQ$6*AQ$7,0),0),IF(AND(AM$6&lt;&gt;"",AM$8&lt;&gt;""),IF(EOMONTH($AL$3+INT((DAY(EOMONTH($AL$3,0))-1)/2)+AM$8,0)=EOMONTH($BF$3,0),AM$6*AM$7,0),0),IF(AND(AI$6&lt;&gt;"",AI$8&lt;&gt;""),IF(EOMONTH($AH$3+INT((DAY(EOMONTH($AH$3,0))-1)/2)+AI$8,0)=EOMONTH($BF$3,0),AI$6*AI$7,0),0),IF(AND(AE$6&lt;&gt;"",AE$8&lt;&gt;""),IF(EOMONTH($AD$3+INT((DAY(EOMONTH($AD$3,0))-1)/2)+AE$8,0)=EOMONTH($BF$3,0),AE$6*AE$7,0),0),IF(AND(AA$6&lt;&gt;"",AA$8&lt;&gt;""),IF(EOMONTH($Z$3+INT((DAY(EOMONTH($Z$3,0))-1)/2)+AA$8,0)=EOMONTH($BF$3,0),AA$6*AA$7,0),0),IF(AND(W$6&lt;&gt;"",W$8&lt;&gt;""),IF(EOMONTH($V$3+INT((DAY(EOMONTH($V$3,0))-1)/2)+W$8,0)=EOMONTH($BF$3,0),W$6*W$7,0),0),IF(AND(S$6&lt;&gt;"",S$8&lt;&gt;""),IF(EOMONTH($R$3+INT((DAY(EOMONTH($R$3,0))-1)/2)+S$8,0)=EOMONTH($BF$3,0),S$6*S$7,0),0),IF(AND(O$6&lt;&gt;"",O$8&lt;&gt;""),IF(EOMONTH($N$3+INT((DAY(EOMONTH($N$3,0))-1)/2)+O$8,0)=EOMONTH($BF$3,0),O$6*O$7,0),0),IF(AND(K$6&lt;&gt;"",K$8&lt;&gt;""),IF(EOMONTH($J$3+INT((DAY(EOMONTH($J$3,0))-1)/2)+K$8,0)=EOMONTH($BF$3,0),K$6*K$7,0),0),IF(AND(G$6&lt;&gt;"",G$8&lt;&gt;""),IF(EOMONTH($F$3+INT((DAY(EOMONTH($F$3,0))-1)/2)+G$8,0)=EOMONTH($BF$3,0),G$6*G$7,0),0)),0))</f>
        <v>62</v>
      </c>
      <c r="BH9" s="15">
        <f>ROUND(SUM(IF(AND(ER$6&lt;&gt;"",ER$8&lt;&gt;""),IF(EOMONTH($EP$3+INT((DAY(EOMONTH($EP$3,0))-1)/2)+ER$8,0)=EOMONTH($BF$3,0),ER$6*ER$7,0),0),IF(AND(EN$6&lt;&gt;"",EN$8&lt;&gt;""),IF(EOMONTH($EL$3+INT((DAY(EOMONTH($EL$3,0))-1)/2)+EN$8,0)=EOMONTH($BF$3,0),EN$6*EN$7,0),0),IF(AND(EJ$6&lt;&gt;"",EJ$8&lt;&gt;""),IF(EOMONTH($EH$3+INT((DAY(EOMONTH($EH$3,0))-1)/2)+EJ$8,0)=EOMONTH($BF$3,0),EJ$6*EJ$7,0),0),IF(AND(EF$6&lt;&gt;"",EF$8&lt;&gt;""),IF(EOMONTH($ED$3+INT((DAY(EOMONTH($ED$3,0))-1)/2)+EF$8,0)=EOMONTH($BF$3,0),EF$6*EF$7,0),0),IF(AND(EB$6&lt;&gt;"",EB$8&lt;&gt;""),IF(EOMONTH($DZ$3+INT((DAY(EOMONTH($DZ$3,0))-1)/2)+EB$8,0)=EOMONTH($BF$3,0),EB$6*EB$7,0),0),IF(AND(DX$6&lt;&gt;"",DX$8&lt;&gt;""),IF(EOMONTH($DV$3+INT((DAY(EOMONTH($DV$3,0))-1)/2)+DX$8,0)=EOMONTH($BF$3,0),DX$6*DX$7,0),0),IF(AND(DT$6&lt;&gt;"",DT$8&lt;&gt;""),IF(EOMONTH($DR$3+INT((DAY(EOMONTH($DR$3,0))-1)/2)+DT$8,0)=EOMONTH($BF$3,0),DT$6*DT$7,0),0),IF(AND(DP$6&lt;&gt;"",DP$8&lt;&gt;""),IF(EOMONTH($DN$3+INT((DAY(EOMONTH($DN$3,0))-1)/2)+DP$8,0)=EOMONTH($BF$3,0),DP$6*DP$7,0),0),IF(AND(DL$6&lt;&gt;"",DL$8&lt;&gt;""),IF(EOMONTH($DJ$3+INT((DAY(EOMONTH($DJ$3,0))-1)/2)+DL$8,0)=EOMONTH($BF$3,0),DL$6*DL$7,0),0),IF(AND(DH$6&lt;&gt;"",DH$8&lt;&gt;""),IF(EOMONTH($DF$3+INT((DAY(EOMONTH($DF$3,0))-1)/2)+DH$8,0)=EOMONTH($BF$3,0),DH$6*DH$7,0),0),IF(AND(DD$6&lt;&gt;"",DD$8&lt;&gt;""),IF(EOMONTH($DB$3+INT((DAY(EOMONTH($DB$3,0))-1)/2)+DD$8,0)=EOMONTH($BF$3,0),DD$6*DD$7,0),0),IF(AND(CZ$6&lt;&gt;"",CZ$8&lt;&gt;""),IF(EOMONTH($CX$3+INT((DAY(EOMONTH($CX$3,0))-1)/2)+CZ$8,0)=EOMONTH($BF$3,0),CZ$6*CZ$7,0),0),IF(AND(CV$6&lt;&gt;"",CV$8&lt;&gt;""),IF(EOMONTH($CT$3+INT((DAY(EOMONTH($CT$3,0))-1)/2)+CV$8,0)=EOMONTH($BF$3,0),CV$6*CV$7,0),0),IF(AND(CR$6&lt;&gt;"",CR$8&lt;&gt;""),IF(EOMONTH($CP$3+INT((DAY(EOMONTH($CP$3,0))-1)/2)+CR$8,0)=EOMONTH($BF$3,0),CR$6*CR$7,0),0),IF(AND(CN$6&lt;&gt;"",CN$8&lt;&gt;""),IF(EOMONTH($CL$3+INT((DAY(EOMONTH($CL$3,0))-1)/2)+CN$8,0)=EOMONTH($BF$3,0),CN$6*CN$7,0),0),IF(AND(CJ$6&lt;&gt;"",CJ$8&lt;&gt;""),IF(EOMONTH($CH$3+INT((DAY(EOMONTH($CH$3,0))-1)/2)+CJ$8,0)=EOMONTH($BF$3,0),CJ$6*CJ$7,0),0),IF(AND(CF$6&lt;&gt;"",CF$8&lt;&gt;""),IF(EOMONTH($CD$3+INT((DAY(EOMONTH($CD$3,0))-1)/2)+CF$8,0)=EOMONTH($BF$3,0),CF$6*CF$7,0),0),IF(AND(CB$6&lt;&gt;"",CB$8&lt;&gt;""),IF(EOMONTH($BZ$3+INT((DAY(EOMONTH($BZ$3,0))-1)/2)+CB$8,0)=EOMONTH($BF$3,0),CB$6*CB$7,0),0),IF(AND(BX$6&lt;&gt;"",BX$8&lt;&gt;""),IF(EOMONTH($BV$3+INT((DAY(EOMONTH($BV$3,0))-1)/2)+BX$8,0)=EOMONTH($BF$3,0),BX$6*BX$7,0),0),IF(AND(BT$6&lt;&gt;"",BT$8&lt;&gt;""),IF(EOMONTH($BR$3+INT((DAY(EOMONTH($BR$3,0))-1)/2)+BT$8,0)=EOMONTH($BF$3,0),BT$6*BT$7,0),0),IF(AND(BP$6&lt;&gt;"",BP$8&lt;&gt;""),IF(EOMONTH($BN$3+INT((DAY(EOMONTH($BN$3,0))-1)/2)+BP$8,0)=EOMONTH($BF$3,0),BP$6*BP$7,0),0),IF(AND(BL$6&lt;&gt;"",BL$8&lt;&gt;""),IF(EOMONTH($BJ$3+INT((DAY(EOMONTH($BJ$3,0))-1)/2)+BL$8,0)=EOMONTH($BF$3,0),BL$6*BL$7,0),0),IF(AND(BH$6&lt;&gt;"",BH$8&lt;&gt;""),IF(EOMONTH($BF$3+INT((DAY(EOMONTH($BF$3,0))-1)/2)+BH$8,0)=EOMONTH($BF$3,0),BH$6*BH$7,0),0),IF(AND(BD$6&lt;&gt;"",BD$8&lt;&gt;""),IF(EOMONTH($BB$3+INT((DAY(EOMONTH($BB$3,0))-1)/2)+BD$8,0)=EOMONTH($BF$3,0),BD$6*BD$7,0),0),IF(AND(AZ$6&lt;&gt;"",AZ$8&lt;&gt;""),IF(EOMONTH($AX$3+INT((DAY(EOMONTH($AX$3,0))-1)/2)+AZ$8,0)=EOMONTH($BF$3,0),AZ$6*AZ$7,0),0),IF(AND(AV$6&lt;&gt;"",AV$8&lt;&gt;""),IF(EOMONTH($AT$3+INT((DAY(EOMONTH($AT$3,0))-1)/2)+AV$8,0)=EOMONTH($BF$3,0),AV$6*AV$7,0),0),IF(AND(AR$6&lt;&gt;"",AR$8&lt;&gt;""),IF(EOMONTH($AP$3+INT((DAY(EOMONTH($AP$3,0))-1)/2)+AR$8,0)=EOMONTH($BF$3,0),AR$6*AR$7,0),0),IF(AND(AN$6&lt;&gt;"",AN$8&lt;&gt;""),IF(EOMONTH($AL$3+INT((DAY(EOMONTH($AL$3,0))-1)/2)+AN$8,0)=EOMONTH($BF$3,0),AN$6*AN$7,0),0),IF(AND(AJ$6&lt;&gt;"",AJ$8&lt;&gt;""),IF(EOMONTH($AH$3+INT((DAY(EOMONTH($AH$3,0))-1)/2)+AJ$8,0)=EOMONTH($BF$3,0),AJ$6*AJ$7,0),0),IF(AND(AF$6&lt;&gt;"",AF$8&lt;&gt;""),IF(EOMONTH($AD$3+INT((DAY(EOMONTH($AD$3,0))-1)/2)+AF$8,0)=EOMONTH($BF$3,0),AF$6*AF$7,0),0),IF(AND(AB$6&lt;&gt;"",AB$8&lt;&gt;""),IF(EOMONTH($Z$3+INT((DAY(EOMONTH($Z$3,0))-1)/2)+AB$8,0)=EOMONTH($BF$3,0),AB$6*AB$7,0),0),IF(AND(X$6&lt;&gt;"",X$8&lt;&gt;""),IF(EOMONTH($V$3+INT((DAY(EOMONTH($V$3,0))-1)/2)+X$8,0)=EOMONTH($BF$3,0),X$6*X$7,0),0),IF(AND(T$6&lt;&gt;"",T$8&lt;&gt;""),IF(EOMONTH($R$3+INT((DAY(EOMONTH($R$3,0))-1)/2)+T$8,0)=EOMONTH($BF$3,0),T$6*T$7,0),0),IF(AND(P$6&lt;&gt;"",P$8&lt;&gt;""),IF(EOMONTH($N$3+INT((DAY(EOMONTH($N$3,0))-1)/2)+P$8,0)=EOMONTH($BF$3,0),P$6*P$7,0),0),IF(AND(L$6&lt;&gt;"",L$8&lt;&gt;""),IF(EOMONTH($J$3+INT((DAY(EOMONTH($J$3,0))-1)/2)+L$8,0)=EOMONTH($BF$3,0),L$6*L$7,0),0),IF(AND(H$6&lt;&gt;"",H$8&lt;&gt;""),IF(EOMONTH($F$3+INT((DAY(EOMONTH($F$3,0))-1)/2)+H$8,0)=EOMONTH($BF$3,0),H$6*H$7,0),0)),0)</f>
        <v>62</v>
      </c>
      <c r="BI9" s="16">
        <f t="shared" si="31"/>
        <v>0</v>
      </c>
      <c r="BJ9" s="17"/>
      <c r="BK9" s="14">
        <f>IF(BJ$98=1,BJ9,ROUND(SUM(IF(AND(EQ$6&lt;&gt;"",EQ$8&lt;&gt;""),IF(EOMONTH($EP$3+INT((DAY(EOMONTH($EP$3,0))-1)/2)+EQ$8,0)=EOMONTH($BJ$3,0),EQ$6*EQ$7,0),0),IF(AND(EM$6&lt;&gt;"",EM$8&lt;&gt;""),IF(EOMONTH($EL$3+INT((DAY(EOMONTH($EL$3,0))-1)/2)+EM$8,0)=EOMONTH($BJ$3,0),EM$6*EM$7,0),0),IF(AND(EI$6&lt;&gt;"",EI$8&lt;&gt;""),IF(EOMONTH($EH$3+INT((DAY(EOMONTH($EH$3,0))-1)/2)+EI$8,0)=EOMONTH($BJ$3,0),EI$6*EI$7,0),0),IF(AND(EE$6&lt;&gt;"",EE$8&lt;&gt;""),IF(EOMONTH($ED$3+INT((DAY(EOMONTH($ED$3,0))-1)/2)+EE$8,0)=EOMONTH($BJ$3,0),EE$6*EE$7,0),0),IF(AND(EA$6&lt;&gt;"",EA$8&lt;&gt;""),IF(EOMONTH($DZ$3+INT((DAY(EOMONTH($DZ$3,0))-1)/2)+EA$8,0)=EOMONTH($BJ$3,0),EA$6*EA$7,0),0),IF(AND(DW$6&lt;&gt;"",DW$8&lt;&gt;""),IF(EOMONTH($DV$3+INT((DAY(EOMONTH($DV$3,0))-1)/2)+DW$8,0)=EOMONTH($BJ$3,0),DW$6*DW$7,0),0),IF(AND(DS$6&lt;&gt;"",DS$8&lt;&gt;""),IF(EOMONTH($DR$3+INT((DAY(EOMONTH($DR$3,0))-1)/2)+DS$8,0)=EOMONTH($BJ$3,0),DS$6*DS$7,0),0),IF(AND(DO$6&lt;&gt;"",DO$8&lt;&gt;""),IF(EOMONTH($DN$3+INT((DAY(EOMONTH($DN$3,0))-1)/2)+DO$8,0)=EOMONTH($BJ$3,0),DO$6*DO$7,0),0),IF(AND(DK$6&lt;&gt;"",DK$8&lt;&gt;""),IF(EOMONTH($DJ$3+INT((DAY(EOMONTH($DJ$3,0))-1)/2)+DK$8,0)=EOMONTH($BJ$3,0),DK$6*DK$7,0),0),IF(AND(DG$6&lt;&gt;"",DG$8&lt;&gt;""),IF(EOMONTH($DF$3+INT((DAY(EOMONTH($DF$3,0))-1)/2)+DG$8,0)=EOMONTH($BJ$3,0),DG$6*DG$7,0),0),IF(AND(DC$6&lt;&gt;"",DC$8&lt;&gt;""),IF(EOMONTH($DB$3+INT((DAY(EOMONTH($DB$3,0))-1)/2)+DC$8,0)=EOMONTH($BJ$3,0),DC$6*DC$7,0),0),IF(AND(CY$6&lt;&gt;"",CY$8&lt;&gt;""),IF(EOMONTH($CX$3+INT((DAY(EOMONTH($CX$3,0))-1)/2)+CY$8,0)=EOMONTH($BJ$3,0),CY$6*CY$7,0),0),IF(AND(CU$6&lt;&gt;"",CU$8&lt;&gt;""),IF(EOMONTH($CT$3+INT((DAY(EOMONTH($CT$3,0))-1)/2)+CU$8,0)=EOMONTH($BJ$3,0),CU$6*CU$7,0),0),IF(AND(CQ$6&lt;&gt;"",CQ$8&lt;&gt;""),IF(EOMONTH($CP$3+INT((DAY(EOMONTH($CP$3,0))-1)/2)+CQ$8,0)=EOMONTH($BJ$3,0),CQ$6*CQ$7,0),0),IF(AND(CM$6&lt;&gt;"",CM$8&lt;&gt;""),IF(EOMONTH($CL$3+INT((DAY(EOMONTH($CL$3,0))-1)/2)+CM$8,0)=EOMONTH($BJ$3,0),CM$6*CM$7,0),0),IF(AND(CI$6&lt;&gt;"",CI$8&lt;&gt;""),IF(EOMONTH($CH$3+INT((DAY(EOMONTH($CH$3,0))-1)/2)+CI$8,0)=EOMONTH($BJ$3,0),CI$6*CI$7,0),0),IF(AND(CE$6&lt;&gt;"",CE$8&lt;&gt;""),IF(EOMONTH($CD$3+INT((DAY(EOMONTH($CD$3,0))-1)/2)+CE$8,0)=EOMONTH($BJ$3,0),CE$6*CE$7,0),0),IF(AND(CA$6&lt;&gt;"",CA$8&lt;&gt;""),IF(EOMONTH($BZ$3+INT((DAY(EOMONTH($BZ$3,0))-1)/2)+CA$8,0)=EOMONTH($BJ$3,0),CA$6*CA$7,0),0),IF(AND(BW$6&lt;&gt;"",BW$8&lt;&gt;""),IF(EOMONTH($BV$3+INT((DAY(EOMONTH($BV$3,0))-1)/2)+BW$8,0)=EOMONTH($BJ$3,0),BW$6*BW$7,0),0),IF(AND(BS$6&lt;&gt;"",BS$8&lt;&gt;""),IF(EOMONTH($BR$3+INT((DAY(EOMONTH($BR$3,0))-1)/2)+BS$8,0)=EOMONTH($BJ$3,0),BS$6*BS$7,0),0),IF(AND(BO$6&lt;&gt;"",BO$8&lt;&gt;""),IF(EOMONTH($BN$3+INT((DAY(EOMONTH($BN$3,0))-1)/2)+BO$8,0)=EOMONTH($BJ$3,0),BO$6*BO$7,0),0),IF(AND(BK$6&lt;&gt;"",BK$8&lt;&gt;""),IF(EOMONTH($BJ$3+INT((DAY(EOMONTH($BJ$3,0))-1)/2)+BK$8,0)=EOMONTH($BJ$3,0),BK$6*BK$7,0),0),IF(AND(BG$6&lt;&gt;"",BG$8&lt;&gt;""),IF(EOMONTH($BF$3+INT((DAY(EOMONTH($BF$3,0))-1)/2)+BG$8,0)=EOMONTH($BJ$3,0),BG$6*BG$7,0),0),IF(AND(BC$6&lt;&gt;"",BC$8&lt;&gt;""),IF(EOMONTH($BB$3+INT((DAY(EOMONTH($BB$3,0))-1)/2)+BC$8,0)=EOMONTH($BJ$3,0),BC$6*BC$7,0),0),IF(AND(AY$6&lt;&gt;"",AY$8&lt;&gt;""),IF(EOMONTH($AX$3+INT((DAY(EOMONTH($AX$3,0))-1)/2)+AY$8,0)=EOMONTH($BJ$3,0),AY$6*AY$7,0),0),IF(AND(AU$6&lt;&gt;"",AU$8&lt;&gt;""),IF(EOMONTH($AT$3+INT((DAY(EOMONTH($AT$3,0))-1)/2)+AU$8,0)=EOMONTH($BJ$3,0),AU$6*AU$7,0),0),IF(AND(AQ$6&lt;&gt;"",AQ$8&lt;&gt;""),IF(EOMONTH($AP$3+INT((DAY(EOMONTH($AP$3,0))-1)/2)+AQ$8,0)=EOMONTH($BJ$3,0),AQ$6*AQ$7,0),0),IF(AND(AM$6&lt;&gt;"",AM$8&lt;&gt;""),IF(EOMONTH($AL$3+INT((DAY(EOMONTH($AL$3,0))-1)/2)+AM$8,0)=EOMONTH($BJ$3,0),AM$6*AM$7,0),0),IF(AND(AI$6&lt;&gt;"",AI$8&lt;&gt;""),IF(EOMONTH($AH$3+INT((DAY(EOMONTH($AH$3,0))-1)/2)+AI$8,0)=EOMONTH($BJ$3,0),AI$6*AI$7,0),0),IF(AND(AE$6&lt;&gt;"",AE$8&lt;&gt;""),IF(EOMONTH($AD$3+INT((DAY(EOMONTH($AD$3,0))-1)/2)+AE$8,0)=EOMONTH($BJ$3,0),AE$6*AE$7,0),0),IF(AND(AA$6&lt;&gt;"",AA$8&lt;&gt;""),IF(EOMONTH($Z$3+INT((DAY(EOMONTH($Z$3,0))-1)/2)+AA$8,0)=EOMONTH($BJ$3,0),AA$6*AA$7,0),0),IF(AND(W$6&lt;&gt;"",W$8&lt;&gt;""),IF(EOMONTH($V$3+INT((DAY(EOMONTH($V$3,0))-1)/2)+W$8,0)=EOMONTH($BJ$3,0),W$6*W$7,0),0),IF(AND(S$6&lt;&gt;"",S$8&lt;&gt;""),IF(EOMONTH($R$3+INT((DAY(EOMONTH($R$3,0))-1)/2)+S$8,0)=EOMONTH($BJ$3,0),S$6*S$7,0),0),IF(AND(O$6&lt;&gt;"",O$8&lt;&gt;""),IF(EOMONTH($N$3+INT((DAY(EOMONTH($N$3,0))-1)/2)+O$8,0)=EOMONTH($BJ$3,0),O$6*O$7,0),0),IF(AND(K$6&lt;&gt;"",K$8&lt;&gt;""),IF(EOMONTH($J$3+INT((DAY(EOMONTH($J$3,0))-1)/2)+K$8,0)=EOMONTH($BJ$3,0),K$6*K$7,0),0),IF(AND(G$6&lt;&gt;"",G$8&lt;&gt;""),IF(EOMONTH($F$3+INT((DAY(EOMONTH($F$3,0))-1)/2)+G$8,0)=EOMONTH($BJ$3,0),G$6*G$7,0),0)),0))</f>
        <v>61</v>
      </c>
      <c r="BL9" s="15">
        <f>ROUND(SUM(IF(AND(ER$6&lt;&gt;"",ER$8&lt;&gt;""),IF(EOMONTH($EP$3+INT((DAY(EOMONTH($EP$3,0))-1)/2)+ER$8,0)=EOMONTH($BJ$3,0),ER$6*ER$7,0),0),IF(AND(EN$6&lt;&gt;"",EN$8&lt;&gt;""),IF(EOMONTH($EL$3+INT((DAY(EOMONTH($EL$3,0))-1)/2)+EN$8,0)=EOMONTH($BJ$3,0),EN$6*EN$7,0),0),IF(AND(EJ$6&lt;&gt;"",EJ$8&lt;&gt;""),IF(EOMONTH($EH$3+INT((DAY(EOMONTH($EH$3,0))-1)/2)+EJ$8,0)=EOMONTH($BJ$3,0),EJ$6*EJ$7,0),0),IF(AND(EF$6&lt;&gt;"",EF$8&lt;&gt;""),IF(EOMONTH($ED$3+INT((DAY(EOMONTH($ED$3,0))-1)/2)+EF$8,0)=EOMONTH($BJ$3,0),EF$6*EF$7,0),0),IF(AND(EB$6&lt;&gt;"",EB$8&lt;&gt;""),IF(EOMONTH($DZ$3+INT((DAY(EOMONTH($DZ$3,0))-1)/2)+EB$8,0)=EOMONTH($BJ$3,0),EB$6*EB$7,0),0),IF(AND(DX$6&lt;&gt;"",DX$8&lt;&gt;""),IF(EOMONTH($DV$3+INT((DAY(EOMONTH($DV$3,0))-1)/2)+DX$8,0)=EOMONTH($BJ$3,0),DX$6*DX$7,0),0),IF(AND(DT$6&lt;&gt;"",DT$8&lt;&gt;""),IF(EOMONTH($DR$3+INT((DAY(EOMONTH($DR$3,0))-1)/2)+DT$8,0)=EOMONTH($BJ$3,0),DT$6*DT$7,0),0),IF(AND(DP$6&lt;&gt;"",DP$8&lt;&gt;""),IF(EOMONTH($DN$3+INT((DAY(EOMONTH($DN$3,0))-1)/2)+DP$8,0)=EOMONTH($BJ$3,0),DP$6*DP$7,0),0),IF(AND(DL$6&lt;&gt;"",DL$8&lt;&gt;""),IF(EOMONTH($DJ$3+INT((DAY(EOMONTH($DJ$3,0))-1)/2)+DL$8,0)=EOMONTH($BJ$3,0),DL$6*DL$7,0),0),IF(AND(DH$6&lt;&gt;"",DH$8&lt;&gt;""),IF(EOMONTH($DF$3+INT((DAY(EOMONTH($DF$3,0))-1)/2)+DH$8,0)=EOMONTH($BJ$3,0),DH$6*DH$7,0),0),IF(AND(DD$6&lt;&gt;"",DD$8&lt;&gt;""),IF(EOMONTH($DB$3+INT((DAY(EOMONTH($DB$3,0))-1)/2)+DD$8,0)=EOMONTH($BJ$3,0),DD$6*DD$7,0),0),IF(AND(CZ$6&lt;&gt;"",CZ$8&lt;&gt;""),IF(EOMONTH($CX$3+INT((DAY(EOMONTH($CX$3,0))-1)/2)+CZ$8,0)=EOMONTH($BJ$3,0),CZ$6*CZ$7,0),0),IF(AND(CV$6&lt;&gt;"",CV$8&lt;&gt;""),IF(EOMONTH($CT$3+INT((DAY(EOMONTH($CT$3,0))-1)/2)+CV$8,0)=EOMONTH($BJ$3,0),CV$6*CV$7,0),0),IF(AND(CR$6&lt;&gt;"",CR$8&lt;&gt;""),IF(EOMONTH($CP$3+INT((DAY(EOMONTH($CP$3,0))-1)/2)+CR$8,0)=EOMONTH($BJ$3,0),CR$6*CR$7,0),0),IF(AND(CN$6&lt;&gt;"",CN$8&lt;&gt;""),IF(EOMONTH($CL$3+INT((DAY(EOMONTH($CL$3,0))-1)/2)+CN$8,0)=EOMONTH($BJ$3,0),CN$6*CN$7,0),0),IF(AND(CJ$6&lt;&gt;"",CJ$8&lt;&gt;""),IF(EOMONTH($CH$3+INT((DAY(EOMONTH($CH$3,0))-1)/2)+CJ$8,0)=EOMONTH($BJ$3,0),CJ$6*CJ$7,0),0),IF(AND(CF$6&lt;&gt;"",CF$8&lt;&gt;""),IF(EOMONTH($CD$3+INT((DAY(EOMONTH($CD$3,0))-1)/2)+CF$8,0)=EOMONTH($BJ$3,0),CF$6*CF$7,0),0),IF(AND(CB$6&lt;&gt;"",CB$8&lt;&gt;""),IF(EOMONTH($BZ$3+INT((DAY(EOMONTH($BZ$3,0))-1)/2)+CB$8,0)=EOMONTH($BJ$3,0),CB$6*CB$7,0),0),IF(AND(BX$6&lt;&gt;"",BX$8&lt;&gt;""),IF(EOMONTH($BV$3+INT((DAY(EOMONTH($BV$3,0))-1)/2)+BX$8,0)=EOMONTH($BJ$3,0),BX$6*BX$7,0),0),IF(AND(BT$6&lt;&gt;"",BT$8&lt;&gt;""),IF(EOMONTH($BR$3+INT((DAY(EOMONTH($BR$3,0))-1)/2)+BT$8,0)=EOMONTH($BJ$3,0),BT$6*BT$7,0),0),IF(AND(BP$6&lt;&gt;"",BP$8&lt;&gt;""),IF(EOMONTH($BN$3+INT((DAY(EOMONTH($BN$3,0))-1)/2)+BP$8,0)=EOMONTH($BJ$3,0),BP$6*BP$7,0),0),IF(AND(BL$6&lt;&gt;"",BL$8&lt;&gt;""),IF(EOMONTH($BJ$3+INT((DAY(EOMONTH($BJ$3,0))-1)/2)+BL$8,0)=EOMONTH($BJ$3,0),BL$6*BL$7,0),0),IF(AND(BH$6&lt;&gt;"",BH$8&lt;&gt;""),IF(EOMONTH($BF$3+INT((DAY(EOMONTH($BF$3,0))-1)/2)+BH$8,0)=EOMONTH($BJ$3,0),BH$6*BH$7,0),0),IF(AND(BD$6&lt;&gt;"",BD$8&lt;&gt;""),IF(EOMONTH($BB$3+INT((DAY(EOMONTH($BB$3,0))-1)/2)+BD$8,0)=EOMONTH($BJ$3,0),BD$6*BD$7,0),0),IF(AND(AZ$6&lt;&gt;"",AZ$8&lt;&gt;""),IF(EOMONTH($AX$3+INT((DAY(EOMONTH($AX$3,0))-1)/2)+AZ$8,0)=EOMONTH($BJ$3,0),AZ$6*AZ$7,0),0),IF(AND(AV$6&lt;&gt;"",AV$8&lt;&gt;""),IF(EOMONTH($AT$3+INT((DAY(EOMONTH($AT$3,0))-1)/2)+AV$8,0)=EOMONTH($BJ$3,0),AV$6*AV$7,0),0),IF(AND(AR$6&lt;&gt;"",AR$8&lt;&gt;""),IF(EOMONTH($AP$3+INT((DAY(EOMONTH($AP$3,0))-1)/2)+AR$8,0)=EOMONTH($BJ$3,0),AR$6*AR$7,0),0),IF(AND(AN$6&lt;&gt;"",AN$8&lt;&gt;""),IF(EOMONTH($AL$3+INT((DAY(EOMONTH($AL$3,0))-1)/2)+AN$8,0)=EOMONTH($BJ$3,0),AN$6*AN$7,0),0),IF(AND(AJ$6&lt;&gt;"",AJ$8&lt;&gt;""),IF(EOMONTH($AH$3+INT((DAY(EOMONTH($AH$3,0))-1)/2)+AJ$8,0)=EOMONTH($BJ$3,0),AJ$6*AJ$7,0),0),IF(AND(AF$6&lt;&gt;"",AF$8&lt;&gt;""),IF(EOMONTH($AD$3+INT((DAY(EOMONTH($AD$3,0))-1)/2)+AF$8,0)=EOMONTH($BJ$3,0),AF$6*AF$7,0),0),IF(AND(AB$6&lt;&gt;"",AB$8&lt;&gt;""),IF(EOMONTH($Z$3+INT((DAY(EOMONTH($Z$3,0))-1)/2)+AB$8,0)=EOMONTH($BJ$3,0),AB$6*AB$7,0),0),IF(AND(X$6&lt;&gt;"",X$8&lt;&gt;""),IF(EOMONTH($V$3+INT((DAY(EOMONTH($V$3,0))-1)/2)+X$8,0)=EOMONTH($BJ$3,0),X$6*X$7,0),0),IF(AND(T$6&lt;&gt;"",T$8&lt;&gt;""),IF(EOMONTH($R$3+INT((DAY(EOMONTH($R$3,0))-1)/2)+T$8,0)=EOMONTH($BJ$3,0),T$6*T$7,0),0),IF(AND(P$6&lt;&gt;"",P$8&lt;&gt;""),IF(EOMONTH($N$3+INT((DAY(EOMONTH($N$3,0))-1)/2)+P$8,0)=EOMONTH($BJ$3,0),P$6*P$7,0),0),IF(AND(L$6&lt;&gt;"",L$8&lt;&gt;""),IF(EOMONTH($J$3+INT((DAY(EOMONTH($J$3,0))-1)/2)+L$8,0)=EOMONTH($BJ$3,0),L$6*L$7,0),0),IF(AND(H$6&lt;&gt;"",H$8&lt;&gt;""),IF(EOMONTH($F$3+INT((DAY(EOMONTH($F$3,0))-1)/2)+H$8,0)=EOMONTH($BJ$3,0),H$6*H$7,0),0)),0)</f>
        <v>61</v>
      </c>
      <c r="BM9" s="16">
        <f t="shared" si="33"/>
        <v>0</v>
      </c>
      <c r="BN9" s="17"/>
      <c r="BO9" s="14">
        <f>IF(BN$98=1,BN9,ROUND(SUM(IF(AND(EQ$6&lt;&gt;"",EQ$8&lt;&gt;""),IF(EOMONTH($EP$3+INT((DAY(EOMONTH($EP$3,0))-1)/2)+EQ$8,0)=EOMONTH($BN$3,0),EQ$6*EQ$7,0),0),IF(AND(EM$6&lt;&gt;"",EM$8&lt;&gt;""),IF(EOMONTH($EL$3+INT((DAY(EOMONTH($EL$3,0))-1)/2)+EM$8,0)=EOMONTH($BN$3,0),EM$6*EM$7,0),0),IF(AND(EI$6&lt;&gt;"",EI$8&lt;&gt;""),IF(EOMONTH($EH$3+INT((DAY(EOMONTH($EH$3,0))-1)/2)+EI$8,0)=EOMONTH($BN$3,0),EI$6*EI$7,0),0),IF(AND(EE$6&lt;&gt;"",EE$8&lt;&gt;""),IF(EOMONTH($ED$3+INT((DAY(EOMONTH($ED$3,0))-1)/2)+EE$8,0)=EOMONTH($BN$3,0),EE$6*EE$7,0),0),IF(AND(EA$6&lt;&gt;"",EA$8&lt;&gt;""),IF(EOMONTH($DZ$3+INT((DAY(EOMONTH($DZ$3,0))-1)/2)+EA$8,0)=EOMONTH($BN$3,0),EA$6*EA$7,0),0),IF(AND(DW$6&lt;&gt;"",DW$8&lt;&gt;""),IF(EOMONTH($DV$3+INT((DAY(EOMONTH($DV$3,0))-1)/2)+DW$8,0)=EOMONTH($BN$3,0),DW$6*DW$7,0),0),IF(AND(DS$6&lt;&gt;"",DS$8&lt;&gt;""),IF(EOMONTH($DR$3+INT((DAY(EOMONTH($DR$3,0))-1)/2)+DS$8,0)=EOMONTH($BN$3,0),DS$6*DS$7,0),0),IF(AND(DO$6&lt;&gt;"",DO$8&lt;&gt;""),IF(EOMONTH($DN$3+INT((DAY(EOMONTH($DN$3,0))-1)/2)+DO$8,0)=EOMONTH($BN$3,0),DO$6*DO$7,0),0),IF(AND(DK$6&lt;&gt;"",DK$8&lt;&gt;""),IF(EOMONTH($DJ$3+INT((DAY(EOMONTH($DJ$3,0))-1)/2)+DK$8,0)=EOMONTH($BN$3,0),DK$6*DK$7,0),0),IF(AND(DG$6&lt;&gt;"",DG$8&lt;&gt;""),IF(EOMONTH($DF$3+INT((DAY(EOMONTH($DF$3,0))-1)/2)+DG$8,0)=EOMONTH($BN$3,0),DG$6*DG$7,0),0),IF(AND(DC$6&lt;&gt;"",DC$8&lt;&gt;""),IF(EOMONTH($DB$3+INT((DAY(EOMONTH($DB$3,0))-1)/2)+DC$8,0)=EOMONTH($BN$3,0),DC$6*DC$7,0),0),IF(AND(CY$6&lt;&gt;"",CY$8&lt;&gt;""),IF(EOMONTH($CX$3+INT((DAY(EOMONTH($CX$3,0))-1)/2)+CY$8,0)=EOMONTH($BN$3,0),CY$6*CY$7,0),0),IF(AND(CU$6&lt;&gt;"",CU$8&lt;&gt;""),IF(EOMONTH($CT$3+INT((DAY(EOMONTH($CT$3,0))-1)/2)+CU$8,0)=EOMONTH($BN$3,0),CU$6*CU$7,0),0),IF(AND(CQ$6&lt;&gt;"",CQ$8&lt;&gt;""),IF(EOMONTH($CP$3+INT((DAY(EOMONTH($CP$3,0))-1)/2)+CQ$8,0)=EOMONTH($BN$3,0),CQ$6*CQ$7,0),0),IF(AND(CM$6&lt;&gt;"",CM$8&lt;&gt;""),IF(EOMONTH($CL$3+INT((DAY(EOMONTH($CL$3,0))-1)/2)+CM$8,0)=EOMONTH($BN$3,0),CM$6*CM$7,0),0),IF(AND(CI$6&lt;&gt;"",CI$8&lt;&gt;""),IF(EOMONTH($CH$3+INT((DAY(EOMONTH($CH$3,0))-1)/2)+CI$8,0)=EOMONTH($BN$3,0),CI$6*CI$7,0),0),IF(AND(CE$6&lt;&gt;"",CE$8&lt;&gt;""),IF(EOMONTH($CD$3+INT((DAY(EOMONTH($CD$3,0))-1)/2)+CE$8,0)=EOMONTH($BN$3,0),CE$6*CE$7,0),0),IF(AND(CA$6&lt;&gt;"",CA$8&lt;&gt;""),IF(EOMONTH($BZ$3+INT((DAY(EOMONTH($BZ$3,0))-1)/2)+CA$8,0)=EOMONTH($BN$3,0),CA$6*CA$7,0),0),IF(AND(BW$6&lt;&gt;"",BW$8&lt;&gt;""),IF(EOMONTH($BV$3+INT((DAY(EOMONTH($BV$3,0))-1)/2)+BW$8,0)=EOMONTH($BN$3,0),BW$6*BW$7,0),0),IF(AND(BS$6&lt;&gt;"",BS$8&lt;&gt;""),IF(EOMONTH($BR$3+INT((DAY(EOMONTH($BR$3,0))-1)/2)+BS$8,0)=EOMONTH($BN$3,0),BS$6*BS$7,0),0),IF(AND(BO$6&lt;&gt;"",BO$8&lt;&gt;""),IF(EOMONTH($BN$3+INT((DAY(EOMONTH($BN$3,0))-1)/2)+BO$8,0)=EOMONTH($BN$3,0),BO$6*BO$7,0),0),IF(AND(BK$6&lt;&gt;"",BK$8&lt;&gt;""),IF(EOMONTH($BJ$3+INT((DAY(EOMONTH($BJ$3,0))-1)/2)+BK$8,0)=EOMONTH($BN$3,0),BK$6*BK$7,0),0),IF(AND(BG$6&lt;&gt;"",BG$8&lt;&gt;""),IF(EOMONTH($BF$3+INT((DAY(EOMONTH($BF$3,0))-1)/2)+BG$8,0)=EOMONTH($BN$3,0),BG$6*BG$7,0),0),IF(AND(BC$6&lt;&gt;"",BC$8&lt;&gt;""),IF(EOMONTH($BB$3+INT((DAY(EOMONTH($BB$3,0))-1)/2)+BC$8,0)=EOMONTH($BN$3,0),BC$6*BC$7,0),0),IF(AND(AY$6&lt;&gt;"",AY$8&lt;&gt;""),IF(EOMONTH($AX$3+INT((DAY(EOMONTH($AX$3,0))-1)/2)+AY$8,0)=EOMONTH($BN$3,0),AY$6*AY$7,0),0),IF(AND(AU$6&lt;&gt;"",AU$8&lt;&gt;""),IF(EOMONTH($AT$3+INT((DAY(EOMONTH($AT$3,0))-1)/2)+AU$8,0)=EOMONTH($BN$3,0),AU$6*AU$7,0),0),IF(AND(AQ$6&lt;&gt;"",AQ$8&lt;&gt;""),IF(EOMONTH($AP$3+INT((DAY(EOMONTH($AP$3,0))-1)/2)+AQ$8,0)=EOMONTH($BN$3,0),AQ$6*AQ$7,0),0),IF(AND(AM$6&lt;&gt;"",AM$8&lt;&gt;""),IF(EOMONTH($AL$3+INT((DAY(EOMONTH($AL$3,0))-1)/2)+AM$8,0)=EOMONTH($BN$3,0),AM$6*AM$7,0),0),IF(AND(AI$6&lt;&gt;"",AI$8&lt;&gt;""),IF(EOMONTH($AH$3+INT((DAY(EOMONTH($AH$3,0))-1)/2)+AI$8,0)=EOMONTH($BN$3,0),AI$6*AI$7,0),0),IF(AND(AE$6&lt;&gt;"",AE$8&lt;&gt;""),IF(EOMONTH($AD$3+INT((DAY(EOMONTH($AD$3,0))-1)/2)+AE$8,0)=EOMONTH($BN$3,0),AE$6*AE$7,0),0),IF(AND(AA$6&lt;&gt;"",AA$8&lt;&gt;""),IF(EOMONTH($Z$3+INT((DAY(EOMONTH($Z$3,0))-1)/2)+AA$8,0)=EOMONTH($BN$3,0),AA$6*AA$7,0),0),IF(AND(W$6&lt;&gt;"",W$8&lt;&gt;""),IF(EOMONTH($V$3+INT((DAY(EOMONTH($V$3,0))-1)/2)+W$8,0)=EOMONTH($BN$3,0),W$6*W$7,0),0),IF(AND(S$6&lt;&gt;"",S$8&lt;&gt;""),IF(EOMONTH($R$3+INT((DAY(EOMONTH($R$3,0))-1)/2)+S$8,0)=EOMONTH($BN$3,0),S$6*S$7,0),0),IF(AND(O$6&lt;&gt;"",O$8&lt;&gt;""),IF(EOMONTH($N$3+INT((DAY(EOMONTH($N$3,0))-1)/2)+O$8,0)=EOMONTH($BN$3,0),O$6*O$7,0),0),IF(AND(K$6&lt;&gt;"",K$8&lt;&gt;""),IF(EOMONTH($J$3+INT((DAY(EOMONTH($J$3,0))-1)/2)+K$8,0)=EOMONTH($BN$3,0),K$6*K$7,0),0),IF(AND(G$6&lt;&gt;"",G$8&lt;&gt;""),IF(EOMONTH($F$3+INT((DAY(EOMONTH($F$3,0))-1)/2)+G$8,0)=EOMONTH($BN$3,0),G$6*G$7,0),0)),0))</f>
        <v>60</v>
      </c>
      <c r="BP9" s="15">
        <f>ROUND(SUM(IF(AND(ER$6&lt;&gt;"",ER$8&lt;&gt;""),IF(EOMONTH($EP$3+INT((DAY(EOMONTH($EP$3,0))-1)/2)+ER$8,0)=EOMONTH($BN$3,0),ER$6*ER$7,0),0),IF(AND(EN$6&lt;&gt;"",EN$8&lt;&gt;""),IF(EOMONTH($EL$3+INT((DAY(EOMONTH($EL$3,0))-1)/2)+EN$8,0)=EOMONTH($BN$3,0),EN$6*EN$7,0),0),IF(AND(EJ$6&lt;&gt;"",EJ$8&lt;&gt;""),IF(EOMONTH($EH$3+INT((DAY(EOMONTH($EH$3,0))-1)/2)+EJ$8,0)=EOMONTH($BN$3,0),EJ$6*EJ$7,0),0),IF(AND(EF$6&lt;&gt;"",EF$8&lt;&gt;""),IF(EOMONTH($ED$3+INT((DAY(EOMONTH($ED$3,0))-1)/2)+EF$8,0)=EOMONTH($BN$3,0),EF$6*EF$7,0),0),IF(AND(EB$6&lt;&gt;"",EB$8&lt;&gt;""),IF(EOMONTH($DZ$3+INT((DAY(EOMONTH($DZ$3,0))-1)/2)+EB$8,0)=EOMONTH($BN$3,0),EB$6*EB$7,0),0),IF(AND(DX$6&lt;&gt;"",DX$8&lt;&gt;""),IF(EOMONTH($DV$3+INT((DAY(EOMONTH($DV$3,0))-1)/2)+DX$8,0)=EOMONTH($BN$3,0),DX$6*DX$7,0),0),IF(AND(DT$6&lt;&gt;"",DT$8&lt;&gt;""),IF(EOMONTH($DR$3+INT((DAY(EOMONTH($DR$3,0))-1)/2)+DT$8,0)=EOMONTH($BN$3,0),DT$6*DT$7,0),0),IF(AND(DP$6&lt;&gt;"",DP$8&lt;&gt;""),IF(EOMONTH($DN$3+INT((DAY(EOMONTH($DN$3,0))-1)/2)+DP$8,0)=EOMONTH($BN$3,0),DP$6*DP$7,0),0),IF(AND(DL$6&lt;&gt;"",DL$8&lt;&gt;""),IF(EOMONTH($DJ$3+INT((DAY(EOMONTH($DJ$3,0))-1)/2)+DL$8,0)=EOMONTH($BN$3,0),DL$6*DL$7,0),0),IF(AND(DH$6&lt;&gt;"",DH$8&lt;&gt;""),IF(EOMONTH($DF$3+INT((DAY(EOMONTH($DF$3,0))-1)/2)+DH$8,0)=EOMONTH($BN$3,0),DH$6*DH$7,0),0),IF(AND(DD$6&lt;&gt;"",DD$8&lt;&gt;""),IF(EOMONTH($DB$3+INT((DAY(EOMONTH($DB$3,0))-1)/2)+DD$8,0)=EOMONTH($BN$3,0),DD$6*DD$7,0),0),IF(AND(CZ$6&lt;&gt;"",CZ$8&lt;&gt;""),IF(EOMONTH($CX$3+INT((DAY(EOMONTH($CX$3,0))-1)/2)+CZ$8,0)=EOMONTH($BN$3,0),CZ$6*CZ$7,0),0),IF(AND(CV$6&lt;&gt;"",CV$8&lt;&gt;""),IF(EOMONTH($CT$3+INT((DAY(EOMONTH($CT$3,0))-1)/2)+CV$8,0)=EOMONTH($BN$3,0),CV$6*CV$7,0),0),IF(AND(CR$6&lt;&gt;"",CR$8&lt;&gt;""),IF(EOMONTH($CP$3+INT((DAY(EOMONTH($CP$3,0))-1)/2)+CR$8,0)=EOMONTH($BN$3,0),CR$6*CR$7,0),0),IF(AND(CN$6&lt;&gt;"",CN$8&lt;&gt;""),IF(EOMONTH($CL$3+INT((DAY(EOMONTH($CL$3,0))-1)/2)+CN$8,0)=EOMONTH($BN$3,0),CN$6*CN$7,0),0),IF(AND(CJ$6&lt;&gt;"",CJ$8&lt;&gt;""),IF(EOMONTH($CH$3+INT((DAY(EOMONTH($CH$3,0))-1)/2)+CJ$8,0)=EOMONTH($BN$3,0),CJ$6*CJ$7,0),0),IF(AND(CF$6&lt;&gt;"",CF$8&lt;&gt;""),IF(EOMONTH($CD$3+INT((DAY(EOMONTH($CD$3,0))-1)/2)+CF$8,0)=EOMONTH($BN$3,0),CF$6*CF$7,0),0),IF(AND(CB$6&lt;&gt;"",CB$8&lt;&gt;""),IF(EOMONTH($BZ$3+INT((DAY(EOMONTH($BZ$3,0))-1)/2)+CB$8,0)=EOMONTH($BN$3,0),CB$6*CB$7,0),0),IF(AND(BX$6&lt;&gt;"",BX$8&lt;&gt;""),IF(EOMONTH($BV$3+INT((DAY(EOMONTH($BV$3,0))-1)/2)+BX$8,0)=EOMONTH($BN$3,0),BX$6*BX$7,0),0),IF(AND(BT$6&lt;&gt;"",BT$8&lt;&gt;""),IF(EOMONTH($BR$3+INT((DAY(EOMONTH($BR$3,0))-1)/2)+BT$8,0)=EOMONTH($BN$3,0),BT$6*BT$7,0),0),IF(AND(BP$6&lt;&gt;"",BP$8&lt;&gt;""),IF(EOMONTH($BN$3+INT((DAY(EOMONTH($BN$3,0))-1)/2)+BP$8,0)=EOMONTH($BN$3,0),BP$6*BP$7,0),0),IF(AND(BL$6&lt;&gt;"",BL$8&lt;&gt;""),IF(EOMONTH($BJ$3+INT((DAY(EOMONTH($BJ$3,0))-1)/2)+BL$8,0)=EOMONTH($BN$3,0),BL$6*BL$7,0),0),IF(AND(BH$6&lt;&gt;"",BH$8&lt;&gt;""),IF(EOMONTH($BF$3+INT((DAY(EOMONTH($BF$3,0))-1)/2)+BH$8,0)=EOMONTH($BN$3,0),BH$6*BH$7,0),0),IF(AND(BD$6&lt;&gt;"",BD$8&lt;&gt;""),IF(EOMONTH($BB$3+INT((DAY(EOMONTH($BB$3,0))-1)/2)+BD$8,0)=EOMONTH($BN$3,0),BD$6*BD$7,0),0),IF(AND(AZ$6&lt;&gt;"",AZ$8&lt;&gt;""),IF(EOMONTH($AX$3+INT((DAY(EOMONTH($AX$3,0))-1)/2)+AZ$8,0)=EOMONTH($BN$3,0),AZ$6*AZ$7,0),0),IF(AND(AV$6&lt;&gt;"",AV$8&lt;&gt;""),IF(EOMONTH($AT$3+INT((DAY(EOMONTH($AT$3,0))-1)/2)+AV$8,0)=EOMONTH($BN$3,0),AV$6*AV$7,0),0),IF(AND(AR$6&lt;&gt;"",AR$8&lt;&gt;""),IF(EOMONTH($AP$3+INT((DAY(EOMONTH($AP$3,0))-1)/2)+AR$8,0)=EOMONTH($BN$3,0),AR$6*AR$7,0),0),IF(AND(AN$6&lt;&gt;"",AN$8&lt;&gt;""),IF(EOMONTH($AL$3+INT((DAY(EOMONTH($AL$3,0))-1)/2)+AN$8,0)=EOMONTH($BN$3,0),AN$6*AN$7,0),0),IF(AND(AJ$6&lt;&gt;"",AJ$8&lt;&gt;""),IF(EOMONTH($AH$3+INT((DAY(EOMONTH($AH$3,0))-1)/2)+AJ$8,0)=EOMONTH($BN$3,0),AJ$6*AJ$7,0),0),IF(AND(AF$6&lt;&gt;"",AF$8&lt;&gt;""),IF(EOMONTH($AD$3+INT((DAY(EOMONTH($AD$3,0))-1)/2)+AF$8,0)=EOMONTH($BN$3,0),AF$6*AF$7,0),0),IF(AND(AB$6&lt;&gt;"",AB$8&lt;&gt;""),IF(EOMONTH($Z$3+INT((DAY(EOMONTH($Z$3,0))-1)/2)+AB$8,0)=EOMONTH($BN$3,0),AB$6*AB$7,0),0),IF(AND(X$6&lt;&gt;"",X$8&lt;&gt;""),IF(EOMONTH($V$3+INT((DAY(EOMONTH($V$3,0))-1)/2)+X$8,0)=EOMONTH($BN$3,0),X$6*X$7,0),0),IF(AND(T$6&lt;&gt;"",T$8&lt;&gt;""),IF(EOMONTH($R$3+INT((DAY(EOMONTH($R$3,0))-1)/2)+T$8,0)=EOMONTH($BN$3,0),T$6*T$7,0),0),IF(AND(P$6&lt;&gt;"",P$8&lt;&gt;""),IF(EOMONTH($N$3+INT((DAY(EOMONTH($N$3,0))-1)/2)+P$8,0)=EOMONTH($BN$3,0),P$6*P$7,0),0),IF(AND(L$6&lt;&gt;"",L$8&lt;&gt;""),IF(EOMONTH($J$3+INT((DAY(EOMONTH($J$3,0))-1)/2)+L$8,0)=EOMONTH($BN$3,0),L$6*L$7,0),0),IF(AND(H$6&lt;&gt;"",H$8&lt;&gt;""),IF(EOMONTH($F$3+INT((DAY(EOMONTH($F$3,0))-1)/2)+H$8,0)=EOMONTH($BN$3,0),H$6*H$7,0),0)),0)</f>
        <v>60</v>
      </c>
      <c r="BQ9" s="16">
        <f t="shared" si="35"/>
        <v>0</v>
      </c>
      <c r="BR9" s="17"/>
      <c r="BS9" s="14">
        <f>IF(BR$98=1,BR9,ROUND(SUM(IF(AND(EQ$6&lt;&gt;"",EQ$8&lt;&gt;""),IF(EOMONTH($EP$3+INT((DAY(EOMONTH($EP$3,0))-1)/2)+EQ$8,0)=EOMONTH($BR$3,0),EQ$6*EQ$7,0),0),IF(AND(EM$6&lt;&gt;"",EM$8&lt;&gt;""),IF(EOMONTH($EL$3+INT((DAY(EOMONTH($EL$3,0))-1)/2)+EM$8,0)=EOMONTH($BR$3,0),EM$6*EM$7,0),0),IF(AND(EI$6&lt;&gt;"",EI$8&lt;&gt;""),IF(EOMONTH($EH$3+INT((DAY(EOMONTH($EH$3,0))-1)/2)+EI$8,0)=EOMONTH($BR$3,0),EI$6*EI$7,0),0),IF(AND(EE$6&lt;&gt;"",EE$8&lt;&gt;""),IF(EOMONTH($ED$3+INT((DAY(EOMONTH($ED$3,0))-1)/2)+EE$8,0)=EOMONTH($BR$3,0),EE$6*EE$7,0),0),IF(AND(EA$6&lt;&gt;"",EA$8&lt;&gt;""),IF(EOMONTH($DZ$3+INT((DAY(EOMONTH($DZ$3,0))-1)/2)+EA$8,0)=EOMONTH($BR$3,0),EA$6*EA$7,0),0),IF(AND(DW$6&lt;&gt;"",DW$8&lt;&gt;""),IF(EOMONTH($DV$3+INT((DAY(EOMONTH($DV$3,0))-1)/2)+DW$8,0)=EOMONTH($BR$3,0),DW$6*DW$7,0),0),IF(AND(DS$6&lt;&gt;"",DS$8&lt;&gt;""),IF(EOMONTH($DR$3+INT((DAY(EOMONTH($DR$3,0))-1)/2)+DS$8,0)=EOMONTH($BR$3,0),DS$6*DS$7,0),0),IF(AND(DO$6&lt;&gt;"",DO$8&lt;&gt;""),IF(EOMONTH($DN$3+INT((DAY(EOMONTH($DN$3,0))-1)/2)+DO$8,0)=EOMONTH($BR$3,0),DO$6*DO$7,0),0),IF(AND(DK$6&lt;&gt;"",DK$8&lt;&gt;""),IF(EOMONTH($DJ$3+INT((DAY(EOMONTH($DJ$3,0))-1)/2)+DK$8,0)=EOMONTH($BR$3,0),DK$6*DK$7,0),0),IF(AND(DG$6&lt;&gt;"",DG$8&lt;&gt;""),IF(EOMONTH($DF$3+INT((DAY(EOMONTH($DF$3,0))-1)/2)+DG$8,0)=EOMONTH($BR$3,0),DG$6*DG$7,0),0),IF(AND(DC$6&lt;&gt;"",DC$8&lt;&gt;""),IF(EOMONTH($DB$3+INT((DAY(EOMONTH($DB$3,0))-1)/2)+DC$8,0)=EOMONTH($BR$3,0),DC$6*DC$7,0),0),IF(AND(CY$6&lt;&gt;"",CY$8&lt;&gt;""),IF(EOMONTH($CX$3+INT((DAY(EOMONTH($CX$3,0))-1)/2)+CY$8,0)=EOMONTH($BR$3,0),CY$6*CY$7,0),0),IF(AND(CU$6&lt;&gt;"",CU$8&lt;&gt;""),IF(EOMONTH($CT$3+INT((DAY(EOMONTH($CT$3,0))-1)/2)+CU$8,0)=EOMONTH($BR$3,0),CU$6*CU$7,0),0),IF(AND(CQ$6&lt;&gt;"",CQ$8&lt;&gt;""),IF(EOMONTH($CP$3+INT((DAY(EOMONTH($CP$3,0))-1)/2)+CQ$8,0)=EOMONTH($BR$3,0),CQ$6*CQ$7,0),0),IF(AND(CM$6&lt;&gt;"",CM$8&lt;&gt;""),IF(EOMONTH($CL$3+INT((DAY(EOMONTH($CL$3,0))-1)/2)+CM$8,0)=EOMONTH($BR$3,0),CM$6*CM$7,0),0),IF(AND(CI$6&lt;&gt;"",CI$8&lt;&gt;""),IF(EOMONTH($CH$3+INT((DAY(EOMONTH($CH$3,0))-1)/2)+CI$8,0)=EOMONTH($BR$3,0),CI$6*CI$7,0),0),IF(AND(CE$6&lt;&gt;"",CE$8&lt;&gt;""),IF(EOMONTH($CD$3+INT((DAY(EOMONTH($CD$3,0))-1)/2)+CE$8,0)=EOMONTH($BR$3,0),CE$6*CE$7,0),0),IF(AND(CA$6&lt;&gt;"",CA$8&lt;&gt;""),IF(EOMONTH($BZ$3+INT((DAY(EOMONTH($BZ$3,0))-1)/2)+CA$8,0)=EOMONTH($BR$3,0),CA$6*CA$7,0),0),IF(AND(BW$6&lt;&gt;"",BW$8&lt;&gt;""),IF(EOMONTH($BV$3+INT((DAY(EOMONTH($BV$3,0))-1)/2)+BW$8,0)=EOMONTH($BR$3,0),BW$6*BW$7,0),0),IF(AND(BS$6&lt;&gt;"",BS$8&lt;&gt;""),IF(EOMONTH($BR$3+INT((DAY(EOMONTH($BR$3,0))-1)/2)+BS$8,0)=EOMONTH($BR$3,0),BS$6*BS$7,0),0),IF(AND(BO$6&lt;&gt;"",BO$8&lt;&gt;""),IF(EOMONTH($BN$3+INT((DAY(EOMONTH($BN$3,0))-1)/2)+BO$8,0)=EOMONTH($BR$3,0),BO$6*BO$7,0),0),IF(AND(BK$6&lt;&gt;"",BK$8&lt;&gt;""),IF(EOMONTH($BJ$3+INT((DAY(EOMONTH($BJ$3,0))-1)/2)+BK$8,0)=EOMONTH($BR$3,0),BK$6*BK$7,0),0),IF(AND(BG$6&lt;&gt;"",BG$8&lt;&gt;""),IF(EOMONTH($BF$3+INT((DAY(EOMONTH($BF$3,0))-1)/2)+BG$8,0)=EOMONTH($BR$3,0),BG$6*BG$7,0),0),IF(AND(BC$6&lt;&gt;"",BC$8&lt;&gt;""),IF(EOMONTH($BB$3+INT((DAY(EOMONTH($BB$3,0))-1)/2)+BC$8,0)=EOMONTH($BR$3,0),BC$6*BC$7,0),0),IF(AND(AY$6&lt;&gt;"",AY$8&lt;&gt;""),IF(EOMONTH($AX$3+INT((DAY(EOMONTH($AX$3,0))-1)/2)+AY$8,0)=EOMONTH($BR$3,0),AY$6*AY$7,0),0),IF(AND(AU$6&lt;&gt;"",AU$8&lt;&gt;""),IF(EOMONTH($AT$3+INT((DAY(EOMONTH($AT$3,0))-1)/2)+AU$8,0)=EOMONTH($BR$3,0),AU$6*AU$7,0),0),IF(AND(AQ$6&lt;&gt;"",AQ$8&lt;&gt;""),IF(EOMONTH($AP$3+INT((DAY(EOMONTH($AP$3,0))-1)/2)+AQ$8,0)=EOMONTH($BR$3,0),AQ$6*AQ$7,0),0),IF(AND(AM$6&lt;&gt;"",AM$8&lt;&gt;""),IF(EOMONTH($AL$3+INT((DAY(EOMONTH($AL$3,0))-1)/2)+AM$8,0)=EOMONTH($BR$3,0),AM$6*AM$7,0),0),IF(AND(AI$6&lt;&gt;"",AI$8&lt;&gt;""),IF(EOMONTH($AH$3+INT((DAY(EOMONTH($AH$3,0))-1)/2)+AI$8,0)=EOMONTH($BR$3,0),AI$6*AI$7,0),0),IF(AND(AE$6&lt;&gt;"",AE$8&lt;&gt;""),IF(EOMONTH($AD$3+INT((DAY(EOMONTH($AD$3,0))-1)/2)+AE$8,0)=EOMONTH($BR$3,0),AE$6*AE$7,0),0),IF(AND(AA$6&lt;&gt;"",AA$8&lt;&gt;""),IF(EOMONTH($Z$3+INT((DAY(EOMONTH($Z$3,0))-1)/2)+AA$8,0)=EOMONTH($BR$3,0),AA$6*AA$7,0),0),IF(AND(W$6&lt;&gt;"",W$8&lt;&gt;""),IF(EOMONTH($V$3+INT((DAY(EOMONTH($V$3,0))-1)/2)+W$8,0)=EOMONTH($BR$3,0),W$6*W$7,0),0),IF(AND(S$6&lt;&gt;"",S$8&lt;&gt;""),IF(EOMONTH($R$3+INT((DAY(EOMONTH($R$3,0))-1)/2)+S$8,0)=EOMONTH($BR$3,0),S$6*S$7,0),0),IF(AND(O$6&lt;&gt;"",O$8&lt;&gt;""),IF(EOMONTH($N$3+INT((DAY(EOMONTH($N$3,0))-1)/2)+O$8,0)=EOMONTH($BR$3,0),O$6*O$7,0),0),IF(AND(K$6&lt;&gt;"",K$8&lt;&gt;""),IF(EOMONTH($J$3+INT((DAY(EOMONTH($J$3,0))-1)/2)+K$8,0)=EOMONTH($BR$3,0),K$6*K$7,0),0),IF(AND(G$6&lt;&gt;"",G$8&lt;&gt;""),IF(EOMONTH($F$3+INT((DAY(EOMONTH($F$3,0))-1)/2)+G$8,0)=EOMONTH($BR$3,0),G$6*G$7,0),0)),0))</f>
        <v>59</v>
      </c>
      <c r="BT9" s="15">
        <f>ROUND(SUM(IF(AND(ER$6&lt;&gt;"",ER$8&lt;&gt;""),IF(EOMONTH($EP$3+INT((DAY(EOMONTH($EP$3,0))-1)/2)+ER$8,0)=EOMONTH($BR$3,0),ER$6*ER$7,0),0),IF(AND(EN$6&lt;&gt;"",EN$8&lt;&gt;""),IF(EOMONTH($EL$3+INT((DAY(EOMONTH($EL$3,0))-1)/2)+EN$8,0)=EOMONTH($BR$3,0),EN$6*EN$7,0),0),IF(AND(EJ$6&lt;&gt;"",EJ$8&lt;&gt;""),IF(EOMONTH($EH$3+INT((DAY(EOMONTH($EH$3,0))-1)/2)+EJ$8,0)=EOMONTH($BR$3,0),EJ$6*EJ$7,0),0),IF(AND(EF$6&lt;&gt;"",EF$8&lt;&gt;""),IF(EOMONTH($ED$3+INT((DAY(EOMONTH($ED$3,0))-1)/2)+EF$8,0)=EOMONTH($BR$3,0),EF$6*EF$7,0),0),IF(AND(EB$6&lt;&gt;"",EB$8&lt;&gt;""),IF(EOMONTH($DZ$3+INT((DAY(EOMONTH($DZ$3,0))-1)/2)+EB$8,0)=EOMONTH($BR$3,0),EB$6*EB$7,0),0),IF(AND(DX$6&lt;&gt;"",DX$8&lt;&gt;""),IF(EOMONTH($DV$3+INT((DAY(EOMONTH($DV$3,0))-1)/2)+DX$8,0)=EOMONTH($BR$3,0),DX$6*DX$7,0),0),IF(AND(DT$6&lt;&gt;"",DT$8&lt;&gt;""),IF(EOMONTH($DR$3+INT((DAY(EOMONTH($DR$3,0))-1)/2)+DT$8,0)=EOMONTH($BR$3,0),DT$6*DT$7,0),0),IF(AND(DP$6&lt;&gt;"",DP$8&lt;&gt;""),IF(EOMONTH($DN$3+INT((DAY(EOMONTH($DN$3,0))-1)/2)+DP$8,0)=EOMONTH($BR$3,0),DP$6*DP$7,0),0),IF(AND(DL$6&lt;&gt;"",DL$8&lt;&gt;""),IF(EOMONTH($DJ$3+INT((DAY(EOMONTH($DJ$3,0))-1)/2)+DL$8,0)=EOMONTH($BR$3,0),DL$6*DL$7,0),0),IF(AND(DH$6&lt;&gt;"",DH$8&lt;&gt;""),IF(EOMONTH($DF$3+INT((DAY(EOMONTH($DF$3,0))-1)/2)+DH$8,0)=EOMONTH($BR$3,0),DH$6*DH$7,0),0),IF(AND(DD$6&lt;&gt;"",DD$8&lt;&gt;""),IF(EOMONTH($DB$3+INT((DAY(EOMONTH($DB$3,0))-1)/2)+DD$8,0)=EOMONTH($BR$3,0),DD$6*DD$7,0),0),IF(AND(CZ$6&lt;&gt;"",CZ$8&lt;&gt;""),IF(EOMONTH($CX$3+INT((DAY(EOMONTH($CX$3,0))-1)/2)+CZ$8,0)=EOMONTH($BR$3,0),CZ$6*CZ$7,0),0),IF(AND(CV$6&lt;&gt;"",CV$8&lt;&gt;""),IF(EOMONTH($CT$3+INT((DAY(EOMONTH($CT$3,0))-1)/2)+CV$8,0)=EOMONTH($BR$3,0),CV$6*CV$7,0),0),IF(AND(CR$6&lt;&gt;"",CR$8&lt;&gt;""),IF(EOMONTH($CP$3+INT((DAY(EOMONTH($CP$3,0))-1)/2)+CR$8,0)=EOMONTH($BR$3,0),CR$6*CR$7,0),0),IF(AND(CN$6&lt;&gt;"",CN$8&lt;&gt;""),IF(EOMONTH($CL$3+INT((DAY(EOMONTH($CL$3,0))-1)/2)+CN$8,0)=EOMONTH($BR$3,0),CN$6*CN$7,0),0),IF(AND(CJ$6&lt;&gt;"",CJ$8&lt;&gt;""),IF(EOMONTH($CH$3+INT((DAY(EOMONTH($CH$3,0))-1)/2)+CJ$8,0)=EOMONTH($BR$3,0),CJ$6*CJ$7,0),0),IF(AND(CF$6&lt;&gt;"",CF$8&lt;&gt;""),IF(EOMONTH($CD$3+INT((DAY(EOMONTH($CD$3,0))-1)/2)+CF$8,0)=EOMONTH($BR$3,0),CF$6*CF$7,0),0),IF(AND(CB$6&lt;&gt;"",CB$8&lt;&gt;""),IF(EOMONTH($BZ$3+INT((DAY(EOMONTH($BZ$3,0))-1)/2)+CB$8,0)=EOMONTH($BR$3,0),CB$6*CB$7,0),0),IF(AND(BX$6&lt;&gt;"",BX$8&lt;&gt;""),IF(EOMONTH($BV$3+INT((DAY(EOMONTH($BV$3,0))-1)/2)+BX$8,0)=EOMONTH($BR$3,0),BX$6*BX$7,0),0),IF(AND(BT$6&lt;&gt;"",BT$8&lt;&gt;""),IF(EOMONTH($BR$3+INT((DAY(EOMONTH($BR$3,0))-1)/2)+BT$8,0)=EOMONTH($BR$3,0),BT$6*BT$7,0),0),IF(AND(BP$6&lt;&gt;"",BP$8&lt;&gt;""),IF(EOMONTH($BN$3+INT((DAY(EOMONTH($BN$3,0))-1)/2)+BP$8,0)=EOMONTH($BR$3,0),BP$6*BP$7,0),0),IF(AND(BL$6&lt;&gt;"",BL$8&lt;&gt;""),IF(EOMONTH($BJ$3+INT((DAY(EOMONTH($BJ$3,0))-1)/2)+BL$8,0)=EOMONTH($BR$3,0),BL$6*BL$7,0),0),IF(AND(BH$6&lt;&gt;"",BH$8&lt;&gt;""),IF(EOMONTH($BF$3+INT((DAY(EOMONTH($BF$3,0))-1)/2)+BH$8,0)=EOMONTH($BR$3,0),BH$6*BH$7,0),0),IF(AND(BD$6&lt;&gt;"",BD$8&lt;&gt;""),IF(EOMONTH($BB$3+INT((DAY(EOMONTH($BB$3,0))-1)/2)+BD$8,0)=EOMONTH($BR$3,0),BD$6*BD$7,0),0),IF(AND(AZ$6&lt;&gt;"",AZ$8&lt;&gt;""),IF(EOMONTH($AX$3+INT((DAY(EOMONTH($AX$3,0))-1)/2)+AZ$8,0)=EOMONTH($BR$3,0),AZ$6*AZ$7,0),0),IF(AND(AV$6&lt;&gt;"",AV$8&lt;&gt;""),IF(EOMONTH($AT$3+INT((DAY(EOMONTH($AT$3,0))-1)/2)+AV$8,0)=EOMONTH($BR$3,0),AV$6*AV$7,0),0),IF(AND(AR$6&lt;&gt;"",AR$8&lt;&gt;""),IF(EOMONTH($AP$3+INT((DAY(EOMONTH($AP$3,0))-1)/2)+AR$8,0)=EOMONTH($BR$3,0),AR$6*AR$7,0),0),IF(AND(AN$6&lt;&gt;"",AN$8&lt;&gt;""),IF(EOMONTH($AL$3+INT((DAY(EOMONTH($AL$3,0))-1)/2)+AN$8,0)=EOMONTH($BR$3,0),AN$6*AN$7,0),0),IF(AND(AJ$6&lt;&gt;"",AJ$8&lt;&gt;""),IF(EOMONTH($AH$3+INT((DAY(EOMONTH($AH$3,0))-1)/2)+AJ$8,0)=EOMONTH($BR$3,0),AJ$6*AJ$7,0),0),IF(AND(AF$6&lt;&gt;"",AF$8&lt;&gt;""),IF(EOMONTH($AD$3+INT((DAY(EOMONTH($AD$3,0))-1)/2)+AF$8,0)=EOMONTH($BR$3,0),AF$6*AF$7,0),0),IF(AND(AB$6&lt;&gt;"",AB$8&lt;&gt;""),IF(EOMONTH($Z$3+INT((DAY(EOMONTH($Z$3,0))-1)/2)+AB$8,0)=EOMONTH($BR$3,0),AB$6*AB$7,0),0),IF(AND(X$6&lt;&gt;"",X$8&lt;&gt;""),IF(EOMONTH($V$3+INT((DAY(EOMONTH($V$3,0))-1)/2)+X$8,0)=EOMONTH($BR$3,0),X$6*X$7,0),0),IF(AND(T$6&lt;&gt;"",T$8&lt;&gt;""),IF(EOMONTH($R$3+INT((DAY(EOMONTH($R$3,0))-1)/2)+T$8,0)=EOMONTH($BR$3,0),T$6*T$7,0),0),IF(AND(P$6&lt;&gt;"",P$8&lt;&gt;""),IF(EOMONTH($N$3+INT((DAY(EOMONTH($N$3,0))-1)/2)+P$8,0)=EOMONTH($BR$3,0),P$6*P$7,0),0),IF(AND(L$6&lt;&gt;"",L$8&lt;&gt;""),IF(EOMONTH($J$3+INT((DAY(EOMONTH($J$3,0))-1)/2)+L$8,0)=EOMONTH($BR$3,0),L$6*L$7,0),0),IF(AND(H$6&lt;&gt;"",H$8&lt;&gt;""),IF(EOMONTH($F$3+INT((DAY(EOMONTH($F$3,0))-1)/2)+H$8,0)=EOMONTH($BR$3,0),H$6*H$7,0),0)),0)</f>
        <v>59</v>
      </c>
      <c r="BU9" s="16">
        <f t="shared" si="37"/>
        <v>0</v>
      </c>
      <c r="BV9" s="17"/>
      <c r="BW9" s="14">
        <f>IF(BV$98=1,BV9,ROUND(SUM(IF(AND(EQ$6&lt;&gt;"",EQ$8&lt;&gt;""),IF(EOMONTH($EP$3+INT((DAY(EOMONTH($EP$3,0))-1)/2)+EQ$8,0)=EOMONTH($BV$3,0),EQ$6*EQ$7,0),0),IF(AND(EM$6&lt;&gt;"",EM$8&lt;&gt;""),IF(EOMONTH($EL$3+INT((DAY(EOMONTH($EL$3,0))-1)/2)+EM$8,0)=EOMONTH($BV$3,0),EM$6*EM$7,0),0),IF(AND(EI$6&lt;&gt;"",EI$8&lt;&gt;""),IF(EOMONTH($EH$3+INT((DAY(EOMONTH($EH$3,0))-1)/2)+EI$8,0)=EOMONTH($BV$3,0),EI$6*EI$7,0),0),IF(AND(EE$6&lt;&gt;"",EE$8&lt;&gt;""),IF(EOMONTH($ED$3+INT((DAY(EOMONTH($ED$3,0))-1)/2)+EE$8,0)=EOMONTH($BV$3,0),EE$6*EE$7,0),0),IF(AND(EA$6&lt;&gt;"",EA$8&lt;&gt;""),IF(EOMONTH($DZ$3+INT((DAY(EOMONTH($DZ$3,0))-1)/2)+EA$8,0)=EOMONTH($BV$3,0),EA$6*EA$7,0),0),IF(AND(DW$6&lt;&gt;"",DW$8&lt;&gt;""),IF(EOMONTH($DV$3+INT((DAY(EOMONTH($DV$3,0))-1)/2)+DW$8,0)=EOMONTH($BV$3,0),DW$6*DW$7,0),0),IF(AND(DS$6&lt;&gt;"",DS$8&lt;&gt;""),IF(EOMONTH($DR$3+INT((DAY(EOMONTH($DR$3,0))-1)/2)+DS$8,0)=EOMONTH($BV$3,0),DS$6*DS$7,0),0),IF(AND(DO$6&lt;&gt;"",DO$8&lt;&gt;""),IF(EOMONTH($DN$3+INT((DAY(EOMONTH($DN$3,0))-1)/2)+DO$8,0)=EOMONTH($BV$3,0),DO$6*DO$7,0),0),IF(AND(DK$6&lt;&gt;"",DK$8&lt;&gt;""),IF(EOMONTH($DJ$3+INT((DAY(EOMONTH($DJ$3,0))-1)/2)+DK$8,0)=EOMONTH($BV$3,0),DK$6*DK$7,0),0),IF(AND(DG$6&lt;&gt;"",DG$8&lt;&gt;""),IF(EOMONTH($DF$3+INT((DAY(EOMONTH($DF$3,0))-1)/2)+DG$8,0)=EOMONTH($BV$3,0),DG$6*DG$7,0),0),IF(AND(DC$6&lt;&gt;"",DC$8&lt;&gt;""),IF(EOMONTH($DB$3+INT((DAY(EOMONTH($DB$3,0))-1)/2)+DC$8,0)=EOMONTH($BV$3,0),DC$6*DC$7,0),0),IF(AND(CY$6&lt;&gt;"",CY$8&lt;&gt;""),IF(EOMONTH($CX$3+INT((DAY(EOMONTH($CX$3,0))-1)/2)+CY$8,0)=EOMONTH($BV$3,0),CY$6*CY$7,0),0),IF(AND(CU$6&lt;&gt;"",CU$8&lt;&gt;""),IF(EOMONTH($CT$3+INT((DAY(EOMONTH($CT$3,0))-1)/2)+CU$8,0)=EOMONTH($BV$3,0),CU$6*CU$7,0),0),IF(AND(CQ$6&lt;&gt;"",CQ$8&lt;&gt;""),IF(EOMONTH($CP$3+INT((DAY(EOMONTH($CP$3,0))-1)/2)+CQ$8,0)=EOMONTH($BV$3,0),CQ$6*CQ$7,0),0),IF(AND(CM$6&lt;&gt;"",CM$8&lt;&gt;""),IF(EOMONTH($CL$3+INT((DAY(EOMONTH($CL$3,0))-1)/2)+CM$8,0)=EOMONTH($BV$3,0),CM$6*CM$7,0),0),IF(AND(CI$6&lt;&gt;"",CI$8&lt;&gt;""),IF(EOMONTH($CH$3+INT((DAY(EOMONTH($CH$3,0))-1)/2)+CI$8,0)=EOMONTH($BV$3,0),CI$6*CI$7,0),0),IF(AND(CE$6&lt;&gt;"",CE$8&lt;&gt;""),IF(EOMONTH($CD$3+INT((DAY(EOMONTH($CD$3,0))-1)/2)+CE$8,0)=EOMONTH($BV$3,0),CE$6*CE$7,0),0),IF(AND(CA$6&lt;&gt;"",CA$8&lt;&gt;""),IF(EOMONTH($BZ$3+INT((DAY(EOMONTH($BZ$3,0))-1)/2)+CA$8,0)=EOMONTH($BV$3,0),CA$6*CA$7,0),0),IF(AND(BW$6&lt;&gt;"",BW$8&lt;&gt;""),IF(EOMONTH($BV$3+INT((DAY(EOMONTH($BV$3,0))-1)/2)+BW$8,0)=EOMONTH($BV$3,0),BW$6*BW$7,0),0),IF(AND(BS$6&lt;&gt;"",BS$8&lt;&gt;""),IF(EOMONTH($BR$3+INT((DAY(EOMONTH($BR$3,0))-1)/2)+BS$8,0)=EOMONTH($BV$3,0),BS$6*BS$7,0),0),IF(AND(BO$6&lt;&gt;"",BO$8&lt;&gt;""),IF(EOMONTH($BN$3+INT((DAY(EOMONTH($BN$3,0))-1)/2)+BO$8,0)=EOMONTH($BV$3,0),BO$6*BO$7,0),0),IF(AND(BK$6&lt;&gt;"",BK$8&lt;&gt;""),IF(EOMONTH($BJ$3+INT((DAY(EOMONTH($BJ$3,0))-1)/2)+BK$8,0)=EOMONTH($BV$3,0),BK$6*BK$7,0),0),IF(AND(BG$6&lt;&gt;"",BG$8&lt;&gt;""),IF(EOMONTH($BF$3+INT((DAY(EOMONTH($BF$3,0))-1)/2)+BG$8,0)=EOMONTH($BV$3,0),BG$6*BG$7,0),0),IF(AND(BC$6&lt;&gt;"",BC$8&lt;&gt;""),IF(EOMONTH($BB$3+INT((DAY(EOMONTH($BB$3,0))-1)/2)+BC$8,0)=EOMONTH($BV$3,0),BC$6*BC$7,0),0),IF(AND(AY$6&lt;&gt;"",AY$8&lt;&gt;""),IF(EOMONTH($AX$3+INT((DAY(EOMONTH($AX$3,0))-1)/2)+AY$8,0)=EOMONTH($BV$3,0),AY$6*AY$7,0),0),IF(AND(AU$6&lt;&gt;"",AU$8&lt;&gt;""),IF(EOMONTH($AT$3+INT((DAY(EOMONTH($AT$3,0))-1)/2)+AU$8,0)=EOMONTH($BV$3,0),AU$6*AU$7,0),0),IF(AND(AQ$6&lt;&gt;"",AQ$8&lt;&gt;""),IF(EOMONTH($AP$3+INT((DAY(EOMONTH($AP$3,0))-1)/2)+AQ$8,0)=EOMONTH($BV$3,0),AQ$6*AQ$7,0),0),IF(AND(AM$6&lt;&gt;"",AM$8&lt;&gt;""),IF(EOMONTH($AL$3+INT((DAY(EOMONTH($AL$3,0))-1)/2)+AM$8,0)=EOMONTH($BV$3,0),AM$6*AM$7,0),0),IF(AND(AI$6&lt;&gt;"",AI$8&lt;&gt;""),IF(EOMONTH($AH$3+INT((DAY(EOMONTH($AH$3,0))-1)/2)+AI$8,0)=EOMONTH($BV$3,0),AI$6*AI$7,0),0),IF(AND(AE$6&lt;&gt;"",AE$8&lt;&gt;""),IF(EOMONTH($AD$3+INT((DAY(EOMONTH($AD$3,0))-1)/2)+AE$8,0)=EOMONTH($BV$3,0),AE$6*AE$7,0),0),IF(AND(AA$6&lt;&gt;"",AA$8&lt;&gt;""),IF(EOMONTH($Z$3+INT((DAY(EOMONTH($Z$3,0))-1)/2)+AA$8,0)=EOMONTH($BV$3,0),AA$6*AA$7,0),0),IF(AND(W$6&lt;&gt;"",W$8&lt;&gt;""),IF(EOMONTH($V$3+INT((DAY(EOMONTH($V$3,0))-1)/2)+W$8,0)=EOMONTH($BV$3,0),W$6*W$7,0),0),IF(AND(S$6&lt;&gt;"",S$8&lt;&gt;""),IF(EOMONTH($R$3+INT((DAY(EOMONTH($R$3,0))-1)/2)+S$8,0)=EOMONTH($BV$3,0),S$6*S$7,0),0),IF(AND(O$6&lt;&gt;"",O$8&lt;&gt;""),IF(EOMONTH($N$3+INT((DAY(EOMONTH($N$3,0))-1)/2)+O$8,0)=EOMONTH($BV$3,0),O$6*O$7,0),0),IF(AND(K$6&lt;&gt;"",K$8&lt;&gt;""),IF(EOMONTH($J$3+INT((DAY(EOMONTH($J$3,0))-1)/2)+K$8,0)=EOMONTH($BV$3,0),K$6*K$7,0),0),IF(AND(G$6&lt;&gt;"",G$8&lt;&gt;""),IF(EOMONTH($F$3+INT((DAY(EOMONTH($F$3,0))-1)/2)+G$8,0)=EOMONTH($BV$3,0),G$6*G$7,0),0)),0))</f>
        <v>58</v>
      </c>
      <c r="BX9" s="15">
        <f>ROUND(SUM(IF(AND(ER$6&lt;&gt;"",ER$8&lt;&gt;""),IF(EOMONTH($EP$3+INT((DAY(EOMONTH($EP$3,0))-1)/2)+ER$8,0)=EOMONTH($BV$3,0),ER$6*ER$7,0),0),IF(AND(EN$6&lt;&gt;"",EN$8&lt;&gt;""),IF(EOMONTH($EL$3+INT((DAY(EOMONTH($EL$3,0))-1)/2)+EN$8,0)=EOMONTH($BV$3,0),EN$6*EN$7,0),0),IF(AND(EJ$6&lt;&gt;"",EJ$8&lt;&gt;""),IF(EOMONTH($EH$3+INT((DAY(EOMONTH($EH$3,0))-1)/2)+EJ$8,0)=EOMONTH($BV$3,0),EJ$6*EJ$7,0),0),IF(AND(EF$6&lt;&gt;"",EF$8&lt;&gt;""),IF(EOMONTH($ED$3+INT((DAY(EOMONTH($ED$3,0))-1)/2)+EF$8,0)=EOMONTH($BV$3,0),EF$6*EF$7,0),0),IF(AND(EB$6&lt;&gt;"",EB$8&lt;&gt;""),IF(EOMONTH($DZ$3+INT((DAY(EOMONTH($DZ$3,0))-1)/2)+EB$8,0)=EOMONTH($BV$3,0),EB$6*EB$7,0),0),IF(AND(DX$6&lt;&gt;"",DX$8&lt;&gt;""),IF(EOMONTH($DV$3+INT((DAY(EOMONTH($DV$3,0))-1)/2)+DX$8,0)=EOMONTH($BV$3,0),DX$6*DX$7,0),0),IF(AND(DT$6&lt;&gt;"",DT$8&lt;&gt;""),IF(EOMONTH($DR$3+INT((DAY(EOMONTH($DR$3,0))-1)/2)+DT$8,0)=EOMONTH($BV$3,0),DT$6*DT$7,0),0),IF(AND(DP$6&lt;&gt;"",DP$8&lt;&gt;""),IF(EOMONTH($DN$3+INT((DAY(EOMONTH($DN$3,0))-1)/2)+DP$8,0)=EOMONTH($BV$3,0),DP$6*DP$7,0),0),IF(AND(DL$6&lt;&gt;"",DL$8&lt;&gt;""),IF(EOMONTH($DJ$3+INT((DAY(EOMONTH($DJ$3,0))-1)/2)+DL$8,0)=EOMONTH($BV$3,0),DL$6*DL$7,0),0),IF(AND(DH$6&lt;&gt;"",DH$8&lt;&gt;""),IF(EOMONTH($DF$3+INT((DAY(EOMONTH($DF$3,0))-1)/2)+DH$8,0)=EOMONTH($BV$3,0),DH$6*DH$7,0),0),IF(AND(DD$6&lt;&gt;"",DD$8&lt;&gt;""),IF(EOMONTH($DB$3+INT((DAY(EOMONTH($DB$3,0))-1)/2)+DD$8,0)=EOMONTH($BV$3,0),DD$6*DD$7,0),0),IF(AND(CZ$6&lt;&gt;"",CZ$8&lt;&gt;""),IF(EOMONTH($CX$3+INT((DAY(EOMONTH($CX$3,0))-1)/2)+CZ$8,0)=EOMONTH($BV$3,0),CZ$6*CZ$7,0),0),IF(AND(CV$6&lt;&gt;"",CV$8&lt;&gt;""),IF(EOMONTH($CT$3+INT((DAY(EOMONTH($CT$3,0))-1)/2)+CV$8,0)=EOMONTH($BV$3,0),CV$6*CV$7,0),0),IF(AND(CR$6&lt;&gt;"",CR$8&lt;&gt;""),IF(EOMONTH($CP$3+INT((DAY(EOMONTH($CP$3,0))-1)/2)+CR$8,0)=EOMONTH($BV$3,0),CR$6*CR$7,0),0),IF(AND(CN$6&lt;&gt;"",CN$8&lt;&gt;""),IF(EOMONTH($CL$3+INT((DAY(EOMONTH($CL$3,0))-1)/2)+CN$8,0)=EOMONTH($BV$3,0),CN$6*CN$7,0),0),IF(AND(CJ$6&lt;&gt;"",CJ$8&lt;&gt;""),IF(EOMONTH($CH$3+INT((DAY(EOMONTH($CH$3,0))-1)/2)+CJ$8,0)=EOMONTH($BV$3,0),CJ$6*CJ$7,0),0),IF(AND(CF$6&lt;&gt;"",CF$8&lt;&gt;""),IF(EOMONTH($CD$3+INT((DAY(EOMONTH($CD$3,0))-1)/2)+CF$8,0)=EOMONTH($BV$3,0),CF$6*CF$7,0),0),IF(AND(CB$6&lt;&gt;"",CB$8&lt;&gt;""),IF(EOMONTH($BZ$3+INT((DAY(EOMONTH($BZ$3,0))-1)/2)+CB$8,0)=EOMONTH($BV$3,0),CB$6*CB$7,0),0),IF(AND(BX$6&lt;&gt;"",BX$8&lt;&gt;""),IF(EOMONTH($BV$3+INT((DAY(EOMONTH($BV$3,0))-1)/2)+BX$8,0)=EOMONTH($BV$3,0),BX$6*BX$7,0),0),IF(AND(BT$6&lt;&gt;"",BT$8&lt;&gt;""),IF(EOMONTH($BR$3+INT((DAY(EOMONTH($BR$3,0))-1)/2)+BT$8,0)=EOMONTH($BV$3,0),BT$6*BT$7,0),0),IF(AND(BP$6&lt;&gt;"",BP$8&lt;&gt;""),IF(EOMONTH($BN$3+INT((DAY(EOMONTH($BN$3,0))-1)/2)+BP$8,0)=EOMONTH($BV$3,0),BP$6*BP$7,0),0),IF(AND(BL$6&lt;&gt;"",BL$8&lt;&gt;""),IF(EOMONTH($BJ$3+INT((DAY(EOMONTH($BJ$3,0))-1)/2)+BL$8,0)=EOMONTH($BV$3,0),BL$6*BL$7,0),0),IF(AND(BH$6&lt;&gt;"",BH$8&lt;&gt;""),IF(EOMONTH($BF$3+INT((DAY(EOMONTH($BF$3,0))-1)/2)+BH$8,0)=EOMONTH($BV$3,0),BH$6*BH$7,0),0),IF(AND(BD$6&lt;&gt;"",BD$8&lt;&gt;""),IF(EOMONTH($BB$3+INT((DAY(EOMONTH($BB$3,0))-1)/2)+BD$8,0)=EOMONTH($BV$3,0),BD$6*BD$7,0),0),IF(AND(AZ$6&lt;&gt;"",AZ$8&lt;&gt;""),IF(EOMONTH($AX$3+INT((DAY(EOMONTH($AX$3,0))-1)/2)+AZ$8,0)=EOMONTH($BV$3,0),AZ$6*AZ$7,0),0),IF(AND(AV$6&lt;&gt;"",AV$8&lt;&gt;""),IF(EOMONTH($AT$3+INT((DAY(EOMONTH($AT$3,0))-1)/2)+AV$8,0)=EOMONTH($BV$3,0),AV$6*AV$7,0),0),IF(AND(AR$6&lt;&gt;"",AR$8&lt;&gt;""),IF(EOMONTH($AP$3+INT((DAY(EOMONTH($AP$3,0))-1)/2)+AR$8,0)=EOMONTH($BV$3,0),AR$6*AR$7,0),0),IF(AND(AN$6&lt;&gt;"",AN$8&lt;&gt;""),IF(EOMONTH($AL$3+INT((DAY(EOMONTH($AL$3,0))-1)/2)+AN$8,0)=EOMONTH($BV$3,0),AN$6*AN$7,0),0),IF(AND(AJ$6&lt;&gt;"",AJ$8&lt;&gt;""),IF(EOMONTH($AH$3+INT((DAY(EOMONTH($AH$3,0))-1)/2)+AJ$8,0)=EOMONTH($BV$3,0),AJ$6*AJ$7,0),0),IF(AND(AF$6&lt;&gt;"",AF$8&lt;&gt;""),IF(EOMONTH($AD$3+INT((DAY(EOMONTH($AD$3,0))-1)/2)+AF$8,0)=EOMONTH($BV$3,0),AF$6*AF$7,0),0),IF(AND(AB$6&lt;&gt;"",AB$8&lt;&gt;""),IF(EOMONTH($Z$3+INT((DAY(EOMONTH($Z$3,0))-1)/2)+AB$8,0)=EOMONTH($BV$3,0),AB$6*AB$7,0),0),IF(AND(X$6&lt;&gt;"",X$8&lt;&gt;""),IF(EOMONTH($V$3+INT((DAY(EOMONTH($V$3,0))-1)/2)+X$8,0)=EOMONTH($BV$3,0),X$6*X$7,0),0),IF(AND(T$6&lt;&gt;"",T$8&lt;&gt;""),IF(EOMONTH($R$3+INT((DAY(EOMONTH($R$3,0))-1)/2)+T$8,0)=EOMONTH($BV$3,0),T$6*T$7,0),0),IF(AND(P$6&lt;&gt;"",P$8&lt;&gt;""),IF(EOMONTH($N$3+INT((DAY(EOMONTH($N$3,0))-1)/2)+P$8,0)=EOMONTH($BV$3,0),P$6*P$7,0),0),IF(AND(L$6&lt;&gt;"",L$8&lt;&gt;""),IF(EOMONTH($J$3+INT((DAY(EOMONTH($J$3,0))-1)/2)+L$8,0)=EOMONTH($BV$3,0),L$6*L$7,0),0),IF(AND(H$6&lt;&gt;"",H$8&lt;&gt;""),IF(EOMONTH($F$3+INT((DAY(EOMONTH($F$3,0))-1)/2)+H$8,0)=EOMONTH($BV$3,0),H$6*H$7,0),0)),0)</f>
        <v>58</v>
      </c>
      <c r="BY9" s="16">
        <f t="shared" si="39"/>
        <v>0</v>
      </c>
      <c r="BZ9" s="17"/>
      <c r="CA9" s="14">
        <f>IF(BZ$98=1,BZ9,ROUND(SUM(IF(AND(EQ$6&lt;&gt;"",EQ$8&lt;&gt;""),IF(EOMONTH($EP$3+INT((DAY(EOMONTH($EP$3,0))-1)/2)+EQ$8,0)=EOMONTH($BZ$3,0),EQ$6*EQ$7,0),0),IF(AND(EM$6&lt;&gt;"",EM$8&lt;&gt;""),IF(EOMONTH($EL$3+INT((DAY(EOMONTH($EL$3,0))-1)/2)+EM$8,0)=EOMONTH($BZ$3,0),EM$6*EM$7,0),0),IF(AND(EI$6&lt;&gt;"",EI$8&lt;&gt;""),IF(EOMONTH($EH$3+INT((DAY(EOMONTH($EH$3,0))-1)/2)+EI$8,0)=EOMONTH($BZ$3,0),EI$6*EI$7,0),0),IF(AND(EE$6&lt;&gt;"",EE$8&lt;&gt;""),IF(EOMONTH($ED$3+INT((DAY(EOMONTH($ED$3,0))-1)/2)+EE$8,0)=EOMONTH($BZ$3,0),EE$6*EE$7,0),0),IF(AND(EA$6&lt;&gt;"",EA$8&lt;&gt;""),IF(EOMONTH($DZ$3+INT((DAY(EOMONTH($DZ$3,0))-1)/2)+EA$8,0)=EOMONTH($BZ$3,0),EA$6*EA$7,0),0),IF(AND(DW$6&lt;&gt;"",DW$8&lt;&gt;""),IF(EOMONTH($DV$3+INT((DAY(EOMONTH($DV$3,0))-1)/2)+DW$8,0)=EOMONTH($BZ$3,0),DW$6*DW$7,0),0),IF(AND(DS$6&lt;&gt;"",DS$8&lt;&gt;""),IF(EOMONTH($DR$3+INT((DAY(EOMONTH($DR$3,0))-1)/2)+DS$8,0)=EOMONTH($BZ$3,0),DS$6*DS$7,0),0),IF(AND(DO$6&lt;&gt;"",DO$8&lt;&gt;""),IF(EOMONTH($DN$3+INT((DAY(EOMONTH($DN$3,0))-1)/2)+DO$8,0)=EOMONTH($BZ$3,0),DO$6*DO$7,0),0),IF(AND(DK$6&lt;&gt;"",DK$8&lt;&gt;""),IF(EOMONTH($DJ$3+INT((DAY(EOMONTH($DJ$3,0))-1)/2)+DK$8,0)=EOMONTH($BZ$3,0),DK$6*DK$7,0),0),IF(AND(DG$6&lt;&gt;"",DG$8&lt;&gt;""),IF(EOMONTH($DF$3+INT((DAY(EOMONTH($DF$3,0))-1)/2)+DG$8,0)=EOMONTH($BZ$3,0),DG$6*DG$7,0),0),IF(AND(DC$6&lt;&gt;"",DC$8&lt;&gt;""),IF(EOMONTH($DB$3+INT((DAY(EOMONTH($DB$3,0))-1)/2)+DC$8,0)=EOMONTH($BZ$3,0),DC$6*DC$7,0),0),IF(AND(CY$6&lt;&gt;"",CY$8&lt;&gt;""),IF(EOMONTH($CX$3+INT((DAY(EOMONTH($CX$3,0))-1)/2)+CY$8,0)=EOMONTH($BZ$3,0),CY$6*CY$7,0),0),IF(AND(CU$6&lt;&gt;"",CU$8&lt;&gt;""),IF(EOMONTH($CT$3+INT((DAY(EOMONTH($CT$3,0))-1)/2)+CU$8,0)=EOMONTH($BZ$3,0),CU$6*CU$7,0),0),IF(AND(CQ$6&lt;&gt;"",CQ$8&lt;&gt;""),IF(EOMONTH($CP$3+INT((DAY(EOMONTH($CP$3,0))-1)/2)+CQ$8,0)=EOMONTH($BZ$3,0),CQ$6*CQ$7,0),0),IF(AND(CM$6&lt;&gt;"",CM$8&lt;&gt;""),IF(EOMONTH($CL$3+INT((DAY(EOMONTH($CL$3,0))-1)/2)+CM$8,0)=EOMONTH($BZ$3,0),CM$6*CM$7,0),0),IF(AND(CI$6&lt;&gt;"",CI$8&lt;&gt;""),IF(EOMONTH($CH$3+INT((DAY(EOMONTH($CH$3,0))-1)/2)+CI$8,0)=EOMONTH($BZ$3,0),CI$6*CI$7,0),0),IF(AND(CE$6&lt;&gt;"",CE$8&lt;&gt;""),IF(EOMONTH($CD$3+INT((DAY(EOMONTH($CD$3,0))-1)/2)+CE$8,0)=EOMONTH($BZ$3,0),CE$6*CE$7,0),0),IF(AND(CA$6&lt;&gt;"",CA$8&lt;&gt;""),IF(EOMONTH($BZ$3+INT((DAY(EOMONTH($BZ$3,0))-1)/2)+CA$8,0)=EOMONTH($BZ$3,0),CA$6*CA$7,0),0),IF(AND(BW$6&lt;&gt;"",BW$8&lt;&gt;""),IF(EOMONTH($BV$3+INT((DAY(EOMONTH($BV$3,0))-1)/2)+BW$8,0)=EOMONTH($BZ$3,0),BW$6*BW$7,0),0),IF(AND(BS$6&lt;&gt;"",BS$8&lt;&gt;""),IF(EOMONTH($BR$3+INT((DAY(EOMONTH($BR$3,0))-1)/2)+BS$8,0)=EOMONTH($BZ$3,0),BS$6*BS$7,0),0),IF(AND(BO$6&lt;&gt;"",BO$8&lt;&gt;""),IF(EOMONTH($BN$3+INT((DAY(EOMONTH($BN$3,0))-1)/2)+BO$8,0)=EOMONTH($BZ$3,0),BO$6*BO$7,0),0),IF(AND(BK$6&lt;&gt;"",BK$8&lt;&gt;""),IF(EOMONTH($BJ$3+INT((DAY(EOMONTH($BJ$3,0))-1)/2)+BK$8,0)=EOMONTH($BZ$3,0),BK$6*BK$7,0),0),IF(AND(BG$6&lt;&gt;"",BG$8&lt;&gt;""),IF(EOMONTH($BF$3+INT((DAY(EOMONTH($BF$3,0))-1)/2)+BG$8,0)=EOMONTH($BZ$3,0),BG$6*BG$7,0),0),IF(AND(BC$6&lt;&gt;"",BC$8&lt;&gt;""),IF(EOMONTH($BB$3+INT((DAY(EOMONTH($BB$3,0))-1)/2)+BC$8,0)=EOMONTH($BZ$3,0),BC$6*BC$7,0),0),IF(AND(AY$6&lt;&gt;"",AY$8&lt;&gt;""),IF(EOMONTH($AX$3+INT((DAY(EOMONTH($AX$3,0))-1)/2)+AY$8,0)=EOMONTH($BZ$3,0),AY$6*AY$7,0),0),IF(AND(AU$6&lt;&gt;"",AU$8&lt;&gt;""),IF(EOMONTH($AT$3+INT((DAY(EOMONTH($AT$3,0))-1)/2)+AU$8,0)=EOMONTH($BZ$3,0),AU$6*AU$7,0),0),IF(AND(AQ$6&lt;&gt;"",AQ$8&lt;&gt;""),IF(EOMONTH($AP$3+INT((DAY(EOMONTH($AP$3,0))-1)/2)+AQ$8,0)=EOMONTH($BZ$3,0),AQ$6*AQ$7,0),0),IF(AND(AM$6&lt;&gt;"",AM$8&lt;&gt;""),IF(EOMONTH($AL$3+INT((DAY(EOMONTH($AL$3,0))-1)/2)+AM$8,0)=EOMONTH($BZ$3,0),AM$6*AM$7,0),0),IF(AND(AI$6&lt;&gt;"",AI$8&lt;&gt;""),IF(EOMONTH($AH$3+INT((DAY(EOMONTH($AH$3,0))-1)/2)+AI$8,0)=EOMONTH($BZ$3,0),AI$6*AI$7,0),0),IF(AND(AE$6&lt;&gt;"",AE$8&lt;&gt;""),IF(EOMONTH($AD$3+INT((DAY(EOMONTH($AD$3,0))-1)/2)+AE$8,0)=EOMONTH($BZ$3,0),AE$6*AE$7,0),0),IF(AND(AA$6&lt;&gt;"",AA$8&lt;&gt;""),IF(EOMONTH($Z$3+INT((DAY(EOMONTH($Z$3,0))-1)/2)+AA$8,0)=EOMONTH($BZ$3,0),AA$6*AA$7,0),0),IF(AND(W$6&lt;&gt;"",W$8&lt;&gt;""),IF(EOMONTH($V$3+INT((DAY(EOMONTH($V$3,0))-1)/2)+W$8,0)=EOMONTH($BZ$3,0),W$6*W$7,0),0),IF(AND(S$6&lt;&gt;"",S$8&lt;&gt;""),IF(EOMONTH($R$3+INT((DAY(EOMONTH($R$3,0))-1)/2)+S$8,0)=EOMONTH($BZ$3,0),S$6*S$7,0),0),IF(AND(O$6&lt;&gt;"",O$8&lt;&gt;""),IF(EOMONTH($N$3+INT((DAY(EOMONTH($N$3,0))-1)/2)+O$8,0)=EOMONTH($BZ$3,0),O$6*O$7,0),0),IF(AND(K$6&lt;&gt;"",K$8&lt;&gt;""),IF(EOMONTH($J$3+INT((DAY(EOMONTH($J$3,0))-1)/2)+K$8,0)=EOMONTH($BZ$3,0),K$6*K$7,0),0),IF(AND(G$6&lt;&gt;"",G$8&lt;&gt;""),IF(EOMONTH($F$3+INT((DAY(EOMONTH($F$3,0))-1)/2)+G$8,0)=EOMONTH($BZ$3,0),G$6*G$7,0),0)),0))</f>
        <v>57</v>
      </c>
      <c r="CB9" s="15">
        <f>ROUND(SUM(IF(AND(ER$6&lt;&gt;"",ER$8&lt;&gt;""),IF(EOMONTH($EP$3+INT((DAY(EOMONTH($EP$3,0))-1)/2)+ER$8,0)=EOMONTH($BZ$3,0),ER$6*ER$7,0),0),IF(AND(EN$6&lt;&gt;"",EN$8&lt;&gt;""),IF(EOMONTH($EL$3+INT((DAY(EOMONTH($EL$3,0))-1)/2)+EN$8,0)=EOMONTH($BZ$3,0),EN$6*EN$7,0),0),IF(AND(EJ$6&lt;&gt;"",EJ$8&lt;&gt;""),IF(EOMONTH($EH$3+INT((DAY(EOMONTH($EH$3,0))-1)/2)+EJ$8,0)=EOMONTH($BZ$3,0),EJ$6*EJ$7,0),0),IF(AND(EF$6&lt;&gt;"",EF$8&lt;&gt;""),IF(EOMONTH($ED$3+INT((DAY(EOMONTH($ED$3,0))-1)/2)+EF$8,0)=EOMONTH($BZ$3,0),EF$6*EF$7,0),0),IF(AND(EB$6&lt;&gt;"",EB$8&lt;&gt;""),IF(EOMONTH($DZ$3+INT((DAY(EOMONTH($DZ$3,0))-1)/2)+EB$8,0)=EOMONTH($BZ$3,0),EB$6*EB$7,0),0),IF(AND(DX$6&lt;&gt;"",DX$8&lt;&gt;""),IF(EOMONTH($DV$3+INT((DAY(EOMONTH($DV$3,0))-1)/2)+DX$8,0)=EOMONTH($BZ$3,0),DX$6*DX$7,0),0),IF(AND(DT$6&lt;&gt;"",DT$8&lt;&gt;""),IF(EOMONTH($DR$3+INT((DAY(EOMONTH($DR$3,0))-1)/2)+DT$8,0)=EOMONTH($BZ$3,0),DT$6*DT$7,0),0),IF(AND(DP$6&lt;&gt;"",DP$8&lt;&gt;""),IF(EOMONTH($DN$3+INT((DAY(EOMONTH($DN$3,0))-1)/2)+DP$8,0)=EOMONTH($BZ$3,0),DP$6*DP$7,0),0),IF(AND(DL$6&lt;&gt;"",DL$8&lt;&gt;""),IF(EOMONTH($DJ$3+INT((DAY(EOMONTH($DJ$3,0))-1)/2)+DL$8,0)=EOMONTH($BZ$3,0),DL$6*DL$7,0),0),IF(AND(DH$6&lt;&gt;"",DH$8&lt;&gt;""),IF(EOMONTH($DF$3+INT((DAY(EOMONTH($DF$3,0))-1)/2)+DH$8,0)=EOMONTH($BZ$3,0),DH$6*DH$7,0),0),IF(AND(DD$6&lt;&gt;"",DD$8&lt;&gt;""),IF(EOMONTH($DB$3+INT((DAY(EOMONTH($DB$3,0))-1)/2)+DD$8,0)=EOMONTH($BZ$3,0),DD$6*DD$7,0),0),IF(AND(CZ$6&lt;&gt;"",CZ$8&lt;&gt;""),IF(EOMONTH($CX$3+INT((DAY(EOMONTH($CX$3,0))-1)/2)+CZ$8,0)=EOMONTH($BZ$3,0),CZ$6*CZ$7,0),0),IF(AND(CV$6&lt;&gt;"",CV$8&lt;&gt;""),IF(EOMONTH($CT$3+INT((DAY(EOMONTH($CT$3,0))-1)/2)+CV$8,0)=EOMONTH($BZ$3,0),CV$6*CV$7,0),0),IF(AND(CR$6&lt;&gt;"",CR$8&lt;&gt;""),IF(EOMONTH($CP$3+INT((DAY(EOMONTH($CP$3,0))-1)/2)+CR$8,0)=EOMONTH($BZ$3,0),CR$6*CR$7,0),0),IF(AND(CN$6&lt;&gt;"",CN$8&lt;&gt;""),IF(EOMONTH($CL$3+INT((DAY(EOMONTH($CL$3,0))-1)/2)+CN$8,0)=EOMONTH($BZ$3,0),CN$6*CN$7,0),0),IF(AND(CJ$6&lt;&gt;"",CJ$8&lt;&gt;""),IF(EOMONTH($CH$3+INT((DAY(EOMONTH($CH$3,0))-1)/2)+CJ$8,0)=EOMONTH($BZ$3,0),CJ$6*CJ$7,0),0),IF(AND(CF$6&lt;&gt;"",CF$8&lt;&gt;""),IF(EOMONTH($CD$3+INT((DAY(EOMONTH($CD$3,0))-1)/2)+CF$8,0)=EOMONTH($BZ$3,0),CF$6*CF$7,0),0),IF(AND(CB$6&lt;&gt;"",CB$8&lt;&gt;""),IF(EOMONTH($BZ$3+INT((DAY(EOMONTH($BZ$3,0))-1)/2)+CB$8,0)=EOMONTH($BZ$3,0),CB$6*CB$7,0),0),IF(AND(BX$6&lt;&gt;"",BX$8&lt;&gt;""),IF(EOMONTH($BV$3+INT((DAY(EOMONTH($BV$3,0))-1)/2)+BX$8,0)=EOMONTH($BZ$3,0),BX$6*BX$7,0),0),IF(AND(BT$6&lt;&gt;"",BT$8&lt;&gt;""),IF(EOMONTH($BR$3+INT((DAY(EOMONTH($BR$3,0))-1)/2)+BT$8,0)=EOMONTH($BZ$3,0),BT$6*BT$7,0),0),IF(AND(BP$6&lt;&gt;"",BP$8&lt;&gt;""),IF(EOMONTH($BN$3+INT((DAY(EOMONTH($BN$3,0))-1)/2)+BP$8,0)=EOMONTH($BZ$3,0),BP$6*BP$7,0),0),IF(AND(BL$6&lt;&gt;"",BL$8&lt;&gt;""),IF(EOMONTH($BJ$3+INT((DAY(EOMONTH($BJ$3,0))-1)/2)+BL$8,0)=EOMONTH($BZ$3,0),BL$6*BL$7,0),0),IF(AND(BH$6&lt;&gt;"",BH$8&lt;&gt;""),IF(EOMONTH($BF$3+INT((DAY(EOMONTH($BF$3,0))-1)/2)+BH$8,0)=EOMONTH($BZ$3,0),BH$6*BH$7,0),0),IF(AND(BD$6&lt;&gt;"",BD$8&lt;&gt;""),IF(EOMONTH($BB$3+INT((DAY(EOMONTH($BB$3,0))-1)/2)+BD$8,0)=EOMONTH($BZ$3,0),BD$6*BD$7,0),0),IF(AND(AZ$6&lt;&gt;"",AZ$8&lt;&gt;""),IF(EOMONTH($AX$3+INT((DAY(EOMONTH($AX$3,0))-1)/2)+AZ$8,0)=EOMONTH($BZ$3,0),AZ$6*AZ$7,0),0),IF(AND(AV$6&lt;&gt;"",AV$8&lt;&gt;""),IF(EOMONTH($AT$3+INT((DAY(EOMONTH($AT$3,0))-1)/2)+AV$8,0)=EOMONTH($BZ$3,0),AV$6*AV$7,0),0),IF(AND(AR$6&lt;&gt;"",AR$8&lt;&gt;""),IF(EOMONTH($AP$3+INT((DAY(EOMONTH($AP$3,0))-1)/2)+AR$8,0)=EOMONTH($BZ$3,0),AR$6*AR$7,0),0),IF(AND(AN$6&lt;&gt;"",AN$8&lt;&gt;""),IF(EOMONTH($AL$3+INT((DAY(EOMONTH($AL$3,0))-1)/2)+AN$8,0)=EOMONTH($BZ$3,0),AN$6*AN$7,0),0),IF(AND(AJ$6&lt;&gt;"",AJ$8&lt;&gt;""),IF(EOMONTH($AH$3+INT((DAY(EOMONTH($AH$3,0))-1)/2)+AJ$8,0)=EOMONTH($BZ$3,0),AJ$6*AJ$7,0),0),IF(AND(AF$6&lt;&gt;"",AF$8&lt;&gt;""),IF(EOMONTH($AD$3+INT((DAY(EOMONTH($AD$3,0))-1)/2)+AF$8,0)=EOMONTH($BZ$3,0),AF$6*AF$7,0),0),IF(AND(AB$6&lt;&gt;"",AB$8&lt;&gt;""),IF(EOMONTH($Z$3+INT((DAY(EOMONTH($Z$3,0))-1)/2)+AB$8,0)=EOMONTH($BZ$3,0),AB$6*AB$7,0),0),IF(AND(X$6&lt;&gt;"",X$8&lt;&gt;""),IF(EOMONTH($V$3+INT((DAY(EOMONTH($V$3,0))-1)/2)+X$8,0)=EOMONTH($BZ$3,0),X$6*X$7,0),0),IF(AND(T$6&lt;&gt;"",T$8&lt;&gt;""),IF(EOMONTH($R$3+INT((DAY(EOMONTH($R$3,0))-1)/2)+T$8,0)=EOMONTH($BZ$3,0),T$6*T$7,0),0),IF(AND(P$6&lt;&gt;"",P$8&lt;&gt;""),IF(EOMONTH($N$3+INT((DAY(EOMONTH($N$3,0))-1)/2)+P$8,0)=EOMONTH($BZ$3,0),P$6*P$7,0),0),IF(AND(L$6&lt;&gt;"",L$8&lt;&gt;""),IF(EOMONTH($J$3+INT((DAY(EOMONTH($J$3,0))-1)/2)+L$8,0)=EOMONTH($BZ$3,0),L$6*L$7,0),0),IF(AND(H$6&lt;&gt;"",H$8&lt;&gt;""),IF(EOMONTH($F$3+INT((DAY(EOMONTH($F$3,0))-1)/2)+H$8,0)=EOMONTH($BZ$3,0),H$6*H$7,0),0)),0)</f>
        <v>57</v>
      </c>
      <c r="CC9" s="16">
        <f t="shared" si="41"/>
        <v>0</v>
      </c>
      <c r="CD9" s="17"/>
      <c r="CE9" s="14">
        <f>IF(CD$98=1,CD9,ROUND(SUM(IF(AND(EQ$6&lt;&gt;"",EQ$8&lt;&gt;""),IF(EOMONTH($EP$3+INT((DAY(EOMONTH($EP$3,0))-1)/2)+EQ$8,0)=EOMONTH($CD$3,0),EQ$6*EQ$7,0),0),IF(AND(EM$6&lt;&gt;"",EM$8&lt;&gt;""),IF(EOMONTH($EL$3+INT((DAY(EOMONTH($EL$3,0))-1)/2)+EM$8,0)=EOMONTH($CD$3,0),EM$6*EM$7,0),0),IF(AND(EI$6&lt;&gt;"",EI$8&lt;&gt;""),IF(EOMONTH($EH$3+INT((DAY(EOMONTH($EH$3,0))-1)/2)+EI$8,0)=EOMONTH($CD$3,0),EI$6*EI$7,0),0),IF(AND(EE$6&lt;&gt;"",EE$8&lt;&gt;""),IF(EOMONTH($ED$3+INT((DAY(EOMONTH($ED$3,0))-1)/2)+EE$8,0)=EOMONTH($CD$3,0),EE$6*EE$7,0),0),IF(AND(EA$6&lt;&gt;"",EA$8&lt;&gt;""),IF(EOMONTH($DZ$3+INT((DAY(EOMONTH($DZ$3,0))-1)/2)+EA$8,0)=EOMONTH($CD$3,0),EA$6*EA$7,0),0),IF(AND(DW$6&lt;&gt;"",DW$8&lt;&gt;""),IF(EOMONTH($DV$3+INT((DAY(EOMONTH($DV$3,0))-1)/2)+DW$8,0)=EOMONTH($CD$3,0),DW$6*DW$7,0),0),IF(AND(DS$6&lt;&gt;"",DS$8&lt;&gt;""),IF(EOMONTH($DR$3+INT((DAY(EOMONTH($DR$3,0))-1)/2)+DS$8,0)=EOMONTH($CD$3,0),DS$6*DS$7,0),0),IF(AND(DO$6&lt;&gt;"",DO$8&lt;&gt;""),IF(EOMONTH($DN$3+INT((DAY(EOMONTH($DN$3,0))-1)/2)+DO$8,0)=EOMONTH($CD$3,0),DO$6*DO$7,0),0),IF(AND(DK$6&lt;&gt;"",DK$8&lt;&gt;""),IF(EOMONTH($DJ$3+INT((DAY(EOMONTH($DJ$3,0))-1)/2)+DK$8,0)=EOMONTH($CD$3,0),DK$6*DK$7,0),0),IF(AND(DG$6&lt;&gt;"",DG$8&lt;&gt;""),IF(EOMONTH($DF$3+INT((DAY(EOMONTH($DF$3,0))-1)/2)+DG$8,0)=EOMONTH($CD$3,0),DG$6*DG$7,0),0),IF(AND(DC$6&lt;&gt;"",DC$8&lt;&gt;""),IF(EOMONTH($DB$3+INT((DAY(EOMONTH($DB$3,0))-1)/2)+DC$8,0)=EOMONTH($CD$3,0),DC$6*DC$7,0),0),IF(AND(CY$6&lt;&gt;"",CY$8&lt;&gt;""),IF(EOMONTH($CX$3+INT((DAY(EOMONTH($CX$3,0))-1)/2)+CY$8,0)=EOMONTH($CD$3,0),CY$6*CY$7,0),0),IF(AND(CU$6&lt;&gt;"",CU$8&lt;&gt;""),IF(EOMONTH($CT$3+INT((DAY(EOMONTH($CT$3,0))-1)/2)+CU$8,0)=EOMONTH($CD$3,0),CU$6*CU$7,0),0),IF(AND(CQ$6&lt;&gt;"",CQ$8&lt;&gt;""),IF(EOMONTH($CP$3+INT((DAY(EOMONTH($CP$3,0))-1)/2)+CQ$8,0)=EOMONTH($CD$3,0),CQ$6*CQ$7,0),0),IF(AND(CM$6&lt;&gt;"",CM$8&lt;&gt;""),IF(EOMONTH($CL$3+INT((DAY(EOMONTH($CL$3,0))-1)/2)+CM$8,0)=EOMONTH($CD$3,0),CM$6*CM$7,0),0),IF(AND(CI$6&lt;&gt;"",CI$8&lt;&gt;""),IF(EOMONTH($CH$3+INT((DAY(EOMONTH($CH$3,0))-1)/2)+CI$8,0)=EOMONTH($CD$3,0),CI$6*CI$7,0),0),IF(AND(CE$6&lt;&gt;"",CE$8&lt;&gt;""),IF(EOMONTH($CD$3+INT((DAY(EOMONTH($CD$3,0))-1)/2)+CE$8,0)=EOMONTH($CD$3,0),CE$6*CE$7,0),0),IF(AND(CA$6&lt;&gt;"",CA$8&lt;&gt;""),IF(EOMONTH($BZ$3+INT((DAY(EOMONTH($BZ$3,0))-1)/2)+CA$8,0)=EOMONTH($CD$3,0),CA$6*CA$7,0),0),IF(AND(BW$6&lt;&gt;"",BW$8&lt;&gt;""),IF(EOMONTH($BV$3+INT((DAY(EOMONTH($BV$3,0))-1)/2)+BW$8,0)=EOMONTH($CD$3,0),BW$6*BW$7,0),0),IF(AND(BS$6&lt;&gt;"",BS$8&lt;&gt;""),IF(EOMONTH($BR$3+INT((DAY(EOMONTH($BR$3,0))-1)/2)+BS$8,0)=EOMONTH($CD$3,0),BS$6*BS$7,0),0),IF(AND(BO$6&lt;&gt;"",BO$8&lt;&gt;""),IF(EOMONTH($BN$3+INT((DAY(EOMONTH($BN$3,0))-1)/2)+BO$8,0)=EOMONTH($CD$3,0),BO$6*BO$7,0),0),IF(AND(BK$6&lt;&gt;"",BK$8&lt;&gt;""),IF(EOMONTH($BJ$3+INT((DAY(EOMONTH($BJ$3,0))-1)/2)+BK$8,0)=EOMONTH($CD$3,0),BK$6*BK$7,0),0),IF(AND(BG$6&lt;&gt;"",BG$8&lt;&gt;""),IF(EOMONTH($BF$3+INT((DAY(EOMONTH($BF$3,0))-1)/2)+BG$8,0)=EOMONTH($CD$3,0),BG$6*BG$7,0),0),IF(AND(BC$6&lt;&gt;"",BC$8&lt;&gt;""),IF(EOMONTH($BB$3+INT((DAY(EOMONTH($BB$3,0))-1)/2)+BC$8,0)=EOMONTH($CD$3,0),BC$6*BC$7,0),0),IF(AND(AY$6&lt;&gt;"",AY$8&lt;&gt;""),IF(EOMONTH($AX$3+INT((DAY(EOMONTH($AX$3,0))-1)/2)+AY$8,0)=EOMONTH($CD$3,0),AY$6*AY$7,0),0),IF(AND(AU$6&lt;&gt;"",AU$8&lt;&gt;""),IF(EOMONTH($AT$3+INT((DAY(EOMONTH($AT$3,0))-1)/2)+AU$8,0)=EOMONTH($CD$3,0),AU$6*AU$7,0),0),IF(AND(AQ$6&lt;&gt;"",AQ$8&lt;&gt;""),IF(EOMONTH($AP$3+INT((DAY(EOMONTH($AP$3,0))-1)/2)+AQ$8,0)=EOMONTH($CD$3,0),AQ$6*AQ$7,0),0),IF(AND(AM$6&lt;&gt;"",AM$8&lt;&gt;""),IF(EOMONTH($AL$3+INT((DAY(EOMONTH($AL$3,0))-1)/2)+AM$8,0)=EOMONTH($CD$3,0),AM$6*AM$7,0),0),IF(AND(AI$6&lt;&gt;"",AI$8&lt;&gt;""),IF(EOMONTH($AH$3+INT((DAY(EOMONTH($AH$3,0))-1)/2)+AI$8,0)=EOMONTH($CD$3,0),AI$6*AI$7,0),0),IF(AND(AE$6&lt;&gt;"",AE$8&lt;&gt;""),IF(EOMONTH($AD$3+INT((DAY(EOMONTH($AD$3,0))-1)/2)+AE$8,0)=EOMONTH($CD$3,0),AE$6*AE$7,0),0),IF(AND(AA$6&lt;&gt;"",AA$8&lt;&gt;""),IF(EOMONTH($Z$3+INT((DAY(EOMONTH($Z$3,0))-1)/2)+AA$8,0)=EOMONTH($CD$3,0),AA$6*AA$7,0),0),IF(AND(W$6&lt;&gt;"",W$8&lt;&gt;""),IF(EOMONTH($V$3+INT((DAY(EOMONTH($V$3,0))-1)/2)+W$8,0)=EOMONTH($CD$3,0),W$6*W$7,0),0),IF(AND(S$6&lt;&gt;"",S$8&lt;&gt;""),IF(EOMONTH($R$3+INT((DAY(EOMONTH($R$3,0))-1)/2)+S$8,0)=EOMONTH($CD$3,0),S$6*S$7,0),0),IF(AND(O$6&lt;&gt;"",O$8&lt;&gt;""),IF(EOMONTH($N$3+INT((DAY(EOMONTH($N$3,0))-1)/2)+O$8,0)=EOMONTH($CD$3,0),O$6*O$7,0),0),IF(AND(K$6&lt;&gt;"",K$8&lt;&gt;""),IF(EOMONTH($J$3+INT((DAY(EOMONTH($J$3,0))-1)/2)+K$8,0)=EOMONTH($CD$3,0),K$6*K$7,0),0),IF(AND(G$6&lt;&gt;"",G$8&lt;&gt;""),IF(EOMONTH($F$3+INT((DAY(EOMONTH($F$3,0))-1)/2)+G$8,0)=EOMONTH($CD$3,0),G$6*G$7,0),0)),0))</f>
        <v>56</v>
      </c>
      <c r="CF9" s="15">
        <f>ROUND(SUM(IF(AND(ER$6&lt;&gt;"",ER$8&lt;&gt;""),IF(EOMONTH($EP$3+INT((DAY(EOMONTH($EP$3,0))-1)/2)+ER$8,0)=EOMONTH($CD$3,0),ER$6*ER$7,0),0),IF(AND(EN$6&lt;&gt;"",EN$8&lt;&gt;""),IF(EOMONTH($EL$3+INT((DAY(EOMONTH($EL$3,0))-1)/2)+EN$8,0)=EOMONTH($CD$3,0),EN$6*EN$7,0),0),IF(AND(EJ$6&lt;&gt;"",EJ$8&lt;&gt;""),IF(EOMONTH($EH$3+INT((DAY(EOMONTH($EH$3,0))-1)/2)+EJ$8,0)=EOMONTH($CD$3,0),EJ$6*EJ$7,0),0),IF(AND(EF$6&lt;&gt;"",EF$8&lt;&gt;""),IF(EOMONTH($ED$3+INT((DAY(EOMONTH($ED$3,0))-1)/2)+EF$8,0)=EOMONTH($CD$3,0),EF$6*EF$7,0),0),IF(AND(EB$6&lt;&gt;"",EB$8&lt;&gt;""),IF(EOMONTH($DZ$3+INT((DAY(EOMONTH($DZ$3,0))-1)/2)+EB$8,0)=EOMONTH($CD$3,0),EB$6*EB$7,0),0),IF(AND(DX$6&lt;&gt;"",DX$8&lt;&gt;""),IF(EOMONTH($DV$3+INT((DAY(EOMONTH($DV$3,0))-1)/2)+DX$8,0)=EOMONTH($CD$3,0),DX$6*DX$7,0),0),IF(AND(DT$6&lt;&gt;"",DT$8&lt;&gt;""),IF(EOMONTH($DR$3+INT((DAY(EOMONTH($DR$3,0))-1)/2)+DT$8,0)=EOMONTH($CD$3,0),DT$6*DT$7,0),0),IF(AND(DP$6&lt;&gt;"",DP$8&lt;&gt;""),IF(EOMONTH($DN$3+INT((DAY(EOMONTH($DN$3,0))-1)/2)+DP$8,0)=EOMONTH($CD$3,0),DP$6*DP$7,0),0),IF(AND(DL$6&lt;&gt;"",DL$8&lt;&gt;""),IF(EOMONTH($DJ$3+INT((DAY(EOMONTH($DJ$3,0))-1)/2)+DL$8,0)=EOMONTH($CD$3,0),DL$6*DL$7,0),0),IF(AND(DH$6&lt;&gt;"",DH$8&lt;&gt;""),IF(EOMONTH($DF$3+INT((DAY(EOMONTH($DF$3,0))-1)/2)+DH$8,0)=EOMONTH($CD$3,0),DH$6*DH$7,0),0),IF(AND(DD$6&lt;&gt;"",DD$8&lt;&gt;""),IF(EOMONTH($DB$3+INT((DAY(EOMONTH($DB$3,0))-1)/2)+DD$8,0)=EOMONTH($CD$3,0),DD$6*DD$7,0),0),IF(AND(CZ$6&lt;&gt;"",CZ$8&lt;&gt;""),IF(EOMONTH($CX$3+INT((DAY(EOMONTH($CX$3,0))-1)/2)+CZ$8,0)=EOMONTH($CD$3,0),CZ$6*CZ$7,0),0),IF(AND(CV$6&lt;&gt;"",CV$8&lt;&gt;""),IF(EOMONTH($CT$3+INT((DAY(EOMONTH($CT$3,0))-1)/2)+CV$8,0)=EOMONTH($CD$3,0),CV$6*CV$7,0),0),IF(AND(CR$6&lt;&gt;"",CR$8&lt;&gt;""),IF(EOMONTH($CP$3+INT((DAY(EOMONTH($CP$3,0))-1)/2)+CR$8,0)=EOMONTH($CD$3,0),CR$6*CR$7,0),0),IF(AND(CN$6&lt;&gt;"",CN$8&lt;&gt;""),IF(EOMONTH($CL$3+INT((DAY(EOMONTH($CL$3,0))-1)/2)+CN$8,0)=EOMONTH($CD$3,0),CN$6*CN$7,0),0),IF(AND(CJ$6&lt;&gt;"",CJ$8&lt;&gt;""),IF(EOMONTH($CH$3+INT((DAY(EOMONTH($CH$3,0))-1)/2)+CJ$8,0)=EOMONTH($CD$3,0),CJ$6*CJ$7,0),0),IF(AND(CF$6&lt;&gt;"",CF$8&lt;&gt;""),IF(EOMONTH($CD$3+INT((DAY(EOMONTH($CD$3,0))-1)/2)+CF$8,0)=EOMONTH($CD$3,0),CF$6*CF$7,0),0),IF(AND(CB$6&lt;&gt;"",CB$8&lt;&gt;""),IF(EOMONTH($BZ$3+INT((DAY(EOMONTH($BZ$3,0))-1)/2)+CB$8,0)=EOMONTH($CD$3,0),CB$6*CB$7,0),0),IF(AND(BX$6&lt;&gt;"",BX$8&lt;&gt;""),IF(EOMONTH($BV$3+INT((DAY(EOMONTH($BV$3,0))-1)/2)+BX$8,0)=EOMONTH($CD$3,0),BX$6*BX$7,0),0),IF(AND(BT$6&lt;&gt;"",BT$8&lt;&gt;""),IF(EOMONTH($BR$3+INT((DAY(EOMONTH($BR$3,0))-1)/2)+BT$8,0)=EOMONTH($CD$3,0),BT$6*BT$7,0),0),IF(AND(BP$6&lt;&gt;"",BP$8&lt;&gt;""),IF(EOMONTH($BN$3+INT((DAY(EOMONTH($BN$3,0))-1)/2)+BP$8,0)=EOMONTH($CD$3,0),BP$6*BP$7,0),0),IF(AND(BL$6&lt;&gt;"",BL$8&lt;&gt;""),IF(EOMONTH($BJ$3+INT((DAY(EOMONTH($BJ$3,0))-1)/2)+BL$8,0)=EOMONTH($CD$3,0),BL$6*BL$7,0),0),IF(AND(BH$6&lt;&gt;"",BH$8&lt;&gt;""),IF(EOMONTH($BF$3+INT((DAY(EOMONTH($BF$3,0))-1)/2)+BH$8,0)=EOMONTH($CD$3,0),BH$6*BH$7,0),0),IF(AND(BD$6&lt;&gt;"",BD$8&lt;&gt;""),IF(EOMONTH($BB$3+INT((DAY(EOMONTH($BB$3,0))-1)/2)+BD$8,0)=EOMONTH($CD$3,0),BD$6*BD$7,0),0),IF(AND(AZ$6&lt;&gt;"",AZ$8&lt;&gt;""),IF(EOMONTH($AX$3+INT((DAY(EOMONTH($AX$3,0))-1)/2)+AZ$8,0)=EOMONTH($CD$3,0),AZ$6*AZ$7,0),0),IF(AND(AV$6&lt;&gt;"",AV$8&lt;&gt;""),IF(EOMONTH($AT$3+INT((DAY(EOMONTH($AT$3,0))-1)/2)+AV$8,0)=EOMONTH($CD$3,0),AV$6*AV$7,0),0),IF(AND(AR$6&lt;&gt;"",AR$8&lt;&gt;""),IF(EOMONTH($AP$3+INT((DAY(EOMONTH($AP$3,0))-1)/2)+AR$8,0)=EOMONTH($CD$3,0),AR$6*AR$7,0),0),IF(AND(AN$6&lt;&gt;"",AN$8&lt;&gt;""),IF(EOMONTH($AL$3+INT((DAY(EOMONTH($AL$3,0))-1)/2)+AN$8,0)=EOMONTH($CD$3,0),AN$6*AN$7,0),0),IF(AND(AJ$6&lt;&gt;"",AJ$8&lt;&gt;""),IF(EOMONTH($AH$3+INT((DAY(EOMONTH($AH$3,0))-1)/2)+AJ$8,0)=EOMONTH($CD$3,0),AJ$6*AJ$7,0),0),IF(AND(AF$6&lt;&gt;"",AF$8&lt;&gt;""),IF(EOMONTH($AD$3+INT((DAY(EOMONTH($AD$3,0))-1)/2)+AF$8,0)=EOMONTH($CD$3,0),AF$6*AF$7,0),0),IF(AND(AB$6&lt;&gt;"",AB$8&lt;&gt;""),IF(EOMONTH($Z$3+INT((DAY(EOMONTH($Z$3,0))-1)/2)+AB$8,0)=EOMONTH($CD$3,0),AB$6*AB$7,0),0),IF(AND(X$6&lt;&gt;"",X$8&lt;&gt;""),IF(EOMONTH($V$3+INT((DAY(EOMONTH($V$3,0))-1)/2)+X$8,0)=EOMONTH($CD$3,0),X$6*X$7,0),0),IF(AND(T$6&lt;&gt;"",T$8&lt;&gt;""),IF(EOMONTH($R$3+INT((DAY(EOMONTH($R$3,0))-1)/2)+T$8,0)=EOMONTH($CD$3,0),T$6*T$7,0),0),IF(AND(P$6&lt;&gt;"",P$8&lt;&gt;""),IF(EOMONTH($N$3+INT((DAY(EOMONTH($N$3,0))-1)/2)+P$8,0)=EOMONTH($CD$3,0),P$6*P$7,0),0),IF(AND(L$6&lt;&gt;"",L$8&lt;&gt;""),IF(EOMONTH($J$3+INT((DAY(EOMONTH($J$3,0))-1)/2)+L$8,0)=EOMONTH($CD$3,0),L$6*L$7,0),0),IF(AND(H$6&lt;&gt;"",H$8&lt;&gt;""),IF(EOMONTH($F$3+INT((DAY(EOMONTH($F$3,0))-1)/2)+H$8,0)=EOMONTH($CD$3,0),H$6*H$7,0),0)),0)</f>
        <v>56</v>
      </c>
      <c r="CG9" s="16">
        <f t="shared" si="43"/>
        <v>0</v>
      </c>
      <c r="CH9" s="17"/>
      <c r="CI9" s="14">
        <f>IF(CH$98=1,CH9,ROUND(SUM(IF(AND(EQ$6&lt;&gt;"",EQ$8&lt;&gt;""),IF(EOMONTH($EP$3+INT((DAY(EOMONTH($EP$3,0))-1)/2)+EQ$8,0)=EOMONTH($CH$3,0),EQ$6*EQ$7,0),0),IF(AND(EM$6&lt;&gt;"",EM$8&lt;&gt;""),IF(EOMONTH($EL$3+INT((DAY(EOMONTH($EL$3,0))-1)/2)+EM$8,0)=EOMONTH($CH$3,0),EM$6*EM$7,0),0),IF(AND(EI$6&lt;&gt;"",EI$8&lt;&gt;""),IF(EOMONTH($EH$3+INT((DAY(EOMONTH($EH$3,0))-1)/2)+EI$8,0)=EOMONTH($CH$3,0),EI$6*EI$7,0),0),IF(AND(EE$6&lt;&gt;"",EE$8&lt;&gt;""),IF(EOMONTH($ED$3+INT((DAY(EOMONTH($ED$3,0))-1)/2)+EE$8,0)=EOMONTH($CH$3,0),EE$6*EE$7,0),0),IF(AND(EA$6&lt;&gt;"",EA$8&lt;&gt;""),IF(EOMONTH($DZ$3+INT((DAY(EOMONTH($DZ$3,0))-1)/2)+EA$8,0)=EOMONTH($CH$3,0),EA$6*EA$7,0),0),IF(AND(DW$6&lt;&gt;"",DW$8&lt;&gt;""),IF(EOMONTH($DV$3+INT((DAY(EOMONTH($DV$3,0))-1)/2)+DW$8,0)=EOMONTH($CH$3,0),DW$6*DW$7,0),0),IF(AND(DS$6&lt;&gt;"",DS$8&lt;&gt;""),IF(EOMONTH($DR$3+INT((DAY(EOMONTH($DR$3,0))-1)/2)+DS$8,0)=EOMONTH($CH$3,0),DS$6*DS$7,0),0),IF(AND(DO$6&lt;&gt;"",DO$8&lt;&gt;""),IF(EOMONTH($DN$3+INT((DAY(EOMONTH($DN$3,0))-1)/2)+DO$8,0)=EOMONTH($CH$3,0),DO$6*DO$7,0),0),IF(AND(DK$6&lt;&gt;"",DK$8&lt;&gt;""),IF(EOMONTH($DJ$3+INT((DAY(EOMONTH($DJ$3,0))-1)/2)+DK$8,0)=EOMONTH($CH$3,0),DK$6*DK$7,0),0),IF(AND(DG$6&lt;&gt;"",DG$8&lt;&gt;""),IF(EOMONTH($DF$3+INT((DAY(EOMONTH($DF$3,0))-1)/2)+DG$8,0)=EOMONTH($CH$3,0),DG$6*DG$7,0),0),IF(AND(DC$6&lt;&gt;"",DC$8&lt;&gt;""),IF(EOMONTH($DB$3+INT((DAY(EOMONTH($DB$3,0))-1)/2)+DC$8,0)=EOMONTH($CH$3,0),DC$6*DC$7,0),0),IF(AND(CY$6&lt;&gt;"",CY$8&lt;&gt;""),IF(EOMONTH($CX$3+INT((DAY(EOMONTH($CX$3,0))-1)/2)+CY$8,0)=EOMONTH($CH$3,0),CY$6*CY$7,0),0),IF(AND(CU$6&lt;&gt;"",CU$8&lt;&gt;""),IF(EOMONTH($CT$3+INT((DAY(EOMONTH($CT$3,0))-1)/2)+CU$8,0)=EOMONTH($CH$3,0),CU$6*CU$7,0),0),IF(AND(CQ$6&lt;&gt;"",CQ$8&lt;&gt;""),IF(EOMONTH($CP$3+INT((DAY(EOMONTH($CP$3,0))-1)/2)+CQ$8,0)=EOMONTH($CH$3,0),CQ$6*CQ$7,0),0),IF(AND(CM$6&lt;&gt;"",CM$8&lt;&gt;""),IF(EOMONTH($CL$3+INT((DAY(EOMONTH($CL$3,0))-1)/2)+CM$8,0)=EOMONTH($CH$3,0),CM$6*CM$7,0),0),IF(AND(CI$6&lt;&gt;"",CI$8&lt;&gt;""),IF(EOMONTH($CH$3+INT((DAY(EOMONTH($CH$3,0))-1)/2)+CI$8,0)=EOMONTH($CH$3,0),CI$6*CI$7,0),0),IF(AND(CE$6&lt;&gt;"",CE$8&lt;&gt;""),IF(EOMONTH($CD$3+INT((DAY(EOMONTH($CD$3,0))-1)/2)+CE$8,0)=EOMONTH($CH$3,0),CE$6*CE$7,0),0),IF(AND(CA$6&lt;&gt;"",CA$8&lt;&gt;""),IF(EOMONTH($BZ$3+INT((DAY(EOMONTH($BZ$3,0))-1)/2)+CA$8,0)=EOMONTH($CH$3,0),CA$6*CA$7,0),0),IF(AND(BW$6&lt;&gt;"",BW$8&lt;&gt;""),IF(EOMONTH($BV$3+INT((DAY(EOMONTH($BV$3,0))-1)/2)+BW$8,0)=EOMONTH($CH$3,0),BW$6*BW$7,0),0),IF(AND(BS$6&lt;&gt;"",BS$8&lt;&gt;""),IF(EOMONTH($BR$3+INT((DAY(EOMONTH($BR$3,0))-1)/2)+BS$8,0)=EOMONTH($CH$3,0),BS$6*BS$7,0),0),IF(AND(BO$6&lt;&gt;"",BO$8&lt;&gt;""),IF(EOMONTH($BN$3+INT((DAY(EOMONTH($BN$3,0))-1)/2)+BO$8,0)=EOMONTH($CH$3,0),BO$6*BO$7,0),0),IF(AND(BK$6&lt;&gt;"",BK$8&lt;&gt;""),IF(EOMONTH($BJ$3+INT((DAY(EOMONTH($BJ$3,0))-1)/2)+BK$8,0)=EOMONTH($CH$3,0),BK$6*BK$7,0),0),IF(AND(BG$6&lt;&gt;"",BG$8&lt;&gt;""),IF(EOMONTH($BF$3+INT((DAY(EOMONTH($BF$3,0))-1)/2)+BG$8,0)=EOMONTH($CH$3,0),BG$6*BG$7,0),0),IF(AND(BC$6&lt;&gt;"",BC$8&lt;&gt;""),IF(EOMONTH($BB$3+INT((DAY(EOMONTH($BB$3,0))-1)/2)+BC$8,0)=EOMONTH($CH$3,0),BC$6*BC$7,0),0),IF(AND(AY$6&lt;&gt;"",AY$8&lt;&gt;""),IF(EOMONTH($AX$3+INT((DAY(EOMONTH($AX$3,0))-1)/2)+AY$8,0)=EOMONTH($CH$3,0),AY$6*AY$7,0),0),IF(AND(AU$6&lt;&gt;"",AU$8&lt;&gt;""),IF(EOMONTH($AT$3+INT((DAY(EOMONTH($AT$3,0))-1)/2)+AU$8,0)=EOMONTH($CH$3,0),AU$6*AU$7,0),0),IF(AND(AQ$6&lt;&gt;"",AQ$8&lt;&gt;""),IF(EOMONTH($AP$3+INT((DAY(EOMONTH($AP$3,0))-1)/2)+AQ$8,0)=EOMONTH($CH$3,0),AQ$6*AQ$7,0),0),IF(AND(AM$6&lt;&gt;"",AM$8&lt;&gt;""),IF(EOMONTH($AL$3+INT((DAY(EOMONTH($AL$3,0))-1)/2)+AM$8,0)=EOMONTH($CH$3,0),AM$6*AM$7,0),0),IF(AND(AI$6&lt;&gt;"",AI$8&lt;&gt;""),IF(EOMONTH($AH$3+INT((DAY(EOMONTH($AH$3,0))-1)/2)+AI$8,0)=EOMONTH($CH$3,0),AI$6*AI$7,0),0),IF(AND(AE$6&lt;&gt;"",AE$8&lt;&gt;""),IF(EOMONTH($AD$3+INT((DAY(EOMONTH($AD$3,0))-1)/2)+AE$8,0)=EOMONTH($CH$3,0),AE$6*AE$7,0),0),IF(AND(AA$6&lt;&gt;"",AA$8&lt;&gt;""),IF(EOMONTH($Z$3+INT((DAY(EOMONTH($Z$3,0))-1)/2)+AA$8,0)=EOMONTH($CH$3,0),AA$6*AA$7,0),0),IF(AND(W$6&lt;&gt;"",W$8&lt;&gt;""),IF(EOMONTH($V$3+INT((DAY(EOMONTH($V$3,0))-1)/2)+W$8,0)=EOMONTH($CH$3,0),W$6*W$7,0),0),IF(AND(S$6&lt;&gt;"",S$8&lt;&gt;""),IF(EOMONTH($R$3+INT((DAY(EOMONTH($R$3,0))-1)/2)+S$8,0)=EOMONTH($CH$3,0),S$6*S$7,0),0),IF(AND(O$6&lt;&gt;"",O$8&lt;&gt;""),IF(EOMONTH($N$3+INT((DAY(EOMONTH($N$3,0))-1)/2)+O$8,0)=EOMONTH($CH$3,0),O$6*O$7,0),0),IF(AND(K$6&lt;&gt;"",K$8&lt;&gt;""),IF(EOMONTH($J$3+INT((DAY(EOMONTH($J$3,0))-1)/2)+K$8,0)=EOMONTH($CH$3,0),K$6*K$7,0),0),IF(AND(G$6&lt;&gt;"",G$8&lt;&gt;""),IF(EOMONTH($F$3+INT((DAY(EOMONTH($F$3,0))-1)/2)+G$8,0)=EOMONTH($CH$3,0),G$6*G$7,0),0)),0))</f>
        <v>55</v>
      </c>
      <c r="CJ9" s="15">
        <f>ROUND(SUM(IF(AND(ER$6&lt;&gt;"",ER$8&lt;&gt;""),IF(EOMONTH($EP$3+INT((DAY(EOMONTH($EP$3,0))-1)/2)+ER$8,0)=EOMONTH($CH$3,0),ER$6*ER$7,0),0),IF(AND(EN$6&lt;&gt;"",EN$8&lt;&gt;""),IF(EOMONTH($EL$3+INT((DAY(EOMONTH($EL$3,0))-1)/2)+EN$8,0)=EOMONTH($CH$3,0),EN$6*EN$7,0),0),IF(AND(EJ$6&lt;&gt;"",EJ$8&lt;&gt;""),IF(EOMONTH($EH$3+INT((DAY(EOMONTH($EH$3,0))-1)/2)+EJ$8,0)=EOMONTH($CH$3,0),EJ$6*EJ$7,0),0),IF(AND(EF$6&lt;&gt;"",EF$8&lt;&gt;""),IF(EOMONTH($ED$3+INT((DAY(EOMONTH($ED$3,0))-1)/2)+EF$8,0)=EOMONTH($CH$3,0),EF$6*EF$7,0),0),IF(AND(EB$6&lt;&gt;"",EB$8&lt;&gt;""),IF(EOMONTH($DZ$3+INT((DAY(EOMONTH($DZ$3,0))-1)/2)+EB$8,0)=EOMONTH($CH$3,0),EB$6*EB$7,0),0),IF(AND(DX$6&lt;&gt;"",DX$8&lt;&gt;""),IF(EOMONTH($DV$3+INT((DAY(EOMONTH($DV$3,0))-1)/2)+DX$8,0)=EOMONTH($CH$3,0),DX$6*DX$7,0),0),IF(AND(DT$6&lt;&gt;"",DT$8&lt;&gt;""),IF(EOMONTH($DR$3+INT((DAY(EOMONTH($DR$3,0))-1)/2)+DT$8,0)=EOMONTH($CH$3,0),DT$6*DT$7,0),0),IF(AND(DP$6&lt;&gt;"",DP$8&lt;&gt;""),IF(EOMONTH($DN$3+INT((DAY(EOMONTH($DN$3,0))-1)/2)+DP$8,0)=EOMONTH($CH$3,0),DP$6*DP$7,0),0),IF(AND(DL$6&lt;&gt;"",DL$8&lt;&gt;""),IF(EOMONTH($DJ$3+INT((DAY(EOMONTH($DJ$3,0))-1)/2)+DL$8,0)=EOMONTH($CH$3,0),DL$6*DL$7,0),0),IF(AND(DH$6&lt;&gt;"",DH$8&lt;&gt;""),IF(EOMONTH($DF$3+INT((DAY(EOMONTH($DF$3,0))-1)/2)+DH$8,0)=EOMONTH($CH$3,0),DH$6*DH$7,0),0),IF(AND(DD$6&lt;&gt;"",DD$8&lt;&gt;""),IF(EOMONTH($DB$3+INT((DAY(EOMONTH($DB$3,0))-1)/2)+DD$8,0)=EOMONTH($CH$3,0),DD$6*DD$7,0),0),IF(AND(CZ$6&lt;&gt;"",CZ$8&lt;&gt;""),IF(EOMONTH($CX$3+INT((DAY(EOMONTH($CX$3,0))-1)/2)+CZ$8,0)=EOMONTH($CH$3,0),CZ$6*CZ$7,0),0),IF(AND(CV$6&lt;&gt;"",CV$8&lt;&gt;""),IF(EOMONTH($CT$3+INT((DAY(EOMONTH($CT$3,0))-1)/2)+CV$8,0)=EOMONTH($CH$3,0),CV$6*CV$7,0),0),IF(AND(CR$6&lt;&gt;"",CR$8&lt;&gt;""),IF(EOMONTH($CP$3+INT((DAY(EOMONTH($CP$3,0))-1)/2)+CR$8,0)=EOMONTH($CH$3,0),CR$6*CR$7,0),0),IF(AND(CN$6&lt;&gt;"",CN$8&lt;&gt;""),IF(EOMONTH($CL$3+INT((DAY(EOMONTH($CL$3,0))-1)/2)+CN$8,0)=EOMONTH($CH$3,0),CN$6*CN$7,0),0),IF(AND(CJ$6&lt;&gt;"",CJ$8&lt;&gt;""),IF(EOMONTH($CH$3+INT((DAY(EOMONTH($CH$3,0))-1)/2)+CJ$8,0)=EOMONTH($CH$3,0),CJ$6*CJ$7,0),0),IF(AND(CF$6&lt;&gt;"",CF$8&lt;&gt;""),IF(EOMONTH($CD$3+INT((DAY(EOMONTH($CD$3,0))-1)/2)+CF$8,0)=EOMONTH($CH$3,0),CF$6*CF$7,0),0),IF(AND(CB$6&lt;&gt;"",CB$8&lt;&gt;""),IF(EOMONTH($BZ$3+INT((DAY(EOMONTH($BZ$3,0))-1)/2)+CB$8,0)=EOMONTH($CH$3,0),CB$6*CB$7,0),0),IF(AND(BX$6&lt;&gt;"",BX$8&lt;&gt;""),IF(EOMONTH($BV$3+INT((DAY(EOMONTH($BV$3,0))-1)/2)+BX$8,0)=EOMONTH($CH$3,0),BX$6*BX$7,0),0),IF(AND(BT$6&lt;&gt;"",BT$8&lt;&gt;""),IF(EOMONTH($BR$3+INT((DAY(EOMONTH($BR$3,0))-1)/2)+BT$8,0)=EOMONTH($CH$3,0),BT$6*BT$7,0),0),IF(AND(BP$6&lt;&gt;"",BP$8&lt;&gt;""),IF(EOMONTH($BN$3+INT((DAY(EOMONTH($BN$3,0))-1)/2)+BP$8,0)=EOMONTH($CH$3,0),BP$6*BP$7,0),0),IF(AND(BL$6&lt;&gt;"",BL$8&lt;&gt;""),IF(EOMONTH($BJ$3+INT((DAY(EOMONTH($BJ$3,0))-1)/2)+BL$8,0)=EOMONTH($CH$3,0),BL$6*BL$7,0),0),IF(AND(BH$6&lt;&gt;"",BH$8&lt;&gt;""),IF(EOMONTH($BF$3+INT((DAY(EOMONTH($BF$3,0))-1)/2)+BH$8,0)=EOMONTH($CH$3,0),BH$6*BH$7,0),0),IF(AND(BD$6&lt;&gt;"",BD$8&lt;&gt;""),IF(EOMONTH($BB$3+INT((DAY(EOMONTH($BB$3,0))-1)/2)+BD$8,0)=EOMONTH($CH$3,0),BD$6*BD$7,0),0),IF(AND(AZ$6&lt;&gt;"",AZ$8&lt;&gt;""),IF(EOMONTH($AX$3+INT((DAY(EOMONTH($AX$3,0))-1)/2)+AZ$8,0)=EOMONTH($CH$3,0),AZ$6*AZ$7,0),0),IF(AND(AV$6&lt;&gt;"",AV$8&lt;&gt;""),IF(EOMONTH($AT$3+INT((DAY(EOMONTH($AT$3,0))-1)/2)+AV$8,0)=EOMONTH($CH$3,0),AV$6*AV$7,0),0),IF(AND(AR$6&lt;&gt;"",AR$8&lt;&gt;""),IF(EOMONTH($AP$3+INT((DAY(EOMONTH($AP$3,0))-1)/2)+AR$8,0)=EOMONTH($CH$3,0),AR$6*AR$7,0),0),IF(AND(AN$6&lt;&gt;"",AN$8&lt;&gt;""),IF(EOMONTH($AL$3+INT((DAY(EOMONTH($AL$3,0))-1)/2)+AN$8,0)=EOMONTH($CH$3,0),AN$6*AN$7,0),0),IF(AND(AJ$6&lt;&gt;"",AJ$8&lt;&gt;""),IF(EOMONTH($AH$3+INT((DAY(EOMONTH($AH$3,0))-1)/2)+AJ$8,0)=EOMONTH($CH$3,0),AJ$6*AJ$7,0),0),IF(AND(AF$6&lt;&gt;"",AF$8&lt;&gt;""),IF(EOMONTH($AD$3+INT((DAY(EOMONTH($AD$3,0))-1)/2)+AF$8,0)=EOMONTH($CH$3,0),AF$6*AF$7,0),0),IF(AND(AB$6&lt;&gt;"",AB$8&lt;&gt;""),IF(EOMONTH($Z$3+INT((DAY(EOMONTH($Z$3,0))-1)/2)+AB$8,0)=EOMONTH($CH$3,0),AB$6*AB$7,0),0),IF(AND(X$6&lt;&gt;"",X$8&lt;&gt;""),IF(EOMONTH($V$3+INT((DAY(EOMONTH($V$3,0))-1)/2)+X$8,0)=EOMONTH($CH$3,0),X$6*X$7,0),0),IF(AND(T$6&lt;&gt;"",T$8&lt;&gt;""),IF(EOMONTH($R$3+INT((DAY(EOMONTH($R$3,0))-1)/2)+T$8,0)=EOMONTH($CH$3,0),T$6*T$7,0),0),IF(AND(P$6&lt;&gt;"",P$8&lt;&gt;""),IF(EOMONTH($N$3+INT((DAY(EOMONTH($N$3,0))-1)/2)+P$8,0)=EOMONTH($CH$3,0),P$6*P$7,0),0),IF(AND(L$6&lt;&gt;"",L$8&lt;&gt;""),IF(EOMONTH($J$3+INT((DAY(EOMONTH($J$3,0))-1)/2)+L$8,0)=EOMONTH($CH$3,0),L$6*L$7,0),0),IF(AND(H$6&lt;&gt;"",H$8&lt;&gt;""),IF(EOMONTH($F$3+INT((DAY(EOMONTH($F$3,0))-1)/2)+H$8,0)=EOMONTH($CH$3,0),H$6*H$7,0),0)),0)</f>
        <v>55</v>
      </c>
      <c r="CK9" s="16">
        <f t="shared" si="45"/>
        <v>0</v>
      </c>
      <c r="CL9" s="17"/>
      <c r="CM9" s="14">
        <f>IF(CL$98=1,CL9,ROUND(SUM(IF(AND(EQ$6&lt;&gt;"",EQ$8&lt;&gt;""),IF(EOMONTH($EP$3+INT((DAY(EOMONTH($EP$3,0))-1)/2)+EQ$8,0)=EOMONTH($CL$3,0),EQ$6*EQ$7,0),0),IF(AND(EM$6&lt;&gt;"",EM$8&lt;&gt;""),IF(EOMONTH($EL$3+INT((DAY(EOMONTH($EL$3,0))-1)/2)+EM$8,0)=EOMONTH($CL$3,0),EM$6*EM$7,0),0),IF(AND(EI$6&lt;&gt;"",EI$8&lt;&gt;""),IF(EOMONTH($EH$3+INT((DAY(EOMONTH($EH$3,0))-1)/2)+EI$8,0)=EOMONTH($CL$3,0),EI$6*EI$7,0),0),IF(AND(EE$6&lt;&gt;"",EE$8&lt;&gt;""),IF(EOMONTH($ED$3+INT((DAY(EOMONTH($ED$3,0))-1)/2)+EE$8,0)=EOMONTH($CL$3,0),EE$6*EE$7,0),0),IF(AND(EA$6&lt;&gt;"",EA$8&lt;&gt;""),IF(EOMONTH($DZ$3+INT((DAY(EOMONTH($DZ$3,0))-1)/2)+EA$8,0)=EOMONTH($CL$3,0),EA$6*EA$7,0),0),IF(AND(DW$6&lt;&gt;"",DW$8&lt;&gt;""),IF(EOMONTH($DV$3+INT((DAY(EOMONTH($DV$3,0))-1)/2)+DW$8,0)=EOMONTH($CL$3,0),DW$6*DW$7,0),0),IF(AND(DS$6&lt;&gt;"",DS$8&lt;&gt;""),IF(EOMONTH($DR$3+INT((DAY(EOMONTH($DR$3,0))-1)/2)+DS$8,0)=EOMONTH($CL$3,0),DS$6*DS$7,0),0),IF(AND(DO$6&lt;&gt;"",DO$8&lt;&gt;""),IF(EOMONTH($DN$3+INT((DAY(EOMONTH($DN$3,0))-1)/2)+DO$8,0)=EOMONTH($CL$3,0),DO$6*DO$7,0),0),IF(AND(DK$6&lt;&gt;"",DK$8&lt;&gt;""),IF(EOMONTH($DJ$3+INT((DAY(EOMONTH($DJ$3,0))-1)/2)+DK$8,0)=EOMONTH($CL$3,0),DK$6*DK$7,0),0),IF(AND(DG$6&lt;&gt;"",DG$8&lt;&gt;""),IF(EOMONTH($DF$3+INT((DAY(EOMONTH($DF$3,0))-1)/2)+DG$8,0)=EOMONTH($CL$3,0),DG$6*DG$7,0),0),IF(AND(DC$6&lt;&gt;"",DC$8&lt;&gt;""),IF(EOMONTH($DB$3+INT((DAY(EOMONTH($DB$3,0))-1)/2)+DC$8,0)=EOMONTH($CL$3,0),DC$6*DC$7,0),0),IF(AND(CY$6&lt;&gt;"",CY$8&lt;&gt;""),IF(EOMONTH($CX$3+INT((DAY(EOMONTH($CX$3,0))-1)/2)+CY$8,0)=EOMONTH($CL$3,0),CY$6*CY$7,0),0),IF(AND(CU$6&lt;&gt;"",CU$8&lt;&gt;""),IF(EOMONTH($CT$3+INT((DAY(EOMONTH($CT$3,0))-1)/2)+CU$8,0)=EOMONTH($CL$3,0),CU$6*CU$7,0),0),IF(AND(CQ$6&lt;&gt;"",CQ$8&lt;&gt;""),IF(EOMONTH($CP$3+INT((DAY(EOMONTH($CP$3,0))-1)/2)+CQ$8,0)=EOMONTH($CL$3,0),CQ$6*CQ$7,0),0),IF(AND(CM$6&lt;&gt;"",CM$8&lt;&gt;""),IF(EOMONTH($CL$3+INT((DAY(EOMONTH($CL$3,0))-1)/2)+CM$8,0)=EOMONTH($CL$3,0),CM$6*CM$7,0),0),IF(AND(CI$6&lt;&gt;"",CI$8&lt;&gt;""),IF(EOMONTH($CH$3+INT((DAY(EOMONTH($CH$3,0))-1)/2)+CI$8,0)=EOMONTH($CL$3,0),CI$6*CI$7,0),0),IF(AND(CE$6&lt;&gt;"",CE$8&lt;&gt;""),IF(EOMONTH($CD$3+INT((DAY(EOMONTH($CD$3,0))-1)/2)+CE$8,0)=EOMONTH($CL$3,0),CE$6*CE$7,0),0),IF(AND(CA$6&lt;&gt;"",CA$8&lt;&gt;""),IF(EOMONTH($BZ$3+INT((DAY(EOMONTH($BZ$3,0))-1)/2)+CA$8,0)=EOMONTH($CL$3,0),CA$6*CA$7,0),0),IF(AND(BW$6&lt;&gt;"",BW$8&lt;&gt;""),IF(EOMONTH($BV$3+INT((DAY(EOMONTH($BV$3,0))-1)/2)+BW$8,0)=EOMONTH($CL$3,0),BW$6*BW$7,0),0),IF(AND(BS$6&lt;&gt;"",BS$8&lt;&gt;""),IF(EOMONTH($BR$3+INT((DAY(EOMONTH($BR$3,0))-1)/2)+BS$8,0)=EOMONTH($CL$3,0),BS$6*BS$7,0),0),IF(AND(BO$6&lt;&gt;"",BO$8&lt;&gt;""),IF(EOMONTH($BN$3+INT((DAY(EOMONTH($BN$3,0))-1)/2)+BO$8,0)=EOMONTH($CL$3,0),BO$6*BO$7,0),0),IF(AND(BK$6&lt;&gt;"",BK$8&lt;&gt;""),IF(EOMONTH($BJ$3+INT((DAY(EOMONTH($BJ$3,0))-1)/2)+BK$8,0)=EOMONTH($CL$3,0),BK$6*BK$7,0),0),IF(AND(BG$6&lt;&gt;"",BG$8&lt;&gt;""),IF(EOMONTH($BF$3+INT((DAY(EOMONTH($BF$3,0))-1)/2)+BG$8,0)=EOMONTH($CL$3,0),BG$6*BG$7,0),0),IF(AND(BC$6&lt;&gt;"",BC$8&lt;&gt;""),IF(EOMONTH($BB$3+INT((DAY(EOMONTH($BB$3,0))-1)/2)+BC$8,0)=EOMONTH($CL$3,0),BC$6*BC$7,0),0),IF(AND(AY$6&lt;&gt;"",AY$8&lt;&gt;""),IF(EOMONTH($AX$3+INT((DAY(EOMONTH($AX$3,0))-1)/2)+AY$8,0)=EOMONTH($CL$3,0),AY$6*AY$7,0),0),IF(AND(AU$6&lt;&gt;"",AU$8&lt;&gt;""),IF(EOMONTH($AT$3+INT((DAY(EOMONTH($AT$3,0))-1)/2)+AU$8,0)=EOMONTH($CL$3,0),AU$6*AU$7,0),0),IF(AND(AQ$6&lt;&gt;"",AQ$8&lt;&gt;""),IF(EOMONTH($AP$3+INT((DAY(EOMONTH($AP$3,0))-1)/2)+AQ$8,0)=EOMONTH($CL$3,0),AQ$6*AQ$7,0),0),IF(AND(AM$6&lt;&gt;"",AM$8&lt;&gt;""),IF(EOMONTH($AL$3+INT((DAY(EOMONTH($AL$3,0))-1)/2)+AM$8,0)=EOMONTH($CL$3,0),AM$6*AM$7,0),0),IF(AND(AI$6&lt;&gt;"",AI$8&lt;&gt;""),IF(EOMONTH($AH$3+INT((DAY(EOMONTH($AH$3,0))-1)/2)+AI$8,0)=EOMONTH($CL$3,0),AI$6*AI$7,0),0),IF(AND(AE$6&lt;&gt;"",AE$8&lt;&gt;""),IF(EOMONTH($AD$3+INT((DAY(EOMONTH($AD$3,0))-1)/2)+AE$8,0)=EOMONTH($CL$3,0),AE$6*AE$7,0),0),IF(AND(AA$6&lt;&gt;"",AA$8&lt;&gt;""),IF(EOMONTH($Z$3+INT((DAY(EOMONTH($Z$3,0))-1)/2)+AA$8,0)=EOMONTH($CL$3,0),AA$6*AA$7,0),0),IF(AND(W$6&lt;&gt;"",W$8&lt;&gt;""),IF(EOMONTH($V$3+INT((DAY(EOMONTH($V$3,0))-1)/2)+W$8,0)=EOMONTH($CL$3,0),W$6*W$7,0),0),IF(AND(S$6&lt;&gt;"",S$8&lt;&gt;""),IF(EOMONTH($R$3+INT((DAY(EOMONTH($R$3,0))-1)/2)+S$8,0)=EOMONTH($CL$3,0),S$6*S$7,0),0),IF(AND(O$6&lt;&gt;"",O$8&lt;&gt;""),IF(EOMONTH($N$3+INT((DAY(EOMONTH($N$3,0))-1)/2)+O$8,0)=EOMONTH($CL$3,0),O$6*O$7,0),0),IF(AND(K$6&lt;&gt;"",K$8&lt;&gt;""),IF(EOMONTH($J$3+INT((DAY(EOMONTH($J$3,0))-1)/2)+K$8,0)=EOMONTH($CL$3,0),K$6*K$7,0),0),IF(AND(G$6&lt;&gt;"",G$8&lt;&gt;""),IF(EOMONTH($F$3+INT((DAY(EOMONTH($F$3,0))-1)/2)+G$8,0)=EOMONTH($CL$3,0),G$6*G$7,0),0)),0))</f>
        <v>54</v>
      </c>
      <c r="CN9" s="15">
        <f>ROUND(SUM(IF(AND(ER$6&lt;&gt;"",ER$8&lt;&gt;""),IF(EOMONTH($EP$3+INT((DAY(EOMONTH($EP$3,0))-1)/2)+ER$8,0)=EOMONTH($CL$3,0),ER$6*ER$7,0),0),IF(AND(EN$6&lt;&gt;"",EN$8&lt;&gt;""),IF(EOMONTH($EL$3+INT((DAY(EOMONTH($EL$3,0))-1)/2)+EN$8,0)=EOMONTH($CL$3,0),EN$6*EN$7,0),0),IF(AND(EJ$6&lt;&gt;"",EJ$8&lt;&gt;""),IF(EOMONTH($EH$3+INT((DAY(EOMONTH($EH$3,0))-1)/2)+EJ$8,0)=EOMONTH($CL$3,0),EJ$6*EJ$7,0),0),IF(AND(EF$6&lt;&gt;"",EF$8&lt;&gt;""),IF(EOMONTH($ED$3+INT((DAY(EOMONTH($ED$3,0))-1)/2)+EF$8,0)=EOMONTH($CL$3,0),EF$6*EF$7,0),0),IF(AND(EB$6&lt;&gt;"",EB$8&lt;&gt;""),IF(EOMONTH($DZ$3+INT((DAY(EOMONTH($DZ$3,0))-1)/2)+EB$8,0)=EOMONTH($CL$3,0),EB$6*EB$7,0),0),IF(AND(DX$6&lt;&gt;"",DX$8&lt;&gt;""),IF(EOMONTH($DV$3+INT((DAY(EOMONTH($DV$3,0))-1)/2)+DX$8,0)=EOMONTH($CL$3,0),DX$6*DX$7,0),0),IF(AND(DT$6&lt;&gt;"",DT$8&lt;&gt;""),IF(EOMONTH($DR$3+INT((DAY(EOMONTH($DR$3,0))-1)/2)+DT$8,0)=EOMONTH($CL$3,0),DT$6*DT$7,0),0),IF(AND(DP$6&lt;&gt;"",DP$8&lt;&gt;""),IF(EOMONTH($DN$3+INT((DAY(EOMONTH($DN$3,0))-1)/2)+DP$8,0)=EOMONTH($CL$3,0),DP$6*DP$7,0),0),IF(AND(DL$6&lt;&gt;"",DL$8&lt;&gt;""),IF(EOMONTH($DJ$3+INT((DAY(EOMONTH($DJ$3,0))-1)/2)+DL$8,0)=EOMONTH($CL$3,0),DL$6*DL$7,0),0),IF(AND(DH$6&lt;&gt;"",DH$8&lt;&gt;""),IF(EOMONTH($DF$3+INT((DAY(EOMONTH($DF$3,0))-1)/2)+DH$8,0)=EOMONTH($CL$3,0),DH$6*DH$7,0),0),IF(AND(DD$6&lt;&gt;"",DD$8&lt;&gt;""),IF(EOMONTH($DB$3+INT((DAY(EOMONTH($DB$3,0))-1)/2)+DD$8,0)=EOMONTH($CL$3,0),DD$6*DD$7,0),0),IF(AND(CZ$6&lt;&gt;"",CZ$8&lt;&gt;""),IF(EOMONTH($CX$3+INT((DAY(EOMONTH($CX$3,0))-1)/2)+CZ$8,0)=EOMONTH($CL$3,0),CZ$6*CZ$7,0),0),IF(AND(CV$6&lt;&gt;"",CV$8&lt;&gt;""),IF(EOMONTH($CT$3+INT((DAY(EOMONTH($CT$3,0))-1)/2)+CV$8,0)=EOMONTH($CL$3,0),CV$6*CV$7,0),0),IF(AND(CR$6&lt;&gt;"",CR$8&lt;&gt;""),IF(EOMONTH($CP$3+INT((DAY(EOMONTH($CP$3,0))-1)/2)+CR$8,0)=EOMONTH($CL$3,0),CR$6*CR$7,0),0),IF(AND(CN$6&lt;&gt;"",CN$8&lt;&gt;""),IF(EOMONTH($CL$3+INT((DAY(EOMONTH($CL$3,0))-1)/2)+CN$8,0)=EOMONTH($CL$3,0),CN$6*CN$7,0),0),IF(AND(CJ$6&lt;&gt;"",CJ$8&lt;&gt;""),IF(EOMONTH($CH$3+INT((DAY(EOMONTH($CH$3,0))-1)/2)+CJ$8,0)=EOMONTH($CL$3,0),CJ$6*CJ$7,0),0),IF(AND(CF$6&lt;&gt;"",CF$8&lt;&gt;""),IF(EOMONTH($CD$3+INT((DAY(EOMONTH($CD$3,0))-1)/2)+CF$8,0)=EOMONTH($CL$3,0),CF$6*CF$7,0),0),IF(AND(CB$6&lt;&gt;"",CB$8&lt;&gt;""),IF(EOMONTH($BZ$3+INT((DAY(EOMONTH($BZ$3,0))-1)/2)+CB$8,0)=EOMONTH($CL$3,0),CB$6*CB$7,0),0),IF(AND(BX$6&lt;&gt;"",BX$8&lt;&gt;""),IF(EOMONTH($BV$3+INT((DAY(EOMONTH($BV$3,0))-1)/2)+BX$8,0)=EOMONTH($CL$3,0),BX$6*BX$7,0),0),IF(AND(BT$6&lt;&gt;"",BT$8&lt;&gt;""),IF(EOMONTH($BR$3+INT((DAY(EOMONTH($BR$3,0))-1)/2)+BT$8,0)=EOMONTH($CL$3,0),BT$6*BT$7,0),0),IF(AND(BP$6&lt;&gt;"",BP$8&lt;&gt;""),IF(EOMONTH($BN$3+INT((DAY(EOMONTH($BN$3,0))-1)/2)+BP$8,0)=EOMONTH($CL$3,0),BP$6*BP$7,0),0),IF(AND(BL$6&lt;&gt;"",BL$8&lt;&gt;""),IF(EOMONTH($BJ$3+INT((DAY(EOMONTH($BJ$3,0))-1)/2)+BL$8,0)=EOMONTH($CL$3,0),BL$6*BL$7,0),0),IF(AND(BH$6&lt;&gt;"",BH$8&lt;&gt;""),IF(EOMONTH($BF$3+INT((DAY(EOMONTH($BF$3,0))-1)/2)+BH$8,0)=EOMONTH($CL$3,0),BH$6*BH$7,0),0),IF(AND(BD$6&lt;&gt;"",BD$8&lt;&gt;""),IF(EOMONTH($BB$3+INT((DAY(EOMONTH($BB$3,0))-1)/2)+BD$8,0)=EOMONTH($CL$3,0),BD$6*BD$7,0),0),IF(AND(AZ$6&lt;&gt;"",AZ$8&lt;&gt;""),IF(EOMONTH($AX$3+INT((DAY(EOMONTH($AX$3,0))-1)/2)+AZ$8,0)=EOMONTH($CL$3,0),AZ$6*AZ$7,0),0),IF(AND(AV$6&lt;&gt;"",AV$8&lt;&gt;""),IF(EOMONTH($AT$3+INT((DAY(EOMONTH($AT$3,0))-1)/2)+AV$8,0)=EOMONTH($CL$3,0),AV$6*AV$7,0),0),IF(AND(AR$6&lt;&gt;"",AR$8&lt;&gt;""),IF(EOMONTH($AP$3+INT((DAY(EOMONTH($AP$3,0))-1)/2)+AR$8,0)=EOMONTH($CL$3,0),AR$6*AR$7,0),0),IF(AND(AN$6&lt;&gt;"",AN$8&lt;&gt;""),IF(EOMONTH($AL$3+INT((DAY(EOMONTH($AL$3,0))-1)/2)+AN$8,0)=EOMONTH($CL$3,0),AN$6*AN$7,0),0),IF(AND(AJ$6&lt;&gt;"",AJ$8&lt;&gt;""),IF(EOMONTH($AH$3+INT((DAY(EOMONTH($AH$3,0))-1)/2)+AJ$8,0)=EOMONTH($CL$3,0),AJ$6*AJ$7,0),0),IF(AND(AF$6&lt;&gt;"",AF$8&lt;&gt;""),IF(EOMONTH($AD$3+INT((DAY(EOMONTH($AD$3,0))-1)/2)+AF$8,0)=EOMONTH($CL$3,0),AF$6*AF$7,0),0),IF(AND(AB$6&lt;&gt;"",AB$8&lt;&gt;""),IF(EOMONTH($Z$3+INT((DAY(EOMONTH($Z$3,0))-1)/2)+AB$8,0)=EOMONTH($CL$3,0),AB$6*AB$7,0),0),IF(AND(X$6&lt;&gt;"",X$8&lt;&gt;""),IF(EOMONTH($V$3+INT((DAY(EOMONTH($V$3,0))-1)/2)+X$8,0)=EOMONTH($CL$3,0),X$6*X$7,0),0),IF(AND(T$6&lt;&gt;"",T$8&lt;&gt;""),IF(EOMONTH($R$3+INT((DAY(EOMONTH($R$3,0))-1)/2)+T$8,0)=EOMONTH($CL$3,0),T$6*T$7,0),0),IF(AND(P$6&lt;&gt;"",P$8&lt;&gt;""),IF(EOMONTH($N$3+INT((DAY(EOMONTH($N$3,0))-1)/2)+P$8,0)=EOMONTH($CL$3,0),P$6*P$7,0),0),IF(AND(L$6&lt;&gt;"",L$8&lt;&gt;""),IF(EOMONTH($J$3+INT((DAY(EOMONTH($J$3,0))-1)/2)+L$8,0)=EOMONTH($CL$3,0),L$6*L$7,0),0),IF(AND(H$6&lt;&gt;"",H$8&lt;&gt;""),IF(EOMONTH($F$3+INT((DAY(EOMONTH($F$3,0))-1)/2)+H$8,0)=EOMONTH($CL$3,0),H$6*H$7,0),0)),0)</f>
        <v>54</v>
      </c>
      <c r="CO9" s="16">
        <f t="shared" si="47"/>
        <v>0</v>
      </c>
      <c r="CP9" s="17"/>
      <c r="CQ9" s="14">
        <f>IF(CP$98=1,CP9,ROUND(SUM(IF(AND(EQ$6&lt;&gt;"",EQ$8&lt;&gt;""),IF(EOMONTH($EP$3+INT((DAY(EOMONTH($EP$3,0))-1)/2)+EQ$8,0)=EOMONTH($CP$3,0),EQ$6*EQ$7,0),0),IF(AND(EM$6&lt;&gt;"",EM$8&lt;&gt;""),IF(EOMONTH($EL$3+INT((DAY(EOMONTH($EL$3,0))-1)/2)+EM$8,0)=EOMONTH($CP$3,0),EM$6*EM$7,0),0),IF(AND(EI$6&lt;&gt;"",EI$8&lt;&gt;""),IF(EOMONTH($EH$3+INT((DAY(EOMONTH($EH$3,0))-1)/2)+EI$8,0)=EOMONTH($CP$3,0),EI$6*EI$7,0),0),IF(AND(EE$6&lt;&gt;"",EE$8&lt;&gt;""),IF(EOMONTH($ED$3+INT((DAY(EOMONTH($ED$3,0))-1)/2)+EE$8,0)=EOMONTH($CP$3,0),EE$6*EE$7,0),0),IF(AND(EA$6&lt;&gt;"",EA$8&lt;&gt;""),IF(EOMONTH($DZ$3+INT((DAY(EOMONTH($DZ$3,0))-1)/2)+EA$8,0)=EOMONTH($CP$3,0),EA$6*EA$7,0),0),IF(AND(DW$6&lt;&gt;"",DW$8&lt;&gt;""),IF(EOMONTH($DV$3+INT((DAY(EOMONTH($DV$3,0))-1)/2)+DW$8,0)=EOMONTH($CP$3,0),DW$6*DW$7,0),0),IF(AND(DS$6&lt;&gt;"",DS$8&lt;&gt;""),IF(EOMONTH($DR$3+INT((DAY(EOMONTH($DR$3,0))-1)/2)+DS$8,0)=EOMONTH($CP$3,0),DS$6*DS$7,0),0),IF(AND(DO$6&lt;&gt;"",DO$8&lt;&gt;""),IF(EOMONTH($DN$3+INT((DAY(EOMONTH($DN$3,0))-1)/2)+DO$8,0)=EOMONTH($CP$3,0),DO$6*DO$7,0),0),IF(AND(DK$6&lt;&gt;"",DK$8&lt;&gt;""),IF(EOMONTH($DJ$3+INT((DAY(EOMONTH($DJ$3,0))-1)/2)+DK$8,0)=EOMONTH($CP$3,0),DK$6*DK$7,0),0),IF(AND(DG$6&lt;&gt;"",DG$8&lt;&gt;""),IF(EOMONTH($DF$3+INT((DAY(EOMONTH($DF$3,0))-1)/2)+DG$8,0)=EOMONTH($CP$3,0),DG$6*DG$7,0),0),IF(AND(DC$6&lt;&gt;"",DC$8&lt;&gt;""),IF(EOMONTH($DB$3+INT((DAY(EOMONTH($DB$3,0))-1)/2)+DC$8,0)=EOMONTH($CP$3,0),DC$6*DC$7,0),0),IF(AND(CY$6&lt;&gt;"",CY$8&lt;&gt;""),IF(EOMONTH($CX$3+INT((DAY(EOMONTH($CX$3,0))-1)/2)+CY$8,0)=EOMONTH($CP$3,0),CY$6*CY$7,0),0),IF(AND(CU$6&lt;&gt;"",CU$8&lt;&gt;""),IF(EOMONTH($CT$3+INT((DAY(EOMONTH($CT$3,0))-1)/2)+CU$8,0)=EOMONTH($CP$3,0),CU$6*CU$7,0),0),IF(AND(CQ$6&lt;&gt;"",CQ$8&lt;&gt;""),IF(EOMONTH($CP$3+INT((DAY(EOMONTH($CP$3,0))-1)/2)+CQ$8,0)=EOMONTH($CP$3,0),CQ$6*CQ$7,0),0),IF(AND(CM$6&lt;&gt;"",CM$8&lt;&gt;""),IF(EOMONTH($CL$3+INT((DAY(EOMONTH($CL$3,0))-1)/2)+CM$8,0)=EOMONTH($CP$3,0),CM$6*CM$7,0),0),IF(AND(CI$6&lt;&gt;"",CI$8&lt;&gt;""),IF(EOMONTH($CH$3+INT((DAY(EOMONTH($CH$3,0))-1)/2)+CI$8,0)=EOMONTH($CP$3,0),CI$6*CI$7,0),0),IF(AND(CE$6&lt;&gt;"",CE$8&lt;&gt;""),IF(EOMONTH($CD$3+INT((DAY(EOMONTH($CD$3,0))-1)/2)+CE$8,0)=EOMONTH($CP$3,0),CE$6*CE$7,0),0),IF(AND(CA$6&lt;&gt;"",CA$8&lt;&gt;""),IF(EOMONTH($BZ$3+INT((DAY(EOMONTH($BZ$3,0))-1)/2)+CA$8,0)=EOMONTH($CP$3,0),CA$6*CA$7,0),0),IF(AND(BW$6&lt;&gt;"",BW$8&lt;&gt;""),IF(EOMONTH($BV$3+INT((DAY(EOMONTH($BV$3,0))-1)/2)+BW$8,0)=EOMONTH($CP$3,0),BW$6*BW$7,0),0),IF(AND(BS$6&lt;&gt;"",BS$8&lt;&gt;""),IF(EOMONTH($BR$3+INT((DAY(EOMONTH($BR$3,0))-1)/2)+BS$8,0)=EOMONTH($CP$3,0),BS$6*BS$7,0),0),IF(AND(BO$6&lt;&gt;"",BO$8&lt;&gt;""),IF(EOMONTH($BN$3+INT((DAY(EOMONTH($BN$3,0))-1)/2)+BO$8,0)=EOMONTH($CP$3,0),BO$6*BO$7,0),0),IF(AND(BK$6&lt;&gt;"",BK$8&lt;&gt;""),IF(EOMONTH($BJ$3+INT((DAY(EOMONTH($BJ$3,0))-1)/2)+BK$8,0)=EOMONTH($CP$3,0),BK$6*BK$7,0),0),IF(AND(BG$6&lt;&gt;"",BG$8&lt;&gt;""),IF(EOMONTH($BF$3+INT((DAY(EOMONTH($BF$3,0))-1)/2)+BG$8,0)=EOMONTH($CP$3,0),BG$6*BG$7,0),0),IF(AND(BC$6&lt;&gt;"",BC$8&lt;&gt;""),IF(EOMONTH($BB$3+INT((DAY(EOMONTH($BB$3,0))-1)/2)+BC$8,0)=EOMONTH($CP$3,0),BC$6*BC$7,0),0),IF(AND(AY$6&lt;&gt;"",AY$8&lt;&gt;""),IF(EOMONTH($AX$3+INT((DAY(EOMONTH($AX$3,0))-1)/2)+AY$8,0)=EOMONTH($CP$3,0),AY$6*AY$7,0),0),IF(AND(AU$6&lt;&gt;"",AU$8&lt;&gt;""),IF(EOMONTH($AT$3+INT((DAY(EOMONTH($AT$3,0))-1)/2)+AU$8,0)=EOMONTH($CP$3,0),AU$6*AU$7,0),0),IF(AND(AQ$6&lt;&gt;"",AQ$8&lt;&gt;""),IF(EOMONTH($AP$3+INT((DAY(EOMONTH($AP$3,0))-1)/2)+AQ$8,0)=EOMONTH($CP$3,0),AQ$6*AQ$7,0),0),IF(AND(AM$6&lt;&gt;"",AM$8&lt;&gt;""),IF(EOMONTH($AL$3+INT((DAY(EOMONTH($AL$3,0))-1)/2)+AM$8,0)=EOMONTH($CP$3,0),AM$6*AM$7,0),0),IF(AND(AI$6&lt;&gt;"",AI$8&lt;&gt;""),IF(EOMONTH($AH$3+INT((DAY(EOMONTH($AH$3,0))-1)/2)+AI$8,0)=EOMONTH($CP$3,0),AI$6*AI$7,0),0),IF(AND(AE$6&lt;&gt;"",AE$8&lt;&gt;""),IF(EOMONTH($AD$3+INT((DAY(EOMONTH($AD$3,0))-1)/2)+AE$8,0)=EOMONTH($CP$3,0),AE$6*AE$7,0),0),IF(AND(AA$6&lt;&gt;"",AA$8&lt;&gt;""),IF(EOMONTH($Z$3+INT((DAY(EOMONTH($Z$3,0))-1)/2)+AA$8,0)=EOMONTH($CP$3,0),AA$6*AA$7,0),0),IF(AND(W$6&lt;&gt;"",W$8&lt;&gt;""),IF(EOMONTH($V$3+INT((DAY(EOMONTH($V$3,0))-1)/2)+W$8,0)=EOMONTH($CP$3,0),W$6*W$7,0),0),IF(AND(S$6&lt;&gt;"",S$8&lt;&gt;""),IF(EOMONTH($R$3+INT((DAY(EOMONTH($R$3,0))-1)/2)+S$8,0)=EOMONTH($CP$3,0),S$6*S$7,0),0),IF(AND(O$6&lt;&gt;"",O$8&lt;&gt;""),IF(EOMONTH($N$3+INT((DAY(EOMONTH($N$3,0))-1)/2)+O$8,0)=EOMONTH($CP$3,0),O$6*O$7,0),0),IF(AND(K$6&lt;&gt;"",K$8&lt;&gt;""),IF(EOMONTH($J$3+INT((DAY(EOMONTH($J$3,0))-1)/2)+K$8,0)=EOMONTH($CP$3,0),K$6*K$7,0),0),IF(AND(G$6&lt;&gt;"",G$8&lt;&gt;""),IF(EOMONTH($F$3+INT((DAY(EOMONTH($F$3,0))-1)/2)+G$8,0)=EOMONTH($CP$3,0),G$6*G$7,0),0)),0))</f>
        <v>53</v>
      </c>
      <c r="CR9" s="15">
        <f>ROUND(SUM(IF(AND(ER$6&lt;&gt;"",ER$8&lt;&gt;""),IF(EOMONTH($EP$3+INT((DAY(EOMONTH($EP$3,0))-1)/2)+ER$8,0)=EOMONTH($CP$3,0),ER$6*ER$7,0),0),IF(AND(EN$6&lt;&gt;"",EN$8&lt;&gt;""),IF(EOMONTH($EL$3+INT((DAY(EOMONTH($EL$3,0))-1)/2)+EN$8,0)=EOMONTH($CP$3,0),EN$6*EN$7,0),0),IF(AND(EJ$6&lt;&gt;"",EJ$8&lt;&gt;""),IF(EOMONTH($EH$3+INT((DAY(EOMONTH($EH$3,0))-1)/2)+EJ$8,0)=EOMONTH($CP$3,0),EJ$6*EJ$7,0),0),IF(AND(EF$6&lt;&gt;"",EF$8&lt;&gt;""),IF(EOMONTH($ED$3+INT((DAY(EOMONTH($ED$3,0))-1)/2)+EF$8,0)=EOMONTH($CP$3,0),EF$6*EF$7,0),0),IF(AND(EB$6&lt;&gt;"",EB$8&lt;&gt;""),IF(EOMONTH($DZ$3+INT((DAY(EOMONTH($DZ$3,0))-1)/2)+EB$8,0)=EOMONTH($CP$3,0),EB$6*EB$7,0),0),IF(AND(DX$6&lt;&gt;"",DX$8&lt;&gt;""),IF(EOMONTH($DV$3+INT((DAY(EOMONTH($DV$3,0))-1)/2)+DX$8,0)=EOMONTH($CP$3,0),DX$6*DX$7,0),0),IF(AND(DT$6&lt;&gt;"",DT$8&lt;&gt;""),IF(EOMONTH($DR$3+INT((DAY(EOMONTH($DR$3,0))-1)/2)+DT$8,0)=EOMONTH($CP$3,0),DT$6*DT$7,0),0),IF(AND(DP$6&lt;&gt;"",DP$8&lt;&gt;""),IF(EOMONTH($DN$3+INT((DAY(EOMONTH($DN$3,0))-1)/2)+DP$8,0)=EOMONTH($CP$3,0),DP$6*DP$7,0),0),IF(AND(DL$6&lt;&gt;"",DL$8&lt;&gt;""),IF(EOMONTH($DJ$3+INT((DAY(EOMONTH($DJ$3,0))-1)/2)+DL$8,0)=EOMONTH($CP$3,0),DL$6*DL$7,0),0),IF(AND(DH$6&lt;&gt;"",DH$8&lt;&gt;""),IF(EOMONTH($DF$3+INT((DAY(EOMONTH($DF$3,0))-1)/2)+DH$8,0)=EOMONTH($CP$3,0),DH$6*DH$7,0),0),IF(AND(DD$6&lt;&gt;"",DD$8&lt;&gt;""),IF(EOMONTH($DB$3+INT((DAY(EOMONTH($DB$3,0))-1)/2)+DD$8,0)=EOMONTH($CP$3,0),DD$6*DD$7,0),0),IF(AND(CZ$6&lt;&gt;"",CZ$8&lt;&gt;""),IF(EOMONTH($CX$3+INT((DAY(EOMONTH($CX$3,0))-1)/2)+CZ$8,0)=EOMONTH($CP$3,0),CZ$6*CZ$7,0),0),IF(AND(CV$6&lt;&gt;"",CV$8&lt;&gt;""),IF(EOMONTH($CT$3+INT((DAY(EOMONTH($CT$3,0))-1)/2)+CV$8,0)=EOMONTH($CP$3,0),CV$6*CV$7,0),0),IF(AND(CR$6&lt;&gt;"",CR$8&lt;&gt;""),IF(EOMONTH($CP$3+INT((DAY(EOMONTH($CP$3,0))-1)/2)+CR$8,0)=EOMONTH($CP$3,0),CR$6*CR$7,0),0),IF(AND(CN$6&lt;&gt;"",CN$8&lt;&gt;""),IF(EOMONTH($CL$3+INT((DAY(EOMONTH($CL$3,0))-1)/2)+CN$8,0)=EOMONTH($CP$3,0),CN$6*CN$7,0),0),IF(AND(CJ$6&lt;&gt;"",CJ$8&lt;&gt;""),IF(EOMONTH($CH$3+INT((DAY(EOMONTH($CH$3,0))-1)/2)+CJ$8,0)=EOMONTH($CP$3,0),CJ$6*CJ$7,0),0),IF(AND(CF$6&lt;&gt;"",CF$8&lt;&gt;""),IF(EOMONTH($CD$3+INT((DAY(EOMONTH($CD$3,0))-1)/2)+CF$8,0)=EOMONTH($CP$3,0),CF$6*CF$7,0),0),IF(AND(CB$6&lt;&gt;"",CB$8&lt;&gt;""),IF(EOMONTH($BZ$3+INT((DAY(EOMONTH($BZ$3,0))-1)/2)+CB$8,0)=EOMONTH($CP$3,0),CB$6*CB$7,0),0),IF(AND(BX$6&lt;&gt;"",BX$8&lt;&gt;""),IF(EOMONTH($BV$3+INT((DAY(EOMONTH($BV$3,0))-1)/2)+BX$8,0)=EOMONTH($CP$3,0),BX$6*BX$7,0),0),IF(AND(BT$6&lt;&gt;"",BT$8&lt;&gt;""),IF(EOMONTH($BR$3+INT((DAY(EOMONTH($BR$3,0))-1)/2)+BT$8,0)=EOMONTH($CP$3,0),BT$6*BT$7,0),0),IF(AND(BP$6&lt;&gt;"",BP$8&lt;&gt;""),IF(EOMONTH($BN$3+INT((DAY(EOMONTH($BN$3,0))-1)/2)+BP$8,0)=EOMONTH($CP$3,0),BP$6*BP$7,0),0),IF(AND(BL$6&lt;&gt;"",BL$8&lt;&gt;""),IF(EOMONTH($BJ$3+INT((DAY(EOMONTH($BJ$3,0))-1)/2)+BL$8,0)=EOMONTH($CP$3,0),BL$6*BL$7,0),0),IF(AND(BH$6&lt;&gt;"",BH$8&lt;&gt;""),IF(EOMONTH($BF$3+INT((DAY(EOMONTH($BF$3,0))-1)/2)+BH$8,0)=EOMONTH($CP$3,0),BH$6*BH$7,0),0),IF(AND(BD$6&lt;&gt;"",BD$8&lt;&gt;""),IF(EOMONTH($BB$3+INT((DAY(EOMONTH($BB$3,0))-1)/2)+BD$8,0)=EOMONTH($CP$3,0),BD$6*BD$7,0),0),IF(AND(AZ$6&lt;&gt;"",AZ$8&lt;&gt;""),IF(EOMONTH($AX$3+INT((DAY(EOMONTH($AX$3,0))-1)/2)+AZ$8,0)=EOMONTH($CP$3,0),AZ$6*AZ$7,0),0),IF(AND(AV$6&lt;&gt;"",AV$8&lt;&gt;""),IF(EOMONTH($AT$3+INT((DAY(EOMONTH($AT$3,0))-1)/2)+AV$8,0)=EOMONTH($CP$3,0),AV$6*AV$7,0),0),IF(AND(AR$6&lt;&gt;"",AR$8&lt;&gt;""),IF(EOMONTH($AP$3+INT((DAY(EOMONTH($AP$3,0))-1)/2)+AR$8,0)=EOMONTH($CP$3,0),AR$6*AR$7,0),0),IF(AND(AN$6&lt;&gt;"",AN$8&lt;&gt;""),IF(EOMONTH($AL$3+INT((DAY(EOMONTH($AL$3,0))-1)/2)+AN$8,0)=EOMONTH($CP$3,0),AN$6*AN$7,0),0),IF(AND(AJ$6&lt;&gt;"",AJ$8&lt;&gt;""),IF(EOMONTH($AH$3+INT((DAY(EOMONTH($AH$3,0))-1)/2)+AJ$8,0)=EOMONTH($CP$3,0),AJ$6*AJ$7,0),0),IF(AND(AF$6&lt;&gt;"",AF$8&lt;&gt;""),IF(EOMONTH($AD$3+INT((DAY(EOMONTH($AD$3,0))-1)/2)+AF$8,0)=EOMONTH($CP$3,0),AF$6*AF$7,0),0),IF(AND(AB$6&lt;&gt;"",AB$8&lt;&gt;""),IF(EOMONTH($Z$3+INT((DAY(EOMONTH($Z$3,0))-1)/2)+AB$8,0)=EOMONTH($CP$3,0),AB$6*AB$7,0),0),IF(AND(X$6&lt;&gt;"",X$8&lt;&gt;""),IF(EOMONTH($V$3+INT((DAY(EOMONTH($V$3,0))-1)/2)+X$8,0)=EOMONTH($CP$3,0),X$6*X$7,0),0),IF(AND(T$6&lt;&gt;"",T$8&lt;&gt;""),IF(EOMONTH($R$3+INT((DAY(EOMONTH($R$3,0))-1)/2)+T$8,0)=EOMONTH($CP$3,0),T$6*T$7,0),0),IF(AND(P$6&lt;&gt;"",P$8&lt;&gt;""),IF(EOMONTH($N$3+INT((DAY(EOMONTH($N$3,0))-1)/2)+P$8,0)=EOMONTH($CP$3,0),P$6*P$7,0),0),IF(AND(L$6&lt;&gt;"",L$8&lt;&gt;""),IF(EOMONTH($J$3+INT((DAY(EOMONTH($J$3,0))-1)/2)+L$8,0)=EOMONTH($CP$3,0),L$6*L$7,0),0),IF(AND(H$6&lt;&gt;"",H$8&lt;&gt;""),IF(EOMONTH($F$3+INT((DAY(EOMONTH($F$3,0))-1)/2)+H$8,0)=EOMONTH($CP$3,0),H$6*H$7,0),0)),0)</f>
        <v>53</v>
      </c>
      <c r="CS9" s="16">
        <f t="shared" si="49"/>
        <v>0</v>
      </c>
      <c r="CT9" s="17"/>
      <c r="CU9" s="14">
        <f>IF(CT$98=1,CT9,ROUND(SUM(IF(AND(EQ$6&lt;&gt;"",EQ$8&lt;&gt;""),IF(EOMONTH($EP$3+INT((DAY(EOMONTH($EP$3,0))-1)/2)+EQ$8,0)=EOMONTH($CT$3,0),EQ$6*EQ$7,0),0),IF(AND(EM$6&lt;&gt;"",EM$8&lt;&gt;""),IF(EOMONTH($EL$3+INT((DAY(EOMONTH($EL$3,0))-1)/2)+EM$8,0)=EOMONTH($CT$3,0),EM$6*EM$7,0),0),IF(AND(EI$6&lt;&gt;"",EI$8&lt;&gt;""),IF(EOMONTH($EH$3+INT((DAY(EOMONTH($EH$3,0))-1)/2)+EI$8,0)=EOMONTH($CT$3,0),EI$6*EI$7,0),0),IF(AND(EE$6&lt;&gt;"",EE$8&lt;&gt;""),IF(EOMONTH($ED$3+INT((DAY(EOMONTH($ED$3,0))-1)/2)+EE$8,0)=EOMONTH($CT$3,0),EE$6*EE$7,0),0),IF(AND(EA$6&lt;&gt;"",EA$8&lt;&gt;""),IF(EOMONTH($DZ$3+INT((DAY(EOMONTH($DZ$3,0))-1)/2)+EA$8,0)=EOMONTH($CT$3,0),EA$6*EA$7,0),0),IF(AND(DW$6&lt;&gt;"",DW$8&lt;&gt;""),IF(EOMONTH($DV$3+INT((DAY(EOMONTH($DV$3,0))-1)/2)+DW$8,0)=EOMONTH($CT$3,0),DW$6*DW$7,0),0),IF(AND(DS$6&lt;&gt;"",DS$8&lt;&gt;""),IF(EOMONTH($DR$3+INT((DAY(EOMONTH($DR$3,0))-1)/2)+DS$8,0)=EOMONTH($CT$3,0),DS$6*DS$7,0),0),IF(AND(DO$6&lt;&gt;"",DO$8&lt;&gt;""),IF(EOMONTH($DN$3+INT((DAY(EOMONTH($DN$3,0))-1)/2)+DO$8,0)=EOMONTH($CT$3,0),DO$6*DO$7,0),0),IF(AND(DK$6&lt;&gt;"",DK$8&lt;&gt;""),IF(EOMONTH($DJ$3+INT((DAY(EOMONTH($DJ$3,0))-1)/2)+DK$8,0)=EOMONTH($CT$3,0),DK$6*DK$7,0),0),IF(AND(DG$6&lt;&gt;"",DG$8&lt;&gt;""),IF(EOMONTH($DF$3+INT((DAY(EOMONTH($DF$3,0))-1)/2)+DG$8,0)=EOMONTH($CT$3,0),DG$6*DG$7,0),0),IF(AND(DC$6&lt;&gt;"",DC$8&lt;&gt;""),IF(EOMONTH($DB$3+INT((DAY(EOMONTH($DB$3,0))-1)/2)+DC$8,0)=EOMONTH($CT$3,0),DC$6*DC$7,0),0),IF(AND(CY$6&lt;&gt;"",CY$8&lt;&gt;""),IF(EOMONTH($CX$3+INT((DAY(EOMONTH($CX$3,0))-1)/2)+CY$8,0)=EOMONTH($CT$3,0),CY$6*CY$7,0),0),IF(AND(CU$6&lt;&gt;"",CU$8&lt;&gt;""),IF(EOMONTH($CT$3+INT((DAY(EOMONTH($CT$3,0))-1)/2)+CU$8,0)=EOMONTH($CT$3,0),CU$6*CU$7,0),0),IF(AND(CQ$6&lt;&gt;"",CQ$8&lt;&gt;""),IF(EOMONTH($CP$3+INT((DAY(EOMONTH($CP$3,0))-1)/2)+CQ$8,0)=EOMONTH($CT$3,0),CQ$6*CQ$7,0),0),IF(AND(CM$6&lt;&gt;"",CM$8&lt;&gt;""),IF(EOMONTH($CL$3+INT((DAY(EOMONTH($CL$3,0))-1)/2)+CM$8,0)=EOMONTH($CT$3,0),CM$6*CM$7,0),0),IF(AND(CI$6&lt;&gt;"",CI$8&lt;&gt;""),IF(EOMONTH($CH$3+INT((DAY(EOMONTH($CH$3,0))-1)/2)+CI$8,0)=EOMONTH($CT$3,0),CI$6*CI$7,0),0),IF(AND(CE$6&lt;&gt;"",CE$8&lt;&gt;""),IF(EOMONTH($CD$3+INT((DAY(EOMONTH($CD$3,0))-1)/2)+CE$8,0)=EOMONTH($CT$3,0),CE$6*CE$7,0),0),IF(AND(CA$6&lt;&gt;"",CA$8&lt;&gt;""),IF(EOMONTH($BZ$3+INT((DAY(EOMONTH($BZ$3,0))-1)/2)+CA$8,0)=EOMONTH($CT$3,0),CA$6*CA$7,0),0),IF(AND(BW$6&lt;&gt;"",BW$8&lt;&gt;""),IF(EOMONTH($BV$3+INT((DAY(EOMONTH($BV$3,0))-1)/2)+BW$8,0)=EOMONTH($CT$3,0),BW$6*BW$7,0),0),IF(AND(BS$6&lt;&gt;"",BS$8&lt;&gt;""),IF(EOMONTH($BR$3+INT((DAY(EOMONTH($BR$3,0))-1)/2)+BS$8,0)=EOMONTH($CT$3,0),BS$6*BS$7,0),0),IF(AND(BO$6&lt;&gt;"",BO$8&lt;&gt;""),IF(EOMONTH($BN$3+INT((DAY(EOMONTH($BN$3,0))-1)/2)+BO$8,0)=EOMONTH($CT$3,0),BO$6*BO$7,0),0),IF(AND(BK$6&lt;&gt;"",BK$8&lt;&gt;""),IF(EOMONTH($BJ$3+INT((DAY(EOMONTH($BJ$3,0))-1)/2)+BK$8,0)=EOMONTH($CT$3,0),BK$6*BK$7,0),0),IF(AND(BG$6&lt;&gt;"",BG$8&lt;&gt;""),IF(EOMONTH($BF$3+INT((DAY(EOMONTH($BF$3,0))-1)/2)+BG$8,0)=EOMONTH($CT$3,0),BG$6*BG$7,0),0),IF(AND(BC$6&lt;&gt;"",BC$8&lt;&gt;""),IF(EOMONTH($BB$3+INT((DAY(EOMONTH($BB$3,0))-1)/2)+BC$8,0)=EOMONTH($CT$3,0),BC$6*BC$7,0),0),IF(AND(AY$6&lt;&gt;"",AY$8&lt;&gt;""),IF(EOMONTH($AX$3+INT((DAY(EOMONTH($AX$3,0))-1)/2)+AY$8,0)=EOMONTH($CT$3,0),AY$6*AY$7,0),0),IF(AND(AU$6&lt;&gt;"",AU$8&lt;&gt;""),IF(EOMONTH($AT$3+INT((DAY(EOMONTH($AT$3,0))-1)/2)+AU$8,0)=EOMONTH($CT$3,0),AU$6*AU$7,0),0),IF(AND(AQ$6&lt;&gt;"",AQ$8&lt;&gt;""),IF(EOMONTH($AP$3+INT((DAY(EOMONTH($AP$3,0))-1)/2)+AQ$8,0)=EOMONTH($CT$3,0),AQ$6*AQ$7,0),0),IF(AND(AM$6&lt;&gt;"",AM$8&lt;&gt;""),IF(EOMONTH($AL$3+INT((DAY(EOMONTH($AL$3,0))-1)/2)+AM$8,0)=EOMONTH($CT$3,0),AM$6*AM$7,0),0),IF(AND(AI$6&lt;&gt;"",AI$8&lt;&gt;""),IF(EOMONTH($AH$3+INT((DAY(EOMONTH($AH$3,0))-1)/2)+AI$8,0)=EOMONTH($CT$3,0),AI$6*AI$7,0),0),IF(AND(AE$6&lt;&gt;"",AE$8&lt;&gt;""),IF(EOMONTH($AD$3+INT((DAY(EOMONTH($AD$3,0))-1)/2)+AE$8,0)=EOMONTH($CT$3,0),AE$6*AE$7,0),0),IF(AND(AA$6&lt;&gt;"",AA$8&lt;&gt;""),IF(EOMONTH($Z$3+INT((DAY(EOMONTH($Z$3,0))-1)/2)+AA$8,0)=EOMONTH($CT$3,0),AA$6*AA$7,0),0),IF(AND(W$6&lt;&gt;"",W$8&lt;&gt;""),IF(EOMONTH($V$3+INT((DAY(EOMONTH($V$3,0))-1)/2)+W$8,0)=EOMONTH($CT$3,0),W$6*W$7,0),0),IF(AND(S$6&lt;&gt;"",S$8&lt;&gt;""),IF(EOMONTH($R$3+INT((DAY(EOMONTH($R$3,0))-1)/2)+S$8,0)=EOMONTH($CT$3,0),S$6*S$7,0),0),IF(AND(O$6&lt;&gt;"",O$8&lt;&gt;""),IF(EOMONTH($N$3+INT((DAY(EOMONTH($N$3,0))-1)/2)+O$8,0)=EOMONTH($CT$3,0),O$6*O$7,0),0),IF(AND(K$6&lt;&gt;"",K$8&lt;&gt;""),IF(EOMONTH($J$3+INT((DAY(EOMONTH($J$3,0))-1)/2)+K$8,0)=EOMONTH($CT$3,0),K$6*K$7,0),0),IF(AND(G$6&lt;&gt;"",G$8&lt;&gt;""),IF(EOMONTH($F$3+INT((DAY(EOMONTH($F$3,0))-1)/2)+G$8,0)=EOMONTH($CT$3,0),G$6*G$7,0),0)),0))</f>
        <v>52</v>
      </c>
      <c r="CV9" s="15">
        <f>ROUND(SUM(IF(AND(ER$6&lt;&gt;"",ER$8&lt;&gt;""),IF(EOMONTH($EP$3+INT((DAY(EOMONTH($EP$3,0))-1)/2)+ER$8,0)=EOMONTH($CT$3,0),ER$6*ER$7,0),0),IF(AND(EN$6&lt;&gt;"",EN$8&lt;&gt;""),IF(EOMONTH($EL$3+INT((DAY(EOMONTH($EL$3,0))-1)/2)+EN$8,0)=EOMONTH($CT$3,0),EN$6*EN$7,0),0),IF(AND(EJ$6&lt;&gt;"",EJ$8&lt;&gt;""),IF(EOMONTH($EH$3+INT((DAY(EOMONTH($EH$3,0))-1)/2)+EJ$8,0)=EOMONTH($CT$3,0),EJ$6*EJ$7,0),0),IF(AND(EF$6&lt;&gt;"",EF$8&lt;&gt;""),IF(EOMONTH($ED$3+INT((DAY(EOMONTH($ED$3,0))-1)/2)+EF$8,0)=EOMONTH($CT$3,0),EF$6*EF$7,0),0),IF(AND(EB$6&lt;&gt;"",EB$8&lt;&gt;""),IF(EOMONTH($DZ$3+INT((DAY(EOMONTH($DZ$3,0))-1)/2)+EB$8,0)=EOMONTH($CT$3,0),EB$6*EB$7,0),0),IF(AND(DX$6&lt;&gt;"",DX$8&lt;&gt;""),IF(EOMONTH($DV$3+INT((DAY(EOMONTH($DV$3,0))-1)/2)+DX$8,0)=EOMONTH($CT$3,0),DX$6*DX$7,0),0),IF(AND(DT$6&lt;&gt;"",DT$8&lt;&gt;""),IF(EOMONTH($DR$3+INT((DAY(EOMONTH($DR$3,0))-1)/2)+DT$8,0)=EOMONTH($CT$3,0),DT$6*DT$7,0),0),IF(AND(DP$6&lt;&gt;"",DP$8&lt;&gt;""),IF(EOMONTH($DN$3+INT((DAY(EOMONTH($DN$3,0))-1)/2)+DP$8,0)=EOMONTH($CT$3,0),DP$6*DP$7,0),0),IF(AND(DL$6&lt;&gt;"",DL$8&lt;&gt;""),IF(EOMONTH($DJ$3+INT((DAY(EOMONTH($DJ$3,0))-1)/2)+DL$8,0)=EOMONTH($CT$3,0),DL$6*DL$7,0),0),IF(AND(DH$6&lt;&gt;"",DH$8&lt;&gt;""),IF(EOMONTH($DF$3+INT((DAY(EOMONTH($DF$3,0))-1)/2)+DH$8,0)=EOMONTH($CT$3,0),DH$6*DH$7,0),0),IF(AND(DD$6&lt;&gt;"",DD$8&lt;&gt;""),IF(EOMONTH($DB$3+INT((DAY(EOMONTH($DB$3,0))-1)/2)+DD$8,0)=EOMONTH($CT$3,0),DD$6*DD$7,0),0),IF(AND(CZ$6&lt;&gt;"",CZ$8&lt;&gt;""),IF(EOMONTH($CX$3+INT((DAY(EOMONTH($CX$3,0))-1)/2)+CZ$8,0)=EOMONTH($CT$3,0),CZ$6*CZ$7,0),0),IF(AND(CV$6&lt;&gt;"",CV$8&lt;&gt;""),IF(EOMONTH($CT$3+INT((DAY(EOMONTH($CT$3,0))-1)/2)+CV$8,0)=EOMONTH($CT$3,0),CV$6*CV$7,0),0),IF(AND(CR$6&lt;&gt;"",CR$8&lt;&gt;""),IF(EOMONTH($CP$3+INT((DAY(EOMONTH($CP$3,0))-1)/2)+CR$8,0)=EOMONTH($CT$3,0),CR$6*CR$7,0),0),IF(AND(CN$6&lt;&gt;"",CN$8&lt;&gt;""),IF(EOMONTH($CL$3+INT((DAY(EOMONTH($CL$3,0))-1)/2)+CN$8,0)=EOMONTH($CT$3,0),CN$6*CN$7,0),0),IF(AND(CJ$6&lt;&gt;"",CJ$8&lt;&gt;""),IF(EOMONTH($CH$3+INT((DAY(EOMONTH($CH$3,0))-1)/2)+CJ$8,0)=EOMONTH($CT$3,0),CJ$6*CJ$7,0),0),IF(AND(CF$6&lt;&gt;"",CF$8&lt;&gt;""),IF(EOMONTH($CD$3+INT((DAY(EOMONTH($CD$3,0))-1)/2)+CF$8,0)=EOMONTH($CT$3,0),CF$6*CF$7,0),0),IF(AND(CB$6&lt;&gt;"",CB$8&lt;&gt;""),IF(EOMONTH($BZ$3+INT((DAY(EOMONTH($BZ$3,0))-1)/2)+CB$8,0)=EOMONTH($CT$3,0),CB$6*CB$7,0),0),IF(AND(BX$6&lt;&gt;"",BX$8&lt;&gt;""),IF(EOMONTH($BV$3+INT((DAY(EOMONTH($BV$3,0))-1)/2)+BX$8,0)=EOMONTH($CT$3,0),BX$6*BX$7,0),0),IF(AND(BT$6&lt;&gt;"",BT$8&lt;&gt;""),IF(EOMONTH($BR$3+INT((DAY(EOMONTH($BR$3,0))-1)/2)+BT$8,0)=EOMONTH($CT$3,0),BT$6*BT$7,0),0),IF(AND(BP$6&lt;&gt;"",BP$8&lt;&gt;""),IF(EOMONTH($BN$3+INT((DAY(EOMONTH($BN$3,0))-1)/2)+BP$8,0)=EOMONTH($CT$3,0),BP$6*BP$7,0),0),IF(AND(BL$6&lt;&gt;"",BL$8&lt;&gt;""),IF(EOMONTH($BJ$3+INT((DAY(EOMONTH($BJ$3,0))-1)/2)+BL$8,0)=EOMONTH($CT$3,0),BL$6*BL$7,0),0),IF(AND(BH$6&lt;&gt;"",BH$8&lt;&gt;""),IF(EOMONTH($BF$3+INT((DAY(EOMONTH($BF$3,0))-1)/2)+BH$8,0)=EOMONTH($CT$3,0),BH$6*BH$7,0),0),IF(AND(BD$6&lt;&gt;"",BD$8&lt;&gt;""),IF(EOMONTH($BB$3+INT((DAY(EOMONTH($BB$3,0))-1)/2)+BD$8,0)=EOMONTH($CT$3,0),BD$6*BD$7,0),0),IF(AND(AZ$6&lt;&gt;"",AZ$8&lt;&gt;""),IF(EOMONTH($AX$3+INT((DAY(EOMONTH($AX$3,0))-1)/2)+AZ$8,0)=EOMONTH($CT$3,0),AZ$6*AZ$7,0),0),IF(AND(AV$6&lt;&gt;"",AV$8&lt;&gt;""),IF(EOMONTH($AT$3+INT((DAY(EOMONTH($AT$3,0))-1)/2)+AV$8,0)=EOMONTH($CT$3,0),AV$6*AV$7,0),0),IF(AND(AR$6&lt;&gt;"",AR$8&lt;&gt;""),IF(EOMONTH($AP$3+INT((DAY(EOMONTH($AP$3,0))-1)/2)+AR$8,0)=EOMONTH($CT$3,0),AR$6*AR$7,0),0),IF(AND(AN$6&lt;&gt;"",AN$8&lt;&gt;""),IF(EOMONTH($AL$3+INT((DAY(EOMONTH($AL$3,0))-1)/2)+AN$8,0)=EOMONTH($CT$3,0),AN$6*AN$7,0),0),IF(AND(AJ$6&lt;&gt;"",AJ$8&lt;&gt;""),IF(EOMONTH($AH$3+INT((DAY(EOMONTH($AH$3,0))-1)/2)+AJ$8,0)=EOMONTH($CT$3,0),AJ$6*AJ$7,0),0),IF(AND(AF$6&lt;&gt;"",AF$8&lt;&gt;""),IF(EOMONTH($AD$3+INT((DAY(EOMONTH($AD$3,0))-1)/2)+AF$8,0)=EOMONTH($CT$3,0),AF$6*AF$7,0),0),IF(AND(AB$6&lt;&gt;"",AB$8&lt;&gt;""),IF(EOMONTH($Z$3+INT((DAY(EOMONTH($Z$3,0))-1)/2)+AB$8,0)=EOMONTH($CT$3,0),AB$6*AB$7,0),0),IF(AND(X$6&lt;&gt;"",X$8&lt;&gt;""),IF(EOMONTH($V$3+INT((DAY(EOMONTH($V$3,0))-1)/2)+X$8,0)=EOMONTH($CT$3,0),X$6*X$7,0),0),IF(AND(T$6&lt;&gt;"",T$8&lt;&gt;""),IF(EOMONTH($R$3+INT((DAY(EOMONTH($R$3,0))-1)/2)+T$8,0)=EOMONTH($CT$3,0),T$6*T$7,0),0),IF(AND(P$6&lt;&gt;"",P$8&lt;&gt;""),IF(EOMONTH($N$3+INT((DAY(EOMONTH($N$3,0))-1)/2)+P$8,0)=EOMONTH($CT$3,0),P$6*P$7,0),0),IF(AND(L$6&lt;&gt;"",L$8&lt;&gt;""),IF(EOMONTH($J$3+INT((DAY(EOMONTH($J$3,0))-1)/2)+L$8,0)=EOMONTH($CT$3,0),L$6*L$7,0),0),IF(AND(H$6&lt;&gt;"",H$8&lt;&gt;""),IF(EOMONTH($F$3+INT((DAY(EOMONTH($F$3,0))-1)/2)+H$8,0)=EOMONTH($CT$3,0),H$6*H$7,0),0)),0)</f>
        <v>52</v>
      </c>
      <c r="CW9" s="16">
        <f t="shared" si="51"/>
        <v>0</v>
      </c>
      <c r="CX9" s="17"/>
      <c r="CY9" s="14">
        <f>IF(CX$98=1,CX9,ROUND(SUM(IF(AND(EQ$6&lt;&gt;"",EQ$8&lt;&gt;""),IF(EOMONTH($EP$3+INT((DAY(EOMONTH($EP$3,0))-1)/2)+EQ$8,0)=EOMONTH($CX$3,0),EQ$6*EQ$7,0),0),IF(AND(EM$6&lt;&gt;"",EM$8&lt;&gt;""),IF(EOMONTH($EL$3+INT((DAY(EOMONTH($EL$3,0))-1)/2)+EM$8,0)=EOMONTH($CX$3,0),EM$6*EM$7,0),0),IF(AND(EI$6&lt;&gt;"",EI$8&lt;&gt;""),IF(EOMONTH($EH$3+INT((DAY(EOMONTH($EH$3,0))-1)/2)+EI$8,0)=EOMONTH($CX$3,0),EI$6*EI$7,0),0),IF(AND(EE$6&lt;&gt;"",EE$8&lt;&gt;""),IF(EOMONTH($ED$3+INT((DAY(EOMONTH($ED$3,0))-1)/2)+EE$8,0)=EOMONTH($CX$3,0),EE$6*EE$7,0),0),IF(AND(EA$6&lt;&gt;"",EA$8&lt;&gt;""),IF(EOMONTH($DZ$3+INT((DAY(EOMONTH($DZ$3,0))-1)/2)+EA$8,0)=EOMONTH($CX$3,0),EA$6*EA$7,0),0),IF(AND(DW$6&lt;&gt;"",DW$8&lt;&gt;""),IF(EOMONTH($DV$3+INT((DAY(EOMONTH($DV$3,0))-1)/2)+DW$8,0)=EOMONTH($CX$3,0),DW$6*DW$7,0),0),IF(AND(DS$6&lt;&gt;"",DS$8&lt;&gt;""),IF(EOMONTH($DR$3+INT((DAY(EOMONTH($DR$3,0))-1)/2)+DS$8,0)=EOMONTH($CX$3,0),DS$6*DS$7,0),0),IF(AND(DO$6&lt;&gt;"",DO$8&lt;&gt;""),IF(EOMONTH($DN$3+INT((DAY(EOMONTH($DN$3,0))-1)/2)+DO$8,0)=EOMONTH($CX$3,0),DO$6*DO$7,0),0),IF(AND(DK$6&lt;&gt;"",DK$8&lt;&gt;""),IF(EOMONTH($DJ$3+INT((DAY(EOMONTH($DJ$3,0))-1)/2)+DK$8,0)=EOMONTH($CX$3,0),DK$6*DK$7,0),0),IF(AND(DG$6&lt;&gt;"",DG$8&lt;&gt;""),IF(EOMONTH($DF$3+INT((DAY(EOMONTH($DF$3,0))-1)/2)+DG$8,0)=EOMONTH($CX$3,0),DG$6*DG$7,0),0),IF(AND(DC$6&lt;&gt;"",DC$8&lt;&gt;""),IF(EOMONTH($DB$3+INT((DAY(EOMONTH($DB$3,0))-1)/2)+DC$8,0)=EOMONTH($CX$3,0),DC$6*DC$7,0),0),IF(AND(CY$6&lt;&gt;"",CY$8&lt;&gt;""),IF(EOMONTH($CX$3+INT((DAY(EOMONTH($CX$3,0))-1)/2)+CY$8,0)=EOMONTH($CX$3,0),CY$6*CY$7,0),0),IF(AND(CU$6&lt;&gt;"",CU$8&lt;&gt;""),IF(EOMONTH($CT$3+INT((DAY(EOMONTH($CT$3,0))-1)/2)+CU$8,0)=EOMONTH($CX$3,0),CU$6*CU$7,0),0),IF(AND(CQ$6&lt;&gt;"",CQ$8&lt;&gt;""),IF(EOMONTH($CP$3+INT((DAY(EOMONTH($CP$3,0))-1)/2)+CQ$8,0)=EOMONTH($CX$3,0),CQ$6*CQ$7,0),0),IF(AND(CM$6&lt;&gt;"",CM$8&lt;&gt;""),IF(EOMONTH($CL$3+INT((DAY(EOMONTH($CL$3,0))-1)/2)+CM$8,0)=EOMONTH($CX$3,0),CM$6*CM$7,0),0),IF(AND(CI$6&lt;&gt;"",CI$8&lt;&gt;""),IF(EOMONTH($CH$3+INT((DAY(EOMONTH($CH$3,0))-1)/2)+CI$8,0)=EOMONTH($CX$3,0),CI$6*CI$7,0),0),IF(AND(CE$6&lt;&gt;"",CE$8&lt;&gt;""),IF(EOMONTH($CD$3+INT((DAY(EOMONTH($CD$3,0))-1)/2)+CE$8,0)=EOMONTH($CX$3,0),CE$6*CE$7,0),0),IF(AND(CA$6&lt;&gt;"",CA$8&lt;&gt;""),IF(EOMONTH($BZ$3+INT((DAY(EOMONTH($BZ$3,0))-1)/2)+CA$8,0)=EOMONTH($CX$3,0),CA$6*CA$7,0),0),IF(AND(BW$6&lt;&gt;"",BW$8&lt;&gt;""),IF(EOMONTH($BV$3+INT((DAY(EOMONTH($BV$3,0))-1)/2)+BW$8,0)=EOMONTH($CX$3,0),BW$6*BW$7,0),0),IF(AND(BS$6&lt;&gt;"",BS$8&lt;&gt;""),IF(EOMONTH($BR$3+INT((DAY(EOMONTH($BR$3,0))-1)/2)+BS$8,0)=EOMONTH($CX$3,0),BS$6*BS$7,0),0),IF(AND(BO$6&lt;&gt;"",BO$8&lt;&gt;""),IF(EOMONTH($BN$3+INT((DAY(EOMONTH($BN$3,0))-1)/2)+BO$8,0)=EOMONTH($CX$3,0),BO$6*BO$7,0),0),IF(AND(BK$6&lt;&gt;"",BK$8&lt;&gt;""),IF(EOMONTH($BJ$3+INT((DAY(EOMONTH($BJ$3,0))-1)/2)+BK$8,0)=EOMONTH($CX$3,0),BK$6*BK$7,0),0),IF(AND(BG$6&lt;&gt;"",BG$8&lt;&gt;""),IF(EOMONTH($BF$3+INT((DAY(EOMONTH($BF$3,0))-1)/2)+BG$8,0)=EOMONTH($CX$3,0),BG$6*BG$7,0),0),IF(AND(BC$6&lt;&gt;"",BC$8&lt;&gt;""),IF(EOMONTH($BB$3+INT((DAY(EOMONTH($BB$3,0))-1)/2)+BC$8,0)=EOMONTH($CX$3,0),BC$6*BC$7,0),0),IF(AND(AY$6&lt;&gt;"",AY$8&lt;&gt;""),IF(EOMONTH($AX$3+INT((DAY(EOMONTH($AX$3,0))-1)/2)+AY$8,0)=EOMONTH($CX$3,0),AY$6*AY$7,0),0),IF(AND(AU$6&lt;&gt;"",AU$8&lt;&gt;""),IF(EOMONTH($AT$3+INT((DAY(EOMONTH($AT$3,0))-1)/2)+AU$8,0)=EOMONTH($CX$3,0),AU$6*AU$7,0),0),IF(AND(AQ$6&lt;&gt;"",AQ$8&lt;&gt;""),IF(EOMONTH($AP$3+INT((DAY(EOMONTH($AP$3,0))-1)/2)+AQ$8,0)=EOMONTH($CX$3,0),AQ$6*AQ$7,0),0),IF(AND(AM$6&lt;&gt;"",AM$8&lt;&gt;""),IF(EOMONTH($AL$3+INT((DAY(EOMONTH($AL$3,0))-1)/2)+AM$8,0)=EOMONTH($CX$3,0),AM$6*AM$7,0),0),IF(AND(AI$6&lt;&gt;"",AI$8&lt;&gt;""),IF(EOMONTH($AH$3+INT((DAY(EOMONTH($AH$3,0))-1)/2)+AI$8,0)=EOMONTH($CX$3,0),AI$6*AI$7,0),0),IF(AND(AE$6&lt;&gt;"",AE$8&lt;&gt;""),IF(EOMONTH($AD$3+INT((DAY(EOMONTH($AD$3,0))-1)/2)+AE$8,0)=EOMONTH($CX$3,0),AE$6*AE$7,0),0),IF(AND(AA$6&lt;&gt;"",AA$8&lt;&gt;""),IF(EOMONTH($Z$3+INT((DAY(EOMONTH($Z$3,0))-1)/2)+AA$8,0)=EOMONTH($CX$3,0),AA$6*AA$7,0),0),IF(AND(W$6&lt;&gt;"",W$8&lt;&gt;""),IF(EOMONTH($V$3+INT((DAY(EOMONTH($V$3,0))-1)/2)+W$8,0)=EOMONTH($CX$3,0),W$6*W$7,0),0),IF(AND(S$6&lt;&gt;"",S$8&lt;&gt;""),IF(EOMONTH($R$3+INT((DAY(EOMONTH($R$3,0))-1)/2)+S$8,0)=EOMONTH($CX$3,0),S$6*S$7,0),0),IF(AND(O$6&lt;&gt;"",O$8&lt;&gt;""),IF(EOMONTH($N$3+INT((DAY(EOMONTH($N$3,0))-1)/2)+O$8,0)=EOMONTH($CX$3,0),O$6*O$7,0),0),IF(AND(K$6&lt;&gt;"",K$8&lt;&gt;""),IF(EOMONTH($J$3+INT((DAY(EOMONTH($J$3,0))-1)/2)+K$8,0)=EOMONTH($CX$3,0),K$6*K$7,0),0),IF(AND(G$6&lt;&gt;"",G$8&lt;&gt;""),IF(EOMONTH($F$3+INT((DAY(EOMONTH($F$3,0))-1)/2)+G$8,0)=EOMONTH($CX$3,0),G$6*G$7,0),0)),0))</f>
        <v>51</v>
      </c>
      <c r="CZ9" s="15">
        <f>ROUND(SUM(IF(AND(ER$6&lt;&gt;"",ER$8&lt;&gt;""),IF(EOMONTH($EP$3+INT((DAY(EOMONTH($EP$3,0))-1)/2)+ER$8,0)=EOMONTH($CX$3,0),ER$6*ER$7,0),0),IF(AND(EN$6&lt;&gt;"",EN$8&lt;&gt;""),IF(EOMONTH($EL$3+INT((DAY(EOMONTH($EL$3,0))-1)/2)+EN$8,0)=EOMONTH($CX$3,0),EN$6*EN$7,0),0),IF(AND(EJ$6&lt;&gt;"",EJ$8&lt;&gt;""),IF(EOMONTH($EH$3+INT((DAY(EOMONTH($EH$3,0))-1)/2)+EJ$8,0)=EOMONTH($CX$3,0),EJ$6*EJ$7,0),0),IF(AND(EF$6&lt;&gt;"",EF$8&lt;&gt;""),IF(EOMONTH($ED$3+INT((DAY(EOMONTH($ED$3,0))-1)/2)+EF$8,0)=EOMONTH($CX$3,0),EF$6*EF$7,0),0),IF(AND(EB$6&lt;&gt;"",EB$8&lt;&gt;""),IF(EOMONTH($DZ$3+INT((DAY(EOMONTH($DZ$3,0))-1)/2)+EB$8,0)=EOMONTH($CX$3,0),EB$6*EB$7,0),0),IF(AND(DX$6&lt;&gt;"",DX$8&lt;&gt;""),IF(EOMONTH($DV$3+INT((DAY(EOMONTH($DV$3,0))-1)/2)+DX$8,0)=EOMONTH($CX$3,0),DX$6*DX$7,0),0),IF(AND(DT$6&lt;&gt;"",DT$8&lt;&gt;""),IF(EOMONTH($DR$3+INT((DAY(EOMONTH($DR$3,0))-1)/2)+DT$8,0)=EOMONTH($CX$3,0),DT$6*DT$7,0),0),IF(AND(DP$6&lt;&gt;"",DP$8&lt;&gt;""),IF(EOMONTH($DN$3+INT((DAY(EOMONTH($DN$3,0))-1)/2)+DP$8,0)=EOMONTH($CX$3,0),DP$6*DP$7,0),0),IF(AND(DL$6&lt;&gt;"",DL$8&lt;&gt;""),IF(EOMONTH($DJ$3+INT((DAY(EOMONTH($DJ$3,0))-1)/2)+DL$8,0)=EOMONTH($CX$3,0),DL$6*DL$7,0),0),IF(AND(DH$6&lt;&gt;"",DH$8&lt;&gt;""),IF(EOMONTH($DF$3+INT((DAY(EOMONTH($DF$3,0))-1)/2)+DH$8,0)=EOMONTH($CX$3,0),DH$6*DH$7,0),0),IF(AND(DD$6&lt;&gt;"",DD$8&lt;&gt;""),IF(EOMONTH($DB$3+INT((DAY(EOMONTH($DB$3,0))-1)/2)+DD$8,0)=EOMONTH($CX$3,0),DD$6*DD$7,0),0),IF(AND(CZ$6&lt;&gt;"",CZ$8&lt;&gt;""),IF(EOMONTH($CX$3+INT((DAY(EOMONTH($CX$3,0))-1)/2)+CZ$8,0)=EOMONTH($CX$3,0),CZ$6*CZ$7,0),0),IF(AND(CV$6&lt;&gt;"",CV$8&lt;&gt;""),IF(EOMONTH($CT$3+INT((DAY(EOMONTH($CT$3,0))-1)/2)+CV$8,0)=EOMONTH($CX$3,0),CV$6*CV$7,0),0),IF(AND(CR$6&lt;&gt;"",CR$8&lt;&gt;""),IF(EOMONTH($CP$3+INT((DAY(EOMONTH($CP$3,0))-1)/2)+CR$8,0)=EOMONTH($CX$3,0),CR$6*CR$7,0),0),IF(AND(CN$6&lt;&gt;"",CN$8&lt;&gt;""),IF(EOMONTH($CL$3+INT((DAY(EOMONTH($CL$3,0))-1)/2)+CN$8,0)=EOMONTH($CX$3,0),CN$6*CN$7,0),0),IF(AND(CJ$6&lt;&gt;"",CJ$8&lt;&gt;""),IF(EOMONTH($CH$3+INT((DAY(EOMONTH($CH$3,0))-1)/2)+CJ$8,0)=EOMONTH($CX$3,0),CJ$6*CJ$7,0),0),IF(AND(CF$6&lt;&gt;"",CF$8&lt;&gt;""),IF(EOMONTH($CD$3+INT((DAY(EOMONTH($CD$3,0))-1)/2)+CF$8,0)=EOMONTH($CX$3,0),CF$6*CF$7,0),0),IF(AND(CB$6&lt;&gt;"",CB$8&lt;&gt;""),IF(EOMONTH($BZ$3+INT((DAY(EOMONTH($BZ$3,0))-1)/2)+CB$8,0)=EOMONTH($CX$3,0),CB$6*CB$7,0),0),IF(AND(BX$6&lt;&gt;"",BX$8&lt;&gt;""),IF(EOMONTH($BV$3+INT((DAY(EOMONTH($BV$3,0))-1)/2)+BX$8,0)=EOMONTH($CX$3,0),BX$6*BX$7,0),0),IF(AND(BT$6&lt;&gt;"",BT$8&lt;&gt;""),IF(EOMONTH($BR$3+INT((DAY(EOMONTH($BR$3,0))-1)/2)+BT$8,0)=EOMONTH($CX$3,0),BT$6*BT$7,0),0),IF(AND(BP$6&lt;&gt;"",BP$8&lt;&gt;""),IF(EOMONTH($BN$3+INT((DAY(EOMONTH($BN$3,0))-1)/2)+BP$8,0)=EOMONTH($CX$3,0),BP$6*BP$7,0),0),IF(AND(BL$6&lt;&gt;"",BL$8&lt;&gt;""),IF(EOMONTH($BJ$3+INT((DAY(EOMONTH($BJ$3,0))-1)/2)+BL$8,0)=EOMONTH($CX$3,0),BL$6*BL$7,0),0),IF(AND(BH$6&lt;&gt;"",BH$8&lt;&gt;""),IF(EOMONTH($BF$3+INT((DAY(EOMONTH($BF$3,0))-1)/2)+BH$8,0)=EOMONTH($CX$3,0),BH$6*BH$7,0),0),IF(AND(BD$6&lt;&gt;"",BD$8&lt;&gt;""),IF(EOMONTH($BB$3+INT((DAY(EOMONTH($BB$3,0))-1)/2)+BD$8,0)=EOMONTH($CX$3,0),BD$6*BD$7,0),0),IF(AND(AZ$6&lt;&gt;"",AZ$8&lt;&gt;""),IF(EOMONTH($AX$3+INT((DAY(EOMONTH($AX$3,0))-1)/2)+AZ$8,0)=EOMONTH($CX$3,0),AZ$6*AZ$7,0),0),IF(AND(AV$6&lt;&gt;"",AV$8&lt;&gt;""),IF(EOMONTH($AT$3+INT((DAY(EOMONTH($AT$3,0))-1)/2)+AV$8,0)=EOMONTH($CX$3,0),AV$6*AV$7,0),0),IF(AND(AR$6&lt;&gt;"",AR$8&lt;&gt;""),IF(EOMONTH($AP$3+INT((DAY(EOMONTH($AP$3,0))-1)/2)+AR$8,0)=EOMONTH($CX$3,0),AR$6*AR$7,0),0),IF(AND(AN$6&lt;&gt;"",AN$8&lt;&gt;""),IF(EOMONTH($AL$3+INT((DAY(EOMONTH($AL$3,0))-1)/2)+AN$8,0)=EOMONTH($CX$3,0),AN$6*AN$7,0),0),IF(AND(AJ$6&lt;&gt;"",AJ$8&lt;&gt;""),IF(EOMONTH($AH$3+INT((DAY(EOMONTH($AH$3,0))-1)/2)+AJ$8,0)=EOMONTH($CX$3,0),AJ$6*AJ$7,0),0),IF(AND(AF$6&lt;&gt;"",AF$8&lt;&gt;""),IF(EOMONTH($AD$3+INT((DAY(EOMONTH($AD$3,0))-1)/2)+AF$8,0)=EOMONTH($CX$3,0),AF$6*AF$7,0),0),IF(AND(AB$6&lt;&gt;"",AB$8&lt;&gt;""),IF(EOMONTH($Z$3+INT((DAY(EOMONTH($Z$3,0))-1)/2)+AB$8,0)=EOMONTH($CX$3,0),AB$6*AB$7,0),0),IF(AND(X$6&lt;&gt;"",X$8&lt;&gt;""),IF(EOMONTH($V$3+INT((DAY(EOMONTH($V$3,0))-1)/2)+X$8,0)=EOMONTH($CX$3,0),X$6*X$7,0),0),IF(AND(T$6&lt;&gt;"",T$8&lt;&gt;""),IF(EOMONTH($R$3+INT((DAY(EOMONTH($R$3,0))-1)/2)+T$8,0)=EOMONTH($CX$3,0),T$6*T$7,0),0),IF(AND(P$6&lt;&gt;"",P$8&lt;&gt;""),IF(EOMONTH($N$3+INT((DAY(EOMONTH($N$3,0))-1)/2)+P$8,0)=EOMONTH($CX$3,0),P$6*P$7,0),0),IF(AND(L$6&lt;&gt;"",L$8&lt;&gt;""),IF(EOMONTH($J$3+INT((DAY(EOMONTH($J$3,0))-1)/2)+L$8,0)=EOMONTH($CX$3,0),L$6*L$7,0),0),IF(AND(H$6&lt;&gt;"",H$8&lt;&gt;""),IF(EOMONTH($F$3+INT((DAY(EOMONTH($F$3,0))-1)/2)+H$8,0)=EOMONTH($CX$3,0),H$6*H$7,0),0)),0)</f>
        <v>51</v>
      </c>
      <c r="DA9" s="16">
        <f t="shared" si="53"/>
        <v>0</v>
      </c>
      <c r="DB9" s="17"/>
      <c r="DC9" s="14">
        <f>IF(DB$98=1,DB9,ROUND(SUM(IF(AND(EQ$6&lt;&gt;"",EQ$8&lt;&gt;""),IF(EOMONTH($EP$3+INT((DAY(EOMONTH($EP$3,0))-1)/2)+EQ$8,0)=EOMONTH($DB$3,0),EQ$6*EQ$7,0),0),IF(AND(EM$6&lt;&gt;"",EM$8&lt;&gt;""),IF(EOMONTH($EL$3+INT((DAY(EOMONTH($EL$3,0))-1)/2)+EM$8,0)=EOMONTH($DB$3,0),EM$6*EM$7,0),0),IF(AND(EI$6&lt;&gt;"",EI$8&lt;&gt;""),IF(EOMONTH($EH$3+INT((DAY(EOMONTH($EH$3,0))-1)/2)+EI$8,0)=EOMONTH($DB$3,0),EI$6*EI$7,0),0),IF(AND(EE$6&lt;&gt;"",EE$8&lt;&gt;""),IF(EOMONTH($ED$3+INT((DAY(EOMONTH($ED$3,0))-1)/2)+EE$8,0)=EOMONTH($DB$3,0),EE$6*EE$7,0),0),IF(AND(EA$6&lt;&gt;"",EA$8&lt;&gt;""),IF(EOMONTH($DZ$3+INT((DAY(EOMONTH($DZ$3,0))-1)/2)+EA$8,0)=EOMONTH($DB$3,0),EA$6*EA$7,0),0),IF(AND(DW$6&lt;&gt;"",DW$8&lt;&gt;""),IF(EOMONTH($DV$3+INT((DAY(EOMONTH($DV$3,0))-1)/2)+DW$8,0)=EOMONTH($DB$3,0),DW$6*DW$7,0),0),IF(AND(DS$6&lt;&gt;"",DS$8&lt;&gt;""),IF(EOMONTH($DR$3+INT((DAY(EOMONTH($DR$3,0))-1)/2)+DS$8,0)=EOMONTH($DB$3,0),DS$6*DS$7,0),0),IF(AND(DO$6&lt;&gt;"",DO$8&lt;&gt;""),IF(EOMONTH($DN$3+INT((DAY(EOMONTH($DN$3,0))-1)/2)+DO$8,0)=EOMONTH($DB$3,0),DO$6*DO$7,0),0),IF(AND(DK$6&lt;&gt;"",DK$8&lt;&gt;""),IF(EOMONTH($DJ$3+INT((DAY(EOMONTH($DJ$3,0))-1)/2)+DK$8,0)=EOMONTH($DB$3,0),DK$6*DK$7,0),0),IF(AND(DG$6&lt;&gt;"",DG$8&lt;&gt;""),IF(EOMONTH($DF$3+INT((DAY(EOMONTH($DF$3,0))-1)/2)+DG$8,0)=EOMONTH($DB$3,0),DG$6*DG$7,0),0),IF(AND(DC$6&lt;&gt;"",DC$8&lt;&gt;""),IF(EOMONTH($DB$3+INT((DAY(EOMONTH($DB$3,0))-1)/2)+DC$8,0)=EOMONTH($DB$3,0),DC$6*DC$7,0),0),IF(AND(CY$6&lt;&gt;"",CY$8&lt;&gt;""),IF(EOMONTH($CX$3+INT((DAY(EOMONTH($CX$3,0))-1)/2)+CY$8,0)=EOMONTH($DB$3,0),CY$6*CY$7,0),0),IF(AND(CU$6&lt;&gt;"",CU$8&lt;&gt;""),IF(EOMONTH($CT$3+INT((DAY(EOMONTH($CT$3,0))-1)/2)+CU$8,0)=EOMONTH($DB$3,0),CU$6*CU$7,0),0),IF(AND(CQ$6&lt;&gt;"",CQ$8&lt;&gt;""),IF(EOMONTH($CP$3+INT((DAY(EOMONTH($CP$3,0))-1)/2)+CQ$8,0)=EOMONTH($DB$3,0),CQ$6*CQ$7,0),0),IF(AND(CM$6&lt;&gt;"",CM$8&lt;&gt;""),IF(EOMONTH($CL$3+INT((DAY(EOMONTH($CL$3,0))-1)/2)+CM$8,0)=EOMONTH($DB$3,0),CM$6*CM$7,0),0),IF(AND(CI$6&lt;&gt;"",CI$8&lt;&gt;""),IF(EOMONTH($CH$3+INT((DAY(EOMONTH($CH$3,0))-1)/2)+CI$8,0)=EOMONTH($DB$3,0),CI$6*CI$7,0),0),IF(AND(CE$6&lt;&gt;"",CE$8&lt;&gt;""),IF(EOMONTH($CD$3+INT((DAY(EOMONTH($CD$3,0))-1)/2)+CE$8,0)=EOMONTH($DB$3,0),CE$6*CE$7,0),0),IF(AND(CA$6&lt;&gt;"",CA$8&lt;&gt;""),IF(EOMONTH($BZ$3+INT((DAY(EOMONTH($BZ$3,0))-1)/2)+CA$8,0)=EOMONTH($DB$3,0),CA$6*CA$7,0),0),IF(AND(BW$6&lt;&gt;"",BW$8&lt;&gt;""),IF(EOMONTH($BV$3+INT((DAY(EOMONTH($BV$3,0))-1)/2)+BW$8,0)=EOMONTH($DB$3,0),BW$6*BW$7,0),0),IF(AND(BS$6&lt;&gt;"",BS$8&lt;&gt;""),IF(EOMONTH($BR$3+INT((DAY(EOMONTH($BR$3,0))-1)/2)+BS$8,0)=EOMONTH($DB$3,0),BS$6*BS$7,0),0),IF(AND(BO$6&lt;&gt;"",BO$8&lt;&gt;""),IF(EOMONTH($BN$3+INT((DAY(EOMONTH($BN$3,0))-1)/2)+BO$8,0)=EOMONTH($DB$3,0),BO$6*BO$7,0),0),IF(AND(BK$6&lt;&gt;"",BK$8&lt;&gt;""),IF(EOMONTH($BJ$3+INT((DAY(EOMONTH($BJ$3,0))-1)/2)+BK$8,0)=EOMONTH($DB$3,0),BK$6*BK$7,0),0),IF(AND(BG$6&lt;&gt;"",BG$8&lt;&gt;""),IF(EOMONTH($BF$3+INT((DAY(EOMONTH($BF$3,0))-1)/2)+BG$8,0)=EOMONTH($DB$3,0),BG$6*BG$7,0),0),IF(AND(BC$6&lt;&gt;"",BC$8&lt;&gt;""),IF(EOMONTH($BB$3+INT((DAY(EOMONTH($BB$3,0))-1)/2)+BC$8,0)=EOMONTH($DB$3,0),BC$6*BC$7,0),0),IF(AND(AY$6&lt;&gt;"",AY$8&lt;&gt;""),IF(EOMONTH($AX$3+INT((DAY(EOMONTH($AX$3,0))-1)/2)+AY$8,0)=EOMONTH($DB$3,0),AY$6*AY$7,0),0),IF(AND(AU$6&lt;&gt;"",AU$8&lt;&gt;""),IF(EOMONTH($AT$3+INT((DAY(EOMONTH($AT$3,0))-1)/2)+AU$8,0)=EOMONTH($DB$3,0),AU$6*AU$7,0),0),IF(AND(AQ$6&lt;&gt;"",AQ$8&lt;&gt;""),IF(EOMONTH($AP$3+INT((DAY(EOMONTH($AP$3,0))-1)/2)+AQ$8,0)=EOMONTH($DB$3,0),AQ$6*AQ$7,0),0),IF(AND(AM$6&lt;&gt;"",AM$8&lt;&gt;""),IF(EOMONTH($AL$3+INT((DAY(EOMONTH($AL$3,0))-1)/2)+AM$8,0)=EOMONTH($DB$3,0),AM$6*AM$7,0),0),IF(AND(AI$6&lt;&gt;"",AI$8&lt;&gt;""),IF(EOMONTH($AH$3+INT((DAY(EOMONTH($AH$3,0))-1)/2)+AI$8,0)=EOMONTH($DB$3,0),AI$6*AI$7,0),0),IF(AND(AE$6&lt;&gt;"",AE$8&lt;&gt;""),IF(EOMONTH($AD$3+INT((DAY(EOMONTH($AD$3,0))-1)/2)+AE$8,0)=EOMONTH($DB$3,0),AE$6*AE$7,0),0),IF(AND(AA$6&lt;&gt;"",AA$8&lt;&gt;""),IF(EOMONTH($Z$3+INT((DAY(EOMONTH($Z$3,0))-1)/2)+AA$8,0)=EOMONTH($DB$3,0),AA$6*AA$7,0),0),IF(AND(W$6&lt;&gt;"",W$8&lt;&gt;""),IF(EOMONTH($V$3+INT((DAY(EOMONTH($V$3,0))-1)/2)+W$8,0)=EOMONTH($DB$3,0),W$6*W$7,0),0),IF(AND(S$6&lt;&gt;"",S$8&lt;&gt;""),IF(EOMONTH($R$3+INT((DAY(EOMONTH($R$3,0))-1)/2)+S$8,0)=EOMONTH($DB$3,0),S$6*S$7,0),0),IF(AND(O$6&lt;&gt;"",O$8&lt;&gt;""),IF(EOMONTH($N$3+INT((DAY(EOMONTH($N$3,0))-1)/2)+O$8,0)=EOMONTH($DB$3,0),O$6*O$7,0),0),IF(AND(K$6&lt;&gt;"",K$8&lt;&gt;""),IF(EOMONTH($J$3+INT((DAY(EOMONTH($J$3,0))-1)/2)+K$8,0)=EOMONTH($DB$3,0),K$6*K$7,0),0),IF(AND(G$6&lt;&gt;"",G$8&lt;&gt;""),IF(EOMONTH($F$3+INT((DAY(EOMONTH($F$3,0))-1)/2)+G$8,0)=EOMONTH($DB$3,0),G$6*G$7,0),0)),0))</f>
        <v>50</v>
      </c>
      <c r="DD9" s="15">
        <f>ROUND(SUM(IF(AND(ER$6&lt;&gt;"",ER$8&lt;&gt;""),IF(EOMONTH($EP$3+INT((DAY(EOMONTH($EP$3,0))-1)/2)+ER$8,0)=EOMONTH($DB$3,0),ER$6*ER$7,0),0),IF(AND(EN$6&lt;&gt;"",EN$8&lt;&gt;""),IF(EOMONTH($EL$3+INT((DAY(EOMONTH($EL$3,0))-1)/2)+EN$8,0)=EOMONTH($DB$3,0),EN$6*EN$7,0),0),IF(AND(EJ$6&lt;&gt;"",EJ$8&lt;&gt;""),IF(EOMONTH($EH$3+INT((DAY(EOMONTH($EH$3,0))-1)/2)+EJ$8,0)=EOMONTH($DB$3,0),EJ$6*EJ$7,0),0),IF(AND(EF$6&lt;&gt;"",EF$8&lt;&gt;""),IF(EOMONTH($ED$3+INT((DAY(EOMONTH($ED$3,0))-1)/2)+EF$8,0)=EOMONTH($DB$3,0),EF$6*EF$7,0),0),IF(AND(EB$6&lt;&gt;"",EB$8&lt;&gt;""),IF(EOMONTH($DZ$3+INT((DAY(EOMONTH($DZ$3,0))-1)/2)+EB$8,0)=EOMONTH($DB$3,0),EB$6*EB$7,0),0),IF(AND(DX$6&lt;&gt;"",DX$8&lt;&gt;""),IF(EOMONTH($DV$3+INT((DAY(EOMONTH($DV$3,0))-1)/2)+DX$8,0)=EOMONTH($DB$3,0),DX$6*DX$7,0),0),IF(AND(DT$6&lt;&gt;"",DT$8&lt;&gt;""),IF(EOMONTH($DR$3+INT((DAY(EOMONTH($DR$3,0))-1)/2)+DT$8,0)=EOMONTH($DB$3,0),DT$6*DT$7,0),0),IF(AND(DP$6&lt;&gt;"",DP$8&lt;&gt;""),IF(EOMONTH($DN$3+INT((DAY(EOMONTH($DN$3,0))-1)/2)+DP$8,0)=EOMONTH($DB$3,0),DP$6*DP$7,0),0),IF(AND(DL$6&lt;&gt;"",DL$8&lt;&gt;""),IF(EOMONTH($DJ$3+INT((DAY(EOMONTH($DJ$3,0))-1)/2)+DL$8,0)=EOMONTH($DB$3,0),DL$6*DL$7,0),0),IF(AND(DH$6&lt;&gt;"",DH$8&lt;&gt;""),IF(EOMONTH($DF$3+INT((DAY(EOMONTH($DF$3,0))-1)/2)+DH$8,0)=EOMONTH($DB$3,0),DH$6*DH$7,0),0),IF(AND(DD$6&lt;&gt;"",DD$8&lt;&gt;""),IF(EOMONTH($DB$3+INT((DAY(EOMONTH($DB$3,0))-1)/2)+DD$8,0)=EOMONTH($DB$3,0),DD$6*DD$7,0),0),IF(AND(CZ$6&lt;&gt;"",CZ$8&lt;&gt;""),IF(EOMONTH($CX$3+INT((DAY(EOMONTH($CX$3,0))-1)/2)+CZ$8,0)=EOMONTH($DB$3,0),CZ$6*CZ$7,0),0),IF(AND(CV$6&lt;&gt;"",CV$8&lt;&gt;""),IF(EOMONTH($CT$3+INT((DAY(EOMONTH($CT$3,0))-1)/2)+CV$8,0)=EOMONTH($DB$3,0),CV$6*CV$7,0),0),IF(AND(CR$6&lt;&gt;"",CR$8&lt;&gt;""),IF(EOMONTH($CP$3+INT((DAY(EOMONTH($CP$3,0))-1)/2)+CR$8,0)=EOMONTH($DB$3,0),CR$6*CR$7,0),0),IF(AND(CN$6&lt;&gt;"",CN$8&lt;&gt;""),IF(EOMONTH($CL$3+INT((DAY(EOMONTH($CL$3,0))-1)/2)+CN$8,0)=EOMONTH($DB$3,0),CN$6*CN$7,0),0),IF(AND(CJ$6&lt;&gt;"",CJ$8&lt;&gt;""),IF(EOMONTH($CH$3+INT((DAY(EOMONTH($CH$3,0))-1)/2)+CJ$8,0)=EOMONTH($DB$3,0),CJ$6*CJ$7,0),0),IF(AND(CF$6&lt;&gt;"",CF$8&lt;&gt;""),IF(EOMONTH($CD$3+INT((DAY(EOMONTH($CD$3,0))-1)/2)+CF$8,0)=EOMONTH($DB$3,0),CF$6*CF$7,0),0),IF(AND(CB$6&lt;&gt;"",CB$8&lt;&gt;""),IF(EOMONTH($BZ$3+INT((DAY(EOMONTH($BZ$3,0))-1)/2)+CB$8,0)=EOMONTH($DB$3,0),CB$6*CB$7,0),0),IF(AND(BX$6&lt;&gt;"",BX$8&lt;&gt;""),IF(EOMONTH($BV$3+INT((DAY(EOMONTH($BV$3,0))-1)/2)+BX$8,0)=EOMONTH($DB$3,0),BX$6*BX$7,0),0),IF(AND(BT$6&lt;&gt;"",BT$8&lt;&gt;""),IF(EOMONTH($BR$3+INT((DAY(EOMONTH($BR$3,0))-1)/2)+BT$8,0)=EOMONTH($DB$3,0),BT$6*BT$7,0),0),IF(AND(BP$6&lt;&gt;"",BP$8&lt;&gt;""),IF(EOMONTH($BN$3+INT((DAY(EOMONTH($BN$3,0))-1)/2)+BP$8,0)=EOMONTH($DB$3,0),BP$6*BP$7,0),0),IF(AND(BL$6&lt;&gt;"",BL$8&lt;&gt;""),IF(EOMONTH($BJ$3+INT((DAY(EOMONTH($BJ$3,0))-1)/2)+BL$8,0)=EOMONTH($DB$3,0),BL$6*BL$7,0),0),IF(AND(BH$6&lt;&gt;"",BH$8&lt;&gt;""),IF(EOMONTH($BF$3+INT((DAY(EOMONTH($BF$3,0))-1)/2)+BH$8,0)=EOMONTH($DB$3,0),BH$6*BH$7,0),0),IF(AND(BD$6&lt;&gt;"",BD$8&lt;&gt;""),IF(EOMONTH($BB$3+INT((DAY(EOMONTH($BB$3,0))-1)/2)+BD$8,0)=EOMONTH($DB$3,0),BD$6*BD$7,0),0),IF(AND(AZ$6&lt;&gt;"",AZ$8&lt;&gt;""),IF(EOMONTH($AX$3+INT((DAY(EOMONTH($AX$3,0))-1)/2)+AZ$8,0)=EOMONTH($DB$3,0),AZ$6*AZ$7,0),0),IF(AND(AV$6&lt;&gt;"",AV$8&lt;&gt;""),IF(EOMONTH($AT$3+INT((DAY(EOMONTH($AT$3,0))-1)/2)+AV$8,0)=EOMONTH($DB$3,0),AV$6*AV$7,0),0),IF(AND(AR$6&lt;&gt;"",AR$8&lt;&gt;""),IF(EOMONTH($AP$3+INT((DAY(EOMONTH($AP$3,0))-1)/2)+AR$8,0)=EOMONTH($DB$3,0),AR$6*AR$7,0),0),IF(AND(AN$6&lt;&gt;"",AN$8&lt;&gt;""),IF(EOMONTH($AL$3+INT((DAY(EOMONTH($AL$3,0))-1)/2)+AN$8,0)=EOMONTH($DB$3,0),AN$6*AN$7,0),0),IF(AND(AJ$6&lt;&gt;"",AJ$8&lt;&gt;""),IF(EOMONTH($AH$3+INT((DAY(EOMONTH($AH$3,0))-1)/2)+AJ$8,0)=EOMONTH($DB$3,0),AJ$6*AJ$7,0),0),IF(AND(AF$6&lt;&gt;"",AF$8&lt;&gt;""),IF(EOMONTH($AD$3+INT((DAY(EOMONTH($AD$3,0))-1)/2)+AF$8,0)=EOMONTH($DB$3,0),AF$6*AF$7,0),0),IF(AND(AB$6&lt;&gt;"",AB$8&lt;&gt;""),IF(EOMONTH($Z$3+INT((DAY(EOMONTH($Z$3,0))-1)/2)+AB$8,0)=EOMONTH($DB$3,0),AB$6*AB$7,0),0),IF(AND(X$6&lt;&gt;"",X$8&lt;&gt;""),IF(EOMONTH($V$3+INT((DAY(EOMONTH($V$3,0))-1)/2)+X$8,0)=EOMONTH($DB$3,0),X$6*X$7,0),0),IF(AND(T$6&lt;&gt;"",T$8&lt;&gt;""),IF(EOMONTH($R$3+INT((DAY(EOMONTH($R$3,0))-1)/2)+T$8,0)=EOMONTH($DB$3,0),T$6*T$7,0),0),IF(AND(P$6&lt;&gt;"",P$8&lt;&gt;""),IF(EOMONTH($N$3+INT((DAY(EOMONTH($N$3,0))-1)/2)+P$8,0)=EOMONTH($DB$3,0),P$6*P$7,0),0),IF(AND(L$6&lt;&gt;"",L$8&lt;&gt;""),IF(EOMONTH($J$3+INT((DAY(EOMONTH($J$3,0))-1)/2)+L$8,0)=EOMONTH($DB$3,0),L$6*L$7,0),0),IF(AND(H$6&lt;&gt;"",H$8&lt;&gt;""),IF(EOMONTH($F$3+INT((DAY(EOMONTH($F$3,0))-1)/2)+H$8,0)=EOMONTH($DB$3,0),H$6*H$7,0),0)),0)</f>
        <v>50</v>
      </c>
      <c r="DE9" s="16">
        <f t="shared" si="55"/>
        <v>0</v>
      </c>
      <c r="DF9" s="17"/>
      <c r="DG9" s="14">
        <f>IF(DF$98=1,DF9,ROUND(SUM(IF(AND(EQ$6&lt;&gt;"",EQ$8&lt;&gt;""),IF(EOMONTH($EP$3+INT((DAY(EOMONTH($EP$3,0))-1)/2)+EQ$8,0)=EOMONTH($DF$3,0),EQ$6*EQ$7,0),0),IF(AND(EM$6&lt;&gt;"",EM$8&lt;&gt;""),IF(EOMONTH($EL$3+INT((DAY(EOMONTH($EL$3,0))-1)/2)+EM$8,0)=EOMONTH($DF$3,0),EM$6*EM$7,0),0),IF(AND(EI$6&lt;&gt;"",EI$8&lt;&gt;""),IF(EOMONTH($EH$3+INT((DAY(EOMONTH($EH$3,0))-1)/2)+EI$8,0)=EOMONTH($DF$3,0),EI$6*EI$7,0),0),IF(AND(EE$6&lt;&gt;"",EE$8&lt;&gt;""),IF(EOMONTH($ED$3+INT((DAY(EOMONTH($ED$3,0))-1)/2)+EE$8,0)=EOMONTH($DF$3,0),EE$6*EE$7,0),0),IF(AND(EA$6&lt;&gt;"",EA$8&lt;&gt;""),IF(EOMONTH($DZ$3+INT((DAY(EOMONTH($DZ$3,0))-1)/2)+EA$8,0)=EOMONTH($DF$3,0),EA$6*EA$7,0),0),IF(AND(DW$6&lt;&gt;"",DW$8&lt;&gt;""),IF(EOMONTH($DV$3+INT((DAY(EOMONTH($DV$3,0))-1)/2)+DW$8,0)=EOMONTH($DF$3,0),DW$6*DW$7,0),0),IF(AND(DS$6&lt;&gt;"",DS$8&lt;&gt;""),IF(EOMONTH($DR$3+INT((DAY(EOMONTH($DR$3,0))-1)/2)+DS$8,0)=EOMONTH($DF$3,0),DS$6*DS$7,0),0),IF(AND(DO$6&lt;&gt;"",DO$8&lt;&gt;""),IF(EOMONTH($DN$3+INT((DAY(EOMONTH($DN$3,0))-1)/2)+DO$8,0)=EOMONTH($DF$3,0),DO$6*DO$7,0),0),IF(AND(DK$6&lt;&gt;"",DK$8&lt;&gt;""),IF(EOMONTH($DJ$3+INT((DAY(EOMONTH($DJ$3,0))-1)/2)+DK$8,0)=EOMONTH($DF$3,0),DK$6*DK$7,0),0),IF(AND(DG$6&lt;&gt;"",DG$8&lt;&gt;""),IF(EOMONTH($DF$3+INT((DAY(EOMONTH($DF$3,0))-1)/2)+DG$8,0)=EOMONTH($DF$3,0),DG$6*DG$7,0),0),IF(AND(DC$6&lt;&gt;"",DC$8&lt;&gt;""),IF(EOMONTH($DB$3+INT((DAY(EOMONTH($DB$3,0))-1)/2)+DC$8,0)=EOMONTH($DF$3,0),DC$6*DC$7,0),0),IF(AND(CY$6&lt;&gt;"",CY$8&lt;&gt;""),IF(EOMONTH($CX$3+INT((DAY(EOMONTH($CX$3,0))-1)/2)+CY$8,0)=EOMONTH($DF$3,0),CY$6*CY$7,0),0),IF(AND(CU$6&lt;&gt;"",CU$8&lt;&gt;""),IF(EOMONTH($CT$3+INT((DAY(EOMONTH($CT$3,0))-1)/2)+CU$8,0)=EOMONTH($DF$3,0),CU$6*CU$7,0),0),IF(AND(CQ$6&lt;&gt;"",CQ$8&lt;&gt;""),IF(EOMONTH($CP$3+INT((DAY(EOMONTH($CP$3,0))-1)/2)+CQ$8,0)=EOMONTH($DF$3,0),CQ$6*CQ$7,0),0),IF(AND(CM$6&lt;&gt;"",CM$8&lt;&gt;""),IF(EOMONTH($CL$3+INT((DAY(EOMONTH($CL$3,0))-1)/2)+CM$8,0)=EOMONTH($DF$3,0),CM$6*CM$7,0),0),IF(AND(CI$6&lt;&gt;"",CI$8&lt;&gt;""),IF(EOMONTH($CH$3+INT((DAY(EOMONTH($CH$3,0))-1)/2)+CI$8,0)=EOMONTH($DF$3,0),CI$6*CI$7,0),0),IF(AND(CE$6&lt;&gt;"",CE$8&lt;&gt;""),IF(EOMONTH($CD$3+INT((DAY(EOMONTH($CD$3,0))-1)/2)+CE$8,0)=EOMONTH($DF$3,0),CE$6*CE$7,0),0),IF(AND(CA$6&lt;&gt;"",CA$8&lt;&gt;""),IF(EOMONTH($BZ$3+INT((DAY(EOMONTH($BZ$3,0))-1)/2)+CA$8,0)=EOMONTH($DF$3,0),CA$6*CA$7,0),0),IF(AND(BW$6&lt;&gt;"",BW$8&lt;&gt;""),IF(EOMONTH($BV$3+INT((DAY(EOMONTH($BV$3,0))-1)/2)+BW$8,0)=EOMONTH($DF$3,0),BW$6*BW$7,0),0),IF(AND(BS$6&lt;&gt;"",BS$8&lt;&gt;""),IF(EOMONTH($BR$3+INT((DAY(EOMONTH($BR$3,0))-1)/2)+BS$8,0)=EOMONTH($DF$3,0),BS$6*BS$7,0),0),IF(AND(BO$6&lt;&gt;"",BO$8&lt;&gt;""),IF(EOMONTH($BN$3+INT((DAY(EOMONTH($BN$3,0))-1)/2)+BO$8,0)=EOMONTH($DF$3,0),BO$6*BO$7,0),0),IF(AND(BK$6&lt;&gt;"",BK$8&lt;&gt;""),IF(EOMONTH($BJ$3+INT((DAY(EOMONTH($BJ$3,0))-1)/2)+BK$8,0)=EOMONTH($DF$3,0),BK$6*BK$7,0),0),IF(AND(BG$6&lt;&gt;"",BG$8&lt;&gt;""),IF(EOMONTH($BF$3+INT((DAY(EOMONTH($BF$3,0))-1)/2)+BG$8,0)=EOMONTH($DF$3,0),BG$6*BG$7,0),0),IF(AND(BC$6&lt;&gt;"",BC$8&lt;&gt;""),IF(EOMONTH($BB$3+INT((DAY(EOMONTH($BB$3,0))-1)/2)+BC$8,0)=EOMONTH($DF$3,0),BC$6*BC$7,0),0),IF(AND(AY$6&lt;&gt;"",AY$8&lt;&gt;""),IF(EOMONTH($AX$3+INT((DAY(EOMONTH($AX$3,0))-1)/2)+AY$8,0)=EOMONTH($DF$3,0),AY$6*AY$7,0),0),IF(AND(AU$6&lt;&gt;"",AU$8&lt;&gt;""),IF(EOMONTH($AT$3+INT((DAY(EOMONTH($AT$3,0))-1)/2)+AU$8,0)=EOMONTH($DF$3,0),AU$6*AU$7,0),0),IF(AND(AQ$6&lt;&gt;"",AQ$8&lt;&gt;""),IF(EOMONTH($AP$3+INT((DAY(EOMONTH($AP$3,0))-1)/2)+AQ$8,0)=EOMONTH($DF$3,0),AQ$6*AQ$7,0),0),IF(AND(AM$6&lt;&gt;"",AM$8&lt;&gt;""),IF(EOMONTH($AL$3+INT((DAY(EOMONTH($AL$3,0))-1)/2)+AM$8,0)=EOMONTH($DF$3,0),AM$6*AM$7,0),0),IF(AND(AI$6&lt;&gt;"",AI$8&lt;&gt;""),IF(EOMONTH($AH$3+INT((DAY(EOMONTH($AH$3,0))-1)/2)+AI$8,0)=EOMONTH($DF$3,0),AI$6*AI$7,0),0),IF(AND(AE$6&lt;&gt;"",AE$8&lt;&gt;""),IF(EOMONTH($AD$3+INT((DAY(EOMONTH($AD$3,0))-1)/2)+AE$8,0)=EOMONTH($DF$3,0),AE$6*AE$7,0),0),IF(AND(AA$6&lt;&gt;"",AA$8&lt;&gt;""),IF(EOMONTH($Z$3+INT((DAY(EOMONTH($Z$3,0))-1)/2)+AA$8,0)=EOMONTH($DF$3,0),AA$6*AA$7,0),0),IF(AND(W$6&lt;&gt;"",W$8&lt;&gt;""),IF(EOMONTH($V$3+INT((DAY(EOMONTH($V$3,0))-1)/2)+W$8,0)=EOMONTH($DF$3,0),W$6*W$7,0),0),IF(AND(S$6&lt;&gt;"",S$8&lt;&gt;""),IF(EOMONTH($R$3+INT((DAY(EOMONTH($R$3,0))-1)/2)+S$8,0)=EOMONTH($DF$3,0),S$6*S$7,0),0),IF(AND(O$6&lt;&gt;"",O$8&lt;&gt;""),IF(EOMONTH($N$3+INT((DAY(EOMONTH($N$3,0))-1)/2)+O$8,0)=EOMONTH($DF$3,0),O$6*O$7,0),0),IF(AND(K$6&lt;&gt;"",K$8&lt;&gt;""),IF(EOMONTH($J$3+INT((DAY(EOMONTH($J$3,0))-1)/2)+K$8,0)=EOMONTH($DF$3,0),K$6*K$7,0),0),IF(AND(G$6&lt;&gt;"",G$8&lt;&gt;""),IF(EOMONTH($F$3+INT((DAY(EOMONTH($F$3,0))-1)/2)+G$8,0)=EOMONTH($DF$3,0),G$6*G$7,0),0)),0))</f>
        <v>49</v>
      </c>
      <c r="DH9" s="15">
        <f>ROUND(SUM(IF(AND(ER$6&lt;&gt;"",ER$8&lt;&gt;""),IF(EOMONTH($EP$3+INT((DAY(EOMONTH($EP$3,0))-1)/2)+ER$8,0)=EOMONTH($DF$3,0),ER$6*ER$7,0),0),IF(AND(EN$6&lt;&gt;"",EN$8&lt;&gt;""),IF(EOMONTH($EL$3+INT((DAY(EOMONTH($EL$3,0))-1)/2)+EN$8,0)=EOMONTH($DF$3,0),EN$6*EN$7,0),0),IF(AND(EJ$6&lt;&gt;"",EJ$8&lt;&gt;""),IF(EOMONTH($EH$3+INT((DAY(EOMONTH($EH$3,0))-1)/2)+EJ$8,0)=EOMONTH($DF$3,0),EJ$6*EJ$7,0),0),IF(AND(EF$6&lt;&gt;"",EF$8&lt;&gt;""),IF(EOMONTH($ED$3+INT((DAY(EOMONTH($ED$3,0))-1)/2)+EF$8,0)=EOMONTH($DF$3,0),EF$6*EF$7,0),0),IF(AND(EB$6&lt;&gt;"",EB$8&lt;&gt;""),IF(EOMONTH($DZ$3+INT((DAY(EOMONTH($DZ$3,0))-1)/2)+EB$8,0)=EOMONTH($DF$3,0),EB$6*EB$7,0),0),IF(AND(DX$6&lt;&gt;"",DX$8&lt;&gt;""),IF(EOMONTH($DV$3+INT((DAY(EOMONTH($DV$3,0))-1)/2)+DX$8,0)=EOMONTH($DF$3,0),DX$6*DX$7,0),0),IF(AND(DT$6&lt;&gt;"",DT$8&lt;&gt;""),IF(EOMONTH($DR$3+INT((DAY(EOMONTH($DR$3,0))-1)/2)+DT$8,0)=EOMONTH($DF$3,0),DT$6*DT$7,0),0),IF(AND(DP$6&lt;&gt;"",DP$8&lt;&gt;""),IF(EOMONTH($DN$3+INT((DAY(EOMONTH($DN$3,0))-1)/2)+DP$8,0)=EOMONTH($DF$3,0),DP$6*DP$7,0),0),IF(AND(DL$6&lt;&gt;"",DL$8&lt;&gt;""),IF(EOMONTH($DJ$3+INT((DAY(EOMONTH($DJ$3,0))-1)/2)+DL$8,0)=EOMONTH($DF$3,0),DL$6*DL$7,0),0),IF(AND(DH$6&lt;&gt;"",DH$8&lt;&gt;""),IF(EOMONTH($DF$3+INT((DAY(EOMONTH($DF$3,0))-1)/2)+DH$8,0)=EOMONTH($DF$3,0),DH$6*DH$7,0),0),IF(AND(DD$6&lt;&gt;"",DD$8&lt;&gt;""),IF(EOMONTH($DB$3+INT((DAY(EOMONTH($DB$3,0))-1)/2)+DD$8,0)=EOMONTH($DF$3,0),DD$6*DD$7,0),0),IF(AND(CZ$6&lt;&gt;"",CZ$8&lt;&gt;""),IF(EOMONTH($CX$3+INT((DAY(EOMONTH($CX$3,0))-1)/2)+CZ$8,0)=EOMONTH($DF$3,0),CZ$6*CZ$7,0),0),IF(AND(CV$6&lt;&gt;"",CV$8&lt;&gt;""),IF(EOMONTH($CT$3+INT((DAY(EOMONTH($CT$3,0))-1)/2)+CV$8,0)=EOMONTH($DF$3,0),CV$6*CV$7,0),0),IF(AND(CR$6&lt;&gt;"",CR$8&lt;&gt;""),IF(EOMONTH($CP$3+INT((DAY(EOMONTH($CP$3,0))-1)/2)+CR$8,0)=EOMONTH($DF$3,0),CR$6*CR$7,0),0),IF(AND(CN$6&lt;&gt;"",CN$8&lt;&gt;""),IF(EOMONTH($CL$3+INT((DAY(EOMONTH($CL$3,0))-1)/2)+CN$8,0)=EOMONTH($DF$3,0),CN$6*CN$7,0),0),IF(AND(CJ$6&lt;&gt;"",CJ$8&lt;&gt;""),IF(EOMONTH($CH$3+INT((DAY(EOMONTH($CH$3,0))-1)/2)+CJ$8,0)=EOMONTH($DF$3,0),CJ$6*CJ$7,0),0),IF(AND(CF$6&lt;&gt;"",CF$8&lt;&gt;""),IF(EOMONTH($CD$3+INT((DAY(EOMONTH($CD$3,0))-1)/2)+CF$8,0)=EOMONTH($DF$3,0),CF$6*CF$7,0),0),IF(AND(CB$6&lt;&gt;"",CB$8&lt;&gt;""),IF(EOMONTH($BZ$3+INT((DAY(EOMONTH($BZ$3,0))-1)/2)+CB$8,0)=EOMONTH($DF$3,0),CB$6*CB$7,0),0),IF(AND(BX$6&lt;&gt;"",BX$8&lt;&gt;""),IF(EOMONTH($BV$3+INT((DAY(EOMONTH($BV$3,0))-1)/2)+BX$8,0)=EOMONTH($DF$3,0),BX$6*BX$7,0),0),IF(AND(BT$6&lt;&gt;"",BT$8&lt;&gt;""),IF(EOMONTH($BR$3+INT((DAY(EOMONTH($BR$3,0))-1)/2)+BT$8,0)=EOMONTH($DF$3,0),BT$6*BT$7,0),0),IF(AND(BP$6&lt;&gt;"",BP$8&lt;&gt;""),IF(EOMONTH($BN$3+INT((DAY(EOMONTH($BN$3,0))-1)/2)+BP$8,0)=EOMONTH($DF$3,0),BP$6*BP$7,0),0),IF(AND(BL$6&lt;&gt;"",BL$8&lt;&gt;""),IF(EOMONTH($BJ$3+INT((DAY(EOMONTH($BJ$3,0))-1)/2)+BL$8,0)=EOMONTH($DF$3,0),BL$6*BL$7,0),0),IF(AND(BH$6&lt;&gt;"",BH$8&lt;&gt;""),IF(EOMONTH($BF$3+INT((DAY(EOMONTH($BF$3,0))-1)/2)+BH$8,0)=EOMONTH($DF$3,0),BH$6*BH$7,0),0),IF(AND(BD$6&lt;&gt;"",BD$8&lt;&gt;""),IF(EOMONTH($BB$3+INT((DAY(EOMONTH($BB$3,0))-1)/2)+BD$8,0)=EOMONTH($DF$3,0),BD$6*BD$7,0),0),IF(AND(AZ$6&lt;&gt;"",AZ$8&lt;&gt;""),IF(EOMONTH($AX$3+INT((DAY(EOMONTH($AX$3,0))-1)/2)+AZ$8,0)=EOMONTH($DF$3,0),AZ$6*AZ$7,0),0),IF(AND(AV$6&lt;&gt;"",AV$8&lt;&gt;""),IF(EOMONTH($AT$3+INT((DAY(EOMONTH($AT$3,0))-1)/2)+AV$8,0)=EOMONTH($DF$3,0),AV$6*AV$7,0),0),IF(AND(AR$6&lt;&gt;"",AR$8&lt;&gt;""),IF(EOMONTH($AP$3+INT((DAY(EOMONTH($AP$3,0))-1)/2)+AR$8,0)=EOMONTH($DF$3,0),AR$6*AR$7,0),0),IF(AND(AN$6&lt;&gt;"",AN$8&lt;&gt;""),IF(EOMONTH($AL$3+INT((DAY(EOMONTH($AL$3,0))-1)/2)+AN$8,0)=EOMONTH($DF$3,0),AN$6*AN$7,0),0),IF(AND(AJ$6&lt;&gt;"",AJ$8&lt;&gt;""),IF(EOMONTH($AH$3+INT((DAY(EOMONTH($AH$3,0))-1)/2)+AJ$8,0)=EOMONTH($DF$3,0),AJ$6*AJ$7,0),0),IF(AND(AF$6&lt;&gt;"",AF$8&lt;&gt;""),IF(EOMONTH($AD$3+INT((DAY(EOMONTH($AD$3,0))-1)/2)+AF$8,0)=EOMONTH($DF$3,0),AF$6*AF$7,0),0),IF(AND(AB$6&lt;&gt;"",AB$8&lt;&gt;""),IF(EOMONTH($Z$3+INT((DAY(EOMONTH($Z$3,0))-1)/2)+AB$8,0)=EOMONTH($DF$3,0),AB$6*AB$7,0),0),IF(AND(X$6&lt;&gt;"",X$8&lt;&gt;""),IF(EOMONTH($V$3+INT((DAY(EOMONTH($V$3,0))-1)/2)+X$8,0)=EOMONTH($DF$3,0),X$6*X$7,0),0),IF(AND(T$6&lt;&gt;"",T$8&lt;&gt;""),IF(EOMONTH($R$3+INT((DAY(EOMONTH($R$3,0))-1)/2)+T$8,0)=EOMONTH($DF$3,0),T$6*T$7,0),0),IF(AND(P$6&lt;&gt;"",P$8&lt;&gt;""),IF(EOMONTH($N$3+INT((DAY(EOMONTH($N$3,0))-1)/2)+P$8,0)=EOMONTH($DF$3,0),P$6*P$7,0),0),IF(AND(L$6&lt;&gt;"",L$8&lt;&gt;""),IF(EOMONTH($J$3+INT((DAY(EOMONTH($J$3,0))-1)/2)+L$8,0)=EOMONTH($DF$3,0),L$6*L$7,0),0),IF(AND(H$6&lt;&gt;"",H$8&lt;&gt;""),IF(EOMONTH($F$3+INT((DAY(EOMONTH($F$3,0))-1)/2)+H$8,0)=EOMONTH($DF$3,0),H$6*H$7,0),0)),0)</f>
        <v>49</v>
      </c>
      <c r="DI9" s="16">
        <f t="shared" si="57"/>
        <v>0</v>
      </c>
      <c r="DJ9" s="17"/>
      <c r="DK9" s="14">
        <f>IF(DJ$98=1,DJ9,ROUND(SUM(IF(AND(EQ$6&lt;&gt;"",EQ$8&lt;&gt;""),IF(EOMONTH($EP$3+INT((DAY(EOMONTH($EP$3,0))-1)/2)+EQ$8,0)=EOMONTH($DJ$3,0),EQ$6*EQ$7,0),0),IF(AND(EM$6&lt;&gt;"",EM$8&lt;&gt;""),IF(EOMONTH($EL$3+INT((DAY(EOMONTH($EL$3,0))-1)/2)+EM$8,0)=EOMONTH($DJ$3,0),EM$6*EM$7,0),0),IF(AND(EI$6&lt;&gt;"",EI$8&lt;&gt;""),IF(EOMONTH($EH$3+INT((DAY(EOMONTH($EH$3,0))-1)/2)+EI$8,0)=EOMONTH($DJ$3,0),EI$6*EI$7,0),0),IF(AND(EE$6&lt;&gt;"",EE$8&lt;&gt;""),IF(EOMONTH($ED$3+INT((DAY(EOMONTH($ED$3,0))-1)/2)+EE$8,0)=EOMONTH($DJ$3,0),EE$6*EE$7,0),0),IF(AND(EA$6&lt;&gt;"",EA$8&lt;&gt;""),IF(EOMONTH($DZ$3+INT((DAY(EOMONTH($DZ$3,0))-1)/2)+EA$8,0)=EOMONTH($DJ$3,0),EA$6*EA$7,0),0),IF(AND(DW$6&lt;&gt;"",DW$8&lt;&gt;""),IF(EOMONTH($DV$3+INT((DAY(EOMONTH($DV$3,0))-1)/2)+DW$8,0)=EOMONTH($DJ$3,0),DW$6*DW$7,0),0),IF(AND(DS$6&lt;&gt;"",DS$8&lt;&gt;""),IF(EOMONTH($DR$3+INT((DAY(EOMONTH($DR$3,0))-1)/2)+DS$8,0)=EOMONTH($DJ$3,0),DS$6*DS$7,0),0),IF(AND(DO$6&lt;&gt;"",DO$8&lt;&gt;""),IF(EOMONTH($DN$3+INT((DAY(EOMONTH($DN$3,0))-1)/2)+DO$8,0)=EOMONTH($DJ$3,0),DO$6*DO$7,0),0),IF(AND(DK$6&lt;&gt;"",DK$8&lt;&gt;""),IF(EOMONTH($DJ$3+INT((DAY(EOMONTH($DJ$3,0))-1)/2)+DK$8,0)=EOMONTH($DJ$3,0),DK$6*DK$7,0),0),IF(AND(DG$6&lt;&gt;"",DG$8&lt;&gt;""),IF(EOMONTH($DF$3+INT((DAY(EOMONTH($DF$3,0))-1)/2)+DG$8,0)=EOMONTH($DJ$3,0),DG$6*DG$7,0),0),IF(AND(DC$6&lt;&gt;"",DC$8&lt;&gt;""),IF(EOMONTH($DB$3+INT((DAY(EOMONTH($DB$3,0))-1)/2)+DC$8,0)=EOMONTH($DJ$3,0),DC$6*DC$7,0),0),IF(AND(CY$6&lt;&gt;"",CY$8&lt;&gt;""),IF(EOMONTH($CX$3+INT((DAY(EOMONTH($CX$3,0))-1)/2)+CY$8,0)=EOMONTH($DJ$3,0),CY$6*CY$7,0),0),IF(AND(CU$6&lt;&gt;"",CU$8&lt;&gt;""),IF(EOMONTH($CT$3+INT((DAY(EOMONTH($CT$3,0))-1)/2)+CU$8,0)=EOMONTH($DJ$3,0),CU$6*CU$7,0),0),IF(AND(CQ$6&lt;&gt;"",CQ$8&lt;&gt;""),IF(EOMONTH($CP$3+INT((DAY(EOMONTH($CP$3,0))-1)/2)+CQ$8,0)=EOMONTH($DJ$3,0),CQ$6*CQ$7,0),0),IF(AND(CM$6&lt;&gt;"",CM$8&lt;&gt;""),IF(EOMONTH($CL$3+INT((DAY(EOMONTH($CL$3,0))-1)/2)+CM$8,0)=EOMONTH($DJ$3,0),CM$6*CM$7,0),0),IF(AND(CI$6&lt;&gt;"",CI$8&lt;&gt;""),IF(EOMONTH($CH$3+INT((DAY(EOMONTH($CH$3,0))-1)/2)+CI$8,0)=EOMONTH($DJ$3,0),CI$6*CI$7,0),0),IF(AND(CE$6&lt;&gt;"",CE$8&lt;&gt;""),IF(EOMONTH($CD$3+INT((DAY(EOMONTH($CD$3,0))-1)/2)+CE$8,0)=EOMONTH($DJ$3,0),CE$6*CE$7,0),0),IF(AND(CA$6&lt;&gt;"",CA$8&lt;&gt;""),IF(EOMONTH($BZ$3+INT((DAY(EOMONTH($BZ$3,0))-1)/2)+CA$8,0)=EOMONTH($DJ$3,0),CA$6*CA$7,0),0),IF(AND(BW$6&lt;&gt;"",BW$8&lt;&gt;""),IF(EOMONTH($BV$3+INT((DAY(EOMONTH($BV$3,0))-1)/2)+BW$8,0)=EOMONTH($DJ$3,0),BW$6*BW$7,0),0),IF(AND(BS$6&lt;&gt;"",BS$8&lt;&gt;""),IF(EOMONTH($BR$3+INT((DAY(EOMONTH($BR$3,0))-1)/2)+BS$8,0)=EOMONTH($DJ$3,0),BS$6*BS$7,0),0),IF(AND(BO$6&lt;&gt;"",BO$8&lt;&gt;""),IF(EOMONTH($BN$3+INT((DAY(EOMONTH($BN$3,0))-1)/2)+BO$8,0)=EOMONTH($DJ$3,0),BO$6*BO$7,0),0),IF(AND(BK$6&lt;&gt;"",BK$8&lt;&gt;""),IF(EOMONTH($BJ$3+INT((DAY(EOMONTH($BJ$3,0))-1)/2)+BK$8,0)=EOMONTH($DJ$3,0),BK$6*BK$7,0),0),IF(AND(BG$6&lt;&gt;"",BG$8&lt;&gt;""),IF(EOMONTH($BF$3+INT((DAY(EOMONTH($BF$3,0))-1)/2)+BG$8,0)=EOMONTH($DJ$3,0),BG$6*BG$7,0),0),IF(AND(BC$6&lt;&gt;"",BC$8&lt;&gt;""),IF(EOMONTH($BB$3+INT((DAY(EOMONTH($BB$3,0))-1)/2)+BC$8,0)=EOMONTH($DJ$3,0),BC$6*BC$7,0),0),IF(AND(AY$6&lt;&gt;"",AY$8&lt;&gt;""),IF(EOMONTH($AX$3+INT((DAY(EOMONTH($AX$3,0))-1)/2)+AY$8,0)=EOMONTH($DJ$3,0),AY$6*AY$7,0),0),IF(AND(AU$6&lt;&gt;"",AU$8&lt;&gt;""),IF(EOMONTH($AT$3+INT((DAY(EOMONTH($AT$3,0))-1)/2)+AU$8,0)=EOMONTH($DJ$3,0),AU$6*AU$7,0),0),IF(AND(AQ$6&lt;&gt;"",AQ$8&lt;&gt;""),IF(EOMONTH($AP$3+INT((DAY(EOMONTH($AP$3,0))-1)/2)+AQ$8,0)=EOMONTH($DJ$3,0),AQ$6*AQ$7,0),0),IF(AND(AM$6&lt;&gt;"",AM$8&lt;&gt;""),IF(EOMONTH($AL$3+INT((DAY(EOMONTH($AL$3,0))-1)/2)+AM$8,0)=EOMONTH($DJ$3,0),AM$6*AM$7,0),0),IF(AND(AI$6&lt;&gt;"",AI$8&lt;&gt;""),IF(EOMONTH($AH$3+INT((DAY(EOMONTH($AH$3,0))-1)/2)+AI$8,0)=EOMONTH($DJ$3,0),AI$6*AI$7,0),0),IF(AND(AE$6&lt;&gt;"",AE$8&lt;&gt;""),IF(EOMONTH($AD$3+INT((DAY(EOMONTH($AD$3,0))-1)/2)+AE$8,0)=EOMONTH($DJ$3,0),AE$6*AE$7,0),0),IF(AND(AA$6&lt;&gt;"",AA$8&lt;&gt;""),IF(EOMONTH($Z$3+INT((DAY(EOMONTH($Z$3,0))-1)/2)+AA$8,0)=EOMONTH($DJ$3,0),AA$6*AA$7,0),0),IF(AND(W$6&lt;&gt;"",W$8&lt;&gt;""),IF(EOMONTH($V$3+INT((DAY(EOMONTH($V$3,0))-1)/2)+W$8,0)=EOMONTH($DJ$3,0),W$6*W$7,0),0),IF(AND(S$6&lt;&gt;"",S$8&lt;&gt;""),IF(EOMONTH($R$3+INT((DAY(EOMONTH($R$3,0))-1)/2)+S$8,0)=EOMONTH($DJ$3,0),S$6*S$7,0),0),IF(AND(O$6&lt;&gt;"",O$8&lt;&gt;""),IF(EOMONTH($N$3+INT((DAY(EOMONTH($N$3,0))-1)/2)+O$8,0)=EOMONTH($DJ$3,0),O$6*O$7,0),0),IF(AND(K$6&lt;&gt;"",K$8&lt;&gt;""),IF(EOMONTH($J$3+INT((DAY(EOMONTH($J$3,0))-1)/2)+K$8,0)=EOMONTH($DJ$3,0),K$6*K$7,0),0),IF(AND(G$6&lt;&gt;"",G$8&lt;&gt;""),IF(EOMONTH($F$3+INT((DAY(EOMONTH($F$3,0))-1)/2)+G$8,0)=EOMONTH($DJ$3,0),G$6*G$7,0),0)),0))</f>
        <v>48</v>
      </c>
      <c r="DL9" s="15">
        <f>ROUND(SUM(IF(AND(ER$6&lt;&gt;"",ER$8&lt;&gt;""),IF(EOMONTH($EP$3+INT((DAY(EOMONTH($EP$3,0))-1)/2)+ER$8,0)=EOMONTH($DJ$3,0),ER$6*ER$7,0),0),IF(AND(EN$6&lt;&gt;"",EN$8&lt;&gt;""),IF(EOMONTH($EL$3+INT((DAY(EOMONTH($EL$3,0))-1)/2)+EN$8,0)=EOMONTH($DJ$3,0),EN$6*EN$7,0),0),IF(AND(EJ$6&lt;&gt;"",EJ$8&lt;&gt;""),IF(EOMONTH($EH$3+INT((DAY(EOMONTH($EH$3,0))-1)/2)+EJ$8,0)=EOMONTH($DJ$3,0),EJ$6*EJ$7,0),0),IF(AND(EF$6&lt;&gt;"",EF$8&lt;&gt;""),IF(EOMONTH($ED$3+INT((DAY(EOMONTH($ED$3,0))-1)/2)+EF$8,0)=EOMONTH($DJ$3,0),EF$6*EF$7,0),0),IF(AND(EB$6&lt;&gt;"",EB$8&lt;&gt;""),IF(EOMONTH($DZ$3+INT((DAY(EOMONTH($DZ$3,0))-1)/2)+EB$8,0)=EOMONTH($DJ$3,0),EB$6*EB$7,0),0),IF(AND(DX$6&lt;&gt;"",DX$8&lt;&gt;""),IF(EOMONTH($DV$3+INT((DAY(EOMONTH($DV$3,0))-1)/2)+DX$8,0)=EOMONTH($DJ$3,0),DX$6*DX$7,0),0),IF(AND(DT$6&lt;&gt;"",DT$8&lt;&gt;""),IF(EOMONTH($DR$3+INT((DAY(EOMONTH($DR$3,0))-1)/2)+DT$8,0)=EOMONTH($DJ$3,0),DT$6*DT$7,0),0),IF(AND(DP$6&lt;&gt;"",DP$8&lt;&gt;""),IF(EOMONTH($DN$3+INT((DAY(EOMONTH($DN$3,0))-1)/2)+DP$8,0)=EOMONTH($DJ$3,0),DP$6*DP$7,0),0),IF(AND(DL$6&lt;&gt;"",DL$8&lt;&gt;""),IF(EOMONTH($DJ$3+INT((DAY(EOMONTH($DJ$3,0))-1)/2)+DL$8,0)=EOMONTH($DJ$3,0),DL$6*DL$7,0),0),IF(AND(DH$6&lt;&gt;"",DH$8&lt;&gt;""),IF(EOMONTH($DF$3+INT((DAY(EOMONTH($DF$3,0))-1)/2)+DH$8,0)=EOMONTH($DJ$3,0),DH$6*DH$7,0),0),IF(AND(DD$6&lt;&gt;"",DD$8&lt;&gt;""),IF(EOMONTH($DB$3+INT((DAY(EOMONTH($DB$3,0))-1)/2)+DD$8,0)=EOMONTH($DJ$3,0),DD$6*DD$7,0),0),IF(AND(CZ$6&lt;&gt;"",CZ$8&lt;&gt;""),IF(EOMONTH($CX$3+INT((DAY(EOMONTH($CX$3,0))-1)/2)+CZ$8,0)=EOMONTH($DJ$3,0),CZ$6*CZ$7,0),0),IF(AND(CV$6&lt;&gt;"",CV$8&lt;&gt;""),IF(EOMONTH($CT$3+INT((DAY(EOMONTH($CT$3,0))-1)/2)+CV$8,0)=EOMONTH($DJ$3,0),CV$6*CV$7,0),0),IF(AND(CR$6&lt;&gt;"",CR$8&lt;&gt;""),IF(EOMONTH($CP$3+INT((DAY(EOMONTH($CP$3,0))-1)/2)+CR$8,0)=EOMONTH($DJ$3,0),CR$6*CR$7,0),0),IF(AND(CN$6&lt;&gt;"",CN$8&lt;&gt;""),IF(EOMONTH($CL$3+INT((DAY(EOMONTH($CL$3,0))-1)/2)+CN$8,0)=EOMONTH($DJ$3,0),CN$6*CN$7,0),0),IF(AND(CJ$6&lt;&gt;"",CJ$8&lt;&gt;""),IF(EOMONTH($CH$3+INT((DAY(EOMONTH($CH$3,0))-1)/2)+CJ$8,0)=EOMONTH($DJ$3,0),CJ$6*CJ$7,0),0),IF(AND(CF$6&lt;&gt;"",CF$8&lt;&gt;""),IF(EOMONTH($CD$3+INT((DAY(EOMONTH($CD$3,0))-1)/2)+CF$8,0)=EOMONTH($DJ$3,0),CF$6*CF$7,0),0),IF(AND(CB$6&lt;&gt;"",CB$8&lt;&gt;""),IF(EOMONTH($BZ$3+INT((DAY(EOMONTH($BZ$3,0))-1)/2)+CB$8,0)=EOMONTH($DJ$3,0),CB$6*CB$7,0),0),IF(AND(BX$6&lt;&gt;"",BX$8&lt;&gt;""),IF(EOMONTH($BV$3+INT((DAY(EOMONTH($BV$3,0))-1)/2)+BX$8,0)=EOMONTH($DJ$3,0),BX$6*BX$7,0),0),IF(AND(BT$6&lt;&gt;"",BT$8&lt;&gt;""),IF(EOMONTH($BR$3+INT((DAY(EOMONTH($BR$3,0))-1)/2)+BT$8,0)=EOMONTH($DJ$3,0),BT$6*BT$7,0),0),IF(AND(BP$6&lt;&gt;"",BP$8&lt;&gt;""),IF(EOMONTH($BN$3+INT((DAY(EOMONTH($BN$3,0))-1)/2)+BP$8,0)=EOMONTH($DJ$3,0),BP$6*BP$7,0),0),IF(AND(BL$6&lt;&gt;"",BL$8&lt;&gt;""),IF(EOMONTH($BJ$3+INT((DAY(EOMONTH($BJ$3,0))-1)/2)+BL$8,0)=EOMONTH($DJ$3,0),BL$6*BL$7,0),0),IF(AND(BH$6&lt;&gt;"",BH$8&lt;&gt;""),IF(EOMONTH($BF$3+INT((DAY(EOMONTH($BF$3,0))-1)/2)+BH$8,0)=EOMONTH($DJ$3,0),BH$6*BH$7,0),0),IF(AND(BD$6&lt;&gt;"",BD$8&lt;&gt;""),IF(EOMONTH($BB$3+INT((DAY(EOMONTH($BB$3,0))-1)/2)+BD$8,0)=EOMONTH($DJ$3,0),BD$6*BD$7,0),0),IF(AND(AZ$6&lt;&gt;"",AZ$8&lt;&gt;""),IF(EOMONTH($AX$3+INT((DAY(EOMONTH($AX$3,0))-1)/2)+AZ$8,0)=EOMONTH($DJ$3,0),AZ$6*AZ$7,0),0),IF(AND(AV$6&lt;&gt;"",AV$8&lt;&gt;""),IF(EOMONTH($AT$3+INT((DAY(EOMONTH($AT$3,0))-1)/2)+AV$8,0)=EOMONTH($DJ$3,0),AV$6*AV$7,0),0),IF(AND(AR$6&lt;&gt;"",AR$8&lt;&gt;""),IF(EOMONTH($AP$3+INT((DAY(EOMONTH($AP$3,0))-1)/2)+AR$8,0)=EOMONTH($DJ$3,0),AR$6*AR$7,0),0),IF(AND(AN$6&lt;&gt;"",AN$8&lt;&gt;""),IF(EOMONTH($AL$3+INT((DAY(EOMONTH($AL$3,0))-1)/2)+AN$8,0)=EOMONTH($DJ$3,0),AN$6*AN$7,0),0),IF(AND(AJ$6&lt;&gt;"",AJ$8&lt;&gt;""),IF(EOMONTH($AH$3+INT((DAY(EOMONTH($AH$3,0))-1)/2)+AJ$8,0)=EOMONTH($DJ$3,0),AJ$6*AJ$7,0),0),IF(AND(AF$6&lt;&gt;"",AF$8&lt;&gt;""),IF(EOMONTH($AD$3+INT((DAY(EOMONTH($AD$3,0))-1)/2)+AF$8,0)=EOMONTH($DJ$3,0),AF$6*AF$7,0),0),IF(AND(AB$6&lt;&gt;"",AB$8&lt;&gt;""),IF(EOMONTH($Z$3+INT((DAY(EOMONTH($Z$3,0))-1)/2)+AB$8,0)=EOMONTH($DJ$3,0),AB$6*AB$7,0),0),IF(AND(X$6&lt;&gt;"",X$8&lt;&gt;""),IF(EOMONTH($V$3+INT((DAY(EOMONTH($V$3,0))-1)/2)+X$8,0)=EOMONTH($DJ$3,0),X$6*X$7,0),0),IF(AND(T$6&lt;&gt;"",T$8&lt;&gt;""),IF(EOMONTH($R$3+INT((DAY(EOMONTH($R$3,0))-1)/2)+T$8,0)=EOMONTH($DJ$3,0),T$6*T$7,0),0),IF(AND(P$6&lt;&gt;"",P$8&lt;&gt;""),IF(EOMONTH($N$3+INT((DAY(EOMONTH($N$3,0))-1)/2)+P$8,0)=EOMONTH($DJ$3,0),P$6*P$7,0),0),IF(AND(L$6&lt;&gt;"",L$8&lt;&gt;""),IF(EOMONTH($J$3+INT((DAY(EOMONTH($J$3,0))-1)/2)+L$8,0)=EOMONTH($DJ$3,0),L$6*L$7,0),0),IF(AND(H$6&lt;&gt;"",H$8&lt;&gt;""),IF(EOMONTH($F$3+INT((DAY(EOMONTH($F$3,0))-1)/2)+H$8,0)=EOMONTH($DJ$3,0),H$6*H$7,0),0)),0)</f>
        <v>48</v>
      </c>
      <c r="DM9" s="16">
        <f t="shared" si="59"/>
        <v>0</v>
      </c>
      <c r="DN9" s="17"/>
      <c r="DO9" s="14">
        <f>IF(DN$98=1,DN9,ROUND(SUM(IF(AND(EQ$6&lt;&gt;"",EQ$8&lt;&gt;""),IF(EOMONTH($EP$3+INT((DAY(EOMONTH($EP$3,0))-1)/2)+EQ$8,0)=EOMONTH($DN$3,0),EQ$6*EQ$7,0),0),IF(AND(EM$6&lt;&gt;"",EM$8&lt;&gt;""),IF(EOMONTH($EL$3+INT((DAY(EOMONTH($EL$3,0))-1)/2)+EM$8,0)=EOMONTH($DN$3,0),EM$6*EM$7,0),0),IF(AND(EI$6&lt;&gt;"",EI$8&lt;&gt;""),IF(EOMONTH($EH$3+INT((DAY(EOMONTH($EH$3,0))-1)/2)+EI$8,0)=EOMONTH($DN$3,0),EI$6*EI$7,0),0),IF(AND(EE$6&lt;&gt;"",EE$8&lt;&gt;""),IF(EOMONTH($ED$3+INT((DAY(EOMONTH($ED$3,0))-1)/2)+EE$8,0)=EOMONTH($DN$3,0),EE$6*EE$7,0),0),IF(AND(EA$6&lt;&gt;"",EA$8&lt;&gt;""),IF(EOMONTH($DZ$3+INT((DAY(EOMONTH($DZ$3,0))-1)/2)+EA$8,0)=EOMONTH($DN$3,0),EA$6*EA$7,0),0),IF(AND(DW$6&lt;&gt;"",DW$8&lt;&gt;""),IF(EOMONTH($DV$3+INT((DAY(EOMONTH($DV$3,0))-1)/2)+DW$8,0)=EOMONTH($DN$3,0),DW$6*DW$7,0),0),IF(AND(DS$6&lt;&gt;"",DS$8&lt;&gt;""),IF(EOMONTH($DR$3+INT((DAY(EOMONTH($DR$3,0))-1)/2)+DS$8,0)=EOMONTH($DN$3,0),DS$6*DS$7,0),0),IF(AND(DO$6&lt;&gt;"",DO$8&lt;&gt;""),IF(EOMONTH($DN$3+INT((DAY(EOMONTH($DN$3,0))-1)/2)+DO$8,0)=EOMONTH($DN$3,0),DO$6*DO$7,0),0),IF(AND(DK$6&lt;&gt;"",DK$8&lt;&gt;""),IF(EOMONTH($DJ$3+INT((DAY(EOMONTH($DJ$3,0))-1)/2)+DK$8,0)=EOMONTH($DN$3,0),DK$6*DK$7,0),0),IF(AND(DG$6&lt;&gt;"",DG$8&lt;&gt;""),IF(EOMONTH($DF$3+INT((DAY(EOMONTH($DF$3,0))-1)/2)+DG$8,0)=EOMONTH($DN$3,0),DG$6*DG$7,0),0),IF(AND(DC$6&lt;&gt;"",DC$8&lt;&gt;""),IF(EOMONTH($DB$3+INT((DAY(EOMONTH($DB$3,0))-1)/2)+DC$8,0)=EOMONTH($DN$3,0),DC$6*DC$7,0),0),IF(AND(CY$6&lt;&gt;"",CY$8&lt;&gt;""),IF(EOMONTH($CX$3+INT((DAY(EOMONTH($CX$3,0))-1)/2)+CY$8,0)=EOMONTH($DN$3,0),CY$6*CY$7,0),0),IF(AND(CU$6&lt;&gt;"",CU$8&lt;&gt;""),IF(EOMONTH($CT$3+INT((DAY(EOMONTH($CT$3,0))-1)/2)+CU$8,0)=EOMONTH($DN$3,0),CU$6*CU$7,0),0),IF(AND(CQ$6&lt;&gt;"",CQ$8&lt;&gt;""),IF(EOMONTH($CP$3+INT((DAY(EOMONTH($CP$3,0))-1)/2)+CQ$8,0)=EOMONTH($DN$3,0),CQ$6*CQ$7,0),0),IF(AND(CM$6&lt;&gt;"",CM$8&lt;&gt;""),IF(EOMONTH($CL$3+INT((DAY(EOMONTH($CL$3,0))-1)/2)+CM$8,0)=EOMONTH($DN$3,0),CM$6*CM$7,0),0),IF(AND(CI$6&lt;&gt;"",CI$8&lt;&gt;""),IF(EOMONTH($CH$3+INT((DAY(EOMONTH($CH$3,0))-1)/2)+CI$8,0)=EOMONTH($DN$3,0),CI$6*CI$7,0),0),IF(AND(CE$6&lt;&gt;"",CE$8&lt;&gt;""),IF(EOMONTH($CD$3+INT((DAY(EOMONTH($CD$3,0))-1)/2)+CE$8,0)=EOMONTH($DN$3,0),CE$6*CE$7,0),0),IF(AND(CA$6&lt;&gt;"",CA$8&lt;&gt;""),IF(EOMONTH($BZ$3+INT((DAY(EOMONTH($BZ$3,0))-1)/2)+CA$8,0)=EOMONTH($DN$3,0),CA$6*CA$7,0),0),IF(AND(BW$6&lt;&gt;"",BW$8&lt;&gt;""),IF(EOMONTH($BV$3+INT((DAY(EOMONTH($BV$3,0))-1)/2)+BW$8,0)=EOMONTH($DN$3,0),BW$6*BW$7,0),0),IF(AND(BS$6&lt;&gt;"",BS$8&lt;&gt;""),IF(EOMONTH($BR$3+INT((DAY(EOMONTH($BR$3,0))-1)/2)+BS$8,0)=EOMONTH($DN$3,0),BS$6*BS$7,0),0),IF(AND(BO$6&lt;&gt;"",BO$8&lt;&gt;""),IF(EOMONTH($BN$3+INT((DAY(EOMONTH($BN$3,0))-1)/2)+BO$8,0)=EOMONTH($DN$3,0),BO$6*BO$7,0),0),IF(AND(BK$6&lt;&gt;"",BK$8&lt;&gt;""),IF(EOMONTH($BJ$3+INT((DAY(EOMONTH($BJ$3,0))-1)/2)+BK$8,0)=EOMONTH($DN$3,0),BK$6*BK$7,0),0),IF(AND(BG$6&lt;&gt;"",BG$8&lt;&gt;""),IF(EOMONTH($BF$3+INT((DAY(EOMONTH($BF$3,0))-1)/2)+BG$8,0)=EOMONTH($DN$3,0),BG$6*BG$7,0),0),IF(AND(BC$6&lt;&gt;"",BC$8&lt;&gt;""),IF(EOMONTH($BB$3+INT((DAY(EOMONTH($BB$3,0))-1)/2)+BC$8,0)=EOMONTH($DN$3,0),BC$6*BC$7,0),0),IF(AND(AY$6&lt;&gt;"",AY$8&lt;&gt;""),IF(EOMONTH($AX$3+INT((DAY(EOMONTH($AX$3,0))-1)/2)+AY$8,0)=EOMONTH($DN$3,0),AY$6*AY$7,0),0),IF(AND(AU$6&lt;&gt;"",AU$8&lt;&gt;""),IF(EOMONTH($AT$3+INT((DAY(EOMONTH($AT$3,0))-1)/2)+AU$8,0)=EOMONTH($DN$3,0),AU$6*AU$7,0),0),IF(AND(AQ$6&lt;&gt;"",AQ$8&lt;&gt;""),IF(EOMONTH($AP$3+INT((DAY(EOMONTH($AP$3,0))-1)/2)+AQ$8,0)=EOMONTH($DN$3,0),AQ$6*AQ$7,0),0),IF(AND(AM$6&lt;&gt;"",AM$8&lt;&gt;""),IF(EOMONTH($AL$3+INT((DAY(EOMONTH($AL$3,0))-1)/2)+AM$8,0)=EOMONTH($DN$3,0),AM$6*AM$7,0),0),IF(AND(AI$6&lt;&gt;"",AI$8&lt;&gt;""),IF(EOMONTH($AH$3+INT((DAY(EOMONTH($AH$3,0))-1)/2)+AI$8,0)=EOMONTH($DN$3,0),AI$6*AI$7,0),0),IF(AND(AE$6&lt;&gt;"",AE$8&lt;&gt;""),IF(EOMONTH($AD$3+INT((DAY(EOMONTH($AD$3,0))-1)/2)+AE$8,0)=EOMONTH($DN$3,0),AE$6*AE$7,0),0),IF(AND(AA$6&lt;&gt;"",AA$8&lt;&gt;""),IF(EOMONTH($Z$3+INT((DAY(EOMONTH($Z$3,0))-1)/2)+AA$8,0)=EOMONTH($DN$3,0),AA$6*AA$7,0),0),IF(AND(W$6&lt;&gt;"",W$8&lt;&gt;""),IF(EOMONTH($V$3+INT((DAY(EOMONTH($V$3,0))-1)/2)+W$8,0)=EOMONTH($DN$3,0),W$6*W$7,0),0),IF(AND(S$6&lt;&gt;"",S$8&lt;&gt;""),IF(EOMONTH($R$3+INT((DAY(EOMONTH($R$3,0))-1)/2)+S$8,0)=EOMONTH($DN$3,0),S$6*S$7,0),0),IF(AND(O$6&lt;&gt;"",O$8&lt;&gt;""),IF(EOMONTH($N$3+INT((DAY(EOMONTH($N$3,0))-1)/2)+O$8,0)=EOMONTH($DN$3,0),O$6*O$7,0),0),IF(AND(K$6&lt;&gt;"",K$8&lt;&gt;""),IF(EOMONTH($J$3+INT((DAY(EOMONTH($J$3,0))-1)/2)+K$8,0)=EOMONTH($DN$3,0),K$6*K$7,0),0),IF(AND(G$6&lt;&gt;"",G$8&lt;&gt;""),IF(EOMONTH($F$3+INT((DAY(EOMONTH($F$3,0))-1)/2)+G$8,0)=EOMONTH($DN$3,0),G$6*G$7,0),0)),0))</f>
        <v>47</v>
      </c>
      <c r="DP9" s="15">
        <f>ROUND(SUM(IF(AND(ER$6&lt;&gt;"",ER$8&lt;&gt;""),IF(EOMONTH($EP$3+INT((DAY(EOMONTH($EP$3,0))-1)/2)+ER$8,0)=EOMONTH($DN$3,0),ER$6*ER$7,0),0),IF(AND(EN$6&lt;&gt;"",EN$8&lt;&gt;""),IF(EOMONTH($EL$3+INT((DAY(EOMONTH($EL$3,0))-1)/2)+EN$8,0)=EOMONTH($DN$3,0),EN$6*EN$7,0),0),IF(AND(EJ$6&lt;&gt;"",EJ$8&lt;&gt;""),IF(EOMONTH($EH$3+INT((DAY(EOMONTH($EH$3,0))-1)/2)+EJ$8,0)=EOMONTH($DN$3,0),EJ$6*EJ$7,0),0),IF(AND(EF$6&lt;&gt;"",EF$8&lt;&gt;""),IF(EOMONTH($ED$3+INT((DAY(EOMONTH($ED$3,0))-1)/2)+EF$8,0)=EOMONTH($DN$3,0),EF$6*EF$7,0),0),IF(AND(EB$6&lt;&gt;"",EB$8&lt;&gt;""),IF(EOMONTH($DZ$3+INT((DAY(EOMONTH($DZ$3,0))-1)/2)+EB$8,0)=EOMONTH($DN$3,0),EB$6*EB$7,0),0),IF(AND(DX$6&lt;&gt;"",DX$8&lt;&gt;""),IF(EOMONTH($DV$3+INT((DAY(EOMONTH($DV$3,0))-1)/2)+DX$8,0)=EOMONTH($DN$3,0),DX$6*DX$7,0),0),IF(AND(DT$6&lt;&gt;"",DT$8&lt;&gt;""),IF(EOMONTH($DR$3+INT((DAY(EOMONTH($DR$3,0))-1)/2)+DT$8,0)=EOMONTH($DN$3,0),DT$6*DT$7,0),0),IF(AND(DP$6&lt;&gt;"",DP$8&lt;&gt;""),IF(EOMONTH($DN$3+INT((DAY(EOMONTH($DN$3,0))-1)/2)+DP$8,0)=EOMONTH($DN$3,0),DP$6*DP$7,0),0),IF(AND(DL$6&lt;&gt;"",DL$8&lt;&gt;""),IF(EOMONTH($DJ$3+INT((DAY(EOMONTH($DJ$3,0))-1)/2)+DL$8,0)=EOMONTH($DN$3,0),DL$6*DL$7,0),0),IF(AND(DH$6&lt;&gt;"",DH$8&lt;&gt;""),IF(EOMONTH($DF$3+INT((DAY(EOMONTH($DF$3,0))-1)/2)+DH$8,0)=EOMONTH($DN$3,0),DH$6*DH$7,0),0),IF(AND(DD$6&lt;&gt;"",DD$8&lt;&gt;""),IF(EOMONTH($DB$3+INT((DAY(EOMONTH($DB$3,0))-1)/2)+DD$8,0)=EOMONTH($DN$3,0),DD$6*DD$7,0),0),IF(AND(CZ$6&lt;&gt;"",CZ$8&lt;&gt;""),IF(EOMONTH($CX$3+INT((DAY(EOMONTH($CX$3,0))-1)/2)+CZ$8,0)=EOMONTH($DN$3,0),CZ$6*CZ$7,0),0),IF(AND(CV$6&lt;&gt;"",CV$8&lt;&gt;""),IF(EOMONTH($CT$3+INT((DAY(EOMONTH($CT$3,0))-1)/2)+CV$8,0)=EOMONTH($DN$3,0),CV$6*CV$7,0),0),IF(AND(CR$6&lt;&gt;"",CR$8&lt;&gt;""),IF(EOMONTH($CP$3+INT((DAY(EOMONTH($CP$3,0))-1)/2)+CR$8,0)=EOMONTH($DN$3,0),CR$6*CR$7,0),0),IF(AND(CN$6&lt;&gt;"",CN$8&lt;&gt;""),IF(EOMONTH($CL$3+INT((DAY(EOMONTH($CL$3,0))-1)/2)+CN$8,0)=EOMONTH($DN$3,0),CN$6*CN$7,0),0),IF(AND(CJ$6&lt;&gt;"",CJ$8&lt;&gt;""),IF(EOMONTH($CH$3+INT((DAY(EOMONTH($CH$3,0))-1)/2)+CJ$8,0)=EOMONTH($DN$3,0),CJ$6*CJ$7,0),0),IF(AND(CF$6&lt;&gt;"",CF$8&lt;&gt;""),IF(EOMONTH($CD$3+INT((DAY(EOMONTH($CD$3,0))-1)/2)+CF$8,0)=EOMONTH($DN$3,0),CF$6*CF$7,0),0),IF(AND(CB$6&lt;&gt;"",CB$8&lt;&gt;""),IF(EOMONTH($BZ$3+INT((DAY(EOMONTH($BZ$3,0))-1)/2)+CB$8,0)=EOMONTH($DN$3,0),CB$6*CB$7,0),0),IF(AND(BX$6&lt;&gt;"",BX$8&lt;&gt;""),IF(EOMONTH($BV$3+INT((DAY(EOMONTH($BV$3,0))-1)/2)+BX$8,0)=EOMONTH($DN$3,0),BX$6*BX$7,0),0),IF(AND(BT$6&lt;&gt;"",BT$8&lt;&gt;""),IF(EOMONTH($BR$3+INT((DAY(EOMONTH($BR$3,0))-1)/2)+BT$8,0)=EOMONTH($DN$3,0),BT$6*BT$7,0),0),IF(AND(BP$6&lt;&gt;"",BP$8&lt;&gt;""),IF(EOMONTH($BN$3+INT((DAY(EOMONTH($BN$3,0))-1)/2)+BP$8,0)=EOMONTH($DN$3,0),BP$6*BP$7,0),0),IF(AND(BL$6&lt;&gt;"",BL$8&lt;&gt;""),IF(EOMONTH($BJ$3+INT((DAY(EOMONTH($BJ$3,0))-1)/2)+BL$8,0)=EOMONTH($DN$3,0),BL$6*BL$7,0),0),IF(AND(BH$6&lt;&gt;"",BH$8&lt;&gt;""),IF(EOMONTH($BF$3+INT((DAY(EOMONTH($BF$3,0))-1)/2)+BH$8,0)=EOMONTH($DN$3,0),BH$6*BH$7,0),0),IF(AND(BD$6&lt;&gt;"",BD$8&lt;&gt;""),IF(EOMONTH($BB$3+INT((DAY(EOMONTH($BB$3,0))-1)/2)+BD$8,0)=EOMONTH($DN$3,0),BD$6*BD$7,0),0),IF(AND(AZ$6&lt;&gt;"",AZ$8&lt;&gt;""),IF(EOMONTH($AX$3+INT((DAY(EOMONTH($AX$3,0))-1)/2)+AZ$8,0)=EOMONTH($DN$3,0),AZ$6*AZ$7,0),0),IF(AND(AV$6&lt;&gt;"",AV$8&lt;&gt;""),IF(EOMONTH($AT$3+INT((DAY(EOMONTH($AT$3,0))-1)/2)+AV$8,0)=EOMONTH($DN$3,0),AV$6*AV$7,0),0),IF(AND(AR$6&lt;&gt;"",AR$8&lt;&gt;""),IF(EOMONTH($AP$3+INT((DAY(EOMONTH($AP$3,0))-1)/2)+AR$8,0)=EOMONTH($DN$3,0),AR$6*AR$7,0),0),IF(AND(AN$6&lt;&gt;"",AN$8&lt;&gt;""),IF(EOMONTH($AL$3+INT((DAY(EOMONTH($AL$3,0))-1)/2)+AN$8,0)=EOMONTH($DN$3,0),AN$6*AN$7,0),0),IF(AND(AJ$6&lt;&gt;"",AJ$8&lt;&gt;""),IF(EOMONTH($AH$3+INT((DAY(EOMONTH($AH$3,0))-1)/2)+AJ$8,0)=EOMONTH($DN$3,0),AJ$6*AJ$7,0),0),IF(AND(AF$6&lt;&gt;"",AF$8&lt;&gt;""),IF(EOMONTH($AD$3+INT((DAY(EOMONTH($AD$3,0))-1)/2)+AF$8,0)=EOMONTH($DN$3,0),AF$6*AF$7,0),0),IF(AND(AB$6&lt;&gt;"",AB$8&lt;&gt;""),IF(EOMONTH($Z$3+INT((DAY(EOMONTH($Z$3,0))-1)/2)+AB$8,0)=EOMONTH($DN$3,0),AB$6*AB$7,0),0),IF(AND(X$6&lt;&gt;"",X$8&lt;&gt;""),IF(EOMONTH($V$3+INT((DAY(EOMONTH($V$3,0))-1)/2)+X$8,0)=EOMONTH($DN$3,0),X$6*X$7,0),0),IF(AND(T$6&lt;&gt;"",T$8&lt;&gt;""),IF(EOMONTH($R$3+INT((DAY(EOMONTH($R$3,0))-1)/2)+T$8,0)=EOMONTH($DN$3,0),T$6*T$7,0),0),IF(AND(P$6&lt;&gt;"",P$8&lt;&gt;""),IF(EOMONTH($N$3+INT((DAY(EOMONTH($N$3,0))-1)/2)+P$8,0)=EOMONTH($DN$3,0),P$6*P$7,0),0),IF(AND(L$6&lt;&gt;"",L$8&lt;&gt;""),IF(EOMONTH($J$3+INT((DAY(EOMONTH($J$3,0))-1)/2)+L$8,0)=EOMONTH($DN$3,0),L$6*L$7,0),0),IF(AND(H$6&lt;&gt;"",H$8&lt;&gt;""),IF(EOMONTH($F$3+INT((DAY(EOMONTH($F$3,0))-1)/2)+H$8,0)=EOMONTH($DN$3,0),H$6*H$7,0),0)),0)</f>
        <v>47</v>
      </c>
      <c r="DQ9" s="16">
        <f t="shared" si="61"/>
        <v>0</v>
      </c>
      <c r="DR9" s="17"/>
      <c r="DS9" s="14">
        <f>IF(DR$98=1,DR9,ROUND(SUM(IF(AND(EQ$6&lt;&gt;"",EQ$8&lt;&gt;""),IF(EOMONTH($EP$3+INT((DAY(EOMONTH($EP$3,0))-1)/2)+EQ$8,0)=EOMONTH($DR$3,0),EQ$6*EQ$7,0),0),IF(AND(EM$6&lt;&gt;"",EM$8&lt;&gt;""),IF(EOMONTH($EL$3+INT((DAY(EOMONTH($EL$3,0))-1)/2)+EM$8,0)=EOMONTH($DR$3,0),EM$6*EM$7,0),0),IF(AND(EI$6&lt;&gt;"",EI$8&lt;&gt;""),IF(EOMONTH($EH$3+INT((DAY(EOMONTH($EH$3,0))-1)/2)+EI$8,0)=EOMONTH($DR$3,0),EI$6*EI$7,0),0),IF(AND(EE$6&lt;&gt;"",EE$8&lt;&gt;""),IF(EOMONTH($ED$3+INT((DAY(EOMONTH($ED$3,0))-1)/2)+EE$8,0)=EOMONTH($DR$3,0),EE$6*EE$7,0),0),IF(AND(EA$6&lt;&gt;"",EA$8&lt;&gt;""),IF(EOMONTH($DZ$3+INT((DAY(EOMONTH($DZ$3,0))-1)/2)+EA$8,0)=EOMONTH($DR$3,0),EA$6*EA$7,0),0),IF(AND(DW$6&lt;&gt;"",DW$8&lt;&gt;""),IF(EOMONTH($DV$3+INT((DAY(EOMONTH($DV$3,0))-1)/2)+DW$8,0)=EOMONTH($DR$3,0),DW$6*DW$7,0),0),IF(AND(DS$6&lt;&gt;"",DS$8&lt;&gt;""),IF(EOMONTH($DR$3+INT((DAY(EOMONTH($DR$3,0))-1)/2)+DS$8,0)=EOMONTH($DR$3,0),DS$6*DS$7,0),0),IF(AND(DO$6&lt;&gt;"",DO$8&lt;&gt;""),IF(EOMONTH($DN$3+INT((DAY(EOMONTH($DN$3,0))-1)/2)+DO$8,0)=EOMONTH($DR$3,0),DO$6*DO$7,0),0),IF(AND(DK$6&lt;&gt;"",DK$8&lt;&gt;""),IF(EOMONTH($DJ$3+INT((DAY(EOMONTH($DJ$3,0))-1)/2)+DK$8,0)=EOMONTH($DR$3,0),DK$6*DK$7,0),0),IF(AND(DG$6&lt;&gt;"",DG$8&lt;&gt;""),IF(EOMONTH($DF$3+INT((DAY(EOMONTH($DF$3,0))-1)/2)+DG$8,0)=EOMONTH($DR$3,0),DG$6*DG$7,0),0),IF(AND(DC$6&lt;&gt;"",DC$8&lt;&gt;""),IF(EOMONTH($DB$3+INT((DAY(EOMONTH($DB$3,0))-1)/2)+DC$8,0)=EOMONTH($DR$3,0),DC$6*DC$7,0),0),IF(AND(CY$6&lt;&gt;"",CY$8&lt;&gt;""),IF(EOMONTH($CX$3+INT((DAY(EOMONTH($CX$3,0))-1)/2)+CY$8,0)=EOMONTH($DR$3,0),CY$6*CY$7,0),0),IF(AND(CU$6&lt;&gt;"",CU$8&lt;&gt;""),IF(EOMONTH($CT$3+INT((DAY(EOMONTH($CT$3,0))-1)/2)+CU$8,0)=EOMONTH($DR$3,0),CU$6*CU$7,0),0),IF(AND(CQ$6&lt;&gt;"",CQ$8&lt;&gt;""),IF(EOMONTH($CP$3+INT((DAY(EOMONTH($CP$3,0))-1)/2)+CQ$8,0)=EOMONTH($DR$3,0),CQ$6*CQ$7,0),0),IF(AND(CM$6&lt;&gt;"",CM$8&lt;&gt;""),IF(EOMONTH($CL$3+INT((DAY(EOMONTH($CL$3,0))-1)/2)+CM$8,0)=EOMONTH($DR$3,0),CM$6*CM$7,0),0),IF(AND(CI$6&lt;&gt;"",CI$8&lt;&gt;""),IF(EOMONTH($CH$3+INT((DAY(EOMONTH($CH$3,0))-1)/2)+CI$8,0)=EOMONTH($DR$3,0),CI$6*CI$7,0),0),IF(AND(CE$6&lt;&gt;"",CE$8&lt;&gt;""),IF(EOMONTH($CD$3+INT((DAY(EOMONTH($CD$3,0))-1)/2)+CE$8,0)=EOMONTH($DR$3,0),CE$6*CE$7,0),0),IF(AND(CA$6&lt;&gt;"",CA$8&lt;&gt;""),IF(EOMONTH($BZ$3+INT((DAY(EOMONTH($BZ$3,0))-1)/2)+CA$8,0)=EOMONTH($DR$3,0),CA$6*CA$7,0),0),IF(AND(BW$6&lt;&gt;"",BW$8&lt;&gt;""),IF(EOMONTH($BV$3+INT((DAY(EOMONTH($BV$3,0))-1)/2)+BW$8,0)=EOMONTH($DR$3,0),BW$6*BW$7,0),0),IF(AND(BS$6&lt;&gt;"",BS$8&lt;&gt;""),IF(EOMONTH($BR$3+INT((DAY(EOMONTH($BR$3,0))-1)/2)+BS$8,0)=EOMONTH($DR$3,0),BS$6*BS$7,0),0),IF(AND(BO$6&lt;&gt;"",BO$8&lt;&gt;""),IF(EOMONTH($BN$3+INT((DAY(EOMONTH($BN$3,0))-1)/2)+BO$8,0)=EOMONTH($DR$3,0),BO$6*BO$7,0),0),IF(AND(BK$6&lt;&gt;"",BK$8&lt;&gt;""),IF(EOMONTH($BJ$3+INT((DAY(EOMONTH($BJ$3,0))-1)/2)+BK$8,0)=EOMONTH($DR$3,0),BK$6*BK$7,0),0),IF(AND(BG$6&lt;&gt;"",BG$8&lt;&gt;""),IF(EOMONTH($BF$3+INT((DAY(EOMONTH($BF$3,0))-1)/2)+BG$8,0)=EOMONTH($DR$3,0),BG$6*BG$7,0),0),IF(AND(BC$6&lt;&gt;"",BC$8&lt;&gt;""),IF(EOMONTH($BB$3+INT((DAY(EOMONTH($BB$3,0))-1)/2)+BC$8,0)=EOMONTH($DR$3,0),BC$6*BC$7,0),0),IF(AND(AY$6&lt;&gt;"",AY$8&lt;&gt;""),IF(EOMONTH($AX$3+INT((DAY(EOMONTH($AX$3,0))-1)/2)+AY$8,0)=EOMONTH($DR$3,0),AY$6*AY$7,0),0),IF(AND(AU$6&lt;&gt;"",AU$8&lt;&gt;""),IF(EOMONTH($AT$3+INT((DAY(EOMONTH($AT$3,0))-1)/2)+AU$8,0)=EOMONTH($DR$3,0),AU$6*AU$7,0),0),IF(AND(AQ$6&lt;&gt;"",AQ$8&lt;&gt;""),IF(EOMONTH($AP$3+INT((DAY(EOMONTH($AP$3,0))-1)/2)+AQ$8,0)=EOMONTH($DR$3,0),AQ$6*AQ$7,0),0),IF(AND(AM$6&lt;&gt;"",AM$8&lt;&gt;""),IF(EOMONTH($AL$3+INT((DAY(EOMONTH($AL$3,0))-1)/2)+AM$8,0)=EOMONTH($DR$3,0),AM$6*AM$7,0),0),IF(AND(AI$6&lt;&gt;"",AI$8&lt;&gt;""),IF(EOMONTH($AH$3+INT((DAY(EOMONTH($AH$3,0))-1)/2)+AI$8,0)=EOMONTH($DR$3,0),AI$6*AI$7,0),0),IF(AND(AE$6&lt;&gt;"",AE$8&lt;&gt;""),IF(EOMONTH($AD$3+INT((DAY(EOMONTH($AD$3,0))-1)/2)+AE$8,0)=EOMONTH($DR$3,0),AE$6*AE$7,0),0),IF(AND(AA$6&lt;&gt;"",AA$8&lt;&gt;""),IF(EOMONTH($Z$3+INT((DAY(EOMONTH($Z$3,0))-1)/2)+AA$8,0)=EOMONTH($DR$3,0),AA$6*AA$7,0),0),IF(AND(W$6&lt;&gt;"",W$8&lt;&gt;""),IF(EOMONTH($V$3+INT((DAY(EOMONTH($V$3,0))-1)/2)+W$8,0)=EOMONTH($DR$3,0),W$6*W$7,0),0),IF(AND(S$6&lt;&gt;"",S$8&lt;&gt;""),IF(EOMONTH($R$3+INT((DAY(EOMONTH($R$3,0))-1)/2)+S$8,0)=EOMONTH($DR$3,0),S$6*S$7,0),0),IF(AND(O$6&lt;&gt;"",O$8&lt;&gt;""),IF(EOMONTH($N$3+INT((DAY(EOMONTH($N$3,0))-1)/2)+O$8,0)=EOMONTH($DR$3,0),O$6*O$7,0),0),IF(AND(K$6&lt;&gt;"",K$8&lt;&gt;""),IF(EOMONTH($J$3+INT((DAY(EOMONTH($J$3,0))-1)/2)+K$8,0)=EOMONTH($DR$3,0),K$6*K$7,0),0),IF(AND(G$6&lt;&gt;"",G$8&lt;&gt;""),IF(EOMONTH($F$3+INT((DAY(EOMONTH($F$3,0))-1)/2)+G$8,0)=EOMONTH($DR$3,0),G$6*G$7,0),0)),0))</f>
        <v>46</v>
      </c>
      <c r="DT9" s="15">
        <f>ROUND(SUM(IF(AND(ER$6&lt;&gt;"",ER$8&lt;&gt;""),IF(EOMONTH($EP$3+INT((DAY(EOMONTH($EP$3,0))-1)/2)+ER$8,0)=EOMONTH($DR$3,0),ER$6*ER$7,0),0),IF(AND(EN$6&lt;&gt;"",EN$8&lt;&gt;""),IF(EOMONTH($EL$3+INT((DAY(EOMONTH($EL$3,0))-1)/2)+EN$8,0)=EOMONTH($DR$3,0),EN$6*EN$7,0),0),IF(AND(EJ$6&lt;&gt;"",EJ$8&lt;&gt;""),IF(EOMONTH($EH$3+INT((DAY(EOMONTH($EH$3,0))-1)/2)+EJ$8,0)=EOMONTH($DR$3,0),EJ$6*EJ$7,0),0),IF(AND(EF$6&lt;&gt;"",EF$8&lt;&gt;""),IF(EOMONTH($ED$3+INT((DAY(EOMONTH($ED$3,0))-1)/2)+EF$8,0)=EOMONTH($DR$3,0),EF$6*EF$7,0),0),IF(AND(EB$6&lt;&gt;"",EB$8&lt;&gt;""),IF(EOMONTH($DZ$3+INT((DAY(EOMONTH($DZ$3,0))-1)/2)+EB$8,0)=EOMONTH($DR$3,0),EB$6*EB$7,0),0),IF(AND(DX$6&lt;&gt;"",DX$8&lt;&gt;""),IF(EOMONTH($DV$3+INT((DAY(EOMONTH($DV$3,0))-1)/2)+DX$8,0)=EOMONTH($DR$3,0),DX$6*DX$7,0),0),IF(AND(DT$6&lt;&gt;"",DT$8&lt;&gt;""),IF(EOMONTH($DR$3+INT((DAY(EOMONTH($DR$3,0))-1)/2)+DT$8,0)=EOMONTH($DR$3,0),DT$6*DT$7,0),0),IF(AND(DP$6&lt;&gt;"",DP$8&lt;&gt;""),IF(EOMONTH($DN$3+INT((DAY(EOMONTH($DN$3,0))-1)/2)+DP$8,0)=EOMONTH($DR$3,0),DP$6*DP$7,0),0),IF(AND(DL$6&lt;&gt;"",DL$8&lt;&gt;""),IF(EOMONTH($DJ$3+INT((DAY(EOMONTH($DJ$3,0))-1)/2)+DL$8,0)=EOMONTH($DR$3,0),DL$6*DL$7,0),0),IF(AND(DH$6&lt;&gt;"",DH$8&lt;&gt;""),IF(EOMONTH($DF$3+INT((DAY(EOMONTH($DF$3,0))-1)/2)+DH$8,0)=EOMONTH($DR$3,0),DH$6*DH$7,0),0),IF(AND(DD$6&lt;&gt;"",DD$8&lt;&gt;""),IF(EOMONTH($DB$3+INT((DAY(EOMONTH($DB$3,0))-1)/2)+DD$8,0)=EOMONTH($DR$3,0),DD$6*DD$7,0),0),IF(AND(CZ$6&lt;&gt;"",CZ$8&lt;&gt;""),IF(EOMONTH($CX$3+INT((DAY(EOMONTH($CX$3,0))-1)/2)+CZ$8,0)=EOMONTH($DR$3,0),CZ$6*CZ$7,0),0),IF(AND(CV$6&lt;&gt;"",CV$8&lt;&gt;""),IF(EOMONTH($CT$3+INT((DAY(EOMONTH($CT$3,0))-1)/2)+CV$8,0)=EOMONTH($DR$3,0),CV$6*CV$7,0),0),IF(AND(CR$6&lt;&gt;"",CR$8&lt;&gt;""),IF(EOMONTH($CP$3+INT((DAY(EOMONTH($CP$3,0))-1)/2)+CR$8,0)=EOMONTH($DR$3,0),CR$6*CR$7,0),0),IF(AND(CN$6&lt;&gt;"",CN$8&lt;&gt;""),IF(EOMONTH($CL$3+INT((DAY(EOMONTH($CL$3,0))-1)/2)+CN$8,0)=EOMONTH($DR$3,0),CN$6*CN$7,0),0),IF(AND(CJ$6&lt;&gt;"",CJ$8&lt;&gt;""),IF(EOMONTH($CH$3+INT((DAY(EOMONTH($CH$3,0))-1)/2)+CJ$8,0)=EOMONTH($DR$3,0),CJ$6*CJ$7,0),0),IF(AND(CF$6&lt;&gt;"",CF$8&lt;&gt;""),IF(EOMONTH($CD$3+INT((DAY(EOMONTH($CD$3,0))-1)/2)+CF$8,0)=EOMONTH($DR$3,0),CF$6*CF$7,0),0),IF(AND(CB$6&lt;&gt;"",CB$8&lt;&gt;""),IF(EOMONTH($BZ$3+INT((DAY(EOMONTH($BZ$3,0))-1)/2)+CB$8,0)=EOMONTH($DR$3,0),CB$6*CB$7,0),0),IF(AND(BX$6&lt;&gt;"",BX$8&lt;&gt;""),IF(EOMONTH($BV$3+INT((DAY(EOMONTH($BV$3,0))-1)/2)+BX$8,0)=EOMONTH($DR$3,0),BX$6*BX$7,0),0),IF(AND(BT$6&lt;&gt;"",BT$8&lt;&gt;""),IF(EOMONTH($BR$3+INT((DAY(EOMONTH($BR$3,0))-1)/2)+BT$8,0)=EOMONTH($DR$3,0),BT$6*BT$7,0),0),IF(AND(BP$6&lt;&gt;"",BP$8&lt;&gt;""),IF(EOMONTH($BN$3+INT((DAY(EOMONTH($BN$3,0))-1)/2)+BP$8,0)=EOMONTH($DR$3,0),BP$6*BP$7,0),0),IF(AND(BL$6&lt;&gt;"",BL$8&lt;&gt;""),IF(EOMONTH($BJ$3+INT((DAY(EOMONTH($BJ$3,0))-1)/2)+BL$8,0)=EOMONTH($DR$3,0),BL$6*BL$7,0),0),IF(AND(BH$6&lt;&gt;"",BH$8&lt;&gt;""),IF(EOMONTH($BF$3+INT((DAY(EOMONTH($BF$3,0))-1)/2)+BH$8,0)=EOMONTH($DR$3,0),BH$6*BH$7,0),0),IF(AND(BD$6&lt;&gt;"",BD$8&lt;&gt;""),IF(EOMONTH($BB$3+INT((DAY(EOMONTH($BB$3,0))-1)/2)+BD$8,0)=EOMONTH($DR$3,0),BD$6*BD$7,0),0),IF(AND(AZ$6&lt;&gt;"",AZ$8&lt;&gt;""),IF(EOMONTH($AX$3+INT((DAY(EOMONTH($AX$3,0))-1)/2)+AZ$8,0)=EOMONTH($DR$3,0),AZ$6*AZ$7,0),0),IF(AND(AV$6&lt;&gt;"",AV$8&lt;&gt;""),IF(EOMONTH($AT$3+INT((DAY(EOMONTH($AT$3,0))-1)/2)+AV$8,0)=EOMONTH($DR$3,0),AV$6*AV$7,0),0),IF(AND(AR$6&lt;&gt;"",AR$8&lt;&gt;""),IF(EOMONTH($AP$3+INT((DAY(EOMONTH($AP$3,0))-1)/2)+AR$8,0)=EOMONTH($DR$3,0),AR$6*AR$7,0),0),IF(AND(AN$6&lt;&gt;"",AN$8&lt;&gt;""),IF(EOMONTH($AL$3+INT((DAY(EOMONTH($AL$3,0))-1)/2)+AN$8,0)=EOMONTH($DR$3,0),AN$6*AN$7,0),0),IF(AND(AJ$6&lt;&gt;"",AJ$8&lt;&gt;""),IF(EOMONTH($AH$3+INT((DAY(EOMONTH($AH$3,0))-1)/2)+AJ$8,0)=EOMONTH($DR$3,0),AJ$6*AJ$7,0),0),IF(AND(AF$6&lt;&gt;"",AF$8&lt;&gt;""),IF(EOMONTH($AD$3+INT((DAY(EOMONTH($AD$3,0))-1)/2)+AF$8,0)=EOMONTH($DR$3,0),AF$6*AF$7,0),0),IF(AND(AB$6&lt;&gt;"",AB$8&lt;&gt;""),IF(EOMONTH($Z$3+INT((DAY(EOMONTH($Z$3,0))-1)/2)+AB$8,0)=EOMONTH($DR$3,0),AB$6*AB$7,0),0),IF(AND(X$6&lt;&gt;"",X$8&lt;&gt;""),IF(EOMONTH($V$3+INT((DAY(EOMONTH($V$3,0))-1)/2)+X$8,0)=EOMONTH($DR$3,0),X$6*X$7,0),0),IF(AND(T$6&lt;&gt;"",T$8&lt;&gt;""),IF(EOMONTH($R$3+INT((DAY(EOMONTH($R$3,0))-1)/2)+T$8,0)=EOMONTH($DR$3,0),T$6*T$7,0),0),IF(AND(P$6&lt;&gt;"",P$8&lt;&gt;""),IF(EOMONTH($N$3+INT((DAY(EOMONTH($N$3,0))-1)/2)+P$8,0)=EOMONTH($DR$3,0),P$6*P$7,0),0),IF(AND(L$6&lt;&gt;"",L$8&lt;&gt;""),IF(EOMONTH($J$3+INT((DAY(EOMONTH($J$3,0))-1)/2)+L$8,0)=EOMONTH($DR$3,0),L$6*L$7,0),0),IF(AND(H$6&lt;&gt;"",H$8&lt;&gt;""),IF(EOMONTH($F$3+INT((DAY(EOMONTH($F$3,0))-1)/2)+H$8,0)=EOMONTH($DR$3,0),H$6*H$7,0),0)),0)</f>
        <v>46</v>
      </c>
      <c r="DU9" s="16">
        <f t="shared" si="63"/>
        <v>0</v>
      </c>
      <c r="DV9" s="17"/>
      <c r="DW9" s="14">
        <f>IF(DV$98=1,DV9,ROUND(SUM(IF(AND(EQ$6&lt;&gt;"",EQ$8&lt;&gt;""),IF(EOMONTH($EP$3+INT((DAY(EOMONTH($EP$3,0))-1)/2)+EQ$8,0)=EOMONTH($DV$3,0),EQ$6*EQ$7,0),0),IF(AND(EM$6&lt;&gt;"",EM$8&lt;&gt;""),IF(EOMONTH($EL$3+INT((DAY(EOMONTH($EL$3,0))-1)/2)+EM$8,0)=EOMONTH($DV$3,0),EM$6*EM$7,0),0),IF(AND(EI$6&lt;&gt;"",EI$8&lt;&gt;""),IF(EOMONTH($EH$3+INT((DAY(EOMONTH($EH$3,0))-1)/2)+EI$8,0)=EOMONTH($DV$3,0),EI$6*EI$7,0),0),IF(AND(EE$6&lt;&gt;"",EE$8&lt;&gt;""),IF(EOMONTH($ED$3+INT((DAY(EOMONTH($ED$3,0))-1)/2)+EE$8,0)=EOMONTH($DV$3,0),EE$6*EE$7,0),0),IF(AND(EA$6&lt;&gt;"",EA$8&lt;&gt;""),IF(EOMONTH($DZ$3+INT((DAY(EOMONTH($DZ$3,0))-1)/2)+EA$8,0)=EOMONTH($DV$3,0),EA$6*EA$7,0),0),IF(AND(DW$6&lt;&gt;"",DW$8&lt;&gt;""),IF(EOMONTH($DV$3+INT((DAY(EOMONTH($DV$3,0))-1)/2)+DW$8,0)=EOMONTH($DV$3,0),DW$6*DW$7,0),0),IF(AND(DS$6&lt;&gt;"",DS$8&lt;&gt;""),IF(EOMONTH($DR$3+INT((DAY(EOMONTH($DR$3,0))-1)/2)+DS$8,0)=EOMONTH($DV$3,0),DS$6*DS$7,0),0),IF(AND(DO$6&lt;&gt;"",DO$8&lt;&gt;""),IF(EOMONTH($DN$3+INT((DAY(EOMONTH($DN$3,0))-1)/2)+DO$8,0)=EOMONTH($DV$3,0),DO$6*DO$7,0),0),IF(AND(DK$6&lt;&gt;"",DK$8&lt;&gt;""),IF(EOMONTH($DJ$3+INT((DAY(EOMONTH($DJ$3,0))-1)/2)+DK$8,0)=EOMONTH($DV$3,0),DK$6*DK$7,0),0),IF(AND(DG$6&lt;&gt;"",DG$8&lt;&gt;""),IF(EOMONTH($DF$3+INT((DAY(EOMONTH($DF$3,0))-1)/2)+DG$8,0)=EOMONTH($DV$3,0),DG$6*DG$7,0),0),IF(AND(DC$6&lt;&gt;"",DC$8&lt;&gt;""),IF(EOMONTH($DB$3+INT((DAY(EOMONTH($DB$3,0))-1)/2)+DC$8,0)=EOMONTH($DV$3,0),DC$6*DC$7,0),0),IF(AND(CY$6&lt;&gt;"",CY$8&lt;&gt;""),IF(EOMONTH($CX$3+INT((DAY(EOMONTH($CX$3,0))-1)/2)+CY$8,0)=EOMONTH($DV$3,0),CY$6*CY$7,0),0),IF(AND(CU$6&lt;&gt;"",CU$8&lt;&gt;""),IF(EOMONTH($CT$3+INT((DAY(EOMONTH($CT$3,0))-1)/2)+CU$8,0)=EOMONTH($DV$3,0),CU$6*CU$7,0),0),IF(AND(CQ$6&lt;&gt;"",CQ$8&lt;&gt;""),IF(EOMONTH($CP$3+INT((DAY(EOMONTH($CP$3,0))-1)/2)+CQ$8,0)=EOMONTH($DV$3,0),CQ$6*CQ$7,0),0),IF(AND(CM$6&lt;&gt;"",CM$8&lt;&gt;""),IF(EOMONTH($CL$3+INT((DAY(EOMONTH($CL$3,0))-1)/2)+CM$8,0)=EOMONTH($DV$3,0),CM$6*CM$7,0),0),IF(AND(CI$6&lt;&gt;"",CI$8&lt;&gt;""),IF(EOMONTH($CH$3+INT((DAY(EOMONTH($CH$3,0))-1)/2)+CI$8,0)=EOMONTH($DV$3,0),CI$6*CI$7,0),0),IF(AND(CE$6&lt;&gt;"",CE$8&lt;&gt;""),IF(EOMONTH($CD$3+INT((DAY(EOMONTH($CD$3,0))-1)/2)+CE$8,0)=EOMONTH($DV$3,0),CE$6*CE$7,0),0),IF(AND(CA$6&lt;&gt;"",CA$8&lt;&gt;""),IF(EOMONTH($BZ$3+INT((DAY(EOMONTH($BZ$3,0))-1)/2)+CA$8,0)=EOMONTH($DV$3,0),CA$6*CA$7,0),0),IF(AND(BW$6&lt;&gt;"",BW$8&lt;&gt;""),IF(EOMONTH($BV$3+INT((DAY(EOMONTH($BV$3,0))-1)/2)+BW$8,0)=EOMONTH($DV$3,0),BW$6*BW$7,0),0),IF(AND(BS$6&lt;&gt;"",BS$8&lt;&gt;""),IF(EOMONTH($BR$3+INT((DAY(EOMONTH($BR$3,0))-1)/2)+BS$8,0)=EOMONTH($DV$3,0),BS$6*BS$7,0),0),IF(AND(BO$6&lt;&gt;"",BO$8&lt;&gt;""),IF(EOMONTH($BN$3+INT((DAY(EOMONTH($BN$3,0))-1)/2)+BO$8,0)=EOMONTH($DV$3,0),BO$6*BO$7,0),0),IF(AND(BK$6&lt;&gt;"",BK$8&lt;&gt;""),IF(EOMONTH($BJ$3+INT((DAY(EOMONTH($BJ$3,0))-1)/2)+BK$8,0)=EOMONTH($DV$3,0),BK$6*BK$7,0),0),IF(AND(BG$6&lt;&gt;"",BG$8&lt;&gt;""),IF(EOMONTH($BF$3+INT((DAY(EOMONTH($BF$3,0))-1)/2)+BG$8,0)=EOMONTH($DV$3,0),BG$6*BG$7,0),0),IF(AND(BC$6&lt;&gt;"",BC$8&lt;&gt;""),IF(EOMONTH($BB$3+INT((DAY(EOMONTH($BB$3,0))-1)/2)+BC$8,0)=EOMONTH($DV$3,0),BC$6*BC$7,0),0),IF(AND(AY$6&lt;&gt;"",AY$8&lt;&gt;""),IF(EOMONTH($AX$3+INT((DAY(EOMONTH($AX$3,0))-1)/2)+AY$8,0)=EOMONTH($DV$3,0),AY$6*AY$7,0),0),IF(AND(AU$6&lt;&gt;"",AU$8&lt;&gt;""),IF(EOMONTH($AT$3+INT((DAY(EOMONTH($AT$3,0))-1)/2)+AU$8,0)=EOMONTH($DV$3,0),AU$6*AU$7,0),0),IF(AND(AQ$6&lt;&gt;"",AQ$8&lt;&gt;""),IF(EOMONTH($AP$3+INT((DAY(EOMONTH($AP$3,0))-1)/2)+AQ$8,0)=EOMONTH($DV$3,0),AQ$6*AQ$7,0),0),IF(AND(AM$6&lt;&gt;"",AM$8&lt;&gt;""),IF(EOMONTH($AL$3+INT((DAY(EOMONTH($AL$3,0))-1)/2)+AM$8,0)=EOMONTH($DV$3,0),AM$6*AM$7,0),0),IF(AND(AI$6&lt;&gt;"",AI$8&lt;&gt;""),IF(EOMONTH($AH$3+INT((DAY(EOMONTH($AH$3,0))-1)/2)+AI$8,0)=EOMONTH($DV$3,0),AI$6*AI$7,0),0),IF(AND(AE$6&lt;&gt;"",AE$8&lt;&gt;""),IF(EOMONTH($AD$3+INT((DAY(EOMONTH($AD$3,0))-1)/2)+AE$8,0)=EOMONTH($DV$3,0),AE$6*AE$7,0),0),IF(AND(AA$6&lt;&gt;"",AA$8&lt;&gt;""),IF(EOMONTH($Z$3+INT((DAY(EOMONTH($Z$3,0))-1)/2)+AA$8,0)=EOMONTH($DV$3,0),AA$6*AA$7,0),0),IF(AND(W$6&lt;&gt;"",W$8&lt;&gt;""),IF(EOMONTH($V$3+INT((DAY(EOMONTH($V$3,0))-1)/2)+W$8,0)=EOMONTH($DV$3,0),W$6*W$7,0),0),IF(AND(S$6&lt;&gt;"",S$8&lt;&gt;""),IF(EOMONTH($R$3+INT((DAY(EOMONTH($R$3,0))-1)/2)+S$8,0)=EOMONTH($DV$3,0),S$6*S$7,0),0),IF(AND(O$6&lt;&gt;"",O$8&lt;&gt;""),IF(EOMONTH($N$3+INT((DAY(EOMONTH($N$3,0))-1)/2)+O$8,0)=EOMONTH($DV$3,0),O$6*O$7,0),0),IF(AND(K$6&lt;&gt;"",K$8&lt;&gt;""),IF(EOMONTH($J$3+INT((DAY(EOMONTH($J$3,0))-1)/2)+K$8,0)=EOMONTH($DV$3,0),K$6*K$7,0),0),IF(AND(G$6&lt;&gt;"",G$8&lt;&gt;""),IF(EOMONTH($F$3+INT((DAY(EOMONTH($F$3,0))-1)/2)+G$8,0)=EOMONTH($DV$3,0),G$6*G$7,0),0)),0))</f>
        <v>45</v>
      </c>
      <c r="DX9" s="15">
        <f>ROUND(SUM(IF(AND(ER$6&lt;&gt;"",ER$8&lt;&gt;""),IF(EOMONTH($EP$3+INT((DAY(EOMONTH($EP$3,0))-1)/2)+ER$8,0)=EOMONTH($DV$3,0),ER$6*ER$7,0),0),IF(AND(EN$6&lt;&gt;"",EN$8&lt;&gt;""),IF(EOMONTH($EL$3+INT((DAY(EOMONTH($EL$3,0))-1)/2)+EN$8,0)=EOMONTH($DV$3,0),EN$6*EN$7,0),0),IF(AND(EJ$6&lt;&gt;"",EJ$8&lt;&gt;""),IF(EOMONTH($EH$3+INT((DAY(EOMONTH($EH$3,0))-1)/2)+EJ$8,0)=EOMONTH($DV$3,0),EJ$6*EJ$7,0),0),IF(AND(EF$6&lt;&gt;"",EF$8&lt;&gt;""),IF(EOMONTH($ED$3+INT((DAY(EOMONTH($ED$3,0))-1)/2)+EF$8,0)=EOMONTH($DV$3,0),EF$6*EF$7,0),0),IF(AND(EB$6&lt;&gt;"",EB$8&lt;&gt;""),IF(EOMONTH($DZ$3+INT((DAY(EOMONTH($DZ$3,0))-1)/2)+EB$8,0)=EOMONTH($DV$3,0),EB$6*EB$7,0),0),IF(AND(DX$6&lt;&gt;"",DX$8&lt;&gt;""),IF(EOMONTH($DV$3+INT((DAY(EOMONTH($DV$3,0))-1)/2)+DX$8,0)=EOMONTH($DV$3,0),DX$6*DX$7,0),0),IF(AND(DT$6&lt;&gt;"",DT$8&lt;&gt;""),IF(EOMONTH($DR$3+INT((DAY(EOMONTH($DR$3,0))-1)/2)+DT$8,0)=EOMONTH($DV$3,0),DT$6*DT$7,0),0),IF(AND(DP$6&lt;&gt;"",DP$8&lt;&gt;""),IF(EOMONTH($DN$3+INT((DAY(EOMONTH($DN$3,0))-1)/2)+DP$8,0)=EOMONTH($DV$3,0),DP$6*DP$7,0),0),IF(AND(DL$6&lt;&gt;"",DL$8&lt;&gt;""),IF(EOMONTH($DJ$3+INT((DAY(EOMONTH($DJ$3,0))-1)/2)+DL$8,0)=EOMONTH($DV$3,0),DL$6*DL$7,0),0),IF(AND(DH$6&lt;&gt;"",DH$8&lt;&gt;""),IF(EOMONTH($DF$3+INT((DAY(EOMONTH($DF$3,0))-1)/2)+DH$8,0)=EOMONTH($DV$3,0),DH$6*DH$7,0),0),IF(AND(DD$6&lt;&gt;"",DD$8&lt;&gt;""),IF(EOMONTH($DB$3+INT((DAY(EOMONTH($DB$3,0))-1)/2)+DD$8,0)=EOMONTH($DV$3,0),DD$6*DD$7,0),0),IF(AND(CZ$6&lt;&gt;"",CZ$8&lt;&gt;""),IF(EOMONTH($CX$3+INT((DAY(EOMONTH($CX$3,0))-1)/2)+CZ$8,0)=EOMONTH($DV$3,0),CZ$6*CZ$7,0),0),IF(AND(CV$6&lt;&gt;"",CV$8&lt;&gt;""),IF(EOMONTH($CT$3+INT((DAY(EOMONTH($CT$3,0))-1)/2)+CV$8,0)=EOMONTH($DV$3,0),CV$6*CV$7,0),0),IF(AND(CR$6&lt;&gt;"",CR$8&lt;&gt;""),IF(EOMONTH($CP$3+INT((DAY(EOMONTH($CP$3,0))-1)/2)+CR$8,0)=EOMONTH($DV$3,0),CR$6*CR$7,0),0),IF(AND(CN$6&lt;&gt;"",CN$8&lt;&gt;""),IF(EOMONTH($CL$3+INT((DAY(EOMONTH($CL$3,0))-1)/2)+CN$8,0)=EOMONTH($DV$3,0),CN$6*CN$7,0),0),IF(AND(CJ$6&lt;&gt;"",CJ$8&lt;&gt;""),IF(EOMONTH($CH$3+INT((DAY(EOMONTH($CH$3,0))-1)/2)+CJ$8,0)=EOMONTH($DV$3,0),CJ$6*CJ$7,0),0),IF(AND(CF$6&lt;&gt;"",CF$8&lt;&gt;""),IF(EOMONTH($CD$3+INT((DAY(EOMONTH($CD$3,0))-1)/2)+CF$8,0)=EOMONTH($DV$3,0),CF$6*CF$7,0),0),IF(AND(CB$6&lt;&gt;"",CB$8&lt;&gt;""),IF(EOMONTH($BZ$3+INT((DAY(EOMONTH($BZ$3,0))-1)/2)+CB$8,0)=EOMONTH($DV$3,0),CB$6*CB$7,0),0),IF(AND(BX$6&lt;&gt;"",BX$8&lt;&gt;""),IF(EOMONTH($BV$3+INT((DAY(EOMONTH($BV$3,0))-1)/2)+BX$8,0)=EOMONTH($DV$3,0),BX$6*BX$7,0),0),IF(AND(BT$6&lt;&gt;"",BT$8&lt;&gt;""),IF(EOMONTH($BR$3+INT((DAY(EOMONTH($BR$3,0))-1)/2)+BT$8,0)=EOMONTH($DV$3,0),BT$6*BT$7,0),0),IF(AND(BP$6&lt;&gt;"",BP$8&lt;&gt;""),IF(EOMONTH($BN$3+INT((DAY(EOMONTH($BN$3,0))-1)/2)+BP$8,0)=EOMONTH($DV$3,0),BP$6*BP$7,0),0),IF(AND(BL$6&lt;&gt;"",BL$8&lt;&gt;""),IF(EOMONTH($BJ$3+INT((DAY(EOMONTH($BJ$3,0))-1)/2)+BL$8,0)=EOMONTH($DV$3,0),BL$6*BL$7,0),0),IF(AND(BH$6&lt;&gt;"",BH$8&lt;&gt;""),IF(EOMONTH($BF$3+INT((DAY(EOMONTH($BF$3,0))-1)/2)+BH$8,0)=EOMONTH($DV$3,0),BH$6*BH$7,0),0),IF(AND(BD$6&lt;&gt;"",BD$8&lt;&gt;""),IF(EOMONTH($BB$3+INT((DAY(EOMONTH($BB$3,0))-1)/2)+BD$8,0)=EOMONTH($DV$3,0),BD$6*BD$7,0),0),IF(AND(AZ$6&lt;&gt;"",AZ$8&lt;&gt;""),IF(EOMONTH($AX$3+INT((DAY(EOMONTH($AX$3,0))-1)/2)+AZ$8,0)=EOMONTH($DV$3,0),AZ$6*AZ$7,0),0),IF(AND(AV$6&lt;&gt;"",AV$8&lt;&gt;""),IF(EOMONTH($AT$3+INT((DAY(EOMONTH($AT$3,0))-1)/2)+AV$8,0)=EOMONTH($DV$3,0),AV$6*AV$7,0),0),IF(AND(AR$6&lt;&gt;"",AR$8&lt;&gt;""),IF(EOMONTH($AP$3+INT((DAY(EOMONTH($AP$3,0))-1)/2)+AR$8,0)=EOMONTH($DV$3,0),AR$6*AR$7,0),0),IF(AND(AN$6&lt;&gt;"",AN$8&lt;&gt;""),IF(EOMONTH($AL$3+INT((DAY(EOMONTH($AL$3,0))-1)/2)+AN$8,0)=EOMONTH($DV$3,0),AN$6*AN$7,0),0),IF(AND(AJ$6&lt;&gt;"",AJ$8&lt;&gt;""),IF(EOMONTH($AH$3+INT((DAY(EOMONTH($AH$3,0))-1)/2)+AJ$8,0)=EOMONTH($DV$3,0),AJ$6*AJ$7,0),0),IF(AND(AF$6&lt;&gt;"",AF$8&lt;&gt;""),IF(EOMONTH($AD$3+INT((DAY(EOMONTH($AD$3,0))-1)/2)+AF$8,0)=EOMONTH($DV$3,0),AF$6*AF$7,0),0),IF(AND(AB$6&lt;&gt;"",AB$8&lt;&gt;""),IF(EOMONTH($Z$3+INT((DAY(EOMONTH($Z$3,0))-1)/2)+AB$8,0)=EOMONTH($DV$3,0),AB$6*AB$7,0),0),IF(AND(X$6&lt;&gt;"",X$8&lt;&gt;""),IF(EOMONTH($V$3+INT((DAY(EOMONTH($V$3,0))-1)/2)+X$8,0)=EOMONTH($DV$3,0),X$6*X$7,0),0),IF(AND(T$6&lt;&gt;"",T$8&lt;&gt;""),IF(EOMONTH($R$3+INT((DAY(EOMONTH($R$3,0))-1)/2)+T$8,0)=EOMONTH($DV$3,0),T$6*T$7,0),0),IF(AND(P$6&lt;&gt;"",P$8&lt;&gt;""),IF(EOMONTH($N$3+INT((DAY(EOMONTH($N$3,0))-1)/2)+P$8,0)=EOMONTH($DV$3,0),P$6*P$7,0),0),IF(AND(L$6&lt;&gt;"",L$8&lt;&gt;""),IF(EOMONTH($J$3+INT((DAY(EOMONTH($J$3,0))-1)/2)+L$8,0)=EOMONTH($DV$3,0),L$6*L$7,0),0),IF(AND(H$6&lt;&gt;"",H$8&lt;&gt;""),IF(EOMONTH($F$3+INT((DAY(EOMONTH($F$3,0))-1)/2)+H$8,0)=EOMONTH($DV$3,0),H$6*H$7,0),0)),0)</f>
        <v>45</v>
      </c>
      <c r="DY9" s="16">
        <f t="shared" si="65"/>
        <v>0</v>
      </c>
      <c r="DZ9" s="17"/>
      <c r="EA9" s="14">
        <f>IF(DZ$98=1,DZ9,ROUND(SUM(IF(AND(EQ$6&lt;&gt;"",EQ$8&lt;&gt;""),IF(EOMONTH($EP$3+INT((DAY(EOMONTH($EP$3,0))-1)/2)+EQ$8,0)=EOMONTH($DZ$3,0),EQ$6*EQ$7,0),0),IF(AND(EM$6&lt;&gt;"",EM$8&lt;&gt;""),IF(EOMONTH($EL$3+INT((DAY(EOMONTH($EL$3,0))-1)/2)+EM$8,0)=EOMONTH($DZ$3,0),EM$6*EM$7,0),0),IF(AND(EI$6&lt;&gt;"",EI$8&lt;&gt;""),IF(EOMONTH($EH$3+INT((DAY(EOMONTH($EH$3,0))-1)/2)+EI$8,0)=EOMONTH($DZ$3,0),EI$6*EI$7,0),0),IF(AND(EE$6&lt;&gt;"",EE$8&lt;&gt;""),IF(EOMONTH($ED$3+INT((DAY(EOMONTH($ED$3,0))-1)/2)+EE$8,0)=EOMONTH($DZ$3,0),EE$6*EE$7,0),0),IF(AND(EA$6&lt;&gt;"",EA$8&lt;&gt;""),IF(EOMONTH($DZ$3+INT((DAY(EOMONTH($DZ$3,0))-1)/2)+EA$8,0)=EOMONTH($DZ$3,0),EA$6*EA$7,0),0),IF(AND(DW$6&lt;&gt;"",DW$8&lt;&gt;""),IF(EOMONTH($DV$3+INT((DAY(EOMONTH($DV$3,0))-1)/2)+DW$8,0)=EOMONTH($DZ$3,0),DW$6*DW$7,0),0),IF(AND(DS$6&lt;&gt;"",DS$8&lt;&gt;""),IF(EOMONTH($DR$3+INT((DAY(EOMONTH($DR$3,0))-1)/2)+DS$8,0)=EOMONTH($DZ$3,0),DS$6*DS$7,0),0),IF(AND(DO$6&lt;&gt;"",DO$8&lt;&gt;""),IF(EOMONTH($DN$3+INT((DAY(EOMONTH($DN$3,0))-1)/2)+DO$8,0)=EOMONTH($DZ$3,0),DO$6*DO$7,0),0),IF(AND(DK$6&lt;&gt;"",DK$8&lt;&gt;""),IF(EOMONTH($DJ$3+INT((DAY(EOMONTH($DJ$3,0))-1)/2)+DK$8,0)=EOMONTH($DZ$3,0),DK$6*DK$7,0),0),IF(AND(DG$6&lt;&gt;"",DG$8&lt;&gt;""),IF(EOMONTH($DF$3+INT((DAY(EOMONTH($DF$3,0))-1)/2)+DG$8,0)=EOMONTH($DZ$3,0),DG$6*DG$7,0),0),IF(AND(DC$6&lt;&gt;"",DC$8&lt;&gt;""),IF(EOMONTH($DB$3+INT((DAY(EOMONTH($DB$3,0))-1)/2)+DC$8,0)=EOMONTH($DZ$3,0),DC$6*DC$7,0),0),IF(AND(CY$6&lt;&gt;"",CY$8&lt;&gt;""),IF(EOMONTH($CX$3+INT((DAY(EOMONTH($CX$3,0))-1)/2)+CY$8,0)=EOMONTH($DZ$3,0),CY$6*CY$7,0),0),IF(AND(CU$6&lt;&gt;"",CU$8&lt;&gt;""),IF(EOMONTH($CT$3+INT((DAY(EOMONTH($CT$3,0))-1)/2)+CU$8,0)=EOMONTH($DZ$3,0),CU$6*CU$7,0),0),IF(AND(CQ$6&lt;&gt;"",CQ$8&lt;&gt;""),IF(EOMONTH($CP$3+INT((DAY(EOMONTH($CP$3,0))-1)/2)+CQ$8,0)=EOMONTH($DZ$3,0),CQ$6*CQ$7,0),0),IF(AND(CM$6&lt;&gt;"",CM$8&lt;&gt;""),IF(EOMONTH($CL$3+INT((DAY(EOMONTH($CL$3,0))-1)/2)+CM$8,0)=EOMONTH($DZ$3,0),CM$6*CM$7,0),0),IF(AND(CI$6&lt;&gt;"",CI$8&lt;&gt;""),IF(EOMONTH($CH$3+INT((DAY(EOMONTH($CH$3,0))-1)/2)+CI$8,0)=EOMONTH($DZ$3,0),CI$6*CI$7,0),0),IF(AND(CE$6&lt;&gt;"",CE$8&lt;&gt;""),IF(EOMONTH($CD$3+INT((DAY(EOMONTH($CD$3,0))-1)/2)+CE$8,0)=EOMONTH($DZ$3,0),CE$6*CE$7,0),0),IF(AND(CA$6&lt;&gt;"",CA$8&lt;&gt;""),IF(EOMONTH($BZ$3+INT((DAY(EOMONTH($BZ$3,0))-1)/2)+CA$8,0)=EOMONTH($DZ$3,0),CA$6*CA$7,0),0),IF(AND(BW$6&lt;&gt;"",BW$8&lt;&gt;""),IF(EOMONTH($BV$3+INT((DAY(EOMONTH($BV$3,0))-1)/2)+BW$8,0)=EOMONTH($DZ$3,0),BW$6*BW$7,0),0),IF(AND(BS$6&lt;&gt;"",BS$8&lt;&gt;""),IF(EOMONTH($BR$3+INT((DAY(EOMONTH($BR$3,0))-1)/2)+BS$8,0)=EOMONTH($DZ$3,0),BS$6*BS$7,0),0),IF(AND(BO$6&lt;&gt;"",BO$8&lt;&gt;""),IF(EOMONTH($BN$3+INT((DAY(EOMONTH($BN$3,0))-1)/2)+BO$8,0)=EOMONTH($DZ$3,0),BO$6*BO$7,0),0),IF(AND(BK$6&lt;&gt;"",BK$8&lt;&gt;""),IF(EOMONTH($BJ$3+INT((DAY(EOMONTH($BJ$3,0))-1)/2)+BK$8,0)=EOMONTH($DZ$3,0),BK$6*BK$7,0),0),IF(AND(BG$6&lt;&gt;"",BG$8&lt;&gt;""),IF(EOMONTH($BF$3+INT((DAY(EOMONTH($BF$3,0))-1)/2)+BG$8,0)=EOMONTH($DZ$3,0),BG$6*BG$7,0),0),IF(AND(BC$6&lt;&gt;"",BC$8&lt;&gt;""),IF(EOMONTH($BB$3+INT((DAY(EOMONTH($BB$3,0))-1)/2)+BC$8,0)=EOMONTH($DZ$3,0),BC$6*BC$7,0),0),IF(AND(AY$6&lt;&gt;"",AY$8&lt;&gt;""),IF(EOMONTH($AX$3+INT((DAY(EOMONTH($AX$3,0))-1)/2)+AY$8,0)=EOMONTH($DZ$3,0),AY$6*AY$7,0),0),IF(AND(AU$6&lt;&gt;"",AU$8&lt;&gt;""),IF(EOMONTH($AT$3+INT((DAY(EOMONTH($AT$3,0))-1)/2)+AU$8,0)=EOMONTH($DZ$3,0),AU$6*AU$7,0),0),IF(AND(AQ$6&lt;&gt;"",AQ$8&lt;&gt;""),IF(EOMONTH($AP$3+INT((DAY(EOMONTH($AP$3,0))-1)/2)+AQ$8,0)=EOMONTH($DZ$3,0),AQ$6*AQ$7,0),0),IF(AND(AM$6&lt;&gt;"",AM$8&lt;&gt;""),IF(EOMONTH($AL$3+INT((DAY(EOMONTH($AL$3,0))-1)/2)+AM$8,0)=EOMONTH($DZ$3,0),AM$6*AM$7,0),0),IF(AND(AI$6&lt;&gt;"",AI$8&lt;&gt;""),IF(EOMONTH($AH$3+INT((DAY(EOMONTH($AH$3,0))-1)/2)+AI$8,0)=EOMONTH($DZ$3,0),AI$6*AI$7,0),0),IF(AND(AE$6&lt;&gt;"",AE$8&lt;&gt;""),IF(EOMONTH($AD$3+INT((DAY(EOMONTH($AD$3,0))-1)/2)+AE$8,0)=EOMONTH($DZ$3,0),AE$6*AE$7,0),0),IF(AND(AA$6&lt;&gt;"",AA$8&lt;&gt;""),IF(EOMONTH($Z$3+INT((DAY(EOMONTH($Z$3,0))-1)/2)+AA$8,0)=EOMONTH($DZ$3,0),AA$6*AA$7,0),0),IF(AND(W$6&lt;&gt;"",W$8&lt;&gt;""),IF(EOMONTH($V$3+INT((DAY(EOMONTH($V$3,0))-1)/2)+W$8,0)=EOMONTH($DZ$3,0),W$6*W$7,0),0),IF(AND(S$6&lt;&gt;"",S$8&lt;&gt;""),IF(EOMONTH($R$3+INT((DAY(EOMONTH($R$3,0))-1)/2)+S$8,0)=EOMONTH($DZ$3,0),S$6*S$7,0),0),IF(AND(O$6&lt;&gt;"",O$8&lt;&gt;""),IF(EOMONTH($N$3+INT((DAY(EOMONTH($N$3,0))-1)/2)+O$8,0)=EOMONTH($DZ$3,0),O$6*O$7,0),0),IF(AND(K$6&lt;&gt;"",K$8&lt;&gt;""),IF(EOMONTH($J$3+INT((DAY(EOMONTH($J$3,0))-1)/2)+K$8,0)=EOMONTH($DZ$3,0),K$6*K$7,0),0),IF(AND(G$6&lt;&gt;"",G$8&lt;&gt;""),IF(EOMONTH($F$3+INT((DAY(EOMONTH($F$3,0))-1)/2)+G$8,0)=EOMONTH($DZ$3,0),G$6*G$7,0),0)),0))</f>
        <v>44</v>
      </c>
      <c r="EB9" s="15">
        <f>ROUND(SUM(IF(AND(ER$6&lt;&gt;"",ER$8&lt;&gt;""),IF(EOMONTH($EP$3+INT((DAY(EOMONTH($EP$3,0))-1)/2)+ER$8,0)=EOMONTH($DZ$3,0),ER$6*ER$7,0),0),IF(AND(EN$6&lt;&gt;"",EN$8&lt;&gt;""),IF(EOMONTH($EL$3+INT((DAY(EOMONTH($EL$3,0))-1)/2)+EN$8,0)=EOMONTH($DZ$3,0),EN$6*EN$7,0),0),IF(AND(EJ$6&lt;&gt;"",EJ$8&lt;&gt;""),IF(EOMONTH($EH$3+INT((DAY(EOMONTH($EH$3,0))-1)/2)+EJ$8,0)=EOMONTH($DZ$3,0),EJ$6*EJ$7,0),0),IF(AND(EF$6&lt;&gt;"",EF$8&lt;&gt;""),IF(EOMONTH($ED$3+INT((DAY(EOMONTH($ED$3,0))-1)/2)+EF$8,0)=EOMONTH($DZ$3,0),EF$6*EF$7,0),0),IF(AND(EB$6&lt;&gt;"",EB$8&lt;&gt;""),IF(EOMONTH($DZ$3+INT((DAY(EOMONTH($DZ$3,0))-1)/2)+EB$8,0)=EOMONTH($DZ$3,0),EB$6*EB$7,0),0),IF(AND(DX$6&lt;&gt;"",DX$8&lt;&gt;""),IF(EOMONTH($DV$3+INT((DAY(EOMONTH($DV$3,0))-1)/2)+DX$8,0)=EOMONTH($DZ$3,0),DX$6*DX$7,0),0),IF(AND(DT$6&lt;&gt;"",DT$8&lt;&gt;""),IF(EOMONTH($DR$3+INT((DAY(EOMONTH($DR$3,0))-1)/2)+DT$8,0)=EOMONTH($DZ$3,0),DT$6*DT$7,0),0),IF(AND(DP$6&lt;&gt;"",DP$8&lt;&gt;""),IF(EOMONTH($DN$3+INT((DAY(EOMONTH($DN$3,0))-1)/2)+DP$8,0)=EOMONTH($DZ$3,0),DP$6*DP$7,0),0),IF(AND(DL$6&lt;&gt;"",DL$8&lt;&gt;""),IF(EOMONTH($DJ$3+INT((DAY(EOMONTH($DJ$3,0))-1)/2)+DL$8,0)=EOMONTH($DZ$3,0),DL$6*DL$7,0),0),IF(AND(DH$6&lt;&gt;"",DH$8&lt;&gt;""),IF(EOMONTH($DF$3+INT((DAY(EOMONTH($DF$3,0))-1)/2)+DH$8,0)=EOMONTH($DZ$3,0),DH$6*DH$7,0),0),IF(AND(DD$6&lt;&gt;"",DD$8&lt;&gt;""),IF(EOMONTH($DB$3+INT((DAY(EOMONTH($DB$3,0))-1)/2)+DD$8,0)=EOMONTH($DZ$3,0),DD$6*DD$7,0),0),IF(AND(CZ$6&lt;&gt;"",CZ$8&lt;&gt;""),IF(EOMONTH($CX$3+INT((DAY(EOMONTH($CX$3,0))-1)/2)+CZ$8,0)=EOMONTH($DZ$3,0),CZ$6*CZ$7,0),0),IF(AND(CV$6&lt;&gt;"",CV$8&lt;&gt;""),IF(EOMONTH($CT$3+INT((DAY(EOMONTH($CT$3,0))-1)/2)+CV$8,0)=EOMONTH($DZ$3,0),CV$6*CV$7,0),0),IF(AND(CR$6&lt;&gt;"",CR$8&lt;&gt;""),IF(EOMONTH($CP$3+INT((DAY(EOMONTH($CP$3,0))-1)/2)+CR$8,0)=EOMONTH($DZ$3,0),CR$6*CR$7,0),0),IF(AND(CN$6&lt;&gt;"",CN$8&lt;&gt;""),IF(EOMONTH($CL$3+INT((DAY(EOMONTH($CL$3,0))-1)/2)+CN$8,0)=EOMONTH($DZ$3,0),CN$6*CN$7,0),0),IF(AND(CJ$6&lt;&gt;"",CJ$8&lt;&gt;""),IF(EOMONTH($CH$3+INT((DAY(EOMONTH($CH$3,0))-1)/2)+CJ$8,0)=EOMONTH($DZ$3,0),CJ$6*CJ$7,0),0),IF(AND(CF$6&lt;&gt;"",CF$8&lt;&gt;""),IF(EOMONTH($CD$3+INT((DAY(EOMONTH($CD$3,0))-1)/2)+CF$8,0)=EOMONTH($DZ$3,0),CF$6*CF$7,0),0),IF(AND(CB$6&lt;&gt;"",CB$8&lt;&gt;""),IF(EOMONTH($BZ$3+INT((DAY(EOMONTH($BZ$3,0))-1)/2)+CB$8,0)=EOMONTH($DZ$3,0),CB$6*CB$7,0),0),IF(AND(BX$6&lt;&gt;"",BX$8&lt;&gt;""),IF(EOMONTH($BV$3+INT((DAY(EOMONTH($BV$3,0))-1)/2)+BX$8,0)=EOMONTH($DZ$3,0),BX$6*BX$7,0),0),IF(AND(BT$6&lt;&gt;"",BT$8&lt;&gt;""),IF(EOMONTH($BR$3+INT((DAY(EOMONTH($BR$3,0))-1)/2)+BT$8,0)=EOMONTH($DZ$3,0),BT$6*BT$7,0),0),IF(AND(BP$6&lt;&gt;"",BP$8&lt;&gt;""),IF(EOMONTH($BN$3+INT((DAY(EOMONTH($BN$3,0))-1)/2)+BP$8,0)=EOMONTH($DZ$3,0),BP$6*BP$7,0),0),IF(AND(BL$6&lt;&gt;"",BL$8&lt;&gt;""),IF(EOMONTH($BJ$3+INT((DAY(EOMONTH($BJ$3,0))-1)/2)+BL$8,0)=EOMONTH($DZ$3,0),BL$6*BL$7,0),0),IF(AND(BH$6&lt;&gt;"",BH$8&lt;&gt;""),IF(EOMONTH($BF$3+INT((DAY(EOMONTH($BF$3,0))-1)/2)+BH$8,0)=EOMONTH($DZ$3,0),BH$6*BH$7,0),0),IF(AND(BD$6&lt;&gt;"",BD$8&lt;&gt;""),IF(EOMONTH($BB$3+INT((DAY(EOMONTH($BB$3,0))-1)/2)+BD$8,0)=EOMONTH($DZ$3,0),BD$6*BD$7,0),0),IF(AND(AZ$6&lt;&gt;"",AZ$8&lt;&gt;""),IF(EOMONTH($AX$3+INT((DAY(EOMONTH($AX$3,0))-1)/2)+AZ$8,0)=EOMONTH($DZ$3,0),AZ$6*AZ$7,0),0),IF(AND(AV$6&lt;&gt;"",AV$8&lt;&gt;""),IF(EOMONTH($AT$3+INT((DAY(EOMONTH($AT$3,0))-1)/2)+AV$8,0)=EOMONTH($DZ$3,0),AV$6*AV$7,0),0),IF(AND(AR$6&lt;&gt;"",AR$8&lt;&gt;""),IF(EOMONTH($AP$3+INT((DAY(EOMONTH($AP$3,0))-1)/2)+AR$8,0)=EOMONTH($DZ$3,0),AR$6*AR$7,0),0),IF(AND(AN$6&lt;&gt;"",AN$8&lt;&gt;""),IF(EOMONTH($AL$3+INT((DAY(EOMONTH($AL$3,0))-1)/2)+AN$8,0)=EOMONTH($DZ$3,0),AN$6*AN$7,0),0),IF(AND(AJ$6&lt;&gt;"",AJ$8&lt;&gt;""),IF(EOMONTH($AH$3+INT((DAY(EOMONTH($AH$3,0))-1)/2)+AJ$8,0)=EOMONTH($DZ$3,0),AJ$6*AJ$7,0),0),IF(AND(AF$6&lt;&gt;"",AF$8&lt;&gt;""),IF(EOMONTH($AD$3+INT((DAY(EOMONTH($AD$3,0))-1)/2)+AF$8,0)=EOMONTH($DZ$3,0),AF$6*AF$7,0),0),IF(AND(AB$6&lt;&gt;"",AB$8&lt;&gt;""),IF(EOMONTH($Z$3+INT((DAY(EOMONTH($Z$3,0))-1)/2)+AB$8,0)=EOMONTH($DZ$3,0),AB$6*AB$7,0),0),IF(AND(X$6&lt;&gt;"",X$8&lt;&gt;""),IF(EOMONTH($V$3+INT((DAY(EOMONTH($V$3,0))-1)/2)+X$8,0)=EOMONTH($DZ$3,0),X$6*X$7,0),0),IF(AND(T$6&lt;&gt;"",T$8&lt;&gt;""),IF(EOMONTH($R$3+INT((DAY(EOMONTH($R$3,0))-1)/2)+T$8,0)=EOMONTH($DZ$3,0),T$6*T$7,0),0),IF(AND(P$6&lt;&gt;"",P$8&lt;&gt;""),IF(EOMONTH($N$3+INT((DAY(EOMONTH($N$3,0))-1)/2)+P$8,0)=EOMONTH($DZ$3,0),P$6*P$7,0),0),IF(AND(L$6&lt;&gt;"",L$8&lt;&gt;""),IF(EOMONTH($J$3+INT((DAY(EOMONTH($J$3,0))-1)/2)+L$8,0)=EOMONTH($DZ$3,0),L$6*L$7,0),0),IF(AND(H$6&lt;&gt;"",H$8&lt;&gt;""),IF(EOMONTH($F$3+INT((DAY(EOMONTH($F$3,0))-1)/2)+H$8,0)=EOMONTH($DZ$3,0),H$6*H$7,0),0)),0)</f>
        <v>44</v>
      </c>
      <c r="EC9" s="16">
        <f t="shared" si="67"/>
        <v>0</v>
      </c>
      <c r="ED9" s="17"/>
      <c r="EE9" s="14">
        <f>IF(ED$98=1,ED9,ROUND(SUM(IF(AND(EQ$6&lt;&gt;"",EQ$8&lt;&gt;""),IF(EOMONTH($EP$3+INT((DAY(EOMONTH($EP$3,0))-1)/2)+EQ$8,0)=EOMONTH($ED$3,0),EQ$6*EQ$7,0),0),IF(AND(EM$6&lt;&gt;"",EM$8&lt;&gt;""),IF(EOMONTH($EL$3+INT((DAY(EOMONTH($EL$3,0))-1)/2)+EM$8,0)=EOMONTH($ED$3,0),EM$6*EM$7,0),0),IF(AND(EI$6&lt;&gt;"",EI$8&lt;&gt;""),IF(EOMONTH($EH$3+INT((DAY(EOMONTH($EH$3,0))-1)/2)+EI$8,0)=EOMONTH($ED$3,0),EI$6*EI$7,0),0),IF(AND(EE$6&lt;&gt;"",EE$8&lt;&gt;""),IF(EOMONTH($ED$3+INT((DAY(EOMONTH($ED$3,0))-1)/2)+EE$8,0)=EOMONTH($ED$3,0),EE$6*EE$7,0),0),IF(AND(EA$6&lt;&gt;"",EA$8&lt;&gt;""),IF(EOMONTH($DZ$3+INT((DAY(EOMONTH($DZ$3,0))-1)/2)+EA$8,0)=EOMONTH($ED$3,0),EA$6*EA$7,0),0),IF(AND(DW$6&lt;&gt;"",DW$8&lt;&gt;""),IF(EOMONTH($DV$3+INT((DAY(EOMONTH($DV$3,0))-1)/2)+DW$8,0)=EOMONTH($ED$3,0),DW$6*DW$7,0),0),IF(AND(DS$6&lt;&gt;"",DS$8&lt;&gt;""),IF(EOMONTH($DR$3+INT((DAY(EOMONTH($DR$3,0))-1)/2)+DS$8,0)=EOMONTH($ED$3,0),DS$6*DS$7,0),0),IF(AND(DO$6&lt;&gt;"",DO$8&lt;&gt;""),IF(EOMONTH($DN$3+INT((DAY(EOMONTH($DN$3,0))-1)/2)+DO$8,0)=EOMONTH($ED$3,0),DO$6*DO$7,0),0),IF(AND(DK$6&lt;&gt;"",DK$8&lt;&gt;""),IF(EOMONTH($DJ$3+INT((DAY(EOMONTH($DJ$3,0))-1)/2)+DK$8,0)=EOMONTH($ED$3,0),DK$6*DK$7,0),0),IF(AND(DG$6&lt;&gt;"",DG$8&lt;&gt;""),IF(EOMONTH($DF$3+INT((DAY(EOMONTH($DF$3,0))-1)/2)+DG$8,0)=EOMONTH($ED$3,0),DG$6*DG$7,0),0),IF(AND(DC$6&lt;&gt;"",DC$8&lt;&gt;""),IF(EOMONTH($DB$3+INT((DAY(EOMONTH($DB$3,0))-1)/2)+DC$8,0)=EOMONTH($ED$3,0),DC$6*DC$7,0),0),IF(AND(CY$6&lt;&gt;"",CY$8&lt;&gt;""),IF(EOMONTH($CX$3+INT((DAY(EOMONTH($CX$3,0))-1)/2)+CY$8,0)=EOMONTH($ED$3,0),CY$6*CY$7,0),0),IF(AND(CU$6&lt;&gt;"",CU$8&lt;&gt;""),IF(EOMONTH($CT$3+INT((DAY(EOMONTH($CT$3,0))-1)/2)+CU$8,0)=EOMONTH($ED$3,0),CU$6*CU$7,0),0),IF(AND(CQ$6&lt;&gt;"",CQ$8&lt;&gt;""),IF(EOMONTH($CP$3+INT((DAY(EOMONTH($CP$3,0))-1)/2)+CQ$8,0)=EOMONTH($ED$3,0),CQ$6*CQ$7,0),0),IF(AND(CM$6&lt;&gt;"",CM$8&lt;&gt;""),IF(EOMONTH($CL$3+INT((DAY(EOMONTH($CL$3,0))-1)/2)+CM$8,0)=EOMONTH($ED$3,0),CM$6*CM$7,0),0),IF(AND(CI$6&lt;&gt;"",CI$8&lt;&gt;""),IF(EOMONTH($CH$3+INT((DAY(EOMONTH($CH$3,0))-1)/2)+CI$8,0)=EOMONTH($ED$3,0),CI$6*CI$7,0),0),IF(AND(CE$6&lt;&gt;"",CE$8&lt;&gt;""),IF(EOMONTH($CD$3+INT((DAY(EOMONTH($CD$3,0))-1)/2)+CE$8,0)=EOMONTH($ED$3,0),CE$6*CE$7,0),0),IF(AND(CA$6&lt;&gt;"",CA$8&lt;&gt;""),IF(EOMONTH($BZ$3+INT((DAY(EOMONTH($BZ$3,0))-1)/2)+CA$8,0)=EOMONTH($ED$3,0),CA$6*CA$7,0),0),IF(AND(BW$6&lt;&gt;"",BW$8&lt;&gt;""),IF(EOMONTH($BV$3+INT((DAY(EOMONTH($BV$3,0))-1)/2)+BW$8,0)=EOMONTH($ED$3,0),BW$6*BW$7,0),0),IF(AND(BS$6&lt;&gt;"",BS$8&lt;&gt;""),IF(EOMONTH($BR$3+INT((DAY(EOMONTH($BR$3,0))-1)/2)+BS$8,0)=EOMONTH($ED$3,0),BS$6*BS$7,0),0),IF(AND(BO$6&lt;&gt;"",BO$8&lt;&gt;""),IF(EOMONTH($BN$3+INT((DAY(EOMONTH($BN$3,0))-1)/2)+BO$8,0)=EOMONTH($ED$3,0),BO$6*BO$7,0),0),IF(AND(BK$6&lt;&gt;"",BK$8&lt;&gt;""),IF(EOMONTH($BJ$3+INT((DAY(EOMONTH($BJ$3,0))-1)/2)+BK$8,0)=EOMONTH($ED$3,0),BK$6*BK$7,0),0),IF(AND(BG$6&lt;&gt;"",BG$8&lt;&gt;""),IF(EOMONTH($BF$3+INT((DAY(EOMONTH($BF$3,0))-1)/2)+BG$8,0)=EOMONTH($ED$3,0),BG$6*BG$7,0),0),IF(AND(BC$6&lt;&gt;"",BC$8&lt;&gt;""),IF(EOMONTH($BB$3+INT((DAY(EOMONTH($BB$3,0))-1)/2)+BC$8,0)=EOMONTH($ED$3,0),BC$6*BC$7,0),0),IF(AND(AY$6&lt;&gt;"",AY$8&lt;&gt;""),IF(EOMONTH($AX$3+INT((DAY(EOMONTH($AX$3,0))-1)/2)+AY$8,0)=EOMONTH($ED$3,0),AY$6*AY$7,0),0),IF(AND(AU$6&lt;&gt;"",AU$8&lt;&gt;""),IF(EOMONTH($AT$3+INT((DAY(EOMONTH($AT$3,0))-1)/2)+AU$8,0)=EOMONTH($ED$3,0),AU$6*AU$7,0),0),IF(AND(AQ$6&lt;&gt;"",AQ$8&lt;&gt;""),IF(EOMONTH($AP$3+INT((DAY(EOMONTH($AP$3,0))-1)/2)+AQ$8,0)=EOMONTH($ED$3,0),AQ$6*AQ$7,0),0),IF(AND(AM$6&lt;&gt;"",AM$8&lt;&gt;""),IF(EOMONTH($AL$3+INT((DAY(EOMONTH($AL$3,0))-1)/2)+AM$8,0)=EOMONTH($ED$3,0),AM$6*AM$7,0),0),IF(AND(AI$6&lt;&gt;"",AI$8&lt;&gt;""),IF(EOMONTH($AH$3+INT((DAY(EOMONTH($AH$3,0))-1)/2)+AI$8,0)=EOMONTH($ED$3,0),AI$6*AI$7,0),0),IF(AND(AE$6&lt;&gt;"",AE$8&lt;&gt;""),IF(EOMONTH($AD$3+INT((DAY(EOMONTH($AD$3,0))-1)/2)+AE$8,0)=EOMONTH($ED$3,0),AE$6*AE$7,0),0),IF(AND(AA$6&lt;&gt;"",AA$8&lt;&gt;""),IF(EOMONTH($Z$3+INT((DAY(EOMONTH($Z$3,0))-1)/2)+AA$8,0)=EOMONTH($ED$3,0),AA$6*AA$7,0),0),IF(AND(W$6&lt;&gt;"",W$8&lt;&gt;""),IF(EOMONTH($V$3+INT((DAY(EOMONTH($V$3,0))-1)/2)+W$8,0)=EOMONTH($ED$3,0),W$6*W$7,0),0),IF(AND(S$6&lt;&gt;"",S$8&lt;&gt;""),IF(EOMONTH($R$3+INT((DAY(EOMONTH($R$3,0))-1)/2)+S$8,0)=EOMONTH($ED$3,0),S$6*S$7,0),0),IF(AND(O$6&lt;&gt;"",O$8&lt;&gt;""),IF(EOMONTH($N$3+INT((DAY(EOMONTH($N$3,0))-1)/2)+O$8,0)=EOMONTH($ED$3,0),O$6*O$7,0),0),IF(AND(K$6&lt;&gt;"",K$8&lt;&gt;""),IF(EOMONTH($J$3+INT((DAY(EOMONTH($J$3,0))-1)/2)+K$8,0)=EOMONTH($ED$3,0),K$6*K$7,0),0),IF(AND(G$6&lt;&gt;"",G$8&lt;&gt;""),IF(EOMONTH($F$3+INT((DAY(EOMONTH($F$3,0))-1)/2)+G$8,0)=EOMONTH($ED$3,0),G$6*G$7,0),0)),0))</f>
        <v>43</v>
      </c>
      <c r="EF9" s="15">
        <f>ROUND(SUM(IF(AND(ER$6&lt;&gt;"",ER$8&lt;&gt;""),IF(EOMONTH($EP$3+INT((DAY(EOMONTH($EP$3,0))-1)/2)+ER$8,0)=EOMONTH($ED$3,0),ER$6*ER$7,0),0),IF(AND(EN$6&lt;&gt;"",EN$8&lt;&gt;""),IF(EOMONTH($EL$3+INT((DAY(EOMONTH($EL$3,0))-1)/2)+EN$8,0)=EOMONTH($ED$3,0),EN$6*EN$7,0),0),IF(AND(EJ$6&lt;&gt;"",EJ$8&lt;&gt;""),IF(EOMONTH($EH$3+INT((DAY(EOMONTH($EH$3,0))-1)/2)+EJ$8,0)=EOMONTH($ED$3,0),EJ$6*EJ$7,0),0),IF(AND(EF$6&lt;&gt;"",EF$8&lt;&gt;""),IF(EOMONTH($ED$3+INT((DAY(EOMONTH($ED$3,0))-1)/2)+EF$8,0)=EOMONTH($ED$3,0),EF$6*EF$7,0),0),IF(AND(EB$6&lt;&gt;"",EB$8&lt;&gt;""),IF(EOMONTH($DZ$3+INT((DAY(EOMONTH($DZ$3,0))-1)/2)+EB$8,0)=EOMONTH($ED$3,0),EB$6*EB$7,0),0),IF(AND(DX$6&lt;&gt;"",DX$8&lt;&gt;""),IF(EOMONTH($DV$3+INT((DAY(EOMONTH($DV$3,0))-1)/2)+DX$8,0)=EOMONTH($ED$3,0),DX$6*DX$7,0),0),IF(AND(DT$6&lt;&gt;"",DT$8&lt;&gt;""),IF(EOMONTH($DR$3+INT((DAY(EOMONTH($DR$3,0))-1)/2)+DT$8,0)=EOMONTH($ED$3,0),DT$6*DT$7,0),0),IF(AND(DP$6&lt;&gt;"",DP$8&lt;&gt;""),IF(EOMONTH($DN$3+INT((DAY(EOMONTH($DN$3,0))-1)/2)+DP$8,0)=EOMONTH($ED$3,0),DP$6*DP$7,0),0),IF(AND(DL$6&lt;&gt;"",DL$8&lt;&gt;""),IF(EOMONTH($DJ$3+INT((DAY(EOMONTH($DJ$3,0))-1)/2)+DL$8,0)=EOMONTH($ED$3,0),DL$6*DL$7,0),0),IF(AND(DH$6&lt;&gt;"",DH$8&lt;&gt;""),IF(EOMONTH($DF$3+INT((DAY(EOMONTH($DF$3,0))-1)/2)+DH$8,0)=EOMONTH($ED$3,0),DH$6*DH$7,0),0),IF(AND(DD$6&lt;&gt;"",DD$8&lt;&gt;""),IF(EOMONTH($DB$3+INT((DAY(EOMONTH($DB$3,0))-1)/2)+DD$8,0)=EOMONTH($ED$3,0),DD$6*DD$7,0),0),IF(AND(CZ$6&lt;&gt;"",CZ$8&lt;&gt;""),IF(EOMONTH($CX$3+INT((DAY(EOMONTH($CX$3,0))-1)/2)+CZ$8,0)=EOMONTH($ED$3,0),CZ$6*CZ$7,0),0),IF(AND(CV$6&lt;&gt;"",CV$8&lt;&gt;""),IF(EOMONTH($CT$3+INT((DAY(EOMONTH($CT$3,0))-1)/2)+CV$8,0)=EOMONTH($ED$3,0),CV$6*CV$7,0),0),IF(AND(CR$6&lt;&gt;"",CR$8&lt;&gt;""),IF(EOMONTH($CP$3+INT((DAY(EOMONTH($CP$3,0))-1)/2)+CR$8,0)=EOMONTH($ED$3,0),CR$6*CR$7,0),0),IF(AND(CN$6&lt;&gt;"",CN$8&lt;&gt;""),IF(EOMONTH($CL$3+INT((DAY(EOMONTH($CL$3,0))-1)/2)+CN$8,0)=EOMONTH($ED$3,0),CN$6*CN$7,0),0),IF(AND(CJ$6&lt;&gt;"",CJ$8&lt;&gt;""),IF(EOMONTH($CH$3+INT((DAY(EOMONTH($CH$3,0))-1)/2)+CJ$8,0)=EOMONTH($ED$3,0),CJ$6*CJ$7,0),0),IF(AND(CF$6&lt;&gt;"",CF$8&lt;&gt;""),IF(EOMONTH($CD$3+INT((DAY(EOMONTH($CD$3,0))-1)/2)+CF$8,0)=EOMONTH($ED$3,0),CF$6*CF$7,0),0),IF(AND(CB$6&lt;&gt;"",CB$8&lt;&gt;""),IF(EOMONTH($BZ$3+INT((DAY(EOMONTH($BZ$3,0))-1)/2)+CB$8,0)=EOMONTH($ED$3,0),CB$6*CB$7,0),0),IF(AND(BX$6&lt;&gt;"",BX$8&lt;&gt;""),IF(EOMONTH($BV$3+INT((DAY(EOMONTH($BV$3,0))-1)/2)+BX$8,0)=EOMONTH($ED$3,0),BX$6*BX$7,0),0),IF(AND(BT$6&lt;&gt;"",BT$8&lt;&gt;""),IF(EOMONTH($BR$3+INT((DAY(EOMONTH($BR$3,0))-1)/2)+BT$8,0)=EOMONTH($ED$3,0),BT$6*BT$7,0),0),IF(AND(BP$6&lt;&gt;"",BP$8&lt;&gt;""),IF(EOMONTH($BN$3+INT((DAY(EOMONTH($BN$3,0))-1)/2)+BP$8,0)=EOMONTH($ED$3,0),BP$6*BP$7,0),0),IF(AND(BL$6&lt;&gt;"",BL$8&lt;&gt;""),IF(EOMONTH($BJ$3+INT((DAY(EOMONTH($BJ$3,0))-1)/2)+BL$8,0)=EOMONTH($ED$3,0),BL$6*BL$7,0),0),IF(AND(BH$6&lt;&gt;"",BH$8&lt;&gt;""),IF(EOMONTH($BF$3+INT((DAY(EOMONTH($BF$3,0))-1)/2)+BH$8,0)=EOMONTH($ED$3,0),BH$6*BH$7,0),0),IF(AND(BD$6&lt;&gt;"",BD$8&lt;&gt;""),IF(EOMONTH($BB$3+INT((DAY(EOMONTH($BB$3,0))-1)/2)+BD$8,0)=EOMONTH($ED$3,0),BD$6*BD$7,0),0),IF(AND(AZ$6&lt;&gt;"",AZ$8&lt;&gt;""),IF(EOMONTH($AX$3+INT((DAY(EOMONTH($AX$3,0))-1)/2)+AZ$8,0)=EOMONTH($ED$3,0),AZ$6*AZ$7,0),0),IF(AND(AV$6&lt;&gt;"",AV$8&lt;&gt;""),IF(EOMONTH($AT$3+INT((DAY(EOMONTH($AT$3,0))-1)/2)+AV$8,0)=EOMONTH($ED$3,0),AV$6*AV$7,0),0),IF(AND(AR$6&lt;&gt;"",AR$8&lt;&gt;""),IF(EOMONTH($AP$3+INT((DAY(EOMONTH($AP$3,0))-1)/2)+AR$8,0)=EOMONTH($ED$3,0),AR$6*AR$7,0),0),IF(AND(AN$6&lt;&gt;"",AN$8&lt;&gt;""),IF(EOMONTH($AL$3+INT((DAY(EOMONTH($AL$3,0))-1)/2)+AN$8,0)=EOMONTH($ED$3,0),AN$6*AN$7,0),0),IF(AND(AJ$6&lt;&gt;"",AJ$8&lt;&gt;""),IF(EOMONTH($AH$3+INT((DAY(EOMONTH($AH$3,0))-1)/2)+AJ$8,0)=EOMONTH($ED$3,0),AJ$6*AJ$7,0),0),IF(AND(AF$6&lt;&gt;"",AF$8&lt;&gt;""),IF(EOMONTH($AD$3+INT((DAY(EOMONTH($AD$3,0))-1)/2)+AF$8,0)=EOMONTH($ED$3,0),AF$6*AF$7,0),0),IF(AND(AB$6&lt;&gt;"",AB$8&lt;&gt;""),IF(EOMONTH($Z$3+INT((DAY(EOMONTH($Z$3,0))-1)/2)+AB$8,0)=EOMONTH($ED$3,0),AB$6*AB$7,0),0),IF(AND(X$6&lt;&gt;"",X$8&lt;&gt;""),IF(EOMONTH($V$3+INT((DAY(EOMONTH($V$3,0))-1)/2)+X$8,0)=EOMONTH($ED$3,0),X$6*X$7,0),0),IF(AND(T$6&lt;&gt;"",T$8&lt;&gt;""),IF(EOMONTH($R$3+INT((DAY(EOMONTH($R$3,0))-1)/2)+T$8,0)=EOMONTH($ED$3,0),T$6*T$7,0),0),IF(AND(P$6&lt;&gt;"",P$8&lt;&gt;""),IF(EOMONTH($N$3+INT((DAY(EOMONTH($N$3,0))-1)/2)+P$8,0)=EOMONTH($ED$3,0),P$6*P$7,0),0),IF(AND(L$6&lt;&gt;"",L$8&lt;&gt;""),IF(EOMONTH($J$3+INT((DAY(EOMONTH($J$3,0))-1)/2)+L$8,0)=EOMONTH($ED$3,0),L$6*L$7,0),0),IF(AND(H$6&lt;&gt;"",H$8&lt;&gt;""),IF(EOMONTH($F$3+INT((DAY(EOMONTH($F$3,0))-1)/2)+H$8,0)=EOMONTH($ED$3,0),H$6*H$7,0),0)),0)</f>
        <v>43</v>
      </c>
      <c r="EG9" s="16">
        <f t="shared" si="69"/>
        <v>0</v>
      </c>
      <c r="EH9" s="17"/>
      <c r="EI9" s="14">
        <f>IF(EH$98=1,EH9,ROUND(SUM(IF(AND(EQ$6&lt;&gt;"",EQ$8&lt;&gt;""),IF(EOMONTH($EP$3+INT((DAY(EOMONTH($EP$3,0))-1)/2)+EQ$8,0)=EOMONTH($EH$3,0),EQ$6*EQ$7,0),0),IF(AND(EM$6&lt;&gt;"",EM$8&lt;&gt;""),IF(EOMONTH($EL$3+INT((DAY(EOMONTH($EL$3,0))-1)/2)+EM$8,0)=EOMONTH($EH$3,0),EM$6*EM$7,0),0),IF(AND(EI$6&lt;&gt;"",EI$8&lt;&gt;""),IF(EOMONTH($EH$3+INT((DAY(EOMONTH($EH$3,0))-1)/2)+EI$8,0)=EOMONTH($EH$3,0),EI$6*EI$7,0),0),IF(AND(EE$6&lt;&gt;"",EE$8&lt;&gt;""),IF(EOMONTH($ED$3+INT((DAY(EOMONTH($ED$3,0))-1)/2)+EE$8,0)=EOMONTH($EH$3,0),EE$6*EE$7,0),0),IF(AND(EA$6&lt;&gt;"",EA$8&lt;&gt;""),IF(EOMONTH($DZ$3+INT((DAY(EOMONTH($DZ$3,0))-1)/2)+EA$8,0)=EOMONTH($EH$3,0),EA$6*EA$7,0),0),IF(AND(DW$6&lt;&gt;"",DW$8&lt;&gt;""),IF(EOMONTH($DV$3+INT((DAY(EOMONTH($DV$3,0))-1)/2)+DW$8,0)=EOMONTH($EH$3,0),DW$6*DW$7,0),0),IF(AND(DS$6&lt;&gt;"",DS$8&lt;&gt;""),IF(EOMONTH($DR$3+INT((DAY(EOMONTH($DR$3,0))-1)/2)+DS$8,0)=EOMONTH($EH$3,0),DS$6*DS$7,0),0),IF(AND(DO$6&lt;&gt;"",DO$8&lt;&gt;""),IF(EOMONTH($DN$3+INT((DAY(EOMONTH($DN$3,0))-1)/2)+DO$8,0)=EOMONTH($EH$3,0),DO$6*DO$7,0),0),IF(AND(DK$6&lt;&gt;"",DK$8&lt;&gt;""),IF(EOMONTH($DJ$3+INT((DAY(EOMONTH($DJ$3,0))-1)/2)+DK$8,0)=EOMONTH($EH$3,0),DK$6*DK$7,0),0),IF(AND(DG$6&lt;&gt;"",DG$8&lt;&gt;""),IF(EOMONTH($DF$3+INT((DAY(EOMONTH($DF$3,0))-1)/2)+DG$8,0)=EOMONTH($EH$3,0),DG$6*DG$7,0),0),IF(AND(DC$6&lt;&gt;"",DC$8&lt;&gt;""),IF(EOMONTH($DB$3+INT((DAY(EOMONTH($DB$3,0))-1)/2)+DC$8,0)=EOMONTH($EH$3,0),DC$6*DC$7,0),0),IF(AND(CY$6&lt;&gt;"",CY$8&lt;&gt;""),IF(EOMONTH($CX$3+INT((DAY(EOMONTH($CX$3,0))-1)/2)+CY$8,0)=EOMONTH($EH$3,0),CY$6*CY$7,0),0),IF(AND(CU$6&lt;&gt;"",CU$8&lt;&gt;""),IF(EOMONTH($CT$3+INT((DAY(EOMONTH($CT$3,0))-1)/2)+CU$8,0)=EOMONTH($EH$3,0),CU$6*CU$7,0),0),IF(AND(CQ$6&lt;&gt;"",CQ$8&lt;&gt;""),IF(EOMONTH($CP$3+INT((DAY(EOMONTH($CP$3,0))-1)/2)+CQ$8,0)=EOMONTH($EH$3,0),CQ$6*CQ$7,0),0),IF(AND(CM$6&lt;&gt;"",CM$8&lt;&gt;""),IF(EOMONTH($CL$3+INT((DAY(EOMONTH($CL$3,0))-1)/2)+CM$8,0)=EOMONTH($EH$3,0),CM$6*CM$7,0),0),IF(AND(CI$6&lt;&gt;"",CI$8&lt;&gt;""),IF(EOMONTH($CH$3+INT((DAY(EOMONTH($CH$3,0))-1)/2)+CI$8,0)=EOMONTH($EH$3,0),CI$6*CI$7,0),0),IF(AND(CE$6&lt;&gt;"",CE$8&lt;&gt;""),IF(EOMONTH($CD$3+INT((DAY(EOMONTH($CD$3,0))-1)/2)+CE$8,0)=EOMONTH($EH$3,0),CE$6*CE$7,0),0),IF(AND(CA$6&lt;&gt;"",CA$8&lt;&gt;""),IF(EOMONTH($BZ$3+INT((DAY(EOMONTH($BZ$3,0))-1)/2)+CA$8,0)=EOMONTH($EH$3,0),CA$6*CA$7,0),0),IF(AND(BW$6&lt;&gt;"",BW$8&lt;&gt;""),IF(EOMONTH($BV$3+INT((DAY(EOMONTH($BV$3,0))-1)/2)+BW$8,0)=EOMONTH($EH$3,0),BW$6*BW$7,0),0),IF(AND(BS$6&lt;&gt;"",BS$8&lt;&gt;""),IF(EOMONTH($BR$3+INT((DAY(EOMONTH($BR$3,0))-1)/2)+BS$8,0)=EOMONTH($EH$3,0),BS$6*BS$7,0),0),IF(AND(BO$6&lt;&gt;"",BO$8&lt;&gt;""),IF(EOMONTH($BN$3+INT((DAY(EOMONTH($BN$3,0))-1)/2)+BO$8,0)=EOMONTH($EH$3,0),BO$6*BO$7,0),0),IF(AND(BK$6&lt;&gt;"",BK$8&lt;&gt;""),IF(EOMONTH($BJ$3+INT((DAY(EOMONTH($BJ$3,0))-1)/2)+BK$8,0)=EOMONTH($EH$3,0),BK$6*BK$7,0),0),IF(AND(BG$6&lt;&gt;"",BG$8&lt;&gt;""),IF(EOMONTH($BF$3+INT((DAY(EOMONTH($BF$3,0))-1)/2)+BG$8,0)=EOMONTH($EH$3,0),BG$6*BG$7,0),0),IF(AND(BC$6&lt;&gt;"",BC$8&lt;&gt;""),IF(EOMONTH($BB$3+INT((DAY(EOMONTH($BB$3,0))-1)/2)+BC$8,0)=EOMONTH($EH$3,0),BC$6*BC$7,0),0),IF(AND(AY$6&lt;&gt;"",AY$8&lt;&gt;""),IF(EOMONTH($AX$3+INT((DAY(EOMONTH($AX$3,0))-1)/2)+AY$8,0)=EOMONTH($EH$3,0),AY$6*AY$7,0),0),IF(AND(AU$6&lt;&gt;"",AU$8&lt;&gt;""),IF(EOMONTH($AT$3+INT((DAY(EOMONTH($AT$3,0))-1)/2)+AU$8,0)=EOMONTH($EH$3,0),AU$6*AU$7,0),0),IF(AND(AQ$6&lt;&gt;"",AQ$8&lt;&gt;""),IF(EOMONTH($AP$3+INT((DAY(EOMONTH($AP$3,0))-1)/2)+AQ$8,0)=EOMONTH($EH$3,0),AQ$6*AQ$7,0),0),IF(AND(AM$6&lt;&gt;"",AM$8&lt;&gt;""),IF(EOMONTH($AL$3+INT((DAY(EOMONTH($AL$3,0))-1)/2)+AM$8,0)=EOMONTH($EH$3,0),AM$6*AM$7,0),0),IF(AND(AI$6&lt;&gt;"",AI$8&lt;&gt;""),IF(EOMONTH($AH$3+INT((DAY(EOMONTH($AH$3,0))-1)/2)+AI$8,0)=EOMONTH($EH$3,0),AI$6*AI$7,0),0),IF(AND(AE$6&lt;&gt;"",AE$8&lt;&gt;""),IF(EOMONTH($AD$3+INT((DAY(EOMONTH($AD$3,0))-1)/2)+AE$8,0)=EOMONTH($EH$3,0),AE$6*AE$7,0),0),IF(AND(AA$6&lt;&gt;"",AA$8&lt;&gt;""),IF(EOMONTH($Z$3+INT((DAY(EOMONTH($Z$3,0))-1)/2)+AA$8,0)=EOMONTH($EH$3,0),AA$6*AA$7,0),0),IF(AND(W$6&lt;&gt;"",W$8&lt;&gt;""),IF(EOMONTH($V$3+INT((DAY(EOMONTH($V$3,0))-1)/2)+W$8,0)=EOMONTH($EH$3,0),W$6*W$7,0),0),IF(AND(S$6&lt;&gt;"",S$8&lt;&gt;""),IF(EOMONTH($R$3+INT((DAY(EOMONTH($R$3,0))-1)/2)+S$8,0)=EOMONTH($EH$3,0),S$6*S$7,0),0),IF(AND(O$6&lt;&gt;"",O$8&lt;&gt;""),IF(EOMONTH($N$3+INT((DAY(EOMONTH($N$3,0))-1)/2)+O$8,0)=EOMONTH($EH$3,0),O$6*O$7,0),0),IF(AND(K$6&lt;&gt;"",K$8&lt;&gt;""),IF(EOMONTH($J$3+INT((DAY(EOMONTH($J$3,0))-1)/2)+K$8,0)=EOMONTH($EH$3,0),K$6*K$7,0),0),IF(AND(G$6&lt;&gt;"",G$8&lt;&gt;""),IF(EOMONTH($F$3+INT((DAY(EOMONTH($F$3,0))-1)/2)+G$8,0)=EOMONTH($EH$3,0),G$6*G$7,0),0)),0))</f>
        <v>42</v>
      </c>
      <c r="EJ9" s="15">
        <f>ROUND(SUM(IF(AND(ER$6&lt;&gt;"",ER$8&lt;&gt;""),IF(EOMONTH($EP$3+INT((DAY(EOMONTH($EP$3,0))-1)/2)+ER$8,0)=EOMONTH($EH$3,0),ER$6*ER$7,0),0),IF(AND(EN$6&lt;&gt;"",EN$8&lt;&gt;""),IF(EOMONTH($EL$3+INT((DAY(EOMONTH($EL$3,0))-1)/2)+EN$8,0)=EOMONTH($EH$3,0),EN$6*EN$7,0),0),IF(AND(EJ$6&lt;&gt;"",EJ$8&lt;&gt;""),IF(EOMONTH($EH$3+INT((DAY(EOMONTH($EH$3,0))-1)/2)+EJ$8,0)=EOMONTH($EH$3,0),EJ$6*EJ$7,0),0),IF(AND(EF$6&lt;&gt;"",EF$8&lt;&gt;""),IF(EOMONTH($ED$3+INT((DAY(EOMONTH($ED$3,0))-1)/2)+EF$8,0)=EOMONTH($EH$3,0),EF$6*EF$7,0),0),IF(AND(EB$6&lt;&gt;"",EB$8&lt;&gt;""),IF(EOMONTH($DZ$3+INT((DAY(EOMONTH($DZ$3,0))-1)/2)+EB$8,0)=EOMONTH($EH$3,0),EB$6*EB$7,0),0),IF(AND(DX$6&lt;&gt;"",DX$8&lt;&gt;""),IF(EOMONTH($DV$3+INT((DAY(EOMONTH($DV$3,0))-1)/2)+DX$8,0)=EOMONTH($EH$3,0),DX$6*DX$7,0),0),IF(AND(DT$6&lt;&gt;"",DT$8&lt;&gt;""),IF(EOMONTH($DR$3+INT((DAY(EOMONTH($DR$3,0))-1)/2)+DT$8,0)=EOMONTH($EH$3,0),DT$6*DT$7,0),0),IF(AND(DP$6&lt;&gt;"",DP$8&lt;&gt;""),IF(EOMONTH($DN$3+INT((DAY(EOMONTH($DN$3,0))-1)/2)+DP$8,0)=EOMONTH($EH$3,0),DP$6*DP$7,0),0),IF(AND(DL$6&lt;&gt;"",DL$8&lt;&gt;""),IF(EOMONTH($DJ$3+INT((DAY(EOMONTH($DJ$3,0))-1)/2)+DL$8,0)=EOMONTH($EH$3,0),DL$6*DL$7,0),0),IF(AND(DH$6&lt;&gt;"",DH$8&lt;&gt;""),IF(EOMONTH($DF$3+INT((DAY(EOMONTH($DF$3,0))-1)/2)+DH$8,0)=EOMONTH($EH$3,0),DH$6*DH$7,0),0),IF(AND(DD$6&lt;&gt;"",DD$8&lt;&gt;""),IF(EOMONTH($DB$3+INT((DAY(EOMONTH($DB$3,0))-1)/2)+DD$8,0)=EOMONTH($EH$3,0),DD$6*DD$7,0),0),IF(AND(CZ$6&lt;&gt;"",CZ$8&lt;&gt;""),IF(EOMONTH($CX$3+INT((DAY(EOMONTH($CX$3,0))-1)/2)+CZ$8,0)=EOMONTH($EH$3,0),CZ$6*CZ$7,0),0),IF(AND(CV$6&lt;&gt;"",CV$8&lt;&gt;""),IF(EOMONTH($CT$3+INT((DAY(EOMONTH($CT$3,0))-1)/2)+CV$8,0)=EOMONTH($EH$3,0),CV$6*CV$7,0),0),IF(AND(CR$6&lt;&gt;"",CR$8&lt;&gt;""),IF(EOMONTH($CP$3+INT((DAY(EOMONTH($CP$3,0))-1)/2)+CR$8,0)=EOMONTH($EH$3,0),CR$6*CR$7,0),0),IF(AND(CN$6&lt;&gt;"",CN$8&lt;&gt;""),IF(EOMONTH($CL$3+INT((DAY(EOMONTH($CL$3,0))-1)/2)+CN$8,0)=EOMONTH($EH$3,0),CN$6*CN$7,0),0),IF(AND(CJ$6&lt;&gt;"",CJ$8&lt;&gt;""),IF(EOMONTH($CH$3+INT((DAY(EOMONTH($CH$3,0))-1)/2)+CJ$8,0)=EOMONTH($EH$3,0),CJ$6*CJ$7,0),0),IF(AND(CF$6&lt;&gt;"",CF$8&lt;&gt;""),IF(EOMONTH($CD$3+INT((DAY(EOMONTH($CD$3,0))-1)/2)+CF$8,0)=EOMONTH($EH$3,0),CF$6*CF$7,0),0),IF(AND(CB$6&lt;&gt;"",CB$8&lt;&gt;""),IF(EOMONTH($BZ$3+INT((DAY(EOMONTH($BZ$3,0))-1)/2)+CB$8,0)=EOMONTH($EH$3,0),CB$6*CB$7,0),0),IF(AND(BX$6&lt;&gt;"",BX$8&lt;&gt;""),IF(EOMONTH($BV$3+INT((DAY(EOMONTH($BV$3,0))-1)/2)+BX$8,0)=EOMONTH($EH$3,0),BX$6*BX$7,0),0),IF(AND(BT$6&lt;&gt;"",BT$8&lt;&gt;""),IF(EOMONTH($BR$3+INT((DAY(EOMONTH($BR$3,0))-1)/2)+BT$8,0)=EOMONTH($EH$3,0),BT$6*BT$7,0),0),IF(AND(BP$6&lt;&gt;"",BP$8&lt;&gt;""),IF(EOMONTH($BN$3+INT((DAY(EOMONTH($BN$3,0))-1)/2)+BP$8,0)=EOMONTH($EH$3,0),BP$6*BP$7,0),0),IF(AND(BL$6&lt;&gt;"",BL$8&lt;&gt;""),IF(EOMONTH($BJ$3+INT((DAY(EOMONTH($BJ$3,0))-1)/2)+BL$8,0)=EOMONTH($EH$3,0),BL$6*BL$7,0),0),IF(AND(BH$6&lt;&gt;"",BH$8&lt;&gt;""),IF(EOMONTH($BF$3+INT((DAY(EOMONTH($BF$3,0))-1)/2)+BH$8,0)=EOMONTH($EH$3,0),BH$6*BH$7,0),0),IF(AND(BD$6&lt;&gt;"",BD$8&lt;&gt;""),IF(EOMONTH($BB$3+INT((DAY(EOMONTH($BB$3,0))-1)/2)+BD$8,0)=EOMONTH($EH$3,0),BD$6*BD$7,0),0),IF(AND(AZ$6&lt;&gt;"",AZ$8&lt;&gt;""),IF(EOMONTH($AX$3+INT((DAY(EOMONTH($AX$3,0))-1)/2)+AZ$8,0)=EOMONTH($EH$3,0),AZ$6*AZ$7,0),0),IF(AND(AV$6&lt;&gt;"",AV$8&lt;&gt;""),IF(EOMONTH($AT$3+INT((DAY(EOMONTH($AT$3,0))-1)/2)+AV$8,0)=EOMONTH($EH$3,0),AV$6*AV$7,0),0),IF(AND(AR$6&lt;&gt;"",AR$8&lt;&gt;""),IF(EOMONTH($AP$3+INT((DAY(EOMONTH($AP$3,0))-1)/2)+AR$8,0)=EOMONTH($EH$3,0),AR$6*AR$7,0),0),IF(AND(AN$6&lt;&gt;"",AN$8&lt;&gt;""),IF(EOMONTH($AL$3+INT((DAY(EOMONTH($AL$3,0))-1)/2)+AN$8,0)=EOMONTH($EH$3,0),AN$6*AN$7,0),0),IF(AND(AJ$6&lt;&gt;"",AJ$8&lt;&gt;""),IF(EOMONTH($AH$3+INT((DAY(EOMONTH($AH$3,0))-1)/2)+AJ$8,0)=EOMONTH($EH$3,0),AJ$6*AJ$7,0),0),IF(AND(AF$6&lt;&gt;"",AF$8&lt;&gt;""),IF(EOMONTH($AD$3+INT((DAY(EOMONTH($AD$3,0))-1)/2)+AF$8,0)=EOMONTH($EH$3,0),AF$6*AF$7,0),0),IF(AND(AB$6&lt;&gt;"",AB$8&lt;&gt;""),IF(EOMONTH($Z$3+INT((DAY(EOMONTH($Z$3,0))-1)/2)+AB$8,0)=EOMONTH($EH$3,0),AB$6*AB$7,0),0),IF(AND(X$6&lt;&gt;"",X$8&lt;&gt;""),IF(EOMONTH($V$3+INT((DAY(EOMONTH($V$3,0))-1)/2)+X$8,0)=EOMONTH($EH$3,0),X$6*X$7,0),0),IF(AND(T$6&lt;&gt;"",T$8&lt;&gt;""),IF(EOMONTH($R$3+INT((DAY(EOMONTH($R$3,0))-1)/2)+T$8,0)=EOMONTH($EH$3,0),T$6*T$7,0),0),IF(AND(P$6&lt;&gt;"",P$8&lt;&gt;""),IF(EOMONTH($N$3+INT((DAY(EOMONTH($N$3,0))-1)/2)+P$8,0)=EOMONTH($EH$3,0),P$6*P$7,0),0),IF(AND(L$6&lt;&gt;"",L$8&lt;&gt;""),IF(EOMONTH($J$3+INT((DAY(EOMONTH($J$3,0))-1)/2)+L$8,0)=EOMONTH($EH$3,0),L$6*L$7,0),0),IF(AND(H$6&lt;&gt;"",H$8&lt;&gt;""),IF(EOMONTH($F$3+INT((DAY(EOMONTH($F$3,0))-1)/2)+H$8,0)=EOMONTH($EH$3,0),H$6*H$7,0),0)),0)</f>
        <v>42</v>
      </c>
      <c r="EK9" s="16">
        <f t="shared" si="71"/>
        <v>0</v>
      </c>
      <c r="EL9" s="17">
        <v>38.0</v>
      </c>
      <c r="EM9" s="14">
        <f>IF(EL$98=1,EL9,ROUND(SUM(IF(AND(EQ$6&lt;&gt;"",EQ$8&lt;&gt;""),IF(EOMONTH($EP$3+INT((DAY(EOMONTH($EP$3,0))-1)/2)+EQ$8,0)=EOMONTH($EL$3,0),EQ$6*EQ$7,0),0),IF(AND(EM$6&lt;&gt;"",EM$8&lt;&gt;""),IF(EOMONTH($EL$3+INT((DAY(EOMONTH($EL$3,0))-1)/2)+EM$8,0)=EOMONTH($EL$3,0),EM$6*EM$7,0),0),IF(AND(EI$6&lt;&gt;"",EI$8&lt;&gt;""),IF(EOMONTH($EH$3+INT((DAY(EOMONTH($EH$3,0))-1)/2)+EI$8,0)=EOMONTH($EL$3,0),EI$6*EI$7,0),0),IF(AND(EE$6&lt;&gt;"",EE$8&lt;&gt;""),IF(EOMONTH($ED$3+INT((DAY(EOMONTH($ED$3,0))-1)/2)+EE$8,0)=EOMONTH($EL$3,0),EE$6*EE$7,0),0),IF(AND(EA$6&lt;&gt;"",EA$8&lt;&gt;""),IF(EOMONTH($DZ$3+INT((DAY(EOMONTH($DZ$3,0))-1)/2)+EA$8,0)=EOMONTH($EL$3,0),EA$6*EA$7,0),0),IF(AND(DW$6&lt;&gt;"",DW$8&lt;&gt;""),IF(EOMONTH($DV$3+INT((DAY(EOMONTH($DV$3,0))-1)/2)+DW$8,0)=EOMONTH($EL$3,0),DW$6*DW$7,0),0),IF(AND(DS$6&lt;&gt;"",DS$8&lt;&gt;""),IF(EOMONTH($DR$3+INT((DAY(EOMONTH($DR$3,0))-1)/2)+DS$8,0)=EOMONTH($EL$3,0),DS$6*DS$7,0),0),IF(AND(DO$6&lt;&gt;"",DO$8&lt;&gt;""),IF(EOMONTH($DN$3+INT((DAY(EOMONTH($DN$3,0))-1)/2)+DO$8,0)=EOMONTH($EL$3,0),DO$6*DO$7,0),0),IF(AND(DK$6&lt;&gt;"",DK$8&lt;&gt;""),IF(EOMONTH($DJ$3+INT((DAY(EOMONTH($DJ$3,0))-1)/2)+DK$8,0)=EOMONTH($EL$3,0),DK$6*DK$7,0),0),IF(AND(DG$6&lt;&gt;"",DG$8&lt;&gt;""),IF(EOMONTH($DF$3+INT((DAY(EOMONTH($DF$3,0))-1)/2)+DG$8,0)=EOMONTH($EL$3,0),DG$6*DG$7,0),0),IF(AND(DC$6&lt;&gt;"",DC$8&lt;&gt;""),IF(EOMONTH($DB$3+INT((DAY(EOMONTH($DB$3,0))-1)/2)+DC$8,0)=EOMONTH($EL$3,0),DC$6*DC$7,0),0),IF(AND(CY$6&lt;&gt;"",CY$8&lt;&gt;""),IF(EOMONTH($CX$3+INT((DAY(EOMONTH($CX$3,0))-1)/2)+CY$8,0)=EOMONTH($EL$3,0),CY$6*CY$7,0),0),IF(AND(CU$6&lt;&gt;"",CU$8&lt;&gt;""),IF(EOMONTH($CT$3+INT((DAY(EOMONTH($CT$3,0))-1)/2)+CU$8,0)=EOMONTH($EL$3,0),CU$6*CU$7,0),0),IF(AND(CQ$6&lt;&gt;"",CQ$8&lt;&gt;""),IF(EOMONTH($CP$3+INT((DAY(EOMONTH($CP$3,0))-1)/2)+CQ$8,0)=EOMONTH($EL$3,0),CQ$6*CQ$7,0),0),IF(AND(CM$6&lt;&gt;"",CM$8&lt;&gt;""),IF(EOMONTH($CL$3+INT((DAY(EOMONTH($CL$3,0))-1)/2)+CM$8,0)=EOMONTH($EL$3,0),CM$6*CM$7,0),0),IF(AND(CI$6&lt;&gt;"",CI$8&lt;&gt;""),IF(EOMONTH($CH$3+INT((DAY(EOMONTH($CH$3,0))-1)/2)+CI$8,0)=EOMONTH($EL$3,0),CI$6*CI$7,0),0),IF(AND(CE$6&lt;&gt;"",CE$8&lt;&gt;""),IF(EOMONTH($CD$3+INT((DAY(EOMONTH($CD$3,0))-1)/2)+CE$8,0)=EOMONTH($EL$3,0),CE$6*CE$7,0),0),IF(AND(CA$6&lt;&gt;"",CA$8&lt;&gt;""),IF(EOMONTH($BZ$3+INT((DAY(EOMONTH($BZ$3,0))-1)/2)+CA$8,0)=EOMONTH($EL$3,0),CA$6*CA$7,0),0),IF(AND(BW$6&lt;&gt;"",BW$8&lt;&gt;""),IF(EOMONTH($BV$3+INT((DAY(EOMONTH($BV$3,0))-1)/2)+BW$8,0)=EOMONTH($EL$3,0),BW$6*BW$7,0),0),IF(AND(BS$6&lt;&gt;"",BS$8&lt;&gt;""),IF(EOMONTH($BR$3+INT((DAY(EOMONTH($BR$3,0))-1)/2)+BS$8,0)=EOMONTH($EL$3,0),BS$6*BS$7,0),0),IF(AND(BO$6&lt;&gt;"",BO$8&lt;&gt;""),IF(EOMONTH($BN$3+INT((DAY(EOMONTH($BN$3,0))-1)/2)+BO$8,0)=EOMONTH($EL$3,0),BO$6*BO$7,0),0),IF(AND(BK$6&lt;&gt;"",BK$8&lt;&gt;""),IF(EOMONTH($BJ$3+INT((DAY(EOMONTH($BJ$3,0))-1)/2)+BK$8,0)=EOMONTH($EL$3,0),BK$6*BK$7,0),0),IF(AND(BG$6&lt;&gt;"",BG$8&lt;&gt;""),IF(EOMONTH($BF$3+INT((DAY(EOMONTH($BF$3,0))-1)/2)+BG$8,0)=EOMONTH($EL$3,0),BG$6*BG$7,0),0),IF(AND(BC$6&lt;&gt;"",BC$8&lt;&gt;""),IF(EOMONTH($BB$3+INT((DAY(EOMONTH($BB$3,0))-1)/2)+BC$8,0)=EOMONTH($EL$3,0),BC$6*BC$7,0),0),IF(AND(AY$6&lt;&gt;"",AY$8&lt;&gt;""),IF(EOMONTH($AX$3+INT((DAY(EOMONTH($AX$3,0))-1)/2)+AY$8,0)=EOMONTH($EL$3,0),AY$6*AY$7,0),0),IF(AND(AU$6&lt;&gt;"",AU$8&lt;&gt;""),IF(EOMONTH($AT$3+INT((DAY(EOMONTH($AT$3,0))-1)/2)+AU$8,0)=EOMONTH($EL$3,0),AU$6*AU$7,0),0),IF(AND(AQ$6&lt;&gt;"",AQ$8&lt;&gt;""),IF(EOMONTH($AP$3+INT((DAY(EOMONTH($AP$3,0))-1)/2)+AQ$8,0)=EOMONTH($EL$3,0),AQ$6*AQ$7,0),0),IF(AND(AM$6&lt;&gt;"",AM$8&lt;&gt;""),IF(EOMONTH($AL$3+INT((DAY(EOMONTH($AL$3,0))-1)/2)+AM$8,0)=EOMONTH($EL$3,0),AM$6*AM$7,0),0),IF(AND(AI$6&lt;&gt;"",AI$8&lt;&gt;""),IF(EOMONTH($AH$3+INT((DAY(EOMONTH($AH$3,0))-1)/2)+AI$8,0)=EOMONTH($EL$3,0),AI$6*AI$7,0),0),IF(AND(AE$6&lt;&gt;"",AE$8&lt;&gt;""),IF(EOMONTH($AD$3+INT((DAY(EOMONTH($AD$3,0))-1)/2)+AE$8,0)=EOMONTH($EL$3,0),AE$6*AE$7,0),0),IF(AND(AA$6&lt;&gt;"",AA$8&lt;&gt;""),IF(EOMONTH($Z$3+INT((DAY(EOMONTH($Z$3,0))-1)/2)+AA$8,0)=EOMONTH($EL$3,0),AA$6*AA$7,0),0),IF(AND(W$6&lt;&gt;"",W$8&lt;&gt;""),IF(EOMONTH($V$3+INT((DAY(EOMONTH($V$3,0))-1)/2)+W$8,0)=EOMONTH($EL$3,0),W$6*W$7,0),0),IF(AND(S$6&lt;&gt;"",S$8&lt;&gt;""),IF(EOMONTH($R$3+INT((DAY(EOMONTH($R$3,0))-1)/2)+S$8,0)=EOMONTH($EL$3,0),S$6*S$7,0),0),IF(AND(O$6&lt;&gt;"",O$8&lt;&gt;""),IF(EOMONTH($N$3+INT((DAY(EOMONTH($N$3,0))-1)/2)+O$8,0)=EOMONTH($EL$3,0),O$6*O$7,0),0),IF(AND(K$6&lt;&gt;"",K$8&lt;&gt;""),IF(EOMONTH($J$3+INT((DAY(EOMONTH($J$3,0))-1)/2)+K$8,0)=EOMONTH($EL$3,0),K$6*K$7,0),0),IF(AND(G$6&lt;&gt;"",G$8&lt;&gt;""),IF(EOMONTH($F$3+INT((DAY(EOMONTH($F$3,0))-1)/2)+G$8,0)=EOMONTH($EL$3,0),G$6*G$7,0),0)),0))</f>
        <v>38</v>
      </c>
      <c r="EN9" s="15">
        <f>ROUND(SUM(IF(AND(ER$6&lt;&gt;"",ER$8&lt;&gt;""),IF(EOMONTH($EP$3+INT((DAY(EOMONTH($EP$3,0))-1)/2)+ER$8,0)=EOMONTH($EL$3,0),ER$6*ER$7,0),0),IF(AND(EN$6&lt;&gt;"",EN$8&lt;&gt;""),IF(EOMONTH($EL$3+INT((DAY(EOMONTH($EL$3,0))-1)/2)+EN$8,0)=EOMONTH($EL$3,0),EN$6*EN$7,0),0),IF(AND(EJ$6&lt;&gt;"",EJ$8&lt;&gt;""),IF(EOMONTH($EH$3+INT((DAY(EOMONTH($EH$3,0))-1)/2)+EJ$8,0)=EOMONTH($EL$3,0),EJ$6*EJ$7,0),0),IF(AND(EF$6&lt;&gt;"",EF$8&lt;&gt;""),IF(EOMONTH($ED$3+INT((DAY(EOMONTH($ED$3,0))-1)/2)+EF$8,0)=EOMONTH($EL$3,0),EF$6*EF$7,0),0),IF(AND(EB$6&lt;&gt;"",EB$8&lt;&gt;""),IF(EOMONTH($DZ$3+INT((DAY(EOMONTH($DZ$3,0))-1)/2)+EB$8,0)=EOMONTH($EL$3,0),EB$6*EB$7,0),0),IF(AND(DX$6&lt;&gt;"",DX$8&lt;&gt;""),IF(EOMONTH($DV$3+INT((DAY(EOMONTH($DV$3,0))-1)/2)+DX$8,0)=EOMONTH($EL$3,0),DX$6*DX$7,0),0),IF(AND(DT$6&lt;&gt;"",DT$8&lt;&gt;""),IF(EOMONTH($DR$3+INT((DAY(EOMONTH($DR$3,0))-1)/2)+DT$8,0)=EOMONTH($EL$3,0),DT$6*DT$7,0),0),IF(AND(DP$6&lt;&gt;"",DP$8&lt;&gt;""),IF(EOMONTH($DN$3+INT((DAY(EOMONTH($DN$3,0))-1)/2)+DP$8,0)=EOMONTH($EL$3,0),DP$6*DP$7,0),0),IF(AND(DL$6&lt;&gt;"",DL$8&lt;&gt;""),IF(EOMONTH($DJ$3+INT((DAY(EOMONTH($DJ$3,0))-1)/2)+DL$8,0)=EOMONTH($EL$3,0),DL$6*DL$7,0),0),IF(AND(DH$6&lt;&gt;"",DH$8&lt;&gt;""),IF(EOMONTH($DF$3+INT((DAY(EOMONTH($DF$3,0))-1)/2)+DH$8,0)=EOMONTH($EL$3,0),DH$6*DH$7,0),0),IF(AND(DD$6&lt;&gt;"",DD$8&lt;&gt;""),IF(EOMONTH($DB$3+INT((DAY(EOMONTH($DB$3,0))-1)/2)+DD$8,0)=EOMONTH($EL$3,0),DD$6*DD$7,0),0),IF(AND(CZ$6&lt;&gt;"",CZ$8&lt;&gt;""),IF(EOMONTH($CX$3+INT((DAY(EOMONTH($CX$3,0))-1)/2)+CZ$8,0)=EOMONTH($EL$3,0),CZ$6*CZ$7,0),0),IF(AND(CV$6&lt;&gt;"",CV$8&lt;&gt;""),IF(EOMONTH($CT$3+INT((DAY(EOMONTH($CT$3,0))-1)/2)+CV$8,0)=EOMONTH($EL$3,0),CV$6*CV$7,0),0),IF(AND(CR$6&lt;&gt;"",CR$8&lt;&gt;""),IF(EOMONTH($CP$3+INT((DAY(EOMONTH($CP$3,0))-1)/2)+CR$8,0)=EOMONTH($EL$3,0),CR$6*CR$7,0),0),IF(AND(CN$6&lt;&gt;"",CN$8&lt;&gt;""),IF(EOMONTH($CL$3+INT((DAY(EOMONTH($CL$3,0))-1)/2)+CN$8,0)=EOMONTH($EL$3,0),CN$6*CN$7,0),0),IF(AND(CJ$6&lt;&gt;"",CJ$8&lt;&gt;""),IF(EOMONTH($CH$3+INT((DAY(EOMONTH($CH$3,0))-1)/2)+CJ$8,0)=EOMONTH($EL$3,0),CJ$6*CJ$7,0),0),IF(AND(CF$6&lt;&gt;"",CF$8&lt;&gt;""),IF(EOMONTH($CD$3+INT((DAY(EOMONTH($CD$3,0))-1)/2)+CF$8,0)=EOMONTH($EL$3,0),CF$6*CF$7,0),0),IF(AND(CB$6&lt;&gt;"",CB$8&lt;&gt;""),IF(EOMONTH($BZ$3+INT((DAY(EOMONTH($BZ$3,0))-1)/2)+CB$8,0)=EOMONTH($EL$3,0),CB$6*CB$7,0),0),IF(AND(BX$6&lt;&gt;"",BX$8&lt;&gt;""),IF(EOMONTH($BV$3+INT((DAY(EOMONTH($BV$3,0))-1)/2)+BX$8,0)=EOMONTH($EL$3,0),BX$6*BX$7,0),0),IF(AND(BT$6&lt;&gt;"",BT$8&lt;&gt;""),IF(EOMONTH($BR$3+INT((DAY(EOMONTH($BR$3,0))-1)/2)+BT$8,0)=EOMONTH($EL$3,0),BT$6*BT$7,0),0),IF(AND(BP$6&lt;&gt;"",BP$8&lt;&gt;""),IF(EOMONTH($BN$3+INT((DAY(EOMONTH($BN$3,0))-1)/2)+BP$8,0)=EOMONTH($EL$3,0),BP$6*BP$7,0),0),IF(AND(BL$6&lt;&gt;"",BL$8&lt;&gt;""),IF(EOMONTH($BJ$3+INT((DAY(EOMONTH($BJ$3,0))-1)/2)+BL$8,0)=EOMONTH($EL$3,0),BL$6*BL$7,0),0),IF(AND(BH$6&lt;&gt;"",BH$8&lt;&gt;""),IF(EOMONTH($BF$3+INT((DAY(EOMONTH($BF$3,0))-1)/2)+BH$8,0)=EOMONTH($EL$3,0),BH$6*BH$7,0),0),IF(AND(BD$6&lt;&gt;"",BD$8&lt;&gt;""),IF(EOMONTH($BB$3+INT((DAY(EOMONTH($BB$3,0))-1)/2)+BD$8,0)=EOMONTH($EL$3,0),BD$6*BD$7,0),0),IF(AND(AZ$6&lt;&gt;"",AZ$8&lt;&gt;""),IF(EOMONTH($AX$3+INT((DAY(EOMONTH($AX$3,0))-1)/2)+AZ$8,0)=EOMONTH($EL$3,0),AZ$6*AZ$7,0),0),IF(AND(AV$6&lt;&gt;"",AV$8&lt;&gt;""),IF(EOMONTH($AT$3+INT((DAY(EOMONTH($AT$3,0))-1)/2)+AV$8,0)=EOMONTH($EL$3,0),AV$6*AV$7,0),0),IF(AND(AR$6&lt;&gt;"",AR$8&lt;&gt;""),IF(EOMONTH($AP$3+INT((DAY(EOMONTH($AP$3,0))-1)/2)+AR$8,0)=EOMONTH($EL$3,0),AR$6*AR$7,0),0),IF(AND(AN$6&lt;&gt;"",AN$8&lt;&gt;""),IF(EOMONTH($AL$3+INT((DAY(EOMONTH($AL$3,0))-1)/2)+AN$8,0)=EOMONTH($EL$3,0),AN$6*AN$7,0),0),IF(AND(AJ$6&lt;&gt;"",AJ$8&lt;&gt;""),IF(EOMONTH($AH$3+INT((DAY(EOMONTH($AH$3,0))-1)/2)+AJ$8,0)=EOMONTH($EL$3,0),AJ$6*AJ$7,0),0),IF(AND(AF$6&lt;&gt;"",AF$8&lt;&gt;""),IF(EOMONTH($AD$3+INT((DAY(EOMONTH($AD$3,0))-1)/2)+AF$8,0)=EOMONTH($EL$3,0),AF$6*AF$7,0),0),IF(AND(AB$6&lt;&gt;"",AB$8&lt;&gt;""),IF(EOMONTH($Z$3+INT((DAY(EOMONTH($Z$3,0))-1)/2)+AB$8,0)=EOMONTH($EL$3,0),AB$6*AB$7,0),0),IF(AND(X$6&lt;&gt;"",X$8&lt;&gt;""),IF(EOMONTH($V$3+INT((DAY(EOMONTH($V$3,0))-1)/2)+X$8,0)=EOMONTH($EL$3,0),X$6*X$7,0),0),IF(AND(T$6&lt;&gt;"",T$8&lt;&gt;""),IF(EOMONTH($R$3+INT((DAY(EOMONTH($R$3,0))-1)/2)+T$8,0)=EOMONTH($EL$3,0),T$6*T$7,0),0),IF(AND(P$6&lt;&gt;"",P$8&lt;&gt;""),IF(EOMONTH($N$3+INT((DAY(EOMONTH($N$3,0))-1)/2)+P$8,0)=EOMONTH($EL$3,0),P$6*P$7,0),0),IF(AND(L$6&lt;&gt;"",L$8&lt;&gt;""),IF(EOMONTH($J$3+INT((DAY(EOMONTH($J$3,0))-1)/2)+L$8,0)=EOMONTH($EL$3,0),L$6*L$7,0),0),IF(AND(H$6&lt;&gt;"",H$8&lt;&gt;""),IF(EOMONTH($F$3+INT((DAY(EOMONTH($F$3,0))-1)/2)+H$8,0)=EOMONTH($EL$3,0),H$6*H$7,0),0)),0)</f>
        <v>41</v>
      </c>
      <c r="EO9" s="16">
        <f t="shared" si="73"/>
        <v>-3</v>
      </c>
      <c r="EP9" s="17">
        <v>36.0</v>
      </c>
      <c r="EQ9" s="14">
        <f>IF(EP$98=1,EP9,ROUND(SUM(IF(AND(EQ$6&lt;&gt;"",EQ$8&lt;&gt;""),IF(EOMONTH($EP$3+INT((DAY(EOMONTH($EP$3,0))-1)/2)+EQ$8,0)=EOMONTH($EP$3,0),EQ$6*EQ$7,0),0),IF(AND(EM$6&lt;&gt;"",EM$8&lt;&gt;""),IF(EOMONTH($EL$3+INT((DAY(EOMONTH($EL$3,0))-1)/2)+EM$8,0)=EOMONTH($EP$3,0),EM$6*EM$7,0),0),IF(AND(EI$6&lt;&gt;"",EI$8&lt;&gt;""),IF(EOMONTH($EH$3+INT((DAY(EOMONTH($EH$3,0))-1)/2)+EI$8,0)=EOMONTH($EP$3,0),EI$6*EI$7,0),0),IF(AND(EE$6&lt;&gt;"",EE$8&lt;&gt;""),IF(EOMONTH($ED$3+INT((DAY(EOMONTH($ED$3,0))-1)/2)+EE$8,0)=EOMONTH($EP$3,0),EE$6*EE$7,0),0),IF(AND(EA$6&lt;&gt;"",EA$8&lt;&gt;""),IF(EOMONTH($DZ$3+INT((DAY(EOMONTH($DZ$3,0))-1)/2)+EA$8,0)=EOMONTH($EP$3,0),EA$6*EA$7,0),0),IF(AND(DW$6&lt;&gt;"",DW$8&lt;&gt;""),IF(EOMONTH($DV$3+INT((DAY(EOMONTH($DV$3,0))-1)/2)+DW$8,0)=EOMONTH($EP$3,0),DW$6*DW$7,0),0),IF(AND(DS$6&lt;&gt;"",DS$8&lt;&gt;""),IF(EOMONTH($DR$3+INT((DAY(EOMONTH($DR$3,0))-1)/2)+DS$8,0)=EOMONTH($EP$3,0),DS$6*DS$7,0),0),IF(AND(DO$6&lt;&gt;"",DO$8&lt;&gt;""),IF(EOMONTH($DN$3+INT((DAY(EOMONTH($DN$3,0))-1)/2)+DO$8,0)=EOMONTH($EP$3,0),DO$6*DO$7,0),0),IF(AND(DK$6&lt;&gt;"",DK$8&lt;&gt;""),IF(EOMONTH($DJ$3+INT((DAY(EOMONTH($DJ$3,0))-1)/2)+DK$8,0)=EOMONTH($EP$3,0),DK$6*DK$7,0),0),IF(AND(DG$6&lt;&gt;"",DG$8&lt;&gt;""),IF(EOMONTH($DF$3+INT((DAY(EOMONTH($DF$3,0))-1)/2)+DG$8,0)=EOMONTH($EP$3,0),DG$6*DG$7,0),0),IF(AND(DC$6&lt;&gt;"",DC$8&lt;&gt;""),IF(EOMONTH($DB$3+INT((DAY(EOMONTH($DB$3,0))-1)/2)+DC$8,0)=EOMONTH($EP$3,0),DC$6*DC$7,0),0),IF(AND(CY$6&lt;&gt;"",CY$8&lt;&gt;""),IF(EOMONTH($CX$3+INT((DAY(EOMONTH($CX$3,0))-1)/2)+CY$8,0)=EOMONTH($EP$3,0),CY$6*CY$7,0),0),IF(AND(CU$6&lt;&gt;"",CU$8&lt;&gt;""),IF(EOMONTH($CT$3+INT((DAY(EOMONTH($CT$3,0))-1)/2)+CU$8,0)=EOMONTH($EP$3,0),CU$6*CU$7,0),0),IF(AND(CQ$6&lt;&gt;"",CQ$8&lt;&gt;""),IF(EOMONTH($CP$3+INT((DAY(EOMONTH($CP$3,0))-1)/2)+CQ$8,0)=EOMONTH($EP$3,0),CQ$6*CQ$7,0),0),IF(AND(CM$6&lt;&gt;"",CM$8&lt;&gt;""),IF(EOMONTH($CL$3+INT((DAY(EOMONTH($CL$3,0))-1)/2)+CM$8,0)=EOMONTH($EP$3,0),CM$6*CM$7,0),0),IF(AND(CI$6&lt;&gt;"",CI$8&lt;&gt;""),IF(EOMONTH($CH$3+INT((DAY(EOMONTH($CH$3,0))-1)/2)+CI$8,0)=EOMONTH($EP$3,0),CI$6*CI$7,0),0),IF(AND(CE$6&lt;&gt;"",CE$8&lt;&gt;""),IF(EOMONTH($CD$3+INT((DAY(EOMONTH($CD$3,0))-1)/2)+CE$8,0)=EOMONTH($EP$3,0),CE$6*CE$7,0),0),IF(AND(CA$6&lt;&gt;"",CA$8&lt;&gt;""),IF(EOMONTH($BZ$3+INT((DAY(EOMONTH($BZ$3,0))-1)/2)+CA$8,0)=EOMONTH($EP$3,0),CA$6*CA$7,0),0),IF(AND(BW$6&lt;&gt;"",BW$8&lt;&gt;""),IF(EOMONTH($BV$3+INT((DAY(EOMONTH($BV$3,0))-1)/2)+BW$8,0)=EOMONTH($EP$3,0),BW$6*BW$7,0),0),IF(AND(BS$6&lt;&gt;"",BS$8&lt;&gt;""),IF(EOMONTH($BR$3+INT((DAY(EOMONTH($BR$3,0))-1)/2)+BS$8,0)=EOMONTH($EP$3,0),BS$6*BS$7,0),0),IF(AND(BO$6&lt;&gt;"",BO$8&lt;&gt;""),IF(EOMONTH($BN$3+INT((DAY(EOMONTH($BN$3,0))-1)/2)+BO$8,0)=EOMONTH($EP$3,0),BO$6*BO$7,0),0),IF(AND(BK$6&lt;&gt;"",BK$8&lt;&gt;""),IF(EOMONTH($BJ$3+INT((DAY(EOMONTH($BJ$3,0))-1)/2)+BK$8,0)=EOMONTH($EP$3,0),BK$6*BK$7,0),0),IF(AND(BG$6&lt;&gt;"",BG$8&lt;&gt;""),IF(EOMONTH($BF$3+INT((DAY(EOMONTH($BF$3,0))-1)/2)+BG$8,0)=EOMONTH($EP$3,0),BG$6*BG$7,0),0),IF(AND(BC$6&lt;&gt;"",BC$8&lt;&gt;""),IF(EOMONTH($BB$3+INT((DAY(EOMONTH($BB$3,0))-1)/2)+BC$8,0)=EOMONTH($EP$3,0),BC$6*BC$7,0),0),IF(AND(AY$6&lt;&gt;"",AY$8&lt;&gt;""),IF(EOMONTH($AX$3+INT((DAY(EOMONTH($AX$3,0))-1)/2)+AY$8,0)=EOMONTH($EP$3,0),AY$6*AY$7,0),0),IF(AND(AU$6&lt;&gt;"",AU$8&lt;&gt;""),IF(EOMONTH($AT$3+INT((DAY(EOMONTH($AT$3,0))-1)/2)+AU$8,0)=EOMONTH($EP$3,0),AU$6*AU$7,0),0),IF(AND(AQ$6&lt;&gt;"",AQ$8&lt;&gt;""),IF(EOMONTH($AP$3+INT((DAY(EOMONTH($AP$3,0))-1)/2)+AQ$8,0)=EOMONTH($EP$3,0),AQ$6*AQ$7,0),0),IF(AND(AM$6&lt;&gt;"",AM$8&lt;&gt;""),IF(EOMONTH($AL$3+INT((DAY(EOMONTH($AL$3,0))-1)/2)+AM$8,0)=EOMONTH($EP$3,0),AM$6*AM$7,0),0),IF(AND(AI$6&lt;&gt;"",AI$8&lt;&gt;""),IF(EOMONTH($AH$3+INT((DAY(EOMONTH($AH$3,0))-1)/2)+AI$8,0)=EOMONTH($EP$3,0),AI$6*AI$7,0),0),IF(AND(AE$6&lt;&gt;"",AE$8&lt;&gt;""),IF(EOMONTH($AD$3+INT((DAY(EOMONTH($AD$3,0))-1)/2)+AE$8,0)=EOMONTH($EP$3,0),AE$6*AE$7,0),0),IF(AND(AA$6&lt;&gt;"",AA$8&lt;&gt;""),IF(EOMONTH($Z$3+INT((DAY(EOMONTH($Z$3,0))-1)/2)+AA$8,0)=EOMONTH($EP$3,0),AA$6*AA$7,0),0),IF(AND(W$6&lt;&gt;"",W$8&lt;&gt;""),IF(EOMONTH($V$3+INT((DAY(EOMONTH($V$3,0))-1)/2)+W$8,0)=EOMONTH($EP$3,0),W$6*W$7,0),0),IF(AND(S$6&lt;&gt;"",S$8&lt;&gt;""),IF(EOMONTH($R$3+INT((DAY(EOMONTH($R$3,0))-1)/2)+S$8,0)=EOMONTH($EP$3,0),S$6*S$7,0),0),IF(AND(O$6&lt;&gt;"",O$8&lt;&gt;""),IF(EOMONTH($N$3+INT((DAY(EOMONTH($N$3,0))-1)/2)+O$8,0)=EOMONTH($EP$3,0),O$6*O$7,0),0),IF(AND(K$6&lt;&gt;"",K$8&lt;&gt;""),IF(EOMONTH($J$3+INT((DAY(EOMONTH($J$3,0))-1)/2)+K$8,0)=EOMONTH($EP$3,0),K$6*K$7,0),0),IF(AND(G$6&lt;&gt;"",G$8&lt;&gt;""),IF(EOMONTH($F$3+INT((DAY(EOMONTH($F$3,0))-1)/2)+G$8,0)=EOMONTH($EP$3,0),G$6*G$7,0),0)),0))</f>
        <v>36</v>
      </c>
      <c r="ER9" s="15">
        <f>ROUND(SUM(IF(AND(ER$6&lt;&gt;"",ER$8&lt;&gt;""),IF(EOMONTH($EP$3+INT((DAY(EOMONTH($EP$3,0))-1)/2)+ER$8,0)=EOMONTH($EP$3,0),ER$6*ER$7,0),0),IF(AND(EN$6&lt;&gt;"",EN$8&lt;&gt;""),IF(EOMONTH($EL$3+INT((DAY(EOMONTH($EL$3,0))-1)/2)+EN$8,0)=EOMONTH($EP$3,0),EN$6*EN$7,0),0),IF(AND(EJ$6&lt;&gt;"",EJ$8&lt;&gt;""),IF(EOMONTH($EH$3+INT((DAY(EOMONTH($EH$3,0))-1)/2)+EJ$8,0)=EOMONTH($EP$3,0),EJ$6*EJ$7,0),0),IF(AND(EF$6&lt;&gt;"",EF$8&lt;&gt;""),IF(EOMONTH($ED$3+INT((DAY(EOMONTH($ED$3,0))-1)/2)+EF$8,0)=EOMONTH($EP$3,0),EF$6*EF$7,0),0),IF(AND(EB$6&lt;&gt;"",EB$8&lt;&gt;""),IF(EOMONTH($DZ$3+INT((DAY(EOMONTH($DZ$3,0))-1)/2)+EB$8,0)=EOMONTH($EP$3,0),EB$6*EB$7,0),0),IF(AND(DX$6&lt;&gt;"",DX$8&lt;&gt;""),IF(EOMONTH($DV$3+INT((DAY(EOMONTH($DV$3,0))-1)/2)+DX$8,0)=EOMONTH($EP$3,0),DX$6*DX$7,0),0),IF(AND(DT$6&lt;&gt;"",DT$8&lt;&gt;""),IF(EOMONTH($DR$3+INT((DAY(EOMONTH($DR$3,0))-1)/2)+DT$8,0)=EOMONTH($EP$3,0),DT$6*DT$7,0),0),IF(AND(DP$6&lt;&gt;"",DP$8&lt;&gt;""),IF(EOMONTH($DN$3+INT((DAY(EOMONTH($DN$3,0))-1)/2)+DP$8,0)=EOMONTH($EP$3,0),DP$6*DP$7,0),0),IF(AND(DL$6&lt;&gt;"",DL$8&lt;&gt;""),IF(EOMONTH($DJ$3+INT((DAY(EOMONTH($DJ$3,0))-1)/2)+DL$8,0)=EOMONTH($EP$3,0),DL$6*DL$7,0),0),IF(AND(DH$6&lt;&gt;"",DH$8&lt;&gt;""),IF(EOMONTH($DF$3+INT((DAY(EOMONTH($DF$3,0))-1)/2)+DH$8,0)=EOMONTH($EP$3,0),DH$6*DH$7,0),0),IF(AND(DD$6&lt;&gt;"",DD$8&lt;&gt;""),IF(EOMONTH($DB$3+INT((DAY(EOMONTH($DB$3,0))-1)/2)+DD$8,0)=EOMONTH($EP$3,0),DD$6*DD$7,0),0),IF(AND(CZ$6&lt;&gt;"",CZ$8&lt;&gt;""),IF(EOMONTH($CX$3+INT((DAY(EOMONTH($CX$3,0))-1)/2)+CZ$8,0)=EOMONTH($EP$3,0),CZ$6*CZ$7,0),0),IF(AND(CV$6&lt;&gt;"",CV$8&lt;&gt;""),IF(EOMONTH($CT$3+INT((DAY(EOMONTH($CT$3,0))-1)/2)+CV$8,0)=EOMONTH($EP$3,0),CV$6*CV$7,0),0),IF(AND(CR$6&lt;&gt;"",CR$8&lt;&gt;""),IF(EOMONTH($CP$3+INT((DAY(EOMONTH($CP$3,0))-1)/2)+CR$8,0)=EOMONTH($EP$3,0),CR$6*CR$7,0),0),IF(AND(CN$6&lt;&gt;"",CN$8&lt;&gt;""),IF(EOMONTH($CL$3+INT((DAY(EOMONTH($CL$3,0))-1)/2)+CN$8,0)=EOMONTH($EP$3,0),CN$6*CN$7,0),0),IF(AND(CJ$6&lt;&gt;"",CJ$8&lt;&gt;""),IF(EOMONTH($CH$3+INT((DAY(EOMONTH($CH$3,0))-1)/2)+CJ$8,0)=EOMONTH($EP$3,0),CJ$6*CJ$7,0),0),IF(AND(CF$6&lt;&gt;"",CF$8&lt;&gt;""),IF(EOMONTH($CD$3+INT((DAY(EOMONTH($CD$3,0))-1)/2)+CF$8,0)=EOMONTH($EP$3,0),CF$6*CF$7,0),0),IF(AND(CB$6&lt;&gt;"",CB$8&lt;&gt;""),IF(EOMONTH($BZ$3+INT((DAY(EOMONTH($BZ$3,0))-1)/2)+CB$8,0)=EOMONTH($EP$3,0),CB$6*CB$7,0),0),IF(AND(BX$6&lt;&gt;"",BX$8&lt;&gt;""),IF(EOMONTH($BV$3+INT((DAY(EOMONTH($BV$3,0))-1)/2)+BX$8,0)=EOMONTH($EP$3,0),BX$6*BX$7,0),0),IF(AND(BT$6&lt;&gt;"",BT$8&lt;&gt;""),IF(EOMONTH($BR$3+INT((DAY(EOMONTH($BR$3,0))-1)/2)+BT$8,0)=EOMONTH($EP$3,0),BT$6*BT$7,0),0),IF(AND(BP$6&lt;&gt;"",BP$8&lt;&gt;""),IF(EOMONTH($BN$3+INT((DAY(EOMONTH($BN$3,0))-1)/2)+BP$8,0)=EOMONTH($EP$3,0),BP$6*BP$7,0),0),IF(AND(BL$6&lt;&gt;"",BL$8&lt;&gt;""),IF(EOMONTH($BJ$3+INT((DAY(EOMONTH($BJ$3,0))-1)/2)+BL$8,0)=EOMONTH($EP$3,0),BL$6*BL$7,0),0),IF(AND(BH$6&lt;&gt;"",BH$8&lt;&gt;""),IF(EOMONTH($BF$3+INT((DAY(EOMONTH($BF$3,0))-1)/2)+BH$8,0)=EOMONTH($EP$3,0),BH$6*BH$7,0),0),IF(AND(BD$6&lt;&gt;"",BD$8&lt;&gt;""),IF(EOMONTH($BB$3+INT((DAY(EOMONTH($BB$3,0))-1)/2)+BD$8,0)=EOMONTH($EP$3,0),BD$6*BD$7,0),0),IF(AND(AZ$6&lt;&gt;"",AZ$8&lt;&gt;""),IF(EOMONTH($AX$3+INT((DAY(EOMONTH($AX$3,0))-1)/2)+AZ$8,0)=EOMONTH($EP$3,0),AZ$6*AZ$7,0),0),IF(AND(AV$6&lt;&gt;"",AV$8&lt;&gt;""),IF(EOMONTH($AT$3+INT((DAY(EOMONTH($AT$3,0))-1)/2)+AV$8,0)=EOMONTH($EP$3,0),AV$6*AV$7,0),0),IF(AND(AR$6&lt;&gt;"",AR$8&lt;&gt;""),IF(EOMONTH($AP$3+INT((DAY(EOMONTH($AP$3,0))-1)/2)+AR$8,0)=EOMONTH($EP$3,0),AR$6*AR$7,0),0),IF(AND(AN$6&lt;&gt;"",AN$8&lt;&gt;""),IF(EOMONTH($AL$3+INT((DAY(EOMONTH($AL$3,0))-1)/2)+AN$8,0)=EOMONTH($EP$3,0),AN$6*AN$7,0),0),IF(AND(AJ$6&lt;&gt;"",AJ$8&lt;&gt;""),IF(EOMONTH($AH$3+INT((DAY(EOMONTH($AH$3,0))-1)/2)+AJ$8,0)=EOMONTH($EP$3,0),AJ$6*AJ$7,0),0),IF(AND(AF$6&lt;&gt;"",AF$8&lt;&gt;""),IF(EOMONTH($AD$3+INT((DAY(EOMONTH($AD$3,0))-1)/2)+AF$8,0)=EOMONTH($EP$3,0),AF$6*AF$7,0),0),IF(AND(AB$6&lt;&gt;"",AB$8&lt;&gt;""),IF(EOMONTH($Z$3+INT((DAY(EOMONTH($Z$3,0))-1)/2)+AB$8,0)=EOMONTH($EP$3,0),AB$6*AB$7,0),0),IF(AND(X$6&lt;&gt;"",X$8&lt;&gt;""),IF(EOMONTH($V$3+INT((DAY(EOMONTH($V$3,0))-1)/2)+X$8,0)=EOMONTH($EP$3,0),X$6*X$7,0),0),IF(AND(T$6&lt;&gt;"",T$8&lt;&gt;""),IF(EOMONTH($R$3+INT((DAY(EOMONTH($R$3,0))-1)/2)+T$8,0)=EOMONTH($EP$3,0),T$6*T$7,0),0),IF(AND(P$6&lt;&gt;"",P$8&lt;&gt;""),IF(EOMONTH($N$3+INT((DAY(EOMONTH($N$3,0))-1)/2)+P$8,0)=EOMONTH($EP$3,0),P$6*P$7,0),0),IF(AND(L$6&lt;&gt;"",L$8&lt;&gt;""),IF(EOMONTH($J$3+INT((DAY(EOMONTH($J$3,0))-1)/2)+L$8,0)=EOMONTH($EP$3,0),L$6*L$7,0),0),IF(AND(H$6&lt;&gt;"",H$8&lt;&gt;""),IF(EOMONTH($F$3+INT((DAY(EOMONTH($F$3,0))-1)/2)+H$8,0)=EOMONTH($EP$3,0),H$6*H$7,0),0)),0)</f>
        <v>40</v>
      </c>
      <c r="ES9" s="16">
        <f t="shared" si="75"/>
        <v>-4</v>
      </c>
    </row>
    <row r="10" ht="18.0" customHeight="1">
      <c r="A10" s="2" t="s">
        <v>12</v>
      </c>
      <c r="B10" s="19">
        <f t="shared" ref="B10:D10" si="78">IFERROR(B12/B9,"")</f>
        <v>0.2027027027</v>
      </c>
      <c r="C10" s="20">
        <f t="shared" si="78"/>
        <v>0.245273873</v>
      </c>
      <c r="D10" s="21">
        <f t="shared" si="78"/>
        <v>0.247826087</v>
      </c>
      <c r="E10" s="22">
        <f t="shared" si="3"/>
        <v>-0.002552213956</v>
      </c>
      <c r="F10" s="19" t="str">
        <f>IFERROR(IF(OR(F12="",F9=""),"",F12/F9),"")</f>
        <v/>
      </c>
      <c r="G10" s="20">
        <f t="shared" ref="G10:G11" si="80">IF(F$98=1,F10,H10)</f>
        <v>0.25</v>
      </c>
      <c r="H10" s="23">
        <v>0.25</v>
      </c>
      <c r="I10" s="22">
        <f t="shared" si="5"/>
        <v>0</v>
      </c>
      <c r="J10" s="19" t="str">
        <f>IFERROR(IF(OR(J12="",J9=""),"",J12/J9),"")</f>
        <v/>
      </c>
      <c r="K10" s="20">
        <f t="shared" ref="K10:K11" si="81">IF(J$98=1,J10,L10)</f>
        <v>0.25</v>
      </c>
      <c r="L10" s="23">
        <v>0.25</v>
      </c>
      <c r="M10" s="22">
        <f t="shared" si="7"/>
        <v>0</v>
      </c>
      <c r="N10" s="19" t="str">
        <f>IFERROR(IF(OR(N12="",N9=""),"",N12/N9),"")</f>
        <v/>
      </c>
      <c r="O10" s="20">
        <f t="shared" ref="O10:O11" si="82">IF(N$98=1,N10,P10)</f>
        <v>0.25</v>
      </c>
      <c r="P10" s="23">
        <v>0.25</v>
      </c>
      <c r="Q10" s="22">
        <f t="shared" si="9"/>
        <v>0</v>
      </c>
      <c r="R10" s="19" t="str">
        <f>IFERROR(IF(OR(R12="",R9=""),"",R12/R9),"")</f>
        <v/>
      </c>
      <c r="S10" s="20">
        <f t="shared" ref="S10:S11" si="83">IF(R$98=1,R10,T10)</f>
        <v>0.25</v>
      </c>
      <c r="T10" s="23">
        <v>0.25</v>
      </c>
      <c r="U10" s="22">
        <f t="shared" si="11"/>
        <v>0</v>
      </c>
      <c r="V10" s="19" t="str">
        <f>IFERROR(IF(OR(V12="",V9=""),"",V12/V9),"")</f>
        <v/>
      </c>
      <c r="W10" s="20">
        <f t="shared" ref="W10:W11" si="84">IF(V$98=1,V10,X10)</f>
        <v>0.25</v>
      </c>
      <c r="X10" s="23">
        <v>0.25</v>
      </c>
      <c r="Y10" s="22">
        <f t="shared" si="13"/>
        <v>0</v>
      </c>
      <c r="Z10" s="19" t="str">
        <f>IFERROR(IF(OR(Z12="",Z9=""),"",Z12/Z9),"")</f>
        <v/>
      </c>
      <c r="AA10" s="20">
        <f t="shared" ref="AA10:AA11" si="85">IF(Z$98=1,Z10,AB10)</f>
        <v>0.25</v>
      </c>
      <c r="AB10" s="23">
        <v>0.25</v>
      </c>
      <c r="AC10" s="22">
        <f t="shared" si="15"/>
        <v>0</v>
      </c>
      <c r="AD10" s="19" t="str">
        <f>IFERROR(IF(OR(AD12="",AD9=""),"",AD12/AD9),"")</f>
        <v/>
      </c>
      <c r="AE10" s="20">
        <f t="shared" ref="AE10:AE11" si="86">IF(AD$98=1,AD10,AF10)</f>
        <v>0.25</v>
      </c>
      <c r="AF10" s="23">
        <v>0.25</v>
      </c>
      <c r="AG10" s="22">
        <f t="shared" si="17"/>
        <v>0</v>
      </c>
      <c r="AH10" s="19" t="str">
        <f>IFERROR(IF(OR(AH12="",AH9=""),"",AH12/AH9),"")</f>
        <v/>
      </c>
      <c r="AI10" s="20">
        <f t="shared" ref="AI10:AI11" si="87">IF(AH$98=1,AH10,AJ10)</f>
        <v>0.25</v>
      </c>
      <c r="AJ10" s="23">
        <v>0.25</v>
      </c>
      <c r="AK10" s="22">
        <f t="shared" si="19"/>
        <v>0</v>
      </c>
      <c r="AL10" s="19" t="str">
        <f>IFERROR(IF(OR(AL12="",AL9=""),"",AL12/AL9),"")</f>
        <v/>
      </c>
      <c r="AM10" s="20">
        <f t="shared" ref="AM10:AM11" si="88">IF(AL$98=1,AL10,AN10)</f>
        <v>0.25</v>
      </c>
      <c r="AN10" s="23">
        <v>0.25</v>
      </c>
      <c r="AO10" s="22">
        <f t="shared" si="21"/>
        <v>0</v>
      </c>
      <c r="AP10" s="19" t="str">
        <f>IFERROR(IF(OR(AP12="",AP9=""),"",AP12/AP9),"")</f>
        <v/>
      </c>
      <c r="AQ10" s="20">
        <f t="shared" ref="AQ10:AQ11" si="89">IF(AP$98=1,AP10,AR10)</f>
        <v>0.25</v>
      </c>
      <c r="AR10" s="23">
        <v>0.25</v>
      </c>
      <c r="AS10" s="22">
        <f t="shared" si="23"/>
        <v>0</v>
      </c>
      <c r="AT10" s="19" t="str">
        <f>IFERROR(IF(OR(AT12="",AT9=""),"",AT12/AT9),"")</f>
        <v/>
      </c>
      <c r="AU10" s="20">
        <f t="shared" ref="AU10:AU11" si="90">IF(AT$98=1,AT10,AV10)</f>
        <v>0.25</v>
      </c>
      <c r="AV10" s="23">
        <v>0.25</v>
      </c>
      <c r="AW10" s="22">
        <f t="shared" si="25"/>
        <v>0</v>
      </c>
      <c r="AX10" s="19" t="str">
        <f>IFERROR(IF(OR(AX12="",AX9=""),"",AX12/AX9),"")</f>
        <v/>
      </c>
      <c r="AY10" s="20">
        <f t="shared" ref="AY10:AY11" si="91">IF(AX$98=1,AX10,AZ10)</f>
        <v>0.25</v>
      </c>
      <c r="AZ10" s="23">
        <v>0.25</v>
      </c>
      <c r="BA10" s="22">
        <f t="shared" si="27"/>
        <v>0</v>
      </c>
      <c r="BB10" s="19" t="str">
        <f>IFERROR(IF(OR(BB12="",BB9=""),"",BB12/BB9),"")</f>
        <v/>
      </c>
      <c r="BC10" s="20">
        <f t="shared" ref="BC10:BC11" si="92">IF(BB$98=1,BB10,BD10)</f>
        <v>0.25</v>
      </c>
      <c r="BD10" s="23">
        <v>0.25</v>
      </c>
      <c r="BE10" s="22">
        <f t="shared" si="29"/>
        <v>0</v>
      </c>
      <c r="BF10" s="19" t="str">
        <f>IFERROR(IF(OR(BF12="",BF9=""),"",BF12/BF9),"")</f>
        <v/>
      </c>
      <c r="BG10" s="20">
        <f t="shared" ref="BG10:BG11" si="93">IF(BF$98=1,BF10,BH10)</f>
        <v>0.25</v>
      </c>
      <c r="BH10" s="23">
        <v>0.25</v>
      </c>
      <c r="BI10" s="22">
        <f t="shared" si="31"/>
        <v>0</v>
      </c>
      <c r="BJ10" s="19" t="str">
        <f>IFERROR(IF(OR(BJ12="",BJ9=""),"",BJ12/BJ9),"")</f>
        <v/>
      </c>
      <c r="BK10" s="20">
        <f t="shared" ref="BK10:BK11" si="94">IF(BJ$98=1,BJ10,BL10)</f>
        <v>0.25</v>
      </c>
      <c r="BL10" s="23">
        <v>0.25</v>
      </c>
      <c r="BM10" s="22">
        <f t="shared" si="33"/>
        <v>0</v>
      </c>
      <c r="BN10" s="19" t="str">
        <f>IFERROR(IF(OR(BN12="",BN9=""),"",BN12/BN9),"")</f>
        <v/>
      </c>
      <c r="BO10" s="20">
        <f t="shared" ref="BO10:BO11" si="95">IF(BN$98=1,BN10,BP10)</f>
        <v>0.25</v>
      </c>
      <c r="BP10" s="23">
        <v>0.25</v>
      </c>
      <c r="BQ10" s="22">
        <f t="shared" si="35"/>
        <v>0</v>
      </c>
      <c r="BR10" s="19" t="str">
        <f>IFERROR(IF(OR(BR12="",BR9=""),"",BR12/BR9),"")</f>
        <v/>
      </c>
      <c r="BS10" s="20">
        <f t="shared" ref="BS10:BS11" si="96">IF(BR$98=1,BR10,BT10)</f>
        <v>0.25</v>
      </c>
      <c r="BT10" s="23">
        <v>0.25</v>
      </c>
      <c r="BU10" s="22">
        <f t="shared" si="37"/>
        <v>0</v>
      </c>
      <c r="BV10" s="19" t="str">
        <f>IFERROR(IF(OR(BV12="",BV9=""),"",BV12/BV9),"")</f>
        <v/>
      </c>
      <c r="BW10" s="20">
        <f t="shared" ref="BW10:BW11" si="97">IF(BV$98=1,BV10,BX10)</f>
        <v>0.25</v>
      </c>
      <c r="BX10" s="23">
        <v>0.25</v>
      </c>
      <c r="BY10" s="22">
        <f t="shared" si="39"/>
        <v>0</v>
      </c>
      <c r="BZ10" s="19" t="str">
        <f>IFERROR(IF(OR(BZ12="",BZ9=""),"",BZ12/BZ9),"")</f>
        <v/>
      </c>
      <c r="CA10" s="20">
        <f t="shared" ref="CA10:CA11" si="98">IF(BZ$98=1,BZ10,CB10)</f>
        <v>0.25</v>
      </c>
      <c r="CB10" s="23">
        <v>0.25</v>
      </c>
      <c r="CC10" s="22">
        <f t="shared" si="41"/>
        <v>0</v>
      </c>
      <c r="CD10" s="19" t="str">
        <f>IFERROR(IF(OR(CD12="",CD9=""),"",CD12/CD9),"")</f>
        <v/>
      </c>
      <c r="CE10" s="20">
        <f t="shared" ref="CE10:CE11" si="99">IF(CD$98=1,CD10,CF10)</f>
        <v>0.25</v>
      </c>
      <c r="CF10" s="23">
        <v>0.25</v>
      </c>
      <c r="CG10" s="22">
        <f t="shared" si="43"/>
        <v>0</v>
      </c>
      <c r="CH10" s="19" t="str">
        <f>IFERROR(IF(OR(CH12="",CH9=""),"",CH12/CH9),"")</f>
        <v/>
      </c>
      <c r="CI10" s="20">
        <f t="shared" ref="CI10:CI11" si="100">IF(CH$98=1,CH10,CJ10)</f>
        <v>0.25</v>
      </c>
      <c r="CJ10" s="23">
        <v>0.25</v>
      </c>
      <c r="CK10" s="22">
        <f t="shared" si="45"/>
        <v>0</v>
      </c>
      <c r="CL10" s="19" t="str">
        <f>IFERROR(IF(OR(CL12="",CL9=""),"",CL12/CL9),"")</f>
        <v/>
      </c>
      <c r="CM10" s="20">
        <f t="shared" ref="CM10:CM11" si="101">IF(CL$98=1,CL10,CN10)</f>
        <v>0.25</v>
      </c>
      <c r="CN10" s="23">
        <v>0.25</v>
      </c>
      <c r="CO10" s="22">
        <f t="shared" si="47"/>
        <v>0</v>
      </c>
      <c r="CP10" s="19" t="str">
        <f>IFERROR(IF(OR(CP12="",CP9=""),"",CP12/CP9),"")</f>
        <v/>
      </c>
      <c r="CQ10" s="20">
        <f t="shared" ref="CQ10:CQ11" si="102">IF(CP$98=1,CP10,CR10)</f>
        <v>0.25</v>
      </c>
      <c r="CR10" s="23">
        <v>0.25</v>
      </c>
      <c r="CS10" s="22">
        <f t="shared" si="49"/>
        <v>0</v>
      </c>
      <c r="CT10" s="19" t="str">
        <f>IFERROR(IF(OR(CT12="",CT9=""),"",CT12/CT9),"")</f>
        <v/>
      </c>
      <c r="CU10" s="20">
        <f t="shared" ref="CU10:CU11" si="103">IF(CT$98=1,CT10,CV10)</f>
        <v>0.25</v>
      </c>
      <c r="CV10" s="23">
        <v>0.25</v>
      </c>
      <c r="CW10" s="22">
        <f t="shared" si="51"/>
        <v>0</v>
      </c>
      <c r="CX10" s="19" t="str">
        <f>IFERROR(IF(OR(CX12="",CX9=""),"",CX12/CX9),"")</f>
        <v/>
      </c>
      <c r="CY10" s="20">
        <f t="shared" ref="CY10:CY11" si="104">IF(CX$98=1,CX10,CZ10)</f>
        <v>0.25</v>
      </c>
      <c r="CZ10" s="23">
        <v>0.25</v>
      </c>
      <c r="DA10" s="22">
        <f t="shared" si="53"/>
        <v>0</v>
      </c>
      <c r="DB10" s="19" t="str">
        <f>IFERROR(IF(OR(DB12="",DB9=""),"",DB12/DB9),"")</f>
        <v/>
      </c>
      <c r="DC10" s="20">
        <f t="shared" ref="DC10:DC11" si="105">IF(DB$98=1,DB10,DD10)</f>
        <v>0.25</v>
      </c>
      <c r="DD10" s="23">
        <v>0.25</v>
      </c>
      <c r="DE10" s="22">
        <f t="shared" si="55"/>
        <v>0</v>
      </c>
      <c r="DF10" s="19" t="str">
        <f>IFERROR(IF(OR(DF12="",DF9=""),"",DF12/DF9),"")</f>
        <v/>
      </c>
      <c r="DG10" s="20">
        <f t="shared" ref="DG10:DG11" si="106">IF(DF$98=1,DF10,DH10)</f>
        <v>0.25</v>
      </c>
      <c r="DH10" s="23">
        <v>0.25</v>
      </c>
      <c r="DI10" s="22">
        <f t="shared" si="57"/>
        <v>0</v>
      </c>
      <c r="DJ10" s="19" t="str">
        <f>IFERROR(IF(OR(DJ12="",DJ9=""),"",DJ12/DJ9),"")</f>
        <v/>
      </c>
      <c r="DK10" s="20">
        <f t="shared" ref="DK10:DK11" si="107">IF(DJ$98=1,DJ10,DL10)</f>
        <v>0.25</v>
      </c>
      <c r="DL10" s="23">
        <v>0.25</v>
      </c>
      <c r="DM10" s="22">
        <f t="shared" si="59"/>
        <v>0</v>
      </c>
      <c r="DN10" s="19" t="str">
        <f>IFERROR(IF(OR(DN12="",DN9=""),"",DN12/DN9),"")</f>
        <v/>
      </c>
      <c r="DO10" s="20">
        <f t="shared" ref="DO10:DO11" si="108">IF(DN$98=1,DN10,DP10)</f>
        <v>0.25</v>
      </c>
      <c r="DP10" s="23">
        <v>0.25</v>
      </c>
      <c r="DQ10" s="22">
        <f t="shared" si="61"/>
        <v>0</v>
      </c>
      <c r="DR10" s="19" t="str">
        <f>IFERROR(IF(OR(DR12="",DR9=""),"",DR12/DR9),"")</f>
        <v/>
      </c>
      <c r="DS10" s="20">
        <f t="shared" ref="DS10:DS11" si="109">IF(DR$98=1,DR10,DT10)</f>
        <v>0.25</v>
      </c>
      <c r="DT10" s="23">
        <v>0.25</v>
      </c>
      <c r="DU10" s="22">
        <f t="shared" si="63"/>
        <v>0</v>
      </c>
      <c r="DV10" s="19" t="str">
        <f>IFERROR(IF(OR(DV12="",DV9=""),"",DV12/DV9),"")</f>
        <v/>
      </c>
      <c r="DW10" s="20">
        <f t="shared" ref="DW10:DW11" si="110">IF(DV$98=1,DV10,DX10)</f>
        <v>0.25</v>
      </c>
      <c r="DX10" s="23">
        <v>0.25</v>
      </c>
      <c r="DY10" s="22">
        <f t="shared" si="65"/>
        <v>0</v>
      </c>
      <c r="DZ10" s="19" t="str">
        <f>IFERROR(IF(OR(DZ12="",DZ9=""),"",DZ12/DZ9),"")</f>
        <v/>
      </c>
      <c r="EA10" s="20">
        <f t="shared" ref="EA10:EA11" si="111">IF(DZ$98=1,DZ10,EB10)</f>
        <v>0.25</v>
      </c>
      <c r="EB10" s="23">
        <v>0.25</v>
      </c>
      <c r="EC10" s="22">
        <f t="shared" si="67"/>
        <v>0</v>
      </c>
      <c r="ED10" s="19" t="str">
        <f>IFERROR(IF(OR(ED12="",ED9=""),"",ED12/ED9),"")</f>
        <v/>
      </c>
      <c r="EE10" s="20">
        <f t="shared" ref="EE10:EE11" si="112">IF(ED$98=1,ED10,EF10)</f>
        <v>0.25</v>
      </c>
      <c r="EF10" s="23">
        <v>0.25</v>
      </c>
      <c r="EG10" s="22">
        <f t="shared" si="69"/>
        <v>0</v>
      </c>
      <c r="EH10" s="19" t="str">
        <f>IFERROR(IF(OR(EH12="",EH9=""),"",EH12/EH9),"")</f>
        <v/>
      </c>
      <c r="EI10" s="20">
        <f t="shared" ref="EI10:EI11" si="113">IF(EH$98=1,EH10,EJ10)</f>
        <v>0.25</v>
      </c>
      <c r="EJ10" s="23">
        <v>0.25</v>
      </c>
      <c r="EK10" s="22">
        <f t="shared" si="71"/>
        <v>0</v>
      </c>
      <c r="EL10" s="19">
        <f>IFERROR(IF(OR(EL12="",EL9=""),"",EL12/EL9),"")</f>
        <v>0.2105263158</v>
      </c>
      <c r="EM10" s="20">
        <f t="shared" ref="EM10:EM11" si="114">IF(EL$98=1,EL10,EN10)</f>
        <v>0.2105263158</v>
      </c>
      <c r="EN10" s="23">
        <v>0.25</v>
      </c>
      <c r="EO10" s="22">
        <f t="shared" si="73"/>
        <v>-0.03947368421</v>
      </c>
      <c r="EP10" s="19">
        <f>IFERROR(IF(OR(EP12="",EP9=""),"",EP12/EP9),"")</f>
        <v>0.1944444444</v>
      </c>
      <c r="EQ10" s="20">
        <f t="shared" ref="EQ10:EQ11" si="115">IF(EP$98=1,EP10,ER10)</f>
        <v>0.1944444444</v>
      </c>
      <c r="ER10" s="23">
        <v>0.25</v>
      </c>
      <c r="ES10" s="22">
        <f t="shared" si="75"/>
        <v>-0.05555555556</v>
      </c>
    </row>
    <row r="11" ht="18.0" customHeight="1">
      <c r="A11" s="2" t="s">
        <v>13</v>
      </c>
      <c r="B11" s="24">
        <f t="shared" ref="B11:D11" si="79">IFERROR(SUM(EP11*EP9,EL11*EL9,EH11*EH9,ED11*ED9,DZ11*DZ9,DV11*DV9,DR11*DR9,DN11*DN9,DJ11*DJ9,DF11*DF9,DB11*DB9,CX11*CX9,CT11*CT9,CP11*CP9,CL11*CL9,CH11*CH9,CD11*CD9,BZ11*BZ9,BV11*BV9,BR11*BR9,BN11*BN9,BJ11*BJ9,BF11*BF9,BB11*BB9,AX11*AX9,AT11*AT9,AP11*AP9,AL11*AL9,AH11*AH9,AD11*AD9,Z11*Z9,V11*V9,R11*R9,N11*N9,J11*J9,F11*F9)/SUM(EP9,EL9,EH9,ED9,DZ9,DV9,DR9,DN9,DJ9,DF9,DB9,CX9,CT9,CP9,CL9,CH9,CD9,BZ9,BV9,BR9,BN9,BJ9,BF9,BB9,AX9,AT9,AP9,AL9,AH9,AD9,Z9,V9,R9,N9,J9,F9),"")</f>
        <v>30</v>
      </c>
      <c r="C11" s="25">
        <f t="shared" si="79"/>
        <v>30</v>
      </c>
      <c r="D11" s="26">
        <f t="shared" si="79"/>
        <v>30</v>
      </c>
      <c r="E11" s="27">
        <f t="shared" si="3"/>
        <v>0</v>
      </c>
      <c r="F11" s="28"/>
      <c r="G11" s="25">
        <f t="shared" si="80"/>
        <v>30</v>
      </c>
      <c r="H11" s="29">
        <v>30.0</v>
      </c>
      <c r="I11" s="27">
        <f t="shared" si="5"/>
        <v>0</v>
      </c>
      <c r="J11" s="28"/>
      <c r="K11" s="25">
        <f t="shared" si="81"/>
        <v>30</v>
      </c>
      <c r="L11" s="29">
        <v>30.0</v>
      </c>
      <c r="M11" s="27">
        <f t="shared" si="7"/>
        <v>0</v>
      </c>
      <c r="N11" s="28"/>
      <c r="O11" s="25">
        <f t="shared" si="82"/>
        <v>30</v>
      </c>
      <c r="P11" s="29">
        <v>30.0</v>
      </c>
      <c r="Q11" s="27">
        <f t="shared" si="9"/>
        <v>0</v>
      </c>
      <c r="R11" s="28"/>
      <c r="S11" s="25">
        <f t="shared" si="83"/>
        <v>30</v>
      </c>
      <c r="T11" s="29">
        <v>30.0</v>
      </c>
      <c r="U11" s="27">
        <f t="shared" si="11"/>
        <v>0</v>
      </c>
      <c r="V11" s="28"/>
      <c r="W11" s="25">
        <f t="shared" si="84"/>
        <v>30</v>
      </c>
      <c r="X11" s="29">
        <v>30.0</v>
      </c>
      <c r="Y11" s="27">
        <f t="shared" si="13"/>
        <v>0</v>
      </c>
      <c r="Z11" s="28"/>
      <c r="AA11" s="25">
        <f t="shared" si="85"/>
        <v>30</v>
      </c>
      <c r="AB11" s="29">
        <v>30.0</v>
      </c>
      <c r="AC11" s="27">
        <f t="shared" si="15"/>
        <v>0</v>
      </c>
      <c r="AD11" s="28"/>
      <c r="AE11" s="25">
        <f t="shared" si="86"/>
        <v>30</v>
      </c>
      <c r="AF11" s="29">
        <v>30.0</v>
      </c>
      <c r="AG11" s="27">
        <f t="shared" si="17"/>
        <v>0</v>
      </c>
      <c r="AH11" s="28"/>
      <c r="AI11" s="25">
        <f t="shared" si="87"/>
        <v>30</v>
      </c>
      <c r="AJ11" s="29">
        <v>30.0</v>
      </c>
      <c r="AK11" s="27">
        <f t="shared" si="19"/>
        <v>0</v>
      </c>
      <c r="AL11" s="28"/>
      <c r="AM11" s="25">
        <f t="shared" si="88"/>
        <v>30</v>
      </c>
      <c r="AN11" s="29">
        <v>30.0</v>
      </c>
      <c r="AO11" s="27">
        <f t="shared" si="21"/>
        <v>0</v>
      </c>
      <c r="AP11" s="28"/>
      <c r="AQ11" s="25">
        <f t="shared" si="89"/>
        <v>30</v>
      </c>
      <c r="AR11" s="29">
        <v>30.0</v>
      </c>
      <c r="AS11" s="27">
        <f t="shared" si="23"/>
        <v>0</v>
      </c>
      <c r="AT11" s="28"/>
      <c r="AU11" s="25">
        <f t="shared" si="90"/>
        <v>30</v>
      </c>
      <c r="AV11" s="29">
        <v>30.0</v>
      </c>
      <c r="AW11" s="27">
        <f t="shared" si="25"/>
        <v>0</v>
      </c>
      <c r="AX11" s="28"/>
      <c r="AY11" s="25">
        <f t="shared" si="91"/>
        <v>30</v>
      </c>
      <c r="AZ11" s="29">
        <v>30.0</v>
      </c>
      <c r="BA11" s="27">
        <f t="shared" si="27"/>
        <v>0</v>
      </c>
      <c r="BB11" s="28"/>
      <c r="BC11" s="25">
        <f t="shared" si="92"/>
        <v>30</v>
      </c>
      <c r="BD11" s="29">
        <v>30.0</v>
      </c>
      <c r="BE11" s="27">
        <f t="shared" si="29"/>
        <v>0</v>
      </c>
      <c r="BF11" s="28"/>
      <c r="BG11" s="25">
        <f t="shared" si="93"/>
        <v>30</v>
      </c>
      <c r="BH11" s="29">
        <v>30.0</v>
      </c>
      <c r="BI11" s="27">
        <f t="shared" si="31"/>
        <v>0</v>
      </c>
      <c r="BJ11" s="28"/>
      <c r="BK11" s="25">
        <f t="shared" si="94"/>
        <v>30</v>
      </c>
      <c r="BL11" s="29">
        <v>30.0</v>
      </c>
      <c r="BM11" s="27">
        <f t="shared" si="33"/>
        <v>0</v>
      </c>
      <c r="BN11" s="28"/>
      <c r="BO11" s="25">
        <f t="shared" si="95"/>
        <v>30</v>
      </c>
      <c r="BP11" s="29">
        <v>30.0</v>
      </c>
      <c r="BQ11" s="27">
        <f t="shared" si="35"/>
        <v>0</v>
      </c>
      <c r="BR11" s="28"/>
      <c r="BS11" s="25">
        <f t="shared" si="96"/>
        <v>30</v>
      </c>
      <c r="BT11" s="29">
        <v>30.0</v>
      </c>
      <c r="BU11" s="27">
        <f t="shared" si="37"/>
        <v>0</v>
      </c>
      <c r="BV11" s="28"/>
      <c r="BW11" s="25">
        <f t="shared" si="97"/>
        <v>30</v>
      </c>
      <c r="BX11" s="29">
        <v>30.0</v>
      </c>
      <c r="BY11" s="27">
        <f t="shared" si="39"/>
        <v>0</v>
      </c>
      <c r="BZ11" s="28"/>
      <c r="CA11" s="25">
        <f t="shared" si="98"/>
        <v>30</v>
      </c>
      <c r="CB11" s="29">
        <v>30.0</v>
      </c>
      <c r="CC11" s="27">
        <f t="shared" si="41"/>
        <v>0</v>
      </c>
      <c r="CD11" s="28"/>
      <c r="CE11" s="25">
        <f t="shared" si="99"/>
        <v>30</v>
      </c>
      <c r="CF11" s="29">
        <v>30.0</v>
      </c>
      <c r="CG11" s="27">
        <f t="shared" si="43"/>
        <v>0</v>
      </c>
      <c r="CH11" s="28"/>
      <c r="CI11" s="25">
        <f t="shared" si="100"/>
        <v>30</v>
      </c>
      <c r="CJ11" s="29">
        <v>30.0</v>
      </c>
      <c r="CK11" s="27">
        <f t="shared" si="45"/>
        <v>0</v>
      </c>
      <c r="CL11" s="28"/>
      <c r="CM11" s="25">
        <f t="shared" si="101"/>
        <v>30</v>
      </c>
      <c r="CN11" s="29">
        <v>30.0</v>
      </c>
      <c r="CO11" s="27">
        <f t="shared" si="47"/>
        <v>0</v>
      </c>
      <c r="CP11" s="28"/>
      <c r="CQ11" s="25">
        <f t="shared" si="102"/>
        <v>30</v>
      </c>
      <c r="CR11" s="29">
        <v>30.0</v>
      </c>
      <c r="CS11" s="27">
        <f t="shared" si="49"/>
        <v>0</v>
      </c>
      <c r="CT11" s="28"/>
      <c r="CU11" s="25">
        <f t="shared" si="103"/>
        <v>30</v>
      </c>
      <c r="CV11" s="29">
        <v>30.0</v>
      </c>
      <c r="CW11" s="27">
        <f t="shared" si="51"/>
        <v>0</v>
      </c>
      <c r="CX11" s="28"/>
      <c r="CY11" s="25">
        <f t="shared" si="104"/>
        <v>30</v>
      </c>
      <c r="CZ11" s="29">
        <v>30.0</v>
      </c>
      <c r="DA11" s="27">
        <f t="shared" si="53"/>
        <v>0</v>
      </c>
      <c r="DB11" s="28"/>
      <c r="DC11" s="25">
        <f t="shared" si="105"/>
        <v>30</v>
      </c>
      <c r="DD11" s="29">
        <v>30.0</v>
      </c>
      <c r="DE11" s="27">
        <f t="shared" si="55"/>
        <v>0</v>
      </c>
      <c r="DF11" s="28"/>
      <c r="DG11" s="25">
        <f t="shared" si="106"/>
        <v>30</v>
      </c>
      <c r="DH11" s="29">
        <v>30.0</v>
      </c>
      <c r="DI11" s="27">
        <f t="shared" si="57"/>
        <v>0</v>
      </c>
      <c r="DJ11" s="28"/>
      <c r="DK11" s="25">
        <f t="shared" si="107"/>
        <v>30</v>
      </c>
      <c r="DL11" s="29">
        <v>30.0</v>
      </c>
      <c r="DM11" s="27">
        <f t="shared" si="59"/>
        <v>0</v>
      </c>
      <c r="DN11" s="28"/>
      <c r="DO11" s="25">
        <f t="shared" si="108"/>
        <v>30</v>
      </c>
      <c r="DP11" s="29">
        <v>30.0</v>
      </c>
      <c r="DQ11" s="27">
        <f t="shared" si="61"/>
        <v>0</v>
      </c>
      <c r="DR11" s="28"/>
      <c r="DS11" s="25">
        <f t="shared" si="109"/>
        <v>30</v>
      </c>
      <c r="DT11" s="29">
        <v>30.0</v>
      </c>
      <c r="DU11" s="27">
        <f t="shared" si="63"/>
        <v>0</v>
      </c>
      <c r="DV11" s="28"/>
      <c r="DW11" s="25">
        <f t="shared" si="110"/>
        <v>30</v>
      </c>
      <c r="DX11" s="29">
        <v>30.0</v>
      </c>
      <c r="DY11" s="27">
        <f t="shared" si="65"/>
        <v>0</v>
      </c>
      <c r="DZ11" s="28"/>
      <c r="EA11" s="25">
        <f t="shared" si="111"/>
        <v>30</v>
      </c>
      <c r="EB11" s="29">
        <v>30.0</v>
      </c>
      <c r="EC11" s="27">
        <f t="shared" si="67"/>
        <v>0</v>
      </c>
      <c r="ED11" s="28"/>
      <c r="EE11" s="25">
        <f t="shared" si="112"/>
        <v>30</v>
      </c>
      <c r="EF11" s="29">
        <v>30.0</v>
      </c>
      <c r="EG11" s="27">
        <f t="shared" si="69"/>
        <v>0</v>
      </c>
      <c r="EH11" s="28"/>
      <c r="EI11" s="25">
        <f t="shared" si="113"/>
        <v>30</v>
      </c>
      <c r="EJ11" s="29">
        <v>30.0</v>
      </c>
      <c r="EK11" s="27">
        <f t="shared" si="71"/>
        <v>0</v>
      </c>
      <c r="EL11" s="28">
        <v>30.0</v>
      </c>
      <c r="EM11" s="25">
        <f t="shared" si="114"/>
        <v>30</v>
      </c>
      <c r="EN11" s="29">
        <v>30.0</v>
      </c>
      <c r="EO11" s="27">
        <f t="shared" si="73"/>
        <v>0</v>
      </c>
      <c r="EP11" s="28">
        <v>30.0</v>
      </c>
      <c r="EQ11" s="25">
        <f t="shared" si="115"/>
        <v>30</v>
      </c>
      <c r="ER11" s="29">
        <v>30.0</v>
      </c>
      <c r="ES11" s="27">
        <f t="shared" si="75"/>
        <v>0</v>
      </c>
    </row>
    <row r="12" ht="18.0" customHeight="1">
      <c r="A12" s="2" t="s">
        <v>14</v>
      </c>
      <c r="B12" s="13">
        <f t="shared" ref="B12:D12" si="116">SUM(EP12,EL12,EH12,ED12,DZ12,DV12,DR12,DN12,DJ12,DF12,DB12,CX12,CT12,CP12,CL12,CH12,CD12,BZ12,BV12,BR12,BN12,BJ12,BF12,BB12,AX12,AT12,AP12,AL12,AH12,AD12,Z12,V12,R12,N12,J12,F12)</f>
        <v>15</v>
      </c>
      <c r="C12" s="14">
        <f t="shared" si="116"/>
        <v>506</v>
      </c>
      <c r="D12" s="15">
        <f t="shared" si="116"/>
        <v>513</v>
      </c>
      <c r="E12" s="16">
        <f t="shared" si="3"/>
        <v>-7</v>
      </c>
      <c r="F12" s="17"/>
      <c r="G12" s="14">
        <f>IF(F$98=1,F12,ROUND(SUM(IF(AND(EQ$9&lt;&gt;"",EQ$11&lt;&gt;""),IF(EOMONTH($EP$3+INT((DAY(EOMONTH($EP$3,0))-1)/2)+EQ$11,0)=EOMONTH($F$3,0),EQ$9*EQ$10,0),0),IF(AND(EM$9&lt;&gt;"",EM$11&lt;&gt;""),IF(EOMONTH($EL$3+INT((DAY(EOMONTH($EL$3,0))-1)/2)+EM$11,0)=EOMONTH($F$3,0),EM$9*EM$10,0),0),IF(AND(EI$9&lt;&gt;"",EI$11&lt;&gt;""),IF(EOMONTH($EH$3+INT((DAY(EOMONTH($EH$3,0))-1)/2)+EI$11,0)=EOMONTH($F$3,0),EI$9*EI$10,0),0),IF(AND(EE$9&lt;&gt;"",EE$11&lt;&gt;""),IF(EOMONTH($ED$3+INT((DAY(EOMONTH($ED$3,0))-1)/2)+EE$11,0)=EOMONTH($F$3,0),EE$9*EE$10,0),0),IF(AND(EA$9&lt;&gt;"",EA$11&lt;&gt;""),IF(EOMONTH($DZ$3+INT((DAY(EOMONTH($DZ$3,0))-1)/2)+EA$11,0)=EOMONTH($F$3,0),EA$9*EA$10,0),0),IF(AND(DW$9&lt;&gt;"",DW$11&lt;&gt;""),IF(EOMONTH($DV$3+INT((DAY(EOMONTH($DV$3,0))-1)/2)+DW$11,0)=EOMONTH($F$3,0),DW$9*DW$10,0),0),IF(AND(DS$9&lt;&gt;"",DS$11&lt;&gt;""),IF(EOMONTH($DR$3+INT((DAY(EOMONTH($DR$3,0))-1)/2)+DS$11,0)=EOMONTH($F$3,0),DS$9*DS$10,0),0),IF(AND(DO$9&lt;&gt;"",DO$11&lt;&gt;""),IF(EOMONTH($DN$3+INT((DAY(EOMONTH($DN$3,0))-1)/2)+DO$11,0)=EOMONTH($F$3,0),DO$9*DO$10,0),0),IF(AND(DK$9&lt;&gt;"",DK$11&lt;&gt;""),IF(EOMONTH($DJ$3+INT((DAY(EOMONTH($DJ$3,0))-1)/2)+DK$11,0)=EOMONTH($F$3,0),DK$9*DK$10,0),0),IF(AND(DG$9&lt;&gt;"",DG$11&lt;&gt;""),IF(EOMONTH($DF$3+INT((DAY(EOMONTH($DF$3,0))-1)/2)+DG$11,0)=EOMONTH($F$3,0),DG$9*DG$10,0),0),IF(AND(DC$9&lt;&gt;"",DC$11&lt;&gt;""),IF(EOMONTH($DB$3+INT((DAY(EOMONTH($DB$3,0))-1)/2)+DC$11,0)=EOMONTH($F$3,0),DC$9*DC$10,0),0),IF(AND(CY$9&lt;&gt;"",CY$11&lt;&gt;""),IF(EOMONTH($CX$3+INT((DAY(EOMONTH($CX$3,0))-1)/2)+CY$11,0)=EOMONTH($F$3,0),CY$9*CY$10,0),0),IF(AND(CU$9&lt;&gt;"",CU$11&lt;&gt;""),IF(EOMONTH($CT$3+INT((DAY(EOMONTH($CT$3,0))-1)/2)+CU$11,0)=EOMONTH($F$3,0),CU$9*CU$10,0),0),IF(AND(CQ$9&lt;&gt;"",CQ$11&lt;&gt;""),IF(EOMONTH($CP$3+INT((DAY(EOMONTH($CP$3,0))-1)/2)+CQ$11,0)=EOMONTH($F$3,0),CQ$9*CQ$10,0),0),IF(AND(CM$9&lt;&gt;"",CM$11&lt;&gt;""),IF(EOMONTH($CL$3+INT((DAY(EOMONTH($CL$3,0))-1)/2)+CM$11,0)=EOMONTH($F$3,0),CM$9*CM$10,0),0),IF(AND(CI$9&lt;&gt;"",CI$11&lt;&gt;""),IF(EOMONTH($CH$3+INT((DAY(EOMONTH($CH$3,0))-1)/2)+CI$11,0)=EOMONTH($F$3,0),CI$9*CI$10,0),0),IF(AND(CE$9&lt;&gt;"",CE$11&lt;&gt;""),IF(EOMONTH($CD$3+INT((DAY(EOMONTH($CD$3,0))-1)/2)+CE$11,0)=EOMONTH($F$3,0),CE$9*CE$10,0),0),IF(AND(CA$9&lt;&gt;"",CA$11&lt;&gt;""),IF(EOMONTH($BZ$3+INT((DAY(EOMONTH($BZ$3,0))-1)/2)+CA$11,0)=EOMONTH($F$3,0),CA$9*CA$10,0),0),IF(AND(BW$9&lt;&gt;"",BW$11&lt;&gt;""),IF(EOMONTH($BV$3+INT((DAY(EOMONTH($BV$3,0))-1)/2)+BW$11,0)=EOMONTH($F$3,0),BW$9*BW$10,0),0),IF(AND(BS$9&lt;&gt;"",BS$11&lt;&gt;""),IF(EOMONTH($BR$3+INT((DAY(EOMONTH($BR$3,0))-1)/2)+BS$11,0)=EOMONTH($F$3,0),BS$9*BS$10,0),0),IF(AND(BO$9&lt;&gt;"",BO$11&lt;&gt;""),IF(EOMONTH($BN$3+INT((DAY(EOMONTH($BN$3,0))-1)/2)+BO$11,0)=EOMONTH($F$3,0),BO$9*BO$10,0),0),IF(AND(BK$9&lt;&gt;"",BK$11&lt;&gt;""),IF(EOMONTH($BJ$3+INT((DAY(EOMONTH($BJ$3,0))-1)/2)+BK$11,0)=EOMONTH($F$3,0),BK$9*BK$10,0),0),IF(AND(BG$9&lt;&gt;"",BG$11&lt;&gt;""),IF(EOMONTH($BF$3+INT((DAY(EOMONTH($BF$3,0))-1)/2)+BG$11,0)=EOMONTH($F$3,0),BG$9*BG$10,0),0),IF(AND(BC$9&lt;&gt;"",BC$11&lt;&gt;""),IF(EOMONTH($BB$3+INT((DAY(EOMONTH($BB$3,0))-1)/2)+BC$11,0)=EOMONTH($F$3,0),BC$9*BC$10,0),0),IF(AND(AY$9&lt;&gt;"",AY$11&lt;&gt;""),IF(EOMONTH($AX$3+INT((DAY(EOMONTH($AX$3,0))-1)/2)+AY$11,0)=EOMONTH($F$3,0),AY$9*AY$10,0),0),IF(AND(AU$9&lt;&gt;"",AU$11&lt;&gt;""),IF(EOMONTH($AT$3+INT((DAY(EOMONTH($AT$3,0))-1)/2)+AU$11,0)=EOMONTH($F$3,0),AU$9*AU$10,0),0),IF(AND(AQ$9&lt;&gt;"",AQ$11&lt;&gt;""),IF(EOMONTH($AP$3+INT((DAY(EOMONTH($AP$3,0))-1)/2)+AQ$11,0)=EOMONTH($F$3,0),AQ$9*AQ$10,0),0),IF(AND(AM$9&lt;&gt;"",AM$11&lt;&gt;""),IF(EOMONTH($AL$3+INT((DAY(EOMONTH($AL$3,0))-1)/2)+AM$11,0)=EOMONTH($F$3,0),AM$9*AM$10,0),0),IF(AND(AI$9&lt;&gt;"",AI$11&lt;&gt;""),IF(EOMONTH($AH$3+INT((DAY(EOMONTH($AH$3,0))-1)/2)+AI$11,0)=EOMONTH($F$3,0),AI$9*AI$10,0),0),IF(AND(AE$9&lt;&gt;"",AE$11&lt;&gt;""),IF(EOMONTH($AD$3+INT((DAY(EOMONTH($AD$3,0))-1)/2)+AE$11,0)=EOMONTH($F$3,0),AE$9*AE$10,0),0),IF(AND(AA$9&lt;&gt;"",AA$11&lt;&gt;""),IF(EOMONTH($Z$3+INT((DAY(EOMONTH($Z$3,0))-1)/2)+AA$11,0)=EOMONTH($F$3,0),AA$9*AA$10,0),0),IF(AND(W$9&lt;&gt;"",W$11&lt;&gt;""),IF(EOMONTH($V$3+INT((DAY(EOMONTH($V$3,0))-1)/2)+W$11,0)=EOMONTH($F$3,0),W$9*W$10,0),0),IF(AND(S$9&lt;&gt;"",S$11&lt;&gt;""),IF(EOMONTH($R$3+INT((DAY(EOMONTH($R$3,0))-1)/2)+S$11,0)=EOMONTH($F$3,0),S$9*S$10,0),0),IF(AND(O$9&lt;&gt;"",O$11&lt;&gt;""),IF(EOMONTH($N$3+INT((DAY(EOMONTH($N$3,0))-1)/2)+O$11,0)=EOMONTH($F$3,0),O$9*O$10,0),0),IF(AND(K$9&lt;&gt;"",K$11&lt;&gt;""),IF(EOMONTH($J$3+INT((DAY(EOMONTH($J$3,0))-1)/2)+K$11,0)=EOMONTH($F$3,0),K$9*K$10,0),0),IF(AND(G$9&lt;&gt;"",G$11&lt;&gt;""),IF(EOMONTH($F$3+INT((DAY(EOMONTH($F$3,0))-1)/2)+G$11,0)=EOMONTH($F$3,0),G$9*G$10,0),0),IF($EP$75="",0,IF(EOMONTH($EP$75+EQ$11,0)=EOMONTH($F$3,0),$EP$76*EQ$10,0))),0))</f>
        <v>19</v>
      </c>
      <c r="H12" s="15">
        <f>ROUND(SUM(IF(AND(ER$9&lt;&gt;"",ER$11&lt;&gt;""),IF(EOMONTH($EP$3+INT((DAY(EOMONTH($EP$3,0))-1)/2)+ER$11,0)=EOMONTH($F$3,0),ER$9*ER$10,0),0),IF(AND(EN$9&lt;&gt;"",EN$11&lt;&gt;""),IF(EOMONTH($EL$3+INT((DAY(EOMONTH($EL$3,0))-1)/2)+EN$11,0)=EOMONTH($F$3,0),EN$9*EN$10,0),0),IF(AND(EJ$9&lt;&gt;"",EJ$11&lt;&gt;""),IF(EOMONTH($EH$3+INT((DAY(EOMONTH($EH$3,0))-1)/2)+EJ$11,0)=EOMONTH($F$3,0),EJ$9*EJ$10,0),0),IF(AND(EF$9&lt;&gt;"",EF$11&lt;&gt;""),IF(EOMONTH($ED$3+INT((DAY(EOMONTH($ED$3,0))-1)/2)+EF$11,0)=EOMONTH($F$3,0),EF$9*EF$10,0),0),IF(AND(EB$9&lt;&gt;"",EB$11&lt;&gt;""),IF(EOMONTH($DZ$3+INT((DAY(EOMONTH($DZ$3,0))-1)/2)+EB$11,0)=EOMONTH($F$3,0),EB$9*EB$10,0),0),IF(AND(DX$9&lt;&gt;"",DX$11&lt;&gt;""),IF(EOMONTH($DV$3+INT((DAY(EOMONTH($DV$3,0))-1)/2)+DX$11,0)=EOMONTH($F$3,0),DX$9*DX$10,0),0),IF(AND(DT$9&lt;&gt;"",DT$11&lt;&gt;""),IF(EOMONTH($DR$3+INT((DAY(EOMONTH($DR$3,0))-1)/2)+DT$11,0)=EOMONTH($F$3,0),DT$9*DT$10,0),0),IF(AND(DP$9&lt;&gt;"",DP$11&lt;&gt;""),IF(EOMONTH($DN$3+INT((DAY(EOMONTH($DN$3,0))-1)/2)+DP$11,0)=EOMONTH($F$3,0),DP$9*DP$10,0),0),IF(AND(DL$9&lt;&gt;"",DL$11&lt;&gt;""),IF(EOMONTH($DJ$3+INT((DAY(EOMONTH($DJ$3,0))-1)/2)+DL$11,0)=EOMONTH($F$3,0),DL$9*DL$10,0),0),IF(AND(DH$9&lt;&gt;"",DH$11&lt;&gt;""),IF(EOMONTH($DF$3+INT((DAY(EOMONTH($DF$3,0))-1)/2)+DH$11,0)=EOMONTH($F$3,0),DH$9*DH$10,0),0),IF(AND(DD$9&lt;&gt;"",DD$11&lt;&gt;""),IF(EOMONTH($DB$3+INT((DAY(EOMONTH($DB$3,0))-1)/2)+DD$11,0)=EOMONTH($F$3,0),DD$9*DD$10,0),0),IF(AND(CZ$9&lt;&gt;"",CZ$11&lt;&gt;""),IF(EOMONTH($CX$3+INT((DAY(EOMONTH($CX$3,0))-1)/2)+CZ$11,0)=EOMONTH($F$3,0),CZ$9*CZ$10,0),0),IF(AND(CV$9&lt;&gt;"",CV$11&lt;&gt;""),IF(EOMONTH($CT$3+INT((DAY(EOMONTH($CT$3,0))-1)/2)+CV$11,0)=EOMONTH($F$3,0),CV$9*CV$10,0),0),IF(AND(CR$9&lt;&gt;"",CR$11&lt;&gt;""),IF(EOMONTH($CP$3+INT((DAY(EOMONTH($CP$3,0))-1)/2)+CR$11,0)=EOMONTH($F$3,0),CR$9*CR$10,0),0),IF(AND(CN$9&lt;&gt;"",CN$11&lt;&gt;""),IF(EOMONTH($CL$3+INT((DAY(EOMONTH($CL$3,0))-1)/2)+CN$11,0)=EOMONTH($F$3,0),CN$9*CN$10,0),0),IF(AND(CJ$9&lt;&gt;"",CJ$11&lt;&gt;""),IF(EOMONTH($CH$3+INT((DAY(EOMONTH($CH$3,0))-1)/2)+CJ$11,0)=EOMONTH($F$3,0),CJ$9*CJ$10,0),0),IF(AND(CF$9&lt;&gt;"",CF$11&lt;&gt;""),IF(EOMONTH($CD$3+INT((DAY(EOMONTH($CD$3,0))-1)/2)+CF$11,0)=EOMONTH($F$3,0),CF$9*CF$10,0),0),IF(AND(CB$9&lt;&gt;"",CB$11&lt;&gt;""),IF(EOMONTH($BZ$3+INT((DAY(EOMONTH($BZ$3,0))-1)/2)+CB$11,0)=EOMONTH($F$3,0),CB$9*CB$10,0),0),IF(AND(BX$9&lt;&gt;"",BX$11&lt;&gt;""),IF(EOMONTH($BV$3+INT((DAY(EOMONTH($BV$3,0))-1)/2)+BX$11,0)=EOMONTH($F$3,0),BX$9*BX$10,0),0),IF(AND(BT$9&lt;&gt;"",BT$11&lt;&gt;""),IF(EOMONTH($BR$3+INT((DAY(EOMONTH($BR$3,0))-1)/2)+BT$11,0)=EOMONTH($F$3,0),BT$9*BT$10,0),0),IF(AND(BP$9&lt;&gt;"",BP$11&lt;&gt;""),IF(EOMONTH($BN$3+INT((DAY(EOMONTH($BN$3,0))-1)/2)+BP$11,0)=EOMONTH($F$3,0),BP$9*BP$10,0),0),IF(AND(BL$9&lt;&gt;"",BL$11&lt;&gt;""),IF(EOMONTH($BJ$3+INT((DAY(EOMONTH($BJ$3,0))-1)/2)+BL$11,0)=EOMONTH($F$3,0),BL$9*BL$10,0),0),IF(AND(BH$9&lt;&gt;"",BH$11&lt;&gt;""),IF(EOMONTH($BF$3+INT((DAY(EOMONTH($BF$3,0))-1)/2)+BH$11,0)=EOMONTH($F$3,0),BH$9*BH$10,0),0),IF(AND(BD$9&lt;&gt;"",BD$11&lt;&gt;""),IF(EOMONTH($BB$3+INT((DAY(EOMONTH($BB$3,0))-1)/2)+BD$11,0)=EOMONTH($F$3,0),BD$9*BD$10,0),0),IF(AND(AZ$9&lt;&gt;"",AZ$11&lt;&gt;""),IF(EOMONTH($AX$3+INT((DAY(EOMONTH($AX$3,0))-1)/2)+AZ$11,0)=EOMONTH($F$3,0),AZ$9*AZ$10,0),0),IF(AND(AV$9&lt;&gt;"",AV$11&lt;&gt;""),IF(EOMONTH($AT$3+INT((DAY(EOMONTH($AT$3,0))-1)/2)+AV$11,0)=EOMONTH($F$3,0),AV$9*AV$10,0),0),IF(AND(AR$9&lt;&gt;"",AR$11&lt;&gt;""),IF(EOMONTH($AP$3+INT((DAY(EOMONTH($AP$3,0))-1)/2)+AR$11,0)=EOMONTH($F$3,0),AR$9*AR$10,0),0),IF(AND(AN$9&lt;&gt;"",AN$11&lt;&gt;""),IF(EOMONTH($AL$3+INT((DAY(EOMONTH($AL$3,0))-1)/2)+AN$11,0)=EOMONTH($F$3,0),AN$9*AN$10,0),0),IF(AND(AJ$9&lt;&gt;"",AJ$11&lt;&gt;""),IF(EOMONTH($AH$3+INT((DAY(EOMONTH($AH$3,0))-1)/2)+AJ$11,0)=EOMONTH($F$3,0),AJ$9*AJ$10,0),0),IF(AND(AF$9&lt;&gt;"",AF$11&lt;&gt;""),IF(EOMONTH($AD$3+INT((DAY(EOMONTH($AD$3,0))-1)/2)+AF$11,0)=EOMONTH($F$3,0),AF$9*AF$10,0),0),IF(AND(AB$9&lt;&gt;"",AB$11&lt;&gt;""),IF(EOMONTH($Z$3+INT((DAY(EOMONTH($Z$3,0))-1)/2)+AB$11,0)=EOMONTH($F$3,0),AB$9*AB$10,0),0),IF(AND(X$9&lt;&gt;"",X$11&lt;&gt;""),IF(EOMONTH($V$3+INT((DAY(EOMONTH($V$3,0))-1)/2)+X$11,0)=EOMONTH($F$3,0),X$9*X$10,0),0),IF(AND(T$9&lt;&gt;"",T$11&lt;&gt;""),IF(EOMONTH($R$3+INT((DAY(EOMONTH($R$3,0))-1)/2)+T$11,0)=EOMONTH($F$3,0),T$9*T$10,0),0),IF(AND(P$9&lt;&gt;"",P$11&lt;&gt;""),IF(EOMONTH($N$3+INT((DAY(EOMONTH($N$3,0))-1)/2)+P$11,0)=EOMONTH($F$3,0),P$9*P$10,0),0),IF(AND(L$9&lt;&gt;"",L$11&lt;&gt;""),IF(EOMONTH($J$3+INT((DAY(EOMONTH($J$3,0))-1)/2)+L$11,0)=EOMONTH($F$3,0),L$9*L$10,0),0),IF(AND(H$9&lt;&gt;"",H$11&lt;&gt;""),IF(EOMONTH($F$3+INT((DAY(EOMONTH($F$3,0))-1)/2)+H$11,0)=EOMONTH($F$3,0),H$9*H$10,0),0),IF($EP$75="",0,IF(EOMONTH($EP$75+ER$11,0)=EOMONTH($F$3,0),$EP$76*ER$10,0))),0)</f>
        <v>19</v>
      </c>
      <c r="I12" s="16">
        <f t="shared" si="5"/>
        <v>0</v>
      </c>
      <c r="J12" s="17"/>
      <c r="K12" s="14">
        <f>IF(J$98=1,J12,ROUND(SUM(IF(AND(EQ$9&lt;&gt;"",EQ$11&lt;&gt;""),IF(EOMONTH($EP$3+INT((DAY(EOMONTH($EP$3,0))-1)/2)+EQ$11,0)=EOMONTH($J$3,0),EQ$9*EQ$10,0),0),IF(AND(EM$9&lt;&gt;"",EM$11&lt;&gt;""),IF(EOMONTH($EL$3+INT((DAY(EOMONTH($EL$3,0))-1)/2)+EM$11,0)=EOMONTH($J$3,0),EM$9*EM$10,0),0),IF(AND(EI$9&lt;&gt;"",EI$11&lt;&gt;""),IF(EOMONTH($EH$3+INT((DAY(EOMONTH($EH$3,0))-1)/2)+EI$11,0)=EOMONTH($J$3,0),EI$9*EI$10,0),0),IF(AND(EE$9&lt;&gt;"",EE$11&lt;&gt;""),IF(EOMONTH($ED$3+INT((DAY(EOMONTH($ED$3,0))-1)/2)+EE$11,0)=EOMONTH($J$3,0),EE$9*EE$10,0),0),IF(AND(EA$9&lt;&gt;"",EA$11&lt;&gt;""),IF(EOMONTH($DZ$3+INT((DAY(EOMONTH($DZ$3,0))-1)/2)+EA$11,0)=EOMONTH($J$3,0),EA$9*EA$10,0),0),IF(AND(DW$9&lt;&gt;"",DW$11&lt;&gt;""),IF(EOMONTH($DV$3+INT((DAY(EOMONTH($DV$3,0))-1)/2)+DW$11,0)=EOMONTH($J$3,0),DW$9*DW$10,0),0),IF(AND(DS$9&lt;&gt;"",DS$11&lt;&gt;""),IF(EOMONTH($DR$3+INT((DAY(EOMONTH($DR$3,0))-1)/2)+DS$11,0)=EOMONTH($J$3,0),DS$9*DS$10,0),0),IF(AND(DO$9&lt;&gt;"",DO$11&lt;&gt;""),IF(EOMONTH($DN$3+INT((DAY(EOMONTH($DN$3,0))-1)/2)+DO$11,0)=EOMONTH($J$3,0),DO$9*DO$10,0),0),IF(AND(DK$9&lt;&gt;"",DK$11&lt;&gt;""),IF(EOMONTH($DJ$3+INT((DAY(EOMONTH($DJ$3,0))-1)/2)+DK$11,0)=EOMONTH($J$3,0),DK$9*DK$10,0),0),IF(AND(DG$9&lt;&gt;"",DG$11&lt;&gt;""),IF(EOMONTH($DF$3+INT((DAY(EOMONTH($DF$3,0))-1)/2)+DG$11,0)=EOMONTH($J$3,0),DG$9*DG$10,0),0),IF(AND(DC$9&lt;&gt;"",DC$11&lt;&gt;""),IF(EOMONTH($DB$3+INT((DAY(EOMONTH($DB$3,0))-1)/2)+DC$11,0)=EOMONTH($J$3,0),DC$9*DC$10,0),0),IF(AND(CY$9&lt;&gt;"",CY$11&lt;&gt;""),IF(EOMONTH($CX$3+INT((DAY(EOMONTH($CX$3,0))-1)/2)+CY$11,0)=EOMONTH($J$3,0),CY$9*CY$10,0),0),IF(AND(CU$9&lt;&gt;"",CU$11&lt;&gt;""),IF(EOMONTH($CT$3+INT((DAY(EOMONTH($CT$3,0))-1)/2)+CU$11,0)=EOMONTH($J$3,0),CU$9*CU$10,0),0),IF(AND(CQ$9&lt;&gt;"",CQ$11&lt;&gt;""),IF(EOMONTH($CP$3+INT((DAY(EOMONTH($CP$3,0))-1)/2)+CQ$11,0)=EOMONTH($J$3,0),CQ$9*CQ$10,0),0),IF(AND(CM$9&lt;&gt;"",CM$11&lt;&gt;""),IF(EOMONTH($CL$3+INT((DAY(EOMONTH($CL$3,0))-1)/2)+CM$11,0)=EOMONTH($J$3,0),CM$9*CM$10,0),0),IF(AND(CI$9&lt;&gt;"",CI$11&lt;&gt;""),IF(EOMONTH($CH$3+INT((DAY(EOMONTH($CH$3,0))-1)/2)+CI$11,0)=EOMONTH($J$3,0),CI$9*CI$10,0),0),IF(AND(CE$9&lt;&gt;"",CE$11&lt;&gt;""),IF(EOMONTH($CD$3+INT((DAY(EOMONTH($CD$3,0))-1)/2)+CE$11,0)=EOMONTH($J$3,0),CE$9*CE$10,0),0),IF(AND(CA$9&lt;&gt;"",CA$11&lt;&gt;""),IF(EOMONTH($BZ$3+INT((DAY(EOMONTH($BZ$3,0))-1)/2)+CA$11,0)=EOMONTH($J$3,0),CA$9*CA$10,0),0),IF(AND(BW$9&lt;&gt;"",BW$11&lt;&gt;""),IF(EOMONTH($BV$3+INT((DAY(EOMONTH($BV$3,0))-1)/2)+BW$11,0)=EOMONTH($J$3,0),BW$9*BW$10,0),0),IF(AND(BS$9&lt;&gt;"",BS$11&lt;&gt;""),IF(EOMONTH($BR$3+INT((DAY(EOMONTH($BR$3,0))-1)/2)+BS$11,0)=EOMONTH($J$3,0),BS$9*BS$10,0),0),IF(AND(BO$9&lt;&gt;"",BO$11&lt;&gt;""),IF(EOMONTH($BN$3+INT((DAY(EOMONTH($BN$3,0))-1)/2)+BO$11,0)=EOMONTH($J$3,0),BO$9*BO$10,0),0),IF(AND(BK$9&lt;&gt;"",BK$11&lt;&gt;""),IF(EOMONTH($BJ$3+INT((DAY(EOMONTH($BJ$3,0))-1)/2)+BK$11,0)=EOMONTH($J$3,0),BK$9*BK$10,0),0),IF(AND(BG$9&lt;&gt;"",BG$11&lt;&gt;""),IF(EOMONTH($BF$3+INT((DAY(EOMONTH($BF$3,0))-1)/2)+BG$11,0)=EOMONTH($J$3,0),BG$9*BG$10,0),0),IF(AND(BC$9&lt;&gt;"",BC$11&lt;&gt;""),IF(EOMONTH($BB$3+INT((DAY(EOMONTH($BB$3,0))-1)/2)+BC$11,0)=EOMONTH($J$3,0),BC$9*BC$10,0),0),IF(AND(AY$9&lt;&gt;"",AY$11&lt;&gt;""),IF(EOMONTH($AX$3+INT((DAY(EOMONTH($AX$3,0))-1)/2)+AY$11,0)=EOMONTH($J$3,0),AY$9*AY$10,0),0),IF(AND(AU$9&lt;&gt;"",AU$11&lt;&gt;""),IF(EOMONTH($AT$3+INT((DAY(EOMONTH($AT$3,0))-1)/2)+AU$11,0)=EOMONTH($J$3,0),AU$9*AU$10,0),0),IF(AND(AQ$9&lt;&gt;"",AQ$11&lt;&gt;""),IF(EOMONTH($AP$3+INT((DAY(EOMONTH($AP$3,0))-1)/2)+AQ$11,0)=EOMONTH($J$3,0),AQ$9*AQ$10,0),0),IF(AND(AM$9&lt;&gt;"",AM$11&lt;&gt;""),IF(EOMONTH($AL$3+INT((DAY(EOMONTH($AL$3,0))-1)/2)+AM$11,0)=EOMONTH($J$3,0),AM$9*AM$10,0),0),IF(AND(AI$9&lt;&gt;"",AI$11&lt;&gt;""),IF(EOMONTH($AH$3+INT((DAY(EOMONTH($AH$3,0))-1)/2)+AI$11,0)=EOMONTH($J$3,0),AI$9*AI$10,0),0),IF(AND(AE$9&lt;&gt;"",AE$11&lt;&gt;""),IF(EOMONTH($AD$3+INT((DAY(EOMONTH($AD$3,0))-1)/2)+AE$11,0)=EOMONTH($J$3,0),AE$9*AE$10,0),0),IF(AND(AA$9&lt;&gt;"",AA$11&lt;&gt;""),IF(EOMONTH($Z$3+INT((DAY(EOMONTH($Z$3,0))-1)/2)+AA$11,0)=EOMONTH($J$3,0),AA$9*AA$10,0),0),IF(AND(W$9&lt;&gt;"",W$11&lt;&gt;""),IF(EOMONTH($V$3+INT((DAY(EOMONTH($V$3,0))-1)/2)+W$11,0)=EOMONTH($J$3,0),W$9*W$10,0),0),IF(AND(S$9&lt;&gt;"",S$11&lt;&gt;""),IF(EOMONTH($R$3+INT((DAY(EOMONTH($R$3,0))-1)/2)+S$11,0)=EOMONTH($J$3,0),S$9*S$10,0),0),IF(AND(O$9&lt;&gt;"",O$11&lt;&gt;""),IF(EOMONTH($N$3+INT((DAY(EOMONTH($N$3,0))-1)/2)+O$11,0)=EOMONTH($J$3,0),O$9*O$10,0),0),IF(AND(K$9&lt;&gt;"",K$11&lt;&gt;""),IF(EOMONTH($J$3+INT((DAY(EOMONTH($J$3,0))-1)/2)+K$11,0)=EOMONTH($J$3,0),K$9*K$10,0),0),IF(AND(G$9&lt;&gt;"",G$11&lt;&gt;""),IF(EOMONTH($F$3+INT((DAY(EOMONTH($F$3,0))-1)/2)+G$11,0)=EOMONTH($J$3,0),G$9*G$10,0),0),IF($EP$75="",0,IF(EOMONTH($EP$75+EQ$11,0)=EOMONTH($J$3,0),$EP$76*EQ$10,0))),0))</f>
        <v>18</v>
      </c>
      <c r="L12" s="15">
        <f>ROUND(SUM(IF(AND(ER$9&lt;&gt;"",ER$11&lt;&gt;""),IF(EOMONTH($EP$3+INT((DAY(EOMONTH($EP$3,0))-1)/2)+ER$11,0)=EOMONTH($J$3,0),ER$9*ER$10,0),0),IF(AND(EN$9&lt;&gt;"",EN$11&lt;&gt;""),IF(EOMONTH($EL$3+INT((DAY(EOMONTH($EL$3,0))-1)/2)+EN$11,0)=EOMONTH($J$3,0),EN$9*EN$10,0),0),IF(AND(EJ$9&lt;&gt;"",EJ$11&lt;&gt;""),IF(EOMONTH($EH$3+INT((DAY(EOMONTH($EH$3,0))-1)/2)+EJ$11,0)=EOMONTH($J$3,0),EJ$9*EJ$10,0),0),IF(AND(EF$9&lt;&gt;"",EF$11&lt;&gt;""),IF(EOMONTH($ED$3+INT((DAY(EOMONTH($ED$3,0))-1)/2)+EF$11,0)=EOMONTH($J$3,0),EF$9*EF$10,0),0),IF(AND(EB$9&lt;&gt;"",EB$11&lt;&gt;""),IF(EOMONTH($DZ$3+INT((DAY(EOMONTH($DZ$3,0))-1)/2)+EB$11,0)=EOMONTH($J$3,0),EB$9*EB$10,0),0),IF(AND(DX$9&lt;&gt;"",DX$11&lt;&gt;""),IF(EOMONTH($DV$3+INT((DAY(EOMONTH($DV$3,0))-1)/2)+DX$11,0)=EOMONTH($J$3,0),DX$9*DX$10,0),0),IF(AND(DT$9&lt;&gt;"",DT$11&lt;&gt;""),IF(EOMONTH($DR$3+INT((DAY(EOMONTH($DR$3,0))-1)/2)+DT$11,0)=EOMONTH($J$3,0),DT$9*DT$10,0),0),IF(AND(DP$9&lt;&gt;"",DP$11&lt;&gt;""),IF(EOMONTH($DN$3+INT((DAY(EOMONTH($DN$3,0))-1)/2)+DP$11,0)=EOMONTH($J$3,0),DP$9*DP$10,0),0),IF(AND(DL$9&lt;&gt;"",DL$11&lt;&gt;""),IF(EOMONTH($DJ$3+INT((DAY(EOMONTH($DJ$3,0))-1)/2)+DL$11,0)=EOMONTH($J$3,0),DL$9*DL$10,0),0),IF(AND(DH$9&lt;&gt;"",DH$11&lt;&gt;""),IF(EOMONTH($DF$3+INT((DAY(EOMONTH($DF$3,0))-1)/2)+DH$11,0)=EOMONTH($J$3,0),DH$9*DH$10,0),0),IF(AND(DD$9&lt;&gt;"",DD$11&lt;&gt;""),IF(EOMONTH($DB$3+INT((DAY(EOMONTH($DB$3,0))-1)/2)+DD$11,0)=EOMONTH($J$3,0),DD$9*DD$10,0),0),IF(AND(CZ$9&lt;&gt;"",CZ$11&lt;&gt;""),IF(EOMONTH($CX$3+INT((DAY(EOMONTH($CX$3,0))-1)/2)+CZ$11,0)=EOMONTH($J$3,0),CZ$9*CZ$10,0),0),IF(AND(CV$9&lt;&gt;"",CV$11&lt;&gt;""),IF(EOMONTH($CT$3+INT((DAY(EOMONTH($CT$3,0))-1)/2)+CV$11,0)=EOMONTH($J$3,0),CV$9*CV$10,0),0),IF(AND(CR$9&lt;&gt;"",CR$11&lt;&gt;""),IF(EOMONTH($CP$3+INT((DAY(EOMONTH($CP$3,0))-1)/2)+CR$11,0)=EOMONTH($J$3,0),CR$9*CR$10,0),0),IF(AND(CN$9&lt;&gt;"",CN$11&lt;&gt;""),IF(EOMONTH($CL$3+INT((DAY(EOMONTH($CL$3,0))-1)/2)+CN$11,0)=EOMONTH($J$3,0),CN$9*CN$10,0),0),IF(AND(CJ$9&lt;&gt;"",CJ$11&lt;&gt;""),IF(EOMONTH($CH$3+INT((DAY(EOMONTH($CH$3,0))-1)/2)+CJ$11,0)=EOMONTH($J$3,0),CJ$9*CJ$10,0),0),IF(AND(CF$9&lt;&gt;"",CF$11&lt;&gt;""),IF(EOMONTH($CD$3+INT((DAY(EOMONTH($CD$3,0))-1)/2)+CF$11,0)=EOMONTH($J$3,0),CF$9*CF$10,0),0),IF(AND(CB$9&lt;&gt;"",CB$11&lt;&gt;""),IF(EOMONTH($BZ$3+INT((DAY(EOMONTH($BZ$3,0))-1)/2)+CB$11,0)=EOMONTH($J$3,0),CB$9*CB$10,0),0),IF(AND(BX$9&lt;&gt;"",BX$11&lt;&gt;""),IF(EOMONTH($BV$3+INT((DAY(EOMONTH($BV$3,0))-1)/2)+BX$11,0)=EOMONTH($J$3,0),BX$9*BX$10,0),0),IF(AND(BT$9&lt;&gt;"",BT$11&lt;&gt;""),IF(EOMONTH($BR$3+INT((DAY(EOMONTH($BR$3,0))-1)/2)+BT$11,0)=EOMONTH($J$3,0),BT$9*BT$10,0),0),IF(AND(BP$9&lt;&gt;"",BP$11&lt;&gt;""),IF(EOMONTH($BN$3+INT((DAY(EOMONTH($BN$3,0))-1)/2)+BP$11,0)=EOMONTH($J$3,0),BP$9*BP$10,0),0),IF(AND(BL$9&lt;&gt;"",BL$11&lt;&gt;""),IF(EOMONTH($BJ$3+INT((DAY(EOMONTH($BJ$3,0))-1)/2)+BL$11,0)=EOMONTH($J$3,0),BL$9*BL$10,0),0),IF(AND(BH$9&lt;&gt;"",BH$11&lt;&gt;""),IF(EOMONTH($BF$3+INT((DAY(EOMONTH($BF$3,0))-1)/2)+BH$11,0)=EOMONTH($J$3,0),BH$9*BH$10,0),0),IF(AND(BD$9&lt;&gt;"",BD$11&lt;&gt;""),IF(EOMONTH($BB$3+INT((DAY(EOMONTH($BB$3,0))-1)/2)+BD$11,0)=EOMONTH($J$3,0),BD$9*BD$10,0),0),IF(AND(AZ$9&lt;&gt;"",AZ$11&lt;&gt;""),IF(EOMONTH($AX$3+INT((DAY(EOMONTH($AX$3,0))-1)/2)+AZ$11,0)=EOMONTH($J$3,0),AZ$9*AZ$10,0),0),IF(AND(AV$9&lt;&gt;"",AV$11&lt;&gt;""),IF(EOMONTH($AT$3+INT((DAY(EOMONTH($AT$3,0))-1)/2)+AV$11,0)=EOMONTH($J$3,0),AV$9*AV$10,0),0),IF(AND(AR$9&lt;&gt;"",AR$11&lt;&gt;""),IF(EOMONTH($AP$3+INT((DAY(EOMONTH($AP$3,0))-1)/2)+AR$11,0)=EOMONTH($J$3,0),AR$9*AR$10,0),0),IF(AND(AN$9&lt;&gt;"",AN$11&lt;&gt;""),IF(EOMONTH($AL$3+INT((DAY(EOMONTH($AL$3,0))-1)/2)+AN$11,0)=EOMONTH($J$3,0),AN$9*AN$10,0),0),IF(AND(AJ$9&lt;&gt;"",AJ$11&lt;&gt;""),IF(EOMONTH($AH$3+INT((DAY(EOMONTH($AH$3,0))-1)/2)+AJ$11,0)=EOMONTH($J$3,0),AJ$9*AJ$10,0),0),IF(AND(AF$9&lt;&gt;"",AF$11&lt;&gt;""),IF(EOMONTH($AD$3+INT((DAY(EOMONTH($AD$3,0))-1)/2)+AF$11,0)=EOMONTH($J$3,0),AF$9*AF$10,0),0),IF(AND(AB$9&lt;&gt;"",AB$11&lt;&gt;""),IF(EOMONTH($Z$3+INT((DAY(EOMONTH($Z$3,0))-1)/2)+AB$11,0)=EOMONTH($J$3,0),AB$9*AB$10,0),0),IF(AND(X$9&lt;&gt;"",X$11&lt;&gt;""),IF(EOMONTH($V$3+INT((DAY(EOMONTH($V$3,0))-1)/2)+X$11,0)=EOMONTH($J$3,0),X$9*X$10,0),0),IF(AND(T$9&lt;&gt;"",T$11&lt;&gt;""),IF(EOMONTH($R$3+INT((DAY(EOMONTH($R$3,0))-1)/2)+T$11,0)=EOMONTH($J$3,0),T$9*T$10,0),0),IF(AND(P$9&lt;&gt;"",P$11&lt;&gt;""),IF(EOMONTH($N$3+INT((DAY(EOMONTH($N$3,0))-1)/2)+P$11,0)=EOMONTH($J$3,0),P$9*P$10,0),0),IF(AND(L$9&lt;&gt;"",L$11&lt;&gt;""),IF(EOMONTH($J$3+INT((DAY(EOMONTH($J$3,0))-1)/2)+L$11,0)=EOMONTH($J$3,0),L$9*L$10,0),0),IF(AND(H$9&lt;&gt;"",H$11&lt;&gt;""),IF(EOMONTH($F$3+INT((DAY(EOMONTH($F$3,0))-1)/2)+H$11,0)=EOMONTH($J$3,0),H$9*H$10,0),0),IF($EP$75="",0,IF(EOMONTH($EP$75+ER$11,0)=EOMONTH($J$3,0),$EP$76*ER$10,0))),0)</f>
        <v>18</v>
      </c>
      <c r="M12" s="16">
        <f t="shared" si="7"/>
        <v>0</v>
      </c>
      <c r="N12" s="17"/>
      <c r="O12" s="14">
        <f>IF(N$98=1,N12,ROUND(SUM(IF(AND(EQ$9&lt;&gt;"",EQ$11&lt;&gt;""),IF(EOMONTH($EP$3+INT((DAY(EOMONTH($EP$3,0))-1)/2)+EQ$11,0)=EOMONTH($N$3,0),EQ$9*EQ$10,0),0),IF(AND(EM$9&lt;&gt;"",EM$11&lt;&gt;""),IF(EOMONTH($EL$3+INT((DAY(EOMONTH($EL$3,0))-1)/2)+EM$11,0)=EOMONTH($N$3,0),EM$9*EM$10,0),0),IF(AND(EI$9&lt;&gt;"",EI$11&lt;&gt;""),IF(EOMONTH($EH$3+INT((DAY(EOMONTH($EH$3,0))-1)/2)+EI$11,0)=EOMONTH($N$3,0),EI$9*EI$10,0),0),IF(AND(EE$9&lt;&gt;"",EE$11&lt;&gt;""),IF(EOMONTH($ED$3+INT((DAY(EOMONTH($ED$3,0))-1)/2)+EE$11,0)=EOMONTH($N$3,0),EE$9*EE$10,0),0),IF(AND(EA$9&lt;&gt;"",EA$11&lt;&gt;""),IF(EOMONTH($DZ$3+INT((DAY(EOMONTH($DZ$3,0))-1)/2)+EA$11,0)=EOMONTH($N$3,0),EA$9*EA$10,0),0),IF(AND(DW$9&lt;&gt;"",DW$11&lt;&gt;""),IF(EOMONTH($DV$3+INT((DAY(EOMONTH($DV$3,0))-1)/2)+DW$11,0)=EOMONTH($N$3,0),DW$9*DW$10,0),0),IF(AND(DS$9&lt;&gt;"",DS$11&lt;&gt;""),IF(EOMONTH($DR$3+INT((DAY(EOMONTH($DR$3,0))-1)/2)+DS$11,0)=EOMONTH($N$3,0),DS$9*DS$10,0),0),IF(AND(DO$9&lt;&gt;"",DO$11&lt;&gt;""),IF(EOMONTH($DN$3+INT((DAY(EOMONTH($DN$3,0))-1)/2)+DO$11,0)=EOMONTH($N$3,0),DO$9*DO$10,0),0),IF(AND(DK$9&lt;&gt;"",DK$11&lt;&gt;""),IF(EOMONTH($DJ$3+INT((DAY(EOMONTH($DJ$3,0))-1)/2)+DK$11,0)=EOMONTH($N$3,0),DK$9*DK$10,0),0),IF(AND(DG$9&lt;&gt;"",DG$11&lt;&gt;""),IF(EOMONTH($DF$3+INT((DAY(EOMONTH($DF$3,0))-1)/2)+DG$11,0)=EOMONTH($N$3,0),DG$9*DG$10,0),0),IF(AND(DC$9&lt;&gt;"",DC$11&lt;&gt;""),IF(EOMONTH($DB$3+INT((DAY(EOMONTH($DB$3,0))-1)/2)+DC$11,0)=EOMONTH($N$3,0),DC$9*DC$10,0),0),IF(AND(CY$9&lt;&gt;"",CY$11&lt;&gt;""),IF(EOMONTH($CX$3+INT((DAY(EOMONTH($CX$3,0))-1)/2)+CY$11,0)=EOMONTH($N$3,0),CY$9*CY$10,0),0),IF(AND(CU$9&lt;&gt;"",CU$11&lt;&gt;""),IF(EOMONTH($CT$3+INT((DAY(EOMONTH($CT$3,0))-1)/2)+CU$11,0)=EOMONTH($N$3,0),CU$9*CU$10,0),0),IF(AND(CQ$9&lt;&gt;"",CQ$11&lt;&gt;""),IF(EOMONTH($CP$3+INT((DAY(EOMONTH($CP$3,0))-1)/2)+CQ$11,0)=EOMONTH($N$3,0),CQ$9*CQ$10,0),0),IF(AND(CM$9&lt;&gt;"",CM$11&lt;&gt;""),IF(EOMONTH($CL$3+INT((DAY(EOMONTH($CL$3,0))-1)/2)+CM$11,0)=EOMONTH($N$3,0),CM$9*CM$10,0),0),IF(AND(CI$9&lt;&gt;"",CI$11&lt;&gt;""),IF(EOMONTH($CH$3+INT((DAY(EOMONTH($CH$3,0))-1)/2)+CI$11,0)=EOMONTH($N$3,0),CI$9*CI$10,0),0),IF(AND(CE$9&lt;&gt;"",CE$11&lt;&gt;""),IF(EOMONTH($CD$3+INT((DAY(EOMONTH($CD$3,0))-1)/2)+CE$11,0)=EOMONTH($N$3,0),CE$9*CE$10,0),0),IF(AND(CA$9&lt;&gt;"",CA$11&lt;&gt;""),IF(EOMONTH($BZ$3+INT((DAY(EOMONTH($BZ$3,0))-1)/2)+CA$11,0)=EOMONTH($N$3,0),CA$9*CA$10,0),0),IF(AND(BW$9&lt;&gt;"",BW$11&lt;&gt;""),IF(EOMONTH($BV$3+INT((DAY(EOMONTH($BV$3,0))-1)/2)+BW$11,0)=EOMONTH($N$3,0),BW$9*BW$10,0),0),IF(AND(BS$9&lt;&gt;"",BS$11&lt;&gt;""),IF(EOMONTH($BR$3+INT((DAY(EOMONTH($BR$3,0))-1)/2)+BS$11,0)=EOMONTH($N$3,0),BS$9*BS$10,0),0),IF(AND(BO$9&lt;&gt;"",BO$11&lt;&gt;""),IF(EOMONTH($BN$3+INT((DAY(EOMONTH($BN$3,0))-1)/2)+BO$11,0)=EOMONTH($N$3,0),BO$9*BO$10,0),0),IF(AND(BK$9&lt;&gt;"",BK$11&lt;&gt;""),IF(EOMONTH($BJ$3+INT((DAY(EOMONTH($BJ$3,0))-1)/2)+BK$11,0)=EOMONTH($N$3,0),BK$9*BK$10,0),0),IF(AND(BG$9&lt;&gt;"",BG$11&lt;&gt;""),IF(EOMONTH($BF$3+INT((DAY(EOMONTH($BF$3,0))-1)/2)+BG$11,0)=EOMONTH($N$3,0),BG$9*BG$10,0),0),IF(AND(BC$9&lt;&gt;"",BC$11&lt;&gt;""),IF(EOMONTH($BB$3+INT((DAY(EOMONTH($BB$3,0))-1)/2)+BC$11,0)=EOMONTH($N$3,0),BC$9*BC$10,0),0),IF(AND(AY$9&lt;&gt;"",AY$11&lt;&gt;""),IF(EOMONTH($AX$3+INT((DAY(EOMONTH($AX$3,0))-1)/2)+AY$11,0)=EOMONTH($N$3,0),AY$9*AY$10,0),0),IF(AND(AU$9&lt;&gt;"",AU$11&lt;&gt;""),IF(EOMONTH($AT$3+INT((DAY(EOMONTH($AT$3,0))-1)/2)+AU$11,0)=EOMONTH($N$3,0),AU$9*AU$10,0),0),IF(AND(AQ$9&lt;&gt;"",AQ$11&lt;&gt;""),IF(EOMONTH($AP$3+INT((DAY(EOMONTH($AP$3,0))-1)/2)+AQ$11,0)=EOMONTH($N$3,0),AQ$9*AQ$10,0),0),IF(AND(AM$9&lt;&gt;"",AM$11&lt;&gt;""),IF(EOMONTH($AL$3+INT((DAY(EOMONTH($AL$3,0))-1)/2)+AM$11,0)=EOMONTH($N$3,0),AM$9*AM$10,0),0),IF(AND(AI$9&lt;&gt;"",AI$11&lt;&gt;""),IF(EOMONTH($AH$3+INT((DAY(EOMONTH($AH$3,0))-1)/2)+AI$11,0)=EOMONTH($N$3,0),AI$9*AI$10,0),0),IF(AND(AE$9&lt;&gt;"",AE$11&lt;&gt;""),IF(EOMONTH($AD$3+INT((DAY(EOMONTH($AD$3,0))-1)/2)+AE$11,0)=EOMONTH($N$3,0),AE$9*AE$10,0),0),IF(AND(AA$9&lt;&gt;"",AA$11&lt;&gt;""),IF(EOMONTH($Z$3+INT((DAY(EOMONTH($Z$3,0))-1)/2)+AA$11,0)=EOMONTH($N$3,0),AA$9*AA$10,0),0),IF(AND(W$9&lt;&gt;"",W$11&lt;&gt;""),IF(EOMONTH($V$3+INT((DAY(EOMONTH($V$3,0))-1)/2)+W$11,0)=EOMONTH($N$3,0),W$9*W$10,0),0),IF(AND(S$9&lt;&gt;"",S$11&lt;&gt;""),IF(EOMONTH($R$3+INT((DAY(EOMONTH($R$3,0))-1)/2)+S$11,0)=EOMONTH($N$3,0),S$9*S$10,0),0),IF(AND(O$9&lt;&gt;"",O$11&lt;&gt;""),IF(EOMONTH($N$3+INT((DAY(EOMONTH($N$3,0))-1)/2)+O$11,0)=EOMONTH($N$3,0),O$9*O$10,0),0),IF(AND(K$9&lt;&gt;"",K$11&lt;&gt;""),IF(EOMONTH($J$3+INT((DAY(EOMONTH($J$3,0))-1)/2)+K$11,0)=EOMONTH($N$3,0),K$9*K$10,0),0),IF(AND(G$9&lt;&gt;"",G$11&lt;&gt;""),IF(EOMONTH($F$3+INT((DAY(EOMONTH($F$3,0))-1)/2)+G$11,0)=EOMONTH($N$3,0),G$9*G$10,0),0),IF($EP$75="",0,IF(EOMONTH($EP$75+EQ$11,0)=EOMONTH($N$3,0),$EP$76*EQ$10,0))),0))</f>
        <v>18</v>
      </c>
      <c r="P12" s="15">
        <f>ROUND(SUM(IF(AND(ER$9&lt;&gt;"",ER$11&lt;&gt;""),IF(EOMONTH($EP$3+INT((DAY(EOMONTH($EP$3,0))-1)/2)+ER$11,0)=EOMONTH($N$3,0),ER$9*ER$10,0),0),IF(AND(EN$9&lt;&gt;"",EN$11&lt;&gt;""),IF(EOMONTH($EL$3+INT((DAY(EOMONTH($EL$3,0))-1)/2)+EN$11,0)=EOMONTH($N$3,0),EN$9*EN$10,0),0),IF(AND(EJ$9&lt;&gt;"",EJ$11&lt;&gt;""),IF(EOMONTH($EH$3+INT((DAY(EOMONTH($EH$3,0))-1)/2)+EJ$11,0)=EOMONTH($N$3,0),EJ$9*EJ$10,0),0),IF(AND(EF$9&lt;&gt;"",EF$11&lt;&gt;""),IF(EOMONTH($ED$3+INT((DAY(EOMONTH($ED$3,0))-1)/2)+EF$11,0)=EOMONTH($N$3,0),EF$9*EF$10,0),0),IF(AND(EB$9&lt;&gt;"",EB$11&lt;&gt;""),IF(EOMONTH($DZ$3+INT((DAY(EOMONTH($DZ$3,0))-1)/2)+EB$11,0)=EOMONTH($N$3,0),EB$9*EB$10,0),0),IF(AND(DX$9&lt;&gt;"",DX$11&lt;&gt;""),IF(EOMONTH($DV$3+INT((DAY(EOMONTH($DV$3,0))-1)/2)+DX$11,0)=EOMONTH($N$3,0),DX$9*DX$10,0),0),IF(AND(DT$9&lt;&gt;"",DT$11&lt;&gt;""),IF(EOMONTH($DR$3+INT((DAY(EOMONTH($DR$3,0))-1)/2)+DT$11,0)=EOMONTH($N$3,0),DT$9*DT$10,0),0),IF(AND(DP$9&lt;&gt;"",DP$11&lt;&gt;""),IF(EOMONTH($DN$3+INT((DAY(EOMONTH($DN$3,0))-1)/2)+DP$11,0)=EOMONTH($N$3,0),DP$9*DP$10,0),0),IF(AND(DL$9&lt;&gt;"",DL$11&lt;&gt;""),IF(EOMONTH($DJ$3+INT((DAY(EOMONTH($DJ$3,0))-1)/2)+DL$11,0)=EOMONTH($N$3,0),DL$9*DL$10,0),0),IF(AND(DH$9&lt;&gt;"",DH$11&lt;&gt;""),IF(EOMONTH($DF$3+INT((DAY(EOMONTH($DF$3,0))-1)/2)+DH$11,0)=EOMONTH($N$3,0),DH$9*DH$10,0),0),IF(AND(DD$9&lt;&gt;"",DD$11&lt;&gt;""),IF(EOMONTH($DB$3+INT((DAY(EOMONTH($DB$3,0))-1)/2)+DD$11,0)=EOMONTH($N$3,0),DD$9*DD$10,0),0),IF(AND(CZ$9&lt;&gt;"",CZ$11&lt;&gt;""),IF(EOMONTH($CX$3+INT((DAY(EOMONTH($CX$3,0))-1)/2)+CZ$11,0)=EOMONTH($N$3,0),CZ$9*CZ$10,0),0),IF(AND(CV$9&lt;&gt;"",CV$11&lt;&gt;""),IF(EOMONTH($CT$3+INT((DAY(EOMONTH($CT$3,0))-1)/2)+CV$11,0)=EOMONTH($N$3,0),CV$9*CV$10,0),0),IF(AND(CR$9&lt;&gt;"",CR$11&lt;&gt;""),IF(EOMONTH($CP$3+INT((DAY(EOMONTH($CP$3,0))-1)/2)+CR$11,0)=EOMONTH($N$3,0),CR$9*CR$10,0),0),IF(AND(CN$9&lt;&gt;"",CN$11&lt;&gt;""),IF(EOMONTH($CL$3+INT((DAY(EOMONTH($CL$3,0))-1)/2)+CN$11,0)=EOMONTH($N$3,0),CN$9*CN$10,0),0),IF(AND(CJ$9&lt;&gt;"",CJ$11&lt;&gt;""),IF(EOMONTH($CH$3+INT((DAY(EOMONTH($CH$3,0))-1)/2)+CJ$11,0)=EOMONTH($N$3,0),CJ$9*CJ$10,0),0),IF(AND(CF$9&lt;&gt;"",CF$11&lt;&gt;""),IF(EOMONTH($CD$3+INT((DAY(EOMONTH($CD$3,0))-1)/2)+CF$11,0)=EOMONTH($N$3,0),CF$9*CF$10,0),0),IF(AND(CB$9&lt;&gt;"",CB$11&lt;&gt;""),IF(EOMONTH($BZ$3+INT((DAY(EOMONTH($BZ$3,0))-1)/2)+CB$11,0)=EOMONTH($N$3,0),CB$9*CB$10,0),0),IF(AND(BX$9&lt;&gt;"",BX$11&lt;&gt;""),IF(EOMONTH($BV$3+INT((DAY(EOMONTH($BV$3,0))-1)/2)+BX$11,0)=EOMONTH($N$3,0),BX$9*BX$10,0),0),IF(AND(BT$9&lt;&gt;"",BT$11&lt;&gt;""),IF(EOMONTH($BR$3+INT((DAY(EOMONTH($BR$3,0))-1)/2)+BT$11,0)=EOMONTH($N$3,0),BT$9*BT$10,0),0),IF(AND(BP$9&lt;&gt;"",BP$11&lt;&gt;""),IF(EOMONTH($BN$3+INT((DAY(EOMONTH($BN$3,0))-1)/2)+BP$11,0)=EOMONTH($N$3,0),BP$9*BP$10,0),0),IF(AND(BL$9&lt;&gt;"",BL$11&lt;&gt;""),IF(EOMONTH($BJ$3+INT((DAY(EOMONTH($BJ$3,0))-1)/2)+BL$11,0)=EOMONTH($N$3,0),BL$9*BL$10,0),0),IF(AND(BH$9&lt;&gt;"",BH$11&lt;&gt;""),IF(EOMONTH($BF$3+INT((DAY(EOMONTH($BF$3,0))-1)/2)+BH$11,0)=EOMONTH($N$3,0),BH$9*BH$10,0),0),IF(AND(BD$9&lt;&gt;"",BD$11&lt;&gt;""),IF(EOMONTH($BB$3+INT((DAY(EOMONTH($BB$3,0))-1)/2)+BD$11,0)=EOMONTH($N$3,0),BD$9*BD$10,0),0),IF(AND(AZ$9&lt;&gt;"",AZ$11&lt;&gt;""),IF(EOMONTH($AX$3+INT((DAY(EOMONTH($AX$3,0))-1)/2)+AZ$11,0)=EOMONTH($N$3,0),AZ$9*AZ$10,0),0),IF(AND(AV$9&lt;&gt;"",AV$11&lt;&gt;""),IF(EOMONTH($AT$3+INT((DAY(EOMONTH($AT$3,0))-1)/2)+AV$11,0)=EOMONTH($N$3,0),AV$9*AV$10,0),0),IF(AND(AR$9&lt;&gt;"",AR$11&lt;&gt;""),IF(EOMONTH($AP$3+INT((DAY(EOMONTH($AP$3,0))-1)/2)+AR$11,0)=EOMONTH($N$3,0),AR$9*AR$10,0),0),IF(AND(AN$9&lt;&gt;"",AN$11&lt;&gt;""),IF(EOMONTH($AL$3+INT((DAY(EOMONTH($AL$3,0))-1)/2)+AN$11,0)=EOMONTH($N$3,0),AN$9*AN$10,0),0),IF(AND(AJ$9&lt;&gt;"",AJ$11&lt;&gt;""),IF(EOMONTH($AH$3+INT((DAY(EOMONTH($AH$3,0))-1)/2)+AJ$11,0)=EOMONTH($N$3,0),AJ$9*AJ$10,0),0),IF(AND(AF$9&lt;&gt;"",AF$11&lt;&gt;""),IF(EOMONTH($AD$3+INT((DAY(EOMONTH($AD$3,0))-1)/2)+AF$11,0)=EOMONTH($N$3,0),AF$9*AF$10,0),0),IF(AND(AB$9&lt;&gt;"",AB$11&lt;&gt;""),IF(EOMONTH($Z$3+INT((DAY(EOMONTH($Z$3,0))-1)/2)+AB$11,0)=EOMONTH($N$3,0),AB$9*AB$10,0),0),IF(AND(X$9&lt;&gt;"",X$11&lt;&gt;""),IF(EOMONTH($V$3+INT((DAY(EOMONTH($V$3,0))-1)/2)+X$11,0)=EOMONTH($N$3,0),X$9*X$10,0),0),IF(AND(T$9&lt;&gt;"",T$11&lt;&gt;""),IF(EOMONTH($R$3+INT((DAY(EOMONTH($R$3,0))-1)/2)+T$11,0)=EOMONTH($N$3,0),T$9*T$10,0),0),IF(AND(P$9&lt;&gt;"",P$11&lt;&gt;""),IF(EOMONTH($N$3+INT((DAY(EOMONTH($N$3,0))-1)/2)+P$11,0)=EOMONTH($N$3,0),P$9*P$10,0),0),IF(AND(L$9&lt;&gt;"",L$11&lt;&gt;""),IF(EOMONTH($J$3+INT((DAY(EOMONTH($J$3,0))-1)/2)+L$11,0)=EOMONTH($N$3,0),L$9*L$10,0),0),IF(AND(H$9&lt;&gt;"",H$11&lt;&gt;""),IF(EOMONTH($F$3+INT((DAY(EOMONTH($F$3,0))-1)/2)+H$11,0)=EOMONTH($N$3,0),H$9*H$10,0),0),IF($EP$75="",0,IF(EOMONTH($EP$75+ER$11,0)=EOMONTH($N$3,0),$EP$76*ER$10,0))),0)</f>
        <v>18</v>
      </c>
      <c r="Q12" s="16">
        <f t="shared" si="9"/>
        <v>0</v>
      </c>
      <c r="R12" s="17"/>
      <c r="S12" s="14">
        <f>IF(R$98=1,R12,ROUND(SUM(IF(AND(EQ$9&lt;&gt;"",EQ$11&lt;&gt;""),IF(EOMONTH($EP$3+INT((DAY(EOMONTH($EP$3,0))-1)/2)+EQ$11,0)=EOMONTH($R$3,0),EQ$9*EQ$10,0),0),IF(AND(EM$9&lt;&gt;"",EM$11&lt;&gt;""),IF(EOMONTH($EL$3+INT((DAY(EOMONTH($EL$3,0))-1)/2)+EM$11,0)=EOMONTH($R$3,0),EM$9*EM$10,0),0),IF(AND(EI$9&lt;&gt;"",EI$11&lt;&gt;""),IF(EOMONTH($EH$3+INT((DAY(EOMONTH($EH$3,0))-1)/2)+EI$11,0)=EOMONTH($R$3,0),EI$9*EI$10,0),0),IF(AND(EE$9&lt;&gt;"",EE$11&lt;&gt;""),IF(EOMONTH($ED$3+INT((DAY(EOMONTH($ED$3,0))-1)/2)+EE$11,0)=EOMONTH($R$3,0),EE$9*EE$10,0),0),IF(AND(EA$9&lt;&gt;"",EA$11&lt;&gt;""),IF(EOMONTH($DZ$3+INT((DAY(EOMONTH($DZ$3,0))-1)/2)+EA$11,0)=EOMONTH($R$3,0),EA$9*EA$10,0),0),IF(AND(DW$9&lt;&gt;"",DW$11&lt;&gt;""),IF(EOMONTH($DV$3+INT((DAY(EOMONTH($DV$3,0))-1)/2)+DW$11,0)=EOMONTH($R$3,0),DW$9*DW$10,0),0),IF(AND(DS$9&lt;&gt;"",DS$11&lt;&gt;""),IF(EOMONTH($DR$3+INT((DAY(EOMONTH($DR$3,0))-1)/2)+DS$11,0)=EOMONTH($R$3,0),DS$9*DS$10,0),0),IF(AND(DO$9&lt;&gt;"",DO$11&lt;&gt;""),IF(EOMONTH($DN$3+INT((DAY(EOMONTH($DN$3,0))-1)/2)+DO$11,0)=EOMONTH($R$3,0),DO$9*DO$10,0),0),IF(AND(DK$9&lt;&gt;"",DK$11&lt;&gt;""),IF(EOMONTH($DJ$3+INT((DAY(EOMONTH($DJ$3,0))-1)/2)+DK$11,0)=EOMONTH($R$3,0),DK$9*DK$10,0),0),IF(AND(DG$9&lt;&gt;"",DG$11&lt;&gt;""),IF(EOMONTH($DF$3+INT((DAY(EOMONTH($DF$3,0))-1)/2)+DG$11,0)=EOMONTH($R$3,0),DG$9*DG$10,0),0),IF(AND(DC$9&lt;&gt;"",DC$11&lt;&gt;""),IF(EOMONTH($DB$3+INT((DAY(EOMONTH($DB$3,0))-1)/2)+DC$11,0)=EOMONTH($R$3,0),DC$9*DC$10,0),0),IF(AND(CY$9&lt;&gt;"",CY$11&lt;&gt;""),IF(EOMONTH($CX$3+INT((DAY(EOMONTH($CX$3,0))-1)/2)+CY$11,0)=EOMONTH($R$3,0),CY$9*CY$10,0),0),IF(AND(CU$9&lt;&gt;"",CU$11&lt;&gt;""),IF(EOMONTH($CT$3+INT((DAY(EOMONTH($CT$3,0))-1)/2)+CU$11,0)=EOMONTH($R$3,0),CU$9*CU$10,0),0),IF(AND(CQ$9&lt;&gt;"",CQ$11&lt;&gt;""),IF(EOMONTH($CP$3+INT((DAY(EOMONTH($CP$3,0))-1)/2)+CQ$11,0)=EOMONTH($R$3,0),CQ$9*CQ$10,0),0),IF(AND(CM$9&lt;&gt;"",CM$11&lt;&gt;""),IF(EOMONTH($CL$3+INT((DAY(EOMONTH($CL$3,0))-1)/2)+CM$11,0)=EOMONTH($R$3,0),CM$9*CM$10,0),0),IF(AND(CI$9&lt;&gt;"",CI$11&lt;&gt;""),IF(EOMONTH($CH$3+INT((DAY(EOMONTH($CH$3,0))-1)/2)+CI$11,0)=EOMONTH($R$3,0),CI$9*CI$10,0),0),IF(AND(CE$9&lt;&gt;"",CE$11&lt;&gt;""),IF(EOMONTH($CD$3+INT((DAY(EOMONTH($CD$3,0))-1)/2)+CE$11,0)=EOMONTH($R$3,0),CE$9*CE$10,0),0),IF(AND(CA$9&lt;&gt;"",CA$11&lt;&gt;""),IF(EOMONTH($BZ$3+INT((DAY(EOMONTH($BZ$3,0))-1)/2)+CA$11,0)=EOMONTH($R$3,0),CA$9*CA$10,0),0),IF(AND(BW$9&lt;&gt;"",BW$11&lt;&gt;""),IF(EOMONTH($BV$3+INT((DAY(EOMONTH($BV$3,0))-1)/2)+BW$11,0)=EOMONTH($R$3,0),BW$9*BW$10,0),0),IF(AND(BS$9&lt;&gt;"",BS$11&lt;&gt;""),IF(EOMONTH($BR$3+INT((DAY(EOMONTH($BR$3,0))-1)/2)+BS$11,0)=EOMONTH($R$3,0),BS$9*BS$10,0),0),IF(AND(BO$9&lt;&gt;"",BO$11&lt;&gt;""),IF(EOMONTH($BN$3+INT((DAY(EOMONTH($BN$3,0))-1)/2)+BO$11,0)=EOMONTH($R$3,0),BO$9*BO$10,0),0),IF(AND(BK$9&lt;&gt;"",BK$11&lt;&gt;""),IF(EOMONTH($BJ$3+INT((DAY(EOMONTH($BJ$3,0))-1)/2)+BK$11,0)=EOMONTH($R$3,0),BK$9*BK$10,0),0),IF(AND(BG$9&lt;&gt;"",BG$11&lt;&gt;""),IF(EOMONTH($BF$3+INT((DAY(EOMONTH($BF$3,0))-1)/2)+BG$11,0)=EOMONTH($R$3,0),BG$9*BG$10,0),0),IF(AND(BC$9&lt;&gt;"",BC$11&lt;&gt;""),IF(EOMONTH($BB$3+INT((DAY(EOMONTH($BB$3,0))-1)/2)+BC$11,0)=EOMONTH($R$3,0),BC$9*BC$10,0),0),IF(AND(AY$9&lt;&gt;"",AY$11&lt;&gt;""),IF(EOMONTH($AX$3+INT((DAY(EOMONTH($AX$3,0))-1)/2)+AY$11,0)=EOMONTH($R$3,0),AY$9*AY$10,0),0),IF(AND(AU$9&lt;&gt;"",AU$11&lt;&gt;""),IF(EOMONTH($AT$3+INT((DAY(EOMONTH($AT$3,0))-1)/2)+AU$11,0)=EOMONTH($R$3,0),AU$9*AU$10,0),0),IF(AND(AQ$9&lt;&gt;"",AQ$11&lt;&gt;""),IF(EOMONTH($AP$3+INT((DAY(EOMONTH($AP$3,0))-1)/2)+AQ$11,0)=EOMONTH($R$3,0),AQ$9*AQ$10,0),0),IF(AND(AM$9&lt;&gt;"",AM$11&lt;&gt;""),IF(EOMONTH($AL$3+INT((DAY(EOMONTH($AL$3,0))-1)/2)+AM$11,0)=EOMONTH($R$3,0),AM$9*AM$10,0),0),IF(AND(AI$9&lt;&gt;"",AI$11&lt;&gt;""),IF(EOMONTH($AH$3+INT((DAY(EOMONTH($AH$3,0))-1)/2)+AI$11,0)=EOMONTH($R$3,0),AI$9*AI$10,0),0),IF(AND(AE$9&lt;&gt;"",AE$11&lt;&gt;""),IF(EOMONTH($AD$3+INT((DAY(EOMONTH($AD$3,0))-1)/2)+AE$11,0)=EOMONTH($R$3,0),AE$9*AE$10,0),0),IF(AND(AA$9&lt;&gt;"",AA$11&lt;&gt;""),IF(EOMONTH($Z$3+INT((DAY(EOMONTH($Z$3,0))-1)/2)+AA$11,0)=EOMONTH($R$3,0),AA$9*AA$10,0),0),IF(AND(W$9&lt;&gt;"",W$11&lt;&gt;""),IF(EOMONTH($V$3+INT((DAY(EOMONTH($V$3,0))-1)/2)+W$11,0)=EOMONTH($R$3,0),W$9*W$10,0),0),IF(AND(S$9&lt;&gt;"",S$11&lt;&gt;""),IF(EOMONTH($R$3+INT((DAY(EOMONTH($R$3,0))-1)/2)+S$11,0)=EOMONTH($R$3,0),S$9*S$10,0),0),IF(AND(O$9&lt;&gt;"",O$11&lt;&gt;""),IF(EOMONTH($N$3+INT((DAY(EOMONTH($N$3,0))-1)/2)+O$11,0)=EOMONTH($R$3,0),O$9*O$10,0),0),IF(AND(K$9&lt;&gt;"",K$11&lt;&gt;""),IF(EOMONTH($J$3+INT((DAY(EOMONTH($J$3,0))-1)/2)+K$11,0)=EOMONTH($R$3,0),K$9*K$10,0),0),IF(AND(G$9&lt;&gt;"",G$11&lt;&gt;""),IF(EOMONTH($F$3+INT((DAY(EOMONTH($F$3,0))-1)/2)+G$11,0)=EOMONTH($R$3,0),G$9*G$10,0),0),IF($EP$75="",0,IF(EOMONTH($EP$75+EQ$11,0)=EOMONTH($R$3,0),$EP$76*EQ$10,0))),0))</f>
        <v>18</v>
      </c>
      <c r="T12" s="15">
        <f>ROUND(SUM(IF(AND(ER$9&lt;&gt;"",ER$11&lt;&gt;""),IF(EOMONTH($EP$3+INT((DAY(EOMONTH($EP$3,0))-1)/2)+ER$11,0)=EOMONTH($R$3,0),ER$9*ER$10,0),0),IF(AND(EN$9&lt;&gt;"",EN$11&lt;&gt;""),IF(EOMONTH($EL$3+INT((DAY(EOMONTH($EL$3,0))-1)/2)+EN$11,0)=EOMONTH($R$3,0),EN$9*EN$10,0),0),IF(AND(EJ$9&lt;&gt;"",EJ$11&lt;&gt;""),IF(EOMONTH($EH$3+INT((DAY(EOMONTH($EH$3,0))-1)/2)+EJ$11,0)=EOMONTH($R$3,0),EJ$9*EJ$10,0),0),IF(AND(EF$9&lt;&gt;"",EF$11&lt;&gt;""),IF(EOMONTH($ED$3+INT((DAY(EOMONTH($ED$3,0))-1)/2)+EF$11,0)=EOMONTH($R$3,0),EF$9*EF$10,0),0),IF(AND(EB$9&lt;&gt;"",EB$11&lt;&gt;""),IF(EOMONTH($DZ$3+INT((DAY(EOMONTH($DZ$3,0))-1)/2)+EB$11,0)=EOMONTH($R$3,0),EB$9*EB$10,0),0),IF(AND(DX$9&lt;&gt;"",DX$11&lt;&gt;""),IF(EOMONTH($DV$3+INT((DAY(EOMONTH($DV$3,0))-1)/2)+DX$11,0)=EOMONTH($R$3,0),DX$9*DX$10,0),0),IF(AND(DT$9&lt;&gt;"",DT$11&lt;&gt;""),IF(EOMONTH($DR$3+INT((DAY(EOMONTH($DR$3,0))-1)/2)+DT$11,0)=EOMONTH($R$3,0),DT$9*DT$10,0),0),IF(AND(DP$9&lt;&gt;"",DP$11&lt;&gt;""),IF(EOMONTH($DN$3+INT((DAY(EOMONTH($DN$3,0))-1)/2)+DP$11,0)=EOMONTH($R$3,0),DP$9*DP$10,0),0),IF(AND(DL$9&lt;&gt;"",DL$11&lt;&gt;""),IF(EOMONTH($DJ$3+INT((DAY(EOMONTH($DJ$3,0))-1)/2)+DL$11,0)=EOMONTH($R$3,0),DL$9*DL$10,0),0),IF(AND(DH$9&lt;&gt;"",DH$11&lt;&gt;""),IF(EOMONTH($DF$3+INT((DAY(EOMONTH($DF$3,0))-1)/2)+DH$11,0)=EOMONTH($R$3,0),DH$9*DH$10,0),0),IF(AND(DD$9&lt;&gt;"",DD$11&lt;&gt;""),IF(EOMONTH($DB$3+INT((DAY(EOMONTH($DB$3,0))-1)/2)+DD$11,0)=EOMONTH($R$3,0),DD$9*DD$10,0),0),IF(AND(CZ$9&lt;&gt;"",CZ$11&lt;&gt;""),IF(EOMONTH($CX$3+INT((DAY(EOMONTH($CX$3,0))-1)/2)+CZ$11,0)=EOMONTH($R$3,0),CZ$9*CZ$10,0),0),IF(AND(CV$9&lt;&gt;"",CV$11&lt;&gt;""),IF(EOMONTH($CT$3+INT((DAY(EOMONTH($CT$3,0))-1)/2)+CV$11,0)=EOMONTH($R$3,0),CV$9*CV$10,0),0),IF(AND(CR$9&lt;&gt;"",CR$11&lt;&gt;""),IF(EOMONTH($CP$3+INT((DAY(EOMONTH($CP$3,0))-1)/2)+CR$11,0)=EOMONTH($R$3,0),CR$9*CR$10,0),0),IF(AND(CN$9&lt;&gt;"",CN$11&lt;&gt;""),IF(EOMONTH($CL$3+INT((DAY(EOMONTH($CL$3,0))-1)/2)+CN$11,0)=EOMONTH($R$3,0),CN$9*CN$10,0),0),IF(AND(CJ$9&lt;&gt;"",CJ$11&lt;&gt;""),IF(EOMONTH($CH$3+INT((DAY(EOMONTH($CH$3,0))-1)/2)+CJ$11,0)=EOMONTH($R$3,0),CJ$9*CJ$10,0),0),IF(AND(CF$9&lt;&gt;"",CF$11&lt;&gt;""),IF(EOMONTH($CD$3+INT((DAY(EOMONTH($CD$3,0))-1)/2)+CF$11,0)=EOMONTH($R$3,0),CF$9*CF$10,0),0),IF(AND(CB$9&lt;&gt;"",CB$11&lt;&gt;""),IF(EOMONTH($BZ$3+INT((DAY(EOMONTH($BZ$3,0))-1)/2)+CB$11,0)=EOMONTH($R$3,0),CB$9*CB$10,0),0),IF(AND(BX$9&lt;&gt;"",BX$11&lt;&gt;""),IF(EOMONTH($BV$3+INT((DAY(EOMONTH($BV$3,0))-1)/2)+BX$11,0)=EOMONTH($R$3,0),BX$9*BX$10,0),0),IF(AND(BT$9&lt;&gt;"",BT$11&lt;&gt;""),IF(EOMONTH($BR$3+INT((DAY(EOMONTH($BR$3,0))-1)/2)+BT$11,0)=EOMONTH($R$3,0),BT$9*BT$10,0),0),IF(AND(BP$9&lt;&gt;"",BP$11&lt;&gt;""),IF(EOMONTH($BN$3+INT((DAY(EOMONTH($BN$3,0))-1)/2)+BP$11,0)=EOMONTH($R$3,0),BP$9*BP$10,0),0),IF(AND(BL$9&lt;&gt;"",BL$11&lt;&gt;""),IF(EOMONTH($BJ$3+INT((DAY(EOMONTH($BJ$3,0))-1)/2)+BL$11,0)=EOMONTH($R$3,0),BL$9*BL$10,0),0),IF(AND(BH$9&lt;&gt;"",BH$11&lt;&gt;""),IF(EOMONTH($BF$3+INT((DAY(EOMONTH($BF$3,0))-1)/2)+BH$11,0)=EOMONTH($R$3,0),BH$9*BH$10,0),0),IF(AND(BD$9&lt;&gt;"",BD$11&lt;&gt;""),IF(EOMONTH($BB$3+INT((DAY(EOMONTH($BB$3,0))-1)/2)+BD$11,0)=EOMONTH($R$3,0),BD$9*BD$10,0),0),IF(AND(AZ$9&lt;&gt;"",AZ$11&lt;&gt;""),IF(EOMONTH($AX$3+INT((DAY(EOMONTH($AX$3,0))-1)/2)+AZ$11,0)=EOMONTH($R$3,0),AZ$9*AZ$10,0),0),IF(AND(AV$9&lt;&gt;"",AV$11&lt;&gt;""),IF(EOMONTH($AT$3+INT((DAY(EOMONTH($AT$3,0))-1)/2)+AV$11,0)=EOMONTH($R$3,0),AV$9*AV$10,0),0),IF(AND(AR$9&lt;&gt;"",AR$11&lt;&gt;""),IF(EOMONTH($AP$3+INT((DAY(EOMONTH($AP$3,0))-1)/2)+AR$11,0)=EOMONTH($R$3,0),AR$9*AR$10,0),0),IF(AND(AN$9&lt;&gt;"",AN$11&lt;&gt;""),IF(EOMONTH($AL$3+INT((DAY(EOMONTH($AL$3,0))-1)/2)+AN$11,0)=EOMONTH($R$3,0),AN$9*AN$10,0),0),IF(AND(AJ$9&lt;&gt;"",AJ$11&lt;&gt;""),IF(EOMONTH($AH$3+INT((DAY(EOMONTH($AH$3,0))-1)/2)+AJ$11,0)=EOMONTH($R$3,0),AJ$9*AJ$10,0),0),IF(AND(AF$9&lt;&gt;"",AF$11&lt;&gt;""),IF(EOMONTH($AD$3+INT((DAY(EOMONTH($AD$3,0))-1)/2)+AF$11,0)=EOMONTH($R$3,0),AF$9*AF$10,0),0),IF(AND(AB$9&lt;&gt;"",AB$11&lt;&gt;""),IF(EOMONTH($Z$3+INT((DAY(EOMONTH($Z$3,0))-1)/2)+AB$11,0)=EOMONTH($R$3,0),AB$9*AB$10,0),0),IF(AND(X$9&lt;&gt;"",X$11&lt;&gt;""),IF(EOMONTH($V$3+INT((DAY(EOMONTH($V$3,0))-1)/2)+X$11,0)=EOMONTH($R$3,0),X$9*X$10,0),0),IF(AND(T$9&lt;&gt;"",T$11&lt;&gt;""),IF(EOMONTH($R$3+INT((DAY(EOMONTH($R$3,0))-1)/2)+T$11,0)=EOMONTH($R$3,0),T$9*T$10,0),0),IF(AND(P$9&lt;&gt;"",P$11&lt;&gt;""),IF(EOMONTH($N$3+INT((DAY(EOMONTH($N$3,0))-1)/2)+P$11,0)=EOMONTH($R$3,0),P$9*P$10,0),0),IF(AND(L$9&lt;&gt;"",L$11&lt;&gt;""),IF(EOMONTH($J$3+INT((DAY(EOMONTH($J$3,0))-1)/2)+L$11,0)=EOMONTH($R$3,0),L$9*L$10,0),0),IF(AND(H$9&lt;&gt;"",H$11&lt;&gt;""),IF(EOMONTH($F$3+INT((DAY(EOMONTH($F$3,0))-1)/2)+H$11,0)=EOMONTH($R$3,0),H$9*H$10,0),0),IF($EP$75="",0,IF(EOMONTH($EP$75+ER$11,0)=EOMONTH($R$3,0),$EP$76*ER$10,0))),0)</f>
        <v>18</v>
      </c>
      <c r="U12" s="16">
        <f t="shared" si="11"/>
        <v>0</v>
      </c>
      <c r="V12" s="17"/>
      <c r="W12" s="14">
        <f>IF(V$98=1,V12,ROUND(SUM(IF(AND(EQ$9&lt;&gt;"",EQ$11&lt;&gt;""),IF(EOMONTH($EP$3+INT((DAY(EOMONTH($EP$3,0))-1)/2)+EQ$11,0)=EOMONTH($V$3,0),EQ$9*EQ$10,0),0),IF(AND(EM$9&lt;&gt;"",EM$11&lt;&gt;""),IF(EOMONTH($EL$3+INT((DAY(EOMONTH($EL$3,0))-1)/2)+EM$11,0)=EOMONTH($V$3,0),EM$9*EM$10,0),0),IF(AND(EI$9&lt;&gt;"",EI$11&lt;&gt;""),IF(EOMONTH($EH$3+INT((DAY(EOMONTH($EH$3,0))-1)/2)+EI$11,0)=EOMONTH($V$3,0),EI$9*EI$10,0),0),IF(AND(EE$9&lt;&gt;"",EE$11&lt;&gt;""),IF(EOMONTH($ED$3+INT((DAY(EOMONTH($ED$3,0))-1)/2)+EE$11,0)=EOMONTH($V$3,0),EE$9*EE$10,0),0),IF(AND(EA$9&lt;&gt;"",EA$11&lt;&gt;""),IF(EOMONTH($DZ$3+INT((DAY(EOMONTH($DZ$3,0))-1)/2)+EA$11,0)=EOMONTH($V$3,0),EA$9*EA$10,0),0),IF(AND(DW$9&lt;&gt;"",DW$11&lt;&gt;""),IF(EOMONTH($DV$3+INT((DAY(EOMONTH($DV$3,0))-1)/2)+DW$11,0)=EOMONTH($V$3,0),DW$9*DW$10,0),0),IF(AND(DS$9&lt;&gt;"",DS$11&lt;&gt;""),IF(EOMONTH($DR$3+INT((DAY(EOMONTH($DR$3,0))-1)/2)+DS$11,0)=EOMONTH($V$3,0),DS$9*DS$10,0),0),IF(AND(DO$9&lt;&gt;"",DO$11&lt;&gt;""),IF(EOMONTH($DN$3+INT((DAY(EOMONTH($DN$3,0))-1)/2)+DO$11,0)=EOMONTH($V$3,0),DO$9*DO$10,0),0),IF(AND(DK$9&lt;&gt;"",DK$11&lt;&gt;""),IF(EOMONTH($DJ$3+INT((DAY(EOMONTH($DJ$3,0))-1)/2)+DK$11,0)=EOMONTH($V$3,0),DK$9*DK$10,0),0),IF(AND(DG$9&lt;&gt;"",DG$11&lt;&gt;""),IF(EOMONTH($DF$3+INT((DAY(EOMONTH($DF$3,0))-1)/2)+DG$11,0)=EOMONTH($V$3,0),DG$9*DG$10,0),0),IF(AND(DC$9&lt;&gt;"",DC$11&lt;&gt;""),IF(EOMONTH($DB$3+INT((DAY(EOMONTH($DB$3,0))-1)/2)+DC$11,0)=EOMONTH($V$3,0),DC$9*DC$10,0),0),IF(AND(CY$9&lt;&gt;"",CY$11&lt;&gt;""),IF(EOMONTH($CX$3+INT((DAY(EOMONTH($CX$3,0))-1)/2)+CY$11,0)=EOMONTH($V$3,0),CY$9*CY$10,0),0),IF(AND(CU$9&lt;&gt;"",CU$11&lt;&gt;""),IF(EOMONTH($CT$3+INT((DAY(EOMONTH($CT$3,0))-1)/2)+CU$11,0)=EOMONTH($V$3,0),CU$9*CU$10,0),0),IF(AND(CQ$9&lt;&gt;"",CQ$11&lt;&gt;""),IF(EOMONTH($CP$3+INT((DAY(EOMONTH($CP$3,0))-1)/2)+CQ$11,0)=EOMONTH($V$3,0),CQ$9*CQ$10,0),0),IF(AND(CM$9&lt;&gt;"",CM$11&lt;&gt;""),IF(EOMONTH($CL$3+INT((DAY(EOMONTH($CL$3,0))-1)/2)+CM$11,0)=EOMONTH($V$3,0),CM$9*CM$10,0),0),IF(AND(CI$9&lt;&gt;"",CI$11&lt;&gt;""),IF(EOMONTH($CH$3+INT((DAY(EOMONTH($CH$3,0))-1)/2)+CI$11,0)=EOMONTH($V$3,0),CI$9*CI$10,0),0),IF(AND(CE$9&lt;&gt;"",CE$11&lt;&gt;""),IF(EOMONTH($CD$3+INT((DAY(EOMONTH($CD$3,0))-1)/2)+CE$11,0)=EOMONTH($V$3,0),CE$9*CE$10,0),0),IF(AND(CA$9&lt;&gt;"",CA$11&lt;&gt;""),IF(EOMONTH($BZ$3+INT((DAY(EOMONTH($BZ$3,0))-1)/2)+CA$11,0)=EOMONTH($V$3,0),CA$9*CA$10,0),0),IF(AND(BW$9&lt;&gt;"",BW$11&lt;&gt;""),IF(EOMONTH($BV$3+INT((DAY(EOMONTH($BV$3,0))-1)/2)+BW$11,0)=EOMONTH($V$3,0),BW$9*BW$10,0),0),IF(AND(BS$9&lt;&gt;"",BS$11&lt;&gt;""),IF(EOMONTH($BR$3+INT((DAY(EOMONTH($BR$3,0))-1)/2)+BS$11,0)=EOMONTH($V$3,0),BS$9*BS$10,0),0),IF(AND(BO$9&lt;&gt;"",BO$11&lt;&gt;""),IF(EOMONTH($BN$3+INT((DAY(EOMONTH($BN$3,0))-1)/2)+BO$11,0)=EOMONTH($V$3,0),BO$9*BO$10,0),0),IF(AND(BK$9&lt;&gt;"",BK$11&lt;&gt;""),IF(EOMONTH($BJ$3+INT((DAY(EOMONTH($BJ$3,0))-1)/2)+BK$11,0)=EOMONTH($V$3,0),BK$9*BK$10,0),0),IF(AND(BG$9&lt;&gt;"",BG$11&lt;&gt;""),IF(EOMONTH($BF$3+INT((DAY(EOMONTH($BF$3,0))-1)/2)+BG$11,0)=EOMONTH($V$3,0),BG$9*BG$10,0),0),IF(AND(BC$9&lt;&gt;"",BC$11&lt;&gt;""),IF(EOMONTH($BB$3+INT((DAY(EOMONTH($BB$3,0))-1)/2)+BC$11,0)=EOMONTH($V$3,0),BC$9*BC$10,0),0),IF(AND(AY$9&lt;&gt;"",AY$11&lt;&gt;""),IF(EOMONTH($AX$3+INT((DAY(EOMONTH($AX$3,0))-1)/2)+AY$11,0)=EOMONTH($V$3,0),AY$9*AY$10,0),0),IF(AND(AU$9&lt;&gt;"",AU$11&lt;&gt;""),IF(EOMONTH($AT$3+INT((DAY(EOMONTH($AT$3,0))-1)/2)+AU$11,0)=EOMONTH($V$3,0),AU$9*AU$10,0),0),IF(AND(AQ$9&lt;&gt;"",AQ$11&lt;&gt;""),IF(EOMONTH($AP$3+INT((DAY(EOMONTH($AP$3,0))-1)/2)+AQ$11,0)=EOMONTH($V$3,0),AQ$9*AQ$10,0),0),IF(AND(AM$9&lt;&gt;"",AM$11&lt;&gt;""),IF(EOMONTH($AL$3+INT((DAY(EOMONTH($AL$3,0))-1)/2)+AM$11,0)=EOMONTH($V$3,0),AM$9*AM$10,0),0),IF(AND(AI$9&lt;&gt;"",AI$11&lt;&gt;""),IF(EOMONTH($AH$3+INT((DAY(EOMONTH($AH$3,0))-1)/2)+AI$11,0)=EOMONTH($V$3,0),AI$9*AI$10,0),0),IF(AND(AE$9&lt;&gt;"",AE$11&lt;&gt;""),IF(EOMONTH($AD$3+INT((DAY(EOMONTH($AD$3,0))-1)/2)+AE$11,0)=EOMONTH($V$3,0),AE$9*AE$10,0),0),IF(AND(AA$9&lt;&gt;"",AA$11&lt;&gt;""),IF(EOMONTH($Z$3+INT((DAY(EOMONTH($Z$3,0))-1)/2)+AA$11,0)=EOMONTH($V$3,0),AA$9*AA$10,0),0),IF(AND(W$9&lt;&gt;"",W$11&lt;&gt;""),IF(EOMONTH($V$3+INT((DAY(EOMONTH($V$3,0))-1)/2)+W$11,0)=EOMONTH($V$3,0),W$9*W$10,0),0),IF(AND(S$9&lt;&gt;"",S$11&lt;&gt;""),IF(EOMONTH($R$3+INT((DAY(EOMONTH($R$3,0))-1)/2)+S$11,0)=EOMONTH($V$3,0),S$9*S$10,0),0),IF(AND(O$9&lt;&gt;"",O$11&lt;&gt;""),IF(EOMONTH($N$3+INT((DAY(EOMONTH($N$3,0))-1)/2)+O$11,0)=EOMONTH($V$3,0),O$9*O$10,0),0),IF(AND(K$9&lt;&gt;"",K$11&lt;&gt;""),IF(EOMONTH($J$3+INT((DAY(EOMONTH($J$3,0))-1)/2)+K$11,0)=EOMONTH($V$3,0),K$9*K$10,0),0),IF(AND(G$9&lt;&gt;"",G$11&lt;&gt;""),IF(EOMONTH($F$3+INT((DAY(EOMONTH($F$3,0))-1)/2)+G$11,0)=EOMONTH($V$3,0),G$9*G$10,0),0),IF($EP$75="",0,IF(EOMONTH($EP$75+EQ$11,0)=EOMONTH($V$3,0),$EP$76*EQ$10,0))),0))</f>
        <v>18</v>
      </c>
      <c r="X12" s="15">
        <f>ROUND(SUM(IF(AND(ER$9&lt;&gt;"",ER$11&lt;&gt;""),IF(EOMONTH($EP$3+INT((DAY(EOMONTH($EP$3,0))-1)/2)+ER$11,0)=EOMONTH($V$3,0),ER$9*ER$10,0),0),IF(AND(EN$9&lt;&gt;"",EN$11&lt;&gt;""),IF(EOMONTH($EL$3+INT((DAY(EOMONTH($EL$3,0))-1)/2)+EN$11,0)=EOMONTH($V$3,0),EN$9*EN$10,0),0),IF(AND(EJ$9&lt;&gt;"",EJ$11&lt;&gt;""),IF(EOMONTH($EH$3+INT((DAY(EOMONTH($EH$3,0))-1)/2)+EJ$11,0)=EOMONTH($V$3,0),EJ$9*EJ$10,0),0),IF(AND(EF$9&lt;&gt;"",EF$11&lt;&gt;""),IF(EOMONTH($ED$3+INT((DAY(EOMONTH($ED$3,0))-1)/2)+EF$11,0)=EOMONTH($V$3,0),EF$9*EF$10,0),0),IF(AND(EB$9&lt;&gt;"",EB$11&lt;&gt;""),IF(EOMONTH($DZ$3+INT((DAY(EOMONTH($DZ$3,0))-1)/2)+EB$11,0)=EOMONTH($V$3,0),EB$9*EB$10,0),0),IF(AND(DX$9&lt;&gt;"",DX$11&lt;&gt;""),IF(EOMONTH($DV$3+INT((DAY(EOMONTH($DV$3,0))-1)/2)+DX$11,0)=EOMONTH($V$3,0),DX$9*DX$10,0),0),IF(AND(DT$9&lt;&gt;"",DT$11&lt;&gt;""),IF(EOMONTH($DR$3+INT((DAY(EOMONTH($DR$3,0))-1)/2)+DT$11,0)=EOMONTH($V$3,0),DT$9*DT$10,0),0),IF(AND(DP$9&lt;&gt;"",DP$11&lt;&gt;""),IF(EOMONTH($DN$3+INT((DAY(EOMONTH($DN$3,0))-1)/2)+DP$11,0)=EOMONTH($V$3,0),DP$9*DP$10,0),0),IF(AND(DL$9&lt;&gt;"",DL$11&lt;&gt;""),IF(EOMONTH($DJ$3+INT((DAY(EOMONTH($DJ$3,0))-1)/2)+DL$11,0)=EOMONTH($V$3,0),DL$9*DL$10,0),0),IF(AND(DH$9&lt;&gt;"",DH$11&lt;&gt;""),IF(EOMONTH($DF$3+INT((DAY(EOMONTH($DF$3,0))-1)/2)+DH$11,0)=EOMONTH($V$3,0),DH$9*DH$10,0),0),IF(AND(DD$9&lt;&gt;"",DD$11&lt;&gt;""),IF(EOMONTH($DB$3+INT((DAY(EOMONTH($DB$3,0))-1)/2)+DD$11,0)=EOMONTH($V$3,0),DD$9*DD$10,0),0),IF(AND(CZ$9&lt;&gt;"",CZ$11&lt;&gt;""),IF(EOMONTH($CX$3+INT((DAY(EOMONTH($CX$3,0))-1)/2)+CZ$11,0)=EOMONTH($V$3,0),CZ$9*CZ$10,0),0),IF(AND(CV$9&lt;&gt;"",CV$11&lt;&gt;""),IF(EOMONTH($CT$3+INT((DAY(EOMONTH($CT$3,0))-1)/2)+CV$11,0)=EOMONTH($V$3,0),CV$9*CV$10,0),0),IF(AND(CR$9&lt;&gt;"",CR$11&lt;&gt;""),IF(EOMONTH($CP$3+INT((DAY(EOMONTH($CP$3,0))-1)/2)+CR$11,0)=EOMONTH($V$3,0),CR$9*CR$10,0),0),IF(AND(CN$9&lt;&gt;"",CN$11&lt;&gt;""),IF(EOMONTH($CL$3+INT((DAY(EOMONTH($CL$3,0))-1)/2)+CN$11,0)=EOMONTH($V$3,0),CN$9*CN$10,0),0),IF(AND(CJ$9&lt;&gt;"",CJ$11&lt;&gt;""),IF(EOMONTH($CH$3+INT((DAY(EOMONTH($CH$3,0))-1)/2)+CJ$11,0)=EOMONTH($V$3,0),CJ$9*CJ$10,0),0),IF(AND(CF$9&lt;&gt;"",CF$11&lt;&gt;""),IF(EOMONTH($CD$3+INT((DAY(EOMONTH($CD$3,0))-1)/2)+CF$11,0)=EOMONTH($V$3,0),CF$9*CF$10,0),0),IF(AND(CB$9&lt;&gt;"",CB$11&lt;&gt;""),IF(EOMONTH($BZ$3+INT((DAY(EOMONTH($BZ$3,0))-1)/2)+CB$11,0)=EOMONTH($V$3,0),CB$9*CB$10,0),0),IF(AND(BX$9&lt;&gt;"",BX$11&lt;&gt;""),IF(EOMONTH($BV$3+INT((DAY(EOMONTH($BV$3,0))-1)/2)+BX$11,0)=EOMONTH($V$3,0),BX$9*BX$10,0),0),IF(AND(BT$9&lt;&gt;"",BT$11&lt;&gt;""),IF(EOMONTH($BR$3+INT((DAY(EOMONTH($BR$3,0))-1)/2)+BT$11,0)=EOMONTH($V$3,0),BT$9*BT$10,0),0),IF(AND(BP$9&lt;&gt;"",BP$11&lt;&gt;""),IF(EOMONTH($BN$3+INT((DAY(EOMONTH($BN$3,0))-1)/2)+BP$11,0)=EOMONTH($V$3,0),BP$9*BP$10,0),0),IF(AND(BL$9&lt;&gt;"",BL$11&lt;&gt;""),IF(EOMONTH($BJ$3+INT((DAY(EOMONTH($BJ$3,0))-1)/2)+BL$11,0)=EOMONTH($V$3,0),BL$9*BL$10,0),0),IF(AND(BH$9&lt;&gt;"",BH$11&lt;&gt;""),IF(EOMONTH($BF$3+INT((DAY(EOMONTH($BF$3,0))-1)/2)+BH$11,0)=EOMONTH($V$3,0),BH$9*BH$10,0),0),IF(AND(BD$9&lt;&gt;"",BD$11&lt;&gt;""),IF(EOMONTH($BB$3+INT((DAY(EOMONTH($BB$3,0))-1)/2)+BD$11,0)=EOMONTH($V$3,0),BD$9*BD$10,0),0),IF(AND(AZ$9&lt;&gt;"",AZ$11&lt;&gt;""),IF(EOMONTH($AX$3+INT((DAY(EOMONTH($AX$3,0))-1)/2)+AZ$11,0)=EOMONTH($V$3,0),AZ$9*AZ$10,0),0),IF(AND(AV$9&lt;&gt;"",AV$11&lt;&gt;""),IF(EOMONTH($AT$3+INT((DAY(EOMONTH($AT$3,0))-1)/2)+AV$11,0)=EOMONTH($V$3,0),AV$9*AV$10,0),0),IF(AND(AR$9&lt;&gt;"",AR$11&lt;&gt;""),IF(EOMONTH($AP$3+INT((DAY(EOMONTH($AP$3,0))-1)/2)+AR$11,0)=EOMONTH($V$3,0),AR$9*AR$10,0),0),IF(AND(AN$9&lt;&gt;"",AN$11&lt;&gt;""),IF(EOMONTH($AL$3+INT((DAY(EOMONTH($AL$3,0))-1)/2)+AN$11,0)=EOMONTH($V$3,0),AN$9*AN$10,0),0),IF(AND(AJ$9&lt;&gt;"",AJ$11&lt;&gt;""),IF(EOMONTH($AH$3+INT((DAY(EOMONTH($AH$3,0))-1)/2)+AJ$11,0)=EOMONTH($V$3,0),AJ$9*AJ$10,0),0),IF(AND(AF$9&lt;&gt;"",AF$11&lt;&gt;""),IF(EOMONTH($AD$3+INT((DAY(EOMONTH($AD$3,0))-1)/2)+AF$11,0)=EOMONTH($V$3,0),AF$9*AF$10,0),0),IF(AND(AB$9&lt;&gt;"",AB$11&lt;&gt;""),IF(EOMONTH($Z$3+INT((DAY(EOMONTH($Z$3,0))-1)/2)+AB$11,0)=EOMONTH($V$3,0),AB$9*AB$10,0),0),IF(AND(X$9&lt;&gt;"",X$11&lt;&gt;""),IF(EOMONTH($V$3+INT((DAY(EOMONTH($V$3,0))-1)/2)+X$11,0)=EOMONTH($V$3,0),X$9*X$10,0),0),IF(AND(T$9&lt;&gt;"",T$11&lt;&gt;""),IF(EOMONTH($R$3+INT((DAY(EOMONTH($R$3,0))-1)/2)+T$11,0)=EOMONTH($V$3,0),T$9*T$10,0),0),IF(AND(P$9&lt;&gt;"",P$11&lt;&gt;""),IF(EOMONTH($N$3+INT((DAY(EOMONTH($N$3,0))-1)/2)+P$11,0)=EOMONTH($V$3,0),P$9*P$10,0),0),IF(AND(L$9&lt;&gt;"",L$11&lt;&gt;""),IF(EOMONTH($J$3+INT((DAY(EOMONTH($J$3,0))-1)/2)+L$11,0)=EOMONTH($V$3,0),L$9*L$10,0),0),IF(AND(H$9&lt;&gt;"",H$11&lt;&gt;""),IF(EOMONTH($F$3+INT((DAY(EOMONTH($F$3,0))-1)/2)+H$11,0)=EOMONTH($V$3,0),H$9*H$10,0),0),IF($EP$75="",0,IF(EOMONTH($EP$75+ER$11,0)=EOMONTH($V$3,0),$EP$76*ER$10,0))),0)</f>
        <v>18</v>
      </c>
      <c r="Y12" s="16">
        <f t="shared" si="13"/>
        <v>0</v>
      </c>
      <c r="Z12" s="17"/>
      <c r="AA12" s="14">
        <f>IF(Z$98=1,Z12,ROUND(SUM(IF(AND(EQ$9&lt;&gt;"",EQ$11&lt;&gt;""),IF(EOMONTH($EP$3+INT((DAY(EOMONTH($EP$3,0))-1)/2)+EQ$11,0)=EOMONTH($Z$3,0),EQ$9*EQ$10,0),0),IF(AND(EM$9&lt;&gt;"",EM$11&lt;&gt;""),IF(EOMONTH($EL$3+INT((DAY(EOMONTH($EL$3,0))-1)/2)+EM$11,0)=EOMONTH($Z$3,0),EM$9*EM$10,0),0),IF(AND(EI$9&lt;&gt;"",EI$11&lt;&gt;""),IF(EOMONTH($EH$3+INT((DAY(EOMONTH($EH$3,0))-1)/2)+EI$11,0)=EOMONTH($Z$3,0),EI$9*EI$10,0),0),IF(AND(EE$9&lt;&gt;"",EE$11&lt;&gt;""),IF(EOMONTH($ED$3+INT((DAY(EOMONTH($ED$3,0))-1)/2)+EE$11,0)=EOMONTH($Z$3,0),EE$9*EE$10,0),0),IF(AND(EA$9&lt;&gt;"",EA$11&lt;&gt;""),IF(EOMONTH($DZ$3+INT((DAY(EOMONTH($DZ$3,0))-1)/2)+EA$11,0)=EOMONTH($Z$3,0),EA$9*EA$10,0),0),IF(AND(DW$9&lt;&gt;"",DW$11&lt;&gt;""),IF(EOMONTH($DV$3+INT((DAY(EOMONTH($DV$3,0))-1)/2)+DW$11,0)=EOMONTH($Z$3,0),DW$9*DW$10,0),0),IF(AND(DS$9&lt;&gt;"",DS$11&lt;&gt;""),IF(EOMONTH($DR$3+INT((DAY(EOMONTH($DR$3,0))-1)/2)+DS$11,0)=EOMONTH($Z$3,0),DS$9*DS$10,0),0),IF(AND(DO$9&lt;&gt;"",DO$11&lt;&gt;""),IF(EOMONTH($DN$3+INT((DAY(EOMONTH($DN$3,0))-1)/2)+DO$11,0)=EOMONTH($Z$3,0),DO$9*DO$10,0),0),IF(AND(DK$9&lt;&gt;"",DK$11&lt;&gt;""),IF(EOMONTH($DJ$3+INT((DAY(EOMONTH($DJ$3,0))-1)/2)+DK$11,0)=EOMONTH($Z$3,0),DK$9*DK$10,0),0),IF(AND(DG$9&lt;&gt;"",DG$11&lt;&gt;""),IF(EOMONTH($DF$3+INT((DAY(EOMONTH($DF$3,0))-1)/2)+DG$11,0)=EOMONTH($Z$3,0),DG$9*DG$10,0),0),IF(AND(DC$9&lt;&gt;"",DC$11&lt;&gt;""),IF(EOMONTH($DB$3+INT((DAY(EOMONTH($DB$3,0))-1)/2)+DC$11,0)=EOMONTH($Z$3,0),DC$9*DC$10,0),0),IF(AND(CY$9&lt;&gt;"",CY$11&lt;&gt;""),IF(EOMONTH($CX$3+INT((DAY(EOMONTH($CX$3,0))-1)/2)+CY$11,0)=EOMONTH($Z$3,0),CY$9*CY$10,0),0),IF(AND(CU$9&lt;&gt;"",CU$11&lt;&gt;""),IF(EOMONTH($CT$3+INT((DAY(EOMONTH($CT$3,0))-1)/2)+CU$11,0)=EOMONTH($Z$3,0),CU$9*CU$10,0),0),IF(AND(CQ$9&lt;&gt;"",CQ$11&lt;&gt;""),IF(EOMONTH($CP$3+INT((DAY(EOMONTH($CP$3,0))-1)/2)+CQ$11,0)=EOMONTH($Z$3,0),CQ$9*CQ$10,0),0),IF(AND(CM$9&lt;&gt;"",CM$11&lt;&gt;""),IF(EOMONTH($CL$3+INT((DAY(EOMONTH($CL$3,0))-1)/2)+CM$11,0)=EOMONTH($Z$3,0),CM$9*CM$10,0),0),IF(AND(CI$9&lt;&gt;"",CI$11&lt;&gt;""),IF(EOMONTH($CH$3+INT((DAY(EOMONTH($CH$3,0))-1)/2)+CI$11,0)=EOMONTH($Z$3,0),CI$9*CI$10,0),0),IF(AND(CE$9&lt;&gt;"",CE$11&lt;&gt;""),IF(EOMONTH($CD$3+INT((DAY(EOMONTH($CD$3,0))-1)/2)+CE$11,0)=EOMONTH($Z$3,0),CE$9*CE$10,0),0),IF(AND(CA$9&lt;&gt;"",CA$11&lt;&gt;""),IF(EOMONTH($BZ$3+INT((DAY(EOMONTH($BZ$3,0))-1)/2)+CA$11,0)=EOMONTH($Z$3,0),CA$9*CA$10,0),0),IF(AND(BW$9&lt;&gt;"",BW$11&lt;&gt;""),IF(EOMONTH($BV$3+INT((DAY(EOMONTH($BV$3,0))-1)/2)+BW$11,0)=EOMONTH($Z$3,0),BW$9*BW$10,0),0),IF(AND(BS$9&lt;&gt;"",BS$11&lt;&gt;""),IF(EOMONTH($BR$3+INT((DAY(EOMONTH($BR$3,0))-1)/2)+BS$11,0)=EOMONTH($Z$3,0),BS$9*BS$10,0),0),IF(AND(BO$9&lt;&gt;"",BO$11&lt;&gt;""),IF(EOMONTH($BN$3+INT((DAY(EOMONTH($BN$3,0))-1)/2)+BO$11,0)=EOMONTH($Z$3,0),BO$9*BO$10,0),0),IF(AND(BK$9&lt;&gt;"",BK$11&lt;&gt;""),IF(EOMONTH($BJ$3+INT((DAY(EOMONTH($BJ$3,0))-1)/2)+BK$11,0)=EOMONTH($Z$3,0),BK$9*BK$10,0),0),IF(AND(BG$9&lt;&gt;"",BG$11&lt;&gt;""),IF(EOMONTH($BF$3+INT((DAY(EOMONTH($BF$3,0))-1)/2)+BG$11,0)=EOMONTH($Z$3,0),BG$9*BG$10,0),0),IF(AND(BC$9&lt;&gt;"",BC$11&lt;&gt;""),IF(EOMONTH($BB$3+INT((DAY(EOMONTH($BB$3,0))-1)/2)+BC$11,0)=EOMONTH($Z$3,0),BC$9*BC$10,0),0),IF(AND(AY$9&lt;&gt;"",AY$11&lt;&gt;""),IF(EOMONTH($AX$3+INT((DAY(EOMONTH($AX$3,0))-1)/2)+AY$11,0)=EOMONTH($Z$3,0),AY$9*AY$10,0),0),IF(AND(AU$9&lt;&gt;"",AU$11&lt;&gt;""),IF(EOMONTH($AT$3+INT((DAY(EOMONTH($AT$3,0))-1)/2)+AU$11,0)=EOMONTH($Z$3,0),AU$9*AU$10,0),0),IF(AND(AQ$9&lt;&gt;"",AQ$11&lt;&gt;""),IF(EOMONTH($AP$3+INT((DAY(EOMONTH($AP$3,0))-1)/2)+AQ$11,0)=EOMONTH($Z$3,0),AQ$9*AQ$10,0),0),IF(AND(AM$9&lt;&gt;"",AM$11&lt;&gt;""),IF(EOMONTH($AL$3+INT((DAY(EOMONTH($AL$3,0))-1)/2)+AM$11,0)=EOMONTH($Z$3,0),AM$9*AM$10,0),0),IF(AND(AI$9&lt;&gt;"",AI$11&lt;&gt;""),IF(EOMONTH($AH$3+INT((DAY(EOMONTH($AH$3,0))-1)/2)+AI$11,0)=EOMONTH($Z$3,0),AI$9*AI$10,0),0),IF(AND(AE$9&lt;&gt;"",AE$11&lt;&gt;""),IF(EOMONTH($AD$3+INT((DAY(EOMONTH($AD$3,0))-1)/2)+AE$11,0)=EOMONTH($Z$3,0),AE$9*AE$10,0),0),IF(AND(AA$9&lt;&gt;"",AA$11&lt;&gt;""),IF(EOMONTH($Z$3+INT((DAY(EOMONTH($Z$3,0))-1)/2)+AA$11,0)=EOMONTH($Z$3,0),AA$9*AA$10,0),0),IF(AND(W$9&lt;&gt;"",W$11&lt;&gt;""),IF(EOMONTH($V$3+INT((DAY(EOMONTH($V$3,0))-1)/2)+W$11,0)=EOMONTH($Z$3,0),W$9*W$10,0),0),IF(AND(S$9&lt;&gt;"",S$11&lt;&gt;""),IF(EOMONTH($R$3+INT((DAY(EOMONTH($R$3,0))-1)/2)+S$11,0)=EOMONTH($Z$3,0),S$9*S$10,0),0),IF(AND(O$9&lt;&gt;"",O$11&lt;&gt;""),IF(EOMONTH($N$3+INT((DAY(EOMONTH($N$3,0))-1)/2)+O$11,0)=EOMONTH($Z$3,0),O$9*O$10,0),0),IF(AND(K$9&lt;&gt;"",K$11&lt;&gt;""),IF(EOMONTH($J$3+INT((DAY(EOMONTH($J$3,0))-1)/2)+K$11,0)=EOMONTH($Z$3,0),K$9*K$10,0),0),IF(AND(G$9&lt;&gt;"",G$11&lt;&gt;""),IF(EOMONTH($F$3+INT((DAY(EOMONTH($F$3,0))-1)/2)+G$11,0)=EOMONTH($Z$3,0),G$9*G$10,0),0),IF($EP$75="",0,IF(EOMONTH($EP$75+EQ$11,0)=EOMONTH($Z$3,0),$EP$76*EQ$10,0))),0))</f>
        <v>17</v>
      </c>
      <c r="AB12" s="15">
        <f>ROUND(SUM(IF(AND(ER$9&lt;&gt;"",ER$11&lt;&gt;""),IF(EOMONTH($EP$3+INT((DAY(EOMONTH($EP$3,0))-1)/2)+ER$11,0)=EOMONTH($Z$3,0),ER$9*ER$10,0),0),IF(AND(EN$9&lt;&gt;"",EN$11&lt;&gt;""),IF(EOMONTH($EL$3+INT((DAY(EOMONTH($EL$3,0))-1)/2)+EN$11,0)=EOMONTH($Z$3,0),EN$9*EN$10,0),0),IF(AND(EJ$9&lt;&gt;"",EJ$11&lt;&gt;""),IF(EOMONTH($EH$3+INT((DAY(EOMONTH($EH$3,0))-1)/2)+EJ$11,0)=EOMONTH($Z$3,0),EJ$9*EJ$10,0),0),IF(AND(EF$9&lt;&gt;"",EF$11&lt;&gt;""),IF(EOMONTH($ED$3+INT((DAY(EOMONTH($ED$3,0))-1)/2)+EF$11,0)=EOMONTH($Z$3,0),EF$9*EF$10,0),0),IF(AND(EB$9&lt;&gt;"",EB$11&lt;&gt;""),IF(EOMONTH($DZ$3+INT((DAY(EOMONTH($DZ$3,0))-1)/2)+EB$11,0)=EOMONTH($Z$3,0),EB$9*EB$10,0),0),IF(AND(DX$9&lt;&gt;"",DX$11&lt;&gt;""),IF(EOMONTH($DV$3+INT((DAY(EOMONTH($DV$3,0))-1)/2)+DX$11,0)=EOMONTH($Z$3,0),DX$9*DX$10,0),0),IF(AND(DT$9&lt;&gt;"",DT$11&lt;&gt;""),IF(EOMONTH($DR$3+INT((DAY(EOMONTH($DR$3,0))-1)/2)+DT$11,0)=EOMONTH($Z$3,0),DT$9*DT$10,0),0),IF(AND(DP$9&lt;&gt;"",DP$11&lt;&gt;""),IF(EOMONTH($DN$3+INT((DAY(EOMONTH($DN$3,0))-1)/2)+DP$11,0)=EOMONTH($Z$3,0),DP$9*DP$10,0),0),IF(AND(DL$9&lt;&gt;"",DL$11&lt;&gt;""),IF(EOMONTH($DJ$3+INT((DAY(EOMONTH($DJ$3,0))-1)/2)+DL$11,0)=EOMONTH($Z$3,0),DL$9*DL$10,0),0),IF(AND(DH$9&lt;&gt;"",DH$11&lt;&gt;""),IF(EOMONTH($DF$3+INT((DAY(EOMONTH($DF$3,0))-1)/2)+DH$11,0)=EOMONTH($Z$3,0),DH$9*DH$10,0),0),IF(AND(DD$9&lt;&gt;"",DD$11&lt;&gt;""),IF(EOMONTH($DB$3+INT((DAY(EOMONTH($DB$3,0))-1)/2)+DD$11,0)=EOMONTH($Z$3,0),DD$9*DD$10,0),0),IF(AND(CZ$9&lt;&gt;"",CZ$11&lt;&gt;""),IF(EOMONTH($CX$3+INT((DAY(EOMONTH($CX$3,0))-1)/2)+CZ$11,0)=EOMONTH($Z$3,0),CZ$9*CZ$10,0),0),IF(AND(CV$9&lt;&gt;"",CV$11&lt;&gt;""),IF(EOMONTH($CT$3+INT((DAY(EOMONTH($CT$3,0))-1)/2)+CV$11,0)=EOMONTH($Z$3,0),CV$9*CV$10,0),0),IF(AND(CR$9&lt;&gt;"",CR$11&lt;&gt;""),IF(EOMONTH($CP$3+INT((DAY(EOMONTH($CP$3,0))-1)/2)+CR$11,0)=EOMONTH($Z$3,0),CR$9*CR$10,0),0),IF(AND(CN$9&lt;&gt;"",CN$11&lt;&gt;""),IF(EOMONTH($CL$3+INT((DAY(EOMONTH($CL$3,0))-1)/2)+CN$11,0)=EOMONTH($Z$3,0),CN$9*CN$10,0),0),IF(AND(CJ$9&lt;&gt;"",CJ$11&lt;&gt;""),IF(EOMONTH($CH$3+INT((DAY(EOMONTH($CH$3,0))-1)/2)+CJ$11,0)=EOMONTH($Z$3,0),CJ$9*CJ$10,0),0),IF(AND(CF$9&lt;&gt;"",CF$11&lt;&gt;""),IF(EOMONTH($CD$3+INT((DAY(EOMONTH($CD$3,0))-1)/2)+CF$11,0)=EOMONTH($Z$3,0),CF$9*CF$10,0),0),IF(AND(CB$9&lt;&gt;"",CB$11&lt;&gt;""),IF(EOMONTH($BZ$3+INT((DAY(EOMONTH($BZ$3,0))-1)/2)+CB$11,0)=EOMONTH($Z$3,0),CB$9*CB$10,0),0),IF(AND(BX$9&lt;&gt;"",BX$11&lt;&gt;""),IF(EOMONTH($BV$3+INT((DAY(EOMONTH($BV$3,0))-1)/2)+BX$11,0)=EOMONTH($Z$3,0),BX$9*BX$10,0),0),IF(AND(BT$9&lt;&gt;"",BT$11&lt;&gt;""),IF(EOMONTH($BR$3+INT((DAY(EOMONTH($BR$3,0))-1)/2)+BT$11,0)=EOMONTH($Z$3,0),BT$9*BT$10,0),0),IF(AND(BP$9&lt;&gt;"",BP$11&lt;&gt;""),IF(EOMONTH($BN$3+INT((DAY(EOMONTH($BN$3,0))-1)/2)+BP$11,0)=EOMONTH($Z$3,0),BP$9*BP$10,0),0),IF(AND(BL$9&lt;&gt;"",BL$11&lt;&gt;""),IF(EOMONTH($BJ$3+INT((DAY(EOMONTH($BJ$3,0))-1)/2)+BL$11,0)=EOMONTH($Z$3,0),BL$9*BL$10,0),0),IF(AND(BH$9&lt;&gt;"",BH$11&lt;&gt;""),IF(EOMONTH($BF$3+INT((DAY(EOMONTH($BF$3,0))-1)/2)+BH$11,0)=EOMONTH($Z$3,0),BH$9*BH$10,0),0),IF(AND(BD$9&lt;&gt;"",BD$11&lt;&gt;""),IF(EOMONTH($BB$3+INT((DAY(EOMONTH($BB$3,0))-1)/2)+BD$11,0)=EOMONTH($Z$3,0),BD$9*BD$10,0),0),IF(AND(AZ$9&lt;&gt;"",AZ$11&lt;&gt;""),IF(EOMONTH($AX$3+INT((DAY(EOMONTH($AX$3,0))-1)/2)+AZ$11,0)=EOMONTH($Z$3,0),AZ$9*AZ$10,0),0),IF(AND(AV$9&lt;&gt;"",AV$11&lt;&gt;""),IF(EOMONTH($AT$3+INT((DAY(EOMONTH($AT$3,0))-1)/2)+AV$11,0)=EOMONTH($Z$3,0),AV$9*AV$10,0),0),IF(AND(AR$9&lt;&gt;"",AR$11&lt;&gt;""),IF(EOMONTH($AP$3+INT((DAY(EOMONTH($AP$3,0))-1)/2)+AR$11,0)=EOMONTH($Z$3,0),AR$9*AR$10,0),0),IF(AND(AN$9&lt;&gt;"",AN$11&lt;&gt;""),IF(EOMONTH($AL$3+INT((DAY(EOMONTH($AL$3,0))-1)/2)+AN$11,0)=EOMONTH($Z$3,0),AN$9*AN$10,0),0),IF(AND(AJ$9&lt;&gt;"",AJ$11&lt;&gt;""),IF(EOMONTH($AH$3+INT((DAY(EOMONTH($AH$3,0))-1)/2)+AJ$11,0)=EOMONTH($Z$3,0),AJ$9*AJ$10,0),0),IF(AND(AF$9&lt;&gt;"",AF$11&lt;&gt;""),IF(EOMONTH($AD$3+INT((DAY(EOMONTH($AD$3,0))-1)/2)+AF$11,0)=EOMONTH($Z$3,0),AF$9*AF$10,0),0),IF(AND(AB$9&lt;&gt;"",AB$11&lt;&gt;""),IF(EOMONTH($Z$3+INT((DAY(EOMONTH($Z$3,0))-1)/2)+AB$11,0)=EOMONTH($Z$3,0),AB$9*AB$10,0),0),IF(AND(X$9&lt;&gt;"",X$11&lt;&gt;""),IF(EOMONTH($V$3+INT((DAY(EOMONTH($V$3,0))-1)/2)+X$11,0)=EOMONTH($Z$3,0),X$9*X$10,0),0),IF(AND(T$9&lt;&gt;"",T$11&lt;&gt;""),IF(EOMONTH($R$3+INT((DAY(EOMONTH($R$3,0))-1)/2)+T$11,0)=EOMONTH($Z$3,0),T$9*T$10,0),0),IF(AND(P$9&lt;&gt;"",P$11&lt;&gt;""),IF(EOMONTH($N$3+INT((DAY(EOMONTH($N$3,0))-1)/2)+P$11,0)=EOMONTH($Z$3,0),P$9*P$10,0),0),IF(AND(L$9&lt;&gt;"",L$11&lt;&gt;""),IF(EOMONTH($J$3+INT((DAY(EOMONTH($J$3,0))-1)/2)+L$11,0)=EOMONTH($Z$3,0),L$9*L$10,0),0),IF(AND(H$9&lt;&gt;"",H$11&lt;&gt;""),IF(EOMONTH($F$3+INT((DAY(EOMONTH($F$3,0))-1)/2)+H$11,0)=EOMONTH($Z$3,0),H$9*H$10,0),0),IF($EP$75="",0,IF(EOMONTH($EP$75+ER$11,0)=EOMONTH($Z$3,0),$EP$76*ER$10,0))),0)</f>
        <v>17</v>
      </c>
      <c r="AC12" s="16">
        <f t="shared" si="15"/>
        <v>0</v>
      </c>
      <c r="AD12" s="17"/>
      <c r="AE12" s="14">
        <f>IF(AD$98=1,AD12,ROUND(SUM(IF(AND(EQ$9&lt;&gt;"",EQ$11&lt;&gt;""),IF(EOMONTH($EP$3+INT((DAY(EOMONTH($EP$3,0))-1)/2)+EQ$11,0)=EOMONTH($AD$3,0),EQ$9*EQ$10,0),0),IF(AND(EM$9&lt;&gt;"",EM$11&lt;&gt;""),IF(EOMONTH($EL$3+INT((DAY(EOMONTH($EL$3,0))-1)/2)+EM$11,0)=EOMONTH($AD$3,0),EM$9*EM$10,0),0),IF(AND(EI$9&lt;&gt;"",EI$11&lt;&gt;""),IF(EOMONTH($EH$3+INT((DAY(EOMONTH($EH$3,0))-1)/2)+EI$11,0)=EOMONTH($AD$3,0),EI$9*EI$10,0),0),IF(AND(EE$9&lt;&gt;"",EE$11&lt;&gt;""),IF(EOMONTH($ED$3+INT((DAY(EOMONTH($ED$3,0))-1)/2)+EE$11,0)=EOMONTH($AD$3,0),EE$9*EE$10,0),0),IF(AND(EA$9&lt;&gt;"",EA$11&lt;&gt;""),IF(EOMONTH($DZ$3+INT((DAY(EOMONTH($DZ$3,0))-1)/2)+EA$11,0)=EOMONTH($AD$3,0),EA$9*EA$10,0),0),IF(AND(DW$9&lt;&gt;"",DW$11&lt;&gt;""),IF(EOMONTH($DV$3+INT((DAY(EOMONTH($DV$3,0))-1)/2)+DW$11,0)=EOMONTH($AD$3,0),DW$9*DW$10,0),0),IF(AND(DS$9&lt;&gt;"",DS$11&lt;&gt;""),IF(EOMONTH($DR$3+INT((DAY(EOMONTH($DR$3,0))-1)/2)+DS$11,0)=EOMONTH($AD$3,0),DS$9*DS$10,0),0),IF(AND(DO$9&lt;&gt;"",DO$11&lt;&gt;""),IF(EOMONTH($DN$3+INT((DAY(EOMONTH($DN$3,0))-1)/2)+DO$11,0)=EOMONTH($AD$3,0),DO$9*DO$10,0),0),IF(AND(DK$9&lt;&gt;"",DK$11&lt;&gt;""),IF(EOMONTH($DJ$3+INT((DAY(EOMONTH($DJ$3,0))-1)/2)+DK$11,0)=EOMONTH($AD$3,0),DK$9*DK$10,0),0),IF(AND(DG$9&lt;&gt;"",DG$11&lt;&gt;""),IF(EOMONTH($DF$3+INT((DAY(EOMONTH($DF$3,0))-1)/2)+DG$11,0)=EOMONTH($AD$3,0),DG$9*DG$10,0),0),IF(AND(DC$9&lt;&gt;"",DC$11&lt;&gt;""),IF(EOMONTH($DB$3+INT((DAY(EOMONTH($DB$3,0))-1)/2)+DC$11,0)=EOMONTH($AD$3,0),DC$9*DC$10,0),0),IF(AND(CY$9&lt;&gt;"",CY$11&lt;&gt;""),IF(EOMONTH($CX$3+INT((DAY(EOMONTH($CX$3,0))-1)/2)+CY$11,0)=EOMONTH($AD$3,0),CY$9*CY$10,0),0),IF(AND(CU$9&lt;&gt;"",CU$11&lt;&gt;""),IF(EOMONTH($CT$3+INT((DAY(EOMONTH($CT$3,0))-1)/2)+CU$11,0)=EOMONTH($AD$3,0),CU$9*CU$10,0),0),IF(AND(CQ$9&lt;&gt;"",CQ$11&lt;&gt;""),IF(EOMONTH($CP$3+INT((DAY(EOMONTH($CP$3,0))-1)/2)+CQ$11,0)=EOMONTH($AD$3,0),CQ$9*CQ$10,0),0),IF(AND(CM$9&lt;&gt;"",CM$11&lt;&gt;""),IF(EOMONTH($CL$3+INT((DAY(EOMONTH($CL$3,0))-1)/2)+CM$11,0)=EOMONTH($AD$3,0),CM$9*CM$10,0),0),IF(AND(CI$9&lt;&gt;"",CI$11&lt;&gt;""),IF(EOMONTH($CH$3+INT((DAY(EOMONTH($CH$3,0))-1)/2)+CI$11,0)=EOMONTH($AD$3,0),CI$9*CI$10,0),0),IF(AND(CE$9&lt;&gt;"",CE$11&lt;&gt;""),IF(EOMONTH($CD$3+INT((DAY(EOMONTH($CD$3,0))-1)/2)+CE$11,0)=EOMONTH($AD$3,0),CE$9*CE$10,0),0),IF(AND(CA$9&lt;&gt;"",CA$11&lt;&gt;""),IF(EOMONTH($BZ$3+INT((DAY(EOMONTH($BZ$3,0))-1)/2)+CA$11,0)=EOMONTH($AD$3,0),CA$9*CA$10,0),0),IF(AND(BW$9&lt;&gt;"",BW$11&lt;&gt;""),IF(EOMONTH($BV$3+INT((DAY(EOMONTH($BV$3,0))-1)/2)+BW$11,0)=EOMONTH($AD$3,0),BW$9*BW$10,0),0),IF(AND(BS$9&lt;&gt;"",BS$11&lt;&gt;""),IF(EOMONTH($BR$3+INT((DAY(EOMONTH($BR$3,0))-1)/2)+BS$11,0)=EOMONTH($AD$3,0),BS$9*BS$10,0),0),IF(AND(BO$9&lt;&gt;"",BO$11&lt;&gt;""),IF(EOMONTH($BN$3+INT((DAY(EOMONTH($BN$3,0))-1)/2)+BO$11,0)=EOMONTH($AD$3,0),BO$9*BO$10,0),0),IF(AND(BK$9&lt;&gt;"",BK$11&lt;&gt;""),IF(EOMONTH($BJ$3+INT((DAY(EOMONTH($BJ$3,0))-1)/2)+BK$11,0)=EOMONTH($AD$3,0),BK$9*BK$10,0),0),IF(AND(BG$9&lt;&gt;"",BG$11&lt;&gt;""),IF(EOMONTH($BF$3+INT((DAY(EOMONTH($BF$3,0))-1)/2)+BG$11,0)=EOMONTH($AD$3,0),BG$9*BG$10,0),0),IF(AND(BC$9&lt;&gt;"",BC$11&lt;&gt;""),IF(EOMONTH($BB$3+INT((DAY(EOMONTH($BB$3,0))-1)/2)+BC$11,0)=EOMONTH($AD$3,0),BC$9*BC$10,0),0),IF(AND(AY$9&lt;&gt;"",AY$11&lt;&gt;""),IF(EOMONTH($AX$3+INT((DAY(EOMONTH($AX$3,0))-1)/2)+AY$11,0)=EOMONTH($AD$3,0),AY$9*AY$10,0),0),IF(AND(AU$9&lt;&gt;"",AU$11&lt;&gt;""),IF(EOMONTH($AT$3+INT((DAY(EOMONTH($AT$3,0))-1)/2)+AU$11,0)=EOMONTH($AD$3,0),AU$9*AU$10,0),0),IF(AND(AQ$9&lt;&gt;"",AQ$11&lt;&gt;""),IF(EOMONTH($AP$3+INT((DAY(EOMONTH($AP$3,0))-1)/2)+AQ$11,0)=EOMONTH($AD$3,0),AQ$9*AQ$10,0),0),IF(AND(AM$9&lt;&gt;"",AM$11&lt;&gt;""),IF(EOMONTH($AL$3+INT((DAY(EOMONTH($AL$3,0))-1)/2)+AM$11,0)=EOMONTH($AD$3,0),AM$9*AM$10,0),0),IF(AND(AI$9&lt;&gt;"",AI$11&lt;&gt;""),IF(EOMONTH($AH$3+INT((DAY(EOMONTH($AH$3,0))-1)/2)+AI$11,0)=EOMONTH($AD$3,0),AI$9*AI$10,0),0),IF(AND(AE$9&lt;&gt;"",AE$11&lt;&gt;""),IF(EOMONTH($AD$3+INT((DAY(EOMONTH($AD$3,0))-1)/2)+AE$11,0)=EOMONTH($AD$3,0),AE$9*AE$10,0),0),IF(AND(AA$9&lt;&gt;"",AA$11&lt;&gt;""),IF(EOMONTH($Z$3+INT((DAY(EOMONTH($Z$3,0))-1)/2)+AA$11,0)=EOMONTH($AD$3,0),AA$9*AA$10,0),0),IF(AND(W$9&lt;&gt;"",W$11&lt;&gt;""),IF(EOMONTH($V$3+INT((DAY(EOMONTH($V$3,0))-1)/2)+W$11,0)=EOMONTH($AD$3,0),W$9*W$10,0),0),IF(AND(S$9&lt;&gt;"",S$11&lt;&gt;""),IF(EOMONTH($R$3+INT((DAY(EOMONTH($R$3,0))-1)/2)+S$11,0)=EOMONTH($AD$3,0),S$9*S$10,0),0),IF(AND(O$9&lt;&gt;"",O$11&lt;&gt;""),IF(EOMONTH($N$3+INT((DAY(EOMONTH($N$3,0))-1)/2)+O$11,0)=EOMONTH($AD$3,0),O$9*O$10,0),0),IF(AND(K$9&lt;&gt;"",K$11&lt;&gt;""),IF(EOMONTH($J$3+INT((DAY(EOMONTH($J$3,0))-1)/2)+K$11,0)=EOMONTH($AD$3,0),K$9*K$10,0),0),IF(AND(G$9&lt;&gt;"",G$11&lt;&gt;""),IF(EOMONTH($F$3+INT((DAY(EOMONTH($F$3,0))-1)/2)+G$11,0)=EOMONTH($AD$3,0),G$9*G$10,0),0),IF($EP$75="",0,IF(EOMONTH($EP$75+EQ$11,0)=EOMONTH($AD$3,0),$EP$76*EQ$10,0))),0))</f>
        <v>17</v>
      </c>
      <c r="AF12" s="15">
        <f>ROUND(SUM(IF(AND(ER$9&lt;&gt;"",ER$11&lt;&gt;""),IF(EOMONTH($EP$3+INT((DAY(EOMONTH($EP$3,0))-1)/2)+ER$11,0)=EOMONTH($AD$3,0),ER$9*ER$10,0),0),IF(AND(EN$9&lt;&gt;"",EN$11&lt;&gt;""),IF(EOMONTH($EL$3+INT((DAY(EOMONTH($EL$3,0))-1)/2)+EN$11,0)=EOMONTH($AD$3,0),EN$9*EN$10,0),0),IF(AND(EJ$9&lt;&gt;"",EJ$11&lt;&gt;""),IF(EOMONTH($EH$3+INT((DAY(EOMONTH($EH$3,0))-1)/2)+EJ$11,0)=EOMONTH($AD$3,0),EJ$9*EJ$10,0),0),IF(AND(EF$9&lt;&gt;"",EF$11&lt;&gt;""),IF(EOMONTH($ED$3+INT((DAY(EOMONTH($ED$3,0))-1)/2)+EF$11,0)=EOMONTH($AD$3,0),EF$9*EF$10,0),0),IF(AND(EB$9&lt;&gt;"",EB$11&lt;&gt;""),IF(EOMONTH($DZ$3+INT((DAY(EOMONTH($DZ$3,0))-1)/2)+EB$11,0)=EOMONTH($AD$3,0),EB$9*EB$10,0),0),IF(AND(DX$9&lt;&gt;"",DX$11&lt;&gt;""),IF(EOMONTH($DV$3+INT((DAY(EOMONTH($DV$3,0))-1)/2)+DX$11,0)=EOMONTH($AD$3,0),DX$9*DX$10,0),0),IF(AND(DT$9&lt;&gt;"",DT$11&lt;&gt;""),IF(EOMONTH($DR$3+INT((DAY(EOMONTH($DR$3,0))-1)/2)+DT$11,0)=EOMONTH($AD$3,0),DT$9*DT$10,0),0),IF(AND(DP$9&lt;&gt;"",DP$11&lt;&gt;""),IF(EOMONTH($DN$3+INT((DAY(EOMONTH($DN$3,0))-1)/2)+DP$11,0)=EOMONTH($AD$3,0),DP$9*DP$10,0),0),IF(AND(DL$9&lt;&gt;"",DL$11&lt;&gt;""),IF(EOMONTH($DJ$3+INT((DAY(EOMONTH($DJ$3,0))-1)/2)+DL$11,0)=EOMONTH($AD$3,0),DL$9*DL$10,0),0),IF(AND(DH$9&lt;&gt;"",DH$11&lt;&gt;""),IF(EOMONTH($DF$3+INT((DAY(EOMONTH($DF$3,0))-1)/2)+DH$11,0)=EOMONTH($AD$3,0),DH$9*DH$10,0),0),IF(AND(DD$9&lt;&gt;"",DD$11&lt;&gt;""),IF(EOMONTH($DB$3+INT((DAY(EOMONTH($DB$3,0))-1)/2)+DD$11,0)=EOMONTH($AD$3,0),DD$9*DD$10,0),0),IF(AND(CZ$9&lt;&gt;"",CZ$11&lt;&gt;""),IF(EOMONTH($CX$3+INT((DAY(EOMONTH($CX$3,0))-1)/2)+CZ$11,0)=EOMONTH($AD$3,0),CZ$9*CZ$10,0),0),IF(AND(CV$9&lt;&gt;"",CV$11&lt;&gt;""),IF(EOMONTH($CT$3+INT((DAY(EOMONTH($CT$3,0))-1)/2)+CV$11,0)=EOMONTH($AD$3,0),CV$9*CV$10,0),0),IF(AND(CR$9&lt;&gt;"",CR$11&lt;&gt;""),IF(EOMONTH($CP$3+INT((DAY(EOMONTH($CP$3,0))-1)/2)+CR$11,0)=EOMONTH($AD$3,0),CR$9*CR$10,0),0),IF(AND(CN$9&lt;&gt;"",CN$11&lt;&gt;""),IF(EOMONTH($CL$3+INT((DAY(EOMONTH($CL$3,0))-1)/2)+CN$11,0)=EOMONTH($AD$3,0),CN$9*CN$10,0),0),IF(AND(CJ$9&lt;&gt;"",CJ$11&lt;&gt;""),IF(EOMONTH($CH$3+INT((DAY(EOMONTH($CH$3,0))-1)/2)+CJ$11,0)=EOMONTH($AD$3,0),CJ$9*CJ$10,0),0),IF(AND(CF$9&lt;&gt;"",CF$11&lt;&gt;""),IF(EOMONTH($CD$3+INT((DAY(EOMONTH($CD$3,0))-1)/2)+CF$11,0)=EOMONTH($AD$3,0),CF$9*CF$10,0),0),IF(AND(CB$9&lt;&gt;"",CB$11&lt;&gt;""),IF(EOMONTH($BZ$3+INT((DAY(EOMONTH($BZ$3,0))-1)/2)+CB$11,0)=EOMONTH($AD$3,0),CB$9*CB$10,0),0),IF(AND(BX$9&lt;&gt;"",BX$11&lt;&gt;""),IF(EOMONTH($BV$3+INT((DAY(EOMONTH($BV$3,0))-1)/2)+BX$11,0)=EOMONTH($AD$3,0),BX$9*BX$10,0),0),IF(AND(BT$9&lt;&gt;"",BT$11&lt;&gt;""),IF(EOMONTH($BR$3+INT((DAY(EOMONTH($BR$3,0))-1)/2)+BT$11,0)=EOMONTH($AD$3,0),BT$9*BT$10,0),0),IF(AND(BP$9&lt;&gt;"",BP$11&lt;&gt;""),IF(EOMONTH($BN$3+INT((DAY(EOMONTH($BN$3,0))-1)/2)+BP$11,0)=EOMONTH($AD$3,0),BP$9*BP$10,0),0),IF(AND(BL$9&lt;&gt;"",BL$11&lt;&gt;""),IF(EOMONTH($BJ$3+INT((DAY(EOMONTH($BJ$3,0))-1)/2)+BL$11,0)=EOMONTH($AD$3,0),BL$9*BL$10,0),0),IF(AND(BH$9&lt;&gt;"",BH$11&lt;&gt;""),IF(EOMONTH($BF$3+INT((DAY(EOMONTH($BF$3,0))-1)/2)+BH$11,0)=EOMONTH($AD$3,0),BH$9*BH$10,0),0),IF(AND(BD$9&lt;&gt;"",BD$11&lt;&gt;""),IF(EOMONTH($BB$3+INT((DAY(EOMONTH($BB$3,0))-1)/2)+BD$11,0)=EOMONTH($AD$3,0),BD$9*BD$10,0),0),IF(AND(AZ$9&lt;&gt;"",AZ$11&lt;&gt;""),IF(EOMONTH($AX$3+INT((DAY(EOMONTH($AX$3,0))-1)/2)+AZ$11,0)=EOMONTH($AD$3,0),AZ$9*AZ$10,0),0),IF(AND(AV$9&lt;&gt;"",AV$11&lt;&gt;""),IF(EOMONTH($AT$3+INT((DAY(EOMONTH($AT$3,0))-1)/2)+AV$11,0)=EOMONTH($AD$3,0),AV$9*AV$10,0),0),IF(AND(AR$9&lt;&gt;"",AR$11&lt;&gt;""),IF(EOMONTH($AP$3+INT((DAY(EOMONTH($AP$3,0))-1)/2)+AR$11,0)=EOMONTH($AD$3,0),AR$9*AR$10,0),0),IF(AND(AN$9&lt;&gt;"",AN$11&lt;&gt;""),IF(EOMONTH($AL$3+INT((DAY(EOMONTH($AL$3,0))-1)/2)+AN$11,0)=EOMONTH($AD$3,0),AN$9*AN$10,0),0),IF(AND(AJ$9&lt;&gt;"",AJ$11&lt;&gt;""),IF(EOMONTH($AH$3+INT((DAY(EOMONTH($AH$3,0))-1)/2)+AJ$11,0)=EOMONTH($AD$3,0),AJ$9*AJ$10,0),0),IF(AND(AF$9&lt;&gt;"",AF$11&lt;&gt;""),IF(EOMONTH($AD$3+INT((DAY(EOMONTH($AD$3,0))-1)/2)+AF$11,0)=EOMONTH($AD$3,0),AF$9*AF$10,0),0),IF(AND(AB$9&lt;&gt;"",AB$11&lt;&gt;""),IF(EOMONTH($Z$3+INT((DAY(EOMONTH($Z$3,0))-1)/2)+AB$11,0)=EOMONTH($AD$3,0),AB$9*AB$10,0),0),IF(AND(X$9&lt;&gt;"",X$11&lt;&gt;""),IF(EOMONTH($V$3+INT((DAY(EOMONTH($V$3,0))-1)/2)+X$11,0)=EOMONTH($AD$3,0),X$9*X$10,0),0),IF(AND(T$9&lt;&gt;"",T$11&lt;&gt;""),IF(EOMONTH($R$3+INT((DAY(EOMONTH($R$3,0))-1)/2)+T$11,0)=EOMONTH($AD$3,0),T$9*T$10,0),0),IF(AND(P$9&lt;&gt;"",P$11&lt;&gt;""),IF(EOMONTH($N$3+INT((DAY(EOMONTH($N$3,0))-1)/2)+P$11,0)=EOMONTH($AD$3,0),P$9*P$10,0),0),IF(AND(L$9&lt;&gt;"",L$11&lt;&gt;""),IF(EOMONTH($J$3+INT((DAY(EOMONTH($J$3,0))-1)/2)+L$11,0)=EOMONTH($AD$3,0),L$9*L$10,0),0),IF(AND(H$9&lt;&gt;"",H$11&lt;&gt;""),IF(EOMONTH($F$3+INT((DAY(EOMONTH($F$3,0))-1)/2)+H$11,0)=EOMONTH($AD$3,0),H$9*H$10,0),0),IF($EP$75="",0,IF(EOMONTH($EP$75+ER$11,0)=EOMONTH($AD$3,0),$EP$76*ER$10,0))),0)</f>
        <v>17</v>
      </c>
      <c r="AG12" s="16">
        <f t="shared" si="17"/>
        <v>0</v>
      </c>
      <c r="AH12" s="17"/>
      <c r="AI12" s="14">
        <f>IF(AH$98=1,AH12,ROUND(SUM(IF(AND(EQ$9&lt;&gt;"",EQ$11&lt;&gt;""),IF(EOMONTH($EP$3+INT((DAY(EOMONTH($EP$3,0))-1)/2)+EQ$11,0)=EOMONTH($AH$3,0),EQ$9*EQ$10,0),0),IF(AND(EM$9&lt;&gt;"",EM$11&lt;&gt;""),IF(EOMONTH($EL$3+INT((DAY(EOMONTH($EL$3,0))-1)/2)+EM$11,0)=EOMONTH($AH$3,0),EM$9*EM$10,0),0),IF(AND(EI$9&lt;&gt;"",EI$11&lt;&gt;""),IF(EOMONTH($EH$3+INT((DAY(EOMONTH($EH$3,0))-1)/2)+EI$11,0)=EOMONTH($AH$3,0),EI$9*EI$10,0),0),IF(AND(EE$9&lt;&gt;"",EE$11&lt;&gt;""),IF(EOMONTH($ED$3+INT((DAY(EOMONTH($ED$3,0))-1)/2)+EE$11,0)=EOMONTH($AH$3,0),EE$9*EE$10,0),0),IF(AND(EA$9&lt;&gt;"",EA$11&lt;&gt;""),IF(EOMONTH($DZ$3+INT((DAY(EOMONTH($DZ$3,0))-1)/2)+EA$11,0)=EOMONTH($AH$3,0),EA$9*EA$10,0),0),IF(AND(DW$9&lt;&gt;"",DW$11&lt;&gt;""),IF(EOMONTH($DV$3+INT((DAY(EOMONTH($DV$3,0))-1)/2)+DW$11,0)=EOMONTH($AH$3,0),DW$9*DW$10,0),0),IF(AND(DS$9&lt;&gt;"",DS$11&lt;&gt;""),IF(EOMONTH($DR$3+INT((DAY(EOMONTH($DR$3,0))-1)/2)+DS$11,0)=EOMONTH($AH$3,0),DS$9*DS$10,0),0),IF(AND(DO$9&lt;&gt;"",DO$11&lt;&gt;""),IF(EOMONTH($DN$3+INT((DAY(EOMONTH($DN$3,0))-1)/2)+DO$11,0)=EOMONTH($AH$3,0),DO$9*DO$10,0),0),IF(AND(DK$9&lt;&gt;"",DK$11&lt;&gt;""),IF(EOMONTH($DJ$3+INT((DAY(EOMONTH($DJ$3,0))-1)/2)+DK$11,0)=EOMONTH($AH$3,0),DK$9*DK$10,0),0),IF(AND(DG$9&lt;&gt;"",DG$11&lt;&gt;""),IF(EOMONTH($DF$3+INT((DAY(EOMONTH($DF$3,0))-1)/2)+DG$11,0)=EOMONTH($AH$3,0),DG$9*DG$10,0),0),IF(AND(DC$9&lt;&gt;"",DC$11&lt;&gt;""),IF(EOMONTH($DB$3+INT((DAY(EOMONTH($DB$3,0))-1)/2)+DC$11,0)=EOMONTH($AH$3,0),DC$9*DC$10,0),0),IF(AND(CY$9&lt;&gt;"",CY$11&lt;&gt;""),IF(EOMONTH($CX$3+INT((DAY(EOMONTH($CX$3,0))-1)/2)+CY$11,0)=EOMONTH($AH$3,0),CY$9*CY$10,0),0),IF(AND(CU$9&lt;&gt;"",CU$11&lt;&gt;""),IF(EOMONTH($CT$3+INT((DAY(EOMONTH($CT$3,0))-1)/2)+CU$11,0)=EOMONTH($AH$3,0),CU$9*CU$10,0),0),IF(AND(CQ$9&lt;&gt;"",CQ$11&lt;&gt;""),IF(EOMONTH($CP$3+INT((DAY(EOMONTH($CP$3,0))-1)/2)+CQ$11,0)=EOMONTH($AH$3,0),CQ$9*CQ$10,0),0),IF(AND(CM$9&lt;&gt;"",CM$11&lt;&gt;""),IF(EOMONTH($CL$3+INT((DAY(EOMONTH($CL$3,0))-1)/2)+CM$11,0)=EOMONTH($AH$3,0),CM$9*CM$10,0),0),IF(AND(CI$9&lt;&gt;"",CI$11&lt;&gt;""),IF(EOMONTH($CH$3+INT((DAY(EOMONTH($CH$3,0))-1)/2)+CI$11,0)=EOMONTH($AH$3,0),CI$9*CI$10,0),0),IF(AND(CE$9&lt;&gt;"",CE$11&lt;&gt;""),IF(EOMONTH($CD$3+INT((DAY(EOMONTH($CD$3,0))-1)/2)+CE$11,0)=EOMONTH($AH$3,0),CE$9*CE$10,0),0),IF(AND(CA$9&lt;&gt;"",CA$11&lt;&gt;""),IF(EOMONTH($BZ$3+INT((DAY(EOMONTH($BZ$3,0))-1)/2)+CA$11,0)=EOMONTH($AH$3,0),CA$9*CA$10,0),0),IF(AND(BW$9&lt;&gt;"",BW$11&lt;&gt;""),IF(EOMONTH($BV$3+INT((DAY(EOMONTH($BV$3,0))-1)/2)+BW$11,0)=EOMONTH($AH$3,0),BW$9*BW$10,0),0),IF(AND(BS$9&lt;&gt;"",BS$11&lt;&gt;""),IF(EOMONTH($BR$3+INT((DAY(EOMONTH($BR$3,0))-1)/2)+BS$11,0)=EOMONTH($AH$3,0),BS$9*BS$10,0),0),IF(AND(BO$9&lt;&gt;"",BO$11&lt;&gt;""),IF(EOMONTH($BN$3+INT((DAY(EOMONTH($BN$3,0))-1)/2)+BO$11,0)=EOMONTH($AH$3,0),BO$9*BO$10,0),0),IF(AND(BK$9&lt;&gt;"",BK$11&lt;&gt;""),IF(EOMONTH($BJ$3+INT((DAY(EOMONTH($BJ$3,0))-1)/2)+BK$11,0)=EOMONTH($AH$3,0),BK$9*BK$10,0),0),IF(AND(BG$9&lt;&gt;"",BG$11&lt;&gt;""),IF(EOMONTH($BF$3+INT((DAY(EOMONTH($BF$3,0))-1)/2)+BG$11,0)=EOMONTH($AH$3,0),BG$9*BG$10,0),0),IF(AND(BC$9&lt;&gt;"",BC$11&lt;&gt;""),IF(EOMONTH($BB$3+INT((DAY(EOMONTH($BB$3,0))-1)/2)+BC$11,0)=EOMONTH($AH$3,0),BC$9*BC$10,0),0),IF(AND(AY$9&lt;&gt;"",AY$11&lt;&gt;""),IF(EOMONTH($AX$3+INT((DAY(EOMONTH($AX$3,0))-1)/2)+AY$11,0)=EOMONTH($AH$3,0),AY$9*AY$10,0),0),IF(AND(AU$9&lt;&gt;"",AU$11&lt;&gt;""),IF(EOMONTH($AT$3+INT((DAY(EOMONTH($AT$3,0))-1)/2)+AU$11,0)=EOMONTH($AH$3,0),AU$9*AU$10,0),0),IF(AND(AQ$9&lt;&gt;"",AQ$11&lt;&gt;""),IF(EOMONTH($AP$3+INT((DAY(EOMONTH($AP$3,0))-1)/2)+AQ$11,0)=EOMONTH($AH$3,0),AQ$9*AQ$10,0),0),IF(AND(AM$9&lt;&gt;"",AM$11&lt;&gt;""),IF(EOMONTH($AL$3+INT((DAY(EOMONTH($AL$3,0))-1)/2)+AM$11,0)=EOMONTH($AH$3,0),AM$9*AM$10,0),0),IF(AND(AI$9&lt;&gt;"",AI$11&lt;&gt;""),IF(EOMONTH($AH$3+INT((DAY(EOMONTH($AH$3,0))-1)/2)+AI$11,0)=EOMONTH($AH$3,0),AI$9*AI$10,0),0),IF(AND(AE$9&lt;&gt;"",AE$11&lt;&gt;""),IF(EOMONTH($AD$3+INT((DAY(EOMONTH($AD$3,0))-1)/2)+AE$11,0)=EOMONTH($AH$3,0),AE$9*AE$10,0),0),IF(AND(AA$9&lt;&gt;"",AA$11&lt;&gt;""),IF(EOMONTH($Z$3+INT((DAY(EOMONTH($Z$3,0))-1)/2)+AA$11,0)=EOMONTH($AH$3,0),AA$9*AA$10,0),0),IF(AND(W$9&lt;&gt;"",W$11&lt;&gt;""),IF(EOMONTH($V$3+INT((DAY(EOMONTH($V$3,0))-1)/2)+W$11,0)=EOMONTH($AH$3,0),W$9*W$10,0),0),IF(AND(S$9&lt;&gt;"",S$11&lt;&gt;""),IF(EOMONTH($R$3+INT((DAY(EOMONTH($R$3,0))-1)/2)+S$11,0)=EOMONTH($AH$3,0),S$9*S$10,0),0),IF(AND(O$9&lt;&gt;"",O$11&lt;&gt;""),IF(EOMONTH($N$3+INT((DAY(EOMONTH($N$3,0))-1)/2)+O$11,0)=EOMONTH($AH$3,0),O$9*O$10,0),0),IF(AND(K$9&lt;&gt;"",K$11&lt;&gt;""),IF(EOMONTH($J$3+INT((DAY(EOMONTH($J$3,0))-1)/2)+K$11,0)=EOMONTH($AH$3,0),K$9*K$10,0),0),IF(AND(G$9&lt;&gt;"",G$11&lt;&gt;""),IF(EOMONTH($F$3+INT((DAY(EOMONTH($F$3,0))-1)/2)+G$11,0)=EOMONTH($AH$3,0),G$9*G$10,0),0),IF($EP$75="",0,IF(EOMONTH($EP$75+EQ$11,0)=EOMONTH($AH$3,0),$EP$76*EQ$10,0))),0))</f>
        <v>17</v>
      </c>
      <c r="AJ12" s="15">
        <f>ROUND(SUM(IF(AND(ER$9&lt;&gt;"",ER$11&lt;&gt;""),IF(EOMONTH($EP$3+INT((DAY(EOMONTH($EP$3,0))-1)/2)+ER$11,0)=EOMONTH($AH$3,0),ER$9*ER$10,0),0),IF(AND(EN$9&lt;&gt;"",EN$11&lt;&gt;""),IF(EOMONTH($EL$3+INT((DAY(EOMONTH($EL$3,0))-1)/2)+EN$11,0)=EOMONTH($AH$3,0),EN$9*EN$10,0),0),IF(AND(EJ$9&lt;&gt;"",EJ$11&lt;&gt;""),IF(EOMONTH($EH$3+INT((DAY(EOMONTH($EH$3,0))-1)/2)+EJ$11,0)=EOMONTH($AH$3,0),EJ$9*EJ$10,0),0),IF(AND(EF$9&lt;&gt;"",EF$11&lt;&gt;""),IF(EOMONTH($ED$3+INT((DAY(EOMONTH($ED$3,0))-1)/2)+EF$11,0)=EOMONTH($AH$3,0),EF$9*EF$10,0),0),IF(AND(EB$9&lt;&gt;"",EB$11&lt;&gt;""),IF(EOMONTH($DZ$3+INT((DAY(EOMONTH($DZ$3,0))-1)/2)+EB$11,0)=EOMONTH($AH$3,0),EB$9*EB$10,0),0),IF(AND(DX$9&lt;&gt;"",DX$11&lt;&gt;""),IF(EOMONTH($DV$3+INT((DAY(EOMONTH($DV$3,0))-1)/2)+DX$11,0)=EOMONTH($AH$3,0),DX$9*DX$10,0),0),IF(AND(DT$9&lt;&gt;"",DT$11&lt;&gt;""),IF(EOMONTH($DR$3+INT((DAY(EOMONTH($DR$3,0))-1)/2)+DT$11,0)=EOMONTH($AH$3,0),DT$9*DT$10,0),0),IF(AND(DP$9&lt;&gt;"",DP$11&lt;&gt;""),IF(EOMONTH($DN$3+INT((DAY(EOMONTH($DN$3,0))-1)/2)+DP$11,0)=EOMONTH($AH$3,0),DP$9*DP$10,0),0),IF(AND(DL$9&lt;&gt;"",DL$11&lt;&gt;""),IF(EOMONTH($DJ$3+INT((DAY(EOMONTH($DJ$3,0))-1)/2)+DL$11,0)=EOMONTH($AH$3,0),DL$9*DL$10,0),0),IF(AND(DH$9&lt;&gt;"",DH$11&lt;&gt;""),IF(EOMONTH($DF$3+INT((DAY(EOMONTH($DF$3,0))-1)/2)+DH$11,0)=EOMONTH($AH$3,0),DH$9*DH$10,0),0),IF(AND(DD$9&lt;&gt;"",DD$11&lt;&gt;""),IF(EOMONTH($DB$3+INT((DAY(EOMONTH($DB$3,0))-1)/2)+DD$11,0)=EOMONTH($AH$3,0),DD$9*DD$10,0),0),IF(AND(CZ$9&lt;&gt;"",CZ$11&lt;&gt;""),IF(EOMONTH($CX$3+INT((DAY(EOMONTH($CX$3,0))-1)/2)+CZ$11,0)=EOMONTH($AH$3,0),CZ$9*CZ$10,0),0),IF(AND(CV$9&lt;&gt;"",CV$11&lt;&gt;""),IF(EOMONTH($CT$3+INT((DAY(EOMONTH($CT$3,0))-1)/2)+CV$11,0)=EOMONTH($AH$3,0),CV$9*CV$10,0),0),IF(AND(CR$9&lt;&gt;"",CR$11&lt;&gt;""),IF(EOMONTH($CP$3+INT((DAY(EOMONTH($CP$3,0))-1)/2)+CR$11,0)=EOMONTH($AH$3,0),CR$9*CR$10,0),0),IF(AND(CN$9&lt;&gt;"",CN$11&lt;&gt;""),IF(EOMONTH($CL$3+INT((DAY(EOMONTH($CL$3,0))-1)/2)+CN$11,0)=EOMONTH($AH$3,0),CN$9*CN$10,0),0),IF(AND(CJ$9&lt;&gt;"",CJ$11&lt;&gt;""),IF(EOMONTH($CH$3+INT((DAY(EOMONTH($CH$3,0))-1)/2)+CJ$11,0)=EOMONTH($AH$3,0),CJ$9*CJ$10,0),0),IF(AND(CF$9&lt;&gt;"",CF$11&lt;&gt;""),IF(EOMONTH($CD$3+INT((DAY(EOMONTH($CD$3,0))-1)/2)+CF$11,0)=EOMONTH($AH$3,0),CF$9*CF$10,0),0),IF(AND(CB$9&lt;&gt;"",CB$11&lt;&gt;""),IF(EOMONTH($BZ$3+INT((DAY(EOMONTH($BZ$3,0))-1)/2)+CB$11,0)=EOMONTH($AH$3,0),CB$9*CB$10,0),0),IF(AND(BX$9&lt;&gt;"",BX$11&lt;&gt;""),IF(EOMONTH($BV$3+INT((DAY(EOMONTH($BV$3,0))-1)/2)+BX$11,0)=EOMONTH($AH$3,0),BX$9*BX$10,0),0),IF(AND(BT$9&lt;&gt;"",BT$11&lt;&gt;""),IF(EOMONTH($BR$3+INT((DAY(EOMONTH($BR$3,0))-1)/2)+BT$11,0)=EOMONTH($AH$3,0),BT$9*BT$10,0),0),IF(AND(BP$9&lt;&gt;"",BP$11&lt;&gt;""),IF(EOMONTH($BN$3+INT((DAY(EOMONTH($BN$3,0))-1)/2)+BP$11,0)=EOMONTH($AH$3,0),BP$9*BP$10,0),0),IF(AND(BL$9&lt;&gt;"",BL$11&lt;&gt;""),IF(EOMONTH($BJ$3+INT((DAY(EOMONTH($BJ$3,0))-1)/2)+BL$11,0)=EOMONTH($AH$3,0),BL$9*BL$10,0),0),IF(AND(BH$9&lt;&gt;"",BH$11&lt;&gt;""),IF(EOMONTH($BF$3+INT((DAY(EOMONTH($BF$3,0))-1)/2)+BH$11,0)=EOMONTH($AH$3,0),BH$9*BH$10,0),0),IF(AND(BD$9&lt;&gt;"",BD$11&lt;&gt;""),IF(EOMONTH($BB$3+INT((DAY(EOMONTH($BB$3,0))-1)/2)+BD$11,0)=EOMONTH($AH$3,0),BD$9*BD$10,0),0),IF(AND(AZ$9&lt;&gt;"",AZ$11&lt;&gt;""),IF(EOMONTH($AX$3+INT((DAY(EOMONTH($AX$3,0))-1)/2)+AZ$11,0)=EOMONTH($AH$3,0),AZ$9*AZ$10,0),0),IF(AND(AV$9&lt;&gt;"",AV$11&lt;&gt;""),IF(EOMONTH($AT$3+INT((DAY(EOMONTH($AT$3,0))-1)/2)+AV$11,0)=EOMONTH($AH$3,0),AV$9*AV$10,0),0),IF(AND(AR$9&lt;&gt;"",AR$11&lt;&gt;""),IF(EOMONTH($AP$3+INT((DAY(EOMONTH($AP$3,0))-1)/2)+AR$11,0)=EOMONTH($AH$3,0),AR$9*AR$10,0),0),IF(AND(AN$9&lt;&gt;"",AN$11&lt;&gt;""),IF(EOMONTH($AL$3+INT((DAY(EOMONTH($AL$3,0))-1)/2)+AN$11,0)=EOMONTH($AH$3,0),AN$9*AN$10,0),0),IF(AND(AJ$9&lt;&gt;"",AJ$11&lt;&gt;""),IF(EOMONTH($AH$3+INT((DAY(EOMONTH($AH$3,0))-1)/2)+AJ$11,0)=EOMONTH($AH$3,0),AJ$9*AJ$10,0),0),IF(AND(AF$9&lt;&gt;"",AF$11&lt;&gt;""),IF(EOMONTH($AD$3+INT((DAY(EOMONTH($AD$3,0))-1)/2)+AF$11,0)=EOMONTH($AH$3,0),AF$9*AF$10,0),0),IF(AND(AB$9&lt;&gt;"",AB$11&lt;&gt;""),IF(EOMONTH($Z$3+INT((DAY(EOMONTH($Z$3,0))-1)/2)+AB$11,0)=EOMONTH($AH$3,0),AB$9*AB$10,0),0),IF(AND(X$9&lt;&gt;"",X$11&lt;&gt;""),IF(EOMONTH($V$3+INT((DAY(EOMONTH($V$3,0))-1)/2)+X$11,0)=EOMONTH($AH$3,0),X$9*X$10,0),0),IF(AND(T$9&lt;&gt;"",T$11&lt;&gt;""),IF(EOMONTH($R$3+INT((DAY(EOMONTH($R$3,0))-1)/2)+T$11,0)=EOMONTH($AH$3,0),T$9*T$10,0),0),IF(AND(P$9&lt;&gt;"",P$11&lt;&gt;""),IF(EOMONTH($N$3+INT((DAY(EOMONTH($N$3,0))-1)/2)+P$11,0)=EOMONTH($AH$3,0),P$9*P$10,0),0),IF(AND(L$9&lt;&gt;"",L$11&lt;&gt;""),IF(EOMONTH($J$3+INT((DAY(EOMONTH($J$3,0))-1)/2)+L$11,0)=EOMONTH($AH$3,0),L$9*L$10,0),0),IF(AND(H$9&lt;&gt;"",H$11&lt;&gt;""),IF(EOMONTH($F$3+INT((DAY(EOMONTH($F$3,0))-1)/2)+H$11,0)=EOMONTH($AH$3,0),H$9*H$10,0),0),IF($EP$75="",0,IF(EOMONTH($EP$75+ER$11,0)=EOMONTH($AH$3,0),$EP$76*ER$10,0))),0)</f>
        <v>17</v>
      </c>
      <c r="AK12" s="16">
        <f t="shared" si="19"/>
        <v>0</v>
      </c>
      <c r="AL12" s="17"/>
      <c r="AM12" s="14">
        <f>IF(AL$98=1,AL12,ROUND(SUM(IF(AND(EQ$9&lt;&gt;"",EQ$11&lt;&gt;""),IF(EOMONTH($EP$3+INT((DAY(EOMONTH($EP$3,0))-1)/2)+EQ$11,0)=EOMONTH($AL$3,0),EQ$9*EQ$10,0),0),IF(AND(EM$9&lt;&gt;"",EM$11&lt;&gt;""),IF(EOMONTH($EL$3+INT((DAY(EOMONTH($EL$3,0))-1)/2)+EM$11,0)=EOMONTH($AL$3,0),EM$9*EM$10,0),0),IF(AND(EI$9&lt;&gt;"",EI$11&lt;&gt;""),IF(EOMONTH($EH$3+INT((DAY(EOMONTH($EH$3,0))-1)/2)+EI$11,0)=EOMONTH($AL$3,0),EI$9*EI$10,0),0),IF(AND(EE$9&lt;&gt;"",EE$11&lt;&gt;""),IF(EOMONTH($ED$3+INT((DAY(EOMONTH($ED$3,0))-1)/2)+EE$11,0)=EOMONTH($AL$3,0),EE$9*EE$10,0),0),IF(AND(EA$9&lt;&gt;"",EA$11&lt;&gt;""),IF(EOMONTH($DZ$3+INT((DAY(EOMONTH($DZ$3,0))-1)/2)+EA$11,0)=EOMONTH($AL$3,0),EA$9*EA$10,0),0),IF(AND(DW$9&lt;&gt;"",DW$11&lt;&gt;""),IF(EOMONTH($DV$3+INT((DAY(EOMONTH($DV$3,0))-1)/2)+DW$11,0)=EOMONTH($AL$3,0),DW$9*DW$10,0),0),IF(AND(DS$9&lt;&gt;"",DS$11&lt;&gt;""),IF(EOMONTH($DR$3+INT((DAY(EOMONTH($DR$3,0))-1)/2)+DS$11,0)=EOMONTH($AL$3,0),DS$9*DS$10,0),0),IF(AND(DO$9&lt;&gt;"",DO$11&lt;&gt;""),IF(EOMONTH($DN$3+INT((DAY(EOMONTH($DN$3,0))-1)/2)+DO$11,0)=EOMONTH($AL$3,0),DO$9*DO$10,0),0),IF(AND(DK$9&lt;&gt;"",DK$11&lt;&gt;""),IF(EOMONTH($DJ$3+INT((DAY(EOMONTH($DJ$3,0))-1)/2)+DK$11,0)=EOMONTH($AL$3,0),DK$9*DK$10,0),0),IF(AND(DG$9&lt;&gt;"",DG$11&lt;&gt;""),IF(EOMONTH($DF$3+INT((DAY(EOMONTH($DF$3,0))-1)/2)+DG$11,0)=EOMONTH($AL$3,0),DG$9*DG$10,0),0),IF(AND(DC$9&lt;&gt;"",DC$11&lt;&gt;""),IF(EOMONTH($DB$3+INT((DAY(EOMONTH($DB$3,0))-1)/2)+DC$11,0)=EOMONTH($AL$3,0),DC$9*DC$10,0),0),IF(AND(CY$9&lt;&gt;"",CY$11&lt;&gt;""),IF(EOMONTH($CX$3+INT((DAY(EOMONTH($CX$3,0))-1)/2)+CY$11,0)=EOMONTH($AL$3,0),CY$9*CY$10,0),0),IF(AND(CU$9&lt;&gt;"",CU$11&lt;&gt;""),IF(EOMONTH($CT$3+INT((DAY(EOMONTH($CT$3,0))-1)/2)+CU$11,0)=EOMONTH($AL$3,0),CU$9*CU$10,0),0),IF(AND(CQ$9&lt;&gt;"",CQ$11&lt;&gt;""),IF(EOMONTH($CP$3+INT((DAY(EOMONTH($CP$3,0))-1)/2)+CQ$11,0)=EOMONTH($AL$3,0),CQ$9*CQ$10,0),0),IF(AND(CM$9&lt;&gt;"",CM$11&lt;&gt;""),IF(EOMONTH($CL$3+INT((DAY(EOMONTH($CL$3,0))-1)/2)+CM$11,0)=EOMONTH($AL$3,0),CM$9*CM$10,0),0),IF(AND(CI$9&lt;&gt;"",CI$11&lt;&gt;""),IF(EOMONTH($CH$3+INT((DAY(EOMONTH($CH$3,0))-1)/2)+CI$11,0)=EOMONTH($AL$3,0),CI$9*CI$10,0),0),IF(AND(CE$9&lt;&gt;"",CE$11&lt;&gt;""),IF(EOMONTH($CD$3+INT((DAY(EOMONTH($CD$3,0))-1)/2)+CE$11,0)=EOMONTH($AL$3,0),CE$9*CE$10,0),0),IF(AND(CA$9&lt;&gt;"",CA$11&lt;&gt;""),IF(EOMONTH($BZ$3+INT((DAY(EOMONTH($BZ$3,0))-1)/2)+CA$11,0)=EOMONTH($AL$3,0),CA$9*CA$10,0),0),IF(AND(BW$9&lt;&gt;"",BW$11&lt;&gt;""),IF(EOMONTH($BV$3+INT((DAY(EOMONTH($BV$3,0))-1)/2)+BW$11,0)=EOMONTH($AL$3,0),BW$9*BW$10,0),0),IF(AND(BS$9&lt;&gt;"",BS$11&lt;&gt;""),IF(EOMONTH($BR$3+INT((DAY(EOMONTH($BR$3,0))-1)/2)+BS$11,0)=EOMONTH($AL$3,0),BS$9*BS$10,0),0),IF(AND(BO$9&lt;&gt;"",BO$11&lt;&gt;""),IF(EOMONTH($BN$3+INT((DAY(EOMONTH($BN$3,0))-1)/2)+BO$11,0)=EOMONTH($AL$3,0),BO$9*BO$10,0),0),IF(AND(BK$9&lt;&gt;"",BK$11&lt;&gt;""),IF(EOMONTH($BJ$3+INT((DAY(EOMONTH($BJ$3,0))-1)/2)+BK$11,0)=EOMONTH($AL$3,0),BK$9*BK$10,0),0),IF(AND(BG$9&lt;&gt;"",BG$11&lt;&gt;""),IF(EOMONTH($BF$3+INT((DAY(EOMONTH($BF$3,0))-1)/2)+BG$11,0)=EOMONTH($AL$3,0),BG$9*BG$10,0),0),IF(AND(BC$9&lt;&gt;"",BC$11&lt;&gt;""),IF(EOMONTH($BB$3+INT((DAY(EOMONTH($BB$3,0))-1)/2)+BC$11,0)=EOMONTH($AL$3,0),BC$9*BC$10,0),0),IF(AND(AY$9&lt;&gt;"",AY$11&lt;&gt;""),IF(EOMONTH($AX$3+INT((DAY(EOMONTH($AX$3,0))-1)/2)+AY$11,0)=EOMONTH($AL$3,0),AY$9*AY$10,0),0),IF(AND(AU$9&lt;&gt;"",AU$11&lt;&gt;""),IF(EOMONTH($AT$3+INT((DAY(EOMONTH($AT$3,0))-1)/2)+AU$11,0)=EOMONTH($AL$3,0),AU$9*AU$10,0),0),IF(AND(AQ$9&lt;&gt;"",AQ$11&lt;&gt;""),IF(EOMONTH($AP$3+INT((DAY(EOMONTH($AP$3,0))-1)/2)+AQ$11,0)=EOMONTH($AL$3,0),AQ$9*AQ$10,0),0),IF(AND(AM$9&lt;&gt;"",AM$11&lt;&gt;""),IF(EOMONTH($AL$3+INT((DAY(EOMONTH($AL$3,0))-1)/2)+AM$11,0)=EOMONTH($AL$3,0),AM$9*AM$10,0),0),IF(AND(AI$9&lt;&gt;"",AI$11&lt;&gt;""),IF(EOMONTH($AH$3+INT((DAY(EOMONTH($AH$3,0))-1)/2)+AI$11,0)=EOMONTH($AL$3,0),AI$9*AI$10,0),0),IF(AND(AE$9&lt;&gt;"",AE$11&lt;&gt;""),IF(EOMONTH($AD$3+INT((DAY(EOMONTH($AD$3,0))-1)/2)+AE$11,0)=EOMONTH($AL$3,0),AE$9*AE$10,0),0),IF(AND(AA$9&lt;&gt;"",AA$11&lt;&gt;""),IF(EOMONTH($Z$3+INT((DAY(EOMONTH($Z$3,0))-1)/2)+AA$11,0)=EOMONTH($AL$3,0),AA$9*AA$10,0),0),IF(AND(W$9&lt;&gt;"",W$11&lt;&gt;""),IF(EOMONTH($V$3+INT((DAY(EOMONTH($V$3,0))-1)/2)+W$11,0)=EOMONTH($AL$3,0),W$9*W$10,0),0),IF(AND(S$9&lt;&gt;"",S$11&lt;&gt;""),IF(EOMONTH($R$3+INT((DAY(EOMONTH($R$3,0))-1)/2)+S$11,0)=EOMONTH($AL$3,0),S$9*S$10,0),0),IF(AND(O$9&lt;&gt;"",O$11&lt;&gt;""),IF(EOMONTH($N$3+INT((DAY(EOMONTH($N$3,0))-1)/2)+O$11,0)=EOMONTH($AL$3,0),O$9*O$10,0),0),IF(AND(K$9&lt;&gt;"",K$11&lt;&gt;""),IF(EOMONTH($J$3+INT((DAY(EOMONTH($J$3,0))-1)/2)+K$11,0)=EOMONTH($AL$3,0),K$9*K$10,0),0),IF(AND(G$9&lt;&gt;"",G$11&lt;&gt;""),IF(EOMONTH($F$3+INT((DAY(EOMONTH($F$3,0))-1)/2)+G$11,0)=EOMONTH($AL$3,0),G$9*G$10,0),0),IF($EP$75="",0,IF(EOMONTH($EP$75+EQ$11,0)=EOMONTH($AL$3,0),$EP$76*EQ$10,0))),0))</f>
        <v>17</v>
      </c>
      <c r="AN12" s="15">
        <f>ROUND(SUM(IF(AND(ER$9&lt;&gt;"",ER$11&lt;&gt;""),IF(EOMONTH($EP$3+INT((DAY(EOMONTH($EP$3,0))-1)/2)+ER$11,0)=EOMONTH($AL$3,0),ER$9*ER$10,0),0),IF(AND(EN$9&lt;&gt;"",EN$11&lt;&gt;""),IF(EOMONTH($EL$3+INT((DAY(EOMONTH($EL$3,0))-1)/2)+EN$11,0)=EOMONTH($AL$3,0),EN$9*EN$10,0),0),IF(AND(EJ$9&lt;&gt;"",EJ$11&lt;&gt;""),IF(EOMONTH($EH$3+INT((DAY(EOMONTH($EH$3,0))-1)/2)+EJ$11,0)=EOMONTH($AL$3,0),EJ$9*EJ$10,0),0),IF(AND(EF$9&lt;&gt;"",EF$11&lt;&gt;""),IF(EOMONTH($ED$3+INT((DAY(EOMONTH($ED$3,0))-1)/2)+EF$11,0)=EOMONTH($AL$3,0),EF$9*EF$10,0),0),IF(AND(EB$9&lt;&gt;"",EB$11&lt;&gt;""),IF(EOMONTH($DZ$3+INT((DAY(EOMONTH($DZ$3,0))-1)/2)+EB$11,0)=EOMONTH($AL$3,0),EB$9*EB$10,0),0),IF(AND(DX$9&lt;&gt;"",DX$11&lt;&gt;""),IF(EOMONTH($DV$3+INT((DAY(EOMONTH($DV$3,0))-1)/2)+DX$11,0)=EOMONTH($AL$3,0),DX$9*DX$10,0),0),IF(AND(DT$9&lt;&gt;"",DT$11&lt;&gt;""),IF(EOMONTH($DR$3+INT((DAY(EOMONTH($DR$3,0))-1)/2)+DT$11,0)=EOMONTH($AL$3,0),DT$9*DT$10,0),0),IF(AND(DP$9&lt;&gt;"",DP$11&lt;&gt;""),IF(EOMONTH($DN$3+INT((DAY(EOMONTH($DN$3,0))-1)/2)+DP$11,0)=EOMONTH($AL$3,0),DP$9*DP$10,0),0),IF(AND(DL$9&lt;&gt;"",DL$11&lt;&gt;""),IF(EOMONTH($DJ$3+INT((DAY(EOMONTH($DJ$3,0))-1)/2)+DL$11,0)=EOMONTH($AL$3,0),DL$9*DL$10,0),0),IF(AND(DH$9&lt;&gt;"",DH$11&lt;&gt;""),IF(EOMONTH($DF$3+INT((DAY(EOMONTH($DF$3,0))-1)/2)+DH$11,0)=EOMONTH($AL$3,0),DH$9*DH$10,0),0),IF(AND(DD$9&lt;&gt;"",DD$11&lt;&gt;""),IF(EOMONTH($DB$3+INT((DAY(EOMONTH($DB$3,0))-1)/2)+DD$11,0)=EOMONTH($AL$3,0),DD$9*DD$10,0),0),IF(AND(CZ$9&lt;&gt;"",CZ$11&lt;&gt;""),IF(EOMONTH($CX$3+INT((DAY(EOMONTH($CX$3,0))-1)/2)+CZ$11,0)=EOMONTH($AL$3,0),CZ$9*CZ$10,0),0),IF(AND(CV$9&lt;&gt;"",CV$11&lt;&gt;""),IF(EOMONTH($CT$3+INT((DAY(EOMONTH($CT$3,0))-1)/2)+CV$11,0)=EOMONTH($AL$3,0),CV$9*CV$10,0),0),IF(AND(CR$9&lt;&gt;"",CR$11&lt;&gt;""),IF(EOMONTH($CP$3+INT((DAY(EOMONTH($CP$3,0))-1)/2)+CR$11,0)=EOMONTH($AL$3,0),CR$9*CR$10,0),0),IF(AND(CN$9&lt;&gt;"",CN$11&lt;&gt;""),IF(EOMONTH($CL$3+INT((DAY(EOMONTH($CL$3,0))-1)/2)+CN$11,0)=EOMONTH($AL$3,0),CN$9*CN$10,0),0),IF(AND(CJ$9&lt;&gt;"",CJ$11&lt;&gt;""),IF(EOMONTH($CH$3+INT((DAY(EOMONTH($CH$3,0))-1)/2)+CJ$11,0)=EOMONTH($AL$3,0),CJ$9*CJ$10,0),0),IF(AND(CF$9&lt;&gt;"",CF$11&lt;&gt;""),IF(EOMONTH($CD$3+INT((DAY(EOMONTH($CD$3,0))-1)/2)+CF$11,0)=EOMONTH($AL$3,0),CF$9*CF$10,0),0),IF(AND(CB$9&lt;&gt;"",CB$11&lt;&gt;""),IF(EOMONTH($BZ$3+INT((DAY(EOMONTH($BZ$3,0))-1)/2)+CB$11,0)=EOMONTH($AL$3,0),CB$9*CB$10,0),0),IF(AND(BX$9&lt;&gt;"",BX$11&lt;&gt;""),IF(EOMONTH($BV$3+INT((DAY(EOMONTH($BV$3,0))-1)/2)+BX$11,0)=EOMONTH($AL$3,0),BX$9*BX$10,0),0),IF(AND(BT$9&lt;&gt;"",BT$11&lt;&gt;""),IF(EOMONTH($BR$3+INT((DAY(EOMONTH($BR$3,0))-1)/2)+BT$11,0)=EOMONTH($AL$3,0),BT$9*BT$10,0),0),IF(AND(BP$9&lt;&gt;"",BP$11&lt;&gt;""),IF(EOMONTH($BN$3+INT((DAY(EOMONTH($BN$3,0))-1)/2)+BP$11,0)=EOMONTH($AL$3,0),BP$9*BP$10,0),0),IF(AND(BL$9&lt;&gt;"",BL$11&lt;&gt;""),IF(EOMONTH($BJ$3+INT((DAY(EOMONTH($BJ$3,0))-1)/2)+BL$11,0)=EOMONTH($AL$3,0),BL$9*BL$10,0),0),IF(AND(BH$9&lt;&gt;"",BH$11&lt;&gt;""),IF(EOMONTH($BF$3+INT((DAY(EOMONTH($BF$3,0))-1)/2)+BH$11,0)=EOMONTH($AL$3,0),BH$9*BH$10,0),0),IF(AND(BD$9&lt;&gt;"",BD$11&lt;&gt;""),IF(EOMONTH($BB$3+INT((DAY(EOMONTH($BB$3,0))-1)/2)+BD$11,0)=EOMONTH($AL$3,0),BD$9*BD$10,0),0),IF(AND(AZ$9&lt;&gt;"",AZ$11&lt;&gt;""),IF(EOMONTH($AX$3+INT((DAY(EOMONTH($AX$3,0))-1)/2)+AZ$11,0)=EOMONTH($AL$3,0),AZ$9*AZ$10,0),0),IF(AND(AV$9&lt;&gt;"",AV$11&lt;&gt;""),IF(EOMONTH($AT$3+INT((DAY(EOMONTH($AT$3,0))-1)/2)+AV$11,0)=EOMONTH($AL$3,0),AV$9*AV$10,0),0),IF(AND(AR$9&lt;&gt;"",AR$11&lt;&gt;""),IF(EOMONTH($AP$3+INT((DAY(EOMONTH($AP$3,0))-1)/2)+AR$11,0)=EOMONTH($AL$3,0),AR$9*AR$10,0),0),IF(AND(AN$9&lt;&gt;"",AN$11&lt;&gt;""),IF(EOMONTH($AL$3+INT((DAY(EOMONTH($AL$3,0))-1)/2)+AN$11,0)=EOMONTH($AL$3,0),AN$9*AN$10,0),0),IF(AND(AJ$9&lt;&gt;"",AJ$11&lt;&gt;""),IF(EOMONTH($AH$3+INT((DAY(EOMONTH($AH$3,0))-1)/2)+AJ$11,0)=EOMONTH($AL$3,0),AJ$9*AJ$10,0),0),IF(AND(AF$9&lt;&gt;"",AF$11&lt;&gt;""),IF(EOMONTH($AD$3+INT((DAY(EOMONTH($AD$3,0))-1)/2)+AF$11,0)=EOMONTH($AL$3,0),AF$9*AF$10,0),0),IF(AND(AB$9&lt;&gt;"",AB$11&lt;&gt;""),IF(EOMONTH($Z$3+INT((DAY(EOMONTH($Z$3,0))-1)/2)+AB$11,0)=EOMONTH($AL$3,0),AB$9*AB$10,0),0),IF(AND(X$9&lt;&gt;"",X$11&lt;&gt;""),IF(EOMONTH($V$3+INT((DAY(EOMONTH($V$3,0))-1)/2)+X$11,0)=EOMONTH($AL$3,0),X$9*X$10,0),0),IF(AND(T$9&lt;&gt;"",T$11&lt;&gt;""),IF(EOMONTH($R$3+INT((DAY(EOMONTH($R$3,0))-1)/2)+T$11,0)=EOMONTH($AL$3,0),T$9*T$10,0),0),IF(AND(P$9&lt;&gt;"",P$11&lt;&gt;""),IF(EOMONTH($N$3+INT((DAY(EOMONTH($N$3,0))-1)/2)+P$11,0)=EOMONTH($AL$3,0),P$9*P$10,0),0),IF(AND(L$9&lt;&gt;"",L$11&lt;&gt;""),IF(EOMONTH($J$3+INT((DAY(EOMONTH($J$3,0))-1)/2)+L$11,0)=EOMONTH($AL$3,0),L$9*L$10,0),0),IF(AND(H$9&lt;&gt;"",H$11&lt;&gt;""),IF(EOMONTH($F$3+INT((DAY(EOMONTH($F$3,0))-1)/2)+H$11,0)=EOMONTH($AL$3,0),H$9*H$10,0),0),IF($EP$75="",0,IF(EOMONTH($EP$75+ER$11,0)=EOMONTH($AL$3,0),$EP$76*ER$10,0))),0)</f>
        <v>17</v>
      </c>
      <c r="AO12" s="16">
        <f t="shared" si="21"/>
        <v>0</v>
      </c>
      <c r="AP12" s="17"/>
      <c r="AQ12" s="14">
        <f>IF(AP$98=1,AP12,ROUND(SUM(IF(AND(EQ$9&lt;&gt;"",EQ$11&lt;&gt;""),IF(EOMONTH($EP$3+INT((DAY(EOMONTH($EP$3,0))-1)/2)+EQ$11,0)=EOMONTH($AP$3,0),EQ$9*EQ$10,0),0),IF(AND(EM$9&lt;&gt;"",EM$11&lt;&gt;""),IF(EOMONTH($EL$3+INT((DAY(EOMONTH($EL$3,0))-1)/2)+EM$11,0)=EOMONTH($AP$3,0),EM$9*EM$10,0),0),IF(AND(EI$9&lt;&gt;"",EI$11&lt;&gt;""),IF(EOMONTH($EH$3+INT((DAY(EOMONTH($EH$3,0))-1)/2)+EI$11,0)=EOMONTH($AP$3,0),EI$9*EI$10,0),0),IF(AND(EE$9&lt;&gt;"",EE$11&lt;&gt;""),IF(EOMONTH($ED$3+INT((DAY(EOMONTH($ED$3,0))-1)/2)+EE$11,0)=EOMONTH($AP$3,0),EE$9*EE$10,0),0),IF(AND(EA$9&lt;&gt;"",EA$11&lt;&gt;""),IF(EOMONTH($DZ$3+INT((DAY(EOMONTH($DZ$3,0))-1)/2)+EA$11,0)=EOMONTH($AP$3,0),EA$9*EA$10,0),0),IF(AND(DW$9&lt;&gt;"",DW$11&lt;&gt;""),IF(EOMONTH($DV$3+INT((DAY(EOMONTH($DV$3,0))-1)/2)+DW$11,0)=EOMONTH($AP$3,0),DW$9*DW$10,0),0),IF(AND(DS$9&lt;&gt;"",DS$11&lt;&gt;""),IF(EOMONTH($DR$3+INT((DAY(EOMONTH($DR$3,0))-1)/2)+DS$11,0)=EOMONTH($AP$3,0),DS$9*DS$10,0),0),IF(AND(DO$9&lt;&gt;"",DO$11&lt;&gt;""),IF(EOMONTH($DN$3+INT((DAY(EOMONTH($DN$3,0))-1)/2)+DO$11,0)=EOMONTH($AP$3,0),DO$9*DO$10,0),0),IF(AND(DK$9&lt;&gt;"",DK$11&lt;&gt;""),IF(EOMONTH($DJ$3+INT((DAY(EOMONTH($DJ$3,0))-1)/2)+DK$11,0)=EOMONTH($AP$3,0),DK$9*DK$10,0),0),IF(AND(DG$9&lt;&gt;"",DG$11&lt;&gt;""),IF(EOMONTH($DF$3+INT((DAY(EOMONTH($DF$3,0))-1)/2)+DG$11,0)=EOMONTH($AP$3,0),DG$9*DG$10,0),0),IF(AND(DC$9&lt;&gt;"",DC$11&lt;&gt;""),IF(EOMONTH($DB$3+INT((DAY(EOMONTH($DB$3,0))-1)/2)+DC$11,0)=EOMONTH($AP$3,0),DC$9*DC$10,0),0),IF(AND(CY$9&lt;&gt;"",CY$11&lt;&gt;""),IF(EOMONTH($CX$3+INT((DAY(EOMONTH($CX$3,0))-1)/2)+CY$11,0)=EOMONTH($AP$3,0),CY$9*CY$10,0),0),IF(AND(CU$9&lt;&gt;"",CU$11&lt;&gt;""),IF(EOMONTH($CT$3+INT((DAY(EOMONTH($CT$3,0))-1)/2)+CU$11,0)=EOMONTH($AP$3,0),CU$9*CU$10,0),0),IF(AND(CQ$9&lt;&gt;"",CQ$11&lt;&gt;""),IF(EOMONTH($CP$3+INT((DAY(EOMONTH($CP$3,0))-1)/2)+CQ$11,0)=EOMONTH($AP$3,0),CQ$9*CQ$10,0),0),IF(AND(CM$9&lt;&gt;"",CM$11&lt;&gt;""),IF(EOMONTH($CL$3+INT((DAY(EOMONTH($CL$3,0))-1)/2)+CM$11,0)=EOMONTH($AP$3,0),CM$9*CM$10,0),0),IF(AND(CI$9&lt;&gt;"",CI$11&lt;&gt;""),IF(EOMONTH($CH$3+INT((DAY(EOMONTH($CH$3,0))-1)/2)+CI$11,0)=EOMONTH($AP$3,0),CI$9*CI$10,0),0),IF(AND(CE$9&lt;&gt;"",CE$11&lt;&gt;""),IF(EOMONTH($CD$3+INT((DAY(EOMONTH($CD$3,0))-1)/2)+CE$11,0)=EOMONTH($AP$3,0),CE$9*CE$10,0),0),IF(AND(CA$9&lt;&gt;"",CA$11&lt;&gt;""),IF(EOMONTH($BZ$3+INT((DAY(EOMONTH($BZ$3,0))-1)/2)+CA$11,0)=EOMONTH($AP$3,0),CA$9*CA$10,0),0),IF(AND(BW$9&lt;&gt;"",BW$11&lt;&gt;""),IF(EOMONTH($BV$3+INT((DAY(EOMONTH($BV$3,0))-1)/2)+BW$11,0)=EOMONTH($AP$3,0),BW$9*BW$10,0),0),IF(AND(BS$9&lt;&gt;"",BS$11&lt;&gt;""),IF(EOMONTH($BR$3+INT((DAY(EOMONTH($BR$3,0))-1)/2)+BS$11,0)=EOMONTH($AP$3,0),BS$9*BS$10,0),0),IF(AND(BO$9&lt;&gt;"",BO$11&lt;&gt;""),IF(EOMONTH($BN$3+INT((DAY(EOMONTH($BN$3,0))-1)/2)+BO$11,0)=EOMONTH($AP$3,0),BO$9*BO$10,0),0),IF(AND(BK$9&lt;&gt;"",BK$11&lt;&gt;""),IF(EOMONTH($BJ$3+INT((DAY(EOMONTH($BJ$3,0))-1)/2)+BK$11,0)=EOMONTH($AP$3,0),BK$9*BK$10,0),0),IF(AND(BG$9&lt;&gt;"",BG$11&lt;&gt;""),IF(EOMONTH($BF$3+INT((DAY(EOMONTH($BF$3,0))-1)/2)+BG$11,0)=EOMONTH($AP$3,0),BG$9*BG$10,0),0),IF(AND(BC$9&lt;&gt;"",BC$11&lt;&gt;""),IF(EOMONTH($BB$3+INT((DAY(EOMONTH($BB$3,0))-1)/2)+BC$11,0)=EOMONTH($AP$3,0),BC$9*BC$10,0),0),IF(AND(AY$9&lt;&gt;"",AY$11&lt;&gt;""),IF(EOMONTH($AX$3+INT((DAY(EOMONTH($AX$3,0))-1)/2)+AY$11,0)=EOMONTH($AP$3,0),AY$9*AY$10,0),0),IF(AND(AU$9&lt;&gt;"",AU$11&lt;&gt;""),IF(EOMONTH($AT$3+INT((DAY(EOMONTH($AT$3,0))-1)/2)+AU$11,0)=EOMONTH($AP$3,0),AU$9*AU$10,0),0),IF(AND(AQ$9&lt;&gt;"",AQ$11&lt;&gt;""),IF(EOMONTH($AP$3+INT((DAY(EOMONTH($AP$3,0))-1)/2)+AQ$11,0)=EOMONTH($AP$3,0),AQ$9*AQ$10,0),0),IF(AND(AM$9&lt;&gt;"",AM$11&lt;&gt;""),IF(EOMONTH($AL$3+INT((DAY(EOMONTH($AL$3,0))-1)/2)+AM$11,0)=EOMONTH($AP$3,0),AM$9*AM$10,0),0),IF(AND(AI$9&lt;&gt;"",AI$11&lt;&gt;""),IF(EOMONTH($AH$3+INT((DAY(EOMONTH($AH$3,0))-1)/2)+AI$11,0)=EOMONTH($AP$3,0),AI$9*AI$10,0),0),IF(AND(AE$9&lt;&gt;"",AE$11&lt;&gt;""),IF(EOMONTH($AD$3+INT((DAY(EOMONTH($AD$3,0))-1)/2)+AE$11,0)=EOMONTH($AP$3,0),AE$9*AE$10,0),0),IF(AND(AA$9&lt;&gt;"",AA$11&lt;&gt;""),IF(EOMONTH($Z$3+INT((DAY(EOMONTH($Z$3,0))-1)/2)+AA$11,0)=EOMONTH($AP$3,0),AA$9*AA$10,0),0),IF(AND(W$9&lt;&gt;"",W$11&lt;&gt;""),IF(EOMONTH($V$3+INT((DAY(EOMONTH($V$3,0))-1)/2)+W$11,0)=EOMONTH($AP$3,0),W$9*W$10,0),0),IF(AND(S$9&lt;&gt;"",S$11&lt;&gt;""),IF(EOMONTH($R$3+INT((DAY(EOMONTH($R$3,0))-1)/2)+S$11,0)=EOMONTH($AP$3,0),S$9*S$10,0),0),IF(AND(O$9&lt;&gt;"",O$11&lt;&gt;""),IF(EOMONTH($N$3+INT((DAY(EOMONTH($N$3,0))-1)/2)+O$11,0)=EOMONTH($AP$3,0),O$9*O$10,0),0),IF(AND(K$9&lt;&gt;"",K$11&lt;&gt;""),IF(EOMONTH($J$3+INT((DAY(EOMONTH($J$3,0))-1)/2)+K$11,0)=EOMONTH($AP$3,0),K$9*K$10,0),0),IF(AND(G$9&lt;&gt;"",G$11&lt;&gt;""),IF(EOMONTH($F$3+INT((DAY(EOMONTH($F$3,0))-1)/2)+G$11,0)=EOMONTH($AP$3,0),G$9*G$10,0),0),IF($EP$75="",0,IF(EOMONTH($EP$75+EQ$11,0)=EOMONTH($AP$3,0),$EP$76*EQ$10,0))),0))</f>
        <v>16</v>
      </c>
      <c r="AR12" s="15">
        <f>ROUND(SUM(IF(AND(ER$9&lt;&gt;"",ER$11&lt;&gt;""),IF(EOMONTH($EP$3+INT((DAY(EOMONTH($EP$3,0))-1)/2)+ER$11,0)=EOMONTH($AP$3,0),ER$9*ER$10,0),0),IF(AND(EN$9&lt;&gt;"",EN$11&lt;&gt;""),IF(EOMONTH($EL$3+INT((DAY(EOMONTH($EL$3,0))-1)/2)+EN$11,0)=EOMONTH($AP$3,0),EN$9*EN$10,0),0),IF(AND(EJ$9&lt;&gt;"",EJ$11&lt;&gt;""),IF(EOMONTH($EH$3+INT((DAY(EOMONTH($EH$3,0))-1)/2)+EJ$11,0)=EOMONTH($AP$3,0),EJ$9*EJ$10,0),0),IF(AND(EF$9&lt;&gt;"",EF$11&lt;&gt;""),IF(EOMONTH($ED$3+INT((DAY(EOMONTH($ED$3,0))-1)/2)+EF$11,0)=EOMONTH($AP$3,0),EF$9*EF$10,0),0),IF(AND(EB$9&lt;&gt;"",EB$11&lt;&gt;""),IF(EOMONTH($DZ$3+INT((DAY(EOMONTH($DZ$3,0))-1)/2)+EB$11,0)=EOMONTH($AP$3,0),EB$9*EB$10,0),0),IF(AND(DX$9&lt;&gt;"",DX$11&lt;&gt;""),IF(EOMONTH($DV$3+INT((DAY(EOMONTH($DV$3,0))-1)/2)+DX$11,0)=EOMONTH($AP$3,0),DX$9*DX$10,0),0),IF(AND(DT$9&lt;&gt;"",DT$11&lt;&gt;""),IF(EOMONTH($DR$3+INT((DAY(EOMONTH($DR$3,0))-1)/2)+DT$11,0)=EOMONTH($AP$3,0),DT$9*DT$10,0),0),IF(AND(DP$9&lt;&gt;"",DP$11&lt;&gt;""),IF(EOMONTH($DN$3+INT((DAY(EOMONTH($DN$3,0))-1)/2)+DP$11,0)=EOMONTH($AP$3,0),DP$9*DP$10,0),0),IF(AND(DL$9&lt;&gt;"",DL$11&lt;&gt;""),IF(EOMONTH($DJ$3+INT((DAY(EOMONTH($DJ$3,0))-1)/2)+DL$11,0)=EOMONTH($AP$3,0),DL$9*DL$10,0),0),IF(AND(DH$9&lt;&gt;"",DH$11&lt;&gt;""),IF(EOMONTH($DF$3+INT((DAY(EOMONTH($DF$3,0))-1)/2)+DH$11,0)=EOMONTH($AP$3,0),DH$9*DH$10,0),0),IF(AND(DD$9&lt;&gt;"",DD$11&lt;&gt;""),IF(EOMONTH($DB$3+INT((DAY(EOMONTH($DB$3,0))-1)/2)+DD$11,0)=EOMONTH($AP$3,0),DD$9*DD$10,0),0),IF(AND(CZ$9&lt;&gt;"",CZ$11&lt;&gt;""),IF(EOMONTH($CX$3+INT((DAY(EOMONTH($CX$3,0))-1)/2)+CZ$11,0)=EOMONTH($AP$3,0),CZ$9*CZ$10,0),0),IF(AND(CV$9&lt;&gt;"",CV$11&lt;&gt;""),IF(EOMONTH($CT$3+INT((DAY(EOMONTH($CT$3,0))-1)/2)+CV$11,0)=EOMONTH($AP$3,0),CV$9*CV$10,0),0),IF(AND(CR$9&lt;&gt;"",CR$11&lt;&gt;""),IF(EOMONTH($CP$3+INT((DAY(EOMONTH($CP$3,0))-1)/2)+CR$11,0)=EOMONTH($AP$3,0),CR$9*CR$10,0),0),IF(AND(CN$9&lt;&gt;"",CN$11&lt;&gt;""),IF(EOMONTH($CL$3+INT((DAY(EOMONTH($CL$3,0))-1)/2)+CN$11,0)=EOMONTH($AP$3,0),CN$9*CN$10,0),0),IF(AND(CJ$9&lt;&gt;"",CJ$11&lt;&gt;""),IF(EOMONTH($CH$3+INT((DAY(EOMONTH($CH$3,0))-1)/2)+CJ$11,0)=EOMONTH($AP$3,0),CJ$9*CJ$10,0),0),IF(AND(CF$9&lt;&gt;"",CF$11&lt;&gt;""),IF(EOMONTH($CD$3+INT((DAY(EOMONTH($CD$3,0))-1)/2)+CF$11,0)=EOMONTH($AP$3,0),CF$9*CF$10,0),0),IF(AND(CB$9&lt;&gt;"",CB$11&lt;&gt;""),IF(EOMONTH($BZ$3+INT((DAY(EOMONTH($BZ$3,0))-1)/2)+CB$11,0)=EOMONTH($AP$3,0),CB$9*CB$10,0),0),IF(AND(BX$9&lt;&gt;"",BX$11&lt;&gt;""),IF(EOMONTH($BV$3+INT((DAY(EOMONTH($BV$3,0))-1)/2)+BX$11,0)=EOMONTH($AP$3,0),BX$9*BX$10,0),0),IF(AND(BT$9&lt;&gt;"",BT$11&lt;&gt;""),IF(EOMONTH($BR$3+INT((DAY(EOMONTH($BR$3,0))-1)/2)+BT$11,0)=EOMONTH($AP$3,0),BT$9*BT$10,0),0),IF(AND(BP$9&lt;&gt;"",BP$11&lt;&gt;""),IF(EOMONTH($BN$3+INT((DAY(EOMONTH($BN$3,0))-1)/2)+BP$11,0)=EOMONTH($AP$3,0),BP$9*BP$10,0),0),IF(AND(BL$9&lt;&gt;"",BL$11&lt;&gt;""),IF(EOMONTH($BJ$3+INT((DAY(EOMONTH($BJ$3,0))-1)/2)+BL$11,0)=EOMONTH($AP$3,0),BL$9*BL$10,0),0),IF(AND(BH$9&lt;&gt;"",BH$11&lt;&gt;""),IF(EOMONTH($BF$3+INT((DAY(EOMONTH($BF$3,0))-1)/2)+BH$11,0)=EOMONTH($AP$3,0),BH$9*BH$10,0),0),IF(AND(BD$9&lt;&gt;"",BD$11&lt;&gt;""),IF(EOMONTH($BB$3+INT((DAY(EOMONTH($BB$3,0))-1)/2)+BD$11,0)=EOMONTH($AP$3,0),BD$9*BD$10,0),0),IF(AND(AZ$9&lt;&gt;"",AZ$11&lt;&gt;""),IF(EOMONTH($AX$3+INT((DAY(EOMONTH($AX$3,0))-1)/2)+AZ$11,0)=EOMONTH($AP$3,0),AZ$9*AZ$10,0),0),IF(AND(AV$9&lt;&gt;"",AV$11&lt;&gt;""),IF(EOMONTH($AT$3+INT((DAY(EOMONTH($AT$3,0))-1)/2)+AV$11,0)=EOMONTH($AP$3,0),AV$9*AV$10,0),0),IF(AND(AR$9&lt;&gt;"",AR$11&lt;&gt;""),IF(EOMONTH($AP$3+INT((DAY(EOMONTH($AP$3,0))-1)/2)+AR$11,0)=EOMONTH($AP$3,0),AR$9*AR$10,0),0),IF(AND(AN$9&lt;&gt;"",AN$11&lt;&gt;""),IF(EOMONTH($AL$3+INT((DAY(EOMONTH($AL$3,0))-1)/2)+AN$11,0)=EOMONTH($AP$3,0),AN$9*AN$10,0),0),IF(AND(AJ$9&lt;&gt;"",AJ$11&lt;&gt;""),IF(EOMONTH($AH$3+INT((DAY(EOMONTH($AH$3,0))-1)/2)+AJ$11,0)=EOMONTH($AP$3,0),AJ$9*AJ$10,0),0),IF(AND(AF$9&lt;&gt;"",AF$11&lt;&gt;""),IF(EOMONTH($AD$3+INT((DAY(EOMONTH($AD$3,0))-1)/2)+AF$11,0)=EOMONTH($AP$3,0),AF$9*AF$10,0),0),IF(AND(AB$9&lt;&gt;"",AB$11&lt;&gt;""),IF(EOMONTH($Z$3+INT((DAY(EOMONTH($Z$3,0))-1)/2)+AB$11,0)=EOMONTH($AP$3,0),AB$9*AB$10,0),0),IF(AND(X$9&lt;&gt;"",X$11&lt;&gt;""),IF(EOMONTH($V$3+INT((DAY(EOMONTH($V$3,0))-1)/2)+X$11,0)=EOMONTH($AP$3,0),X$9*X$10,0),0),IF(AND(T$9&lt;&gt;"",T$11&lt;&gt;""),IF(EOMONTH($R$3+INT((DAY(EOMONTH($R$3,0))-1)/2)+T$11,0)=EOMONTH($AP$3,0),T$9*T$10,0),0),IF(AND(P$9&lt;&gt;"",P$11&lt;&gt;""),IF(EOMONTH($N$3+INT((DAY(EOMONTH($N$3,0))-1)/2)+P$11,0)=EOMONTH($AP$3,0),P$9*P$10,0),0),IF(AND(L$9&lt;&gt;"",L$11&lt;&gt;""),IF(EOMONTH($J$3+INT((DAY(EOMONTH($J$3,0))-1)/2)+L$11,0)=EOMONTH($AP$3,0),L$9*L$10,0),0),IF(AND(H$9&lt;&gt;"",H$11&lt;&gt;""),IF(EOMONTH($F$3+INT((DAY(EOMONTH($F$3,0))-1)/2)+H$11,0)=EOMONTH($AP$3,0),H$9*H$10,0),0),IF($EP$75="",0,IF(EOMONTH($EP$75+ER$11,0)=EOMONTH($AP$3,0),$EP$76*ER$10,0))),0)</f>
        <v>16</v>
      </c>
      <c r="AS12" s="16">
        <f t="shared" si="23"/>
        <v>0</v>
      </c>
      <c r="AT12" s="17"/>
      <c r="AU12" s="14">
        <f>IF(AT$98=1,AT12,ROUND(SUM(IF(AND(EQ$9&lt;&gt;"",EQ$11&lt;&gt;""),IF(EOMONTH($EP$3+INT((DAY(EOMONTH($EP$3,0))-1)/2)+EQ$11,0)=EOMONTH($AT$3,0),EQ$9*EQ$10,0),0),IF(AND(EM$9&lt;&gt;"",EM$11&lt;&gt;""),IF(EOMONTH($EL$3+INT((DAY(EOMONTH($EL$3,0))-1)/2)+EM$11,0)=EOMONTH($AT$3,0),EM$9*EM$10,0),0),IF(AND(EI$9&lt;&gt;"",EI$11&lt;&gt;""),IF(EOMONTH($EH$3+INT((DAY(EOMONTH($EH$3,0))-1)/2)+EI$11,0)=EOMONTH($AT$3,0),EI$9*EI$10,0),0),IF(AND(EE$9&lt;&gt;"",EE$11&lt;&gt;""),IF(EOMONTH($ED$3+INT((DAY(EOMONTH($ED$3,0))-1)/2)+EE$11,0)=EOMONTH($AT$3,0),EE$9*EE$10,0),0),IF(AND(EA$9&lt;&gt;"",EA$11&lt;&gt;""),IF(EOMONTH($DZ$3+INT((DAY(EOMONTH($DZ$3,0))-1)/2)+EA$11,0)=EOMONTH($AT$3,0),EA$9*EA$10,0),0),IF(AND(DW$9&lt;&gt;"",DW$11&lt;&gt;""),IF(EOMONTH($DV$3+INT((DAY(EOMONTH($DV$3,0))-1)/2)+DW$11,0)=EOMONTH($AT$3,0),DW$9*DW$10,0),0),IF(AND(DS$9&lt;&gt;"",DS$11&lt;&gt;""),IF(EOMONTH($DR$3+INT((DAY(EOMONTH($DR$3,0))-1)/2)+DS$11,0)=EOMONTH($AT$3,0),DS$9*DS$10,0),0),IF(AND(DO$9&lt;&gt;"",DO$11&lt;&gt;""),IF(EOMONTH($DN$3+INT((DAY(EOMONTH($DN$3,0))-1)/2)+DO$11,0)=EOMONTH($AT$3,0),DO$9*DO$10,0),0),IF(AND(DK$9&lt;&gt;"",DK$11&lt;&gt;""),IF(EOMONTH($DJ$3+INT((DAY(EOMONTH($DJ$3,0))-1)/2)+DK$11,0)=EOMONTH($AT$3,0),DK$9*DK$10,0),0),IF(AND(DG$9&lt;&gt;"",DG$11&lt;&gt;""),IF(EOMONTH($DF$3+INT((DAY(EOMONTH($DF$3,0))-1)/2)+DG$11,0)=EOMONTH($AT$3,0),DG$9*DG$10,0),0),IF(AND(DC$9&lt;&gt;"",DC$11&lt;&gt;""),IF(EOMONTH($DB$3+INT((DAY(EOMONTH($DB$3,0))-1)/2)+DC$11,0)=EOMONTH($AT$3,0),DC$9*DC$10,0),0),IF(AND(CY$9&lt;&gt;"",CY$11&lt;&gt;""),IF(EOMONTH($CX$3+INT((DAY(EOMONTH($CX$3,0))-1)/2)+CY$11,0)=EOMONTH($AT$3,0),CY$9*CY$10,0),0),IF(AND(CU$9&lt;&gt;"",CU$11&lt;&gt;""),IF(EOMONTH($CT$3+INT((DAY(EOMONTH($CT$3,0))-1)/2)+CU$11,0)=EOMONTH($AT$3,0),CU$9*CU$10,0),0),IF(AND(CQ$9&lt;&gt;"",CQ$11&lt;&gt;""),IF(EOMONTH($CP$3+INT((DAY(EOMONTH($CP$3,0))-1)/2)+CQ$11,0)=EOMONTH($AT$3,0),CQ$9*CQ$10,0),0),IF(AND(CM$9&lt;&gt;"",CM$11&lt;&gt;""),IF(EOMONTH($CL$3+INT((DAY(EOMONTH($CL$3,0))-1)/2)+CM$11,0)=EOMONTH($AT$3,0),CM$9*CM$10,0),0),IF(AND(CI$9&lt;&gt;"",CI$11&lt;&gt;""),IF(EOMONTH($CH$3+INT((DAY(EOMONTH($CH$3,0))-1)/2)+CI$11,0)=EOMONTH($AT$3,0),CI$9*CI$10,0),0),IF(AND(CE$9&lt;&gt;"",CE$11&lt;&gt;""),IF(EOMONTH($CD$3+INT((DAY(EOMONTH($CD$3,0))-1)/2)+CE$11,0)=EOMONTH($AT$3,0),CE$9*CE$10,0),0),IF(AND(CA$9&lt;&gt;"",CA$11&lt;&gt;""),IF(EOMONTH($BZ$3+INT((DAY(EOMONTH($BZ$3,0))-1)/2)+CA$11,0)=EOMONTH($AT$3,0),CA$9*CA$10,0),0),IF(AND(BW$9&lt;&gt;"",BW$11&lt;&gt;""),IF(EOMONTH($BV$3+INT((DAY(EOMONTH($BV$3,0))-1)/2)+BW$11,0)=EOMONTH($AT$3,0),BW$9*BW$10,0),0),IF(AND(BS$9&lt;&gt;"",BS$11&lt;&gt;""),IF(EOMONTH($BR$3+INT((DAY(EOMONTH($BR$3,0))-1)/2)+BS$11,0)=EOMONTH($AT$3,0),BS$9*BS$10,0),0),IF(AND(BO$9&lt;&gt;"",BO$11&lt;&gt;""),IF(EOMONTH($BN$3+INT((DAY(EOMONTH($BN$3,0))-1)/2)+BO$11,0)=EOMONTH($AT$3,0),BO$9*BO$10,0),0),IF(AND(BK$9&lt;&gt;"",BK$11&lt;&gt;""),IF(EOMONTH($BJ$3+INT((DAY(EOMONTH($BJ$3,0))-1)/2)+BK$11,0)=EOMONTH($AT$3,0),BK$9*BK$10,0),0),IF(AND(BG$9&lt;&gt;"",BG$11&lt;&gt;""),IF(EOMONTH($BF$3+INT((DAY(EOMONTH($BF$3,0))-1)/2)+BG$11,0)=EOMONTH($AT$3,0),BG$9*BG$10,0),0),IF(AND(BC$9&lt;&gt;"",BC$11&lt;&gt;""),IF(EOMONTH($BB$3+INT((DAY(EOMONTH($BB$3,0))-1)/2)+BC$11,0)=EOMONTH($AT$3,0),BC$9*BC$10,0),0),IF(AND(AY$9&lt;&gt;"",AY$11&lt;&gt;""),IF(EOMONTH($AX$3+INT((DAY(EOMONTH($AX$3,0))-1)/2)+AY$11,0)=EOMONTH($AT$3,0),AY$9*AY$10,0),0),IF(AND(AU$9&lt;&gt;"",AU$11&lt;&gt;""),IF(EOMONTH($AT$3+INT((DAY(EOMONTH($AT$3,0))-1)/2)+AU$11,0)=EOMONTH($AT$3,0),AU$9*AU$10,0),0),IF(AND(AQ$9&lt;&gt;"",AQ$11&lt;&gt;""),IF(EOMONTH($AP$3+INT((DAY(EOMONTH($AP$3,0))-1)/2)+AQ$11,0)=EOMONTH($AT$3,0),AQ$9*AQ$10,0),0),IF(AND(AM$9&lt;&gt;"",AM$11&lt;&gt;""),IF(EOMONTH($AL$3+INT((DAY(EOMONTH($AL$3,0))-1)/2)+AM$11,0)=EOMONTH($AT$3,0),AM$9*AM$10,0),0),IF(AND(AI$9&lt;&gt;"",AI$11&lt;&gt;""),IF(EOMONTH($AH$3+INT((DAY(EOMONTH($AH$3,0))-1)/2)+AI$11,0)=EOMONTH($AT$3,0),AI$9*AI$10,0),0),IF(AND(AE$9&lt;&gt;"",AE$11&lt;&gt;""),IF(EOMONTH($AD$3+INT((DAY(EOMONTH($AD$3,0))-1)/2)+AE$11,0)=EOMONTH($AT$3,0),AE$9*AE$10,0),0),IF(AND(AA$9&lt;&gt;"",AA$11&lt;&gt;""),IF(EOMONTH($Z$3+INT((DAY(EOMONTH($Z$3,0))-1)/2)+AA$11,0)=EOMONTH($AT$3,0),AA$9*AA$10,0),0),IF(AND(W$9&lt;&gt;"",W$11&lt;&gt;""),IF(EOMONTH($V$3+INT((DAY(EOMONTH($V$3,0))-1)/2)+W$11,0)=EOMONTH($AT$3,0),W$9*W$10,0),0),IF(AND(S$9&lt;&gt;"",S$11&lt;&gt;""),IF(EOMONTH($R$3+INT((DAY(EOMONTH($R$3,0))-1)/2)+S$11,0)=EOMONTH($AT$3,0),S$9*S$10,0),0),IF(AND(O$9&lt;&gt;"",O$11&lt;&gt;""),IF(EOMONTH($N$3+INT((DAY(EOMONTH($N$3,0))-1)/2)+O$11,0)=EOMONTH($AT$3,0),O$9*O$10,0),0),IF(AND(K$9&lt;&gt;"",K$11&lt;&gt;""),IF(EOMONTH($J$3+INT((DAY(EOMONTH($J$3,0))-1)/2)+K$11,0)=EOMONTH($AT$3,0),K$9*K$10,0),0),IF(AND(G$9&lt;&gt;"",G$11&lt;&gt;""),IF(EOMONTH($F$3+INT((DAY(EOMONTH($F$3,0))-1)/2)+G$11,0)=EOMONTH($AT$3,0),G$9*G$10,0),0),IF($EP$75="",0,IF(EOMONTH($EP$75+EQ$11,0)=EOMONTH($AT$3,0),$EP$76*EQ$10,0))),0))</f>
        <v>16</v>
      </c>
      <c r="AV12" s="15">
        <f>ROUND(SUM(IF(AND(ER$9&lt;&gt;"",ER$11&lt;&gt;""),IF(EOMONTH($EP$3+INT((DAY(EOMONTH($EP$3,0))-1)/2)+ER$11,0)=EOMONTH($AT$3,0),ER$9*ER$10,0),0),IF(AND(EN$9&lt;&gt;"",EN$11&lt;&gt;""),IF(EOMONTH($EL$3+INT((DAY(EOMONTH($EL$3,0))-1)/2)+EN$11,0)=EOMONTH($AT$3,0),EN$9*EN$10,0),0),IF(AND(EJ$9&lt;&gt;"",EJ$11&lt;&gt;""),IF(EOMONTH($EH$3+INT((DAY(EOMONTH($EH$3,0))-1)/2)+EJ$11,0)=EOMONTH($AT$3,0),EJ$9*EJ$10,0),0),IF(AND(EF$9&lt;&gt;"",EF$11&lt;&gt;""),IF(EOMONTH($ED$3+INT((DAY(EOMONTH($ED$3,0))-1)/2)+EF$11,0)=EOMONTH($AT$3,0),EF$9*EF$10,0),0),IF(AND(EB$9&lt;&gt;"",EB$11&lt;&gt;""),IF(EOMONTH($DZ$3+INT((DAY(EOMONTH($DZ$3,0))-1)/2)+EB$11,0)=EOMONTH($AT$3,0),EB$9*EB$10,0),0),IF(AND(DX$9&lt;&gt;"",DX$11&lt;&gt;""),IF(EOMONTH($DV$3+INT((DAY(EOMONTH($DV$3,0))-1)/2)+DX$11,0)=EOMONTH($AT$3,0),DX$9*DX$10,0),0),IF(AND(DT$9&lt;&gt;"",DT$11&lt;&gt;""),IF(EOMONTH($DR$3+INT((DAY(EOMONTH($DR$3,0))-1)/2)+DT$11,0)=EOMONTH($AT$3,0),DT$9*DT$10,0),0),IF(AND(DP$9&lt;&gt;"",DP$11&lt;&gt;""),IF(EOMONTH($DN$3+INT((DAY(EOMONTH($DN$3,0))-1)/2)+DP$11,0)=EOMONTH($AT$3,0),DP$9*DP$10,0),0),IF(AND(DL$9&lt;&gt;"",DL$11&lt;&gt;""),IF(EOMONTH($DJ$3+INT((DAY(EOMONTH($DJ$3,0))-1)/2)+DL$11,0)=EOMONTH($AT$3,0),DL$9*DL$10,0),0),IF(AND(DH$9&lt;&gt;"",DH$11&lt;&gt;""),IF(EOMONTH($DF$3+INT((DAY(EOMONTH($DF$3,0))-1)/2)+DH$11,0)=EOMONTH($AT$3,0),DH$9*DH$10,0),0),IF(AND(DD$9&lt;&gt;"",DD$11&lt;&gt;""),IF(EOMONTH($DB$3+INT((DAY(EOMONTH($DB$3,0))-1)/2)+DD$11,0)=EOMONTH($AT$3,0),DD$9*DD$10,0),0),IF(AND(CZ$9&lt;&gt;"",CZ$11&lt;&gt;""),IF(EOMONTH($CX$3+INT((DAY(EOMONTH($CX$3,0))-1)/2)+CZ$11,0)=EOMONTH($AT$3,0),CZ$9*CZ$10,0),0),IF(AND(CV$9&lt;&gt;"",CV$11&lt;&gt;""),IF(EOMONTH($CT$3+INT((DAY(EOMONTH($CT$3,0))-1)/2)+CV$11,0)=EOMONTH($AT$3,0),CV$9*CV$10,0),0),IF(AND(CR$9&lt;&gt;"",CR$11&lt;&gt;""),IF(EOMONTH($CP$3+INT((DAY(EOMONTH($CP$3,0))-1)/2)+CR$11,0)=EOMONTH($AT$3,0),CR$9*CR$10,0),0),IF(AND(CN$9&lt;&gt;"",CN$11&lt;&gt;""),IF(EOMONTH($CL$3+INT((DAY(EOMONTH($CL$3,0))-1)/2)+CN$11,0)=EOMONTH($AT$3,0),CN$9*CN$10,0),0),IF(AND(CJ$9&lt;&gt;"",CJ$11&lt;&gt;""),IF(EOMONTH($CH$3+INT((DAY(EOMONTH($CH$3,0))-1)/2)+CJ$11,0)=EOMONTH($AT$3,0),CJ$9*CJ$10,0),0),IF(AND(CF$9&lt;&gt;"",CF$11&lt;&gt;""),IF(EOMONTH($CD$3+INT((DAY(EOMONTH($CD$3,0))-1)/2)+CF$11,0)=EOMONTH($AT$3,0),CF$9*CF$10,0),0),IF(AND(CB$9&lt;&gt;"",CB$11&lt;&gt;""),IF(EOMONTH($BZ$3+INT((DAY(EOMONTH($BZ$3,0))-1)/2)+CB$11,0)=EOMONTH($AT$3,0),CB$9*CB$10,0),0),IF(AND(BX$9&lt;&gt;"",BX$11&lt;&gt;""),IF(EOMONTH($BV$3+INT((DAY(EOMONTH($BV$3,0))-1)/2)+BX$11,0)=EOMONTH($AT$3,0),BX$9*BX$10,0),0),IF(AND(BT$9&lt;&gt;"",BT$11&lt;&gt;""),IF(EOMONTH($BR$3+INT((DAY(EOMONTH($BR$3,0))-1)/2)+BT$11,0)=EOMONTH($AT$3,0),BT$9*BT$10,0),0),IF(AND(BP$9&lt;&gt;"",BP$11&lt;&gt;""),IF(EOMONTH($BN$3+INT((DAY(EOMONTH($BN$3,0))-1)/2)+BP$11,0)=EOMONTH($AT$3,0),BP$9*BP$10,0),0),IF(AND(BL$9&lt;&gt;"",BL$11&lt;&gt;""),IF(EOMONTH($BJ$3+INT((DAY(EOMONTH($BJ$3,0))-1)/2)+BL$11,0)=EOMONTH($AT$3,0),BL$9*BL$10,0),0),IF(AND(BH$9&lt;&gt;"",BH$11&lt;&gt;""),IF(EOMONTH($BF$3+INT((DAY(EOMONTH($BF$3,0))-1)/2)+BH$11,0)=EOMONTH($AT$3,0),BH$9*BH$10,0),0),IF(AND(BD$9&lt;&gt;"",BD$11&lt;&gt;""),IF(EOMONTH($BB$3+INT((DAY(EOMONTH($BB$3,0))-1)/2)+BD$11,0)=EOMONTH($AT$3,0),BD$9*BD$10,0),0),IF(AND(AZ$9&lt;&gt;"",AZ$11&lt;&gt;""),IF(EOMONTH($AX$3+INT((DAY(EOMONTH($AX$3,0))-1)/2)+AZ$11,0)=EOMONTH($AT$3,0),AZ$9*AZ$10,0),0),IF(AND(AV$9&lt;&gt;"",AV$11&lt;&gt;""),IF(EOMONTH($AT$3+INT((DAY(EOMONTH($AT$3,0))-1)/2)+AV$11,0)=EOMONTH($AT$3,0),AV$9*AV$10,0),0),IF(AND(AR$9&lt;&gt;"",AR$11&lt;&gt;""),IF(EOMONTH($AP$3+INT((DAY(EOMONTH($AP$3,0))-1)/2)+AR$11,0)=EOMONTH($AT$3,0),AR$9*AR$10,0),0),IF(AND(AN$9&lt;&gt;"",AN$11&lt;&gt;""),IF(EOMONTH($AL$3+INT((DAY(EOMONTH($AL$3,0))-1)/2)+AN$11,0)=EOMONTH($AT$3,0),AN$9*AN$10,0),0),IF(AND(AJ$9&lt;&gt;"",AJ$11&lt;&gt;""),IF(EOMONTH($AH$3+INT((DAY(EOMONTH($AH$3,0))-1)/2)+AJ$11,0)=EOMONTH($AT$3,0),AJ$9*AJ$10,0),0),IF(AND(AF$9&lt;&gt;"",AF$11&lt;&gt;""),IF(EOMONTH($AD$3+INT((DAY(EOMONTH($AD$3,0))-1)/2)+AF$11,0)=EOMONTH($AT$3,0),AF$9*AF$10,0),0),IF(AND(AB$9&lt;&gt;"",AB$11&lt;&gt;""),IF(EOMONTH($Z$3+INT((DAY(EOMONTH($Z$3,0))-1)/2)+AB$11,0)=EOMONTH($AT$3,0),AB$9*AB$10,0),0),IF(AND(X$9&lt;&gt;"",X$11&lt;&gt;""),IF(EOMONTH($V$3+INT((DAY(EOMONTH($V$3,0))-1)/2)+X$11,0)=EOMONTH($AT$3,0),X$9*X$10,0),0),IF(AND(T$9&lt;&gt;"",T$11&lt;&gt;""),IF(EOMONTH($R$3+INT((DAY(EOMONTH($R$3,0))-1)/2)+T$11,0)=EOMONTH($AT$3,0),T$9*T$10,0),0),IF(AND(P$9&lt;&gt;"",P$11&lt;&gt;""),IF(EOMONTH($N$3+INT((DAY(EOMONTH($N$3,0))-1)/2)+P$11,0)=EOMONTH($AT$3,0),P$9*P$10,0),0),IF(AND(L$9&lt;&gt;"",L$11&lt;&gt;""),IF(EOMONTH($J$3+INT((DAY(EOMONTH($J$3,0))-1)/2)+L$11,0)=EOMONTH($AT$3,0),L$9*L$10,0),0),IF(AND(H$9&lt;&gt;"",H$11&lt;&gt;""),IF(EOMONTH($F$3+INT((DAY(EOMONTH($F$3,0))-1)/2)+H$11,0)=EOMONTH($AT$3,0),H$9*H$10,0),0),IF($EP$75="",0,IF(EOMONTH($EP$75+ER$11,0)=EOMONTH($AT$3,0),$EP$76*ER$10,0))),0)</f>
        <v>16</v>
      </c>
      <c r="AW12" s="16">
        <f t="shared" si="25"/>
        <v>0</v>
      </c>
      <c r="AX12" s="17"/>
      <c r="AY12" s="14">
        <f>IF(AX$98=1,AX12,ROUND(SUM(IF(AND(EQ$9&lt;&gt;"",EQ$11&lt;&gt;""),IF(EOMONTH($EP$3+INT((DAY(EOMONTH($EP$3,0))-1)/2)+EQ$11,0)=EOMONTH($AX$3,0),EQ$9*EQ$10,0),0),IF(AND(EM$9&lt;&gt;"",EM$11&lt;&gt;""),IF(EOMONTH($EL$3+INT((DAY(EOMONTH($EL$3,0))-1)/2)+EM$11,0)=EOMONTH($AX$3,0),EM$9*EM$10,0),0),IF(AND(EI$9&lt;&gt;"",EI$11&lt;&gt;""),IF(EOMONTH($EH$3+INT((DAY(EOMONTH($EH$3,0))-1)/2)+EI$11,0)=EOMONTH($AX$3,0),EI$9*EI$10,0),0),IF(AND(EE$9&lt;&gt;"",EE$11&lt;&gt;""),IF(EOMONTH($ED$3+INT((DAY(EOMONTH($ED$3,0))-1)/2)+EE$11,0)=EOMONTH($AX$3,0),EE$9*EE$10,0),0),IF(AND(EA$9&lt;&gt;"",EA$11&lt;&gt;""),IF(EOMONTH($DZ$3+INT((DAY(EOMONTH($DZ$3,0))-1)/2)+EA$11,0)=EOMONTH($AX$3,0),EA$9*EA$10,0),0),IF(AND(DW$9&lt;&gt;"",DW$11&lt;&gt;""),IF(EOMONTH($DV$3+INT((DAY(EOMONTH($DV$3,0))-1)/2)+DW$11,0)=EOMONTH($AX$3,0),DW$9*DW$10,0),0),IF(AND(DS$9&lt;&gt;"",DS$11&lt;&gt;""),IF(EOMONTH($DR$3+INT((DAY(EOMONTH($DR$3,0))-1)/2)+DS$11,0)=EOMONTH($AX$3,0),DS$9*DS$10,0),0),IF(AND(DO$9&lt;&gt;"",DO$11&lt;&gt;""),IF(EOMONTH($DN$3+INT((DAY(EOMONTH($DN$3,0))-1)/2)+DO$11,0)=EOMONTH($AX$3,0),DO$9*DO$10,0),0),IF(AND(DK$9&lt;&gt;"",DK$11&lt;&gt;""),IF(EOMONTH($DJ$3+INT((DAY(EOMONTH($DJ$3,0))-1)/2)+DK$11,0)=EOMONTH($AX$3,0),DK$9*DK$10,0),0),IF(AND(DG$9&lt;&gt;"",DG$11&lt;&gt;""),IF(EOMONTH($DF$3+INT((DAY(EOMONTH($DF$3,0))-1)/2)+DG$11,0)=EOMONTH($AX$3,0),DG$9*DG$10,0),0),IF(AND(DC$9&lt;&gt;"",DC$11&lt;&gt;""),IF(EOMONTH($DB$3+INT((DAY(EOMONTH($DB$3,0))-1)/2)+DC$11,0)=EOMONTH($AX$3,0),DC$9*DC$10,0),0),IF(AND(CY$9&lt;&gt;"",CY$11&lt;&gt;""),IF(EOMONTH($CX$3+INT((DAY(EOMONTH($CX$3,0))-1)/2)+CY$11,0)=EOMONTH($AX$3,0),CY$9*CY$10,0),0),IF(AND(CU$9&lt;&gt;"",CU$11&lt;&gt;""),IF(EOMONTH($CT$3+INT((DAY(EOMONTH($CT$3,0))-1)/2)+CU$11,0)=EOMONTH($AX$3,0),CU$9*CU$10,0),0),IF(AND(CQ$9&lt;&gt;"",CQ$11&lt;&gt;""),IF(EOMONTH($CP$3+INT((DAY(EOMONTH($CP$3,0))-1)/2)+CQ$11,0)=EOMONTH($AX$3,0),CQ$9*CQ$10,0),0),IF(AND(CM$9&lt;&gt;"",CM$11&lt;&gt;""),IF(EOMONTH($CL$3+INT((DAY(EOMONTH($CL$3,0))-1)/2)+CM$11,0)=EOMONTH($AX$3,0),CM$9*CM$10,0),0),IF(AND(CI$9&lt;&gt;"",CI$11&lt;&gt;""),IF(EOMONTH($CH$3+INT((DAY(EOMONTH($CH$3,0))-1)/2)+CI$11,0)=EOMONTH($AX$3,0),CI$9*CI$10,0),0),IF(AND(CE$9&lt;&gt;"",CE$11&lt;&gt;""),IF(EOMONTH($CD$3+INT((DAY(EOMONTH($CD$3,0))-1)/2)+CE$11,0)=EOMONTH($AX$3,0),CE$9*CE$10,0),0),IF(AND(CA$9&lt;&gt;"",CA$11&lt;&gt;""),IF(EOMONTH($BZ$3+INT((DAY(EOMONTH($BZ$3,0))-1)/2)+CA$11,0)=EOMONTH($AX$3,0),CA$9*CA$10,0),0),IF(AND(BW$9&lt;&gt;"",BW$11&lt;&gt;""),IF(EOMONTH($BV$3+INT((DAY(EOMONTH($BV$3,0))-1)/2)+BW$11,0)=EOMONTH($AX$3,0),BW$9*BW$10,0),0),IF(AND(BS$9&lt;&gt;"",BS$11&lt;&gt;""),IF(EOMONTH($BR$3+INT((DAY(EOMONTH($BR$3,0))-1)/2)+BS$11,0)=EOMONTH($AX$3,0),BS$9*BS$10,0),0),IF(AND(BO$9&lt;&gt;"",BO$11&lt;&gt;""),IF(EOMONTH($BN$3+INT((DAY(EOMONTH($BN$3,0))-1)/2)+BO$11,0)=EOMONTH($AX$3,0),BO$9*BO$10,0),0),IF(AND(BK$9&lt;&gt;"",BK$11&lt;&gt;""),IF(EOMONTH($BJ$3+INT((DAY(EOMONTH($BJ$3,0))-1)/2)+BK$11,0)=EOMONTH($AX$3,0),BK$9*BK$10,0),0),IF(AND(BG$9&lt;&gt;"",BG$11&lt;&gt;""),IF(EOMONTH($BF$3+INT((DAY(EOMONTH($BF$3,0))-1)/2)+BG$11,0)=EOMONTH($AX$3,0),BG$9*BG$10,0),0),IF(AND(BC$9&lt;&gt;"",BC$11&lt;&gt;""),IF(EOMONTH($BB$3+INT((DAY(EOMONTH($BB$3,0))-1)/2)+BC$11,0)=EOMONTH($AX$3,0),BC$9*BC$10,0),0),IF(AND(AY$9&lt;&gt;"",AY$11&lt;&gt;""),IF(EOMONTH($AX$3+INT((DAY(EOMONTH($AX$3,0))-1)/2)+AY$11,0)=EOMONTH($AX$3,0),AY$9*AY$10,0),0),IF(AND(AU$9&lt;&gt;"",AU$11&lt;&gt;""),IF(EOMONTH($AT$3+INT((DAY(EOMONTH($AT$3,0))-1)/2)+AU$11,0)=EOMONTH($AX$3,0),AU$9*AU$10,0),0),IF(AND(AQ$9&lt;&gt;"",AQ$11&lt;&gt;""),IF(EOMONTH($AP$3+INT((DAY(EOMONTH($AP$3,0))-1)/2)+AQ$11,0)=EOMONTH($AX$3,0),AQ$9*AQ$10,0),0),IF(AND(AM$9&lt;&gt;"",AM$11&lt;&gt;""),IF(EOMONTH($AL$3+INT((DAY(EOMONTH($AL$3,0))-1)/2)+AM$11,0)=EOMONTH($AX$3,0),AM$9*AM$10,0),0),IF(AND(AI$9&lt;&gt;"",AI$11&lt;&gt;""),IF(EOMONTH($AH$3+INT((DAY(EOMONTH($AH$3,0))-1)/2)+AI$11,0)=EOMONTH($AX$3,0),AI$9*AI$10,0),0),IF(AND(AE$9&lt;&gt;"",AE$11&lt;&gt;""),IF(EOMONTH($AD$3+INT((DAY(EOMONTH($AD$3,0))-1)/2)+AE$11,0)=EOMONTH($AX$3,0),AE$9*AE$10,0),0),IF(AND(AA$9&lt;&gt;"",AA$11&lt;&gt;""),IF(EOMONTH($Z$3+INT((DAY(EOMONTH($Z$3,0))-1)/2)+AA$11,0)=EOMONTH($AX$3,0),AA$9*AA$10,0),0),IF(AND(W$9&lt;&gt;"",W$11&lt;&gt;""),IF(EOMONTH($V$3+INT((DAY(EOMONTH($V$3,0))-1)/2)+W$11,0)=EOMONTH($AX$3,0),W$9*W$10,0),0),IF(AND(S$9&lt;&gt;"",S$11&lt;&gt;""),IF(EOMONTH($R$3+INT((DAY(EOMONTH($R$3,0))-1)/2)+S$11,0)=EOMONTH($AX$3,0),S$9*S$10,0),0),IF(AND(O$9&lt;&gt;"",O$11&lt;&gt;""),IF(EOMONTH($N$3+INT((DAY(EOMONTH($N$3,0))-1)/2)+O$11,0)=EOMONTH($AX$3,0),O$9*O$10,0),0),IF(AND(K$9&lt;&gt;"",K$11&lt;&gt;""),IF(EOMONTH($J$3+INT((DAY(EOMONTH($J$3,0))-1)/2)+K$11,0)=EOMONTH($AX$3,0),K$9*K$10,0),0),IF(AND(G$9&lt;&gt;"",G$11&lt;&gt;""),IF(EOMONTH($F$3+INT((DAY(EOMONTH($F$3,0))-1)/2)+G$11,0)=EOMONTH($AX$3,0),G$9*G$10,0),0),IF($EP$75="",0,IF(EOMONTH($EP$75+EQ$11,0)=EOMONTH($AX$3,0),$EP$76*EQ$10,0))),0))</f>
        <v>16</v>
      </c>
      <c r="AZ12" s="15">
        <f>ROUND(SUM(IF(AND(ER$9&lt;&gt;"",ER$11&lt;&gt;""),IF(EOMONTH($EP$3+INT((DAY(EOMONTH($EP$3,0))-1)/2)+ER$11,0)=EOMONTH($AX$3,0),ER$9*ER$10,0),0),IF(AND(EN$9&lt;&gt;"",EN$11&lt;&gt;""),IF(EOMONTH($EL$3+INT((DAY(EOMONTH($EL$3,0))-1)/2)+EN$11,0)=EOMONTH($AX$3,0),EN$9*EN$10,0),0),IF(AND(EJ$9&lt;&gt;"",EJ$11&lt;&gt;""),IF(EOMONTH($EH$3+INT((DAY(EOMONTH($EH$3,0))-1)/2)+EJ$11,0)=EOMONTH($AX$3,0),EJ$9*EJ$10,0),0),IF(AND(EF$9&lt;&gt;"",EF$11&lt;&gt;""),IF(EOMONTH($ED$3+INT((DAY(EOMONTH($ED$3,0))-1)/2)+EF$11,0)=EOMONTH($AX$3,0),EF$9*EF$10,0),0),IF(AND(EB$9&lt;&gt;"",EB$11&lt;&gt;""),IF(EOMONTH($DZ$3+INT((DAY(EOMONTH($DZ$3,0))-1)/2)+EB$11,0)=EOMONTH($AX$3,0),EB$9*EB$10,0),0),IF(AND(DX$9&lt;&gt;"",DX$11&lt;&gt;""),IF(EOMONTH($DV$3+INT((DAY(EOMONTH($DV$3,0))-1)/2)+DX$11,0)=EOMONTH($AX$3,0),DX$9*DX$10,0),0),IF(AND(DT$9&lt;&gt;"",DT$11&lt;&gt;""),IF(EOMONTH($DR$3+INT((DAY(EOMONTH($DR$3,0))-1)/2)+DT$11,0)=EOMONTH($AX$3,0),DT$9*DT$10,0),0),IF(AND(DP$9&lt;&gt;"",DP$11&lt;&gt;""),IF(EOMONTH($DN$3+INT((DAY(EOMONTH($DN$3,0))-1)/2)+DP$11,0)=EOMONTH($AX$3,0),DP$9*DP$10,0),0),IF(AND(DL$9&lt;&gt;"",DL$11&lt;&gt;""),IF(EOMONTH($DJ$3+INT((DAY(EOMONTH($DJ$3,0))-1)/2)+DL$11,0)=EOMONTH($AX$3,0),DL$9*DL$10,0),0),IF(AND(DH$9&lt;&gt;"",DH$11&lt;&gt;""),IF(EOMONTH($DF$3+INT((DAY(EOMONTH($DF$3,0))-1)/2)+DH$11,0)=EOMONTH($AX$3,0),DH$9*DH$10,0),0),IF(AND(DD$9&lt;&gt;"",DD$11&lt;&gt;""),IF(EOMONTH($DB$3+INT((DAY(EOMONTH($DB$3,0))-1)/2)+DD$11,0)=EOMONTH($AX$3,0),DD$9*DD$10,0),0),IF(AND(CZ$9&lt;&gt;"",CZ$11&lt;&gt;""),IF(EOMONTH($CX$3+INT((DAY(EOMONTH($CX$3,0))-1)/2)+CZ$11,0)=EOMONTH($AX$3,0),CZ$9*CZ$10,0),0),IF(AND(CV$9&lt;&gt;"",CV$11&lt;&gt;""),IF(EOMONTH($CT$3+INT((DAY(EOMONTH($CT$3,0))-1)/2)+CV$11,0)=EOMONTH($AX$3,0),CV$9*CV$10,0),0),IF(AND(CR$9&lt;&gt;"",CR$11&lt;&gt;""),IF(EOMONTH($CP$3+INT((DAY(EOMONTH($CP$3,0))-1)/2)+CR$11,0)=EOMONTH($AX$3,0),CR$9*CR$10,0),0),IF(AND(CN$9&lt;&gt;"",CN$11&lt;&gt;""),IF(EOMONTH($CL$3+INT((DAY(EOMONTH($CL$3,0))-1)/2)+CN$11,0)=EOMONTH($AX$3,0),CN$9*CN$10,0),0),IF(AND(CJ$9&lt;&gt;"",CJ$11&lt;&gt;""),IF(EOMONTH($CH$3+INT((DAY(EOMONTH($CH$3,0))-1)/2)+CJ$11,0)=EOMONTH($AX$3,0),CJ$9*CJ$10,0),0),IF(AND(CF$9&lt;&gt;"",CF$11&lt;&gt;""),IF(EOMONTH($CD$3+INT((DAY(EOMONTH($CD$3,0))-1)/2)+CF$11,0)=EOMONTH($AX$3,0),CF$9*CF$10,0),0),IF(AND(CB$9&lt;&gt;"",CB$11&lt;&gt;""),IF(EOMONTH($BZ$3+INT((DAY(EOMONTH($BZ$3,0))-1)/2)+CB$11,0)=EOMONTH($AX$3,0),CB$9*CB$10,0),0),IF(AND(BX$9&lt;&gt;"",BX$11&lt;&gt;""),IF(EOMONTH($BV$3+INT((DAY(EOMONTH($BV$3,0))-1)/2)+BX$11,0)=EOMONTH($AX$3,0),BX$9*BX$10,0),0),IF(AND(BT$9&lt;&gt;"",BT$11&lt;&gt;""),IF(EOMONTH($BR$3+INT((DAY(EOMONTH($BR$3,0))-1)/2)+BT$11,0)=EOMONTH($AX$3,0),BT$9*BT$10,0),0),IF(AND(BP$9&lt;&gt;"",BP$11&lt;&gt;""),IF(EOMONTH($BN$3+INT((DAY(EOMONTH($BN$3,0))-1)/2)+BP$11,0)=EOMONTH($AX$3,0),BP$9*BP$10,0),0),IF(AND(BL$9&lt;&gt;"",BL$11&lt;&gt;""),IF(EOMONTH($BJ$3+INT((DAY(EOMONTH($BJ$3,0))-1)/2)+BL$11,0)=EOMONTH($AX$3,0),BL$9*BL$10,0),0),IF(AND(BH$9&lt;&gt;"",BH$11&lt;&gt;""),IF(EOMONTH($BF$3+INT((DAY(EOMONTH($BF$3,0))-1)/2)+BH$11,0)=EOMONTH($AX$3,0),BH$9*BH$10,0),0),IF(AND(BD$9&lt;&gt;"",BD$11&lt;&gt;""),IF(EOMONTH($BB$3+INT((DAY(EOMONTH($BB$3,0))-1)/2)+BD$11,0)=EOMONTH($AX$3,0),BD$9*BD$10,0),0),IF(AND(AZ$9&lt;&gt;"",AZ$11&lt;&gt;""),IF(EOMONTH($AX$3+INT((DAY(EOMONTH($AX$3,0))-1)/2)+AZ$11,0)=EOMONTH($AX$3,0),AZ$9*AZ$10,0),0),IF(AND(AV$9&lt;&gt;"",AV$11&lt;&gt;""),IF(EOMONTH($AT$3+INT((DAY(EOMONTH($AT$3,0))-1)/2)+AV$11,0)=EOMONTH($AX$3,0),AV$9*AV$10,0),0),IF(AND(AR$9&lt;&gt;"",AR$11&lt;&gt;""),IF(EOMONTH($AP$3+INT((DAY(EOMONTH($AP$3,0))-1)/2)+AR$11,0)=EOMONTH($AX$3,0),AR$9*AR$10,0),0),IF(AND(AN$9&lt;&gt;"",AN$11&lt;&gt;""),IF(EOMONTH($AL$3+INT((DAY(EOMONTH($AL$3,0))-1)/2)+AN$11,0)=EOMONTH($AX$3,0),AN$9*AN$10,0),0),IF(AND(AJ$9&lt;&gt;"",AJ$11&lt;&gt;""),IF(EOMONTH($AH$3+INT((DAY(EOMONTH($AH$3,0))-1)/2)+AJ$11,0)=EOMONTH($AX$3,0),AJ$9*AJ$10,0),0),IF(AND(AF$9&lt;&gt;"",AF$11&lt;&gt;""),IF(EOMONTH($AD$3+INT((DAY(EOMONTH($AD$3,0))-1)/2)+AF$11,0)=EOMONTH($AX$3,0),AF$9*AF$10,0),0),IF(AND(AB$9&lt;&gt;"",AB$11&lt;&gt;""),IF(EOMONTH($Z$3+INT((DAY(EOMONTH($Z$3,0))-1)/2)+AB$11,0)=EOMONTH($AX$3,0),AB$9*AB$10,0),0),IF(AND(X$9&lt;&gt;"",X$11&lt;&gt;""),IF(EOMONTH($V$3+INT((DAY(EOMONTH($V$3,0))-1)/2)+X$11,0)=EOMONTH($AX$3,0),X$9*X$10,0),0),IF(AND(T$9&lt;&gt;"",T$11&lt;&gt;""),IF(EOMONTH($R$3+INT((DAY(EOMONTH($R$3,0))-1)/2)+T$11,0)=EOMONTH($AX$3,0),T$9*T$10,0),0),IF(AND(P$9&lt;&gt;"",P$11&lt;&gt;""),IF(EOMONTH($N$3+INT((DAY(EOMONTH($N$3,0))-1)/2)+P$11,0)=EOMONTH($AX$3,0),P$9*P$10,0),0),IF(AND(L$9&lt;&gt;"",L$11&lt;&gt;""),IF(EOMONTH($J$3+INT((DAY(EOMONTH($J$3,0))-1)/2)+L$11,0)=EOMONTH($AX$3,0),L$9*L$10,0),0),IF(AND(H$9&lt;&gt;"",H$11&lt;&gt;""),IF(EOMONTH($F$3+INT((DAY(EOMONTH($F$3,0))-1)/2)+H$11,0)=EOMONTH($AX$3,0),H$9*H$10,0),0),IF($EP$75="",0,IF(EOMONTH($EP$75+ER$11,0)=EOMONTH($AX$3,0),$EP$76*ER$10,0))),0)</f>
        <v>16</v>
      </c>
      <c r="BA12" s="16">
        <f t="shared" si="27"/>
        <v>0</v>
      </c>
      <c r="BB12" s="17"/>
      <c r="BC12" s="14">
        <f>IF(BB$98=1,BB12,ROUND(SUM(IF(AND(EQ$9&lt;&gt;"",EQ$11&lt;&gt;""),IF(EOMONTH($EP$3+INT((DAY(EOMONTH($EP$3,0))-1)/2)+EQ$11,0)=EOMONTH($BB$3,0),EQ$9*EQ$10,0),0),IF(AND(EM$9&lt;&gt;"",EM$11&lt;&gt;""),IF(EOMONTH($EL$3+INT((DAY(EOMONTH($EL$3,0))-1)/2)+EM$11,0)=EOMONTH($BB$3,0),EM$9*EM$10,0),0),IF(AND(EI$9&lt;&gt;"",EI$11&lt;&gt;""),IF(EOMONTH($EH$3+INT((DAY(EOMONTH($EH$3,0))-1)/2)+EI$11,0)=EOMONTH($BB$3,0),EI$9*EI$10,0),0),IF(AND(EE$9&lt;&gt;"",EE$11&lt;&gt;""),IF(EOMONTH($ED$3+INT((DAY(EOMONTH($ED$3,0))-1)/2)+EE$11,0)=EOMONTH($BB$3,0),EE$9*EE$10,0),0),IF(AND(EA$9&lt;&gt;"",EA$11&lt;&gt;""),IF(EOMONTH($DZ$3+INT((DAY(EOMONTH($DZ$3,0))-1)/2)+EA$11,0)=EOMONTH($BB$3,0),EA$9*EA$10,0),0),IF(AND(DW$9&lt;&gt;"",DW$11&lt;&gt;""),IF(EOMONTH($DV$3+INT((DAY(EOMONTH($DV$3,0))-1)/2)+DW$11,0)=EOMONTH($BB$3,0),DW$9*DW$10,0),0),IF(AND(DS$9&lt;&gt;"",DS$11&lt;&gt;""),IF(EOMONTH($DR$3+INT((DAY(EOMONTH($DR$3,0))-1)/2)+DS$11,0)=EOMONTH($BB$3,0),DS$9*DS$10,0),0),IF(AND(DO$9&lt;&gt;"",DO$11&lt;&gt;""),IF(EOMONTH($DN$3+INT((DAY(EOMONTH($DN$3,0))-1)/2)+DO$11,0)=EOMONTH($BB$3,0),DO$9*DO$10,0),0),IF(AND(DK$9&lt;&gt;"",DK$11&lt;&gt;""),IF(EOMONTH($DJ$3+INT((DAY(EOMONTH($DJ$3,0))-1)/2)+DK$11,0)=EOMONTH($BB$3,0),DK$9*DK$10,0),0),IF(AND(DG$9&lt;&gt;"",DG$11&lt;&gt;""),IF(EOMONTH($DF$3+INT((DAY(EOMONTH($DF$3,0))-1)/2)+DG$11,0)=EOMONTH($BB$3,0),DG$9*DG$10,0),0),IF(AND(DC$9&lt;&gt;"",DC$11&lt;&gt;""),IF(EOMONTH($DB$3+INT((DAY(EOMONTH($DB$3,0))-1)/2)+DC$11,0)=EOMONTH($BB$3,0),DC$9*DC$10,0),0),IF(AND(CY$9&lt;&gt;"",CY$11&lt;&gt;""),IF(EOMONTH($CX$3+INT((DAY(EOMONTH($CX$3,0))-1)/2)+CY$11,0)=EOMONTH($BB$3,0),CY$9*CY$10,0),0),IF(AND(CU$9&lt;&gt;"",CU$11&lt;&gt;""),IF(EOMONTH($CT$3+INT((DAY(EOMONTH($CT$3,0))-1)/2)+CU$11,0)=EOMONTH($BB$3,0),CU$9*CU$10,0),0),IF(AND(CQ$9&lt;&gt;"",CQ$11&lt;&gt;""),IF(EOMONTH($CP$3+INT((DAY(EOMONTH($CP$3,0))-1)/2)+CQ$11,0)=EOMONTH($BB$3,0),CQ$9*CQ$10,0),0),IF(AND(CM$9&lt;&gt;"",CM$11&lt;&gt;""),IF(EOMONTH($CL$3+INT((DAY(EOMONTH($CL$3,0))-1)/2)+CM$11,0)=EOMONTH($BB$3,0),CM$9*CM$10,0),0),IF(AND(CI$9&lt;&gt;"",CI$11&lt;&gt;""),IF(EOMONTH($CH$3+INT((DAY(EOMONTH($CH$3,0))-1)/2)+CI$11,0)=EOMONTH($BB$3,0),CI$9*CI$10,0),0),IF(AND(CE$9&lt;&gt;"",CE$11&lt;&gt;""),IF(EOMONTH($CD$3+INT((DAY(EOMONTH($CD$3,0))-1)/2)+CE$11,0)=EOMONTH($BB$3,0),CE$9*CE$10,0),0),IF(AND(CA$9&lt;&gt;"",CA$11&lt;&gt;""),IF(EOMONTH($BZ$3+INT((DAY(EOMONTH($BZ$3,0))-1)/2)+CA$11,0)=EOMONTH($BB$3,0),CA$9*CA$10,0),0),IF(AND(BW$9&lt;&gt;"",BW$11&lt;&gt;""),IF(EOMONTH($BV$3+INT((DAY(EOMONTH($BV$3,0))-1)/2)+BW$11,0)=EOMONTH($BB$3,0),BW$9*BW$10,0),0),IF(AND(BS$9&lt;&gt;"",BS$11&lt;&gt;""),IF(EOMONTH($BR$3+INT((DAY(EOMONTH($BR$3,0))-1)/2)+BS$11,0)=EOMONTH($BB$3,0),BS$9*BS$10,0),0),IF(AND(BO$9&lt;&gt;"",BO$11&lt;&gt;""),IF(EOMONTH($BN$3+INT((DAY(EOMONTH($BN$3,0))-1)/2)+BO$11,0)=EOMONTH($BB$3,0),BO$9*BO$10,0),0),IF(AND(BK$9&lt;&gt;"",BK$11&lt;&gt;""),IF(EOMONTH($BJ$3+INT((DAY(EOMONTH($BJ$3,0))-1)/2)+BK$11,0)=EOMONTH($BB$3,0),BK$9*BK$10,0),0),IF(AND(BG$9&lt;&gt;"",BG$11&lt;&gt;""),IF(EOMONTH($BF$3+INT((DAY(EOMONTH($BF$3,0))-1)/2)+BG$11,0)=EOMONTH($BB$3,0),BG$9*BG$10,0),0),IF(AND(BC$9&lt;&gt;"",BC$11&lt;&gt;""),IF(EOMONTH($BB$3+INT((DAY(EOMONTH($BB$3,0))-1)/2)+BC$11,0)=EOMONTH($BB$3,0),BC$9*BC$10,0),0),IF(AND(AY$9&lt;&gt;"",AY$11&lt;&gt;""),IF(EOMONTH($AX$3+INT((DAY(EOMONTH($AX$3,0))-1)/2)+AY$11,0)=EOMONTH($BB$3,0),AY$9*AY$10,0),0),IF(AND(AU$9&lt;&gt;"",AU$11&lt;&gt;""),IF(EOMONTH($AT$3+INT((DAY(EOMONTH($AT$3,0))-1)/2)+AU$11,0)=EOMONTH($BB$3,0),AU$9*AU$10,0),0),IF(AND(AQ$9&lt;&gt;"",AQ$11&lt;&gt;""),IF(EOMONTH($AP$3+INT((DAY(EOMONTH($AP$3,0))-1)/2)+AQ$11,0)=EOMONTH($BB$3,0),AQ$9*AQ$10,0),0),IF(AND(AM$9&lt;&gt;"",AM$11&lt;&gt;""),IF(EOMONTH($AL$3+INT((DAY(EOMONTH($AL$3,0))-1)/2)+AM$11,0)=EOMONTH($BB$3,0),AM$9*AM$10,0),0),IF(AND(AI$9&lt;&gt;"",AI$11&lt;&gt;""),IF(EOMONTH($AH$3+INT((DAY(EOMONTH($AH$3,0))-1)/2)+AI$11,0)=EOMONTH($BB$3,0),AI$9*AI$10,0),0),IF(AND(AE$9&lt;&gt;"",AE$11&lt;&gt;""),IF(EOMONTH($AD$3+INT((DAY(EOMONTH($AD$3,0))-1)/2)+AE$11,0)=EOMONTH($BB$3,0),AE$9*AE$10,0),0),IF(AND(AA$9&lt;&gt;"",AA$11&lt;&gt;""),IF(EOMONTH($Z$3+INT((DAY(EOMONTH($Z$3,0))-1)/2)+AA$11,0)=EOMONTH($BB$3,0),AA$9*AA$10,0),0),IF(AND(W$9&lt;&gt;"",W$11&lt;&gt;""),IF(EOMONTH($V$3+INT((DAY(EOMONTH($V$3,0))-1)/2)+W$11,0)=EOMONTH($BB$3,0),W$9*W$10,0),0),IF(AND(S$9&lt;&gt;"",S$11&lt;&gt;""),IF(EOMONTH($R$3+INT((DAY(EOMONTH($R$3,0))-1)/2)+S$11,0)=EOMONTH($BB$3,0),S$9*S$10,0),0),IF(AND(O$9&lt;&gt;"",O$11&lt;&gt;""),IF(EOMONTH($N$3+INT((DAY(EOMONTH($N$3,0))-1)/2)+O$11,0)=EOMONTH($BB$3,0),O$9*O$10,0),0),IF(AND(K$9&lt;&gt;"",K$11&lt;&gt;""),IF(EOMONTH($J$3+INT((DAY(EOMONTH($J$3,0))-1)/2)+K$11,0)=EOMONTH($BB$3,0),K$9*K$10,0),0),IF(AND(G$9&lt;&gt;"",G$11&lt;&gt;""),IF(EOMONTH($F$3+INT((DAY(EOMONTH($F$3,0))-1)/2)+G$11,0)=EOMONTH($BB$3,0),G$9*G$10,0),0),IF($EP$75="",0,IF(EOMONTH($EP$75+EQ$11,0)=EOMONTH($BB$3,0),$EP$76*EQ$10,0))),0))</f>
        <v>16</v>
      </c>
      <c r="BD12" s="15">
        <f>ROUND(SUM(IF(AND(ER$9&lt;&gt;"",ER$11&lt;&gt;""),IF(EOMONTH($EP$3+INT((DAY(EOMONTH($EP$3,0))-1)/2)+ER$11,0)=EOMONTH($BB$3,0),ER$9*ER$10,0),0),IF(AND(EN$9&lt;&gt;"",EN$11&lt;&gt;""),IF(EOMONTH($EL$3+INT((DAY(EOMONTH($EL$3,0))-1)/2)+EN$11,0)=EOMONTH($BB$3,0),EN$9*EN$10,0),0),IF(AND(EJ$9&lt;&gt;"",EJ$11&lt;&gt;""),IF(EOMONTH($EH$3+INT((DAY(EOMONTH($EH$3,0))-1)/2)+EJ$11,0)=EOMONTH($BB$3,0),EJ$9*EJ$10,0),0),IF(AND(EF$9&lt;&gt;"",EF$11&lt;&gt;""),IF(EOMONTH($ED$3+INT((DAY(EOMONTH($ED$3,0))-1)/2)+EF$11,0)=EOMONTH($BB$3,0),EF$9*EF$10,0),0),IF(AND(EB$9&lt;&gt;"",EB$11&lt;&gt;""),IF(EOMONTH($DZ$3+INT((DAY(EOMONTH($DZ$3,0))-1)/2)+EB$11,0)=EOMONTH($BB$3,0),EB$9*EB$10,0),0),IF(AND(DX$9&lt;&gt;"",DX$11&lt;&gt;""),IF(EOMONTH($DV$3+INT((DAY(EOMONTH($DV$3,0))-1)/2)+DX$11,0)=EOMONTH($BB$3,0),DX$9*DX$10,0),0),IF(AND(DT$9&lt;&gt;"",DT$11&lt;&gt;""),IF(EOMONTH($DR$3+INT((DAY(EOMONTH($DR$3,0))-1)/2)+DT$11,0)=EOMONTH($BB$3,0),DT$9*DT$10,0),0),IF(AND(DP$9&lt;&gt;"",DP$11&lt;&gt;""),IF(EOMONTH($DN$3+INT((DAY(EOMONTH($DN$3,0))-1)/2)+DP$11,0)=EOMONTH($BB$3,0),DP$9*DP$10,0),0),IF(AND(DL$9&lt;&gt;"",DL$11&lt;&gt;""),IF(EOMONTH($DJ$3+INT((DAY(EOMONTH($DJ$3,0))-1)/2)+DL$11,0)=EOMONTH($BB$3,0),DL$9*DL$10,0),0),IF(AND(DH$9&lt;&gt;"",DH$11&lt;&gt;""),IF(EOMONTH($DF$3+INT((DAY(EOMONTH($DF$3,0))-1)/2)+DH$11,0)=EOMONTH($BB$3,0),DH$9*DH$10,0),0),IF(AND(DD$9&lt;&gt;"",DD$11&lt;&gt;""),IF(EOMONTH($DB$3+INT((DAY(EOMONTH($DB$3,0))-1)/2)+DD$11,0)=EOMONTH($BB$3,0),DD$9*DD$10,0),0),IF(AND(CZ$9&lt;&gt;"",CZ$11&lt;&gt;""),IF(EOMONTH($CX$3+INT((DAY(EOMONTH($CX$3,0))-1)/2)+CZ$11,0)=EOMONTH($BB$3,0),CZ$9*CZ$10,0),0),IF(AND(CV$9&lt;&gt;"",CV$11&lt;&gt;""),IF(EOMONTH($CT$3+INT((DAY(EOMONTH($CT$3,0))-1)/2)+CV$11,0)=EOMONTH($BB$3,0),CV$9*CV$10,0),0),IF(AND(CR$9&lt;&gt;"",CR$11&lt;&gt;""),IF(EOMONTH($CP$3+INT((DAY(EOMONTH($CP$3,0))-1)/2)+CR$11,0)=EOMONTH($BB$3,0),CR$9*CR$10,0),0),IF(AND(CN$9&lt;&gt;"",CN$11&lt;&gt;""),IF(EOMONTH($CL$3+INT((DAY(EOMONTH($CL$3,0))-1)/2)+CN$11,0)=EOMONTH($BB$3,0),CN$9*CN$10,0),0),IF(AND(CJ$9&lt;&gt;"",CJ$11&lt;&gt;""),IF(EOMONTH($CH$3+INT((DAY(EOMONTH($CH$3,0))-1)/2)+CJ$11,0)=EOMONTH($BB$3,0),CJ$9*CJ$10,0),0),IF(AND(CF$9&lt;&gt;"",CF$11&lt;&gt;""),IF(EOMONTH($CD$3+INT((DAY(EOMONTH($CD$3,0))-1)/2)+CF$11,0)=EOMONTH($BB$3,0),CF$9*CF$10,0),0),IF(AND(CB$9&lt;&gt;"",CB$11&lt;&gt;""),IF(EOMONTH($BZ$3+INT((DAY(EOMONTH($BZ$3,0))-1)/2)+CB$11,0)=EOMONTH($BB$3,0),CB$9*CB$10,0),0),IF(AND(BX$9&lt;&gt;"",BX$11&lt;&gt;""),IF(EOMONTH($BV$3+INT((DAY(EOMONTH($BV$3,0))-1)/2)+BX$11,0)=EOMONTH($BB$3,0),BX$9*BX$10,0),0),IF(AND(BT$9&lt;&gt;"",BT$11&lt;&gt;""),IF(EOMONTH($BR$3+INT((DAY(EOMONTH($BR$3,0))-1)/2)+BT$11,0)=EOMONTH($BB$3,0),BT$9*BT$10,0),0),IF(AND(BP$9&lt;&gt;"",BP$11&lt;&gt;""),IF(EOMONTH($BN$3+INT((DAY(EOMONTH($BN$3,0))-1)/2)+BP$11,0)=EOMONTH($BB$3,0),BP$9*BP$10,0),0),IF(AND(BL$9&lt;&gt;"",BL$11&lt;&gt;""),IF(EOMONTH($BJ$3+INT((DAY(EOMONTH($BJ$3,0))-1)/2)+BL$11,0)=EOMONTH($BB$3,0),BL$9*BL$10,0),0),IF(AND(BH$9&lt;&gt;"",BH$11&lt;&gt;""),IF(EOMONTH($BF$3+INT((DAY(EOMONTH($BF$3,0))-1)/2)+BH$11,0)=EOMONTH($BB$3,0),BH$9*BH$10,0),0),IF(AND(BD$9&lt;&gt;"",BD$11&lt;&gt;""),IF(EOMONTH($BB$3+INT((DAY(EOMONTH($BB$3,0))-1)/2)+BD$11,0)=EOMONTH($BB$3,0),BD$9*BD$10,0),0),IF(AND(AZ$9&lt;&gt;"",AZ$11&lt;&gt;""),IF(EOMONTH($AX$3+INT((DAY(EOMONTH($AX$3,0))-1)/2)+AZ$11,0)=EOMONTH($BB$3,0),AZ$9*AZ$10,0),0),IF(AND(AV$9&lt;&gt;"",AV$11&lt;&gt;""),IF(EOMONTH($AT$3+INT((DAY(EOMONTH($AT$3,0))-1)/2)+AV$11,0)=EOMONTH($BB$3,0),AV$9*AV$10,0),0),IF(AND(AR$9&lt;&gt;"",AR$11&lt;&gt;""),IF(EOMONTH($AP$3+INT((DAY(EOMONTH($AP$3,0))-1)/2)+AR$11,0)=EOMONTH($BB$3,0),AR$9*AR$10,0),0),IF(AND(AN$9&lt;&gt;"",AN$11&lt;&gt;""),IF(EOMONTH($AL$3+INT((DAY(EOMONTH($AL$3,0))-1)/2)+AN$11,0)=EOMONTH($BB$3,0),AN$9*AN$10,0),0),IF(AND(AJ$9&lt;&gt;"",AJ$11&lt;&gt;""),IF(EOMONTH($AH$3+INT((DAY(EOMONTH($AH$3,0))-1)/2)+AJ$11,0)=EOMONTH($BB$3,0),AJ$9*AJ$10,0),0),IF(AND(AF$9&lt;&gt;"",AF$11&lt;&gt;""),IF(EOMONTH($AD$3+INT((DAY(EOMONTH($AD$3,0))-1)/2)+AF$11,0)=EOMONTH($BB$3,0),AF$9*AF$10,0),0),IF(AND(AB$9&lt;&gt;"",AB$11&lt;&gt;""),IF(EOMONTH($Z$3+INT((DAY(EOMONTH($Z$3,0))-1)/2)+AB$11,0)=EOMONTH($BB$3,0),AB$9*AB$10,0),0),IF(AND(X$9&lt;&gt;"",X$11&lt;&gt;""),IF(EOMONTH($V$3+INT((DAY(EOMONTH($V$3,0))-1)/2)+X$11,0)=EOMONTH($BB$3,0),X$9*X$10,0),0),IF(AND(T$9&lt;&gt;"",T$11&lt;&gt;""),IF(EOMONTH($R$3+INT((DAY(EOMONTH($R$3,0))-1)/2)+T$11,0)=EOMONTH($BB$3,0),T$9*T$10,0),0),IF(AND(P$9&lt;&gt;"",P$11&lt;&gt;""),IF(EOMONTH($N$3+INT((DAY(EOMONTH($N$3,0))-1)/2)+P$11,0)=EOMONTH($BB$3,0),P$9*P$10,0),0),IF(AND(L$9&lt;&gt;"",L$11&lt;&gt;""),IF(EOMONTH($J$3+INT((DAY(EOMONTH($J$3,0))-1)/2)+L$11,0)=EOMONTH($BB$3,0),L$9*L$10,0),0),IF(AND(H$9&lt;&gt;"",H$11&lt;&gt;""),IF(EOMONTH($F$3+INT((DAY(EOMONTH($F$3,0))-1)/2)+H$11,0)=EOMONTH($BB$3,0),H$9*H$10,0),0),IF($EP$75="",0,IF(EOMONTH($EP$75+ER$11,0)=EOMONTH($BB$3,0),$EP$76*ER$10,0))),0)</f>
        <v>16</v>
      </c>
      <c r="BE12" s="16">
        <f t="shared" si="29"/>
        <v>0</v>
      </c>
      <c r="BF12" s="17"/>
      <c r="BG12" s="14">
        <f>IF(BF$98=1,BF12,ROUND(SUM(IF(AND(EQ$9&lt;&gt;"",EQ$11&lt;&gt;""),IF(EOMONTH($EP$3+INT((DAY(EOMONTH($EP$3,0))-1)/2)+EQ$11,0)=EOMONTH($BF$3,0),EQ$9*EQ$10,0),0),IF(AND(EM$9&lt;&gt;"",EM$11&lt;&gt;""),IF(EOMONTH($EL$3+INT((DAY(EOMONTH($EL$3,0))-1)/2)+EM$11,0)=EOMONTH($BF$3,0),EM$9*EM$10,0),0),IF(AND(EI$9&lt;&gt;"",EI$11&lt;&gt;""),IF(EOMONTH($EH$3+INT((DAY(EOMONTH($EH$3,0))-1)/2)+EI$11,0)=EOMONTH($BF$3,0),EI$9*EI$10,0),0),IF(AND(EE$9&lt;&gt;"",EE$11&lt;&gt;""),IF(EOMONTH($ED$3+INT((DAY(EOMONTH($ED$3,0))-1)/2)+EE$11,0)=EOMONTH($BF$3,0),EE$9*EE$10,0),0),IF(AND(EA$9&lt;&gt;"",EA$11&lt;&gt;""),IF(EOMONTH($DZ$3+INT((DAY(EOMONTH($DZ$3,0))-1)/2)+EA$11,0)=EOMONTH($BF$3,0),EA$9*EA$10,0),0),IF(AND(DW$9&lt;&gt;"",DW$11&lt;&gt;""),IF(EOMONTH($DV$3+INT((DAY(EOMONTH($DV$3,0))-1)/2)+DW$11,0)=EOMONTH($BF$3,0),DW$9*DW$10,0),0),IF(AND(DS$9&lt;&gt;"",DS$11&lt;&gt;""),IF(EOMONTH($DR$3+INT((DAY(EOMONTH($DR$3,0))-1)/2)+DS$11,0)=EOMONTH($BF$3,0),DS$9*DS$10,0),0),IF(AND(DO$9&lt;&gt;"",DO$11&lt;&gt;""),IF(EOMONTH($DN$3+INT((DAY(EOMONTH($DN$3,0))-1)/2)+DO$11,0)=EOMONTH($BF$3,0),DO$9*DO$10,0),0),IF(AND(DK$9&lt;&gt;"",DK$11&lt;&gt;""),IF(EOMONTH($DJ$3+INT((DAY(EOMONTH($DJ$3,0))-1)/2)+DK$11,0)=EOMONTH($BF$3,0),DK$9*DK$10,0),0),IF(AND(DG$9&lt;&gt;"",DG$11&lt;&gt;""),IF(EOMONTH($DF$3+INT((DAY(EOMONTH($DF$3,0))-1)/2)+DG$11,0)=EOMONTH($BF$3,0),DG$9*DG$10,0),0),IF(AND(DC$9&lt;&gt;"",DC$11&lt;&gt;""),IF(EOMONTH($DB$3+INT((DAY(EOMONTH($DB$3,0))-1)/2)+DC$11,0)=EOMONTH($BF$3,0),DC$9*DC$10,0),0),IF(AND(CY$9&lt;&gt;"",CY$11&lt;&gt;""),IF(EOMONTH($CX$3+INT((DAY(EOMONTH($CX$3,0))-1)/2)+CY$11,0)=EOMONTH($BF$3,0),CY$9*CY$10,0),0),IF(AND(CU$9&lt;&gt;"",CU$11&lt;&gt;""),IF(EOMONTH($CT$3+INT((DAY(EOMONTH($CT$3,0))-1)/2)+CU$11,0)=EOMONTH($BF$3,0),CU$9*CU$10,0),0),IF(AND(CQ$9&lt;&gt;"",CQ$11&lt;&gt;""),IF(EOMONTH($CP$3+INT((DAY(EOMONTH($CP$3,0))-1)/2)+CQ$11,0)=EOMONTH($BF$3,0),CQ$9*CQ$10,0),0),IF(AND(CM$9&lt;&gt;"",CM$11&lt;&gt;""),IF(EOMONTH($CL$3+INT((DAY(EOMONTH($CL$3,0))-1)/2)+CM$11,0)=EOMONTH($BF$3,0),CM$9*CM$10,0),0),IF(AND(CI$9&lt;&gt;"",CI$11&lt;&gt;""),IF(EOMONTH($CH$3+INT((DAY(EOMONTH($CH$3,0))-1)/2)+CI$11,0)=EOMONTH($BF$3,0),CI$9*CI$10,0),0),IF(AND(CE$9&lt;&gt;"",CE$11&lt;&gt;""),IF(EOMONTH($CD$3+INT((DAY(EOMONTH($CD$3,0))-1)/2)+CE$11,0)=EOMONTH($BF$3,0),CE$9*CE$10,0),0),IF(AND(CA$9&lt;&gt;"",CA$11&lt;&gt;""),IF(EOMONTH($BZ$3+INT((DAY(EOMONTH($BZ$3,0))-1)/2)+CA$11,0)=EOMONTH($BF$3,0),CA$9*CA$10,0),0),IF(AND(BW$9&lt;&gt;"",BW$11&lt;&gt;""),IF(EOMONTH($BV$3+INT((DAY(EOMONTH($BV$3,0))-1)/2)+BW$11,0)=EOMONTH($BF$3,0),BW$9*BW$10,0),0),IF(AND(BS$9&lt;&gt;"",BS$11&lt;&gt;""),IF(EOMONTH($BR$3+INT((DAY(EOMONTH($BR$3,0))-1)/2)+BS$11,0)=EOMONTH($BF$3,0),BS$9*BS$10,0),0),IF(AND(BO$9&lt;&gt;"",BO$11&lt;&gt;""),IF(EOMONTH($BN$3+INT((DAY(EOMONTH($BN$3,0))-1)/2)+BO$11,0)=EOMONTH($BF$3,0),BO$9*BO$10,0),0),IF(AND(BK$9&lt;&gt;"",BK$11&lt;&gt;""),IF(EOMONTH($BJ$3+INT((DAY(EOMONTH($BJ$3,0))-1)/2)+BK$11,0)=EOMONTH($BF$3,0),BK$9*BK$10,0),0),IF(AND(BG$9&lt;&gt;"",BG$11&lt;&gt;""),IF(EOMONTH($BF$3+INT((DAY(EOMONTH($BF$3,0))-1)/2)+BG$11,0)=EOMONTH($BF$3,0),BG$9*BG$10,0),0),IF(AND(BC$9&lt;&gt;"",BC$11&lt;&gt;""),IF(EOMONTH($BB$3+INT((DAY(EOMONTH($BB$3,0))-1)/2)+BC$11,0)=EOMONTH($BF$3,0),BC$9*BC$10,0),0),IF(AND(AY$9&lt;&gt;"",AY$11&lt;&gt;""),IF(EOMONTH($AX$3+INT((DAY(EOMONTH($AX$3,0))-1)/2)+AY$11,0)=EOMONTH($BF$3,0),AY$9*AY$10,0),0),IF(AND(AU$9&lt;&gt;"",AU$11&lt;&gt;""),IF(EOMONTH($AT$3+INT((DAY(EOMONTH($AT$3,0))-1)/2)+AU$11,0)=EOMONTH($BF$3,0),AU$9*AU$10,0),0),IF(AND(AQ$9&lt;&gt;"",AQ$11&lt;&gt;""),IF(EOMONTH($AP$3+INT((DAY(EOMONTH($AP$3,0))-1)/2)+AQ$11,0)=EOMONTH($BF$3,0),AQ$9*AQ$10,0),0),IF(AND(AM$9&lt;&gt;"",AM$11&lt;&gt;""),IF(EOMONTH($AL$3+INT((DAY(EOMONTH($AL$3,0))-1)/2)+AM$11,0)=EOMONTH($BF$3,0),AM$9*AM$10,0),0),IF(AND(AI$9&lt;&gt;"",AI$11&lt;&gt;""),IF(EOMONTH($AH$3+INT((DAY(EOMONTH($AH$3,0))-1)/2)+AI$11,0)=EOMONTH($BF$3,0),AI$9*AI$10,0),0),IF(AND(AE$9&lt;&gt;"",AE$11&lt;&gt;""),IF(EOMONTH($AD$3+INT((DAY(EOMONTH($AD$3,0))-1)/2)+AE$11,0)=EOMONTH($BF$3,0),AE$9*AE$10,0),0),IF(AND(AA$9&lt;&gt;"",AA$11&lt;&gt;""),IF(EOMONTH($Z$3+INT((DAY(EOMONTH($Z$3,0))-1)/2)+AA$11,0)=EOMONTH($BF$3,0),AA$9*AA$10,0),0),IF(AND(W$9&lt;&gt;"",W$11&lt;&gt;""),IF(EOMONTH($V$3+INT((DAY(EOMONTH($V$3,0))-1)/2)+W$11,0)=EOMONTH($BF$3,0),W$9*W$10,0),0),IF(AND(S$9&lt;&gt;"",S$11&lt;&gt;""),IF(EOMONTH($R$3+INT((DAY(EOMONTH($R$3,0))-1)/2)+S$11,0)=EOMONTH($BF$3,0),S$9*S$10,0),0),IF(AND(O$9&lt;&gt;"",O$11&lt;&gt;""),IF(EOMONTH($N$3+INT((DAY(EOMONTH($N$3,0))-1)/2)+O$11,0)=EOMONTH($BF$3,0),O$9*O$10,0),0),IF(AND(K$9&lt;&gt;"",K$11&lt;&gt;""),IF(EOMONTH($J$3+INT((DAY(EOMONTH($J$3,0))-1)/2)+K$11,0)=EOMONTH($BF$3,0),K$9*K$10,0),0),IF(AND(G$9&lt;&gt;"",G$11&lt;&gt;""),IF(EOMONTH($F$3+INT((DAY(EOMONTH($F$3,0))-1)/2)+G$11,0)=EOMONTH($BF$3,0),G$9*G$10,0),0),IF($EP$75="",0,IF(EOMONTH($EP$75+EQ$11,0)=EOMONTH($BF$3,0),$EP$76*EQ$10,0))),0))</f>
        <v>15</v>
      </c>
      <c r="BH12" s="15">
        <f>ROUND(SUM(IF(AND(ER$9&lt;&gt;"",ER$11&lt;&gt;""),IF(EOMONTH($EP$3+INT((DAY(EOMONTH($EP$3,0))-1)/2)+ER$11,0)=EOMONTH($BF$3,0),ER$9*ER$10,0),0),IF(AND(EN$9&lt;&gt;"",EN$11&lt;&gt;""),IF(EOMONTH($EL$3+INT((DAY(EOMONTH($EL$3,0))-1)/2)+EN$11,0)=EOMONTH($BF$3,0),EN$9*EN$10,0),0),IF(AND(EJ$9&lt;&gt;"",EJ$11&lt;&gt;""),IF(EOMONTH($EH$3+INT((DAY(EOMONTH($EH$3,0))-1)/2)+EJ$11,0)=EOMONTH($BF$3,0),EJ$9*EJ$10,0),0),IF(AND(EF$9&lt;&gt;"",EF$11&lt;&gt;""),IF(EOMONTH($ED$3+INT((DAY(EOMONTH($ED$3,0))-1)/2)+EF$11,0)=EOMONTH($BF$3,0),EF$9*EF$10,0),0),IF(AND(EB$9&lt;&gt;"",EB$11&lt;&gt;""),IF(EOMONTH($DZ$3+INT((DAY(EOMONTH($DZ$3,0))-1)/2)+EB$11,0)=EOMONTH($BF$3,0),EB$9*EB$10,0),0),IF(AND(DX$9&lt;&gt;"",DX$11&lt;&gt;""),IF(EOMONTH($DV$3+INT((DAY(EOMONTH($DV$3,0))-1)/2)+DX$11,0)=EOMONTH($BF$3,0),DX$9*DX$10,0),0),IF(AND(DT$9&lt;&gt;"",DT$11&lt;&gt;""),IF(EOMONTH($DR$3+INT((DAY(EOMONTH($DR$3,0))-1)/2)+DT$11,0)=EOMONTH($BF$3,0),DT$9*DT$10,0),0),IF(AND(DP$9&lt;&gt;"",DP$11&lt;&gt;""),IF(EOMONTH($DN$3+INT((DAY(EOMONTH($DN$3,0))-1)/2)+DP$11,0)=EOMONTH($BF$3,0),DP$9*DP$10,0),0),IF(AND(DL$9&lt;&gt;"",DL$11&lt;&gt;""),IF(EOMONTH($DJ$3+INT((DAY(EOMONTH($DJ$3,0))-1)/2)+DL$11,0)=EOMONTH($BF$3,0),DL$9*DL$10,0),0),IF(AND(DH$9&lt;&gt;"",DH$11&lt;&gt;""),IF(EOMONTH($DF$3+INT((DAY(EOMONTH($DF$3,0))-1)/2)+DH$11,0)=EOMONTH($BF$3,0),DH$9*DH$10,0),0),IF(AND(DD$9&lt;&gt;"",DD$11&lt;&gt;""),IF(EOMONTH($DB$3+INT((DAY(EOMONTH($DB$3,0))-1)/2)+DD$11,0)=EOMONTH($BF$3,0),DD$9*DD$10,0),0),IF(AND(CZ$9&lt;&gt;"",CZ$11&lt;&gt;""),IF(EOMONTH($CX$3+INT((DAY(EOMONTH($CX$3,0))-1)/2)+CZ$11,0)=EOMONTH($BF$3,0),CZ$9*CZ$10,0),0),IF(AND(CV$9&lt;&gt;"",CV$11&lt;&gt;""),IF(EOMONTH($CT$3+INT((DAY(EOMONTH($CT$3,0))-1)/2)+CV$11,0)=EOMONTH($BF$3,0),CV$9*CV$10,0),0),IF(AND(CR$9&lt;&gt;"",CR$11&lt;&gt;""),IF(EOMONTH($CP$3+INT((DAY(EOMONTH($CP$3,0))-1)/2)+CR$11,0)=EOMONTH($BF$3,0),CR$9*CR$10,0),0),IF(AND(CN$9&lt;&gt;"",CN$11&lt;&gt;""),IF(EOMONTH($CL$3+INT((DAY(EOMONTH($CL$3,0))-1)/2)+CN$11,0)=EOMONTH($BF$3,0),CN$9*CN$10,0),0),IF(AND(CJ$9&lt;&gt;"",CJ$11&lt;&gt;""),IF(EOMONTH($CH$3+INT((DAY(EOMONTH($CH$3,0))-1)/2)+CJ$11,0)=EOMONTH($BF$3,0),CJ$9*CJ$10,0),0),IF(AND(CF$9&lt;&gt;"",CF$11&lt;&gt;""),IF(EOMONTH($CD$3+INT((DAY(EOMONTH($CD$3,0))-1)/2)+CF$11,0)=EOMONTH($BF$3,0),CF$9*CF$10,0),0),IF(AND(CB$9&lt;&gt;"",CB$11&lt;&gt;""),IF(EOMONTH($BZ$3+INT((DAY(EOMONTH($BZ$3,0))-1)/2)+CB$11,0)=EOMONTH($BF$3,0),CB$9*CB$10,0),0),IF(AND(BX$9&lt;&gt;"",BX$11&lt;&gt;""),IF(EOMONTH($BV$3+INT((DAY(EOMONTH($BV$3,0))-1)/2)+BX$11,0)=EOMONTH($BF$3,0),BX$9*BX$10,0),0),IF(AND(BT$9&lt;&gt;"",BT$11&lt;&gt;""),IF(EOMONTH($BR$3+INT((DAY(EOMONTH($BR$3,0))-1)/2)+BT$11,0)=EOMONTH($BF$3,0),BT$9*BT$10,0),0),IF(AND(BP$9&lt;&gt;"",BP$11&lt;&gt;""),IF(EOMONTH($BN$3+INT((DAY(EOMONTH($BN$3,0))-1)/2)+BP$11,0)=EOMONTH($BF$3,0),BP$9*BP$10,0),0),IF(AND(BL$9&lt;&gt;"",BL$11&lt;&gt;""),IF(EOMONTH($BJ$3+INT((DAY(EOMONTH($BJ$3,0))-1)/2)+BL$11,0)=EOMONTH($BF$3,0),BL$9*BL$10,0),0),IF(AND(BH$9&lt;&gt;"",BH$11&lt;&gt;""),IF(EOMONTH($BF$3+INT((DAY(EOMONTH($BF$3,0))-1)/2)+BH$11,0)=EOMONTH($BF$3,0),BH$9*BH$10,0),0),IF(AND(BD$9&lt;&gt;"",BD$11&lt;&gt;""),IF(EOMONTH($BB$3+INT((DAY(EOMONTH($BB$3,0))-1)/2)+BD$11,0)=EOMONTH($BF$3,0),BD$9*BD$10,0),0),IF(AND(AZ$9&lt;&gt;"",AZ$11&lt;&gt;""),IF(EOMONTH($AX$3+INT((DAY(EOMONTH($AX$3,0))-1)/2)+AZ$11,0)=EOMONTH($BF$3,0),AZ$9*AZ$10,0),0),IF(AND(AV$9&lt;&gt;"",AV$11&lt;&gt;""),IF(EOMONTH($AT$3+INT((DAY(EOMONTH($AT$3,0))-1)/2)+AV$11,0)=EOMONTH($BF$3,0),AV$9*AV$10,0),0),IF(AND(AR$9&lt;&gt;"",AR$11&lt;&gt;""),IF(EOMONTH($AP$3+INT((DAY(EOMONTH($AP$3,0))-1)/2)+AR$11,0)=EOMONTH($BF$3,0),AR$9*AR$10,0),0),IF(AND(AN$9&lt;&gt;"",AN$11&lt;&gt;""),IF(EOMONTH($AL$3+INT((DAY(EOMONTH($AL$3,0))-1)/2)+AN$11,0)=EOMONTH($BF$3,0),AN$9*AN$10,0),0),IF(AND(AJ$9&lt;&gt;"",AJ$11&lt;&gt;""),IF(EOMONTH($AH$3+INT((DAY(EOMONTH($AH$3,0))-1)/2)+AJ$11,0)=EOMONTH($BF$3,0),AJ$9*AJ$10,0),0),IF(AND(AF$9&lt;&gt;"",AF$11&lt;&gt;""),IF(EOMONTH($AD$3+INT((DAY(EOMONTH($AD$3,0))-1)/2)+AF$11,0)=EOMONTH($BF$3,0),AF$9*AF$10,0),0),IF(AND(AB$9&lt;&gt;"",AB$11&lt;&gt;""),IF(EOMONTH($Z$3+INT((DAY(EOMONTH($Z$3,0))-1)/2)+AB$11,0)=EOMONTH($BF$3,0),AB$9*AB$10,0),0),IF(AND(X$9&lt;&gt;"",X$11&lt;&gt;""),IF(EOMONTH($V$3+INT((DAY(EOMONTH($V$3,0))-1)/2)+X$11,0)=EOMONTH($BF$3,0),X$9*X$10,0),0),IF(AND(T$9&lt;&gt;"",T$11&lt;&gt;""),IF(EOMONTH($R$3+INT((DAY(EOMONTH($R$3,0))-1)/2)+T$11,0)=EOMONTH($BF$3,0),T$9*T$10,0),0),IF(AND(P$9&lt;&gt;"",P$11&lt;&gt;""),IF(EOMONTH($N$3+INT((DAY(EOMONTH($N$3,0))-1)/2)+P$11,0)=EOMONTH($BF$3,0),P$9*P$10,0),0),IF(AND(L$9&lt;&gt;"",L$11&lt;&gt;""),IF(EOMONTH($J$3+INT((DAY(EOMONTH($J$3,0))-1)/2)+L$11,0)=EOMONTH($BF$3,0),L$9*L$10,0),0),IF(AND(H$9&lt;&gt;"",H$11&lt;&gt;""),IF(EOMONTH($F$3+INT((DAY(EOMONTH($F$3,0))-1)/2)+H$11,0)=EOMONTH($BF$3,0),H$9*H$10,0),0),IF($EP$75="",0,IF(EOMONTH($EP$75+ER$11,0)=EOMONTH($BF$3,0),$EP$76*ER$10,0))),0)</f>
        <v>15</v>
      </c>
      <c r="BI12" s="16">
        <f t="shared" si="31"/>
        <v>0</v>
      </c>
      <c r="BJ12" s="17"/>
      <c r="BK12" s="14">
        <f>IF(BJ$98=1,BJ12,ROUND(SUM(IF(AND(EQ$9&lt;&gt;"",EQ$11&lt;&gt;""),IF(EOMONTH($EP$3+INT((DAY(EOMONTH($EP$3,0))-1)/2)+EQ$11,0)=EOMONTH($BJ$3,0),EQ$9*EQ$10,0),0),IF(AND(EM$9&lt;&gt;"",EM$11&lt;&gt;""),IF(EOMONTH($EL$3+INT((DAY(EOMONTH($EL$3,0))-1)/2)+EM$11,0)=EOMONTH($BJ$3,0),EM$9*EM$10,0),0),IF(AND(EI$9&lt;&gt;"",EI$11&lt;&gt;""),IF(EOMONTH($EH$3+INT((DAY(EOMONTH($EH$3,0))-1)/2)+EI$11,0)=EOMONTH($BJ$3,0),EI$9*EI$10,0),0),IF(AND(EE$9&lt;&gt;"",EE$11&lt;&gt;""),IF(EOMONTH($ED$3+INT((DAY(EOMONTH($ED$3,0))-1)/2)+EE$11,0)=EOMONTH($BJ$3,0),EE$9*EE$10,0),0),IF(AND(EA$9&lt;&gt;"",EA$11&lt;&gt;""),IF(EOMONTH($DZ$3+INT((DAY(EOMONTH($DZ$3,0))-1)/2)+EA$11,0)=EOMONTH($BJ$3,0),EA$9*EA$10,0),0),IF(AND(DW$9&lt;&gt;"",DW$11&lt;&gt;""),IF(EOMONTH($DV$3+INT((DAY(EOMONTH($DV$3,0))-1)/2)+DW$11,0)=EOMONTH($BJ$3,0),DW$9*DW$10,0),0),IF(AND(DS$9&lt;&gt;"",DS$11&lt;&gt;""),IF(EOMONTH($DR$3+INT((DAY(EOMONTH($DR$3,0))-1)/2)+DS$11,0)=EOMONTH($BJ$3,0),DS$9*DS$10,0),0),IF(AND(DO$9&lt;&gt;"",DO$11&lt;&gt;""),IF(EOMONTH($DN$3+INT((DAY(EOMONTH($DN$3,0))-1)/2)+DO$11,0)=EOMONTH($BJ$3,0),DO$9*DO$10,0),0),IF(AND(DK$9&lt;&gt;"",DK$11&lt;&gt;""),IF(EOMONTH($DJ$3+INT((DAY(EOMONTH($DJ$3,0))-1)/2)+DK$11,0)=EOMONTH($BJ$3,0),DK$9*DK$10,0),0),IF(AND(DG$9&lt;&gt;"",DG$11&lt;&gt;""),IF(EOMONTH($DF$3+INT((DAY(EOMONTH($DF$3,0))-1)/2)+DG$11,0)=EOMONTH($BJ$3,0),DG$9*DG$10,0),0),IF(AND(DC$9&lt;&gt;"",DC$11&lt;&gt;""),IF(EOMONTH($DB$3+INT((DAY(EOMONTH($DB$3,0))-1)/2)+DC$11,0)=EOMONTH($BJ$3,0),DC$9*DC$10,0),0),IF(AND(CY$9&lt;&gt;"",CY$11&lt;&gt;""),IF(EOMONTH($CX$3+INT((DAY(EOMONTH($CX$3,0))-1)/2)+CY$11,0)=EOMONTH($BJ$3,0),CY$9*CY$10,0),0),IF(AND(CU$9&lt;&gt;"",CU$11&lt;&gt;""),IF(EOMONTH($CT$3+INT((DAY(EOMONTH($CT$3,0))-1)/2)+CU$11,0)=EOMONTH($BJ$3,0),CU$9*CU$10,0),0),IF(AND(CQ$9&lt;&gt;"",CQ$11&lt;&gt;""),IF(EOMONTH($CP$3+INT((DAY(EOMONTH($CP$3,0))-1)/2)+CQ$11,0)=EOMONTH($BJ$3,0),CQ$9*CQ$10,0),0),IF(AND(CM$9&lt;&gt;"",CM$11&lt;&gt;""),IF(EOMONTH($CL$3+INT((DAY(EOMONTH($CL$3,0))-1)/2)+CM$11,0)=EOMONTH($BJ$3,0),CM$9*CM$10,0),0),IF(AND(CI$9&lt;&gt;"",CI$11&lt;&gt;""),IF(EOMONTH($CH$3+INT((DAY(EOMONTH($CH$3,0))-1)/2)+CI$11,0)=EOMONTH($BJ$3,0),CI$9*CI$10,0),0),IF(AND(CE$9&lt;&gt;"",CE$11&lt;&gt;""),IF(EOMONTH($CD$3+INT((DAY(EOMONTH($CD$3,0))-1)/2)+CE$11,0)=EOMONTH($BJ$3,0),CE$9*CE$10,0),0),IF(AND(CA$9&lt;&gt;"",CA$11&lt;&gt;""),IF(EOMONTH($BZ$3+INT((DAY(EOMONTH($BZ$3,0))-1)/2)+CA$11,0)=EOMONTH($BJ$3,0),CA$9*CA$10,0),0),IF(AND(BW$9&lt;&gt;"",BW$11&lt;&gt;""),IF(EOMONTH($BV$3+INT((DAY(EOMONTH($BV$3,0))-1)/2)+BW$11,0)=EOMONTH($BJ$3,0),BW$9*BW$10,0),0),IF(AND(BS$9&lt;&gt;"",BS$11&lt;&gt;""),IF(EOMONTH($BR$3+INT((DAY(EOMONTH($BR$3,0))-1)/2)+BS$11,0)=EOMONTH($BJ$3,0),BS$9*BS$10,0),0),IF(AND(BO$9&lt;&gt;"",BO$11&lt;&gt;""),IF(EOMONTH($BN$3+INT((DAY(EOMONTH($BN$3,0))-1)/2)+BO$11,0)=EOMONTH($BJ$3,0),BO$9*BO$10,0),0),IF(AND(BK$9&lt;&gt;"",BK$11&lt;&gt;""),IF(EOMONTH($BJ$3+INT((DAY(EOMONTH($BJ$3,0))-1)/2)+BK$11,0)=EOMONTH($BJ$3,0),BK$9*BK$10,0),0),IF(AND(BG$9&lt;&gt;"",BG$11&lt;&gt;""),IF(EOMONTH($BF$3+INT((DAY(EOMONTH($BF$3,0))-1)/2)+BG$11,0)=EOMONTH($BJ$3,0),BG$9*BG$10,0),0),IF(AND(BC$9&lt;&gt;"",BC$11&lt;&gt;""),IF(EOMONTH($BB$3+INT((DAY(EOMONTH($BB$3,0))-1)/2)+BC$11,0)=EOMONTH($BJ$3,0),BC$9*BC$10,0),0),IF(AND(AY$9&lt;&gt;"",AY$11&lt;&gt;""),IF(EOMONTH($AX$3+INT((DAY(EOMONTH($AX$3,0))-1)/2)+AY$11,0)=EOMONTH($BJ$3,0),AY$9*AY$10,0),0),IF(AND(AU$9&lt;&gt;"",AU$11&lt;&gt;""),IF(EOMONTH($AT$3+INT((DAY(EOMONTH($AT$3,0))-1)/2)+AU$11,0)=EOMONTH($BJ$3,0),AU$9*AU$10,0),0),IF(AND(AQ$9&lt;&gt;"",AQ$11&lt;&gt;""),IF(EOMONTH($AP$3+INT((DAY(EOMONTH($AP$3,0))-1)/2)+AQ$11,0)=EOMONTH($BJ$3,0),AQ$9*AQ$10,0),0),IF(AND(AM$9&lt;&gt;"",AM$11&lt;&gt;""),IF(EOMONTH($AL$3+INT((DAY(EOMONTH($AL$3,0))-1)/2)+AM$11,0)=EOMONTH($BJ$3,0),AM$9*AM$10,0),0),IF(AND(AI$9&lt;&gt;"",AI$11&lt;&gt;""),IF(EOMONTH($AH$3+INT((DAY(EOMONTH($AH$3,0))-1)/2)+AI$11,0)=EOMONTH($BJ$3,0),AI$9*AI$10,0),0),IF(AND(AE$9&lt;&gt;"",AE$11&lt;&gt;""),IF(EOMONTH($AD$3+INT((DAY(EOMONTH($AD$3,0))-1)/2)+AE$11,0)=EOMONTH($BJ$3,0),AE$9*AE$10,0),0),IF(AND(AA$9&lt;&gt;"",AA$11&lt;&gt;""),IF(EOMONTH($Z$3+INT((DAY(EOMONTH($Z$3,0))-1)/2)+AA$11,0)=EOMONTH($BJ$3,0),AA$9*AA$10,0),0),IF(AND(W$9&lt;&gt;"",W$11&lt;&gt;""),IF(EOMONTH($V$3+INT((DAY(EOMONTH($V$3,0))-1)/2)+W$11,0)=EOMONTH($BJ$3,0),W$9*W$10,0),0),IF(AND(S$9&lt;&gt;"",S$11&lt;&gt;""),IF(EOMONTH($R$3+INT((DAY(EOMONTH($R$3,0))-1)/2)+S$11,0)=EOMONTH($BJ$3,0),S$9*S$10,0),0),IF(AND(O$9&lt;&gt;"",O$11&lt;&gt;""),IF(EOMONTH($N$3+INT((DAY(EOMONTH($N$3,0))-1)/2)+O$11,0)=EOMONTH($BJ$3,0),O$9*O$10,0),0),IF(AND(K$9&lt;&gt;"",K$11&lt;&gt;""),IF(EOMONTH($J$3+INT((DAY(EOMONTH($J$3,0))-1)/2)+K$11,0)=EOMONTH($BJ$3,0),K$9*K$10,0),0),IF(AND(G$9&lt;&gt;"",G$11&lt;&gt;""),IF(EOMONTH($F$3+INT((DAY(EOMONTH($F$3,0))-1)/2)+G$11,0)=EOMONTH($BJ$3,0),G$9*G$10,0),0),IF($EP$75="",0,IF(EOMONTH($EP$75+EQ$11,0)=EOMONTH($BJ$3,0),$EP$76*EQ$10,0))),0))</f>
        <v>15</v>
      </c>
      <c r="BL12" s="15">
        <f>ROUND(SUM(IF(AND(ER$9&lt;&gt;"",ER$11&lt;&gt;""),IF(EOMONTH($EP$3+INT((DAY(EOMONTH($EP$3,0))-1)/2)+ER$11,0)=EOMONTH($BJ$3,0),ER$9*ER$10,0),0),IF(AND(EN$9&lt;&gt;"",EN$11&lt;&gt;""),IF(EOMONTH($EL$3+INT((DAY(EOMONTH($EL$3,0))-1)/2)+EN$11,0)=EOMONTH($BJ$3,0),EN$9*EN$10,0),0),IF(AND(EJ$9&lt;&gt;"",EJ$11&lt;&gt;""),IF(EOMONTH($EH$3+INT((DAY(EOMONTH($EH$3,0))-1)/2)+EJ$11,0)=EOMONTH($BJ$3,0),EJ$9*EJ$10,0),0),IF(AND(EF$9&lt;&gt;"",EF$11&lt;&gt;""),IF(EOMONTH($ED$3+INT((DAY(EOMONTH($ED$3,0))-1)/2)+EF$11,0)=EOMONTH($BJ$3,0),EF$9*EF$10,0),0),IF(AND(EB$9&lt;&gt;"",EB$11&lt;&gt;""),IF(EOMONTH($DZ$3+INT((DAY(EOMONTH($DZ$3,0))-1)/2)+EB$11,0)=EOMONTH($BJ$3,0),EB$9*EB$10,0),0),IF(AND(DX$9&lt;&gt;"",DX$11&lt;&gt;""),IF(EOMONTH($DV$3+INT((DAY(EOMONTH($DV$3,0))-1)/2)+DX$11,0)=EOMONTH($BJ$3,0),DX$9*DX$10,0),0),IF(AND(DT$9&lt;&gt;"",DT$11&lt;&gt;""),IF(EOMONTH($DR$3+INT((DAY(EOMONTH($DR$3,0))-1)/2)+DT$11,0)=EOMONTH($BJ$3,0),DT$9*DT$10,0),0),IF(AND(DP$9&lt;&gt;"",DP$11&lt;&gt;""),IF(EOMONTH($DN$3+INT((DAY(EOMONTH($DN$3,0))-1)/2)+DP$11,0)=EOMONTH($BJ$3,0),DP$9*DP$10,0),0),IF(AND(DL$9&lt;&gt;"",DL$11&lt;&gt;""),IF(EOMONTH($DJ$3+INT((DAY(EOMONTH($DJ$3,0))-1)/2)+DL$11,0)=EOMONTH($BJ$3,0),DL$9*DL$10,0),0),IF(AND(DH$9&lt;&gt;"",DH$11&lt;&gt;""),IF(EOMONTH($DF$3+INT((DAY(EOMONTH($DF$3,0))-1)/2)+DH$11,0)=EOMONTH($BJ$3,0),DH$9*DH$10,0),0),IF(AND(DD$9&lt;&gt;"",DD$11&lt;&gt;""),IF(EOMONTH($DB$3+INT((DAY(EOMONTH($DB$3,0))-1)/2)+DD$11,0)=EOMONTH($BJ$3,0),DD$9*DD$10,0),0),IF(AND(CZ$9&lt;&gt;"",CZ$11&lt;&gt;""),IF(EOMONTH($CX$3+INT((DAY(EOMONTH($CX$3,0))-1)/2)+CZ$11,0)=EOMONTH($BJ$3,0),CZ$9*CZ$10,0),0),IF(AND(CV$9&lt;&gt;"",CV$11&lt;&gt;""),IF(EOMONTH($CT$3+INT((DAY(EOMONTH($CT$3,0))-1)/2)+CV$11,0)=EOMONTH($BJ$3,0),CV$9*CV$10,0),0),IF(AND(CR$9&lt;&gt;"",CR$11&lt;&gt;""),IF(EOMONTH($CP$3+INT((DAY(EOMONTH($CP$3,0))-1)/2)+CR$11,0)=EOMONTH($BJ$3,0),CR$9*CR$10,0),0),IF(AND(CN$9&lt;&gt;"",CN$11&lt;&gt;""),IF(EOMONTH($CL$3+INT((DAY(EOMONTH($CL$3,0))-1)/2)+CN$11,0)=EOMONTH($BJ$3,0),CN$9*CN$10,0),0),IF(AND(CJ$9&lt;&gt;"",CJ$11&lt;&gt;""),IF(EOMONTH($CH$3+INT((DAY(EOMONTH($CH$3,0))-1)/2)+CJ$11,0)=EOMONTH($BJ$3,0),CJ$9*CJ$10,0),0),IF(AND(CF$9&lt;&gt;"",CF$11&lt;&gt;""),IF(EOMONTH($CD$3+INT((DAY(EOMONTH($CD$3,0))-1)/2)+CF$11,0)=EOMONTH($BJ$3,0),CF$9*CF$10,0),0),IF(AND(CB$9&lt;&gt;"",CB$11&lt;&gt;""),IF(EOMONTH($BZ$3+INT((DAY(EOMONTH($BZ$3,0))-1)/2)+CB$11,0)=EOMONTH($BJ$3,0),CB$9*CB$10,0),0),IF(AND(BX$9&lt;&gt;"",BX$11&lt;&gt;""),IF(EOMONTH($BV$3+INT((DAY(EOMONTH($BV$3,0))-1)/2)+BX$11,0)=EOMONTH($BJ$3,0),BX$9*BX$10,0),0),IF(AND(BT$9&lt;&gt;"",BT$11&lt;&gt;""),IF(EOMONTH($BR$3+INT((DAY(EOMONTH($BR$3,0))-1)/2)+BT$11,0)=EOMONTH($BJ$3,0),BT$9*BT$10,0),0),IF(AND(BP$9&lt;&gt;"",BP$11&lt;&gt;""),IF(EOMONTH($BN$3+INT((DAY(EOMONTH($BN$3,0))-1)/2)+BP$11,0)=EOMONTH($BJ$3,0),BP$9*BP$10,0),0),IF(AND(BL$9&lt;&gt;"",BL$11&lt;&gt;""),IF(EOMONTH($BJ$3+INT((DAY(EOMONTH($BJ$3,0))-1)/2)+BL$11,0)=EOMONTH($BJ$3,0),BL$9*BL$10,0),0),IF(AND(BH$9&lt;&gt;"",BH$11&lt;&gt;""),IF(EOMONTH($BF$3+INT((DAY(EOMONTH($BF$3,0))-1)/2)+BH$11,0)=EOMONTH($BJ$3,0),BH$9*BH$10,0),0),IF(AND(BD$9&lt;&gt;"",BD$11&lt;&gt;""),IF(EOMONTH($BB$3+INT((DAY(EOMONTH($BB$3,0))-1)/2)+BD$11,0)=EOMONTH($BJ$3,0),BD$9*BD$10,0),0),IF(AND(AZ$9&lt;&gt;"",AZ$11&lt;&gt;""),IF(EOMONTH($AX$3+INT((DAY(EOMONTH($AX$3,0))-1)/2)+AZ$11,0)=EOMONTH($BJ$3,0),AZ$9*AZ$10,0),0),IF(AND(AV$9&lt;&gt;"",AV$11&lt;&gt;""),IF(EOMONTH($AT$3+INT((DAY(EOMONTH($AT$3,0))-1)/2)+AV$11,0)=EOMONTH($BJ$3,0),AV$9*AV$10,0),0),IF(AND(AR$9&lt;&gt;"",AR$11&lt;&gt;""),IF(EOMONTH($AP$3+INT((DAY(EOMONTH($AP$3,0))-1)/2)+AR$11,0)=EOMONTH($BJ$3,0),AR$9*AR$10,0),0),IF(AND(AN$9&lt;&gt;"",AN$11&lt;&gt;""),IF(EOMONTH($AL$3+INT((DAY(EOMONTH($AL$3,0))-1)/2)+AN$11,0)=EOMONTH($BJ$3,0),AN$9*AN$10,0),0),IF(AND(AJ$9&lt;&gt;"",AJ$11&lt;&gt;""),IF(EOMONTH($AH$3+INT((DAY(EOMONTH($AH$3,0))-1)/2)+AJ$11,0)=EOMONTH($BJ$3,0),AJ$9*AJ$10,0),0),IF(AND(AF$9&lt;&gt;"",AF$11&lt;&gt;""),IF(EOMONTH($AD$3+INT((DAY(EOMONTH($AD$3,0))-1)/2)+AF$11,0)=EOMONTH($BJ$3,0),AF$9*AF$10,0),0),IF(AND(AB$9&lt;&gt;"",AB$11&lt;&gt;""),IF(EOMONTH($Z$3+INT((DAY(EOMONTH($Z$3,0))-1)/2)+AB$11,0)=EOMONTH($BJ$3,0),AB$9*AB$10,0),0),IF(AND(X$9&lt;&gt;"",X$11&lt;&gt;""),IF(EOMONTH($V$3+INT((DAY(EOMONTH($V$3,0))-1)/2)+X$11,0)=EOMONTH($BJ$3,0),X$9*X$10,0),0),IF(AND(T$9&lt;&gt;"",T$11&lt;&gt;""),IF(EOMONTH($R$3+INT((DAY(EOMONTH($R$3,0))-1)/2)+T$11,0)=EOMONTH($BJ$3,0),T$9*T$10,0),0),IF(AND(P$9&lt;&gt;"",P$11&lt;&gt;""),IF(EOMONTH($N$3+INT((DAY(EOMONTH($N$3,0))-1)/2)+P$11,0)=EOMONTH($BJ$3,0),P$9*P$10,0),0),IF(AND(L$9&lt;&gt;"",L$11&lt;&gt;""),IF(EOMONTH($J$3+INT((DAY(EOMONTH($J$3,0))-1)/2)+L$11,0)=EOMONTH($BJ$3,0),L$9*L$10,0),0),IF(AND(H$9&lt;&gt;"",H$11&lt;&gt;""),IF(EOMONTH($F$3+INT((DAY(EOMONTH($F$3,0))-1)/2)+H$11,0)=EOMONTH($BJ$3,0),H$9*H$10,0),0),IF($EP$75="",0,IF(EOMONTH($EP$75+ER$11,0)=EOMONTH($BJ$3,0),$EP$76*ER$10,0))),0)</f>
        <v>15</v>
      </c>
      <c r="BM12" s="16">
        <f t="shared" si="33"/>
        <v>0</v>
      </c>
      <c r="BN12" s="17"/>
      <c r="BO12" s="14">
        <f>IF(BN$98=1,BN12,ROUND(SUM(IF(AND(EQ$9&lt;&gt;"",EQ$11&lt;&gt;""),IF(EOMONTH($EP$3+INT((DAY(EOMONTH($EP$3,0))-1)/2)+EQ$11,0)=EOMONTH($BN$3,0),EQ$9*EQ$10,0),0),IF(AND(EM$9&lt;&gt;"",EM$11&lt;&gt;""),IF(EOMONTH($EL$3+INT((DAY(EOMONTH($EL$3,0))-1)/2)+EM$11,0)=EOMONTH($BN$3,0),EM$9*EM$10,0),0),IF(AND(EI$9&lt;&gt;"",EI$11&lt;&gt;""),IF(EOMONTH($EH$3+INT((DAY(EOMONTH($EH$3,0))-1)/2)+EI$11,0)=EOMONTH($BN$3,0),EI$9*EI$10,0),0),IF(AND(EE$9&lt;&gt;"",EE$11&lt;&gt;""),IF(EOMONTH($ED$3+INT((DAY(EOMONTH($ED$3,0))-1)/2)+EE$11,0)=EOMONTH($BN$3,0),EE$9*EE$10,0),0),IF(AND(EA$9&lt;&gt;"",EA$11&lt;&gt;""),IF(EOMONTH($DZ$3+INT((DAY(EOMONTH($DZ$3,0))-1)/2)+EA$11,0)=EOMONTH($BN$3,0),EA$9*EA$10,0),0),IF(AND(DW$9&lt;&gt;"",DW$11&lt;&gt;""),IF(EOMONTH($DV$3+INT((DAY(EOMONTH($DV$3,0))-1)/2)+DW$11,0)=EOMONTH($BN$3,0),DW$9*DW$10,0),0),IF(AND(DS$9&lt;&gt;"",DS$11&lt;&gt;""),IF(EOMONTH($DR$3+INT((DAY(EOMONTH($DR$3,0))-1)/2)+DS$11,0)=EOMONTH($BN$3,0),DS$9*DS$10,0),0),IF(AND(DO$9&lt;&gt;"",DO$11&lt;&gt;""),IF(EOMONTH($DN$3+INT((DAY(EOMONTH($DN$3,0))-1)/2)+DO$11,0)=EOMONTH($BN$3,0),DO$9*DO$10,0),0),IF(AND(DK$9&lt;&gt;"",DK$11&lt;&gt;""),IF(EOMONTH($DJ$3+INT((DAY(EOMONTH($DJ$3,0))-1)/2)+DK$11,0)=EOMONTH($BN$3,0),DK$9*DK$10,0),0),IF(AND(DG$9&lt;&gt;"",DG$11&lt;&gt;""),IF(EOMONTH($DF$3+INT((DAY(EOMONTH($DF$3,0))-1)/2)+DG$11,0)=EOMONTH($BN$3,0),DG$9*DG$10,0),0),IF(AND(DC$9&lt;&gt;"",DC$11&lt;&gt;""),IF(EOMONTH($DB$3+INT((DAY(EOMONTH($DB$3,0))-1)/2)+DC$11,0)=EOMONTH($BN$3,0),DC$9*DC$10,0),0),IF(AND(CY$9&lt;&gt;"",CY$11&lt;&gt;""),IF(EOMONTH($CX$3+INT((DAY(EOMONTH($CX$3,0))-1)/2)+CY$11,0)=EOMONTH($BN$3,0),CY$9*CY$10,0),0),IF(AND(CU$9&lt;&gt;"",CU$11&lt;&gt;""),IF(EOMONTH($CT$3+INT((DAY(EOMONTH($CT$3,0))-1)/2)+CU$11,0)=EOMONTH($BN$3,0),CU$9*CU$10,0),0),IF(AND(CQ$9&lt;&gt;"",CQ$11&lt;&gt;""),IF(EOMONTH($CP$3+INT((DAY(EOMONTH($CP$3,0))-1)/2)+CQ$11,0)=EOMONTH($BN$3,0),CQ$9*CQ$10,0),0),IF(AND(CM$9&lt;&gt;"",CM$11&lt;&gt;""),IF(EOMONTH($CL$3+INT((DAY(EOMONTH($CL$3,0))-1)/2)+CM$11,0)=EOMONTH($BN$3,0),CM$9*CM$10,0),0),IF(AND(CI$9&lt;&gt;"",CI$11&lt;&gt;""),IF(EOMONTH($CH$3+INT((DAY(EOMONTH($CH$3,0))-1)/2)+CI$11,0)=EOMONTH($BN$3,0),CI$9*CI$10,0),0),IF(AND(CE$9&lt;&gt;"",CE$11&lt;&gt;""),IF(EOMONTH($CD$3+INT((DAY(EOMONTH($CD$3,0))-1)/2)+CE$11,0)=EOMONTH($BN$3,0),CE$9*CE$10,0),0),IF(AND(CA$9&lt;&gt;"",CA$11&lt;&gt;""),IF(EOMONTH($BZ$3+INT((DAY(EOMONTH($BZ$3,0))-1)/2)+CA$11,0)=EOMONTH($BN$3,0),CA$9*CA$10,0),0),IF(AND(BW$9&lt;&gt;"",BW$11&lt;&gt;""),IF(EOMONTH($BV$3+INT((DAY(EOMONTH($BV$3,0))-1)/2)+BW$11,0)=EOMONTH($BN$3,0),BW$9*BW$10,0),0),IF(AND(BS$9&lt;&gt;"",BS$11&lt;&gt;""),IF(EOMONTH($BR$3+INT((DAY(EOMONTH($BR$3,0))-1)/2)+BS$11,0)=EOMONTH($BN$3,0),BS$9*BS$10,0),0),IF(AND(BO$9&lt;&gt;"",BO$11&lt;&gt;""),IF(EOMONTH($BN$3+INT((DAY(EOMONTH($BN$3,0))-1)/2)+BO$11,0)=EOMONTH($BN$3,0),BO$9*BO$10,0),0),IF(AND(BK$9&lt;&gt;"",BK$11&lt;&gt;""),IF(EOMONTH($BJ$3+INT((DAY(EOMONTH($BJ$3,0))-1)/2)+BK$11,0)=EOMONTH($BN$3,0),BK$9*BK$10,0),0),IF(AND(BG$9&lt;&gt;"",BG$11&lt;&gt;""),IF(EOMONTH($BF$3+INT((DAY(EOMONTH($BF$3,0))-1)/2)+BG$11,0)=EOMONTH($BN$3,0),BG$9*BG$10,0),0),IF(AND(BC$9&lt;&gt;"",BC$11&lt;&gt;""),IF(EOMONTH($BB$3+INT((DAY(EOMONTH($BB$3,0))-1)/2)+BC$11,0)=EOMONTH($BN$3,0),BC$9*BC$10,0),0),IF(AND(AY$9&lt;&gt;"",AY$11&lt;&gt;""),IF(EOMONTH($AX$3+INT((DAY(EOMONTH($AX$3,0))-1)/2)+AY$11,0)=EOMONTH($BN$3,0),AY$9*AY$10,0),0),IF(AND(AU$9&lt;&gt;"",AU$11&lt;&gt;""),IF(EOMONTH($AT$3+INT((DAY(EOMONTH($AT$3,0))-1)/2)+AU$11,0)=EOMONTH($BN$3,0),AU$9*AU$10,0),0),IF(AND(AQ$9&lt;&gt;"",AQ$11&lt;&gt;""),IF(EOMONTH($AP$3+INT((DAY(EOMONTH($AP$3,0))-1)/2)+AQ$11,0)=EOMONTH($BN$3,0),AQ$9*AQ$10,0),0),IF(AND(AM$9&lt;&gt;"",AM$11&lt;&gt;""),IF(EOMONTH($AL$3+INT((DAY(EOMONTH($AL$3,0))-1)/2)+AM$11,0)=EOMONTH($BN$3,0),AM$9*AM$10,0),0),IF(AND(AI$9&lt;&gt;"",AI$11&lt;&gt;""),IF(EOMONTH($AH$3+INT((DAY(EOMONTH($AH$3,0))-1)/2)+AI$11,0)=EOMONTH($BN$3,0),AI$9*AI$10,0),0),IF(AND(AE$9&lt;&gt;"",AE$11&lt;&gt;""),IF(EOMONTH($AD$3+INT((DAY(EOMONTH($AD$3,0))-1)/2)+AE$11,0)=EOMONTH($BN$3,0),AE$9*AE$10,0),0),IF(AND(AA$9&lt;&gt;"",AA$11&lt;&gt;""),IF(EOMONTH($Z$3+INT((DAY(EOMONTH($Z$3,0))-1)/2)+AA$11,0)=EOMONTH($BN$3,0),AA$9*AA$10,0),0),IF(AND(W$9&lt;&gt;"",W$11&lt;&gt;""),IF(EOMONTH($V$3+INT((DAY(EOMONTH($V$3,0))-1)/2)+W$11,0)=EOMONTH($BN$3,0),W$9*W$10,0),0),IF(AND(S$9&lt;&gt;"",S$11&lt;&gt;""),IF(EOMONTH($R$3+INT((DAY(EOMONTH($R$3,0))-1)/2)+S$11,0)=EOMONTH($BN$3,0),S$9*S$10,0),0),IF(AND(O$9&lt;&gt;"",O$11&lt;&gt;""),IF(EOMONTH($N$3+INT((DAY(EOMONTH($N$3,0))-1)/2)+O$11,0)=EOMONTH($BN$3,0),O$9*O$10,0),0),IF(AND(K$9&lt;&gt;"",K$11&lt;&gt;""),IF(EOMONTH($J$3+INT((DAY(EOMONTH($J$3,0))-1)/2)+K$11,0)=EOMONTH($BN$3,0),K$9*K$10,0),0),IF(AND(G$9&lt;&gt;"",G$11&lt;&gt;""),IF(EOMONTH($F$3+INT((DAY(EOMONTH($F$3,0))-1)/2)+G$11,0)=EOMONTH($BN$3,0),G$9*G$10,0),0),IF($EP$75="",0,IF(EOMONTH($EP$75+EQ$11,0)=EOMONTH($BN$3,0),$EP$76*EQ$10,0))),0))</f>
        <v>15</v>
      </c>
      <c r="BP12" s="15">
        <f>ROUND(SUM(IF(AND(ER$9&lt;&gt;"",ER$11&lt;&gt;""),IF(EOMONTH($EP$3+INT((DAY(EOMONTH($EP$3,0))-1)/2)+ER$11,0)=EOMONTH($BN$3,0),ER$9*ER$10,0),0),IF(AND(EN$9&lt;&gt;"",EN$11&lt;&gt;""),IF(EOMONTH($EL$3+INT((DAY(EOMONTH($EL$3,0))-1)/2)+EN$11,0)=EOMONTH($BN$3,0),EN$9*EN$10,0),0),IF(AND(EJ$9&lt;&gt;"",EJ$11&lt;&gt;""),IF(EOMONTH($EH$3+INT((DAY(EOMONTH($EH$3,0))-1)/2)+EJ$11,0)=EOMONTH($BN$3,0),EJ$9*EJ$10,0),0),IF(AND(EF$9&lt;&gt;"",EF$11&lt;&gt;""),IF(EOMONTH($ED$3+INT((DAY(EOMONTH($ED$3,0))-1)/2)+EF$11,0)=EOMONTH($BN$3,0),EF$9*EF$10,0),0),IF(AND(EB$9&lt;&gt;"",EB$11&lt;&gt;""),IF(EOMONTH($DZ$3+INT((DAY(EOMONTH($DZ$3,0))-1)/2)+EB$11,0)=EOMONTH($BN$3,0),EB$9*EB$10,0),0),IF(AND(DX$9&lt;&gt;"",DX$11&lt;&gt;""),IF(EOMONTH($DV$3+INT((DAY(EOMONTH($DV$3,0))-1)/2)+DX$11,0)=EOMONTH($BN$3,0),DX$9*DX$10,0),0),IF(AND(DT$9&lt;&gt;"",DT$11&lt;&gt;""),IF(EOMONTH($DR$3+INT((DAY(EOMONTH($DR$3,0))-1)/2)+DT$11,0)=EOMONTH($BN$3,0),DT$9*DT$10,0),0),IF(AND(DP$9&lt;&gt;"",DP$11&lt;&gt;""),IF(EOMONTH($DN$3+INT((DAY(EOMONTH($DN$3,0))-1)/2)+DP$11,0)=EOMONTH($BN$3,0),DP$9*DP$10,0),0),IF(AND(DL$9&lt;&gt;"",DL$11&lt;&gt;""),IF(EOMONTH($DJ$3+INT((DAY(EOMONTH($DJ$3,0))-1)/2)+DL$11,0)=EOMONTH($BN$3,0),DL$9*DL$10,0),0),IF(AND(DH$9&lt;&gt;"",DH$11&lt;&gt;""),IF(EOMONTH($DF$3+INT((DAY(EOMONTH($DF$3,0))-1)/2)+DH$11,0)=EOMONTH($BN$3,0),DH$9*DH$10,0),0),IF(AND(DD$9&lt;&gt;"",DD$11&lt;&gt;""),IF(EOMONTH($DB$3+INT((DAY(EOMONTH($DB$3,0))-1)/2)+DD$11,0)=EOMONTH($BN$3,0),DD$9*DD$10,0),0),IF(AND(CZ$9&lt;&gt;"",CZ$11&lt;&gt;""),IF(EOMONTH($CX$3+INT((DAY(EOMONTH($CX$3,0))-1)/2)+CZ$11,0)=EOMONTH($BN$3,0),CZ$9*CZ$10,0),0),IF(AND(CV$9&lt;&gt;"",CV$11&lt;&gt;""),IF(EOMONTH($CT$3+INT((DAY(EOMONTH($CT$3,0))-1)/2)+CV$11,0)=EOMONTH($BN$3,0),CV$9*CV$10,0),0),IF(AND(CR$9&lt;&gt;"",CR$11&lt;&gt;""),IF(EOMONTH($CP$3+INT((DAY(EOMONTH($CP$3,0))-1)/2)+CR$11,0)=EOMONTH($BN$3,0),CR$9*CR$10,0),0),IF(AND(CN$9&lt;&gt;"",CN$11&lt;&gt;""),IF(EOMONTH($CL$3+INT((DAY(EOMONTH($CL$3,0))-1)/2)+CN$11,0)=EOMONTH($BN$3,0),CN$9*CN$10,0),0),IF(AND(CJ$9&lt;&gt;"",CJ$11&lt;&gt;""),IF(EOMONTH($CH$3+INT((DAY(EOMONTH($CH$3,0))-1)/2)+CJ$11,0)=EOMONTH($BN$3,0),CJ$9*CJ$10,0),0),IF(AND(CF$9&lt;&gt;"",CF$11&lt;&gt;""),IF(EOMONTH($CD$3+INT((DAY(EOMONTH($CD$3,0))-1)/2)+CF$11,0)=EOMONTH($BN$3,0),CF$9*CF$10,0),0),IF(AND(CB$9&lt;&gt;"",CB$11&lt;&gt;""),IF(EOMONTH($BZ$3+INT((DAY(EOMONTH($BZ$3,0))-1)/2)+CB$11,0)=EOMONTH($BN$3,0),CB$9*CB$10,0),0),IF(AND(BX$9&lt;&gt;"",BX$11&lt;&gt;""),IF(EOMONTH($BV$3+INT((DAY(EOMONTH($BV$3,0))-1)/2)+BX$11,0)=EOMONTH($BN$3,0),BX$9*BX$10,0),0),IF(AND(BT$9&lt;&gt;"",BT$11&lt;&gt;""),IF(EOMONTH($BR$3+INT((DAY(EOMONTH($BR$3,0))-1)/2)+BT$11,0)=EOMONTH($BN$3,0),BT$9*BT$10,0),0),IF(AND(BP$9&lt;&gt;"",BP$11&lt;&gt;""),IF(EOMONTH($BN$3+INT((DAY(EOMONTH($BN$3,0))-1)/2)+BP$11,0)=EOMONTH($BN$3,0),BP$9*BP$10,0),0),IF(AND(BL$9&lt;&gt;"",BL$11&lt;&gt;""),IF(EOMONTH($BJ$3+INT((DAY(EOMONTH($BJ$3,0))-1)/2)+BL$11,0)=EOMONTH($BN$3,0),BL$9*BL$10,0),0),IF(AND(BH$9&lt;&gt;"",BH$11&lt;&gt;""),IF(EOMONTH($BF$3+INT((DAY(EOMONTH($BF$3,0))-1)/2)+BH$11,0)=EOMONTH($BN$3,0),BH$9*BH$10,0),0),IF(AND(BD$9&lt;&gt;"",BD$11&lt;&gt;""),IF(EOMONTH($BB$3+INT((DAY(EOMONTH($BB$3,0))-1)/2)+BD$11,0)=EOMONTH($BN$3,0),BD$9*BD$10,0),0),IF(AND(AZ$9&lt;&gt;"",AZ$11&lt;&gt;""),IF(EOMONTH($AX$3+INT((DAY(EOMONTH($AX$3,0))-1)/2)+AZ$11,0)=EOMONTH($BN$3,0),AZ$9*AZ$10,0),0),IF(AND(AV$9&lt;&gt;"",AV$11&lt;&gt;""),IF(EOMONTH($AT$3+INT((DAY(EOMONTH($AT$3,0))-1)/2)+AV$11,0)=EOMONTH($BN$3,0),AV$9*AV$10,0),0),IF(AND(AR$9&lt;&gt;"",AR$11&lt;&gt;""),IF(EOMONTH($AP$3+INT((DAY(EOMONTH($AP$3,0))-1)/2)+AR$11,0)=EOMONTH($BN$3,0),AR$9*AR$10,0),0),IF(AND(AN$9&lt;&gt;"",AN$11&lt;&gt;""),IF(EOMONTH($AL$3+INT((DAY(EOMONTH($AL$3,0))-1)/2)+AN$11,0)=EOMONTH($BN$3,0),AN$9*AN$10,0),0),IF(AND(AJ$9&lt;&gt;"",AJ$11&lt;&gt;""),IF(EOMONTH($AH$3+INT((DAY(EOMONTH($AH$3,0))-1)/2)+AJ$11,0)=EOMONTH($BN$3,0),AJ$9*AJ$10,0),0),IF(AND(AF$9&lt;&gt;"",AF$11&lt;&gt;""),IF(EOMONTH($AD$3+INT((DAY(EOMONTH($AD$3,0))-1)/2)+AF$11,0)=EOMONTH($BN$3,0),AF$9*AF$10,0),0),IF(AND(AB$9&lt;&gt;"",AB$11&lt;&gt;""),IF(EOMONTH($Z$3+INT((DAY(EOMONTH($Z$3,0))-1)/2)+AB$11,0)=EOMONTH($BN$3,0),AB$9*AB$10,0),0),IF(AND(X$9&lt;&gt;"",X$11&lt;&gt;""),IF(EOMONTH($V$3+INT((DAY(EOMONTH($V$3,0))-1)/2)+X$11,0)=EOMONTH($BN$3,0),X$9*X$10,0),0),IF(AND(T$9&lt;&gt;"",T$11&lt;&gt;""),IF(EOMONTH($R$3+INT((DAY(EOMONTH($R$3,0))-1)/2)+T$11,0)=EOMONTH($BN$3,0),T$9*T$10,0),0),IF(AND(P$9&lt;&gt;"",P$11&lt;&gt;""),IF(EOMONTH($N$3+INT((DAY(EOMONTH($N$3,0))-1)/2)+P$11,0)=EOMONTH($BN$3,0),P$9*P$10,0),0),IF(AND(L$9&lt;&gt;"",L$11&lt;&gt;""),IF(EOMONTH($J$3+INT((DAY(EOMONTH($J$3,0))-1)/2)+L$11,0)=EOMONTH($BN$3,0),L$9*L$10,0),0),IF(AND(H$9&lt;&gt;"",H$11&lt;&gt;""),IF(EOMONTH($F$3+INT((DAY(EOMONTH($F$3,0))-1)/2)+H$11,0)=EOMONTH($BN$3,0),H$9*H$10,0),0),IF($EP$75="",0,IF(EOMONTH($EP$75+ER$11,0)=EOMONTH($BN$3,0),$EP$76*ER$10,0))),0)</f>
        <v>15</v>
      </c>
      <c r="BQ12" s="16">
        <f t="shared" si="35"/>
        <v>0</v>
      </c>
      <c r="BR12" s="17"/>
      <c r="BS12" s="14">
        <f>IF(BR$98=1,BR12,ROUND(SUM(IF(AND(EQ$9&lt;&gt;"",EQ$11&lt;&gt;""),IF(EOMONTH($EP$3+INT((DAY(EOMONTH($EP$3,0))-1)/2)+EQ$11,0)=EOMONTH($BR$3,0),EQ$9*EQ$10,0),0),IF(AND(EM$9&lt;&gt;"",EM$11&lt;&gt;""),IF(EOMONTH($EL$3+INT((DAY(EOMONTH($EL$3,0))-1)/2)+EM$11,0)=EOMONTH($BR$3,0),EM$9*EM$10,0),0),IF(AND(EI$9&lt;&gt;"",EI$11&lt;&gt;""),IF(EOMONTH($EH$3+INT((DAY(EOMONTH($EH$3,0))-1)/2)+EI$11,0)=EOMONTH($BR$3,0),EI$9*EI$10,0),0),IF(AND(EE$9&lt;&gt;"",EE$11&lt;&gt;""),IF(EOMONTH($ED$3+INT((DAY(EOMONTH($ED$3,0))-1)/2)+EE$11,0)=EOMONTH($BR$3,0),EE$9*EE$10,0),0),IF(AND(EA$9&lt;&gt;"",EA$11&lt;&gt;""),IF(EOMONTH($DZ$3+INT((DAY(EOMONTH($DZ$3,0))-1)/2)+EA$11,0)=EOMONTH($BR$3,0),EA$9*EA$10,0),0),IF(AND(DW$9&lt;&gt;"",DW$11&lt;&gt;""),IF(EOMONTH($DV$3+INT((DAY(EOMONTH($DV$3,0))-1)/2)+DW$11,0)=EOMONTH($BR$3,0),DW$9*DW$10,0),0),IF(AND(DS$9&lt;&gt;"",DS$11&lt;&gt;""),IF(EOMONTH($DR$3+INT((DAY(EOMONTH($DR$3,0))-1)/2)+DS$11,0)=EOMONTH($BR$3,0),DS$9*DS$10,0),0),IF(AND(DO$9&lt;&gt;"",DO$11&lt;&gt;""),IF(EOMONTH($DN$3+INT((DAY(EOMONTH($DN$3,0))-1)/2)+DO$11,0)=EOMONTH($BR$3,0),DO$9*DO$10,0),0),IF(AND(DK$9&lt;&gt;"",DK$11&lt;&gt;""),IF(EOMONTH($DJ$3+INT((DAY(EOMONTH($DJ$3,0))-1)/2)+DK$11,0)=EOMONTH($BR$3,0),DK$9*DK$10,0),0),IF(AND(DG$9&lt;&gt;"",DG$11&lt;&gt;""),IF(EOMONTH($DF$3+INT((DAY(EOMONTH($DF$3,0))-1)/2)+DG$11,0)=EOMONTH($BR$3,0),DG$9*DG$10,0),0),IF(AND(DC$9&lt;&gt;"",DC$11&lt;&gt;""),IF(EOMONTH($DB$3+INT((DAY(EOMONTH($DB$3,0))-1)/2)+DC$11,0)=EOMONTH($BR$3,0),DC$9*DC$10,0),0),IF(AND(CY$9&lt;&gt;"",CY$11&lt;&gt;""),IF(EOMONTH($CX$3+INT((DAY(EOMONTH($CX$3,0))-1)/2)+CY$11,0)=EOMONTH($BR$3,0),CY$9*CY$10,0),0),IF(AND(CU$9&lt;&gt;"",CU$11&lt;&gt;""),IF(EOMONTH($CT$3+INT((DAY(EOMONTH($CT$3,0))-1)/2)+CU$11,0)=EOMONTH($BR$3,0),CU$9*CU$10,0),0),IF(AND(CQ$9&lt;&gt;"",CQ$11&lt;&gt;""),IF(EOMONTH($CP$3+INT((DAY(EOMONTH($CP$3,0))-1)/2)+CQ$11,0)=EOMONTH($BR$3,0),CQ$9*CQ$10,0),0),IF(AND(CM$9&lt;&gt;"",CM$11&lt;&gt;""),IF(EOMONTH($CL$3+INT((DAY(EOMONTH($CL$3,0))-1)/2)+CM$11,0)=EOMONTH($BR$3,0),CM$9*CM$10,0),0),IF(AND(CI$9&lt;&gt;"",CI$11&lt;&gt;""),IF(EOMONTH($CH$3+INT((DAY(EOMONTH($CH$3,0))-1)/2)+CI$11,0)=EOMONTH($BR$3,0),CI$9*CI$10,0),0),IF(AND(CE$9&lt;&gt;"",CE$11&lt;&gt;""),IF(EOMONTH($CD$3+INT((DAY(EOMONTH($CD$3,0))-1)/2)+CE$11,0)=EOMONTH($BR$3,0),CE$9*CE$10,0),0),IF(AND(CA$9&lt;&gt;"",CA$11&lt;&gt;""),IF(EOMONTH($BZ$3+INT((DAY(EOMONTH($BZ$3,0))-1)/2)+CA$11,0)=EOMONTH($BR$3,0),CA$9*CA$10,0),0),IF(AND(BW$9&lt;&gt;"",BW$11&lt;&gt;""),IF(EOMONTH($BV$3+INT((DAY(EOMONTH($BV$3,0))-1)/2)+BW$11,0)=EOMONTH($BR$3,0),BW$9*BW$10,0),0),IF(AND(BS$9&lt;&gt;"",BS$11&lt;&gt;""),IF(EOMONTH($BR$3+INT((DAY(EOMONTH($BR$3,0))-1)/2)+BS$11,0)=EOMONTH($BR$3,0),BS$9*BS$10,0),0),IF(AND(BO$9&lt;&gt;"",BO$11&lt;&gt;""),IF(EOMONTH($BN$3+INT((DAY(EOMONTH($BN$3,0))-1)/2)+BO$11,0)=EOMONTH($BR$3,0),BO$9*BO$10,0),0),IF(AND(BK$9&lt;&gt;"",BK$11&lt;&gt;""),IF(EOMONTH($BJ$3+INT((DAY(EOMONTH($BJ$3,0))-1)/2)+BK$11,0)=EOMONTH($BR$3,0),BK$9*BK$10,0),0),IF(AND(BG$9&lt;&gt;"",BG$11&lt;&gt;""),IF(EOMONTH($BF$3+INT((DAY(EOMONTH($BF$3,0))-1)/2)+BG$11,0)=EOMONTH($BR$3,0),BG$9*BG$10,0),0),IF(AND(BC$9&lt;&gt;"",BC$11&lt;&gt;""),IF(EOMONTH($BB$3+INT((DAY(EOMONTH($BB$3,0))-1)/2)+BC$11,0)=EOMONTH($BR$3,0),BC$9*BC$10,0),0),IF(AND(AY$9&lt;&gt;"",AY$11&lt;&gt;""),IF(EOMONTH($AX$3+INT((DAY(EOMONTH($AX$3,0))-1)/2)+AY$11,0)=EOMONTH($BR$3,0),AY$9*AY$10,0),0),IF(AND(AU$9&lt;&gt;"",AU$11&lt;&gt;""),IF(EOMONTH($AT$3+INT((DAY(EOMONTH($AT$3,0))-1)/2)+AU$11,0)=EOMONTH($BR$3,0),AU$9*AU$10,0),0),IF(AND(AQ$9&lt;&gt;"",AQ$11&lt;&gt;""),IF(EOMONTH($AP$3+INT((DAY(EOMONTH($AP$3,0))-1)/2)+AQ$11,0)=EOMONTH($BR$3,0),AQ$9*AQ$10,0),0),IF(AND(AM$9&lt;&gt;"",AM$11&lt;&gt;""),IF(EOMONTH($AL$3+INT((DAY(EOMONTH($AL$3,0))-1)/2)+AM$11,0)=EOMONTH($BR$3,0),AM$9*AM$10,0),0),IF(AND(AI$9&lt;&gt;"",AI$11&lt;&gt;""),IF(EOMONTH($AH$3+INT((DAY(EOMONTH($AH$3,0))-1)/2)+AI$11,0)=EOMONTH($BR$3,0),AI$9*AI$10,0),0),IF(AND(AE$9&lt;&gt;"",AE$11&lt;&gt;""),IF(EOMONTH($AD$3+INT((DAY(EOMONTH($AD$3,0))-1)/2)+AE$11,0)=EOMONTH($BR$3,0),AE$9*AE$10,0),0),IF(AND(AA$9&lt;&gt;"",AA$11&lt;&gt;""),IF(EOMONTH($Z$3+INT((DAY(EOMONTH($Z$3,0))-1)/2)+AA$11,0)=EOMONTH($BR$3,0),AA$9*AA$10,0),0),IF(AND(W$9&lt;&gt;"",W$11&lt;&gt;""),IF(EOMONTH($V$3+INT((DAY(EOMONTH($V$3,0))-1)/2)+W$11,0)=EOMONTH($BR$3,0),W$9*W$10,0),0),IF(AND(S$9&lt;&gt;"",S$11&lt;&gt;""),IF(EOMONTH($R$3+INT((DAY(EOMONTH($R$3,0))-1)/2)+S$11,0)=EOMONTH($BR$3,0),S$9*S$10,0),0),IF(AND(O$9&lt;&gt;"",O$11&lt;&gt;""),IF(EOMONTH($N$3+INT((DAY(EOMONTH($N$3,0))-1)/2)+O$11,0)=EOMONTH($BR$3,0),O$9*O$10,0),0),IF(AND(K$9&lt;&gt;"",K$11&lt;&gt;""),IF(EOMONTH($J$3+INT((DAY(EOMONTH($J$3,0))-1)/2)+K$11,0)=EOMONTH($BR$3,0),K$9*K$10,0),0),IF(AND(G$9&lt;&gt;"",G$11&lt;&gt;""),IF(EOMONTH($F$3+INT((DAY(EOMONTH($F$3,0))-1)/2)+G$11,0)=EOMONTH($BR$3,0),G$9*G$10,0),0),IF($EP$75="",0,IF(EOMONTH($EP$75+EQ$11,0)=EOMONTH($BR$3,0),$EP$76*EQ$10,0))),0))</f>
        <v>15</v>
      </c>
      <c r="BT12" s="15">
        <f>ROUND(SUM(IF(AND(ER$9&lt;&gt;"",ER$11&lt;&gt;""),IF(EOMONTH($EP$3+INT((DAY(EOMONTH($EP$3,0))-1)/2)+ER$11,0)=EOMONTH($BR$3,0),ER$9*ER$10,0),0),IF(AND(EN$9&lt;&gt;"",EN$11&lt;&gt;""),IF(EOMONTH($EL$3+INT((DAY(EOMONTH($EL$3,0))-1)/2)+EN$11,0)=EOMONTH($BR$3,0),EN$9*EN$10,0),0),IF(AND(EJ$9&lt;&gt;"",EJ$11&lt;&gt;""),IF(EOMONTH($EH$3+INT((DAY(EOMONTH($EH$3,0))-1)/2)+EJ$11,0)=EOMONTH($BR$3,0),EJ$9*EJ$10,0),0),IF(AND(EF$9&lt;&gt;"",EF$11&lt;&gt;""),IF(EOMONTH($ED$3+INT((DAY(EOMONTH($ED$3,0))-1)/2)+EF$11,0)=EOMONTH($BR$3,0),EF$9*EF$10,0),0),IF(AND(EB$9&lt;&gt;"",EB$11&lt;&gt;""),IF(EOMONTH($DZ$3+INT((DAY(EOMONTH($DZ$3,0))-1)/2)+EB$11,0)=EOMONTH($BR$3,0),EB$9*EB$10,0),0),IF(AND(DX$9&lt;&gt;"",DX$11&lt;&gt;""),IF(EOMONTH($DV$3+INT((DAY(EOMONTH($DV$3,0))-1)/2)+DX$11,0)=EOMONTH($BR$3,0),DX$9*DX$10,0),0),IF(AND(DT$9&lt;&gt;"",DT$11&lt;&gt;""),IF(EOMONTH($DR$3+INT((DAY(EOMONTH($DR$3,0))-1)/2)+DT$11,0)=EOMONTH($BR$3,0),DT$9*DT$10,0),0),IF(AND(DP$9&lt;&gt;"",DP$11&lt;&gt;""),IF(EOMONTH($DN$3+INT((DAY(EOMONTH($DN$3,0))-1)/2)+DP$11,0)=EOMONTH($BR$3,0),DP$9*DP$10,0),0),IF(AND(DL$9&lt;&gt;"",DL$11&lt;&gt;""),IF(EOMONTH($DJ$3+INT((DAY(EOMONTH($DJ$3,0))-1)/2)+DL$11,0)=EOMONTH($BR$3,0),DL$9*DL$10,0),0),IF(AND(DH$9&lt;&gt;"",DH$11&lt;&gt;""),IF(EOMONTH($DF$3+INT((DAY(EOMONTH($DF$3,0))-1)/2)+DH$11,0)=EOMONTH($BR$3,0),DH$9*DH$10,0),0),IF(AND(DD$9&lt;&gt;"",DD$11&lt;&gt;""),IF(EOMONTH($DB$3+INT((DAY(EOMONTH($DB$3,0))-1)/2)+DD$11,0)=EOMONTH($BR$3,0),DD$9*DD$10,0),0),IF(AND(CZ$9&lt;&gt;"",CZ$11&lt;&gt;""),IF(EOMONTH($CX$3+INT((DAY(EOMONTH($CX$3,0))-1)/2)+CZ$11,0)=EOMONTH($BR$3,0),CZ$9*CZ$10,0),0),IF(AND(CV$9&lt;&gt;"",CV$11&lt;&gt;""),IF(EOMONTH($CT$3+INT((DAY(EOMONTH($CT$3,0))-1)/2)+CV$11,0)=EOMONTH($BR$3,0),CV$9*CV$10,0),0),IF(AND(CR$9&lt;&gt;"",CR$11&lt;&gt;""),IF(EOMONTH($CP$3+INT((DAY(EOMONTH($CP$3,0))-1)/2)+CR$11,0)=EOMONTH($BR$3,0),CR$9*CR$10,0),0),IF(AND(CN$9&lt;&gt;"",CN$11&lt;&gt;""),IF(EOMONTH($CL$3+INT((DAY(EOMONTH($CL$3,0))-1)/2)+CN$11,0)=EOMONTH($BR$3,0),CN$9*CN$10,0),0),IF(AND(CJ$9&lt;&gt;"",CJ$11&lt;&gt;""),IF(EOMONTH($CH$3+INT((DAY(EOMONTH($CH$3,0))-1)/2)+CJ$11,0)=EOMONTH($BR$3,0),CJ$9*CJ$10,0),0),IF(AND(CF$9&lt;&gt;"",CF$11&lt;&gt;""),IF(EOMONTH($CD$3+INT((DAY(EOMONTH($CD$3,0))-1)/2)+CF$11,0)=EOMONTH($BR$3,0),CF$9*CF$10,0),0),IF(AND(CB$9&lt;&gt;"",CB$11&lt;&gt;""),IF(EOMONTH($BZ$3+INT((DAY(EOMONTH($BZ$3,0))-1)/2)+CB$11,0)=EOMONTH($BR$3,0),CB$9*CB$10,0),0),IF(AND(BX$9&lt;&gt;"",BX$11&lt;&gt;""),IF(EOMONTH($BV$3+INT((DAY(EOMONTH($BV$3,0))-1)/2)+BX$11,0)=EOMONTH($BR$3,0),BX$9*BX$10,0),0),IF(AND(BT$9&lt;&gt;"",BT$11&lt;&gt;""),IF(EOMONTH($BR$3+INT((DAY(EOMONTH($BR$3,0))-1)/2)+BT$11,0)=EOMONTH($BR$3,0),BT$9*BT$10,0),0),IF(AND(BP$9&lt;&gt;"",BP$11&lt;&gt;""),IF(EOMONTH($BN$3+INT((DAY(EOMONTH($BN$3,0))-1)/2)+BP$11,0)=EOMONTH($BR$3,0),BP$9*BP$10,0),0),IF(AND(BL$9&lt;&gt;"",BL$11&lt;&gt;""),IF(EOMONTH($BJ$3+INT((DAY(EOMONTH($BJ$3,0))-1)/2)+BL$11,0)=EOMONTH($BR$3,0),BL$9*BL$10,0),0),IF(AND(BH$9&lt;&gt;"",BH$11&lt;&gt;""),IF(EOMONTH($BF$3+INT((DAY(EOMONTH($BF$3,0))-1)/2)+BH$11,0)=EOMONTH($BR$3,0),BH$9*BH$10,0),0),IF(AND(BD$9&lt;&gt;"",BD$11&lt;&gt;""),IF(EOMONTH($BB$3+INT((DAY(EOMONTH($BB$3,0))-1)/2)+BD$11,0)=EOMONTH($BR$3,0),BD$9*BD$10,0),0),IF(AND(AZ$9&lt;&gt;"",AZ$11&lt;&gt;""),IF(EOMONTH($AX$3+INT((DAY(EOMONTH($AX$3,0))-1)/2)+AZ$11,0)=EOMONTH($BR$3,0),AZ$9*AZ$10,0),0),IF(AND(AV$9&lt;&gt;"",AV$11&lt;&gt;""),IF(EOMONTH($AT$3+INT((DAY(EOMONTH($AT$3,0))-1)/2)+AV$11,0)=EOMONTH($BR$3,0),AV$9*AV$10,0),0),IF(AND(AR$9&lt;&gt;"",AR$11&lt;&gt;""),IF(EOMONTH($AP$3+INT((DAY(EOMONTH($AP$3,0))-1)/2)+AR$11,0)=EOMONTH($BR$3,0),AR$9*AR$10,0),0),IF(AND(AN$9&lt;&gt;"",AN$11&lt;&gt;""),IF(EOMONTH($AL$3+INT((DAY(EOMONTH($AL$3,0))-1)/2)+AN$11,0)=EOMONTH($BR$3,0),AN$9*AN$10,0),0),IF(AND(AJ$9&lt;&gt;"",AJ$11&lt;&gt;""),IF(EOMONTH($AH$3+INT((DAY(EOMONTH($AH$3,0))-1)/2)+AJ$11,0)=EOMONTH($BR$3,0),AJ$9*AJ$10,0),0),IF(AND(AF$9&lt;&gt;"",AF$11&lt;&gt;""),IF(EOMONTH($AD$3+INT((DAY(EOMONTH($AD$3,0))-1)/2)+AF$11,0)=EOMONTH($BR$3,0),AF$9*AF$10,0),0),IF(AND(AB$9&lt;&gt;"",AB$11&lt;&gt;""),IF(EOMONTH($Z$3+INT((DAY(EOMONTH($Z$3,0))-1)/2)+AB$11,0)=EOMONTH($BR$3,0),AB$9*AB$10,0),0),IF(AND(X$9&lt;&gt;"",X$11&lt;&gt;""),IF(EOMONTH($V$3+INT((DAY(EOMONTH($V$3,0))-1)/2)+X$11,0)=EOMONTH($BR$3,0),X$9*X$10,0),0),IF(AND(T$9&lt;&gt;"",T$11&lt;&gt;""),IF(EOMONTH($R$3+INT((DAY(EOMONTH($R$3,0))-1)/2)+T$11,0)=EOMONTH($BR$3,0),T$9*T$10,0),0),IF(AND(P$9&lt;&gt;"",P$11&lt;&gt;""),IF(EOMONTH($N$3+INT((DAY(EOMONTH($N$3,0))-1)/2)+P$11,0)=EOMONTH($BR$3,0),P$9*P$10,0),0),IF(AND(L$9&lt;&gt;"",L$11&lt;&gt;""),IF(EOMONTH($J$3+INT((DAY(EOMONTH($J$3,0))-1)/2)+L$11,0)=EOMONTH($BR$3,0),L$9*L$10,0),0),IF(AND(H$9&lt;&gt;"",H$11&lt;&gt;""),IF(EOMONTH($F$3+INT((DAY(EOMONTH($F$3,0))-1)/2)+H$11,0)=EOMONTH($BR$3,0),H$9*H$10,0),0),IF($EP$75="",0,IF(EOMONTH($EP$75+ER$11,0)=EOMONTH($BR$3,0),$EP$76*ER$10,0))),0)</f>
        <v>15</v>
      </c>
      <c r="BU12" s="16">
        <f t="shared" si="37"/>
        <v>0</v>
      </c>
      <c r="BV12" s="17"/>
      <c r="BW12" s="14">
        <f>IF(BV$98=1,BV12,ROUND(SUM(IF(AND(EQ$9&lt;&gt;"",EQ$11&lt;&gt;""),IF(EOMONTH($EP$3+INT((DAY(EOMONTH($EP$3,0))-1)/2)+EQ$11,0)=EOMONTH($BV$3,0),EQ$9*EQ$10,0),0),IF(AND(EM$9&lt;&gt;"",EM$11&lt;&gt;""),IF(EOMONTH($EL$3+INT((DAY(EOMONTH($EL$3,0))-1)/2)+EM$11,0)=EOMONTH($BV$3,0),EM$9*EM$10,0),0),IF(AND(EI$9&lt;&gt;"",EI$11&lt;&gt;""),IF(EOMONTH($EH$3+INT((DAY(EOMONTH($EH$3,0))-1)/2)+EI$11,0)=EOMONTH($BV$3,0),EI$9*EI$10,0),0),IF(AND(EE$9&lt;&gt;"",EE$11&lt;&gt;""),IF(EOMONTH($ED$3+INT((DAY(EOMONTH($ED$3,0))-1)/2)+EE$11,0)=EOMONTH($BV$3,0),EE$9*EE$10,0),0),IF(AND(EA$9&lt;&gt;"",EA$11&lt;&gt;""),IF(EOMONTH($DZ$3+INT((DAY(EOMONTH($DZ$3,0))-1)/2)+EA$11,0)=EOMONTH($BV$3,0),EA$9*EA$10,0),0),IF(AND(DW$9&lt;&gt;"",DW$11&lt;&gt;""),IF(EOMONTH($DV$3+INT((DAY(EOMONTH($DV$3,0))-1)/2)+DW$11,0)=EOMONTH($BV$3,0),DW$9*DW$10,0),0),IF(AND(DS$9&lt;&gt;"",DS$11&lt;&gt;""),IF(EOMONTH($DR$3+INT((DAY(EOMONTH($DR$3,0))-1)/2)+DS$11,0)=EOMONTH($BV$3,0),DS$9*DS$10,0),0),IF(AND(DO$9&lt;&gt;"",DO$11&lt;&gt;""),IF(EOMONTH($DN$3+INT((DAY(EOMONTH($DN$3,0))-1)/2)+DO$11,0)=EOMONTH($BV$3,0),DO$9*DO$10,0),0),IF(AND(DK$9&lt;&gt;"",DK$11&lt;&gt;""),IF(EOMONTH($DJ$3+INT((DAY(EOMONTH($DJ$3,0))-1)/2)+DK$11,0)=EOMONTH($BV$3,0),DK$9*DK$10,0),0),IF(AND(DG$9&lt;&gt;"",DG$11&lt;&gt;""),IF(EOMONTH($DF$3+INT((DAY(EOMONTH($DF$3,0))-1)/2)+DG$11,0)=EOMONTH($BV$3,0),DG$9*DG$10,0),0),IF(AND(DC$9&lt;&gt;"",DC$11&lt;&gt;""),IF(EOMONTH($DB$3+INT((DAY(EOMONTH($DB$3,0))-1)/2)+DC$11,0)=EOMONTH($BV$3,0),DC$9*DC$10,0),0),IF(AND(CY$9&lt;&gt;"",CY$11&lt;&gt;""),IF(EOMONTH($CX$3+INT((DAY(EOMONTH($CX$3,0))-1)/2)+CY$11,0)=EOMONTH($BV$3,0),CY$9*CY$10,0),0),IF(AND(CU$9&lt;&gt;"",CU$11&lt;&gt;""),IF(EOMONTH($CT$3+INT((DAY(EOMONTH($CT$3,0))-1)/2)+CU$11,0)=EOMONTH($BV$3,0),CU$9*CU$10,0),0),IF(AND(CQ$9&lt;&gt;"",CQ$11&lt;&gt;""),IF(EOMONTH($CP$3+INT((DAY(EOMONTH($CP$3,0))-1)/2)+CQ$11,0)=EOMONTH($BV$3,0),CQ$9*CQ$10,0),0),IF(AND(CM$9&lt;&gt;"",CM$11&lt;&gt;""),IF(EOMONTH($CL$3+INT((DAY(EOMONTH($CL$3,0))-1)/2)+CM$11,0)=EOMONTH($BV$3,0),CM$9*CM$10,0),0),IF(AND(CI$9&lt;&gt;"",CI$11&lt;&gt;""),IF(EOMONTH($CH$3+INT((DAY(EOMONTH($CH$3,0))-1)/2)+CI$11,0)=EOMONTH($BV$3,0),CI$9*CI$10,0),0),IF(AND(CE$9&lt;&gt;"",CE$11&lt;&gt;""),IF(EOMONTH($CD$3+INT((DAY(EOMONTH($CD$3,0))-1)/2)+CE$11,0)=EOMONTH($BV$3,0),CE$9*CE$10,0),0),IF(AND(CA$9&lt;&gt;"",CA$11&lt;&gt;""),IF(EOMONTH($BZ$3+INT((DAY(EOMONTH($BZ$3,0))-1)/2)+CA$11,0)=EOMONTH($BV$3,0),CA$9*CA$10,0),0),IF(AND(BW$9&lt;&gt;"",BW$11&lt;&gt;""),IF(EOMONTH($BV$3+INT((DAY(EOMONTH($BV$3,0))-1)/2)+BW$11,0)=EOMONTH($BV$3,0),BW$9*BW$10,0),0),IF(AND(BS$9&lt;&gt;"",BS$11&lt;&gt;""),IF(EOMONTH($BR$3+INT((DAY(EOMONTH($BR$3,0))-1)/2)+BS$11,0)=EOMONTH($BV$3,0),BS$9*BS$10,0),0),IF(AND(BO$9&lt;&gt;"",BO$11&lt;&gt;""),IF(EOMONTH($BN$3+INT((DAY(EOMONTH($BN$3,0))-1)/2)+BO$11,0)=EOMONTH($BV$3,0),BO$9*BO$10,0),0),IF(AND(BK$9&lt;&gt;"",BK$11&lt;&gt;""),IF(EOMONTH($BJ$3+INT((DAY(EOMONTH($BJ$3,0))-1)/2)+BK$11,0)=EOMONTH($BV$3,0),BK$9*BK$10,0),0),IF(AND(BG$9&lt;&gt;"",BG$11&lt;&gt;""),IF(EOMONTH($BF$3+INT((DAY(EOMONTH($BF$3,0))-1)/2)+BG$11,0)=EOMONTH($BV$3,0),BG$9*BG$10,0),0),IF(AND(BC$9&lt;&gt;"",BC$11&lt;&gt;""),IF(EOMONTH($BB$3+INT((DAY(EOMONTH($BB$3,0))-1)/2)+BC$11,0)=EOMONTH($BV$3,0),BC$9*BC$10,0),0),IF(AND(AY$9&lt;&gt;"",AY$11&lt;&gt;""),IF(EOMONTH($AX$3+INT((DAY(EOMONTH($AX$3,0))-1)/2)+AY$11,0)=EOMONTH($BV$3,0),AY$9*AY$10,0),0),IF(AND(AU$9&lt;&gt;"",AU$11&lt;&gt;""),IF(EOMONTH($AT$3+INT((DAY(EOMONTH($AT$3,0))-1)/2)+AU$11,0)=EOMONTH($BV$3,0),AU$9*AU$10,0),0),IF(AND(AQ$9&lt;&gt;"",AQ$11&lt;&gt;""),IF(EOMONTH($AP$3+INT((DAY(EOMONTH($AP$3,0))-1)/2)+AQ$11,0)=EOMONTH($BV$3,0),AQ$9*AQ$10,0),0),IF(AND(AM$9&lt;&gt;"",AM$11&lt;&gt;""),IF(EOMONTH($AL$3+INT((DAY(EOMONTH($AL$3,0))-1)/2)+AM$11,0)=EOMONTH($BV$3,0),AM$9*AM$10,0),0),IF(AND(AI$9&lt;&gt;"",AI$11&lt;&gt;""),IF(EOMONTH($AH$3+INT((DAY(EOMONTH($AH$3,0))-1)/2)+AI$11,0)=EOMONTH($BV$3,0),AI$9*AI$10,0),0),IF(AND(AE$9&lt;&gt;"",AE$11&lt;&gt;""),IF(EOMONTH($AD$3+INT((DAY(EOMONTH($AD$3,0))-1)/2)+AE$11,0)=EOMONTH($BV$3,0),AE$9*AE$10,0),0),IF(AND(AA$9&lt;&gt;"",AA$11&lt;&gt;""),IF(EOMONTH($Z$3+INT((DAY(EOMONTH($Z$3,0))-1)/2)+AA$11,0)=EOMONTH($BV$3,0),AA$9*AA$10,0),0),IF(AND(W$9&lt;&gt;"",W$11&lt;&gt;""),IF(EOMONTH($V$3+INT((DAY(EOMONTH($V$3,0))-1)/2)+W$11,0)=EOMONTH($BV$3,0),W$9*W$10,0),0),IF(AND(S$9&lt;&gt;"",S$11&lt;&gt;""),IF(EOMONTH($R$3+INT((DAY(EOMONTH($R$3,0))-1)/2)+S$11,0)=EOMONTH($BV$3,0),S$9*S$10,0),0),IF(AND(O$9&lt;&gt;"",O$11&lt;&gt;""),IF(EOMONTH($N$3+INT((DAY(EOMONTH($N$3,0))-1)/2)+O$11,0)=EOMONTH($BV$3,0),O$9*O$10,0),0),IF(AND(K$9&lt;&gt;"",K$11&lt;&gt;""),IF(EOMONTH($J$3+INT((DAY(EOMONTH($J$3,0))-1)/2)+K$11,0)=EOMONTH($BV$3,0),K$9*K$10,0),0),IF(AND(G$9&lt;&gt;"",G$11&lt;&gt;""),IF(EOMONTH($F$3+INT((DAY(EOMONTH($F$3,0))-1)/2)+G$11,0)=EOMONTH($BV$3,0),G$9*G$10,0),0),IF($EP$75="",0,IF(EOMONTH($EP$75+EQ$11,0)=EOMONTH($BV$3,0),$EP$76*EQ$10,0))),0))</f>
        <v>14</v>
      </c>
      <c r="BX12" s="15">
        <f>ROUND(SUM(IF(AND(ER$9&lt;&gt;"",ER$11&lt;&gt;""),IF(EOMONTH($EP$3+INT((DAY(EOMONTH($EP$3,0))-1)/2)+ER$11,0)=EOMONTH($BV$3,0),ER$9*ER$10,0),0),IF(AND(EN$9&lt;&gt;"",EN$11&lt;&gt;""),IF(EOMONTH($EL$3+INT((DAY(EOMONTH($EL$3,0))-1)/2)+EN$11,0)=EOMONTH($BV$3,0),EN$9*EN$10,0),0),IF(AND(EJ$9&lt;&gt;"",EJ$11&lt;&gt;""),IF(EOMONTH($EH$3+INT((DAY(EOMONTH($EH$3,0))-1)/2)+EJ$11,0)=EOMONTH($BV$3,0),EJ$9*EJ$10,0),0),IF(AND(EF$9&lt;&gt;"",EF$11&lt;&gt;""),IF(EOMONTH($ED$3+INT((DAY(EOMONTH($ED$3,0))-1)/2)+EF$11,0)=EOMONTH($BV$3,0),EF$9*EF$10,0),0),IF(AND(EB$9&lt;&gt;"",EB$11&lt;&gt;""),IF(EOMONTH($DZ$3+INT((DAY(EOMONTH($DZ$3,0))-1)/2)+EB$11,0)=EOMONTH($BV$3,0),EB$9*EB$10,0),0),IF(AND(DX$9&lt;&gt;"",DX$11&lt;&gt;""),IF(EOMONTH($DV$3+INT((DAY(EOMONTH($DV$3,0))-1)/2)+DX$11,0)=EOMONTH($BV$3,0),DX$9*DX$10,0),0),IF(AND(DT$9&lt;&gt;"",DT$11&lt;&gt;""),IF(EOMONTH($DR$3+INT((DAY(EOMONTH($DR$3,0))-1)/2)+DT$11,0)=EOMONTH($BV$3,0),DT$9*DT$10,0),0),IF(AND(DP$9&lt;&gt;"",DP$11&lt;&gt;""),IF(EOMONTH($DN$3+INT((DAY(EOMONTH($DN$3,0))-1)/2)+DP$11,0)=EOMONTH($BV$3,0),DP$9*DP$10,0),0),IF(AND(DL$9&lt;&gt;"",DL$11&lt;&gt;""),IF(EOMONTH($DJ$3+INT((DAY(EOMONTH($DJ$3,0))-1)/2)+DL$11,0)=EOMONTH($BV$3,0),DL$9*DL$10,0),0),IF(AND(DH$9&lt;&gt;"",DH$11&lt;&gt;""),IF(EOMONTH($DF$3+INT((DAY(EOMONTH($DF$3,0))-1)/2)+DH$11,0)=EOMONTH($BV$3,0),DH$9*DH$10,0),0),IF(AND(DD$9&lt;&gt;"",DD$11&lt;&gt;""),IF(EOMONTH($DB$3+INT((DAY(EOMONTH($DB$3,0))-1)/2)+DD$11,0)=EOMONTH($BV$3,0),DD$9*DD$10,0),0),IF(AND(CZ$9&lt;&gt;"",CZ$11&lt;&gt;""),IF(EOMONTH($CX$3+INT((DAY(EOMONTH($CX$3,0))-1)/2)+CZ$11,0)=EOMONTH($BV$3,0),CZ$9*CZ$10,0),0),IF(AND(CV$9&lt;&gt;"",CV$11&lt;&gt;""),IF(EOMONTH($CT$3+INT((DAY(EOMONTH($CT$3,0))-1)/2)+CV$11,0)=EOMONTH($BV$3,0),CV$9*CV$10,0),0),IF(AND(CR$9&lt;&gt;"",CR$11&lt;&gt;""),IF(EOMONTH($CP$3+INT((DAY(EOMONTH($CP$3,0))-1)/2)+CR$11,0)=EOMONTH($BV$3,0),CR$9*CR$10,0),0),IF(AND(CN$9&lt;&gt;"",CN$11&lt;&gt;""),IF(EOMONTH($CL$3+INT((DAY(EOMONTH($CL$3,0))-1)/2)+CN$11,0)=EOMONTH($BV$3,0),CN$9*CN$10,0),0),IF(AND(CJ$9&lt;&gt;"",CJ$11&lt;&gt;""),IF(EOMONTH($CH$3+INT((DAY(EOMONTH($CH$3,0))-1)/2)+CJ$11,0)=EOMONTH($BV$3,0),CJ$9*CJ$10,0),0),IF(AND(CF$9&lt;&gt;"",CF$11&lt;&gt;""),IF(EOMONTH($CD$3+INT((DAY(EOMONTH($CD$3,0))-1)/2)+CF$11,0)=EOMONTH($BV$3,0),CF$9*CF$10,0),0),IF(AND(CB$9&lt;&gt;"",CB$11&lt;&gt;""),IF(EOMONTH($BZ$3+INT((DAY(EOMONTH($BZ$3,0))-1)/2)+CB$11,0)=EOMONTH($BV$3,0),CB$9*CB$10,0),0),IF(AND(BX$9&lt;&gt;"",BX$11&lt;&gt;""),IF(EOMONTH($BV$3+INT((DAY(EOMONTH($BV$3,0))-1)/2)+BX$11,0)=EOMONTH($BV$3,0),BX$9*BX$10,0),0),IF(AND(BT$9&lt;&gt;"",BT$11&lt;&gt;""),IF(EOMONTH($BR$3+INT((DAY(EOMONTH($BR$3,0))-1)/2)+BT$11,0)=EOMONTH($BV$3,0),BT$9*BT$10,0),0),IF(AND(BP$9&lt;&gt;"",BP$11&lt;&gt;""),IF(EOMONTH($BN$3+INT((DAY(EOMONTH($BN$3,0))-1)/2)+BP$11,0)=EOMONTH($BV$3,0),BP$9*BP$10,0),0),IF(AND(BL$9&lt;&gt;"",BL$11&lt;&gt;""),IF(EOMONTH($BJ$3+INT((DAY(EOMONTH($BJ$3,0))-1)/2)+BL$11,0)=EOMONTH($BV$3,0),BL$9*BL$10,0),0),IF(AND(BH$9&lt;&gt;"",BH$11&lt;&gt;""),IF(EOMONTH($BF$3+INT((DAY(EOMONTH($BF$3,0))-1)/2)+BH$11,0)=EOMONTH($BV$3,0),BH$9*BH$10,0),0),IF(AND(BD$9&lt;&gt;"",BD$11&lt;&gt;""),IF(EOMONTH($BB$3+INT((DAY(EOMONTH($BB$3,0))-1)/2)+BD$11,0)=EOMONTH($BV$3,0),BD$9*BD$10,0),0),IF(AND(AZ$9&lt;&gt;"",AZ$11&lt;&gt;""),IF(EOMONTH($AX$3+INT((DAY(EOMONTH($AX$3,0))-1)/2)+AZ$11,0)=EOMONTH($BV$3,0),AZ$9*AZ$10,0),0),IF(AND(AV$9&lt;&gt;"",AV$11&lt;&gt;""),IF(EOMONTH($AT$3+INT((DAY(EOMONTH($AT$3,0))-1)/2)+AV$11,0)=EOMONTH($BV$3,0),AV$9*AV$10,0),0),IF(AND(AR$9&lt;&gt;"",AR$11&lt;&gt;""),IF(EOMONTH($AP$3+INT((DAY(EOMONTH($AP$3,0))-1)/2)+AR$11,0)=EOMONTH($BV$3,0),AR$9*AR$10,0),0),IF(AND(AN$9&lt;&gt;"",AN$11&lt;&gt;""),IF(EOMONTH($AL$3+INT((DAY(EOMONTH($AL$3,0))-1)/2)+AN$11,0)=EOMONTH($BV$3,0),AN$9*AN$10,0),0),IF(AND(AJ$9&lt;&gt;"",AJ$11&lt;&gt;""),IF(EOMONTH($AH$3+INT((DAY(EOMONTH($AH$3,0))-1)/2)+AJ$11,0)=EOMONTH($BV$3,0),AJ$9*AJ$10,0),0),IF(AND(AF$9&lt;&gt;"",AF$11&lt;&gt;""),IF(EOMONTH($AD$3+INT((DAY(EOMONTH($AD$3,0))-1)/2)+AF$11,0)=EOMONTH($BV$3,0),AF$9*AF$10,0),0),IF(AND(AB$9&lt;&gt;"",AB$11&lt;&gt;""),IF(EOMONTH($Z$3+INT((DAY(EOMONTH($Z$3,0))-1)/2)+AB$11,0)=EOMONTH($BV$3,0),AB$9*AB$10,0),0),IF(AND(X$9&lt;&gt;"",X$11&lt;&gt;""),IF(EOMONTH($V$3+INT((DAY(EOMONTH($V$3,0))-1)/2)+X$11,0)=EOMONTH($BV$3,0),X$9*X$10,0),0),IF(AND(T$9&lt;&gt;"",T$11&lt;&gt;""),IF(EOMONTH($R$3+INT((DAY(EOMONTH($R$3,0))-1)/2)+T$11,0)=EOMONTH($BV$3,0),T$9*T$10,0),0),IF(AND(P$9&lt;&gt;"",P$11&lt;&gt;""),IF(EOMONTH($N$3+INT((DAY(EOMONTH($N$3,0))-1)/2)+P$11,0)=EOMONTH($BV$3,0),P$9*P$10,0),0),IF(AND(L$9&lt;&gt;"",L$11&lt;&gt;""),IF(EOMONTH($J$3+INT((DAY(EOMONTH($J$3,0))-1)/2)+L$11,0)=EOMONTH($BV$3,0),L$9*L$10,0),0),IF(AND(H$9&lt;&gt;"",H$11&lt;&gt;""),IF(EOMONTH($F$3+INT((DAY(EOMONTH($F$3,0))-1)/2)+H$11,0)=EOMONTH($BV$3,0),H$9*H$10,0),0),IF($EP$75="",0,IF(EOMONTH($EP$75+ER$11,0)=EOMONTH($BV$3,0),$EP$76*ER$10,0))),0)</f>
        <v>14</v>
      </c>
      <c r="BY12" s="16">
        <f t="shared" si="39"/>
        <v>0</v>
      </c>
      <c r="BZ12" s="17"/>
      <c r="CA12" s="14">
        <f>IF(BZ$98=1,BZ12,ROUND(SUM(IF(AND(EQ$9&lt;&gt;"",EQ$11&lt;&gt;""),IF(EOMONTH($EP$3+INT((DAY(EOMONTH($EP$3,0))-1)/2)+EQ$11,0)=EOMONTH($BZ$3,0),EQ$9*EQ$10,0),0),IF(AND(EM$9&lt;&gt;"",EM$11&lt;&gt;""),IF(EOMONTH($EL$3+INT((DAY(EOMONTH($EL$3,0))-1)/2)+EM$11,0)=EOMONTH($BZ$3,0),EM$9*EM$10,0),0),IF(AND(EI$9&lt;&gt;"",EI$11&lt;&gt;""),IF(EOMONTH($EH$3+INT((DAY(EOMONTH($EH$3,0))-1)/2)+EI$11,0)=EOMONTH($BZ$3,0),EI$9*EI$10,0),0),IF(AND(EE$9&lt;&gt;"",EE$11&lt;&gt;""),IF(EOMONTH($ED$3+INT((DAY(EOMONTH($ED$3,0))-1)/2)+EE$11,0)=EOMONTH($BZ$3,0),EE$9*EE$10,0),0),IF(AND(EA$9&lt;&gt;"",EA$11&lt;&gt;""),IF(EOMONTH($DZ$3+INT((DAY(EOMONTH($DZ$3,0))-1)/2)+EA$11,0)=EOMONTH($BZ$3,0),EA$9*EA$10,0),0),IF(AND(DW$9&lt;&gt;"",DW$11&lt;&gt;""),IF(EOMONTH($DV$3+INT((DAY(EOMONTH($DV$3,0))-1)/2)+DW$11,0)=EOMONTH($BZ$3,0),DW$9*DW$10,0),0),IF(AND(DS$9&lt;&gt;"",DS$11&lt;&gt;""),IF(EOMONTH($DR$3+INT((DAY(EOMONTH($DR$3,0))-1)/2)+DS$11,0)=EOMONTH($BZ$3,0),DS$9*DS$10,0),0),IF(AND(DO$9&lt;&gt;"",DO$11&lt;&gt;""),IF(EOMONTH($DN$3+INT((DAY(EOMONTH($DN$3,0))-1)/2)+DO$11,0)=EOMONTH($BZ$3,0),DO$9*DO$10,0),0),IF(AND(DK$9&lt;&gt;"",DK$11&lt;&gt;""),IF(EOMONTH($DJ$3+INT((DAY(EOMONTH($DJ$3,0))-1)/2)+DK$11,0)=EOMONTH($BZ$3,0),DK$9*DK$10,0),0),IF(AND(DG$9&lt;&gt;"",DG$11&lt;&gt;""),IF(EOMONTH($DF$3+INT((DAY(EOMONTH($DF$3,0))-1)/2)+DG$11,0)=EOMONTH($BZ$3,0),DG$9*DG$10,0),0),IF(AND(DC$9&lt;&gt;"",DC$11&lt;&gt;""),IF(EOMONTH($DB$3+INT((DAY(EOMONTH($DB$3,0))-1)/2)+DC$11,0)=EOMONTH($BZ$3,0),DC$9*DC$10,0),0),IF(AND(CY$9&lt;&gt;"",CY$11&lt;&gt;""),IF(EOMONTH($CX$3+INT((DAY(EOMONTH($CX$3,0))-1)/2)+CY$11,0)=EOMONTH($BZ$3,0),CY$9*CY$10,0),0),IF(AND(CU$9&lt;&gt;"",CU$11&lt;&gt;""),IF(EOMONTH($CT$3+INT((DAY(EOMONTH($CT$3,0))-1)/2)+CU$11,0)=EOMONTH($BZ$3,0),CU$9*CU$10,0),0),IF(AND(CQ$9&lt;&gt;"",CQ$11&lt;&gt;""),IF(EOMONTH($CP$3+INT((DAY(EOMONTH($CP$3,0))-1)/2)+CQ$11,0)=EOMONTH($BZ$3,0),CQ$9*CQ$10,0),0),IF(AND(CM$9&lt;&gt;"",CM$11&lt;&gt;""),IF(EOMONTH($CL$3+INT((DAY(EOMONTH($CL$3,0))-1)/2)+CM$11,0)=EOMONTH($BZ$3,0),CM$9*CM$10,0),0),IF(AND(CI$9&lt;&gt;"",CI$11&lt;&gt;""),IF(EOMONTH($CH$3+INT((DAY(EOMONTH($CH$3,0))-1)/2)+CI$11,0)=EOMONTH($BZ$3,0),CI$9*CI$10,0),0),IF(AND(CE$9&lt;&gt;"",CE$11&lt;&gt;""),IF(EOMONTH($CD$3+INT((DAY(EOMONTH($CD$3,0))-1)/2)+CE$11,0)=EOMONTH($BZ$3,0),CE$9*CE$10,0),0),IF(AND(CA$9&lt;&gt;"",CA$11&lt;&gt;""),IF(EOMONTH($BZ$3+INT((DAY(EOMONTH($BZ$3,0))-1)/2)+CA$11,0)=EOMONTH($BZ$3,0),CA$9*CA$10,0),0),IF(AND(BW$9&lt;&gt;"",BW$11&lt;&gt;""),IF(EOMONTH($BV$3+INT((DAY(EOMONTH($BV$3,0))-1)/2)+BW$11,0)=EOMONTH($BZ$3,0),BW$9*BW$10,0),0),IF(AND(BS$9&lt;&gt;"",BS$11&lt;&gt;""),IF(EOMONTH($BR$3+INT((DAY(EOMONTH($BR$3,0))-1)/2)+BS$11,0)=EOMONTH($BZ$3,0),BS$9*BS$10,0),0),IF(AND(BO$9&lt;&gt;"",BO$11&lt;&gt;""),IF(EOMONTH($BN$3+INT((DAY(EOMONTH($BN$3,0))-1)/2)+BO$11,0)=EOMONTH($BZ$3,0),BO$9*BO$10,0),0),IF(AND(BK$9&lt;&gt;"",BK$11&lt;&gt;""),IF(EOMONTH($BJ$3+INT((DAY(EOMONTH($BJ$3,0))-1)/2)+BK$11,0)=EOMONTH($BZ$3,0),BK$9*BK$10,0),0),IF(AND(BG$9&lt;&gt;"",BG$11&lt;&gt;""),IF(EOMONTH($BF$3+INT((DAY(EOMONTH($BF$3,0))-1)/2)+BG$11,0)=EOMONTH($BZ$3,0),BG$9*BG$10,0),0),IF(AND(BC$9&lt;&gt;"",BC$11&lt;&gt;""),IF(EOMONTH($BB$3+INT((DAY(EOMONTH($BB$3,0))-1)/2)+BC$11,0)=EOMONTH($BZ$3,0),BC$9*BC$10,0),0),IF(AND(AY$9&lt;&gt;"",AY$11&lt;&gt;""),IF(EOMONTH($AX$3+INT((DAY(EOMONTH($AX$3,0))-1)/2)+AY$11,0)=EOMONTH($BZ$3,0),AY$9*AY$10,0),0),IF(AND(AU$9&lt;&gt;"",AU$11&lt;&gt;""),IF(EOMONTH($AT$3+INT((DAY(EOMONTH($AT$3,0))-1)/2)+AU$11,0)=EOMONTH($BZ$3,0),AU$9*AU$10,0),0),IF(AND(AQ$9&lt;&gt;"",AQ$11&lt;&gt;""),IF(EOMONTH($AP$3+INT((DAY(EOMONTH($AP$3,0))-1)/2)+AQ$11,0)=EOMONTH($BZ$3,0),AQ$9*AQ$10,0),0),IF(AND(AM$9&lt;&gt;"",AM$11&lt;&gt;""),IF(EOMONTH($AL$3+INT((DAY(EOMONTH($AL$3,0))-1)/2)+AM$11,0)=EOMONTH($BZ$3,0),AM$9*AM$10,0),0),IF(AND(AI$9&lt;&gt;"",AI$11&lt;&gt;""),IF(EOMONTH($AH$3+INT((DAY(EOMONTH($AH$3,0))-1)/2)+AI$11,0)=EOMONTH($BZ$3,0),AI$9*AI$10,0),0),IF(AND(AE$9&lt;&gt;"",AE$11&lt;&gt;""),IF(EOMONTH($AD$3+INT((DAY(EOMONTH($AD$3,0))-1)/2)+AE$11,0)=EOMONTH($BZ$3,0),AE$9*AE$10,0),0),IF(AND(AA$9&lt;&gt;"",AA$11&lt;&gt;""),IF(EOMONTH($Z$3+INT((DAY(EOMONTH($Z$3,0))-1)/2)+AA$11,0)=EOMONTH($BZ$3,0),AA$9*AA$10,0),0),IF(AND(W$9&lt;&gt;"",W$11&lt;&gt;""),IF(EOMONTH($V$3+INT((DAY(EOMONTH($V$3,0))-1)/2)+W$11,0)=EOMONTH($BZ$3,0),W$9*W$10,0),0),IF(AND(S$9&lt;&gt;"",S$11&lt;&gt;""),IF(EOMONTH($R$3+INT((DAY(EOMONTH($R$3,0))-1)/2)+S$11,0)=EOMONTH($BZ$3,0),S$9*S$10,0),0),IF(AND(O$9&lt;&gt;"",O$11&lt;&gt;""),IF(EOMONTH($N$3+INT((DAY(EOMONTH($N$3,0))-1)/2)+O$11,0)=EOMONTH($BZ$3,0),O$9*O$10,0),0),IF(AND(K$9&lt;&gt;"",K$11&lt;&gt;""),IF(EOMONTH($J$3+INT((DAY(EOMONTH($J$3,0))-1)/2)+K$11,0)=EOMONTH($BZ$3,0),K$9*K$10,0),0),IF(AND(G$9&lt;&gt;"",G$11&lt;&gt;""),IF(EOMONTH($F$3+INT((DAY(EOMONTH($F$3,0))-1)/2)+G$11,0)=EOMONTH($BZ$3,0),G$9*G$10,0),0),IF($EP$75="",0,IF(EOMONTH($EP$75+EQ$11,0)=EOMONTH($BZ$3,0),$EP$76*EQ$10,0))),0))</f>
        <v>14</v>
      </c>
      <c r="CB12" s="15">
        <f>ROUND(SUM(IF(AND(ER$9&lt;&gt;"",ER$11&lt;&gt;""),IF(EOMONTH($EP$3+INT((DAY(EOMONTH($EP$3,0))-1)/2)+ER$11,0)=EOMONTH($BZ$3,0),ER$9*ER$10,0),0),IF(AND(EN$9&lt;&gt;"",EN$11&lt;&gt;""),IF(EOMONTH($EL$3+INT((DAY(EOMONTH($EL$3,0))-1)/2)+EN$11,0)=EOMONTH($BZ$3,0),EN$9*EN$10,0),0),IF(AND(EJ$9&lt;&gt;"",EJ$11&lt;&gt;""),IF(EOMONTH($EH$3+INT((DAY(EOMONTH($EH$3,0))-1)/2)+EJ$11,0)=EOMONTH($BZ$3,0),EJ$9*EJ$10,0),0),IF(AND(EF$9&lt;&gt;"",EF$11&lt;&gt;""),IF(EOMONTH($ED$3+INT((DAY(EOMONTH($ED$3,0))-1)/2)+EF$11,0)=EOMONTH($BZ$3,0),EF$9*EF$10,0),0),IF(AND(EB$9&lt;&gt;"",EB$11&lt;&gt;""),IF(EOMONTH($DZ$3+INT((DAY(EOMONTH($DZ$3,0))-1)/2)+EB$11,0)=EOMONTH($BZ$3,0),EB$9*EB$10,0),0),IF(AND(DX$9&lt;&gt;"",DX$11&lt;&gt;""),IF(EOMONTH($DV$3+INT((DAY(EOMONTH($DV$3,0))-1)/2)+DX$11,0)=EOMONTH($BZ$3,0),DX$9*DX$10,0),0),IF(AND(DT$9&lt;&gt;"",DT$11&lt;&gt;""),IF(EOMONTH($DR$3+INT((DAY(EOMONTH($DR$3,0))-1)/2)+DT$11,0)=EOMONTH($BZ$3,0),DT$9*DT$10,0),0),IF(AND(DP$9&lt;&gt;"",DP$11&lt;&gt;""),IF(EOMONTH($DN$3+INT((DAY(EOMONTH($DN$3,0))-1)/2)+DP$11,0)=EOMONTH($BZ$3,0),DP$9*DP$10,0),0),IF(AND(DL$9&lt;&gt;"",DL$11&lt;&gt;""),IF(EOMONTH($DJ$3+INT((DAY(EOMONTH($DJ$3,0))-1)/2)+DL$11,0)=EOMONTH($BZ$3,0),DL$9*DL$10,0),0),IF(AND(DH$9&lt;&gt;"",DH$11&lt;&gt;""),IF(EOMONTH($DF$3+INT((DAY(EOMONTH($DF$3,0))-1)/2)+DH$11,0)=EOMONTH($BZ$3,0),DH$9*DH$10,0),0),IF(AND(DD$9&lt;&gt;"",DD$11&lt;&gt;""),IF(EOMONTH($DB$3+INT((DAY(EOMONTH($DB$3,0))-1)/2)+DD$11,0)=EOMONTH($BZ$3,0),DD$9*DD$10,0),0),IF(AND(CZ$9&lt;&gt;"",CZ$11&lt;&gt;""),IF(EOMONTH($CX$3+INT((DAY(EOMONTH($CX$3,0))-1)/2)+CZ$11,0)=EOMONTH($BZ$3,0),CZ$9*CZ$10,0),0),IF(AND(CV$9&lt;&gt;"",CV$11&lt;&gt;""),IF(EOMONTH($CT$3+INT((DAY(EOMONTH($CT$3,0))-1)/2)+CV$11,0)=EOMONTH($BZ$3,0),CV$9*CV$10,0),0),IF(AND(CR$9&lt;&gt;"",CR$11&lt;&gt;""),IF(EOMONTH($CP$3+INT((DAY(EOMONTH($CP$3,0))-1)/2)+CR$11,0)=EOMONTH($BZ$3,0),CR$9*CR$10,0),0),IF(AND(CN$9&lt;&gt;"",CN$11&lt;&gt;""),IF(EOMONTH($CL$3+INT((DAY(EOMONTH($CL$3,0))-1)/2)+CN$11,0)=EOMONTH($BZ$3,0),CN$9*CN$10,0),0),IF(AND(CJ$9&lt;&gt;"",CJ$11&lt;&gt;""),IF(EOMONTH($CH$3+INT((DAY(EOMONTH($CH$3,0))-1)/2)+CJ$11,0)=EOMONTH($BZ$3,0),CJ$9*CJ$10,0),0),IF(AND(CF$9&lt;&gt;"",CF$11&lt;&gt;""),IF(EOMONTH($CD$3+INT((DAY(EOMONTH($CD$3,0))-1)/2)+CF$11,0)=EOMONTH($BZ$3,0),CF$9*CF$10,0),0),IF(AND(CB$9&lt;&gt;"",CB$11&lt;&gt;""),IF(EOMONTH($BZ$3+INT((DAY(EOMONTH($BZ$3,0))-1)/2)+CB$11,0)=EOMONTH($BZ$3,0),CB$9*CB$10,0),0),IF(AND(BX$9&lt;&gt;"",BX$11&lt;&gt;""),IF(EOMONTH($BV$3+INT((DAY(EOMONTH($BV$3,0))-1)/2)+BX$11,0)=EOMONTH($BZ$3,0),BX$9*BX$10,0),0),IF(AND(BT$9&lt;&gt;"",BT$11&lt;&gt;""),IF(EOMONTH($BR$3+INT((DAY(EOMONTH($BR$3,0))-1)/2)+BT$11,0)=EOMONTH($BZ$3,0),BT$9*BT$10,0),0),IF(AND(BP$9&lt;&gt;"",BP$11&lt;&gt;""),IF(EOMONTH($BN$3+INT((DAY(EOMONTH($BN$3,0))-1)/2)+BP$11,0)=EOMONTH($BZ$3,0),BP$9*BP$10,0),0),IF(AND(BL$9&lt;&gt;"",BL$11&lt;&gt;""),IF(EOMONTH($BJ$3+INT((DAY(EOMONTH($BJ$3,0))-1)/2)+BL$11,0)=EOMONTH($BZ$3,0),BL$9*BL$10,0),0),IF(AND(BH$9&lt;&gt;"",BH$11&lt;&gt;""),IF(EOMONTH($BF$3+INT((DAY(EOMONTH($BF$3,0))-1)/2)+BH$11,0)=EOMONTH($BZ$3,0),BH$9*BH$10,0),0),IF(AND(BD$9&lt;&gt;"",BD$11&lt;&gt;""),IF(EOMONTH($BB$3+INT((DAY(EOMONTH($BB$3,0))-1)/2)+BD$11,0)=EOMONTH($BZ$3,0),BD$9*BD$10,0),0),IF(AND(AZ$9&lt;&gt;"",AZ$11&lt;&gt;""),IF(EOMONTH($AX$3+INT((DAY(EOMONTH($AX$3,0))-1)/2)+AZ$11,0)=EOMONTH($BZ$3,0),AZ$9*AZ$10,0),0),IF(AND(AV$9&lt;&gt;"",AV$11&lt;&gt;""),IF(EOMONTH($AT$3+INT((DAY(EOMONTH($AT$3,0))-1)/2)+AV$11,0)=EOMONTH($BZ$3,0),AV$9*AV$10,0),0),IF(AND(AR$9&lt;&gt;"",AR$11&lt;&gt;""),IF(EOMONTH($AP$3+INT((DAY(EOMONTH($AP$3,0))-1)/2)+AR$11,0)=EOMONTH($BZ$3,0),AR$9*AR$10,0),0),IF(AND(AN$9&lt;&gt;"",AN$11&lt;&gt;""),IF(EOMONTH($AL$3+INT((DAY(EOMONTH($AL$3,0))-1)/2)+AN$11,0)=EOMONTH($BZ$3,0),AN$9*AN$10,0),0),IF(AND(AJ$9&lt;&gt;"",AJ$11&lt;&gt;""),IF(EOMONTH($AH$3+INT((DAY(EOMONTH($AH$3,0))-1)/2)+AJ$11,0)=EOMONTH($BZ$3,0),AJ$9*AJ$10,0),0),IF(AND(AF$9&lt;&gt;"",AF$11&lt;&gt;""),IF(EOMONTH($AD$3+INT((DAY(EOMONTH($AD$3,0))-1)/2)+AF$11,0)=EOMONTH($BZ$3,0),AF$9*AF$10,0),0),IF(AND(AB$9&lt;&gt;"",AB$11&lt;&gt;""),IF(EOMONTH($Z$3+INT((DAY(EOMONTH($Z$3,0))-1)/2)+AB$11,0)=EOMONTH($BZ$3,0),AB$9*AB$10,0),0),IF(AND(X$9&lt;&gt;"",X$11&lt;&gt;""),IF(EOMONTH($V$3+INT((DAY(EOMONTH($V$3,0))-1)/2)+X$11,0)=EOMONTH($BZ$3,0),X$9*X$10,0),0),IF(AND(T$9&lt;&gt;"",T$11&lt;&gt;""),IF(EOMONTH($R$3+INT((DAY(EOMONTH($R$3,0))-1)/2)+T$11,0)=EOMONTH($BZ$3,0),T$9*T$10,0),0),IF(AND(P$9&lt;&gt;"",P$11&lt;&gt;""),IF(EOMONTH($N$3+INT((DAY(EOMONTH($N$3,0))-1)/2)+P$11,0)=EOMONTH($BZ$3,0),P$9*P$10,0),0),IF(AND(L$9&lt;&gt;"",L$11&lt;&gt;""),IF(EOMONTH($J$3+INT((DAY(EOMONTH($J$3,0))-1)/2)+L$11,0)=EOMONTH($BZ$3,0),L$9*L$10,0),0),IF(AND(H$9&lt;&gt;"",H$11&lt;&gt;""),IF(EOMONTH($F$3+INT((DAY(EOMONTH($F$3,0))-1)/2)+H$11,0)=EOMONTH($BZ$3,0),H$9*H$10,0),0),IF($EP$75="",0,IF(EOMONTH($EP$75+ER$11,0)=EOMONTH($BZ$3,0),$EP$76*ER$10,0))),0)</f>
        <v>14</v>
      </c>
      <c r="CC12" s="16">
        <f t="shared" si="41"/>
        <v>0</v>
      </c>
      <c r="CD12" s="17"/>
      <c r="CE12" s="14">
        <f>IF(CD$98=1,CD12,ROUND(SUM(IF(AND(EQ$9&lt;&gt;"",EQ$11&lt;&gt;""),IF(EOMONTH($EP$3+INT((DAY(EOMONTH($EP$3,0))-1)/2)+EQ$11,0)=EOMONTH($CD$3,0),EQ$9*EQ$10,0),0),IF(AND(EM$9&lt;&gt;"",EM$11&lt;&gt;""),IF(EOMONTH($EL$3+INT((DAY(EOMONTH($EL$3,0))-1)/2)+EM$11,0)=EOMONTH($CD$3,0),EM$9*EM$10,0),0),IF(AND(EI$9&lt;&gt;"",EI$11&lt;&gt;""),IF(EOMONTH($EH$3+INT((DAY(EOMONTH($EH$3,0))-1)/2)+EI$11,0)=EOMONTH($CD$3,0),EI$9*EI$10,0),0),IF(AND(EE$9&lt;&gt;"",EE$11&lt;&gt;""),IF(EOMONTH($ED$3+INT((DAY(EOMONTH($ED$3,0))-1)/2)+EE$11,0)=EOMONTH($CD$3,0),EE$9*EE$10,0),0),IF(AND(EA$9&lt;&gt;"",EA$11&lt;&gt;""),IF(EOMONTH($DZ$3+INT((DAY(EOMONTH($DZ$3,0))-1)/2)+EA$11,0)=EOMONTH($CD$3,0),EA$9*EA$10,0),0),IF(AND(DW$9&lt;&gt;"",DW$11&lt;&gt;""),IF(EOMONTH($DV$3+INT((DAY(EOMONTH($DV$3,0))-1)/2)+DW$11,0)=EOMONTH($CD$3,0),DW$9*DW$10,0),0),IF(AND(DS$9&lt;&gt;"",DS$11&lt;&gt;""),IF(EOMONTH($DR$3+INT((DAY(EOMONTH($DR$3,0))-1)/2)+DS$11,0)=EOMONTH($CD$3,0),DS$9*DS$10,0),0),IF(AND(DO$9&lt;&gt;"",DO$11&lt;&gt;""),IF(EOMONTH($DN$3+INT((DAY(EOMONTH($DN$3,0))-1)/2)+DO$11,0)=EOMONTH($CD$3,0),DO$9*DO$10,0),0),IF(AND(DK$9&lt;&gt;"",DK$11&lt;&gt;""),IF(EOMONTH($DJ$3+INT((DAY(EOMONTH($DJ$3,0))-1)/2)+DK$11,0)=EOMONTH($CD$3,0),DK$9*DK$10,0),0),IF(AND(DG$9&lt;&gt;"",DG$11&lt;&gt;""),IF(EOMONTH($DF$3+INT((DAY(EOMONTH($DF$3,0))-1)/2)+DG$11,0)=EOMONTH($CD$3,0),DG$9*DG$10,0),0),IF(AND(DC$9&lt;&gt;"",DC$11&lt;&gt;""),IF(EOMONTH($DB$3+INT((DAY(EOMONTH($DB$3,0))-1)/2)+DC$11,0)=EOMONTH($CD$3,0),DC$9*DC$10,0),0),IF(AND(CY$9&lt;&gt;"",CY$11&lt;&gt;""),IF(EOMONTH($CX$3+INT((DAY(EOMONTH($CX$3,0))-1)/2)+CY$11,0)=EOMONTH($CD$3,0),CY$9*CY$10,0),0),IF(AND(CU$9&lt;&gt;"",CU$11&lt;&gt;""),IF(EOMONTH($CT$3+INT((DAY(EOMONTH($CT$3,0))-1)/2)+CU$11,0)=EOMONTH($CD$3,0),CU$9*CU$10,0),0),IF(AND(CQ$9&lt;&gt;"",CQ$11&lt;&gt;""),IF(EOMONTH($CP$3+INT((DAY(EOMONTH($CP$3,0))-1)/2)+CQ$11,0)=EOMONTH($CD$3,0),CQ$9*CQ$10,0),0),IF(AND(CM$9&lt;&gt;"",CM$11&lt;&gt;""),IF(EOMONTH($CL$3+INT((DAY(EOMONTH($CL$3,0))-1)/2)+CM$11,0)=EOMONTH($CD$3,0),CM$9*CM$10,0),0),IF(AND(CI$9&lt;&gt;"",CI$11&lt;&gt;""),IF(EOMONTH($CH$3+INT((DAY(EOMONTH($CH$3,0))-1)/2)+CI$11,0)=EOMONTH($CD$3,0),CI$9*CI$10,0),0),IF(AND(CE$9&lt;&gt;"",CE$11&lt;&gt;""),IF(EOMONTH($CD$3+INT((DAY(EOMONTH($CD$3,0))-1)/2)+CE$11,0)=EOMONTH($CD$3,0),CE$9*CE$10,0),0),IF(AND(CA$9&lt;&gt;"",CA$11&lt;&gt;""),IF(EOMONTH($BZ$3+INT((DAY(EOMONTH($BZ$3,0))-1)/2)+CA$11,0)=EOMONTH($CD$3,0),CA$9*CA$10,0),0),IF(AND(BW$9&lt;&gt;"",BW$11&lt;&gt;""),IF(EOMONTH($BV$3+INT((DAY(EOMONTH($BV$3,0))-1)/2)+BW$11,0)=EOMONTH($CD$3,0),BW$9*BW$10,0),0),IF(AND(BS$9&lt;&gt;"",BS$11&lt;&gt;""),IF(EOMONTH($BR$3+INT((DAY(EOMONTH($BR$3,0))-1)/2)+BS$11,0)=EOMONTH($CD$3,0),BS$9*BS$10,0),0),IF(AND(BO$9&lt;&gt;"",BO$11&lt;&gt;""),IF(EOMONTH($BN$3+INT((DAY(EOMONTH($BN$3,0))-1)/2)+BO$11,0)=EOMONTH($CD$3,0),BO$9*BO$10,0),0),IF(AND(BK$9&lt;&gt;"",BK$11&lt;&gt;""),IF(EOMONTH($BJ$3+INT((DAY(EOMONTH($BJ$3,0))-1)/2)+BK$11,0)=EOMONTH($CD$3,0),BK$9*BK$10,0),0),IF(AND(BG$9&lt;&gt;"",BG$11&lt;&gt;""),IF(EOMONTH($BF$3+INT((DAY(EOMONTH($BF$3,0))-1)/2)+BG$11,0)=EOMONTH($CD$3,0),BG$9*BG$10,0),0),IF(AND(BC$9&lt;&gt;"",BC$11&lt;&gt;""),IF(EOMONTH($BB$3+INT((DAY(EOMONTH($BB$3,0))-1)/2)+BC$11,0)=EOMONTH($CD$3,0),BC$9*BC$10,0),0),IF(AND(AY$9&lt;&gt;"",AY$11&lt;&gt;""),IF(EOMONTH($AX$3+INT((DAY(EOMONTH($AX$3,0))-1)/2)+AY$11,0)=EOMONTH($CD$3,0),AY$9*AY$10,0),0),IF(AND(AU$9&lt;&gt;"",AU$11&lt;&gt;""),IF(EOMONTH($AT$3+INT((DAY(EOMONTH($AT$3,0))-1)/2)+AU$11,0)=EOMONTH($CD$3,0),AU$9*AU$10,0),0),IF(AND(AQ$9&lt;&gt;"",AQ$11&lt;&gt;""),IF(EOMONTH($AP$3+INT((DAY(EOMONTH($AP$3,0))-1)/2)+AQ$11,0)=EOMONTH($CD$3,0),AQ$9*AQ$10,0),0),IF(AND(AM$9&lt;&gt;"",AM$11&lt;&gt;""),IF(EOMONTH($AL$3+INT((DAY(EOMONTH($AL$3,0))-1)/2)+AM$11,0)=EOMONTH($CD$3,0),AM$9*AM$10,0),0),IF(AND(AI$9&lt;&gt;"",AI$11&lt;&gt;""),IF(EOMONTH($AH$3+INT((DAY(EOMONTH($AH$3,0))-1)/2)+AI$11,0)=EOMONTH($CD$3,0),AI$9*AI$10,0),0),IF(AND(AE$9&lt;&gt;"",AE$11&lt;&gt;""),IF(EOMONTH($AD$3+INT((DAY(EOMONTH($AD$3,0))-1)/2)+AE$11,0)=EOMONTH($CD$3,0),AE$9*AE$10,0),0),IF(AND(AA$9&lt;&gt;"",AA$11&lt;&gt;""),IF(EOMONTH($Z$3+INT((DAY(EOMONTH($Z$3,0))-1)/2)+AA$11,0)=EOMONTH($CD$3,0),AA$9*AA$10,0),0),IF(AND(W$9&lt;&gt;"",W$11&lt;&gt;""),IF(EOMONTH($V$3+INT((DAY(EOMONTH($V$3,0))-1)/2)+W$11,0)=EOMONTH($CD$3,0),W$9*W$10,0),0),IF(AND(S$9&lt;&gt;"",S$11&lt;&gt;""),IF(EOMONTH($R$3+INT((DAY(EOMONTH($R$3,0))-1)/2)+S$11,0)=EOMONTH($CD$3,0),S$9*S$10,0),0),IF(AND(O$9&lt;&gt;"",O$11&lt;&gt;""),IF(EOMONTH($N$3+INT((DAY(EOMONTH($N$3,0))-1)/2)+O$11,0)=EOMONTH($CD$3,0),O$9*O$10,0),0),IF(AND(K$9&lt;&gt;"",K$11&lt;&gt;""),IF(EOMONTH($J$3+INT((DAY(EOMONTH($J$3,0))-1)/2)+K$11,0)=EOMONTH($CD$3,0),K$9*K$10,0),0),IF(AND(G$9&lt;&gt;"",G$11&lt;&gt;""),IF(EOMONTH($F$3+INT((DAY(EOMONTH($F$3,0))-1)/2)+G$11,0)=EOMONTH($CD$3,0),G$9*G$10,0),0),IF($EP$75="",0,IF(EOMONTH($EP$75+EQ$11,0)=EOMONTH($CD$3,0),$EP$76*EQ$10,0))),0))</f>
        <v>14</v>
      </c>
      <c r="CF12" s="15">
        <f>ROUND(SUM(IF(AND(ER$9&lt;&gt;"",ER$11&lt;&gt;""),IF(EOMONTH($EP$3+INT((DAY(EOMONTH($EP$3,0))-1)/2)+ER$11,0)=EOMONTH($CD$3,0),ER$9*ER$10,0),0),IF(AND(EN$9&lt;&gt;"",EN$11&lt;&gt;""),IF(EOMONTH($EL$3+INT((DAY(EOMONTH($EL$3,0))-1)/2)+EN$11,0)=EOMONTH($CD$3,0),EN$9*EN$10,0),0),IF(AND(EJ$9&lt;&gt;"",EJ$11&lt;&gt;""),IF(EOMONTH($EH$3+INT((DAY(EOMONTH($EH$3,0))-1)/2)+EJ$11,0)=EOMONTH($CD$3,0),EJ$9*EJ$10,0),0),IF(AND(EF$9&lt;&gt;"",EF$11&lt;&gt;""),IF(EOMONTH($ED$3+INT((DAY(EOMONTH($ED$3,0))-1)/2)+EF$11,0)=EOMONTH($CD$3,0),EF$9*EF$10,0),0),IF(AND(EB$9&lt;&gt;"",EB$11&lt;&gt;""),IF(EOMONTH($DZ$3+INT((DAY(EOMONTH($DZ$3,0))-1)/2)+EB$11,0)=EOMONTH($CD$3,0),EB$9*EB$10,0),0),IF(AND(DX$9&lt;&gt;"",DX$11&lt;&gt;""),IF(EOMONTH($DV$3+INT((DAY(EOMONTH($DV$3,0))-1)/2)+DX$11,0)=EOMONTH($CD$3,0),DX$9*DX$10,0),0),IF(AND(DT$9&lt;&gt;"",DT$11&lt;&gt;""),IF(EOMONTH($DR$3+INT((DAY(EOMONTH($DR$3,0))-1)/2)+DT$11,0)=EOMONTH($CD$3,0),DT$9*DT$10,0),0),IF(AND(DP$9&lt;&gt;"",DP$11&lt;&gt;""),IF(EOMONTH($DN$3+INT((DAY(EOMONTH($DN$3,0))-1)/2)+DP$11,0)=EOMONTH($CD$3,0),DP$9*DP$10,0),0),IF(AND(DL$9&lt;&gt;"",DL$11&lt;&gt;""),IF(EOMONTH($DJ$3+INT((DAY(EOMONTH($DJ$3,0))-1)/2)+DL$11,0)=EOMONTH($CD$3,0),DL$9*DL$10,0),0),IF(AND(DH$9&lt;&gt;"",DH$11&lt;&gt;""),IF(EOMONTH($DF$3+INT((DAY(EOMONTH($DF$3,0))-1)/2)+DH$11,0)=EOMONTH($CD$3,0),DH$9*DH$10,0),0),IF(AND(DD$9&lt;&gt;"",DD$11&lt;&gt;""),IF(EOMONTH($DB$3+INT((DAY(EOMONTH($DB$3,0))-1)/2)+DD$11,0)=EOMONTH($CD$3,0),DD$9*DD$10,0),0),IF(AND(CZ$9&lt;&gt;"",CZ$11&lt;&gt;""),IF(EOMONTH($CX$3+INT((DAY(EOMONTH($CX$3,0))-1)/2)+CZ$11,0)=EOMONTH($CD$3,0),CZ$9*CZ$10,0),0),IF(AND(CV$9&lt;&gt;"",CV$11&lt;&gt;""),IF(EOMONTH($CT$3+INT((DAY(EOMONTH($CT$3,0))-1)/2)+CV$11,0)=EOMONTH($CD$3,0),CV$9*CV$10,0),0),IF(AND(CR$9&lt;&gt;"",CR$11&lt;&gt;""),IF(EOMONTH($CP$3+INT((DAY(EOMONTH($CP$3,0))-1)/2)+CR$11,0)=EOMONTH($CD$3,0),CR$9*CR$10,0),0),IF(AND(CN$9&lt;&gt;"",CN$11&lt;&gt;""),IF(EOMONTH($CL$3+INT((DAY(EOMONTH($CL$3,0))-1)/2)+CN$11,0)=EOMONTH($CD$3,0),CN$9*CN$10,0),0),IF(AND(CJ$9&lt;&gt;"",CJ$11&lt;&gt;""),IF(EOMONTH($CH$3+INT((DAY(EOMONTH($CH$3,0))-1)/2)+CJ$11,0)=EOMONTH($CD$3,0),CJ$9*CJ$10,0),0),IF(AND(CF$9&lt;&gt;"",CF$11&lt;&gt;""),IF(EOMONTH($CD$3+INT((DAY(EOMONTH($CD$3,0))-1)/2)+CF$11,0)=EOMONTH($CD$3,0),CF$9*CF$10,0),0),IF(AND(CB$9&lt;&gt;"",CB$11&lt;&gt;""),IF(EOMONTH($BZ$3+INT((DAY(EOMONTH($BZ$3,0))-1)/2)+CB$11,0)=EOMONTH($CD$3,0),CB$9*CB$10,0),0),IF(AND(BX$9&lt;&gt;"",BX$11&lt;&gt;""),IF(EOMONTH($BV$3+INT((DAY(EOMONTH($BV$3,0))-1)/2)+BX$11,0)=EOMONTH($CD$3,0),BX$9*BX$10,0),0),IF(AND(BT$9&lt;&gt;"",BT$11&lt;&gt;""),IF(EOMONTH($BR$3+INT((DAY(EOMONTH($BR$3,0))-1)/2)+BT$11,0)=EOMONTH($CD$3,0),BT$9*BT$10,0),0),IF(AND(BP$9&lt;&gt;"",BP$11&lt;&gt;""),IF(EOMONTH($BN$3+INT((DAY(EOMONTH($BN$3,0))-1)/2)+BP$11,0)=EOMONTH($CD$3,0),BP$9*BP$10,0),0),IF(AND(BL$9&lt;&gt;"",BL$11&lt;&gt;""),IF(EOMONTH($BJ$3+INT((DAY(EOMONTH($BJ$3,0))-1)/2)+BL$11,0)=EOMONTH($CD$3,0),BL$9*BL$10,0),0),IF(AND(BH$9&lt;&gt;"",BH$11&lt;&gt;""),IF(EOMONTH($BF$3+INT((DAY(EOMONTH($BF$3,0))-1)/2)+BH$11,0)=EOMONTH($CD$3,0),BH$9*BH$10,0),0),IF(AND(BD$9&lt;&gt;"",BD$11&lt;&gt;""),IF(EOMONTH($BB$3+INT((DAY(EOMONTH($BB$3,0))-1)/2)+BD$11,0)=EOMONTH($CD$3,0),BD$9*BD$10,0),0),IF(AND(AZ$9&lt;&gt;"",AZ$11&lt;&gt;""),IF(EOMONTH($AX$3+INT((DAY(EOMONTH($AX$3,0))-1)/2)+AZ$11,0)=EOMONTH($CD$3,0),AZ$9*AZ$10,0),0),IF(AND(AV$9&lt;&gt;"",AV$11&lt;&gt;""),IF(EOMONTH($AT$3+INT((DAY(EOMONTH($AT$3,0))-1)/2)+AV$11,0)=EOMONTH($CD$3,0),AV$9*AV$10,0),0),IF(AND(AR$9&lt;&gt;"",AR$11&lt;&gt;""),IF(EOMONTH($AP$3+INT((DAY(EOMONTH($AP$3,0))-1)/2)+AR$11,0)=EOMONTH($CD$3,0),AR$9*AR$10,0),0),IF(AND(AN$9&lt;&gt;"",AN$11&lt;&gt;""),IF(EOMONTH($AL$3+INT((DAY(EOMONTH($AL$3,0))-1)/2)+AN$11,0)=EOMONTH($CD$3,0),AN$9*AN$10,0),0),IF(AND(AJ$9&lt;&gt;"",AJ$11&lt;&gt;""),IF(EOMONTH($AH$3+INT((DAY(EOMONTH($AH$3,0))-1)/2)+AJ$11,0)=EOMONTH($CD$3,0),AJ$9*AJ$10,0),0),IF(AND(AF$9&lt;&gt;"",AF$11&lt;&gt;""),IF(EOMONTH($AD$3+INT((DAY(EOMONTH($AD$3,0))-1)/2)+AF$11,0)=EOMONTH($CD$3,0),AF$9*AF$10,0),0),IF(AND(AB$9&lt;&gt;"",AB$11&lt;&gt;""),IF(EOMONTH($Z$3+INT((DAY(EOMONTH($Z$3,0))-1)/2)+AB$11,0)=EOMONTH($CD$3,0),AB$9*AB$10,0),0),IF(AND(X$9&lt;&gt;"",X$11&lt;&gt;""),IF(EOMONTH($V$3+INT((DAY(EOMONTH($V$3,0))-1)/2)+X$11,0)=EOMONTH($CD$3,0),X$9*X$10,0),0),IF(AND(T$9&lt;&gt;"",T$11&lt;&gt;""),IF(EOMONTH($R$3+INT((DAY(EOMONTH($R$3,0))-1)/2)+T$11,0)=EOMONTH($CD$3,0),T$9*T$10,0),0),IF(AND(P$9&lt;&gt;"",P$11&lt;&gt;""),IF(EOMONTH($N$3+INT((DAY(EOMONTH($N$3,0))-1)/2)+P$11,0)=EOMONTH($CD$3,0),P$9*P$10,0),0),IF(AND(L$9&lt;&gt;"",L$11&lt;&gt;""),IF(EOMONTH($J$3+INT((DAY(EOMONTH($J$3,0))-1)/2)+L$11,0)=EOMONTH($CD$3,0),L$9*L$10,0),0),IF(AND(H$9&lt;&gt;"",H$11&lt;&gt;""),IF(EOMONTH($F$3+INT((DAY(EOMONTH($F$3,0))-1)/2)+H$11,0)=EOMONTH($CD$3,0),H$9*H$10,0),0),IF($EP$75="",0,IF(EOMONTH($EP$75+ER$11,0)=EOMONTH($CD$3,0),$EP$76*ER$10,0))),0)</f>
        <v>14</v>
      </c>
      <c r="CG12" s="16">
        <f t="shared" si="43"/>
        <v>0</v>
      </c>
      <c r="CH12" s="17"/>
      <c r="CI12" s="14">
        <f>IF(CH$98=1,CH12,ROUND(SUM(IF(AND(EQ$9&lt;&gt;"",EQ$11&lt;&gt;""),IF(EOMONTH($EP$3+INT((DAY(EOMONTH($EP$3,0))-1)/2)+EQ$11,0)=EOMONTH($CH$3,0),EQ$9*EQ$10,0),0),IF(AND(EM$9&lt;&gt;"",EM$11&lt;&gt;""),IF(EOMONTH($EL$3+INT((DAY(EOMONTH($EL$3,0))-1)/2)+EM$11,0)=EOMONTH($CH$3,0),EM$9*EM$10,0),0),IF(AND(EI$9&lt;&gt;"",EI$11&lt;&gt;""),IF(EOMONTH($EH$3+INT((DAY(EOMONTH($EH$3,0))-1)/2)+EI$11,0)=EOMONTH($CH$3,0),EI$9*EI$10,0),0),IF(AND(EE$9&lt;&gt;"",EE$11&lt;&gt;""),IF(EOMONTH($ED$3+INT((DAY(EOMONTH($ED$3,0))-1)/2)+EE$11,0)=EOMONTH($CH$3,0),EE$9*EE$10,0),0),IF(AND(EA$9&lt;&gt;"",EA$11&lt;&gt;""),IF(EOMONTH($DZ$3+INT((DAY(EOMONTH($DZ$3,0))-1)/2)+EA$11,0)=EOMONTH($CH$3,0),EA$9*EA$10,0),0),IF(AND(DW$9&lt;&gt;"",DW$11&lt;&gt;""),IF(EOMONTH($DV$3+INT((DAY(EOMONTH($DV$3,0))-1)/2)+DW$11,0)=EOMONTH($CH$3,0),DW$9*DW$10,0),0),IF(AND(DS$9&lt;&gt;"",DS$11&lt;&gt;""),IF(EOMONTH($DR$3+INT((DAY(EOMONTH($DR$3,0))-1)/2)+DS$11,0)=EOMONTH($CH$3,0),DS$9*DS$10,0),0),IF(AND(DO$9&lt;&gt;"",DO$11&lt;&gt;""),IF(EOMONTH($DN$3+INT((DAY(EOMONTH($DN$3,0))-1)/2)+DO$11,0)=EOMONTH($CH$3,0),DO$9*DO$10,0),0),IF(AND(DK$9&lt;&gt;"",DK$11&lt;&gt;""),IF(EOMONTH($DJ$3+INT((DAY(EOMONTH($DJ$3,0))-1)/2)+DK$11,0)=EOMONTH($CH$3,0),DK$9*DK$10,0),0),IF(AND(DG$9&lt;&gt;"",DG$11&lt;&gt;""),IF(EOMONTH($DF$3+INT((DAY(EOMONTH($DF$3,0))-1)/2)+DG$11,0)=EOMONTH($CH$3,0),DG$9*DG$10,0),0),IF(AND(DC$9&lt;&gt;"",DC$11&lt;&gt;""),IF(EOMONTH($DB$3+INT((DAY(EOMONTH($DB$3,0))-1)/2)+DC$11,0)=EOMONTH($CH$3,0),DC$9*DC$10,0),0),IF(AND(CY$9&lt;&gt;"",CY$11&lt;&gt;""),IF(EOMONTH($CX$3+INT((DAY(EOMONTH($CX$3,0))-1)/2)+CY$11,0)=EOMONTH($CH$3,0),CY$9*CY$10,0),0),IF(AND(CU$9&lt;&gt;"",CU$11&lt;&gt;""),IF(EOMONTH($CT$3+INT((DAY(EOMONTH($CT$3,0))-1)/2)+CU$11,0)=EOMONTH($CH$3,0),CU$9*CU$10,0),0),IF(AND(CQ$9&lt;&gt;"",CQ$11&lt;&gt;""),IF(EOMONTH($CP$3+INT((DAY(EOMONTH($CP$3,0))-1)/2)+CQ$11,0)=EOMONTH($CH$3,0),CQ$9*CQ$10,0),0),IF(AND(CM$9&lt;&gt;"",CM$11&lt;&gt;""),IF(EOMONTH($CL$3+INT((DAY(EOMONTH($CL$3,0))-1)/2)+CM$11,0)=EOMONTH($CH$3,0),CM$9*CM$10,0),0),IF(AND(CI$9&lt;&gt;"",CI$11&lt;&gt;""),IF(EOMONTH($CH$3+INT((DAY(EOMONTH($CH$3,0))-1)/2)+CI$11,0)=EOMONTH($CH$3,0),CI$9*CI$10,0),0),IF(AND(CE$9&lt;&gt;"",CE$11&lt;&gt;""),IF(EOMONTH($CD$3+INT((DAY(EOMONTH($CD$3,0))-1)/2)+CE$11,0)=EOMONTH($CH$3,0),CE$9*CE$10,0),0),IF(AND(CA$9&lt;&gt;"",CA$11&lt;&gt;""),IF(EOMONTH($BZ$3+INT((DAY(EOMONTH($BZ$3,0))-1)/2)+CA$11,0)=EOMONTH($CH$3,0),CA$9*CA$10,0),0),IF(AND(BW$9&lt;&gt;"",BW$11&lt;&gt;""),IF(EOMONTH($BV$3+INT((DAY(EOMONTH($BV$3,0))-1)/2)+BW$11,0)=EOMONTH($CH$3,0),BW$9*BW$10,0),0),IF(AND(BS$9&lt;&gt;"",BS$11&lt;&gt;""),IF(EOMONTH($BR$3+INT((DAY(EOMONTH($BR$3,0))-1)/2)+BS$11,0)=EOMONTH($CH$3,0),BS$9*BS$10,0),0),IF(AND(BO$9&lt;&gt;"",BO$11&lt;&gt;""),IF(EOMONTH($BN$3+INT((DAY(EOMONTH($BN$3,0))-1)/2)+BO$11,0)=EOMONTH($CH$3,0),BO$9*BO$10,0),0),IF(AND(BK$9&lt;&gt;"",BK$11&lt;&gt;""),IF(EOMONTH($BJ$3+INT((DAY(EOMONTH($BJ$3,0))-1)/2)+BK$11,0)=EOMONTH($CH$3,0),BK$9*BK$10,0),0),IF(AND(BG$9&lt;&gt;"",BG$11&lt;&gt;""),IF(EOMONTH($BF$3+INT((DAY(EOMONTH($BF$3,0))-1)/2)+BG$11,0)=EOMONTH($CH$3,0),BG$9*BG$10,0),0),IF(AND(BC$9&lt;&gt;"",BC$11&lt;&gt;""),IF(EOMONTH($BB$3+INT((DAY(EOMONTH($BB$3,0))-1)/2)+BC$11,0)=EOMONTH($CH$3,0),BC$9*BC$10,0),0),IF(AND(AY$9&lt;&gt;"",AY$11&lt;&gt;""),IF(EOMONTH($AX$3+INT((DAY(EOMONTH($AX$3,0))-1)/2)+AY$11,0)=EOMONTH($CH$3,0),AY$9*AY$10,0),0),IF(AND(AU$9&lt;&gt;"",AU$11&lt;&gt;""),IF(EOMONTH($AT$3+INT((DAY(EOMONTH($AT$3,0))-1)/2)+AU$11,0)=EOMONTH($CH$3,0),AU$9*AU$10,0),0),IF(AND(AQ$9&lt;&gt;"",AQ$11&lt;&gt;""),IF(EOMONTH($AP$3+INT((DAY(EOMONTH($AP$3,0))-1)/2)+AQ$11,0)=EOMONTH($CH$3,0),AQ$9*AQ$10,0),0),IF(AND(AM$9&lt;&gt;"",AM$11&lt;&gt;""),IF(EOMONTH($AL$3+INT((DAY(EOMONTH($AL$3,0))-1)/2)+AM$11,0)=EOMONTH($CH$3,0),AM$9*AM$10,0),0),IF(AND(AI$9&lt;&gt;"",AI$11&lt;&gt;""),IF(EOMONTH($AH$3+INT((DAY(EOMONTH($AH$3,0))-1)/2)+AI$11,0)=EOMONTH($CH$3,0),AI$9*AI$10,0),0),IF(AND(AE$9&lt;&gt;"",AE$11&lt;&gt;""),IF(EOMONTH($AD$3+INT((DAY(EOMONTH($AD$3,0))-1)/2)+AE$11,0)=EOMONTH($CH$3,0),AE$9*AE$10,0),0),IF(AND(AA$9&lt;&gt;"",AA$11&lt;&gt;""),IF(EOMONTH($Z$3+INT((DAY(EOMONTH($Z$3,0))-1)/2)+AA$11,0)=EOMONTH($CH$3,0),AA$9*AA$10,0),0),IF(AND(W$9&lt;&gt;"",W$11&lt;&gt;""),IF(EOMONTH($V$3+INT((DAY(EOMONTH($V$3,0))-1)/2)+W$11,0)=EOMONTH($CH$3,0),W$9*W$10,0),0),IF(AND(S$9&lt;&gt;"",S$11&lt;&gt;""),IF(EOMONTH($R$3+INT((DAY(EOMONTH($R$3,0))-1)/2)+S$11,0)=EOMONTH($CH$3,0),S$9*S$10,0),0),IF(AND(O$9&lt;&gt;"",O$11&lt;&gt;""),IF(EOMONTH($N$3+INT((DAY(EOMONTH($N$3,0))-1)/2)+O$11,0)=EOMONTH($CH$3,0),O$9*O$10,0),0),IF(AND(K$9&lt;&gt;"",K$11&lt;&gt;""),IF(EOMONTH($J$3+INT((DAY(EOMONTH($J$3,0))-1)/2)+K$11,0)=EOMONTH($CH$3,0),K$9*K$10,0),0),IF(AND(G$9&lt;&gt;"",G$11&lt;&gt;""),IF(EOMONTH($F$3+INT((DAY(EOMONTH($F$3,0))-1)/2)+G$11,0)=EOMONTH($CH$3,0),G$9*G$10,0),0),IF($EP$75="",0,IF(EOMONTH($EP$75+EQ$11,0)=EOMONTH($CH$3,0),$EP$76*EQ$10,0))),0))</f>
        <v>14</v>
      </c>
      <c r="CJ12" s="15">
        <f>ROUND(SUM(IF(AND(ER$9&lt;&gt;"",ER$11&lt;&gt;""),IF(EOMONTH($EP$3+INT((DAY(EOMONTH($EP$3,0))-1)/2)+ER$11,0)=EOMONTH($CH$3,0),ER$9*ER$10,0),0),IF(AND(EN$9&lt;&gt;"",EN$11&lt;&gt;""),IF(EOMONTH($EL$3+INT((DAY(EOMONTH($EL$3,0))-1)/2)+EN$11,0)=EOMONTH($CH$3,0),EN$9*EN$10,0),0),IF(AND(EJ$9&lt;&gt;"",EJ$11&lt;&gt;""),IF(EOMONTH($EH$3+INT((DAY(EOMONTH($EH$3,0))-1)/2)+EJ$11,0)=EOMONTH($CH$3,0),EJ$9*EJ$10,0),0),IF(AND(EF$9&lt;&gt;"",EF$11&lt;&gt;""),IF(EOMONTH($ED$3+INT((DAY(EOMONTH($ED$3,0))-1)/2)+EF$11,0)=EOMONTH($CH$3,0),EF$9*EF$10,0),0),IF(AND(EB$9&lt;&gt;"",EB$11&lt;&gt;""),IF(EOMONTH($DZ$3+INT((DAY(EOMONTH($DZ$3,0))-1)/2)+EB$11,0)=EOMONTH($CH$3,0),EB$9*EB$10,0),0),IF(AND(DX$9&lt;&gt;"",DX$11&lt;&gt;""),IF(EOMONTH($DV$3+INT((DAY(EOMONTH($DV$3,0))-1)/2)+DX$11,0)=EOMONTH($CH$3,0),DX$9*DX$10,0),0),IF(AND(DT$9&lt;&gt;"",DT$11&lt;&gt;""),IF(EOMONTH($DR$3+INT((DAY(EOMONTH($DR$3,0))-1)/2)+DT$11,0)=EOMONTH($CH$3,0),DT$9*DT$10,0),0),IF(AND(DP$9&lt;&gt;"",DP$11&lt;&gt;""),IF(EOMONTH($DN$3+INT((DAY(EOMONTH($DN$3,0))-1)/2)+DP$11,0)=EOMONTH($CH$3,0),DP$9*DP$10,0),0),IF(AND(DL$9&lt;&gt;"",DL$11&lt;&gt;""),IF(EOMONTH($DJ$3+INT((DAY(EOMONTH($DJ$3,0))-1)/2)+DL$11,0)=EOMONTH($CH$3,0),DL$9*DL$10,0),0),IF(AND(DH$9&lt;&gt;"",DH$11&lt;&gt;""),IF(EOMONTH($DF$3+INT((DAY(EOMONTH($DF$3,0))-1)/2)+DH$11,0)=EOMONTH($CH$3,0),DH$9*DH$10,0),0),IF(AND(DD$9&lt;&gt;"",DD$11&lt;&gt;""),IF(EOMONTH($DB$3+INT((DAY(EOMONTH($DB$3,0))-1)/2)+DD$11,0)=EOMONTH($CH$3,0),DD$9*DD$10,0),0),IF(AND(CZ$9&lt;&gt;"",CZ$11&lt;&gt;""),IF(EOMONTH($CX$3+INT((DAY(EOMONTH($CX$3,0))-1)/2)+CZ$11,0)=EOMONTH($CH$3,0),CZ$9*CZ$10,0),0),IF(AND(CV$9&lt;&gt;"",CV$11&lt;&gt;""),IF(EOMONTH($CT$3+INT((DAY(EOMONTH($CT$3,0))-1)/2)+CV$11,0)=EOMONTH($CH$3,0),CV$9*CV$10,0),0),IF(AND(CR$9&lt;&gt;"",CR$11&lt;&gt;""),IF(EOMONTH($CP$3+INT((DAY(EOMONTH($CP$3,0))-1)/2)+CR$11,0)=EOMONTH($CH$3,0),CR$9*CR$10,0),0),IF(AND(CN$9&lt;&gt;"",CN$11&lt;&gt;""),IF(EOMONTH($CL$3+INT((DAY(EOMONTH($CL$3,0))-1)/2)+CN$11,0)=EOMONTH($CH$3,0),CN$9*CN$10,0),0),IF(AND(CJ$9&lt;&gt;"",CJ$11&lt;&gt;""),IF(EOMONTH($CH$3+INT((DAY(EOMONTH($CH$3,0))-1)/2)+CJ$11,0)=EOMONTH($CH$3,0),CJ$9*CJ$10,0),0),IF(AND(CF$9&lt;&gt;"",CF$11&lt;&gt;""),IF(EOMONTH($CD$3+INT((DAY(EOMONTH($CD$3,0))-1)/2)+CF$11,0)=EOMONTH($CH$3,0),CF$9*CF$10,0),0),IF(AND(CB$9&lt;&gt;"",CB$11&lt;&gt;""),IF(EOMONTH($BZ$3+INT((DAY(EOMONTH($BZ$3,0))-1)/2)+CB$11,0)=EOMONTH($CH$3,0),CB$9*CB$10,0),0),IF(AND(BX$9&lt;&gt;"",BX$11&lt;&gt;""),IF(EOMONTH($BV$3+INT((DAY(EOMONTH($BV$3,0))-1)/2)+BX$11,0)=EOMONTH($CH$3,0),BX$9*BX$10,0),0),IF(AND(BT$9&lt;&gt;"",BT$11&lt;&gt;""),IF(EOMONTH($BR$3+INT((DAY(EOMONTH($BR$3,0))-1)/2)+BT$11,0)=EOMONTH($CH$3,0),BT$9*BT$10,0),0),IF(AND(BP$9&lt;&gt;"",BP$11&lt;&gt;""),IF(EOMONTH($BN$3+INT((DAY(EOMONTH($BN$3,0))-1)/2)+BP$11,0)=EOMONTH($CH$3,0),BP$9*BP$10,0),0),IF(AND(BL$9&lt;&gt;"",BL$11&lt;&gt;""),IF(EOMONTH($BJ$3+INT((DAY(EOMONTH($BJ$3,0))-1)/2)+BL$11,0)=EOMONTH($CH$3,0),BL$9*BL$10,0),0),IF(AND(BH$9&lt;&gt;"",BH$11&lt;&gt;""),IF(EOMONTH($BF$3+INT((DAY(EOMONTH($BF$3,0))-1)/2)+BH$11,0)=EOMONTH($CH$3,0),BH$9*BH$10,0),0),IF(AND(BD$9&lt;&gt;"",BD$11&lt;&gt;""),IF(EOMONTH($BB$3+INT((DAY(EOMONTH($BB$3,0))-1)/2)+BD$11,0)=EOMONTH($CH$3,0),BD$9*BD$10,0),0),IF(AND(AZ$9&lt;&gt;"",AZ$11&lt;&gt;""),IF(EOMONTH($AX$3+INT((DAY(EOMONTH($AX$3,0))-1)/2)+AZ$11,0)=EOMONTH($CH$3,0),AZ$9*AZ$10,0),0),IF(AND(AV$9&lt;&gt;"",AV$11&lt;&gt;""),IF(EOMONTH($AT$3+INT((DAY(EOMONTH($AT$3,0))-1)/2)+AV$11,0)=EOMONTH($CH$3,0),AV$9*AV$10,0),0),IF(AND(AR$9&lt;&gt;"",AR$11&lt;&gt;""),IF(EOMONTH($AP$3+INT((DAY(EOMONTH($AP$3,0))-1)/2)+AR$11,0)=EOMONTH($CH$3,0),AR$9*AR$10,0),0),IF(AND(AN$9&lt;&gt;"",AN$11&lt;&gt;""),IF(EOMONTH($AL$3+INT((DAY(EOMONTH($AL$3,0))-1)/2)+AN$11,0)=EOMONTH($CH$3,0),AN$9*AN$10,0),0),IF(AND(AJ$9&lt;&gt;"",AJ$11&lt;&gt;""),IF(EOMONTH($AH$3+INT((DAY(EOMONTH($AH$3,0))-1)/2)+AJ$11,0)=EOMONTH($CH$3,0),AJ$9*AJ$10,0),0),IF(AND(AF$9&lt;&gt;"",AF$11&lt;&gt;""),IF(EOMONTH($AD$3+INT((DAY(EOMONTH($AD$3,0))-1)/2)+AF$11,0)=EOMONTH($CH$3,0),AF$9*AF$10,0),0),IF(AND(AB$9&lt;&gt;"",AB$11&lt;&gt;""),IF(EOMONTH($Z$3+INT((DAY(EOMONTH($Z$3,0))-1)/2)+AB$11,0)=EOMONTH($CH$3,0),AB$9*AB$10,0),0),IF(AND(X$9&lt;&gt;"",X$11&lt;&gt;""),IF(EOMONTH($V$3+INT((DAY(EOMONTH($V$3,0))-1)/2)+X$11,0)=EOMONTH($CH$3,0),X$9*X$10,0),0),IF(AND(T$9&lt;&gt;"",T$11&lt;&gt;""),IF(EOMONTH($R$3+INT((DAY(EOMONTH($R$3,0))-1)/2)+T$11,0)=EOMONTH($CH$3,0),T$9*T$10,0),0),IF(AND(P$9&lt;&gt;"",P$11&lt;&gt;""),IF(EOMONTH($N$3+INT((DAY(EOMONTH($N$3,0))-1)/2)+P$11,0)=EOMONTH($CH$3,0),P$9*P$10,0),0),IF(AND(L$9&lt;&gt;"",L$11&lt;&gt;""),IF(EOMONTH($J$3+INT((DAY(EOMONTH($J$3,0))-1)/2)+L$11,0)=EOMONTH($CH$3,0),L$9*L$10,0),0),IF(AND(H$9&lt;&gt;"",H$11&lt;&gt;""),IF(EOMONTH($F$3+INT((DAY(EOMONTH($F$3,0))-1)/2)+H$11,0)=EOMONTH($CH$3,0),H$9*H$10,0),0),IF($EP$75="",0,IF(EOMONTH($EP$75+ER$11,0)=EOMONTH($CH$3,0),$EP$76*ER$10,0))),0)</f>
        <v>14</v>
      </c>
      <c r="CK12" s="16">
        <f t="shared" si="45"/>
        <v>0</v>
      </c>
      <c r="CL12" s="17"/>
      <c r="CM12" s="14">
        <f>IF(CL$98=1,CL12,ROUND(SUM(IF(AND(EQ$9&lt;&gt;"",EQ$11&lt;&gt;""),IF(EOMONTH($EP$3+INT((DAY(EOMONTH($EP$3,0))-1)/2)+EQ$11,0)=EOMONTH($CL$3,0),EQ$9*EQ$10,0),0),IF(AND(EM$9&lt;&gt;"",EM$11&lt;&gt;""),IF(EOMONTH($EL$3+INT((DAY(EOMONTH($EL$3,0))-1)/2)+EM$11,0)=EOMONTH($CL$3,0),EM$9*EM$10,0),0),IF(AND(EI$9&lt;&gt;"",EI$11&lt;&gt;""),IF(EOMONTH($EH$3+INT((DAY(EOMONTH($EH$3,0))-1)/2)+EI$11,0)=EOMONTH($CL$3,0),EI$9*EI$10,0),0),IF(AND(EE$9&lt;&gt;"",EE$11&lt;&gt;""),IF(EOMONTH($ED$3+INT((DAY(EOMONTH($ED$3,0))-1)/2)+EE$11,0)=EOMONTH($CL$3,0),EE$9*EE$10,0),0),IF(AND(EA$9&lt;&gt;"",EA$11&lt;&gt;""),IF(EOMONTH($DZ$3+INT((DAY(EOMONTH($DZ$3,0))-1)/2)+EA$11,0)=EOMONTH($CL$3,0),EA$9*EA$10,0),0),IF(AND(DW$9&lt;&gt;"",DW$11&lt;&gt;""),IF(EOMONTH($DV$3+INT((DAY(EOMONTH($DV$3,0))-1)/2)+DW$11,0)=EOMONTH($CL$3,0),DW$9*DW$10,0),0),IF(AND(DS$9&lt;&gt;"",DS$11&lt;&gt;""),IF(EOMONTH($DR$3+INT((DAY(EOMONTH($DR$3,0))-1)/2)+DS$11,0)=EOMONTH($CL$3,0),DS$9*DS$10,0),0),IF(AND(DO$9&lt;&gt;"",DO$11&lt;&gt;""),IF(EOMONTH($DN$3+INT((DAY(EOMONTH($DN$3,0))-1)/2)+DO$11,0)=EOMONTH($CL$3,0),DO$9*DO$10,0),0),IF(AND(DK$9&lt;&gt;"",DK$11&lt;&gt;""),IF(EOMONTH($DJ$3+INT((DAY(EOMONTH($DJ$3,0))-1)/2)+DK$11,0)=EOMONTH($CL$3,0),DK$9*DK$10,0),0),IF(AND(DG$9&lt;&gt;"",DG$11&lt;&gt;""),IF(EOMONTH($DF$3+INT((DAY(EOMONTH($DF$3,0))-1)/2)+DG$11,0)=EOMONTH($CL$3,0),DG$9*DG$10,0),0),IF(AND(DC$9&lt;&gt;"",DC$11&lt;&gt;""),IF(EOMONTH($DB$3+INT((DAY(EOMONTH($DB$3,0))-1)/2)+DC$11,0)=EOMONTH($CL$3,0),DC$9*DC$10,0),0),IF(AND(CY$9&lt;&gt;"",CY$11&lt;&gt;""),IF(EOMONTH($CX$3+INT((DAY(EOMONTH($CX$3,0))-1)/2)+CY$11,0)=EOMONTH($CL$3,0),CY$9*CY$10,0),0),IF(AND(CU$9&lt;&gt;"",CU$11&lt;&gt;""),IF(EOMONTH($CT$3+INT((DAY(EOMONTH($CT$3,0))-1)/2)+CU$11,0)=EOMONTH($CL$3,0),CU$9*CU$10,0),0),IF(AND(CQ$9&lt;&gt;"",CQ$11&lt;&gt;""),IF(EOMONTH($CP$3+INT((DAY(EOMONTH($CP$3,0))-1)/2)+CQ$11,0)=EOMONTH($CL$3,0),CQ$9*CQ$10,0),0),IF(AND(CM$9&lt;&gt;"",CM$11&lt;&gt;""),IF(EOMONTH($CL$3+INT((DAY(EOMONTH($CL$3,0))-1)/2)+CM$11,0)=EOMONTH($CL$3,0),CM$9*CM$10,0),0),IF(AND(CI$9&lt;&gt;"",CI$11&lt;&gt;""),IF(EOMONTH($CH$3+INT((DAY(EOMONTH($CH$3,0))-1)/2)+CI$11,0)=EOMONTH($CL$3,0),CI$9*CI$10,0),0),IF(AND(CE$9&lt;&gt;"",CE$11&lt;&gt;""),IF(EOMONTH($CD$3+INT((DAY(EOMONTH($CD$3,0))-1)/2)+CE$11,0)=EOMONTH($CL$3,0),CE$9*CE$10,0),0),IF(AND(CA$9&lt;&gt;"",CA$11&lt;&gt;""),IF(EOMONTH($BZ$3+INT((DAY(EOMONTH($BZ$3,0))-1)/2)+CA$11,0)=EOMONTH($CL$3,0),CA$9*CA$10,0),0),IF(AND(BW$9&lt;&gt;"",BW$11&lt;&gt;""),IF(EOMONTH($BV$3+INT((DAY(EOMONTH($BV$3,0))-1)/2)+BW$11,0)=EOMONTH($CL$3,0),BW$9*BW$10,0),0),IF(AND(BS$9&lt;&gt;"",BS$11&lt;&gt;""),IF(EOMONTH($BR$3+INT((DAY(EOMONTH($BR$3,0))-1)/2)+BS$11,0)=EOMONTH($CL$3,0),BS$9*BS$10,0),0),IF(AND(BO$9&lt;&gt;"",BO$11&lt;&gt;""),IF(EOMONTH($BN$3+INT((DAY(EOMONTH($BN$3,0))-1)/2)+BO$11,0)=EOMONTH($CL$3,0),BO$9*BO$10,0),0),IF(AND(BK$9&lt;&gt;"",BK$11&lt;&gt;""),IF(EOMONTH($BJ$3+INT((DAY(EOMONTH($BJ$3,0))-1)/2)+BK$11,0)=EOMONTH($CL$3,0),BK$9*BK$10,0),0),IF(AND(BG$9&lt;&gt;"",BG$11&lt;&gt;""),IF(EOMONTH($BF$3+INT((DAY(EOMONTH($BF$3,0))-1)/2)+BG$11,0)=EOMONTH($CL$3,0),BG$9*BG$10,0),0),IF(AND(BC$9&lt;&gt;"",BC$11&lt;&gt;""),IF(EOMONTH($BB$3+INT((DAY(EOMONTH($BB$3,0))-1)/2)+BC$11,0)=EOMONTH($CL$3,0),BC$9*BC$10,0),0),IF(AND(AY$9&lt;&gt;"",AY$11&lt;&gt;""),IF(EOMONTH($AX$3+INT((DAY(EOMONTH($AX$3,0))-1)/2)+AY$11,0)=EOMONTH($CL$3,0),AY$9*AY$10,0),0),IF(AND(AU$9&lt;&gt;"",AU$11&lt;&gt;""),IF(EOMONTH($AT$3+INT((DAY(EOMONTH($AT$3,0))-1)/2)+AU$11,0)=EOMONTH($CL$3,0),AU$9*AU$10,0),0),IF(AND(AQ$9&lt;&gt;"",AQ$11&lt;&gt;""),IF(EOMONTH($AP$3+INT((DAY(EOMONTH($AP$3,0))-1)/2)+AQ$11,0)=EOMONTH($CL$3,0),AQ$9*AQ$10,0),0),IF(AND(AM$9&lt;&gt;"",AM$11&lt;&gt;""),IF(EOMONTH($AL$3+INT((DAY(EOMONTH($AL$3,0))-1)/2)+AM$11,0)=EOMONTH($CL$3,0),AM$9*AM$10,0),0),IF(AND(AI$9&lt;&gt;"",AI$11&lt;&gt;""),IF(EOMONTH($AH$3+INT((DAY(EOMONTH($AH$3,0))-1)/2)+AI$11,0)=EOMONTH($CL$3,0),AI$9*AI$10,0),0),IF(AND(AE$9&lt;&gt;"",AE$11&lt;&gt;""),IF(EOMONTH($AD$3+INT((DAY(EOMONTH($AD$3,0))-1)/2)+AE$11,0)=EOMONTH($CL$3,0),AE$9*AE$10,0),0),IF(AND(AA$9&lt;&gt;"",AA$11&lt;&gt;""),IF(EOMONTH($Z$3+INT((DAY(EOMONTH($Z$3,0))-1)/2)+AA$11,0)=EOMONTH($CL$3,0),AA$9*AA$10,0),0),IF(AND(W$9&lt;&gt;"",W$11&lt;&gt;""),IF(EOMONTH($V$3+INT((DAY(EOMONTH($V$3,0))-1)/2)+W$11,0)=EOMONTH($CL$3,0),W$9*W$10,0),0),IF(AND(S$9&lt;&gt;"",S$11&lt;&gt;""),IF(EOMONTH($R$3+INT((DAY(EOMONTH($R$3,0))-1)/2)+S$11,0)=EOMONTH($CL$3,0),S$9*S$10,0),0),IF(AND(O$9&lt;&gt;"",O$11&lt;&gt;""),IF(EOMONTH($N$3+INT((DAY(EOMONTH($N$3,0))-1)/2)+O$11,0)=EOMONTH($CL$3,0),O$9*O$10,0),0),IF(AND(K$9&lt;&gt;"",K$11&lt;&gt;""),IF(EOMONTH($J$3+INT((DAY(EOMONTH($J$3,0))-1)/2)+K$11,0)=EOMONTH($CL$3,0),K$9*K$10,0),0),IF(AND(G$9&lt;&gt;"",G$11&lt;&gt;""),IF(EOMONTH($F$3+INT((DAY(EOMONTH($F$3,0))-1)/2)+G$11,0)=EOMONTH($CL$3,0),G$9*G$10,0),0),IF($EP$75="",0,IF(EOMONTH($EP$75+EQ$11,0)=EOMONTH($CL$3,0),$EP$76*EQ$10,0))),0))</f>
        <v>13</v>
      </c>
      <c r="CN12" s="15">
        <f>ROUND(SUM(IF(AND(ER$9&lt;&gt;"",ER$11&lt;&gt;""),IF(EOMONTH($EP$3+INT((DAY(EOMONTH($EP$3,0))-1)/2)+ER$11,0)=EOMONTH($CL$3,0),ER$9*ER$10,0),0),IF(AND(EN$9&lt;&gt;"",EN$11&lt;&gt;""),IF(EOMONTH($EL$3+INT((DAY(EOMONTH($EL$3,0))-1)/2)+EN$11,0)=EOMONTH($CL$3,0),EN$9*EN$10,0),0),IF(AND(EJ$9&lt;&gt;"",EJ$11&lt;&gt;""),IF(EOMONTH($EH$3+INT((DAY(EOMONTH($EH$3,0))-1)/2)+EJ$11,0)=EOMONTH($CL$3,0),EJ$9*EJ$10,0),0),IF(AND(EF$9&lt;&gt;"",EF$11&lt;&gt;""),IF(EOMONTH($ED$3+INT((DAY(EOMONTH($ED$3,0))-1)/2)+EF$11,0)=EOMONTH($CL$3,0),EF$9*EF$10,0),0),IF(AND(EB$9&lt;&gt;"",EB$11&lt;&gt;""),IF(EOMONTH($DZ$3+INT((DAY(EOMONTH($DZ$3,0))-1)/2)+EB$11,0)=EOMONTH($CL$3,0),EB$9*EB$10,0),0),IF(AND(DX$9&lt;&gt;"",DX$11&lt;&gt;""),IF(EOMONTH($DV$3+INT((DAY(EOMONTH($DV$3,0))-1)/2)+DX$11,0)=EOMONTH($CL$3,0),DX$9*DX$10,0),0),IF(AND(DT$9&lt;&gt;"",DT$11&lt;&gt;""),IF(EOMONTH($DR$3+INT((DAY(EOMONTH($DR$3,0))-1)/2)+DT$11,0)=EOMONTH($CL$3,0),DT$9*DT$10,0),0),IF(AND(DP$9&lt;&gt;"",DP$11&lt;&gt;""),IF(EOMONTH($DN$3+INT((DAY(EOMONTH($DN$3,0))-1)/2)+DP$11,0)=EOMONTH($CL$3,0),DP$9*DP$10,0),0),IF(AND(DL$9&lt;&gt;"",DL$11&lt;&gt;""),IF(EOMONTH($DJ$3+INT((DAY(EOMONTH($DJ$3,0))-1)/2)+DL$11,0)=EOMONTH($CL$3,0),DL$9*DL$10,0),0),IF(AND(DH$9&lt;&gt;"",DH$11&lt;&gt;""),IF(EOMONTH($DF$3+INT((DAY(EOMONTH($DF$3,0))-1)/2)+DH$11,0)=EOMONTH($CL$3,0),DH$9*DH$10,0),0),IF(AND(DD$9&lt;&gt;"",DD$11&lt;&gt;""),IF(EOMONTH($DB$3+INT((DAY(EOMONTH($DB$3,0))-1)/2)+DD$11,0)=EOMONTH($CL$3,0),DD$9*DD$10,0),0),IF(AND(CZ$9&lt;&gt;"",CZ$11&lt;&gt;""),IF(EOMONTH($CX$3+INT((DAY(EOMONTH($CX$3,0))-1)/2)+CZ$11,0)=EOMONTH($CL$3,0),CZ$9*CZ$10,0),0),IF(AND(CV$9&lt;&gt;"",CV$11&lt;&gt;""),IF(EOMONTH($CT$3+INT((DAY(EOMONTH($CT$3,0))-1)/2)+CV$11,0)=EOMONTH($CL$3,0),CV$9*CV$10,0),0),IF(AND(CR$9&lt;&gt;"",CR$11&lt;&gt;""),IF(EOMONTH($CP$3+INT((DAY(EOMONTH($CP$3,0))-1)/2)+CR$11,0)=EOMONTH($CL$3,0),CR$9*CR$10,0),0),IF(AND(CN$9&lt;&gt;"",CN$11&lt;&gt;""),IF(EOMONTH($CL$3+INT((DAY(EOMONTH($CL$3,0))-1)/2)+CN$11,0)=EOMONTH($CL$3,0),CN$9*CN$10,0),0),IF(AND(CJ$9&lt;&gt;"",CJ$11&lt;&gt;""),IF(EOMONTH($CH$3+INT((DAY(EOMONTH($CH$3,0))-1)/2)+CJ$11,0)=EOMONTH($CL$3,0),CJ$9*CJ$10,0),0),IF(AND(CF$9&lt;&gt;"",CF$11&lt;&gt;""),IF(EOMONTH($CD$3+INT((DAY(EOMONTH($CD$3,0))-1)/2)+CF$11,0)=EOMONTH($CL$3,0),CF$9*CF$10,0),0),IF(AND(CB$9&lt;&gt;"",CB$11&lt;&gt;""),IF(EOMONTH($BZ$3+INT((DAY(EOMONTH($BZ$3,0))-1)/2)+CB$11,0)=EOMONTH($CL$3,0),CB$9*CB$10,0),0),IF(AND(BX$9&lt;&gt;"",BX$11&lt;&gt;""),IF(EOMONTH($BV$3+INT((DAY(EOMONTH($BV$3,0))-1)/2)+BX$11,0)=EOMONTH($CL$3,0),BX$9*BX$10,0),0),IF(AND(BT$9&lt;&gt;"",BT$11&lt;&gt;""),IF(EOMONTH($BR$3+INT((DAY(EOMONTH($BR$3,0))-1)/2)+BT$11,0)=EOMONTH($CL$3,0),BT$9*BT$10,0),0),IF(AND(BP$9&lt;&gt;"",BP$11&lt;&gt;""),IF(EOMONTH($BN$3+INT((DAY(EOMONTH($BN$3,0))-1)/2)+BP$11,0)=EOMONTH($CL$3,0),BP$9*BP$10,0),0),IF(AND(BL$9&lt;&gt;"",BL$11&lt;&gt;""),IF(EOMONTH($BJ$3+INT((DAY(EOMONTH($BJ$3,0))-1)/2)+BL$11,0)=EOMONTH($CL$3,0),BL$9*BL$10,0),0),IF(AND(BH$9&lt;&gt;"",BH$11&lt;&gt;""),IF(EOMONTH($BF$3+INT((DAY(EOMONTH($BF$3,0))-1)/2)+BH$11,0)=EOMONTH($CL$3,0),BH$9*BH$10,0),0),IF(AND(BD$9&lt;&gt;"",BD$11&lt;&gt;""),IF(EOMONTH($BB$3+INT((DAY(EOMONTH($BB$3,0))-1)/2)+BD$11,0)=EOMONTH($CL$3,0),BD$9*BD$10,0),0),IF(AND(AZ$9&lt;&gt;"",AZ$11&lt;&gt;""),IF(EOMONTH($AX$3+INT((DAY(EOMONTH($AX$3,0))-1)/2)+AZ$11,0)=EOMONTH($CL$3,0),AZ$9*AZ$10,0),0),IF(AND(AV$9&lt;&gt;"",AV$11&lt;&gt;""),IF(EOMONTH($AT$3+INT((DAY(EOMONTH($AT$3,0))-1)/2)+AV$11,0)=EOMONTH($CL$3,0),AV$9*AV$10,0),0),IF(AND(AR$9&lt;&gt;"",AR$11&lt;&gt;""),IF(EOMONTH($AP$3+INT((DAY(EOMONTH($AP$3,0))-1)/2)+AR$11,0)=EOMONTH($CL$3,0),AR$9*AR$10,0),0),IF(AND(AN$9&lt;&gt;"",AN$11&lt;&gt;""),IF(EOMONTH($AL$3+INT((DAY(EOMONTH($AL$3,0))-1)/2)+AN$11,0)=EOMONTH($CL$3,0),AN$9*AN$10,0),0),IF(AND(AJ$9&lt;&gt;"",AJ$11&lt;&gt;""),IF(EOMONTH($AH$3+INT((DAY(EOMONTH($AH$3,0))-1)/2)+AJ$11,0)=EOMONTH($CL$3,0),AJ$9*AJ$10,0),0),IF(AND(AF$9&lt;&gt;"",AF$11&lt;&gt;""),IF(EOMONTH($AD$3+INT((DAY(EOMONTH($AD$3,0))-1)/2)+AF$11,0)=EOMONTH($CL$3,0),AF$9*AF$10,0),0),IF(AND(AB$9&lt;&gt;"",AB$11&lt;&gt;""),IF(EOMONTH($Z$3+INT((DAY(EOMONTH($Z$3,0))-1)/2)+AB$11,0)=EOMONTH($CL$3,0),AB$9*AB$10,0),0),IF(AND(X$9&lt;&gt;"",X$11&lt;&gt;""),IF(EOMONTH($V$3+INT((DAY(EOMONTH($V$3,0))-1)/2)+X$11,0)=EOMONTH($CL$3,0),X$9*X$10,0),0),IF(AND(T$9&lt;&gt;"",T$11&lt;&gt;""),IF(EOMONTH($R$3+INT((DAY(EOMONTH($R$3,0))-1)/2)+T$11,0)=EOMONTH($CL$3,0),T$9*T$10,0),0),IF(AND(P$9&lt;&gt;"",P$11&lt;&gt;""),IF(EOMONTH($N$3+INT((DAY(EOMONTH($N$3,0))-1)/2)+P$11,0)=EOMONTH($CL$3,0),P$9*P$10,0),0),IF(AND(L$9&lt;&gt;"",L$11&lt;&gt;""),IF(EOMONTH($J$3+INT((DAY(EOMONTH($J$3,0))-1)/2)+L$11,0)=EOMONTH($CL$3,0),L$9*L$10,0),0),IF(AND(H$9&lt;&gt;"",H$11&lt;&gt;""),IF(EOMONTH($F$3+INT((DAY(EOMONTH($F$3,0))-1)/2)+H$11,0)=EOMONTH($CL$3,0),H$9*H$10,0),0),IF($EP$75="",0,IF(EOMONTH($EP$75+ER$11,0)=EOMONTH($CL$3,0),$EP$76*ER$10,0))),0)</f>
        <v>13</v>
      </c>
      <c r="CO12" s="16">
        <f t="shared" si="47"/>
        <v>0</v>
      </c>
      <c r="CP12" s="17"/>
      <c r="CQ12" s="14">
        <f>IF(CP$98=1,CP12,ROUND(SUM(IF(AND(EQ$9&lt;&gt;"",EQ$11&lt;&gt;""),IF(EOMONTH($EP$3+INT((DAY(EOMONTH($EP$3,0))-1)/2)+EQ$11,0)=EOMONTH($CP$3,0),EQ$9*EQ$10,0),0),IF(AND(EM$9&lt;&gt;"",EM$11&lt;&gt;""),IF(EOMONTH($EL$3+INT((DAY(EOMONTH($EL$3,0))-1)/2)+EM$11,0)=EOMONTH($CP$3,0),EM$9*EM$10,0),0),IF(AND(EI$9&lt;&gt;"",EI$11&lt;&gt;""),IF(EOMONTH($EH$3+INT((DAY(EOMONTH($EH$3,0))-1)/2)+EI$11,0)=EOMONTH($CP$3,0),EI$9*EI$10,0),0),IF(AND(EE$9&lt;&gt;"",EE$11&lt;&gt;""),IF(EOMONTH($ED$3+INT((DAY(EOMONTH($ED$3,0))-1)/2)+EE$11,0)=EOMONTH($CP$3,0),EE$9*EE$10,0),0),IF(AND(EA$9&lt;&gt;"",EA$11&lt;&gt;""),IF(EOMONTH($DZ$3+INT((DAY(EOMONTH($DZ$3,0))-1)/2)+EA$11,0)=EOMONTH($CP$3,0),EA$9*EA$10,0),0),IF(AND(DW$9&lt;&gt;"",DW$11&lt;&gt;""),IF(EOMONTH($DV$3+INT((DAY(EOMONTH($DV$3,0))-1)/2)+DW$11,0)=EOMONTH($CP$3,0),DW$9*DW$10,0),0),IF(AND(DS$9&lt;&gt;"",DS$11&lt;&gt;""),IF(EOMONTH($DR$3+INT((DAY(EOMONTH($DR$3,0))-1)/2)+DS$11,0)=EOMONTH($CP$3,0),DS$9*DS$10,0),0),IF(AND(DO$9&lt;&gt;"",DO$11&lt;&gt;""),IF(EOMONTH($DN$3+INT((DAY(EOMONTH($DN$3,0))-1)/2)+DO$11,0)=EOMONTH($CP$3,0),DO$9*DO$10,0),0),IF(AND(DK$9&lt;&gt;"",DK$11&lt;&gt;""),IF(EOMONTH($DJ$3+INT((DAY(EOMONTH($DJ$3,0))-1)/2)+DK$11,0)=EOMONTH($CP$3,0),DK$9*DK$10,0),0),IF(AND(DG$9&lt;&gt;"",DG$11&lt;&gt;""),IF(EOMONTH($DF$3+INT((DAY(EOMONTH($DF$3,0))-1)/2)+DG$11,0)=EOMONTH($CP$3,0),DG$9*DG$10,0),0),IF(AND(DC$9&lt;&gt;"",DC$11&lt;&gt;""),IF(EOMONTH($DB$3+INT((DAY(EOMONTH($DB$3,0))-1)/2)+DC$11,0)=EOMONTH($CP$3,0),DC$9*DC$10,0),0),IF(AND(CY$9&lt;&gt;"",CY$11&lt;&gt;""),IF(EOMONTH($CX$3+INT((DAY(EOMONTH($CX$3,0))-1)/2)+CY$11,0)=EOMONTH($CP$3,0),CY$9*CY$10,0),0),IF(AND(CU$9&lt;&gt;"",CU$11&lt;&gt;""),IF(EOMONTH($CT$3+INT((DAY(EOMONTH($CT$3,0))-1)/2)+CU$11,0)=EOMONTH($CP$3,0),CU$9*CU$10,0),0),IF(AND(CQ$9&lt;&gt;"",CQ$11&lt;&gt;""),IF(EOMONTH($CP$3+INT((DAY(EOMONTH($CP$3,0))-1)/2)+CQ$11,0)=EOMONTH($CP$3,0),CQ$9*CQ$10,0),0),IF(AND(CM$9&lt;&gt;"",CM$11&lt;&gt;""),IF(EOMONTH($CL$3+INT((DAY(EOMONTH($CL$3,0))-1)/2)+CM$11,0)=EOMONTH($CP$3,0),CM$9*CM$10,0),0),IF(AND(CI$9&lt;&gt;"",CI$11&lt;&gt;""),IF(EOMONTH($CH$3+INT((DAY(EOMONTH($CH$3,0))-1)/2)+CI$11,0)=EOMONTH($CP$3,0),CI$9*CI$10,0),0),IF(AND(CE$9&lt;&gt;"",CE$11&lt;&gt;""),IF(EOMONTH($CD$3+INT((DAY(EOMONTH($CD$3,0))-1)/2)+CE$11,0)=EOMONTH($CP$3,0),CE$9*CE$10,0),0),IF(AND(CA$9&lt;&gt;"",CA$11&lt;&gt;""),IF(EOMONTH($BZ$3+INT((DAY(EOMONTH($BZ$3,0))-1)/2)+CA$11,0)=EOMONTH($CP$3,0),CA$9*CA$10,0),0),IF(AND(BW$9&lt;&gt;"",BW$11&lt;&gt;""),IF(EOMONTH($BV$3+INT((DAY(EOMONTH($BV$3,0))-1)/2)+BW$11,0)=EOMONTH($CP$3,0),BW$9*BW$10,0),0),IF(AND(BS$9&lt;&gt;"",BS$11&lt;&gt;""),IF(EOMONTH($BR$3+INT((DAY(EOMONTH($BR$3,0))-1)/2)+BS$11,0)=EOMONTH($CP$3,0),BS$9*BS$10,0),0),IF(AND(BO$9&lt;&gt;"",BO$11&lt;&gt;""),IF(EOMONTH($BN$3+INT((DAY(EOMONTH($BN$3,0))-1)/2)+BO$11,0)=EOMONTH($CP$3,0),BO$9*BO$10,0),0),IF(AND(BK$9&lt;&gt;"",BK$11&lt;&gt;""),IF(EOMONTH($BJ$3+INT((DAY(EOMONTH($BJ$3,0))-1)/2)+BK$11,0)=EOMONTH($CP$3,0),BK$9*BK$10,0),0),IF(AND(BG$9&lt;&gt;"",BG$11&lt;&gt;""),IF(EOMONTH($BF$3+INT((DAY(EOMONTH($BF$3,0))-1)/2)+BG$11,0)=EOMONTH($CP$3,0),BG$9*BG$10,0),0),IF(AND(BC$9&lt;&gt;"",BC$11&lt;&gt;""),IF(EOMONTH($BB$3+INT((DAY(EOMONTH($BB$3,0))-1)/2)+BC$11,0)=EOMONTH($CP$3,0),BC$9*BC$10,0),0),IF(AND(AY$9&lt;&gt;"",AY$11&lt;&gt;""),IF(EOMONTH($AX$3+INT((DAY(EOMONTH($AX$3,0))-1)/2)+AY$11,0)=EOMONTH($CP$3,0),AY$9*AY$10,0),0),IF(AND(AU$9&lt;&gt;"",AU$11&lt;&gt;""),IF(EOMONTH($AT$3+INT((DAY(EOMONTH($AT$3,0))-1)/2)+AU$11,0)=EOMONTH($CP$3,0),AU$9*AU$10,0),0),IF(AND(AQ$9&lt;&gt;"",AQ$11&lt;&gt;""),IF(EOMONTH($AP$3+INT((DAY(EOMONTH($AP$3,0))-1)/2)+AQ$11,0)=EOMONTH($CP$3,0),AQ$9*AQ$10,0),0),IF(AND(AM$9&lt;&gt;"",AM$11&lt;&gt;""),IF(EOMONTH($AL$3+INT((DAY(EOMONTH($AL$3,0))-1)/2)+AM$11,0)=EOMONTH($CP$3,0),AM$9*AM$10,0),0),IF(AND(AI$9&lt;&gt;"",AI$11&lt;&gt;""),IF(EOMONTH($AH$3+INT((DAY(EOMONTH($AH$3,0))-1)/2)+AI$11,0)=EOMONTH($CP$3,0),AI$9*AI$10,0),0),IF(AND(AE$9&lt;&gt;"",AE$11&lt;&gt;""),IF(EOMONTH($AD$3+INT((DAY(EOMONTH($AD$3,0))-1)/2)+AE$11,0)=EOMONTH($CP$3,0),AE$9*AE$10,0),0),IF(AND(AA$9&lt;&gt;"",AA$11&lt;&gt;""),IF(EOMONTH($Z$3+INT((DAY(EOMONTH($Z$3,0))-1)/2)+AA$11,0)=EOMONTH($CP$3,0),AA$9*AA$10,0),0),IF(AND(W$9&lt;&gt;"",W$11&lt;&gt;""),IF(EOMONTH($V$3+INT((DAY(EOMONTH($V$3,0))-1)/2)+W$11,0)=EOMONTH($CP$3,0),W$9*W$10,0),0),IF(AND(S$9&lt;&gt;"",S$11&lt;&gt;""),IF(EOMONTH($R$3+INT((DAY(EOMONTH($R$3,0))-1)/2)+S$11,0)=EOMONTH($CP$3,0),S$9*S$10,0),0),IF(AND(O$9&lt;&gt;"",O$11&lt;&gt;""),IF(EOMONTH($N$3+INT((DAY(EOMONTH($N$3,0))-1)/2)+O$11,0)=EOMONTH($CP$3,0),O$9*O$10,0),0),IF(AND(K$9&lt;&gt;"",K$11&lt;&gt;""),IF(EOMONTH($J$3+INT((DAY(EOMONTH($J$3,0))-1)/2)+K$11,0)=EOMONTH($CP$3,0),K$9*K$10,0),0),IF(AND(G$9&lt;&gt;"",G$11&lt;&gt;""),IF(EOMONTH($F$3+INT((DAY(EOMONTH($F$3,0))-1)/2)+G$11,0)=EOMONTH($CP$3,0),G$9*G$10,0),0),IF($EP$75="",0,IF(EOMONTH($EP$75+EQ$11,0)=EOMONTH($CP$3,0),$EP$76*EQ$10,0))),0))</f>
        <v>13</v>
      </c>
      <c r="CR12" s="15">
        <f>ROUND(SUM(IF(AND(ER$9&lt;&gt;"",ER$11&lt;&gt;""),IF(EOMONTH($EP$3+INT((DAY(EOMONTH($EP$3,0))-1)/2)+ER$11,0)=EOMONTH($CP$3,0),ER$9*ER$10,0),0),IF(AND(EN$9&lt;&gt;"",EN$11&lt;&gt;""),IF(EOMONTH($EL$3+INT((DAY(EOMONTH($EL$3,0))-1)/2)+EN$11,0)=EOMONTH($CP$3,0),EN$9*EN$10,0),0),IF(AND(EJ$9&lt;&gt;"",EJ$11&lt;&gt;""),IF(EOMONTH($EH$3+INT((DAY(EOMONTH($EH$3,0))-1)/2)+EJ$11,0)=EOMONTH($CP$3,0),EJ$9*EJ$10,0),0),IF(AND(EF$9&lt;&gt;"",EF$11&lt;&gt;""),IF(EOMONTH($ED$3+INT((DAY(EOMONTH($ED$3,0))-1)/2)+EF$11,0)=EOMONTH($CP$3,0),EF$9*EF$10,0),0),IF(AND(EB$9&lt;&gt;"",EB$11&lt;&gt;""),IF(EOMONTH($DZ$3+INT((DAY(EOMONTH($DZ$3,0))-1)/2)+EB$11,0)=EOMONTH($CP$3,0),EB$9*EB$10,0),0),IF(AND(DX$9&lt;&gt;"",DX$11&lt;&gt;""),IF(EOMONTH($DV$3+INT((DAY(EOMONTH($DV$3,0))-1)/2)+DX$11,0)=EOMONTH($CP$3,0),DX$9*DX$10,0),0),IF(AND(DT$9&lt;&gt;"",DT$11&lt;&gt;""),IF(EOMONTH($DR$3+INT((DAY(EOMONTH($DR$3,0))-1)/2)+DT$11,0)=EOMONTH($CP$3,0),DT$9*DT$10,0),0),IF(AND(DP$9&lt;&gt;"",DP$11&lt;&gt;""),IF(EOMONTH($DN$3+INT((DAY(EOMONTH($DN$3,0))-1)/2)+DP$11,0)=EOMONTH($CP$3,0),DP$9*DP$10,0),0),IF(AND(DL$9&lt;&gt;"",DL$11&lt;&gt;""),IF(EOMONTH($DJ$3+INT((DAY(EOMONTH($DJ$3,0))-1)/2)+DL$11,0)=EOMONTH($CP$3,0),DL$9*DL$10,0),0),IF(AND(DH$9&lt;&gt;"",DH$11&lt;&gt;""),IF(EOMONTH($DF$3+INT((DAY(EOMONTH($DF$3,0))-1)/2)+DH$11,0)=EOMONTH($CP$3,0),DH$9*DH$10,0),0),IF(AND(DD$9&lt;&gt;"",DD$11&lt;&gt;""),IF(EOMONTH($DB$3+INT((DAY(EOMONTH($DB$3,0))-1)/2)+DD$11,0)=EOMONTH($CP$3,0),DD$9*DD$10,0),0),IF(AND(CZ$9&lt;&gt;"",CZ$11&lt;&gt;""),IF(EOMONTH($CX$3+INT((DAY(EOMONTH($CX$3,0))-1)/2)+CZ$11,0)=EOMONTH($CP$3,0),CZ$9*CZ$10,0),0),IF(AND(CV$9&lt;&gt;"",CV$11&lt;&gt;""),IF(EOMONTH($CT$3+INT((DAY(EOMONTH($CT$3,0))-1)/2)+CV$11,0)=EOMONTH($CP$3,0),CV$9*CV$10,0),0),IF(AND(CR$9&lt;&gt;"",CR$11&lt;&gt;""),IF(EOMONTH($CP$3+INT((DAY(EOMONTH($CP$3,0))-1)/2)+CR$11,0)=EOMONTH($CP$3,0),CR$9*CR$10,0),0),IF(AND(CN$9&lt;&gt;"",CN$11&lt;&gt;""),IF(EOMONTH($CL$3+INT((DAY(EOMONTH($CL$3,0))-1)/2)+CN$11,0)=EOMONTH($CP$3,0),CN$9*CN$10,0),0),IF(AND(CJ$9&lt;&gt;"",CJ$11&lt;&gt;""),IF(EOMONTH($CH$3+INT((DAY(EOMONTH($CH$3,0))-1)/2)+CJ$11,0)=EOMONTH($CP$3,0),CJ$9*CJ$10,0),0),IF(AND(CF$9&lt;&gt;"",CF$11&lt;&gt;""),IF(EOMONTH($CD$3+INT((DAY(EOMONTH($CD$3,0))-1)/2)+CF$11,0)=EOMONTH($CP$3,0),CF$9*CF$10,0),0),IF(AND(CB$9&lt;&gt;"",CB$11&lt;&gt;""),IF(EOMONTH($BZ$3+INT((DAY(EOMONTH($BZ$3,0))-1)/2)+CB$11,0)=EOMONTH($CP$3,0),CB$9*CB$10,0),0),IF(AND(BX$9&lt;&gt;"",BX$11&lt;&gt;""),IF(EOMONTH($BV$3+INT((DAY(EOMONTH($BV$3,0))-1)/2)+BX$11,0)=EOMONTH($CP$3,0),BX$9*BX$10,0),0),IF(AND(BT$9&lt;&gt;"",BT$11&lt;&gt;""),IF(EOMONTH($BR$3+INT((DAY(EOMONTH($BR$3,0))-1)/2)+BT$11,0)=EOMONTH($CP$3,0),BT$9*BT$10,0),0),IF(AND(BP$9&lt;&gt;"",BP$11&lt;&gt;""),IF(EOMONTH($BN$3+INT((DAY(EOMONTH($BN$3,0))-1)/2)+BP$11,0)=EOMONTH($CP$3,0),BP$9*BP$10,0),0),IF(AND(BL$9&lt;&gt;"",BL$11&lt;&gt;""),IF(EOMONTH($BJ$3+INT((DAY(EOMONTH($BJ$3,0))-1)/2)+BL$11,0)=EOMONTH($CP$3,0),BL$9*BL$10,0),0),IF(AND(BH$9&lt;&gt;"",BH$11&lt;&gt;""),IF(EOMONTH($BF$3+INT((DAY(EOMONTH($BF$3,0))-1)/2)+BH$11,0)=EOMONTH($CP$3,0),BH$9*BH$10,0),0),IF(AND(BD$9&lt;&gt;"",BD$11&lt;&gt;""),IF(EOMONTH($BB$3+INT((DAY(EOMONTH($BB$3,0))-1)/2)+BD$11,0)=EOMONTH($CP$3,0),BD$9*BD$10,0),0),IF(AND(AZ$9&lt;&gt;"",AZ$11&lt;&gt;""),IF(EOMONTH($AX$3+INT((DAY(EOMONTH($AX$3,0))-1)/2)+AZ$11,0)=EOMONTH($CP$3,0),AZ$9*AZ$10,0),0),IF(AND(AV$9&lt;&gt;"",AV$11&lt;&gt;""),IF(EOMONTH($AT$3+INT((DAY(EOMONTH($AT$3,0))-1)/2)+AV$11,0)=EOMONTH($CP$3,0),AV$9*AV$10,0),0),IF(AND(AR$9&lt;&gt;"",AR$11&lt;&gt;""),IF(EOMONTH($AP$3+INT((DAY(EOMONTH($AP$3,0))-1)/2)+AR$11,0)=EOMONTH($CP$3,0),AR$9*AR$10,0),0),IF(AND(AN$9&lt;&gt;"",AN$11&lt;&gt;""),IF(EOMONTH($AL$3+INT((DAY(EOMONTH($AL$3,0))-1)/2)+AN$11,0)=EOMONTH($CP$3,0),AN$9*AN$10,0),0),IF(AND(AJ$9&lt;&gt;"",AJ$11&lt;&gt;""),IF(EOMONTH($AH$3+INT((DAY(EOMONTH($AH$3,0))-1)/2)+AJ$11,0)=EOMONTH($CP$3,0),AJ$9*AJ$10,0),0),IF(AND(AF$9&lt;&gt;"",AF$11&lt;&gt;""),IF(EOMONTH($AD$3+INT((DAY(EOMONTH($AD$3,0))-1)/2)+AF$11,0)=EOMONTH($CP$3,0),AF$9*AF$10,0),0),IF(AND(AB$9&lt;&gt;"",AB$11&lt;&gt;""),IF(EOMONTH($Z$3+INT((DAY(EOMONTH($Z$3,0))-1)/2)+AB$11,0)=EOMONTH($CP$3,0),AB$9*AB$10,0),0),IF(AND(X$9&lt;&gt;"",X$11&lt;&gt;""),IF(EOMONTH($V$3+INT((DAY(EOMONTH($V$3,0))-1)/2)+X$11,0)=EOMONTH($CP$3,0),X$9*X$10,0),0),IF(AND(T$9&lt;&gt;"",T$11&lt;&gt;""),IF(EOMONTH($R$3+INT((DAY(EOMONTH($R$3,0))-1)/2)+T$11,0)=EOMONTH($CP$3,0),T$9*T$10,0),0),IF(AND(P$9&lt;&gt;"",P$11&lt;&gt;""),IF(EOMONTH($N$3+INT((DAY(EOMONTH($N$3,0))-1)/2)+P$11,0)=EOMONTH($CP$3,0),P$9*P$10,0),0),IF(AND(L$9&lt;&gt;"",L$11&lt;&gt;""),IF(EOMONTH($J$3+INT((DAY(EOMONTH($J$3,0))-1)/2)+L$11,0)=EOMONTH($CP$3,0),L$9*L$10,0),0),IF(AND(H$9&lt;&gt;"",H$11&lt;&gt;""),IF(EOMONTH($F$3+INT((DAY(EOMONTH($F$3,0))-1)/2)+H$11,0)=EOMONTH($CP$3,0),H$9*H$10,0),0),IF($EP$75="",0,IF(EOMONTH($EP$75+ER$11,0)=EOMONTH($CP$3,0),$EP$76*ER$10,0))),0)</f>
        <v>13</v>
      </c>
      <c r="CS12" s="16">
        <f t="shared" si="49"/>
        <v>0</v>
      </c>
      <c r="CT12" s="17"/>
      <c r="CU12" s="14">
        <f>IF(CT$98=1,CT12,ROUND(SUM(IF(AND(EQ$9&lt;&gt;"",EQ$11&lt;&gt;""),IF(EOMONTH($EP$3+INT((DAY(EOMONTH($EP$3,0))-1)/2)+EQ$11,0)=EOMONTH($CT$3,0),EQ$9*EQ$10,0),0),IF(AND(EM$9&lt;&gt;"",EM$11&lt;&gt;""),IF(EOMONTH($EL$3+INT((DAY(EOMONTH($EL$3,0))-1)/2)+EM$11,0)=EOMONTH($CT$3,0),EM$9*EM$10,0),0),IF(AND(EI$9&lt;&gt;"",EI$11&lt;&gt;""),IF(EOMONTH($EH$3+INT((DAY(EOMONTH($EH$3,0))-1)/2)+EI$11,0)=EOMONTH($CT$3,0),EI$9*EI$10,0),0),IF(AND(EE$9&lt;&gt;"",EE$11&lt;&gt;""),IF(EOMONTH($ED$3+INT((DAY(EOMONTH($ED$3,0))-1)/2)+EE$11,0)=EOMONTH($CT$3,0),EE$9*EE$10,0),0),IF(AND(EA$9&lt;&gt;"",EA$11&lt;&gt;""),IF(EOMONTH($DZ$3+INT((DAY(EOMONTH($DZ$3,0))-1)/2)+EA$11,0)=EOMONTH($CT$3,0),EA$9*EA$10,0),0),IF(AND(DW$9&lt;&gt;"",DW$11&lt;&gt;""),IF(EOMONTH($DV$3+INT((DAY(EOMONTH($DV$3,0))-1)/2)+DW$11,0)=EOMONTH($CT$3,0),DW$9*DW$10,0),0),IF(AND(DS$9&lt;&gt;"",DS$11&lt;&gt;""),IF(EOMONTH($DR$3+INT((DAY(EOMONTH($DR$3,0))-1)/2)+DS$11,0)=EOMONTH($CT$3,0),DS$9*DS$10,0),0),IF(AND(DO$9&lt;&gt;"",DO$11&lt;&gt;""),IF(EOMONTH($DN$3+INT((DAY(EOMONTH($DN$3,0))-1)/2)+DO$11,0)=EOMONTH($CT$3,0),DO$9*DO$10,0),0),IF(AND(DK$9&lt;&gt;"",DK$11&lt;&gt;""),IF(EOMONTH($DJ$3+INT((DAY(EOMONTH($DJ$3,0))-1)/2)+DK$11,0)=EOMONTH($CT$3,0),DK$9*DK$10,0),0),IF(AND(DG$9&lt;&gt;"",DG$11&lt;&gt;""),IF(EOMONTH($DF$3+INT((DAY(EOMONTH($DF$3,0))-1)/2)+DG$11,0)=EOMONTH($CT$3,0),DG$9*DG$10,0),0),IF(AND(DC$9&lt;&gt;"",DC$11&lt;&gt;""),IF(EOMONTH($DB$3+INT((DAY(EOMONTH($DB$3,0))-1)/2)+DC$11,0)=EOMONTH($CT$3,0),DC$9*DC$10,0),0),IF(AND(CY$9&lt;&gt;"",CY$11&lt;&gt;""),IF(EOMONTH($CX$3+INT((DAY(EOMONTH($CX$3,0))-1)/2)+CY$11,0)=EOMONTH($CT$3,0),CY$9*CY$10,0),0),IF(AND(CU$9&lt;&gt;"",CU$11&lt;&gt;""),IF(EOMONTH($CT$3+INT((DAY(EOMONTH($CT$3,0))-1)/2)+CU$11,0)=EOMONTH($CT$3,0),CU$9*CU$10,0),0),IF(AND(CQ$9&lt;&gt;"",CQ$11&lt;&gt;""),IF(EOMONTH($CP$3+INT((DAY(EOMONTH($CP$3,0))-1)/2)+CQ$11,0)=EOMONTH($CT$3,0),CQ$9*CQ$10,0),0),IF(AND(CM$9&lt;&gt;"",CM$11&lt;&gt;""),IF(EOMONTH($CL$3+INT((DAY(EOMONTH($CL$3,0))-1)/2)+CM$11,0)=EOMONTH($CT$3,0),CM$9*CM$10,0),0),IF(AND(CI$9&lt;&gt;"",CI$11&lt;&gt;""),IF(EOMONTH($CH$3+INT((DAY(EOMONTH($CH$3,0))-1)/2)+CI$11,0)=EOMONTH($CT$3,0),CI$9*CI$10,0),0),IF(AND(CE$9&lt;&gt;"",CE$11&lt;&gt;""),IF(EOMONTH($CD$3+INT((DAY(EOMONTH($CD$3,0))-1)/2)+CE$11,0)=EOMONTH($CT$3,0),CE$9*CE$10,0),0),IF(AND(CA$9&lt;&gt;"",CA$11&lt;&gt;""),IF(EOMONTH($BZ$3+INT((DAY(EOMONTH($BZ$3,0))-1)/2)+CA$11,0)=EOMONTH($CT$3,0),CA$9*CA$10,0),0),IF(AND(BW$9&lt;&gt;"",BW$11&lt;&gt;""),IF(EOMONTH($BV$3+INT((DAY(EOMONTH($BV$3,0))-1)/2)+BW$11,0)=EOMONTH($CT$3,0),BW$9*BW$10,0),0),IF(AND(BS$9&lt;&gt;"",BS$11&lt;&gt;""),IF(EOMONTH($BR$3+INT((DAY(EOMONTH($BR$3,0))-1)/2)+BS$11,0)=EOMONTH($CT$3,0),BS$9*BS$10,0),0),IF(AND(BO$9&lt;&gt;"",BO$11&lt;&gt;""),IF(EOMONTH($BN$3+INT((DAY(EOMONTH($BN$3,0))-1)/2)+BO$11,0)=EOMONTH($CT$3,0),BO$9*BO$10,0),0),IF(AND(BK$9&lt;&gt;"",BK$11&lt;&gt;""),IF(EOMONTH($BJ$3+INT((DAY(EOMONTH($BJ$3,0))-1)/2)+BK$11,0)=EOMONTH($CT$3,0),BK$9*BK$10,0),0),IF(AND(BG$9&lt;&gt;"",BG$11&lt;&gt;""),IF(EOMONTH($BF$3+INT((DAY(EOMONTH($BF$3,0))-1)/2)+BG$11,0)=EOMONTH($CT$3,0),BG$9*BG$10,0),0),IF(AND(BC$9&lt;&gt;"",BC$11&lt;&gt;""),IF(EOMONTH($BB$3+INT((DAY(EOMONTH($BB$3,0))-1)/2)+BC$11,0)=EOMONTH($CT$3,0),BC$9*BC$10,0),0),IF(AND(AY$9&lt;&gt;"",AY$11&lt;&gt;""),IF(EOMONTH($AX$3+INT((DAY(EOMONTH($AX$3,0))-1)/2)+AY$11,0)=EOMONTH($CT$3,0),AY$9*AY$10,0),0),IF(AND(AU$9&lt;&gt;"",AU$11&lt;&gt;""),IF(EOMONTH($AT$3+INT((DAY(EOMONTH($AT$3,0))-1)/2)+AU$11,0)=EOMONTH($CT$3,0),AU$9*AU$10,0),0),IF(AND(AQ$9&lt;&gt;"",AQ$11&lt;&gt;""),IF(EOMONTH($AP$3+INT((DAY(EOMONTH($AP$3,0))-1)/2)+AQ$11,0)=EOMONTH($CT$3,0),AQ$9*AQ$10,0),0),IF(AND(AM$9&lt;&gt;"",AM$11&lt;&gt;""),IF(EOMONTH($AL$3+INT((DAY(EOMONTH($AL$3,0))-1)/2)+AM$11,0)=EOMONTH($CT$3,0),AM$9*AM$10,0),0),IF(AND(AI$9&lt;&gt;"",AI$11&lt;&gt;""),IF(EOMONTH($AH$3+INT((DAY(EOMONTH($AH$3,0))-1)/2)+AI$11,0)=EOMONTH($CT$3,0),AI$9*AI$10,0),0),IF(AND(AE$9&lt;&gt;"",AE$11&lt;&gt;""),IF(EOMONTH($AD$3+INT((DAY(EOMONTH($AD$3,0))-1)/2)+AE$11,0)=EOMONTH($CT$3,0),AE$9*AE$10,0),0),IF(AND(AA$9&lt;&gt;"",AA$11&lt;&gt;""),IF(EOMONTH($Z$3+INT((DAY(EOMONTH($Z$3,0))-1)/2)+AA$11,0)=EOMONTH($CT$3,0),AA$9*AA$10,0),0),IF(AND(W$9&lt;&gt;"",W$11&lt;&gt;""),IF(EOMONTH($V$3+INT((DAY(EOMONTH($V$3,0))-1)/2)+W$11,0)=EOMONTH($CT$3,0),W$9*W$10,0),0),IF(AND(S$9&lt;&gt;"",S$11&lt;&gt;""),IF(EOMONTH($R$3+INT((DAY(EOMONTH($R$3,0))-1)/2)+S$11,0)=EOMONTH($CT$3,0),S$9*S$10,0),0),IF(AND(O$9&lt;&gt;"",O$11&lt;&gt;""),IF(EOMONTH($N$3+INT((DAY(EOMONTH($N$3,0))-1)/2)+O$11,0)=EOMONTH($CT$3,0),O$9*O$10,0),0),IF(AND(K$9&lt;&gt;"",K$11&lt;&gt;""),IF(EOMONTH($J$3+INT((DAY(EOMONTH($J$3,0))-1)/2)+K$11,0)=EOMONTH($CT$3,0),K$9*K$10,0),0),IF(AND(G$9&lt;&gt;"",G$11&lt;&gt;""),IF(EOMONTH($F$3+INT((DAY(EOMONTH($F$3,0))-1)/2)+G$11,0)=EOMONTH($CT$3,0),G$9*G$10,0),0),IF($EP$75="",0,IF(EOMONTH($EP$75+EQ$11,0)=EOMONTH($CT$3,0),$EP$76*EQ$10,0))),0))</f>
        <v>13</v>
      </c>
      <c r="CV12" s="15">
        <f>ROUND(SUM(IF(AND(ER$9&lt;&gt;"",ER$11&lt;&gt;""),IF(EOMONTH($EP$3+INT((DAY(EOMONTH($EP$3,0))-1)/2)+ER$11,0)=EOMONTH($CT$3,0),ER$9*ER$10,0),0),IF(AND(EN$9&lt;&gt;"",EN$11&lt;&gt;""),IF(EOMONTH($EL$3+INT((DAY(EOMONTH($EL$3,0))-1)/2)+EN$11,0)=EOMONTH($CT$3,0),EN$9*EN$10,0),0),IF(AND(EJ$9&lt;&gt;"",EJ$11&lt;&gt;""),IF(EOMONTH($EH$3+INT((DAY(EOMONTH($EH$3,0))-1)/2)+EJ$11,0)=EOMONTH($CT$3,0),EJ$9*EJ$10,0),0),IF(AND(EF$9&lt;&gt;"",EF$11&lt;&gt;""),IF(EOMONTH($ED$3+INT((DAY(EOMONTH($ED$3,0))-1)/2)+EF$11,0)=EOMONTH($CT$3,0),EF$9*EF$10,0),0),IF(AND(EB$9&lt;&gt;"",EB$11&lt;&gt;""),IF(EOMONTH($DZ$3+INT((DAY(EOMONTH($DZ$3,0))-1)/2)+EB$11,0)=EOMONTH($CT$3,0),EB$9*EB$10,0),0),IF(AND(DX$9&lt;&gt;"",DX$11&lt;&gt;""),IF(EOMONTH($DV$3+INT((DAY(EOMONTH($DV$3,0))-1)/2)+DX$11,0)=EOMONTH($CT$3,0),DX$9*DX$10,0),0),IF(AND(DT$9&lt;&gt;"",DT$11&lt;&gt;""),IF(EOMONTH($DR$3+INT((DAY(EOMONTH($DR$3,0))-1)/2)+DT$11,0)=EOMONTH($CT$3,0),DT$9*DT$10,0),0),IF(AND(DP$9&lt;&gt;"",DP$11&lt;&gt;""),IF(EOMONTH($DN$3+INT((DAY(EOMONTH($DN$3,0))-1)/2)+DP$11,0)=EOMONTH($CT$3,0),DP$9*DP$10,0),0),IF(AND(DL$9&lt;&gt;"",DL$11&lt;&gt;""),IF(EOMONTH($DJ$3+INT((DAY(EOMONTH($DJ$3,0))-1)/2)+DL$11,0)=EOMONTH($CT$3,0),DL$9*DL$10,0),0),IF(AND(DH$9&lt;&gt;"",DH$11&lt;&gt;""),IF(EOMONTH($DF$3+INT((DAY(EOMONTH($DF$3,0))-1)/2)+DH$11,0)=EOMONTH($CT$3,0),DH$9*DH$10,0),0),IF(AND(DD$9&lt;&gt;"",DD$11&lt;&gt;""),IF(EOMONTH($DB$3+INT((DAY(EOMONTH($DB$3,0))-1)/2)+DD$11,0)=EOMONTH($CT$3,0),DD$9*DD$10,0),0),IF(AND(CZ$9&lt;&gt;"",CZ$11&lt;&gt;""),IF(EOMONTH($CX$3+INT((DAY(EOMONTH($CX$3,0))-1)/2)+CZ$11,0)=EOMONTH($CT$3,0),CZ$9*CZ$10,0),0),IF(AND(CV$9&lt;&gt;"",CV$11&lt;&gt;""),IF(EOMONTH($CT$3+INT((DAY(EOMONTH($CT$3,0))-1)/2)+CV$11,0)=EOMONTH($CT$3,0),CV$9*CV$10,0),0),IF(AND(CR$9&lt;&gt;"",CR$11&lt;&gt;""),IF(EOMONTH($CP$3+INT((DAY(EOMONTH($CP$3,0))-1)/2)+CR$11,0)=EOMONTH($CT$3,0),CR$9*CR$10,0),0),IF(AND(CN$9&lt;&gt;"",CN$11&lt;&gt;""),IF(EOMONTH($CL$3+INT((DAY(EOMONTH($CL$3,0))-1)/2)+CN$11,0)=EOMONTH($CT$3,0),CN$9*CN$10,0),0),IF(AND(CJ$9&lt;&gt;"",CJ$11&lt;&gt;""),IF(EOMONTH($CH$3+INT((DAY(EOMONTH($CH$3,0))-1)/2)+CJ$11,0)=EOMONTH($CT$3,0),CJ$9*CJ$10,0),0),IF(AND(CF$9&lt;&gt;"",CF$11&lt;&gt;""),IF(EOMONTH($CD$3+INT((DAY(EOMONTH($CD$3,0))-1)/2)+CF$11,0)=EOMONTH($CT$3,0),CF$9*CF$10,0),0),IF(AND(CB$9&lt;&gt;"",CB$11&lt;&gt;""),IF(EOMONTH($BZ$3+INT((DAY(EOMONTH($BZ$3,0))-1)/2)+CB$11,0)=EOMONTH($CT$3,0),CB$9*CB$10,0),0),IF(AND(BX$9&lt;&gt;"",BX$11&lt;&gt;""),IF(EOMONTH($BV$3+INT((DAY(EOMONTH($BV$3,0))-1)/2)+BX$11,0)=EOMONTH($CT$3,0),BX$9*BX$10,0),0),IF(AND(BT$9&lt;&gt;"",BT$11&lt;&gt;""),IF(EOMONTH($BR$3+INT((DAY(EOMONTH($BR$3,0))-1)/2)+BT$11,0)=EOMONTH($CT$3,0),BT$9*BT$10,0),0),IF(AND(BP$9&lt;&gt;"",BP$11&lt;&gt;""),IF(EOMONTH($BN$3+INT((DAY(EOMONTH($BN$3,0))-1)/2)+BP$11,0)=EOMONTH($CT$3,0),BP$9*BP$10,0),0),IF(AND(BL$9&lt;&gt;"",BL$11&lt;&gt;""),IF(EOMONTH($BJ$3+INT((DAY(EOMONTH($BJ$3,0))-1)/2)+BL$11,0)=EOMONTH($CT$3,0),BL$9*BL$10,0),0),IF(AND(BH$9&lt;&gt;"",BH$11&lt;&gt;""),IF(EOMONTH($BF$3+INT((DAY(EOMONTH($BF$3,0))-1)/2)+BH$11,0)=EOMONTH($CT$3,0),BH$9*BH$10,0),0),IF(AND(BD$9&lt;&gt;"",BD$11&lt;&gt;""),IF(EOMONTH($BB$3+INT((DAY(EOMONTH($BB$3,0))-1)/2)+BD$11,0)=EOMONTH($CT$3,0),BD$9*BD$10,0),0),IF(AND(AZ$9&lt;&gt;"",AZ$11&lt;&gt;""),IF(EOMONTH($AX$3+INT((DAY(EOMONTH($AX$3,0))-1)/2)+AZ$11,0)=EOMONTH($CT$3,0),AZ$9*AZ$10,0),0),IF(AND(AV$9&lt;&gt;"",AV$11&lt;&gt;""),IF(EOMONTH($AT$3+INT((DAY(EOMONTH($AT$3,0))-1)/2)+AV$11,0)=EOMONTH($CT$3,0),AV$9*AV$10,0),0),IF(AND(AR$9&lt;&gt;"",AR$11&lt;&gt;""),IF(EOMONTH($AP$3+INT((DAY(EOMONTH($AP$3,0))-1)/2)+AR$11,0)=EOMONTH($CT$3,0),AR$9*AR$10,0),0),IF(AND(AN$9&lt;&gt;"",AN$11&lt;&gt;""),IF(EOMONTH($AL$3+INT((DAY(EOMONTH($AL$3,0))-1)/2)+AN$11,0)=EOMONTH($CT$3,0),AN$9*AN$10,0),0),IF(AND(AJ$9&lt;&gt;"",AJ$11&lt;&gt;""),IF(EOMONTH($AH$3+INT((DAY(EOMONTH($AH$3,0))-1)/2)+AJ$11,0)=EOMONTH($CT$3,0),AJ$9*AJ$10,0),0),IF(AND(AF$9&lt;&gt;"",AF$11&lt;&gt;""),IF(EOMONTH($AD$3+INT((DAY(EOMONTH($AD$3,0))-1)/2)+AF$11,0)=EOMONTH($CT$3,0),AF$9*AF$10,0),0),IF(AND(AB$9&lt;&gt;"",AB$11&lt;&gt;""),IF(EOMONTH($Z$3+INT((DAY(EOMONTH($Z$3,0))-1)/2)+AB$11,0)=EOMONTH($CT$3,0),AB$9*AB$10,0),0),IF(AND(X$9&lt;&gt;"",X$11&lt;&gt;""),IF(EOMONTH($V$3+INT((DAY(EOMONTH($V$3,0))-1)/2)+X$11,0)=EOMONTH($CT$3,0),X$9*X$10,0),0),IF(AND(T$9&lt;&gt;"",T$11&lt;&gt;""),IF(EOMONTH($R$3+INT((DAY(EOMONTH($R$3,0))-1)/2)+T$11,0)=EOMONTH($CT$3,0),T$9*T$10,0),0),IF(AND(P$9&lt;&gt;"",P$11&lt;&gt;""),IF(EOMONTH($N$3+INT((DAY(EOMONTH($N$3,0))-1)/2)+P$11,0)=EOMONTH($CT$3,0),P$9*P$10,0),0),IF(AND(L$9&lt;&gt;"",L$11&lt;&gt;""),IF(EOMONTH($J$3+INT((DAY(EOMONTH($J$3,0))-1)/2)+L$11,0)=EOMONTH($CT$3,0),L$9*L$10,0),0),IF(AND(H$9&lt;&gt;"",H$11&lt;&gt;""),IF(EOMONTH($F$3+INT((DAY(EOMONTH($F$3,0))-1)/2)+H$11,0)=EOMONTH($CT$3,0),H$9*H$10,0),0),IF($EP$75="",0,IF(EOMONTH($EP$75+ER$11,0)=EOMONTH($CT$3,0),$EP$76*ER$10,0))),0)</f>
        <v>13</v>
      </c>
      <c r="CW12" s="16">
        <f t="shared" si="51"/>
        <v>0</v>
      </c>
      <c r="CX12" s="17"/>
      <c r="CY12" s="14">
        <f>IF(CX$98=1,CX12,ROUND(SUM(IF(AND(EQ$9&lt;&gt;"",EQ$11&lt;&gt;""),IF(EOMONTH($EP$3+INT((DAY(EOMONTH($EP$3,0))-1)/2)+EQ$11,0)=EOMONTH($CX$3,0),EQ$9*EQ$10,0),0),IF(AND(EM$9&lt;&gt;"",EM$11&lt;&gt;""),IF(EOMONTH($EL$3+INT((DAY(EOMONTH($EL$3,0))-1)/2)+EM$11,0)=EOMONTH($CX$3,0),EM$9*EM$10,0),0),IF(AND(EI$9&lt;&gt;"",EI$11&lt;&gt;""),IF(EOMONTH($EH$3+INT((DAY(EOMONTH($EH$3,0))-1)/2)+EI$11,0)=EOMONTH($CX$3,0),EI$9*EI$10,0),0),IF(AND(EE$9&lt;&gt;"",EE$11&lt;&gt;""),IF(EOMONTH($ED$3+INT((DAY(EOMONTH($ED$3,0))-1)/2)+EE$11,0)=EOMONTH($CX$3,0),EE$9*EE$10,0),0),IF(AND(EA$9&lt;&gt;"",EA$11&lt;&gt;""),IF(EOMONTH($DZ$3+INT((DAY(EOMONTH($DZ$3,0))-1)/2)+EA$11,0)=EOMONTH($CX$3,0),EA$9*EA$10,0),0),IF(AND(DW$9&lt;&gt;"",DW$11&lt;&gt;""),IF(EOMONTH($DV$3+INT((DAY(EOMONTH($DV$3,0))-1)/2)+DW$11,0)=EOMONTH($CX$3,0),DW$9*DW$10,0),0),IF(AND(DS$9&lt;&gt;"",DS$11&lt;&gt;""),IF(EOMONTH($DR$3+INT((DAY(EOMONTH($DR$3,0))-1)/2)+DS$11,0)=EOMONTH($CX$3,0),DS$9*DS$10,0),0),IF(AND(DO$9&lt;&gt;"",DO$11&lt;&gt;""),IF(EOMONTH($DN$3+INT((DAY(EOMONTH($DN$3,0))-1)/2)+DO$11,0)=EOMONTH($CX$3,0),DO$9*DO$10,0),0),IF(AND(DK$9&lt;&gt;"",DK$11&lt;&gt;""),IF(EOMONTH($DJ$3+INT((DAY(EOMONTH($DJ$3,0))-1)/2)+DK$11,0)=EOMONTH($CX$3,0),DK$9*DK$10,0),0),IF(AND(DG$9&lt;&gt;"",DG$11&lt;&gt;""),IF(EOMONTH($DF$3+INT((DAY(EOMONTH($DF$3,0))-1)/2)+DG$11,0)=EOMONTH($CX$3,0),DG$9*DG$10,0),0),IF(AND(DC$9&lt;&gt;"",DC$11&lt;&gt;""),IF(EOMONTH($DB$3+INT((DAY(EOMONTH($DB$3,0))-1)/2)+DC$11,0)=EOMONTH($CX$3,0),DC$9*DC$10,0),0),IF(AND(CY$9&lt;&gt;"",CY$11&lt;&gt;""),IF(EOMONTH($CX$3+INT((DAY(EOMONTH($CX$3,0))-1)/2)+CY$11,0)=EOMONTH($CX$3,0),CY$9*CY$10,0),0),IF(AND(CU$9&lt;&gt;"",CU$11&lt;&gt;""),IF(EOMONTH($CT$3+INT((DAY(EOMONTH($CT$3,0))-1)/2)+CU$11,0)=EOMONTH($CX$3,0),CU$9*CU$10,0),0),IF(AND(CQ$9&lt;&gt;"",CQ$11&lt;&gt;""),IF(EOMONTH($CP$3+INT((DAY(EOMONTH($CP$3,0))-1)/2)+CQ$11,0)=EOMONTH($CX$3,0),CQ$9*CQ$10,0),0),IF(AND(CM$9&lt;&gt;"",CM$11&lt;&gt;""),IF(EOMONTH($CL$3+INT((DAY(EOMONTH($CL$3,0))-1)/2)+CM$11,0)=EOMONTH($CX$3,0),CM$9*CM$10,0),0),IF(AND(CI$9&lt;&gt;"",CI$11&lt;&gt;""),IF(EOMONTH($CH$3+INT((DAY(EOMONTH($CH$3,0))-1)/2)+CI$11,0)=EOMONTH($CX$3,0),CI$9*CI$10,0),0),IF(AND(CE$9&lt;&gt;"",CE$11&lt;&gt;""),IF(EOMONTH($CD$3+INT((DAY(EOMONTH($CD$3,0))-1)/2)+CE$11,0)=EOMONTH($CX$3,0),CE$9*CE$10,0),0),IF(AND(CA$9&lt;&gt;"",CA$11&lt;&gt;""),IF(EOMONTH($BZ$3+INT((DAY(EOMONTH($BZ$3,0))-1)/2)+CA$11,0)=EOMONTH($CX$3,0),CA$9*CA$10,0),0),IF(AND(BW$9&lt;&gt;"",BW$11&lt;&gt;""),IF(EOMONTH($BV$3+INT((DAY(EOMONTH($BV$3,0))-1)/2)+BW$11,0)=EOMONTH($CX$3,0),BW$9*BW$10,0),0),IF(AND(BS$9&lt;&gt;"",BS$11&lt;&gt;""),IF(EOMONTH($BR$3+INT((DAY(EOMONTH($BR$3,0))-1)/2)+BS$11,0)=EOMONTH($CX$3,0),BS$9*BS$10,0),0),IF(AND(BO$9&lt;&gt;"",BO$11&lt;&gt;""),IF(EOMONTH($BN$3+INT((DAY(EOMONTH($BN$3,0))-1)/2)+BO$11,0)=EOMONTH($CX$3,0),BO$9*BO$10,0),0),IF(AND(BK$9&lt;&gt;"",BK$11&lt;&gt;""),IF(EOMONTH($BJ$3+INT((DAY(EOMONTH($BJ$3,0))-1)/2)+BK$11,0)=EOMONTH($CX$3,0),BK$9*BK$10,0),0),IF(AND(BG$9&lt;&gt;"",BG$11&lt;&gt;""),IF(EOMONTH($BF$3+INT((DAY(EOMONTH($BF$3,0))-1)/2)+BG$11,0)=EOMONTH($CX$3,0),BG$9*BG$10,0),0),IF(AND(BC$9&lt;&gt;"",BC$11&lt;&gt;""),IF(EOMONTH($BB$3+INT((DAY(EOMONTH($BB$3,0))-1)/2)+BC$11,0)=EOMONTH($CX$3,0),BC$9*BC$10,0),0),IF(AND(AY$9&lt;&gt;"",AY$11&lt;&gt;""),IF(EOMONTH($AX$3+INT((DAY(EOMONTH($AX$3,0))-1)/2)+AY$11,0)=EOMONTH($CX$3,0),AY$9*AY$10,0),0),IF(AND(AU$9&lt;&gt;"",AU$11&lt;&gt;""),IF(EOMONTH($AT$3+INT((DAY(EOMONTH($AT$3,0))-1)/2)+AU$11,0)=EOMONTH($CX$3,0),AU$9*AU$10,0),0),IF(AND(AQ$9&lt;&gt;"",AQ$11&lt;&gt;""),IF(EOMONTH($AP$3+INT((DAY(EOMONTH($AP$3,0))-1)/2)+AQ$11,0)=EOMONTH($CX$3,0),AQ$9*AQ$10,0),0),IF(AND(AM$9&lt;&gt;"",AM$11&lt;&gt;""),IF(EOMONTH($AL$3+INT((DAY(EOMONTH($AL$3,0))-1)/2)+AM$11,0)=EOMONTH($CX$3,0),AM$9*AM$10,0),0),IF(AND(AI$9&lt;&gt;"",AI$11&lt;&gt;""),IF(EOMONTH($AH$3+INT((DAY(EOMONTH($AH$3,0))-1)/2)+AI$11,0)=EOMONTH($CX$3,0),AI$9*AI$10,0),0),IF(AND(AE$9&lt;&gt;"",AE$11&lt;&gt;""),IF(EOMONTH($AD$3+INT((DAY(EOMONTH($AD$3,0))-1)/2)+AE$11,0)=EOMONTH($CX$3,0),AE$9*AE$10,0),0),IF(AND(AA$9&lt;&gt;"",AA$11&lt;&gt;""),IF(EOMONTH($Z$3+INT((DAY(EOMONTH($Z$3,0))-1)/2)+AA$11,0)=EOMONTH($CX$3,0),AA$9*AA$10,0),0),IF(AND(W$9&lt;&gt;"",W$11&lt;&gt;""),IF(EOMONTH($V$3+INT((DAY(EOMONTH($V$3,0))-1)/2)+W$11,0)=EOMONTH($CX$3,0),W$9*W$10,0),0),IF(AND(S$9&lt;&gt;"",S$11&lt;&gt;""),IF(EOMONTH($R$3+INT((DAY(EOMONTH($R$3,0))-1)/2)+S$11,0)=EOMONTH($CX$3,0),S$9*S$10,0),0),IF(AND(O$9&lt;&gt;"",O$11&lt;&gt;""),IF(EOMONTH($N$3+INT((DAY(EOMONTH($N$3,0))-1)/2)+O$11,0)=EOMONTH($CX$3,0),O$9*O$10,0),0),IF(AND(K$9&lt;&gt;"",K$11&lt;&gt;""),IF(EOMONTH($J$3+INT((DAY(EOMONTH($J$3,0))-1)/2)+K$11,0)=EOMONTH($CX$3,0),K$9*K$10,0),0),IF(AND(G$9&lt;&gt;"",G$11&lt;&gt;""),IF(EOMONTH($F$3+INT((DAY(EOMONTH($F$3,0))-1)/2)+G$11,0)=EOMONTH($CX$3,0),G$9*G$10,0),0),IF($EP$75="",0,IF(EOMONTH($EP$75+EQ$11,0)=EOMONTH($CX$3,0),$EP$76*EQ$10,0))),0))</f>
        <v>13</v>
      </c>
      <c r="CZ12" s="15">
        <f>ROUND(SUM(IF(AND(ER$9&lt;&gt;"",ER$11&lt;&gt;""),IF(EOMONTH($EP$3+INT((DAY(EOMONTH($EP$3,0))-1)/2)+ER$11,0)=EOMONTH($CX$3,0),ER$9*ER$10,0),0),IF(AND(EN$9&lt;&gt;"",EN$11&lt;&gt;""),IF(EOMONTH($EL$3+INT((DAY(EOMONTH($EL$3,0))-1)/2)+EN$11,0)=EOMONTH($CX$3,0),EN$9*EN$10,0),0),IF(AND(EJ$9&lt;&gt;"",EJ$11&lt;&gt;""),IF(EOMONTH($EH$3+INT((DAY(EOMONTH($EH$3,0))-1)/2)+EJ$11,0)=EOMONTH($CX$3,0),EJ$9*EJ$10,0),0),IF(AND(EF$9&lt;&gt;"",EF$11&lt;&gt;""),IF(EOMONTH($ED$3+INT((DAY(EOMONTH($ED$3,0))-1)/2)+EF$11,0)=EOMONTH($CX$3,0),EF$9*EF$10,0),0),IF(AND(EB$9&lt;&gt;"",EB$11&lt;&gt;""),IF(EOMONTH($DZ$3+INT((DAY(EOMONTH($DZ$3,0))-1)/2)+EB$11,0)=EOMONTH($CX$3,0),EB$9*EB$10,0),0),IF(AND(DX$9&lt;&gt;"",DX$11&lt;&gt;""),IF(EOMONTH($DV$3+INT((DAY(EOMONTH($DV$3,0))-1)/2)+DX$11,0)=EOMONTH($CX$3,0),DX$9*DX$10,0),0),IF(AND(DT$9&lt;&gt;"",DT$11&lt;&gt;""),IF(EOMONTH($DR$3+INT((DAY(EOMONTH($DR$3,0))-1)/2)+DT$11,0)=EOMONTH($CX$3,0),DT$9*DT$10,0),0),IF(AND(DP$9&lt;&gt;"",DP$11&lt;&gt;""),IF(EOMONTH($DN$3+INT((DAY(EOMONTH($DN$3,0))-1)/2)+DP$11,0)=EOMONTH($CX$3,0),DP$9*DP$10,0),0),IF(AND(DL$9&lt;&gt;"",DL$11&lt;&gt;""),IF(EOMONTH($DJ$3+INT((DAY(EOMONTH($DJ$3,0))-1)/2)+DL$11,0)=EOMONTH($CX$3,0),DL$9*DL$10,0),0),IF(AND(DH$9&lt;&gt;"",DH$11&lt;&gt;""),IF(EOMONTH($DF$3+INT((DAY(EOMONTH($DF$3,0))-1)/2)+DH$11,0)=EOMONTH($CX$3,0),DH$9*DH$10,0),0),IF(AND(DD$9&lt;&gt;"",DD$11&lt;&gt;""),IF(EOMONTH($DB$3+INT((DAY(EOMONTH($DB$3,0))-1)/2)+DD$11,0)=EOMONTH($CX$3,0),DD$9*DD$10,0),0),IF(AND(CZ$9&lt;&gt;"",CZ$11&lt;&gt;""),IF(EOMONTH($CX$3+INT((DAY(EOMONTH($CX$3,0))-1)/2)+CZ$11,0)=EOMONTH($CX$3,0),CZ$9*CZ$10,0),0),IF(AND(CV$9&lt;&gt;"",CV$11&lt;&gt;""),IF(EOMONTH($CT$3+INT((DAY(EOMONTH($CT$3,0))-1)/2)+CV$11,0)=EOMONTH($CX$3,0),CV$9*CV$10,0),0),IF(AND(CR$9&lt;&gt;"",CR$11&lt;&gt;""),IF(EOMONTH($CP$3+INT((DAY(EOMONTH($CP$3,0))-1)/2)+CR$11,0)=EOMONTH($CX$3,0),CR$9*CR$10,0),0),IF(AND(CN$9&lt;&gt;"",CN$11&lt;&gt;""),IF(EOMONTH($CL$3+INT((DAY(EOMONTH($CL$3,0))-1)/2)+CN$11,0)=EOMONTH($CX$3,0),CN$9*CN$10,0),0),IF(AND(CJ$9&lt;&gt;"",CJ$11&lt;&gt;""),IF(EOMONTH($CH$3+INT((DAY(EOMONTH($CH$3,0))-1)/2)+CJ$11,0)=EOMONTH($CX$3,0),CJ$9*CJ$10,0),0),IF(AND(CF$9&lt;&gt;"",CF$11&lt;&gt;""),IF(EOMONTH($CD$3+INT((DAY(EOMONTH($CD$3,0))-1)/2)+CF$11,0)=EOMONTH($CX$3,0),CF$9*CF$10,0),0),IF(AND(CB$9&lt;&gt;"",CB$11&lt;&gt;""),IF(EOMONTH($BZ$3+INT((DAY(EOMONTH($BZ$3,0))-1)/2)+CB$11,0)=EOMONTH($CX$3,0),CB$9*CB$10,0),0),IF(AND(BX$9&lt;&gt;"",BX$11&lt;&gt;""),IF(EOMONTH($BV$3+INT((DAY(EOMONTH($BV$3,0))-1)/2)+BX$11,0)=EOMONTH($CX$3,0),BX$9*BX$10,0),0),IF(AND(BT$9&lt;&gt;"",BT$11&lt;&gt;""),IF(EOMONTH($BR$3+INT((DAY(EOMONTH($BR$3,0))-1)/2)+BT$11,0)=EOMONTH($CX$3,0),BT$9*BT$10,0),0),IF(AND(BP$9&lt;&gt;"",BP$11&lt;&gt;""),IF(EOMONTH($BN$3+INT((DAY(EOMONTH($BN$3,0))-1)/2)+BP$11,0)=EOMONTH($CX$3,0),BP$9*BP$10,0),0),IF(AND(BL$9&lt;&gt;"",BL$11&lt;&gt;""),IF(EOMONTH($BJ$3+INT((DAY(EOMONTH($BJ$3,0))-1)/2)+BL$11,0)=EOMONTH($CX$3,0),BL$9*BL$10,0),0),IF(AND(BH$9&lt;&gt;"",BH$11&lt;&gt;""),IF(EOMONTH($BF$3+INT((DAY(EOMONTH($BF$3,0))-1)/2)+BH$11,0)=EOMONTH($CX$3,0),BH$9*BH$10,0),0),IF(AND(BD$9&lt;&gt;"",BD$11&lt;&gt;""),IF(EOMONTH($BB$3+INT((DAY(EOMONTH($BB$3,0))-1)/2)+BD$11,0)=EOMONTH($CX$3,0),BD$9*BD$10,0),0),IF(AND(AZ$9&lt;&gt;"",AZ$11&lt;&gt;""),IF(EOMONTH($AX$3+INT((DAY(EOMONTH($AX$3,0))-1)/2)+AZ$11,0)=EOMONTH($CX$3,0),AZ$9*AZ$10,0),0),IF(AND(AV$9&lt;&gt;"",AV$11&lt;&gt;""),IF(EOMONTH($AT$3+INT((DAY(EOMONTH($AT$3,0))-1)/2)+AV$11,0)=EOMONTH($CX$3,0),AV$9*AV$10,0),0),IF(AND(AR$9&lt;&gt;"",AR$11&lt;&gt;""),IF(EOMONTH($AP$3+INT((DAY(EOMONTH($AP$3,0))-1)/2)+AR$11,0)=EOMONTH($CX$3,0),AR$9*AR$10,0),0),IF(AND(AN$9&lt;&gt;"",AN$11&lt;&gt;""),IF(EOMONTH($AL$3+INT((DAY(EOMONTH($AL$3,0))-1)/2)+AN$11,0)=EOMONTH($CX$3,0),AN$9*AN$10,0),0),IF(AND(AJ$9&lt;&gt;"",AJ$11&lt;&gt;""),IF(EOMONTH($AH$3+INT((DAY(EOMONTH($AH$3,0))-1)/2)+AJ$11,0)=EOMONTH($CX$3,0),AJ$9*AJ$10,0),0),IF(AND(AF$9&lt;&gt;"",AF$11&lt;&gt;""),IF(EOMONTH($AD$3+INT((DAY(EOMONTH($AD$3,0))-1)/2)+AF$11,0)=EOMONTH($CX$3,0),AF$9*AF$10,0),0),IF(AND(AB$9&lt;&gt;"",AB$11&lt;&gt;""),IF(EOMONTH($Z$3+INT((DAY(EOMONTH($Z$3,0))-1)/2)+AB$11,0)=EOMONTH($CX$3,0),AB$9*AB$10,0),0),IF(AND(X$9&lt;&gt;"",X$11&lt;&gt;""),IF(EOMONTH($V$3+INT((DAY(EOMONTH($V$3,0))-1)/2)+X$11,0)=EOMONTH($CX$3,0),X$9*X$10,0),0),IF(AND(T$9&lt;&gt;"",T$11&lt;&gt;""),IF(EOMONTH($R$3+INT((DAY(EOMONTH($R$3,0))-1)/2)+T$11,0)=EOMONTH($CX$3,0),T$9*T$10,0),0),IF(AND(P$9&lt;&gt;"",P$11&lt;&gt;""),IF(EOMONTH($N$3+INT((DAY(EOMONTH($N$3,0))-1)/2)+P$11,0)=EOMONTH($CX$3,0),P$9*P$10,0),0),IF(AND(L$9&lt;&gt;"",L$11&lt;&gt;""),IF(EOMONTH($J$3+INT((DAY(EOMONTH($J$3,0))-1)/2)+L$11,0)=EOMONTH($CX$3,0),L$9*L$10,0),0),IF(AND(H$9&lt;&gt;"",H$11&lt;&gt;""),IF(EOMONTH($F$3+INT((DAY(EOMONTH($F$3,0))-1)/2)+H$11,0)=EOMONTH($CX$3,0),H$9*H$10,0),0),IF($EP$75="",0,IF(EOMONTH($EP$75+ER$11,0)=EOMONTH($CX$3,0),$EP$76*ER$10,0))),0)</f>
        <v>13</v>
      </c>
      <c r="DA12" s="16">
        <f t="shared" si="53"/>
        <v>0</v>
      </c>
      <c r="DB12" s="17"/>
      <c r="DC12" s="14">
        <f>IF(DB$98=1,DB12,ROUND(SUM(IF(AND(EQ$9&lt;&gt;"",EQ$11&lt;&gt;""),IF(EOMONTH($EP$3+INT((DAY(EOMONTH($EP$3,0))-1)/2)+EQ$11,0)=EOMONTH($DB$3,0),EQ$9*EQ$10,0),0),IF(AND(EM$9&lt;&gt;"",EM$11&lt;&gt;""),IF(EOMONTH($EL$3+INT((DAY(EOMONTH($EL$3,0))-1)/2)+EM$11,0)=EOMONTH($DB$3,0),EM$9*EM$10,0),0),IF(AND(EI$9&lt;&gt;"",EI$11&lt;&gt;""),IF(EOMONTH($EH$3+INT((DAY(EOMONTH($EH$3,0))-1)/2)+EI$11,0)=EOMONTH($DB$3,0),EI$9*EI$10,0),0),IF(AND(EE$9&lt;&gt;"",EE$11&lt;&gt;""),IF(EOMONTH($ED$3+INT((DAY(EOMONTH($ED$3,0))-1)/2)+EE$11,0)=EOMONTH($DB$3,0),EE$9*EE$10,0),0),IF(AND(EA$9&lt;&gt;"",EA$11&lt;&gt;""),IF(EOMONTH($DZ$3+INT((DAY(EOMONTH($DZ$3,0))-1)/2)+EA$11,0)=EOMONTH($DB$3,0),EA$9*EA$10,0),0),IF(AND(DW$9&lt;&gt;"",DW$11&lt;&gt;""),IF(EOMONTH($DV$3+INT((DAY(EOMONTH($DV$3,0))-1)/2)+DW$11,0)=EOMONTH($DB$3,0),DW$9*DW$10,0),0),IF(AND(DS$9&lt;&gt;"",DS$11&lt;&gt;""),IF(EOMONTH($DR$3+INT((DAY(EOMONTH($DR$3,0))-1)/2)+DS$11,0)=EOMONTH($DB$3,0),DS$9*DS$10,0),0),IF(AND(DO$9&lt;&gt;"",DO$11&lt;&gt;""),IF(EOMONTH($DN$3+INT((DAY(EOMONTH($DN$3,0))-1)/2)+DO$11,0)=EOMONTH($DB$3,0),DO$9*DO$10,0),0),IF(AND(DK$9&lt;&gt;"",DK$11&lt;&gt;""),IF(EOMONTH($DJ$3+INT((DAY(EOMONTH($DJ$3,0))-1)/2)+DK$11,0)=EOMONTH($DB$3,0),DK$9*DK$10,0),0),IF(AND(DG$9&lt;&gt;"",DG$11&lt;&gt;""),IF(EOMONTH($DF$3+INT((DAY(EOMONTH($DF$3,0))-1)/2)+DG$11,0)=EOMONTH($DB$3,0),DG$9*DG$10,0),0),IF(AND(DC$9&lt;&gt;"",DC$11&lt;&gt;""),IF(EOMONTH($DB$3+INT((DAY(EOMONTH($DB$3,0))-1)/2)+DC$11,0)=EOMONTH($DB$3,0),DC$9*DC$10,0),0),IF(AND(CY$9&lt;&gt;"",CY$11&lt;&gt;""),IF(EOMONTH($CX$3+INT((DAY(EOMONTH($CX$3,0))-1)/2)+CY$11,0)=EOMONTH($DB$3,0),CY$9*CY$10,0),0),IF(AND(CU$9&lt;&gt;"",CU$11&lt;&gt;""),IF(EOMONTH($CT$3+INT((DAY(EOMONTH($CT$3,0))-1)/2)+CU$11,0)=EOMONTH($DB$3,0),CU$9*CU$10,0),0),IF(AND(CQ$9&lt;&gt;"",CQ$11&lt;&gt;""),IF(EOMONTH($CP$3+INT((DAY(EOMONTH($CP$3,0))-1)/2)+CQ$11,0)=EOMONTH($DB$3,0),CQ$9*CQ$10,0),0),IF(AND(CM$9&lt;&gt;"",CM$11&lt;&gt;""),IF(EOMONTH($CL$3+INT((DAY(EOMONTH($CL$3,0))-1)/2)+CM$11,0)=EOMONTH($DB$3,0),CM$9*CM$10,0),0),IF(AND(CI$9&lt;&gt;"",CI$11&lt;&gt;""),IF(EOMONTH($CH$3+INT((DAY(EOMONTH($CH$3,0))-1)/2)+CI$11,0)=EOMONTH($DB$3,0),CI$9*CI$10,0),0),IF(AND(CE$9&lt;&gt;"",CE$11&lt;&gt;""),IF(EOMONTH($CD$3+INT((DAY(EOMONTH($CD$3,0))-1)/2)+CE$11,0)=EOMONTH($DB$3,0),CE$9*CE$10,0),0),IF(AND(CA$9&lt;&gt;"",CA$11&lt;&gt;""),IF(EOMONTH($BZ$3+INT((DAY(EOMONTH($BZ$3,0))-1)/2)+CA$11,0)=EOMONTH($DB$3,0),CA$9*CA$10,0),0),IF(AND(BW$9&lt;&gt;"",BW$11&lt;&gt;""),IF(EOMONTH($BV$3+INT((DAY(EOMONTH($BV$3,0))-1)/2)+BW$11,0)=EOMONTH($DB$3,0),BW$9*BW$10,0),0),IF(AND(BS$9&lt;&gt;"",BS$11&lt;&gt;""),IF(EOMONTH($BR$3+INT((DAY(EOMONTH($BR$3,0))-1)/2)+BS$11,0)=EOMONTH($DB$3,0),BS$9*BS$10,0),0),IF(AND(BO$9&lt;&gt;"",BO$11&lt;&gt;""),IF(EOMONTH($BN$3+INT((DAY(EOMONTH($BN$3,0))-1)/2)+BO$11,0)=EOMONTH($DB$3,0),BO$9*BO$10,0),0),IF(AND(BK$9&lt;&gt;"",BK$11&lt;&gt;""),IF(EOMONTH($BJ$3+INT((DAY(EOMONTH($BJ$3,0))-1)/2)+BK$11,0)=EOMONTH($DB$3,0),BK$9*BK$10,0),0),IF(AND(BG$9&lt;&gt;"",BG$11&lt;&gt;""),IF(EOMONTH($BF$3+INT((DAY(EOMONTH($BF$3,0))-1)/2)+BG$11,0)=EOMONTH($DB$3,0),BG$9*BG$10,0),0),IF(AND(BC$9&lt;&gt;"",BC$11&lt;&gt;""),IF(EOMONTH($BB$3+INT((DAY(EOMONTH($BB$3,0))-1)/2)+BC$11,0)=EOMONTH($DB$3,0),BC$9*BC$10,0),0),IF(AND(AY$9&lt;&gt;"",AY$11&lt;&gt;""),IF(EOMONTH($AX$3+INT((DAY(EOMONTH($AX$3,0))-1)/2)+AY$11,0)=EOMONTH($DB$3,0),AY$9*AY$10,0),0),IF(AND(AU$9&lt;&gt;"",AU$11&lt;&gt;""),IF(EOMONTH($AT$3+INT((DAY(EOMONTH($AT$3,0))-1)/2)+AU$11,0)=EOMONTH($DB$3,0),AU$9*AU$10,0),0),IF(AND(AQ$9&lt;&gt;"",AQ$11&lt;&gt;""),IF(EOMONTH($AP$3+INT((DAY(EOMONTH($AP$3,0))-1)/2)+AQ$11,0)=EOMONTH($DB$3,0),AQ$9*AQ$10,0),0),IF(AND(AM$9&lt;&gt;"",AM$11&lt;&gt;""),IF(EOMONTH($AL$3+INT((DAY(EOMONTH($AL$3,0))-1)/2)+AM$11,0)=EOMONTH($DB$3,0),AM$9*AM$10,0),0),IF(AND(AI$9&lt;&gt;"",AI$11&lt;&gt;""),IF(EOMONTH($AH$3+INT((DAY(EOMONTH($AH$3,0))-1)/2)+AI$11,0)=EOMONTH($DB$3,0),AI$9*AI$10,0),0),IF(AND(AE$9&lt;&gt;"",AE$11&lt;&gt;""),IF(EOMONTH($AD$3+INT((DAY(EOMONTH($AD$3,0))-1)/2)+AE$11,0)=EOMONTH($DB$3,0),AE$9*AE$10,0),0),IF(AND(AA$9&lt;&gt;"",AA$11&lt;&gt;""),IF(EOMONTH($Z$3+INT((DAY(EOMONTH($Z$3,0))-1)/2)+AA$11,0)=EOMONTH($DB$3,0),AA$9*AA$10,0),0),IF(AND(W$9&lt;&gt;"",W$11&lt;&gt;""),IF(EOMONTH($V$3+INT((DAY(EOMONTH($V$3,0))-1)/2)+W$11,0)=EOMONTH($DB$3,0),W$9*W$10,0),0),IF(AND(S$9&lt;&gt;"",S$11&lt;&gt;""),IF(EOMONTH($R$3+INT((DAY(EOMONTH($R$3,0))-1)/2)+S$11,0)=EOMONTH($DB$3,0),S$9*S$10,0),0),IF(AND(O$9&lt;&gt;"",O$11&lt;&gt;""),IF(EOMONTH($N$3+INT((DAY(EOMONTH($N$3,0))-1)/2)+O$11,0)=EOMONTH($DB$3,0),O$9*O$10,0),0),IF(AND(K$9&lt;&gt;"",K$11&lt;&gt;""),IF(EOMONTH($J$3+INT((DAY(EOMONTH($J$3,0))-1)/2)+K$11,0)=EOMONTH($DB$3,0),K$9*K$10,0),0),IF(AND(G$9&lt;&gt;"",G$11&lt;&gt;""),IF(EOMONTH($F$3+INT((DAY(EOMONTH($F$3,0))-1)/2)+G$11,0)=EOMONTH($DB$3,0),G$9*G$10,0),0),IF($EP$75="",0,IF(EOMONTH($EP$75+EQ$11,0)=EOMONTH($DB$3,0),$EP$76*EQ$10,0))),0))</f>
        <v>12</v>
      </c>
      <c r="DD12" s="15">
        <f>ROUND(SUM(IF(AND(ER$9&lt;&gt;"",ER$11&lt;&gt;""),IF(EOMONTH($EP$3+INT((DAY(EOMONTH($EP$3,0))-1)/2)+ER$11,0)=EOMONTH($DB$3,0),ER$9*ER$10,0),0),IF(AND(EN$9&lt;&gt;"",EN$11&lt;&gt;""),IF(EOMONTH($EL$3+INT((DAY(EOMONTH($EL$3,0))-1)/2)+EN$11,0)=EOMONTH($DB$3,0),EN$9*EN$10,0),0),IF(AND(EJ$9&lt;&gt;"",EJ$11&lt;&gt;""),IF(EOMONTH($EH$3+INT((DAY(EOMONTH($EH$3,0))-1)/2)+EJ$11,0)=EOMONTH($DB$3,0),EJ$9*EJ$10,0),0),IF(AND(EF$9&lt;&gt;"",EF$11&lt;&gt;""),IF(EOMONTH($ED$3+INT((DAY(EOMONTH($ED$3,0))-1)/2)+EF$11,0)=EOMONTH($DB$3,0),EF$9*EF$10,0),0),IF(AND(EB$9&lt;&gt;"",EB$11&lt;&gt;""),IF(EOMONTH($DZ$3+INT((DAY(EOMONTH($DZ$3,0))-1)/2)+EB$11,0)=EOMONTH($DB$3,0),EB$9*EB$10,0),0),IF(AND(DX$9&lt;&gt;"",DX$11&lt;&gt;""),IF(EOMONTH($DV$3+INT((DAY(EOMONTH($DV$3,0))-1)/2)+DX$11,0)=EOMONTH($DB$3,0),DX$9*DX$10,0),0),IF(AND(DT$9&lt;&gt;"",DT$11&lt;&gt;""),IF(EOMONTH($DR$3+INT((DAY(EOMONTH($DR$3,0))-1)/2)+DT$11,0)=EOMONTH($DB$3,0),DT$9*DT$10,0),0),IF(AND(DP$9&lt;&gt;"",DP$11&lt;&gt;""),IF(EOMONTH($DN$3+INT((DAY(EOMONTH($DN$3,0))-1)/2)+DP$11,0)=EOMONTH($DB$3,0),DP$9*DP$10,0),0),IF(AND(DL$9&lt;&gt;"",DL$11&lt;&gt;""),IF(EOMONTH($DJ$3+INT((DAY(EOMONTH($DJ$3,0))-1)/2)+DL$11,0)=EOMONTH($DB$3,0),DL$9*DL$10,0),0),IF(AND(DH$9&lt;&gt;"",DH$11&lt;&gt;""),IF(EOMONTH($DF$3+INT((DAY(EOMONTH($DF$3,0))-1)/2)+DH$11,0)=EOMONTH($DB$3,0),DH$9*DH$10,0),0),IF(AND(DD$9&lt;&gt;"",DD$11&lt;&gt;""),IF(EOMONTH($DB$3+INT((DAY(EOMONTH($DB$3,0))-1)/2)+DD$11,0)=EOMONTH($DB$3,0),DD$9*DD$10,0),0),IF(AND(CZ$9&lt;&gt;"",CZ$11&lt;&gt;""),IF(EOMONTH($CX$3+INT((DAY(EOMONTH($CX$3,0))-1)/2)+CZ$11,0)=EOMONTH($DB$3,0),CZ$9*CZ$10,0),0),IF(AND(CV$9&lt;&gt;"",CV$11&lt;&gt;""),IF(EOMONTH($CT$3+INT((DAY(EOMONTH($CT$3,0))-1)/2)+CV$11,0)=EOMONTH($DB$3,0),CV$9*CV$10,0),0),IF(AND(CR$9&lt;&gt;"",CR$11&lt;&gt;""),IF(EOMONTH($CP$3+INT((DAY(EOMONTH($CP$3,0))-1)/2)+CR$11,0)=EOMONTH($DB$3,0),CR$9*CR$10,0),0),IF(AND(CN$9&lt;&gt;"",CN$11&lt;&gt;""),IF(EOMONTH($CL$3+INT((DAY(EOMONTH($CL$3,0))-1)/2)+CN$11,0)=EOMONTH($DB$3,0),CN$9*CN$10,0),0),IF(AND(CJ$9&lt;&gt;"",CJ$11&lt;&gt;""),IF(EOMONTH($CH$3+INT((DAY(EOMONTH($CH$3,0))-1)/2)+CJ$11,0)=EOMONTH($DB$3,0),CJ$9*CJ$10,0),0),IF(AND(CF$9&lt;&gt;"",CF$11&lt;&gt;""),IF(EOMONTH($CD$3+INT((DAY(EOMONTH($CD$3,0))-1)/2)+CF$11,0)=EOMONTH($DB$3,0),CF$9*CF$10,0),0),IF(AND(CB$9&lt;&gt;"",CB$11&lt;&gt;""),IF(EOMONTH($BZ$3+INT((DAY(EOMONTH($BZ$3,0))-1)/2)+CB$11,0)=EOMONTH($DB$3,0),CB$9*CB$10,0),0),IF(AND(BX$9&lt;&gt;"",BX$11&lt;&gt;""),IF(EOMONTH($BV$3+INT((DAY(EOMONTH($BV$3,0))-1)/2)+BX$11,0)=EOMONTH($DB$3,0),BX$9*BX$10,0),0),IF(AND(BT$9&lt;&gt;"",BT$11&lt;&gt;""),IF(EOMONTH($BR$3+INT((DAY(EOMONTH($BR$3,0))-1)/2)+BT$11,0)=EOMONTH($DB$3,0),BT$9*BT$10,0),0),IF(AND(BP$9&lt;&gt;"",BP$11&lt;&gt;""),IF(EOMONTH($BN$3+INT((DAY(EOMONTH($BN$3,0))-1)/2)+BP$11,0)=EOMONTH($DB$3,0),BP$9*BP$10,0),0),IF(AND(BL$9&lt;&gt;"",BL$11&lt;&gt;""),IF(EOMONTH($BJ$3+INT((DAY(EOMONTH($BJ$3,0))-1)/2)+BL$11,0)=EOMONTH($DB$3,0),BL$9*BL$10,0),0),IF(AND(BH$9&lt;&gt;"",BH$11&lt;&gt;""),IF(EOMONTH($BF$3+INT((DAY(EOMONTH($BF$3,0))-1)/2)+BH$11,0)=EOMONTH($DB$3,0),BH$9*BH$10,0),0),IF(AND(BD$9&lt;&gt;"",BD$11&lt;&gt;""),IF(EOMONTH($BB$3+INT((DAY(EOMONTH($BB$3,0))-1)/2)+BD$11,0)=EOMONTH($DB$3,0),BD$9*BD$10,0),0),IF(AND(AZ$9&lt;&gt;"",AZ$11&lt;&gt;""),IF(EOMONTH($AX$3+INT((DAY(EOMONTH($AX$3,0))-1)/2)+AZ$11,0)=EOMONTH($DB$3,0),AZ$9*AZ$10,0),0),IF(AND(AV$9&lt;&gt;"",AV$11&lt;&gt;""),IF(EOMONTH($AT$3+INT((DAY(EOMONTH($AT$3,0))-1)/2)+AV$11,0)=EOMONTH($DB$3,0),AV$9*AV$10,0),0),IF(AND(AR$9&lt;&gt;"",AR$11&lt;&gt;""),IF(EOMONTH($AP$3+INT((DAY(EOMONTH($AP$3,0))-1)/2)+AR$11,0)=EOMONTH($DB$3,0),AR$9*AR$10,0),0),IF(AND(AN$9&lt;&gt;"",AN$11&lt;&gt;""),IF(EOMONTH($AL$3+INT((DAY(EOMONTH($AL$3,0))-1)/2)+AN$11,0)=EOMONTH($DB$3,0),AN$9*AN$10,0),0),IF(AND(AJ$9&lt;&gt;"",AJ$11&lt;&gt;""),IF(EOMONTH($AH$3+INT((DAY(EOMONTH($AH$3,0))-1)/2)+AJ$11,0)=EOMONTH($DB$3,0),AJ$9*AJ$10,0),0),IF(AND(AF$9&lt;&gt;"",AF$11&lt;&gt;""),IF(EOMONTH($AD$3+INT((DAY(EOMONTH($AD$3,0))-1)/2)+AF$11,0)=EOMONTH($DB$3,0),AF$9*AF$10,0),0),IF(AND(AB$9&lt;&gt;"",AB$11&lt;&gt;""),IF(EOMONTH($Z$3+INT((DAY(EOMONTH($Z$3,0))-1)/2)+AB$11,0)=EOMONTH($DB$3,0),AB$9*AB$10,0),0),IF(AND(X$9&lt;&gt;"",X$11&lt;&gt;""),IF(EOMONTH($V$3+INT((DAY(EOMONTH($V$3,0))-1)/2)+X$11,0)=EOMONTH($DB$3,0),X$9*X$10,0),0),IF(AND(T$9&lt;&gt;"",T$11&lt;&gt;""),IF(EOMONTH($R$3+INT((DAY(EOMONTH($R$3,0))-1)/2)+T$11,0)=EOMONTH($DB$3,0),T$9*T$10,0),0),IF(AND(P$9&lt;&gt;"",P$11&lt;&gt;""),IF(EOMONTH($N$3+INT((DAY(EOMONTH($N$3,0))-1)/2)+P$11,0)=EOMONTH($DB$3,0),P$9*P$10,0),0),IF(AND(L$9&lt;&gt;"",L$11&lt;&gt;""),IF(EOMONTH($J$3+INT((DAY(EOMONTH($J$3,0))-1)/2)+L$11,0)=EOMONTH($DB$3,0),L$9*L$10,0),0),IF(AND(H$9&lt;&gt;"",H$11&lt;&gt;""),IF(EOMONTH($F$3+INT((DAY(EOMONTH($F$3,0))-1)/2)+H$11,0)=EOMONTH($DB$3,0),H$9*H$10,0),0),IF($EP$75="",0,IF(EOMONTH($EP$75+ER$11,0)=EOMONTH($DB$3,0),$EP$76*ER$10,0))),0)</f>
        <v>12</v>
      </c>
      <c r="DE12" s="16">
        <f t="shared" si="55"/>
        <v>0</v>
      </c>
      <c r="DF12" s="17"/>
      <c r="DG12" s="14">
        <f>IF(DF$98=1,DF12,ROUND(SUM(IF(AND(EQ$9&lt;&gt;"",EQ$11&lt;&gt;""),IF(EOMONTH($EP$3+INT((DAY(EOMONTH($EP$3,0))-1)/2)+EQ$11,0)=EOMONTH($DF$3,0),EQ$9*EQ$10,0),0),IF(AND(EM$9&lt;&gt;"",EM$11&lt;&gt;""),IF(EOMONTH($EL$3+INT((DAY(EOMONTH($EL$3,0))-1)/2)+EM$11,0)=EOMONTH($DF$3,0),EM$9*EM$10,0),0),IF(AND(EI$9&lt;&gt;"",EI$11&lt;&gt;""),IF(EOMONTH($EH$3+INT((DAY(EOMONTH($EH$3,0))-1)/2)+EI$11,0)=EOMONTH($DF$3,0),EI$9*EI$10,0),0),IF(AND(EE$9&lt;&gt;"",EE$11&lt;&gt;""),IF(EOMONTH($ED$3+INT((DAY(EOMONTH($ED$3,0))-1)/2)+EE$11,0)=EOMONTH($DF$3,0),EE$9*EE$10,0),0),IF(AND(EA$9&lt;&gt;"",EA$11&lt;&gt;""),IF(EOMONTH($DZ$3+INT((DAY(EOMONTH($DZ$3,0))-1)/2)+EA$11,0)=EOMONTH($DF$3,0),EA$9*EA$10,0),0),IF(AND(DW$9&lt;&gt;"",DW$11&lt;&gt;""),IF(EOMONTH($DV$3+INT((DAY(EOMONTH($DV$3,0))-1)/2)+DW$11,0)=EOMONTH($DF$3,0),DW$9*DW$10,0),0),IF(AND(DS$9&lt;&gt;"",DS$11&lt;&gt;""),IF(EOMONTH($DR$3+INT((DAY(EOMONTH($DR$3,0))-1)/2)+DS$11,0)=EOMONTH($DF$3,0),DS$9*DS$10,0),0),IF(AND(DO$9&lt;&gt;"",DO$11&lt;&gt;""),IF(EOMONTH($DN$3+INT((DAY(EOMONTH($DN$3,0))-1)/2)+DO$11,0)=EOMONTH($DF$3,0),DO$9*DO$10,0),0),IF(AND(DK$9&lt;&gt;"",DK$11&lt;&gt;""),IF(EOMONTH($DJ$3+INT((DAY(EOMONTH($DJ$3,0))-1)/2)+DK$11,0)=EOMONTH($DF$3,0),DK$9*DK$10,0),0),IF(AND(DG$9&lt;&gt;"",DG$11&lt;&gt;""),IF(EOMONTH($DF$3+INT((DAY(EOMONTH($DF$3,0))-1)/2)+DG$11,0)=EOMONTH($DF$3,0),DG$9*DG$10,0),0),IF(AND(DC$9&lt;&gt;"",DC$11&lt;&gt;""),IF(EOMONTH($DB$3+INT((DAY(EOMONTH($DB$3,0))-1)/2)+DC$11,0)=EOMONTH($DF$3,0),DC$9*DC$10,0),0),IF(AND(CY$9&lt;&gt;"",CY$11&lt;&gt;""),IF(EOMONTH($CX$3+INT((DAY(EOMONTH($CX$3,0))-1)/2)+CY$11,0)=EOMONTH($DF$3,0),CY$9*CY$10,0),0),IF(AND(CU$9&lt;&gt;"",CU$11&lt;&gt;""),IF(EOMONTH($CT$3+INT((DAY(EOMONTH($CT$3,0))-1)/2)+CU$11,0)=EOMONTH($DF$3,0),CU$9*CU$10,0),0),IF(AND(CQ$9&lt;&gt;"",CQ$11&lt;&gt;""),IF(EOMONTH($CP$3+INT((DAY(EOMONTH($CP$3,0))-1)/2)+CQ$11,0)=EOMONTH($DF$3,0),CQ$9*CQ$10,0),0),IF(AND(CM$9&lt;&gt;"",CM$11&lt;&gt;""),IF(EOMONTH($CL$3+INT((DAY(EOMONTH($CL$3,0))-1)/2)+CM$11,0)=EOMONTH($DF$3,0),CM$9*CM$10,0),0),IF(AND(CI$9&lt;&gt;"",CI$11&lt;&gt;""),IF(EOMONTH($CH$3+INT((DAY(EOMONTH($CH$3,0))-1)/2)+CI$11,0)=EOMONTH($DF$3,0),CI$9*CI$10,0),0),IF(AND(CE$9&lt;&gt;"",CE$11&lt;&gt;""),IF(EOMONTH($CD$3+INT((DAY(EOMONTH($CD$3,0))-1)/2)+CE$11,0)=EOMONTH($DF$3,0),CE$9*CE$10,0),0),IF(AND(CA$9&lt;&gt;"",CA$11&lt;&gt;""),IF(EOMONTH($BZ$3+INT((DAY(EOMONTH($BZ$3,0))-1)/2)+CA$11,0)=EOMONTH($DF$3,0),CA$9*CA$10,0),0),IF(AND(BW$9&lt;&gt;"",BW$11&lt;&gt;""),IF(EOMONTH($BV$3+INT((DAY(EOMONTH($BV$3,0))-1)/2)+BW$11,0)=EOMONTH($DF$3,0),BW$9*BW$10,0),0),IF(AND(BS$9&lt;&gt;"",BS$11&lt;&gt;""),IF(EOMONTH($BR$3+INT((DAY(EOMONTH($BR$3,0))-1)/2)+BS$11,0)=EOMONTH($DF$3,0),BS$9*BS$10,0),0),IF(AND(BO$9&lt;&gt;"",BO$11&lt;&gt;""),IF(EOMONTH($BN$3+INT((DAY(EOMONTH($BN$3,0))-1)/2)+BO$11,0)=EOMONTH($DF$3,0),BO$9*BO$10,0),0),IF(AND(BK$9&lt;&gt;"",BK$11&lt;&gt;""),IF(EOMONTH($BJ$3+INT((DAY(EOMONTH($BJ$3,0))-1)/2)+BK$11,0)=EOMONTH($DF$3,0),BK$9*BK$10,0),0),IF(AND(BG$9&lt;&gt;"",BG$11&lt;&gt;""),IF(EOMONTH($BF$3+INT((DAY(EOMONTH($BF$3,0))-1)/2)+BG$11,0)=EOMONTH($DF$3,0),BG$9*BG$10,0),0),IF(AND(BC$9&lt;&gt;"",BC$11&lt;&gt;""),IF(EOMONTH($BB$3+INT((DAY(EOMONTH($BB$3,0))-1)/2)+BC$11,0)=EOMONTH($DF$3,0),BC$9*BC$10,0),0),IF(AND(AY$9&lt;&gt;"",AY$11&lt;&gt;""),IF(EOMONTH($AX$3+INT((DAY(EOMONTH($AX$3,0))-1)/2)+AY$11,0)=EOMONTH($DF$3,0),AY$9*AY$10,0),0),IF(AND(AU$9&lt;&gt;"",AU$11&lt;&gt;""),IF(EOMONTH($AT$3+INT((DAY(EOMONTH($AT$3,0))-1)/2)+AU$11,0)=EOMONTH($DF$3,0),AU$9*AU$10,0),0),IF(AND(AQ$9&lt;&gt;"",AQ$11&lt;&gt;""),IF(EOMONTH($AP$3+INT((DAY(EOMONTH($AP$3,0))-1)/2)+AQ$11,0)=EOMONTH($DF$3,0),AQ$9*AQ$10,0),0),IF(AND(AM$9&lt;&gt;"",AM$11&lt;&gt;""),IF(EOMONTH($AL$3+INT((DAY(EOMONTH($AL$3,0))-1)/2)+AM$11,0)=EOMONTH($DF$3,0),AM$9*AM$10,0),0),IF(AND(AI$9&lt;&gt;"",AI$11&lt;&gt;""),IF(EOMONTH($AH$3+INT((DAY(EOMONTH($AH$3,0))-1)/2)+AI$11,0)=EOMONTH($DF$3,0),AI$9*AI$10,0),0),IF(AND(AE$9&lt;&gt;"",AE$11&lt;&gt;""),IF(EOMONTH($AD$3+INT((DAY(EOMONTH($AD$3,0))-1)/2)+AE$11,0)=EOMONTH($DF$3,0),AE$9*AE$10,0),0),IF(AND(AA$9&lt;&gt;"",AA$11&lt;&gt;""),IF(EOMONTH($Z$3+INT((DAY(EOMONTH($Z$3,0))-1)/2)+AA$11,0)=EOMONTH($DF$3,0),AA$9*AA$10,0),0),IF(AND(W$9&lt;&gt;"",W$11&lt;&gt;""),IF(EOMONTH($V$3+INT((DAY(EOMONTH($V$3,0))-1)/2)+W$11,0)=EOMONTH($DF$3,0),W$9*W$10,0),0),IF(AND(S$9&lt;&gt;"",S$11&lt;&gt;""),IF(EOMONTH($R$3+INT((DAY(EOMONTH($R$3,0))-1)/2)+S$11,0)=EOMONTH($DF$3,0),S$9*S$10,0),0),IF(AND(O$9&lt;&gt;"",O$11&lt;&gt;""),IF(EOMONTH($N$3+INT((DAY(EOMONTH($N$3,0))-1)/2)+O$11,0)=EOMONTH($DF$3,0),O$9*O$10,0),0),IF(AND(K$9&lt;&gt;"",K$11&lt;&gt;""),IF(EOMONTH($J$3+INT((DAY(EOMONTH($J$3,0))-1)/2)+K$11,0)=EOMONTH($DF$3,0),K$9*K$10,0),0),IF(AND(G$9&lt;&gt;"",G$11&lt;&gt;""),IF(EOMONTH($F$3+INT((DAY(EOMONTH($F$3,0))-1)/2)+G$11,0)=EOMONTH($DF$3,0),G$9*G$10,0),0),IF($EP$75="",0,IF(EOMONTH($EP$75+EQ$11,0)=EOMONTH($DF$3,0),$EP$76*EQ$10,0))),0))</f>
        <v>12</v>
      </c>
      <c r="DH12" s="15">
        <f>ROUND(SUM(IF(AND(ER$9&lt;&gt;"",ER$11&lt;&gt;""),IF(EOMONTH($EP$3+INT((DAY(EOMONTH($EP$3,0))-1)/2)+ER$11,0)=EOMONTH($DF$3,0),ER$9*ER$10,0),0),IF(AND(EN$9&lt;&gt;"",EN$11&lt;&gt;""),IF(EOMONTH($EL$3+INT((DAY(EOMONTH($EL$3,0))-1)/2)+EN$11,0)=EOMONTH($DF$3,0),EN$9*EN$10,0),0),IF(AND(EJ$9&lt;&gt;"",EJ$11&lt;&gt;""),IF(EOMONTH($EH$3+INT((DAY(EOMONTH($EH$3,0))-1)/2)+EJ$11,0)=EOMONTH($DF$3,0),EJ$9*EJ$10,0),0),IF(AND(EF$9&lt;&gt;"",EF$11&lt;&gt;""),IF(EOMONTH($ED$3+INT((DAY(EOMONTH($ED$3,0))-1)/2)+EF$11,0)=EOMONTH($DF$3,0),EF$9*EF$10,0),0),IF(AND(EB$9&lt;&gt;"",EB$11&lt;&gt;""),IF(EOMONTH($DZ$3+INT((DAY(EOMONTH($DZ$3,0))-1)/2)+EB$11,0)=EOMONTH($DF$3,0),EB$9*EB$10,0),0),IF(AND(DX$9&lt;&gt;"",DX$11&lt;&gt;""),IF(EOMONTH($DV$3+INT((DAY(EOMONTH($DV$3,0))-1)/2)+DX$11,0)=EOMONTH($DF$3,0),DX$9*DX$10,0),0),IF(AND(DT$9&lt;&gt;"",DT$11&lt;&gt;""),IF(EOMONTH($DR$3+INT((DAY(EOMONTH($DR$3,0))-1)/2)+DT$11,0)=EOMONTH($DF$3,0),DT$9*DT$10,0),0),IF(AND(DP$9&lt;&gt;"",DP$11&lt;&gt;""),IF(EOMONTH($DN$3+INT((DAY(EOMONTH($DN$3,0))-1)/2)+DP$11,0)=EOMONTH($DF$3,0),DP$9*DP$10,0),0),IF(AND(DL$9&lt;&gt;"",DL$11&lt;&gt;""),IF(EOMONTH($DJ$3+INT((DAY(EOMONTH($DJ$3,0))-1)/2)+DL$11,0)=EOMONTH($DF$3,0),DL$9*DL$10,0),0),IF(AND(DH$9&lt;&gt;"",DH$11&lt;&gt;""),IF(EOMONTH($DF$3+INT((DAY(EOMONTH($DF$3,0))-1)/2)+DH$11,0)=EOMONTH($DF$3,0),DH$9*DH$10,0),0),IF(AND(DD$9&lt;&gt;"",DD$11&lt;&gt;""),IF(EOMONTH($DB$3+INT((DAY(EOMONTH($DB$3,0))-1)/2)+DD$11,0)=EOMONTH($DF$3,0),DD$9*DD$10,0),0),IF(AND(CZ$9&lt;&gt;"",CZ$11&lt;&gt;""),IF(EOMONTH($CX$3+INT((DAY(EOMONTH($CX$3,0))-1)/2)+CZ$11,0)=EOMONTH($DF$3,0),CZ$9*CZ$10,0),0),IF(AND(CV$9&lt;&gt;"",CV$11&lt;&gt;""),IF(EOMONTH($CT$3+INT((DAY(EOMONTH($CT$3,0))-1)/2)+CV$11,0)=EOMONTH($DF$3,0),CV$9*CV$10,0),0),IF(AND(CR$9&lt;&gt;"",CR$11&lt;&gt;""),IF(EOMONTH($CP$3+INT((DAY(EOMONTH($CP$3,0))-1)/2)+CR$11,0)=EOMONTH($DF$3,0),CR$9*CR$10,0),0),IF(AND(CN$9&lt;&gt;"",CN$11&lt;&gt;""),IF(EOMONTH($CL$3+INT((DAY(EOMONTH($CL$3,0))-1)/2)+CN$11,0)=EOMONTH($DF$3,0),CN$9*CN$10,0),0),IF(AND(CJ$9&lt;&gt;"",CJ$11&lt;&gt;""),IF(EOMONTH($CH$3+INT((DAY(EOMONTH($CH$3,0))-1)/2)+CJ$11,0)=EOMONTH($DF$3,0),CJ$9*CJ$10,0),0),IF(AND(CF$9&lt;&gt;"",CF$11&lt;&gt;""),IF(EOMONTH($CD$3+INT((DAY(EOMONTH($CD$3,0))-1)/2)+CF$11,0)=EOMONTH($DF$3,0),CF$9*CF$10,0),0),IF(AND(CB$9&lt;&gt;"",CB$11&lt;&gt;""),IF(EOMONTH($BZ$3+INT((DAY(EOMONTH($BZ$3,0))-1)/2)+CB$11,0)=EOMONTH($DF$3,0),CB$9*CB$10,0),0),IF(AND(BX$9&lt;&gt;"",BX$11&lt;&gt;""),IF(EOMONTH($BV$3+INT((DAY(EOMONTH($BV$3,0))-1)/2)+BX$11,0)=EOMONTH($DF$3,0),BX$9*BX$10,0),0),IF(AND(BT$9&lt;&gt;"",BT$11&lt;&gt;""),IF(EOMONTH($BR$3+INT((DAY(EOMONTH($BR$3,0))-1)/2)+BT$11,0)=EOMONTH($DF$3,0),BT$9*BT$10,0),0),IF(AND(BP$9&lt;&gt;"",BP$11&lt;&gt;""),IF(EOMONTH($BN$3+INT((DAY(EOMONTH($BN$3,0))-1)/2)+BP$11,0)=EOMONTH($DF$3,0),BP$9*BP$10,0),0),IF(AND(BL$9&lt;&gt;"",BL$11&lt;&gt;""),IF(EOMONTH($BJ$3+INT((DAY(EOMONTH($BJ$3,0))-1)/2)+BL$11,0)=EOMONTH($DF$3,0),BL$9*BL$10,0),0),IF(AND(BH$9&lt;&gt;"",BH$11&lt;&gt;""),IF(EOMONTH($BF$3+INT((DAY(EOMONTH($BF$3,0))-1)/2)+BH$11,0)=EOMONTH($DF$3,0),BH$9*BH$10,0),0),IF(AND(BD$9&lt;&gt;"",BD$11&lt;&gt;""),IF(EOMONTH($BB$3+INT((DAY(EOMONTH($BB$3,0))-1)/2)+BD$11,0)=EOMONTH($DF$3,0),BD$9*BD$10,0),0),IF(AND(AZ$9&lt;&gt;"",AZ$11&lt;&gt;""),IF(EOMONTH($AX$3+INT((DAY(EOMONTH($AX$3,0))-1)/2)+AZ$11,0)=EOMONTH($DF$3,0),AZ$9*AZ$10,0),0),IF(AND(AV$9&lt;&gt;"",AV$11&lt;&gt;""),IF(EOMONTH($AT$3+INT((DAY(EOMONTH($AT$3,0))-1)/2)+AV$11,0)=EOMONTH($DF$3,0),AV$9*AV$10,0),0),IF(AND(AR$9&lt;&gt;"",AR$11&lt;&gt;""),IF(EOMONTH($AP$3+INT((DAY(EOMONTH($AP$3,0))-1)/2)+AR$11,0)=EOMONTH($DF$3,0),AR$9*AR$10,0),0),IF(AND(AN$9&lt;&gt;"",AN$11&lt;&gt;""),IF(EOMONTH($AL$3+INT((DAY(EOMONTH($AL$3,0))-1)/2)+AN$11,0)=EOMONTH($DF$3,0),AN$9*AN$10,0),0),IF(AND(AJ$9&lt;&gt;"",AJ$11&lt;&gt;""),IF(EOMONTH($AH$3+INT((DAY(EOMONTH($AH$3,0))-1)/2)+AJ$11,0)=EOMONTH($DF$3,0),AJ$9*AJ$10,0),0),IF(AND(AF$9&lt;&gt;"",AF$11&lt;&gt;""),IF(EOMONTH($AD$3+INT((DAY(EOMONTH($AD$3,0))-1)/2)+AF$11,0)=EOMONTH($DF$3,0),AF$9*AF$10,0),0),IF(AND(AB$9&lt;&gt;"",AB$11&lt;&gt;""),IF(EOMONTH($Z$3+INT((DAY(EOMONTH($Z$3,0))-1)/2)+AB$11,0)=EOMONTH($DF$3,0),AB$9*AB$10,0),0),IF(AND(X$9&lt;&gt;"",X$11&lt;&gt;""),IF(EOMONTH($V$3+INT((DAY(EOMONTH($V$3,0))-1)/2)+X$11,0)=EOMONTH($DF$3,0),X$9*X$10,0),0),IF(AND(T$9&lt;&gt;"",T$11&lt;&gt;""),IF(EOMONTH($R$3+INT((DAY(EOMONTH($R$3,0))-1)/2)+T$11,0)=EOMONTH($DF$3,0),T$9*T$10,0),0),IF(AND(P$9&lt;&gt;"",P$11&lt;&gt;""),IF(EOMONTH($N$3+INT((DAY(EOMONTH($N$3,0))-1)/2)+P$11,0)=EOMONTH($DF$3,0),P$9*P$10,0),0),IF(AND(L$9&lt;&gt;"",L$11&lt;&gt;""),IF(EOMONTH($J$3+INT((DAY(EOMONTH($J$3,0))-1)/2)+L$11,0)=EOMONTH($DF$3,0),L$9*L$10,0),0),IF(AND(H$9&lt;&gt;"",H$11&lt;&gt;""),IF(EOMONTH($F$3+INT((DAY(EOMONTH($F$3,0))-1)/2)+H$11,0)=EOMONTH($DF$3,0),H$9*H$10,0),0),IF($EP$75="",0,IF(EOMONTH($EP$75+ER$11,0)=EOMONTH($DF$3,0),$EP$76*ER$10,0))),0)</f>
        <v>12</v>
      </c>
      <c r="DI12" s="16">
        <f t="shared" si="57"/>
        <v>0</v>
      </c>
      <c r="DJ12" s="17"/>
      <c r="DK12" s="14">
        <f>IF(DJ$98=1,DJ12,ROUND(SUM(IF(AND(EQ$9&lt;&gt;"",EQ$11&lt;&gt;""),IF(EOMONTH($EP$3+INT((DAY(EOMONTH($EP$3,0))-1)/2)+EQ$11,0)=EOMONTH($DJ$3,0),EQ$9*EQ$10,0),0),IF(AND(EM$9&lt;&gt;"",EM$11&lt;&gt;""),IF(EOMONTH($EL$3+INT((DAY(EOMONTH($EL$3,0))-1)/2)+EM$11,0)=EOMONTH($DJ$3,0),EM$9*EM$10,0),0),IF(AND(EI$9&lt;&gt;"",EI$11&lt;&gt;""),IF(EOMONTH($EH$3+INT((DAY(EOMONTH($EH$3,0))-1)/2)+EI$11,0)=EOMONTH($DJ$3,0),EI$9*EI$10,0),0),IF(AND(EE$9&lt;&gt;"",EE$11&lt;&gt;""),IF(EOMONTH($ED$3+INT((DAY(EOMONTH($ED$3,0))-1)/2)+EE$11,0)=EOMONTH($DJ$3,0),EE$9*EE$10,0),0),IF(AND(EA$9&lt;&gt;"",EA$11&lt;&gt;""),IF(EOMONTH($DZ$3+INT((DAY(EOMONTH($DZ$3,0))-1)/2)+EA$11,0)=EOMONTH($DJ$3,0),EA$9*EA$10,0),0),IF(AND(DW$9&lt;&gt;"",DW$11&lt;&gt;""),IF(EOMONTH($DV$3+INT((DAY(EOMONTH($DV$3,0))-1)/2)+DW$11,0)=EOMONTH($DJ$3,0),DW$9*DW$10,0),0),IF(AND(DS$9&lt;&gt;"",DS$11&lt;&gt;""),IF(EOMONTH($DR$3+INT((DAY(EOMONTH($DR$3,0))-1)/2)+DS$11,0)=EOMONTH($DJ$3,0),DS$9*DS$10,0),0),IF(AND(DO$9&lt;&gt;"",DO$11&lt;&gt;""),IF(EOMONTH($DN$3+INT((DAY(EOMONTH($DN$3,0))-1)/2)+DO$11,0)=EOMONTH($DJ$3,0),DO$9*DO$10,0),0),IF(AND(DK$9&lt;&gt;"",DK$11&lt;&gt;""),IF(EOMONTH($DJ$3+INT((DAY(EOMONTH($DJ$3,0))-1)/2)+DK$11,0)=EOMONTH($DJ$3,0),DK$9*DK$10,0),0),IF(AND(DG$9&lt;&gt;"",DG$11&lt;&gt;""),IF(EOMONTH($DF$3+INT((DAY(EOMONTH($DF$3,0))-1)/2)+DG$11,0)=EOMONTH($DJ$3,0),DG$9*DG$10,0),0),IF(AND(DC$9&lt;&gt;"",DC$11&lt;&gt;""),IF(EOMONTH($DB$3+INT((DAY(EOMONTH($DB$3,0))-1)/2)+DC$11,0)=EOMONTH($DJ$3,0),DC$9*DC$10,0),0),IF(AND(CY$9&lt;&gt;"",CY$11&lt;&gt;""),IF(EOMONTH($CX$3+INT((DAY(EOMONTH($CX$3,0))-1)/2)+CY$11,0)=EOMONTH($DJ$3,0),CY$9*CY$10,0),0),IF(AND(CU$9&lt;&gt;"",CU$11&lt;&gt;""),IF(EOMONTH($CT$3+INT((DAY(EOMONTH($CT$3,0))-1)/2)+CU$11,0)=EOMONTH($DJ$3,0),CU$9*CU$10,0),0),IF(AND(CQ$9&lt;&gt;"",CQ$11&lt;&gt;""),IF(EOMONTH($CP$3+INT((DAY(EOMONTH($CP$3,0))-1)/2)+CQ$11,0)=EOMONTH($DJ$3,0),CQ$9*CQ$10,0),0),IF(AND(CM$9&lt;&gt;"",CM$11&lt;&gt;""),IF(EOMONTH($CL$3+INT((DAY(EOMONTH($CL$3,0))-1)/2)+CM$11,0)=EOMONTH($DJ$3,0),CM$9*CM$10,0),0),IF(AND(CI$9&lt;&gt;"",CI$11&lt;&gt;""),IF(EOMONTH($CH$3+INT((DAY(EOMONTH($CH$3,0))-1)/2)+CI$11,0)=EOMONTH($DJ$3,0),CI$9*CI$10,0),0),IF(AND(CE$9&lt;&gt;"",CE$11&lt;&gt;""),IF(EOMONTH($CD$3+INT((DAY(EOMONTH($CD$3,0))-1)/2)+CE$11,0)=EOMONTH($DJ$3,0),CE$9*CE$10,0),0),IF(AND(CA$9&lt;&gt;"",CA$11&lt;&gt;""),IF(EOMONTH($BZ$3+INT((DAY(EOMONTH($BZ$3,0))-1)/2)+CA$11,0)=EOMONTH($DJ$3,0),CA$9*CA$10,0),0),IF(AND(BW$9&lt;&gt;"",BW$11&lt;&gt;""),IF(EOMONTH($BV$3+INT((DAY(EOMONTH($BV$3,0))-1)/2)+BW$11,0)=EOMONTH($DJ$3,0),BW$9*BW$10,0),0),IF(AND(BS$9&lt;&gt;"",BS$11&lt;&gt;""),IF(EOMONTH($BR$3+INT((DAY(EOMONTH($BR$3,0))-1)/2)+BS$11,0)=EOMONTH($DJ$3,0),BS$9*BS$10,0),0),IF(AND(BO$9&lt;&gt;"",BO$11&lt;&gt;""),IF(EOMONTH($BN$3+INT((DAY(EOMONTH($BN$3,0))-1)/2)+BO$11,0)=EOMONTH($DJ$3,0),BO$9*BO$10,0),0),IF(AND(BK$9&lt;&gt;"",BK$11&lt;&gt;""),IF(EOMONTH($BJ$3+INT((DAY(EOMONTH($BJ$3,0))-1)/2)+BK$11,0)=EOMONTH($DJ$3,0),BK$9*BK$10,0),0),IF(AND(BG$9&lt;&gt;"",BG$11&lt;&gt;""),IF(EOMONTH($BF$3+INT((DAY(EOMONTH($BF$3,0))-1)/2)+BG$11,0)=EOMONTH($DJ$3,0),BG$9*BG$10,0),0),IF(AND(BC$9&lt;&gt;"",BC$11&lt;&gt;""),IF(EOMONTH($BB$3+INT((DAY(EOMONTH($BB$3,0))-1)/2)+BC$11,0)=EOMONTH($DJ$3,0),BC$9*BC$10,0),0),IF(AND(AY$9&lt;&gt;"",AY$11&lt;&gt;""),IF(EOMONTH($AX$3+INT((DAY(EOMONTH($AX$3,0))-1)/2)+AY$11,0)=EOMONTH($DJ$3,0),AY$9*AY$10,0),0),IF(AND(AU$9&lt;&gt;"",AU$11&lt;&gt;""),IF(EOMONTH($AT$3+INT((DAY(EOMONTH($AT$3,0))-1)/2)+AU$11,0)=EOMONTH($DJ$3,0),AU$9*AU$10,0),0),IF(AND(AQ$9&lt;&gt;"",AQ$11&lt;&gt;""),IF(EOMONTH($AP$3+INT((DAY(EOMONTH($AP$3,0))-1)/2)+AQ$11,0)=EOMONTH($DJ$3,0),AQ$9*AQ$10,0),0),IF(AND(AM$9&lt;&gt;"",AM$11&lt;&gt;""),IF(EOMONTH($AL$3+INT((DAY(EOMONTH($AL$3,0))-1)/2)+AM$11,0)=EOMONTH($DJ$3,0),AM$9*AM$10,0),0),IF(AND(AI$9&lt;&gt;"",AI$11&lt;&gt;""),IF(EOMONTH($AH$3+INT((DAY(EOMONTH($AH$3,0))-1)/2)+AI$11,0)=EOMONTH($DJ$3,0),AI$9*AI$10,0),0),IF(AND(AE$9&lt;&gt;"",AE$11&lt;&gt;""),IF(EOMONTH($AD$3+INT((DAY(EOMONTH($AD$3,0))-1)/2)+AE$11,0)=EOMONTH($DJ$3,0),AE$9*AE$10,0),0),IF(AND(AA$9&lt;&gt;"",AA$11&lt;&gt;""),IF(EOMONTH($Z$3+INT((DAY(EOMONTH($Z$3,0))-1)/2)+AA$11,0)=EOMONTH($DJ$3,0),AA$9*AA$10,0),0),IF(AND(W$9&lt;&gt;"",W$11&lt;&gt;""),IF(EOMONTH($V$3+INT((DAY(EOMONTH($V$3,0))-1)/2)+W$11,0)=EOMONTH($DJ$3,0),W$9*W$10,0),0),IF(AND(S$9&lt;&gt;"",S$11&lt;&gt;""),IF(EOMONTH($R$3+INT((DAY(EOMONTH($R$3,0))-1)/2)+S$11,0)=EOMONTH($DJ$3,0),S$9*S$10,0),0),IF(AND(O$9&lt;&gt;"",O$11&lt;&gt;""),IF(EOMONTH($N$3+INT((DAY(EOMONTH($N$3,0))-1)/2)+O$11,0)=EOMONTH($DJ$3,0),O$9*O$10,0),0),IF(AND(K$9&lt;&gt;"",K$11&lt;&gt;""),IF(EOMONTH($J$3+INT((DAY(EOMONTH($J$3,0))-1)/2)+K$11,0)=EOMONTH($DJ$3,0),K$9*K$10,0),0),IF(AND(G$9&lt;&gt;"",G$11&lt;&gt;""),IF(EOMONTH($F$3+INT((DAY(EOMONTH($F$3,0))-1)/2)+G$11,0)=EOMONTH($DJ$3,0),G$9*G$10,0),0),IF($EP$75="",0,IF(EOMONTH($EP$75+EQ$11,0)=EOMONTH($DJ$3,0),$EP$76*EQ$10,0))),0))</f>
        <v>12</v>
      </c>
      <c r="DL12" s="15">
        <f>ROUND(SUM(IF(AND(ER$9&lt;&gt;"",ER$11&lt;&gt;""),IF(EOMONTH($EP$3+INT((DAY(EOMONTH($EP$3,0))-1)/2)+ER$11,0)=EOMONTH($DJ$3,0),ER$9*ER$10,0),0),IF(AND(EN$9&lt;&gt;"",EN$11&lt;&gt;""),IF(EOMONTH($EL$3+INT((DAY(EOMONTH($EL$3,0))-1)/2)+EN$11,0)=EOMONTH($DJ$3,0),EN$9*EN$10,0),0),IF(AND(EJ$9&lt;&gt;"",EJ$11&lt;&gt;""),IF(EOMONTH($EH$3+INT((DAY(EOMONTH($EH$3,0))-1)/2)+EJ$11,0)=EOMONTH($DJ$3,0),EJ$9*EJ$10,0),0),IF(AND(EF$9&lt;&gt;"",EF$11&lt;&gt;""),IF(EOMONTH($ED$3+INT((DAY(EOMONTH($ED$3,0))-1)/2)+EF$11,0)=EOMONTH($DJ$3,0),EF$9*EF$10,0),0),IF(AND(EB$9&lt;&gt;"",EB$11&lt;&gt;""),IF(EOMONTH($DZ$3+INT((DAY(EOMONTH($DZ$3,0))-1)/2)+EB$11,0)=EOMONTH($DJ$3,0),EB$9*EB$10,0),0),IF(AND(DX$9&lt;&gt;"",DX$11&lt;&gt;""),IF(EOMONTH($DV$3+INT((DAY(EOMONTH($DV$3,0))-1)/2)+DX$11,0)=EOMONTH($DJ$3,0),DX$9*DX$10,0),0),IF(AND(DT$9&lt;&gt;"",DT$11&lt;&gt;""),IF(EOMONTH($DR$3+INT((DAY(EOMONTH($DR$3,0))-1)/2)+DT$11,0)=EOMONTH($DJ$3,0),DT$9*DT$10,0),0),IF(AND(DP$9&lt;&gt;"",DP$11&lt;&gt;""),IF(EOMONTH($DN$3+INT((DAY(EOMONTH($DN$3,0))-1)/2)+DP$11,0)=EOMONTH($DJ$3,0),DP$9*DP$10,0),0),IF(AND(DL$9&lt;&gt;"",DL$11&lt;&gt;""),IF(EOMONTH($DJ$3+INT((DAY(EOMONTH($DJ$3,0))-1)/2)+DL$11,0)=EOMONTH($DJ$3,0),DL$9*DL$10,0),0),IF(AND(DH$9&lt;&gt;"",DH$11&lt;&gt;""),IF(EOMONTH($DF$3+INT((DAY(EOMONTH($DF$3,0))-1)/2)+DH$11,0)=EOMONTH($DJ$3,0),DH$9*DH$10,0),0),IF(AND(DD$9&lt;&gt;"",DD$11&lt;&gt;""),IF(EOMONTH($DB$3+INT((DAY(EOMONTH($DB$3,0))-1)/2)+DD$11,0)=EOMONTH($DJ$3,0),DD$9*DD$10,0),0),IF(AND(CZ$9&lt;&gt;"",CZ$11&lt;&gt;""),IF(EOMONTH($CX$3+INT((DAY(EOMONTH($CX$3,0))-1)/2)+CZ$11,0)=EOMONTH($DJ$3,0),CZ$9*CZ$10,0),0),IF(AND(CV$9&lt;&gt;"",CV$11&lt;&gt;""),IF(EOMONTH($CT$3+INT((DAY(EOMONTH($CT$3,0))-1)/2)+CV$11,0)=EOMONTH($DJ$3,0),CV$9*CV$10,0),0),IF(AND(CR$9&lt;&gt;"",CR$11&lt;&gt;""),IF(EOMONTH($CP$3+INT((DAY(EOMONTH($CP$3,0))-1)/2)+CR$11,0)=EOMONTH($DJ$3,0),CR$9*CR$10,0),0),IF(AND(CN$9&lt;&gt;"",CN$11&lt;&gt;""),IF(EOMONTH($CL$3+INT((DAY(EOMONTH($CL$3,0))-1)/2)+CN$11,0)=EOMONTH($DJ$3,0),CN$9*CN$10,0),0),IF(AND(CJ$9&lt;&gt;"",CJ$11&lt;&gt;""),IF(EOMONTH($CH$3+INT((DAY(EOMONTH($CH$3,0))-1)/2)+CJ$11,0)=EOMONTH($DJ$3,0),CJ$9*CJ$10,0),0),IF(AND(CF$9&lt;&gt;"",CF$11&lt;&gt;""),IF(EOMONTH($CD$3+INT((DAY(EOMONTH($CD$3,0))-1)/2)+CF$11,0)=EOMONTH($DJ$3,0),CF$9*CF$10,0),0),IF(AND(CB$9&lt;&gt;"",CB$11&lt;&gt;""),IF(EOMONTH($BZ$3+INT((DAY(EOMONTH($BZ$3,0))-1)/2)+CB$11,0)=EOMONTH($DJ$3,0),CB$9*CB$10,0),0),IF(AND(BX$9&lt;&gt;"",BX$11&lt;&gt;""),IF(EOMONTH($BV$3+INT((DAY(EOMONTH($BV$3,0))-1)/2)+BX$11,0)=EOMONTH($DJ$3,0),BX$9*BX$10,0),0),IF(AND(BT$9&lt;&gt;"",BT$11&lt;&gt;""),IF(EOMONTH($BR$3+INT((DAY(EOMONTH($BR$3,0))-1)/2)+BT$11,0)=EOMONTH($DJ$3,0),BT$9*BT$10,0),0),IF(AND(BP$9&lt;&gt;"",BP$11&lt;&gt;""),IF(EOMONTH($BN$3+INT((DAY(EOMONTH($BN$3,0))-1)/2)+BP$11,0)=EOMONTH($DJ$3,0),BP$9*BP$10,0),0),IF(AND(BL$9&lt;&gt;"",BL$11&lt;&gt;""),IF(EOMONTH($BJ$3+INT((DAY(EOMONTH($BJ$3,0))-1)/2)+BL$11,0)=EOMONTH($DJ$3,0),BL$9*BL$10,0),0),IF(AND(BH$9&lt;&gt;"",BH$11&lt;&gt;""),IF(EOMONTH($BF$3+INT((DAY(EOMONTH($BF$3,0))-1)/2)+BH$11,0)=EOMONTH($DJ$3,0),BH$9*BH$10,0),0),IF(AND(BD$9&lt;&gt;"",BD$11&lt;&gt;""),IF(EOMONTH($BB$3+INT((DAY(EOMONTH($BB$3,0))-1)/2)+BD$11,0)=EOMONTH($DJ$3,0),BD$9*BD$10,0),0),IF(AND(AZ$9&lt;&gt;"",AZ$11&lt;&gt;""),IF(EOMONTH($AX$3+INT((DAY(EOMONTH($AX$3,0))-1)/2)+AZ$11,0)=EOMONTH($DJ$3,0),AZ$9*AZ$10,0),0),IF(AND(AV$9&lt;&gt;"",AV$11&lt;&gt;""),IF(EOMONTH($AT$3+INT((DAY(EOMONTH($AT$3,0))-1)/2)+AV$11,0)=EOMONTH($DJ$3,0),AV$9*AV$10,0),0),IF(AND(AR$9&lt;&gt;"",AR$11&lt;&gt;""),IF(EOMONTH($AP$3+INT((DAY(EOMONTH($AP$3,0))-1)/2)+AR$11,0)=EOMONTH($DJ$3,0),AR$9*AR$10,0),0),IF(AND(AN$9&lt;&gt;"",AN$11&lt;&gt;""),IF(EOMONTH($AL$3+INT((DAY(EOMONTH($AL$3,0))-1)/2)+AN$11,0)=EOMONTH($DJ$3,0),AN$9*AN$10,0),0),IF(AND(AJ$9&lt;&gt;"",AJ$11&lt;&gt;""),IF(EOMONTH($AH$3+INT((DAY(EOMONTH($AH$3,0))-1)/2)+AJ$11,0)=EOMONTH($DJ$3,0),AJ$9*AJ$10,0),0),IF(AND(AF$9&lt;&gt;"",AF$11&lt;&gt;""),IF(EOMONTH($AD$3+INT((DAY(EOMONTH($AD$3,0))-1)/2)+AF$11,0)=EOMONTH($DJ$3,0),AF$9*AF$10,0),0),IF(AND(AB$9&lt;&gt;"",AB$11&lt;&gt;""),IF(EOMONTH($Z$3+INT((DAY(EOMONTH($Z$3,0))-1)/2)+AB$11,0)=EOMONTH($DJ$3,0),AB$9*AB$10,0),0),IF(AND(X$9&lt;&gt;"",X$11&lt;&gt;""),IF(EOMONTH($V$3+INT((DAY(EOMONTH($V$3,0))-1)/2)+X$11,0)=EOMONTH($DJ$3,0),X$9*X$10,0),0),IF(AND(T$9&lt;&gt;"",T$11&lt;&gt;""),IF(EOMONTH($R$3+INT((DAY(EOMONTH($R$3,0))-1)/2)+T$11,0)=EOMONTH($DJ$3,0),T$9*T$10,0),0),IF(AND(P$9&lt;&gt;"",P$11&lt;&gt;""),IF(EOMONTH($N$3+INT((DAY(EOMONTH($N$3,0))-1)/2)+P$11,0)=EOMONTH($DJ$3,0),P$9*P$10,0),0),IF(AND(L$9&lt;&gt;"",L$11&lt;&gt;""),IF(EOMONTH($J$3+INT((DAY(EOMONTH($J$3,0))-1)/2)+L$11,0)=EOMONTH($DJ$3,0),L$9*L$10,0),0),IF(AND(H$9&lt;&gt;"",H$11&lt;&gt;""),IF(EOMONTH($F$3+INT((DAY(EOMONTH($F$3,0))-1)/2)+H$11,0)=EOMONTH($DJ$3,0),H$9*H$10,0),0),IF($EP$75="",0,IF(EOMONTH($EP$75+ER$11,0)=EOMONTH($DJ$3,0),$EP$76*ER$10,0))),0)</f>
        <v>12</v>
      </c>
      <c r="DM12" s="16">
        <f t="shared" si="59"/>
        <v>0</v>
      </c>
      <c r="DN12" s="17"/>
      <c r="DO12" s="14">
        <f>IF(DN$98=1,DN12,ROUND(SUM(IF(AND(EQ$9&lt;&gt;"",EQ$11&lt;&gt;""),IF(EOMONTH($EP$3+INT((DAY(EOMONTH($EP$3,0))-1)/2)+EQ$11,0)=EOMONTH($DN$3,0),EQ$9*EQ$10,0),0),IF(AND(EM$9&lt;&gt;"",EM$11&lt;&gt;""),IF(EOMONTH($EL$3+INT((DAY(EOMONTH($EL$3,0))-1)/2)+EM$11,0)=EOMONTH($DN$3,0),EM$9*EM$10,0),0),IF(AND(EI$9&lt;&gt;"",EI$11&lt;&gt;""),IF(EOMONTH($EH$3+INT((DAY(EOMONTH($EH$3,0))-1)/2)+EI$11,0)=EOMONTH($DN$3,0),EI$9*EI$10,0),0),IF(AND(EE$9&lt;&gt;"",EE$11&lt;&gt;""),IF(EOMONTH($ED$3+INT((DAY(EOMONTH($ED$3,0))-1)/2)+EE$11,0)=EOMONTH($DN$3,0),EE$9*EE$10,0),0),IF(AND(EA$9&lt;&gt;"",EA$11&lt;&gt;""),IF(EOMONTH($DZ$3+INT((DAY(EOMONTH($DZ$3,0))-1)/2)+EA$11,0)=EOMONTH($DN$3,0),EA$9*EA$10,0),0),IF(AND(DW$9&lt;&gt;"",DW$11&lt;&gt;""),IF(EOMONTH($DV$3+INT((DAY(EOMONTH($DV$3,0))-1)/2)+DW$11,0)=EOMONTH($DN$3,0),DW$9*DW$10,0),0),IF(AND(DS$9&lt;&gt;"",DS$11&lt;&gt;""),IF(EOMONTH($DR$3+INT((DAY(EOMONTH($DR$3,0))-1)/2)+DS$11,0)=EOMONTH($DN$3,0),DS$9*DS$10,0),0),IF(AND(DO$9&lt;&gt;"",DO$11&lt;&gt;""),IF(EOMONTH($DN$3+INT((DAY(EOMONTH($DN$3,0))-1)/2)+DO$11,0)=EOMONTH($DN$3,0),DO$9*DO$10,0),0),IF(AND(DK$9&lt;&gt;"",DK$11&lt;&gt;""),IF(EOMONTH($DJ$3+INT((DAY(EOMONTH($DJ$3,0))-1)/2)+DK$11,0)=EOMONTH($DN$3,0),DK$9*DK$10,0),0),IF(AND(DG$9&lt;&gt;"",DG$11&lt;&gt;""),IF(EOMONTH($DF$3+INT((DAY(EOMONTH($DF$3,0))-1)/2)+DG$11,0)=EOMONTH($DN$3,0),DG$9*DG$10,0),0),IF(AND(DC$9&lt;&gt;"",DC$11&lt;&gt;""),IF(EOMONTH($DB$3+INT((DAY(EOMONTH($DB$3,0))-1)/2)+DC$11,0)=EOMONTH($DN$3,0),DC$9*DC$10,0),0),IF(AND(CY$9&lt;&gt;"",CY$11&lt;&gt;""),IF(EOMONTH($CX$3+INT((DAY(EOMONTH($CX$3,0))-1)/2)+CY$11,0)=EOMONTH($DN$3,0),CY$9*CY$10,0),0),IF(AND(CU$9&lt;&gt;"",CU$11&lt;&gt;""),IF(EOMONTH($CT$3+INT((DAY(EOMONTH($CT$3,0))-1)/2)+CU$11,0)=EOMONTH($DN$3,0),CU$9*CU$10,0),0),IF(AND(CQ$9&lt;&gt;"",CQ$11&lt;&gt;""),IF(EOMONTH($CP$3+INT((DAY(EOMONTH($CP$3,0))-1)/2)+CQ$11,0)=EOMONTH($DN$3,0),CQ$9*CQ$10,0),0),IF(AND(CM$9&lt;&gt;"",CM$11&lt;&gt;""),IF(EOMONTH($CL$3+INT((DAY(EOMONTH($CL$3,0))-1)/2)+CM$11,0)=EOMONTH($DN$3,0),CM$9*CM$10,0),0),IF(AND(CI$9&lt;&gt;"",CI$11&lt;&gt;""),IF(EOMONTH($CH$3+INT((DAY(EOMONTH($CH$3,0))-1)/2)+CI$11,0)=EOMONTH($DN$3,0),CI$9*CI$10,0),0),IF(AND(CE$9&lt;&gt;"",CE$11&lt;&gt;""),IF(EOMONTH($CD$3+INT((DAY(EOMONTH($CD$3,0))-1)/2)+CE$11,0)=EOMONTH($DN$3,0),CE$9*CE$10,0),0),IF(AND(CA$9&lt;&gt;"",CA$11&lt;&gt;""),IF(EOMONTH($BZ$3+INT((DAY(EOMONTH($BZ$3,0))-1)/2)+CA$11,0)=EOMONTH($DN$3,0),CA$9*CA$10,0),0),IF(AND(BW$9&lt;&gt;"",BW$11&lt;&gt;""),IF(EOMONTH($BV$3+INT((DAY(EOMONTH($BV$3,0))-1)/2)+BW$11,0)=EOMONTH($DN$3,0),BW$9*BW$10,0),0),IF(AND(BS$9&lt;&gt;"",BS$11&lt;&gt;""),IF(EOMONTH($BR$3+INT((DAY(EOMONTH($BR$3,0))-1)/2)+BS$11,0)=EOMONTH($DN$3,0),BS$9*BS$10,0),0),IF(AND(BO$9&lt;&gt;"",BO$11&lt;&gt;""),IF(EOMONTH($BN$3+INT((DAY(EOMONTH($BN$3,0))-1)/2)+BO$11,0)=EOMONTH($DN$3,0),BO$9*BO$10,0),0),IF(AND(BK$9&lt;&gt;"",BK$11&lt;&gt;""),IF(EOMONTH($BJ$3+INT((DAY(EOMONTH($BJ$3,0))-1)/2)+BK$11,0)=EOMONTH($DN$3,0),BK$9*BK$10,0),0),IF(AND(BG$9&lt;&gt;"",BG$11&lt;&gt;""),IF(EOMONTH($BF$3+INT((DAY(EOMONTH($BF$3,0))-1)/2)+BG$11,0)=EOMONTH($DN$3,0),BG$9*BG$10,0),0),IF(AND(BC$9&lt;&gt;"",BC$11&lt;&gt;""),IF(EOMONTH($BB$3+INT((DAY(EOMONTH($BB$3,0))-1)/2)+BC$11,0)=EOMONTH($DN$3,0),BC$9*BC$10,0),0),IF(AND(AY$9&lt;&gt;"",AY$11&lt;&gt;""),IF(EOMONTH($AX$3+INT((DAY(EOMONTH($AX$3,0))-1)/2)+AY$11,0)=EOMONTH($DN$3,0),AY$9*AY$10,0),0),IF(AND(AU$9&lt;&gt;"",AU$11&lt;&gt;""),IF(EOMONTH($AT$3+INT((DAY(EOMONTH($AT$3,0))-1)/2)+AU$11,0)=EOMONTH($DN$3,0),AU$9*AU$10,0),0),IF(AND(AQ$9&lt;&gt;"",AQ$11&lt;&gt;""),IF(EOMONTH($AP$3+INT((DAY(EOMONTH($AP$3,0))-1)/2)+AQ$11,0)=EOMONTH($DN$3,0),AQ$9*AQ$10,0),0),IF(AND(AM$9&lt;&gt;"",AM$11&lt;&gt;""),IF(EOMONTH($AL$3+INT((DAY(EOMONTH($AL$3,0))-1)/2)+AM$11,0)=EOMONTH($DN$3,0),AM$9*AM$10,0),0),IF(AND(AI$9&lt;&gt;"",AI$11&lt;&gt;""),IF(EOMONTH($AH$3+INT((DAY(EOMONTH($AH$3,0))-1)/2)+AI$11,0)=EOMONTH($DN$3,0),AI$9*AI$10,0),0),IF(AND(AE$9&lt;&gt;"",AE$11&lt;&gt;""),IF(EOMONTH($AD$3+INT((DAY(EOMONTH($AD$3,0))-1)/2)+AE$11,0)=EOMONTH($DN$3,0),AE$9*AE$10,0),0),IF(AND(AA$9&lt;&gt;"",AA$11&lt;&gt;""),IF(EOMONTH($Z$3+INT((DAY(EOMONTH($Z$3,0))-1)/2)+AA$11,0)=EOMONTH($DN$3,0),AA$9*AA$10,0),0),IF(AND(W$9&lt;&gt;"",W$11&lt;&gt;""),IF(EOMONTH($V$3+INT((DAY(EOMONTH($V$3,0))-1)/2)+W$11,0)=EOMONTH($DN$3,0),W$9*W$10,0),0),IF(AND(S$9&lt;&gt;"",S$11&lt;&gt;""),IF(EOMONTH($R$3+INT((DAY(EOMONTH($R$3,0))-1)/2)+S$11,0)=EOMONTH($DN$3,0),S$9*S$10,0),0),IF(AND(O$9&lt;&gt;"",O$11&lt;&gt;""),IF(EOMONTH($N$3+INT((DAY(EOMONTH($N$3,0))-1)/2)+O$11,0)=EOMONTH($DN$3,0),O$9*O$10,0),0),IF(AND(K$9&lt;&gt;"",K$11&lt;&gt;""),IF(EOMONTH($J$3+INT((DAY(EOMONTH($J$3,0))-1)/2)+K$11,0)=EOMONTH($DN$3,0),K$9*K$10,0),0),IF(AND(G$9&lt;&gt;"",G$11&lt;&gt;""),IF(EOMONTH($F$3+INT((DAY(EOMONTH($F$3,0))-1)/2)+G$11,0)=EOMONTH($DN$3,0),G$9*G$10,0),0),IF($EP$75="",0,IF(EOMONTH($EP$75+EQ$11,0)=EOMONTH($DN$3,0),$EP$76*EQ$10,0))),0))</f>
        <v>12</v>
      </c>
      <c r="DP12" s="15">
        <f>ROUND(SUM(IF(AND(ER$9&lt;&gt;"",ER$11&lt;&gt;""),IF(EOMONTH($EP$3+INT((DAY(EOMONTH($EP$3,0))-1)/2)+ER$11,0)=EOMONTH($DN$3,0),ER$9*ER$10,0),0),IF(AND(EN$9&lt;&gt;"",EN$11&lt;&gt;""),IF(EOMONTH($EL$3+INT((DAY(EOMONTH($EL$3,0))-1)/2)+EN$11,0)=EOMONTH($DN$3,0),EN$9*EN$10,0),0),IF(AND(EJ$9&lt;&gt;"",EJ$11&lt;&gt;""),IF(EOMONTH($EH$3+INT((DAY(EOMONTH($EH$3,0))-1)/2)+EJ$11,0)=EOMONTH($DN$3,0),EJ$9*EJ$10,0),0),IF(AND(EF$9&lt;&gt;"",EF$11&lt;&gt;""),IF(EOMONTH($ED$3+INT((DAY(EOMONTH($ED$3,0))-1)/2)+EF$11,0)=EOMONTH($DN$3,0),EF$9*EF$10,0),0),IF(AND(EB$9&lt;&gt;"",EB$11&lt;&gt;""),IF(EOMONTH($DZ$3+INT((DAY(EOMONTH($DZ$3,0))-1)/2)+EB$11,0)=EOMONTH($DN$3,0),EB$9*EB$10,0),0),IF(AND(DX$9&lt;&gt;"",DX$11&lt;&gt;""),IF(EOMONTH($DV$3+INT((DAY(EOMONTH($DV$3,0))-1)/2)+DX$11,0)=EOMONTH($DN$3,0),DX$9*DX$10,0),0),IF(AND(DT$9&lt;&gt;"",DT$11&lt;&gt;""),IF(EOMONTH($DR$3+INT((DAY(EOMONTH($DR$3,0))-1)/2)+DT$11,0)=EOMONTH($DN$3,0),DT$9*DT$10,0),0),IF(AND(DP$9&lt;&gt;"",DP$11&lt;&gt;""),IF(EOMONTH($DN$3+INT((DAY(EOMONTH($DN$3,0))-1)/2)+DP$11,0)=EOMONTH($DN$3,0),DP$9*DP$10,0),0),IF(AND(DL$9&lt;&gt;"",DL$11&lt;&gt;""),IF(EOMONTH($DJ$3+INT((DAY(EOMONTH($DJ$3,0))-1)/2)+DL$11,0)=EOMONTH($DN$3,0),DL$9*DL$10,0),0),IF(AND(DH$9&lt;&gt;"",DH$11&lt;&gt;""),IF(EOMONTH($DF$3+INT((DAY(EOMONTH($DF$3,0))-1)/2)+DH$11,0)=EOMONTH($DN$3,0),DH$9*DH$10,0),0),IF(AND(DD$9&lt;&gt;"",DD$11&lt;&gt;""),IF(EOMONTH($DB$3+INT((DAY(EOMONTH($DB$3,0))-1)/2)+DD$11,0)=EOMONTH($DN$3,0),DD$9*DD$10,0),0),IF(AND(CZ$9&lt;&gt;"",CZ$11&lt;&gt;""),IF(EOMONTH($CX$3+INT((DAY(EOMONTH($CX$3,0))-1)/2)+CZ$11,0)=EOMONTH($DN$3,0),CZ$9*CZ$10,0),0),IF(AND(CV$9&lt;&gt;"",CV$11&lt;&gt;""),IF(EOMONTH($CT$3+INT((DAY(EOMONTH($CT$3,0))-1)/2)+CV$11,0)=EOMONTH($DN$3,0),CV$9*CV$10,0),0),IF(AND(CR$9&lt;&gt;"",CR$11&lt;&gt;""),IF(EOMONTH($CP$3+INT((DAY(EOMONTH($CP$3,0))-1)/2)+CR$11,0)=EOMONTH($DN$3,0),CR$9*CR$10,0),0),IF(AND(CN$9&lt;&gt;"",CN$11&lt;&gt;""),IF(EOMONTH($CL$3+INT((DAY(EOMONTH($CL$3,0))-1)/2)+CN$11,0)=EOMONTH($DN$3,0),CN$9*CN$10,0),0),IF(AND(CJ$9&lt;&gt;"",CJ$11&lt;&gt;""),IF(EOMONTH($CH$3+INT((DAY(EOMONTH($CH$3,0))-1)/2)+CJ$11,0)=EOMONTH($DN$3,0),CJ$9*CJ$10,0),0),IF(AND(CF$9&lt;&gt;"",CF$11&lt;&gt;""),IF(EOMONTH($CD$3+INT((DAY(EOMONTH($CD$3,0))-1)/2)+CF$11,0)=EOMONTH($DN$3,0),CF$9*CF$10,0),0),IF(AND(CB$9&lt;&gt;"",CB$11&lt;&gt;""),IF(EOMONTH($BZ$3+INT((DAY(EOMONTH($BZ$3,0))-1)/2)+CB$11,0)=EOMONTH($DN$3,0),CB$9*CB$10,0),0),IF(AND(BX$9&lt;&gt;"",BX$11&lt;&gt;""),IF(EOMONTH($BV$3+INT((DAY(EOMONTH($BV$3,0))-1)/2)+BX$11,0)=EOMONTH($DN$3,0),BX$9*BX$10,0),0),IF(AND(BT$9&lt;&gt;"",BT$11&lt;&gt;""),IF(EOMONTH($BR$3+INT((DAY(EOMONTH($BR$3,0))-1)/2)+BT$11,0)=EOMONTH($DN$3,0),BT$9*BT$10,0),0),IF(AND(BP$9&lt;&gt;"",BP$11&lt;&gt;""),IF(EOMONTH($BN$3+INT((DAY(EOMONTH($BN$3,0))-1)/2)+BP$11,0)=EOMONTH($DN$3,0),BP$9*BP$10,0),0),IF(AND(BL$9&lt;&gt;"",BL$11&lt;&gt;""),IF(EOMONTH($BJ$3+INT((DAY(EOMONTH($BJ$3,0))-1)/2)+BL$11,0)=EOMONTH($DN$3,0),BL$9*BL$10,0),0),IF(AND(BH$9&lt;&gt;"",BH$11&lt;&gt;""),IF(EOMONTH($BF$3+INT((DAY(EOMONTH($BF$3,0))-1)/2)+BH$11,0)=EOMONTH($DN$3,0),BH$9*BH$10,0),0),IF(AND(BD$9&lt;&gt;"",BD$11&lt;&gt;""),IF(EOMONTH($BB$3+INT((DAY(EOMONTH($BB$3,0))-1)/2)+BD$11,0)=EOMONTH($DN$3,0),BD$9*BD$10,0),0),IF(AND(AZ$9&lt;&gt;"",AZ$11&lt;&gt;""),IF(EOMONTH($AX$3+INT((DAY(EOMONTH($AX$3,0))-1)/2)+AZ$11,0)=EOMONTH($DN$3,0),AZ$9*AZ$10,0),0),IF(AND(AV$9&lt;&gt;"",AV$11&lt;&gt;""),IF(EOMONTH($AT$3+INT((DAY(EOMONTH($AT$3,0))-1)/2)+AV$11,0)=EOMONTH($DN$3,0),AV$9*AV$10,0),0),IF(AND(AR$9&lt;&gt;"",AR$11&lt;&gt;""),IF(EOMONTH($AP$3+INT((DAY(EOMONTH($AP$3,0))-1)/2)+AR$11,0)=EOMONTH($DN$3,0),AR$9*AR$10,0),0),IF(AND(AN$9&lt;&gt;"",AN$11&lt;&gt;""),IF(EOMONTH($AL$3+INT((DAY(EOMONTH($AL$3,0))-1)/2)+AN$11,0)=EOMONTH($DN$3,0),AN$9*AN$10,0),0),IF(AND(AJ$9&lt;&gt;"",AJ$11&lt;&gt;""),IF(EOMONTH($AH$3+INT((DAY(EOMONTH($AH$3,0))-1)/2)+AJ$11,0)=EOMONTH($DN$3,0),AJ$9*AJ$10,0),0),IF(AND(AF$9&lt;&gt;"",AF$11&lt;&gt;""),IF(EOMONTH($AD$3+INT((DAY(EOMONTH($AD$3,0))-1)/2)+AF$11,0)=EOMONTH($DN$3,0),AF$9*AF$10,0),0),IF(AND(AB$9&lt;&gt;"",AB$11&lt;&gt;""),IF(EOMONTH($Z$3+INT((DAY(EOMONTH($Z$3,0))-1)/2)+AB$11,0)=EOMONTH($DN$3,0),AB$9*AB$10,0),0),IF(AND(X$9&lt;&gt;"",X$11&lt;&gt;""),IF(EOMONTH($V$3+INT((DAY(EOMONTH($V$3,0))-1)/2)+X$11,0)=EOMONTH($DN$3,0),X$9*X$10,0),0),IF(AND(T$9&lt;&gt;"",T$11&lt;&gt;""),IF(EOMONTH($R$3+INT((DAY(EOMONTH($R$3,0))-1)/2)+T$11,0)=EOMONTH($DN$3,0),T$9*T$10,0),0),IF(AND(P$9&lt;&gt;"",P$11&lt;&gt;""),IF(EOMONTH($N$3+INT((DAY(EOMONTH($N$3,0))-1)/2)+P$11,0)=EOMONTH($DN$3,0),P$9*P$10,0),0),IF(AND(L$9&lt;&gt;"",L$11&lt;&gt;""),IF(EOMONTH($J$3+INT((DAY(EOMONTH($J$3,0))-1)/2)+L$11,0)=EOMONTH($DN$3,0),L$9*L$10,0),0),IF(AND(H$9&lt;&gt;"",H$11&lt;&gt;""),IF(EOMONTH($F$3+INT((DAY(EOMONTH($F$3,0))-1)/2)+H$11,0)=EOMONTH($DN$3,0),H$9*H$10,0),0),IF($EP$75="",0,IF(EOMONTH($EP$75+ER$11,0)=EOMONTH($DN$3,0),$EP$76*ER$10,0))),0)</f>
        <v>12</v>
      </c>
      <c r="DQ12" s="16">
        <f t="shared" si="61"/>
        <v>0</v>
      </c>
      <c r="DR12" s="17"/>
      <c r="DS12" s="14">
        <f>IF(DR$98=1,DR12,ROUND(SUM(IF(AND(EQ$9&lt;&gt;"",EQ$11&lt;&gt;""),IF(EOMONTH($EP$3+INT((DAY(EOMONTH($EP$3,0))-1)/2)+EQ$11,0)=EOMONTH($DR$3,0),EQ$9*EQ$10,0),0),IF(AND(EM$9&lt;&gt;"",EM$11&lt;&gt;""),IF(EOMONTH($EL$3+INT((DAY(EOMONTH($EL$3,0))-1)/2)+EM$11,0)=EOMONTH($DR$3,0),EM$9*EM$10,0),0),IF(AND(EI$9&lt;&gt;"",EI$11&lt;&gt;""),IF(EOMONTH($EH$3+INT((DAY(EOMONTH($EH$3,0))-1)/2)+EI$11,0)=EOMONTH($DR$3,0),EI$9*EI$10,0),0),IF(AND(EE$9&lt;&gt;"",EE$11&lt;&gt;""),IF(EOMONTH($ED$3+INT((DAY(EOMONTH($ED$3,0))-1)/2)+EE$11,0)=EOMONTH($DR$3,0),EE$9*EE$10,0),0),IF(AND(EA$9&lt;&gt;"",EA$11&lt;&gt;""),IF(EOMONTH($DZ$3+INT((DAY(EOMONTH($DZ$3,0))-1)/2)+EA$11,0)=EOMONTH($DR$3,0),EA$9*EA$10,0),0),IF(AND(DW$9&lt;&gt;"",DW$11&lt;&gt;""),IF(EOMONTH($DV$3+INT((DAY(EOMONTH($DV$3,0))-1)/2)+DW$11,0)=EOMONTH($DR$3,0),DW$9*DW$10,0),0),IF(AND(DS$9&lt;&gt;"",DS$11&lt;&gt;""),IF(EOMONTH($DR$3+INT((DAY(EOMONTH($DR$3,0))-1)/2)+DS$11,0)=EOMONTH($DR$3,0),DS$9*DS$10,0),0),IF(AND(DO$9&lt;&gt;"",DO$11&lt;&gt;""),IF(EOMONTH($DN$3+INT((DAY(EOMONTH($DN$3,0))-1)/2)+DO$11,0)=EOMONTH($DR$3,0),DO$9*DO$10,0),0),IF(AND(DK$9&lt;&gt;"",DK$11&lt;&gt;""),IF(EOMONTH($DJ$3+INT((DAY(EOMONTH($DJ$3,0))-1)/2)+DK$11,0)=EOMONTH($DR$3,0),DK$9*DK$10,0),0),IF(AND(DG$9&lt;&gt;"",DG$11&lt;&gt;""),IF(EOMONTH($DF$3+INT((DAY(EOMONTH($DF$3,0))-1)/2)+DG$11,0)=EOMONTH($DR$3,0),DG$9*DG$10,0),0),IF(AND(DC$9&lt;&gt;"",DC$11&lt;&gt;""),IF(EOMONTH($DB$3+INT((DAY(EOMONTH($DB$3,0))-1)/2)+DC$11,0)=EOMONTH($DR$3,0),DC$9*DC$10,0),0),IF(AND(CY$9&lt;&gt;"",CY$11&lt;&gt;""),IF(EOMONTH($CX$3+INT((DAY(EOMONTH($CX$3,0))-1)/2)+CY$11,0)=EOMONTH($DR$3,0),CY$9*CY$10,0),0),IF(AND(CU$9&lt;&gt;"",CU$11&lt;&gt;""),IF(EOMONTH($CT$3+INT((DAY(EOMONTH($CT$3,0))-1)/2)+CU$11,0)=EOMONTH($DR$3,0),CU$9*CU$10,0),0),IF(AND(CQ$9&lt;&gt;"",CQ$11&lt;&gt;""),IF(EOMONTH($CP$3+INT((DAY(EOMONTH($CP$3,0))-1)/2)+CQ$11,0)=EOMONTH($DR$3,0),CQ$9*CQ$10,0),0),IF(AND(CM$9&lt;&gt;"",CM$11&lt;&gt;""),IF(EOMONTH($CL$3+INT((DAY(EOMONTH($CL$3,0))-1)/2)+CM$11,0)=EOMONTH($DR$3,0),CM$9*CM$10,0),0),IF(AND(CI$9&lt;&gt;"",CI$11&lt;&gt;""),IF(EOMONTH($CH$3+INT((DAY(EOMONTH($CH$3,0))-1)/2)+CI$11,0)=EOMONTH($DR$3,0),CI$9*CI$10,0),0),IF(AND(CE$9&lt;&gt;"",CE$11&lt;&gt;""),IF(EOMONTH($CD$3+INT((DAY(EOMONTH($CD$3,0))-1)/2)+CE$11,0)=EOMONTH($DR$3,0),CE$9*CE$10,0),0),IF(AND(CA$9&lt;&gt;"",CA$11&lt;&gt;""),IF(EOMONTH($BZ$3+INT((DAY(EOMONTH($BZ$3,0))-1)/2)+CA$11,0)=EOMONTH($DR$3,0),CA$9*CA$10,0),0),IF(AND(BW$9&lt;&gt;"",BW$11&lt;&gt;""),IF(EOMONTH($BV$3+INT((DAY(EOMONTH($BV$3,0))-1)/2)+BW$11,0)=EOMONTH($DR$3,0),BW$9*BW$10,0),0),IF(AND(BS$9&lt;&gt;"",BS$11&lt;&gt;""),IF(EOMONTH($BR$3+INT((DAY(EOMONTH($BR$3,0))-1)/2)+BS$11,0)=EOMONTH($DR$3,0),BS$9*BS$10,0),0),IF(AND(BO$9&lt;&gt;"",BO$11&lt;&gt;""),IF(EOMONTH($BN$3+INT((DAY(EOMONTH($BN$3,0))-1)/2)+BO$11,0)=EOMONTH($DR$3,0),BO$9*BO$10,0),0),IF(AND(BK$9&lt;&gt;"",BK$11&lt;&gt;""),IF(EOMONTH($BJ$3+INT((DAY(EOMONTH($BJ$3,0))-1)/2)+BK$11,0)=EOMONTH($DR$3,0),BK$9*BK$10,0),0),IF(AND(BG$9&lt;&gt;"",BG$11&lt;&gt;""),IF(EOMONTH($BF$3+INT((DAY(EOMONTH($BF$3,0))-1)/2)+BG$11,0)=EOMONTH($DR$3,0),BG$9*BG$10,0),0),IF(AND(BC$9&lt;&gt;"",BC$11&lt;&gt;""),IF(EOMONTH($BB$3+INT((DAY(EOMONTH($BB$3,0))-1)/2)+BC$11,0)=EOMONTH($DR$3,0),BC$9*BC$10,0),0),IF(AND(AY$9&lt;&gt;"",AY$11&lt;&gt;""),IF(EOMONTH($AX$3+INT((DAY(EOMONTH($AX$3,0))-1)/2)+AY$11,0)=EOMONTH($DR$3,0),AY$9*AY$10,0),0),IF(AND(AU$9&lt;&gt;"",AU$11&lt;&gt;""),IF(EOMONTH($AT$3+INT((DAY(EOMONTH($AT$3,0))-1)/2)+AU$11,0)=EOMONTH($DR$3,0),AU$9*AU$10,0),0),IF(AND(AQ$9&lt;&gt;"",AQ$11&lt;&gt;""),IF(EOMONTH($AP$3+INT((DAY(EOMONTH($AP$3,0))-1)/2)+AQ$11,0)=EOMONTH($DR$3,0),AQ$9*AQ$10,0),0),IF(AND(AM$9&lt;&gt;"",AM$11&lt;&gt;""),IF(EOMONTH($AL$3+INT((DAY(EOMONTH($AL$3,0))-1)/2)+AM$11,0)=EOMONTH($DR$3,0),AM$9*AM$10,0),0),IF(AND(AI$9&lt;&gt;"",AI$11&lt;&gt;""),IF(EOMONTH($AH$3+INT((DAY(EOMONTH($AH$3,0))-1)/2)+AI$11,0)=EOMONTH($DR$3,0),AI$9*AI$10,0),0),IF(AND(AE$9&lt;&gt;"",AE$11&lt;&gt;""),IF(EOMONTH($AD$3+INT((DAY(EOMONTH($AD$3,0))-1)/2)+AE$11,0)=EOMONTH($DR$3,0),AE$9*AE$10,0),0),IF(AND(AA$9&lt;&gt;"",AA$11&lt;&gt;""),IF(EOMONTH($Z$3+INT((DAY(EOMONTH($Z$3,0))-1)/2)+AA$11,0)=EOMONTH($DR$3,0),AA$9*AA$10,0),0),IF(AND(W$9&lt;&gt;"",W$11&lt;&gt;""),IF(EOMONTH($V$3+INT((DAY(EOMONTH($V$3,0))-1)/2)+W$11,0)=EOMONTH($DR$3,0),W$9*W$10,0),0),IF(AND(S$9&lt;&gt;"",S$11&lt;&gt;""),IF(EOMONTH($R$3+INT((DAY(EOMONTH($R$3,0))-1)/2)+S$11,0)=EOMONTH($DR$3,0),S$9*S$10,0),0),IF(AND(O$9&lt;&gt;"",O$11&lt;&gt;""),IF(EOMONTH($N$3+INT((DAY(EOMONTH($N$3,0))-1)/2)+O$11,0)=EOMONTH($DR$3,0),O$9*O$10,0),0),IF(AND(K$9&lt;&gt;"",K$11&lt;&gt;""),IF(EOMONTH($J$3+INT((DAY(EOMONTH($J$3,0))-1)/2)+K$11,0)=EOMONTH($DR$3,0),K$9*K$10,0),0),IF(AND(G$9&lt;&gt;"",G$11&lt;&gt;""),IF(EOMONTH($F$3+INT((DAY(EOMONTH($F$3,0))-1)/2)+G$11,0)=EOMONTH($DR$3,0),G$9*G$10,0),0),IF($EP$75="",0,IF(EOMONTH($EP$75+EQ$11,0)=EOMONTH($DR$3,0),$EP$76*EQ$10,0))),0))</f>
        <v>11</v>
      </c>
      <c r="DT12" s="15">
        <f>ROUND(SUM(IF(AND(ER$9&lt;&gt;"",ER$11&lt;&gt;""),IF(EOMONTH($EP$3+INT((DAY(EOMONTH($EP$3,0))-1)/2)+ER$11,0)=EOMONTH($DR$3,0),ER$9*ER$10,0),0),IF(AND(EN$9&lt;&gt;"",EN$11&lt;&gt;""),IF(EOMONTH($EL$3+INT((DAY(EOMONTH($EL$3,0))-1)/2)+EN$11,0)=EOMONTH($DR$3,0),EN$9*EN$10,0),0),IF(AND(EJ$9&lt;&gt;"",EJ$11&lt;&gt;""),IF(EOMONTH($EH$3+INT((DAY(EOMONTH($EH$3,0))-1)/2)+EJ$11,0)=EOMONTH($DR$3,0),EJ$9*EJ$10,0),0),IF(AND(EF$9&lt;&gt;"",EF$11&lt;&gt;""),IF(EOMONTH($ED$3+INT((DAY(EOMONTH($ED$3,0))-1)/2)+EF$11,0)=EOMONTH($DR$3,0),EF$9*EF$10,0),0),IF(AND(EB$9&lt;&gt;"",EB$11&lt;&gt;""),IF(EOMONTH($DZ$3+INT((DAY(EOMONTH($DZ$3,0))-1)/2)+EB$11,0)=EOMONTH($DR$3,0),EB$9*EB$10,0),0),IF(AND(DX$9&lt;&gt;"",DX$11&lt;&gt;""),IF(EOMONTH($DV$3+INT((DAY(EOMONTH($DV$3,0))-1)/2)+DX$11,0)=EOMONTH($DR$3,0),DX$9*DX$10,0),0),IF(AND(DT$9&lt;&gt;"",DT$11&lt;&gt;""),IF(EOMONTH($DR$3+INT((DAY(EOMONTH($DR$3,0))-1)/2)+DT$11,0)=EOMONTH($DR$3,0),DT$9*DT$10,0),0),IF(AND(DP$9&lt;&gt;"",DP$11&lt;&gt;""),IF(EOMONTH($DN$3+INT((DAY(EOMONTH($DN$3,0))-1)/2)+DP$11,0)=EOMONTH($DR$3,0),DP$9*DP$10,0),0),IF(AND(DL$9&lt;&gt;"",DL$11&lt;&gt;""),IF(EOMONTH($DJ$3+INT((DAY(EOMONTH($DJ$3,0))-1)/2)+DL$11,0)=EOMONTH($DR$3,0),DL$9*DL$10,0),0),IF(AND(DH$9&lt;&gt;"",DH$11&lt;&gt;""),IF(EOMONTH($DF$3+INT((DAY(EOMONTH($DF$3,0))-1)/2)+DH$11,0)=EOMONTH($DR$3,0),DH$9*DH$10,0),0),IF(AND(DD$9&lt;&gt;"",DD$11&lt;&gt;""),IF(EOMONTH($DB$3+INT((DAY(EOMONTH($DB$3,0))-1)/2)+DD$11,0)=EOMONTH($DR$3,0),DD$9*DD$10,0),0),IF(AND(CZ$9&lt;&gt;"",CZ$11&lt;&gt;""),IF(EOMONTH($CX$3+INT((DAY(EOMONTH($CX$3,0))-1)/2)+CZ$11,0)=EOMONTH($DR$3,0),CZ$9*CZ$10,0),0),IF(AND(CV$9&lt;&gt;"",CV$11&lt;&gt;""),IF(EOMONTH($CT$3+INT((DAY(EOMONTH($CT$3,0))-1)/2)+CV$11,0)=EOMONTH($DR$3,0),CV$9*CV$10,0),0),IF(AND(CR$9&lt;&gt;"",CR$11&lt;&gt;""),IF(EOMONTH($CP$3+INT((DAY(EOMONTH($CP$3,0))-1)/2)+CR$11,0)=EOMONTH($DR$3,0),CR$9*CR$10,0),0),IF(AND(CN$9&lt;&gt;"",CN$11&lt;&gt;""),IF(EOMONTH($CL$3+INT((DAY(EOMONTH($CL$3,0))-1)/2)+CN$11,0)=EOMONTH($DR$3,0),CN$9*CN$10,0),0),IF(AND(CJ$9&lt;&gt;"",CJ$11&lt;&gt;""),IF(EOMONTH($CH$3+INT((DAY(EOMONTH($CH$3,0))-1)/2)+CJ$11,0)=EOMONTH($DR$3,0),CJ$9*CJ$10,0),0),IF(AND(CF$9&lt;&gt;"",CF$11&lt;&gt;""),IF(EOMONTH($CD$3+INT((DAY(EOMONTH($CD$3,0))-1)/2)+CF$11,0)=EOMONTH($DR$3,0),CF$9*CF$10,0),0),IF(AND(CB$9&lt;&gt;"",CB$11&lt;&gt;""),IF(EOMONTH($BZ$3+INT((DAY(EOMONTH($BZ$3,0))-1)/2)+CB$11,0)=EOMONTH($DR$3,0),CB$9*CB$10,0),0),IF(AND(BX$9&lt;&gt;"",BX$11&lt;&gt;""),IF(EOMONTH($BV$3+INT((DAY(EOMONTH($BV$3,0))-1)/2)+BX$11,0)=EOMONTH($DR$3,0),BX$9*BX$10,0),0),IF(AND(BT$9&lt;&gt;"",BT$11&lt;&gt;""),IF(EOMONTH($BR$3+INT((DAY(EOMONTH($BR$3,0))-1)/2)+BT$11,0)=EOMONTH($DR$3,0),BT$9*BT$10,0),0),IF(AND(BP$9&lt;&gt;"",BP$11&lt;&gt;""),IF(EOMONTH($BN$3+INT((DAY(EOMONTH($BN$3,0))-1)/2)+BP$11,0)=EOMONTH($DR$3,0),BP$9*BP$10,0),0),IF(AND(BL$9&lt;&gt;"",BL$11&lt;&gt;""),IF(EOMONTH($BJ$3+INT((DAY(EOMONTH($BJ$3,0))-1)/2)+BL$11,0)=EOMONTH($DR$3,0),BL$9*BL$10,0),0),IF(AND(BH$9&lt;&gt;"",BH$11&lt;&gt;""),IF(EOMONTH($BF$3+INT((DAY(EOMONTH($BF$3,0))-1)/2)+BH$11,0)=EOMONTH($DR$3,0),BH$9*BH$10,0),0),IF(AND(BD$9&lt;&gt;"",BD$11&lt;&gt;""),IF(EOMONTH($BB$3+INT((DAY(EOMONTH($BB$3,0))-1)/2)+BD$11,0)=EOMONTH($DR$3,0),BD$9*BD$10,0),0),IF(AND(AZ$9&lt;&gt;"",AZ$11&lt;&gt;""),IF(EOMONTH($AX$3+INT((DAY(EOMONTH($AX$3,0))-1)/2)+AZ$11,0)=EOMONTH($DR$3,0),AZ$9*AZ$10,0),0),IF(AND(AV$9&lt;&gt;"",AV$11&lt;&gt;""),IF(EOMONTH($AT$3+INT((DAY(EOMONTH($AT$3,0))-1)/2)+AV$11,0)=EOMONTH($DR$3,0),AV$9*AV$10,0),0),IF(AND(AR$9&lt;&gt;"",AR$11&lt;&gt;""),IF(EOMONTH($AP$3+INT((DAY(EOMONTH($AP$3,0))-1)/2)+AR$11,0)=EOMONTH($DR$3,0),AR$9*AR$10,0),0),IF(AND(AN$9&lt;&gt;"",AN$11&lt;&gt;""),IF(EOMONTH($AL$3+INT((DAY(EOMONTH($AL$3,0))-1)/2)+AN$11,0)=EOMONTH($DR$3,0),AN$9*AN$10,0),0),IF(AND(AJ$9&lt;&gt;"",AJ$11&lt;&gt;""),IF(EOMONTH($AH$3+INT((DAY(EOMONTH($AH$3,0))-1)/2)+AJ$11,0)=EOMONTH($DR$3,0),AJ$9*AJ$10,0),0),IF(AND(AF$9&lt;&gt;"",AF$11&lt;&gt;""),IF(EOMONTH($AD$3+INT((DAY(EOMONTH($AD$3,0))-1)/2)+AF$11,0)=EOMONTH($DR$3,0),AF$9*AF$10,0),0),IF(AND(AB$9&lt;&gt;"",AB$11&lt;&gt;""),IF(EOMONTH($Z$3+INT((DAY(EOMONTH($Z$3,0))-1)/2)+AB$11,0)=EOMONTH($DR$3,0),AB$9*AB$10,0),0),IF(AND(X$9&lt;&gt;"",X$11&lt;&gt;""),IF(EOMONTH($V$3+INT((DAY(EOMONTH($V$3,0))-1)/2)+X$11,0)=EOMONTH($DR$3,0),X$9*X$10,0),0),IF(AND(T$9&lt;&gt;"",T$11&lt;&gt;""),IF(EOMONTH($R$3+INT((DAY(EOMONTH($R$3,0))-1)/2)+T$11,0)=EOMONTH($DR$3,0),T$9*T$10,0),0),IF(AND(P$9&lt;&gt;"",P$11&lt;&gt;""),IF(EOMONTH($N$3+INT((DAY(EOMONTH($N$3,0))-1)/2)+P$11,0)=EOMONTH($DR$3,0),P$9*P$10,0),0),IF(AND(L$9&lt;&gt;"",L$11&lt;&gt;""),IF(EOMONTH($J$3+INT((DAY(EOMONTH($J$3,0))-1)/2)+L$11,0)=EOMONTH($DR$3,0),L$9*L$10,0),0),IF(AND(H$9&lt;&gt;"",H$11&lt;&gt;""),IF(EOMONTH($F$3+INT((DAY(EOMONTH($F$3,0))-1)/2)+H$11,0)=EOMONTH($DR$3,0),H$9*H$10,0),0),IF($EP$75="",0,IF(EOMONTH($EP$75+ER$11,0)=EOMONTH($DR$3,0),$EP$76*ER$10,0))),0)</f>
        <v>11</v>
      </c>
      <c r="DU12" s="16">
        <f t="shared" si="63"/>
        <v>0</v>
      </c>
      <c r="DV12" s="17"/>
      <c r="DW12" s="14">
        <f>IF(DV$98=1,DV12,ROUND(SUM(IF(AND(EQ$9&lt;&gt;"",EQ$11&lt;&gt;""),IF(EOMONTH($EP$3+INT((DAY(EOMONTH($EP$3,0))-1)/2)+EQ$11,0)=EOMONTH($DV$3,0),EQ$9*EQ$10,0),0),IF(AND(EM$9&lt;&gt;"",EM$11&lt;&gt;""),IF(EOMONTH($EL$3+INT((DAY(EOMONTH($EL$3,0))-1)/2)+EM$11,0)=EOMONTH($DV$3,0),EM$9*EM$10,0),0),IF(AND(EI$9&lt;&gt;"",EI$11&lt;&gt;""),IF(EOMONTH($EH$3+INT((DAY(EOMONTH($EH$3,0))-1)/2)+EI$11,0)=EOMONTH($DV$3,0),EI$9*EI$10,0),0),IF(AND(EE$9&lt;&gt;"",EE$11&lt;&gt;""),IF(EOMONTH($ED$3+INT((DAY(EOMONTH($ED$3,0))-1)/2)+EE$11,0)=EOMONTH($DV$3,0),EE$9*EE$10,0),0),IF(AND(EA$9&lt;&gt;"",EA$11&lt;&gt;""),IF(EOMONTH($DZ$3+INT((DAY(EOMONTH($DZ$3,0))-1)/2)+EA$11,0)=EOMONTH($DV$3,0),EA$9*EA$10,0),0),IF(AND(DW$9&lt;&gt;"",DW$11&lt;&gt;""),IF(EOMONTH($DV$3+INT((DAY(EOMONTH($DV$3,0))-1)/2)+DW$11,0)=EOMONTH($DV$3,0),DW$9*DW$10,0),0),IF(AND(DS$9&lt;&gt;"",DS$11&lt;&gt;""),IF(EOMONTH($DR$3+INT((DAY(EOMONTH($DR$3,0))-1)/2)+DS$11,0)=EOMONTH($DV$3,0),DS$9*DS$10,0),0),IF(AND(DO$9&lt;&gt;"",DO$11&lt;&gt;""),IF(EOMONTH($DN$3+INT((DAY(EOMONTH($DN$3,0))-1)/2)+DO$11,0)=EOMONTH($DV$3,0),DO$9*DO$10,0),0),IF(AND(DK$9&lt;&gt;"",DK$11&lt;&gt;""),IF(EOMONTH($DJ$3+INT((DAY(EOMONTH($DJ$3,0))-1)/2)+DK$11,0)=EOMONTH($DV$3,0),DK$9*DK$10,0),0),IF(AND(DG$9&lt;&gt;"",DG$11&lt;&gt;""),IF(EOMONTH($DF$3+INT((DAY(EOMONTH($DF$3,0))-1)/2)+DG$11,0)=EOMONTH($DV$3,0),DG$9*DG$10,0),0),IF(AND(DC$9&lt;&gt;"",DC$11&lt;&gt;""),IF(EOMONTH($DB$3+INT((DAY(EOMONTH($DB$3,0))-1)/2)+DC$11,0)=EOMONTH($DV$3,0),DC$9*DC$10,0),0),IF(AND(CY$9&lt;&gt;"",CY$11&lt;&gt;""),IF(EOMONTH($CX$3+INT((DAY(EOMONTH($CX$3,0))-1)/2)+CY$11,0)=EOMONTH($DV$3,0),CY$9*CY$10,0),0),IF(AND(CU$9&lt;&gt;"",CU$11&lt;&gt;""),IF(EOMONTH($CT$3+INT((DAY(EOMONTH($CT$3,0))-1)/2)+CU$11,0)=EOMONTH($DV$3,0),CU$9*CU$10,0),0),IF(AND(CQ$9&lt;&gt;"",CQ$11&lt;&gt;""),IF(EOMONTH($CP$3+INT((DAY(EOMONTH($CP$3,0))-1)/2)+CQ$11,0)=EOMONTH($DV$3,0),CQ$9*CQ$10,0),0),IF(AND(CM$9&lt;&gt;"",CM$11&lt;&gt;""),IF(EOMONTH($CL$3+INT((DAY(EOMONTH($CL$3,0))-1)/2)+CM$11,0)=EOMONTH($DV$3,0),CM$9*CM$10,0),0),IF(AND(CI$9&lt;&gt;"",CI$11&lt;&gt;""),IF(EOMONTH($CH$3+INT((DAY(EOMONTH($CH$3,0))-1)/2)+CI$11,0)=EOMONTH($DV$3,0),CI$9*CI$10,0),0),IF(AND(CE$9&lt;&gt;"",CE$11&lt;&gt;""),IF(EOMONTH($CD$3+INT((DAY(EOMONTH($CD$3,0))-1)/2)+CE$11,0)=EOMONTH($DV$3,0),CE$9*CE$10,0),0),IF(AND(CA$9&lt;&gt;"",CA$11&lt;&gt;""),IF(EOMONTH($BZ$3+INT((DAY(EOMONTH($BZ$3,0))-1)/2)+CA$11,0)=EOMONTH($DV$3,0),CA$9*CA$10,0),0),IF(AND(BW$9&lt;&gt;"",BW$11&lt;&gt;""),IF(EOMONTH($BV$3+INT((DAY(EOMONTH($BV$3,0))-1)/2)+BW$11,0)=EOMONTH($DV$3,0),BW$9*BW$10,0),0),IF(AND(BS$9&lt;&gt;"",BS$11&lt;&gt;""),IF(EOMONTH($BR$3+INT((DAY(EOMONTH($BR$3,0))-1)/2)+BS$11,0)=EOMONTH($DV$3,0),BS$9*BS$10,0),0),IF(AND(BO$9&lt;&gt;"",BO$11&lt;&gt;""),IF(EOMONTH($BN$3+INT((DAY(EOMONTH($BN$3,0))-1)/2)+BO$11,0)=EOMONTH($DV$3,0),BO$9*BO$10,0),0),IF(AND(BK$9&lt;&gt;"",BK$11&lt;&gt;""),IF(EOMONTH($BJ$3+INT((DAY(EOMONTH($BJ$3,0))-1)/2)+BK$11,0)=EOMONTH($DV$3,0),BK$9*BK$10,0),0),IF(AND(BG$9&lt;&gt;"",BG$11&lt;&gt;""),IF(EOMONTH($BF$3+INT((DAY(EOMONTH($BF$3,0))-1)/2)+BG$11,0)=EOMONTH($DV$3,0),BG$9*BG$10,0),0),IF(AND(BC$9&lt;&gt;"",BC$11&lt;&gt;""),IF(EOMONTH($BB$3+INT((DAY(EOMONTH($BB$3,0))-1)/2)+BC$11,0)=EOMONTH($DV$3,0),BC$9*BC$10,0),0),IF(AND(AY$9&lt;&gt;"",AY$11&lt;&gt;""),IF(EOMONTH($AX$3+INT((DAY(EOMONTH($AX$3,0))-1)/2)+AY$11,0)=EOMONTH($DV$3,0),AY$9*AY$10,0),0),IF(AND(AU$9&lt;&gt;"",AU$11&lt;&gt;""),IF(EOMONTH($AT$3+INT((DAY(EOMONTH($AT$3,0))-1)/2)+AU$11,0)=EOMONTH($DV$3,0),AU$9*AU$10,0),0),IF(AND(AQ$9&lt;&gt;"",AQ$11&lt;&gt;""),IF(EOMONTH($AP$3+INT((DAY(EOMONTH($AP$3,0))-1)/2)+AQ$11,0)=EOMONTH($DV$3,0),AQ$9*AQ$10,0),0),IF(AND(AM$9&lt;&gt;"",AM$11&lt;&gt;""),IF(EOMONTH($AL$3+INT((DAY(EOMONTH($AL$3,0))-1)/2)+AM$11,0)=EOMONTH($DV$3,0),AM$9*AM$10,0),0),IF(AND(AI$9&lt;&gt;"",AI$11&lt;&gt;""),IF(EOMONTH($AH$3+INT((DAY(EOMONTH($AH$3,0))-1)/2)+AI$11,0)=EOMONTH($DV$3,0),AI$9*AI$10,0),0),IF(AND(AE$9&lt;&gt;"",AE$11&lt;&gt;""),IF(EOMONTH($AD$3+INT((DAY(EOMONTH($AD$3,0))-1)/2)+AE$11,0)=EOMONTH($DV$3,0),AE$9*AE$10,0),0),IF(AND(AA$9&lt;&gt;"",AA$11&lt;&gt;""),IF(EOMONTH($Z$3+INT((DAY(EOMONTH($Z$3,0))-1)/2)+AA$11,0)=EOMONTH($DV$3,0),AA$9*AA$10,0),0),IF(AND(W$9&lt;&gt;"",W$11&lt;&gt;""),IF(EOMONTH($V$3+INT((DAY(EOMONTH($V$3,0))-1)/2)+W$11,0)=EOMONTH($DV$3,0),W$9*W$10,0),0),IF(AND(S$9&lt;&gt;"",S$11&lt;&gt;""),IF(EOMONTH($R$3+INT((DAY(EOMONTH($R$3,0))-1)/2)+S$11,0)=EOMONTH($DV$3,0),S$9*S$10,0),0),IF(AND(O$9&lt;&gt;"",O$11&lt;&gt;""),IF(EOMONTH($N$3+INT((DAY(EOMONTH($N$3,0))-1)/2)+O$11,0)=EOMONTH($DV$3,0),O$9*O$10,0),0),IF(AND(K$9&lt;&gt;"",K$11&lt;&gt;""),IF(EOMONTH($J$3+INT((DAY(EOMONTH($J$3,0))-1)/2)+K$11,0)=EOMONTH($DV$3,0),K$9*K$10,0),0),IF(AND(G$9&lt;&gt;"",G$11&lt;&gt;""),IF(EOMONTH($F$3+INT((DAY(EOMONTH($F$3,0))-1)/2)+G$11,0)=EOMONTH($DV$3,0),G$9*G$10,0),0),IF($EP$75="",0,IF(EOMONTH($EP$75+EQ$11,0)=EOMONTH($DV$3,0),$EP$76*EQ$10,0))),0))</f>
        <v>11</v>
      </c>
      <c r="DX12" s="15">
        <f>ROUND(SUM(IF(AND(ER$9&lt;&gt;"",ER$11&lt;&gt;""),IF(EOMONTH($EP$3+INT((DAY(EOMONTH($EP$3,0))-1)/2)+ER$11,0)=EOMONTH($DV$3,0),ER$9*ER$10,0),0),IF(AND(EN$9&lt;&gt;"",EN$11&lt;&gt;""),IF(EOMONTH($EL$3+INT((DAY(EOMONTH($EL$3,0))-1)/2)+EN$11,0)=EOMONTH($DV$3,0),EN$9*EN$10,0),0),IF(AND(EJ$9&lt;&gt;"",EJ$11&lt;&gt;""),IF(EOMONTH($EH$3+INT((DAY(EOMONTH($EH$3,0))-1)/2)+EJ$11,0)=EOMONTH($DV$3,0),EJ$9*EJ$10,0),0),IF(AND(EF$9&lt;&gt;"",EF$11&lt;&gt;""),IF(EOMONTH($ED$3+INT((DAY(EOMONTH($ED$3,0))-1)/2)+EF$11,0)=EOMONTH($DV$3,0),EF$9*EF$10,0),0),IF(AND(EB$9&lt;&gt;"",EB$11&lt;&gt;""),IF(EOMONTH($DZ$3+INT((DAY(EOMONTH($DZ$3,0))-1)/2)+EB$11,0)=EOMONTH($DV$3,0),EB$9*EB$10,0),0),IF(AND(DX$9&lt;&gt;"",DX$11&lt;&gt;""),IF(EOMONTH($DV$3+INT((DAY(EOMONTH($DV$3,0))-1)/2)+DX$11,0)=EOMONTH($DV$3,0),DX$9*DX$10,0),0),IF(AND(DT$9&lt;&gt;"",DT$11&lt;&gt;""),IF(EOMONTH($DR$3+INT((DAY(EOMONTH($DR$3,0))-1)/2)+DT$11,0)=EOMONTH($DV$3,0),DT$9*DT$10,0),0),IF(AND(DP$9&lt;&gt;"",DP$11&lt;&gt;""),IF(EOMONTH($DN$3+INT((DAY(EOMONTH($DN$3,0))-1)/2)+DP$11,0)=EOMONTH($DV$3,0),DP$9*DP$10,0),0),IF(AND(DL$9&lt;&gt;"",DL$11&lt;&gt;""),IF(EOMONTH($DJ$3+INT((DAY(EOMONTH($DJ$3,0))-1)/2)+DL$11,0)=EOMONTH($DV$3,0),DL$9*DL$10,0),0),IF(AND(DH$9&lt;&gt;"",DH$11&lt;&gt;""),IF(EOMONTH($DF$3+INT((DAY(EOMONTH($DF$3,0))-1)/2)+DH$11,0)=EOMONTH($DV$3,0),DH$9*DH$10,0),0),IF(AND(DD$9&lt;&gt;"",DD$11&lt;&gt;""),IF(EOMONTH($DB$3+INT((DAY(EOMONTH($DB$3,0))-1)/2)+DD$11,0)=EOMONTH($DV$3,0),DD$9*DD$10,0),0),IF(AND(CZ$9&lt;&gt;"",CZ$11&lt;&gt;""),IF(EOMONTH($CX$3+INT((DAY(EOMONTH($CX$3,0))-1)/2)+CZ$11,0)=EOMONTH($DV$3,0),CZ$9*CZ$10,0),0),IF(AND(CV$9&lt;&gt;"",CV$11&lt;&gt;""),IF(EOMONTH($CT$3+INT((DAY(EOMONTH($CT$3,0))-1)/2)+CV$11,0)=EOMONTH($DV$3,0),CV$9*CV$10,0),0),IF(AND(CR$9&lt;&gt;"",CR$11&lt;&gt;""),IF(EOMONTH($CP$3+INT((DAY(EOMONTH($CP$3,0))-1)/2)+CR$11,0)=EOMONTH($DV$3,0),CR$9*CR$10,0),0),IF(AND(CN$9&lt;&gt;"",CN$11&lt;&gt;""),IF(EOMONTH($CL$3+INT((DAY(EOMONTH($CL$3,0))-1)/2)+CN$11,0)=EOMONTH($DV$3,0),CN$9*CN$10,0),0),IF(AND(CJ$9&lt;&gt;"",CJ$11&lt;&gt;""),IF(EOMONTH($CH$3+INT((DAY(EOMONTH($CH$3,0))-1)/2)+CJ$11,0)=EOMONTH($DV$3,0),CJ$9*CJ$10,0),0),IF(AND(CF$9&lt;&gt;"",CF$11&lt;&gt;""),IF(EOMONTH($CD$3+INT((DAY(EOMONTH($CD$3,0))-1)/2)+CF$11,0)=EOMONTH($DV$3,0),CF$9*CF$10,0),0),IF(AND(CB$9&lt;&gt;"",CB$11&lt;&gt;""),IF(EOMONTH($BZ$3+INT((DAY(EOMONTH($BZ$3,0))-1)/2)+CB$11,0)=EOMONTH($DV$3,0),CB$9*CB$10,0),0),IF(AND(BX$9&lt;&gt;"",BX$11&lt;&gt;""),IF(EOMONTH($BV$3+INT((DAY(EOMONTH($BV$3,0))-1)/2)+BX$11,0)=EOMONTH($DV$3,0),BX$9*BX$10,0),0),IF(AND(BT$9&lt;&gt;"",BT$11&lt;&gt;""),IF(EOMONTH($BR$3+INT((DAY(EOMONTH($BR$3,0))-1)/2)+BT$11,0)=EOMONTH($DV$3,0),BT$9*BT$10,0),0),IF(AND(BP$9&lt;&gt;"",BP$11&lt;&gt;""),IF(EOMONTH($BN$3+INT((DAY(EOMONTH($BN$3,0))-1)/2)+BP$11,0)=EOMONTH($DV$3,0),BP$9*BP$10,0),0),IF(AND(BL$9&lt;&gt;"",BL$11&lt;&gt;""),IF(EOMONTH($BJ$3+INT((DAY(EOMONTH($BJ$3,0))-1)/2)+BL$11,0)=EOMONTH($DV$3,0),BL$9*BL$10,0),0),IF(AND(BH$9&lt;&gt;"",BH$11&lt;&gt;""),IF(EOMONTH($BF$3+INT((DAY(EOMONTH($BF$3,0))-1)/2)+BH$11,0)=EOMONTH($DV$3,0),BH$9*BH$10,0),0),IF(AND(BD$9&lt;&gt;"",BD$11&lt;&gt;""),IF(EOMONTH($BB$3+INT((DAY(EOMONTH($BB$3,0))-1)/2)+BD$11,0)=EOMONTH($DV$3,0),BD$9*BD$10,0),0),IF(AND(AZ$9&lt;&gt;"",AZ$11&lt;&gt;""),IF(EOMONTH($AX$3+INT((DAY(EOMONTH($AX$3,0))-1)/2)+AZ$11,0)=EOMONTH($DV$3,0),AZ$9*AZ$10,0),0),IF(AND(AV$9&lt;&gt;"",AV$11&lt;&gt;""),IF(EOMONTH($AT$3+INT((DAY(EOMONTH($AT$3,0))-1)/2)+AV$11,0)=EOMONTH($DV$3,0),AV$9*AV$10,0),0),IF(AND(AR$9&lt;&gt;"",AR$11&lt;&gt;""),IF(EOMONTH($AP$3+INT((DAY(EOMONTH($AP$3,0))-1)/2)+AR$11,0)=EOMONTH($DV$3,0),AR$9*AR$10,0),0),IF(AND(AN$9&lt;&gt;"",AN$11&lt;&gt;""),IF(EOMONTH($AL$3+INT((DAY(EOMONTH($AL$3,0))-1)/2)+AN$11,0)=EOMONTH($DV$3,0),AN$9*AN$10,0),0),IF(AND(AJ$9&lt;&gt;"",AJ$11&lt;&gt;""),IF(EOMONTH($AH$3+INT((DAY(EOMONTH($AH$3,0))-1)/2)+AJ$11,0)=EOMONTH($DV$3,0),AJ$9*AJ$10,0),0),IF(AND(AF$9&lt;&gt;"",AF$11&lt;&gt;""),IF(EOMONTH($AD$3+INT((DAY(EOMONTH($AD$3,0))-1)/2)+AF$11,0)=EOMONTH($DV$3,0),AF$9*AF$10,0),0),IF(AND(AB$9&lt;&gt;"",AB$11&lt;&gt;""),IF(EOMONTH($Z$3+INT((DAY(EOMONTH($Z$3,0))-1)/2)+AB$11,0)=EOMONTH($DV$3,0),AB$9*AB$10,0),0),IF(AND(X$9&lt;&gt;"",X$11&lt;&gt;""),IF(EOMONTH($V$3+INT((DAY(EOMONTH($V$3,0))-1)/2)+X$11,0)=EOMONTH($DV$3,0),X$9*X$10,0),0),IF(AND(T$9&lt;&gt;"",T$11&lt;&gt;""),IF(EOMONTH($R$3+INT((DAY(EOMONTH($R$3,0))-1)/2)+T$11,0)=EOMONTH($DV$3,0),T$9*T$10,0),0),IF(AND(P$9&lt;&gt;"",P$11&lt;&gt;""),IF(EOMONTH($N$3+INT((DAY(EOMONTH($N$3,0))-1)/2)+P$11,0)=EOMONTH($DV$3,0),P$9*P$10,0),0),IF(AND(L$9&lt;&gt;"",L$11&lt;&gt;""),IF(EOMONTH($J$3+INT((DAY(EOMONTH($J$3,0))-1)/2)+L$11,0)=EOMONTH($DV$3,0),L$9*L$10,0),0),IF(AND(H$9&lt;&gt;"",H$11&lt;&gt;""),IF(EOMONTH($F$3+INT((DAY(EOMONTH($F$3,0))-1)/2)+H$11,0)=EOMONTH($DV$3,0),H$9*H$10,0),0),IF($EP$75="",0,IF(EOMONTH($EP$75+ER$11,0)=EOMONTH($DV$3,0),$EP$76*ER$10,0))),0)</f>
        <v>11</v>
      </c>
      <c r="DY12" s="16">
        <f t="shared" si="65"/>
        <v>0</v>
      </c>
      <c r="DZ12" s="17"/>
      <c r="EA12" s="14">
        <f>IF(DZ$98=1,DZ12,ROUND(SUM(IF(AND(EQ$9&lt;&gt;"",EQ$11&lt;&gt;""),IF(EOMONTH($EP$3+INT((DAY(EOMONTH($EP$3,0))-1)/2)+EQ$11,0)=EOMONTH($DZ$3,0),EQ$9*EQ$10,0),0),IF(AND(EM$9&lt;&gt;"",EM$11&lt;&gt;""),IF(EOMONTH($EL$3+INT((DAY(EOMONTH($EL$3,0))-1)/2)+EM$11,0)=EOMONTH($DZ$3,0),EM$9*EM$10,0),0),IF(AND(EI$9&lt;&gt;"",EI$11&lt;&gt;""),IF(EOMONTH($EH$3+INT((DAY(EOMONTH($EH$3,0))-1)/2)+EI$11,0)=EOMONTH($DZ$3,0),EI$9*EI$10,0),0),IF(AND(EE$9&lt;&gt;"",EE$11&lt;&gt;""),IF(EOMONTH($ED$3+INT((DAY(EOMONTH($ED$3,0))-1)/2)+EE$11,0)=EOMONTH($DZ$3,0),EE$9*EE$10,0),0),IF(AND(EA$9&lt;&gt;"",EA$11&lt;&gt;""),IF(EOMONTH($DZ$3+INT((DAY(EOMONTH($DZ$3,0))-1)/2)+EA$11,0)=EOMONTH($DZ$3,0),EA$9*EA$10,0),0),IF(AND(DW$9&lt;&gt;"",DW$11&lt;&gt;""),IF(EOMONTH($DV$3+INT((DAY(EOMONTH($DV$3,0))-1)/2)+DW$11,0)=EOMONTH($DZ$3,0),DW$9*DW$10,0),0),IF(AND(DS$9&lt;&gt;"",DS$11&lt;&gt;""),IF(EOMONTH($DR$3+INT((DAY(EOMONTH($DR$3,0))-1)/2)+DS$11,0)=EOMONTH($DZ$3,0),DS$9*DS$10,0),0),IF(AND(DO$9&lt;&gt;"",DO$11&lt;&gt;""),IF(EOMONTH($DN$3+INT((DAY(EOMONTH($DN$3,0))-1)/2)+DO$11,0)=EOMONTH($DZ$3,0),DO$9*DO$10,0),0),IF(AND(DK$9&lt;&gt;"",DK$11&lt;&gt;""),IF(EOMONTH($DJ$3+INT((DAY(EOMONTH($DJ$3,0))-1)/2)+DK$11,0)=EOMONTH($DZ$3,0),DK$9*DK$10,0),0),IF(AND(DG$9&lt;&gt;"",DG$11&lt;&gt;""),IF(EOMONTH($DF$3+INT((DAY(EOMONTH($DF$3,0))-1)/2)+DG$11,0)=EOMONTH($DZ$3,0),DG$9*DG$10,0),0),IF(AND(DC$9&lt;&gt;"",DC$11&lt;&gt;""),IF(EOMONTH($DB$3+INT((DAY(EOMONTH($DB$3,0))-1)/2)+DC$11,0)=EOMONTH($DZ$3,0),DC$9*DC$10,0),0),IF(AND(CY$9&lt;&gt;"",CY$11&lt;&gt;""),IF(EOMONTH($CX$3+INT((DAY(EOMONTH($CX$3,0))-1)/2)+CY$11,0)=EOMONTH($DZ$3,0),CY$9*CY$10,0),0),IF(AND(CU$9&lt;&gt;"",CU$11&lt;&gt;""),IF(EOMONTH($CT$3+INT((DAY(EOMONTH($CT$3,0))-1)/2)+CU$11,0)=EOMONTH($DZ$3,0),CU$9*CU$10,0),0),IF(AND(CQ$9&lt;&gt;"",CQ$11&lt;&gt;""),IF(EOMONTH($CP$3+INT((DAY(EOMONTH($CP$3,0))-1)/2)+CQ$11,0)=EOMONTH($DZ$3,0),CQ$9*CQ$10,0),0),IF(AND(CM$9&lt;&gt;"",CM$11&lt;&gt;""),IF(EOMONTH($CL$3+INT((DAY(EOMONTH($CL$3,0))-1)/2)+CM$11,0)=EOMONTH($DZ$3,0),CM$9*CM$10,0),0),IF(AND(CI$9&lt;&gt;"",CI$11&lt;&gt;""),IF(EOMONTH($CH$3+INT((DAY(EOMONTH($CH$3,0))-1)/2)+CI$11,0)=EOMONTH($DZ$3,0),CI$9*CI$10,0),0),IF(AND(CE$9&lt;&gt;"",CE$11&lt;&gt;""),IF(EOMONTH($CD$3+INT((DAY(EOMONTH($CD$3,0))-1)/2)+CE$11,0)=EOMONTH($DZ$3,0),CE$9*CE$10,0),0),IF(AND(CA$9&lt;&gt;"",CA$11&lt;&gt;""),IF(EOMONTH($BZ$3+INT((DAY(EOMONTH($BZ$3,0))-1)/2)+CA$11,0)=EOMONTH($DZ$3,0),CA$9*CA$10,0),0),IF(AND(BW$9&lt;&gt;"",BW$11&lt;&gt;""),IF(EOMONTH($BV$3+INT((DAY(EOMONTH($BV$3,0))-1)/2)+BW$11,0)=EOMONTH($DZ$3,0),BW$9*BW$10,0),0),IF(AND(BS$9&lt;&gt;"",BS$11&lt;&gt;""),IF(EOMONTH($BR$3+INT((DAY(EOMONTH($BR$3,0))-1)/2)+BS$11,0)=EOMONTH($DZ$3,0),BS$9*BS$10,0),0),IF(AND(BO$9&lt;&gt;"",BO$11&lt;&gt;""),IF(EOMONTH($BN$3+INT((DAY(EOMONTH($BN$3,0))-1)/2)+BO$11,0)=EOMONTH($DZ$3,0),BO$9*BO$10,0),0),IF(AND(BK$9&lt;&gt;"",BK$11&lt;&gt;""),IF(EOMONTH($BJ$3+INT((DAY(EOMONTH($BJ$3,0))-1)/2)+BK$11,0)=EOMONTH($DZ$3,0),BK$9*BK$10,0),0),IF(AND(BG$9&lt;&gt;"",BG$11&lt;&gt;""),IF(EOMONTH($BF$3+INT((DAY(EOMONTH($BF$3,0))-1)/2)+BG$11,0)=EOMONTH($DZ$3,0),BG$9*BG$10,0),0),IF(AND(BC$9&lt;&gt;"",BC$11&lt;&gt;""),IF(EOMONTH($BB$3+INT((DAY(EOMONTH($BB$3,0))-1)/2)+BC$11,0)=EOMONTH($DZ$3,0),BC$9*BC$10,0),0),IF(AND(AY$9&lt;&gt;"",AY$11&lt;&gt;""),IF(EOMONTH($AX$3+INT((DAY(EOMONTH($AX$3,0))-1)/2)+AY$11,0)=EOMONTH($DZ$3,0),AY$9*AY$10,0),0),IF(AND(AU$9&lt;&gt;"",AU$11&lt;&gt;""),IF(EOMONTH($AT$3+INT((DAY(EOMONTH($AT$3,0))-1)/2)+AU$11,0)=EOMONTH($DZ$3,0),AU$9*AU$10,0),0),IF(AND(AQ$9&lt;&gt;"",AQ$11&lt;&gt;""),IF(EOMONTH($AP$3+INT((DAY(EOMONTH($AP$3,0))-1)/2)+AQ$11,0)=EOMONTH($DZ$3,0),AQ$9*AQ$10,0),0),IF(AND(AM$9&lt;&gt;"",AM$11&lt;&gt;""),IF(EOMONTH($AL$3+INT((DAY(EOMONTH($AL$3,0))-1)/2)+AM$11,0)=EOMONTH($DZ$3,0),AM$9*AM$10,0),0),IF(AND(AI$9&lt;&gt;"",AI$11&lt;&gt;""),IF(EOMONTH($AH$3+INT((DAY(EOMONTH($AH$3,0))-1)/2)+AI$11,0)=EOMONTH($DZ$3,0),AI$9*AI$10,0),0),IF(AND(AE$9&lt;&gt;"",AE$11&lt;&gt;""),IF(EOMONTH($AD$3+INT((DAY(EOMONTH($AD$3,0))-1)/2)+AE$11,0)=EOMONTH($DZ$3,0),AE$9*AE$10,0),0),IF(AND(AA$9&lt;&gt;"",AA$11&lt;&gt;""),IF(EOMONTH($Z$3+INT((DAY(EOMONTH($Z$3,0))-1)/2)+AA$11,0)=EOMONTH($DZ$3,0),AA$9*AA$10,0),0),IF(AND(W$9&lt;&gt;"",W$11&lt;&gt;""),IF(EOMONTH($V$3+INT((DAY(EOMONTH($V$3,0))-1)/2)+W$11,0)=EOMONTH($DZ$3,0),W$9*W$10,0),0),IF(AND(S$9&lt;&gt;"",S$11&lt;&gt;""),IF(EOMONTH($R$3+INT((DAY(EOMONTH($R$3,0))-1)/2)+S$11,0)=EOMONTH($DZ$3,0),S$9*S$10,0),0),IF(AND(O$9&lt;&gt;"",O$11&lt;&gt;""),IF(EOMONTH($N$3+INT((DAY(EOMONTH($N$3,0))-1)/2)+O$11,0)=EOMONTH($DZ$3,0),O$9*O$10,0),0),IF(AND(K$9&lt;&gt;"",K$11&lt;&gt;""),IF(EOMONTH($J$3+INT((DAY(EOMONTH($J$3,0))-1)/2)+K$11,0)=EOMONTH($DZ$3,0),K$9*K$10,0),0),IF(AND(G$9&lt;&gt;"",G$11&lt;&gt;""),IF(EOMONTH($F$3+INT((DAY(EOMONTH($F$3,0))-1)/2)+G$11,0)=EOMONTH($DZ$3,0),G$9*G$10,0),0),IF($EP$75="",0,IF(EOMONTH($EP$75+EQ$11,0)=EOMONTH($DZ$3,0),$EP$76*EQ$10,0))),0))</f>
        <v>11</v>
      </c>
      <c r="EB12" s="15">
        <f>ROUND(SUM(IF(AND(ER$9&lt;&gt;"",ER$11&lt;&gt;""),IF(EOMONTH($EP$3+INT((DAY(EOMONTH($EP$3,0))-1)/2)+ER$11,0)=EOMONTH($DZ$3,0),ER$9*ER$10,0),0),IF(AND(EN$9&lt;&gt;"",EN$11&lt;&gt;""),IF(EOMONTH($EL$3+INT((DAY(EOMONTH($EL$3,0))-1)/2)+EN$11,0)=EOMONTH($DZ$3,0),EN$9*EN$10,0),0),IF(AND(EJ$9&lt;&gt;"",EJ$11&lt;&gt;""),IF(EOMONTH($EH$3+INT((DAY(EOMONTH($EH$3,0))-1)/2)+EJ$11,0)=EOMONTH($DZ$3,0),EJ$9*EJ$10,0),0),IF(AND(EF$9&lt;&gt;"",EF$11&lt;&gt;""),IF(EOMONTH($ED$3+INT((DAY(EOMONTH($ED$3,0))-1)/2)+EF$11,0)=EOMONTH($DZ$3,0),EF$9*EF$10,0),0),IF(AND(EB$9&lt;&gt;"",EB$11&lt;&gt;""),IF(EOMONTH($DZ$3+INT((DAY(EOMONTH($DZ$3,0))-1)/2)+EB$11,0)=EOMONTH($DZ$3,0),EB$9*EB$10,0),0),IF(AND(DX$9&lt;&gt;"",DX$11&lt;&gt;""),IF(EOMONTH($DV$3+INT((DAY(EOMONTH($DV$3,0))-1)/2)+DX$11,0)=EOMONTH($DZ$3,0),DX$9*DX$10,0),0),IF(AND(DT$9&lt;&gt;"",DT$11&lt;&gt;""),IF(EOMONTH($DR$3+INT((DAY(EOMONTH($DR$3,0))-1)/2)+DT$11,0)=EOMONTH($DZ$3,0),DT$9*DT$10,0),0),IF(AND(DP$9&lt;&gt;"",DP$11&lt;&gt;""),IF(EOMONTH($DN$3+INT((DAY(EOMONTH($DN$3,0))-1)/2)+DP$11,0)=EOMONTH($DZ$3,0),DP$9*DP$10,0),0),IF(AND(DL$9&lt;&gt;"",DL$11&lt;&gt;""),IF(EOMONTH($DJ$3+INT((DAY(EOMONTH($DJ$3,0))-1)/2)+DL$11,0)=EOMONTH($DZ$3,0),DL$9*DL$10,0),0),IF(AND(DH$9&lt;&gt;"",DH$11&lt;&gt;""),IF(EOMONTH($DF$3+INT((DAY(EOMONTH($DF$3,0))-1)/2)+DH$11,0)=EOMONTH($DZ$3,0),DH$9*DH$10,0),0),IF(AND(DD$9&lt;&gt;"",DD$11&lt;&gt;""),IF(EOMONTH($DB$3+INT((DAY(EOMONTH($DB$3,0))-1)/2)+DD$11,0)=EOMONTH($DZ$3,0),DD$9*DD$10,0),0),IF(AND(CZ$9&lt;&gt;"",CZ$11&lt;&gt;""),IF(EOMONTH($CX$3+INT((DAY(EOMONTH($CX$3,0))-1)/2)+CZ$11,0)=EOMONTH($DZ$3,0),CZ$9*CZ$10,0),0),IF(AND(CV$9&lt;&gt;"",CV$11&lt;&gt;""),IF(EOMONTH($CT$3+INT((DAY(EOMONTH($CT$3,0))-1)/2)+CV$11,0)=EOMONTH($DZ$3,0),CV$9*CV$10,0),0),IF(AND(CR$9&lt;&gt;"",CR$11&lt;&gt;""),IF(EOMONTH($CP$3+INT((DAY(EOMONTH($CP$3,0))-1)/2)+CR$11,0)=EOMONTH($DZ$3,0),CR$9*CR$10,0),0),IF(AND(CN$9&lt;&gt;"",CN$11&lt;&gt;""),IF(EOMONTH($CL$3+INT((DAY(EOMONTH($CL$3,0))-1)/2)+CN$11,0)=EOMONTH($DZ$3,0),CN$9*CN$10,0),0),IF(AND(CJ$9&lt;&gt;"",CJ$11&lt;&gt;""),IF(EOMONTH($CH$3+INT((DAY(EOMONTH($CH$3,0))-1)/2)+CJ$11,0)=EOMONTH($DZ$3,0),CJ$9*CJ$10,0),0),IF(AND(CF$9&lt;&gt;"",CF$11&lt;&gt;""),IF(EOMONTH($CD$3+INT((DAY(EOMONTH($CD$3,0))-1)/2)+CF$11,0)=EOMONTH($DZ$3,0),CF$9*CF$10,0),0),IF(AND(CB$9&lt;&gt;"",CB$11&lt;&gt;""),IF(EOMONTH($BZ$3+INT((DAY(EOMONTH($BZ$3,0))-1)/2)+CB$11,0)=EOMONTH($DZ$3,0),CB$9*CB$10,0),0),IF(AND(BX$9&lt;&gt;"",BX$11&lt;&gt;""),IF(EOMONTH($BV$3+INT((DAY(EOMONTH($BV$3,0))-1)/2)+BX$11,0)=EOMONTH($DZ$3,0),BX$9*BX$10,0),0),IF(AND(BT$9&lt;&gt;"",BT$11&lt;&gt;""),IF(EOMONTH($BR$3+INT((DAY(EOMONTH($BR$3,0))-1)/2)+BT$11,0)=EOMONTH($DZ$3,0),BT$9*BT$10,0),0),IF(AND(BP$9&lt;&gt;"",BP$11&lt;&gt;""),IF(EOMONTH($BN$3+INT((DAY(EOMONTH($BN$3,0))-1)/2)+BP$11,0)=EOMONTH($DZ$3,0),BP$9*BP$10,0),0),IF(AND(BL$9&lt;&gt;"",BL$11&lt;&gt;""),IF(EOMONTH($BJ$3+INT((DAY(EOMONTH($BJ$3,0))-1)/2)+BL$11,0)=EOMONTH($DZ$3,0),BL$9*BL$10,0),0),IF(AND(BH$9&lt;&gt;"",BH$11&lt;&gt;""),IF(EOMONTH($BF$3+INT((DAY(EOMONTH($BF$3,0))-1)/2)+BH$11,0)=EOMONTH($DZ$3,0),BH$9*BH$10,0),0),IF(AND(BD$9&lt;&gt;"",BD$11&lt;&gt;""),IF(EOMONTH($BB$3+INT((DAY(EOMONTH($BB$3,0))-1)/2)+BD$11,0)=EOMONTH($DZ$3,0),BD$9*BD$10,0),0),IF(AND(AZ$9&lt;&gt;"",AZ$11&lt;&gt;""),IF(EOMONTH($AX$3+INT((DAY(EOMONTH($AX$3,0))-1)/2)+AZ$11,0)=EOMONTH($DZ$3,0),AZ$9*AZ$10,0),0),IF(AND(AV$9&lt;&gt;"",AV$11&lt;&gt;""),IF(EOMONTH($AT$3+INT((DAY(EOMONTH($AT$3,0))-1)/2)+AV$11,0)=EOMONTH($DZ$3,0),AV$9*AV$10,0),0),IF(AND(AR$9&lt;&gt;"",AR$11&lt;&gt;""),IF(EOMONTH($AP$3+INT((DAY(EOMONTH($AP$3,0))-1)/2)+AR$11,0)=EOMONTH($DZ$3,0),AR$9*AR$10,0),0),IF(AND(AN$9&lt;&gt;"",AN$11&lt;&gt;""),IF(EOMONTH($AL$3+INT((DAY(EOMONTH($AL$3,0))-1)/2)+AN$11,0)=EOMONTH($DZ$3,0),AN$9*AN$10,0),0),IF(AND(AJ$9&lt;&gt;"",AJ$11&lt;&gt;""),IF(EOMONTH($AH$3+INT((DAY(EOMONTH($AH$3,0))-1)/2)+AJ$11,0)=EOMONTH($DZ$3,0),AJ$9*AJ$10,0),0),IF(AND(AF$9&lt;&gt;"",AF$11&lt;&gt;""),IF(EOMONTH($AD$3+INT((DAY(EOMONTH($AD$3,0))-1)/2)+AF$11,0)=EOMONTH($DZ$3,0),AF$9*AF$10,0),0),IF(AND(AB$9&lt;&gt;"",AB$11&lt;&gt;""),IF(EOMONTH($Z$3+INT((DAY(EOMONTH($Z$3,0))-1)/2)+AB$11,0)=EOMONTH($DZ$3,0),AB$9*AB$10,0),0),IF(AND(X$9&lt;&gt;"",X$11&lt;&gt;""),IF(EOMONTH($V$3+INT((DAY(EOMONTH($V$3,0))-1)/2)+X$11,0)=EOMONTH($DZ$3,0),X$9*X$10,0),0),IF(AND(T$9&lt;&gt;"",T$11&lt;&gt;""),IF(EOMONTH($R$3+INT((DAY(EOMONTH($R$3,0))-1)/2)+T$11,0)=EOMONTH($DZ$3,0),T$9*T$10,0),0),IF(AND(P$9&lt;&gt;"",P$11&lt;&gt;""),IF(EOMONTH($N$3+INT((DAY(EOMONTH($N$3,0))-1)/2)+P$11,0)=EOMONTH($DZ$3,0),P$9*P$10,0),0),IF(AND(L$9&lt;&gt;"",L$11&lt;&gt;""),IF(EOMONTH($J$3+INT((DAY(EOMONTH($J$3,0))-1)/2)+L$11,0)=EOMONTH($DZ$3,0),L$9*L$10,0),0),IF(AND(H$9&lt;&gt;"",H$11&lt;&gt;""),IF(EOMONTH($F$3+INT((DAY(EOMONTH($F$3,0))-1)/2)+H$11,0)=EOMONTH($DZ$3,0),H$9*H$10,0),0),IF($EP$75="",0,IF(EOMONTH($EP$75+ER$11,0)=EOMONTH($DZ$3,0),$EP$76*ER$10,0))),0)</f>
        <v>11</v>
      </c>
      <c r="EC12" s="16">
        <f t="shared" si="67"/>
        <v>0</v>
      </c>
      <c r="ED12" s="17"/>
      <c r="EE12" s="14">
        <f>IF(ED$98=1,ED12,ROUND(SUM(IF(AND(EQ$9&lt;&gt;"",EQ$11&lt;&gt;""),IF(EOMONTH($EP$3+INT((DAY(EOMONTH($EP$3,0))-1)/2)+EQ$11,0)=EOMONTH($ED$3,0),EQ$9*EQ$10,0),0),IF(AND(EM$9&lt;&gt;"",EM$11&lt;&gt;""),IF(EOMONTH($EL$3+INT((DAY(EOMONTH($EL$3,0))-1)/2)+EM$11,0)=EOMONTH($ED$3,0),EM$9*EM$10,0),0),IF(AND(EI$9&lt;&gt;"",EI$11&lt;&gt;""),IF(EOMONTH($EH$3+INT((DAY(EOMONTH($EH$3,0))-1)/2)+EI$11,0)=EOMONTH($ED$3,0),EI$9*EI$10,0),0),IF(AND(EE$9&lt;&gt;"",EE$11&lt;&gt;""),IF(EOMONTH($ED$3+INT((DAY(EOMONTH($ED$3,0))-1)/2)+EE$11,0)=EOMONTH($ED$3,0),EE$9*EE$10,0),0),IF(AND(EA$9&lt;&gt;"",EA$11&lt;&gt;""),IF(EOMONTH($DZ$3+INT((DAY(EOMONTH($DZ$3,0))-1)/2)+EA$11,0)=EOMONTH($ED$3,0),EA$9*EA$10,0),0),IF(AND(DW$9&lt;&gt;"",DW$11&lt;&gt;""),IF(EOMONTH($DV$3+INT((DAY(EOMONTH($DV$3,0))-1)/2)+DW$11,0)=EOMONTH($ED$3,0),DW$9*DW$10,0),0),IF(AND(DS$9&lt;&gt;"",DS$11&lt;&gt;""),IF(EOMONTH($DR$3+INT((DAY(EOMONTH($DR$3,0))-1)/2)+DS$11,0)=EOMONTH($ED$3,0),DS$9*DS$10,0),0),IF(AND(DO$9&lt;&gt;"",DO$11&lt;&gt;""),IF(EOMONTH($DN$3+INT((DAY(EOMONTH($DN$3,0))-1)/2)+DO$11,0)=EOMONTH($ED$3,0),DO$9*DO$10,0),0),IF(AND(DK$9&lt;&gt;"",DK$11&lt;&gt;""),IF(EOMONTH($DJ$3+INT((DAY(EOMONTH($DJ$3,0))-1)/2)+DK$11,0)=EOMONTH($ED$3,0),DK$9*DK$10,0),0),IF(AND(DG$9&lt;&gt;"",DG$11&lt;&gt;""),IF(EOMONTH($DF$3+INT((DAY(EOMONTH($DF$3,0))-1)/2)+DG$11,0)=EOMONTH($ED$3,0),DG$9*DG$10,0),0),IF(AND(DC$9&lt;&gt;"",DC$11&lt;&gt;""),IF(EOMONTH($DB$3+INT((DAY(EOMONTH($DB$3,0))-1)/2)+DC$11,0)=EOMONTH($ED$3,0),DC$9*DC$10,0),0),IF(AND(CY$9&lt;&gt;"",CY$11&lt;&gt;""),IF(EOMONTH($CX$3+INT((DAY(EOMONTH($CX$3,0))-1)/2)+CY$11,0)=EOMONTH($ED$3,0),CY$9*CY$10,0),0),IF(AND(CU$9&lt;&gt;"",CU$11&lt;&gt;""),IF(EOMONTH($CT$3+INT((DAY(EOMONTH($CT$3,0))-1)/2)+CU$11,0)=EOMONTH($ED$3,0),CU$9*CU$10,0),0),IF(AND(CQ$9&lt;&gt;"",CQ$11&lt;&gt;""),IF(EOMONTH($CP$3+INT((DAY(EOMONTH($CP$3,0))-1)/2)+CQ$11,0)=EOMONTH($ED$3,0),CQ$9*CQ$10,0),0),IF(AND(CM$9&lt;&gt;"",CM$11&lt;&gt;""),IF(EOMONTH($CL$3+INT((DAY(EOMONTH($CL$3,0))-1)/2)+CM$11,0)=EOMONTH($ED$3,0),CM$9*CM$10,0),0),IF(AND(CI$9&lt;&gt;"",CI$11&lt;&gt;""),IF(EOMONTH($CH$3+INT((DAY(EOMONTH($CH$3,0))-1)/2)+CI$11,0)=EOMONTH($ED$3,0),CI$9*CI$10,0),0),IF(AND(CE$9&lt;&gt;"",CE$11&lt;&gt;""),IF(EOMONTH($CD$3+INT((DAY(EOMONTH($CD$3,0))-1)/2)+CE$11,0)=EOMONTH($ED$3,0),CE$9*CE$10,0),0),IF(AND(CA$9&lt;&gt;"",CA$11&lt;&gt;""),IF(EOMONTH($BZ$3+INT((DAY(EOMONTH($BZ$3,0))-1)/2)+CA$11,0)=EOMONTH($ED$3,0),CA$9*CA$10,0),0),IF(AND(BW$9&lt;&gt;"",BW$11&lt;&gt;""),IF(EOMONTH($BV$3+INT((DAY(EOMONTH($BV$3,0))-1)/2)+BW$11,0)=EOMONTH($ED$3,0),BW$9*BW$10,0),0),IF(AND(BS$9&lt;&gt;"",BS$11&lt;&gt;""),IF(EOMONTH($BR$3+INT((DAY(EOMONTH($BR$3,0))-1)/2)+BS$11,0)=EOMONTH($ED$3,0),BS$9*BS$10,0),0),IF(AND(BO$9&lt;&gt;"",BO$11&lt;&gt;""),IF(EOMONTH($BN$3+INT((DAY(EOMONTH($BN$3,0))-1)/2)+BO$11,0)=EOMONTH($ED$3,0),BO$9*BO$10,0),0),IF(AND(BK$9&lt;&gt;"",BK$11&lt;&gt;""),IF(EOMONTH($BJ$3+INT((DAY(EOMONTH($BJ$3,0))-1)/2)+BK$11,0)=EOMONTH($ED$3,0),BK$9*BK$10,0),0),IF(AND(BG$9&lt;&gt;"",BG$11&lt;&gt;""),IF(EOMONTH($BF$3+INT((DAY(EOMONTH($BF$3,0))-1)/2)+BG$11,0)=EOMONTH($ED$3,0),BG$9*BG$10,0),0),IF(AND(BC$9&lt;&gt;"",BC$11&lt;&gt;""),IF(EOMONTH($BB$3+INT((DAY(EOMONTH($BB$3,0))-1)/2)+BC$11,0)=EOMONTH($ED$3,0),BC$9*BC$10,0),0),IF(AND(AY$9&lt;&gt;"",AY$11&lt;&gt;""),IF(EOMONTH($AX$3+INT((DAY(EOMONTH($AX$3,0))-1)/2)+AY$11,0)=EOMONTH($ED$3,0),AY$9*AY$10,0),0),IF(AND(AU$9&lt;&gt;"",AU$11&lt;&gt;""),IF(EOMONTH($AT$3+INT((DAY(EOMONTH($AT$3,0))-1)/2)+AU$11,0)=EOMONTH($ED$3,0),AU$9*AU$10,0),0),IF(AND(AQ$9&lt;&gt;"",AQ$11&lt;&gt;""),IF(EOMONTH($AP$3+INT((DAY(EOMONTH($AP$3,0))-1)/2)+AQ$11,0)=EOMONTH($ED$3,0),AQ$9*AQ$10,0),0),IF(AND(AM$9&lt;&gt;"",AM$11&lt;&gt;""),IF(EOMONTH($AL$3+INT((DAY(EOMONTH($AL$3,0))-1)/2)+AM$11,0)=EOMONTH($ED$3,0),AM$9*AM$10,0),0),IF(AND(AI$9&lt;&gt;"",AI$11&lt;&gt;""),IF(EOMONTH($AH$3+INT((DAY(EOMONTH($AH$3,0))-1)/2)+AI$11,0)=EOMONTH($ED$3,0),AI$9*AI$10,0),0),IF(AND(AE$9&lt;&gt;"",AE$11&lt;&gt;""),IF(EOMONTH($AD$3+INT((DAY(EOMONTH($AD$3,0))-1)/2)+AE$11,0)=EOMONTH($ED$3,0),AE$9*AE$10,0),0),IF(AND(AA$9&lt;&gt;"",AA$11&lt;&gt;""),IF(EOMONTH($Z$3+INT((DAY(EOMONTH($Z$3,0))-1)/2)+AA$11,0)=EOMONTH($ED$3,0),AA$9*AA$10,0),0),IF(AND(W$9&lt;&gt;"",W$11&lt;&gt;""),IF(EOMONTH($V$3+INT((DAY(EOMONTH($V$3,0))-1)/2)+W$11,0)=EOMONTH($ED$3,0),W$9*W$10,0),0),IF(AND(S$9&lt;&gt;"",S$11&lt;&gt;""),IF(EOMONTH($R$3+INT((DAY(EOMONTH($R$3,0))-1)/2)+S$11,0)=EOMONTH($ED$3,0),S$9*S$10,0),0),IF(AND(O$9&lt;&gt;"",O$11&lt;&gt;""),IF(EOMONTH($N$3+INT((DAY(EOMONTH($N$3,0))-1)/2)+O$11,0)=EOMONTH($ED$3,0),O$9*O$10,0),0),IF(AND(K$9&lt;&gt;"",K$11&lt;&gt;""),IF(EOMONTH($J$3+INT((DAY(EOMONTH($J$3,0))-1)/2)+K$11,0)=EOMONTH($ED$3,0),K$9*K$10,0),0),IF(AND(G$9&lt;&gt;"",G$11&lt;&gt;""),IF(EOMONTH($F$3+INT((DAY(EOMONTH($F$3,0))-1)/2)+G$11,0)=EOMONTH($ED$3,0),G$9*G$10,0),0),IF($EP$75="",0,IF(EOMONTH($EP$75+EQ$11,0)=EOMONTH($ED$3,0),$EP$76*EQ$10,0))),0))</f>
        <v>11</v>
      </c>
      <c r="EF12" s="15">
        <f>ROUND(SUM(IF(AND(ER$9&lt;&gt;"",ER$11&lt;&gt;""),IF(EOMONTH($EP$3+INT((DAY(EOMONTH($EP$3,0))-1)/2)+ER$11,0)=EOMONTH($ED$3,0),ER$9*ER$10,0),0),IF(AND(EN$9&lt;&gt;"",EN$11&lt;&gt;""),IF(EOMONTH($EL$3+INT((DAY(EOMONTH($EL$3,0))-1)/2)+EN$11,0)=EOMONTH($ED$3,0),EN$9*EN$10,0),0),IF(AND(EJ$9&lt;&gt;"",EJ$11&lt;&gt;""),IF(EOMONTH($EH$3+INT((DAY(EOMONTH($EH$3,0))-1)/2)+EJ$11,0)=EOMONTH($ED$3,0),EJ$9*EJ$10,0),0),IF(AND(EF$9&lt;&gt;"",EF$11&lt;&gt;""),IF(EOMONTH($ED$3+INT((DAY(EOMONTH($ED$3,0))-1)/2)+EF$11,0)=EOMONTH($ED$3,0),EF$9*EF$10,0),0),IF(AND(EB$9&lt;&gt;"",EB$11&lt;&gt;""),IF(EOMONTH($DZ$3+INT((DAY(EOMONTH($DZ$3,0))-1)/2)+EB$11,0)=EOMONTH($ED$3,0),EB$9*EB$10,0),0),IF(AND(DX$9&lt;&gt;"",DX$11&lt;&gt;""),IF(EOMONTH($DV$3+INT((DAY(EOMONTH($DV$3,0))-1)/2)+DX$11,0)=EOMONTH($ED$3,0),DX$9*DX$10,0),0),IF(AND(DT$9&lt;&gt;"",DT$11&lt;&gt;""),IF(EOMONTH($DR$3+INT((DAY(EOMONTH($DR$3,0))-1)/2)+DT$11,0)=EOMONTH($ED$3,0),DT$9*DT$10,0),0),IF(AND(DP$9&lt;&gt;"",DP$11&lt;&gt;""),IF(EOMONTH($DN$3+INT((DAY(EOMONTH($DN$3,0))-1)/2)+DP$11,0)=EOMONTH($ED$3,0),DP$9*DP$10,0),0),IF(AND(DL$9&lt;&gt;"",DL$11&lt;&gt;""),IF(EOMONTH($DJ$3+INT((DAY(EOMONTH($DJ$3,0))-1)/2)+DL$11,0)=EOMONTH($ED$3,0),DL$9*DL$10,0),0),IF(AND(DH$9&lt;&gt;"",DH$11&lt;&gt;""),IF(EOMONTH($DF$3+INT((DAY(EOMONTH($DF$3,0))-1)/2)+DH$11,0)=EOMONTH($ED$3,0),DH$9*DH$10,0),0),IF(AND(DD$9&lt;&gt;"",DD$11&lt;&gt;""),IF(EOMONTH($DB$3+INT((DAY(EOMONTH($DB$3,0))-1)/2)+DD$11,0)=EOMONTH($ED$3,0),DD$9*DD$10,0),0),IF(AND(CZ$9&lt;&gt;"",CZ$11&lt;&gt;""),IF(EOMONTH($CX$3+INT((DAY(EOMONTH($CX$3,0))-1)/2)+CZ$11,0)=EOMONTH($ED$3,0),CZ$9*CZ$10,0),0),IF(AND(CV$9&lt;&gt;"",CV$11&lt;&gt;""),IF(EOMONTH($CT$3+INT((DAY(EOMONTH($CT$3,0))-1)/2)+CV$11,0)=EOMONTH($ED$3,0),CV$9*CV$10,0),0),IF(AND(CR$9&lt;&gt;"",CR$11&lt;&gt;""),IF(EOMONTH($CP$3+INT((DAY(EOMONTH($CP$3,0))-1)/2)+CR$11,0)=EOMONTH($ED$3,0),CR$9*CR$10,0),0),IF(AND(CN$9&lt;&gt;"",CN$11&lt;&gt;""),IF(EOMONTH($CL$3+INT((DAY(EOMONTH($CL$3,0))-1)/2)+CN$11,0)=EOMONTH($ED$3,0),CN$9*CN$10,0),0),IF(AND(CJ$9&lt;&gt;"",CJ$11&lt;&gt;""),IF(EOMONTH($CH$3+INT((DAY(EOMONTH($CH$3,0))-1)/2)+CJ$11,0)=EOMONTH($ED$3,0),CJ$9*CJ$10,0),0),IF(AND(CF$9&lt;&gt;"",CF$11&lt;&gt;""),IF(EOMONTH($CD$3+INT((DAY(EOMONTH($CD$3,0))-1)/2)+CF$11,0)=EOMONTH($ED$3,0),CF$9*CF$10,0),0),IF(AND(CB$9&lt;&gt;"",CB$11&lt;&gt;""),IF(EOMONTH($BZ$3+INT((DAY(EOMONTH($BZ$3,0))-1)/2)+CB$11,0)=EOMONTH($ED$3,0),CB$9*CB$10,0),0),IF(AND(BX$9&lt;&gt;"",BX$11&lt;&gt;""),IF(EOMONTH($BV$3+INT((DAY(EOMONTH($BV$3,0))-1)/2)+BX$11,0)=EOMONTH($ED$3,0),BX$9*BX$10,0),0),IF(AND(BT$9&lt;&gt;"",BT$11&lt;&gt;""),IF(EOMONTH($BR$3+INT((DAY(EOMONTH($BR$3,0))-1)/2)+BT$11,0)=EOMONTH($ED$3,0),BT$9*BT$10,0),0),IF(AND(BP$9&lt;&gt;"",BP$11&lt;&gt;""),IF(EOMONTH($BN$3+INT((DAY(EOMONTH($BN$3,0))-1)/2)+BP$11,0)=EOMONTH($ED$3,0),BP$9*BP$10,0),0),IF(AND(BL$9&lt;&gt;"",BL$11&lt;&gt;""),IF(EOMONTH($BJ$3+INT((DAY(EOMONTH($BJ$3,0))-1)/2)+BL$11,0)=EOMONTH($ED$3,0),BL$9*BL$10,0),0),IF(AND(BH$9&lt;&gt;"",BH$11&lt;&gt;""),IF(EOMONTH($BF$3+INT((DAY(EOMONTH($BF$3,0))-1)/2)+BH$11,0)=EOMONTH($ED$3,0),BH$9*BH$10,0),0),IF(AND(BD$9&lt;&gt;"",BD$11&lt;&gt;""),IF(EOMONTH($BB$3+INT((DAY(EOMONTH($BB$3,0))-1)/2)+BD$11,0)=EOMONTH($ED$3,0),BD$9*BD$10,0),0),IF(AND(AZ$9&lt;&gt;"",AZ$11&lt;&gt;""),IF(EOMONTH($AX$3+INT((DAY(EOMONTH($AX$3,0))-1)/2)+AZ$11,0)=EOMONTH($ED$3,0),AZ$9*AZ$10,0),0),IF(AND(AV$9&lt;&gt;"",AV$11&lt;&gt;""),IF(EOMONTH($AT$3+INT((DAY(EOMONTH($AT$3,0))-1)/2)+AV$11,0)=EOMONTH($ED$3,0),AV$9*AV$10,0),0),IF(AND(AR$9&lt;&gt;"",AR$11&lt;&gt;""),IF(EOMONTH($AP$3+INT((DAY(EOMONTH($AP$3,0))-1)/2)+AR$11,0)=EOMONTH($ED$3,0),AR$9*AR$10,0),0),IF(AND(AN$9&lt;&gt;"",AN$11&lt;&gt;""),IF(EOMONTH($AL$3+INT((DAY(EOMONTH($AL$3,0))-1)/2)+AN$11,0)=EOMONTH($ED$3,0),AN$9*AN$10,0),0),IF(AND(AJ$9&lt;&gt;"",AJ$11&lt;&gt;""),IF(EOMONTH($AH$3+INT((DAY(EOMONTH($AH$3,0))-1)/2)+AJ$11,0)=EOMONTH($ED$3,0),AJ$9*AJ$10,0),0),IF(AND(AF$9&lt;&gt;"",AF$11&lt;&gt;""),IF(EOMONTH($AD$3+INT((DAY(EOMONTH($AD$3,0))-1)/2)+AF$11,0)=EOMONTH($ED$3,0),AF$9*AF$10,0),0),IF(AND(AB$9&lt;&gt;"",AB$11&lt;&gt;""),IF(EOMONTH($Z$3+INT((DAY(EOMONTH($Z$3,0))-1)/2)+AB$11,0)=EOMONTH($ED$3,0),AB$9*AB$10,0),0),IF(AND(X$9&lt;&gt;"",X$11&lt;&gt;""),IF(EOMONTH($V$3+INT((DAY(EOMONTH($V$3,0))-1)/2)+X$11,0)=EOMONTH($ED$3,0),X$9*X$10,0),0),IF(AND(T$9&lt;&gt;"",T$11&lt;&gt;""),IF(EOMONTH($R$3+INT((DAY(EOMONTH($R$3,0))-1)/2)+T$11,0)=EOMONTH($ED$3,0),T$9*T$10,0),0),IF(AND(P$9&lt;&gt;"",P$11&lt;&gt;""),IF(EOMONTH($N$3+INT((DAY(EOMONTH($N$3,0))-1)/2)+P$11,0)=EOMONTH($ED$3,0),P$9*P$10,0),0),IF(AND(L$9&lt;&gt;"",L$11&lt;&gt;""),IF(EOMONTH($J$3+INT((DAY(EOMONTH($J$3,0))-1)/2)+L$11,0)=EOMONTH($ED$3,0),L$9*L$10,0),0),IF(AND(H$9&lt;&gt;"",H$11&lt;&gt;""),IF(EOMONTH($F$3+INT((DAY(EOMONTH($F$3,0))-1)/2)+H$11,0)=EOMONTH($ED$3,0),H$9*H$10,0),0),IF($EP$75="",0,IF(EOMONTH($EP$75+ER$11,0)=EOMONTH($ED$3,0),$EP$76*ER$10,0))),0)</f>
        <v>11</v>
      </c>
      <c r="EG12" s="16">
        <f t="shared" si="69"/>
        <v>0</v>
      </c>
      <c r="EH12" s="17"/>
      <c r="EI12" s="14">
        <f>IF(EH$98=1,EH12,ROUND(SUM(IF(AND(EQ$9&lt;&gt;"",EQ$11&lt;&gt;""),IF(EOMONTH($EP$3+INT((DAY(EOMONTH($EP$3,0))-1)/2)+EQ$11,0)=EOMONTH($EH$3,0),EQ$9*EQ$10,0),0),IF(AND(EM$9&lt;&gt;"",EM$11&lt;&gt;""),IF(EOMONTH($EL$3+INT((DAY(EOMONTH($EL$3,0))-1)/2)+EM$11,0)=EOMONTH($EH$3,0),EM$9*EM$10,0),0),IF(AND(EI$9&lt;&gt;"",EI$11&lt;&gt;""),IF(EOMONTH($EH$3+INT((DAY(EOMONTH($EH$3,0))-1)/2)+EI$11,0)=EOMONTH($EH$3,0),EI$9*EI$10,0),0),IF(AND(EE$9&lt;&gt;"",EE$11&lt;&gt;""),IF(EOMONTH($ED$3+INT((DAY(EOMONTH($ED$3,0))-1)/2)+EE$11,0)=EOMONTH($EH$3,0),EE$9*EE$10,0),0),IF(AND(EA$9&lt;&gt;"",EA$11&lt;&gt;""),IF(EOMONTH($DZ$3+INT((DAY(EOMONTH($DZ$3,0))-1)/2)+EA$11,0)=EOMONTH($EH$3,0),EA$9*EA$10,0),0),IF(AND(DW$9&lt;&gt;"",DW$11&lt;&gt;""),IF(EOMONTH($DV$3+INT((DAY(EOMONTH($DV$3,0))-1)/2)+DW$11,0)=EOMONTH($EH$3,0),DW$9*DW$10,0),0),IF(AND(DS$9&lt;&gt;"",DS$11&lt;&gt;""),IF(EOMONTH($DR$3+INT((DAY(EOMONTH($DR$3,0))-1)/2)+DS$11,0)=EOMONTH($EH$3,0),DS$9*DS$10,0),0),IF(AND(DO$9&lt;&gt;"",DO$11&lt;&gt;""),IF(EOMONTH($DN$3+INT((DAY(EOMONTH($DN$3,0))-1)/2)+DO$11,0)=EOMONTH($EH$3,0),DO$9*DO$10,0),0),IF(AND(DK$9&lt;&gt;"",DK$11&lt;&gt;""),IF(EOMONTH($DJ$3+INT((DAY(EOMONTH($DJ$3,0))-1)/2)+DK$11,0)=EOMONTH($EH$3,0),DK$9*DK$10,0),0),IF(AND(DG$9&lt;&gt;"",DG$11&lt;&gt;""),IF(EOMONTH($DF$3+INT((DAY(EOMONTH($DF$3,0))-1)/2)+DG$11,0)=EOMONTH($EH$3,0),DG$9*DG$10,0),0),IF(AND(DC$9&lt;&gt;"",DC$11&lt;&gt;""),IF(EOMONTH($DB$3+INT((DAY(EOMONTH($DB$3,0))-1)/2)+DC$11,0)=EOMONTH($EH$3,0),DC$9*DC$10,0),0),IF(AND(CY$9&lt;&gt;"",CY$11&lt;&gt;""),IF(EOMONTH($CX$3+INT((DAY(EOMONTH($CX$3,0))-1)/2)+CY$11,0)=EOMONTH($EH$3,0),CY$9*CY$10,0),0),IF(AND(CU$9&lt;&gt;"",CU$11&lt;&gt;""),IF(EOMONTH($CT$3+INT((DAY(EOMONTH($CT$3,0))-1)/2)+CU$11,0)=EOMONTH($EH$3,0),CU$9*CU$10,0),0),IF(AND(CQ$9&lt;&gt;"",CQ$11&lt;&gt;""),IF(EOMONTH($CP$3+INT((DAY(EOMONTH($CP$3,0))-1)/2)+CQ$11,0)=EOMONTH($EH$3,0),CQ$9*CQ$10,0),0),IF(AND(CM$9&lt;&gt;"",CM$11&lt;&gt;""),IF(EOMONTH($CL$3+INT((DAY(EOMONTH($CL$3,0))-1)/2)+CM$11,0)=EOMONTH($EH$3,0),CM$9*CM$10,0),0),IF(AND(CI$9&lt;&gt;"",CI$11&lt;&gt;""),IF(EOMONTH($CH$3+INT((DAY(EOMONTH($CH$3,0))-1)/2)+CI$11,0)=EOMONTH($EH$3,0),CI$9*CI$10,0),0),IF(AND(CE$9&lt;&gt;"",CE$11&lt;&gt;""),IF(EOMONTH($CD$3+INT((DAY(EOMONTH($CD$3,0))-1)/2)+CE$11,0)=EOMONTH($EH$3,0),CE$9*CE$10,0),0),IF(AND(CA$9&lt;&gt;"",CA$11&lt;&gt;""),IF(EOMONTH($BZ$3+INT((DAY(EOMONTH($BZ$3,0))-1)/2)+CA$11,0)=EOMONTH($EH$3,0),CA$9*CA$10,0),0),IF(AND(BW$9&lt;&gt;"",BW$11&lt;&gt;""),IF(EOMONTH($BV$3+INT((DAY(EOMONTH($BV$3,0))-1)/2)+BW$11,0)=EOMONTH($EH$3,0),BW$9*BW$10,0),0),IF(AND(BS$9&lt;&gt;"",BS$11&lt;&gt;""),IF(EOMONTH($BR$3+INT((DAY(EOMONTH($BR$3,0))-1)/2)+BS$11,0)=EOMONTH($EH$3,0),BS$9*BS$10,0),0),IF(AND(BO$9&lt;&gt;"",BO$11&lt;&gt;""),IF(EOMONTH($BN$3+INT((DAY(EOMONTH($BN$3,0))-1)/2)+BO$11,0)=EOMONTH($EH$3,0),BO$9*BO$10,0),0),IF(AND(BK$9&lt;&gt;"",BK$11&lt;&gt;""),IF(EOMONTH($BJ$3+INT((DAY(EOMONTH($BJ$3,0))-1)/2)+BK$11,0)=EOMONTH($EH$3,0),BK$9*BK$10,0),0),IF(AND(BG$9&lt;&gt;"",BG$11&lt;&gt;""),IF(EOMONTH($BF$3+INT((DAY(EOMONTH($BF$3,0))-1)/2)+BG$11,0)=EOMONTH($EH$3,0),BG$9*BG$10,0),0),IF(AND(BC$9&lt;&gt;"",BC$11&lt;&gt;""),IF(EOMONTH($BB$3+INT((DAY(EOMONTH($BB$3,0))-1)/2)+BC$11,0)=EOMONTH($EH$3,0),BC$9*BC$10,0),0),IF(AND(AY$9&lt;&gt;"",AY$11&lt;&gt;""),IF(EOMONTH($AX$3+INT((DAY(EOMONTH($AX$3,0))-1)/2)+AY$11,0)=EOMONTH($EH$3,0),AY$9*AY$10,0),0),IF(AND(AU$9&lt;&gt;"",AU$11&lt;&gt;""),IF(EOMONTH($AT$3+INT((DAY(EOMONTH($AT$3,0))-1)/2)+AU$11,0)=EOMONTH($EH$3,0),AU$9*AU$10,0),0),IF(AND(AQ$9&lt;&gt;"",AQ$11&lt;&gt;""),IF(EOMONTH($AP$3+INT((DAY(EOMONTH($AP$3,0))-1)/2)+AQ$11,0)=EOMONTH($EH$3,0),AQ$9*AQ$10,0),0),IF(AND(AM$9&lt;&gt;"",AM$11&lt;&gt;""),IF(EOMONTH($AL$3+INT((DAY(EOMONTH($AL$3,0))-1)/2)+AM$11,0)=EOMONTH($EH$3,0),AM$9*AM$10,0),0),IF(AND(AI$9&lt;&gt;"",AI$11&lt;&gt;""),IF(EOMONTH($AH$3+INT((DAY(EOMONTH($AH$3,0))-1)/2)+AI$11,0)=EOMONTH($EH$3,0),AI$9*AI$10,0),0),IF(AND(AE$9&lt;&gt;"",AE$11&lt;&gt;""),IF(EOMONTH($AD$3+INT((DAY(EOMONTH($AD$3,0))-1)/2)+AE$11,0)=EOMONTH($EH$3,0),AE$9*AE$10,0),0),IF(AND(AA$9&lt;&gt;"",AA$11&lt;&gt;""),IF(EOMONTH($Z$3+INT((DAY(EOMONTH($Z$3,0))-1)/2)+AA$11,0)=EOMONTH($EH$3,0),AA$9*AA$10,0),0),IF(AND(W$9&lt;&gt;"",W$11&lt;&gt;""),IF(EOMONTH($V$3+INT((DAY(EOMONTH($V$3,0))-1)/2)+W$11,0)=EOMONTH($EH$3,0),W$9*W$10,0),0),IF(AND(S$9&lt;&gt;"",S$11&lt;&gt;""),IF(EOMONTH($R$3+INT((DAY(EOMONTH($R$3,0))-1)/2)+S$11,0)=EOMONTH($EH$3,0),S$9*S$10,0),0),IF(AND(O$9&lt;&gt;"",O$11&lt;&gt;""),IF(EOMONTH($N$3+INT((DAY(EOMONTH($N$3,0))-1)/2)+O$11,0)=EOMONTH($EH$3,0),O$9*O$10,0),0),IF(AND(K$9&lt;&gt;"",K$11&lt;&gt;""),IF(EOMONTH($J$3+INT((DAY(EOMONTH($J$3,0))-1)/2)+K$11,0)=EOMONTH($EH$3,0),K$9*K$10,0),0),IF(AND(G$9&lt;&gt;"",G$11&lt;&gt;""),IF(EOMONTH($F$3+INT((DAY(EOMONTH($F$3,0))-1)/2)+G$11,0)=EOMONTH($EH$3,0),G$9*G$10,0),0),IF($EP$75="",0,IF(EOMONTH($EP$75+EQ$11,0)=EOMONTH($EH$3,0),$EP$76*EQ$10,0))),0))</f>
        <v>8</v>
      </c>
      <c r="EJ12" s="15">
        <f>ROUND(SUM(IF(AND(ER$9&lt;&gt;"",ER$11&lt;&gt;""),IF(EOMONTH($EP$3+INT((DAY(EOMONTH($EP$3,0))-1)/2)+ER$11,0)=EOMONTH($EH$3,0),ER$9*ER$10,0),0),IF(AND(EN$9&lt;&gt;"",EN$11&lt;&gt;""),IF(EOMONTH($EL$3+INT((DAY(EOMONTH($EL$3,0))-1)/2)+EN$11,0)=EOMONTH($EH$3,0),EN$9*EN$10,0),0),IF(AND(EJ$9&lt;&gt;"",EJ$11&lt;&gt;""),IF(EOMONTH($EH$3+INT((DAY(EOMONTH($EH$3,0))-1)/2)+EJ$11,0)=EOMONTH($EH$3,0),EJ$9*EJ$10,0),0),IF(AND(EF$9&lt;&gt;"",EF$11&lt;&gt;""),IF(EOMONTH($ED$3+INT((DAY(EOMONTH($ED$3,0))-1)/2)+EF$11,0)=EOMONTH($EH$3,0),EF$9*EF$10,0),0),IF(AND(EB$9&lt;&gt;"",EB$11&lt;&gt;""),IF(EOMONTH($DZ$3+INT((DAY(EOMONTH($DZ$3,0))-1)/2)+EB$11,0)=EOMONTH($EH$3,0),EB$9*EB$10,0),0),IF(AND(DX$9&lt;&gt;"",DX$11&lt;&gt;""),IF(EOMONTH($DV$3+INT((DAY(EOMONTH($DV$3,0))-1)/2)+DX$11,0)=EOMONTH($EH$3,0),DX$9*DX$10,0),0),IF(AND(DT$9&lt;&gt;"",DT$11&lt;&gt;""),IF(EOMONTH($DR$3+INT((DAY(EOMONTH($DR$3,0))-1)/2)+DT$11,0)=EOMONTH($EH$3,0),DT$9*DT$10,0),0),IF(AND(DP$9&lt;&gt;"",DP$11&lt;&gt;""),IF(EOMONTH($DN$3+INT((DAY(EOMONTH($DN$3,0))-1)/2)+DP$11,0)=EOMONTH($EH$3,0),DP$9*DP$10,0),0),IF(AND(DL$9&lt;&gt;"",DL$11&lt;&gt;""),IF(EOMONTH($DJ$3+INT((DAY(EOMONTH($DJ$3,0))-1)/2)+DL$11,0)=EOMONTH($EH$3,0),DL$9*DL$10,0),0),IF(AND(DH$9&lt;&gt;"",DH$11&lt;&gt;""),IF(EOMONTH($DF$3+INT((DAY(EOMONTH($DF$3,0))-1)/2)+DH$11,0)=EOMONTH($EH$3,0),DH$9*DH$10,0),0),IF(AND(DD$9&lt;&gt;"",DD$11&lt;&gt;""),IF(EOMONTH($DB$3+INT((DAY(EOMONTH($DB$3,0))-1)/2)+DD$11,0)=EOMONTH($EH$3,0),DD$9*DD$10,0),0),IF(AND(CZ$9&lt;&gt;"",CZ$11&lt;&gt;""),IF(EOMONTH($CX$3+INT((DAY(EOMONTH($CX$3,0))-1)/2)+CZ$11,0)=EOMONTH($EH$3,0),CZ$9*CZ$10,0),0),IF(AND(CV$9&lt;&gt;"",CV$11&lt;&gt;""),IF(EOMONTH($CT$3+INT((DAY(EOMONTH($CT$3,0))-1)/2)+CV$11,0)=EOMONTH($EH$3,0),CV$9*CV$10,0),0),IF(AND(CR$9&lt;&gt;"",CR$11&lt;&gt;""),IF(EOMONTH($CP$3+INT((DAY(EOMONTH($CP$3,0))-1)/2)+CR$11,0)=EOMONTH($EH$3,0),CR$9*CR$10,0),0),IF(AND(CN$9&lt;&gt;"",CN$11&lt;&gt;""),IF(EOMONTH($CL$3+INT((DAY(EOMONTH($CL$3,0))-1)/2)+CN$11,0)=EOMONTH($EH$3,0),CN$9*CN$10,0),0),IF(AND(CJ$9&lt;&gt;"",CJ$11&lt;&gt;""),IF(EOMONTH($CH$3+INT((DAY(EOMONTH($CH$3,0))-1)/2)+CJ$11,0)=EOMONTH($EH$3,0),CJ$9*CJ$10,0),0),IF(AND(CF$9&lt;&gt;"",CF$11&lt;&gt;""),IF(EOMONTH($CD$3+INT((DAY(EOMONTH($CD$3,0))-1)/2)+CF$11,0)=EOMONTH($EH$3,0),CF$9*CF$10,0),0),IF(AND(CB$9&lt;&gt;"",CB$11&lt;&gt;""),IF(EOMONTH($BZ$3+INT((DAY(EOMONTH($BZ$3,0))-1)/2)+CB$11,0)=EOMONTH($EH$3,0),CB$9*CB$10,0),0),IF(AND(BX$9&lt;&gt;"",BX$11&lt;&gt;""),IF(EOMONTH($BV$3+INT((DAY(EOMONTH($BV$3,0))-1)/2)+BX$11,0)=EOMONTH($EH$3,0),BX$9*BX$10,0),0),IF(AND(BT$9&lt;&gt;"",BT$11&lt;&gt;""),IF(EOMONTH($BR$3+INT((DAY(EOMONTH($BR$3,0))-1)/2)+BT$11,0)=EOMONTH($EH$3,0),BT$9*BT$10,0),0),IF(AND(BP$9&lt;&gt;"",BP$11&lt;&gt;""),IF(EOMONTH($BN$3+INT((DAY(EOMONTH($BN$3,0))-1)/2)+BP$11,0)=EOMONTH($EH$3,0),BP$9*BP$10,0),0),IF(AND(BL$9&lt;&gt;"",BL$11&lt;&gt;""),IF(EOMONTH($BJ$3+INT((DAY(EOMONTH($BJ$3,0))-1)/2)+BL$11,0)=EOMONTH($EH$3,0),BL$9*BL$10,0),0),IF(AND(BH$9&lt;&gt;"",BH$11&lt;&gt;""),IF(EOMONTH($BF$3+INT((DAY(EOMONTH($BF$3,0))-1)/2)+BH$11,0)=EOMONTH($EH$3,0),BH$9*BH$10,0),0),IF(AND(BD$9&lt;&gt;"",BD$11&lt;&gt;""),IF(EOMONTH($BB$3+INT((DAY(EOMONTH($BB$3,0))-1)/2)+BD$11,0)=EOMONTH($EH$3,0),BD$9*BD$10,0),0),IF(AND(AZ$9&lt;&gt;"",AZ$11&lt;&gt;""),IF(EOMONTH($AX$3+INT((DAY(EOMONTH($AX$3,0))-1)/2)+AZ$11,0)=EOMONTH($EH$3,0),AZ$9*AZ$10,0),0),IF(AND(AV$9&lt;&gt;"",AV$11&lt;&gt;""),IF(EOMONTH($AT$3+INT((DAY(EOMONTH($AT$3,0))-1)/2)+AV$11,0)=EOMONTH($EH$3,0),AV$9*AV$10,0),0),IF(AND(AR$9&lt;&gt;"",AR$11&lt;&gt;""),IF(EOMONTH($AP$3+INT((DAY(EOMONTH($AP$3,0))-1)/2)+AR$11,0)=EOMONTH($EH$3,0),AR$9*AR$10,0),0),IF(AND(AN$9&lt;&gt;"",AN$11&lt;&gt;""),IF(EOMONTH($AL$3+INT((DAY(EOMONTH($AL$3,0))-1)/2)+AN$11,0)=EOMONTH($EH$3,0),AN$9*AN$10,0),0),IF(AND(AJ$9&lt;&gt;"",AJ$11&lt;&gt;""),IF(EOMONTH($AH$3+INT((DAY(EOMONTH($AH$3,0))-1)/2)+AJ$11,0)=EOMONTH($EH$3,0),AJ$9*AJ$10,0),0),IF(AND(AF$9&lt;&gt;"",AF$11&lt;&gt;""),IF(EOMONTH($AD$3+INT((DAY(EOMONTH($AD$3,0))-1)/2)+AF$11,0)=EOMONTH($EH$3,0),AF$9*AF$10,0),0),IF(AND(AB$9&lt;&gt;"",AB$11&lt;&gt;""),IF(EOMONTH($Z$3+INT((DAY(EOMONTH($Z$3,0))-1)/2)+AB$11,0)=EOMONTH($EH$3,0),AB$9*AB$10,0),0),IF(AND(X$9&lt;&gt;"",X$11&lt;&gt;""),IF(EOMONTH($V$3+INT((DAY(EOMONTH($V$3,0))-1)/2)+X$11,0)=EOMONTH($EH$3,0),X$9*X$10,0),0),IF(AND(T$9&lt;&gt;"",T$11&lt;&gt;""),IF(EOMONTH($R$3+INT((DAY(EOMONTH($R$3,0))-1)/2)+T$11,0)=EOMONTH($EH$3,0),T$9*T$10,0),0),IF(AND(P$9&lt;&gt;"",P$11&lt;&gt;""),IF(EOMONTH($N$3+INT((DAY(EOMONTH($N$3,0))-1)/2)+P$11,0)=EOMONTH($EH$3,0),P$9*P$10,0),0),IF(AND(L$9&lt;&gt;"",L$11&lt;&gt;""),IF(EOMONTH($J$3+INT((DAY(EOMONTH($J$3,0))-1)/2)+L$11,0)=EOMONTH($EH$3,0),L$9*L$10,0),0),IF(AND(H$9&lt;&gt;"",H$11&lt;&gt;""),IF(EOMONTH($F$3+INT((DAY(EOMONTH($F$3,0))-1)/2)+H$11,0)=EOMONTH($EH$3,0),H$9*H$10,0),0),IF($EP$75="",0,IF(EOMONTH($EP$75+ER$11,0)=EOMONTH($EH$3,0),$EP$76*ER$10,0))),0)</f>
        <v>10</v>
      </c>
      <c r="EK12" s="16">
        <f t="shared" si="71"/>
        <v>-2</v>
      </c>
      <c r="EL12" s="17">
        <v>8.0</v>
      </c>
      <c r="EM12" s="14">
        <f>IF(EL$98=1,EL12,ROUND(SUM(IF(AND(EQ$9&lt;&gt;"",EQ$11&lt;&gt;""),IF(EOMONTH($EP$3+INT((DAY(EOMONTH($EP$3,0))-1)/2)+EQ$11,0)=EOMONTH($EL$3,0),EQ$9*EQ$10,0),0),IF(AND(EM$9&lt;&gt;"",EM$11&lt;&gt;""),IF(EOMONTH($EL$3+INT((DAY(EOMONTH($EL$3,0))-1)/2)+EM$11,0)=EOMONTH($EL$3,0),EM$9*EM$10,0),0),IF(AND(EI$9&lt;&gt;"",EI$11&lt;&gt;""),IF(EOMONTH($EH$3+INT((DAY(EOMONTH($EH$3,0))-1)/2)+EI$11,0)=EOMONTH($EL$3,0),EI$9*EI$10,0),0),IF(AND(EE$9&lt;&gt;"",EE$11&lt;&gt;""),IF(EOMONTH($ED$3+INT((DAY(EOMONTH($ED$3,0))-1)/2)+EE$11,0)=EOMONTH($EL$3,0),EE$9*EE$10,0),0),IF(AND(EA$9&lt;&gt;"",EA$11&lt;&gt;""),IF(EOMONTH($DZ$3+INT((DAY(EOMONTH($DZ$3,0))-1)/2)+EA$11,0)=EOMONTH($EL$3,0),EA$9*EA$10,0),0),IF(AND(DW$9&lt;&gt;"",DW$11&lt;&gt;""),IF(EOMONTH($DV$3+INT((DAY(EOMONTH($DV$3,0))-1)/2)+DW$11,0)=EOMONTH($EL$3,0),DW$9*DW$10,0),0),IF(AND(DS$9&lt;&gt;"",DS$11&lt;&gt;""),IF(EOMONTH($DR$3+INT((DAY(EOMONTH($DR$3,0))-1)/2)+DS$11,0)=EOMONTH($EL$3,0),DS$9*DS$10,0),0),IF(AND(DO$9&lt;&gt;"",DO$11&lt;&gt;""),IF(EOMONTH($DN$3+INT((DAY(EOMONTH($DN$3,0))-1)/2)+DO$11,0)=EOMONTH($EL$3,0),DO$9*DO$10,0),0),IF(AND(DK$9&lt;&gt;"",DK$11&lt;&gt;""),IF(EOMONTH($DJ$3+INT((DAY(EOMONTH($DJ$3,0))-1)/2)+DK$11,0)=EOMONTH($EL$3,0),DK$9*DK$10,0),0),IF(AND(DG$9&lt;&gt;"",DG$11&lt;&gt;""),IF(EOMONTH($DF$3+INT((DAY(EOMONTH($DF$3,0))-1)/2)+DG$11,0)=EOMONTH($EL$3,0),DG$9*DG$10,0),0),IF(AND(DC$9&lt;&gt;"",DC$11&lt;&gt;""),IF(EOMONTH($DB$3+INT((DAY(EOMONTH($DB$3,0))-1)/2)+DC$11,0)=EOMONTH($EL$3,0),DC$9*DC$10,0),0),IF(AND(CY$9&lt;&gt;"",CY$11&lt;&gt;""),IF(EOMONTH($CX$3+INT((DAY(EOMONTH($CX$3,0))-1)/2)+CY$11,0)=EOMONTH($EL$3,0),CY$9*CY$10,0),0),IF(AND(CU$9&lt;&gt;"",CU$11&lt;&gt;""),IF(EOMONTH($CT$3+INT((DAY(EOMONTH($CT$3,0))-1)/2)+CU$11,0)=EOMONTH($EL$3,0),CU$9*CU$10,0),0),IF(AND(CQ$9&lt;&gt;"",CQ$11&lt;&gt;""),IF(EOMONTH($CP$3+INT((DAY(EOMONTH($CP$3,0))-1)/2)+CQ$11,0)=EOMONTH($EL$3,0),CQ$9*CQ$10,0),0),IF(AND(CM$9&lt;&gt;"",CM$11&lt;&gt;""),IF(EOMONTH($CL$3+INT((DAY(EOMONTH($CL$3,0))-1)/2)+CM$11,0)=EOMONTH($EL$3,0),CM$9*CM$10,0),0),IF(AND(CI$9&lt;&gt;"",CI$11&lt;&gt;""),IF(EOMONTH($CH$3+INT((DAY(EOMONTH($CH$3,0))-1)/2)+CI$11,0)=EOMONTH($EL$3,0),CI$9*CI$10,0),0),IF(AND(CE$9&lt;&gt;"",CE$11&lt;&gt;""),IF(EOMONTH($CD$3+INT((DAY(EOMONTH($CD$3,0))-1)/2)+CE$11,0)=EOMONTH($EL$3,0),CE$9*CE$10,0),0),IF(AND(CA$9&lt;&gt;"",CA$11&lt;&gt;""),IF(EOMONTH($BZ$3+INT((DAY(EOMONTH($BZ$3,0))-1)/2)+CA$11,0)=EOMONTH($EL$3,0),CA$9*CA$10,0),0),IF(AND(BW$9&lt;&gt;"",BW$11&lt;&gt;""),IF(EOMONTH($BV$3+INT((DAY(EOMONTH($BV$3,0))-1)/2)+BW$11,0)=EOMONTH($EL$3,0),BW$9*BW$10,0),0),IF(AND(BS$9&lt;&gt;"",BS$11&lt;&gt;""),IF(EOMONTH($BR$3+INT((DAY(EOMONTH($BR$3,0))-1)/2)+BS$11,0)=EOMONTH($EL$3,0),BS$9*BS$10,0),0),IF(AND(BO$9&lt;&gt;"",BO$11&lt;&gt;""),IF(EOMONTH($BN$3+INT((DAY(EOMONTH($BN$3,0))-1)/2)+BO$11,0)=EOMONTH($EL$3,0),BO$9*BO$10,0),0),IF(AND(BK$9&lt;&gt;"",BK$11&lt;&gt;""),IF(EOMONTH($BJ$3+INT((DAY(EOMONTH($BJ$3,0))-1)/2)+BK$11,0)=EOMONTH($EL$3,0),BK$9*BK$10,0),0),IF(AND(BG$9&lt;&gt;"",BG$11&lt;&gt;""),IF(EOMONTH($BF$3+INT((DAY(EOMONTH($BF$3,0))-1)/2)+BG$11,0)=EOMONTH($EL$3,0),BG$9*BG$10,0),0),IF(AND(BC$9&lt;&gt;"",BC$11&lt;&gt;""),IF(EOMONTH($BB$3+INT((DAY(EOMONTH($BB$3,0))-1)/2)+BC$11,0)=EOMONTH($EL$3,0),BC$9*BC$10,0),0),IF(AND(AY$9&lt;&gt;"",AY$11&lt;&gt;""),IF(EOMONTH($AX$3+INT((DAY(EOMONTH($AX$3,0))-1)/2)+AY$11,0)=EOMONTH($EL$3,0),AY$9*AY$10,0),0),IF(AND(AU$9&lt;&gt;"",AU$11&lt;&gt;""),IF(EOMONTH($AT$3+INT((DAY(EOMONTH($AT$3,0))-1)/2)+AU$11,0)=EOMONTH($EL$3,0),AU$9*AU$10,0),0),IF(AND(AQ$9&lt;&gt;"",AQ$11&lt;&gt;""),IF(EOMONTH($AP$3+INT((DAY(EOMONTH($AP$3,0))-1)/2)+AQ$11,0)=EOMONTH($EL$3,0),AQ$9*AQ$10,0),0),IF(AND(AM$9&lt;&gt;"",AM$11&lt;&gt;""),IF(EOMONTH($AL$3+INT((DAY(EOMONTH($AL$3,0))-1)/2)+AM$11,0)=EOMONTH($EL$3,0),AM$9*AM$10,0),0),IF(AND(AI$9&lt;&gt;"",AI$11&lt;&gt;""),IF(EOMONTH($AH$3+INT((DAY(EOMONTH($AH$3,0))-1)/2)+AI$11,0)=EOMONTH($EL$3,0),AI$9*AI$10,0),0),IF(AND(AE$9&lt;&gt;"",AE$11&lt;&gt;""),IF(EOMONTH($AD$3+INT((DAY(EOMONTH($AD$3,0))-1)/2)+AE$11,0)=EOMONTH($EL$3,0),AE$9*AE$10,0),0),IF(AND(AA$9&lt;&gt;"",AA$11&lt;&gt;""),IF(EOMONTH($Z$3+INT((DAY(EOMONTH($Z$3,0))-1)/2)+AA$11,0)=EOMONTH($EL$3,0),AA$9*AA$10,0),0),IF(AND(W$9&lt;&gt;"",W$11&lt;&gt;""),IF(EOMONTH($V$3+INT((DAY(EOMONTH($V$3,0))-1)/2)+W$11,0)=EOMONTH($EL$3,0),W$9*W$10,0),0),IF(AND(S$9&lt;&gt;"",S$11&lt;&gt;""),IF(EOMONTH($R$3+INT((DAY(EOMONTH($R$3,0))-1)/2)+S$11,0)=EOMONTH($EL$3,0),S$9*S$10,0),0),IF(AND(O$9&lt;&gt;"",O$11&lt;&gt;""),IF(EOMONTH($N$3+INT((DAY(EOMONTH($N$3,0))-1)/2)+O$11,0)=EOMONTH($EL$3,0),O$9*O$10,0),0),IF(AND(K$9&lt;&gt;"",K$11&lt;&gt;""),IF(EOMONTH($J$3+INT((DAY(EOMONTH($J$3,0))-1)/2)+K$11,0)=EOMONTH($EL$3,0),K$9*K$10,0),0),IF(AND(G$9&lt;&gt;"",G$11&lt;&gt;""),IF(EOMONTH($F$3+INT((DAY(EOMONTH($F$3,0))-1)/2)+G$11,0)=EOMONTH($EL$3,0),G$9*G$10,0),0),IF($EP$75="",0,IF(EOMONTH($EP$75+EQ$11,0)=EOMONTH($EL$3,0),$EP$76*EQ$10,0))),0))</f>
        <v>8</v>
      </c>
      <c r="EN12" s="15">
        <f>ROUND(SUM(IF(AND(ER$9&lt;&gt;"",ER$11&lt;&gt;""),IF(EOMONTH($EP$3+INT((DAY(EOMONTH($EP$3,0))-1)/2)+ER$11,0)=EOMONTH($EL$3,0),ER$9*ER$10,0),0),IF(AND(EN$9&lt;&gt;"",EN$11&lt;&gt;""),IF(EOMONTH($EL$3+INT((DAY(EOMONTH($EL$3,0))-1)/2)+EN$11,0)=EOMONTH($EL$3,0),EN$9*EN$10,0),0),IF(AND(EJ$9&lt;&gt;"",EJ$11&lt;&gt;""),IF(EOMONTH($EH$3+INT((DAY(EOMONTH($EH$3,0))-1)/2)+EJ$11,0)=EOMONTH($EL$3,0),EJ$9*EJ$10,0),0),IF(AND(EF$9&lt;&gt;"",EF$11&lt;&gt;""),IF(EOMONTH($ED$3+INT((DAY(EOMONTH($ED$3,0))-1)/2)+EF$11,0)=EOMONTH($EL$3,0),EF$9*EF$10,0),0),IF(AND(EB$9&lt;&gt;"",EB$11&lt;&gt;""),IF(EOMONTH($DZ$3+INT((DAY(EOMONTH($DZ$3,0))-1)/2)+EB$11,0)=EOMONTH($EL$3,0),EB$9*EB$10,0),0),IF(AND(DX$9&lt;&gt;"",DX$11&lt;&gt;""),IF(EOMONTH($DV$3+INT((DAY(EOMONTH($DV$3,0))-1)/2)+DX$11,0)=EOMONTH($EL$3,0),DX$9*DX$10,0),0),IF(AND(DT$9&lt;&gt;"",DT$11&lt;&gt;""),IF(EOMONTH($DR$3+INT((DAY(EOMONTH($DR$3,0))-1)/2)+DT$11,0)=EOMONTH($EL$3,0),DT$9*DT$10,0),0),IF(AND(DP$9&lt;&gt;"",DP$11&lt;&gt;""),IF(EOMONTH($DN$3+INT((DAY(EOMONTH($DN$3,0))-1)/2)+DP$11,0)=EOMONTH($EL$3,0),DP$9*DP$10,0),0),IF(AND(DL$9&lt;&gt;"",DL$11&lt;&gt;""),IF(EOMONTH($DJ$3+INT((DAY(EOMONTH($DJ$3,0))-1)/2)+DL$11,0)=EOMONTH($EL$3,0),DL$9*DL$10,0),0),IF(AND(DH$9&lt;&gt;"",DH$11&lt;&gt;""),IF(EOMONTH($DF$3+INT((DAY(EOMONTH($DF$3,0))-1)/2)+DH$11,0)=EOMONTH($EL$3,0),DH$9*DH$10,0),0),IF(AND(DD$9&lt;&gt;"",DD$11&lt;&gt;""),IF(EOMONTH($DB$3+INT((DAY(EOMONTH($DB$3,0))-1)/2)+DD$11,0)=EOMONTH($EL$3,0),DD$9*DD$10,0),0),IF(AND(CZ$9&lt;&gt;"",CZ$11&lt;&gt;""),IF(EOMONTH($CX$3+INT((DAY(EOMONTH($CX$3,0))-1)/2)+CZ$11,0)=EOMONTH($EL$3,0),CZ$9*CZ$10,0),0),IF(AND(CV$9&lt;&gt;"",CV$11&lt;&gt;""),IF(EOMONTH($CT$3+INT((DAY(EOMONTH($CT$3,0))-1)/2)+CV$11,0)=EOMONTH($EL$3,0),CV$9*CV$10,0),0),IF(AND(CR$9&lt;&gt;"",CR$11&lt;&gt;""),IF(EOMONTH($CP$3+INT((DAY(EOMONTH($CP$3,0))-1)/2)+CR$11,0)=EOMONTH($EL$3,0),CR$9*CR$10,0),0),IF(AND(CN$9&lt;&gt;"",CN$11&lt;&gt;""),IF(EOMONTH($CL$3+INT((DAY(EOMONTH($CL$3,0))-1)/2)+CN$11,0)=EOMONTH($EL$3,0),CN$9*CN$10,0),0),IF(AND(CJ$9&lt;&gt;"",CJ$11&lt;&gt;""),IF(EOMONTH($CH$3+INT((DAY(EOMONTH($CH$3,0))-1)/2)+CJ$11,0)=EOMONTH($EL$3,0),CJ$9*CJ$10,0),0),IF(AND(CF$9&lt;&gt;"",CF$11&lt;&gt;""),IF(EOMONTH($CD$3+INT((DAY(EOMONTH($CD$3,0))-1)/2)+CF$11,0)=EOMONTH($EL$3,0),CF$9*CF$10,0),0),IF(AND(CB$9&lt;&gt;"",CB$11&lt;&gt;""),IF(EOMONTH($BZ$3+INT((DAY(EOMONTH($BZ$3,0))-1)/2)+CB$11,0)=EOMONTH($EL$3,0),CB$9*CB$10,0),0),IF(AND(BX$9&lt;&gt;"",BX$11&lt;&gt;""),IF(EOMONTH($BV$3+INT((DAY(EOMONTH($BV$3,0))-1)/2)+BX$11,0)=EOMONTH($EL$3,0),BX$9*BX$10,0),0),IF(AND(BT$9&lt;&gt;"",BT$11&lt;&gt;""),IF(EOMONTH($BR$3+INT((DAY(EOMONTH($BR$3,0))-1)/2)+BT$11,0)=EOMONTH($EL$3,0),BT$9*BT$10,0),0),IF(AND(BP$9&lt;&gt;"",BP$11&lt;&gt;""),IF(EOMONTH($BN$3+INT((DAY(EOMONTH($BN$3,0))-1)/2)+BP$11,0)=EOMONTH($EL$3,0),BP$9*BP$10,0),0),IF(AND(BL$9&lt;&gt;"",BL$11&lt;&gt;""),IF(EOMONTH($BJ$3+INT((DAY(EOMONTH($BJ$3,0))-1)/2)+BL$11,0)=EOMONTH($EL$3,0),BL$9*BL$10,0),0),IF(AND(BH$9&lt;&gt;"",BH$11&lt;&gt;""),IF(EOMONTH($BF$3+INT((DAY(EOMONTH($BF$3,0))-1)/2)+BH$11,0)=EOMONTH($EL$3,0),BH$9*BH$10,0),0),IF(AND(BD$9&lt;&gt;"",BD$11&lt;&gt;""),IF(EOMONTH($BB$3+INT((DAY(EOMONTH($BB$3,0))-1)/2)+BD$11,0)=EOMONTH($EL$3,0),BD$9*BD$10,0),0),IF(AND(AZ$9&lt;&gt;"",AZ$11&lt;&gt;""),IF(EOMONTH($AX$3+INT((DAY(EOMONTH($AX$3,0))-1)/2)+AZ$11,0)=EOMONTH($EL$3,0),AZ$9*AZ$10,0),0),IF(AND(AV$9&lt;&gt;"",AV$11&lt;&gt;""),IF(EOMONTH($AT$3+INT((DAY(EOMONTH($AT$3,0))-1)/2)+AV$11,0)=EOMONTH($EL$3,0),AV$9*AV$10,0),0),IF(AND(AR$9&lt;&gt;"",AR$11&lt;&gt;""),IF(EOMONTH($AP$3+INT((DAY(EOMONTH($AP$3,0))-1)/2)+AR$11,0)=EOMONTH($EL$3,0),AR$9*AR$10,0),0),IF(AND(AN$9&lt;&gt;"",AN$11&lt;&gt;""),IF(EOMONTH($AL$3+INT((DAY(EOMONTH($AL$3,0))-1)/2)+AN$11,0)=EOMONTH($EL$3,0),AN$9*AN$10,0),0),IF(AND(AJ$9&lt;&gt;"",AJ$11&lt;&gt;""),IF(EOMONTH($AH$3+INT((DAY(EOMONTH($AH$3,0))-1)/2)+AJ$11,0)=EOMONTH($EL$3,0),AJ$9*AJ$10,0),0),IF(AND(AF$9&lt;&gt;"",AF$11&lt;&gt;""),IF(EOMONTH($AD$3+INT((DAY(EOMONTH($AD$3,0))-1)/2)+AF$11,0)=EOMONTH($EL$3,0),AF$9*AF$10,0),0),IF(AND(AB$9&lt;&gt;"",AB$11&lt;&gt;""),IF(EOMONTH($Z$3+INT((DAY(EOMONTH($Z$3,0))-1)/2)+AB$11,0)=EOMONTH($EL$3,0),AB$9*AB$10,0),0),IF(AND(X$9&lt;&gt;"",X$11&lt;&gt;""),IF(EOMONTH($V$3+INT((DAY(EOMONTH($V$3,0))-1)/2)+X$11,0)=EOMONTH($EL$3,0),X$9*X$10,0),0),IF(AND(T$9&lt;&gt;"",T$11&lt;&gt;""),IF(EOMONTH($R$3+INT((DAY(EOMONTH($R$3,0))-1)/2)+T$11,0)=EOMONTH($EL$3,0),T$9*T$10,0),0),IF(AND(P$9&lt;&gt;"",P$11&lt;&gt;""),IF(EOMONTH($N$3+INT((DAY(EOMONTH($N$3,0))-1)/2)+P$11,0)=EOMONTH($EL$3,0),P$9*P$10,0),0),IF(AND(L$9&lt;&gt;"",L$11&lt;&gt;""),IF(EOMONTH($J$3+INT((DAY(EOMONTH($J$3,0))-1)/2)+L$11,0)=EOMONTH($EL$3,0),L$9*L$10,0),0),IF(AND(H$9&lt;&gt;"",H$11&lt;&gt;""),IF(EOMONTH($F$3+INT((DAY(EOMONTH($F$3,0))-1)/2)+H$11,0)=EOMONTH($EL$3,0),H$9*H$10,0),0),IF($EP$75="",0,IF(EOMONTH($EP$75+ER$11,0)=EOMONTH($EL$3,0),$EP$76*ER$10,0))),0)</f>
        <v>10</v>
      </c>
      <c r="EO12" s="16">
        <f t="shared" si="73"/>
        <v>-2</v>
      </c>
      <c r="EP12" s="17">
        <v>7.0</v>
      </c>
      <c r="EQ12" s="14">
        <f>IF(EP$98=1,EP12,ROUND(SUM(IF(AND(EQ$9&lt;&gt;"",EQ$11&lt;&gt;""),IF(EOMONTH($EP$3+INT((DAY(EOMONTH($EP$3,0))-1)/2)+EQ$11,0)=EOMONTH($EP$3,0),EQ$9*EQ$10,0),0),IF(AND(EM$9&lt;&gt;"",EM$11&lt;&gt;""),IF(EOMONTH($EL$3+INT((DAY(EOMONTH($EL$3,0))-1)/2)+EM$11,0)=EOMONTH($EP$3,0),EM$9*EM$10,0),0),IF(AND(EI$9&lt;&gt;"",EI$11&lt;&gt;""),IF(EOMONTH($EH$3+INT((DAY(EOMONTH($EH$3,0))-1)/2)+EI$11,0)=EOMONTH($EP$3,0),EI$9*EI$10,0),0),IF(AND(EE$9&lt;&gt;"",EE$11&lt;&gt;""),IF(EOMONTH($ED$3+INT((DAY(EOMONTH($ED$3,0))-1)/2)+EE$11,0)=EOMONTH($EP$3,0),EE$9*EE$10,0),0),IF(AND(EA$9&lt;&gt;"",EA$11&lt;&gt;""),IF(EOMONTH($DZ$3+INT((DAY(EOMONTH($DZ$3,0))-1)/2)+EA$11,0)=EOMONTH($EP$3,0),EA$9*EA$10,0),0),IF(AND(DW$9&lt;&gt;"",DW$11&lt;&gt;""),IF(EOMONTH($DV$3+INT((DAY(EOMONTH($DV$3,0))-1)/2)+DW$11,0)=EOMONTH($EP$3,0),DW$9*DW$10,0),0),IF(AND(DS$9&lt;&gt;"",DS$11&lt;&gt;""),IF(EOMONTH($DR$3+INT((DAY(EOMONTH($DR$3,0))-1)/2)+DS$11,0)=EOMONTH($EP$3,0),DS$9*DS$10,0),0),IF(AND(DO$9&lt;&gt;"",DO$11&lt;&gt;""),IF(EOMONTH($DN$3+INT((DAY(EOMONTH($DN$3,0))-1)/2)+DO$11,0)=EOMONTH($EP$3,0),DO$9*DO$10,0),0),IF(AND(DK$9&lt;&gt;"",DK$11&lt;&gt;""),IF(EOMONTH($DJ$3+INT((DAY(EOMONTH($DJ$3,0))-1)/2)+DK$11,0)=EOMONTH($EP$3,0),DK$9*DK$10,0),0),IF(AND(DG$9&lt;&gt;"",DG$11&lt;&gt;""),IF(EOMONTH($DF$3+INT((DAY(EOMONTH($DF$3,0))-1)/2)+DG$11,0)=EOMONTH($EP$3,0),DG$9*DG$10,0),0),IF(AND(DC$9&lt;&gt;"",DC$11&lt;&gt;""),IF(EOMONTH($DB$3+INT((DAY(EOMONTH($DB$3,0))-1)/2)+DC$11,0)=EOMONTH($EP$3,0),DC$9*DC$10,0),0),IF(AND(CY$9&lt;&gt;"",CY$11&lt;&gt;""),IF(EOMONTH($CX$3+INT((DAY(EOMONTH($CX$3,0))-1)/2)+CY$11,0)=EOMONTH($EP$3,0),CY$9*CY$10,0),0),IF(AND(CU$9&lt;&gt;"",CU$11&lt;&gt;""),IF(EOMONTH($CT$3+INT((DAY(EOMONTH($CT$3,0))-1)/2)+CU$11,0)=EOMONTH($EP$3,0),CU$9*CU$10,0),0),IF(AND(CQ$9&lt;&gt;"",CQ$11&lt;&gt;""),IF(EOMONTH($CP$3+INT((DAY(EOMONTH($CP$3,0))-1)/2)+CQ$11,0)=EOMONTH($EP$3,0),CQ$9*CQ$10,0),0),IF(AND(CM$9&lt;&gt;"",CM$11&lt;&gt;""),IF(EOMONTH($CL$3+INT((DAY(EOMONTH($CL$3,0))-1)/2)+CM$11,0)=EOMONTH($EP$3,0),CM$9*CM$10,0),0),IF(AND(CI$9&lt;&gt;"",CI$11&lt;&gt;""),IF(EOMONTH($CH$3+INT((DAY(EOMONTH($CH$3,0))-1)/2)+CI$11,0)=EOMONTH($EP$3,0),CI$9*CI$10,0),0),IF(AND(CE$9&lt;&gt;"",CE$11&lt;&gt;""),IF(EOMONTH($CD$3+INT((DAY(EOMONTH($CD$3,0))-1)/2)+CE$11,0)=EOMONTH($EP$3,0),CE$9*CE$10,0),0),IF(AND(CA$9&lt;&gt;"",CA$11&lt;&gt;""),IF(EOMONTH($BZ$3+INT((DAY(EOMONTH($BZ$3,0))-1)/2)+CA$11,0)=EOMONTH($EP$3,0),CA$9*CA$10,0),0),IF(AND(BW$9&lt;&gt;"",BW$11&lt;&gt;""),IF(EOMONTH($BV$3+INT((DAY(EOMONTH($BV$3,0))-1)/2)+BW$11,0)=EOMONTH($EP$3,0),BW$9*BW$10,0),0),IF(AND(BS$9&lt;&gt;"",BS$11&lt;&gt;""),IF(EOMONTH($BR$3+INT((DAY(EOMONTH($BR$3,0))-1)/2)+BS$11,0)=EOMONTH($EP$3,0),BS$9*BS$10,0),0),IF(AND(BO$9&lt;&gt;"",BO$11&lt;&gt;""),IF(EOMONTH($BN$3+INT((DAY(EOMONTH($BN$3,0))-1)/2)+BO$11,0)=EOMONTH($EP$3,0),BO$9*BO$10,0),0),IF(AND(BK$9&lt;&gt;"",BK$11&lt;&gt;""),IF(EOMONTH($BJ$3+INT((DAY(EOMONTH($BJ$3,0))-1)/2)+BK$11,0)=EOMONTH($EP$3,0),BK$9*BK$10,0),0),IF(AND(BG$9&lt;&gt;"",BG$11&lt;&gt;""),IF(EOMONTH($BF$3+INT((DAY(EOMONTH($BF$3,0))-1)/2)+BG$11,0)=EOMONTH($EP$3,0),BG$9*BG$10,0),0),IF(AND(BC$9&lt;&gt;"",BC$11&lt;&gt;""),IF(EOMONTH($BB$3+INT((DAY(EOMONTH($BB$3,0))-1)/2)+BC$11,0)=EOMONTH($EP$3,0),BC$9*BC$10,0),0),IF(AND(AY$9&lt;&gt;"",AY$11&lt;&gt;""),IF(EOMONTH($AX$3+INT((DAY(EOMONTH($AX$3,0))-1)/2)+AY$11,0)=EOMONTH($EP$3,0),AY$9*AY$10,0),0),IF(AND(AU$9&lt;&gt;"",AU$11&lt;&gt;""),IF(EOMONTH($AT$3+INT((DAY(EOMONTH($AT$3,0))-1)/2)+AU$11,0)=EOMONTH($EP$3,0),AU$9*AU$10,0),0),IF(AND(AQ$9&lt;&gt;"",AQ$11&lt;&gt;""),IF(EOMONTH($AP$3+INT((DAY(EOMONTH($AP$3,0))-1)/2)+AQ$11,0)=EOMONTH($EP$3,0),AQ$9*AQ$10,0),0),IF(AND(AM$9&lt;&gt;"",AM$11&lt;&gt;""),IF(EOMONTH($AL$3+INT((DAY(EOMONTH($AL$3,0))-1)/2)+AM$11,0)=EOMONTH($EP$3,0),AM$9*AM$10,0),0),IF(AND(AI$9&lt;&gt;"",AI$11&lt;&gt;""),IF(EOMONTH($AH$3+INT((DAY(EOMONTH($AH$3,0))-1)/2)+AI$11,0)=EOMONTH($EP$3,0),AI$9*AI$10,0),0),IF(AND(AE$9&lt;&gt;"",AE$11&lt;&gt;""),IF(EOMONTH($AD$3+INT((DAY(EOMONTH($AD$3,0))-1)/2)+AE$11,0)=EOMONTH($EP$3,0),AE$9*AE$10,0),0),IF(AND(AA$9&lt;&gt;"",AA$11&lt;&gt;""),IF(EOMONTH($Z$3+INT((DAY(EOMONTH($Z$3,0))-1)/2)+AA$11,0)=EOMONTH($EP$3,0),AA$9*AA$10,0),0),IF(AND(W$9&lt;&gt;"",W$11&lt;&gt;""),IF(EOMONTH($V$3+INT((DAY(EOMONTH($V$3,0))-1)/2)+W$11,0)=EOMONTH($EP$3,0),W$9*W$10,0),0),IF(AND(S$9&lt;&gt;"",S$11&lt;&gt;""),IF(EOMONTH($R$3+INT((DAY(EOMONTH($R$3,0))-1)/2)+S$11,0)=EOMONTH($EP$3,0),S$9*S$10,0),0),IF(AND(O$9&lt;&gt;"",O$11&lt;&gt;""),IF(EOMONTH($N$3+INT((DAY(EOMONTH($N$3,0))-1)/2)+O$11,0)=EOMONTH($EP$3,0),O$9*O$10,0),0),IF(AND(K$9&lt;&gt;"",K$11&lt;&gt;""),IF(EOMONTH($J$3+INT((DAY(EOMONTH($J$3,0))-1)/2)+K$11,0)=EOMONTH($EP$3,0),K$9*K$10,0),0),IF(AND(G$9&lt;&gt;"",G$11&lt;&gt;""),IF(EOMONTH($F$3+INT((DAY(EOMONTH($F$3,0))-1)/2)+G$11,0)=EOMONTH($EP$3,0),G$9*G$10,0),0),IF($EP$75="",0,IF(EOMONTH($EP$75+EQ$11,0)=EOMONTH($EP$3,0),$EP$76*EQ$10,0))),0))</f>
        <v>7</v>
      </c>
      <c r="ER12" s="15">
        <f>ROUND(SUM(IF(AND(ER$9&lt;&gt;"",ER$11&lt;&gt;""),IF(EOMONTH($EP$3+INT((DAY(EOMONTH($EP$3,0))-1)/2)+ER$11,0)=EOMONTH($EP$3,0),ER$9*ER$10,0),0),IF(AND(EN$9&lt;&gt;"",EN$11&lt;&gt;""),IF(EOMONTH($EL$3+INT((DAY(EOMONTH($EL$3,0))-1)/2)+EN$11,0)=EOMONTH($EP$3,0),EN$9*EN$10,0),0),IF(AND(EJ$9&lt;&gt;"",EJ$11&lt;&gt;""),IF(EOMONTH($EH$3+INT((DAY(EOMONTH($EH$3,0))-1)/2)+EJ$11,0)=EOMONTH($EP$3,0),EJ$9*EJ$10,0),0),IF(AND(EF$9&lt;&gt;"",EF$11&lt;&gt;""),IF(EOMONTH($ED$3+INT((DAY(EOMONTH($ED$3,0))-1)/2)+EF$11,0)=EOMONTH($EP$3,0),EF$9*EF$10,0),0),IF(AND(EB$9&lt;&gt;"",EB$11&lt;&gt;""),IF(EOMONTH($DZ$3+INT((DAY(EOMONTH($DZ$3,0))-1)/2)+EB$11,0)=EOMONTH($EP$3,0),EB$9*EB$10,0),0),IF(AND(DX$9&lt;&gt;"",DX$11&lt;&gt;""),IF(EOMONTH($DV$3+INT((DAY(EOMONTH($DV$3,0))-1)/2)+DX$11,0)=EOMONTH($EP$3,0),DX$9*DX$10,0),0),IF(AND(DT$9&lt;&gt;"",DT$11&lt;&gt;""),IF(EOMONTH($DR$3+INT((DAY(EOMONTH($DR$3,0))-1)/2)+DT$11,0)=EOMONTH($EP$3,0),DT$9*DT$10,0),0),IF(AND(DP$9&lt;&gt;"",DP$11&lt;&gt;""),IF(EOMONTH($DN$3+INT((DAY(EOMONTH($DN$3,0))-1)/2)+DP$11,0)=EOMONTH($EP$3,0),DP$9*DP$10,0),0),IF(AND(DL$9&lt;&gt;"",DL$11&lt;&gt;""),IF(EOMONTH($DJ$3+INT((DAY(EOMONTH($DJ$3,0))-1)/2)+DL$11,0)=EOMONTH($EP$3,0),DL$9*DL$10,0),0),IF(AND(DH$9&lt;&gt;"",DH$11&lt;&gt;""),IF(EOMONTH($DF$3+INT((DAY(EOMONTH($DF$3,0))-1)/2)+DH$11,0)=EOMONTH($EP$3,0),DH$9*DH$10,0),0),IF(AND(DD$9&lt;&gt;"",DD$11&lt;&gt;""),IF(EOMONTH($DB$3+INT((DAY(EOMONTH($DB$3,0))-1)/2)+DD$11,0)=EOMONTH($EP$3,0),DD$9*DD$10,0),0),IF(AND(CZ$9&lt;&gt;"",CZ$11&lt;&gt;""),IF(EOMONTH($CX$3+INT((DAY(EOMONTH($CX$3,0))-1)/2)+CZ$11,0)=EOMONTH($EP$3,0),CZ$9*CZ$10,0),0),IF(AND(CV$9&lt;&gt;"",CV$11&lt;&gt;""),IF(EOMONTH($CT$3+INT((DAY(EOMONTH($CT$3,0))-1)/2)+CV$11,0)=EOMONTH($EP$3,0),CV$9*CV$10,0),0),IF(AND(CR$9&lt;&gt;"",CR$11&lt;&gt;""),IF(EOMONTH($CP$3+INT((DAY(EOMONTH($CP$3,0))-1)/2)+CR$11,0)=EOMONTH($EP$3,0),CR$9*CR$10,0),0),IF(AND(CN$9&lt;&gt;"",CN$11&lt;&gt;""),IF(EOMONTH($CL$3+INT((DAY(EOMONTH($CL$3,0))-1)/2)+CN$11,0)=EOMONTH($EP$3,0),CN$9*CN$10,0),0),IF(AND(CJ$9&lt;&gt;"",CJ$11&lt;&gt;""),IF(EOMONTH($CH$3+INT((DAY(EOMONTH($CH$3,0))-1)/2)+CJ$11,0)=EOMONTH($EP$3,0),CJ$9*CJ$10,0),0),IF(AND(CF$9&lt;&gt;"",CF$11&lt;&gt;""),IF(EOMONTH($CD$3+INT((DAY(EOMONTH($CD$3,0))-1)/2)+CF$11,0)=EOMONTH($EP$3,0),CF$9*CF$10,0),0),IF(AND(CB$9&lt;&gt;"",CB$11&lt;&gt;""),IF(EOMONTH($BZ$3+INT((DAY(EOMONTH($BZ$3,0))-1)/2)+CB$11,0)=EOMONTH($EP$3,0),CB$9*CB$10,0),0),IF(AND(BX$9&lt;&gt;"",BX$11&lt;&gt;""),IF(EOMONTH($BV$3+INT((DAY(EOMONTH($BV$3,0))-1)/2)+BX$11,0)=EOMONTH($EP$3,0),BX$9*BX$10,0),0),IF(AND(BT$9&lt;&gt;"",BT$11&lt;&gt;""),IF(EOMONTH($BR$3+INT((DAY(EOMONTH($BR$3,0))-1)/2)+BT$11,0)=EOMONTH($EP$3,0),BT$9*BT$10,0),0),IF(AND(BP$9&lt;&gt;"",BP$11&lt;&gt;""),IF(EOMONTH($BN$3+INT((DAY(EOMONTH($BN$3,0))-1)/2)+BP$11,0)=EOMONTH($EP$3,0),BP$9*BP$10,0),0),IF(AND(BL$9&lt;&gt;"",BL$11&lt;&gt;""),IF(EOMONTH($BJ$3+INT((DAY(EOMONTH($BJ$3,0))-1)/2)+BL$11,0)=EOMONTH($EP$3,0),BL$9*BL$10,0),0),IF(AND(BH$9&lt;&gt;"",BH$11&lt;&gt;""),IF(EOMONTH($BF$3+INT((DAY(EOMONTH($BF$3,0))-1)/2)+BH$11,0)=EOMONTH($EP$3,0),BH$9*BH$10,0),0),IF(AND(BD$9&lt;&gt;"",BD$11&lt;&gt;""),IF(EOMONTH($BB$3+INT((DAY(EOMONTH($BB$3,0))-1)/2)+BD$11,0)=EOMONTH($EP$3,0),BD$9*BD$10,0),0),IF(AND(AZ$9&lt;&gt;"",AZ$11&lt;&gt;""),IF(EOMONTH($AX$3+INT((DAY(EOMONTH($AX$3,0))-1)/2)+AZ$11,0)=EOMONTH($EP$3,0),AZ$9*AZ$10,0),0),IF(AND(AV$9&lt;&gt;"",AV$11&lt;&gt;""),IF(EOMONTH($AT$3+INT((DAY(EOMONTH($AT$3,0))-1)/2)+AV$11,0)=EOMONTH($EP$3,0),AV$9*AV$10,0),0),IF(AND(AR$9&lt;&gt;"",AR$11&lt;&gt;""),IF(EOMONTH($AP$3+INT((DAY(EOMONTH($AP$3,0))-1)/2)+AR$11,0)=EOMONTH($EP$3,0),AR$9*AR$10,0),0),IF(AND(AN$9&lt;&gt;"",AN$11&lt;&gt;""),IF(EOMONTH($AL$3+INT((DAY(EOMONTH($AL$3,0))-1)/2)+AN$11,0)=EOMONTH($EP$3,0),AN$9*AN$10,0),0),IF(AND(AJ$9&lt;&gt;"",AJ$11&lt;&gt;""),IF(EOMONTH($AH$3+INT((DAY(EOMONTH($AH$3,0))-1)/2)+AJ$11,0)=EOMONTH($EP$3,0),AJ$9*AJ$10,0),0),IF(AND(AF$9&lt;&gt;"",AF$11&lt;&gt;""),IF(EOMONTH($AD$3+INT((DAY(EOMONTH($AD$3,0))-1)/2)+AF$11,0)=EOMONTH($EP$3,0),AF$9*AF$10,0),0),IF(AND(AB$9&lt;&gt;"",AB$11&lt;&gt;""),IF(EOMONTH($Z$3+INT((DAY(EOMONTH($Z$3,0))-1)/2)+AB$11,0)=EOMONTH($EP$3,0),AB$9*AB$10,0),0),IF(AND(X$9&lt;&gt;"",X$11&lt;&gt;""),IF(EOMONTH($V$3+INT((DAY(EOMONTH($V$3,0))-1)/2)+X$11,0)=EOMONTH($EP$3,0),X$9*X$10,0),0),IF(AND(T$9&lt;&gt;"",T$11&lt;&gt;""),IF(EOMONTH($R$3+INT((DAY(EOMONTH($R$3,0))-1)/2)+T$11,0)=EOMONTH($EP$3,0),T$9*T$10,0),0),IF(AND(P$9&lt;&gt;"",P$11&lt;&gt;""),IF(EOMONTH($N$3+INT((DAY(EOMONTH($N$3,0))-1)/2)+P$11,0)=EOMONTH($EP$3,0),P$9*P$10,0),0),IF(AND(L$9&lt;&gt;"",L$11&lt;&gt;""),IF(EOMONTH($J$3+INT((DAY(EOMONTH($J$3,0))-1)/2)+L$11,0)=EOMONTH($EP$3,0),L$9*L$10,0),0),IF(AND(H$9&lt;&gt;"",H$11&lt;&gt;""),IF(EOMONTH($F$3+INT((DAY(EOMONTH($F$3,0))-1)/2)+H$11,0)=EOMONTH($EP$3,0),H$9*H$10,0),0),IF($EP$75="",0,IF(EOMONTH($EP$75+ER$11,0)=EOMONTH($EP$3,0),$EP$76*ER$10,0))),0)</f>
        <v>10</v>
      </c>
      <c r="ES12" s="16">
        <f t="shared" si="75"/>
        <v>-3</v>
      </c>
    </row>
    <row r="13" ht="18.0" customHeight="1">
      <c r="A13" s="2" t="s">
        <v>15</v>
      </c>
      <c r="B13" s="30">
        <f t="shared" ref="B13:D13" si="117">IFERROR(SUM(EP13*EP12,EL13*EL12,EH13*EH12,ED13*ED12,DZ13*DZ12,DV13*DV12,DR13*DR12,DN13*DN12,DJ13*DJ12,DF13*DF12,DB13*DB12,CX13*CX12,CT13*CT12,CP13*CP12,CL13*CL12,CH13*CH12,CD13*CD12,BZ13*BZ12,BV13*BV12,BR13*BR12,BN13*BN12,BJ13*BJ12,BF13*BF12,BB13*BB12,AX13*AX12,AT13*AT12,AP13*AP12,AL13*AL12,AH13*AH12,AD13*AD12,Z13*Z12,V13*V12,R13*R12,N13*N12,J13*J12,F13*F12)/SUM(EP12,EL12,EH12,ED12,DZ12,DV12,DR12,DN12,DJ12,DF12,DB12,CX12,CT12,CP12,CL12,CH12,CD12,BZ12,BV12,BR12,BN12,BJ12,BF12,BB12,AX12,AT12,AP12,AL12,AH12,AD12,Z12,V12,R12,N12,J12,F12),"")</f>
        <v>5000</v>
      </c>
      <c r="C13" s="31">
        <f t="shared" si="117"/>
        <v>7911.067194</v>
      </c>
      <c r="D13" s="32">
        <f t="shared" si="117"/>
        <v>8000</v>
      </c>
      <c r="E13" s="33">
        <f t="shared" si="3"/>
        <v>-88.93280632</v>
      </c>
      <c r="F13" s="34"/>
      <c r="G13" s="31">
        <f t="shared" ref="G13:G16" si="119">IF(F$98=1,F13,H13)</f>
        <v>8000</v>
      </c>
      <c r="H13" s="35">
        <v>8000.0</v>
      </c>
      <c r="I13" s="33">
        <f t="shared" si="5"/>
        <v>0</v>
      </c>
      <c r="J13" s="34"/>
      <c r="K13" s="31">
        <f t="shared" ref="K13:K16" si="120">IF(J$98=1,J13,L13)</f>
        <v>8000</v>
      </c>
      <c r="L13" s="35">
        <v>8000.0</v>
      </c>
      <c r="M13" s="33">
        <f t="shared" si="7"/>
        <v>0</v>
      </c>
      <c r="N13" s="34"/>
      <c r="O13" s="31">
        <f t="shared" ref="O13:O16" si="121">IF(N$98=1,N13,P13)</f>
        <v>8000</v>
      </c>
      <c r="P13" s="35">
        <v>8000.0</v>
      </c>
      <c r="Q13" s="33">
        <f t="shared" si="9"/>
        <v>0</v>
      </c>
      <c r="R13" s="34"/>
      <c r="S13" s="31">
        <f t="shared" ref="S13:S16" si="122">IF(R$98=1,R13,T13)</f>
        <v>8000</v>
      </c>
      <c r="T13" s="35">
        <v>8000.0</v>
      </c>
      <c r="U13" s="33">
        <f t="shared" si="11"/>
        <v>0</v>
      </c>
      <c r="V13" s="34"/>
      <c r="W13" s="31">
        <f t="shared" ref="W13:W16" si="123">IF(V$98=1,V13,X13)</f>
        <v>8000</v>
      </c>
      <c r="X13" s="35">
        <v>8000.0</v>
      </c>
      <c r="Y13" s="33">
        <f t="shared" si="13"/>
        <v>0</v>
      </c>
      <c r="Z13" s="34"/>
      <c r="AA13" s="31">
        <f t="shared" ref="AA13:AA16" si="124">IF(Z$98=1,Z13,AB13)</f>
        <v>8000</v>
      </c>
      <c r="AB13" s="35">
        <v>8000.0</v>
      </c>
      <c r="AC13" s="33">
        <f t="shared" si="15"/>
        <v>0</v>
      </c>
      <c r="AD13" s="34"/>
      <c r="AE13" s="31">
        <f t="shared" ref="AE13:AE16" si="125">IF(AD$98=1,AD13,AF13)</f>
        <v>8000</v>
      </c>
      <c r="AF13" s="35">
        <v>8000.0</v>
      </c>
      <c r="AG13" s="33">
        <f t="shared" si="17"/>
        <v>0</v>
      </c>
      <c r="AH13" s="34"/>
      <c r="AI13" s="31">
        <f t="shared" ref="AI13:AI16" si="126">IF(AH$98=1,AH13,AJ13)</f>
        <v>8000</v>
      </c>
      <c r="AJ13" s="35">
        <v>8000.0</v>
      </c>
      <c r="AK13" s="33">
        <f t="shared" si="19"/>
        <v>0</v>
      </c>
      <c r="AL13" s="34"/>
      <c r="AM13" s="31">
        <f t="shared" ref="AM13:AM16" si="127">IF(AL$98=1,AL13,AN13)</f>
        <v>8000</v>
      </c>
      <c r="AN13" s="35">
        <v>8000.0</v>
      </c>
      <c r="AO13" s="33">
        <f t="shared" si="21"/>
        <v>0</v>
      </c>
      <c r="AP13" s="34"/>
      <c r="AQ13" s="31">
        <f t="shared" ref="AQ13:AQ16" si="128">IF(AP$98=1,AP13,AR13)</f>
        <v>8000</v>
      </c>
      <c r="AR13" s="35">
        <v>8000.0</v>
      </c>
      <c r="AS13" s="33">
        <f t="shared" si="23"/>
        <v>0</v>
      </c>
      <c r="AT13" s="34"/>
      <c r="AU13" s="31">
        <f t="shared" ref="AU13:AU16" si="129">IF(AT$98=1,AT13,AV13)</f>
        <v>8000</v>
      </c>
      <c r="AV13" s="35">
        <v>8000.0</v>
      </c>
      <c r="AW13" s="33">
        <f t="shared" si="25"/>
        <v>0</v>
      </c>
      <c r="AX13" s="34"/>
      <c r="AY13" s="31">
        <f t="shared" ref="AY13:AY16" si="130">IF(AX$98=1,AX13,AZ13)</f>
        <v>8000</v>
      </c>
      <c r="AZ13" s="35">
        <v>8000.0</v>
      </c>
      <c r="BA13" s="33">
        <f t="shared" si="27"/>
        <v>0</v>
      </c>
      <c r="BB13" s="34"/>
      <c r="BC13" s="31">
        <f t="shared" ref="BC13:BC16" si="131">IF(BB$98=1,BB13,BD13)</f>
        <v>8000</v>
      </c>
      <c r="BD13" s="35">
        <v>8000.0</v>
      </c>
      <c r="BE13" s="33">
        <f t="shared" si="29"/>
        <v>0</v>
      </c>
      <c r="BF13" s="34"/>
      <c r="BG13" s="31">
        <f t="shared" ref="BG13:BG16" si="132">IF(BF$98=1,BF13,BH13)</f>
        <v>8000</v>
      </c>
      <c r="BH13" s="35">
        <v>8000.0</v>
      </c>
      <c r="BI13" s="33">
        <f t="shared" si="31"/>
        <v>0</v>
      </c>
      <c r="BJ13" s="34"/>
      <c r="BK13" s="31">
        <f t="shared" ref="BK13:BK16" si="133">IF(BJ$98=1,BJ13,BL13)</f>
        <v>8000</v>
      </c>
      <c r="BL13" s="35">
        <v>8000.0</v>
      </c>
      <c r="BM13" s="33">
        <f t="shared" si="33"/>
        <v>0</v>
      </c>
      <c r="BN13" s="34"/>
      <c r="BO13" s="31">
        <f t="shared" ref="BO13:BO16" si="134">IF(BN$98=1,BN13,BP13)</f>
        <v>8000</v>
      </c>
      <c r="BP13" s="35">
        <v>8000.0</v>
      </c>
      <c r="BQ13" s="33">
        <f t="shared" si="35"/>
        <v>0</v>
      </c>
      <c r="BR13" s="34"/>
      <c r="BS13" s="31">
        <f t="shared" ref="BS13:BS16" si="135">IF(BR$98=1,BR13,BT13)</f>
        <v>8000</v>
      </c>
      <c r="BT13" s="35">
        <v>8000.0</v>
      </c>
      <c r="BU13" s="33">
        <f t="shared" si="37"/>
        <v>0</v>
      </c>
      <c r="BV13" s="34"/>
      <c r="BW13" s="31">
        <f t="shared" ref="BW13:BW16" si="136">IF(BV$98=1,BV13,BX13)</f>
        <v>8000</v>
      </c>
      <c r="BX13" s="35">
        <v>8000.0</v>
      </c>
      <c r="BY13" s="33">
        <f t="shared" si="39"/>
        <v>0</v>
      </c>
      <c r="BZ13" s="34"/>
      <c r="CA13" s="31">
        <f t="shared" ref="CA13:CA16" si="137">IF(BZ$98=1,BZ13,CB13)</f>
        <v>8000</v>
      </c>
      <c r="CB13" s="35">
        <v>8000.0</v>
      </c>
      <c r="CC13" s="33">
        <f t="shared" si="41"/>
        <v>0</v>
      </c>
      <c r="CD13" s="34"/>
      <c r="CE13" s="31">
        <f t="shared" ref="CE13:CE16" si="138">IF(CD$98=1,CD13,CF13)</f>
        <v>8000</v>
      </c>
      <c r="CF13" s="35">
        <v>8000.0</v>
      </c>
      <c r="CG13" s="33">
        <f t="shared" si="43"/>
        <v>0</v>
      </c>
      <c r="CH13" s="34"/>
      <c r="CI13" s="31">
        <f t="shared" ref="CI13:CI16" si="139">IF(CH$98=1,CH13,CJ13)</f>
        <v>8000</v>
      </c>
      <c r="CJ13" s="35">
        <v>8000.0</v>
      </c>
      <c r="CK13" s="33">
        <f t="shared" si="45"/>
        <v>0</v>
      </c>
      <c r="CL13" s="34"/>
      <c r="CM13" s="31">
        <f t="shared" ref="CM13:CM16" si="140">IF(CL$98=1,CL13,CN13)</f>
        <v>8000</v>
      </c>
      <c r="CN13" s="35">
        <v>8000.0</v>
      </c>
      <c r="CO13" s="33">
        <f t="shared" si="47"/>
        <v>0</v>
      </c>
      <c r="CP13" s="34"/>
      <c r="CQ13" s="31">
        <f t="shared" ref="CQ13:CQ16" si="141">IF(CP$98=1,CP13,CR13)</f>
        <v>8000</v>
      </c>
      <c r="CR13" s="35">
        <v>8000.0</v>
      </c>
      <c r="CS13" s="33">
        <f t="shared" si="49"/>
        <v>0</v>
      </c>
      <c r="CT13" s="34"/>
      <c r="CU13" s="31">
        <f t="shared" ref="CU13:CU16" si="142">IF(CT$98=1,CT13,CV13)</f>
        <v>8000</v>
      </c>
      <c r="CV13" s="35">
        <v>8000.0</v>
      </c>
      <c r="CW13" s="33">
        <f t="shared" si="51"/>
        <v>0</v>
      </c>
      <c r="CX13" s="34"/>
      <c r="CY13" s="31">
        <f t="shared" ref="CY13:CY16" si="143">IF(CX$98=1,CX13,CZ13)</f>
        <v>8000</v>
      </c>
      <c r="CZ13" s="35">
        <v>8000.0</v>
      </c>
      <c r="DA13" s="33">
        <f t="shared" si="53"/>
        <v>0</v>
      </c>
      <c r="DB13" s="34"/>
      <c r="DC13" s="31">
        <f t="shared" ref="DC13:DC16" si="144">IF(DB$98=1,DB13,DD13)</f>
        <v>8000</v>
      </c>
      <c r="DD13" s="35">
        <v>8000.0</v>
      </c>
      <c r="DE13" s="33">
        <f t="shared" si="55"/>
        <v>0</v>
      </c>
      <c r="DF13" s="34"/>
      <c r="DG13" s="31">
        <f t="shared" ref="DG13:DG16" si="145">IF(DF$98=1,DF13,DH13)</f>
        <v>8000</v>
      </c>
      <c r="DH13" s="35">
        <v>8000.0</v>
      </c>
      <c r="DI13" s="33">
        <f t="shared" si="57"/>
        <v>0</v>
      </c>
      <c r="DJ13" s="34"/>
      <c r="DK13" s="31">
        <f t="shared" ref="DK13:DK16" si="146">IF(DJ$98=1,DJ13,DL13)</f>
        <v>8000</v>
      </c>
      <c r="DL13" s="35">
        <v>8000.0</v>
      </c>
      <c r="DM13" s="33">
        <f t="shared" si="59"/>
        <v>0</v>
      </c>
      <c r="DN13" s="34"/>
      <c r="DO13" s="31">
        <f t="shared" ref="DO13:DO16" si="147">IF(DN$98=1,DN13,DP13)</f>
        <v>8000</v>
      </c>
      <c r="DP13" s="35">
        <v>8000.0</v>
      </c>
      <c r="DQ13" s="33">
        <f t="shared" si="61"/>
        <v>0</v>
      </c>
      <c r="DR13" s="34"/>
      <c r="DS13" s="31">
        <f t="shared" ref="DS13:DS16" si="148">IF(DR$98=1,DR13,DT13)</f>
        <v>8000</v>
      </c>
      <c r="DT13" s="35">
        <v>8000.0</v>
      </c>
      <c r="DU13" s="33">
        <f t="shared" si="63"/>
        <v>0</v>
      </c>
      <c r="DV13" s="34"/>
      <c r="DW13" s="31">
        <f t="shared" ref="DW13:DW16" si="149">IF(DV$98=1,DV13,DX13)</f>
        <v>8000</v>
      </c>
      <c r="DX13" s="35">
        <v>8000.0</v>
      </c>
      <c r="DY13" s="33">
        <f t="shared" si="65"/>
        <v>0</v>
      </c>
      <c r="DZ13" s="34"/>
      <c r="EA13" s="31">
        <f t="shared" ref="EA13:EA16" si="150">IF(DZ$98=1,DZ13,EB13)</f>
        <v>8000</v>
      </c>
      <c r="EB13" s="35">
        <v>8000.0</v>
      </c>
      <c r="EC13" s="33">
        <f t="shared" si="67"/>
        <v>0</v>
      </c>
      <c r="ED13" s="34"/>
      <c r="EE13" s="31">
        <f t="shared" ref="EE13:EE16" si="151">IF(ED$98=1,ED13,EF13)</f>
        <v>8000</v>
      </c>
      <c r="EF13" s="35">
        <v>8000.0</v>
      </c>
      <c r="EG13" s="33">
        <f t="shared" si="69"/>
        <v>0</v>
      </c>
      <c r="EH13" s="34"/>
      <c r="EI13" s="31">
        <f t="shared" ref="EI13:EI16" si="152">IF(EH$98=1,EH13,EJ13)</f>
        <v>8000</v>
      </c>
      <c r="EJ13" s="35">
        <v>8000.0</v>
      </c>
      <c r="EK13" s="33">
        <f t="shared" si="71"/>
        <v>0</v>
      </c>
      <c r="EL13" s="34">
        <v>5000.0</v>
      </c>
      <c r="EM13" s="31">
        <f t="shared" ref="EM13:EM16" si="153">IF(EL$98=1,EL13,EN13)</f>
        <v>5000</v>
      </c>
      <c r="EN13" s="35">
        <v>8000.0</v>
      </c>
      <c r="EO13" s="33">
        <f t="shared" si="73"/>
        <v>-3000</v>
      </c>
      <c r="EP13" s="34">
        <v>5000.0</v>
      </c>
      <c r="EQ13" s="31">
        <f t="shared" ref="EQ13:EQ16" si="154">IF(EP$98=1,EP13,ER13)</f>
        <v>5000</v>
      </c>
      <c r="ER13" s="35">
        <v>8000.0</v>
      </c>
      <c r="ES13" s="33">
        <f t="shared" si="75"/>
        <v>-3000</v>
      </c>
    </row>
    <row r="14" ht="18.0" customHeight="1">
      <c r="A14" s="2" t="s">
        <v>16</v>
      </c>
      <c r="B14" s="24">
        <f t="shared" ref="B14:D14" si="118">IFERROR(SUM(EP14*EP12,EL14*EL12,EH14*EH12,ED14*ED12,DZ14*DZ12,DV14*DV12,DR14*DR12,DN14*DN12,DJ14*DJ12,DF14*DF12,DB14*DB12,CX14*CX12,CT14*CT12,CP14*CP12,CL14*CL12,CH14*CH12,CD14*CD12,BZ14*BZ12,BV14*BV12,BR14*BR12,BN14*BN12,BJ14*BJ12,BF14*BF12,BB14*BB12,AX14*AX12,AT14*AT12,AP14*AP12,AL14*AL12,AH14*AH12,AD14*AD12,Z14*Z12,V14*V12,R14*R12,N14*N12,J14*J12,F14*F12)/SUM(EP12,EL12,EH12,ED12,DZ12,DV12,DR12,DN12,DJ12,DF12,DB12,CX12,CT12,CP12,CL12,CH12,CD12,BZ12,BV12,BR12,BN12,BJ12,BF12,BB12,AX12,AT12,AP12,AL12,AH12,AD12,Z12,V12,R12,N12,J12,F12),"")</f>
        <v>30</v>
      </c>
      <c r="C14" s="25">
        <f t="shared" si="118"/>
        <v>30</v>
      </c>
      <c r="D14" s="26">
        <f t="shared" si="118"/>
        <v>30</v>
      </c>
      <c r="E14" s="27">
        <f t="shared" si="3"/>
        <v>0</v>
      </c>
      <c r="F14" s="28"/>
      <c r="G14" s="25">
        <f t="shared" si="119"/>
        <v>30</v>
      </c>
      <c r="H14" s="29">
        <v>30.0</v>
      </c>
      <c r="I14" s="27">
        <f t="shared" si="5"/>
        <v>0</v>
      </c>
      <c r="J14" s="28"/>
      <c r="K14" s="25">
        <f t="shared" si="120"/>
        <v>30</v>
      </c>
      <c r="L14" s="29">
        <v>30.0</v>
      </c>
      <c r="M14" s="27">
        <f t="shared" si="7"/>
        <v>0</v>
      </c>
      <c r="N14" s="28"/>
      <c r="O14" s="25">
        <f t="shared" si="121"/>
        <v>30</v>
      </c>
      <c r="P14" s="29">
        <v>30.0</v>
      </c>
      <c r="Q14" s="27">
        <f t="shared" si="9"/>
        <v>0</v>
      </c>
      <c r="R14" s="28"/>
      <c r="S14" s="25">
        <f t="shared" si="122"/>
        <v>30</v>
      </c>
      <c r="T14" s="29">
        <v>30.0</v>
      </c>
      <c r="U14" s="27">
        <f t="shared" si="11"/>
        <v>0</v>
      </c>
      <c r="V14" s="28"/>
      <c r="W14" s="25">
        <f t="shared" si="123"/>
        <v>30</v>
      </c>
      <c r="X14" s="29">
        <v>30.0</v>
      </c>
      <c r="Y14" s="27">
        <f t="shared" si="13"/>
        <v>0</v>
      </c>
      <c r="Z14" s="28"/>
      <c r="AA14" s="25">
        <f t="shared" si="124"/>
        <v>30</v>
      </c>
      <c r="AB14" s="29">
        <v>30.0</v>
      </c>
      <c r="AC14" s="27">
        <f t="shared" si="15"/>
        <v>0</v>
      </c>
      <c r="AD14" s="28"/>
      <c r="AE14" s="25">
        <f t="shared" si="125"/>
        <v>30</v>
      </c>
      <c r="AF14" s="29">
        <v>30.0</v>
      </c>
      <c r="AG14" s="27">
        <f t="shared" si="17"/>
        <v>0</v>
      </c>
      <c r="AH14" s="28"/>
      <c r="AI14" s="25">
        <f t="shared" si="126"/>
        <v>30</v>
      </c>
      <c r="AJ14" s="29">
        <v>30.0</v>
      </c>
      <c r="AK14" s="27">
        <f t="shared" si="19"/>
        <v>0</v>
      </c>
      <c r="AL14" s="28"/>
      <c r="AM14" s="25">
        <f t="shared" si="127"/>
        <v>30</v>
      </c>
      <c r="AN14" s="29">
        <v>30.0</v>
      </c>
      <c r="AO14" s="27">
        <f t="shared" si="21"/>
        <v>0</v>
      </c>
      <c r="AP14" s="28"/>
      <c r="AQ14" s="25">
        <f t="shared" si="128"/>
        <v>30</v>
      </c>
      <c r="AR14" s="29">
        <v>30.0</v>
      </c>
      <c r="AS14" s="27">
        <f t="shared" si="23"/>
        <v>0</v>
      </c>
      <c r="AT14" s="28"/>
      <c r="AU14" s="25">
        <f t="shared" si="129"/>
        <v>30</v>
      </c>
      <c r="AV14" s="29">
        <v>30.0</v>
      </c>
      <c r="AW14" s="27">
        <f t="shared" si="25"/>
        <v>0</v>
      </c>
      <c r="AX14" s="28"/>
      <c r="AY14" s="25">
        <f t="shared" si="130"/>
        <v>30</v>
      </c>
      <c r="AZ14" s="29">
        <v>30.0</v>
      </c>
      <c r="BA14" s="27">
        <f t="shared" si="27"/>
        <v>0</v>
      </c>
      <c r="BB14" s="28"/>
      <c r="BC14" s="25">
        <f t="shared" si="131"/>
        <v>30</v>
      </c>
      <c r="BD14" s="29">
        <v>30.0</v>
      </c>
      <c r="BE14" s="27">
        <f t="shared" si="29"/>
        <v>0</v>
      </c>
      <c r="BF14" s="28"/>
      <c r="BG14" s="25">
        <f t="shared" si="132"/>
        <v>30</v>
      </c>
      <c r="BH14" s="29">
        <v>30.0</v>
      </c>
      <c r="BI14" s="27">
        <f t="shared" si="31"/>
        <v>0</v>
      </c>
      <c r="BJ14" s="28"/>
      <c r="BK14" s="25">
        <f t="shared" si="133"/>
        <v>30</v>
      </c>
      <c r="BL14" s="29">
        <v>30.0</v>
      </c>
      <c r="BM14" s="27">
        <f t="shared" si="33"/>
        <v>0</v>
      </c>
      <c r="BN14" s="28"/>
      <c r="BO14" s="25">
        <f t="shared" si="134"/>
        <v>30</v>
      </c>
      <c r="BP14" s="29">
        <v>30.0</v>
      </c>
      <c r="BQ14" s="27">
        <f t="shared" si="35"/>
        <v>0</v>
      </c>
      <c r="BR14" s="28"/>
      <c r="BS14" s="25">
        <f t="shared" si="135"/>
        <v>30</v>
      </c>
      <c r="BT14" s="29">
        <v>30.0</v>
      </c>
      <c r="BU14" s="27">
        <f t="shared" si="37"/>
        <v>0</v>
      </c>
      <c r="BV14" s="28"/>
      <c r="BW14" s="25">
        <f t="shared" si="136"/>
        <v>30</v>
      </c>
      <c r="BX14" s="29">
        <v>30.0</v>
      </c>
      <c r="BY14" s="27">
        <f t="shared" si="39"/>
        <v>0</v>
      </c>
      <c r="BZ14" s="28"/>
      <c r="CA14" s="25">
        <f t="shared" si="137"/>
        <v>30</v>
      </c>
      <c r="CB14" s="29">
        <v>30.0</v>
      </c>
      <c r="CC14" s="27">
        <f t="shared" si="41"/>
        <v>0</v>
      </c>
      <c r="CD14" s="28"/>
      <c r="CE14" s="25">
        <f t="shared" si="138"/>
        <v>30</v>
      </c>
      <c r="CF14" s="29">
        <v>30.0</v>
      </c>
      <c r="CG14" s="27">
        <f t="shared" si="43"/>
        <v>0</v>
      </c>
      <c r="CH14" s="28"/>
      <c r="CI14" s="25">
        <f t="shared" si="139"/>
        <v>30</v>
      </c>
      <c r="CJ14" s="29">
        <v>30.0</v>
      </c>
      <c r="CK14" s="27">
        <f t="shared" si="45"/>
        <v>0</v>
      </c>
      <c r="CL14" s="28"/>
      <c r="CM14" s="25">
        <f t="shared" si="140"/>
        <v>30</v>
      </c>
      <c r="CN14" s="29">
        <v>30.0</v>
      </c>
      <c r="CO14" s="27">
        <f t="shared" si="47"/>
        <v>0</v>
      </c>
      <c r="CP14" s="28"/>
      <c r="CQ14" s="25">
        <f t="shared" si="141"/>
        <v>30</v>
      </c>
      <c r="CR14" s="29">
        <v>30.0</v>
      </c>
      <c r="CS14" s="27">
        <f t="shared" si="49"/>
        <v>0</v>
      </c>
      <c r="CT14" s="28"/>
      <c r="CU14" s="25">
        <f t="shared" si="142"/>
        <v>30</v>
      </c>
      <c r="CV14" s="29">
        <v>30.0</v>
      </c>
      <c r="CW14" s="27">
        <f t="shared" si="51"/>
        <v>0</v>
      </c>
      <c r="CX14" s="28"/>
      <c r="CY14" s="25">
        <f t="shared" si="143"/>
        <v>30</v>
      </c>
      <c r="CZ14" s="29">
        <v>30.0</v>
      </c>
      <c r="DA14" s="27">
        <f t="shared" si="53"/>
        <v>0</v>
      </c>
      <c r="DB14" s="28"/>
      <c r="DC14" s="25">
        <f t="shared" si="144"/>
        <v>30</v>
      </c>
      <c r="DD14" s="29">
        <v>30.0</v>
      </c>
      <c r="DE14" s="27">
        <f t="shared" si="55"/>
        <v>0</v>
      </c>
      <c r="DF14" s="28"/>
      <c r="DG14" s="25">
        <f t="shared" si="145"/>
        <v>30</v>
      </c>
      <c r="DH14" s="29">
        <v>30.0</v>
      </c>
      <c r="DI14" s="27">
        <f t="shared" si="57"/>
        <v>0</v>
      </c>
      <c r="DJ14" s="28"/>
      <c r="DK14" s="25">
        <f t="shared" si="146"/>
        <v>30</v>
      </c>
      <c r="DL14" s="29">
        <v>30.0</v>
      </c>
      <c r="DM14" s="27">
        <f t="shared" si="59"/>
        <v>0</v>
      </c>
      <c r="DN14" s="28"/>
      <c r="DO14" s="25">
        <f t="shared" si="147"/>
        <v>30</v>
      </c>
      <c r="DP14" s="29">
        <v>30.0</v>
      </c>
      <c r="DQ14" s="27">
        <f t="shared" si="61"/>
        <v>0</v>
      </c>
      <c r="DR14" s="28"/>
      <c r="DS14" s="25">
        <f t="shared" si="148"/>
        <v>30</v>
      </c>
      <c r="DT14" s="29">
        <v>30.0</v>
      </c>
      <c r="DU14" s="27">
        <f t="shared" si="63"/>
        <v>0</v>
      </c>
      <c r="DV14" s="28"/>
      <c r="DW14" s="25">
        <f t="shared" si="149"/>
        <v>30</v>
      </c>
      <c r="DX14" s="29">
        <v>30.0</v>
      </c>
      <c r="DY14" s="27">
        <f t="shared" si="65"/>
        <v>0</v>
      </c>
      <c r="DZ14" s="28"/>
      <c r="EA14" s="25">
        <f t="shared" si="150"/>
        <v>30</v>
      </c>
      <c r="EB14" s="29">
        <v>30.0</v>
      </c>
      <c r="EC14" s="27">
        <f t="shared" si="67"/>
        <v>0</v>
      </c>
      <c r="ED14" s="28"/>
      <c r="EE14" s="25">
        <f t="shared" si="151"/>
        <v>30</v>
      </c>
      <c r="EF14" s="29">
        <v>30.0</v>
      </c>
      <c r="EG14" s="27">
        <f t="shared" si="69"/>
        <v>0</v>
      </c>
      <c r="EH14" s="28"/>
      <c r="EI14" s="25">
        <f t="shared" si="152"/>
        <v>30</v>
      </c>
      <c r="EJ14" s="29">
        <v>30.0</v>
      </c>
      <c r="EK14" s="27">
        <f t="shared" si="71"/>
        <v>0</v>
      </c>
      <c r="EL14" s="28">
        <v>30.0</v>
      </c>
      <c r="EM14" s="25">
        <f t="shared" si="153"/>
        <v>30</v>
      </c>
      <c r="EN14" s="29">
        <v>30.0</v>
      </c>
      <c r="EO14" s="27">
        <f t="shared" si="73"/>
        <v>0</v>
      </c>
      <c r="EP14" s="28">
        <v>30.0</v>
      </c>
      <c r="EQ14" s="25">
        <f t="shared" si="154"/>
        <v>30</v>
      </c>
      <c r="ER14" s="29">
        <v>30.0</v>
      </c>
      <c r="ES14" s="27">
        <f t="shared" si="75"/>
        <v>0</v>
      </c>
    </row>
    <row r="15" ht="18.0" customHeight="1">
      <c r="A15" s="2" t="s">
        <v>17</v>
      </c>
      <c r="B15" s="13">
        <f t="shared" ref="B15:D15" si="155">IFERROR(SUM(EP15,EL15,EH15,ED15,DZ15,DV15,DR15,DN15,DJ15,DF15,DB15,CX15,CT15,CP15,CL15,CH15,CD15,BZ15,BV15,BR15,BN15,BJ15,BF15,BB15,AX15,AT15,AP15,AL15,AH15,AD15,Z15,V15,R15,N15,J15,F15)/COUNT(EP15,EL15,EH15,ED15,DZ15,DV15,DR15,DN15,DJ15,DF15,DB15,CX15,CT15,CP15,CL15,CH15,CD15,BZ15,BV15,BR15,BN15,BJ15,BF15,BB15,AX15,AT15,AP15,AL15,AH15,AD15,Z15,V15,R15,N15,J15,F15),"")</f>
        <v>3</v>
      </c>
      <c r="C15" s="14">
        <f t="shared" si="155"/>
        <v>3</v>
      </c>
      <c r="D15" s="15">
        <f t="shared" si="155"/>
        <v>3</v>
      </c>
      <c r="E15" s="16">
        <f t="shared" si="3"/>
        <v>0</v>
      </c>
      <c r="F15" s="17"/>
      <c r="G15" s="14">
        <f t="shared" si="119"/>
        <v>3</v>
      </c>
      <c r="H15" s="18">
        <v>3.0</v>
      </c>
      <c r="I15" s="16">
        <f t="shared" si="5"/>
        <v>0</v>
      </c>
      <c r="J15" s="17"/>
      <c r="K15" s="14">
        <f t="shared" si="120"/>
        <v>3</v>
      </c>
      <c r="L15" s="18">
        <v>3.0</v>
      </c>
      <c r="M15" s="16">
        <f t="shared" si="7"/>
        <v>0</v>
      </c>
      <c r="N15" s="17"/>
      <c r="O15" s="14">
        <f t="shared" si="121"/>
        <v>3</v>
      </c>
      <c r="P15" s="18">
        <v>3.0</v>
      </c>
      <c r="Q15" s="16">
        <f t="shared" si="9"/>
        <v>0</v>
      </c>
      <c r="R15" s="17"/>
      <c r="S15" s="14">
        <f t="shared" si="122"/>
        <v>3</v>
      </c>
      <c r="T15" s="18">
        <v>3.0</v>
      </c>
      <c r="U15" s="16">
        <f t="shared" si="11"/>
        <v>0</v>
      </c>
      <c r="V15" s="17"/>
      <c r="W15" s="14">
        <f t="shared" si="123"/>
        <v>3</v>
      </c>
      <c r="X15" s="18">
        <v>3.0</v>
      </c>
      <c r="Y15" s="16">
        <f t="shared" si="13"/>
        <v>0</v>
      </c>
      <c r="Z15" s="17"/>
      <c r="AA15" s="14">
        <f t="shared" si="124"/>
        <v>3</v>
      </c>
      <c r="AB15" s="18">
        <v>3.0</v>
      </c>
      <c r="AC15" s="16">
        <f t="shared" si="15"/>
        <v>0</v>
      </c>
      <c r="AD15" s="17"/>
      <c r="AE15" s="14">
        <f t="shared" si="125"/>
        <v>3</v>
      </c>
      <c r="AF15" s="18">
        <v>3.0</v>
      </c>
      <c r="AG15" s="16">
        <f t="shared" si="17"/>
        <v>0</v>
      </c>
      <c r="AH15" s="17"/>
      <c r="AI15" s="14">
        <f t="shared" si="126"/>
        <v>3</v>
      </c>
      <c r="AJ15" s="18">
        <v>3.0</v>
      </c>
      <c r="AK15" s="16">
        <f t="shared" si="19"/>
        <v>0</v>
      </c>
      <c r="AL15" s="17"/>
      <c r="AM15" s="14">
        <f t="shared" si="127"/>
        <v>3</v>
      </c>
      <c r="AN15" s="18">
        <v>3.0</v>
      </c>
      <c r="AO15" s="16">
        <f t="shared" si="21"/>
        <v>0</v>
      </c>
      <c r="AP15" s="17"/>
      <c r="AQ15" s="14">
        <f t="shared" si="128"/>
        <v>3</v>
      </c>
      <c r="AR15" s="18">
        <v>3.0</v>
      </c>
      <c r="AS15" s="16">
        <f t="shared" si="23"/>
        <v>0</v>
      </c>
      <c r="AT15" s="17"/>
      <c r="AU15" s="14">
        <f t="shared" si="129"/>
        <v>3</v>
      </c>
      <c r="AV15" s="18">
        <v>3.0</v>
      </c>
      <c r="AW15" s="16">
        <f t="shared" si="25"/>
        <v>0</v>
      </c>
      <c r="AX15" s="17"/>
      <c r="AY15" s="14">
        <f t="shared" si="130"/>
        <v>3</v>
      </c>
      <c r="AZ15" s="18">
        <v>3.0</v>
      </c>
      <c r="BA15" s="16">
        <f t="shared" si="27"/>
        <v>0</v>
      </c>
      <c r="BB15" s="17"/>
      <c r="BC15" s="14">
        <f t="shared" si="131"/>
        <v>3</v>
      </c>
      <c r="BD15" s="18">
        <v>3.0</v>
      </c>
      <c r="BE15" s="16">
        <f t="shared" si="29"/>
        <v>0</v>
      </c>
      <c r="BF15" s="17"/>
      <c r="BG15" s="14">
        <f t="shared" si="132"/>
        <v>3</v>
      </c>
      <c r="BH15" s="18">
        <v>3.0</v>
      </c>
      <c r="BI15" s="16">
        <f t="shared" si="31"/>
        <v>0</v>
      </c>
      <c r="BJ15" s="17"/>
      <c r="BK15" s="14">
        <f t="shared" si="133"/>
        <v>3</v>
      </c>
      <c r="BL15" s="18">
        <v>3.0</v>
      </c>
      <c r="BM15" s="16">
        <f t="shared" si="33"/>
        <v>0</v>
      </c>
      <c r="BN15" s="17"/>
      <c r="BO15" s="14">
        <f t="shared" si="134"/>
        <v>3</v>
      </c>
      <c r="BP15" s="18">
        <v>3.0</v>
      </c>
      <c r="BQ15" s="16">
        <f t="shared" si="35"/>
        <v>0</v>
      </c>
      <c r="BR15" s="17"/>
      <c r="BS15" s="14">
        <f t="shared" si="135"/>
        <v>3</v>
      </c>
      <c r="BT15" s="18">
        <v>3.0</v>
      </c>
      <c r="BU15" s="16">
        <f t="shared" si="37"/>
        <v>0</v>
      </c>
      <c r="BV15" s="17"/>
      <c r="BW15" s="14">
        <f t="shared" si="136"/>
        <v>3</v>
      </c>
      <c r="BX15" s="18">
        <v>3.0</v>
      </c>
      <c r="BY15" s="16">
        <f t="shared" si="39"/>
        <v>0</v>
      </c>
      <c r="BZ15" s="17"/>
      <c r="CA15" s="14">
        <f t="shared" si="137"/>
        <v>3</v>
      </c>
      <c r="CB15" s="18">
        <v>3.0</v>
      </c>
      <c r="CC15" s="16">
        <f t="shared" si="41"/>
        <v>0</v>
      </c>
      <c r="CD15" s="17"/>
      <c r="CE15" s="14">
        <f t="shared" si="138"/>
        <v>3</v>
      </c>
      <c r="CF15" s="18">
        <v>3.0</v>
      </c>
      <c r="CG15" s="16">
        <f t="shared" si="43"/>
        <v>0</v>
      </c>
      <c r="CH15" s="17"/>
      <c r="CI15" s="14">
        <f t="shared" si="139"/>
        <v>3</v>
      </c>
      <c r="CJ15" s="18">
        <v>3.0</v>
      </c>
      <c r="CK15" s="16">
        <f t="shared" si="45"/>
        <v>0</v>
      </c>
      <c r="CL15" s="17"/>
      <c r="CM15" s="14">
        <f t="shared" si="140"/>
        <v>3</v>
      </c>
      <c r="CN15" s="18">
        <v>3.0</v>
      </c>
      <c r="CO15" s="16">
        <f t="shared" si="47"/>
        <v>0</v>
      </c>
      <c r="CP15" s="17"/>
      <c r="CQ15" s="14">
        <f t="shared" si="141"/>
        <v>3</v>
      </c>
      <c r="CR15" s="18">
        <v>3.0</v>
      </c>
      <c r="CS15" s="16">
        <f t="shared" si="49"/>
        <v>0</v>
      </c>
      <c r="CT15" s="17"/>
      <c r="CU15" s="14">
        <f t="shared" si="142"/>
        <v>3</v>
      </c>
      <c r="CV15" s="18">
        <v>3.0</v>
      </c>
      <c r="CW15" s="16">
        <f t="shared" si="51"/>
        <v>0</v>
      </c>
      <c r="CX15" s="17"/>
      <c r="CY15" s="14">
        <f t="shared" si="143"/>
        <v>3</v>
      </c>
      <c r="CZ15" s="18">
        <v>3.0</v>
      </c>
      <c r="DA15" s="16">
        <f t="shared" si="53"/>
        <v>0</v>
      </c>
      <c r="DB15" s="17"/>
      <c r="DC15" s="14">
        <f t="shared" si="144"/>
        <v>3</v>
      </c>
      <c r="DD15" s="18">
        <v>3.0</v>
      </c>
      <c r="DE15" s="16">
        <f t="shared" si="55"/>
        <v>0</v>
      </c>
      <c r="DF15" s="17"/>
      <c r="DG15" s="14">
        <f t="shared" si="145"/>
        <v>3</v>
      </c>
      <c r="DH15" s="18">
        <v>3.0</v>
      </c>
      <c r="DI15" s="16">
        <f t="shared" si="57"/>
        <v>0</v>
      </c>
      <c r="DJ15" s="17"/>
      <c r="DK15" s="14">
        <f t="shared" si="146"/>
        <v>3</v>
      </c>
      <c r="DL15" s="18">
        <v>3.0</v>
      </c>
      <c r="DM15" s="16">
        <f t="shared" si="59"/>
        <v>0</v>
      </c>
      <c r="DN15" s="17"/>
      <c r="DO15" s="14">
        <f t="shared" si="147"/>
        <v>3</v>
      </c>
      <c r="DP15" s="18">
        <v>3.0</v>
      </c>
      <c r="DQ15" s="16">
        <f t="shared" si="61"/>
        <v>0</v>
      </c>
      <c r="DR15" s="17"/>
      <c r="DS15" s="14">
        <f t="shared" si="148"/>
        <v>3</v>
      </c>
      <c r="DT15" s="18">
        <v>3.0</v>
      </c>
      <c r="DU15" s="16">
        <f t="shared" si="63"/>
        <v>0</v>
      </c>
      <c r="DV15" s="17"/>
      <c r="DW15" s="14">
        <f t="shared" si="149"/>
        <v>3</v>
      </c>
      <c r="DX15" s="18">
        <v>3.0</v>
      </c>
      <c r="DY15" s="16">
        <f t="shared" si="65"/>
        <v>0</v>
      </c>
      <c r="DZ15" s="17"/>
      <c r="EA15" s="14">
        <f t="shared" si="150"/>
        <v>3</v>
      </c>
      <c r="EB15" s="18">
        <v>3.0</v>
      </c>
      <c r="EC15" s="16">
        <f t="shared" si="67"/>
        <v>0</v>
      </c>
      <c r="ED15" s="17"/>
      <c r="EE15" s="14">
        <f t="shared" si="151"/>
        <v>3</v>
      </c>
      <c r="EF15" s="18">
        <v>3.0</v>
      </c>
      <c r="EG15" s="16">
        <f t="shared" si="69"/>
        <v>0</v>
      </c>
      <c r="EH15" s="17"/>
      <c r="EI15" s="14">
        <f t="shared" si="152"/>
        <v>3</v>
      </c>
      <c r="EJ15" s="18">
        <v>3.0</v>
      </c>
      <c r="EK15" s="16">
        <f t="shared" si="71"/>
        <v>0</v>
      </c>
      <c r="EL15" s="17">
        <v>3.0</v>
      </c>
      <c r="EM15" s="14">
        <f t="shared" si="153"/>
        <v>3</v>
      </c>
      <c r="EN15" s="18">
        <v>3.0</v>
      </c>
      <c r="EO15" s="16">
        <f t="shared" si="73"/>
        <v>0</v>
      </c>
      <c r="EP15" s="17">
        <v>3.0</v>
      </c>
      <c r="EQ15" s="14">
        <f t="shared" si="154"/>
        <v>3</v>
      </c>
      <c r="ER15" s="18">
        <v>3.0</v>
      </c>
      <c r="ES15" s="16">
        <f t="shared" si="75"/>
        <v>0</v>
      </c>
    </row>
    <row r="16" ht="18.0" customHeight="1">
      <c r="A16" s="2" t="s">
        <v>18</v>
      </c>
      <c r="B16" s="13">
        <f t="shared" ref="B16:D16" si="156">IFERROR(SUM(EP16*EP15,EL16*EL15,EH16*EH15,ED16*ED15,DZ16*DZ15,DV16*DV15,DR16*DR15,DN16*DN15,DJ16*DJ15,DF16*DF15,DB16*DB15,CX16*CX15,CT16*CT15,CP16*CP15,CL16*CL15,CH16*CH15,CD16*CD15,BZ16*BZ15,BV16*BV15,BR16*BR15,BN16*BN15,BJ16*BJ15,BF16*BF15,BB16*BB15,AX16*AX15,AT16*AT15,AP16*AP15,AL16*AL15,AH16*AH15,AD16*AD15,Z16*Z15,V16*V15,R16*R15,N16*N15,J16*J15,F16*F15)/SUM(EP15,EL15,EH15,ED15,DZ15,DV15,DR15,DN15,DJ15,DF15,DB15,CX15,CT15,CP15,CL15,CH15,CD15,BZ15,BV15,BR15,BN15,BJ15,BF15,BB15,AX15,AT15,AP15,AL15,AH15,AD15,Z15,V15,R15,N15,J15,F15),"")</f>
        <v>8</v>
      </c>
      <c r="C16" s="14">
        <f t="shared" si="156"/>
        <v>8</v>
      </c>
      <c r="D16" s="15">
        <f t="shared" si="156"/>
        <v>8</v>
      </c>
      <c r="E16" s="16">
        <f t="shared" si="3"/>
        <v>0</v>
      </c>
      <c r="F16" s="17"/>
      <c r="G16" s="14">
        <f t="shared" si="119"/>
        <v>8</v>
      </c>
      <c r="H16" s="18">
        <v>8.0</v>
      </c>
      <c r="I16" s="16">
        <f t="shared" si="5"/>
        <v>0</v>
      </c>
      <c r="J16" s="17"/>
      <c r="K16" s="14">
        <f t="shared" si="120"/>
        <v>8</v>
      </c>
      <c r="L16" s="18">
        <v>8.0</v>
      </c>
      <c r="M16" s="16">
        <f t="shared" si="7"/>
        <v>0</v>
      </c>
      <c r="N16" s="17"/>
      <c r="O16" s="14">
        <f t="shared" si="121"/>
        <v>8</v>
      </c>
      <c r="P16" s="18">
        <v>8.0</v>
      </c>
      <c r="Q16" s="16">
        <f t="shared" si="9"/>
        <v>0</v>
      </c>
      <c r="R16" s="17"/>
      <c r="S16" s="14">
        <f t="shared" si="122"/>
        <v>8</v>
      </c>
      <c r="T16" s="18">
        <v>8.0</v>
      </c>
      <c r="U16" s="16">
        <f t="shared" si="11"/>
        <v>0</v>
      </c>
      <c r="V16" s="17"/>
      <c r="W16" s="14">
        <f t="shared" si="123"/>
        <v>8</v>
      </c>
      <c r="X16" s="18">
        <v>8.0</v>
      </c>
      <c r="Y16" s="16">
        <f t="shared" si="13"/>
        <v>0</v>
      </c>
      <c r="Z16" s="17"/>
      <c r="AA16" s="14">
        <f t="shared" si="124"/>
        <v>8</v>
      </c>
      <c r="AB16" s="18">
        <v>8.0</v>
      </c>
      <c r="AC16" s="16">
        <f t="shared" si="15"/>
        <v>0</v>
      </c>
      <c r="AD16" s="17"/>
      <c r="AE16" s="14">
        <f t="shared" si="125"/>
        <v>8</v>
      </c>
      <c r="AF16" s="18">
        <v>8.0</v>
      </c>
      <c r="AG16" s="16">
        <f t="shared" si="17"/>
        <v>0</v>
      </c>
      <c r="AH16" s="17"/>
      <c r="AI16" s="14">
        <f t="shared" si="126"/>
        <v>8</v>
      </c>
      <c r="AJ16" s="18">
        <v>8.0</v>
      </c>
      <c r="AK16" s="16">
        <f t="shared" si="19"/>
        <v>0</v>
      </c>
      <c r="AL16" s="17"/>
      <c r="AM16" s="14">
        <f t="shared" si="127"/>
        <v>8</v>
      </c>
      <c r="AN16" s="18">
        <v>8.0</v>
      </c>
      <c r="AO16" s="16">
        <f t="shared" si="21"/>
        <v>0</v>
      </c>
      <c r="AP16" s="17"/>
      <c r="AQ16" s="14">
        <f t="shared" si="128"/>
        <v>8</v>
      </c>
      <c r="AR16" s="18">
        <v>8.0</v>
      </c>
      <c r="AS16" s="16">
        <f t="shared" si="23"/>
        <v>0</v>
      </c>
      <c r="AT16" s="17"/>
      <c r="AU16" s="14">
        <f t="shared" si="129"/>
        <v>8</v>
      </c>
      <c r="AV16" s="18">
        <v>8.0</v>
      </c>
      <c r="AW16" s="16">
        <f t="shared" si="25"/>
        <v>0</v>
      </c>
      <c r="AX16" s="17"/>
      <c r="AY16" s="14">
        <f t="shared" si="130"/>
        <v>8</v>
      </c>
      <c r="AZ16" s="18">
        <v>8.0</v>
      </c>
      <c r="BA16" s="16">
        <f t="shared" si="27"/>
        <v>0</v>
      </c>
      <c r="BB16" s="17"/>
      <c r="BC16" s="14">
        <f t="shared" si="131"/>
        <v>8</v>
      </c>
      <c r="BD16" s="18">
        <v>8.0</v>
      </c>
      <c r="BE16" s="16">
        <f t="shared" si="29"/>
        <v>0</v>
      </c>
      <c r="BF16" s="17"/>
      <c r="BG16" s="14">
        <f t="shared" si="132"/>
        <v>8</v>
      </c>
      <c r="BH16" s="18">
        <v>8.0</v>
      </c>
      <c r="BI16" s="16">
        <f t="shared" si="31"/>
        <v>0</v>
      </c>
      <c r="BJ16" s="17"/>
      <c r="BK16" s="14">
        <f t="shared" si="133"/>
        <v>8</v>
      </c>
      <c r="BL16" s="18">
        <v>8.0</v>
      </c>
      <c r="BM16" s="16">
        <f t="shared" si="33"/>
        <v>0</v>
      </c>
      <c r="BN16" s="17"/>
      <c r="BO16" s="14">
        <f t="shared" si="134"/>
        <v>8</v>
      </c>
      <c r="BP16" s="18">
        <v>8.0</v>
      </c>
      <c r="BQ16" s="16">
        <f t="shared" si="35"/>
        <v>0</v>
      </c>
      <c r="BR16" s="17"/>
      <c r="BS16" s="14">
        <f t="shared" si="135"/>
        <v>8</v>
      </c>
      <c r="BT16" s="18">
        <v>8.0</v>
      </c>
      <c r="BU16" s="16">
        <f t="shared" si="37"/>
        <v>0</v>
      </c>
      <c r="BV16" s="17"/>
      <c r="BW16" s="14">
        <f t="shared" si="136"/>
        <v>8</v>
      </c>
      <c r="BX16" s="18">
        <v>8.0</v>
      </c>
      <c r="BY16" s="16">
        <f t="shared" si="39"/>
        <v>0</v>
      </c>
      <c r="BZ16" s="17"/>
      <c r="CA16" s="14">
        <f t="shared" si="137"/>
        <v>8</v>
      </c>
      <c r="CB16" s="18">
        <v>8.0</v>
      </c>
      <c r="CC16" s="16">
        <f t="shared" si="41"/>
        <v>0</v>
      </c>
      <c r="CD16" s="17"/>
      <c r="CE16" s="14">
        <f t="shared" si="138"/>
        <v>8</v>
      </c>
      <c r="CF16" s="18">
        <v>8.0</v>
      </c>
      <c r="CG16" s="16">
        <f t="shared" si="43"/>
        <v>0</v>
      </c>
      <c r="CH16" s="17"/>
      <c r="CI16" s="14">
        <f t="shared" si="139"/>
        <v>8</v>
      </c>
      <c r="CJ16" s="18">
        <v>8.0</v>
      </c>
      <c r="CK16" s="16">
        <f t="shared" si="45"/>
        <v>0</v>
      </c>
      <c r="CL16" s="17"/>
      <c r="CM16" s="14">
        <f t="shared" si="140"/>
        <v>8</v>
      </c>
      <c r="CN16" s="18">
        <v>8.0</v>
      </c>
      <c r="CO16" s="16">
        <f t="shared" si="47"/>
        <v>0</v>
      </c>
      <c r="CP16" s="17"/>
      <c r="CQ16" s="14">
        <f t="shared" si="141"/>
        <v>8</v>
      </c>
      <c r="CR16" s="18">
        <v>8.0</v>
      </c>
      <c r="CS16" s="16">
        <f t="shared" si="49"/>
        <v>0</v>
      </c>
      <c r="CT16" s="17"/>
      <c r="CU16" s="14">
        <f t="shared" si="142"/>
        <v>8</v>
      </c>
      <c r="CV16" s="18">
        <v>8.0</v>
      </c>
      <c r="CW16" s="16">
        <f t="shared" si="51"/>
        <v>0</v>
      </c>
      <c r="CX16" s="17"/>
      <c r="CY16" s="14">
        <f t="shared" si="143"/>
        <v>8</v>
      </c>
      <c r="CZ16" s="18">
        <v>8.0</v>
      </c>
      <c r="DA16" s="16">
        <f t="shared" si="53"/>
        <v>0</v>
      </c>
      <c r="DB16" s="17"/>
      <c r="DC16" s="14">
        <f t="shared" si="144"/>
        <v>8</v>
      </c>
      <c r="DD16" s="18">
        <v>8.0</v>
      </c>
      <c r="DE16" s="16">
        <f t="shared" si="55"/>
        <v>0</v>
      </c>
      <c r="DF16" s="17"/>
      <c r="DG16" s="14">
        <f t="shared" si="145"/>
        <v>8</v>
      </c>
      <c r="DH16" s="18">
        <v>8.0</v>
      </c>
      <c r="DI16" s="16">
        <f t="shared" si="57"/>
        <v>0</v>
      </c>
      <c r="DJ16" s="17"/>
      <c r="DK16" s="14">
        <f t="shared" si="146"/>
        <v>8</v>
      </c>
      <c r="DL16" s="18">
        <v>8.0</v>
      </c>
      <c r="DM16" s="16">
        <f t="shared" si="59"/>
        <v>0</v>
      </c>
      <c r="DN16" s="17"/>
      <c r="DO16" s="14">
        <f t="shared" si="147"/>
        <v>8</v>
      </c>
      <c r="DP16" s="18">
        <v>8.0</v>
      </c>
      <c r="DQ16" s="16">
        <f t="shared" si="61"/>
        <v>0</v>
      </c>
      <c r="DR16" s="17"/>
      <c r="DS16" s="14">
        <f t="shared" si="148"/>
        <v>8</v>
      </c>
      <c r="DT16" s="18">
        <v>8.0</v>
      </c>
      <c r="DU16" s="16">
        <f t="shared" si="63"/>
        <v>0</v>
      </c>
      <c r="DV16" s="17"/>
      <c r="DW16" s="14">
        <f t="shared" si="149"/>
        <v>8</v>
      </c>
      <c r="DX16" s="18">
        <v>8.0</v>
      </c>
      <c r="DY16" s="16">
        <f t="shared" si="65"/>
        <v>0</v>
      </c>
      <c r="DZ16" s="17"/>
      <c r="EA16" s="14">
        <f t="shared" si="150"/>
        <v>8</v>
      </c>
      <c r="EB16" s="18">
        <v>8.0</v>
      </c>
      <c r="EC16" s="16">
        <f t="shared" si="67"/>
        <v>0</v>
      </c>
      <c r="ED16" s="17"/>
      <c r="EE16" s="14">
        <f t="shared" si="151"/>
        <v>8</v>
      </c>
      <c r="EF16" s="18">
        <v>8.0</v>
      </c>
      <c r="EG16" s="16">
        <f t="shared" si="69"/>
        <v>0</v>
      </c>
      <c r="EH16" s="17"/>
      <c r="EI16" s="14">
        <f t="shared" si="152"/>
        <v>8</v>
      </c>
      <c r="EJ16" s="18">
        <v>8.0</v>
      </c>
      <c r="EK16" s="16">
        <f t="shared" si="71"/>
        <v>0</v>
      </c>
      <c r="EL16" s="17">
        <v>8.0</v>
      </c>
      <c r="EM16" s="14">
        <f t="shared" si="153"/>
        <v>8</v>
      </c>
      <c r="EN16" s="18">
        <v>8.0</v>
      </c>
      <c r="EO16" s="16">
        <f t="shared" si="73"/>
        <v>0</v>
      </c>
      <c r="EP16" s="17">
        <v>8.0</v>
      </c>
      <c r="EQ16" s="14">
        <f t="shared" si="154"/>
        <v>8</v>
      </c>
      <c r="ER16" s="18">
        <v>8.0</v>
      </c>
      <c r="ES16" s="16">
        <f t="shared" si="75"/>
        <v>0</v>
      </c>
    </row>
    <row r="17" ht="18.0" customHeight="1">
      <c r="A17" s="2" t="s">
        <v>19</v>
      </c>
      <c r="B17" s="13">
        <f t="shared" ref="B17:D17" si="157">SUM(EP17,EL17,EH17,ED17,DZ17,DV17,DR17,DN17,DJ17,DF17,DB17,CX17,CT17,CP17,CL17,CH17,CD17,BZ17,BV17,BR17,BN17,BJ17,BF17,BB17,AX17,AT17,AP17,AL17,AH17,AD17,Z17,V17,R17,N17,J17,F17)</f>
        <v>48</v>
      </c>
      <c r="C17" s="14">
        <f t="shared" si="157"/>
        <v>864</v>
      </c>
      <c r="D17" s="15">
        <f t="shared" si="157"/>
        <v>864</v>
      </c>
      <c r="E17" s="16">
        <f t="shared" si="3"/>
        <v>0</v>
      </c>
      <c r="F17" s="13" t="str">
        <f>IF(COUNT(F15,F16)=2,F15*F16,"")</f>
        <v/>
      </c>
      <c r="G17" s="14">
        <f t="shared" ref="G17:H17" si="158">G15*G16</f>
        <v>24</v>
      </c>
      <c r="H17" s="15">
        <f t="shared" si="158"/>
        <v>24</v>
      </c>
      <c r="I17" s="16">
        <f t="shared" si="5"/>
        <v>0</v>
      </c>
      <c r="J17" s="13" t="str">
        <f>IF(COUNT(J15,J16)=2,J15*J16,"")</f>
        <v/>
      </c>
      <c r="K17" s="14">
        <f t="shared" ref="K17:L17" si="159">K15*K16</f>
        <v>24</v>
      </c>
      <c r="L17" s="15">
        <f t="shared" si="159"/>
        <v>24</v>
      </c>
      <c r="M17" s="16">
        <f t="shared" si="7"/>
        <v>0</v>
      </c>
      <c r="N17" s="13" t="str">
        <f>IF(COUNT(N15,N16)=2,N15*N16,"")</f>
        <v/>
      </c>
      <c r="O17" s="14">
        <f t="shared" ref="O17:P17" si="160">O15*O16</f>
        <v>24</v>
      </c>
      <c r="P17" s="15">
        <f t="shared" si="160"/>
        <v>24</v>
      </c>
      <c r="Q17" s="16">
        <f t="shared" si="9"/>
        <v>0</v>
      </c>
      <c r="R17" s="13" t="str">
        <f>IF(COUNT(R15,R16)=2,R15*R16,"")</f>
        <v/>
      </c>
      <c r="S17" s="14">
        <f t="shared" ref="S17:T17" si="161">S15*S16</f>
        <v>24</v>
      </c>
      <c r="T17" s="15">
        <f t="shared" si="161"/>
        <v>24</v>
      </c>
      <c r="U17" s="16">
        <f t="shared" si="11"/>
        <v>0</v>
      </c>
      <c r="V17" s="13" t="str">
        <f>IF(COUNT(V15,V16)=2,V15*V16,"")</f>
        <v/>
      </c>
      <c r="W17" s="14">
        <f t="shared" ref="W17:X17" si="162">W15*W16</f>
        <v>24</v>
      </c>
      <c r="X17" s="15">
        <f t="shared" si="162"/>
        <v>24</v>
      </c>
      <c r="Y17" s="16">
        <f t="shared" si="13"/>
        <v>0</v>
      </c>
      <c r="Z17" s="13" t="str">
        <f>IF(COUNT(Z15,Z16)=2,Z15*Z16,"")</f>
        <v/>
      </c>
      <c r="AA17" s="14">
        <f t="shared" ref="AA17:AB17" si="163">AA15*AA16</f>
        <v>24</v>
      </c>
      <c r="AB17" s="15">
        <f t="shared" si="163"/>
        <v>24</v>
      </c>
      <c r="AC17" s="16">
        <f t="shared" si="15"/>
        <v>0</v>
      </c>
      <c r="AD17" s="13" t="str">
        <f>IF(COUNT(AD15,AD16)=2,AD15*AD16,"")</f>
        <v/>
      </c>
      <c r="AE17" s="14">
        <f t="shared" ref="AE17:AF17" si="164">AE15*AE16</f>
        <v>24</v>
      </c>
      <c r="AF17" s="15">
        <f t="shared" si="164"/>
        <v>24</v>
      </c>
      <c r="AG17" s="16">
        <f t="shared" si="17"/>
        <v>0</v>
      </c>
      <c r="AH17" s="13" t="str">
        <f>IF(COUNT(AH15,AH16)=2,AH15*AH16,"")</f>
        <v/>
      </c>
      <c r="AI17" s="14">
        <f t="shared" ref="AI17:AJ17" si="165">AI15*AI16</f>
        <v>24</v>
      </c>
      <c r="AJ17" s="15">
        <f t="shared" si="165"/>
        <v>24</v>
      </c>
      <c r="AK17" s="16">
        <f t="shared" si="19"/>
        <v>0</v>
      </c>
      <c r="AL17" s="13" t="str">
        <f>IF(COUNT(AL15,AL16)=2,AL15*AL16,"")</f>
        <v/>
      </c>
      <c r="AM17" s="14">
        <f t="shared" ref="AM17:AN17" si="166">AM15*AM16</f>
        <v>24</v>
      </c>
      <c r="AN17" s="15">
        <f t="shared" si="166"/>
        <v>24</v>
      </c>
      <c r="AO17" s="16">
        <f t="shared" si="21"/>
        <v>0</v>
      </c>
      <c r="AP17" s="13" t="str">
        <f>IF(COUNT(AP15,AP16)=2,AP15*AP16,"")</f>
        <v/>
      </c>
      <c r="AQ17" s="14">
        <f t="shared" ref="AQ17:AR17" si="167">AQ15*AQ16</f>
        <v>24</v>
      </c>
      <c r="AR17" s="15">
        <f t="shared" si="167"/>
        <v>24</v>
      </c>
      <c r="AS17" s="16">
        <f t="shared" si="23"/>
        <v>0</v>
      </c>
      <c r="AT17" s="13" t="str">
        <f>IF(COUNT(AT15,AT16)=2,AT15*AT16,"")</f>
        <v/>
      </c>
      <c r="AU17" s="14">
        <f t="shared" ref="AU17:AV17" si="168">AU15*AU16</f>
        <v>24</v>
      </c>
      <c r="AV17" s="15">
        <f t="shared" si="168"/>
        <v>24</v>
      </c>
      <c r="AW17" s="16">
        <f t="shared" si="25"/>
        <v>0</v>
      </c>
      <c r="AX17" s="13" t="str">
        <f>IF(COUNT(AX15,AX16)=2,AX15*AX16,"")</f>
        <v/>
      </c>
      <c r="AY17" s="14">
        <f t="shared" ref="AY17:AZ17" si="169">AY15*AY16</f>
        <v>24</v>
      </c>
      <c r="AZ17" s="15">
        <f t="shared" si="169"/>
        <v>24</v>
      </c>
      <c r="BA17" s="16">
        <f t="shared" si="27"/>
        <v>0</v>
      </c>
      <c r="BB17" s="13" t="str">
        <f>IF(COUNT(BB15,BB16)=2,BB15*BB16,"")</f>
        <v/>
      </c>
      <c r="BC17" s="14">
        <f t="shared" ref="BC17:BD17" si="170">BC15*BC16</f>
        <v>24</v>
      </c>
      <c r="BD17" s="15">
        <f t="shared" si="170"/>
        <v>24</v>
      </c>
      <c r="BE17" s="16">
        <f t="shared" si="29"/>
        <v>0</v>
      </c>
      <c r="BF17" s="13" t="str">
        <f>IF(COUNT(BF15,BF16)=2,BF15*BF16,"")</f>
        <v/>
      </c>
      <c r="BG17" s="14">
        <f t="shared" ref="BG17:BH17" si="171">BG15*BG16</f>
        <v>24</v>
      </c>
      <c r="BH17" s="15">
        <f t="shared" si="171"/>
        <v>24</v>
      </c>
      <c r="BI17" s="16">
        <f t="shared" si="31"/>
        <v>0</v>
      </c>
      <c r="BJ17" s="13" t="str">
        <f>IF(COUNT(BJ15,BJ16)=2,BJ15*BJ16,"")</f>
        <v/>
      </c>
      <c r="BK17" s="14">
        <f t="shared" ref="BK17:BL17" si="172">BK15*BK16</f>
        <v>24</v>
      </c>
      <c r="BL17" s="15">
        <f t="shared" si="172"/>
        <v>24</v>
      </c>
      <c r="BM17" s="16">
        <f t="shared" si="33"/>
        <v>0</v>
      </c>
      <c r="BN17" s="13" t="str">
        <f>IF(COUNT(BN15,BN16)=2,BN15*BN16,"")</f>
        <v/>
      </c>
      <c r="BO17" s="14">
        <f t="shared" ref="BO17:BP17" si="173">BO15*BO16</f>
        <v>24</v>
      </c>
      <c r="BP17" s="15">
        <f t="shared" si="173"/>
        <v>24</v>
      </c>
      <c r="BQ17" s="16">
        <f t="shared" si="35"/>
        <v>0</v>
      </c>
      <c r="BR17" s="13" t="str">
        <f>IF(COUNT(BR15,BR16)=2,BR15*BR16,"")</f>
        <v/>
      </c>
      <c r="BS17" s="14">
        <f t="shared" ref="BS17:BT17" si="174">BS15*BS16</f>
        <v>24</v>
      </c>
      <c r="BT17" s="15">
        <f t="shared" si="174"/>
        <v>24</v>
      </c>
      <c r="BU17" s="16">
        <f t="shared" si="37"/>
        <v>0</v>
      </c>
      <c r="BV17" s="13" t="str">
        <f>IF(COUNT(BV15,BV16)=2,BV15*BV16,"")</f>
        <v/>
      </c>
      <c r="BW17" s="14">
        <f t="shared" ref="BW17:BX17" si="175">BW15*BW16</f>
        <v>24</v>
      </c>
      <c r="BX17" s="15">
        <f t="shared" si="175"/>
        <v>24</v>
      </c>
      <c r="BY17" s="16">
        <f t="shared" si="39"/>
        <v>0</v>
      </c>
      <c r="BZ17" s="13" t="str">
        <f>IF(COUNT(BZ15,BZ16)=2,BZ15*BZ16,"")</f>
        <v/>
      </c>
      <c r="CA17" s="14">
        <f t="shared" ref="CA17:CB17" si="176">CA15*CA16</f>
        <v>24</v>
      </c>
      <c r="CB17" s="15">
        <f t="shared" si="176"/>
        <v>24</v>
      </c>
      <c r="CC17" s="16">
        <f t="shared" si="41"/>
        <v>0</v>
      </c>
      <c r="CD17" s="13" t="str">
        <f>IF(COUNT(CD15,CD16)=2,CD15*CD16,"")</f>
        <v/>
      </c>
      <c r="CE17" s="14">
        <f t="shared" ref="CE17:CF17" si="177">CE15*CE16</f>
        <v>24</v>
      </c>
      <c r="CF17" s="15">
        <f t="shared" si="177"/>
        <v>24</v>
      </c>
      <c r="CG17" s="16">
        <f t="shared" si="43"/>
        <v>0</v>
      </c>
      <c r="CH17" s="13" t="str">
        <f>IF(COUNT(CH15,CH16)=2,CH15*CH16,"")</f>
        <v/>
      </c>
      <c r="CI17" s="14">
        <f t="shared" ref="CI17:CJ17" si="178">CI15*CI16</f>
        <v>24</v>
      </c>
      <c r="CJ17" s="15">
        <f t="shared" si="178"/>
        <v>24</v>
      </c>
      <c r="CK17" s="16">
        <f t="shared" si="45"/>
        <v>0</v>
      </c>
      <c r="CL17" s="13" t="str">
        <f>IF(COUNT(CL15,CL16)=2,CL15*CL16,"")</f>
        <v/>
      </c>
      <c r="CM17" s="14">
        <f t="shared" ref="CM17:CN17" si="179">CM15*CM16</f>
        <v>24</v>
      </c>
      <c r="CN17" s="15">
        <f t="shared" si="179"/>
        <v>24</v>
      </c>
      <c r="CO17" s="16">
        <f t="shared" si="47"/>
        <v>0</v>
      </c>
      <c r="CP17" s="13" t="str">
        <f>IF(COUNT(CP15,CP16)=2,CP15*CP16,"")</f>
        <v/>
      </c>
      <c r="CQ17" s="14">
        <f t="shared" ref="CQ17:CR17" si="180">CQ15*CQ16</f>
        <v>24</v>
      </c>
      <c r="CR17" s="15">
        <f t="shared" si="180"/>
        <v>24</v>
      </c>
      <c r="CS17" s="16">
        <f t="shared" si="49"/>
        <v>0</v>
      </c>
      <c r="CT17" s="13" t="str">
        <f>IF(COUNT(CT15,CT16)=2,CT15*CT16,"")</f>
        <v/>
      </c>
      <c r="CU17" s="14">
        <f t="shared" ref="CU17:CV17" si="181">CU15*CU16</f>
        <v>24</v>
      </c>
      <c r="CV17" s="15">
        <f t="shared" si="181"/>
        <v>24</v>
      </c>
      <c r="CW17" s="16">
        <f t="shared" si="51"/>
        <v>0</v>
      </c>
      <c r="CX17" s="13" t="str">
        <f>IF(COUNT(CX15,CX16)=2,CX15*CX16,"")</f>
        <v/>
      </c>
      <c r="CY17" s="14">
        <f t="shared" ref="CY17:CZ17" si="182">CY15*CY16</f>
        <v>24</v>
      </c>
      <c r="CZ17" s="15">
        <f t="shared" si="182"/>
        <v>24</v>
      </c>
      <c r="DA17" s="16">
        <f t="shared" si="53"/>
        <v>0</v>
      </c>
      <c r="DB17" s="13" t="str">
        <f>IF(COUNT(DB15,DB16)=2,DB15*DB16,"")</f>
        <v/>
      </c>
      <c r="DC17" s="14">
        <f t="shared" ref="DC17:DD17" si="183">DC15*DC16</f>
        <v>24</v>
      </c>
      <c r="DD17" s="15">
        <f t="shared" si="183"/>
        <v>24</v>
      </c>
      <c r="DE17" s="16">
        <f t="shared" si="55"/>
        <v>0</v>
      </c>
      <c r="DF17" s="13" t="str">
        <f>IF(COUNT(DF15,DF16)=2,DF15*DF16,"")</f>
        <v/>
      </c>
      <c r="DG17" s="14">
        <f t="shared" ref="DG17:DH17" si="184">DG15*DG16</f>
        <v>24</v>
      </c>
      <c r="DH17" s="15">
        <f t="shared" si="184"/>
        <v>24</v>
      </c>
      <c r="DI17" s="16">
        <f t="shared" si="57"/>
        <v>0</v>
      </c>
      <c r="DJ17" s="13" t="str">
        <f>IF(COUNT(DJ15,DJ16)=2,DJ15*DJ16,"")</f>
        <v/>
      </c>
      <c r="DK17" s="14">
        <f t="shared" ref="DK17:DL17" si="185">DK15*DK16</f>
        <v>24</v>
      </c>
      <c r="DL17" s="15">
        <f t="shared" si="185"/>
        <v>24</v>
      </c>
      <c r="DM17" s="16">
        <f t="shared" si="59"/>
        <v>0</v>
      </c>
      <c r="DN17" s="13" t="str">
        <f>IF(COUNT(DN15,DN16)=2,DN15*DN16,"")</f>
        <v/>
      </c>
      <c r="DO17" s="14">
        <f t="shared" ref="DO17:DP17" si="186">DO15*DO16</f>
        <v>24</v>
      </c>
      <c r="DP17" s="15">
        <f t="shared" si="186"/>
        <v>24</v>
      </c>
      <c r="DQ17" s="16">
        <f t="shared" si="61"/>
        <v>0</v>
      </c>
      <c r="DR17" s="13" t="str">
        <f>IF(COUNT(DR15,DR16)=2,DR15*DR16,"")</f>
        <v/>
      </c>
      <c r="DS17" s="14">
        <f t="shared" ref="DS17:DT17" si="187">DS15*DS16</f>
        <v>24</v>
      </c>
      <c r="DT17" s="15">
        <f t="shared" si="187"/>
        <v>24</v>
      </c>
      <c r="DU17" s="16">
        <f t="shared" si="63"/>
        <v>0</v>
      </c>
      <c r="DV17" s="13" t="str">
        <f>IF(COUNT(DV15,DV16)=2,DV15*DV16,"")</f>
        <v/>
      </c>
      <c r="DW17" s="14">
        <f t="shared" ref="DW17:DX17" si="188">DW15*DW16</f>
        <v>24</v>
      </c>
      <c r="DX17" s="15">
        <f t="shared" si="188"/>
        <v>24</v>
      </c>
      <c r="DY17" s="16">
        <f t="shared" si="65"/>
        <v>0</v>
      </c>
      <c r="DZ17" s="13" t="str">
        <f>IF(COUNT(DZ15,DZ16)=2,DZ15*DZ16,"")</f>
        <v/>
      </c>
      <c r="EA17" s="14">
        <f t="shared" ref="EA17:EB17" si="189">EA15*EA16</f>
        <v>24</v>
      </c>
      <c r="EB17" s="15">
        <f t="shared" si="189"/>
        <v>24</v>
      </c>
      <c r="EC17" s="16">
        <f t="shared" si="67"/>
        <v>0</v>
      </c>
      <c r="ED17" s="13" t="str">
        <f>IF(COUNT(ED15,ED16)=2,ED15*ED16,"")</f>
        <v/>
      </c>
      <c r="EE17" s="14">
        <f t="shared" ref="EE17:EF17" si="190">EE15*EE16</f>
        <v>24</v>
      </c>
      <c r="EF17" s="15">
        <f t="shared" si="190"/>
        <v>24</v>
      </c>
      <c r="EG17" s="16">
        <f t="shared" si="69"/>
        <v>0</v>
      </c>
      <c r="EH17" s="13" t="str">
        <f>IF(COUNT(EH15,EH16)=2,EH15*EH16,"")</f>
        <v/>
      </c>
      <c r="EI17" s="14">
        <f t="shared" ref="EI17:EJ17" si="191">EI15*EI16</f>
        <v>24</v>
      </c>
      <c r="EJ17" s="15">
        <f t="shared" si="191"/>
        <v>24</v>
      </c>
      <c r="EK17" s="16">
        <f t="shared" si="71"/>
        <v>0</v>
      </c>
      <c r="EL17" s="13">
        <f>IF(COUNT(EL15,EL16)=2,EL15*EL16,"")</f>
        <v>24</v>
      </c>
      <c r="EM17" s="14">
        <f t="shared" ref="EM17:EN17" si="192">EM15*EM16</f>
        <v>24</v>
      </c>
      <c r="EN17" s="15">
        <f t="shared" si="192"/>
        <v>24</v>
      </c>
      <c r="EO17" s="16">
        <f t="shared" si="73"/>
        <v>0</v>
      </c>
      <c r="EP17" s="13">
        <f>IF(COUNT(EP15,EP16)=2,EP15*EP16,"")</f>
        <v>24</v>
      </c>
      <c r="EQ17" s="14">
        <f t="shared" ref="EQ17:ER17" si="193">EQ15*EQ16</f>
        <v>24</v>
      </c>
      <c r="ER17" s="15">
        <f t="shared" si="193"/>
        <v>24</v>
      </c>
      <c r="ES17" s="16">
        <f t="shared" si="75"/>
        <v>0</v>
      </c>
    </row>
    <row r="18" ht="18.0" customHeight="1">
      <c r="A18" s="2" t="s">
        <v>20</v>
      </c>
      <c r="B18" s="30">
        <f t="shared" ref="B18:D18" si="194">IFERROR(SUM(EP18*EP21,EL18*EL21,EH18*EH21,ED18*ED21,DZ18*DZ21,DV18*DV21,DR18*DR21,DN18*DN21,DJ18*DJ21,DF18*DF21,DB18*DB21,CX18*CX21,CT18*CT21,CP18*CP21,CL18*CL21,CH18*CH21,CD18*CD21,BZ18*BZ21,BV18*BV21,BR18*BR21,BN18*BN21,BJ18*BJ21,BF18*BF21,BB18*BB21,AX18*AX21,AT18*AT21,AP18*AP21,AL18*AL21,AH18*AH21,AD18*AD21,Z18*Z21,V18*V21,R18*R21,N18*N21,J18*J21,F18*F21)/SUM(EP21,EL21,EH21,ED21,DZ21,DV21,DR21,DN21,DJ21,DF21,DB21,CX21,CT21,CP21,CL21,CH21,CD21,BZ21,BV21,BR21,BN21,BJ21,BF21,BB21,AX21,AT21,AP21,AL21,AH21,AD21,Z21,V21,R21,N21,J21,F21),"")</f>
        <v>1000</v>
      </c>
      <c r="C18" s="31">
        <f t="shared" si="194"/>
        <v>1000</v>
      </c>
      <c r="D18" s="32">
        <f t="shared" si="194"/>
        <v>1000</v>
      </c>
      <c r="E18" s="33">
        <f t="shared" si="3"/>
        <v>0</v>
      </c>
      <c r="F18" s="34"/>
      <c r="G18" s="31">
        <f>IF(F$98=1,F18,H18)</f>
        <v>1000</v>
      </c>
      <c r="H18" s="35">
        <v>1000.0</v>
      </c>
      <c r="I18" s="33">
        <f t="shared" si="5"/>
        <v>0</v>
      </c>
      <c r="J18" s="34"/>
      <c r="K18" s="31">
        <f>IF(J$98=1,J18,L18)</f>
        <v>1000</v>
      </c>
      <c r="L18" s="35">
        <v>1000.0</v>
      </c>
      <c r="M18" s="33">
        <f t="shared" si="7"/>
        <v>0</v>
      </c>
      <c r="N18" s="34"/>
      <c r="O18" s="31">
        <f>IF(N$98=1,N18,P18)</f>
        <v>1000</v>
      </c>
      <c r="P18" s="35">
        <v>1000.0</v>
      </c>
      <c r="Q18" s="33">
        <f t="shared" si="9"/>
        <v>0</v>
      </c>
      <c r="R18" s="34"/>
      <c r="S18" s="31">
        <f>IF(R$98=1,R18,T18)</f>
        <v>1000</v>
      </c>
      <c r="T18" s="35">
        <v>1000.0</v>
      </c>
      <c r="U18" s="33">
        <f t="shared" si="11"/>
        <v>0</v>
      </c>
      <c r="V18" s="34"/>
      <c r="W18" s="31">
        <f>IF(V$98=1,V18,X18)</f>
        <v>1000</v>
      </c>
      <c r="X18" s="35">
        <v>1000.0</v>
      </c>
      <c r="Y18" s="33">
        <f t="shared" si="13"/>
        <v>0</v>
      </c>
      <c r="Z18" s="34"/>
      <c r="AA18" s="31">
        <f>IF(Z$98=1,Z18,AB18)</f>
        <v>1000</v>
      </c>
      <c r="AB18" s="35">
        <v>1000.0</v>
      </c>
      <c r="AC18" s="33">
        <f t="shared" si="15"/>
        <v>0</v>
      </c>
      <c r="AD18" s="34"/>
      <c r="AE18" s="31">
        <f>IF(AD$98=1,AD18,AF18)</f>
        <v>1000</v>
      </c>
      <c r="AF18" s="35">
        <v>1000.0</v>
      </c>
      <c r="AG18" s="33">
        <f t="shared" si="17"/>
        <v>0</v>
      </c>
      <c r="AH18" s="34"/>
      <c r="AI18" s="31">
        <f>IF(AH$98=1,AH18,AJ18)</f>
        <v>1000</v>
      </c>
      <c r="AJ18" s="35">
        <v>1000.0</v>
      </c>
      <c r="AK18" s="33">
        <f t="shared" si="19"/>
        <v>0</v>
      </c>
      <c r="AL18" s="34"/>
      <c r="AM18" s="31">
        <f>IF(AL$98=1,AL18,AN18)</f>
        <v>1000</v>
      </c>
      <c r="AN18" s="35">
        <v>1000.0</v>
      </c>
      <c r="AO18" s="33">
        <f t="shared" si="21"/>
        <v>0</v>
      </c>
      <c r="AP18" s="34"/>
      <c r="AQ18" s="31">
        <f>IF(AP$98=1,AP18,AR18)</f>
        <v>1000</v>
      </c>
      <c r="AR18" s="35">
        <v>1000.0</v>
      </c>
      <c r="AS18" s="33">
        <f t="shared" si="23"/>
        <v>0</v>
      </c>
      <c r="AT18" s="34"/>
      <c r="AU18" s="31">
        <f>IF(AT$98=1,AT18,AV18)</f>
        <v>1000</v>
      </c>
      <c r="AV18" s="35">
        <v>1000.0</v>
      </c>
      <c r="AW18" s="33">
        <f t="shared" si="25"/>
        <v>0</v>
      </c>
      <c r="AX18" s="34"/>
      <c r="AY18" s="31">
        <f>IF(AX$98=1,AX18,AZ18)</f>
        <v>1000</v>
      </c>
      <c r="AZ18" s="35">
        <v>1000.0</v>
      </c>
      <c r="BA18" s="33">
        <f t="shared" si="27"/>
        <v>0</v>
      </c>
      <c r="BB18" s="34"/>
      <c r="BC18" s="31">
        <f>IF(BB$98=1,BB18,BD18)</f>
        <v>1000</v>
      </c>
      <c r="BD18" s="35">
        <v>1000.0</v>
      </c>
      <c r="BE18" s="33">
        <f t="shared" si="29"/>
        <v>0</v>
      </c>
      <c r="BF18" s="34"/>
      <c r="BG18" s="31">
        <f>IF(BF$98=1,BF18,BH18)</f>
        <v>1000</v>
      </c>
      <c r="BH18" s="35">
        <v>1000.0</v>
      </c>
      <c r="BI18" s="33">
        <f t="shared" si="31"/>
        <v>0</v>
      </c>
      <c r="BJ18" s="34"/>
      <c r="BK18" s="31">
        <f>IF(BJ$98=1,BJ18,BL18)</f>
        <v>1000</v>
      </c>
      <c r="BL18" s="35">
        <v>1000.0</v>
      </c>
      <c r="BM18" s="33">
        <f t="shared" si="33"/>
        <v>0</v>
      </c>
      <c r="BN18" s="34"/>
      <c r="BO18" s="31">
        <f>IF(BN$98=1,BN18,BP18)</f>
        <v>1000</v>
      </c>
      <c r="BP18" s="35">
        <v>1000.0</v>
      </c>
      <c r="BQ18" s="33">
        <f t="shared" si="35"/>
        <v>0</v>
      </c>
      <c r="BR18" s="34"/>
      <c r="BS18" s="31">
        <f>IF(BR$98=1,BR18,BT18)</f>
        <v>1000</v>
      </c>
      <c r="BT18" s="35">
        <v>1000.0</v>
      </c>
      <c r="BU18" s="33">
        <f t="shared" si="37"/>
        <v>0</v>
      </c>
      <c r="BV18" s="34"/>
      <c r="BW18" s="31">
        <f>IF(BV$98=1,BV18,BX18)</f>
        <v>1000</v>
      </c>
      <c r="BX18" s="35">
        <v>1000.0</v>
      </c>
      <c r="BY18" s="33">
        <f t="shared" si="39"/>
        <v>0</v>
      </c>
      <c r="BZ18" s="34"/>
      <c r="CA18" s="31">
        <f>IF(BZ$98=1,BZ18,CB18)</f>
        <v>1000</v>
      </c>
      <c r="CB18" s="35">
        <v>1000.0</v>
      </c>
      <c r="CC18" s="33">
        <f t="shared" si="41"/>
        <v>0</v>
      </c>
      <c r="CD18" s="34"/>
      <c r="CE18" s="31">
        <f>IF(CD$98=1,CD18,CF18)</f>
        <v>1000</v>
      </c>
      <c r="CF18" s="35">
        <v>1000.0</v>
      </c>
      <c r="CG18" s="33">
        <f t="shared" si="43"/>
        <v>0</v>
      </c>
      <c r="CH18" s="34"/>
      <c r="CI18" s="31">
        <f>IF(CH$98=1,CH18,CJ18)</f>
        <v>1000</v>
      </c>
      <c r="CJ18" s="35">
        <v>1000.0</v>
      </c>
      <c r="CK18" s="33">
        <f t="shared" si="45"/>
        <v>0</v>
      </c>
      <c r="CL18" s="34"/>
      <c r="CM18" s="31">
        <f>IF(CL$98=1,CL18,CN18)</f>
        <v>1000</v>
      </c>
      <c r="CN18" s="35">
        <v>1000.0</v>
      </c>
      <c r="CO18" s="33">
        <f t="shared" si="47"/>
        <v>0</v>
      </c>
      <c r="CP18" s="34"/>
      <c r="CQ18" s="31">
        <f>IF(CP$98=1,CP18,CR18)</f>
        <v>1000</v>
      </c>
      <c r="CR18" s="35">
        <v>1000.0</v>
      </c>
      <c r="CS18" s="33">
        <f t="shared" si="49"/>
        <v>0</v>
      </c>
      <c r="CT18" s="34"/>
      <c r="CU18" s="31">
        <f>IF(CT$98=1,CT18,CV18)</f>
        <v>1000</v>
      </c>
      <c r="CV18" s="35">
        <v>1000.0</v>
      </c>
      <c r="CW18" s="33">
        <f t="shared" si="51"/>
        <v>0</v>
      </c>
      <c r="CX18" s="34"/>
      <c r="CY18" s="31">
        <f>IF(CX$98=1,CX18,CZ18)</f>
        <v>1000</v>
      </c>
      <c r="CZ18" s="35">
        <v>1000.0</v>
      </c>
      <c r="DA18" s="33">
        <f t="shared" si="53"/>
        <v>0</v>
      </c>
      <c r="DB18" s="34"/>
      <c r="DC18" s="31">
        <f>IF(DB$98=1,DB18,DD18)</f>
        <v>1000</v>
      </c>
      <c r="DD18" s="35">
        <v>1000.0</v>
      </c>
      <c r="DE18" s="33">
        <f t="shared" si="55"/>
        <v>0</v>
      </c>
      <c r="DF18" s="34"/>
      <c r="DG18" s="31">
        <f>IF(DF$98=1,DF18,DH18)</f>
        <v>1000</v>
      </c>
      <c r="DH18" s="35">
        <v>1000.0</v>
      </c>
      <c r="DI18" s="33">
        <f t="shared" si="57"/>
        <v>0</v>
      </c>
      <c r="DJ18" s="34"/>
      <c r="DK18" s="31">
        <f>IF(DJ$98=1,DJ18,DL18)</f>
        <v>1000</v>
      </c>
      <c r="DL18" s="35">
        <v>1000.0</v>
      </c>
      <c r="DM18" s="33">
        <f t="shared" si="59"/>
        <v>0</v>
      </c>
      <c r="DN18" s="34"/>
      <c r="DO18" s="31">
        <f>IF(DN$98=1,DN18,DP18)</f>
        <v>1000</v>
      </c>
      <c r="DP18" s="35">
        <v>1000.0</v>
      </c>
      <c r="DQ18" s="33">
        <f t="shared" si="61"/>
        <v>0</v>
      </c>
      <c r="DR18" s="34"/>
      <c r="DS18" s="31">
        <f>IF(DR$98=1,DR18,DT18)</f>
        <v>1000</v>
      </c>
      <c r="DT18" s="35">
        <v>1000.0</v>
      </c>
      <c r="DU18" s="33">
        <f t="shared" si="63"/>
        <v>0</v>
      </c>
      <c r="DV18" s="34"/>
      <c r="DW18" s="31">
        <f>IF(DV$98=1,DV18,DX18)</f>
        <v>1000</v>
      </c>
      <c r="DX18" s="35">
        <v>1000.0</v>
      </c>
      <c r="DY18" s="33">
        <f t="shared" si="65"/>
        <v>0</v>
      </c>
      <c r="DZ18" s="34"/>
      <c r="EA18" s="31">
        <f>IF(DZ$98=1,DZ18,EB18)</f>
        <v>1000</v>
      </c>
      <c r="EB18" s="35">
        <v>1000.0</v>
      </c>
      <c r="EC18" s="33">
        <f t="shared" si="67"/>
        <v>0</v>
      </c>
      <c r="ED18" s="34"/>
      <c r="EE18" s="31">
        <f>IF(ED$98=1,ED18,EF18)</f>
        <v>1000</v>
      </c>
      <c r="EF18" s="35">
        <v>1000.0</v>
      </c>
      <c r="EG18" s="33">
        <f t="shared" si="69"/>
        <v>0</v>
      </c>
      <c r="EH18" s="34"/>
      <c r="EI18" s="31">
        <f>IF(EH$98=1,EH18,EJ18)</f>
        <v>1000</v>
      </c>
      <c r="EJ18" s="35">
        <v>1000.0</v>
      </c>
      <c r="EK18" s="33">
        <f t="shared" si="71"/>
        <v>0</v>
      </c>
      <c r="EL18" s="34">
        <v>1000.0</v>
      </c>
      <c r="EM18" s="31">
        <f>IF(EL$98=1,EL18,EN18)</f>
        <v>1000</v>
      </c>
      <c r="EN18" s="35">
        <v>1000.0</v>
      </c>
      <c r="EO18" s="33">
        <f t="shared" si="73"/>
        <v>0</v>
      </c>
      <c r="EP18" s="34">
        <v>1000.0</v>
      </c>
      <c r="EQ18" s="31">
        <f>IF(EP$98=1,EP18,ER18)</f>
        <v>1000</v>
      </c>
      <c r="ER18" s="35">
        <v>1000.0</v>
      </c>
      <c r="ES18" s="33">
        <f t="shared" si="75"/>
        <v>0</v>
      </c>
    </row>
    <row r="19" ht="18.0" customHeight="1">
      <c r="A19" s="2" t="s">
        <v>21</v>
      </c>
      <c r="B19" s="13">
        <f t="shared" ref="B19:D19" si="195">EP19</f>
        <v>5</v>
      </c>
      <c r="C19" s="14">
        <f t="shared" si="195"/>
        <v>5</v>
      </c>
      <c r="D19" s="15">
        <f t="shared" si="195"/>
        <v>5</v>
      </c>
      <c r="E19" s="16">
        <f t="shared" si="3"/>
        <v>0</v>
      </c>
      <c r="F19" s="13" t="str">
        <f>IF(J$98=1,J22,"")</f>
        <v/>
      </c>
      <c r="G19" s="14">
        <f>IF(J$98=1,J22,K22)</f>
        <v>0</v>
      </c>
      <c r="H19" s="15">
        <f>L22</f>
        <v>0</v>
      </c>
      <c r="I19" s="16">
        <f t="shared" si="5"/>
        <v>0</v>
      </c>
      <c r="J19" s="13" t="str">
        <f>IF(N$98=1,N22,"")</f>
        <v/>
      </c>
      <c r="K19" s="14">
        <f>IF(N$98=1,N22,O22)</f>
        <v>0</v>
      </c>
      <c r="L19" s="15">
        <f>P22</f>
        <v>0</v>
      </c>
      <c r="M19" s="16">
        <f t="shared" si="7"/>
        <v>0</v>
      </c>
      <c r="N19" s="13" t="str">
        <f>IF(R$98=1,R22,"")</f>
        <v/>
      </c>
      <c r="O19" s="14">
        <f>IF(R$98=1,R22,S22)</f>
        <v>0</v>
      </c>
      <c r="P19" s="15">
        <f>T22</f>
        <v>0</v>
      </c>
      <c r="Q19" s="16">
        <f t="shared" si="9"/>
        <v>0</v>
      </c>
      <c r="R19" s="13" t="str">
        <f>IF(V$98=1,V22,"")</f>
        <v/>
      </c>
      <c r="S19" s="14">
        <f>IF(V$98=1,V22,W22)</f>
        <v>0</v>
      </c>
      <c r="T19" s="15">
        <f>X22</f>
        <v>0</v>
      </c>
      <c r="U19" s="16">
        <f t="shared" si="11"/>
        <v>0</v>
      </c>
      <c r="V19" s="13" t="str">
        <f>IF(Z$98=1,Z22,"")</f>
        <v/>
      </c>
      <c r="W19" s="14">
        <f>IF(Z$98=1,Z22,AA22)</f>
        <v>0</v>
      </c>
      <c r="X19" s="15">
        <f>AB22</f>
        <v>0</v>
      </c>
      <c r="Y19" s="16">
        <f t="shared" si="13"/>
        <v>0</v>
      </c>
      <c r="Z19" s="13" t="str">
        <f>IF(AD$98=1,AD22,"")</f>
        <v/>
      </c>
      <c r="AA19" s="14">
        <f>IF(AD$98=1,AD22,AE22)</f>
        <v>0</v>
      </c>
      <c r="AB19" s="15">
        <f>AF22</f>
        <v>0</v>
      </c>
      <c r="AC19" s="16">
        <f t="shared" si="15"/>
        <v>0</v>
      </c>
      <c r="AD19" s="13" t="str">
        <f>IF(AH$98=1,AH22,"")</f>
        <v/>
      </c>
      <c r="AE19" s="14">
        <f>IF(AH$98=1,AH22,AI22)</f>
        <v>0</v>
      </c>
      <c r="AF19" s="15">
        <f>AJ22</f>
        <v>0</v>
      </c>
      <c r="AG19" s="16">
        <f t="shared" si="17"/>
        <v>0</v>
      </c>
      <c r="AH19" s="13" t="str">
        <f>IF(AL$98=1,AL22,"")</f>
        <v/>
      </c>
      <c r="AI19" s="14">
        <f>IF(AL$98=1,AL22,AM22)</f>
        <v>0</v>
      </c>
      <c r="AJ19" s="15">
        <f>AN22</f>
        <v>0</v>
      </c>
      <c r="AK19" s="16">
        <f t="shared" si="19"/>
        <v>0</v>
      </c>
      <c r="AL19" s="13" t="str">
        <f>IF(AP$98=1,AP22,"")</f>
        <v/>
      </c>
      <c r="AM19" s="14">
        <f>IF(AP$98=1,AP22,AQ22)</f>
        <v>0</v>
      </c>
      <c r="AN19" s="15">
        <f>AR22</f>
        <v>0</v>
      </c>
      <c r="AO19" s="16">
        <f t="shared" si="21"/>
        <v>0</v>
      </c>
      <c r="AP19" s="13" t="str">
        <f>IF(AT$98=1,AT22,"")</f>
        <v/>
      </c>
      <c r="AQ19" s="14">
        <f>IF(AT$98=1,AT22,AU22)</f>
        <v>0</v>
      </c>
      <c r="AR19" s="15">
        <f>AV22</f>
        <v>0</v>
      </c>
      <c r="AS19" s="16">
        <f t="shared" si="23"/>
        <v>0</v>
      </c>
      <c r="AT19" s="13" t="str">
        <f>IF(AX$98=1,AX22,"")</f>
        <v/>
      </c>
      <c r="AU19" s="14">
        <f>IF(AX$98=1,AX22,AY22)</f>
        <v>0</v>
      </c>
      <c r="AV19" s="15">
        <f>AZ22</f>
        <v>0</v>
      </c>
      <c r="AW19" s="16">
        <f t="shared" si="25"/>
        <v>0</v>
      </c>
      <c r="AX19" s="13" t="str">
        <f>IF(BB$98=1,BB22,"")</f>
        <v/>
      </c>
      <c r="AY19" s="14">
        <f>IF(BB$98=1,BB22,BC22)</f>
        <v>0</v>
      </c>
      <c r="AZ19" s="15">
        <f>BD22</f>
        <v>0</v>
      </c>
      <c r="BA19" s="16">
        <f t="shared" si="27"/>
        <v>0</v>
      </c>
      <c r="BB19" s="13" t="str">
        <f>IF(BF$98=1,BF22,"")</f>
        <v/>
      </c>
      <c r="BC19" s="14">
        <f>IF(BF$98=1,BF22,BG22)</f>
        <v>0</v>
      </c>
      <c r="BD19" s="15">
        <f>BH22</f>
        <v>0</v>
      </c>
      <c r="BE19" s="16">
        <f t="shared" si="29"/>
        <v>0</v>
      </c>
      <c r="BF19" s="13" t="str">
        <f>IF(BJ$98=1,BJ22,"")</f>
        <v/>
      </c>
      <c r="BG19" s="14">
        <f>IF(BJ$98=1,BJ22,BK22)</f>
        <v>0</v>
      </c>
      <c r="BH19" s="15">
        <f>BL22</f>
        <v>0</v>
      </c>
      <c r="BI19" s="16">
        <f t="shared" si="31"/>
        <v>0</v>
      </c>
      <c r="BJ19" s="13" t="str">
        <f>IF(BN$98=1,BN22,"")</f>
        <v/>
      </c>
      <c r="BK19" s="14">
        <f>IF(BN$98=1,BN22,BO22)</f>
        <v>0</v>
      </c>
      <c r="BL19" s="15">
        <f>BP22</f>
        <v>0</v>
      </c>
      <c r="BM19" s="16">
        <f t="shared" si="33"/>
        <v>0</v>
      </c>
      <c r="BN19" s="13" t="str">
        <f>IF(BR$98=1,BR22,"")</f>
        <v/>
      </c>
      <c r="BO19" s="14">
        <f>IF(BR$98=1,BR22,BS22)</f>
        <v>0</v>
      </c>
      <c r="BP19" s="15">
        <f>BT22</f>
        <v>0</v>
      </c>
      <c r="BQ19" s="16">
        <f t="shared" si="35"/>
        <v>0</v>
      </c>
      <c r="BR19" s="13" t="str">
        <f>IF(BV$98=1,BV22,"")</f>
        <v/>
      </c>
      <c r="BS19" s="14">
        <f>IF(BV$98=1,BV22,BW22)</f>
        <v>0</v>
      </c>
      <c r="BT19" s="15">
        <f>BX22</f>
        <v>0</v>
      </c>
      <c r="BU19" s="16">
        <f t="shared" si="37"/>
        <v>0</v>
      </c>
      <c r="BV19" s="13" t="str">
        <f>IF(BZ$98=1,BZ22,"")</f>
        <v/>
      </c>
      <c r="BW19" s="14">
        <f>IF(BZ$98=1,BZ22,CA22)</f>
        <v>0</v>
      </c>
      <c r="BX19" s="15">
        <f>CB22</f>
        <v>0</v>
      </c>
      <c r="BY19" s="16">
        <f t="shared" si="39"/>
        <v>0</v>
      </c>
      <c r="BZ19" s="13" t="str">
        <f>IF(CD$98=1,CD22,"")</f>
        <v/>
      </c>
      <c r="CA19" s="14">
        <f>IF(CD$98=1,CD22,CE22)</f>
        <v>0</v>
      </c>
      <c r="CB19" s="15">
        <f>CF22</f>
        <v>0</v>
      </c>
      <c r="CC19" s="16">
        <f t="shared" si="41"/>
        <v>0</v>
      </c>
      <c r="CD19" s="13" t="str">
        <f>IF(CH$98=1,CH22,"")</f>
        <v/>
      </c>
      <c r="CE19" s="14">
        <f>IF(CH$98=1,CH22,CI22)</f>
        <v>0</v>
      </c>
      <c r="CF19" s="15">
        <f>CJ22</f>
        <v>0</v>
      </c>
      <c r="CG19" s="16">
        <f t="shared" si="43"/>
        <v>0</v>
      </c>
      <c r="CH19" s="13" t="str">
        <f>IF(CL$98=1,CL22,"")</f>
        <v/>
      </c>
      <c r="CI19" s="14">
        <f>IF(CL$98=1,CL22,CM22)</f>
        <v>0</v>
      </c>
      <c r="CJ19" s="15">
        <f>CN22</f>
        <v>0</v>
      </c>
      <c r="CK19" s="16">
        <f t="shared" si="45"/>
        <v>0</v>
      </c>
      <c r="CL19" s="13" t="str">
        <f>IF(CP$98=1,CP22,"")</f>
        <v/>
      </c>
      <c r="CM19" s="14">
        <f>IF(CP$98=1,CP22,CQ22)</f>
        <v>0</v>
      </c>
      <c r="CN19" s="15">
        <f>CR22</f>
        <v>0</v>
      </c>
      <c r="CO19" s="16">
        <f t="shared" si="47"/>
        <v>0</v>
      </c>
      <c r="CP19" s="13" t="str">
        <f>IF(CT$98=1,CT22,"")</f>
        <v/>
      </c>
      <c r="CQ19" s="14">
        <f>IF(CT$98=1,CT22,CU22)</f>
        <v>0</v>
      </c>
      <c r="CR19" s="15">
        <f>CV22</f>
        <v>0</v>
      </c>
      <c r="CS19" s="16">
        <f t="shared" si="49"/>
        <v>0</v>
      </c>
      <c r="CT19" s="13" t="str">
        <f>IF(CX$98=1,CX22,"")</f>
        <v/>
      </c>
      <c r="CU19" s="14">
        <f>IF(CX$98=1,CX22,CY22)</f>
        <v>0</v>
      </c>
      <c r="CV19" s="15">
        <f>CZ22</f>
        <v>0</v>
      </c>
      <c r="CW19" s="16">
        <f t="shared" si="51"/>
        <v>0</v>
      </c>
      <c r="CX19" s="13" t="str">
        <f>IF(DB$98=1,DB22,"")</f>
        <v/>
      </c>
      <c r="CY19" s="14">
        <f>IF(DB$98=1,DB22,DC22)</f>
        <v>0</v>
      </c>
      <c r="CZ19" s="15">
        <f>DD22</f>
        <v>0</v>
      </c>
      <c r="DA19" s="16">
        <f t="shared" si="53"/>
        <v>0</v>
      </c>
      <c r="DB19" s="13" t="str">
        <f>IF(DF$98=1,DF22,"")</f>
        <v/>
      </c>
      <c r="DC19" s="14">
        <f>IF(DF$98=1,DF22,DG22)</f>
        <v>0</v>
      </c>
      <c r="DD19" s="15">
        <f>DH22</f>
        <v>0</v>
      </c>
      <c r="DE19" s="16">
        <f t="shared" si="55"/>
        <v>0</v>
      </c>
      <c r="DF19" s="13" t="str">
        <f>IF(DJ$98=1,DJ22,"")</f>
        <v/>
      </c>
      <c r="DG19" s="14">
        <f>IF(DJ$98=1,DJ22,DK22)</f>
        <v>0</v>
      </c>
      <c r="DH19" s="15">
        <f>DL22</f>
        <v>0</v>
      </c>
      <c r="DI19" s="16">
        <f t="shared" si="57"/>
        <v>0</v>
      </c>
      <c r="DJ19" s="13" t="str">
        <f>IF(DN$98=1,DN22,"")</f>
        <v/>
      </c>
      <c r="DK19" s="14">
        <f>IF(DN$98=1,DN22,DO22)</f>
        <v>0</v>
      </c>
      <c r="DL19" s="15">
        <f>DP22</f>
        <v>0</v>
      </c>
      <c r="DM19" s="16">
        <f t="shared" si="59"/>
        <v>0</v>
      </c>
      <c r="DN19" s="13" t="str">
        <f>IF(DR$98=1,DR22,"")</f>
        <v/>
      </c>
      <c r="DO19" s="14">
        <f>IF(DR$98=1,DR22,DS22)</f>
        <v>0</v>
      </c>
      <c r="DP19" s="15">
        <f>DT22</f>
        <v>0</v>
      </c>
      <c r="DQ19" s="16">
        <f t="shared" si="61"/>
        <v>0</v>
      </c>
      <c r="DR19" s="13" t="str">
        <f>IF(DV$98=1,DV22,"")</f>
        <v/>
      </c>
      <c r="DS19" s="14">
        <f>IF(DV$98=1,DV22,DW22)</f>
        <v>0</v>
      </c>
      <c r="DT19" s="15">
        <f>DX22</f>
        <v>0</v>
      </c>
      <c r="DU19" s="16">
        <f t="shared" si="63"/>
        <v>0</v>
      </c>
      <c r="DV19" s="13" t="str">
        <f>IF(DZ$98=1,DZ22,"")</f>
        <v/>
      </c>
      <c r="DW19" s="14">
        <f>IF(DZ$98=1,DZ22,EA22)</f>
        <v>0</v>
      </c>
      <c r="DX19" s="15">
        <f>EB22</f>
        <v>0</v>
      </c>
      <c r="DY19" s="16">
        <f t="shared" si="65"/>
        <v>0</v>
      </c>
      <c r="DZ19" s="13" t="str">
        <f>IF(ED$98=1,ED22,"")</f>
        <v/>
      </c>
      <c r="EA19" s="14">
        <f>IF(ED$98=1,ED22,EE22)</f>
        <v>0</v>
      </c>
      <c r="EB19" s="15">
        <f>EF22</f>
        <v>0</v>
      </c>
      <c r="EC19" s="16">
        <f t="shared" si="67"/>
        <v>0</v>
      </c>
      <c r="ED19" s="13" t="str">
        <f>IF(EH$98=1,EH22,"")</f>
        <v/>
      </c>
      <c r="EE19" s="14">
        <f>IF(EH$98=1,EH22,EI22)</f>
        <v>0</v>
      </c>
      <c r="EF19" s="15">
        <f>EJ22</f>
        <v>0</v>
      </c>
      <c r="EG19" s="16">
        <f t="shared" si="69"/>
        <v>0</v>
      </c>
      <c r="EH19" s="13">
        <f>IF(EL$98=1,EL22,"")</f>
        <v>0</v>
      </c>
      <c r="EI19" s="14">
        <f>IF(EL$98=1,EL22,EM22)</f>
        <v>0</v>
      </c>
      <c r="EJ19" s="15">
        <f>EN22</f>
        <v>0</v>
      </c>
      <c r="EK19" s="16">
        <f t="shared" si="71"/>
        <v>0</v>
      </c>
      <c r="EL19" s="13">
        <f>IF(EP$98=1,EP22,"")</f>
        <v>3</v>
      </c>
      <c r="EM19" s="14">
        <f>IF(EP$98=1,EP22,EQ22)</f>
        <v>3</v>
      </c>
      <c r="EN19" s="15">
        <f>ER22</f>
        <v>0</v>
      </c>
      <c r="EO19" s="16">
        <f t="shared" si="73"/>
        <v>3</v>
      </c>
      <c r="EP19" s="13">
        <f t="shared" ref="EP19:ER19" si="196">$EP$79</f>
        <v>5</v>
      </c>
      <c r="EQ19" s="14">
        <f t="shared" si="196"/>
        <v>5</v>
      </c>
      <c r="ER19" s="15">
        <f t="shared" si="196"/>
        <v>5</v>
      </c>
      <c r="ES19" s="16">
        <f t="shared" si="75"/>
        <v>0</v>
      </c>
    </row>
    <row r="20" ht="18.0" customHeight="1">
      <c r="A20" s="2" t="s">
        <v>22</v>
      </c>
      <c r="B20" s="13">
        <f t="shared" ref="B20:D20" si="197">SUM(EP20,EL20,EH20,ED20,DZ20,DV20,DR20,DN20,DJ20,DF20,DB20,CX20,CT20,CP20,CL20,CH20,CD20,BZ20,BV20,BR20,BN20,BJ20,BF20,BB20,AX20,AT20,AP20,AL20,AH20,AD20,Z20,V20,R20,N20,J20,F20)</f>
        <v>25</v>
      </c>
      <c r="C20" s="14">
        <f t="shared" si="197"/>
        <v>497</v>
      </c>
      <c r="D20" s="15">
        <f t="shared" si="197"/>
        <v>504</v>
      </c>
      <c r="E20" s="16">
        <f t="shared" si="3"/>
        <v>-7</v>
      </c>
      <c r="F20" s="13">
        <f t="shared" ref="F20:H20" si="198">ROUND(SUM(IF(AND(EP$12&lt;&gt;"",EP$14&lt;&gt;""),IF(EOMONTH($EP$3+INT((DAY(EOMONTH($EP$3,0))-1)/2)+EP$14,0)=EOMONTH($F$3,0),EP$12,0),0),IF(AND(EL$12&lt;&gt;"",EL$14&lt;&gt;""),IF(EOMONTH($EL$3+INT((DAY(EOMONTH($EL$3,0))-1)/2)+EL$14,0)=EOMONTH($F$3,0),EL$12,0),0),IF(AND(EH$12&lt;&gt;"",EH$14&lt;&gt;""),IF(EOMONTH($EH$3+INT((DAY(EOMONTH($EH$3,0))-1)/2)+EH$14,0)=EOMONTH($F$3,0),EH$12,0),0),IF(AND(ED$12&lt;&gt;"",ED$14&lt;&gt;""),IF(EOMONTH($ED$3+INT((DAY(EOMONTH($ED$3,0))-1)/2)+ED$14,0)=EOMONTH($F$3,0),ED$12,0),0),IF(AND(DZ$12&lt;&gt;"",DZ$14&lt;&gt;""),IF(EOMONTH($DZ$3+INT((DAY(EOMONTH($DZ$3,0))-1)/2)+DZ$14,0)=EOMONTH($F$3,0),DZ$12,0),0),IF(AND(DV$12&lt;&gt;"",DV$14&lt;&gt;""),IF(EOMONTH($DV$3+INT((DAY(EOMONTH($DV$3,0))-1)/2)+DV$14,0)=EOMONTH($F$3,0),DV$12,0),0),IF(AND(DR$12&lt;&gt;"",DR$14&lt;&gt;""),IF(EOMONTH($DR$3+INT((DAY(EOMONTH($DR$3,0))-1)/2)+DR$14,0)=EOMONTH($F$3,0),DR$12,0),0),IF(AND(DN$12&lt;&gt;"",DN$14&lt;&gt;""),IF(EOMONTH($DN$3+INT((DAY(EOMONTH($DN$3,0))-1)/2)+DN$14,0)=EOMONTH($F$3,0),DN$12,0),0),IF(AND(DJ$12&lt;&gt;"",DJ$14&lt;&gt;""),IF(EOMONTH($DJ$3+INT((DAY(EOMONTH($DJ$3,0))-1)/2)+DJ$14,0)=EOMONTH($F$3,0),DJ$12,0),0),IF(AND(DF$12&lt;&gt;"",DF$14&lt;&gt;""),IF(EOMONTH($DF$3+INT((DAY(EOMONTH($DF$3,0))-1)/2)+DF$14,0)=EOMONTH($F$3,0),DF$12,0),0),IF(AND(DB$12&lt;&gt;"",DB$14&lt;&gt;""),IF(EOMONTH($DB$3+INT((DAY(EOMONTH($DB$3,0))-1)/2)+DB$14,0)=EOMONTH($F$3,0),DB$12,0),0),IF(AND(CX$12&lt;&gt;"",CX$14&lt;&gt;""),IF(EOMONTH($CX$3+INT((DAY(EOMONTH($CX$3,0))-1)/2)+CX$14,0)=EOMONTH($F$3,0),CX$12,0),0),IF(AND(CT$12&lt;&gt;"",CT$14&lt;&gt;""),IF(EOMONTH($CT$3+INT((DAY(EOMONTH($CT$3,0))-1)/2)+CT$14,0)=EOMONTH($F$3,0),CT$12,0),0),IF(AND(CP$12&lt;&gt;"",CP$14&lt;&gt;""),IF(EOMONTH($CP$3+INT((DAY(EOMONTH($CP$3,0))-1)/2)+CP$14,0)=EOMONTH($F$3,0),CP$12,0),0),IF(AND(CL$12&lt;&gt;"",CL$14&lt;&gt;""),IF(EOMONTH($CL$3+INT((DAY(EOMONTH($CL$3,0))-1)/2)+CL$14,0)=EOMONTH($F$3,0),CL$12,0),0),IF(AND(CH$12&lt;&gt;"",CH$14&lt;&gt;""),IF(EOMONTH($CH$3+INT((DAY(EOMONTH($CH$3,0))-1)/2)+CH$14,0)=EOMONTH($F$3,0),CH$12,0),0),IF(AND(CD$12&lt;&gt;"",CD$14&lt;&gt;""),IF(EOMONTH($CD$3+INT((DAY(EOMONTH($CD$3,0))-1)/2)+CD$14,0)=EOMONTH($F$3,0),CD$12,0),0),IF(AND(BZ$12&lt;&gt;"",BZ$14&lt;&gt;""),IF(EOMONTH($BZ$3+INT((DAY(EOMONTH($BZ$3,0))-1)/2)+BZ$14,0)=EOMONTH($F$3,0),BZ$12,0),0),IF(AND(BV$12&lt;&gt;"",BV$14&lt;&gt;""),IF(EOMONTH($BV$3+INT((DAY(EOMONTH($BV$3,0))-1)/2)+BV$14,0)=EOMONTH($F$3,0),BV$12,0),0),IF(AND(BR$12&lt;&gt;"",BR$14&lt;&gt;""),IF(EOMONTH($BR$3+INT((DAY(EOMONTH($BR$3,0))-1)/2)+BR$14,0)=EOMONTH($F$3,0),BR$12,0),0),IF(AND(BN$12&lt;&gt;"",BN$14&lt;&gt;""),IF(EOMONTH($BN$3+INT((DAY(EOMONTH($BN$3,0))-1)/2)+BN$14,0)=EOMONTH($F$3,0),BN$12,0),0),IF(AND(BJ$12&lt;&gt;"",BJ$14&lt;&gt;""),IF(EOMONTH($BJ$3+INT((DAY(EOMONTH($BJ$3,0))-1)/2)+BJ$14,0)=EOMONTH($F$3,0),BJ$12,0),0),IF(AND(BF$12&lt;&gt;"",BF$14&lt;&gt;""),IF(EOMONTH($BF$3+INT((DAY(EOMONTH($BF$3,0))-1)/2)+BF$14,0)=EOMONTH($F$3,0),BF$12,0),0),IF(AND(BB$12&lt;&gt;"",BB$14&lt;&gt;""),IF(EOMONTH($BB$3+INT((DAY(EOMONTH($BB$3,0))-1)/2)+BB$14,0)=EOMONTH($F$3,0),BB$12,0),0),IF(AND(AX$12&lt;&gt;"",AX$14&lt;&gt;""),IF(EOMONTH($AX$3+INT((DAY(EOMONTH($AX$3,0))-1)/2)+AX$14,0)=EOMONTH($F$3,0),AX$12,0),0),IF(AND(AT$12&lt;&gt;"",AT$14&lt;&gt;""),IF(EOMONTH($AT$3+INT((DAY(EOMONTH($AT$3,0))-1)/2)+AT$14,0)=EOMONTH($F$3,0),AT$12,0),0),IF(AND(AP$12&lt;&gt;"",AP$14&lt;&gt;""),IF(EOMONTH($AP$3+INT((DAY(EOMONTH($AP$3,0))-1)/2)+AP$14,0)=EOMONTH($F$3,0),AP$12,0),0),IF(AND(AL$12&lt;&gt;"",AL$14&lt;&gt;""),IF(EOMONTH($AL$3+INT((DAY(EOMONTH($AL$3,0))-1)/2)+AL$14,0)=EOMONTH($F$3,0),AL$12,0),0),IF(AND(AH$12&lt;&gt;"",AH$14&lt;&gt;""),IF(EOMONTH($AH$3+INT((DAY(EOMONTH($AH$3,0))-1)/2)+AH$14,0)=EOMONTH($F$3,0),AH$12,0),0),IF(AND(AD$12&lt;&gt;"",AD$14&lt;&gt;""),IF(EOMONTH($AD$3+INT((DAY(EOMONTH($AD$3,0))-1)/2)+AD$14,0)=EOMONTH($F$3,0),AD$12,0),0),IF(AND(Z$12&lt;&gt;"",Z$14&lt;&gt;""),IF(EOMONTH($Z$3+INT((DAY(EOMONTH($Z$3,0))-1)/2)+Z$14,0)=EOMONTH($F$3,0),Z$12,0),0),IF(AND(V$12&lt;&gt;"",V$14&lt;&gt;""),IF(EOMONTH($V$3+INT((DAY(EOMONTH($V$3,0))-1)/2)+V$14,0)=EOMONTH($F$3,0),V$12,0),0),IF(AND(R$12&lt;&gt;"",R$14&lt;&gt;""),IF(EOMONTH($R$3+INT((DAY(EOMONTH($R$3,0))-1)/2)+R$14,0)=EOMONTH($F$3,0),R$12,0),0),IF(AND(N$12&lt;&gt;"",N$14&lt;&gt;""),IF(EOMONTH($N$3+INT((DAY(EOMONTH($N$3,0))-1)/2)+N$14,0)=EOMONTH($F$3,0),N$12,0),0),IF(AND(J$12&lt;&gt;"",J$14&lt;&gt;""),IF(EOMONTH($J$3+INT((DAY(EOMONTH($J$3,0))-1)/2)+J$14,0)=EOMONTH($F$3,0),J$12,0),0),IF(AND(F$12&lt;&gt;"",F$14&lt;&gt;""),IF(EOMONTH($F$3+INT((DAY(EOMONTH($F$3,0))-1)/2)+F$14,0)=EOMONTH($F$3,0),F$12,0),0),IF($EP$75="",0,IF(EOMONTH($EP$75+EP$14,0)=EOMONTH($F$3,0),$EP$77,0))),0)</f>
        <v>0</v>
      </c>
      <c r="G20" s="14">
        <f t="shared" si="198"/>
        <v>18</v>
      </c>
      <c r="H20" s="15">
        <f t="shared" si="198"/>
        <v>18</v>
      </c>
      <c r="I20" s="16">
        <f t="shared" si="5"/>
        <v>0</v>
      </c>
      <c r="J20" s="13">
        <f t="shared" ref="J20:L20" si="199">ROUND(SUM(IF(AND(EP$12&lt;&gt;"",EP$14&lt;&gt;""),IF(EOMONTH($EP$3+INT((DAY(EOMONTH($EP$3,0))-1)/2)+EP$14,0)=EOMONTH($J$3,0),EP$12,0),0),IF(AND(EL$12&lt;&gt;"",EL$14&lt;&gt;""),IF(EOMONTH($EL$3+INT((DAY(EOMONTH($EL$3,0))-1)/2)+EL$14,0)=EOMONTH($J$3,0),EL$12,0),0),IF(AND(EH$12&lt;&gt;"",EH$14&lt;&gt;""),IF(EOMONTH($EH$3+INT((DAY(EOMONTH($EH$3,0))-1)/2)+EH$14,0)=EOMONTH($J$3,0),EH$12,0),0),IF(AND(ED$12&lt;&gt;"",ED$14&lt;&gt;""),IF(EOMONTH($ED$3+INT((DAY(EOMONTH($ED$3,0))-1)/2)+ED$14,0)=EOMONTH($J$3,0),ED$12,0),0),IF(AND(DZ$12&lt;&gt;"",DZ$14&lt;&gt;""),IF(EOMONTH($DZ$3+INT((DAY(EOMONTH($DZ$3,0))-1)/2)+DZ$14,0)=EOMONTH($J$3,0),DZ$12,0),0),IF(AND(DV$12&lt;&gt;"",DV$14&lt;&gt;""),IF(EOMONTH($DV$3+INT((DAY(EOMONTH($DV$3,0))-1)/2)+DV$14,0)=EOMONTH($J$3,0),DV$12,0),0),IF(AND(DR$12&lt;&gt;"",DR$14&lt;&gt;""),IF(EOMONTH($DR$3+INT((DAY(EOMONTH($DR$3,0))-1)/2)+DR$14,0)=EOMONTH($J$3,0),DR$12,0),0),IF(AND(DN$12&lt;&gt;"",DN$14&lt;&gt;""),IF(EOMONTH($DN$3+INT((DAY(EOMONTH($DN$3,0))-1)/2)+DN$14,0)=EOMONTH($J$3,0),DN$12,0),0),IF(AND(DJ$12&lt;&gt;"",DJ$14&lt;&gt;""),IF(EOMONTH($DJ$3+INT((DAY(EOMONTH($DJ$3,0))-1)/2)+DJ$14,0)=EOMONTH($J$3,0),DJ$12,0),0),IF(AND(DF$12&lt;&gt;"",DF$14&lt;&gt;""),IF(EOMONTH($DF$3+INT((DAY(EOMONTH($DF$3,0))-1)/2)+DF$14,0)=EOMONTH($J$3,0),DF$12,0),0),IF(AND(DB$12&lt;&gt;"",DB$14&lt;&gt;""),IF(EOMONTH($DB$3+INT((DAY(EOMONTH($DB$3,0))-1)/2)+DB$14,0)=EOMONTH($J$3,0),DB$12,0),0),IF(AND(CX$12&lt;&gt;"",CX$14&lt;&gt;""),IF(EOMONTH($CX$3+INT((DAY(EOMONTH($CX$3,0))-1)/2)+CX$14,0)=EOMONTH($J$3,0),CX$12,0),0),IF(AND(CT$12&lt;&gt;"",CT$14&lt;&gt;""),IF(EOMONTH($CT$3+INT((DAY(EOMONTH($CT$3,0))-1)/2)+CT$14,0)=EOMONTH($J$3,0),CT$12,0),0),IF(AND(CP$12&lt;&gt;"",CP$14&lt;&gt;""),IF(EOMONTH($CP$3+INT((DAY(EOMONTH($CP$3,0))-1)/2)+CP$14,0)=EOMONTH($J$3,0),CP$12,0),0),IF(AND(CL$12&lt;&gt;"",CL$14&lt;&gt;""),IF(EOMONTH($CL$3+INT((DAY(EOMONTH($CL$3,0))-1)/2)+CL$14,0)=EOMONTH($J$3,0),CL$12,0),0),IF(AND(CH$12&lt;&gt;"",CH$14&lt;&gt;""),IF(EOMONTH($CH$3+INT((DAY(EOMONTH($CH$3,0))-1)/2)+CH$14,0)=EOMONTH($J$3,0),CH$12,0),0),IF(AND(CD$12&lt;&gt;"",CD$14&lt;&gt;""),IF(EOMONTH($CD$3+INT((DAY(EOMONTH($CD$3,0))-1)/2)+CD$14,0)=EOMONTH($J$3,0),CD$12,0),0),IF(AND(BZ$12&lt;&gt;"",BZ$14&lt;&gt;""),IF(EOMONTH($BZ$3+INT((DAY(EOMONTH($BZ$3,0))-1)/2)+BZ$14,0)=EOMONTH($J$3,0),BZ$12,0),0),IF(AND(BV$12&lt;&gt;"",BV$14&lt;&gt;""),IF(EOMONTH($BV$3+INT((DAY(EOMONTH($BV$3,0))-1)/2)+BV$14,0)=EOMONTH($J$3,0),BV$12,0),0),IF(AND(BR$12&lt;&gt;"",BR$14&lt;&gt;""),IF(EOMONTH($BR$3+INT((DAY(EOMONTH($BR$3,0))-1)/2)+BR$14,0)=EOMONTH($J$3,0),BR$12,0),0),IF(AND(BN$12&lt;&gt;"",BN$14&lt;&gt;""),IF(EOMONTH($BN$3+INT((DAY(EOMONTH($BN$3,0))-1)/2)+BN$14,0)=EOMONTH($J$3,0),BN$12,0),0),IF(AND(BJ$12&lt;&gt;"",BJ$14&lt;&gt;""),IF(EOMONTH($BJ$3+INT((DAY(EOMONTH($BJ$3,0))-1)/2)+BJ$14,0)=EOMONTH($J$3,0),BJ$12,0),0),IF(AND(BF$12&lt;&gt;"",BF$14&lt;&gt;""),IF(EOMONTH($BF$3+INT((DAY(EOMONTH($BF$3,0))-1)/2)+BF$14,0)=EOMONTH($J$3,0),BF$12,0),0),IF(AND(BB$12&lt;&gt;"",BB$14&lt;&gt;""),IF(EOMONTH($BB$3+INT((DAY(EOMONTH($BB$3,0))-1)/2)+BB$14,0)=EOMONTH($J$3,0),BB$12,0),0),IF(AND(AX$12&lt;&gt;"",AX$14&lt;&gt;""),IF(EOMONTH($AX$3+INT((DAY(EOMONTH($AX$3,0))-1)/2)+AX$14,0)=EOMONTH($J$3,0),AX$12,0),0),IF(AND(AT$12&lt;&gt;"",AT$14&lt;&gt;""),IF(EOMONTH($AT$3+INT((DAY(EOMONTH($AT$3,0))-1)/2)+AT$14,0)=EOMONTH($J$3,0),AT$12,0),0),IF(AND(AP$12&lt;&gt;"",AP$14&lt;&gt;""),IF(EOMONTH($AP$3+INT((DAY(EOMONTH($AP$3,0))-1)/2)+AP$14,0)=EOMONTH($J$3,0),AP$12,0),0),IF(AND(AL$12&lt;&gt;"",AL$14&lt;&gt;""),IF(EOMONTH($AL$3+INT((DAY(EOMONTH($AL$3,0))-1)/2)+AL$14,0)=EOMONTH($J$3,0),AL$12,0),0),IF(AND(AH$12&lt;&gt;"",AH$14&lt;&gt;""),IF(EOMONTH($AH$3+INT((DAY(EOMONTH($AH$3,0))-1)/2)+AH$14,0)=EOMONTH($J$3,0),AH$12,0),0),IF(AND(AD$12&lt;&gt;"",AD$14&lt;&gt;""),IF(EOMONTH($AD$3+INT((DAY(EOMONTH($AD$3,0))-1)/2)+AD$14,0)=EOMONTH($J$3,0),AD$12,0),0),IF(AND(Z$12&lt;&gt;"",Z$14&lt;&gt;""),IF(EOMONTH($Z$3+INT((DAY(EOMONTH($Z$3,0))-1)/2)+Z$14,0)=EOMONTH($J$3,0),Z$12,0),0),IF(AND(V$12&lt;&gt;"",V$14&lt;&gt;""),IF(EOMONTH($V$3+INT((DAY(EOMONTH($V$3,0))-1)/2)+V$14,0)=EOMONTH($J$3,0),V$12,0),0),IF(AND(R$12&lt;&gt;"",R$14&lt;&gt;""),IF(EOMONTH($R$3+INT((DAY(EOMONTH($R$3,0))-1)/2)+R$14,0)=EOMONTH($J$3,0),R$12,0),0),IF(AND(N$12&lt;&gt;"",N$14&lt;&gt;""),IF(EOMONTH($N$3+INT((DAY(EOMONTH($N$3,0))-1)/2)+N$14,0)=EOMONTH($J$3,0),N$12,0),0),IF(AND(J$12&lt;&gt;"",J$14&lt;&gt;""),IF(EOMONTH($J$3+INT((DAY(EOMONTH($J$3,0))-1)/2)+J$14,0)=EOMONTH($J$3,0),J$12,0),0),IF(AND(F$12&lt;&gt;"",F$14&lt;&gt;""),IF(EOMONTH($F$3+INT((DAY(EOMONTH($F$3,0))-1)/2)+F$14,0)=EOMONTH($J$3,0),F$12,0),0),IF($EP$75="",0,IF(EOMONTH($EP$75+EP$14,0)=EOMONTH($J$3,0),$EP$77,0))),0)</f>
        <v>0</v>
      </c>
      <c r="K20" s="14">
        <f t="shared" si="199"/>
        <v>18</v>
      </c>
      <c r="L20" s="15">
        <f t="shared" si="199"/>
        <v>18</v>
      </c>
      <c r="M20" s="16">
        <f t="shared" si="7"/>
        <v>0</v>
      </c>
      <c r="N20" s="13">
        <f t="shared" ref="N20:P20" si="200">ROUND(SUM(IF(AND(EP$12&lt;&gt;"",EP$14&lt;&gt;""),IF(EOMONTH($EP$3+INT((DAY(EOMONTH($EP$3,0))-1)/2)+EP$14,0)=EOMONTH($N$3,0),EP$12,0),0),IF(AND(EL$12&lt;&gt;"",EL$14&lt;&gt;""),IF(EOMONTH($EL$3+INT((DAY(EOMONTH($EL$3,0))-1)/2)+EL$14,0)=EOMONTH($N$3,0),EL$12,0),0),IF(AND(EH$12&lt;&gt;"",EH$14&lt;&gt;""),IF(EOMONTH($EH$3+INT((DAY(EOMONTH($EH$3,0))-1)/2)+EH$14,0)=EOMONTH($N$3,0),EH$12,0),0),IF(AND(ED$12&lt;&gt;"",ED$14&lt;&gt;""),IF(EOMONTH($ED$3+INT((DAY(EOMONTH($ED$3,0))-1)/2)+ED$14,0)=EOMONTH($N$3,0),ED$12,0),0),IF(AND(DZ$12&lt;&gt;"",DZ$14&lt;&gt;""),IF(EOMONTH($DZ$3+INT((DAY(EOMONTH($DZ$3,0))-1)/2)+DZ$14,0)=EOMONTH($N$3,0),DZ$12,0),0),IF(AND(DV$12&lt;&gt;"",DV$14&lt;&gt;""),IF(EOMONTH($DV$3+INT((DAY(EOMONTH($DV$3,0))-1)/2)+DV$14,0)=EOMONTH($N$3,0),DV$12,0),0),IF(AND(DR$12&lt;&gt;"",DR$14&lt;&gt;""),IF(EOMONTH($DR$3+INT((DAY(EOMONTH($DR$3,0))-1)/2)+DR$14,0)=EOMONTH($N$3,0),DR$12,0),0),IF(AND(DN$12&lt;&gt;"",DN$14&lt;&gt;""),IF(EOMONTH($DN$3+INT((DAY(EOMONTH($DN$3,0))-1)/2)+DN$14,0)=EOMONTH($N$3,0),DN$12,0),0),IF(AND(DJ$12&lt;&gt;"",DJ$14&lt;&gt;""),IF(EOMONTH($DJ$3+INT((DAY(EOMONTH($DJ$3,0))-1)/2)+DJ$14,0)=EOMONTH($N$3,0),DJ$12,0),0),IF(AND(DF$12&lt;&gt;"",DF$14&lt;&gt;""),IF(EOMONTH($DF$3+INT((DAY(EOMONTH($DF$3,0))-1)/2)+DF$14,0)=EOMONTH($N$3,0),DF$12,0),0),IF(AND(DB$12&lt;&gt;"",DB$14&lt;&gt;""),IF(EOMONTH($DB$3+INT((DAY(EOMONTH($DB$3,0))-1)/2)+DB$14,0)=EOMONTH($N$3,0),DB$12,0),0),IF(AND(CX$12&lt;&gt;"",CX$14&lt;&gt;""),IF(EOMONTH($CX$3+INT((DAY(EOMONTH($CX$3,0))-1)/2)+CX$14,0)=EOMONTH($N$3,0),CX$12,0),0),IF(AND(CT$12&lt;&gt;"",CT$14&lt;&gt;""),IF(EOMONTH($CT$3+INT((DAY(EOMONTH($CT$3,0))-1)/2)+CT$14,0)=EOMONTH($N$3,0),CT$12,0),0),IF(AND(CP$12&lt;&gt;"",CP$14&lt;&gt;""),IF(EOMONTH($CP$3+INT((DAY(EOMONTH($CP$3,0))-1)/2)+CP$14,0)=EOMONTH($N$3,0),CP$12,0),0),IF(AND(CL$12&lt;&gt;"",CL$14&lt;&gt;""),IF(EOMONTH($CL$3+INT((DAY(EOMONTH($CL$3,0))-1)/2)+CL$14,0)=EOMONTH($N$3,0),CL$12,0),0),IF(AND(CH$12&lt;&gt;"",CH$14&lt;&gt;""),IF(EOMONTH($CH$3+INT((DAY(EOMONTH($CH$3,0))-1)/2)+CH$14,0)=EOMONTH($N$3,0),CH$12,0),0),IF(AND(CD$12&lt;&gt;"",CD$14&lt;&gt;""),IF(EOMONTH($CD$3+INT((DAY(EOMONTH($CD$3,0))-1)/2)+CD$14,0)=EOMONTH($N$3,0),CD$12,0),0),IF(AND(BZ$12&lt;&gt;"",BZ$14&lt;&gt;""),IF(EOMONTH($BZ$3+INT((DAY(EOMONTH($BZ$3,0))-1)/2)+BZ$14,0)=EOMONTH($N$3,0),BZ$12,0),0),IF(AND(BV$12&lt;&gt;"",BV$14&lt;&gt;""),IF(EOMONTH($BV$3+INT((DAY(EOMONTH($BV$3,0))-1)/2)+BV$14,0)=EOMONTH($N$3,0),BV$12,0),0),IF(AND(BR$12&lt;&gt;"",BR$14&lt;&gt;""),IF(EOMONTH($BR$3+INT((DAY(EOMONTH($BR$3,0))-1)/2)+BR$14,0)=EOMONTH($N$3,0),BR$12,0),0),IF(AND(BN$12&lt;&gt;"",BN$14&lt;&gt;""),IF(EOMONTH($BN$3+INT((DAY(EOMONTH($BN$3,0))-1)/2)+BN$14,0)=EOMONTH($N$3,0),BN$12,0),0),IF(AND(BJ$12&lt;&gt;"",BJ$14&lt;&gt;""),IF(EOMONTH($BJ$3+INT((DAY(EOMONTH($BJ$3,0))-1)/2)+BJ$14,0)=EOMONTH($N$3,0),BJ$12,0),0),IF(AND(BF$12&lt;&gt;"",BF$14&lt;&gt;""),IF(EOMONTH($BF$3+INT((DAY(EOMONTH($BF$3,0))-1)/2)+BF$14,0)=EOMONTH($N$3,0),BF$12,0),0),IF(AND(BB$12&lt;&gt;"",BB$14&lt;&gt;""),IF(EOMONTH($BB$3+INT((DAY(EOMONTH($BB$3,0))-1)/2)+BB$14,0)=EOMONTH($N$3,0),BB$12,0),0),IF(AND(AX$12&lt;&gt;"",AX$14&lt;&gt;""),IF(EOMONTH($AX$3+INT((DAY(EOMONTH($AX$3,0))-1)/2)+AX$14,0)=EOMONTH($N$3,0),AX$12,0),0),IF(AND(AT$12&lt;&gt;"",AT$14&lt;&gt;""),IF(EOMONTH($AT$3+INT((DAY(EOMONTH($AT$3,0))-1)/2)+AT$14,0)=EOMONTH($N$3,0),AT$12,0),0),IF(AND(AP$12&lt;&gt;"",AP$14&lt;&gt;""),IF(EOMONTH($AP$3+INT((DAY(EOMONTH($AP$3,0))-1)/2)+AP$14,0)=EOMONTH($N$3,0),AP$12,0),0),IF(AND(AL$12&lt;&gt;"",AL$14&lt;&gt;""),IF(EOMONTH($AL$3+INT((DAY(EOMONTH($AL$3,0))-1)/2)+AL$14,0)=EOMONTH($N$3,0),AL$12,0),0),IF(AND(AH$12&lt;&gt;"",AH$14&lt;&gt;""),IF(EOMONTH($AH$3+INT((DAY(EOMONTH($AH$3,0))-1)/2)+AH$14,0)=EOMONTH($N$3,0),AH$12,0),0),IF(AND(AD$12&lt;&gt;"",AD$14&lt;&gt;""),IF(EOMONTH($AD$3+INT((DAY(EOMONTH($AD$3,0))-1)/2)+AD$14,0)=EOMONTH($N$3,0),AD$12,0),0),IF(AND(Z$12&lt;&gt;"",Z$14&lt;&gt;""),IF(EOMONTH($Z$3+INT((DAY(EOMONTH($Z$3,0))-1)/2)+Z$14,0)=EOMONTH($N$3,0),Z$12,0),0),IF(AND(V$12&lt;&gt;"",V$14&lt;&gt;""),IF(EOMONTH($V$3+INT((DAY(EOMONTH($V$3,0))-1)/2)+V$14,0)=EOMONTH($N$3,0),V$12,0),0),IF(AND(R$12&lt;&gt;"",R$14&lt;&gt;""),IF(EOMONTH($R$3+INT((DAY(EOMONTH($R$3,0))-1)/2)+R$14,0)=EOMONTH($N$3,0),R$12,0),0),IF(AND(N$12&lt;&gt;"",N$14&lt;&gt;""),IF(EOMONTH($N$3+INT((DAY(EOMONTH($N$3,0))-1)/2)+N$14,0)=EOMONTH($N$3,0),N$12,0),0),IF(AND(J$12&lt;&gt;"",J$14&lt;&gt;""),IF(EOMONTH($J$3+INT((DAY(EOMONTH($J$3,0))-1)/2)+J$14,0)=EOMONTH($N$3,0),J$12,0),0),IF(AND(F$12&lt;&gt;"",F$14&lt;&gt;""),IF(EOMONTH($F$3+INT((DAY(EOMONTH($F$3,0))-1)/2)+F$14,0)=EOMONTH($N$3,0),F$12,0),0),IF($EP$75="",0,IF(EOMONTH($EP$75+EP$14,0)=EOMONTH($N$3,0),$EP$77,0))),0)</f>
        <v>0</v>
      </c>
      <c r="O20" s="14">
        <f t="shared" si="200"/>
        <v>18</v>
      </c>
      <c r="P20" s="15">
        <f t="shared" si="200"/>
        <v>18</v>
      </c>
      <c r="Q20" s="16">
        <f t="shared" si="9"/>
        <v>0</v>
      </c>
      <c r="R20" s="13">
        <f t="shared" ref="R20:T20" si="201">ROUND(SUM(IF(AND(EP$12&lt;&gt;"",EP$14&lt;&gt;""),IF(EOMONTH($EP$3+INT((DAY(EOMONTH($EP$3,0))-1)/2)+EP$14,0)=EOMONTH($R$3,0),EP$12,0),0),IF(AND(EL$12&lt;&gt;"",EL$14&lt;&gt;""),IF(EOMONTH($EL$3+INT((DAY(EOMONTH($EL$3,0))-1)/2)+EL$14,0)=EOMONTH($R$3,0),EL$12,0),0),IF(AND(EH$12&lt;&gt;"",EH$14&lt;&gt;""),IF(EOMONTH($EH$3+INT((DAY(EOMONTH($EH$3,0))-1)/2)+EH$14,0)=EOMONTH($R$3,0),EH$12,0),0),IF(AND(ED$12&lt;&gt;"",ED$14&lt;&gt;""),IF(EOMONTH($ED$3+INT((DAY(EOMONTH($ED$3,0))-1)/2)+ED$14,0)=EOMONTH($R$3,0),ED$12,0),0),IF(AND(DZ$12&lt;&gt;"",DZ$14&lt;&gt;""),IF(EOMONTH($DZ$3+INT((DAY(EOMONTH($DZ$3,0))-1)/2)+DZ$14,0)=EOMONTH($R$3,0),DZ$12,0),0),IF(AND(DV$12&lt;&gt;"",DV$14&lt;&gt;""),IF(EOMONTH($DV$3+INT((DAY(EOMONTH($DV$3,0))-1)/2)+DV$14,0)=EOMONTH($R$3,0),DV$12,0),0),IF(AND(DR$12&lt;&gt;"",DR$14&lt;&gt;""),IF(EOMONTH($DR$3+INT((DAY(EOMONTH($DR$3,0))-1)/2)+DR$14,0)=EOMONTH($R$3,0),DR$12,0),0),IF(AND(DN$12&lt;&gt;"",DN$14&lt;&gt;""),IF(EOMONTH($DN$3+INT((DAY(EOMONTH($DN$3,0))-1)/2)+DN$14,0)=EOMONTH($R$3,0),DN$12,0),0),IF(AND(DJ$12&lt;&gt;"",DJ$14&lt;&gt;""),IF(EOMONTH($DJ$3+INT((DAY(EOMONTH($DJ$3,0))-1)/2)+DJ$14,0)=EOMONTH($R$3,0),DJ$12,0),0),IF(AND(DF$12&lt;&gt;"",DF$14&lt;&gt;""),IF(EOMONTH($DF$3+INT((DAY(EOMONTH($DF$3,0))-1)/2)+DF$14,0)=EOMONTH($R$3,0),DF$12,0),0),IF(AND(DB$12&lt;&gt;"",DB$14&lt;&gt;""),IF(EOMONTH($DB$3+INT((DAY(EOMONTH($DB$3,0))-1)/2)+DB$14,0)=EOMONTH($R$3,0),DB$12,0),0),IF(AND(CX$12&lt;&gt;"",CX$14&lt;&gt;""),IF(EOMONTH($CX$3+INT((DAY(EOMONTH($CX$3,0))-1)/2)+CX$14,0)=EOMONTH($R$3,0),CX$12,0),0),IF(AND(CT$12&lt;&gt;"",CT$14&lt;&gt;""),IF(EOMONTH($CT$3+INT((DAY(EOMONTH($CT$3,0))-1)/2)+CT$14,0)=EOMONTH($R$3,0),CT$12,0),0),IF(AND(CP$12&lt;&gt;"",CP$14&lt;&gt;""),IF(EOMONTH($CP$3+INT((DAY(EOMONTH($CP$3,0))-1)/2)+CP$14,0)=EOMONTH($R$3,0),CP$12,0),0),IF(AND(CL$12&lt;&gt;"",CL$14&lt;&gt;""),IF(EOMONTH($CL$3+INT((DAY(EOMONTH($CL$3,0))-1)/2)+CL$14,0)=EOMONTH($R$3,0),CL$12,0),0),IF(AND(CH$12&lt;&gt;"",CH$14&lt;&gt;""),IF(EOMONTH($CH$3+INT((DAY(EOMONTH($CH$3,0))-1)/2)+CH$14,0)=EOMONTH($R$3,0),CH$12,0),0),IF(AND(CD$12&lt;&gt;"",CD$14&lt;&gt;""),IF(EOMONTH($CD$3+INT((DAY(EOMONTH($CD$3,0))-1)/2)+CD$14,0)=EOMONTH($R$3,0),CD$12,0),0),IF(AND(BZ$12&lt;&gt;"",BZ$14&lt;&gt;""),IF(EOMONTH($BZ$3+INT((DAY(EOMONTH($BZ$3,0))-1)/2)+BZ$14,0)=EOMONTH($R$3,0),BZ$12,0),0),IF(AND(BV$12&lt;&gt;"",BV$14&lt;&gt;""),IF(EOMONTH($BV$3+INT((DAY(EOMONTH($BV$3,0))-1)/2)+BV$14,0)=EOMONTH($R$3,0),BV$12,0),0),IF(AND(BR$12&lt;&gt;"",BR$14&lt;&gt;""),IF(EOMONTH($BR$3+INT((DAY(EOMONTH($BR$3,0))-1)/2)+BR$14,0)=EOMONTH($R$3,0),BR$12,0),0),IF(AND(BN$12&lt;&gt;"",BN$14&lt;&gt;""),IF(EOMONTH($BN$3+INT((DAY(EOMONTH($BN$3,0))-1)/2)+BN$14,0)=EOMONTH($R$3,0),BN$12,0),0),IF(AND(BJ$12&lt;&gt;"",BJ$14&lt;&gt;""),IF(EOMONTH($BJ$3+INT((DAY(EOMONTH($BJ$3,0))-1)/2)+BJ$14,0)=EOMONTH($R$3,0),BJ$12,0),0),IF(AND(BF$12&lt;&gt;"",BF$14&lt;&gt;""),IF(EOMONTH($BF$3+INT((DAY(EOMONTH($BF$3,0))-1)/2)+BF$14,0)=EOMONTH($R$3,0),BF$12,0),0),IF(AND(BB$12&lt;&gt;"",BB$14&lt;&gt;""),IF(EOMONTH($BB$3+INT((DAY(EOMONTH($BB$3,0))-1)/2)+BB$14,0)=EOMONTH($R$3,0),BB$12,0),0),IF(AND(AX$12&lt;&gt;"",AX$14&lt;&gt;""),IF(EOMONTH($AX$3+INT((DAY(EOMONTH($AX$3,0))-1)/2)+AX$14,0)=EOMONTH($R$3,0),AX$12,0),0),IF(AND(AT$12&lt;&gt;"",AT$14&lt;&gt;""),IF(EOMONTH($AT$3+INT((DAY(EOMONTH($AT$3,0))-1)/2)+AT$14,0)=EOMONTH($R$3,0),AT$12,0),0),IF(AND(AP$12&lt;&gt;"",AP$14&lt;&gt;""),IF(EOMONTH($AP$3+INT((DAY(EOMONTH($AP$3,0))-1)/2)+AP$14,0)=EOMONTH($R$3,0),AP$12,0),0),IF(AND(AL$12&lt;&gt;"",AL$14&lt;&gt;""),IF(EOMONTH($AL$3+INT((DAY(EOMONTH($AL$3,0))-1)/2)+AL$14,0)=EOMONTH($R$3,0),AL$12,0),0),IF(AND(AH$12&lt;&gt;"",AH$14&lt;&gt;""),IF(EOMONTH($AH$3+INT((DAY(EOMONTH($AH$3,0))-1)/2)+AH$14,0)=EOMONTH($R$3,0),AH$12,0),0),IF(AND(AD$12&lt;&gt;"",AD$14&lt;&gt;""),IF(EOMONTH($AD$3+INT((DAY(EOMONTH($AD$3,0))-1)/2)+AD$14,0)=EOMONTH($R$3,0),AD$12,0),0),IF(AND(Z$12&lt;&gt;"",Z$14&lt;&gt;""),IF(EOMONTH($Z$3+INT((DAY(EOMONTH($Z$3,0))-1)/2)+Z$14,0)=EOMONTH($R$3,0),Z$12,0),0),IF(AND(V$12&lt;&gt;"",V$14&lt;&gt;""),IF(EOMONTH($V$3+INT((DAY(EOMONTH($V$3,0))-1)/2)+V$14,0)=EOMONTH($R$3,0),V$12,0),0),IF(AND(R$12&lt;&gt;"",R$14&lt;&gt;""),IF(EOMONTH($R$3+INT((DAY(EOMONTH($R$3,0))-1)/2)+R$14,0)=EOMONTH($R$3,0),R$12,0),0),IF(AND(N$12&lt;&gt;"",N$14&lt;&gt;""),IF(EOMONTH($N$3+INT((DAY(EOMONTH($N$3,0))-1)/2)+N$14,0)=EOMONTH($R$3,0),N$12,0),0),IF(AND(J$12&lt;&gt;"",J$14&lt;&gt;""),IF(EOMONTH($J$3+INT((DAY(EOMONTH($J$3,0))-1)/2)+J$14,0)=EOMONTH($R$3,0),J$12,0),0),IF(AND(F$12&lt;&gt;"",F$14&lt;&gt;""),IF(EOMONTH($F$3+INT((DAY(EOMONTH($F$3,0))-1)/2)+F$14,0)=EOMONTH($R$3,0),F$12,0),0),IF($EP$75="",0,IF(EOMONTH($EP$75+EP$14,0)=EOMONTH($R$3,0),$EP$77,0))),0)</f>
        <v>0</v>
      </c>
      <c r="S20" s="14">
        <f t="shared" si="201"/>
        <v>18</v>
      </c>
      <c r="T20" s="15">
        <f t="shared" si="201"/>
        <v>18</v>
      </c>
      <c r="U20" s="16">
        <f t="shared" si="11"/>
        <v>0</v>
      </c>
      <c r="V20" s="13">
        <f t="shared" ref="V20:X20" si="202">ROUND(SUM(IF(AND(EP$12&lt;&gt;"",EP$14&lt;&gt;""),IF(EOMONTH($EP$3+INT((DAY(EOMONTH($EP$3,0))-1)/2)+EP$14,0)=EOMONTH($V$3,0),EP$12,0),0),IF(AND(EL$12&lt;&gt;"",EL$14&lt;&gt;""),IF(EOMONTH($EL$3+INT((DAY(EOMONTH($EL$3,0))-1)/2)+EL$14,0)=EOMONTH($V$3,0),EL$12,0),0),IF(AND(EH$12&lt;&gt;"",EH$14&lt;&gt;""),IF(EOMONTH($EH$3+INT((DAY(EOMONTH($EH$3,0))-1)/2)+EH$14,0)=EOMONTH($V$3,0),EH$12,0),0),IF(AND(ED$12&lt;&gt;"",ED$14&lt;&gt;""),IF(EOMONTH($ED$3+INT((DAY(EOMONTH($ED$3,0))-1)/2)+ED$14,0)=EOMONTH($V$3,0),ED$12,0),0),IF(AND(DZ$12&lt;&gt;"",DZ$14&lt;&gt;""),IF(EOMONTH($DZ$3+INT((DAY(EOMONTH($DZ$3,0))-1)/2)+DZ$14,0)=EOMONTH($V$3,0),DZ$12,0),0),IF(AND(DV$12&lt;&gt;"",DV$14&lt;&gt;""),IF(EOMONTH($DV$3+INT((DAY(EOMONTH($DV$3,0))-1)/2)+DV$14,0)=EOMONTH($V$3,0),DV$12,0),0),IF(AND(DR$12&lt;&gt;"",DR$14&lt;&gt;""),IF(EOMONTH($DR$3+INT((DAY(EOMONTH($DR$3,0))-1)/2)+DR$14,0)=EOMONTH($V$3,0),DR$12,0),0),IF(AND(DN$12&lt;&gt;"",DN$14&lt;&gt;""),IF(EOMONTH($DN$3+INT((DAY(EOMONTH($DN$3,0))-1)/2)+DN$14,0)=EOMONTH($V$3,0),DN$12,0),0),IF(AND(DJ$12&lt;&gt;"",DJ$14&lt;&gt;""),IF(EOMONTH($DJ$3+INT((DAY(EOMONTH($DJ$3,0))-1)/2)+DJ$14,0)=EOMONTH($V$3,0),DJ$12,0),0),IF(AND(DF$12&lt;&gt;"",DF$14&lt;&gt;""),IF(EOMONTH($DF$3+INT((DAY(EOMONTH($DF$3,0))-1)/2)+DF$14,0)=EOMONTH($V$3,0),DF$12,0),0),IF(AND(DB$12&lt;&gt;"",DB$14&lt;&gt;""),IF(EOMONTH($DB$3+INT((DAY(EOMONTH($DB$3,0))-1)/2)+DB$14,0)=EOMONTH($V$3,0),DB$12,0),0),IF(AND(CX$12&lt;&gt;"",CX$14&lt;&gt;""),IF(EOMONTH($CX$3+INT((DAY(EOMONTH($CX$3,0))-1)/2)+CX$14,0)=EOMONTH($V$3,0),CX$12,0),0),IF(AND(CT$12&lt;&gt;"",CT$14&lt;&gt;""),IF(EOMONTH($CT$3+INT((DAY(EOMONTH($CT$3,0))-1)/2)+CT$14,0)=EOMONTH($V$3,0),CT$12,0),0),IF(AND(CP$12&lt;&gt;"",CP$14&lt;&gt;""),IF(EOMONTH($CP$3+INT((DAY(EOMONTH($CP$3,0))-1)/2)+CP$14,0)=EOMONTH($V$3,0),CP$12,0),0),IF(AND(CL$12&lt;&gt;"",CL$14&lt;&gt;""),IF(EOMONTH($CL$3+INT((DAY(EOMONTH($CL$3,0))-1)/2)+CL$14,0)=EOMONTH($V$3,0),CL$12,0),0),IF(AND(CH$12&lt;&gt;"",CH$14&lt;&gt;""),IF(EOMONTH($CH$3+INT((DAY(EOMONTH($CH$3,0))-1)/2)+CH$14,0)=EOMONTH($V$3,0),CH$12,0),0),IF(AND(CD$12&lt;&gt;"",CD$14&lt;&gt;""),IF(EOMONTH($CD$3+INT((DAY(EOMONTH($CD$3,0))-1)/2)+CD$14,0)=EOMONTH($V$3,0),CD$12,0),0),IF(AND(BZ$12&lt;&gt;"",BZ$14&lt;&gt;""),IF(EOMONTH($BZ$3+INT((DAY(EOMONTH($BZ$3,0))-1)/2)+BZ$14,0)=EOMONTH($V$3,0),BZ$12,0),0),IF(AND(BV$12&lt;&gt;"",BV$14&lt;&gt;""),IF(EOMONTH($BV$3+INT((DAY(EOMONTH($BV$3,0))-1)/2)+BV$14,0)=EOMONTH($V$3,0),BV$12,0),0),IF(AND(BR$12&lt;&gt;"",BR$14&lt;&gt;""),IF(EOMONTH($BR$3+INT((DAY(EOMONTH($BR$3,0))-1)/2)+BR$14,0)=EOMONTH($V$3,0),BR$12,0),0),IF(AND(BN$12&lt;&gt;"",BN$14&lt;&gt;""),IF(EOMONTH($BN$3+INT((DAY(EOMONTH($BN$3,0))-1)/2)+BN$14,0)=EOMONTH($V$3,0),BN$12,0),0),IF(AND(BJ$12&lt;&gt;"",BJ$14&lt;&gt;""),IF(EOMONTH($BJ$3+INT((DAY(EOMONTH($BJ$3,0))-1)/2)+BJ$14,0)=EOMONTH($V$3,0),BJ$12,0),0),IF(AND(BF$12&lt;&gt;"",BF$14&lt;&gt;""),IF(EOMONTH($BF$3+INT((DAY(EOMONTH($BF$3,0))-1)/2)+BF$14,0)=EOMONTH($V$3,0),BF$12,0),0),IF(AND(BB$12&lt;&gt;"",BB$14&lt;&gt;""),IF(EOMONTH($BB$3+INT((DAY(EOMONTH($BB$3,0))-1)/2)+BB$14,0)=EOMONTH($V$3,0),BB$12,0),0),IF(AND(AX$12&lt;&gt;"",AX$14&lt;&gt;""),IF(EOMONTH($AX$3+INT((DAY(EOMONTH($AX$3,0))-1)/2)+AX$14,0)=EOMONTH($V$3,0),AX$12,0),0),IF(AND(AT$12&lt;&gt;"",AT$14&lt;&gt;""),IF(EOMONTH($AT$3+INT((DAY(EOMONTH($AT$3,0))-1)/2)+AT$14,0)=EOMONTH($V$3,0),AT$12,0),0),IF(AND(AP$12&lt;&gt;"",AP$14&lt;&gt;""),IF(EOMONTH($AP$3+INT((DAY(EOMONTH($AP$3,0))-1)/2)+AP$14,0)=EOMONTH($V$3,0),AP$12,0),0),IF(AND(AL$12&lt;&gt;"",AL$14&lt;&gt;""),IF(EOMONTH($AL$3+INT((DAY(EOMONTH($AL$3,0))-1)/2)+AL$14,0)=EOMONTH($V$3,0),AL$12,0),0),IF(AND(AH$12&lt;&gt;"",AH$14&lt;&gt;""),IF(EOMONTH($AH$3+INT((DAY(EOMONTH($AH$3,0))-1)/2)+AH$14,0)=EOMONTH($V$3,0),AH$12,0),0),IF(AND(AD$12&lt;&gt;"",AD$14&lt;&gt;""),IF(EOMONTH($AD$3+INT((DAY(EOMONTH($AD$3,0))-1)/2)+AD$14,0)=EOMONTH($V$3,0),AD$12,0),0),IF(AND(Z$12&lt;&gt;"",Z$14&lt;&gt;""),IF(EOMONTH($Z$3+INT((DAY(EOMONTH($Z$3,0))-1)/2)+Z$14,0)=EOMONTH($V$3,0),Z$12,0),0),IF(AND(V$12&lt;&gt;"",V$14&lt;&gt;""),IF(EOMONTH($V$3+INT((DAY(EOMONTH($V$3,0))-1)/2)+V$14,0)=EOMONTH($V$3,0),V$12,0),0),IF(AND(R$12&lt;&gt;"",R$14&lt;&gt;""),IF(EOMONTH($R$3+INT((DAY(EOMONTH($R$3,0))-1)/2)+R$14,0)=EOMONTH($V$3,0),R$12,0),0),IF(AND(N$12&lt;&gt;"",N$14&lt;&gt;""),IF(EOMONTH($N$3+INT((DAY(EOMONTH($N$3,0))-1)/2)+N$14,0)=EOMONTH($V$3,0),N$12,0),0),IF(AND(J$12&lt;&gt;"",J$14&lt;&gt;""),IF(EOMONTH($J$3+INT((DAY(EOMONTH($J$3,0))-1)/2)+J$14,0)=EOMONTH($V$3,0),J$12,0),0),IF(AND(F$12&lt;&gt;"",F$14&lt;&gt;""),IF(EOMONTH($F$3+INT((DAY(EOMONTH($F$3,0))-1)/2)+F$14,0)=EOMONTH($V$3,0),F$12,0),0),IF($EP$75="",0,IF(EOMONTH($EP$75+EP$14,0)=EOMONTH($V$3,0),$EP$77,0))),0)</f>
        <v>0</v>
      </c>
      <c r="W20" s="14">
        <f t="shared" si="202"/>
        <v>17</v>
      </c>
      <c r="X20" s="15">
        <f t="shared" si="202"/>
        <v>17</v>
      </c>
      <c r="Y20" s="16">
        <f t="shared" si="13"/>
        <v>0</v>
      </c>
      <c r="Z20" s="13">
        <f t="shared" ref="Z20:AB20" si="203">ROUND(SUM(IF(AND(EP$12&lt;&gt;"",EP$14&lt;&gt;""),IF(EOMONTH($EP$3+INT((DAY(EOMONTH($EP$3,0))-1)/2)+EP$14,0)=EOMONTH($Z$3,0),EP$12,0),0),IF(AND(EL$12&lt;&gt;"",EL$14&lt;&gt;""),IF(EOMONTH($EL$3+INT((DAY(EOMONTH($EL$3,0))-1)/2)+EL$14,0)=EOMONTH($Z$3,0),EL$12,0),0),IF(AND(EH$12&lt;&gt;"",EH$14&lt;&gt;""),IF(EOMONTH($EH$3+INT((DAY(EOMONTH($EH$3,0))-1)/2)+EH$14,0)=EOMONTH($Z$3,0),EH$12,0),0),IF(AND(ED$12&lt;&gt;"",ED$14&lt;&gt;""),IF(EOMONTH($ED$3+INT((DAY(EOMONTH($ED$3,0))-1)/2)+ED$14,0)=EOMONTH($Z$3,0),ED$12,0),0),IF(AND(DZ$12&lt;&gt;"",DZ$14&lt;&gt;""),IF(EOMONTH($DZ$3+INT((DAY(EOMONTH($DZ$3,0))-1)/2)+DZ$14,0)=EOMONTH($Z$3,0),DZ$12,0),0),IF(AND(DV$12&lt;&gt;"",DV$14&lt;&gt;""),IF(EOMONTH($DV$3+INT((DAY(EOMONTH($DV$3,0))-1)/2)+DV$14,0)=EOMONTH($Z$3,0),DV$12,0),0),IF(AND(DR$12&lt;&gt;"",DR$14&lt;&gt;""),IF(EOMONTH($DR$3+INT((DAY(EOMONTH($DR$3,0))-1)/2)+DR$14,0)=EOMONTH($Z$3,0),DR$12,0),0),IF(AND(DN$12&lt;&gt;"",DN$14&lt;&gt;""),IF(EOMONTH($DN$3+INT((DAY(EOMONTH($DN$3,0))-1)/2)+DN$14,0)=EOMONTH($Z$3,0),DN$12,0),0),IF(AND(DJ$12&lt;&gt;"",DJ$14&lt;&gt;""),IF(EOMONTH($DJ$3+INT((DAY(EOMONTH($DJ$3,0))-1)/2)+DJ$14,0)=EOMONTH($Z$3,0),DJ$12,0),0),IF(AND(DF$12&lt;&gt;"",DF$14&lt;&gt;""),IF(EOMONTH($DF$3+INT((DAY(EOMONTH($DF$3,0))-1)/2)+DF$14,0)=EOMONTH($Z$3,0),DF$12,0),0),IF(AND(DB$12&lt;&gt;"",DB$14&lt;&gt;""),IF(EOMONTH($DB$3+INT((DAY(EOMONTH($DB$3,0))-1)/2)+DB$14,0)=EOMONTH($Z$3,0),DB$12,0),0),IF(AND(CX$12&lt;&gt;"",CX$14&lt;&gt;""),IF(EOMONTH($CX$3+INT((DAY(EOMONTH($CX$3,0))-1)/2)+CX$14,0)=EOMONTH($Z$3,0),CX$12,0),0),IF(AND(CT$12&lt;&gt;"",CT$14&lt;&gt;""),IF(EOMONTH($CT$3+INT((DAY(EOMONTH($CT$3,0))-1)/2)+CT$14,0)=EOMONTH($Z$3,0),CT$12,0),0),IF(AND(CP$12&lt;&gt;"",CP$14&lt;&gt;""),IF(EOMONTH($CP$3+INT((DAY(EOMONTH($CP$3,0))-1)/2)+CP$14,0)=EOMONTH($Z$3,0),CP$12,0),0),IF(AND(CL$12&lt;&gt;"",CL$14&lt;&gt;""),IF(EOMONTH($CL$3+INT((DAY(EOMONTH($CL$3,0))-1)/2)+CL$14,0)=EOMONTH($Z$3,0),CL$12,0),0),IF(AND(CH$12&lt;&gt;"",CH$14&lt;&gt;""),IF(EOMONTH($CH$3+INT((DAY(EOMONTH($CH$3,0))-1)/2)+CH$14,0)=EOMONTH($Z$3,0),CH$12,0),0),IF(AND(CD$12&lt;&gt;"",CD$14&lt;&gt;""),IF(EOMONTH($CD$3+INT((DAY(EOMONTH($CD$3,0))-1)/2)+CD$14,0)=EOMONTH($Z$3,0),CD$12,0),0),IF(AND(BZ$12&lt;&gt;"",BZ$14&lt;&gt;""),IF(EOMONTH($BZ$3+INT((DAY(EOMONTH($BZ$3,0))-1)/2)+BZ$14,0)=EOMONTH($Z$3,0),BZ$12,0),0),IF(AND(BV$12&lt;&gt;"",BV$14&lt;&gt;""),IF(EOMONTH($BV$3+INT((DAY(EOMONTH($BV$3,0))-1)/2)+BV$14,0)=EOMONTH($Z$3,0),BV$12,0),0),IF(AND(BR$12&lt;&gt;"",BR$14&lt;&gt;""),IF(EOMONTH($BR$3+INT((DAY(EOMONTH($BR$3,0))-1)/2)+BR$14,0)=EOMONTH($Z$3,0),BR$12,0),0),IF(AND(BN$12&lt;&gt;"",BN$14&lt;&gt;""),IF(EOMONTH($BN$3+INT((DAY(EOMONTH($BN$3,0))-1)/2)+BN$14,0)=EOMONTH($Z$3,0),BN$12,0),0),IF(AND(BJ$12&lt;&gt;"",BJ$14&lt;&gt;""),IF(EOMONTH($BJ$3+INT((DAY(EOMONTH($BJ$3,0))-1)/2)+BJ$14,0)=EOMONTH($Z$3,0),BJ$12,0),0),IF(AND(BF$12&lt;&gt;"",BF$14&lt;&gt;""),IF(EOMONTH($BF$3+INT((DAY(EOMONTH($BF$3,0))-1)/2)+BF$14,0)=EOMONTH($Z$3,0),BF$12,0),0),IF(AND(BB$12&lt;&gt;"",BB$14&lt;&gt;""),IF(EOMONTH($BB$3+INT((DAY(EOMONTH($BB$3,0))-1)/2)+BB$14,0)=EOMONTH($Z$3,0),BB$12,0),0),IF(AND(AX$12&lt;&gt;"",AX$14&lt;&gt;""),IF(EOMONTH($AX$3+INT((DAY(EOMONTH($AX$3,0))-1)/2)+AX$14,0)=EOMONTH($Z$3,0),AX$12,0),0),IF(AND(AT$12&lt;&gt;"",AT$14&lt;&gt;""),IF(EOMONTH($AT$3+INT((DAY(EOMONTH($AT$3,0))-1)/2)+AT$14,0)=EOMONTH($Z$3,0),AT$12,0),0),IF(AND(AP$12&lt;&gt;"",AP$14&lt;&gt;""),IF(EOMONTH($AP$3+INT((DAY(EOMONTH($AP$3,0))-1)/2)+AP$14,0)=EOMONTH($Z$3,0),AP$12,0),0),IF(AND(AL$12&lt;&gt;"",AL$14&lt;&gt;""),IF(EOMONTH($AL$3+INT((DAY(EOMONTH($AL$3,0))-1)/2)+AL$14,0)=EOMONTH($Z$3,0),AL$12,0),0),IF(AND(AH$12&lt;&gt;"",AH$14&lt;&gt;""),IF(EOMONTH($AH$3+INT((DAY(EOMONTH($AH$3,0))-1)/2)+AH$14,0)=EOMONTH($Z$3,0),AH$12,0),0),IF(AND(AD$12&lt;&gt;"",AD$14&lt;&gt;""),IF(EOMONTH($AD$3+INT((DAY(EOMONTH($AD$3,0))-1)/2)+AD$14,0)=EOMONTH($Z$3,0),AD$12,0),0),IF(AND(Z$12&lt;&gt;"",Z$14&lt;&gt;""),IF(EOMONTH($Z$3+INT((DAY(EOMONTH($Z$3,0))-1)/2)+Z$14,0)=EOMONTH($Z$3,0),Z$12,0),0),IF(AND(V$12&lt;&gt;"",V$14&lt;&gt;""),IF(EOMONTH($V$3+INT((DAY(EOMONTH($V$3,0))-1)/2)+V$14,0)=EOMONTH($Z$3,0),V$12,0),0),IF(AND(R$12&lt;&gt;"",R$14&lt;&gt;""),IF(EOMONTH($R$3+INT((DAY(EOMONTH($R$3,0))-1)/2)+R$14,0)=EOMONTH($Z$3,0),R$12,0),0),IF(AND(N$12&lt;&gt;"",N$14&lt;&gt;""),IF(EOMONTH($N$3+INT((DAY(EOMONTH($N$3,0))-1)/2)+N$14,0)=EOMONTH($Z$3,0),N$12,0),0),IF(AND(J$12&lt;&gt;"",J$14&lt;&gt;""),IF(EOMONTH($J$3+INT((DAY(EOMONTH($J$3,0))-1)/2)+J$14,0)=EOMONTH($Z$3,0),J$12,0),0),IF(AND(F$12&lt;&gt;"",F$14&lt;&gt;""),IF(EOMONTH($F$3+INT((DAY(EOMONTH($F$3,0))-1)/2)+F$14,0)=EOMONTH($Z$3,0),F$12,0),0),IF($EP$75="",0,IF(EOMONTH($EP$75+EP$14,0)=EOMONTH($Z$3,0),$EP$77,0))),0)</f>
        <v>0</v>
      </c>
      <c r="AA20" s="14">
        <f t="shared" si="203"/>
        <v>17</v>
      </c>
      <c r="AB20" s="15">
        <f t="shared" si="203"/>
        <v>17</v>
      </c>
      <c r="AC20" s="16">
        <f t="shared" si="15"/>
        <v>0</v>
      </c>
      <c r="AD20" s="13">
        <f t="shared" ref="AD20:AF20" si="204">ROUND(SUM(IF(AND(EP$12&lt;&gt;"",EP$14&lt;&gt;""),IF(EOMONTH($EP$3+INT((DAY(EOMONTH($EP$3,0))-1)/2)+EP$14,0)=EOMONTH($AD$3,0),EP$12,0),0),IF(AND(EL$12&lt;&gt;"",EL$14&lt;&gt;""),IF(EOMONTH($EL$3+INT((DAY(EOMONTH($EL$3,0))-1)/2)+EL$14,0)=EOMONTH($AD$3,0),EL$12,0),0),IF(AND(EH$12&lt;&gt;"",EH$14&lt;&gt;""),IF(EOMONTH($EH$3+INT((DAY(EOMONTH($EH$3,0))-1)/2)+EH$14,0)=EOMONTH($AD$3,0),EH$12,0),0),IF(AND(ED$12&lt;&gt;"",ED$14&lt;&gt;""),IF(EOMONTH($ED$3+INT((DAY(EOMONTH($ED$3,0))-1)/2)+ED$14,0)=EOMONTH($AD$3,0),ED$12,0),0),IF(AND(DZ$12&lt;&gt;"",DZ$14&lt;&gt;""),IF(EOMONTH($DZ$3+INT((DAY(EOMONTH($DZ$3,0))-1)/2)+DZ$14,0)=EOMONTH($AD$3,0),DZ$12,0),0),IF(AND(DV$12&lt;&gt;"",DV$14&lt;&gt;""),IF(EOMONTH($DV$3+INT((DAY(EOMONTH($DV$3,0))-1)/2)+DV$14,0)=EOMONTH($AD$3,0),DV$12,0),0),IF(AND(DR$12&lt;&gt;"",DR$14&lt;&gt;""),IF(EOMONTH($DR$3+INT((DAY(EOMONTH($DR$3,0))-1)/2)+DR$14,0)=EOMONTH($AD$3,0),DR$12,0),0),IF(AND(DN$12&lt;&gt;"",DN$14&lt;&gt;""),IF(EOMONTH($DN$3+INT((DAY(EOMONTH($DN$3,0))-1)/2)+DN$14,0)=EOMONTH($AD$3,0),DN$12,0),0),IF(AND(DJ$12&lt;&gt;"",DJ$14&lt;&gt;""),IF(EOMONTH($DJ$3+INT((DAY(EOMONTH($DJ$3,0))-1)/2)+DJ$14,0)=EOMONTH($AD$3,0),DJ$12,0),0),IF(AND(DF$12&lt;&gt;"",DF$14&lt;&gt;""),IF(EOMONTH($DF$3+INT((DAY(EOMONTH($DF$3,0))-1)/2)+DF$14,0)=EOMONTH($AD$3,0),DF$12,0),0),IF(AND(DB$12&lt;&gt;"",DB$14&lt;&gt;""),IF(EOMONTH($DB$3+INT((DAY(EOMONTH($DB$3,0))-1)/2)+DB$14,0)=EOMONTH($AD$3,0),DB$12,0),0),IF(AND(CX$12&lt;&gt;"",CX$14&lt;&gt;""),IF(EOMONTH($CX$3+INT((DAY(EOMONTH($CX$3,0))-1)/2)+CX$14,0)=EOMONTH($AD$3,0),CX$12,0),0),IF(AND(CT$12&lt;&gt;"",CT$14&lt;&gt;""),IF(EOMONTH($CT$3+INT((DAY(EOMONTH($CT$3,0))-1)/2)+CT$14,0)=EOMONTH($AD$3,0),CT$12,0),0),IF(AND(CP$12&lt;&gt;"",CP$14&lt;&gt;""),IF(EOMONTH($CP$3+INT((DAY(EOMONTH($CP$3,0))-1)/2)+CP$14,0)=EOMONTH($AD$3,0),CP$12,0),0),IF(AND(CL$12&lt;&gt;"",CL$14&lt;&gt;""),IF(EOMONTH($CL$3+INT((DAY(EOMONTH($CL$3,0))-1)/2)+CL$14,0)=EOMONTH($AD$3,0),CL$12,0),0),IF(AND(CH$12&lt;&gt;"",CH$14&lt;&gt;""),IF(EOMONTH($CH$3+INT((DAY(EOMONTH($CH$3,0))-1)/2)+CH$14,0)=EOMONTH($AD$3,0),CH$12,0),0),IF(AND(CD$12&lt;&gt;"",CD$14&lt;&gt;""),IF(EOMONTH($CD$3+INT((DAY(EOMONTH($CD$3,0))-1)/2)+CD$14,0)=EOMONTH($AD$3,0),CD$12,0),0),IF(AND(BZ$12&lt;&gt;"",BZ$14&lt;&gt;""),IF(EOMONTH($BZ$3+INT((DAY(EOMONTH($BZ$3,0))-1)/2)+BZ$14,0)=EOMONTH($AD$3,0),BZ$12,0),0),IF(AND(BV$12&lt;&gt;"",BV$14&lt;&gt;""),IF(EOMONTH($BV$3+INT((DAY(EOMONTH($BV$3,0))-1)/2)+BV$14,0)=EOMONTH($AD$3,0),BV$12,0),0),IF(AND(BR$12&lt;&gt;"",BR$14&lt;&gt;""),IF(EOMONTH($BR$3+INT((DAY(EOMONTH($BR$3,0))-1)/2)+BR$14,0)=EOMONTH($AD$3,0),BR$12,0),0),IF(AND(BN$12&lt;&gt;"",BN$14&lt;&gt;""),IF(EOMONTH($BN$3+INT((DAY(EOMONTH($BN$3,0))-1)/2)+BN$14,0)=EOMONTH($AD$3,0),BN$12,0),0),IF(AND(BJ$12&lt;&gt;"",BJ$14&lt;&gt;""),IF(EOMONTH($BJ$3+INT((DAY(EOMONTH($BJ$3,0))-1)/2)+BJ$14,0)=EOMONTH($AD$3,0),BJ$12,0),0),IF(AND(BF$12&lt;&gt;"",BF$14&lt;&gt;""),IF(EOMONTH($BF$3+INT((DAY(EOMONTH($BF$3,0))-1)/2)+BF$14,0)=EOMONTH($AD$3,0),BF$12,0),0),IF(AND(BB$12&lt;&gt;"",BB$14&lt;&gt;""),IF(EOMONTH($BB$3+INT((DAY(EOMONTH($BB$3,0))-1)/2)+BB$14,0)=EOMONTH($AD$3,0),BB$12,0),0),IF(AND(AX$12&lt;&gt;"",AX$14&lt;&gt;""),IF(EOMONTH($AX$3+INT((DAY(EOMONTH($AX$3,0))-1)/2)+AX$14,0)=EOMONTH($AD$3,0),AX$12,0),0),IF(AND(AT$12&lt;&gt;"",AT$14&lt;&gt;""),IF(EOMONTH($AT$3+INT((DAY(EOMONTH($AT$3,0))-1)/2)+AT$14,0)=EOMONTH($AD$3,0),AT$12,0),0),IF(AND(AP$12&lt;&gt;"",AP$14&lt;&gt;""),IF(EOMONTH($AP$3+INT((DAY(EOMONTH($AP$3,0))-1)/2)+AP$14,0)=EOMONTH($AD$3,0),AP$12,0),0),IF(AND(AL$12&lt;&gt;"",AL$14&lt;&gt;""),IF(EOMONTH($AL$3+INT((DAY(EOMONTH($AL$3,0))-1)/2)+AL$14,0)=EOMONTH($AD$3,0),AL$12,0),0),IF(AND(AH$12&lt;&gt;"",AH$14&lt;&gt;""),IF(EOMONTH($AH$3+INT((DAY(EOMONTH($AH$3,0))-1)/2)+AH$14,0)=EOMONTH($AD$3,0),AH$12,0),0),IF(AND(AD$12&lt;&gt;"",AD$14&lt;&gt;""),IF(EOMONTH($AD$3+INT((DAY(EOMONTH($AD$3,0))-1)/2)+AD$14,0)=EOMONTH($AD$3,0),AD$12,0),0),IF(AND(Z$12&lt;&gt;"",Z$14&lt;&gt;""),IF(EOMONTH($Z$3+INT((DAY(EOMONTH($Z$3,0))-1)/2)+Z$14,0)=EOMONTH($AD$3,0),Z$12,0),0),IF(AND(V$12&lt;&gt;"",V$14&lt;&gt;""),IF(EOMONTH($V$3+INT((DAY(EOMONTH($V$3,0))-1)/2)+V$14,0)=EOMONTH($AD$3,0),V$12,0),0),IF(AND(R$12&lt;&gt;"",R$14&lt;&gt;""),IF(EOMONTH($R$3+INT((DAY(EOMONTH($R$3,0))-1)/2)+R$14,0)=EOMONTH($AD$3,0),R$12,0),0),IF(AND(N$12&lt;&gt;"",N$14&lt;&gt;""),IF(EOMONTH($N$3+INT((DAY(EOMONTH($N$3,0))-1)/2)+N$14,0)=EOMONTH($AD$3,0),N$12,0),0),IF(AND(J$12&lt;&gt;"",J$14&lt;&gt;""),IF(EOMONTH($J$3+INT((DAY(EOMONTH($J$3,0))-1)/2)+J$14,0)=EOMONTH($AD$3,0),J$12,0),0),IF(AND(F$12&lt;&gt;"",F$14&lt;&gt;""),IF(EOMONTH($F$3+INT((DAY(EOMONTH($F$3,0))-1)/2)+F$14,0)=EOMONTH($AD$3,0),F$12,0),0),IF($EP$75="",0,IF(EOMONTH($EP$75+EP$14,0)=EOMONTH($AD$3,0),$EP$77,0))),0)</f>
        <v>0</v>
      </c>
      <c r="AE20" s="14">
        <f t="shared" si="204"/>
        <v>17</v>
      </c>
      <c r="AF20" s="15">
        <f t="shared" si="204"/>
        <v>17</v>
      </c>
      <c r="AG20" s="16">
        <f t="shared" si="17"/>
        <v>0</v>
      </c>
      <c r="AH20" s="13">
        <f t="shared" ref="AH20:AJ20" si="205">ROUND(SUM(IF(AND(EP$12&lt;&gt;"",EP$14&lt;&gt;""),IF(EOMONTH($EP$3+INT((DAY(EOMONTH($EP$3,0))-1)/2)+EP$14,0)=EOMONTH($AH$3,0),EP$12,0),0),IF(AND(EL$12&lt;&gt;"",EL$14&lt;&gt;""),IF(EOMONTH($EL$3+INT((DAY(EOMONTH($EL$3,0))-1)/2)+EL$14,0)=EOMONTH($AH$3,0),EL$12,0),0),IF(AND(EH$12&lt;&gt;"",EH$14&lt;&gt;""),IF(EOMONTH($EH$3+INT((DAY(EOMONTH($EH$3,0))-1)/2)+EH$14,0)=EOMONTH($AH$3,0),EH$12,0),0),IF(AND(ED$12&lt;&gt;"",ED$14&lt;&gt;""),IF(EOMONTH($ED$3+INT((DAY(EOMONTH($ED$3,0))-1)/2)+ED$14,0)=EOMONTH($AH$3,0),ED$12,0),0),IF(AND(DZ$12&lt;&gt;"",DZ$14&lt;&gt;""),IF(EOMONTH($DZ$3+INT((DAY(EOMONTH($DZ$3,0))-1)/2)+DZ$14,0)=EOMONTH($AH$3,0),DZ$12,0),0),IF(AND(DV$12&lt;&gt;"",DV$14&lt;&gt;""),IF(EOMONTH($DV$3+INT((DAY(EOMONTH($DV$3,0))-1)/2)+DV$14,0)=EOMONTH($AH$3,0),DV$12,0),0),IF(AND(DR$12&lt;&gt;"",DR$14&lt;&gt;""),IF(EOMONTH($DR$3+INT((DAY(EOMONTH($DR$3,0))-1)/2)+DR$14,0)=EOMONTH($AH$3,0),DR$12,0),0),IF(AND(DN$12&lt;&gt;"",DN$14&lt;&gt;""),IF(EOMONTH($DN$3+INT((DAY(EOMONTH($DN$3,0))-1)/2)+DN$14,0)=EOMONTH($AH$3,0),DN$12,0),0),IF(AND(DJ$12&lt;&gt;"",DJ$14&lt;&gt;""),IF(EOMONTH($DJ$3+INT((DAY(EOMONTH($DJ$3,0))-1)/2)+DJ$14,0)=EOMONTH($AH$3,0),DJ$12,0),0),IF(AND(DF$12&lt;&gt;"",DF$14&lt;&gt;""),IF(EOMONTH($DF$3+INT((DAY(EOMONTH($DF$3,0))-1)/2)+DF$14,0)=EOMONTH($AH$3,0),DF$12,0),0),IF(AND(DB$12&lt;&gt;"",DB$14&lt;&gt;""),IF(EOMONTH($DB$3+INT((DAY(EOMONTH($DB$3,0))-1)/2)+DB$14,0)=EOMONTH($AH$3,0),DB$12,0),0),IF(AND(CX$12&lt;&gt;"",CX$14&lt;&gt;""),IF(EOMONTH($CX$3+INT((DAY(EOMONTH($CX$3,0))-1)/2)+CX$14,0)=EOMONTH($AH$3,0),CX$12,0),0),IF(AND(CT$12&lt;&gt;"",CT$14&lt;&gt;""),IF(EOMONTH($CT$3+INT((DAY(EOMONTH($CT$3,0))-1)/2)+CT$14,0)=EOMONTH($AH$3,0),CT$12,0),0),IF(AND(CP$12&lt;&gt;"",CP$14&lt;&gt;""),IF(EOMONTH($CP$3+INT((DAY(EOMONTH($CP$3,0))-1)/2)+CP$14,0)=EOMONTH($AH$3,0),CP$12,0),0),IF(AND(CL$12&lt;&gt;"",CL$14&lt;&gt;""),IF(EOMONTH($CL$3+INT((DAY(EOMONTH($CL$3,0))-1)/2)+CL$14,0)=EOMONTH($AH$3,0),CL$12,0),0),IF(AND(CH$12&lt;&gt;"",CH$14&lt;&gt;""),IF(EOMONTH($CH$3+INT((DAY(EOMONTH($CH$3,0))-1)/2)+CH$14,0)=EOMONTH($AH$3,0),CH$12,0),0),IF(AND(CD$12&lt;&gt;"",CD$14&lt;&gt;""),IF(EOMONTH($CD$3+INT((DAY(EOMONTH($CD$3,0))-1)/2)+CD$14,0)=EOMONTH($AH$3,0),CD$12,0),0),IF(AND(BZ$12&lt;&gt;"",BZ$14&lt;&gt;""),IF(EOMONTH($BZ$3+INT((DAY(EOMONTH($BZ$3,0))-1)/2)+BZ$14,0)=EOMONTH($AH$3,0),BZ$12,0),0),IF(AND(BV$12&lt;&gt;"",BV$14&lt;&gt;""),IF(EOMONTH($BV$3+INT((DAY(EOMONTH($BV$3,0))-1)/2)+BV$14,0)=EOMONTH($AH$3,0),BV$12,0),0),IF(AND(BR$12&lt;&gt;"",BR$14&lt;&gt;""),IF(EOMONTH($BR$3+INT((DAY(EOMONTH($BR$3,0))-1)/2)+BR$14,0)=EOMONTH($AH$3,0),BR$12,0),0),IF(AND(BN$12&lt;&gt;"",BN$14&lt;&gt;""),IF(EOMONTH($BN$3+INT((DAY(EOMONTH($BN$3,0))-1)/2)+BN$14,0)=EOMONTH($AH$3,0),BN$12,0),0),IF(AND(BJ$12&lt;&gt;"",BJ$14&lt;&gt;""),IF(EOMONTH($BJ$3+INT((DAY(EOMONTH($BJ$3,0))-1)/2)+BJ$14,0)=EOMONTH($AH$3,0),BJ$12,0),0),IF(AND(BF$12&lt;&gt;"",BF$14&lt;&gt;""),IF(EOMONTH($BF$3+INT((DAY(EOMONTH($BF$3,0))-1)/2)+BF$14,0)=EOMONTH($AH$3,0),BF$12,0),0),IF(AND(BB$12&lt;&gt;"",BB$14&lt;&gt;""),IF(EOMONTH($BB$3+INT((DAY(EOMONTH($BB$3,0))-1)/2)+BB$14,0)=EOMONTH($AH$3,0),BB$12,0),0),IF(AND(AX$12&lt;&gt;"",AX$14&lt;&gt;""),IF(EOMONTH($AX$3+INT((DAY(EOMONTH($AX$3,0))-1)/2)+AX$14,0)=EOMONTH($AH$3,0),AX$12,0),0),IF(AND(AT$12&lt;&gt;"",AT$14&lt;&gt;""),IF(EOMONTH($AT$3+INT((DAY(EOMONTH($AT$3,0))-1)/2)+AT$14,0)=EOMONTH($AH$3,0),AT$12,0),0),IF(AND(AP$12&lt;&gt;"",AP$14&lt;&gt;""),IF(EOMONTH($AP$3+INT((DAY(EOMONTH($AP$3,0))-1)/2)+AP$14,0)=EOMONTH($AH$3,0),AP$12,0),0),IF(AND(AL$12&lt;&gt;"",AL$14&lt;&gt;""),IF(EOMONTH($AL$3+INT((DAY(EOMONTH($AL$3,0))-1)/2)+AL$14,0)=EOMONTH($AH$3,0),AL$12,0),0),IF(AND(AH$12&lt;&gt;"",AH$14&lt;&gt;""),IF(EOMONTH($AH$3+INT((DAY(EOMONTH($AH$3,0))-1)/2)+AH$14,0)=EOMONTH($AH$3,0),AH$12,0),0),IF(AND(AD$12&lt;&gt;"",AD$14&lt;&gt;""),IF(EOMONTH($AD$3+INT((DAY(EOMONTH($AD$3,0))-1)/2)+AD$14,0)=EOMONTH($AH$3,0),AD$12,0),0),IF(AND(Z$12&lt;&gt;"",Z$14&lt;&gt;""),IF(EOMONTH($Z$3+INT((DAY(EOMONTH($Z$3,0))-1)/2)+Z$14,0)=EOMONTH($AH$3,0),Z$12,0),0),IF(AND(V$12&lt;&gt;"",V$14&lt;&gt;""),IF(EOMONTH($V$3+INT((DAY(EOMONTH($V$3,0))-1)/2)+V$14,0)=EOMONTH($AH$3,0),V$12,0),0),IF(AND(R$12&lt;&gt;"",R$14&lt;&gt;""),IF(EOMONTH($R$3+INT((DAY(EOMONTH($R$3,0))-1)/2)+R$14,0)=EOMONTH($AH$3,0),R$12,0),0),IF(AND(N$12&lt;&gt;"",N$14&lt;&gt;""),IF(EOMONTH($N$3+INT((DAY(EOMONTH($N$3,0))-1)/2)+N$14,0)=EOMONTH($AH$3,0),N$12,0),0),IF(AND(J$12&lt;&gt;"",J$14&lt;&gt;""),IF(EOMONTH($J$3+INT((DAY(EOMONTH($J$3,0))-1)/2)+J$14,0)=EOMONTH($AH$3,0),J$12,0),0),IF(AND(F$12&lt;&gt;"",F$14&lt;&gt;""),IF(EOMONTH($F$3+INT((DAY(EOMONTH($F$3,0))-1)/2)+F$14,0)=EOMONTH($AH$3,0),F$12,0),0),IF($EP$75="",0,IF(EOMONTH($EP$75+EP$14,0)=EOMONTH($AH$3,0),$EP$77,0))),0)</f>
        <v>0</v>
      </c>
      <c r="AI20" s="14">
        <f t="shared" si="205"/>
        <v>17</v>
      </c>
      <c r="AJ20" s="15">
        <f t="shared" si="205"/>
        <v>17</v>
      </c>
      <c r="AK20" s="16">
        <f t="shared" si="19"/>
        <v>0</v>
      </c>
      <c r="AL20" s="13">
        <f t="shared" ref="AL20:AN20" si="206">ROUND(SUM(IF(AND(EP$12&lt;&gt;"",EP$14&lt;&gt;""),IF(EOMONTH($EP$3+INT((DAY(EOMONTH($EP$3,0))-1)/2)+EP$14,0)=EOMONTH($AL$3,0),EP$12,0),0),IF(AND(EL$12&lt;&gt;"",EL$14&lt;&gt;""),IF(EOMONTH($EL$3+INT((DAY(EOMONTH($EL$3,0))-1)/2)+EL$14,0)=EOMONTH($AL$3,0),EL$12,0),0),IF(AND(EH$12&lt;&gt;"",EH$14&lt;&gt;""),IF(EOMONTH($EH$3+INT((DAY(EOMONTH($EH$3,0))-1)/2)+EH$14,0)=EOMONTH($AL$3,0),EH$12,0),0),IF(AND(ED$12&lt;&gt;"",ED$14&lt;&gt;""),IF(EOMONTH($ED$3+INT((DAY(EOMONTH($ED$3,0))-1)/2)+ED$14,0)=EOMONTH($AL$3,0),ED$12,0),0),IF(AND(DZ$12&lt;&gt;"",DZ$14&lt;&gt;""),IF(EOMONTH($DZ$3+INT((DAY(EOMONTH($DZ$3,0))-1)/2)+DZ$14,0)=EOMONTH($AL$3,0),DZ$12,0),0),IF(AND(DV$12&lt;&gt;"",DV$14&lt;&gt;""),IF(EOMONTH($DV$3+INT((DAY(EOMONTH($DV$3,0))-1)/2)+DV$14,0)=EOMONTH($AL$3,0),DV$12,0),0),IF(AND(DR$12&lt;&gt;"",DR$14&lt;&gt;""),IF(EOMONTH($DR$3+INT((DAY(EOMONTH($DR$3,0))-1)/2)+DR$14,0)=EOMONTH($AL$3,0),DR$12,0),0),IF(AND(DN$12&lt;&gt;"",DN$14&lt;&gt;""),IF(EOMONTH($DN$3+INT((DAY(EOMONTH($DN$3,0))-1)/2)+DN$14,0)=EOMONTH($AL$3,0),DN$12,0),0),IF(AND(DJ$12&lt;&gt;"",DJ$14&lt;&gt;""),IF(EOMONTH($DJ$3+INT((DAY(EOMONTH($DJ$3,0))-1)/2)+DJ$14,0)=EOMONTH($AL$3,0),DJ$12,0),0),IF(AND(DF$12&lt;&gt;"",DF$14&lt;&gt;""),IF(EOMONTH($DF$3+INT((DAY(EOMONTH($DF$3,0))-1)/2)+DF$14,0)=EOMONTH($AL$3,0),DF$12,0),0),IF(AND(DB$12&lt;&gt;"",DB$14&lt;&gt;""),IF(EOMONTH($DB$3+INT((DAY(EOMONTH($DB$3,0))-1)/2)+DB$14,0)=EOMONTH($AL$3,0),DB$12,0),0),IF(AND(CX$12&lt;&gt;"",CX$14&lt;&gt;""),IF(EOMONTH($CX$3+INT((DAY(EOMONTH($CX$3,0))-1)/2)+CX$14,0)=EOMONTH($AL$3,0),CX$12,0),0),IF(AND(CT$12&lt;&gt;"",CT$14&lt;&gt;""),IF(EOMONTH($CT$3+INT((DAY(EOMONTH($CT$3,0))-1)/2)+CT$14,0)=EOMONTH($AL$3,0),CT$12,0),0),IF(AND(CP$12&lt;&gt;"",CP$14&lt;&gt;""),IF(EOMONTH($CP$3+INT((DAY(EOMONTH($CP$3,0))-1)/2)+CP$14,0)=EOMONTH($AL$3,0),CP$12,0),0),IF(AND(CL$12&lt;&gt;"",CL$14&lt;&gt;""),IF(EOMONTH($CL$3+INT((DAY(EOMONTH($CL$3,0))-1)/2)+CL$14,0)=EOMONTH($AL$3,0),CL$12,0),0),IF(AND(CH$12&lt;&gt;"",CH$14&lt;&gt;""),IF(EOMONTH($CH$3+INT((DAY(EOMONTH($CH$3,0))-1)/2)+CH$14,0)=EOMONTH($AL$3,0),CH$12,0),0),IF(AND(CD$12&lt;&gt;"",CD$14&lt;&gt;""),IF(EOMONTH($CD$3+INT((DAY(EOMONTH($CD$3,0))-1)/2)+CD$14,0)=EOMONTH($AL$3,0),CD$12,0),0),IF(AND(BZ$12&lt;&gt;"",BZ$14&lt;&gt;""),IF(EOMONTH($BZ$3+INT((DAY(EOMONTH($BZ$3,0))-1)/2)+BZ$14,0)=EOMONTH($AL$3,0),BZ$12,0),0),IF(AND(BV$12&lt;&gt;"",BV$14&lt;&gt;""),IF(EOMONTH($BV$3+INT((DAY(EOMONTH($BV$3,0))-1)/2)+BV$14,0)=EOMONTH($AL$3,0),BV$12,0),0),IF(AND(BR$12&lt;&gt;"",BR$14&lt;&gt;""),IF(EOMONTH($BR$3+INT((DAY(EOMONTH($BR$3,0))-1)/2)+BR$14,0)=EOMONTH($AL$3,0),BR$12,0),0),IF(AND(BN$12&lt;&gt;"",BN$14&lt;&gt;""),IF(EOMONTH($BN$3+INT((DAY(EOMONTH($BN$3,0))-1)/2)+BN$14,0)=EOMONTH($AL$3,0),BN$12,0),0),IF(AND(BJ$12&lt;&gt;"",BJ$14&lt;&gt;""),IF(EOMONTH($BJ$3+INT((DAY(EOMONTH($BJ$3,0))-1)/2)+BJ$14,0)=EOMONTH($AL$3,0),BJ$12,0),0),IF(AND(BF$12&lt;&gt;"",BF$14&lt;&gt;""),IF(EOMONTH($BF$3+INT((DAY(EOMONTH($BF$3,0))-1)/2)+BF$14,0)=EOMONTH($AL$3,0),BF$12,0),0),IF(AND(BB$12&lt;&gt;"",BB$14&lt;&gt;""),IF(EOMONTH($BB$3+INT((DAY(EOMONTH($BB$3,0))-1)/2)+BB$14,0)=EOMONTH($AL$3,0),BB$12,0),0),IF(AND(AX$12&lt;&gt;"",AX$14&lt;&gt;""),IF(EOMONTH($AX$3+INT((DAY(EOMONTH($AX$3,0))-1)/2)+AX$14,0)=EOMONTH($AL$3,0),AX$12,0),0),IF(AND(AT$12&lt;&gt;"",AT$14&lt;&gt;""),IF(EOMONTH($AT$3+INT((DAY(EOMONTH($AT$3,0))-1)/2)+AT$14,0)=EOMONTH($AL$3,0),AT$12,0),0),IF(AND(AP$12&lt;&gt;"",AP$14&lt;&gt;""),IF(EOMONTH($AP$3+INT((DAY(EOMONTH($AP$3,0))-1)/2)+AP$14,0)=EOMONTH($AL$3,0),AP$12,0),0),IF(AND(AL$12&lt;&gt;"",AL$14&lt;&gt;""),IF(EOMONTH($AL$3+INT((DAY(EOMONTH($AL$3,0))-1)/2)+AL$14,0)=EOMONTH($AL$3,0),AL$12,0),0),IF(AND(AH$12&lt;&gt;"",AH$14&lt;&gt;""),IF(EOMONTH($AH$3+INT((DAY(EOMONTH($AH$3,0))-1)/2)+AH$14,0)=EOMONTH($AL$3,0),AH$12,0),0),IF(AND(AD$12&lt;&gt;"",AD$14&lt;&gt;""),IF(EOMONTH($AD$3+INT((DAY(EOMONTH($AD$3,0))-1)/2)+AD$14,0)=EOMONTH($AL$3,0),AD$12,0),0),IF(AND(Z$12&lt;&gt;"",Z$14&lt;&gt;""),IF(EOMONTH($Z$3+INT((DAY(EOMONTH($Z$3,0))-1)/2)+Z$14,0)=EOMONTH($AL$3,0),Z$12,0),0),IF(AND(V$12&lt;&gt;"",V$14&lt;&gt;""),IF(EOMONTH($V$3+INT((DAY(EOMONTH($V$3,0))-1)/2)+V$14,0)=EOMONTH($AL$3,0),V$12,0),0),IF(AND(R$12&lt;&gt;"",R$14&lt;&gt;""),IF(EOMONTH($R$3+INT((DAY(EOMONTH($R$3,0))-1)/2)+R$14,0)=EOMONTH($AL$3,0),R$12,0),0),IF(AND(N$12&lt;&gt;"",N$14&lt;&gt;""),IF(EOMONTH($N$3+INT((DAY(EOMONTH($N$3,0))-1)/2)+N$14,0)=EOMONTH($AL$3,0),N$12,0),0),IF(AND(J$12&lt;&gt;"",J$14&lt;&gt;""),IF(EOMONTH($J$3+INT((DAY(EOMONTH($J$3,0))-1)/2)+J$14,0)=EOMONTH($AL$3,0),J$12,0),0),IF(AND(F$12&lt;&gt;"",F$14&lt;&gt;""),IF(EOMONTH($F$3+INT((DAY(EOMONTH($F$3,0))-1)/2)+F$14,0)=EOMONTH($AL$3,0),F$12,0),0),IF($EP$75="",0,IF(EOMONTH($EP$75+EP$14,0)=EOMONTH($AL$3,0),$EP$77,0))),0)</f>
        <v>0</v>
      </c>
      <c r="AM20" s="14">
        <f t="shared" si="206"/>
        <v>16</v>
      </c>
      <c r="AN20" s="15">
        <f t="shared" si="206"/>
        <v>16</v>
      </c>
      <c r="AO20" s="16">
        <f t="shared" si="21"/>
        <v>0</v>
      </c>
      <c r="AP20" s="13">
        <f t="shared" ref="AP20:AR20" si="207">ROUND(SUM(IF(AND(EP$12&lt;&gt;"",EP$14&lt;&gt;""),IF(EOMONTH($EP$3+INT((DAY(EOMONTH($EP$3,0))-1)/2)+EP$14,0)=EOMONTH($AP$3,0),EP$12,0),0),IF(AND(EL$12&lt;&gt;"",EL$14&lt;&gt;""),IF(EOMONTH($EL$3+INT((DAY(EOMONTH($EL$3,0))-1)/2)+EL$14,0)=EOMONTH($AP$3,0),EL$12,0),0),IF(AND(EH$12&lt;&gt;"",EH$14&lt;&gt;""),IF(EOMONTH($EH$3+INT((DAY(EOMONTH($EH$3,0))-1)/2)+EH$14,0)=EOMONTH($AP$3,0),EH$12,0),0),IF(AND(ED$12&lt;&gt;"",ED$14&lt;&gt;""),IF(EOMONTH($ED$3+INT((DAY(EOMONTH($ED$3,0))-1)/2)+ED$14,0)=EOMONTH($AP$3,0),ED$12,0),0),IF(AND(DZ$12&lt;&gt;"",DZ$14&lt;&gt;""),IF(EOMONTH($DZ$3+INT((DAY(EOMONTH($DZ$3,0))-1)/2)+DZ$14,0)=EOMONTH($AP$3,0),DZ$12,0),0),IF(AND(DV$12&lt;&gt;"",DV$14&lt;&gt;""),IF(EOMONTH($DV$3+INT((DAY(EOMONTH($DV$3,0))-1)/2)+DV$14,0)=EOMONTH($AP$3,0),DV$12,0),0),IF(AND(DR$12&lt;&gt;"",DR$14&lt;&gt;""),IF(EOMONTH($DR$3+INT((DAY(EOMONTH($DR$3,0))-1)/2)+DR$14,0)=EOMONTH($AP$3,0),DR$12,0),0),IF(AND(DN$12&lt;&gt;"",DN$14&lt;&gt;""),IF(EOMONTH($DN$3+INT((DAY(EOMONTH($DN$3,0))-1)/2)+DN$14,0)=EOMONTH($AP$3,0),DN$12,0),0),IF(AND(DJ$12&lt;&gt;"",DJ$14&lt;&gt;""),IF(EOMONTH($DJ$3+INT((DAY(EOMONTH($DJ$3,0))-1)/2)+DJ$14,0)=EOMONTH($AP$3,0),DJ$12,0),0),IF(AND(DF$12&lt;&gt;"",DF$14&lt;&gt;""),IF(EOMONTH($DF$3+INT((DAY(EOMONTH($DF$3,0))-1)/2)+DF$14,0)=EOMONTH($AP$3,0),DF$12,0),0),IF(AND(DB$12&lt;&gt;"",DB$14&lt;&gt;""),IF(EOMONTH($DB$3+INT((DAY(EOMONTH($DB$3,0))-1)/2)+DB$14,0)=EOMONTH($AP$3,0),DB$12,0),0),IF(AND(CX$12&lt;&gt;"",CX$14&lt;&gt;""),IF(EOMONTH($CX$3+INT((DAY(EOMONTH($CX$3,0))-1)/2)+CX$14,0)=EOMONTH($AP$3,0),CX$12,0),0),IF(AND(CT$12&lt;&gt;"",CT$14&lt;&gt;""),IF(EOMONTH($CT$3+INT((DAY(EOMONTH($CT$3,0))-1)/2)+CT$14,0)=EOMONTH($AP$3,0),CT$12,0),0),IF(AND(CP$12&lt;&gt;"",CP$14&lt;&gt;""),IF(EOMONTH($CP$3+INT((DAY(EOMONTH($CP$3,0))-1)/2)+CP$14,0)=EOMONTH($AP$3,0),CP$12,0),0),IF(AND(CL$12&lt;&gt;"",CL$14&lt;&gt;""),IF(EOMONTH($CL$3+INT((DAY(EOMONTH($CL$3,0))-1)/2)+CL$14,0)=EOMONTH($AP$3,0),CL$12,0),0),IF(AND(CH$12&lt;&gt;"",CH$14&lt;&gt;""),IF(EOMONTH($CH$3+INT((DAY(EOMONTH($CH$3,0))-1)/2)+CH$14,0)=EOMONTH($AP$3,0),CH$12,0),0),IF(AND(CD$12&lt;&gt;"",CD$14&lt;&gt;""),IF(EOMONTH($CD$3+INT((DAY(EOMONTH($CD$3,0))-1)/2)+CD$14,0)=EOMONTH($AP$3,0),CD$12,0),0),IF(AND(BZ$12&lt;&gt;"",BZ$14&lt;&gt;""),IF(EOMONTH($BZ$3+INT((DAY(EOMONTH($BZ$3,0))-1)/2)+BZ$14,0)=EOMONTH($AP$3,0),BZ$12,0),0),IF(AND(BV$12&lt;&gt;"",BV$14&lt;&gt;""),IF(EOMONTH($BV$3+INT((DAY(EOMONTH($BV$3,0))-1)/2)+BV$14,0)=EOMONTH($AP$3,0),BV$12,0),0),IF(AND(BR$12&lt;&gt;"",BR$14&lt;&gt;""),IF(EOMONTH($BR$3+INT((DAY(EOMONTH($BR$3,0))-1)/2)+BR$14,0)=EOMONTH($AP$3,0),BR$12,0),0),IF(AND(BN$12&lt;&gt;"",BN$14&lt;&gt;""),IF(EOMONTH($BN$3+INT((DAY(EOMONTH($BN$3,0))-1)/2)+BN$14,0)=EOMONTH($AP$3,0),BN$12,0),0),IF(AND(BJ$12&lt;&gt;"",BJ$14&lt;&gt;""),IF(EOMONTH($BJ$3+INT((DAY(EOMONTH($BJ$3,0))-1)/2)+BJ$14,0)=EOMONTH($AP$3,0),BJ$12,0),0),IF(AND(BF$12&lt;&gt;"",BF$14&lt;&gt;""),IF(EOMONTH($BF$3+INT((DAY(EOMONTH($BF$3,0))-1)/2)+BF$14,0)=EOMONTH($AP$3,0),BF$12,0),0),IF(AND(BB$12&lt;&gt;"",BB$14&lt;&gt;""),IF(EOMONTH($BB$3+INT((DAY(EOMONTH($BB$3,0))-1)/2)+BB$14,0)=EOMONTH($AP$3,0),BB$12,0),0),IF(AND(AX$12&lt;&gt;"",AX$14&lt;&gt;""),IF(EOMONTH($AX$3+INT((DAY(EOMONTH($AX$3,0))-1)/2)+AX$14,0)=EOMONTH($AP$3,0),AX$12,0),0),IF(AND(AT$12&lt;&gt;"",AT$14&lt;&gt;""),IF(EOMONTH($AT$3+INT((DAY(EOMONTH($AT$3,0))-1)/2)+AT$14,0)=EOMONTH($AP$3,0),AT$12,0),0),IF(AND(AP$12&lt;&gt;"",AP$14&lt;&gt;""),IF(EOMONTH($AP$3+INT((DAY(EOMONTH($AP$3,0))-1)/2)+AP$14,0)=EOMONTH($AP$3,0),AP$12,0),0),IF(AND(AL$12&lt;&gt;"",AL$14&lt;&gt;""),IF(EOMONTH($AL$3+INT((DAY(EOMONTH($AL$3,0))-1)/2)+AL$14,0)=EOMONTH($AP$3,0),AL$12,0),0),IF(AND(AH$12&lt;&gt;"",AH$14&lt;&gt;""),IF(EOMONTH($AH$3+INT((DAY(EOMONTH($AH$3,0))-1)/2)+AH$14,0)=EOMONTH($AP$3,0),AH$12,0),0),IF(AND(AD$12&lt;&gt;"",AD$14&lt;&gt;""),IF(EOMONTH($AD$3+INT((DAY(EOMONTH($AD$3,0))-1)/2)+AD$14,0)=EOMONTH($AP$3,0),AD$12,0),0),IF(AND(Z$12&lt;&gt;"",Z$14&lt;&gt;""),IF(EOMONTH($Z$3+INT((DAY(EOMONTH($Z$3,0))-1)/2)+Z$14,0)=EOMONTH($AP$3,0),Z$12,0),0),IF(AND(V$12&lt;&gt;"",V$14&lt;&gt;""),IF(EOMONTH($V$3+INT((DAY(EOMONTH($V$3,0))-1)/2)+V$14,0)=EOMONTH($AP$3,0),V$12,0),0),IF(AND(R$12&lt;&gt;"",R$14&lt;&gt;""),IF(EOMONTH($R$3+INT((DAY(EOMONTH($R$3,0))-1)/2)+R$14,0)=EOMONTH($AP$3,0),R$12,0),0),IF(AND(N$12&lt;&gt;"",N$14&lt;&gt;""),IF(EOMONTH($N$3+INT((DAY(EOMONTH($N$3,0))-1)/2)+N$14,0)=EOMONTH($AP$3,0),N$12,0),0),IF(AND(J$12&lt;&gt;"",J$14&lt;&gt;""),IF(EOMONTH($J$3+INT((DAY(EOMONTH($J$3,0))-1)/2)+J$14,0)=EOMONTH($AP$3,0),J$12,0),0),IF(AND(F$12&lt;&gt;"",F$14&lt;&gt;""),IF(EOMONTH($F$3+INT((DAY(EOMONTH($F$3,0))-1)/2)+F$14,0)=EOMONTH($AP$3,0),F$12,0),0),IF($EP$75="",0,IF(EOMONTH($EP$75+EP$14,0)=EOMONTH($AP$3,0),$EP$77,0))),0)</f>
        <v>0</v>
      </c>
      <c r="AQ20" s="14">
        <f t="shared" si="207"/>
        <v>16</v>
      </c>
      <c r="AR20" s="15">
        <f t="shared" si="207"/>
        <v>16</v>
      </c>
      <c r="AS20" s="16">
        <f t="shared" si="23"/>
        <v>0</v>
      </c>
      <c r="AT20" s="13">
        <f t="shared" ref="AT20:AV20" si="208">ROUND(SUM(IF(AND(EP$12&lt;&gt;"",EP$14&lt;&gt;""),IF(EOMONTH($EP$3+INT((DAY(EOMONTH($EP$3,0))-1)/2)+EP$14,0)=EOMONTH($AT$3,0),EP$12,0),0),IF(AND(EL$12&lt;&gt;"",EL$14&lt;&gt;""),IF(EOMONTH($EL$3+INT((DAY(EOMONTH($EL$3,0))-1)/2)+EL$14,0)=EOMONTH($AT$3,0),EL$12,0),0),IF(AND(EH$12&lt;&gt;"",EH$14&lt;&gt;""),IF(EOMONTH($EH$3+INT((DAY(EOMONTH($EH$3,0))-1)/2)+EH$14,0)=EOMONTH($AT$3,0),EH$12,0),0),IF(AND(ED$12&lt;&gt;"",ED$14&lt;&gt;""),IF(EOMONTH($ED$3+INT((DAY(EOMONTH($ED$3,0))-1)/2)+ED$14,0)=EOMONTH($AT$3,0),ED$12,0),0),IF(AND(DZ$12&lt;&gt;"",DZ$14&lt;&gt;""),IF(EOMONTH($DZ$3+INT((DAY(EOMONTH($DZ$3,0))-1)/2)+DZ$14,0)=EOMONTH($AT$3,0),DZ$12,0),0),IF(AND(DV$12&lt;&gt;"",DV$14&lt;&gt;""),IF(EOMONTH($DV$3+INT((DAY(EOMONTH($DV$3,0))-1)/2)+DV$14,0)=EOMONTH($AT$3,0),DV$12,0),0),IF(AND(DR$12&lt;&gt;"",DR$14&lt;&gt;""),IF(EOMONTH($DR$3+INT((DAY(EOMONTH($DR$3,0))-1)/2)+DR$14,0)=EOMONTH($AT$3,0),DR$12,0),0),IF(AND(DN$12&lt;&gt;"",DN$14&lt;&gt;""),IF(EOMONTH($DN$3+INT((DAY(EOMONTH($DN$3,0))-1)/2)+DN$14,0)=EOMONTH($AT$3,0),DN$12,0),0),IF(AND(DJ$12&lt;&gt;"",DJ$14&lt;&gt;""),IF(EOMONTH($DJ$3+INT((DAY(EOMONTH($DJ$3,0))-1)/2)+DJ$14,0)=EOMONTH($AT$3,0),DJ$12,0),0),IF(AND(DF$12&lt;&gt;"",DF$14&lt;&gt;""),IF(EOMONTH($DF$3+INT((DAY(EOMONTH($DF$3,0))-1)/2)+DF$14,0)=EOMONTH($AT$3,0),DF$12,0),0),IF(AND(DB$12&lt;&gt;"",DB$14&lt;&gt;""),IF(EOMONTH($DB$3+INT((DAY(EOMONTH($DB$3,0))-1)/2)+DB$14,0)=EOMONTH($AT$3,0),DB$12,0),0),IF(AND(CX$12&lt;&gt;"",CX$14&lt;&gt;""),IF(EOMONTH($CX$3+INT((DAY(EOMONTH($CX$3,0))-1)/2)+CX$14,0)=EOMONTH($AT$3,0),CX$12,0),0),IF(AND(CT$12&lt;&gt;"",CT$14&lt;&gt;""),IF(EOMONTH($CT$3+INT((DAY(EOMONTH($CT$3,0))-1)/2)+CT$14,0)=EOMONTH($AT$3,0),CT$12,0),0),IF(AND(CP$12&lt;&gt;"",CP$14&lt;&gt;""),IF(EOMONTH($CP$3+INT((DAY(EOMONTH($CP$3,0))-1)/2)+CP$14,0)=EOMONTH($AT$3,0),CP$12,0),0),IF(AND(CL$12&lt;&gt;"",CL$14&lt;&gt;""),IF(EOMONTH($CL$3+INT((DAY(EOMONTH($CL$3,0))-1)/2)+CL$14,0)=EOMONTH($AT$3,0),CL$12,0),0),IF(AND(CH$12&lt;&gt;"",CH$14&lt;&gt;""),IF(EOMONTH($CH$3+INT((DAY(EOMONTH($CH$3,0))-1)/2)+CH$14,0)=EOMONTH($AT$3,0),CH$12,0),0),IF(AND(CD$12&lt;&gt;"",CD$14&lt;&gt;""),IF(EOMONTH($CD$3+INT((DAY(EOMONTH($CD$3,0))-1)/2)+CD$14,0)=EOMONTH($AT$3,0),CD$12,0),0),IF(AND(BZ$12&lt;&gt;"",BZ$14&lt;&gt;""),IF(EOMONTH($BZ$3+INT((DAY(EOMONTH($BZ$3,0))-1)/2)+BZ$14,0)=EOMONTH($AT$3,0),BZ$12,0),0),IF(AND(BV$12&lt;&gt;"",BV$14&lt;&gt;""),IF(EOMONTH($BV$3+INT((DAY(EOMONTH($BV$3,0))-1)/2)+BV$14,0)=EOMONTH($AT$3,0),BV$12,0),0),IF(AND(BR$12&lt;&gt;"",BR$14&lt;&gt;""),IF(EOMONTH($BR$3+INT((DAY(EOMONTH($BR$3,0))-1)/2)+BR$14,0)=EOMONTH($AT$3,0),BR$12,0),0),IF(AND(BN$12&lt;&gt;"",BN$14&lt;&gt;""),IF(EOMONTH($BN$3+INT((DAY(EOMONTH($BN$3,0))-1)/2)+BN$14,0)=EOMONTH($AT$3,0),BN$12,0),0),IF(AND(BJ$12&lt;&gt;"",BJ$14&lt;&gt;""),IF(EOMONTH($BJ$3+INT((DAY(EOMONTH($BJ$3,0))-1)/2)+BJ$14,0)=EOMONTH($AT$3,0),BJ$12,0),0),IF(AND(BF$12&lt;&gt;"",BF$14&lt;&gt;""),IF(EOMONTH($BF$3+INT((DAY(EOMONTH($BF$3,0))-1)/2)+BF$14,0)=EOMONTH($AT$3,0),BF$12,0),0),IF(AND(BB$12&lt;&gt;"",BB$14&lt;&gt;""),IF(EOMONTH($BB$3+INT((DAY(EOMONTH($BB$3,0))-1)/2)+BB$14,0)=EOMONTH($AT$3,0),BB$12,0),0),IF(AND(AX$12&lt;&gt;"",AX$14&lt;&gt;""),IF(EOMONTH($AX$3+INT((DAY(EOMONTH($AX$3,0))-1)/2)+AX$14,0)=EOMONTH($AT$3,0),AX$12,0),0),IF(AND(AT$12&lt;&gt;"",AT$14&lt;&gt;""),IF(EOMONTH($AT$3+INT((DAY(EOMONTH($AT$3,0))-1)/2)+AT$14,0)=EOMONTH($AT$3,0),AT$12,0),0),IF(AND(AP$12&lt;&gt;"",AP$14&lt;&gt;""),IF(EOMONTH($AP$3+INT((DAY(EOMONTH($AP$3,0))-1)/2)+AP$14,0)=EOMONTH($AT$3,0),AP$12,0),0),IF(AND(AL$12&lt;&gt;"",AL$14&lt;&gt;""),IF(EOMONTH($AL$3+INT((DAY(EOMONTH($AL$3,0))-1)/2)+AL$14,0)=EOMONTH($AT$3,0),AL$12,0),0),IF(AND(AH$12&lt;&gt;"",AH$14&lt;&gt;""),IF(EOMONTH($AH$3+INT((DAY(EOMONTH($AH$3,0))-1)/2)+AH$14,0)=EOMONTH($AT$3,0),AH$12,0),0),IF(AND(AD$12&lt;&gt;"",AD$14&lt;&gt;""),IF(EOMONTH($AD$3+INT((DAY(EOMONTH($AD$3,0))-1)/2)+AD$14,0)=EOMONTH($AT$3,0),AD$12,0),0),IF(AND(Z$12&lt;&gt;"",Z$14&lt;&gt;""),IF(EOMONTH($Z$3+INT((DAY(EOMONTH($Z$3,0))-1)/2)+Z$14,0)=EOMONTH($AT$3,0),Z$12,0),0),IF(AND(V$12&lt;&gt;"",V$14&lt;&gt;""),IF(EOMONTH($V$3+INT((DAY(EOMONTH($V$3,0))-1)/2)+V$14,0)=EOMONTH($AT$3,0),V$12,0),0),IF(AND(R$12&lt;&gt;"",R$14&lt;&gt;""),IF(EOMONTH($R$3+INT((DAY(EOMONTH($R$3,0))-1)/2)+R$14,0)=EOMONTH($AT$3,0),R$12,0),0),IF(AND(N$12&lt;&gt;"",N$14&lt;&gt;""),IF(EOMONTH($N$3+INT((DAY(EOMONTH($N$3,0))-1)/2)+N$14,0)=EOMONTH($AT$3,0),N$12,0),0),IF(AND(J$12&lt;&gt;"",J$14&lt;&gt;""),IF(EOMONTH($J$3+INT((DAY(EOMONTH($J$3,0))-1)/2)+J$14,0)=EOMONTH($AT$3,0),J$12,0),0),IF(AND(F$12&lt;&gt;"",F$14&lt;&gt;""),IF(EOMONTH($F$3+INT((DAY(EOMONTH($F$3,0))-1)/2)+F$14,0)=EOMONTH($AT$3,0),F$12,0),0),IF($EP$75="",0,IF(EOMONTH($EP$75+EP$14,0)=EOMONTH($AT$3,0),$EP$77,0))),0)</f>
        <v>0</v>
      </c>
      <c r="AU20" s="14">
        <f t="shared" si="208"/>
        <v>16</v>
      </c>
      <c r="AV20" s="15">
        <f t="shared" si="208"/>
        <v>16</v>
      </c>
      <c r="AW20" s="16">
        <f t="shared" si="25"/>
        <v>0</v>
      </c>
      <c r="AX20" s="13">
        <f t="shared" ref="AX20:AZ20" si="209">ROUND(SUM(IF(AND(EP$12&lt;&gt;"",EP$14&lt;&gt;""),IF(EOMONTH($EP$3+INT((DAY(EOMONTH($EP$3,0))-1)/2)+EP$14,0)=EOMONTH($AX$3,0),EP$12,0),0),IF(AND(EL$12&lt;&gt;"",EL$14&lt;&gt;""),IF(EOMONTH($EL$3+INT((DAY(EOMONTH($EL$3,0))-1)/2)+EL$14,0)=EOMONTH($AX$3,0),EL$12,0),0),IF(AND(EH$12&lt;&gt;"",EH$14&lt;&gt;""),IF(EOMONTH($EH$3+INT((DAY(EOMONTH($EH$3,0))-1)/2)+EH$14,0)=EOMONTH($AX$3,0),EH$12,0),0),IF(AND(ED$12&lt;&gt;"",ED$14&lt;&gt;""),IF(EOMONTH($ED$3+INT((DAY(EOMONTH($ED$3,0))-1)/2)+ED$14,0)=EOMONTH($AX$3,0),ED$12,0),0),IF(AND(DZ$12&lt;&gt;"",DZ$14&lt;&gt;""),IF(EOMONTH($DZ$3+INT((DAY(EOMONTH($DZ$3,0))-1)/2)+DZ$14,0)=EOMONTH($AX$3,0),DZ$12,0),0),IF(AND(DV$12&lt;&gt;"",DV$14&lt;&gt;""),IF(EOMONTH($DV$3+INT((DAY(EOMONTH($DV$3,0))-1)/2)+DV$14,0)=EOMONTH($AX$3,0),DV$12,0),0),IF(AND(DR$12&lt;&gt;"",DR$14&lt;&gt;""),IF(EOMONTH($DR$3+INT((DAY(EOMONTH($DR$3,0))-1)/2)+DR$14,0)=EOMONTH($AX$3,0),DR$12,0),0),IF(AND(DN$12&lt;&gt;"",DN$14&lt;&gt;""),IF(EOMONTH($DN$3+INT((DAY(EOMONTH($DN$3,0))-1)/2)+DN$14,0)=EOMONTH($AX$3,0),DN$12,0),0),IF(AND(DJ$12&lt;&gt;"",DJ$14&lt;&gt;""),IF(EOMONTH($DJ$3+INT((DAY(EOMONTH($DJ$3,0))-1)/2)+DJ$14,0)=EOMONTH($AX$3,0),DJ$12,0),0),IF(AND(DF$12&lt;&gt;"",DF$14&lt;&gt;""),IF(EOMONTH($DF$3+INT((DAY(EOMONTH($DF$3,0))-1)/2)+DF$14,0)=EOMONTH($AX$3,0),DF$12,0),0),IF(AND(DB$12&lt;&gt;"",DB$14&lt;&gt;""),IF(EOMONTH($DB$3+INT((DAY(EOMONTH($DB$3,0))-1)/2)+DB$14,0)=EOMONTH($AX$3,0),DB$12,0),0),IF(AND(CX$12&lt;&gt;"",CX$14&lt;&gt;""),IF(EOMONTH($CX$3+INT((DAY(EOMONTH($CX$3,0))-1)/2)+CX$14,0)=EOMONTH($AX$3,0),CX$12,0),0),IF(AND(CT$12&lt;&gt;"",CT$14&lt;&gt;""),IF(EOMONTH($CT$3+INT((DAY(EOMONTH($CT$3,0))-1)/2)+CT$14,0)=EOMONTH($AX$3,0),CT$12,0),0),IF(AND(CP$12&lt;&gt;"",CP$14&lt;&gt;""),IF(EOMONTH($CP$3+INT((DAY(EOMONTH($CP$3,0))-1)/2)+CP$14,0)=EOMONTH($AX$3,0),CP$12,0),0),IF(AND(CL$12&lt;&gt;"",CL$14&lt;&gt;""),IF(EOMONTH($CL$3+INT((DAY(EOMONTH($CL$3,0))-1)/2)+CL$14,0)=EOMONTH($AX$3,0),CL$12,0),0),IF(AND(CH$12&lt;&gt;"",CH$14&lt;&gt;""),IF(EOMONTH($CH$3+INT((DAY(EOMONTH($CH$3,0))-1)/2)+CH$14,0)=EOMONTH($AX$3,0),CH$12,0),0),IF(AND(CD$12&lt;&gt;"",CD$14&lt;&gt;""),IF(EOMONTH($CD$3+INT((DAY(EOMONTH($CD$3,0))-1)/2)+CD$14,0)=EOMONTH($AX$3,0),CD$12,0),0),IF(AND(BZ$12&lt;&gt;"",BZ$14&lt;&gt;""),IF(EOMONTH($BZ$3+INT((DAY(EOMONTH($BZ$3,0))-1)/2)+BZ$14,0)=EOMONTH($AX$3,0),BZ$12,0),0),IF(AND(BV$12&lt;&gt;"",BV$14&lt;&gt;""),IF(EOMONTH($BV$3+INT((DAY(EOMONTH($BV$3,0))-1)/2)+BV$14,0)=EOMONTH($AX$3,0),BV$12,0),0),IF(AND(BR$12&lt;&gt;"",BR$14&lt;&gt;""),IF(EOMONTH($BR$3+INT((DAY(EOMONTH($BR$3,0))-1)/2)+BR$14,0)=EOMONTH($AX$3,0),BR$12,0),0),IF(AND(BN$12&lt;&gt;"",BN$14&lt;&gt;""),IF(EOMONTH($BN$3+INT((DAY(EOMONTH($BN$3,0))-1)/2)+BN$14,0)=EOMONTH($AX$3,0),BN$12,0),0),IF(AND(BJ$12&lt;&gt;"",BJ$14&lt;&gt;""),IF(EOMONTH($BJ$3+INT((DAY(EOMONTH($BJ$3,0))-1)/2)+BJ$14,0)=EOMONTH($AX$3,0),BJ$12,0),0),IF(AND(BF$12&lt;&gt;"",BF$14&lt;&gt;""),IF(EOMONTH($BF$3+INT((DAY(EOMONTH($BF$3,0))-1)/2)+BF$14,0)=EOMONTH($AX$3,0),BF$12,0),0),IF(AND(BB$12&lt;&gt;"",BB$14&lt;&gt;""),IF(EOMONTH($BB$3+INT((DAY(EOMONTH($BB$3,0))-1)/2)+BB$14,0)=EOMONTH($AX$3,0),BB$12,0),0),IF(AND(AX$12&lt;&gt;"",AX$14&lt;&gt;""),IF(EOMONTH($AX$3+INT((DAY(EOMONTH($AX$3,0))-1)/2)+AX$14,0)=EOMONTH($AX$3,0),AX$12,0),0),IF(AND(AT$12&lt;&gt;"",AT$14&lt;&gt;""),IF(EOMONTH($AT$3+INT((DAY(EOMONTH($AT$3,0))-1)/2)+AT$14,0)=EOMONTH($AX$3,0),AT$12,0),0),IF(AND(AP$12&lt;&gt;"",AP$14&lt;&gt;""),IF(EOMONTH($AP$3+INT((DAY(EOMONTH($AP$3,0))-1)/2)+AP$14,0)=EOMONTH($AX$3,0),AP$12,0),0),IF(AND(AL$12&lt;&gt;"",AL$14&lt;&gt;""),IF(EOMONTH($AL$3+INT((DAY(EOMONTH($AL$3,0))-1)/2)+AL$14,0)=EOMONTH($AX$3,0),AL$12,0),0),IF(AND(AH$12&lt;&gt;"",AH$14&lt;&gt;""),IF(EOMONTH($AH$3+INT((DAY(EOMONTH($AH$3,0))-1)/2)+AH$14,0)=EOMONTH($AX$3,0),AH$12,0),0),IF(AND(AD$12&lt;&gt;"",AD$14&lt;&gt;""),IF(EOMONTH($AD$3+INT((DAY(EOMONTH($AD$3,0))-1)/2)+AD$14,0)=EOMONTH($AX$3,0),AD$12,0),0),IF(AND(Z$12&lt;&gt;"",Z$14&lt;&gt;""),IF(EOMONTH($Z$3+INT((DAY(EOMONTH($Z$3,0))-1)/2)+Z$14,0)=EOMONTH($AX$3,0),Z$12,0),0),IF(AND(V$12&lt;&gt;"",V$14&lt;&gt;""),IF(EOMONTH($V$3+INT((DAY(EOMONTH($V$3,0))-1)/2)+V$14,0)=EOMONTH($AX$3,0),V$12,0),0),IF(AND(R$12&lt;&gt;"",R$14&lt;&gt;""),IF(EOMONTH($R$3+INT((DAY(EOMONTH($R$3,0))-1)/2)+R$14,0)=EOMONTH($AX$3,0),R$12,0),0),IF(AND(N$12&lt;&gt;"",N$14&lt;&gt;""),IF(EOMONTH($N$3+INT((DAY(EOMONTH($N$3,0))-1)/2)+N$14,0)=EOMONTH($AX$3,0),N$12,0),0),IF(AND(J$12&lt;&gt;"",J$14&lt;&gt;""),IF(EOMONTH($J$3+INT((DAY(EOMONTH($J$3,0))-1)/2)+J$14,0)=EOMONTH($AX$3,0),J$12,0),0),IF(AND(F$12&lt;&gt;"",F$14&lt;&gt;""),IF(EOMONTH($F$3+INT((DAY(EOMONTH($F$3,0))-1)/2)+F$14,0)=EOMONTH($AX$3,0),F$12,0),0),IF($EP$75="",0,IF(EOMONTH($EP$75+EP$14,0)=EOMONTH($AX$3,0),$EP$77,0))),0)</f>
        <v>0</v>
      </c>
      <c r="AY20" s="14">
        <f t="shared" si="209"/>
        <v>16</v>
      </c>
      <c r="AZ20" s="15">
        <f t="shared" si="209"/>
        <v>16</v>
      </c>
      <c r="BA20" s="16">
        <f t="shared" si="27"/>
        <v>0</v>
      </c>
      <c r="BB20" s="13">
        <f t="shared" ref="BB20:BD20" si="210">ROUND(SUM(IF(AND(EP$12&lt;&gt;"",EP$14&lt;&gt;""),IF(EOMONTH($EP$3+INT((DAY(EOMONTH($EP$3,0))-1)/2)+EP$14,0)=EOMONTH($BB$3,0),EP$12,0),0),IF(AND(EL$12&lt;&gt;"",EL$14&lt;&gt;""),IF(EOMONTH($EL$3+INT((DAY(EOMONTH($EL$3,0))-1)/2)+EL$14,0)=EOMONTH($BB$3,0),EL$12,0),0),IF(AND(EH$12&lt;&gt;"",EH$14&lt;&gt;""),IF(EOMONTH($EH$3+INT((DAY(EOMONTH($EH$3,0))-1)/2)+EH$14,0)=EOMONTH($BB$3,0),EH$12,0),0),IF(AND(ED$12&lt;&gt;"",ED$14&lt;&gt;""),IF(EOMONTH($ED$3+INT((DAY(EOMONTH($ED$3,0))-1)/2)+ED$14,0)=EOMONTH($BB$3,0),ED$12,0),0),IF(AND(DZ$12&lt;&gt;"",DZ$14&lt;&gt;""),IF(EOMONTH($DZ$3+INT((DAY(EOMONTH($DZ$3,0))-1)/2)+DZ$14,0)=EOMONTH($BB$3,0),DZ$12,0),0),IF(AND(DV$12&lt;&gt;"",DV$14&lt;&gt;""),IF(EOMONTH($DV$3+INT((DAY(EOMONTH($DV$3,0))-1)/2)+DV$14,0)=EOMONTH($BB$3,0),DV$12,0),0),IF(AND(DR$12&lt;&gt;"",DR$14&lt;&gt;""),IF(EOMONTH($DR$3+INT((DAY(EOMONTH($DR$3,0))-1)/2)+DR$14,0)=EOMONTH($BB$3,0),DR$12,0),0),IF(AND(DN$12&lt;&gt;"",DN$14&lt;&gt;""),IF(EOMONTH($DN$3+INT((DAY(EOMONTH($DN$3,0))-1)/2)+DN$14,0)=EOMONTH($BB$3,0),DN$12,0),0),IF(AND(DJ$12&lt;&gt;"",DJ$14&lt;&gt;""),IF(EOMONTH($DJ$3+INT((DAY(EOMONTH($DJ$3,0))-1)/2)+DJ$14,0)=EOMONTH($BB$3,0),DJ$12,0),0),IF(AND(DF$12&lt;&gt;"",DF$14&lt;&gt;""),IF(EOMONTH($DF$3+INT((DAY(EOMONTH($DF$3,0))-1)/2)+DF$14,0)=EOMONTH($BB$3,0),DF$12,0),0),IF(AND(DB$12&lt;&gt;"",DB$14&lt;&gt;""),IF(EOMONTH($DB$3+INT((DAY(EOMONTH($DB$3,0))-1)/2)+DB$14,0)=EOMONTH($BB$3,0),DB$12,0),0),IF(AND(CX$12&lt;&gt;"",CX$14&lt;&gt;""),IF(EOMONTH($CX$3+INT((DAY(EOMONTH($CX$3,0))-1)/2)+CX$14,0)=EOMONTH($BB$3,0),CX$12,0),0),IF(AND(CT$12&lt;&gt;"",CT$14&lt;&gt;""),IF(EOMONTH($CT$3+INT((DAY(EOMONTH($CT$3,0))-1)/2)+CT$14,0)=EOMONTH($BB$3,0),CT$12,0),0),IF(AND(CP$12&lt;&gt;"",CP$14&lt;&gt;""),IF(EOMONTH($CP$3+INT((DAY(EOMONTH($CP$3,0))-1)/2)+CP$14,0)=EOMONTH($BB$3,0),CP$12,0),0),IF(AND(CL$12&lt;&gt;"",CL$14&lt;&gt;""),IF(EOMONTH($CL$3+INT((DAY(EOMONTH($CL$3,0))-1)/2)+CL$14,0)=EOMONTH($BB$3,0),CL$12,0),0),IF(AND(CH$12&lt;&gt;"",CH$14&lt;&gt;""),IF(EOMONTH($CH$3+INT((DAY(EOMONTH($CH$3,0))-1)/2)+CH$14,0)=EOMONTH($BB$3,0),CH$12,0),0),IF(AND(CD$12&lt;&gt;"",CD$14&lt;&gt;""),IF(EOMONTH($CD$3+INT((DAY(EOMONTH($CD$3,0))-1)/2)+CD$14,0)=EOMONTH($BB$3,0),CD$12,0),0),IF(AND(BZ$12&lt;&gt;"",BZ$14&lt;&gt;""),IF(EOMONTH($BZ$3+INT((DAY(EOMONTH($BZ$3,0))-1)/2)+BZ$14,0)=EOMONTH($BB$3,0),BZ$12,0),0),IF(AND(BV$12&lt;&gt;"",BV$14&lt;&gt;""),IF(EOMONTH($BV$3+INT((DAY(EOMONTH($BV$3,0))-1)/2)+BV$14,0)=EOMONTH($BB$3,0),BV$12,0),0),IF(AND(BR$12&lt;&gt;"",BR$14&lt;&gt;""),IF(EOMONTH($BR$3+INT((DAY(EOMONTH($BR$3,0))-1)/2)+BR$14,0)=EOMONTH($BB$3,0),BR$12,0),0),IF(AND(BN$12&lt;&gt;"",BN$14&lt;&gt;""),IF(EOMONTH($BN$3+INT((DAY(EOMONTH($BN$3,0))-1)/2)+BN$14,0)=EOMONTH($BB$3,0),BN$12,0),0),IF(AND(BJ$12&lt;&gt;"",BJ$14&lt;&gt;""),IF(EOMONTH($BJ$3+INT((DAY(EOMONTH($BJ$3,0))-1)/2)+BJ$14,0)=EOMONTH($BB$3,0),BJ$12,0),0),IF(AND(BF$12&lt;&gt;"",BF$14&lt;&gt;""),IF(EOMONTH($BF$3+INT((DAY(EOMONTH($BF$3,0))-1)/2)+BF$14,0)=EOMONTH($BB$3,0),BF$12,0),0),IF(AND(BB$12&lt;&gt;"",BB$14&lt;&gt;""),IF(EOMONTH($BB$3+INT((DAY(EOMONTH($BB$3,0))-1)/2)+BB$14,0)=EOMONTH($BB$3,0),BB$12,0),0),IF(AND(AX$12&lt;&gt;"",AX$14&lt;&gt;""),IF(EOMONTH($AX$3+INT((DAY(EOMONTH($AX$3,0))-1)/2)+AX$14,0)=EOMONTH($BB$3,0),AX$12,0),0),IF(AND(AT$12&lt;&gt;"",AT$14&lt;&gt;""),IF(EOMONTH($AT$3+INT((DAY(EOMONTH($AT$3,0))-1)/2)+AT$14,0)=EOMONTH($BB$3,0),AT$12,0),0),IF(AND(AP$12&lt;&gt;"",AP$14&lt;&gt;""),IF(EOMONTH($AP$3+INT((DAY(EOMONTH($AP$3,0))-1)/2)+AP$14,0)=EOMONTH($BB$3,0),AP$12,0),0),IF(AND(AL$12&lt;&gt;"",AL$14&lt;&gt;""),IF(EOMONTH($AL$3+INT((DAY(EOMONTH($AL$3,0))-1)/2)+AL$14,0)=EOMONTH($BB$3,0),AL$12,0),0),IF(AND(AH$12&lt;&gt;"",AH$14&lt;&gt;""),IF(EOMONTH($AH$3+INT((DAY(EOMONTH($AH$3,0))-1)/2)+AH$14,0)=EOMONTH($BB$3,0),AH$12,0),0),IF(AND(AD$12&lt;&gt;"",AD$14&lt;&gt;""),IF(EOMONTH($AD$3+INT((DAY(EOMONTH($AD$3,0))-1)/2)+AD$14,0)=EOMONTH($BB$3,0),AD$12,0),0),IF(AND(Z$12&lt;&gt;"",Z$14&lt;&gt;""),IF(EOMONTH($Z$3+INT((DAY(EOMONTH($Z$3,0))-1)/2)+Z$14,0)=EOMONTH($BB$3,0),Z$12,0),0),IF(AND(V$12&lt;&gt;"",V$14&lt;&gt;""),IF(EOMONTH($V$3+INT((DAY(EOMONTH($V$3,0))-1)/2)+V$14,0)=EOMONTH($BB$3,0),V$12,0),0),IF(AND(R$12&lt;&gt;"",R$14&lt;&gt;""),IF(EOMONTH($R$3+INT((DAY(EOMONTH($R$3,0))-1)/2)+R$14,0)=EOMONTH($BB$3,0),R$12,0),0),IF(AND(N$12&lt;&gt;"",N$14&lt;&gt;""),IF(EOMONTH($N$3+INT((DAY(EOMONTH($N$3,0))-1)/2)+N$14,0)=EOMONTH($BB$3,0),N$12,0),0),IF(AND(J$12&lt;&gt;"",J$14&lt;&gt;""),IF(EOMONTH($J$3+INT((DAY(EOMONTH($J$3,0))-1)/2)+J$14,0)=EOMONTH($BB$3,0),J$12,0),0),IF(AND(F$12&lt;&gt;"",F$14&lt;&gt;""),IF(EOMONTH($F$3+INT((DAY(EOMONTH($F$3,0))-1)/2)+F$14,0)=EOMONTH($BB$3,0),F$12,0),0),IF($EP$75="",0,IF(EOMONTH($EP$75+EP$14,0)=EOMONTH($BB$3,0),$EP$77,0))),0)</f>
        <v>0</v>
      </c>
      <c r="BC20" s="14">
        <f t="shared" si="210"/>
        <v>15</v>
      </c>
      <c r="BD20" s="15">
        <f t="shared" si="210"/>
        <v>15</v>
      </c>
      <c r="BE20" s="16">
        <f t="shared" si="29"/>
        <v>0</v>
      </c>
      <c r="BF20" s="13">
        <f t="shared" ref="BF20:BH20" si="211">ROUND(SUM(IF(AND(EP$12&lt;&gt;"",EP$14&lt;&gt;""),IF(EOMONTH($EP$3+INT((DAY(EOMONTH($EP$3,0))-1)/2)+EP$14,0)=EOMONTH($BF$3,0),EP$12,0),0),IF(AND(EL$12&lt;&gt;"",EL$14&lt;&gt;""),IF(EOMONTH($EL$3+INT((DAY(EOMONTH($EL$3,0))-1)/2)+EL$14,0)=EOMONTH($BF$3,0),EL$12,0),0),IF(AND(EH$12&lt;&gt;"",EH$14&lt;&gt;""),IF(EOMONTH($EH$3+INT((DAY(EOMONTH($EH$3,0))-1)/2)+EH$14,0)=EOMONTH($BF$3,0),EH$12,0),0),IF(AND(ED$12&lt;&gt;"",ED$14&lt;&gt;""),IF(EOMONTH($ED$3+INT((DAY(EOMONTH($ED$3,0))-1)/2)+ED$14,0)=EOMONTH($BF$3,0),ED$12,0),0),IF(AND(DZ$12&lt;&gt;"",DZ$14&lt;&gt;""),IF(EOMONTH($DZ$3+INT((DAY(EOMONTH($DZ$3,0))-1)/2)+DZ$14,0)=EOMONTH($BF$3,0),DZ$12,0),0),IF(AND(DV$12&lt;&gt;"",DV$14&lt;&gt;""),IF(EOMONTH($DV$3+INT((DAY(EOMONTH($DV$3,0))-1)/2)+DV$14,0)=EOMONTH($BF$3,0),DV$12,0),0),IF(AND(DR$12&lt;&gt;"",DR$14&lt;&gt;""),IF(EOMONTH($DR$3+INT((DAY(EOMONTH($DR$3,0))-1)/2)+DR$14,0)=EOMONTH($BF$3,0),DR$12,0),0),IF(AND(DN$12&lt;&gt;"",DN$14&lt;&gt;""),IF(EOMONTH($DN$3+INT((DAY(EOMONTH($DN$3,0))-1)/2)+DN$14,0)=EOMONTH($BF$3,0),DN$12,0),0),IF(AND(DJ$12&lt;&gt;"",DJ$14&lt;&gt;""),IF(EOMONTH($DJ$3+INT((DAY(EOMONTH($DJ$3,0))-1)/2)+DJ$14,0)=EOMONTH($BF$3,0),DJ$12,0),0),IF(AND(DF$12&lt;&gt;"",DF$14&lt;&gt;""),IF(EOMONTH($DF$3+INT((DAY(EOMONTH($DF$3,0))-1)/2)+DF$14,0)=EOMONTH($BF$3,0),DF$12,0),0),IF(AND(DB$12&lt;&gt;"",DB$14&lt;&gt;""),IF(EOMONTH($DB$3+INT((DAY(EOMONTH($DB$3,0))-1)/2)+DB$14,0)=EOMONTH($BF$3,0),DB$12,0),0),IF(AND(CX$12&lt;&gt;"",CX$14&lt;&gt;""),IF(EOMONTH($CX$3+INT((DAY(EOMONTH($CX$3,0))-1)/2)+CX$14,0)=EOMONTH($BF$3,0),CX$12,0),0),IF(AND(CT$12&lt;&gt;"",CT$14&lt;&gt;""),IF(EOMONTH($CT$3+INT((DAY(EOMONTH($CT$3,0))-1)/2)+CT$14,0)=EOMONTH($BF$3,0),CT$12,0),0),IF(AND(CP$12&lt;&gt;"",CP$14&lt;&gt;""),IF(EOMONTH($CP$3+INT((DAY(EOMONTH($CP$3,0))-1)/2)+CP$14,0)=EOMONTH($BF$3,0),CP$12,0),0),IF(AND(CL$12&lt;&gt;"",CL$14&lt;&gt;""),IF(EOMONTH($CL$3+INT((DAY(EOMONTH($CL$3,0))-1)/2)+CL$14,0)=EOMONTH($BF$3,0),CL$12,0),0),IF(AND(CH$12&lt;&gt;"",CH$14&lt;&gt;""),IF(EOMONTH($CH$3+INT((DAY(EOMONTH($CH$3,0))-1)/2)+CH$14,0)=EOMONTH($BF$3,0),CH$12,0),0),IF(AND(CD$12&lt;&gt;"",CD$14&lt;&gt;""),IF(EOMONTH($CD$3+INT((DAY(EOMONTH($CD$3,0))-1)/2)+CD$14,0)=EOMONTH($BF$3,0),CD$12,0),0),IF(AND(BZ$12&lt;&gt;"",BZ$14&lt;&gt;""),IF(EOMONTH($BZ$3+INT((DAY(EOMONTH($BZ$3,0))-1)/2)+BZ$14,0)=EOMONTH($BF$3,0),BZ$12,0),0),IF(AND(BV$12&lt;&gt;"",BV$14&lt;&gt;""),IF(EOMONTH($BV$3+INT((DAY(EOMONTH($BV$3,0))-1)/2)+BV$14,0)=EOMONTH($BF$3,0),BV$12,0),0),IF(AND(BR$12&lt;&gt;"",BR$14&lt;&gt;""),IF(EOMONTH($BR$3+INT((DAY(EOMONTH($BR$3,0))-1)/2)+BR$14,0)=EOMONTH($BF$3,0),BR$12,0),0),IF(AND(BN$12&lt;&gt;"",BN$14&lt;&gt;""),IF(EOMONTH($BN$3+INT((DAY(EOMONTH($BN$3,0))-1)/2)+BN$14,0)=EOMONTH($BF$3,0),BN$12,0),0),IF(AND(BJ$12&lt;&gt;"",BJ$14&lt;&gt;""),IF(EOMONTH($BJ$3+INT((DAY(EOMONTH($BJ$3,0))-1)/2)+BJ$14,0)=EOMONTH($BF$3,0),BJ$12,0),0),IF(AND(BF$12&lt;&gt;"",BF$14&lt;&gt;""),IF(EOMONTH($BF$3+INT((DAY(EOMONTH($BF$3,0))-1)/2)+BF$14,0)=EOMONTH($BF$3,0),BF$12,0),0),IF(AND(BB$12&lt;&gt;"",BB$14&lt;&gt;""),IF(EOMONTH($BB$3+INT((DAY(EOMONTH($BB$3,0))-1)/2)+BB$14,0)=EOMONTH($BF$3,0),BB$12,0),0),IF(AND(AX$12&lt;&gt;"",AX$14&lt;&gt;""),IF(EOMONTH($AX$3+INT((DAY(EOMONTH($AX$3,0))-1)/2)+AX$14,0)=EOMONTH($BF$3,0),AX$12,0),0),IF(AND(AT$12&lt;&gt;"",AT$14&lt;&gt;""),IF(EOMONTH($AT$3+INT((DAY(EOMONTH($AT$3,0))-1)/2)+AT$14,0)=EOMONTH($BF$3,0),AT$12,0),0),IF(AND(AP$12&lt;&gt;"",AP$14&lt;&gt;""),IF(EOMONTH($AP$3+INT((DAY(EOMONTH($AP$3,0))-1)/2)+AP$14,0)=EOMONTH($BF$3,0),AP$12,0),0),IF(AND(AL$12&lt;&gt;"",AL$14&lt;&gt;""),IF(EOMONTH($AL$3+INT((DAY(EOMONTH($AL$3,0))-1)/2)+AL$14,0)=EOMONTH($BF$3,0),AL$12,0),0),IF(AND(AH$12&lt;&gt;"",AH$14&lt;&gt;""),IF(EOMONTH($AH$3+INT((DAY(EOMONTH($AH$3,0))-1)/2)+AH$14,0)=EOMONTH($BF$3,0),AH$12,0),0),IF(AND(AD$12&lt;&gt;"",AD$14&lt;&gt;""),IF(EOMONTH($AD$3+INT((DAY(EOMONTH($AD$3,0))-1)/2)+AD$14,0)=EOMONTH($BF$3,0),AD$12,0),0),IF(AND(Z$12&lt;&gt;"",Z$14&lt;&gt;""),IF(EOMONTH($Z$3+INT((DAY(EOMONTH($Z$3,0))-1)/2)+Z$14,0)=EOMONTH($BF$3,0),Z$12,0),0),IF(AND(V$12&lt;&gt;"",V$14&lt;&gt;""),IF(EOMONTH($V$3+INT((DAY(EOMONTH($V$3,0))-1)/2)+V$14,0)=EOMONTH($BF$3,0),V$12,0),0),IF(AND(R$12&lt;&gt;"",R$14&lt;&gt;""),IF(EOMONTH($R$3+INT((DAY(EOMONTH($R$3,0))-1)/2)+R$14,0)=EOMONTH($BF$3,0),R$12,0),0),IF(AND(N$12&lt;&gt;"",N$14&lt;&gt;""),IF(EOMONTH($N$3+INT((DAY(EOMONTH($N$3,0))-1)/2)+N$14,0)=EOMONTH($BF$3,0),N$12,0),0),IF(AND(J$12&lt;&gt;"",J$14&lt;&gt;""),IF(EOMONTH($J$3+INT((DAY(EOMONTH($J$3,0))-1)/2)+J$14,0)=EOMONTH($BF$3,0),J$12,0),0),IF(AND(F$12&lt;&gt;"",F$14&lt;&gt;""),IF(EOMONTH($F$3+INT((DAY(EOMONTH($F$3,0))-1)/2)+F$14,0)=EOMONTH($BF$3,0),F$12,0),0),IF($EP$75="",0,IF(EOMONTH($EP$75+EP$14,0)=EOMONTH($BF$3,0),$EP$77,0))),0)</f>
        <v>0</v>
      </c>
      <c r="BG20" s="14">
        <f t="shared" si="211"/>
        <v>15</v>
      </c>
      <c r="BH20" s="15">
        <f t="shared" si="211"/>
        <v>15</v>
      </c>
      <c r="BI20" s="16">
        <f t="shared" si="31"/>
        <v>0</v>
      </c>
      <c r="BJ20" s="13">
        <f t="shared" ref="BJ20:BL20" si="212">ROUND(SUM(IF(AND(EP$12&lt;&gt;"",EP$14&lt;&gt;""),IF(EOMONTH($EP$3+INT((DAY(EOMONTH($EP$3,0))-1)/2)+EP$14,0)=EOMONTH($BJ$3,0),EP$12,0),0),IF(AND(EL$12&lt;&gt;"",EL$14&lt;&gt;""),IF(EOMONTH($EL$3+INT((DAY(EOMONTH($EL$3,0))-1)/2)+EL$14,0)=EOMONTH($BJ$3,0),EL$12,0),0),IF(AND(EH$12&lt;&gt;"",EH$14&lt;&gt;""),IF(EOMONTH($EH$3+INT((DAY(EOMONTH($EH$3,0))-1)/2)+EH$14,0)=EOMONTH($BJ$3,0),EH$12,0),0),IF(AND(ED$12&lt;&gt;"",ED$14&lt;&gt;""),IF(EOMONTH($ED$3+INT((DAY(EOMONTH($ED$3,0))-1)/2)+ED$14,0)=EOMONTH($BJ$3,0),ED$12,0),0),IF(AND(DZ$12&lt;&gt;"",DZ$14&lt;&gt;""),IF(EOMONTH($DZ$3+INT((DAY(EOMONTH($DZ$3,0))-1)/2)+DZ$14,0)=EOMONTH($BJ$3,0),DZ$12,0),0),IF(AND(DV$12&lt;&gt;"",DV$14&lt;&gt;""),IF(EOMONTH($DV$3+INT((DAY(EOMONTH($DV$3,0))-1)/2)+DV$14,0)=EOMONTH($BJ$3,0),DV$12,0),0),IF(AND(DR$12&lt;&gt;"",DR$14&lt;&gt;""),IF(EOMONTH($DR$3+INT((DAY(EOMONTH($DR$3,0))-1)/2)+DR$14,0)=EOMONTH($BJ$3,0),DR$12,0),0),IF(AND(DN$12&lt;&gt;"",DN$14&lt;&gt;""),IF(EOMONTH($DN$3+INT((DAY(EOMONTH($DN$3,0))-1)/2)+DN$14,0)=EOMONTH($BJ$3,0),DN$12,0),0),IF(AND(DJ$12&lt;&gt;"",DJ$14&lt;&gt;""),IF(EOMONTH($DJ$3+INT((DAY(EOMONTH($DJ$3,0))-1)/2)+DJ$14,0)=EOMONTH($BJ$3,0),DJ$12,0),0),IF(AND(DF$12&lt;&gt;"",DF$14&lt;&gt;""),IF(EOMONTH($DF$3+INT((DAY(EOMONTH($DF$3,0))-1)/2)+DF$14,0)=EOMONTH($BJ$3,0),DF$12,0),0),IF(AND(DB$12&lt;&gt;"",DB$14&lt;&gt;""),IF(EOMONTH($DB$3+INT((DAY(EOMONTH($DB$3,0))-1)/2)+DB$14,0)=EOMONTH($BJ$3,0),DB$12,0),0),IF(AND(CX$12&lt;&gt;"",CX$14&lt;&gt;""),IF(EOMONTH($CX$3+INT((DAY(EOMONTH($CX$3,0))-1)/2)+CX$14,0)=EOMONTH($BJ$3,0),CX$12,0),0),IF(AND(CT$12&lt;&gt;"",CT$14&lt;&gt;""),IF(EOMONTH($CT$3+INT((DAY(EOMONTH($CT$3,0))-1)/2)+CT$14,0)=EOMONTH($BJ$3,0),CT$12,0),0),IF(AND(CP$12&lt;&gt;"",CP$14&lt;&gt;""),IF(EOMONTH($CP$3+INT((DAY(EOMONTH($CP$3,0))-1)/2)+CP$14,0)=EOMONTH($BJ$3,0),CP$12,0),0),IF(AND(CL$12&lt;&gt;"",CL$14&lt;&gt;""),IF(EOMONTH($CL$3+INT((DAY(EOMONTH($CL$3,0))-1)/2)+CL$14,0)=EOMONTH($BJ$3,0),CL$12,0),0),IF(AND(CH$12&lt;&gt;"",CH$14&lt;&gt;""),IF(EOMONTH($CH$3+INT((DAY(EOMONTH($CH$3,0))-1)/2)+CH$14,0)=EOMONTH($BJ$3,0),CH$12,0),0),IF(AND(CD$12&lt;&gt;"",CD$14&lt;&gt;""),IF(EOMONTH($CD$3+INT((DAY(EOMONTH($CD$3,0))-1)/2)+CD$14,0)=EOMONTH($BJ$3,0),CD$12,0),0),IF(AND(BZ$12&lt;&gt;"",BZ$14&lt;&gt;""),IF(EOMONTH($BZ$3+INT((DAY(EOMONTH($BZ$3,0))-1)/2)+BZ$14,0)=EOMONTH($BJ$3,0),BZ$12,0),0),IF(AND(BV$12&lt;&gt;"",BV$14&lt;&gt;""),IF(EOMONTH($BV$3+INT((DAY(EOMONTH($BV$3,0))-1)/2)+BV$14,0)=EOMONTH($BJ$3,0),BV$12,0),0),IF(AND(BR$12&lt;&gt;"",BR$14&lt;&gt;""),IF(EOMONTH($BR$3+INT((DAY(EOMONTH($BR$3,0))-1)/2)+BR$14,0)=EOMONTH($BJ$3,0),BR$12,0),0),IF(AND(BN$12&lt;&gt;"",BN$14&lt;&gt;""),IF(EOMONTH($BN$3+INT((DAY(EOMONTH($BN$3,0))-1)/2)+BN$14,0)=EOMONTH($BJ$3,0),BN$12,0),0),IF(AND(BJ$12&lt;&gt;"",BJ$14&lt;&gt;""),IF(EOMONTH($BJ$3+INT((DAY(EOMONTH($BJ$3,0))-1)/2)+BJ$14,0)=EOMONTH($BJ$3,0),BJ$12,0),0),IF(AND(BF$12&lt;&gt;"",BF$14&lt;&gt;""),IF(EOMONTH($BF$3+INT((DAY(EOMONTH($BF$3,0))-1)/2)+BF$14,0)=EOMONTH($BJ$3,0),BF$12,0),0),IF(AND(BB$12&lt;&gt;"",BB$14&lt;&gt;""),IF(EOMONTH($BB$3+INT((DAY(EOMONTH($BB$3,0))-1)/2)+BB$14,0)=EOMONTH($BJ$3,0),BB$12,0),0),IF(AND(AX$12&lt;&gt;"",AX$14&lt;&gt;""),IF(EOMONTH($AX$3+INT((DAY(EOMONTH($AX$3,0))-1)/2)+AX$14,0)=EOMONTH($BJ$3,0),AX$12,0),0),IF(AND(AT$12&lt;&gt;"",AT$14&lt;&gt;""),IF(EOMONTH($AT$3+INT((DAY(EOMONTH($AT$3,0))-1)/2)+AT$14,0)=EOMONTH($BJ$3,0),AT$12,0),0),IF(AND(AP$12&lt;&gt;"",AP$14&lt;&gt;""),IF(EOMONTH($AP$3+INT((DAY(EOMONTH($AP$3,0))-1)/2)+AP$14,0)=EOMONTH($BJ$3,0),AP$12,0),0),IF(AND(AL$12&lt;&gt;"",AL$14&lt;&gt;""),IF(EOMONTH($AL$3+INT((DAY(EOMONTH($AL$3,0))-1)/2)+AL$14,0)=EOMONTH($BJ$3,0),AL$12,0),0),IF(AND(AH$12&lt;&gt;"",AH$14&lt;&gt;""),IF(EOMONTH($AH$3+INT((DAY(EOMONTH($AH$3,0))-1)/2)+AH$14,0)=EOMONTH($BJ$3,0),AH$12,0),0),IF(AND(AD$12&lt;&gt;"",AD$14&lt;&gt;""),IF(EOMONTH($AD$3+INT((DAY(EOMONTH($AD$3,0))-1)/2)+AD$14,0)=EOMONTH($BJ$3,0),AD$12,0),0),IF(AND(Z$12&lt;&gt;"",Z$14&lt;&gt;""),IF(EOMONTH($Z$3+INT((DAY(EOMONTH($Z$3,0))-1)/2)+Z$14,0)=EOMONTH($BJ$3,0),Z$12,0),0),IF(AND(V$12&lt;&gt;"",V$14&lt;&gt;""),IF(EOMONTH($V$3+INT((DAY(EOMONTH($V$3,0))-1)/2)+V$14,0)=EOMONTH($BJ$3,0),V$12,0),0),IF(AND(R$12&lt;&gt;"",R$14&lt;&gt;""),IF(EOMONTH($R$3+INT((DAY(EOMONTH($R$3,0))-1)/2)+R$14,0)=EOMONTH($BJ$3,0),R$12,0),0),IF(AND(N$12&lt;&gt;"",N$14&lt;&gt;""),IF(EOMONTH($N$3+INT((DAY(EOMONTH($N$3,0))-1)/2)+N$14,0)=EOMONTH($BJ$3,0),N$12,0),0),IF(AND(J$12&lt;&gt;"",J$14&lt;&gt;""),IF(EOMONTH($J$3+INT((DAY(EOMONTH($J$3,0))-1)/2)+J$14,0)=EOMONTH($BJ$3,0),J$12,0),0),IF(AND(F$12&lt;&gt;"",F$14&lt;&gt;""),IF(EOMONTH($F$3+INT((DAY(EOMONTH($F$3,0))-1)/2)+F$14,0)=EOMONTH($BJ$3,0),F$12,0),0),IF($EP$75="",0,IF(EOMONTH($EP$75+EP$14,0)=EOMONTH($BJ$3,0),$EP$77,0))),0)</f>
        <v>0</v>
      </c>
      <c r="BK20" s="14">
        <f t="shared" si="212"/>
        <v>15</v>
      </c>
      <c r="BL20" s="15">
        <f t="shared" si="212"/>
        <v>15</v>
      </c>
      <c r="BM20" s="16">
        <f t="shared" si="33"/>
        <v>0</v>
      </c>
      <c r="BN20" s="13">
        <f t="shared" ref="BN20:BP20" si="213">ROUND(SUM(IF(AND(EP$12&lt;&gt;"",EP$14&lt;&gt;""),IF(EOMONTH($EP$3+INT((DAY(EOMONTH($EP$3,0))-1)/2)+EP$14,0)=EOMONTH($BN$3,0),EP$12,0),0),IF(AND(EL$12&lt;&gt;"",EL$14&lt;&gt;""),IF(EOMONTH($EL$3+INT((DAY(EOMONTH($EL$3,0))-1)/2)+EL$14,0)=EOMONTH($BN$3,0),EL$12,0),0),IF(AND(EH$12&lt;&gt;"",EH$14&lt;&gt;""),IF(EOMONTH($EH$3+INT((DAY(EOMONTH($EH$3,0))-1)/2)+EH$14,0)=EOMONTH($BN$3,0),EH$12,0),0),IF(AND(ED$12&lt;&gt;"",ED$14&lt;&gt;""),IF(EOMONTH($ED$3+INT((DAY(EOMONTH($ED$3,0))-1)/2)+ED$14,0)=EOMONTH($BN$3,0),ED$12,0),0),IF(AND(DZ$12&lt;&gt;"",DZ$14&lt;&gt;""),IF(EOMONTH($DZ$3+INT((DAY(EOMONTH($DZ$3,0))-1)/2)+DZ$14,0)=EOMONTH($BN$3,0),DZ$12,0),0),IF(AND(DV$12&lt;&gt;"",DV$14&lt;&gt;""),IF(EOMONTH($DV$3+INT((DAY(EOMONTH($DV$3,0))-1)/2)+DV$14,0)=EOMONTH($BN$3,0),DV$12,0),0),IF(AND(DR$12&lt;&gt;"",DR$14&lt;&gt;""),IF(EOMONTH($DR$3+INT((DAY(EOMONTH($DR$3,0))-1)/2)+DR$14,0)=EOMONTH($BN$3,0),DR$12,0),0),IF(AND(DN$12&lt;&gt;"",DN$14&lt;&gt;""),IF(EOMONTH($DN$3+INT((DAY(EOMONTH($DN$3,0))-1)/2)+DN$14,0)=EOMONTH($BN$3,0),DN$12,0),0),IF(AND(DJ$12&lt;&gt;"",DJ$14&lt;&gt;""),IF(EOMONTH($DJ$3+INT((DAY(EOMONTH($DJ$3,0))-1)/2)+DJ$14,0)=EOMONTH($BN$3,0),DJ$12,0),0),IF(AND(DF$12&lt;&gt;"",DF$14&lt;&gt;""),IF(EOMONTH($DF$3+INT((DAY(EOMONTH($DF$3,0))-1)/2)+DF$14,0)=EOMONTH($BN$3,0),DF$12,0),0),IF(AND(DB$12&lt;&gt;"",DB$14&lt;&gt;""),IF(EOMONTH($DB$3+INT((DAY(EOMONTH($DB$3,0))-1)/2)+DB$14,0)=EOMONTH($BN$3,0),DB$12,0),0),IF(AND(CX$12&lt;&gt;"",CX$14&lt;&gt;""),IF(EOMONTH($CX$3+INT((DAY(EOMONTH($CX$3,0))-1)/2)+CX$14,0)=EOMONTH($BN$3,0),CX$12,0),0),IF(AND(CT$12&lt;&gt;"",CT$14&lt;&gt;""),IF(EOMONTH($CT$3+INT((DAY(EOMONTH($CT$3,0))-1)/2)+CT$14,0)=EOMONTH($BN$3,0),CT$12,0),0),IF(AND(CP$12&lt;&gt;"",CP$14&lt;&gt;""),IF(EOMONTH($CP$3+INT((DAY(EOMONTH($CP$3,0))-1)/2)+CP$14,0)=EOMONTH($BN$3,0),CP$12,0),0),IF(AND(CL$12&lt;&gt;"",CL$14&lt;&gt;""),IF(EOMONTH($CL$3+INT((DAY(EOMONTH($CL$3,0))-1)/2)+CL$14,0)=EOMONTH($BN$3,0),CL$12,0),0),IF(AND(CH$12&lt;&gt;"",CH$14&lt;&gt;""),IF(EOMONTH($CH$3+INT((DAY(EOMONTH($CH$3,0))-1)/2)+CH$14,0)=EOMONTH($BN$3,0),CH$12,0),0),IF(AND(CD$12&lt;&gt;"",CD$14&lt;&gt;""),IF(EOMONTH($CD$3+INT((DAY(EOMONTH($CD$3,0))-1)/2)+CD$14,0)=EOMONTH($BN$3,0),CD$12,0),0),IF(AND(BZ$12&lt;&gt;"",BZ$14&lt;&gt;""),IF(EOMONTH($BZ$3+INT((DAY(EOMONTH($BZ$3,0))-1)/2)+BZ$14,0)=EOMONTH($BN$3,0),BZ$12,0),0),IF(AND(BV$12&lt;&gt;"",BV$14&lt;&gt;""),IF(EOMONTH($BV$3+INT((DAY(EOMONTH($BV$3,0))-1)/2)+BV$14,0)=EOMONTH($BN$3,0),BV$12,0),0),IF(AND(BR$12&lt;&gt;"",BR$14&lt;&gt;""),IF(EOMONTH($BR$3+INT((DAY(EOMONTH($BR$3,0))-1)/2)+BR$14,0)=EOMONTH($BN$3,0),BR$12,0),0),IF(AND(BN$12&lt;&gt;"",BN$14&lt;&gt;""),IF(EOMONTH($BN$3+INT((DAY(EOMONTH($BN$3,0))-1)/2)+BN$14,0)=EOMONTH($BN$3,0),BN$12,0),0),IF(AND(BJ$12&lt;&gt;"",BJ$14&lt;&gt;""),IF(EOMONTH($BJ$3+INT((DAY(EOMONTH($BJ$3,0))-1)/2)+BJ$14,0)=EOMONTH($BN$3,0),BJ$12,0),0),IF(AND(BF$12&lt;&gt;"",BF$14&lt;&gt;""),IF(EOMONTH($BF$3+INT((DAY(EOMONTH($BF$3,0))-1)/2)+BF$14,0)=EOMONTH($BN$3,0),BF$12,0),0),IF(AND(BB$12&lt;&gt;"",BB$14&lt;&gt;""),IF(EOMONTH($BB$3+INT((DAY(EOMONTH($BB$3,0))-1)/2)+BB$14,0)=EOMONTH($BN$3,0),BB$12,0),0),IF(AND(AX$12&lt;&gt;"",AX$14&lt;&gt;""),IF(EOMONTH($AX$3+INT((DAY(EOMONTH($AX$3,0))-1)/2)+AX$14,0)=EOMONTH($BN$3,0),AX$12,0),0),IF(AND(AT$12&lt;&gt;"",AT$14&lt;&gt;""),IF(EOMONTH($AT$3+INT((DAY(EOMONTH($AT$3,0))-1)/2)+AT$14,0)=EOMONTH($BN$3,0),AT$12,0),0),IF(AND(AP$12&lt;&gt;"",AP$14&lt;&gt;""),IF(EOMONTH($AP$3+INT((DAY(EOMONTH($AP$3,0))-1)/2)+AP$14,0)=EOMONTH($BN$3,0),AP$12,0),0),IF(AND(AL$12&lt;&gt;"",AL$14&lt;&gt;""),IF(EOMONTH($AL$3+INT((DAY(EOMONTH($AL$3,0))-1)/2)+AL$14,0)=EOMONTH($BN$3,0),AL$12,0),0),IF(AND(AH$12&lt;&gt;"",AH$14&lt;&gt;""),IF(EOMONTH($AH$3+INT((DAY(EOMONTH($AH$3,0))-1)/2)+AH$14,0)=EOMONTH($BN$3,0),AH$12,0),0),IF(AND(AD$12&lt;&gt;"",AD$14&lt;&gt;""),IF(EOMONTH($AD$3+INT((DAY(EOMONTH($AD$3,0))-1)/2)+AD$14,0)=EOMONTH($BN$3,0),AD$12,0),0),IF(AND(Z$12&lt;&gt;"",Z$14&lt;&gt;""),IF(EOMONTH($Z$3+INT((DAY(EOMONTH($Z$3,0))-1)/2)+Z$14,0)=EOMONTH($BN$3,0),Z$12,0),0),IF(AND(V$12&lt;&gt;"",V$14&lt;&gt;""),IF(EOMONTH($V$3+INT((DAY(EOMONTH($V$3,0))-1)/2)+V$14,0)=EOMONTH($BN$3,0),V$12,0),0),IF(AND(R$12&lt;&gt;"",R$14&lt;&gt;""),IF(EOMONTH($R$3+INT((DAY(EOMONTH($R$3,0))-1)/2)+R$14,0)=EOMONTH($BN$3,0),R$12,0),0),IF(AND(N$12&lt;&gt;"",N$14&lt;&gt;""),IF(EOMONTH($N$3+INT((DAY(EOMONTH($N$3,0))-1)/2)+N$14,0)=EOMONTH($BN$3,0),N$12,0),0),IF(AND(J$12&lt;&gt;"",J$14&lt;&gt;""),IF(EOMONTH($J$3+INT((DAY(EOMONTH($J$3,0))-1)/2)+J$14,0)=EOMONTH($BN$3,0),J$12,0),0),IF(AND(F$12&lt;&gt;"",F$14&lt;&gt;""),IF(EOMONTH($F$3+INT((DAY(EOMONTH($F$3,0))-1)/2)+F$14,0)=EOMONTH($BN$3,0),F$12,0),0),IF($EP$75="",0,IF(EOMONTH($EP$75+EP$14,0)=EOMONTH($BN$3,0),$EP$77,0))),0)</f>
        <v>0</v>
      </c>
      <c r="BO20" s="14">
        <f t="shared" si="213"/>
        <v>15</v>
      </c>
      <c r="BP20" s="15">
        <f t="shared" si="213"/>
        <v>15</v>
      </c>
      <c r="BQ20" s="16">
        <f t="shared" si="35"/>
        <v>0</v>
      </c>
      <c r="BR20" s="13">
        <f t="shared" ref="BR20:BT20" si="214">ROUND(SUM(IF(AND(EP$12&lt;&gt;"",EP$14&lt;&gt;""),IF(EOMONTH($EP$3+INT((DAY(EOMONTH($EP$3,0))-1)/2)+EP$14,0)=EOMONTH($BR$3,0),EP$12,0),0),IF(AND(EL$12&lt;&gt;"",EL$14&lt;&gt;""),IF(EOMONTH($EL$3+INT((DAY(EOMONTH($EL$3,0))-1)/2)+EL$14,0)=EOMONTH($BR$3,0),EL$12,0),0),IF(AND(EH$12&lt;&gt;"",EH$14&lt;&gt;""),IF(EOMONTH($EH$3+INT((DAY(EOMONTH($EH$3,0))-1)/2)+EH$14,0)=EOMONTH($BR$3,0),EH$12,0),0),IF(AND(ED$12&lt;&gt;"",ED$14&lt;&gt;""),IF(EOMONTH($ED$3+INT((DAY(EOMONTH($ED$3,0))-1)/2)+ED$14,0)=EOMONTH($BR$3,0),ED$12,0),0),IF(AND(DZ$12&lt;&gt;"",DZ$14&lt;&gt;""),IF(EOMONTH($DZ$3+INT((DAY(EOMONTH($DZ$3,0))-1)/2)+DZ$14,0)=EOMONTH($BR$3,0),DZ$12,0),0),IF(AND(DV$12&lt;&gt;"",DV$14&lt;&gt;""),IF(EOMONTH($DV$3+INT((DAY(EOMONTH($DV$3,0))-1)/2)+DV$14,0)=EOMONTH($BR$3,0),DV$12,0),0),IF(AND(DR$12&lt;&gt;"",DR$14&lt;&gt;""),IF(EOMONTH($DR$3+INT((DAY(EOMONTH($DR$3,0))-1)/2)+DR$14,0)=EOMONTH($BR$3,0),DR$12,0),0),IF(AND(DN$12&lt;&gt;"",DN$14&lt;&gt;""),IF(EOMONTH($DN$3+INT((DAY(EOMONTH($DN$3,0))-1)/2)+DN$14,0)=EOMONTH($BR$3,0),DN$12,0),0),IF(AND(DJ$12&lt;&gt;"",DJ$14&lt;&gt;""),IF(EOMONTH($DJ$3+INT((DAY(EOMONTH($DJ$3,0))-1)/2)+DJ$14,0)=EOMONTH($BR$3,0),DJ$12,0),0),IF(AND(DF$12&lt;&gt;"",DF$14&lt;&gt;""),IF(EOMONTH($DF$3+INT((DAY(EOMONTH($DF$3,0))-1)/2)+DF$14,0)=EOMONTH($BR$3,0),DF$12,0),0),IF(AND(DB$12&lt;&gt;"",DB$14&lt;&gt;""),IF(EOMONTH($DB$3+INT((DAY(EOMONTH($DB$3,0))-1)/2)+DB$14,0)=EOMONTH($BR$3,0),DB$12,0),0),IF(AND(CX$12&lt;&gt;"",CX$14&lt;&gt;""),IF(EOMONTH($CX$3+INT((DAY(EOMONTH($CX$3,0))-1)/2)+CX$14,0)=EOMONTH($BR$3,0),CX$12,0),0),IF(AND(CT$12&lt;&gt;"",CT$14&lt;&gt;""),IF(EOMONTH($CT$3+INT((DAY(EOMONTH($CT$3,0))-1)/2)+CT$14,0)=EOMONTH($BR$3,0),CT$12,0),0),IF(AND(CP$12&lt;&gt;"",CP$14&lt;&gt;""),IF(EOMONTH($CP$3+INT((DAY(EOMONTH($CP$3,0))-1)/2)+CP$14,0)=EOMONTH($BR$3,0),CP$12,0),0),IF(AND(CL$12&lt;&gt;"",CL$14&lt;&gt;""),IF(EOMONTH($CL$3+INT((DAY(EOMONTH($CL$3,0))-1)/2)+CL$14,0)=EOMONTH($BR$3,0),CL$12,0),0),IF(AND(CH$12&lt;&gt;"",CH$14&lt;&gt;""),IF(EOMONTH($CH$3+INT((DAY(EOMONTH($CH$3,0))-1)/2)+CH$14,0)=EOMONTH($BR$3,0),CH$12,0),0),IF(AND(CD$12&lt;&gt;"",CD$14&lt;&gt;""),IF(EOMONTH($CD$3+INT((DAY(EOMONTH($CD$3,0))-1)/2)+CD$14,0)=EOMONTH($BR$3,0),CD$12,0),0),IF(AND(BZ$12&lt;&gt;"",BZ$14&lt;&gt;""),IF(EOMONTH($BZ$3+INT((DAY(EOMONTH($BZ$3,0))-1)/2)+BZ$14,0)=EOMONTH($BR$3,0),BZ$12,0),0),IF(AND(BV$12&lt;&gt;"",BV$14&lt;&gt;""),IF(EOMONTH($BV$3+INT((DAY(EOMONTH($BV$3,0))-1)/2)+BV$14,0)=EOMONTH($BR$3,0),BV$12,0),0),IF(AND(BR$12&lt;&gt;"",BR$14&lt;&gt;""),IF(EOMONTH($BR$3+INT((DAY(EOMONTH($BR$3,0))-1)/2)+BR$14,0)=EOMONTH($BR$3,0),BR$12,0),0),IF(AND(BN$12&lt;&gt;"",BN$14&lt;&gt;""),IF(EOMONTH($BN$3+INT((DAY(EOMONTH($BN$3,0))-1)/2)+BN$14,0)=EOMONTH($BR$3,0),BN$12,0),0),IF(AND(BJ$12&lt;&gt;"",BJ$14&lt;&gt;""),IF(EOMONTH($BJ$3+INT((DAY(EOMONTH($BJ$3,0))-1)/2)+BJ$14,0)=EOMONTH($BR$3,0),BJ$12,0),0),IF(AND(BF$12&lt;&gt;"",BF$14&lt;&gt;""),IF(EOMONTH($BF$3+INT((DAY(EOMONTH($BF$3,0))-1)/2)+BF$14,0)=EOMONTH($BR$3,0),BF$12,0),0),IF(AND(BB$12&lt;&gt;"",BB$14&lt;&gt;""),IF(EOMONTH($BB$3+INT((DAY(EOMONTH($BB$3,0))-1)/2)+BB$14,0)=EOMONTH($BR$3,0),BB$12,0),0),IF(AND(AX$12&lt;&gt;"",AX$14&lt;&gt;""),IF(EOMONTH($AX$3+INT((DAY(EOMONTH($AX$3,0))-1)/2)+AX$14,0)=EOMONTH($BR$3,0),AX$12,0),0),IF(AND(AT$12&lt;&gt;"",AT$14&lt;&gt;""),IF(EOMONTH($AT$3+INT((DAY(EOMONTH($AT$3,0))-1)/2)+AT$14,0)=EOMONTH($BR$3,0),AT$12,0),0),IF(AND(AP$12&lt;&gt;"",AP$14&lt;&gt;""),IF(EOMONTH($AP$3+INT((DAY(EOMONTH($AP$3,0))-1)/2)+AP$14,0)=EOMONTH($BR$3,0),AP$12,0),0),IF(AND(AL$12&lt;&gt;"",AL$14&lt;&gt;""),IF(EOMONTH($AL$3+INT((DAY(EOMONTH($AL$3,0))-1)/2)+AL$14,0)=EOMONTH($BR$3,0),AL$12,0),0),IF(AND(AH$12&lt;&gt;"",AH$14&lt;&gt;""),IF(EOMONTH($AH$3+INT((DAY(EOMONTH($AH$3,0))-1)/2)+AH$14,0)=EOMONTH($BR$3,0),AH$12,0),0),IF(AND(AD$12&lt;&gt;"",AD$14&lt;&gt;""),IF(EOMONTH($AD$3+INT((DAY(EOMONTH($AD$3,0))-1)/2)+AD$14,0)=EOMONTH($BR$3,0),AD$12,0),0),IF(AND(Z$12&lt;&gt;"",Z$14&lt;&gt;""),IF(EOMONTH($Z$3+INT((DAY(EOMONTH($Z$3,0))-1)/2)+Z$14,0)=EOMONTH($BR$3,0),Z$12,0),0),IF(AND(V$12&lt;&gt;"",V$14&lt;&gt;""),IF(EOMONTH($V$3+INT((DAY(EOMONTH($V$3,0))-1)/2)+V$14,0)=EOMONTH($BR$3,0),V$12,0),0),IF(AND(R$12&lt;&gt;"",R$14&lt;&gt;""),IF(EOMONTH($R$3+INT((DAY(EOMONTH($R$3,0))-1)/2)+R$14,0)=EOMONTH($BR$3,0),R$12,0),0),IF(AND(N$12&lt;&gt;"",N$14&lt;&gt;""),IF(EOMONTH($N$3+INT((DAY(EOMONTH($N$3,0))-1)/2)+N$14,0)=EOMONTH($BR$3,0),N$12,0),0),IF(AND(J$12&lt;&gt;"",J$14&lt;&gt;""),IF(EOMONTH($J$3+INT((DAY(EOMONTH($J$3,0))-1)/2)+J$14,0)=EOMONTH($BR$3,0),J$12,0),0),IF(AND(F$12&lt;&gt;"",F$14&lt;&gt;""),IF(EOMONTH($F$3+INT((DAY(EOMONTH($F$3,0))-1)/2)+F$14,0)=EOMONTH($BR$3,0),F$12,0),0),IF($EP$75="",0,IF(EOMONTH($EP$75+EP$14,0)=EOMONTH($BR$3,0),$EP$77,0))),0)</f>
        <v>0</v>
      </c>
      <c r="BS20" s="14">
        <f t="shared" si="214"/>
        <v>14</v>
      </c>
      <c r="BT20" s="15">
        <f t="shared" si="214"/>
        <v>14</v>
      </c>
      <c r="BU20" s="16">
        <f t="shared" si="37"/>
        <v>0</v>
      </c>
      <c r="BV20" s="13">
        <f t="shared" ref="BV20:BX20" si="215">ROUND(SUM(IF(AND(EP$12&lt;&gt;"",EP$14&lt;&gt;""),IF(EOMONTH($EP$3+INT((DAY(EOMONTH($EP$3,0))-1)/2)+EP$14,0)=EOMONTH($BV$3,0),EP$12,0),0),IF(AND(EL$12&lt;&gt;"",EL$14&lt;&gt;""),IF(EOMONTH($EL$3+INT((DAY(EOMONTH($EL$3,0))-1)/2)+EL$14,0)=EOMONTH($BV$3,0),EL$12,0),0),IF(AND(EH$12&lt;&gt;"",EH$14&lt;&gt;""),IF(EOMONTH($EH$3+INT((DAY(EOMONTH($EH$3,0))-1)/2)+EH$14,0)=EOMONTH($BV$3,0),EH$12,0),0),IF(AND(ED$12&lt;&gt;"",ED$14&lt;&gt;""),IF(EOMONTH($ED$3+INT((DAY(EOMONTH($ED$3,0))-1)/2)+ED$14,0)=EOMONTH($BV$3,0),ED$12,0),0),IF(AND(DZ$12&lt;&gt;"",DZ$14&lt;&gt;""),IF(EOMONTH($DZ$3+INT((DAY(EOMONTH($DZ$3,0))-1)/2)+DZ$14,0)=EOMONTH($BV$3,0),DZ$12,0),0),IF(AND(DV$12&lt;&gt;"",DV$14&lt;&gt;""),IF(EOMONTH($DV$3+INT((DAY(EOMONTH($DV$3,0))-1)/2)+DV$14,0)=EOMONTH($BV$3,0),DV$12,0),0),IF(AND(DR$12&lt;&gt;"",DR$14&lt;&gt;""),IF(EOMONTH($DR$3+INT((DAY(EOMONTH($DR$3,0))-1)/2)+DR$14,0)=EOMONTH($BV$3,0),DR$12,0),0),IF(AND(DN$12&lt;&gt;"",DN$14&lt;&gt;""),IF(EOMONTH($DN$3+INT((DAY(EOMONTH($DN$3,0))-1)/2)+DN$14,0)=EOMONTH($BV$3,0),DN$12,0),0),IF(AND(DJ$12&lt;&gt;"",DJ$14&lt;&gt;""),IF(EOMONTH($DJ$3+INT((DAY(EOMONTH($DJ$3,0))-1)/2)+DJ$14,0)=EOMONTH($BV$3,0),DJ$12,0),0),IF(AND(DF$12&lt;&gt;"",DF$14&lt;&gt;""),IF(EOMONTH($DF$3+INT((DAY(EOMONTH($DF$3,0))-1)/2)+DF$14,0)=EOMONTH($BV$3,0),DF$12,0),0),IF(AND(DB$12&lt;&gt;"",DB$14&lt;&gt;""),IF(EOMONTH($DB$3+INT((DAY(EOMONTH($DB$3,0))-1)/2)+DB$14,0)=EOMONTH($BV$3,0),DB$12,0),0),IF(AND(CX$12&lt;&gt;"",CX$14&lt;&gt;""),IF(EOMONTH($CX$3+INT((DAY(EOMONTH($CX$3,0))-1)/2)+CX$14,0)=EOMONTH($BV$3,0),CX$12,0),0),IF(AND(CT$12&lt;&gt;"",CT$14&lt;&gt;""),IF(EOMONTH($CT$3+INT((DAY(EOMONTH($CT$3,0))-1)/2)+CT$14,0)=EOMONTH($BV$3,0),CT$12,0),0),IF(AND(CP$12&lt;&gt;"",CP$14&lt;&gt;""),IF(EOMONTH($CP$3+INT((DAY(EOMONTH($CP$3,0))-1)/2)+CP$14,0)=EOMONTH($BV$3,0),CP$12,0),0),IF(AND(CL$12&lt;&gt;"",CL$14&lt;&gt;""),IF(EOMONTH($CL$3+INT((DAY(EOMONTH($CL$3,0))-1)/2)+CL$14,0)=EOMONTH($BV$3,0),CL$12,0),0),IF(AND(CH$12&lt;&gt;"",CH$14&lt;&gt;""),IF(EOMONTH($CH$3+INT((DAY(EOMONTH($CH$3,0))-1)/2)+CH$14,0)=EOMONTH($BV$3,0),CH$12,0),0),IF(AND(CD$12&lt;&gt;"",CD$14&lt;&gt;""),IF(EOMONTH($CD$3+INT((DAY(EOMONTH($CD$3,0))-1)/2)+CD$14,0)=EOMONTH($BV$3,0),CD$12,0),0),IF(AND(BZ$12&lt;&gt;"",BZ$14&lt;&gt;""),IF(EOMONTH($BZ$3+INT((DAY(EOMONTH($BZ$3,0))-1)/2)+BZ$14,0)=EOMONTH($BV$3,0),BZ$12,0),0),IF(AND(BV$12&lt;&gt;"",BV$14&lt;&gt;""),IF(EOMONTH($BV$3+INT((DAY(EOMONTH($BV$3,0))-1)/2)+BV$14,0)=EOMONTH($BV$3,0),BV$12,0),0),IF(AND(BR$12&lt;&gt;"",BR$14&lt;&gt;""),IF(EOMONTH($BR$3+INT((DAY(EOMONTH($BR$3,0))-1)/2)+BR$14,0)=EOMONTH($BV$3,0),BR$12,0),0),IF(AND(BN$12&lt;&gt;"",BN$14&lt;&gt;""),IF(EOMONTH($BN$3+INT((DAY(EOMONTH($BN$3,0))-1)/2)+BN$14,0)=EOMONTH($BV$3,0),BN$12,0),0),IF(AND(BJ$12&lt;&gt;"",BJ$14&lt;&gt;""),IF(EOMONTH($BJ$3+INT((DAY(EOMONTH($BJ$3,0))-1)/2)+BJ$14,0)=EOMONTH($BV$3,0),BJ$12,0),0),IF(AND(BF$12&lt;&gt;"",BF$14&lt;&gt;""),IF(EOMONTH($BF$3+INT((DAY(EOMONTH($BF$3,0))-1)/2)+BF$14,0)=EOMONTH($BV$3,0),BF$12,0),0),IF(AND(BB$12&lt;&gt;"",BB$14&lt;&gt;""),IF(EOMONTH($BB$3+INT((DAY(EOMONTH($BB$3,0))-1)/2)+BB$14,0)=EOMONTH($BV$3,0),BB$12,0),0),IF(AND(AX$12&lt;&gt;"",AX$14&lt;&gt;""),IF(EOMONTH($AX$3+INT((DAY(EOMONTH($AX$3,0))-1)/2)+AX$14,0)=EOMONTH($BV$3,0),AX$12,0),0),IF(AND(AT$12&lt;&gt;"",AT$14&lt;&gt;""),IF(EOMONTH($AT$3+INT((DAY(EOMONTH($AT$3,0))-1)/2)+AT$14,0)=EOMONTH($BV$3,0),AT$12,0),0),IF(AND(AP$12&lt;&gt;"",AP$14&lt;&gt;""),IF(EOMONTH($AP$3+INT((DAY(EOMONTH($AP$3,0))-1)/2)+AP$14,0)=EOMONTH($BV$3,0),AP$12,0),0),IF(AND(AL$12&lt;&gt;"",AL$14&lt;&gt;""),IF(EOMONTH($AL$3+INT((DAY(EOMONTH($AL$3,0))-1)/2)+AL$14,0)=EOMONTH($BV$3,0),AL$12,0),0),IF(AND(AH$12&lt;&gt;"",AH$14&lt;&gt;""),IF(EOMONTH($AH$3+INT((DAY(EOMONTH($AH$3,0))-1)/2)+AH$14,0)=EOMONTH($BV$3,0),AH$12,0),0),IF(AND(AD$12&lt;&gt;"",AD$14&lt;&gt;""),IF(EOMONTH($AD$3+INT((DAY(EOMONTH($AD$3,0))-1)/2)+AD$14,0)=EOMONTH($BV$3,0),AD$12,0),0),IF(AND(Z$12&lt;&gt;"",Z$14&lt;&gt;""),IF(EOMONTH($Z$3+INT((DAY(EOMONTH($Z$3,0))-1)/2)+Z$14,0)=EOMONTH($BV$3,0),Z$12,0),0),IF(AND(V$12&lt;&gt;"",V$14&lt;&gt;""),IF(EOMONTH($V$3+INT((DAY(EOMONTH($V$3,0))-1)/2)+V$14,0)=EOMONTH($BV$3,0),V$12,0),0),IF(AND(R$12&lt;&gt;"",R$14&lt;&gt;""),IF(EOMONTH($R$3+INT((DAY(EOMONTH($R$3,0))-1)/2)+R$14,0)=EOMONTH($BV$3,0),R$12,0),0),IF(AND(N$12&lt;&gt;"",N$14&lt;&gt;""),IF(EOMONTH($N$3+INT((DAY(EOMONTH($N$3,0))-1)/2)+N$14,0)=EOMONTH($BV$3,0),N$12,0),0),IF(AND(J$12&lt;&gt;"",J$14&lt;&gt;""),IF(EOMONTH($J$3+INT((DAY(EOMONTH($J$3,0))-1)/2)+J$14,0)=EOMONTH($BV$3,0),J$12,0),0),IF(AND(F$12&lt;&gt;"",F$14&lt;&gt;""),IF(EOMONTH($F$3+INT((DAY(EOMONTH($F$3,0))-1)/2)+F$14,0)=EOMONTH($BV$3,0),F$12,0),0),IF($EP$75="",0,IF(EOMONTH($EP$75+EP$14,0)=EOMONTH($BV$3,0),$EP$77,0))),0)</f>
        <v>0</v>
      </c>
      <c r="BW20" s="14">
        <f t="shared" si="215"/>
        <v>14</v>
      </c>
      <c r="BX20" s="15">
        <f t="shared" si="215"/>
        <v>14</v>
      </c>
      <c r="BY20" s="16">
        <f t="shared" si="39"/>
        <v>0</v>
      </c>
      <c r="BZ20" s="13">
        <f t="shared" ref="BZ20:CB20" si="216">ROUND(SUM(IF(AND(EP$12&lt;&gt;"",EP$14&lt;&gt;""),IF(EOMONTH($EP$3+INT((DAY(EOMONTH($EP$3,0))-1)/2)+EP$14,0)=EOMONTH($BZ$3,0),EP$12,0),0),IF(AND(EL$12&lt;&gt;"",EL$14&lt;&gt;""),IF(EOMONTH($EL$3+INT((DAY(EOMONTH($EL$3,0))-1)/2)+EL$14,0)=EOMONTH($BZ$3,0),EL$12,0),0),IF(AND(EH$12&lt;&gt;"",EH$14&lt;&gt;""),IF(EOMONTH($EH$3+INT((DAY(EOMONTH($EH$3,0))-1)/2)+EH$14,0)=EOMONTH($BZ$3,0),EH$12,0),0),IF(AND(ED$12&lt;&gt;"",ED$14&lt;&gt;""),IF(EOMONTH($ED$3+INT((DAY(EOMONTH($ED$3,0))-1)/2)+ED$14,0)=EOMONTH($BZ$3,0),ED$12,0),0),IF(AND(DZ$12&lt;&gt;"",DZ$14&lt;&gt;""),IF(EOMONTH($DZ$3+INT((DAY(EOMONTH($DZ$3,0))-1)/2)+DZ$14,0)=EOMONTH($BZ$3,0),DZ$12,0),0),IF(AND(DV$12&lt;&gt;"",DV$14&lt;&gt;""),IF(EOMONTH($DV$3+INT((DAY(EOMONTH($DV$3,0))-1)/2)+DV$14,0)=EOMONTH($BZ$3,0),DV$12,0),0),IF(AND(DR$12&lt;&gt;"",DR$14&lt;&gt;""),IF(EOMONTH($DR$3+INT((DAY(EOMONTH($DR$3,0))-1)/2)+DR$14,0)=EOMONTH($BZ$3,0),DR$12,0),0),IF(AND(DN$12&lt;&gt;"",DN$14&lt;&gt;""),IF(EOMONTH($DN$3+INT((DAY(EOMONTH($DN$3,0))-1)/2)+DN$14,0)=EOMONTH($BZ$3,0),DN$12,0),0),IF(AND(DJ$12&lt;&gt;"",DJ$14&lt;&gt;""),IF(EOMONTH($DJ$3+INT((DAY(EOMONTH($DJ$3,0))-1)/2)+DJ$14,0)=EOMONTH($BZ$3,0),DJ$12,0),0),IF(AND(DF$12&lt;&gt;"",DF$14&lt;&gt;""),IF(EOMONTH($DF$3+INT((DAY(EOMONTH($DF$3,0))-1)/2)+DF$14,0)=EOMONTH($BZ$3,0),DF$12,0),0),IF(AND(DB$12&lt;&gt;"",DB$14&lt;&gt;""),IF(EOMONTH($DB$3+INT((DAY(EOMONTH($DB$3,0))-1)/2)+DB$14,0)=EOMONTH($BZ$3,0),DB$12,0),0),IF(AND(CX$12&lt;&gt;"",CX$14&lt;&gt;""),IF(EOMONTH($CX$3+INT((DAY(EOMONTH($CX$3,0))-1)/2)+CX$14,0)=EOMONTH($BZ$3,0),CX$12,0),0),IF(AND(CT$12&lt;&gt;"",CT$14&lt;&gt;""),IF(EOMONTH($CT$3+INT((DAY(EOMONTH($CT$3,0))-1)/2)+CT$14,0)=EOMONTH($BZ$3,0),CT$12,0),0),IF(AND(CP$12&lt;&gt;"",CP$14&lt;&gt;""),IF(EOMONTH($CP$3+INT((DAY(EOMONTH($CP$3,0))-1)/2)+CP$14,0)=EOMONTH($BZ$3,0),CP$12,0),0),IF(AND(CL$12&lt;&gt;"",CL$14&lt;&gt;""),IF(EOMONTH($CL$3+INT((DAY(EOMONTH($CL$3,0))-1)/2)+CL$14,0)=EOMONTH($BZ$3,0),CL$12,0),0),IF(AND(CH$12&lt;&gt;"",CH$14&lt;&gt;""),IF(EOMONTH($CH$3+INT((DAY(EOMONTH($CH$3,0))-1)/2)+CH$14,0)=EOMONTH($BZ$3,0),CH$12,0),0),IF(AND(CD$12&lt;&gt;"",CD$14&lt;&gt;""),IF(EOMONTH($CD$3+INT((DAY(EOMONTH($CD$3,0))-1)/2)+CD$14,0)=EOMONTH($BZ$3,0),CD$12,0),0),IF(AND(BZ$12&lt;&gt;"",BZ$14&lt;&gt;""),IF(EOMONTH($BZ$3+INT((DAY(EOMONTH($BZ$3,0))-1)/2)+BZ$14,0)=EOMONTH($BZ$3,0),BZ$12,0),0),IF(AND(BV$12&lt;&gt;"",BV$14&lt;&gt;""),IF(EOMONTH($BV$3+INT((DAY(EOMONTH($BV$3,0))-1)/2)+BV$14,0)=EOMONTH($BZ$3,0),BV$12,0),0),IF(AND(BR$12&lt;&gt;"",BR$14&lt;&gt;""),IF(EOMONTH($BR$3+INT((DAY(EOMONTH($BR$3,0))-1)/2)+BR$14,0)=EOMONTH($BZ$3,0),BR$12,0),0),IF(AND(BN$12&lt;&gt;"",BN$14&lt;&gt;""),IF(EOMONTH($BN$3+INT((DAY(EOMONTH($BN$3,0))-1)/2)+BN$14,0)=EOMONTH($BZ$3,0),BN$12,0),0),IF(AND(BJ$12&lt;&gt;"",BJ$14&lt;&gt;""),IF(EOMONTH($BJ$3+INT((DAY(EOMONTH($BJ$3,0))-1)/2)+BJ$14,0)=EOMONTH($BZ$3,0),BJ$12,0),0),IF(AND(BF$12&lt;&gt;"",BF$14&lt;&gt;""),IF(EOMONTH($BF$3+INT((DAY(EOMONTH($BF$3,0))-1)/2)+BF$14,0)=EOMONTH($BZ$3,0),BF$12,0),0),IF(AND(BB$12&lt;&gt;"",BB$14&lt;&gt;""),IF(EOMONTH($BB$3+INT((DAY(EOMONTH($BB$3,0))-1)/2)+BB$14,0)=EOMONTH($BZ$3,0),BB$12,0),0),IF(AND(AX$12&lt;&gt;"",AX$14&lt;&gt;""),IF(EOMONTH($AX$3+INT((DAY(EOMONTH($AX$3,0))-1)/2)+AX$14,0)=EOMONTH($BZ$3,0),AX$12,0),0),IF(AND(AT$12&lt;&gt;"",AT$14&lt;&gt;""),IF(EOMONTH($AT$3+INT((DAY(EOMONTH($AT$3,0))-1)/2)+AT$14,0)=EOMONTH($BZ$3,0),AT$12,0),0),IF(AND(AP$12&lt;&gt;"",AP$14&lt;&gt;""),IF(EOMONTH($AP$3+INT((DAY(EOMONTH($AP$3,0))-1)/2)+AP$14,0)=EOMONTH($BZ$3,0),AP$12,0),0),IF(AND(AL$12&lt;&gt;"",AL$14&lt;&gt;""),IF(EOMONTH($AL$3+INT((DAY(EOMONTH($AL$3,0))-1)/2)+AL$14,0)=EOMONTH($BZ$3,0),AL$12,0),0),IF(AND(AH$12&lt;&gt;"",AH$14&lt;&gt;""),IF(EOMONTH($AH$3+INT((DAY(EOMONTH($AH$3,0))-1)/2)+AH$14,0)=EOMONTH($BZ$3,0),AH$12,0),0),IF(AND(AD$12&lt;&gt;"",AD$14&lt;&gt;""),IF(EOMONTH($AD$3+INT((DAY(EOMONTH($AD$3,0))-1)/2)+AD$14,0)=EOMONTH($BZ$3,0),AD$12,0),0),IF(AND(Z$12&lt;&gt;"",Z$14&lt;&gt;""),IF(EOMONTH($Z$3+INT((DAY(EOMONTH($Z$3,0))-1)/2)+Z$14,0)=EOMONTH($BZ$3,0),Z$12,0),0),IF(AND(V$12&lt;&gt;"",V$14&lt;&gt;""),IF(EOMONTH($V$3+INT((DAY(EOMONTH($V$3,0))-1)/2)+V$14,0)=EOMONTH($BZ$3,0),V$12,0),0),IF(AND(R$12&lt;&gt;"",R$14&lt;&gt;""),IF(EOMONTH($R$3+INT((DAY(EOMONTH($R$3,0))-1)/2)+R$14,0)=EOMONTH($BZ$3,0),R$12,0),0),IF(AND(N$12&lt;&gt;"",N$14&lt;&gt;""),IF(EOMONTH($N$3+INT((DAY(EOMONTH($N$3,0))-1)/2)+N$14,0)=EOMONTH($BZ$3,0),N$12,0),0),IF(AND(J$12&lt;&gt;"",J$14&lt;&gt;""),IF(EOMONTH($J$3+INT((DAY(EOMONTH($J$3,0))-1)/2)+J$14,0)=EOMONTH($BZ$3,0),J$12,0),0),IF(AND(F$12&lt;&gt;"",F$14&lt;&gt;""),IF(EOMONTH($F$3+INT((DAY(EOMONTH($F$3,0))-1)/2)+F$14,0)=EOMONTH($BZ$3,0),F$12,0),0),IF($EP$75="",0,IF(EOMONTH($EP$75+EP$14,0)=EOMONTH($BZ$3,0),$EP$77,0))),0)</f>
        <v>0</v>
      </c>
      <c r="CA20" s="14">
        <f t="shared" si="216"/>
        <v>14</v>
      </c>
      <c r="CB20" s="15">
        <f t="shared" si="216"/>
        <v>14</v>
      </c>
      <c r="CC20" s="16">
        <f t="shared" si="41"/>
        <v>0</v>
      </c>
      <c r="CD20" s="13">
        <f t="shared" ref="CD20:CF20" si="217">ROUND(SUM(IF(AND(EP$12&lt;&gt;"",EP$14&lt;&gt;""),IF(EOMONTH($EP$3+INT((DAY(EOMONTH($EP$3,0))-1)/2)+EP$14,0)=EOMONTH($CD$3,0),EP$12,0),0),IF(AND(EL$12&lt;&gt;"",EL$14&lt;&gt;""),IF(EOMONTH($EL$3+INT((DAY(EOMONTH($EL$3,0))-1)/2)+EL$14,0)=EOMONTH($CD$3,0),EL$12,0),0),IF(AND(EH$12&lt;&gt;"",EH$14&lt;&gt;""),IF(EOMONTH($EH$3+INT((DAY(EOMONTH($EH$3,0))-1)/2)+EH$14,0)=EOMONTH($CD$3,0),EH$12,0),0),IF(AND(ED$12&lt;&gt;"",ED$14&lt;&gt;""),IF(EOMONTH($ED$3+INT((DAY(EOMONTH($ED$3,0))-1)/2)+ED$14,0)=EOMONTH($CD$3,0),ED$12,0),0),IF(AND(DZ$12&lt;&gt;"",DZ$14&lt;&gt;""),IF(EOMONTH($DZ$3+INT((DAY(EOMONTH($DZ$3,0))-1)/2)+DZ$14,0)=EOMONTH($CD$3,0),DZ$12,0),0),IF(AND(DV$12&lt;&gt;"",DV$14&lt;&gt;""),IF(EOMONTH($DV$3+INT((DAY(EOMONTH($DV$3,0))-1)/2)+DV$14,0)=EOMONTH($CD$3,0),DV$12,0),0),IF(AND(DR$12&lt;&gt;"",DR$14&lt;&gt;""),IF(EOMONTH($DR$3+INT((DAY(EOMONTH($DR$3,0))-1)/2)+DR$14,0)=EOMONTH($CD$3,0),DR$12,0),0),IF(AND(DN$12&lt;&gt;"",DN$14&lt;&gt;""),IF(EOMONTH($DN$3+INT((DAY(EOMONTH($DN$3,0))-1)/2)+DN$14,0)=EOMONTH($CD$3,0),DN$12,0),0),IF(AND(DJ$12&lt;&gt;"",DJ$14&lt;&gt;""),IF(EOMONTH($DJ$3+INT((DAY(EOMONTH($DJ$3,0))-1)/2)+DJ$14,0)=EOMONTH($CD$3,0),DJ$12,0),0),IF(AND(DF$12&lt;&gt;"",DF$14&lt;&gt;""),IF(EOMONTH($DF$3+INT((DAY(EOMONTH($DF$3,0))-1)/2)+DF$14,0)=EOMONTH($CD$3,0),DF$12,0),0),IF(AND(DB$12&lt;&gt;"",DB$14&lt;&gt;""),IF(EOMONTH($DB$3+INT((DAY(EOMONTH($DB$3,0))-1)/2)+DB$14,0)=EOMONTH($CD$3,0),DB$12,0),0),IF(AND(CX$12&lt;&gt;"",CX$14&lt;&gt;""),IF(EOMONTH($CX$3+INT((DAY(EOMONTH($CX$3,0))-1)/2)+CX$14,0)=EOMONTH($CD$3,0),CX$12,0),0),IF(AND(CT$12&lt;&gt;"",CT$14&lt;&gt;""),IF(EOMONTH($CT$3+INT((DAY(EOMONTH($CT$3,0))-1)/2)+CT$14,0)=EOMONTH($CD$3,0),CT$12,0),0),IF(AND(CP$12&lt;&gt;"",CP$14&lt;&gt;""),IF(EOMONTH($CP$3+INT((DAY(EOMONTH($CP$3,0))-1)/2)+CP$14,0)=EOMONTH($CD$3,0),CP$12,0),0),IF(AND(CL$12&lt;&gt;"",CL$14&lt;&gt;""),IF(EOMONTH($CL$3+INT((DAY(EOMONTH($CL$3,0))-1)/2)+CL$14,0)=EOMONTH($CD$3,0),CL$12,0),0),IF(AND(CH$12&lt;&gt;"",CH$14&lt;&gt;""),IF(EOMONTH($CH$3+INT((DAY(EOMONTH($CH$3,0))-1)/2)+CH$14,0)=EOMONTH($CD$3,0),CH$12,0),0),IF(AND(CD$12&lt;&gt;"",CD$14&lt;&gt;""),IF(EOMONTH($CD$3+INT((DAY(EOMONTH($CD$3,0))-1)/2)+CD$14,0)=EOMONTH($CD$3,0),CD$12,0),0),IF(AND(BZ$12&lt;&gt;"",BZ$14&lt;&gt;""),IF(EOMONTH($BZ$3+INT((DAY(EOMONTH($BZ$3,0))-1)/2)+BZ$14,0)=EOMONTH($CD$3,0),BZ$12,0),0),IF(AND(BV$12&lt;&gt;"",BV$14&lt;&gt;""),IF(EOMONTH($BV$3+INT((DAY(EOMONTH($BV$3,0))-1)/2)+BV$14,0)=EOMONTH($CD$3,0),BV$12,0),0),IF(AND(BR$12&lt;&gt;"",BR$14&lt;&gt;""),IF(EOMONTH($BR$3+INT((DAY(EOMONTH($BR$3,0))-1)/2)+BR$14,0)=EOMONTH($CD$3,0),BR$12,0),0),IF(AND(BN$12&lt;&gt;"",BN$14&lt;&gt;""),IF(EOMONTH($BN$3+INT((DAY(EOMONTH($BN$3,0))-1)/2)+BN$14,0)=EOMONTH($CD$3,0),BN$12,0),0),IF(AND(BJ$12&lt;&gt;"",BJ$14&lt;&gt;""),IF(EOMONTH($BJ$3+INT((DAY(EOMONTH($BJ$3,0))-1)/2)+BJ$14,0)=EOMONTH($CD$3,0),BJ$12,0),0),IF(AND(BF$12&lt;&gt;"",BF$14&lt;&gt;""),IF(EOMONTH($BF$3+INT((DAY(EOMONTH($BF$3,0))-1)/2)+BF$14,0)=EOMONTH($CD$3,0),BF$12,0),0),IF(AND(BB$12&lt;&gt;"",BB$14&lt;&gt;""),IF(EOMONTH($BB$3+INT((DAY(EOMONTH($BB$3,0))-1)/2)+BB$14,0)=EOMONTH($CD$3,0),BB$12,0),0),IF(AND(AX$12&lt;&gt;"",AX$14&lt;&gt;""),IF(EOMONTH($AX$3+INT((DAY(EOMONTH($AX$3,0))-1)/2)+AX$14,0)=EOMONTH($CD$3,0),AX$12,0),0),IF(AND(AT$12&lt;&gt;"",AT$14&lt;&gt;""),IF(EOMONTH($AT$3+INT((DAY(EOMONTH($AT$3,0))-1)/2)+AT$14,0)=EOMONTH($CD$3,0),AT$12,0),0),IF(AND(AP$12&lt;&gt;"",AP$14&lt;&gt;""),IF(EOMONTH($AP$3+INT((DAY(EOMONTH($AP$3,0))-1)/2)+AP$14,0)=EOMONTH($CD$3,0),AP$12,0),0),IF(AND(AL$12&lt;&gt;"",AL$14&lt;&gt;""),IF(EOMONTH($AL$3+INT((DAY(EOMONTH($AL$3,0))-1)/2)+AL$14,0)=EOMONTH($CD$3,0),AL$12,0),0),IF(AND(AH$12&lt;&gt;"",AH$14&lt;&gt;""),IF(EOMONTH($AH$3+INT((DAY(EOMONTH($AH$3,0))-1)/2)+AH$14,0)=EOMONTH($CD$3,0),AH$12,0),0),IF(AND(AD$12&lt;&gt;"",AD$14&lt;&gt;""),IF(EOMONTH($AD$3+INT((DAY(EOMONTH($AD$3,0))-1)/2)+AD$14,0)=EOMONTH($CD$3,0),AD$12,0),0),IF(AND(Z$12&lt;&gt;"",Z$14&lt;&gt;""),IF(EOMONTH($Z$3+INT((DAY(EOMONTH($Z$3,0))-1)/2)+Z$14,0)=EOMONTH($CD$3,0),Z$12,0),0),IF(AND(V$12&lt;&gt;"",V$14&lt;&gt;""),IF(EOMONTH($V$3+INT((DAY(EOMONTH($V$3,0))-1)/2)+V$14,0)=EOMONTH($CD$3,0),V$12,0),0),IF(AND(R$12&lt;&gt;"",R$14&lt;&gt;""),IF(EOMONTH($R$3+INT((DAY(EOMONTH($R$3,0))-1)/2)+R$14,0)=EOMONTH($CD$3,0),R$12,0),0),IF(AND(N$12&lt;&gt;"",N$14&lt;&gt;""),IF(EOMONTH($N$3+INT((DAY(EOMONTH($N$3,0))-1)/2)+N$14,0)=EOMONTH($CD$3,0),N$12,0),0),IF(AND(J$12&lt;&gt;"",J$14&lt;&gt;""),IF(EOMONTH($J$3+INT((DAY(EOMONTH($J$3,0))-1)/2)+J$14,0)=EOMONTH($CD$3,0),J$12,0),0),IF(AND(F$12&lt;&gt;"",F$14&lt;&gt;""),IF(EOMONTH($F$3+INT((DAY(EOMONTH($F$3,0))-1)/2)+F$14,0)=EOMONTH($CD$3,0),F$12,0),0),IF($EP$75="",0,IF(EOMONTH($EP$75+EP$14,0)=EOMONTH($CD$3,0),$EP$77,0))),0)</f>
        <v>0</v>
      </c>
      <c r="CE20" s="14">
        <f t="shared" si="217"/>
        <v>14</v>
      </c>
      <c r="CF20" s="15">
        <f t="shared" si="217"/>
        <v>14</v>
      </c>
      <c r="CG20" s="16">
        <f t="shared" si="43"/>
        <v>0</v>
      </c>
      <c r="CH20" s="13">
        <f t="shared" ref="CH20:CJ20" si="218">ROUND(SUM(IF(AND(EP$12&lt;&gt;"",EP$14&lt;&gt;""),IF(EOMONTH($EP$3+INT((DAY(EOMONTH($EP$3,0))-1)/2)+EP$14,0)=EOMONTH($CH$3,0),EP$12,0),0),IF(AND(EL$12&lt;&gt;"",EL$14&lt;&gt;""),IF(EOMONTH($EL$3+INT((DAY(EOMONTH($EL$3,0))-1)/2)+EL$14,0)=EOMONTH($CH$3,0),EL$12,0),0),IF(AND(EH$12&lt;&gt;"",EH$14&lt;&gt;""),IF(EOMONTH($EH$3+INT((DAY(EOMONTH($EH$3,0))-1)/2)+EH$14,0)=EOMONTH($CH$3,0),EH$12,0),0),IF(AND(ED$12&lt;&gt;"",ED$14&lt;&gt;""),IF(EOMONTH($ED$3+INT((DAY(EOMONTH($ED$3,0))-1)/2)+ED$14,0)=EOMONTH($CH$3,0),ED$12,0),0),IF(AND(DZ$12&lt;&gt;"",DZ$14&lt;&gt;""),IF(EOMONTH($DZ$3+INT((DAY(EOMONTH($DZ$3,0))-1)/2)+DZ$14,0)=EOMONTH($CH$3,0),DZ$12,0),0),IF(AND(DV$12&lt;&gt;"",DV$14&lt;&gt;""),IF(EOMONTH($DV$3+INT((DAY(EOMONTH($DV$3,0))-1)/2)+DV$14,0)=EOMONTH($CH$3,0),DV$12,0),0),IF(AND(DR$12&lt;&gt;"",DR$14&lt;&gt;""),IF(EOMONTH($DR$3+INT((DAY(EOMONTH($DR$3,0))-1)/2)+DR$14,0)=EOMONTH($CH$3,0),DR$12,0),0),IF(AND(DN$12&lt;&gt;"",DN$14&lt;&gt;""),IF(EOMONTH($DN$3+INT((DAY(EOMONTH($DN$3,0))-1)/2)+DN$14,0)=EOMONTH($CH$3,0),DN$12,0),0),IF(AND(DJ$12&lt;&gt;"",DJ$14&lt;&gt;""),IF(EOMONTH($DJ$3+INT((DAY(EOMONTH($DJ$3,0))-1)/2)+DJ$14,0)=EOMONTH($CH$3,0),DJ$12,0),0),IF(AND(DF$12&lt;&gt;"",DF$14&lt;&gt;""),IF(EOMONTH($DF$3+INT((DAY(EOMONTH($DF$3,0))-1)/2)+DF$14,0)=EOMONTH($CH$3,0),DF$12,0),0),IF(AND(DB$12&lt;&gt;"",DB$14&lt;&gt;""),IF(EOMONTH($DB$3+INT((DAY(EOMONTH($DB$3,0))-1)/2)+DB$14,0)=EOMONTH($CH$3,0),DB$12,0),0),IF(AND(CX$12&lt;&gt;"",CX$14&lt;&gt;""),IF(EOMONTH($CX$3+INT((DAY(EOMONTH($CX$3,0))-1)/2)+CX$14,0)=EOMONTH($CH$3,0),CX$12,0),0),IF(AND(CT$12&lt;&gt;"",CT$14&lt;&gt;""),IF(EOMONTH($CT$3+INT((DAY(EOMONTH($CT$3,0))-1)/2)+CT$14,0)=EOMONTH($CH$3,0),CT$12,0),0),IF(AND(CP$12&lt;&gt;"",CP$14&lt;&gt;""),IF(EOMONTH($CP$3+INT((DAY(EOMONTH($CP$3,0))-1)/2)+CP$14,0)=EOMONTH($CH$3,0),CP$12,0),0),IF(AND(CL$12&lt;&gt;"",CL$14&lt;&gt;""),IF(EOMONTH($CL$3+INT((DAY(EOMONTH($CL$3,0))-1)/2)+CL$14,0)=EOMONTH($CH$3,0),CL$12,0),0),IF(AND(CH$12&lt;&gt;"",CH$14&lt;&gt;""),IF(EOMONTH($CH$3+INT((DAY(EOMONTH($CH$3,0))-1)/2)+CH$14,0)=EOMONTH($CH$3,0),CH$12,0),0),IF(AND(CD$12&lt;&gt;"",CD$14&lt;&gt;""),IF(EOMONTH($CD$3+INT((DAY(EOMONTH($CD$3,0))-1)/2)+CD$14,0)=EOMONTH($CH$3,0),CD$12,0),0),IF(AND(BZ$12&lt;&gt;"",BZ$14&lt;&gt;""),IF(EOMONTH($BZ$3+INT((DAY(EOMONTH($BZ$3,0))-1)/2)+BZ$14,0)=EOMONTH($CH$3,0),BZ$12,0),0),IF(AND(BV$12&lt;&gt;"",BV$14&lt;&gt;""),IF(EOMONTH($BV$3+INT((DAY(EOMONTH($BV$3,0))-1)/2)+BV$14,0)=EOMONTH($CH$3,0),BV$12,0),0),IF(AND(BR$12&lt;&gt;"",BR$14&lt;&gt;""),IF(EOMONTH($BR$3+INT((DAY(EOMONTH($BR$3,0))-1)/2)+BR$14,0)=EOMONTH($CH$3,0),BR$12,0),0),IF(AND(BN$12&lt;&gt;"",BN$14&lt;&gt;""),IF(EOMONTH($BN$3+INT((DAY(EOMONTH($BN$3,0))-1)/2)+BN$14,0)=EOMONTH($CH$3,0),BN$12,0),0),IF(AND(BJ$12&lt;&gt;"",BJ$14&lt;&gt;""),IF(EOMONTH($BJ$3+INT((DAY(EOMONTH($BJ$3,0))-1)/2)+BJ$14,0)=EOMONTH($CH$3,0),BJ$12,0),0),IF(AND(BF$12&lt;&gt;"",BF$14&lt;&gt;""),IF(EOMONTH($BF$3+INT((DAY(EOMONTH($BF$3,0))-1)/2)+BF$14,0)=EOMONTH($CH$3,0),BF$12,0),0),IF(AND(BB$12&lt;&gt;"",BB$14&lt;&gt;""),IF(EOMONTH($BB$3+INT((DAY(EOMONTH($BB$3,0))-1)/2)+BB$14,0)=EOMONTH($CH$3,0),BB$12,0),0),IF(AND(AX$12&lt;&gt;"",AX$14&lt;&gt;""),IF(EOMONTH($AX$3+INT((DAY(EOMONTH($AX$3,0))-1)/2)+AX$14,0)=EOMONTH($CH$3,0),AX$12,0),0),IF(AND(AT$12&lt;&gt;"",AT$14&lt;&gt;""),IF(EOMONTH($AT$3+INT((DAY(EOMONTH($AT$3,0))-1)/2)+AT$14,0)=EOMONTH($CH$3,0),AT$12,0),0),IF(AND(AP$12&lt;&gt;"",AP$14&lt;&gt;""),IF(EOMONTH($AP$3+INT((DAY(EOMONTH($AP$3,0))-1)/2)+AP$14,0)=EOMONTH($CH$3,0),AP$12,0),0),IF(AND(AL$12&lt;&gt;"",AL$14&lt;&gt;""),IF(EOMONTH($AL$3+INT((DAY(EOMONTH($AL$3,0))-1)/2)+AL$14,0)=EOMONTH($CH$3,0),AL$12,0),0),IF(AND(AH$12&lt;&gt;"",AH$14&lt;&gt;""),IF(EOMONTH($AH$3+INT((DAY(EOMONTH($AH$3,0))-1)/2)+AH$14,0)=EOMONTH($CH$3,0),AH$12,0),0),IF(AND(AD$12&lt;&gt;"",AD$14&lt;&gt;""),IF(EOMONTH($AD$3+INT((DAY(EOMONTH($AD$3,0))-1)/2)+AD$14,0)=EOMONTH($CH$3,0),AD$12,0),0),IF(AND(Z$12&lt;&gt;"",Z$14&lt;&gt;""),IF(EOMONTH($Z$3+INT((DAY(EOMONTH($Z$3,0))-1)/2)+Z$14,0)=EOMONTH($CH$3,0),Z$12,0),0),IF(AND(V$12&lt;&gt;"",V$14&lt;&gt;""),IF(EOMONTH($V$3+INT((DAY(EOMONTH($V$3,0))-1)/2)+V$14,0)=EOMONTH($CH$3,0),V$12,0),0),IF(AND(R$12&lt;&gt;"",R$14&lt;&gt;""),IF(EOMONTH($R$3+INT((DAY(EOMONTH($R$3,0))-1)/2)+R$14,0)=EOMONTH($CH$3,0),R$12,0),0),IF(AND(N$12&lt;&gt;"",N$14&lt;&gt;""),IF(EOMONTH($N$3+INT((DAY(EOMONTH($N$3,0))-1)/2)+N$14,0)=EOMONTH($CH$3,0),N$12,0),0),IF(AND(J$12&lt;&gt;"",J$14&lt;&gt;""),IF(EOMONTH($J$3+INT((DAY(EOMONTH($J$3,0))-1)/2)+J$14,0)=EOMONTH($CH$3,0),J$12,0),0),IF(AND(F$12&lt;&gt;"",F$14&lt;&gt;""),IF(EOMONTH($F$3+INT((DAY(EOMONTH($F$3,0))-1)/2)+F$14,0)=EOMONTH($CH$3,0),F$12,0),0),IF($EP$75="",0,IF(EOMONTH($EP$75+EP$14,0)=EOMONTH($CH$3,0),$EP$77,0))),0)</f>
        <v>0</v>
      </c>
      <c r="CI20" s="14">
        <f t="shared" si="218"/>
        <v>13</v>
      </c>
      <c r="CJ20" s="15">
        <f t="shared" si="218"/>
        <v>13</v>
      </c>
      <c r="CK20" s="16">
        <f t="shared" si="45"/>
        <v>0</v>
      </c>
      <c r="CL20" s="13">
        <f t="shared" ref="CL20:CN20" si="219">ROUND(SUM(IF(AND(EP$12&lt;&gt;"",EP$14&lt;&gt;""),IF(EOMONTH($EP$3+INT((DAY(EOMONTH($EP$3,0))-1)/2)+EP$14,0)=EOMONTH($CL$3,0),EP$12,0),0),IF(AND(EL$12&lt;&gt;"",EL$14&lt;&gt;""),IF(EOMONTH($EL$3+INT((DAY(EOMONTH($EL$3,0))-1)/2)+EL$14,0)=EOMONTH($CL$3,0),EL$12,0),0),IF(AND(EH$12&lt;&gt;"",EH$14&lt;&gt;""),IF(EOMONTH($EH$3+INT((DAY(EOMONTH($EH$3,0))-1)/2)+EH$14,0)=EOMONTH($CL$3,0),EH$12,0),0),IF(AND(ED$12&lt;&gt;"",ED$14&lt;&gt;""),IF(EOMONTH($ED$3+INT((DAY(EOMONTH($ED$3,0))-1)/2)+ED$14,0)=EOMONTH($CL$3,0),ED$12,0),0),IF(AND(DZ$12&lt;&gt;"",DZ$14&lt;&gt;""),IF(EOMONTH($DZ$3+INT((DAY(EOMONTH($DZ$3,0))-1)/2)+DZ$14,0)=EOMONTH($CL$3,0),DZ$12,0),0),IF(AND(DV$12&lt;&gt;"",DV$14&lt;&gt;""),IF(EOMONTH($DV$3+INT((DAY(EOMONTH($DV$3,0))-1)/2)+DV$14,0)=EOMONTH($CL$3,0),DV$12,0),0),IF(AND(DR$12&lt;&gt;"",DR$14&lt;&gt;""),IF(EOMONTH($DR$3+INT((DAY(EOMONTH($DR$3,0))-1)/2)+DR$14,0)=EOMONTH($CL$3,0),DR$12,0),0),IF(AND(DN$12&lt;&gt;"",DN$14&lt;&gt;""),IF(EOMONTH($DN$3+INT((DAY(EOMONTH($DN$3,0))-1)/2)+DN$14,0)=EOMONTH($CL$3,0),DN$12,0),0),IF(AND(DJ$12&lt;&gt;"",DJ$14&lt;&gt;""),IF(EOMONTH($DJ$3+INT((DAY(EOMONTH($DJ$3,0))-1)/2)+DJ$14,0)=EOMONTH($CL$3,0),DJ$12,0),0),IF(AND(DF$12&lt;&gt;"",DF$14&lt;&gt;""),IF(EOMONTH($DF$3+INT((DAY(EOMONTH($DF$3,0))-1)/2)+DF$14,0)=EOMONTH($CL$3,0),DF$12,0),0),IF(AND(DB$12&lt;&gt;"",DB$14&lt;&gt;""),IF(EOMONTH($DB$3+INT((DAY(EOMONTH($DB$3,0))-1)/2)+DB$14,0)=EOMONTH($CL$3,0),DB$12,0),0),IF(AND(CX$12&lt;&gt;"",CX$14&lt;&gt;""),IF(EOMONTH($CX$3+INT((DAY(EOMONTH($CX$3,0))-1)/2)+CX$14,0)=EOMONTH($CL$3,0),CX$12,0),0),IF(AND(CT$12&lt;&gt;"",CT$14&lt;&gt;""),IF(EOMONTH($CT$3+INT((DAY(EOMONTH($CT$3,0))-1)/2)+CT$14,0)=EOMONTH($CL$3,0),CT$12,0),0),IF(AND(CP$12&lt;&gt;"",CP$14&lt;&gt;""),IF(EOMONTH($CP$3+INT((DAY(EOMONTH($CP$3,0))-1)/2)+CP$14,0)=EOMONTH($CL$3,0),CP$12,0),0),IF(AND(CL$12&lt;&gt;"",CL$14&lt;&gt;""),IF(EOMONTH($CL$3+INT((DAY(EOMONTH($CL$3,0))-1)/2)+CL$14,0)=EOMONTH($CL$3,0),CL$12,0),0),IF(AND(CH$12&lt;&gt;"",CH$14&lt;&gt;""),IF(EOMONTH($CH$3+INT((DAY(EOMONTH($CH$3,0))-1)/2)+CH$14,0)=EOMONTH($CL$3,0),CH$12,0),0),IF(AND(CD$12&lt;&gt;"",CD$14&lt;&gt;""),IF(EOMONTH($CD$3+INT((DAY(EOMONTH($CD$3,0))-1)/2)+CD$14,0)=EOMONTH($CL$3,0),CD$12,0),0),IF(AND(BZ$12&lt;&gt;"",BZ$14&lt;&gt;""),IF(EOMONTH($BZ$3+INT((DAY(EOMONTH($BZ$3,0))-1)/2)+BZ$14,0)=EOMONTH($CL$3,0),BZ$12,0),0),IF(AND(BV$12&lt;&gt;"",BV$14&lt;&gt;""),IF(EOMONTH($BV$3+INT((DAY(EOMONTH($BV$3,0))-1)/2)+BV$14,0)=EOMONTH($CL$3,0),BV$12,0),0),IF(AND(BR$12&lt;&gt;"",BR$14&lt;&gt;""),IF(EOMONTH($BR$3+INT((DAY(EOMONTH($BR$3,0))-1)/2)+BR$14,0)=EOMONTH($CL$3,0),BR$12,0),0),IF(AND(BN$12&lt;&gt;"",BN$14&lt;&gt;""),IF(EOMONTH($BN$3+INT((DAY(EOMONTH($BN$3,0))-1)/2)+BN$14,0)=EOMONTH($CL$3,0),BN$12,0),0),IF(AND(BJ$12&lt;&gt;"",BJ$14&lt;&gt;""),IF(EOMONTH($BJ$3+INT((DAY(EOMONTH($BJ$3,0))-1)/2)+BJ$14,0)=EOMONTH($CL$3,0),BJ$12,0),0),IF(AND(BF$12&lt;&gt;"",BF$14&lt;&gt;""),IF(EOMONTH($BF$3+INT((DAY(EOMONTH($BF$3,0))-1)/2)+BF$14,0)=EOMONTH($CL$3,0),BF$12,0),0),IF(AND(BB$12&lt;&gt;"",BB$14&lt;&gt;""),IF(EOMONTH($BB$3+INT((DAY(EOMONTH($BB$3,0))-1)/2)+BB$14,0)=EOMONTH($CL$3,0),BB$12,0),0),IF(AND(AX$12&lt;&gt;"",AX$14&lt;&gt;""),IF(EOMONTH($AX$3+INT((DAY(EOMONTH($AX$3,0))-1)/2)+AX$14,0)=EOMONTH($CL$3,0),AX$12,0),0),IF(AND(AT$12&lt;&gt;"",AT$14&lt;&gt;""),IF(EOMONTH($AT$3+INT((DAY(EOMONTH($AT$3,0))-1)/2)+AT$14,0)=EOMONTH($CL$3,0),AT$12,0),0),IF(AND(AP$12&lt;&gt;"",AP$14&lt;&gt;""),IF(EOMONTH($AP$3+INT((DAY(EOMONTH($AP$3,0))-1)/2)+AP$14,0)=EOMONTH($CL$3,0),AP$12,0),0),IF(AND(AL$12&lt;&gt;"",AL$14&lt;&gt;""),IF(EOMONTH($AL$3+INT((DAY(EOMONTH($AL$3,0))-1)/2)+AL$14,0)=EOMONTH($CL$3,0),AL$12,0),0),IF(AND(AH$12&lt;&gt;"",AH$14&lt;&gt;""),IF(EOMONTH($AH$3+INT((DAY(EOMONTH($AH$3,0))-1)/2)+AH$14,0)=EOMONTH($CL$3,0),AH$12,0),0),IF(AND(AD$12&lt;&gt;"",AD$14&lt;&gt;""),IF(EOMONTH($AD$3+INT((DAY(EOMONTH($AD$3,0))-1)/2)+AD$14,0)=EOMONTH($CL$3,0),AD$12,0),0),IF(AND(Z$12&lt;&gt;"",Z$14&lt;&gt;""),IF(EOMONTH($Z$3+INT((DAY(EOMONTH($Z$3,0))-1)/2)+Z$14,0)=EOMONTH($CL$3,0),Z$12,0),0),IF(AND(V$12&lt;&gt;"",V$14&lt;&gt;""),IF(EOMONTH($V$3+INT((DAY(EOMONTH($V$3,0))-1)/2)+V$14,0)=EOMONTH($CL$3,0),V$12,0),0),IF(AND(R$12&lt;&gt;"",R$14&lt;&gt;""),IF(EOMONTH($R$3+INT((DAY(EOMONTH($R$3,0))-1)/2)+R$14,0)=EOMONTH($CL$3,0),R$12,0),0),IF(AND(N$12&lt;&gt;"",N$14&lt;&gt;""),IF(EOMONTH($N$3+INT((DAY(EOMONTH($N$3,0))-1)/2)+N$14,0)=EOMONTH($CL$3,0),N$12,0),0),IF(AND(J$12&lt;&gt;"",J$14&lt;&gt;""),IF(EOMONTH($J$3+INT((DAY(EOMONTH($J$3,0))-1)/2)+J$14,0)=EOMONTH($CL$3,0),J$12,0),0),IF(AND(F$12&lt;&gt;"",F$14&lt;&gt;""),IF(EOMONTH($F$3+INT((DAY(EOMONTH($F$3,0))-1)/2)+F$14,0)=EOMONTH($CL$3,0),F$12,0),0),IF($EP$75="",0,IF(EOMONTH($EP$75+EP$14,0)=EOMONTH($CL$3,0),$EP$77,0))),0)</f>
        <v>0</v>
      </c>
      <c r="CM20" s="14">
        <f t="shared" si="219"/>
        <v>13</v>
      </c>
      <c r="CN20" s="15">
        <f t="shared" si="219"/>
        <v>13</v>
      </c>
      <c r="CO20" s="16">
        <f t="shared" si="47"/>
        <v>0</v>
      </c>
      <c r="CP20" s="13">
        <f t="shared" ref="CP20:CR20" si="220">ROUND(SUM(IF(AND(EP$12&lt;&gt;"",EP$14&lt;&gt;""),IF(EOMONTH($EP$3+INT((DAY(EOMONTH($EP$3,0))-1)/2)+EP$14,0)=EOMONTH($CP$3,0),EP$12,0),0),IF(AND(EL$12&lt;&gt;"",EL$14&lt;&gt;""),IF(EOMONTH($EL$3+INT((DAY(EOMONTH($EL$3,0))-1)/2)+EL$14,0)=EOMONTH($CP$3,0),EL$12,0),0),IF(AND(EH$12&lt;&gt;"",EH$14&lt;&gt;""),IF(EOMONTH($EH$3+INT((DAY(EOMONTH($EH$3,0))-1)/2)+EH$14,0)=EOMONTH($CP$3,0),EH$12,0),0),IF(AND(ED$12&lt;&gt;"",ED$14&lt;&gt;""),IF(EOMONTH($ED$3+INT((DAY(EOMONTH($ED$3,0))-1)/2)+ED$14,0)=EOMONTH($CP$3,0),ED$12,0),0),IF(AND(DZ$12&lt;&gt;"",DZ$14&lt;&gt;""),IF(EOMONTH($DZ$3+INT((DAY(EOMONTH($DZ$3,0))-1)/2)+DZ$14,0)=EOMONTH($CP$3,0),DZ$12,0),0),IF(AND(DV$12&lt;&gt;"",DV$14&lt;&gt;""),IF(EOMONTH($DV$3+INT((DAY(EOMONTH($DV$3,0))-1)/2)+DV$14,0)=EOMONTH($CP$3,0),DV$12,0),0),IF(AND(DR$12&lt;&gt;"",DR$14&lt;&gt;""),IF(EOMONTH($DR$3+INT((DAY(EOMONTH($DR$3,0))-1)/2)+DR$14,0)=EOMONTH($CP$3,0),DR$12,0),0),IF(AND(DN$12&lt;&gt;"",DN$14&lt;&gt;""),IF(EOMONTH($DN$3+INT((DAY(EOMONTH($DN$3,0))-1)/2)+DN$14,0)=EOMONTH($CP$3,0),DN$12,0),0),IF(AND(DJ$12&lt;&gt;"",DJ$14&lt;&gt;""),IF(EOMONTH($DJ$3+INT((DAY(EOMONTH($DJ$3,0))-1)/2)+DJ$14,0)=EOMONTH($CP$3,0),DJ$12,0),0),IF(AND(DF$12&lt;&gt;"",DF$14&lt;&gt;""),IF(EOMONTH($DF$3+INT((DAY(EOMONTH($DF$3,0))-1)/2)+DF$14,0)=EOMONTH($CP$3,0),DF$12,0),0),IF(AND(DB$12&lt;&gt;"",DB$14&lt;&gt;""),IF(EOMONTH($DB$3+INT((DAY(EOMONTH($DB$3,0))-1)/2)+DB$14,0)=EOMONTH($CP$3,0),DB$12,0),0),IF(AND(CX$12&lt;&gt;"",CX$14&lt;&gt;""),IF(EOMONTH($CX$3+INT((DAY(EOMONTH($CX$3,0))-1)/2)+CX$14,0)=EOMONTH($CP$3,0),CX$12,0),0),IF(AND(CT$12&lt;&gt;"",CT$14&lt;&gt;""),IF(EOMONTH($CT$3+INT((DAY(EOMONTH($CT$3,0))-1)/2)+CT$14,0)=EOMONTH($CP$3,0),CT$12,0),0),IF(AND(CP$12&lt;&gt;"",CP$14&lt;&gt;""),IF(EOMONTH($CP$3+INT((DAY(EOMONTH($CP$3,0))-1)/2)+CP$14,0)=EOMONTH($CP$3,0),CP$12,0),0),IF(AND(CL$12&lt;&gt;"",CL$14&lt;&gt;""),IF(EOMONTH($CL$3+INT((DAY(EOMONTH($CL$3,0))-1)/2)+CL$14,0)=EOMONTH($CP$3,0),CL$12,0),0),IF(AND(CH$12&lt;&gt;"",CH$14&lt;&gt;""),IF(EOMONTH($CH$3+INT((DAY(EOMONTH($CH$3,0))-1)/2)+CH$14,0)=EOMONTH($CP$3,0),CH$12,0),0),IF(AND(CD$12&lt;&gt;"",CD$14&lt;&gt;""),IF(EOMONTH($CD$3+INT((DAY(EOMONTH($CD$3,0))-1)/2)+CD$14,0)=EOMONTH($CP$3,0),CD$12,0),0),IF(AND(BZ$12&lt;&gt;"",BZ$14&lt;&gt;""),IF(EOMONTH($BZ$3+INT((DAY(EOMONTH($BZ$3,0))-1)/2)+BZ$14,0)=EOMONTH($CP$3,0),BZ$12,0),0),IF(AND(BV$12&lt;&gt;"",BV$14&lt;&gt;""),IF(EOMONTH($BV$3+INT((DAY(EOMONTH($BV$3,0))-1)/2)+BV$14,0)=EOMONTH($CP$3,0),BV$12,0),0),IF(AND(BR$12&lt;&gt;"",BR$14&lt;&gt;""),IF(EOMONTH($BR$3+INT((DAY(EOMONTH($BR$3,0))-1)/2)+BR$14,0)=EOMONTH($CP$3,0),BR$12,0),0),IF(AND(BN$12&lt;&gt;"",BN$14&lt;&gt;""),IF(EOMONTH($BN$3+INT((DAY(EOMONTH($BN$3,0))-1)/2)+BN$14,0)=EOMONTH($CP$3,0),BN$12,0),0),IF(AND(BJ$12&lt;&gt;"",BJ$14&lt;&gt;""),IF(EOMONTH($BJ$3+INT((DAY(EOMONTH($BJ$3,0))-1)/2)+BJ$14,0)=EOMONTH($CP$3,0),BJ$12,0),0),IF(AND(BF$12&lt;&gt;"",BF$14&lt;&gt;""),IF(EOMONTH($BF$3+INT((DAY(EOMONTH($BF$3,0))-1)/2)+BF$14,0)=EOMONTH($CP$3,0),BF$12,0),0),IF(AND(BB$12&lt;&gt;"",BB$14&lt;&gt;""),IF(EOMONTH($BB$3+INT((DAY(EOMONTH($BB$3,0))-1)/2)+BB$14,0)=EOMONTH($CP$3,0),BB$12,0),0),IF(AND(AX$12&lt;&gt;"",AX$14&lt;&gt;""),IF(EOMONTH($AX$3+INT((DAY(EOMONTH($AX$3,0))-1)/2)+AX$14,0)=EOMONTH($CP$3,0),AX$12,0),0),IF(AND(AT$12&lt;&gt;"",AT$14&lt;&gt;""),IF(EOMONTH($AT$3+INT((DAY(EOMONTH($AT$3,0))-1)/2)+AT$14,0)=EOMONTH($CP$3,0),AT$12,0),0),IF(AND(AP$12&lt;&gt;"",AP$14&lt;&gt;""),IF(EOMONTH($AP$3+INT((DAY(EOMONTH($AP$3,0))-1)/2)+AP$14,0)=EOMONTH($CP$3,0),AP$12,0),0),IF(AND(AL$12&lt;&gt;"",AL$14&lt;&gt;""),IF(EOMONTH($AL$3+INT((DAY(EOMONTH($AL$3,0))-1)/2)+AL$14,0)=EOMONTH($CP$3,0),AL$12,0),0),IF(AND(AH$12&lt;&gt;"",AH$14&lt;&gt;""),IF(EOMONTH($AH$3+INT((DAY(EOMONTH($AH$3,0))-1)/2)+AH$14,0)=EOMONTH($CP$3,0),AH$12,0),0),IF(AND(AD$12&lt;&gt;"",AD$14&lt;&gt;""),IF(EOMONTH($AD$3+INT((DAY(EOMONTH($AD$3,0))-1)/2)+AD$14,0)=EOMONTH($CP$3,0),AD$12,0),0),IF(AND(Z$12&lt;&gt;"",Z$14&lt;&gt;""),IF(EOMONTH($Z$3+INT((DAY(EOMONTH($Z$3,0))-1)/2)+Z$14,0)=EOMONTH($CP$3,0),Z$12,0),0),IF(AND(V$12&lt;&gt;"",V$14&lt;&gt;""),IF(EOMONTH($V$3+INT((DAY(EOMONTH($V$3,0))-1)/2)+V$14,0)=EOMONTH($CP$3,0),V$12,0),0),IF(AND(R$12&lt;&gt;"",R$14&lt;&gt;""),IF(EOMONTH($R$3+INT((DAY(EOMONTH($R$3,0))-1)/2)+R$14,0)=EOMONTH($CP$3,0),R$12,0),0),IF(AND(N$12&lt;&gt;"",N$14&lt;&gt;""),IF(EOMONTH($N$3+INT((DAY(EOMONTH($N$3,0))-1)/2)+N$14,0)=EOMONTH($CP$3,0),N$12,0),0),IF(AND(J$12&lt;&gt;"",J$14&lt;&gt;""),IF(EOMONTH($J$3+INT((DAY(EOMONTH($J$3,0))-1)/2)+J$14,0)=EOMONTH($CP$3,0),J$12,0),0),IF(AND(F$12&lt;&gt;"",F$14&lt;&gt;""),IF(EOMONTH($F$3+INT((DAY(EOMONTH($F$3,0))-1)/2)+F$14,0)=EOMONTH($CP$3,0),F$12,0),0),IF($EP$75="",0,IF(EOMONTH($EP$75+EP$14,0)=EOMONTH($CP$3,0),$EP$77,0))),0)</f>
        <v>0</v>
      </c>
      <c r="CQ20" s="14">
        <f t="shared" si="220"/>
        <v>13</v>
      </c>
      <c r="CR20" s="15">
        <f t="shared" si="220"/>
        <v>13</v>
      </c>
      <c r="CS20" s="16">
        <f t="shared" si="49"/>
        <v>0</v>
      </c>
      <c r="CT20" s="13">
        <f t="shared" ref="CT20:CV20" si="221">ROUND(SUM(IF(AND(EP$12&lt;&gt;"",EP$14&lt;&gt;""),IF(EOMONTH($EP$3+INT((DAY(EOMONTH($EP$3,0))-1)/2)+EP$14,0)=EOMONTH($CT$3,0),EP$12,0),0),IF(AND(EL$12&lt;&gt;"",EL$14&lt;&gt;""),IF(EOMONTH($EL$3+INT((DAY(EOMONTH($EL$3,0))-1)/2)+EL$14,0)=EOMONTH($CT$3,0),EL$12,0),0),IF(AND(EH$12&lt;&gt;"",EH$14&lt;&gt;""),IF(EOMONTH($EH$3+INT((DAY(EOMONTH($EH$3,0))-1)/2)+EH$14,0)=EOMONTH($CT$3,0),EH$12,0),0),IF(AND(ED$12&lt;&gt;"",ED$14&lt;&gt;""),IF(EOMONTH($ED$3+INT((DAY(EOMONTH($ED$3,0))-1)/2)+ED$14,0)=EOMONTH($CT$3,0),ED$12,0),0),IF(AND(DZ$12&lt;&gt;"",DZ$14&lt;&gt;""),IF(EOMONTH($DZ$3+INT((DAY(EOMONTH($DZ$3,0))-1)/2)+DZ$14,0)=EOMONTH($CT$3,0),DZ$12,0),0),IF(AND(DV$12&lt;&gt;"",DV$14&lt;&gt;""),IF(EOMONTH($DV$3+INT((DAY(EOMONTH($DV$3,0))-1)/2)+DV$14,0)=EOMONTH($CT$3,0),DV$12,0),0),IF(AND(DR$12&lt;&gt;"",DR$14&lt;&gt;""),IF(EOMONTH($DR$3+INT((DAY(EOMONTH($DR$3,0))-1)/2)+DR$14,0)=EOMONTH($CT$3,0),DR$12,0),0),IF(AND(DN$12&lt;&gt;"",DN$14&lt;&gt;""),IF(EOMONTH($DN$3+INT((DAY(EOMONTH($DN$3,0))-1)/2)+DN$14,0)=EOMONTH($CT$3,0),DN$12,0),0),IF(AND(DJ$12&lt;&gt;"",DJ$14&lt;&gt;""),IF(EOMONTH($DJ$3+INT((DAY(EOMONTH($DJ$3,0))-1)/2)+DJ$14,0)=EOMONTH($CT$3,0),DJ$12,0),0),IF(AND(DF$12&lt;&gt;"",DF$14&lt;&gt;""),IF(EOMONTH($DF$3+INT((DAY(EOMONTH($DF$3,0))-1)/2)+DF$14,0)=EOMONTH($CT$3,0),DF$12,0),0),IF(AND(DB$12&lt;&gt;"",DB$14&lt;&gt;""),IF(EOMONTH($DB$3+INT((DAY(EOMONTH($DB$3,0))-1)/2)+DB$14,0)=EOMONTH($CT$3,0),DB$12,0),0),IF(AND(CX$12&lt;&gt;"",CX$14&lt;&gt;""),IF(EOMONTH($CX$3+INT((DAY(EOMONTH($CX$3,0))-1)/2)+CX$14,0)=EOMONTH($CT$3,0),CX$12,0),0),IF(AND(CT$12&lt;&gt;"",CT$14&lt;&gt;""),IF(EOMONTH($CT$3+INT((DAY(EOMONTH($CT$3,0))-1)/2)+CT$14,0)=EOMONTH($CT$3,0),CT$12,0),0),IF(AND(CP$12&lt;&gt;"",CP$14&lt;&gt;""),IF(EOMONTH($CP$3+INT((DAY(EOMONTH($CP$3,0))-1)/2)+CP$14,0)=EOMONTH($CT$3,0),CP$12,0),0),IF(AND(CL$12&lt;&gt;"",CL$14&lt;&gt;""),IF(EOMONTH($CL$3+INT((DAY(EOMONTH($CL$3,0))-1)/2)+CL$14,0)=EOMONTH($CT$3,0),CL$12,0),0),IF(AND(CH$12&lt;&gt;"",CH$14&lt;&gt;""),IF(EOMONTH($CH$3+INT((DAY(EOMONTH($CH$3,0))-1)/2)+CH$14,0)=EOMONTH($CT$3,0),CH$12,0),0),IF(AND(CD$12&lt;&gt;"",CD$14&lt;&gt;""),IF(EOMONTH($CD$3+INT((DAY(EOMONTH($CD$3,0))-1)/2)+CD$14,0)=EOMONTH($CT$3,0),CD$12,0),0),IF(AND(BZ$12&lt;&gt;"",BZ$14&lt;&gt;""),IF(EOMONTH($BZ$3+INT((DAY(EOMONTH($BZ$3,0))-1)/2)+BZ$14,0)=EOMONTH($CT$3,0),BZ$12,0),0),IF(AND(BV$12&lt;&gt;"",BV$14&lt;&gt;""),IF(EOMONTH($BV$3+INT((DAY(EOMONTH($BV$3,0))-1)/2)+BV$14,0)=EOMONTH($CT$3,0),BV$12,0),0),IF(AND(BR$12&lt;&gt;"",BR$14&lt;&gt;""),IF(EOMONTH($BR$3+INT((DAY(EOMONTH($BR$3,0))-1)/2)+BR$14,0)=EOMONTH($CT$3,0),BR$12,0),0),IF(AND(BN$12&lt;&gt;"",BN$14&lt;&gt;""),IF(EOMONTH($BN$3+INT((DAY(EOMONTH($BN$3,0))-1)/2)+BN$14,0)=EOMONTH($CT$3,0),BN$12,0),0),IF(AND(BJ$12&lt;&gt;"",BJ$14&lt;&gt;""),IF(EOMONTH($BJ$3+INT((DAY(EOMONTH($BJ$3,0))-1)/2)+BJ$14,0)=EOMONTH($CT$3,0),BJ$12,0),0),IF(AND(BF$12&lt;&gt;"",BF$14&lt;&gt;""),IF(EOMONTH($BF$3+INT((DAY(EOMONTH($BF$3,0))-1)/2)+BF$14,0)=EOMONTH($CT$3,0),BF$12,0),0),IF(AND(BB$12&lt;&gt;"",BB$14&lt;&gt;""),IF(EOMONTH($BB$3+INT((DAY(EOMONTH($BB$3,0))-1)/2)+BB$14,0)=EOMONTH($CT$3,0),BB$12,0),0),IF(AND(AX$12&lt;&gt;"",AX$14&lt;&gt;""),IF(EOMONTH($AX$3+INT((DAY(EOMONTH($AX$3,0))-1)/2)+AX$14,0)=EOMONTH($CT$3,0),AX$12,0),0),IF(AND(AT$12&lt;&gt;"",AT$14&lt;&gt;""),IF(EOMONTH($AT$3+INT((DAY(EOMONTH($AT$3,0))-1)/2)+AT$14,0)=EOMONTH($CT$3,0),AT$12,0),0),IF(AND(AP$12&lt;&gt;"",AP$14&lt;&gt;""),IF(EOMONTH($AP$3+INT((DAY(EOMONTH($AP$3,0))-1)/2)+AP$14,0)=EOMONTH($CT$3,0),AP$12,0),0),IF(AND(AL$12&lt;&gt;"",AL$14&lt;&gt;""),IF(EOMONTH($AL$3+INT((DAY(EOMONTH($AL$3,0))-1)/2)+AL$14,0)=EOMONTH($CT$3,0),AL$12,0),0),IF(AND(AH$12&lt;&gt;"",AH$14&lt;&gt;""),IF(EOMONTH($AH$3+INT((DAY(EOMONTH($AH$3,0))-1)/2)+AH$14,0)=EOMONTH($CT$3,0),AH$12,0),0),IF(AND(AD$12&lt;&gt;"",AD$14&lt;&gt;""),IF(EOMONTH($AD$3+INT((DAY(EOMONTH($AD$3,0))-1)/2)+AD$14,0)=EOMONTH($CT$3,0),AD$12,0),0),IF(AND(Z$12&lt;&gt;"",Z$14&lt;&gt;""),IF(EOMONTH($Z$3+INT((DAY(EOMONTH($Z$3,0))-1)/2)+Z$14,0)=EOMONTH($CT$3,0),Z$12,0),0),IF(AND(V$12&lt;&gt;"",V$14&lt;&gt;""),IF(EOMONTH($V$3+INT((DAY(EOMONTH($V$3,0))-1)/2)+V$14,0)=EOMONTH($CT$3,0),V$12,0),0),IF(AND(R$12&lt;&gt;"",R$14&lt;&gt;""),IF(EOMONTH($R$3+INT((DAY(EOMONTH($R$3,0))-1)/2)+R$14,0)=EOMONTH($CT$3,0),R$12,0),0),IF(AND(N$12&lt;&gt;"",N$14&lt;&gt;""),IF(EOMONTH($N$3+INT((DAY(EOMONTH($N$3,0))-1)/2)+N$14,0)=EOMONTH($CT$3,0),N$12,0),0),IF(AND(J$12&lt;&gt;"",J$14&lt;&gt;""),IF(EOMONTH($J$3+INT((DAY(EOMONTH($J$3,0))-1)/2)+J$14,0)=EOMONTH($CT$3,0),J$12,0),0),IF(AND(F$12&lt;&gt;"",F$14&lt;&gt;""),IF(EOMONTH($F$3+INT((DAY(EOMONTH($F$3,0))-1)/2)+F$14,0)=EOMONTH($CT$3,0),F$12,0),0),IF($EP$75="",0,IF(EOMONTH($EP$75+EP$14,0)=EOMONTH($CT$3,0),$EP$77,0))),0)</f>
        <v>0</v>
      </c>
      <c r="CU20" s="14">
        <f t="shared" si="221"/>
        <v>13</v>
      </c>
      <c r="CV20" s="15">
        <f t="shared" si="221"/>
        <v>13</v>
      </c>
      <c r="CW20" s="16">
        <f t="shared" si="51"/>
        <v>0</v>
      </c>
      <c r="CX20" s="13">
        <f t="shared" ref="CX20:CZ20" si="222">ROUND(SUM(IF(AND(EP$12&lt;&gt;"",EP$14&lt;&gt;""),IF(EOMONTH($EP$3+INT((DAY(EOMONTH($EP$3,0))-1)/2)+EP$14,0)=EOMONTH($CX$3,0),EP$12,0),0),IF(AND(EL$12&lt;&gt;"",EL$14&lt;&gt;""),IF(EOMONTH($EL$3+INT((DAY(EOMONTH($EL$3,0))-1)/2)+EL$14,0)=EOMONTH($CX$3,0),EL$12,0),0),IF(AND(EH$12&lt;&gt;"",EH$14&lt;&gt;""),IF(EOMONTH($EH$3+INT((DAY(EOMONTH($EH$3,0))-1)/2)+EH$14,0)=EOMONTH($CX$3,0),EH$12,0),0),IF(AND(ED$12&lt;&gt;"",ED$14&lt;&gt;""),IF(EOMONTH($ED$3+INT((DAY(EOMONTH($ED$3,0))-1)/2)+ED$14,0)=EOMONTH($CX$3,0),ED$12,0),0),IF(AND(DZ$12&lt;&gt;"",DZ$14&lt;&gt;""),IF(EOMONTH($DZ$3+INT((DAY(EOMONTH($DZ$3,0))-1)/2)+DZ$14,0)=EOMONTH($CX$3,0),DZ$12,0),0),IF(AND(DV$12&lt;&gt;"",DV$14&lt;&gt;""),IF(EOMONTH($DV$3+INT((DAY(EOMONTH($DV$3,0))-1)/2)+DV$14,0)=EOMONTH($CX$3,0),DV$12,0),0),IF(AND(DR$12&lt;&gt;"",DR$14&lt;&gt;""),IF(EOMONTH($DR$3+INT((DAY(EOMONTH($DR$3,0))-1)/2)+DR$14,0)=EOMONTH($CX$3,0),DR$12,0),0),IF(AND(DN$12&lt;&gt;"",DN$14&lt;&gt;""),IF(EOMONTH($DN$3+INT((DAY(EOMONTH($DN$3,0))-1)/2)+DN$14,0)=EOMONTH($CX$3,0),DN$12,0),0),IF(AND(DJ$12&lt;&gt;"",DJ$14&lt;&gt;""),IF(EOMONTH($DJ$3+INT((DAY(EOMONTH($DJ$3,0))-1)/2)+DJ$14,0)=EOMONTH($CX$3,0),DJ$12,0),0),IF(AND(DF$12&lt;&gt;"",DF$14&lt;&gt;""),IF(EOMONTH($DF$3+INT((DAY(EOMONTH($DF$3,0))-1)/2)+DF$14,0)=EOMONTH($CX$3,0),DF$12,0),0),IF(AND(DB$12&lt;&gt;"",DB$14&lt;&gt;""),IF(EOMONTH($DB$3+INT((DAY(EOMONTH($DB$3,0))-1)/2)+DB$14,0)=EOMONTH($CX$3,0),DB$12,0),0),IF(AND(CX$12&lt;&gt;"",CX$14&lt;&gt;""),IF(EOMONTH($CX$3+INT((DAY(EOMONTH($CX$3,0))-1)/2)+CX$14,0)=EOMONTH($CX$3,0),CX$12,0),0),IF(AND(CT$12&lt;&gt;"",CT$14&lt;&gt;""),IF(EOMONTH($CT$3+INT((DAY(EOMONTH($CT$3,0))-1)/2)+CT$14,0)=EOMONTH($CX$3,0),CT$12,0),0),IF(AND(CP$12&lt;&gt;"",CP$14&lt;&gt;""),IF(EOMONTH($CP$3+INT((DAY(EOMONTH($CP$3,0))-1)/2)+CP$14,0)=EOMONTH($CX$3,0),CP$12,0),0),IF(AND(CL$12&lt;&gt;"",CL$14&lt;&gt;""),IF(EOMONTH($CL$3+INT((DAY(EOMONTH($CL$3,0))-1)/2)+CL$14,0)=EOMONTH($CX$3,0),CL$12,0),0),IF(AND(CH$12&lt;&gt;"",CH$14&lt;&gt;""),IF(EOMONTH($CH$3+INT((DAY(EOMONTH($CH$3,0))-1)/2)+CH$14,0)=EOMONTH($CX$3,0),CH$12,0),0),IF(AND(CD$12&lt;&gt;"",CD$14&lt;&gt;""),IF(EOMONTH($CD$3+INT((DAY(EOMONTH($CD$3,0))-1)/2)+CD$14,0)=EOMONTH($CX$3,0),CD$12,0),0),IF(AND(BZ$12&lt;&gt;"",BZ$14&lt;&gt;""),IF(EOMONTH($BZ$3+INT((DAY(EOMONTH($BZ$3,0))-1)/2)+BZ$14,0)=EOMONTH($CX$3,0),BZ$12,0),0),IF(AND(BV$12&lt;&gt;"",BV$14&lt;&gt;""),IF(EOMONTH($BV$3+INT((DAY(EOMONTH($BV$3,0))-1)/2)+BV$14,0)=EOMONTH($CX$3,0),BV$12,0),0),IF(AND(BR$12&lt;&gt;"",BR$14&lt;&gt;""),IF(EOMONTH($BR$3+INT((DAY(EOMONTH($BR$3,0))-1)/2)+BR$14,0)=EOMONTH($CX$3,0),BR$12,0),0),IF(AND(BN$12&lt;&gt;"",BN$14&lt;&gt;""),IF(EOMONTH($BN$3+INT((DAY(EOMONTH($BN$3,0))-1)/2)+BN$14,0)=EOMONTH($CX$3,0),BN$12,0),0),IF(AND(BJ$12&lt;&gt;"",BJ$14&lt;&gt;""),IF(EOMONTH($BJ$3+INT((DAY(EOMONTH($BJ$3,0))-1)/2)+BJ$14,0)=EOMONTH($CX$3,0),BJ$12,0),0),IF(AND(BF$12&lt;&gt;"",BF$14&lt;&gt;""),IF(EOMONTH($BF$3+INT((DAY(EOMONTH($BF$3,0))-1)/2)+BF$14,0)=EOMONTH($CX$3,0),BF$12,0),0),IF(AND(BB$12&lt;&gt;"",BB$14&lt;&gt;""),IF(EOMONTH($BB$3+INT((DAY(EOMONTH($BB$3,0))-1)/2)+BB$14,0)=EOMONTH($CX$3,0),BB$12,0),0),IF(AND(AX$12&lt;&gt;"",AX$14&lt;&gt;""),IF(EOMONTH($AX$3+INT((DAY(EOMONTH($AX$3,0))-1)/2)+AX$14,0)=EOMONTH($CX$3,0),AX$12,0),0),IF(AND(AT$12&lt;&gt;"",AT$14&lt;&gt;""),IF(EOMONTH($AT$3+INT((DAY(EOMONTH($AT$3,0))-1)/2)+AT$14,0)=EOMONTH($CX$3,0),AT$12,0),0),IF(AND(AP$12&lt;&gt;"",AP$14&lt;&gt;""),IF(EOMONTH($AP$3+INT((DAY(EOMONTH($AP$3,0))-1)/2)+AP$14,0)=EOMONTH($CX$3,0),AP$12,0),0),IF(AND(AL$12&lt;&gt;"",AL$14&lt;&gt;""),IF(EOMONTH($AL$3+INT((DAY(EOMONTH($AL$3,0))-1)/2)+AL$14,0)=EOMONTH($CX$3,0),AL$12,0),0),IF(AND(AH$12&lt;&gt;"",AH$14&lt;&gt;""),IF(EOMONTH($AH$3+INT((DAY(EOMONTH($AH$3,0))-1)/2)+AH$14,0)=EOMONTH($CX$3,0),AH$12,0),0),IF(AND(AD$12&lt;&gt;"",AD$14&lt;&gt;""),IF(EOMONTH($AD$3+INT((DAY(EOMONTH($AD$3,0))-1)/2)+AD$14,0)=EOMONTH($CX$3,0),AD$12,0),0),IF(AND(Z$12&lt;&gt;"",Z$14&lt;&gt;""),IF(EOMONTH($Z$3+INT((DAY(EOMONTH($Z$3,0))-1)/2)+Z$14,0)=EOMONTH($CX$3,0),Z$12,0),0),IF(AND(V$12&lt;&gt;"",V$14&lt;&gt;""),IF(EOMONTH($V$3+INT((DAY(EOMONTH($V$3,0))-1)/2)+V$14,0)=EOMONTH($CX$3,0),V$12,0),0),IF(AND(R$12&lt;&gt;"",R$14&lt;&gt;""),IF(EOMONTH($R$3+INT((DAY(EOMONTH($R$3,0))-1)/2)+R$14,0)=EOMONTH($CX$3,0),R$12,0),0),IF(AND(N$12&lt;&gt;"",N$14&lt;&gt;""),IF(EOMONTH($N$3+INT((DAY(EOMONTH($N$3,0))-1)/2)+N$14,0)=EOMONTH($CX$3,0),N$12,0),0),IF(AND(J$12&lt;&gt;"",J$14&lt;&gt;""),IF(EOMONTH($J$3+INT((DAY(EOMONTH($J$3,0))-1)/2)+J$14,0)=EOMONTH($CX$3,0),J$12,0),0),IF(AND(F$12&lt;&gt;"",F$14&lt;&gt;""),IF(EOMONTH($F$3+INT((DAY(EOMONTH($F$3,0))-1)/2)+F$14,0)=EOMONTH($CX$3,0),F$12,0),0),IF($EP$75="",0,IF(EOMONTH($EP$75+EP$14,0)=EOMONTH($CX$3,0),$EP$77,0))),0)</f>
        <v>0</v>
      </c>
      <c r="CY20" s="14">
        <f t="shared" si="222"/>
        <v>12</v>
      </c>
      <c r="CZ20" s="15">
        <f t="shared" si="222"/>
        <v>12</v>
      </c>
      <c r="DA20" s="16">
        <f t="shared" si="53"/>
        <v>0</v>
      </c>
      <c r="DB20" s="13">
        <f t="shared" ref="DB20:DD20" si="223">ROUND(SUM(IF(AND(EP$12&lt;&gt;"",EP$14&lt;&gt;""),IF(EOMONTH($EP$3+INT((DAY(EOMONTH($EP$3,0))-1)/2)+EP$14,0)=EOMONTH($DB$3,0),EP$12,0),0),IF(AND(EL$12&lt;&gt;"",EL$14&lt;&gt;""),IF(EOMONTH($EL$3+INT((DAY(EOMONTH($EL$3,0))-1)/2)+EL$14,0)=EOMONTH($DB$3,0),EL$12,0),0),IF(AND(EH$12&lt;&gt;"",EH$14&lt;&gt;""),IF(EOMONTH($EH$3+INT((DAY(EOMONTH($EH$3,0))-1)/2)+EH$14,0)=EOMONTH($DB$3,0),EH$12,0),0),IF(AND(ED$12&lt;&gt;"",ED$14&lt;&gt;""),IF(EOMONTH($ED$3+INT((DAY(EOMONTH($ED$3,0))-1)/2)+ED$14,0)=EOMONTH($DB$3,0),ED$12,0),0),IF(AND(DZ$12&lt;&gt;"",DZ$14&lt;&gt;""),IF(EOMONTH($DZ$3+INT((DAY(EOMONTH($DZ$3,0))-1)/2)+DZ$14,0)=EOMONTH($DB$3,0),DZ$12,0),0),IF(AND(DV$12&lt;&gt;"",DV$14&lt;&gt;""),IF(EOMONTH($DV$3+INT((DAY(EOMONTH($DV$3,0))-1)/2)+DV$14,0)=EOMONTH($DB$3,0),DV$12,0),0),IF(AND(DR$12&lt;&gt;"",DR$14&lt;&gt;""),IF(EOMONTH($DR$3+INT((DAY(EOMONTH($DR$3,0))-1)/2)+DR$14,0)=EOMONTH($DB$3,0),DR$12,0),0),IF(AND(DN$12&lt;&gt;"",DN$14&lt;&gt;""),IF(EOMONTH($DN$3+INT((DAY(EOMONTH($DN$3,0))-1)/2)+DN$14,0)=EOMONTH($DB$3,0),DN$12,0),0),IF(AND(DJ$12&lt;&gt;"",DJ$14&lt;&gt;""),IF(EOMONTH($DJ$3+INT((DAY(EOMONTH($DJ$3,0))-1)/2)+DJ$14,0)=EOMONTH($DB$3,0),DJ$12,0),0),IF(AND(DF$12&lt;&gt;"",DF$14&lt;&gt;""),IF(EOMONTH($DF$3+INT((DAY(EOMONTH($DF$3,0))-1)/2)+DF$14,0)=EOMONTH($DB$3,0),DF$12,0),0),IF(AND(DB$12&lt;&gt;"",DB$14&lt;&gt;""),IF(EOMONTH($DB$3+INT((DAY(EOMONTH($DB$3,0))-1)/2)+DB$14,0)=EOMONTH($DB$3,0),DB$12,0),0),IF(AND(CX$12&lt;&gt;"",CX$14&lt;&gt;""),IF(EOMONTH($CX$3+INT((DAY(EOMONTH($CX$3,0))-1)/2)+CX$14,0)=EOMONTH($DB$3,0),CX$12,0),0),IF(AND(CT$12&lt;&gt;"",CT$14&lt;&gt;""),IF(EOMONTH($CT$3+INT((DAY(EOMONTH($CT$3,0))-1)/2)+CT$14,0)=EOMONTH($DB$3,0),CT$12,0),0),IF(AND(CP$12&lt;&gt;"",CP$14&lt;&gt;""),IF(EOMONTH($CP$3+INT((DAY(EOMONTH($CP$3,0))-1)/2)+CP$14,0)=EOMONTH($DB$3,0),CP$12,0),0),IF(AND(CL$12&lt;&gt;"",CL$14&lt;&gt;""),IF(EOMONTH($CL$3+INT((DAY(EOMONTH($CL$3,0))-1)/2)+CL$14,0)=EOMONTH($DB$3,0),CL$12,0),0),IF(AND(CH$12&lt;&gt;"",CH$14&lt;&gt;""),IF(EOMONTH($CH$3+INT((DAY(EOMONTH($CH$3,0))-1)/2)+CH$14,0)=EOMONTH($DB$3,0),CH$12,0),0),IF(AND(CD$12&lt;&gt;"",CD$14&lt;&gt;""),IF(EOMONTH($CD$3+INT((DAY(EOMONTH($CD$3,0))-1)/2)+CD$14,0)=EOMONTH($DB$3,0),CD$12,0),0),IF(AND(BZ$12&lt;&gt;"",BZ$14&lt;&gt;""),IF(EOMONTH($BZ$3+INT((DAY(EOMONTH($BZ$3,0))-1)/2)+BZ$14,0)=EOMONTH($DB$3,0),BZ$12,0),0),IF(AND(BV$12&lt;&gt;"",BV$14&lt;&gt;""),IF(EOMONTH($BV$3+INT((DAY(EOMONTH($BV$3,0))-1)/2)+BV$14,0)=EOMONTH($DB$3,0),BV$12,0),0),IF(AND(BR$12&lt;&gt;"",BR$14&lt;&gt;""),IF(EOMONTH($BR$3+INT((DAY(EOMONTH($BR$3,0))-1)/2)+BR$14,0)=EOMONTH($DB$3,0),BR$12,0),0),IF(AND(BN$12&lt;&gt;"",BN$14&lt;&gt;""),IF(EOMONTH($BN$3+INT((DAY(EOMONTH($BN$3,0))-1)/2)+BN$14,0)=EOMONTH($DB$3,0),BN$12,0),0),IF(AND(BJ$12&lt;&gt;"",BJ$14&lt;&gt;""),IF(EOMONTH($BJ$3+INT((DAY(EOMONTH($BJ$3,0))-1)/2)+BJ$14,0)=EOMONTH($DB$3,0),BJ$12,0),0),IF(AND(BF$12&lt;&gt;"",BF$14&lt;&gt;""),IF(EOMONTH($BF$3+INT((DAY(EOMONTH($BF$3,0))-1)/2)+BF$14,0)=EOMONTH($DB$3,0),BF$12,0),0),IF(AND(BB$12&lt;&gt;"",BB$14&lt;&gt;""),IF(EOMONTH($BB$3+INT((DAY(EOMONTH($BB$3,0))-1)/2)+BB$14,0)=EOMONTH($DB$3,0),BB$12,0),0),IF(AND(AX$12&lt;&gt;"",AX$14&lt;&gt;""),IF(EOMONTH($AX$3+INT((DAY(EOMONTH($AX$3,0))-1)/2)+AX$14,0)=EOMONTH($DB$3,0),AX$12,0),0),IF(AND(AT$12&lt;&gt;"",AT$14&lt;&gt;""),IF(EOMONTH($AT$3+INT((DAY(EOMONTH($AT$3,0))-1)/2)+AT$14,0)=EOMONTH($DB$3,0),AT$12,0),0),IF(AND(AP$12&lt;&gt;"",AP$14&lt;&gt;""),IF(EOMONTH($AP$3+INT((DAY(EOMONTH($AP$3,0))-1)/2)+AP$14,0)=EOMONTH($DB$3,0),AP$12,0),0),IF(AND(AL$12&lt;&gt;"",AL$14&lt;&gt;""),IF(EOMONTH($AL$3+INT((DAY(EOMONTH($AL$3,0))-1)/2)+AL$14,0)=EOMONTH($DB$3,0),AL$12,0),0),IF(AND(AH$12&lt;&gt;"",AH$14&lt;&gt;""),IF(EOMONTH($AH$3+INT((DAY(EOMONTH($AH$3,0))-1)/2)+AH$14,0)=EOMONTH($DB$3,0),AH$12,0),0),IF(AND(AD$12&lt;&gt;"",AD$14&lt;&gt;""),IF(EOMONTH($AD$3+INT((DAY(EOMONTH($AD$3,0))-1)/2)+AD$14,0)=EOMONTH($DB$3,0),AD$12,0),0),IF(AND(Z$12&lt;&gt;"",Z$14&lt;&gt;""),IF(EOMONTH($Z$3+INT((DAY(EOMONTH($Z$3,0))-1)/2)+Z$14,0)=EOMONTH($DB$3,0),Z$12,0),0),IF(AND(V$12&lt;&gt;"",V$14&lt;&gt;""),IF(EOMONTH($V$3+INT((DAY(EOMONTH($V$3,0))-1)/2)+V$14,0)=EOMONTH($DB$3,0),V$12,0),0),IF(AND(R$12&lt;&gt;"",R$14&lt;&gt;""),IF(EOMONTH($R$3+INT((DAY(EOMONTH($R$3,0))-1)/2)+R$14,0)=EOMONTH($DB$3,0),R$12,0),0),IF(AND(N$12&lt;&gt;"",N$14&lt;&gt;""),IF(EOMONTH($N$3+INT((DAY(EOMONTH($N$3,0))-1)/2)+N$14,0)=EOMONTH($DB$3,0),N$12,0),0),IF(AND(J$12&lt;&gt;"",J$14&lt;&gt;""),IF(EOMONTH($J$3+INT((DAY(EOMONTH($J$3,0))-1)/2)+J$14,0)=EOMONTH($DB$3,0),J$12,0),0),IF(AND(F$12&lt;&gt;"",F$14&lt;&gt;""),IF(EOMONTH($F$3+INT((DAY(EOMONTH($F$3,0))-1)/2)+F$14,0)=EOMONTH($DB$3,0),F$12,0),0),IF($EP$75="",0,IF(EOMONTH($EP$75+EP$14,0)=EOMONTH($DB$3,0),$EP$77,0))),0)</f>
        <v>0</v>
      </c>
      <c r="DC20" s="14">
        <f t="shared" si="223"/>
        <v>12</v>
      </c>
      <c r="DD20" s="15">
        <f t="shared" si="223"/>
        <v>12</v>
      </c>
      <c r="DE20" s="16">
        <f t="shared" si="55"/>
        <v>0</v>
      </c>
      <c r="DF20" s="13">
        <f t="shared" ref="DF20:DH20" si="224">ROUND(SUM(IF(AND(EP$12&lt;&gt;"",EP$14&lt;&gt;""),IF(EOMONTH($EP$3+INT((DAY(EOMONTH($EP$3,0))-1)/2)+EP$14,0)=EOMONTH($DF$3,0),EP$12,0),0),IF(AND(EL$12&lt;&gt;"",EL$14&lt;&gt;""),IF(EOMONTH($EL$3+INT((DAY(EOMONTH($EL$3,0))-1)/2)+EL$14,0)=EOMONTH($DF$3,0),EL$12,0),0),IF(AND(EH$12&lt;&gt;"",EH$14&lt;&gt;""),IF(EOMONTH($EH$3+INT((DAY(EOMONTH($EH$3,0))-1)/2)+EH$14,0)=EOMONTH($DF$3,0),EH$12,0),0),IF(AND(ED$12&lt;&gt;"",ED$14&lt;&gt;""),IF(EOMONTH($ED$3+INT((DAY(EOMONTH($ED$3,0))-1)/2)+ED$14,0)=EOMONTH($DF$3,0),ED$12,0),0),IF(AND(DZ$12&lt;&gt;"",DZ$14&lt;&gt;""),IF(EOMONTH($DZ$3+INT((DAY(EOMONTH($DZ$3,0))-1)/2)+DZ$14,0)=EOMONTH($DF$3,0),DZ$12,0),0),IF(AND(DV$12&lt;&gt;"",DV$14&lt;&gt;""),IF(EOMONTH($DV$3+INT((DAY(EOMONTH($DV$3,0))-1)/2)+DV$14,0)=EOMONTH($DF$3,0),DV$12,0),0),IF(AND(DR$12&lt;&gt;"",DR$14&lt;&gt;""),IF(EOMONTH($DR$3+INT((DAY(EOMONTH($DR$3,0))-1)/2)+DR$14,0)=EOMONTH($DF$3,0),DR$12,0),0),IF(AND(DN$12&lt;&gt;"",DN$14&lt;&gt;""),IF(EOMONTH($DN$3+INT((DAY(EOMONTH($DN$3,0))-1)/2)+DN$14,0)=EOMONTH($DF$3,0),DN$12,0),0),IF(AND(DJ$12&lt;&gt;"",DJ$14&lt;&gt;""),IF(EOMONTH($DJ$3+INT((DAY(EOMONTH($DJ$3,0))-1)/2)+DJ$14,0)=EOMONTH($DF$3,0),DJ$12,0),0),IF(AND(DF$12&lt;&gt;"",DF$14&lt;&gt;""),IF(EOMONTH($DF$3+INT((DAY(EOMONTH($DF$3,0))-1)/2)+DF$14,0)=EOMONTH($DF$3,0),DF$12,0),0),IF(AND(DB$12&lt;&gt;"",DB$14&lt;&gt;""),IF(EOMONTH($DB$3+INT((DAY(EOMONTH($DB$3,0))-1)/2)+DB$14,0)=EOMONTH($DF$3,0),DB$12,0),0),IF(AND(CX$12&lt;&gt;"",CX$14&lt;&gt;""),IF(EOMONTH($CX$3+INT((DAY(EOMONTH($CX$3,0))-1)/2)+CX$14,0)=EOMONTH($DF$3,0),CX$12,0),0),IF(AND(CT$12&lt;&gt;"",CT$14&lt;&gt;""),IF(EOMONTH($CT$3+INT((DAY(EOMONTH($CT$3,0))-1)/2)+CT$14,0)=EOMONTH($DF$3,0),CT$12,0),0),IF(AND(CP$12&lt;&gt;"",CP$14&lt;&gt;""),IF(EOMONTH($CP$3+INT((DAY(EOMONTH($CP$3,0))-1)/2)+CP$14,0)=EOMONTH($DF$3,0),CP$12,0),0),IF(AND(CL$12&lt;&gt;"",CL$14&lt;&gt;""),IF(EOMONTH($CL$3+INT((DAY(EOMONTH($CL$3,0))-1)/2)+CL$14,0)=EOMONTH($DF$3,0),CL$12,0),0),IF(AND(CH$12&lt;&gt;"",CH$14&lt;&gt;""),IF(EOMONTH($CH$3+INT((DAY(EOMONTH($CH$3,0))-1)/2)+CH$14,0)=EOMONTH($DF$3,0),CH$12,0),0),IF(AND(CD$12&lt;&gt;"",CD$14&lt;&gt;""),IF(EOMONTH($CD$3+INT((DAY(EOMONTH($CD$3,0))-1)/2)+CD$14,0)=EOMONTH($DF$3,0),CD$12,0),0),IF(AND(BZ$12&lt;&gt;"",BZ$14&lt;&gt;""),IF(EOMONTH($BZ$3+INT((DAY(EOMONTH($BZ$3,0))-1)/2)+BZ$14,0)=EOMONTH($DF$3,0),BZ$12,0),0),IF(AND(BV$12&lt;&gt;"",BV$14&lt;&gt;""),IF(EOMONTH($BV$3+INT((DAY(EOMONTH($BV$3,0))-1)/2)+BV$14,0)=EOMONTH($DF$3,0),BV$12,0),0),IF(AND(BR$12&lt;&gt;"",BR$14&lt;&gt;""),IF(EOMONTH($BR$3+INT((DAY(EOMONTH($BR$3,0))-1)/2)+BR$14,0)=EOMONTH($DF$3,0),BR$12,0),0),IF(AND(BN$12&lt;&gt;"",BN$14&lt;&gt;""),IF(EOMONTH($BN$3+INT((DAY(EOMONTH($BN$3,0))-1)/2)+BN$14,0)=EOMONTH($DF$3,0),BN$12,0),0),IF(AND(BJ$12&lt;&gt;"",BJ$14&lt;&gt;""),IF(EOMONTH($BJ$3+INT((DAY(EOMONTH($BJ$3,0))-1)/2)+BJ$14,0)=EOMONTH($DF$3,0),BJ$12,0),0),IF(AND(BF$12&lt;&gt;"",BF$14&lt;&gt;""),IF(EOMONTH($BF$3+INT((DAY(EOMONTH($BF$3,0))-1)/2)+BF$14,0)=EOMONTH($DF$3,0),BF$12,0),0),IF(AND(BB$12&lt;&gt;"",BB$14&lt;&gt;""),IF(EOMONTH($BB$3+INT((DAY(EOMONTH($BB$3,0))-1)/2)+BB$14,0)=EOMONTH($DF$3,0),BB$12,0),0),IF(AND(AX$12&lt;&gt;"",AX$14&lt;&gt;""),IF(EOMONTH($AX$3+INT((DAY(EOMONTH($AX$3,0))-1)/2)+AX$14,0)=EOMONTH($DF$3,0),AX$12,0),0),IF(AND(AT$12&lt;&gt;"",AT$14&lt;&gt;""),IF(EOMONTH($AT$3+INT((DAY(EOMONTH($AT$3,0))-1)/2)+AT$14,0)=EOMONTH($DF$3,0),AT$12,0),0),IF(AND(AP$12&lt;&gt;"",AP$14&lt;&gt;""),IF(EOMONTH($AP$3+INT((DAY(EOMONTH($AP$3,0))-1)/2)+AP$14,0)=EOMONTH($DF$3,0),AP$12,0),0),IF(AND(AL$12&lt;&gt;"",AL$14&lt;&gt;""),IF(EOMONTH($AL$3+INT((DAY(EOMONTH($AL$3,0))-1)/2)+AL$14,0)=EOMONTH($DF$3,0),AL$12,0),0),IF(AND(AH$12&lt;&gt;"",AH$14&lt;&gt;""),IF(EOMONTH($AH$3+INT((DAY(EOMONTH($AH$3,0))-1)/2)+AH$14,0)=EOMONTH($DF$3,0),AH$12,0),0),IF(AND(AD$12&lt;&gt;"",AD$14&lt;&gt;""),IF(EOMONTH($AD$3+INT((DAY(EOMONTH($AD$3,0))-1)/2)+AD$14,0)=EOMONTH($DF$3,0),AD$12,0),0),IF(AND(Z$12&lt;&gt;"",Z$14&lt;&gt;""),IF(EOMONTH($Z$3+INT((DAY(EOMONTH($Z$3,0))-1)/2)+Z$14,0)=EOMONTH($DF$3,0),Z$12,0),0),IF(AND(V$12&lt;&gt;"",V$14&lt;&gt;""),IF(EOMONTH($V$3+INT((DAY(EOMONTH($V$3,0))-1)/2)+V$14,0)=EOMONTH($DF$3,0),V$12,0),0),IF(AND(R$12&lt;&gt;"",R$14&lt;&gt;""),IF(EOMONTH($R$3+INT((DAY(EOMONTH($R$3,0))-1)/2)+R$14,0)=EOMONTH($DF$3,0),R$12,0),0),IF(AND(N$12&lt;&gt;"",N$14&lt;&gt;""),IF(EOMONTH($N$3+INT((DAY(EOMONTH($N$3,0))-1)/2)+N$14,0)=EOMONTH($DF$3,0),N$12,0),0),IF(AND(J$12&lt;&gt;"",J$14&lt;&gt;""),IF(EOMONTH($J$3+INT((DAY(EOMONTH($J$3,0))-1)/2)+J$14,0)=EOMONTH($DF$3,0),J$12,0),0),IF(AND(F$12&lt;&gt;"",F$14&lt;&gt;""),IF(EOMONTH($F$3+INT((DAY(EOMONTH($F$3,0))-1)/2)+F$14,0)=EOMONTH($DF$3,0),F$12,0),0),IF($EP$75="",0,IF(EOMONTH($EP$75+EP$14,0)=EOMONTH($DF$3,0),$EP$77,0))),0)</f>
        <v>0</v>
      </c>
      <c r="DG20" s="14">
        <f t="shared" si="224"/>
        <v>12</v>
      </c>
      <c r="DH20" s="15">
        <f t="shared" si="224"/>
        <v>12</v>
      </c>
      <c r="DI20" s="16">
        <f t="shared" si="57"/>
        <v>0</v>
      </c>
      <c r="DJ20" s="13">
        <f t="shared" ref="DJ20:DL20" si="225">ROUND(SUM(IF(AND(EP$12&lt;&gt;"",EP$14&lt;&gt;""),IF(EOMONTH($EP$3+INT((DAY(EOMONTH($EP$3,0))-1)/2)+EP$14,0)=EOMONTH($DJ$3,0),EP$12,0),0),IF(AND(EL$12&lt;&gt;"",EL$14&lt;&gt;""),IF(EOMONTH($EL$3+INT((DAY(EOMONTH($EL$3,0))-1)/2)+EL$14,0)=EOMONTH($DJ$3,0),EL$12,0),0),IF(AND(EH$12&lt;&gt;"",EH$14&lt;&gt;""),IF(EOMONTH($EH$3+INT((DAY(EOMONTH($EH$3,0))-1)/2)+EH$14,0)=EOMONTH($DJ$3,0),EH$12,0),0),IF(AND(ED$12&lt;&gt;"",ED$14&lt;&gt;""),IF(EOMONTH($ED$3+INT((DAY(EOMONTH($ED$3,0))-1)/2)+ED$14,0)=EOMONTH($DJ$3,0),ED$12,0),0),IF(AND(DZ$12&lt;&gt;"",DZ$14&lt;&gt;""),IF(EOMONTH($DZ$3+INT((DAY(EOMONTH($DZ$3,0))-1)/2)+DZ$14,0)=EOMONTH($DJ$3,0),DZ$12,0),0),IF(AND(DV$12&lt;&gt;"",DV$14&lt;&gt;""),IF(EOMONTH($DV$3+INT((DAY(EOMONTH($DV$3,0))-1)/2)+DV$14,0)=EOMONTH($DJ$3,0),DV$12,0),0),IF(AND(DR$12&lt;&gt;"",DR$14&lt;&gt;""),IF(EOMONTH($DR$3+INT((DAY(EOMONTH($DR$3,0))-1)/2)+DR$14,0)=EOMONTH($DJ$3,0),DR$12,0),0),IF(AND(DN$12&lt;&gt;"",DN$14&lt;&gt;""),IF(EOMONTH($DN$3+INT((DAY(EOMONTH($DN$3,0))-1)/2)+DN$14,0)=EOMONTH($DJ$3,0),DN$12,0),0),IF(AND(DJ$12&lt;&gt;"",DJ$14&lt;&gt;""),IF(EOMONTH($DJ$3+INT((DAY(EOMONTH($DJ$3,0))-1)/2)+DJ$14,0)=EOMONTH($DJ$3,0),DJ$12,0),0),IF(AND(DF$12&lt;&gt;"",DF$14&lt;&gt;""),IF(EOMONTH($DF$3+INT((DAY(EOMONTH($DF$3,0))-1)/2)+DF$14,0)=EOMONTH($DJ$3,0),DF$12,0),0),IF(AND(DB$12&lt;&gt;"",DB$14&lt;&gt;""),IF(EOMONTH($DB$3+INT((DAY(EOMONTH($DB$3,0))-1)/2)+DB$14,0)=EOMONTH($DJ$3,0),DB$12,0),0),IF(AND(CX$12&lt;&gt;"",CX$14&lt;&gt;""),IF(EOMONTH($CX$3+INT((DAY(EOMONTH($CX$3,0))-1)/2)+CX$14,0)=EOMONTH($DJ$3,0),CX$12,0),0),IF(AND(CT$12&lt;&gt;"",CT$14&lt;&gt;""),IF(EOMONTH($CT$3+INT((DAY(EOMONTH($CT$3,0))-1)/2)+CT$14,0)=EOMONTH($DJ$3,0),CT$12,0),0),IF(AND(CP$12&lt;&gt;"",CP$14&lt;&gt;""),IF(EOMONTH($CP$3+INT((DAY(EOMONTH($CP$3,0))-1)/2)+CP$14,0)=EOMONTH($DJ$3,0),CP$12,0),0),IF(AND(CL$12&lt;&gt;"",CL$14&lt;&gt;""),IF(EOMONTH($CL$3+INT((DAY(EOMONTH($CL$3,0))-1)/2)+CL$14,0)=EOMONTH($DJ$3,0),CL$12,0),0),IF(AND(CH$12&lt;&gt;"",CH$14&lt;&gt;""),IF(EOMONTH($CH$3+INT((DAY(EOMONTH($CH$3,0))-1)/2)+CH$14,0)=EOMONTH($DJ$3,0),CH$12,0),0),IF(AND(CD$12&lt;&gt;"",CD$14&lt;&gt;""),IF(EOMONTH($CD$3+INT((DAY(EOMONTH($CD$3,0))-1)/2)+CD$14,0)=EOMONTH($DJ$3,0),CD$12,0),0),IF(AND(BZ$12&lt;&gt;"",BZ$14&lt;&gt;""),IF(EOMONTH($BZ$3+INT((DAY(EOMONTH($BZ$3,0))-1)/2)+BZ$14,0)=EOMONTH($DJ$3,0),BZ$12,0),0),IF(AND(BV$12&lt;&gt;"",BV$14&lt;&gt;""),IF(EOMONTH($BV$3+INT((DAY(EOMONTH($BV$3,0))-1)/2)+BV$14,0)=EOMONTH($DJ$3,0),BV$12,0),0),IF(AND(BR$12&lt;&gt;"",BR$14&lt;&gt;""),IF(EOMONTH($BR$3+INT((DAY(EOMONTH($BR$3,0))-1)/2)+BR$14,0)=EOMONTH($DJ$3,0),BR$12,0),0),IF(AND(BN$12&lt;&gt;"",BN$14&lt;&gt;""),IF(EOMONTH($BN$3+INT((DAY(EOMONTH($BN$3,0))-1)/2)+BN$14,0)=EOMONTH($DJ$3,0),BN$12,0),0),IF(AND(BJ$12&lt;&gt;"",BJ$14&lt;&gt;""),IF(EOMONTH($BJ$3+INT((DAY(EOMONTH($BJ$3,0))-1)/2)+BJ$14,0)=EOMONTH($DJ$3,0),BJ$12,0),0),IF(AND(BF$12&lt;&gt;"",BF$14&lt;&gt;""),IF(EOMONTH($BF$3+INT((DAY(EOMONTH($BF$3,0))-1)/2)+BF$14,0)=EOMONTH($DJ$3,0),BF$12,0),0),IF(AND(BB$12&lt;&gt;"",BB$14&lt;&gt;""),IF(EOMONTH($BB$3+INT((DAY(EOMONTH($BB$3,0))-1)/2)+BB$14,0)=EOMONTH($DJ$3,0),BB$12,0),0),IF(AND(AX$12&lt;&gt;"",AX$14&lt;&gt;""),IF(EOMONTH($AX$3+INT((DAY(EOMONTH($AX$3,0))-1)/2)+AX$14,0)=EOMONTH($DJ$3,0),AX$12,0),0),IF(AND(AT$12&lt;&gt;"",AT$14&lt;&gt;""),IF(EOMONTH($AT$3+INT((DAY(EOMONTH($AT$3,0))-1)/2)+AT$14,0)=EOMONTH($DJ$3,0),AT$12,0),0),IF(AND(AP$12&lt;&gt;"",AP$14&lt;&gt;""),IF(EOMONTH($AP$3+INT((DAY(EOMONTH($AP$3,0))-1)/2)+AP$14,0)=EOMONTH($DJ$3,0),AP$12,0),0),IF(AND(AL$12&lt;&gt;"",AL$14&lt;&gt;""),IF(EOMONTH($AL$3+INT((DAY(EOMONTH($AL$3,0))-1)/2)+AL$14,0)=EOMONTH($DJ$3,0),AL$12,0),0),IF(AND(AH$12&lt;&gt;"",AH$14&lt;&gt;""),IF(EOMONTH($AH$3+INT((DAY(EOMONTH($AH$3,0))-1)/2)+AH$14,0)=EOMONTH($DJ$3,0),AH$12,0),0),IF(AND(AD$12&lt;&gt;"",AD$14&lt;&gt;""),IF(EOMONTH($AD$3+INT((DAY(EOMONTH($AD$3,0))-1)/2)+AD$14,0)=EOMONTH($DJ$3,0),AD$12,0),0),IF(AND(Z$12&lt;&gt;"",Z$14&lt;&gt;""),IF(EOMONTH($Z$3+INT((DAY(EOMONTH($Z$3,0))-1)/2)+Z$14,0)=EOMONTH($DJ$3,0),Z$12,0),0),IF(AND(V$12&lt;&gt;"",V$14&lt;&gt;""),IF(EOMONTH($V$3+INT((DAY(EOMONTH($V$3,0))-1)/2)+V$14,0)=EOMONTH($DJ$3,0),V$12,0),0),IF(AND(R$12&lt;&gt;"",R$14&lt;&gt;""),IF(EOMONTH($R$3+INT((DAY(EOMONTH($R$3,0))-1)/2)+R$14,0)=EOMONTH($DJ$3,0),R$12,0),0),IF(AND(N$12&lt;&gt;"",N$14&lt;&gt;""),IF(EOMONTH($N$3+INT((DAY(EOMONTH($N$3,0))-1)/2)+N$14,0)=EOMONTH($DJ$3,0),N$12,0),0),IF(AND(J$12&lt;&gt;"",J$14&lt;&gt;""),IF(EOMONTH($J$3+INT((DAY(EOMONTH($J$3,0))-1)/2)+J$14,0)=EOMONTH($DJ$3,0),J$12,0),0),IF(AND(F$12&lt;&gt;"",F$14&lt;&gt;""),IF(EOMONTH($F$3+INT((DAY(EOMONTH($F$3,0))-1)/2)+F$14,0)=EOMONTH($DJ$3,0),F$12,0),0),IF($EP$75="",0,IF(EOMONTH($EP$75+EP$14,0)=EOMONTH($DJ$3,0),$EP$77,0))),0)</f>
        <v>0</v>
      </c>
      <c r="DK20" s="14">
        <f t="shared" si="225"/>
        <v>12</v>
      </c>
      <c r="DL20" s="15">
        <f t="shared" si="225"/>
        <v>12</v>
      </c>
      <c r="DM20" s="16">
        <f t="shared" si="59"/>
        <v>0</v>
      </c>
      <c r="DN20" s="13">
        <f t="shared" ref="DN20:DP20" si="226">ROUND(SUM(IF(AND(EP$12&lt;&gt;"",EP$14&lt;&gt;""),IF(EOMONTH($EP$3+INT((DAY(EOMONTH($EP$3,0))-1)/2)+EP$14,0)=EOMONTH($DN$3,0),EP$12,0),0),IF(AND(EL$12&lt;&gt;"",EL$14&lt;&gt;""),IF(EOMONTH($EL$3+INT((DAY(EOMONTH($EL$3,0))-1)/2)+EL$14,0)=EOMONTH($DN$3,0),EL$12,0),0),IF(AND(EH$12&lt;&gt;"",EH$14&lt;&gt;""),IF(EOMONTH($EH$3+INT((DAY(EOMONTH($EH$3,0))-1)/2)+EH$14,0)=EOMONTH($DN$3,0),EH$12,0),0),IF(AND(ED$12&lt;&gt;"",ED$14&lt;&gt;""),IF(EOMONTH($ED$3+INT((DAY(EOMONTH($ED$3,0))-1)/2)+ED$14,0)=EOMONTH($DN$3,0),ED$12,0),0),IF(AND(DZ$12&lt;&gt;"",DZ$14&lt;&gt;""),IF(EOMONTH($DZ$3+INT((DAY(EOMONTH($DZ$3,0))-1)/2)+DZ$14,0)=EOMONTH($DN$3,0),DZ$12,0),0),IF(AND(DV$12&lt;&gt;"",DV$14&lt;&gt;""),IF(EOMONTH($DV$3+INT((DAY(EOMONTH($DV$3,0))-1)/2)+DV$14,0)=EOMONTH($DN$3,0),DV$12,0),0),IF(AND(DR$12&lt;&gt;"",DR$14&lt;&gt;""),IF(EOMONTH($DR$3+INT((DAY(EOMONTH($DR$3,0))-1)/2)+DR$14,0)=EOMONTH($DN$3,0),DR$12,0),0),IF(AND(DN$12&lt;&gt;"",DN$14&lt;&gt;""),IF(EOMONTH($DN$3+INT((DAY(EOMONTH($DN$3,0))-1)/2)+DN$14,0)=EOMONTH($DN$3,0),DN$12,0),0),IF(AND(DJ$12&lt;&gt;"",DJ$14&lt;&gt;""),IF(EOMONTH($DJ$3+INT((DAY(EOMONTH($DJ$3,0))-1)/2)+DJ$14,0)=EOMONTH($DN$3,0),DJ$12,0),0),IF(AND(DF$12&lt;&gt;"",DF$14&lt;&gt;""),IF(EOMONTH($DF$3+INT((DAY(EOMONTH($DF$3,0))-1)/2)+DF$14,0)=EOMONTH($DN$3,0),DF$12,0),0),IF(AND(DB$12&lt;&gt;"",DB$14&lt;&gt;""),IF(EOMONTH($DB$3+INT((DAY(EOMONTH($DB$3,0))-1)/2)+DB$14,0)=EOMONTH($DN$3,0),DB$12,0),0),IF(AND(CX$12&lt;&gt;"",CX$14&lt;&gt;""),IF(EOMONTH($CX$3+INT((DAY(EOMONTH($CX$3,0))-1)/2)+CX$14,0)=EOMONTH($DN$3,0),CX$12,0),0),IF(AND(CT$12&lt;&gt;"",CT$14&lt;&gt;""),IF(EOMONTH($CT$3+INT((DAY(EOMONTH($CT$3,0))-1)/2)+CT$14,0)=EOMONTH($DN$3,0),CT$12,0),0),IF(AND(CP$12&lt;&gt;"",CP$14&lt;&gt;""),IF(EOMONTH($CP$3+INT((DAY(EOMONTH($CP$3,0))-1)/2)+CP$14,0)=EOMONTH($DN$3,0),CP$12,0),0),IF(AND(CL$12&lt;&gt;"",CL$14&lt;&gt;""),IF(EOMONTH($CL$3+INT((DAY(EOMONTH($CL$3,0))-1)/2)+CL$14,0)=EOMONTH($DN$3,0),CL$12,0),0),IF(AND(CH$12&lt;&gt;"",CH$14&lt;&gt;""),IF(EOMONTH($CH$3+INT((DAY(EOMONTH($CH$3,0))-1)/2)+CH$14,0)=EOMONTH($DN$3,0),CH$12,0),0),IF(AND(CD$12&lt;&gt;"",CD$14&lt;&gt;""),IF(EOMONTH($CD$3+INT((DAY(EOMONTH($CD$3,0))-1)/2)+CD$14,0)=EOMONTH($DN$3,0),CD$12,0),0),IF(AND(BZ$12&lt;&gt;"",BZ$14&lt;&gt;""),IF(EOMONTH($BZ$3+INT((DAY(EOMONTH($BZ$3,0))-1)/2)+BZ$14,0)=EOMONTH($DN$3,0),BZ$12,0),0),IF(AND(BV$12&lt;&gt;"",BV$14&lt;&gt;""),IF(EOMONTH($BV$3+INT((DAY(EOMONTH($BV$3,0))-1)/2)+BV$14,0)=EOMONTH($DN$3,0),BV$12,0),0),IF(AND(BR$12&lt;&gt;"",BR$14&lt;&gt;""),IF(EOMONTH($BR$3+INT((DAY(EOMONTH($BR$3,0))-1)/2)+BR$14,0)=EOMONTH($DN$3,0),BR$12,0),0),IF(AND(BN$12&lt;&gt;"",BN$14&lt;&gt;""),IF(EOMONTH($BN$3+INT((DAY(EOMONTH($BN$3,0))-1)/2)+BN$14,0)=EOMONTH($DN$3,0),BN$12,0),0),IF(AND(BJ$12&lt;&gt;"",BJ$14&lt;&gt;""),IF(EOMONTH($BJ$3+INT((DAY(EOMONTH($BJ$3,0))-1)/2)+BJ$14,0)=EOMONTH($DN$3,0),BJ$12,0),0),IF(AND(BF$12&lt;&gt;"",BF$14&lt;&gt;""),IF(EOMONTH($BF$3+INT((DAY(EOMONTH($BF$3,0))-1)/2)+BF$14,0)=EOMONTH($DN$3,0),BF$12,0),0),IF(AND(BB$12&lt;&gt;"",BB$14&lt;&gt;""),IF(EOMONTH($BB$3+INT((DAY(EOMONTH($BB$3,0))-1)/2)+BB$14,0)=EOMONTH($DN$3,0),BB$12,0),0),IF(AND(AX$12&lt;&gt;"",AX$14&lt;&gt;""),IF(EOMONTH($AX$3+INT((DAY(EOMONTH($AX$3,0))-1)/2)+AX$14,0)=EOMONTH($DN$3,0),AX$12,0),0),IF(AND(AT$12&lt;&gt;"",AT$14&lt;&gt;""),IF(EOMONTH($AT$3+INT((DAY(EOMONTH($AT$3,0))-1)/2)+AT$14,0)=EOMONTH($DN$3,0),AT$12,0),0),IF(AND(AP$12&lt;&gt;"",AP$14&lt;&gt;""),IF(EOMONTH($AP$3+INT((DAY(EOMONTH($AP$3,0))-1)/2)+AP$14,0)=EOMONTH($DN$3,0),AP$12,0),0),IF(AND(AL$12&lt;&gt;"",AL$14&lt;&gt;""),IF(EOMONTH($AL$3+INT((DAY(EOMONTH($AL$3,0))-1)/2)+AL$14,0)=EOMONTH($DN$3,0),AL$12,0),0),IF(AND(AH$12&lt;&gt;"",AH$14&lt;&gt;""),IF(EOMONTH($AH$3+INT((DAY(EOMONTH($AH$3,0))-1)/2)+AH$14,0)=EOMONTH($DN$3,0),AH$12,0),0),IF(AND(AD$12&lt;&gt;"",AD$14&lt;&gt;""),IF(EOMONTH($AD$3+INT((DAY(EOMONTH($AD$3,0))-1)/2)+AD$14,0)=EOMONTH($DN$3,0),AD$12,0),0),IF(AND(Z$12&lt;&gt;"",Z$14&lt;&gt;""),IF(EOMONTH($Z$3+INT((DAY(EOMONTH($Z$3,0))-1)/2)+Z$14,0)=EOMONTH($DN$3,0),Z$12,0),0),IF(AND(V$12&lt;&gt;"",V$14&lt;&gt;""),IF(EOMONTH($V$3+INT((DAY(EOMONTH($V$3,0))-1)/2)+V$14,0)=EOMONTH($DN$3,0),V$12,0),0),IF(AND(R$12&lt;&gt;"",R$14&lt;&gt;""),IF(EOMONTH($R$3+INT((DAY(EOMONTH($R$3,0))-1)/2)+R$14,0)=EOMONTH($DN$3,0),R$12,0),0),IF(AND(N$12&lt;&gt;"",N$14&lt;&gt;""),IF(EOMONTH($N$3+INT((DAY(EOMONTH($N$3,0))-1)/2)+N$14,0)=EOMONTH($DN$3,0),N$12,0),0),IF(AND(J$12&lt;&gt;"",J$14&lt;&gt;""),IF(EOMONTH($J$3+INT((DAY(EOMONTH($J$3,0))-1)/2)+J$14,0)=EOMONTH($DN$3,0),J$12,0),0),IF(AND(F$12&lt;&gt;"",F$14&lt;&gt;""),IF(EOMONTH($F$3+INT((DAY(EOMONTH($F$3,0))-1)/2)+F$14,0)=EOMONTH($DN$3,0),F$12,0),0),IF($EP$75="",0,IF(EOMONTH($EP$75+EP$14,0)=EOMONTH($DN$3,0),$EP$77,0))),0)</f>
        <v>0</v>
      </c>
      <c r="DO20" s="14">
        <f t="shared" si="226"/>
        <v>11</v>
      </c>
      <c r="DP20" s="15">
        <f t="shared" si="226"/>
        <v>11</v>
      </c>
      <c r="DQ20" s="16">
        <f t="shared" si="61"/>
        <v>0</v>
      </c>
      <c r="DR20" s="13">
        <f t="shared" ref="DR20:DT20" si="227">ROUND(SUM(IF(AND(EP$12&lt;&gt;"",EP$14&lt;&gt;""),IF(EOMONTH($EP$3+INT((DAY(EOMONTH($EP$3,0))-1)/2)+EP$14,0)=EOMONTH($DR$3,0),EP$12,0),0),IF(AND(EL$12&lt;&gt;"",EL$14&lt;&gt;""),IF(EOMONTH($EL$3+INT((DAY(EOMONTH($EL$3,0))-1)/2)+EL$14,0)=EOMONTH($DR$3,0),EL$12,0),0),IF(AND(EH$12&lt;&gt;"",EH$14&lt;&gt;""),IF(EOMONTH($EH$3+INT((DAY(EOMONTH($EH$3,0))-1)/2)+EH$14,0)=EOMONTH($DR$3,0),EH$12,0),0),IF(AND(ED$12&lt;&gt;"",ED$14&lt;&gt;""),IF(EOMONTH($ED$3+INT((DAY(EOMONTH($ED$3,0))-1)/2)+ED$14,0)=EOMONTH($DR$3,0),ED$12,0),0),IF(AND(DZ$12&lt;&gt;"",DZ$14&lt;&gt;""),IF(EOMONTH($DZ$3+INT((DAY(EOMONTH($DZ$3,0))-1)/2)+DZ$14,0)=EOMONTH($DR$3,0),DZ$12,0),0),IF(AND(DV$12&lt;&gt;"",DV$14&lt;&gt;""),IF(EOMONTH($DV$3+INT((DAY(EOMONTH($DV$3,0))-1)/2)+DV$14,0)=EOMONTH($DR$3,0),DV$12,0),0),IF(AND(DR$12&lt;&gt;"",DR$14&lt;&gt;""),IF(EOMONTH($DR$3+INT((DAY(EOMONTH($DR$3,0))-1)/2)+DR$14,0)=EOMONTH($DR$3,0),DR$12,0),0),IF(AND(DN$12&lt;&gt;"",DN$14&lt;&gt;""),IF(EOMONTH($DN$3+INT((DAY(EOMONTH($DN$3,0))-1)/2)+DN$14,0)=EOMONTH($DR$3,0),DN$12,0),0),IF(AND(DJ$12&lt;&gt;"",DJ$14&lt;&gt;""),IF(EOMONTH($DJ$3+INT((DAY(EOMONTH($DJ$3,0))-1)/2)+DJ$14,0)=EOMONTH($DR$3,0),DJ$12,0),0),IF(AND(DF$12&lt;&gt;"",DF$14&lt;&gt;""),IF(EOMONTH($DF$3+INT((DAY(EOMONTH($DF$3,0))-1)/2)+DF$14,0)=EOMONTH($DR$3,0),DF$12,0),0),IF(AND(DB$12&lt;&gt;"",DB$14&lt;&gt;""),IF(EOMONTH($DB$3+INT((DAY(EOMONTH($DB$3,0))-1)/2)+DB$14,0)=EOMONTH($DR$3,0),DB$12,0),0),IF(AND(CX$12&lt;&gt;"",CX$14&lt;&gt;""),IF(EOMONTH($CX$3+INT((DAY(EOMONTH($CX$3,0))-1)/2)+CX$14,0)=EOMONTH($DR$3,0),CX$12,0),0),IF(AND(CT$12&lt;&gt;"",CT$14&lt;&gt;""),IF(EOMONTH($CT$3+INT((DAY(EOMONTH($CT$3,0))-1)/2)+CT$14,0)=EOMONTH($DR$3,0),CT$12,0),0),IF(AND(CP$12&lt;&gt;"",CP$14&lt;&gt;""),IF(EOMONTH($CP$3+INT((DAY(EOMONTH($CP$3,0))-1)/2)+CP$14,0)=EOMONTH($DR$3,0),CP$12,0),0),IF(AND(CL$12&lt;&gt;"",CL$14&lt;&gt;""),IF(EOMONTH($CL$3+INT((DAY(EOMONTH($CL$3,0))-1)/2)+CL$14,0)=EOMONTH($DR$3,0),CL$12,0),0),IF(AND(CH$12&lt;&gt;"",CH$14&lt;&gt;""),IF(EOMONTH($CH$3+INT((DAY(EOMONTH($CH$3,0))-1)/2)+CH$14,0)=EOMONTH($DR$3,0),CH$12,0),0),IF(AND(CD$12&lt;&gt;"",CD$14&lt;&gt;""),IF(EOMONTH($CD$3+INT((DAY(EOMONTH($CD$3,0))-1)/2)+CD$14,0)=EOMONTH($DR$3,0),CD$12,0),0),IF(AND(BZ$12&lt;&gt;"",BZ$14&lt;&gt;""),IF(EOMONTH($BZ$3+INT((DAY(EOMONTH($BZ$3,0))-1)/2)+BZ$14,0)=EOMONTH($DR$3,0),BZ$12,0),0),IF(AND(BV$12&lt;&gt;"",BV$14&lt;&gt;""),IF(EOMONTH($BV$3+INT((DAY(EOMONTH($BV$3,0))-1)/2)+BV$14,0)=EOMONTH($DR$3,0),BV$12,0),0),IF(AND(BR$12&lt;&gt;"",BR$14&lt;&gt;""),IF(EOMONTH($BR$3+INT((DAY(EOMONTH($BR$3,0))-1)/2)+BR$14,0)=EOMONTH($DR$3,0),BR$12,0),0),IF(AND(BN$12&lt;&gt;"",BN$14&lt;&gt;""),IF(EOMONTH($BN$3+INT((DAY(EOMONTH($BN$3,0))-1)/2)+BN$14,0)=EOMONTH($DR$3,0),BN$12,0),0),IF(AND(BJ$12&lt;&gt;"",BJ$14&lt;&gt;""),IF(EOMONTH($BJ$3+INT((DAY(EOMONTH($BJ$3,0))-1)/2)+BJ$14,0)=EOMONTH($DR$3,0),BJ$12,0),0),IF(AND(BF$12&lt;&gt;"",BF$14&lt;&gt;""),IF(EOMONTH($BF$3+INT((DAY(EOMONTH($BF$3,0))-1)/2)+BF$14,0)=EOMONTH($DR$3,0),BF$12,0),0),IF(AND(BB$12&lt;&gt;"",BB$14&lt;&gt;""),IF(EOMONTH($BB$3+INT((DAY(EOMONTH($BB$3,0))-1)/2)+BB$14,0)=EOMONTH($DR$3,0),BB$12,0),0),IF(AND(AX$12&lt;&gt;"",AX$14&lt;&gt;""),IF(EOMONTH($AX$3+INT((DAY(EOMONTH($AX$3,0))-1)/2)+AX$14,0)=EOMONTH($DR$3,0),AX$12,0),0),IF(AND(AT$12&lt;&gt;"",AT$14&lt;&gt;""),IF(EOMONTH($AT$3+INT((DAY(EOMONTH($AT$3,0))-1)/2)+AT$14,0)=EOMONTH($DR$3,0),AT$12,0),0),IF(AND(AP$12&lt;&gt;"",AP$14&lt;&gt;""),IF(EOMONTH($AP$3+INT((DAY(EOMONTH($AP$3,0))-1)/2)+AP$14,0)=EOMONTH($DR$3,0),AP$12,0),0),IF(AND(AL$12&lt;&gt;"",AL$14&lt;&gt;""),IF(EOMONTH($AL$3+INT((DAY(EOMONTH($AL$3,0))-1)/2)+AL$14,0)=EOMONTH($DR$3,0),AL$12,0),0),IF(AND(AH$12&lt;&gt;"",AH$14&lt;&gt;""),IF(EOMONTH($AH$3+INT((DAY(EOMONTH($AH$3,0))-1)/2)+AH$14,0)=EOMONTH($DR$3,0),AH$12,0),0),IF(AND(AD$12&lt;&gt;"",AD$14&lt;&gt;""),IF(EOMONTH($AD$3+INT((DAY(EOMONTH($AD$3,0))-1)/2)+AD$14,0)=EOMONTH($DR$3,0),AD$12,0),0),IF(AND(Z$12&lt;&gt;"",Z$14&lt;&gt;""),IF(EOMONTH($Z$3+INT((DAY(EOMONTH($Z$3,0))-1)/2)+Z$14,0)=EOMONTH($DR$3,0),Z$12,0),0),IF(AND(V$12&lt;&gt;"",V$14&lt;&gt;""),IF(EOMONTH($V$3+INT((DAY(EOMONTH($V$3,0))-1)/2)+V$14,0)=EOMONTH($DR$3,0),V$12,0),0),IF(AND(R$12&lt;&gt;"",R$14&lt;&gt;""),IF(EOMONTH($R$3+INT((DAY(EOMONTH($R$3,0))-1)/2)+R$14,0)=EOMONTH($DR$3,0),R$12,0),0),IF(AND(N$12&lt;&gt;"",N$14&lt;&gt;""),IF(EOMONTH($N$3+INT((DAY(EOMONTH($N$3,0))-1)/2)+N$14,0)=EOMONTH($DR$3,0),N$12,0),0),IF(AND(J$12&lt;&gt;"",J$14&lt;&gt;""),IF(EOMONTH($J$3+INT((DAY(EOMONTH($J$3,0))-1)/2)+J$14,0)=EOMONTH($DR$3,0),J$12,0),0),IF(AND(F$12&lt;&gt;"",F$14&lt;&gt;""),IF(EOMONTH($F$3+INT((DAY(EOMONTH($F$3,0))-1)/2)+F$14,0)=EOMONTH($DR$3,0),F$12,0),0),IF($EP$75="",0,IF(EOMONTH($EP$75+EP$14,0)=EOMONTH($DR$3,0),$EP$77,0))),0)</f>
        <v>0</v>
      </c>
      <c r="DS20" s="14">
        <f t="shared" si="227"/>
        <v>11</v>
      </c>
      <c r="DT20" s="15">
        <f t="shared" si="227"/>
        <v>11</v>
      </c>
      <c r="DU20" s="16">
        <f t="shared" si="63"/>
        <v>0</v>
      </c>
      <c r="DV20" s="13">
        <f t="shared" ref="DV20:DX20" si="228">ROUND(SUM(IF(AND(EP$12&lt;&gt;"",EP$14&lt;&gt;""),IF(EOMONTH($EP$3+INT((DAY(EOMONTH($EP$3,0))-1)/2)+EP$14,0)=EOMONTH($DV$3,0),EP$12,0),0),IF(AND(EL$12&lt;&gt;"",EL$14&lt;&gt;""),IF(EOMONTH($EL$3+INT((DAY(EOMONTH($EL$3,0))-1)/2)+EL$14,0)=EOMONTH($DV$3,0),EL$12,0),0),IF(AND(EH$12&lt;&gt;"",EH$14&lt;&gt;""),IF(EOMONTH($EH$3+INT((DAY(EOMONTH($EH$3,0))-1)/2)+EH$14,0)=EOMONTH($DV$3,0),EH$12,0),0),IF(AND(ED$12&lt;&gt;"",ED$14&lt;&gt;""),IF(EOMONTH($ED$3+INT((DAY(EOMONTH($ED$3,0))-1)/2)+ED$14,0)=EOMONTH($DV$3,0),ED$12,0),0),IF(AND(DZ$12&lt;&gt;"",DZ$14&lt;&gt;""),IF(EOMONTH($DZ$3+INT((DAY(EOMONTH($DZ$3,0))-1)/2)+DZ$14,0)=EOMONTH($DV$3,0),DZ$12,0),0),IF(AND(DV$12&lt;&gt;"",DV$14&lt;&gt;""),IF(EOMONTH($DV$3+INT((DAY(EOMONTH($DV$3,0))-1)/2)+DV$14,0)=EOMONTH($DV$3,0),DV$12,0),0),IF(AND(DR$12&lt;&gt;"",DR$14&lt;&gt;""),IF(EOMONTH($DR$3+INT((DAY(EOMONTH($DR$3,0))-1)/2)+DR$14,0)=EOMONTH($DV$3,0),DR$12,0),0),IF(AND(DN$12&lt;&gt;"",DN$14&lt;&gt;""),IF(EOMONTH($DN$3+INT((DAY(EOMONTH($DN$3,0))-1)/2)+DN$14,0)=EOMONTH($DV$3,0),DN$12,0),0),IF(AND(DJ$12&lt;&gt;"",DJ$14&lt;&gt;""),IF(EOMONTH($DJ$3+INT((DAY(EOMONTH($DJ$3,0))-1)/2)+DJ$14,0)=EOMONTH($DV$3,0),DJ$12,0),0),IF(AND(DF$12&lt;&gt;"",DF$14&lt;&gt;""),IF(EOMONTH($DF$3+INT((DAY(EOMONTH($DF$3,0))-1)/2)+DF$14,0)=EOMONTH($DV$3,0),DF$12,0),0),IF(AND(DB$12&lt;&gt;"",DB$14&lt;&gt;""),IF(EOMONTH($DB$3+INT((DAY(EOMONTH($DB$3,0))-1)/2)+DB$14,0)=EOMONTH($DV$3,0),DB$12,0),0),IF(AND(CX$12&lt;&gt;"",CX$14&lt;&gt;""),IF(EOMONTH($CX$3+INT((DAY(EOMONTH($CX$3,0))-1)/2)+CX$14,0)=EOMONTH($DV$3,0),CX$12,0),0),IF(AND(CT$12&lt;&gt;"",CT$14&lt;&gt;""),IF(EOMONTH($CT$3+INT((DAY(EOMONTH($CT$3,0))-1)/2)+CT$14,0)=EOMONTH($DV$3,0),CT$12,0),0),IF(AND(CP$12&lt;&gt;"",CP$14&lt;&gt;""),IF(EOMONTH($CP$3+INT((DAY(EOMONTH($CP$3,0))-1)/2)+CP$14,0)=EOMONTH($DV$3,0),CP$12,0),0),IF(AND(CL$12&lt;&gt;"",CL$14&lt;&gt;""),IF(EOMONTH($CL$3+INT((DAY(EOMONTH($CL$3,0))-1)/2)+CL$14,0)=EOMONTH($DV$3,0),CL$12,0),0),IF(AND(CH$12&lt;&gt;"",CH$14&lt;&gt;""),IF(EOMONTH($CH$3+INT((DAY(EOMONTH($CH$3,0))-1)/2)+CH$14,0)=EOMONTH($DV$3,0),CH$12,0),0),IF(AND(CD$12&lt;&gt;"",CD$14&lt;&gt;""),IF(EOMONTH($CD$3+INT((DAY(EOMONTH($CD$3,0))-1)/2)+CD$14,0)=EOMONTH($DV$3,0),CD$12,0),0),IF(AND(BZ$12&lt;&gt;"",BZ$14&lt;&gt;""),IF(EOMONTH($BZ$3+INT((DAY(EOMONTH($BZ$3,0))-1)/2)+BZ$14,0)=EOMONTH($DV$3,0),BZ$12,0),0),IF(AND(BV$12&lt;&gt;"",BV$14&lt;&gt;""),IF(EOMONTH($BV$3+INT((DAY(EOMONTH($BV$3,0))-1)/2)+BV$14,0)=EOMONTH($DV$3,0),BV$12,0),0),IF(AND(BR$12&lt;&gt;"",BR$14&lt;&gt;""),IF(EOMONTH($BR$3+INT((DAY(EOMONTH($BR$3,0))-1)/2)+BR$14,0)=EOMONTH($DV$3,0),BR$12,0),0),IF(AND(BN$12&lt;&gt;"",BN$14&lt;&gt;""),IF(EOMONTH($BN$3+INT((DAY(EOMONTH($BN$3,0))-1)/2)+BN$14,0)=EOMONTH($DV$3,0),BN$12,0),0),IF(AND(BJ$12&lt;&gt;"",BJ$14&lt;&gt;""),IF(EOMONTH($BJ$3+INT((DAY(EOMONTH($BJ$3,0))-1)/2)+BJ$14,0)=EOMONTH($DV$3,0),BJ$12,0),0),IF(AND(BF$12&lt;&gt;"",BF$14&lt;&gt;""),IF(EOMONTH($BF$3+INT((DAY(EOMONTH($BF$3,0))-1)/2)+BF$14,0)=EOMONTH($DV$3,0),BF$12,0),0),IF(AND(BB$12&lt;&gt;"",BB$14&lt;&gt;""),IF(EOMONTH($BB$3+INT((DAY(EOMONTH($BB$3,0))-1)/2)+BB$14,0)=EOMONTH($DV$3,0),BB$12,0),0),IF(AND(AX$12&lt;&gt;"",AX$14&lt;&gt;""),IF(EOMONTH($AX$3+INT((DAY(EOMONTH($AX$3,0))-1)/2)+AX$14,0)=EOMONTH($DV$3,0),AX$12,0),0),IF(AND(AT$12&lt;&gt;"",AT$14&lt;&gt;""),IF(EOMONTH($AT$3+INT((DAY(EOMONTH($AT$3,0))-1)/2)+AT$14,0)=EOMONTH($DV$3,0),AT$12,0),0),IF(AND(AP$12&lt;&gt;"",AP$14&lt;&gt;""),IF(EOMONTH($AP$3+INT((DAY(EOMONTH($AP$3,0))-1)/2)+AP$14,0)=EOMONTH($DV$3,0),AP$12,0),0),IF(AND(AL$12&lt;&gt;"",AL$14&lt;&gt;""),IF(EOMONTH($AL$3+INT((DAY(EOMONTH($AL$3,0))-1)/2)+AL$14,0)=EOMONTH($DV$3,0),AL$12,0),0),IF(AND(AH$12&lt;&gt;"",AH$14&lt;&gt;""),IF(EOMONTH($AH$3+INT((DAY(EOMONTH($AH$3,0))-1)/2)+AH$14,0)=EOMONTH($DV$3,0),AH$12,0),0),IF(AND(AD$12&lt;&gt;"",AD$14&lt;&gt;""),IF(EOMONTH($AD$3+INT((DAY(EOMONTH($AD$3,0))-1)/2)+AD$14,0)=EOMONTH($DV$3,0),AD$12,0),0),IF(AND(Z$12&lt;&gt;"",Z$14&lt;&gt;""),IF(EOMONTH($Z$3+INT((DAY(EOMONTH($Z$3,0))-1)/2)+Z$14,0)=EOMONTH($DV$3,0),Z$12,0),0),IF(AND(V$12&lt;&gt;"",V$14&lt;&gt;""),IF(EOMONTH($V$3+INT((DAY(EOMONTH($V$3,0))-1)/2)+V$14,0)=EOMONTH($DV$3,0),V$12,0),0),IF(AND(R$12&lt;&gt;"",R$14&lt;&gt;""),IF(EOMONTH($R$3+INT((DAY(EOMONTH($R$3,0))-1)/2)+R$14,0)=EOMONTH($DV$3,0),R$12,0),0),IF(AND(N$12&lt;&gt;"",N$14&lt;&gt;""),IF(EOMONTH($N$3+INT((DAY(EOMONTH($N$3,0))-1)/2)+N$14,0)=EOMONTH($DV$3,0),N$12,0),0),IF(AND(J$12&lt;&gt;"",J$14&lt;&gt;""),IF(EOMONTH($J$3+INT((DAY(EOMONTH($J$3,0))-1)/2)+J$14,0)=EOMONTH($DV$3,0),J$12,0),0),IF(AND(F$12&lt;&gt;"",F$14&lt;&gt;""),IF(EOMONTH($F$3+INT((DAY(EOMONTH($F$3,0))-1)/2)+F$14,0)=EOMONTH($DV$3,0),F$12,0),0),IF($EP$75="",0,IF(EOMONTH($EP$75+EP$14,0)=EOMONTH($DV$3,0),$EP$77,0))),0)</f>
        <v>0</v>
      </c>
      <c r="DW20" s="14">
        <f t="shared" si="228"/>
        <v>11</v>
      </c>
      <c r="DX20" s="15">
        <f t="shared" si="228"/>
        <v>11</v>
      </c>
      <c r="DY20" s="16">
        <f t="shared" si="65"/>
        <v>0</v>
      </c>
      <c r="DZ20" s="13">
        <f t="shared" ref="DZ20:EB20" si="229">ROUND(SUM(IF(AND(EP$12&lt;&gt;"",EP$14&lt;&gt;""),IF(EOMONTH($EP$3+INT((DAY(EOMONTH($EP$3,0))-1)/2)+EP$14,0)=EOMONTH($DZ$3,0),EP$12,0),0),IF(AND(EL$12&lt;&gt;"",EL$14&lt;&gt;""),IF(EOMONTH($EL$3+INT((DAY(EOMONTH($EL$3,0))-1)/2)+EL$14,0)=EOMONTH($DZ$3,0),EL$12,0),0),IF(AND(EH$12&lt;&gt;"",EH$14&lt;&gt;""),IF(EOMONTH($EH$3+INT((DAY(EOMONTH($EH$3,0))-1)/2)+EH$14,0)=EOMONTH($DZ$3,0),EH$12,0),0),IF(AND(ED$12&lt;&gt;"",ED$14&lt;&gt;""),IF(EOMONTH($ED$3+INT((DAY(EOMONTH($ED$3,0))-1)/2)+ED$14,0)=EOMONTH($DZ$3,0),ED$12,0),0),IF(AND(DZ$12&lt;&gt;"",DZ$14&lt;&gt;""),IF(EOMONTH($DZ$3+INT((DAY(EOMONTH($DZ$3,0))-1)/2)+DZ$14,0)=EOMONTH($DZ$3,0),DZ$12,0),0),IF(AND(DV$12&lt;&gt;"",DV$14&lt;&gt;""),IF(EOMONTH($DV$3+INT((DAY(EOMONTH($DV$3,0))-1)/2)+DV$14,0)=EOMONTH($DZ$3,0),DV$12,0),0),IF(AND(DR$12&lt;&gt;"",DR$14&lt;&gt;""),IF(EOMONTH($DR$3+INT((DAY(EOMONTH($DR$3,0))-1)/2)+DR$14,0)=EOMONTH($DZ$3,0),DR$12,0),0),IF(AND(DN$12&lt;&gt;"",DN$14&lt;&gt;""),IF(EOMONTH($DN$3+INT((DAY(EOMONTH($DN$3,0))-1)/2)+DN$14,0)=EOMONTH($DZ$3,0),DN$12,0),0),IF(AND(DJ$12&lt;&gt;"",DJ$14&lt;&gt;""),IF(EOMONTH($DJ$3+INT((DAY(EOMONTH($DJ$3,0))-1)/2)+DJ$14,0)=EOMONTH($DZ$3,0),DJ$12,0),0),IF(AND(DF$12&lt;&gt;"",DF$14&lt;&gt;""),IF(EOMONTH($DF$3+INT((DAY(EOMONTH($DF$3,0))-1)/2)+DF$14,0)=EOMONTH($DZ$3,0),DF$12,0),0),IF(AND(DB$12&lt;&gt;"",DB$14&lt;&gt;""),IF(EOMONTH($DB$3+INT((DAY(EOMONTH($DB$3,0))-1)/2)+DB$14,0)=EOMONTH($DZ$3,0),DB$12,0),0),IF(AND(CX$12&lt;&gt;"",CX$14&lt;&gt;""),IF(EOMONTH($CX$3+INT((DAY(EOMONTH($CX$3,0))-1)/2)+CX$14,0)=EOMONTH($DZ$3,0),CX$12,0),0),IF(AND(CT$12&lt;&gt;"",CT$14&lt;&gt;""),IF(EOMONTH($CT$3+INT((DAY(EOMONTH($CT$3,0))-1)/2)+CT$14,0)=EOMONTH($DZ$3,0),CT$12,0),0),IF(AND(CP$12&lt;&gt;"",CP$14&lt;&gt;""),IF(EOMONTH($CP$3+INT((DAY(EOMONTH($CP$3,0))-1)/2)+CP$14,0)=EOMONTH($DZ$3,0),CP$12,0),0),IF(AND(CL$12&lt;&gt;"",CL$14&lt;&gt;""),IF(EOMONTH($CL$3+INT((DAY(EOMONTH($CL$3,0))-1)/2)+CL$14,0)=EOMONTH($DZ$3,0),CL$12,0),0),IF(AND(CH$12&lt;&gt;"",CH$14&lt;&gt;""),IF(EOMONTH($CH$3+INT((DAY(EOMONTH($CH$3,0))-1)/2)+CH$14,0)=EOMONTH($DZ$3,0),CH$12,0),0),IF(AND(CD$12&lt;&gt;"",CD$14&lt;&gt;""),IF(EOMONTH($CD$3+INT((DAY(EOMONTH($CD$3,0))-1)/2)+CD$14,0)=EOMONTH($DZ$3,0),CD$12,0),0),IF(AND(BZ$12&lt;&gt;"",BZ$14&lt;&gt;""),IF(EOMONTH($BZ$3+INT((DAY(EOMONTH($BZ$3,0))-1)/2)+BZ$14,0)=EOMONTH($DZ$3,0),BZ$12,0),0),IF(AND(BV$12&lt;&gt;"",BV$14&lt;&gt;""),IF(EOMONTH($BV$3+INT((DAY(EOMONTH($BV$3,0))-1)/2)+BV$14,0)=EOMONTH($DZ$3,0),BV$12,0),0),IF(AND(BR$12&lt;&gt;"",BR$14&lt;&gt;""),IF(EOMONTH($BR$3+INT((DAY(EOMONTH($BR$3,0))-1)/2)+BR$14,0)=EOMONTH($DZ$3,0),BR$12,0),0),IF(AND(BN$12&lt;&gt;"",BN$14&lt;&gt;""),IF(EOMONTH($BN$3+INT((DAY(EOMONTH($BN$3,0))-1)/2)+BN$14,0)=EOMONTH($DZ$3,0),BN$12,0),0),IF(AND(BJ$12&lt;&gt;"",BJ$14&lt;&gt;""),IF(EOMONTH($BJ$3+INT((DAY(EOMONTH($BJ$3,0))-1)/2)+BJ$14,0)=EOMONTH($DZ$3,0),BJ$12,0),0),IF(AND(BF$12&lt;&gt;"",BF$14&lt;&gt;""),IF(EOMONTH($BF$3+INT((DAY(EOMONTH($BF$3,0))-1)/2)+BF$14,0)=EOMONTH($DZ$3,0),BF$12,0),0),IF(AND(BB$12&lt;&gt;"",BB$14&lt;&gt;""),IF(EOMONTH($BB$3+INT((DAY(EOMONTH($BB$3,0))-1)/2)+BB$14,0)=EOMONTH($DZ$3,0),BB$12,0),0),IF(AND(AX$12&lt;&gt;"",AX$14&lt;&gt;""),IF(EOMONTH($AX$3+INT((DAY(EOMONTH($AX$3,0))-1)/2)+AX$14,0)=EOMONTH($DZ$3,0),AX$12,0),0),IF(AND(AT$12&lt;&gt;"",AT$14&lt;&gt;""),IF(EOMONTH($AT$3+INT((DAY(EOMONTH($AT$3,0))-1)/2)+AT$14,0)=EOMONTH($DZ$3,0),AT$12,0),0),IF(AND(AP$12&lt;&gt;"",AP$14&lt;&gt;""),IF(EOMONTH($AP$3+INT((DAY(EOMONTH($AP$3,0))-1)/2)+AP$14,0)=EOMONTH($DZ$3,0),AP$12,0),0),IF(AND(AL$12&lt;&gt;"",AL$14&lt;&gt;""),IF(EOMONTH($AL$3+INT((DAY(EOMONTH($AL$3,0))-1)/2)+AL$14,0)=EOMONTH($DZ$3,0),AL$12,0),0),IF(AND(AH$12&lt;&gt;"",AH$14&lt;&gt;""),IF(EOMONTH($AH$3+INT((DAY(EOMONTH($AH$3,0))-1)/2)+AH$14,0)=EOMONTH($DZ$3,0),AH$12,0),0),IF(AND(AD$12&lt;&gt;"",AD$14&lt;&gt;""),IF(EOMONTH($AD$3+INT((DAY(EOMONTH($AD$3,0))-1)/2)+AD$14,0)=EOMONTH($DZ$3,0),AD$12,0),0),IF(AND(Z$12&lt;&gt;"",Z$14&lt;&gt;""),IF(EOMONTH($Z$3+INT((DAY(EOMONTH($Z$3,0))-1)/2)+Z$14,0)=EOMONTH($DZ$3,0),Z$12,0),0),IF(AND(V$12&lt;&gt;"",V$14&lt;&gt;""),IF(EOMONTH($V$3+INT((DAY(EOMONTH($V$3,0))-1)/2)+V$14,0)=EOMONTH($DZ$3,0),V$12,0),0),IF(AND(R$12&lt;&gt;"",R$14&lt;&gt;""),IF(EOMONTH($R$3+INT((DAY(EOMONTH($R$3,0))-1)/2)+R$14,0)=EOMONTH($DZ$3,0),R$12,0),0),IF(AND(N$12&lt;&gt;"",N$14&lt;&gt;""),IF(EOMONTH($N$3+INT((DAY(EOMONTH($N$3,0))-1)/2)+N$14,0)=EOMONTH($DZ$3,0),N$12,0),0),IF(AND(J$12&lt;&gt;"",J$14&lt;&gt;""),IF(EOMONTH($J$3+INT((DAY(EOMONTH($J$3,0))-1)/2)+J$14,0)=EOMONTH($DZ$3,0),J$12,0),0),IF(AND(F$12&lt;&gt;"",F$14&lt;&gt;""),IF(EOMONTH($F$3+INT((DAY(EOMONTH($F$3,0))-1)/2)+F$14,0)=EOMONTH($DZ$3,0),F$12,0),0),IF($EP$75="",0,IF(EOMONTH($EP$75+EP$14,0)=EOMONTH($DZ$3,0),$EP$77,0))),0)</f>
        <v>0</v>
      </c>
      <c r="EA20" s="14">
        <f t="shared" si="229"/>
        <v>11</v>
      </c>
      <c r="EB20" s="15">
        <f t="shared" si="229"/>
        <v>11</v>
      </c>
      <c r="EC20" s="16">
        <f t="shared" si="67"/>
        <v>0</v>
      </c>
      <c r="ED20" s="13">
        <f t="shared" ref="ED20:EF20" si="230">ROUND(SUM(IF(AND(EP$12&lt;&gt;"",EP$14&lt;&gt;""),IF(EOMONTH($EP$3+INT((DAY(EOMONTH($EP$3,0))-1)/2)+EP$14,0)=EOMONTH($ED$3,0),EP$12,0),0),IF(AND(EL$12&lt;&gt;"",EL$14&lt;&gt;""),IF(EOMONTH($EL$3+INT((DAY(EOMONTH($EL$3,0))-1)/2)+EL$14,0)=EOMONTH($ED$3,0),EL$12,0),0),IF(AND(EH$12&lt;&gt;"",EH$14&lt;&gt;""),IF(EOMONTH($EH$3+INT((DAY(EOMONTH($EH$3,0))-1)/2)+EH$14,0)=EOMONTH($ED$3,0),EH$12,0),0),IF(AND(ED$12&lt;&gt;"",ED$14&lt;&gt;""),IF(EOMONTH($ED$3+INT((DAY(EOMONTH($ED$3,0))-1)/2)+ED$14,0)=EOMONTH($ED$3,0),ED$12,0),0),IF(AND(DZ$12&lt;&gt;"",DZ$14&lt;&gt;""),IF(EOMONTH($DZ$3+INT((DAY(EOMONTH($DZ$3,0))-1)/2)+DZ$14,0)=EOMONTH($ED$3,0),DZ$12,0),0),IF(AND(DV$12&lt;&gt;"",DV$14&lt;&gt;""),IF(EOMONTH($DV$3+INT((DAY(EOMONTH($DV$3,0))-1)/2)+DV$14,0)=EOMONTH($ED$3,0),DV$12,0),0),IF(AND(DR$12&lt;&gt;"",DR$14&lt;&gt;""),IF(EOMONTH($DR$3+INT((DAY(EOMONTH($DR$3,0))-1)/2)+DR$14,0)=EOMONTH($ED$3,0),DR$12,0),0),IF(AND(DN$12&lt;&gt;"",DN$14&lt;&gt;""),IF(EOMONTH($DN$3+INT((DAY(EOMONTH($DN$3,0))-1)/2)+DN$14,0)=EOMONTH($ED$3,0),DN$12,0),0),IF(AND(DJ$12&lt;&gt;"",DJ$14&lt;&gt;""),IF(EOMONTH($DJ$3+INT((DAY(EOMONTH($DJ$3,0))-1)/2)+DJ$14,0)=EOMONTH($ED$3,0),DJ$12,0),0),IF(AND(DF$12&lt;&gt;"",DF$14&lt;&gt;""),IF(EOMONTH($DF$3+INT((DAY(EOMONTH($DF$3,0))-1)/2)+DF$14,0)=EOMONTH($ED$3,0),DF$12,0),0),IF(AND(DB$12&lt;&gt;"",DB$14&lt;&gt;""),IF(EOMONTH($DB$3+INT((DAY(EOMONTH($DB$3,0))-1)/2)+DB$14,0)=EOMONTH($ED$3,0),DB$12,0),0),IF(AND(CX$12&lt;&gt;"",CX$14&lt;&gt;""),IF(EOMONTH($CX$3+INT((DAY(EOMONTH($CX$3,0))-1)/2)+CX$14,0)=EOMONTH($ED$3,0),CX$12,0),0),IF(AND(CT$12&lt;&gt;"",CT$14&lt;&gt;""),IF(EOMONTH($CT$3+INT((DAY(EOMONTH($CT$3,0))-1)/2)+CT$14,0)=EOMONTH($ED$3,0),CT$12,0),0),IF(AND(CP$12&lt;&gt;"",CP$14&lt;&gt;""),IF(EOMONTH($CP$3+INT((DAY(EOMONTH($CP$3,0))-1)/2)+CP$14,0)=EOMONTH($ED$3,0),CP$12,0),0),IF(AND(CL$12&lt;&gt;"",CL$14&lt;&gt;""),IF(EOMONTH($CL$3+INT((DAY(EOMONTH($CL$3,0))-1)/2)+CL$14,0)=EOMONTH($ED$3,0),CL$12,0),0),IF(AND(CH$12&lt;&gt;"",CH$14&lt;&gt;""),IF(EOMONTH($CH$3+INT((DAY(EOMONTH($CH$3,0))-1)/2)+CH$14,0)=EOMONTH($ED$3,0),CH$12,0),0),IF(AND(CD$12&lt;&gt;"",CD$14&lt;&gt;""),IF(EOMONTH($CD$3+INT((DAY(EOMONTH($CD$3,0))-1)/2)+CD$14,0)=EOMONTH($ED$3,0),CD$12,0),0),IF(AND(BZ$12&lt;&gt;"",BZ$14&lt;&gt;""),IF(EOMONTH($BZ$3+INT((DAY(EOMONTH($BZ$3,0))-1)/2)+BZ$14,0)=EOMONTH($ED$3,0),BZ$12,0),0),IF(AND(BV$12&lt;&gt;"",BV$14&lt;&gt;""),IF(EOMONTH($BV$3+INT((DAY(EOMONTH($BV$3,0))-1)/2)+BV$14,0)=EOMONTH($ED$3,0),BV$12,0),0),IF(AND(BR$12&lt;&gt;"",BR$14&lt;&gt;""),IF(EOMONTH($BR$3+INT((DAY(EOMONTH($BR$3,0))-1)/2)+BR$14,0)=EOMONTH($ED$3,0),BR$12,0),0),IF(AND(BN$12&lt;&gt;"",BN$14&lt;&gt;""),IF(EOMONTH($BN$3+INT((DAY(EOMONTH($BN$3,0))-1)/2)+BN$14,0)=EOMONTH($ED$3,0),BN$12,0),0),IF(AND(BJ$12&lt;&gt;"",BJ$14&lt;&gt;""),IF(EOMONTH($BJ$3+INT((DAY(EOMONTH($BJ$3,0))-1)/2)+BJ$14,0)=EOMONTH($ED$3,0),BJ$12,0),0),IF(AND(BF$12&lt;&gt;"",BF$14&lt;&gt;""),IF(EOMONTH($BF$3+INT((DAY(EOMONTH($BF$3,0))-1)/2)+BF$14,0)=EOMONTH($ED$3,0),BF$12,0),0),IF(AND(BB$12&lt;&gt;"",BB$14&lt;&gt;""),IF(EOMONTH($BB$3+INT((DAY(EOMONTH($BB$3,0))-1)/2)+BB$14,0)=EOMONTH($ED$3,0),BB$12,0),0),IF(AND(AX$12&lt;&gt;"",AX$14&lt;&gt;""),IF(EOMONTH($AX$3+INT((DAY(EOMONTH($AX$3,0))-1)/2)+AX$14,0)=EOMONTH($ED$3,0),AX$12,0),0),IF(AND(AT$12&lt;&gt;"",AT$14&lt;&gt;""),IF(EOMONTH($AT$3+INT((DAY(EOMONTH($AT$3,0))-1)/2)+AT$14,0)=EOMONTH($ED$3,0),AT$12,0),0),IF(AND(AP$12&lt;&gt;"",AP$14&lt;&gt;""),IF(EOMONTH($AP$3+INT((DAY(EOMONTH($AP$3,0))-1)/2)+AP$14,0)=EOMONTH($ED$3,0),AP$12,0),0),IF(AND(AL$12&lt;&gt;"",AL$14&lt;&gt;""),IF(EOMONTH($AL$3+INT((DAY(EOMONTH($AL$3,0))-1)/2)+AL$14,0)=EOMONTH($ED$3,0),AL$12,0),0),IF(AND(AH$12&lt;&gt;"",AH$14&lt;&gt;""),IF(EOMONTH($AH$3+INT((DAY(EOMONTH($AH$3,0))-1)/2)+AH$14,0)=EOMONTH($ED$3,0),AH$12,0),0),IF(AND(AD$12&lt;&gt;"",AD$14&lt;&gt;""),IF(EOMONTH($AD$3+INT((DAY(EOMONTH($AD$3,0))-1)/2)+AD$14,0)=EOMONTH($ED$3,0),AD$12,0),0),IF(AND(Z$12&lt;&gt;"",Z$14&lt;&gt;""),IF(EOMONTH($Z$3+INT((DAY(EOMONTH($Z$3,0))-1)/2)+Z$14,0)=EOMONTH($ED$3,0),Z$12,0),0),IF(AND(V$12&lt;&gt;"",V$14&lt;&gt;""),IF(EOMONTH($V$3+INT((DAY(EOMONTH($V$3,0))-1)/2)+V$14,0)=EOMONTH($ED$3,0),V$12,0),0),IF(AND(R$12&lt;&gt;"",R$14&lt;&gt;""),IF(EOMONTH($R$3+INT((DAY(EOMONTH($R$3,0))-1)/2)+R$14,0)=EOMONTH($ED$3,0),R$12,0),0),IF(AND(N$12&lt;&gt;"",N$14&lt;&gt;""),IF(EOMONTH($N$3+INT((DAY(EOMONTH($N$3,0))-1)/2)+N$14,0)=EOMONTH($ED$3,0),N$12,0),0),IF(AND(J$12&lt;&gt;"",J$14&lt;&gt;""),IF(EOMONTH($J$3+INT((DAY(EOMONTH($J$3,0))-1)/2)+J$14,0)=EOMONTH($ED$3,0),J$12,0),0),IF(AND(F$12&lt;&gt;"",F$14&lt;&gt;""),IF(EOMONTH($F$3+INT((DAY(EOMONTH($F$3,0))-1)/2)+F$14,0)=EOMONTH($ED$3,0),F$12,0),0),IF($EP$75="",0,IF(EOMONTH($EP$75+EP$14,0)=EOMONTH($ED$3,0),$EP$77,0))),0)</f>
        <v>0</v>
      </c>
      <c r="EE20" s="14">
        <f t="shared" si="230"/>
        <v>8</v>
      </c>
      <c r="EF20" s="15">
        <f t="shared" si="230"/>
        <v>10</v>
      </c>
      <c r="EG20" s="16">
        <f t="shared" si="69"/>
        <v>-2</v>
      </c>
      <c r="EH20" s="13">
        <f t="shared" ref="EH20:EJ20" si="231">ROUND(SUM(IF(AND(EP$12&lt;&gt;"",EP$14&lt;&gt;""),IF(EOMONTH($EP$3+INT((DAY(EOMONTH($EP$3,0))-1)/2)+EP$14,0)=EOMONTH($EH$3,0),EP$12,0),0),IF(AND(EL$12&lt;&gt;"",EL$14&lt;&gt;""),IF(EOMONTH($EL$3+INT((DAY(EOMONTH($EL$3,0))-1)/2)+EL$14,0)=EOMONTH($EH$3,0),EL$12,0),0),IF(AND(EH$12&lt;&gt;"",EH$14&lt;&gt;""),IF(EOMONTH($EH$3+INT((DAY(EOMONTH($EH$3,0))-1)/2)+EH$14,0)=EOMONTH($EH$3,0),EH$12,0),0),IF(AND(ED$12&lt;&gt;"",ED$14&lt;&gt;""),IF(EOMONTH($ED$3+INT((DAY(EOMONTH($ED$3,0))-1)/2)+ED$14,0)=EOMONTH($EH$3,0),ED$12,0),0),IF(AND(DZ$12&lt;&gt;"",DZ$14&lt;&gt;""),IF(EOMONTH($DZ$3+INT((DAY(EOMONTH($DZ$3,0))-1)/2)+DZ$14,0)=EOMONTH($EH$3,0),DZ$12,0),0),IF(AND(DV$12&lt;&gt;"",DV$14&lt;&gt;""),IF(EOMONTH($DV$3+INT((DAY(EOMONTH($DV$3,0))-1)/2)+DV$14,0)=EOMONTH($EH$3,0),DV$12,0),0),IF(AND(DR$12&lt;&gt;"",DR$14&lt;&gt;""),IF(EOMONTH($DR$3+INT((DAY(EOMONTH($DR$3,0))-1)/2)+DR$14,0)=EOMONTH($EH$3,0),DR$12,0),0),IF(AND(DN$12&lt;&gt;"",DN$14&lt;&gt;""),IF(EOMONTH($DN$3+INT((DAY(EOMONTH($DN$3,0))-1)/2)+DN$14,0)=EOMONTH($EH$3,0),DN$12,0),0),IF(AND(DJ$12&lt;&gt;"",DJ$14&lt;&gt;""),IF(EOMONTH($DJ$3+INT((DAY(EOMONTH($DJ$3,0))-1)/2)+DJ$14,0)=EOMONTH($EH$3,0),DJ$12,0),0),IF(AND(DF$12&lt;&gt;"",DF$14&lt;&gt;""),IF(EOMONTH($DF$3+INT((DAY(EOMONTH($DF$3,0))-1)/2)+DF$14,0)=EOMONTH($EH$3,0),DF$12,0),0),IF(AND(DB$12&lt;&gt;"",DB$14&lt;&gt;""),IF(EOMONTH($DB$3+INT((DAY(EOMONTH($DB$3,0))-1)/2)+DB$14,0)=EOMONTH($EH$3,0),DB$12,0),0),IF(AND(CX$12&lt;&gt;"",CX$14&lt;&gt;""),IF(EOMONTH($CX$3+INT((DAY(EOMONTH($CX$3,0))-1)/2)+CX$14,0)=EOMONTH($EH$3,0),CX$12,0),0),IF(AND(CT$12&lt;&gt;"",CT$14&lt;&gt;""),IF(EOMONTH($CT$3+INT((DAY(EOMONTH($CT$3,0))-1)/2)+CT$14,0)=EOMONTH($EH$3,0),CT$12,0),0),IF(AND(CP$12&lt;&gt;"",CP$14&lt;&gt;""),IF(EOMONTH($CP$3+INT((DAY(EOMONTH($CP$3,0))-1)/2)+CP$14,0)=EOMONTH($EH$3,0),CP$12,0),0),IF(AND(CL$12&lt;&gt;"",CL$14&lt;&gt;""),IF(EOMONTH($CL$3+INT((DAY(EOMONTH($CL$3,0))-1)/2)+CL$14,0)=EOMONTH($EH$3,0),CL$12,0),0),IF(AND(CH$12&lt;&gt;"",CH$14&lt;&gt;""),IF(EOMONTH($CH$3+INT((DAY(EOMONTH($CH$3,0))-1)/2)+CH$14,0)=EOMONTH($EH$3,0),CH$12,0),0),IF(AND(CD$12&lt;&gt;"",CD$14&lt;&gt;""),IF(EOMONTH($CD$3+INT((DAY(EOMONTH($CD$3,0))-1)/2)+CD$14,0)=EOMONTH($EH$3,0),CD$12,0),0),IF(AND(BZ$12&lt;&gt;"",BZ$14&lt;&gt;""),IF(EOMONTH($BZ$3+INT((DAY(EOMONTH($BZ$3,0))-1)/2)+BZ$14,0)=EOMONTH($EH$3,0),BZ$12,0),0),IF(AND(BV$12&lt;&gt;"",BV$14&lt;&gt;""),IF(EOMONTH($BV$3+INT((DAY(EOMONTH($BV$3,0))-1)/2)+BV$14,0)=EOMONTH($EH$3,0),BV$12,0),0),IF(AND(BR$12&lt;&gt;"",BR$14&lt;&gt;""),IF(EOMONTH($BR$3+INT((DAY(EOMONTH($BR$3,0))-1)/2)+BR$14,0)=EOMONTH($EH$3,0),BR$12,0),0),IF(AND(BN$12&lt;&gt;"",BN$14&lt;&gt;""),IF(EOMONTH($BN$3+INT((DAY(EOMONTH($BN$3,0))-1)/2)+BN$14,0)=EOMONTH($EH$3,0),BN$12,0),0),IF(AND(BJ$12&lt;&gt;"",BJ$14&lt;&gt;""),IF(EOMONTH($BJ$3+INT((DAY(EOMONTH($BJ$3,0))-1)/2)+BJ$14,0)=EOMONTH($EH$3,0),BJ$12,0),0),IF(AND(BF$12&lt;&gt;"",BF$14&lt;&gt;""),IF(EOMONTH($BF$3+INT((DAY(EOMONTH($BF$3,0))-1)/2)+BF$14,0)=EOMONTH($EH$3,0),BF$12,0),0),IF(AND(BB$12&lt;&gt;"",BB$14&lt;&gt;""),IF(EOMONTH($BB$3+INT((DAY(EOMONTH($BB$3,0))-1)/2)+BB$14,0)=EOMONTH($EH$3,0),BB$12,0),0),IF(AND(AX$12&lt;&gt;"",AX$14&lt;&gt;""),IF(EOMONTH($AX$3+INT((DAY(EOMONTH($AX$3,0))-1)/2)+AX$14,0)=EOMONTH($EH$3,0),AX$12,0),0),IF(AND(AT$12&lt;&gt;"",AT$14&lt;&gt;""),IF(EOMONTH($AT$3+INT((DAY(EOMONTH($AT$3,0))-1)/2)+AT$14,0)=EOMONTH($EH$3,0),AT$12,0),0),IF(AND(AP$12&lt;&gt;"",AP$14&lt;&gt;""),IF(EOMONTH($AP$3+INT((DAY(EOMONTH($AP$3,0))-1)/2)+AP$14,0)=EOMONTH($EH$3,0),AP$12,0),0),IF(AND(AL$12&lt;&gt;"",AL$14&lt;&gt;""),IF(EOMONTH($AL$3+INT((DAY(EOMONTH($AL$3,0))-1)/2)+AL$14,0)=EOMONTH($EH$3,0),AL$12,0),0),IF(AND(AH$12&lt;&gt;"",AH$14&lt;&gt;""),IF(EOMONTH($AH$3+INT((DAY(EOMONTH($AH$3,0))-1)/2)+AH$14,0)=EOMONTH($EH$3,0),AH$12,0),0),IF(AND(AD$12&lt;&gt;"",AD$14&lt;&gt;""),IF(EOMONTH($AD$3+INT((DAY(EOMONTH($AD$3,0))-1)/2)+AD$14,0)=EOMONTH($EH$3,0),AD$12,0),0),IF(AND(Z$12&lt;&gt;"",Z$14&lt;&gt;""),IF(EOMONTH($Z$3+INT((DAY(EOMONTH($Z$3,0))-1)/2)+Z$14,0)=EOMONTH($EH$3,0),Z$12,0),0),IF(AND(V$12&lt;&gt;"",V$14&lt;&gt;""),IF(EOMONTH($V$3+INT((DAY(EOMONTH($V$3,0))-1)/2)+V$14,0)=EOMONTH($EH$3,0),V$12,0),0),IF(AND(R$12&lt;&gt;"",R$14&lt;&gt;""),IF(EOMONTH($R$3+INT((DAY(EOMONTH($R$3,0))-1)/2)+R$14,0)=EOMONTH($EH$3,0),R$12,0),0),IF(AND(N$12&lt;&gt;"",N$14&lt;&gt;""),IF(EOMONTH($N$3+INT((DAY(EOMONTH($N$3,0))-1)/2)+N$14,0)=EOMONTH($EH$3,0),N$12,0),0),IF(AND(J$12&lt;&gt;"",J$14&lt;&gt;""),IF(EOMONTH($J$3+INT((DAY(EOMONTH($J$3,0))-1)/2)+J$14,0)=EOMONTH($EH$3,0),J$12,0),0),IF(AND(F$12&lt;&gt;"",F$14&lt;&gt;""),IF(EOMONTH($F$3+INT((DAY(EOMONTH($F$3,0))-1)/2)+F$14,0)=EOMONTH($EH$3,0),F$12,0),0),IF($EP$75="",0,IF(EOMONTH($EP$75+EP$14,0)=EOMONTH($EH$3,0),$EP$77,0))),0)</f>
        <v>8</v>
      </c>
      <c r="EI20" s="14">
        <f t="shared" si="231"/>
        <v>8</v>
      </c>
      <c r="EJ20" s="15">
        <f t="shared" si="231"/>
        <v>10</v>
      </c>
      <c r="EK20" s="16">
        <f t="shared" si="71"/>
        <v>-2</v>
      </c>
      <c r="EL20" s="13">
        <f t="shared" ref="EL20:EN20" si="232">ROUND(SUM(IF(AND(EP$12&lt;&gt;"",EP$14&lt;&gt;""),IF(EOMONTH($EP$3+INT((DAY(EOMONTH($EP$3,0))-1)/2)+EP$14,0)=EOMONTH($EL$3,0),EP$12,0),0),IF(AND(EL$12&lt;&gt;"",EL$14&lt;&gt;""),IF(EOMONTH($EL$3+INT((DAY(EOMONTH($EL$3,0))-1)/2)+EL$14,0)=EOMONTH($EL$3,0),EL$12,0),0),IF(AND(EH$12&lt;&gt;"",EH$14&lt;&gt;""),IF(EOMONTH($EH$3+INT((DAY(EOMONTH($EH$3,0))-1)/2)+EH$14,0)=EOMONTH($EL$3,0),EH$12,0),0),IF(AND(ED$12&lt;&gt;"",ED$14&lt;&gt;""),IF(EOMONTH($ED$3+INT((DAY(EOMONTH($ED$3,0))-1)/2)+ED$14,0)=EOMONTH($EL$3,0),ED$12,0),0),IF(AND(DZ$12&lt;&gt;"",DZ$14&lt;&gt;""),IF(EOMONTH($DZ$3+INT((DAY(EOMONTH($DZ$3,0))-1)/2)+DZ$14,0)=EOMONTH($EL$3,0),DZ$12,0),0),IF(AND(DV$12&lt;&gt;"",DV$14&lt;&gt;""),IF(EOMONTH($DV$3+INT((DAY(EOMONTH($DV$3,0))-1)/2)+DV$14,0)=EOMONTH($EL$3,0),DV$12,0),0),IF(AND(DR$12&lt;&gt;"",DR$14&lt;&gt;""),IF(EOMONTH($DR$3+INT((DAY(EOMONTH($DR$3,0))-1)/2)+DR$14,0)=EOMONTH($EL$3,0),DR$12,0),0),IF(AND(DN$12&lt;&gt;"",DN$14&lt;&gt;""),IF(EOMONTH($DN$3+INT((DAY(EOMONTH($DN$3,0))-1)/2)+DN$14,0)=EOMONTH($EL$3,0),DN$12,0),0),IF(AND(DJ$12&lt;&gt;"",DJ$14&lt;&gt;""),IF(EOMONTH($DJ$3+INT((DAY(EOMONTH($DJ$3,0))-1)/2)+DJ$14,0)=EOMONTH($EL$3,0),DJ$12,0),0),IF(AND(DF$12&lt;&gt;"",DF$14&lt;&gt;""),IF(EOMONTH($DF$3+INT((DAY(EOMONTH($DF$3,0))-1)/2)+DF$14,0)=EOMONTH($EL$3,0),DF$12,0),0),IF(AND(DB$12&lt;&gt;"",DB$14&lt;&gt;""),IF(EOMONTH($DB$3+INT((DAY(EOMONTH($DB$3,0))-1)/2)+DB$14,0)=EOMONTH($EL$3,0),DB$12,0),0),IF(AND(CX$12&lt;&gt;"",CX$14&lt;&gt;""),IF(EOMONTH($CX$3+INT((DAY(EOMONTH($CX$3,0))-1)/2)+CX$14,0)=EOMONTH($EL$3,0),CX$12,0),0),IF(AND(CT$12&lt;&gt;"",CT$14&lt;&gt;""),IF(EOMONTH($CT$3+INT((DAY(EOMONTH($CT$3,0))-1)/2)+CT$14,0)=EOMONTH($EL$3,0),CT$12,0),0),IF(AND(CP$12&lt;&gt;"",CP$14&lt;&gt;""),IF(EOMONTH($CP$3+INT((DAY(EOMONTH($CP$3,0))-1)/2)+CP$14,0)=EOMONTH($EL$3,0),CP$12,0),0),IF(AND(CL$12&lt;&gt;"",CL$14&lt;&gt;""),IF(EOMONTH($CL$3+INT((DAY(EOMONTH($CL$3,0))-1)/2)+CL$14,0)=EOMONTH($EL$3,0),CL$12,0),0),IF(AND(CH$12&lt;&gt;"",CH$14&lt;&gt;""),IF(EOMONTH($CH$3+INT((DAY(EOMONTH($CH$3,0))-1)/2)+CH$14,0)=EOMONTH($EL$3,0),CH$12,0),0),IF(AND(CD$12&lt;&gt;"",CD$14&lt;&gt;""),IF(EOMONTH($CD$3+INT((DAY(EOMONTH($CD$3,0))-1)/2)+CD$14,0)=EOMONTH($EL$3,0),CD$12,0),0),IF(AND(BZ$12&lt;&gt;"",BZ$14&lt;&gt;""),IF(EOMONTH($BZ$3+INT((DAY(EOMONTH($BZ$3,0))-1)/2)+BZ$14,0)=EOMONTH($EL$3,0),BZ$12,0),0),IF(AND(BV$12&lt;&gt;"",BV$14&lt;&gt;""),IF(EOMONTH($BV$3+INT((DAY(EOMONTH($BV$3,0))-1)/2)+BV$14,0)=EOMONTH($EL$3,0),BV$12,0),0),IF(AND(BR$12&lt;&gt;"",BR$14&lt;&gt;""),IF(EOMONTH($BR$3+INT((DAY(EOMONTH($BR$3,0))-1)/2)+BR$14,0)=EOMONTH($EL$3,0),BR$12,0),0),IF(AND(BN$12&lt;&gt;"",BN$14&lt;&gt;""),IF(EOMONTH($BN$3+INT((DAY(EOMONTH($BN$3,0))-1)/2)+BN$14,0)=EOMONTH($EL$3,0),BN$12,0),0),IF(AND(BJ$12&lt;&gt;"",BJ$14&lt;&gt;""),IF(EOMONTH($BJ$3+INT((DAY(EOMONTH($BJ$3,0))-1)/2)+BJ$14,0)=EOMONTH($EL$3,0),BJ$12,0),0),IF(AND(BF$12&lt;&gt;"",BF$14&lt;&gt;""),IF(EOMONTH($BF$3+INT((DAY(EOMONTH($BF$3,0))-1)/2)+BF$14,0)=EOMONTH($EL$3,0),BF$12,0),0),IF(AND(BB$12&lt;&gt;"",BB$14&lt;&gt;""),IF(EOMONTH($BB$3+INT((DAY(EOMONTH($BB$3,0))-1)/2)+BB$14,0)=EOMONTH($EL$3,0),BB$12,0),0),IF(AND(AX$12&lt;&gt;"",AX$14&lt;&gt;""),IF(EOMONTH($AX$3+INT((DAY(EOMONTH($AX$3,0))-1)/2)+AX$14,0)=EOMONTH($EL$3,0),AX$12,0),0),IF(AND(AT$12&lt;&gt;"",AT$14&lt;&gt;""),IF(EOMONTH($AT$3+INT((DAY(EOMONTH($AT$3,0))-1)/2)+AT$14,0)=EOMONTH($EL$3,0),AT$12,0),0),IF(AND(AP$12&lt;&gt;"",AP$14&lt;&gt;""),IF(EOMONTH($AP$3+INT((DAY(EOMONTH($AP$3,0))-1)/2)+AP$14,0)=EOMONTH($EL$3,0),AP$12,0),0),IF(AND(AL$12&lt;&gt;"",AL$14&lt;&gt;""),IF(EOMONTH($AL$3+INT((DAY(EOMONTH($AL$3,0))-1)/2)+AL$14,0)=EOMONTH($EL$3,0),AL$12,0),0),IF(AND(AH$12&lt;&gt;"",AH$14&lt;&gt;""),IF(EOMONTH($AH$3+INT((DAY(EOMONTH($AH$3,0))-1)/2)+AH$14,0)=EOMONTH($EL$3,0),AH$12,0),0),IF(AND(AD$12&lt;&gt;"",AD$14&lt;&gt;""),IF(EOMONTH($AD$3+INT((DAY(EOMONTH($AD$3,0))-1)/2)+AD$14,0)=EOMONTH($EL$3,0),AD$12,0),0),IF(AND(Z$12&lt;&gt;"",Z$14&lt;&gt;""),IF(EOMONTH($Z$3+INT((DAY(EOMONTH($Z$3,0))-1)/2)+Z$14,0)=EOMONTH($EL$3,0),Z$12,0),0),IF(AND(V$12&lt;&gt;"",V$14&lt;&gt;""),IF(EOMONTH($V$3+INT((DAY(EOMONTH($V$3,0))-1)/2)+V$14,0)=EOMONTH($EL$3,0),V$12,0),0),IF(AND(R$12&lt;&gt;"",R$14&lt;&gt;""),IF(EOMONTH($R$3+INT((DAY(EOMONTH($R$3,0))-1)/2)+R$14,0)=EOMONTH($EL$3,0),R$12,0),0),IF(AND(N$12&lt;&gt;"",N$14&lt;&gt;""),IF(EOMONTH($N$3+INT((DAY(EOMONTH($N$3,0))-1)/2)+N$14,0)=EOMONTH($EL$3,0),N$12,0),0),IF(AND(J$12&lt;&gt;"",J$14&lt;&gt;""),IF(EOMONTH($J$3+INT((DAY(EOMONTH($J$3,0))-1)/2)+J$14,0)=EOMONTH($EL$3,0),J$12,0),0),IF(AND(F$12&lt;&gt;"",F$14&lt;&gt;""),IF(EOMONTH($F$3+INT((DAY(EOMONTH($F$3,0))-1)/2)+F$14,0)=EOMONTH($EL$3,0),F$12,0),0),IF($EP$75="",0,IF(EOMONTH($EP$75+EP$14,0)=EOMONTH($EL$3,0),$EP$77,0))),0)</f>
        <v>7</v>
      </c>
      <c r="EM20" s="14">
        <f t="shared" si="232"/>
        <v>7</v>
      </c>
      <c r="EN20" s="15">
        <f t="shared" si="232"/>
        <v>10</v>
      </c>
      <c r="EO20" s="16">
        <f t="shared" si="73"/>
        <v>-3</v>
      </c>
      <c r="EP20" s="13">
        <f t="shared" ref="EP20:ER20" si="233">ROUND(SUM(IF(AND(EP$12&lt;&gt;"",EP$14&lt;&gt;""),IF(EOMONTH($EP$3+INT((DAY(EOMONTH($EP$3,0))-1)/2)+EP$14,0)=EOMONTH($EP$3,0),EP$12,0),0),IF(AND(EL$12&lt;&gt;"",EL$14&lt;&gt;""),IF(EOMONTH($EL$3+INT((DAY(EOMONTH($EL$3,0))-1)/2)+EL$14,0)=EOMONTH($EP$3,0),EL$12,0),0),IF(AND(EH$12&lt;&gt;"",EH$14&lt;&gt;""),IF(EOMONTH($EH$3+INT((DAY(EOMONTH($EH$3,0))-1)/2)+EH$14,0)=EOMONTH($EP$3,0),EH$12,0),0),IF(AND(ED$12&lt;&gt;"",ED$14&lt;&gt;""),IF(EOMONTH($ED$3+INT((DAY(EOMONTH($ED$3,0))-1)/2)+ED$14,0)=EOMONTH($EP$3,0),ED$12,0),0),IF(AND(DZ$12&lt;&gt;"",DZ$14&lt;&gt;""),IF(EOMONTH($DZ$3+INT((DAY(EOMONTH($DZ$3,0))-1)/2)+DZ$14,0)=EOMONTH($EP$3,0),DZ$12,0),0),IF(AND(DV$12&lt;&gt;"",DV$14&lt;&gt;""),IF(EOMONTH($DV$3+INT((DAY(EOMONTH($DV$3,0))-1)/2)+DV$14,0)=EOMONTH($EP$3,0),DV$12,0),0),IF(AND(DR$12&lt;&gt;"",DR$14&lt;&gt;""),IF(EOMONTH($DR$3+INT((DAY(EOMONTH($DR$3,0))-1)/2)+DR$14,0)=EOMONTH($EP$3,0),DR$12,0),0),IF(AND(DN$12&lt;&gt;"",DN$14&lt;&gt;""),IF(EOMONTH($DN$3+INT((DAY(EOMONTH($DN$3,0))-1)/2)+DN$14,0)=EOMONTH($EP$3,0),DN$12,0),0),IF(AND(DJ$12&lt;&gt;"",DJ$14&lt;&gt;""),IF(EOMONTH($DJ$3+INT((DAY(EOMONTH($DJ$3,0))-1)/2)+DJ$14,0)=EOMONTH($EP$3,0),DJ$12,0),0),IF(AND(DF$12&lt;&gt;"",DF$14&lt;&gt;""),IF(EOMONTH($DF$3+INT((DAY(EOMONTH($DF$3,0))-1)/2)+DF$14,0)=EOMONTH($EP$3,0),DF$12,0),0),IF(AND(DB$12&lt;&gt;"",DB$14&lt;&gt;""),IF(EOMONTH($DB$3+INT((DAY(EOMONTH($DB$3,0))-1)/2)+DB$14,0)=EOMONTH($EP$3,0),DB$12,0),0),IF(AND(CX$12&lt;&gt;"",CX$14&lt;&gt;""),IF(EOMONTH($CX$3+INT((DAY(EOMONTH($CX$3,0))-1)/2)+CX$14,0)=EOMONTH($EP$3,0),CX$12,0),0),IF(AND(CT$12&lt;&gt;"",CT$14&lt;&gt;""),IF(EOMONTH($CT$3+INT((DAY(EOMONTH($CT$3,0))-1)/2)+CT$14,0)=EOMONTH($EP$3,0),CT$12,0),0),IF(AND(CP$12&lt;&gt;"",CP$14&lt;&gt;""),IF(EOMONTH($CP$3+INT((DAY(EOMONTH($CP$3,0))-1)/2)+CP$14,0)=EOMONTH($EP$3,0),CP$12,0),0),IF(AND(CL$12&lt;&gt;"",CL$14&lt;&gt;""),IF(EOMONTH($CL$3+INT((DAY(EOMONTH($CL$3,0))-1)/2)+CL$14,0)=EOMONTH($EP$3,0),CL$12,0),0),IF(AND(CH$12&lt;&gt;"",CH$14&lt;&gt;""),IF(EOMONTH($CH$3+INT((DAY(EOMONTH($CH$3,0))-1)/2)+CH$14,0)=EOMONTH($EP$3,0),CH$12,0),0),IF(AND(CD$12&lt;&gt;"",CD$14&lt;&gt;""),IF(EOMONTH($CD$3+INT((DAY(EOMONTH($CD$3,0))-1)/2)+CD$14,0)=EOMONTH($EP$3,0),CD$12,0),0),IF(AND(BZ$12&lt;&gt;"",BZ$14&lt;&gt;""),IF(EOMONTH($BZ$3+INT((DAY(EOMONTH($BZ$3,0))-1)/2)+BZ$14,0)=EOMONTH($EP$3,0),BZ$12,0),0),IF(AND(BV$12&lt;&gt;"",BV$14&lt;&gt;""),IF(EOMONTH($BV$3+INT((DAY(EOMONTH($BV$3,0))-1)/2)+BV$14,0)=EOMONTH($EP$3,0),BV$12,0),0),IF(AND(BR$12&lt;&gt;"",BR$14&lt;&gt;""),IF(EOMONTH($BR$3+INT((DAY(EOMONTH($BR$3,0))-1)/2)+BR$14,0)=EOMONTH($EP$3,0),BR$12,0),0),IF(AND(BN$12&lt;&gt;"",BN$14&lt;&gt;""),IF(EOMONTH($BN$3+INT((DAY(EOMONTH($BN$3,0))-1)/2)+BN$14,0)=EOMONTH($EP$3,0),BN$12,0),0),IF(AND(BJ$12&lt;&gt;"",BJ$14&lt;&gt;""),IF(EOMONTH($BJ$3+INT((DAY(EOMONTH($BJ$3,0))-1)/2)+BJ$14,0)=EOMONTH($EP$3,0),BJ$12,0),0),IF(AND(BF$12&lt;&gt;"",BF$14&lt;&gt;""),IF(EOMONTH($BF$3+INT((DAY(EOMONTH($BF$3,0))-1)/2)+BF$14,0)=EOMONTH($EP$3,0),BF$12,0),0),IF(AND(BB$12&lt;&gt;"",BB$14&lt;&gt;""),IF(EOMONTH($BB$3+INT((DAY(EOMONTH($BB$3,0))-1)/2)+BB$14,0)=EOMONTH($EP$3,0),BB$12,0),0),IF(AND(AX$12&lt;&gt;"",AX$14&lt;&gt;""),IF(EOMONTH($AX$3+INT((DAY(EOMONTH($AX$3,0))-1)/2)+AX$14,0)=EOMONTH($EP$3,0),AX$12,0),0),IF(AND(AT$12&lt;&gt;"",AT$14&lt;&gt;""),IF(EOMONTH($AT$3+INT((DAY(EOMONTH($AT$3,0))-1)/2)+AT$14,0)=EOMONTH($EP$3,0),AT$12,0),0),IF(AND(AP$12&lt;&gt;"",AP$14&lt;&gt;""),IF(EOMONTH($AP$3+INT((DAY(EOMONTH($AP$3,0))-1)/2)+AP$14,0)=EOMONTH($EP$3,0),AP$12,0),0),IF(AND(AL$12&lt;&gt;"",AL$14&lt;&gt;""),IF(EOMONTH($AL$3+INT((DAY(EOMONTH($AL$3,0))-1)/2)+AL$14,0)=EOMONTH($EP$3,0),AL$12,0),0),IF(AND(AH$12&lt;&gt;"",AH$14&lt;&gt;""),IF(EOMONTH($AH$3+INT((DAY(EOMONTH($AH$3,0))-1)/2)+AH$14,0)=EOMONTH($EP$3,0),AH$12,0),0),IF(AND(AD$12&lt;&gt;"",AD$14&lt;&gt;""),IF(EOMONTH($AD$3+INT((DAY(EOMONTH($AD$3,0))-1)/2)+AD$14,0)=EOMONTH($EP$3,0),AD$12,0),0),IF(AND(Z$12&lt;&gt;"",Z$14&lt;&gt;""),IF(EOMONTH($Z$3+INT((DAY(EOMONTH($Z$3,0))-1)/2)+Z$14,0)=EOMONTH($EP$3,0),Z$12,0),0),IF(AND(V$12&lt;&gt;"",V$14&lt;&gt;""),IF(EOMONTH($V$3+INT((DAY(EOMONTH($V$3,0))-1)/2)+V$14,0)=EOMONTH($EP$3,0),V$12,0),0),IF(AND(R$12&lt;&gt;"",R$14&lt;&gt;""),IF(EOMONTH($R$3+INT((DAY(EOMONTH($R$3,0))-1)/2)+R$14,0)=EOMONTH($EP$3,0),R$12,0),0),IF(AND(N$12&lt;&gt;"",N$14&lt;&gt;""),IF(EOMONTH($N$3+INT((DAY(EOMONTH($N$3,0))-1)/2)+N$14,0)=EOMONTH($EP$3,0),N$12,0),0),IF(AND(J$12&lt;&gt;"",J$14&lt;&gt;""),IF(EOMONTH($J$3+INT((DAY(EOMONTH($J$3,0))-1)/2)+J$14,0)=EOMONTH($EP$3,0),J$12,0),0),IF(AND(F$12&lt;&gt;"",F$14&lt;&gt;""),IF(EOMONTH($F$3+INT((DAY(EOMONTH($F$3,0))-1)/2)+F$14,0)=EOMONTH($EP$3,0),F$12,0),0),IF($EP$75="",0,IF(EOMONTH($EP$75+EP$14,0)=EOMONTH($EP$3,0),$EP$77,0))),0)</f>
        <v>10</v>
      </c>
      <c r="EQ20" s="14">
        <f t="shared" si="233"/>
        <v>10</v>
      </c>
      <c r="ER20" s="15">
        <f t="shared" si="233"/>
        <v>10</v>
      </c>
      <c r="ES20" s="16">
        <f t="shared" si="75"/>
        <v>0</v>
      </c>
    </row>
    <row r="21" ht="18.0" customHeight="1">
      <c r="A21" s="2" t="s">
        <v>23</v>
      </c>
      <c r="B21" s="13">
        <f t="shared" ref="B21:D21" si="234">SUM(EP21,EL21,EH21,ED21,DZ21,DV21,DR21,DN21,DJ21,DF21,DB21,CX21,CT21,CP21,CL21,CH21,CD21,BZ21,BV21,BR21,BN21,BJ21,BF21,BB21,AX21,AT21,AP21,AL21,AH21,AD21,Z21,V21,R21,N21,J21,F21)</f>
        <v>22</v>
      </c>
      <c r="C21" s="14">
        <f t="shared" si="234"/>
        <v>502</v>
      </c>
      <c r="D21" s="15">
        <f t="shared" si="234"/>
        <v>509</v>
      </c>
      <c r="E21" s="16">
        <f t="shared" si="3"/>
        <v>-7</v>
      </c>
      <c r="F21" s="17"/>
      <c r="G21" s="14">
        <f>IF(F$98=1,F21,MIN(G19+G20,G17))</f>
        <v>18</v>
      </c>
      <c r="H21" s="15">
        <f>MIN(H19+H20,H17)</f>
        <v>18</v>
      </c>
      <c r="I21" s="16">
        <f t="shared" si="5"/>
        <v>0</v>
      </c>
      <c r="J21" s="17"/>
      <c r="K21" s="14">
        <f>IF(J$98=1,J21,MIN(K19+K20,K17))</f>
        <v>18</v>
      </c>
      <c r="L21" s="15">
        <f>MIN(L19+L20,L17)</f>
        <v>18</v>
      </c>
      <c r="M21" s="16">
        <f t="shared" si="7"/>
        <v>0</v>
      </c>
      <c r="N21" s="17"/>
      <c r="O21" s="14">
        <f>IF(N$98=1,N21,MIN(O19+O20,O17))</f>
        <v>18</v>
      </c>
      <c r="P21" s="15">
        <f>MIN(P19+P20,P17)</f>
        <v>18</v>
      </c>
      <c r="Q21" s="16">
        <f t="shared" si="9"/>
        <v>0</v>
      </c>
      <c r="R21" s="17"/>
      <c r="S21" s="14">
        <f>IF(R$98=1,R21,MIN(S19+S20,S17))</f>
        <v>18</v>
      </c>
      <c r="T21" s="15">
        <f>MIN(T19+T20,T17)</f>
        <v>18</v>
      </c>
      <c r="U21" s="16">
        <f t="shared" si="11"/>
        <v>0</v>
      </c>
      <c r="V21" s="17"/>
      <c r="W21" s="14">
        <f>IF(V$98=1,V21,MIN(W19+W20,W17))</f>
        <v>17</v>
      </c>
      <c r="X21" s="15">
        <f>MIN(X19+X20,X17)</f>
        <v>17</v>
      </c>
      <c r="Y21" s="16">
        <f t="shared" si="13"/>
        <v>0</v>
      </c>
      <c r="Z21" s="17"/>
      <c r="AA21" s="14">
        <f>IF(Z$98=1,Z21,MIN(AA19+AA20,AA17))</f>
        <v>17</v>
      </c>
      <c r="AB21" s="15">
        <f>MIN(AB19+AB20,AB17)</f>
        <v>17</v>
      </c>
      <c r="AC21" s="16">
        <f t="shared" si="15"/>
        <v>0</v>
      </c>
      <c r="AD21" s="17"/>
      <c r="AE21" s="14">
        <f>IF(AD$98=1,AD21,MIN(AE19+AE20,AE17))</f>
        <v>17</v>
      </c>
      <c r="AF21" s="15">
        <f>MIN(AF19+AF20,AF17)</f>
        <v>17</v>
      </c>
      <c r="AG21" s="16">
        <f t="shared" si="17"/>
        <v>0</v>
      </c>
      <c r="AH21" s="17"/>
      <c r="AI21" s="14">
        <f>IF(AH$98=1,AH21,MIN(AI19+AI20,AI17))</f>
        <v>17</v>
      </c>
      <c r="AJ21" s="15">
        <f>MIN(AJ19+AJ20,AJ17)</f>
        <v>17</v>
      </c>
      <c r="AK21" s="16">
        <f t="shared" si="19"/>
        <v>0</v>
      </c>
      <c r="AL21" s="17"/>
      <c r="AM21" s="14">
        <f>IF(AL$98=1,AL21,MIN(AM19+AM20,AM17))</f>
        <v>16</v>
      </c>
      <c r="AN21" s="15">
        <f>MIN(AN19+AN20,AN17)</f>
        <v>16</v>
      </c>
      <c r="AO21" s="16">
        <f t="shared" si="21"/>
        <v>0</v>
      </c>
      <c r="AP21" s="17"/>
      <c r="AQ21" s="14">
        <f>IF(AP$98=1,AP21,MIN(AQ19+AQ20,AQ17))</f>
        <v>16</v>
      </c>
      <c r="AR21" s="15">
        <f>MIN(AR19+AR20,AR17)</f>
        <v>16</v>
      </c>
      <c r="AS21" s="16">
        <f t="shared" si="23"/>
        <v>0</v>
      </c>
      <c r="AT21" s="17"/>
      <c r="AU21" s="14">
        <f>IF(AT$98=1,AT21,MIN(AU19+AU20,AU17))</f>
        <v>16</v>
      </c>
      <c r="AV21" s="15">
        <f>MIN(AV19+AV20,AV17)</f>
        <v>16</v>
      </c>
      <c r="AW21" s="16">
        <f t="shared" si="25"/>
        <v>0</v>
      </c>
      <c r="AX21" s="17"/>
      <c r="AY21" s="14">
        <f>IF(AX$98=1,AX21,MIN(AY19+AY20,AY17))</f>
        <v>16</v>
      </c>
      <c r="AZ21" s="15">
        <f>MIN(AZ19+AZ20,AZ17)</f>
        <v>16</v>
      </c>
      <c r="BA21" s="16">
        <f t="shared" si="27"/>
        <v>0</v>
      </c>
      <c r="BB21" s="17"/>
      <c r="BC21" s="14">
        <f>IF(BB$98=1,BB21,MIN(BC19+BC20,BC17))</f>
        <v>15</v>
      </c>
      <c r="BD21" s="15">
        <f>MIN(BD19+BD20,BD17)</f>
        <v>15</v>
      </c>
      <c r="BE21" s="16">
        <f t="shared" si="29"/>
        <v>0</v>
      </c>
      <c r="BF21" s="17"/>
      <c r="BG21" s="14">
        <f>IF(BF$98=1,BF21,MIN(BG19+BG20,BG17))</f>
        <v>15</v>
      </c>
      <c r="BH21" s="15">
        <f>MIN(BH19+BH20,BH17)</f>
        <v>15</v>
      </c>
      <c r="BI21" s="16">
        <f t="shared" si="31"/>
        <v>0</v>
      </c>
      <c r="BJ21" s="17"/>
      <c r="BK21" s="14">
        <f>IF(BJ$98=1,BJ21,MIN(BK19+BK20,BK17))</f>
        <v>15</v>
      </c>
      <c r="BL21" s="15">
        <f>MIN(BL19+BL20,BL17)</f>
        <v>15</v>
      </c>
      <c r="BM21" s="16">
        <f t="shared" si="33"/>
        <v>0</v>
      </c>
      <c r="BN21" s="17"/>
      <c r="BO21" s="14">
        <f>IF(BN$98=1,BN21,MIN(BO19+BO20,BO17))</f>
        <v>15</v>
      </c>
      <c r="BP21" s="15">
        <f>MIN(BP19+BP20,BP17)</f>
        <v>15</v>
      </c>
      <c r="BQ21" s="16">
        <f t="shared" si="35"/>
        <v>0</v>
      </c>
      <c r="BR21" s="17"/>
      <c r="BS21" s="14">
        <f>IF(BR$98=1,BR21,MIN(BS19+BS20,BS17))</f>
        <v>14</v>
      </c>
      <c r="BT21" s="15">
        <f>MIN(BT19+BT20,BT17)</f>
        <v>14</v>
      </c>
      <c r="BU21" s="16">
        <f t="shared" si="37"/>
        <v>0</v>
      </c>
      <c r="BV21" s="17"/>
      <c r="BW21" s="14">
        <f>IF(BV$98=1,BV21,MIN(BW19+BW20,BW17))</f>
        <v>14</v>
      </c>
      <c r="BX21" s="15">
        <f>MIN(BX19+BX20,BX17)</f>
        <v>14</v>
      </c>
      <c r="BY21" s="16">
        <f t="shared" si="39"/>
        <v>0</v>
      </c>
      <c r="BZ21" s="17"/>
      <c r="CA21" s="14">
        <f>IF(BZ$98=1,BZ21,MIN(CA19+CA20,CA17))</f>
        <v>14</v>
      </c>
      <c r="CB21" s="15">
        <f>MIN(CB19+CB20,CB17)</f>
        <v>14</v>
      </c>
      <c r="CC21" s="16">
        <f t="shared" si="41"/>
        <v>0</v>
      </c>
      <c r="CD21" s="17"/>
      <c r="CE21" s="14">
        <f>IF(CD$98=1,CD21,MIN(CE19+CE20,CE17))</f>
        <v>14</v>
      </c>
      <c r="CF21" s="15">
        <f>MIN(CF19+CF20,CF17)</f>
        <v>14</v>
      </c>
      <c r="CG21" s="16">
        <f t="shared" si="43"/>
        <v>0</v>
      </c>
      <c r="CH21" s="17"/>
      <c r="CI21" s="14">
        <f>IF(CH$98=1,CH21,MIN(CI19+CI20,CI17))</f>
        <v>13</v>
      </c>
      <c r="CJ21" s="15">
        <f>MIN(CJ19+CJ20,CJ17)</f>
        <v>13</v>
      </c>
      <c r="CK21" s="16">
        <f t="shared" si="45"/>
        <v>0</v>
      </c>
      <c r="CL21" s="17"/>
      <c r="CM21" s="14">
        <f>IF(CL$98=1,CL21,MIN(CM19+CM20,CM17))</f>
        <v>13</v>
      </c>
      <c r="CN21" s="15">
        <f>MIN(CN19+CN20,CN17)</f>
        <v>13</v>
      </c>
      <c r="CO21" s="16">
        <f t="shared" si="47"/>
        <v>0</v>
      </c>
      <c r="CP21" s="17"/>
      <c r="CQ21" s="14">
        <f>IF(CP$98=1,CP21,MIN(CQ19+CQ20,CQ17))</f>
        <v>13</v>
      </c>
      <c r="CR21" s="15">
        <f>MIN(CR19+CR20,CR17)</f>
        <v>13</v>
      </c>
      <c r="CS21" s="16">
        <f t="shared" si="49"/>
        <v>0</v>
      </c>
      <c r="CT21" s="17"/>
      <c r="CU21" s="14">
        <f>IF(CT$98=1,CT21,MIN(CU19+CU20,CU17))</f>
        <v>13</v>
      </c>
      <c r="CV21" s="15">
        <f>MIN(CV19+CV20,CV17)</f>
        <v>13</v>
      </c>
      <c r="CW21" s="16">
        <f t="shared" si="51"/>
        <v>0</v>
      </c>
      <c r="CX21" s="17"/>
      <c r="CY21" s="14">
        <f>IF(CX$98=1,CX21,MIN(CY19+CY20,CY17))</f>
        <v>12</v>
      </c>
      <c r="CZ21" s="15">
        <f>MIN(CZ19+CZ20,CZ17)</f>
        <v>12</v>
      </c>
      <c r="DA21" s="16">
        <f t="shared" si="53"/>
        <v>0</v>
      </c>
      <c r="DB21" s="17"/>
      <c r="DC21" s="14">
        <f>IF(DB$98=1,DB21,MIN(DC19+DC20,DC17))</f>
        <v>12</v>
      </c>
      <c r="DD21" s="15">
        <f>MIN(DD19+DD20,DD17)</f>
        <v>12</v>
      </c>
      <c r="DE21" s="16">
        <f t="shared" si="55"/>
        <v>0</v>
      </c>
      <c r="DF21" s="17"/>
      <c r="DG21" s="14">
        <f>IF(DF$98=1,DF21,MIN(DG19+DG20,DG17))</f>
        <v>12</v>
      </c>
      <c r="DH21" s="15">
        <f>MIN(DH19+DH20,DH17)</f>
        <v>12</v>
      </c>
      <c r="DI21" s="16">
        <f t="shared" si="57"/>
        <v>0</v>
      </c>
      <c r="DJ21" s="17"/>
      <c r="DK21" s="14">
        <f>IF(DJ$98=1,DJ21,MIN(DK19+DK20,DK17))</f>
        <v>12</v>
      </c>
      <c r="DL21" s="15">
        <f>MIN(DL19+DL20,DL17)</f>
        <v>12</v>
      </c>
      <c r="DM21" s="16">
        <f t="shared" si="59"/>
        <v>0</v>
      </c>
      <c r="DN21" s="17"/>
      <c r="DO21" s="14">
        <f>IF(DN$98=1,DN21,MIN(DO19+DO20,DO17))</f>
        <v>11</v>
      </c>
      <c r="DP21" s="15">
        <f>MIN(DP19+DP20,DP17)</f>
        <v>11</v>
      </c>
      <c r="DQ21" s="16">
        <f t="shared" si="61"/>
        <v>0</v>
      </c>
      <c r="DR21" s="17"/>
      <c r="DS21" s="14">
        <f>IF(DR$98=1,DR21,MIN(DS19+DS20,DS17))</f>
        <v>11</v>
      </c>
      <c r="DT21" s="15">
        <f>MIN(DT19+DT20,DT17)</f>
        <v>11</v>
      </c>
      <c r="DU21" s="16">
        <f t="shared" si="63"/>
        <v>0</v>
      </c>
      <c r="DV21" s="17"/>
      <c r="DW21" s="14">
        <f>IF(DV$98=1,DV21,MIN(DW19+DW20,DW17))</f>
        <v>11</v>
      </c>
      <c r="DX21" s="15">
        <f>MIN(DX19+DX20,DX17)</f>
        <v>11</v>
      </c>
      <c r="DY21" s="16">
        <f t="shared" si="65"/>
        <v>0</v>
      </c>
      <c r="DZ21" s="17"/>
      <c r="EA21" s="14">
        <f>IF(DZ$98=1,DZ21,MIN(EA19+EA20,EA17))</f>
        <v>11</v>
      </c>
      <c r="EB21" s="15">
        <f>MIN(EB19+EB20,EB17)</f>
        <v>11</v>
      </c>
      <c r="EC21" s="16">
        <f t="shared" si="67"/>
        <v>0</v>
      </c>
      <c r="ED21" s="17"/>
      <c r="EE21" s="14">
        <f>IF(ED$98=1,ED21,MIN(EE19+EE20,EE17))</f>
        <v>8</v>
      </c>
      <c r="EF21" s="15">
        <f>MIN(EF19+EF20,EF17)</f>
        <v>10</v>
      </c>
      <c r="EG21" s="16">
        <f t="shared" si="69"/>
        <v>-2</v>
      </c>
      <c r="EH21" s="17"/>
      <c r="EI21" s="14">
        <f>IF(EH$98=1,EH21,MIN(EI19+EI20,EI17))</f>
        <v>8</v>
      </c>
      <c r="EJ21" s="15">
        <f>MIN(EJ19+EJ20,EJ17)</f>
        <v>10</v>
      </c>
      <c r="EK21" s="16">
        <f t="shared" si="71"/>
        <v>-2</v>
      </c>
      <c r="EL21" s="17">
        <v>10.0</v>
      </c>
      <c r="EM21" s="14">
        <f>IF(EL$98=1,EL21,MIN(EM19+EM20,EM17))</f>
        <v>10</v>
      </c>
      <c r="EN21" s="15">
        <f>MIN(EN19+EN20,EN17)</f>
        <v>10</v>
      </c>
      <c r="EO21" s="16">
        <f t="shared" si="73"/>
        <v>0</v>
      </c>
      <c r="EP21" s="17">
        <v>12.0</v>
      </c>
      <c r="EQ21" s="14">
        <f>IF(EP$98=1,EP21,MIN(EQ19+EQ20,EQ17))</f>
        <v>12</v>
      </c>
      <c r="ER21" s="15">
        <f>MIN(ER19+ER20,ER17)</f>
        <v>15</v>
      </c>
      <c r="ES21" s="16">
        <f t="shared" si="75"/>
        <v>-3</v>
      </c>
    </row>
    <row r="22" ht="18.0" customHeight="1">
      <c r="A22" s="2" t="s">
        <v>24</v>
      </c>
      <c r="B22" s="13" t="str">
        <f t="shared" ref="B22:D22" si="235">F22</f>
        <v/>
      </c>
      <c r="C22" s="14">
        <f t="shared" si="235"/>
        <v>0</v>
      </c>
      <c r="D22" s="15">
        <f t="shared" si="235"/>
        <v>0</v>
      </c>
      <c r="E22" s="16">
        <f t="shared" si="3"/>
        <v>0</v>
      </c>
      <c r="F22" s="13" t="str">
        <f>IF(COUNT(F19,F20,F21)=3,MAX(0,F19+F20-F21),"")</f>
        <v/>
      </c>
      <c r="G22" s="14">
        <f t="shared" ref="G22:H22" si="236">MAX(0,G19+G20-G21)</f>
        <v>0</v>
      </c>
      <c r="H22" s="15">
        <f t="shared" si="236"/>
        <v>0</v>
      </c>
      <c r="I22" s="16">
        <f t="shared" si="5"/>
        <v>0</v>
      </c>
      <c r="J22" s="13" t="str">
        <f>IF(COUNT(J19,J20,J21)=3,MAX(0,J19+J20-J21),"")</f>
        <v/>
      </c>
      <c r="K22" s="14">
        <f t="shared" ref="K22:L22" si="237">MAX(0,K19+K20-K21)</f>
        <v>0</v>
      </c>
      <c r="L22" s="15">
        <f t="shared" si="237"/>
        <v>0</v>
      </c>
      <c r="M22" s="16">
        <f t="shared" si="7"/>
        <v>0</v>
      </c>
      <c r="N22" s="13" t="str">
        <f>IF(COUNT(N19,N20,N21)=3,MAX(0,N19+N20-N21),"")</f>
        <v/>
      </c>
      <c r="O22" s="14">
        <f t="shared" ref="O22:P22" si="238">MAX(0,O19+O20-O21)</f>
        <v>0</v>
      </c>
      <c r="P22" s="15">
        <f t="shared" si="238"/>
        <v>0</v>
      </c>
      <c r="Q22" s="16">
        <f t="shared" si="9"/>
        <v>0</v>
      </c>
      <c r="R22" s="13" t="str">
        <f>IF(COUNT(R19,R20,R21)=3,MAX(0,R19+R20-R21),"")</f>
        <v/>
      </c>
      <c r="S22" s="14">
        <f t="shared" ref="S22:T22" si="239">MAX(0,S19+S20-S21)</f>
        <v>0</v>
      </c>
      <c r="T22" s="15">
        <f t="shared" si="239"/>
        <v>0</v>
      </c>
      <c r="U22" s="16">
        <f t="shared" si="11"/>
        <v>0</v>
      </c>
      <c r="V22" s="13" t="str">
        <f>IF(COUNT(V19,V20,V21)=3,MAX(0,V19+V20-V21),"")</f>
        <v/>
      </c>
      <c r="W22" s="14">
        <f t="shared" ref="W22:X22" si="240">MAX(0,W19+W20-W21)</f>
        <v>0</v>
      </c>
      <c r="X22" s="15">
        <f t="shared" si="240"/>
        <v>0</v>
      </c>
      <c r="Y22" s="16">
        <f t="shared" si="13"/>
        <v>0</v>
      </c>
      <c r="Z22" s="13" t="str">
        <f>IF(COUNT(Z19,Z20,Z21)=3,MAX(0,Z19+Z20-Z21),"")</f>
        <v/>
      </c>
      <c r="AA22" s="14">
        <f t="shared" ref="AA22:AB22" si="241">MAX(0,AA19+AA20-AA21)</f>
        <v>0</v>
      </c>
      <c r="AB22" s="15">
        <f t="shared" si="241"/>
        <v>0</v>
      </c>
      <c r="AC22" s="16">
        <f t="shared" si="15"/>
        <v>0</v>
      </c>
      <c r="AD22" s="13" t="str">
        <f>IF(COUNT(AD19,AD20,AD21)=3,MAX(0,AD19+AD20-AD21),"")</f>
        <v/>
      </c>
      <c r="AE22" s="14">
        <f t="shared" ref="AE22:AF22" si="242">MAX(0,AE19+AE20-AE21)</f>
        <v>0</v>
      </c>
      <c r="AF22" s="15">
        <f t="shared" si="242"/>
        <v>0</v>
      </c>
      <c r="AG22" s="16">
        <f t="shared" si="17"/>
        <v>0</v>
      </c>
      <c r="AH22" s="13" t="str">
        <f>IF(COUNT(AH19,AH20,AH21)=3,MAX(0,AH19+AH20-AH21),"")</f>
        <v/>
      </c>
      <c r="AI22" s="14">
        <f t="shared" ref="AI22:AJ22" si="243">MAX(0,AI19+AI20-AI21)</f>
        <v>0</v>
      </c>
      <c r="AJ22" s="15">
        <f t="shared" si="243"/>
        <v>0</v>
      </c>
      <c r="AK22" s="16">
        <f t="shared" si="19"/>
        <v>0</v>
      </c>
      <c r="AL22" s="13" t="str">
        <f>IF(COUNT(AL19,AL20,AL21)=3,MAX(0,AL19+AL20-AL21),"")</f>
        <v/>
      </c>
      <c r="AM22" s="14">
        <f t="shared" ref="AM22:AN22" si="244">MAX(0,AM19+AM20-AM21)</f>
        <v>0</v>
      </c>
      <c r="AN22" s="15">
        <f t="shared" si="244"/>
        <v>0</v>
      </c>
      <c r="AO22" s="16">
        <f t="shared" si="21"/>
        <v>0</v>
      </c>
      <c r="AP22" s="13" t="str">
        <f>IF(COUNT(AP19,AP20,AP21)=3,MAX(0,AP19+AP20-AP21),"")</f>
        <v/>
      </c>
      <c r="AQ22" s="14">
        <f t="shared" ref="AQ22:AR22" si="245">MAX(0,AQ19+AQ20-AQ21)</f>
        <v>0</v>
      </c>
      <c r="AR22" s="15">
        <f t="shared" si="245"/>
        <v>0</v>
      </c>
      <c r="AS22" s="16">
        <f t="shared" si="23"/>
        <v>0</v>
      </c>
      <c r="AT22" s="13" t="str">
        <f>IF(COUNT(AT19,AT20,AT21)=3,MAX(0,AT19+AT20-AT21),"")</f>
        <v/>
      </c>
      <c r="AU22" s="14">
        <f t="shared" ref="AU22:AV22" si="246">MAX(0,AU19+AU20-AU21)</f>
        <v>0</v>
      </c>
      <c r="AV22" s="15">
        <f t="shared" si="246"/>
        <v>0</v>
      </c>
      <c r="AW22" s="16">
        <f t="shared" si="25"/>
        <v>0</v>
      </c>
      <c r="AX22" s="13" t="str">
        <f>IF(COUNT(AX19,AX20,AX21)=3,MAX(0,AX19+AX20-AX21),"")</f>
        <v/>
      </c>
      <c r="AY22" s="14">
        <f t="shared" ref="AY22:AZ22" si="247">MAX(0,AY19+AY20-AY21)</f>
        <v>0</v>
      </c>
      <c r="AZ22" s="15">
        <f t="shared" si="247"/>
        <v>0</v>
      </c>
      <c r="BA22" s="16">
        <f t="shared" si="27"/>
        <v>0</v>
      </c>
      <c r="BB22" s="13" t="str">
        <f>IF(COUNT(BB19,BB20,BB21)=3,MAX(0,BB19+BB20-BB21),"")</f>
        <v/>
      </c>
      <c r="BC22" s="14">
        <f t="shared" ref="BC22:BD22" si="248">MAX(0,BC19+BC20-BC21)</f>
        <v>0</v>
      </c>
      <c r="BD22" s="15">
        <f t="shared" si="248"/>
        <v>0</v>
      </c>
      <c r="BE22" s="16">
        <f t="shared" si="29"/>
        <v>0</v>
      </c>
      <c r="BF22" s="13" t="str">
        <f>IF(COUNT(BF19,BF20,BF21)=3,MAX(0,BF19+BF20-BF21),"")</f>
        <v/>
      </c>
      <c r="BG22" s="14">
        <f t="shared" ref="BG22:BH22" si="249">MAX(0,BG19+BG20-BG21)</f>
        <v>0</v>
      </c>
      <c r="BH22" s="15">
        <f t="shared" si="249"/>
        <v>0</v>
      </c>
      <c r="BI22" s="16">
        <f t="shared" si="31"/>
        <v>0</v>
      </c>
      <c r="BJ22" s="13" t="str">
        <f>IF(COUNT(BJ19,BJ20,BJ21)=3,MAX(0,BJ19+BJ20-BJ21),"")</f>
        <v/>
      </c>
      <c r="BK22" s="14">
        <f t="shared" ref="BK22:BL22" si="250">MAX(0,BK19+BK20-BK21)</f>
        <v>0</v>
      </c>
      <c r="BL22" s="15">
        <f t="shared" si="250"/>
        <v>0</v>
      </c>
      <c r="BM22" s="16">
        <f t="shared" si="33"/>
        <v>0</v>
      </c>
      <c r="BN22" s="13" t="str">
        <f>IF(COUNT(BN19,BN20,BN21)=3,MAX(0,BN19+BN20-BN21),"")</f>
        <v/>
      </c>
      <c r="BO22" s="14">
        <f t="shared" ref="BO22:BP22" si="251">MAX(0,BO19+BO20-BO21)</f>
        <v>0</v>
      </c>
      <c r="BP22" s="15">
        <f t="shared" si="251"/>
        <v>0</v>
      </c>
      <c r="BQ22" s="16">
        <f t="shared" si="35"/>
        <v>0</v>
      </c>
      <c r="BR22" s="13" t="str">
        <f>IF(COUNT(BR19,BR20,BR21)=3,MAX(0,BR19+BR20-BR21),"")</f>
        <v/>
      </c>
      <c r="BS22" s="14">
        <f t="shared" ref="BS22:BT22" si="252">MAX(0,BS19+BS20-BS21)</f>
        <v>0</v>
      </c>
      <c r="BT22" s="15">
        <f t="shared" si="252"/>
        <v>0</v>
      </c>
      <c r="BU22" s="16">
        <f t="shared" si="37"/>
        <v>0</v>
      </c>
      <c r="BV22" s="13" t="str">
        <f>IF(COUNT(BV19,BV20,BV21)=3,MAX(0,BV19+BV20-BV21),"")</f>
        <v/>
      </c>
      <c r="BW22" s="14">
        <f t="shared" ref="BW22:BX22" si="253">MAX(0,BW19+BW20-BW21)</f>
        <v>0</v>
      </c>
      <c r="BX22" s="15">
        <f t="shared" si="253"/>
        <v>0</v>
      </c>
      <c r="BY22" s="16">
        <f t="shared" si="39"/>
        <v>0</v>
      </c>
      <c r="BZ22" s="13" t="str">
        <f>IF(COUNT(BZ19,BZ20,BZ21)=3,MAX(0,BZ19+BZ20-BZ21),"")</f>
        <v/>
      </c>
      <c r="CA22" s="14">
        <f t="shared" ref="CA22:CB22" si="254">MAX(0,CA19+CA20-CA21)</f>
        <v>0</v>
      </c>
      <c r="CB22" s="15">
        <f t="shared" si="254"/>
        <v>0</v>
      </c>
      <c r="CC22" s="16">
        <f t="shared" si="41"/>
        <v>0</v>
      </c>
      <c r="CD22" s="13" t="str">
        <f>IF(COUNT(CD19,CD20,CD21)=3,MAX(0,CD19+CD20-CD21),"")</f>
        <v/>
      </c>
      <c r="CE22" s="14">
        <f t="shared" ref="CE22:CF22" si="255">MAX(0,CE19+CE20-CE21)</f>
        <v>0</v>
      </c>
      <c r="CF22" s="15">
        <f t="shared" si="255"/>
        <v>0</v>
      </c>
      <c r="CG22" s="16">
        <f t="shared" si="43"/>
        <v>0</v>
      </c>
      <c r="CH22" s="13" t="str">
        <f>IF(COUNT(CH19,CH20,CH21)=3,MAX(0,CH19+CH20-CH21),"")</f>
        <v/>
      </c>
      <c r="CI22" s="14">
        <f t="shared" ref="CI22:CJ22" si="256">MAX(0,CI19+CI20-CI21)</f>
        <v>0</v>
      </c>
      <c r="CJ22" s="15">
        <f t="shared" si="256"/>
        <v>0</v>
      </c>
      <c r="CK22" s="16">
        <f t="shared" si="45"/>
        <v>0</v>
      </c>
      <c r="CL22" s="13" t="str">
        <f>IF(COUNT(CL19,CL20,CL21)=3,MAX(0,CL19+CL20-CL21),"")</f>
        <v/>
      </c>
      <c r="CM22" s="14">
        <f t="shared" ref="CM22:CN22" si="257">MAX(0,CM19+CM20-CM21)</f>
        <v>0</v>
      </c>
      <c r="CN22" s="15">
        <f t="shared" si="257"/>
        <v>0</v>
      </c>
      <c r="CO22" s="16">
        <f t="shared" si="47"/>
        <v>0</v>
      </c>
      <c r="CP22" s="13" t="str">
        <f>IF(COUNT(CP19,CP20,CP21)=3,MAX(0,CP19+CP20-CP21),"")</f>
        <v/>
      </c>
      <c r="CQ22" s="14">
        <f t="shared" ref="CQ22:CR22" si="258">MAX(0,CQ19+CQ20-CQ21)</f>
        <v>0</v>
      </c>
      <c r="CR22" s="15">
        <f t="shared" si="258"/>
        <v>0</v>
      </c>
      <c r="CS22" s="16">
        <f t="shared" si="49"/>
        <v>0</v>
      </c>
      <c r="CT22" s="13" t="str">
        <f>IF(COUNT(CT19,CT20,CT21)=3,MAX(0,CT19+CT20-CT21),"")</f>
        <v/>
      </c>
      <c r="CU22" s="14">
        <f t="shared" ref="CU22:CV22" si="259">MAX(0,CU19+CU20-CU21)</f>
        <v>0</v>
      </c>
      <c r="CV22" s="15">
        <f t="shared" si="259"/>
        <v>0</v>
      </c>
      <c r="CW22" s="16">
        <f t="shared" si="51"/>
        <v>0</v>
      </c>
      <c r="CX22" s="13" t="str">
        <f>IF(COUNT(CX19,CX20,CX21)=3,MAX(0,CX19+CX20-CX21),"")</f>
        <v/>
      </c>
      <c r="CY22" s="14">
        <f t="shared" ref="CY22:CZ22" si="260">MAX(0,CY19+CY20-CY21)</f>
        <v>0</v>
      </c>
      <c r="CZ22" s="15">
        <f t="shared" si="260"/>
        <v>0</v>
      </c>
      <c r="DA22" s="16">
        <f t="shared" si="53"/>
        <v>0</v>
      </c>
      <c r="DB22" s="13" t="str">
        <f>IF(COUNT(DB19,DB20,DB21)=3,MAX(0,DB19+DB20-DB21),"")</f>
        <v/>
      </c>
      <c r="DC22" s="14">
        <f t="shared" ref="DC22:DD22" si="261">MAX(0,DC19+DC20-DC21)</f>
        <v>0</v>
      </c>
      <c r="DD22" s="15">
        <f t="shared" si="261"/>
        <v>0</v>
      </c>
      <c r="DE22" s="16">
        <f t="shared" si="55"/>
        <v>0</v>
      </c>
      <c r="DF22" s="13" t="str">
        <f>IF(COUNT(DF19,DF20,DF21)=3,MAX(0,DF19+DF20-DF21),"")</f>
        <v/>
      </c>
      <c r="DG22" s="14">
        <f t="shared" ref="DG22:DH22" si="262">MAX(0,DG19+DG20-DG21)</f>
        <v>0</v>
      </c>
      <c r="DH22" s="15">
        <f t="shared" si="262"/>
        <v>0</v>
      </c>
      <c r="DI22" s="16">
        <f t="shared" si="57"/>
        <v>0</v>
      </c>
      <c r="DJ22" s="13" t="str">
        <f>IF(COUNT(DJ19,DJ20,DJ21)=3,MAX(0,DJ19+DJ20-DJ21),"")</f>
        <v/>
      </c>
      <c r="DK22" s="14">
        <f t="shared" ref="DK22:DL22" si="263">MAX(0,DK19+DK20-DK21)</f>
        <v>0</v>
      </c>
      <c r="DL22" s="15">
        <f t="shared" si="263"/>
        <v>0</v>
      </c>
      <c r="DM22" s="16">
        <f t="shared" si="59"/>
        <v>0</v>
      </c>
      <c r="DN22" s="13" t="str">
        <f>IF(COUNT(DN19,DN20,DN21)=3,MAX(0,DN19+DN20-DN21),"")</f>
        <v/>
      </c>
      <c r="DO22" s="14">
        <f t="shared" ref="DO22:DP22" si="264">MAX(0,DO19+DO20-DO21)</f>
        <v>0</v>
      </c>
      <c r="DP22" s="15">
        <f t="shared" si="264"/>
        <v>0</v>
      </c>
      <c r="DQ22" s="16">
        <f t="shared" si="61"/>
        <v>0</v>
      </c>
      <c r="DR22" s="13" t="str">
        <f>IF(COUNT(DR19,DR20,DR21)=3,MAX(0,DR19+DR20-DR21),"")</f>
        <v/>
      </c>
      <c r="DS22" s="14">
        <f t="shared" ref="DS22:DT22" si="265">MAX(0,DS19+DS20-DS21)</f>
        <v>0</v>
      </c>
      <c r="DT22" s="15">
        <f t="shared" si="265"/>
        <v>0</v>
      </c>
      <c r="DU22" s="16">
        <f t="shared" si="63"/>
        <v>0</v>
      </c>
      <c r="DV22" s="13" t="str">
        <f>IF(COUNT(DV19,DV20,DV21)=3,MAX(0,DV19+DV20-DV21),"")</f>
        <v/>
      </c>
      <c r="DW22" s="14">
        <f t="shared" ref="DW22:DX22" si="266">MAX(0,DW19+DW20-DW21)</f>
        <v>0</v>
      </c>
      <c r="DX22" s="15">
        <f t="shared" si="266"/>
        <v>0</v>
      </c>
      <c r="DY22" s="16">
        <f t="shared" si="65"/>
        <v>0</v>
      </c>
      <c r="DZ22" s="13" t="str">
        <f>IF(COUNT(DZ19,DZ20,DZ21)=3,MAX(0,DZ19+DZ20-DZ21),"")</f>
        <v/>
      </c>
      <c r="EA22" s="14">
        <f t="shared" ref="EA22:EB22" si="267">MAX(0,EA19+EA20-EA21)</f>
        <v>0</v>
      </c>
      <c r="EB22" s="15">
        <f t="shared" si="267"/>
        <v>0</v>
      </c>
      <c r="EC22" s="16">
        <f t="shared" si="67"/>
        <v>0</v>
      </c>
      <c r="ED22" s="13" t="str">
        <f>IF(COUNT(ED19,ED20,ED21)=3,MAX(0,ED19+ED20-ED21),"")</f>
        <v/>
      </c>
      <c r="EE22" s="14">
        <f t="shared" ref="EE22:EF22" si="268">MAX(0,EE19+EE20-EE21)</f>
        <v>0</v>
      </c>
      <c r="EF22" s="15">
        <f t="shared" si="268"/>
        <v>0</v>
      </c>
      <c r="EG22" s="16">
        <f t="shared" si="69"/>
        <v>0</v>
      </c>
      <c r="EH22" s="13" t="str">
        <f>IF(COUNT(EH19,EH20,EH21)=3,MAX(0,EH19+EH20-EH21),"")</f>
        <v/>
      </c>
      <c r="EI22" s="14">
        <f t="shared" ref="EI22:EJ22" si="269">MAX(0,EI19+EI20-EI21)</f>
        <v>0</v>
      </c>
      <c r="EJ22" s="15">
        <f t="shared" si="269"/>
        <v>0</v>
      </c>
      <c r="EK22" s="16">
        <f t="shared" si="71"/>
        <v>0</v>
      </c>
      <c r="EL22" s="13">
        <f>IF(COUNT(EL19,EL20,EL21)=3,MAX(0,EL19+EL20-EL21),"")</f>
        <v>0</v>
      </c>
      <c r="EM22" s="14">
        <f t="shared" ref="EM22:EN22" si="270">MAX(0,EM19+EM20-EM21)</f>
        <v>0</v>
      </c>
      <c r="EN22" s="15">
        <f t="shared" si="270"/>
        <v>0</v>
      </c>
      <c r="EO22" s="16">
        <f t="shared" si="73"/>
        <v>0</v>
      </c>
      <c r="EP22" s="13">
        <f>IF(COUNT(EP19,EP20,EP21)=3,MAX(0,EP19+EP20-EP21),"")</f>
        <v>3</v>
      </c>
      <c r="EQ22" s="14">
        <f t="shared" ref="EQ22:ER22" si="271">MAX(0,EQ19+EQ20-EQ21)</f>
        <v>3</v>
      </c>
      <c r="ER22" s="15">
        <f t="shared" si="271"/>
        <v>0</v>
      </c>
      <c r="ES22" s="16">
        <f t="shared" si="75"/>
        <v>3</v>
      </c>
    </row>
    <row r="23" ht="18.0" customHeight="1">
      <c r="A23" s="2" t="s">
        <v>25</v>
      </c>
      <c r="B23" s="24">
        <f t="shared" ref="B23:D23" si="272">IFERROR(SUM(EP23*EP26,EL23*EL26,EH23*EH26,ED23*ED26,DZ23*DZ26,DV23*DV26,DR23*DR26,DN23*DN26,DJ23*DJ26,DF23*DF26,DB23*DB26,CX23*CX26,CT23*CT26,CP23*CP26,CL23*CL26,CH23*CH26,CD23*CD26,BZ23*BZ26,BV23*BV26,BR23*BR26,BN23*BN26,BJ23*BJ26,BF23*BF26,BB23*BB26,AX23*AX26,AT23*AT26,AP23*AP26,AL23*AL26,AH23*AH26,AD23*AD26,Z23*Z26,V23*V26,R23*R26,N23*N26,J23*J26,F23*F26)/SUM(EP26,EL26,EH26,ED26,DZ26,DV26,DR26,DN26,DJ26,DF26,DB26,CX26,CT26,CP26,CL26,CH26,CD26,BZ26,BV26,BR26,BN26,BJ26,BF26,BB26,AX26,AT26,AP26,AL26,AH26,AD26,Z26,V26,R26,N26,J26,F26),"")</f>
        <v>30</v>
      </c>
      <c r="C23" s="25">
        <f t="shared" si="272"/>
        <v>30</v>
      </c>
      <c r="D23" s="26">
        <f t="shared" si="272"/>
        <v>30</v>
      </c>
      <c r="E23" s="27">
        <f t="shared" si="3"/>
        <v>0</v>
      </c>
      <c r="F23" s="28"/>
      <c r="G23" s="25">
        <f>IF(F$98=1,F23,H23)</f>
        <v>30</v>
      </c>
      <c r="H23" s="29">
        <v>30.0</v>
      </c>
      <c r="I23" s="27">
        <f t="shared" si="5"/>
        <v>0</v>
      </c>
      <c r="J23" s="28"/>
      <c r="K23" s="25">
        <f>IF(J$98=1,J23,L23)</f>
        <v>30</v>
      </c>
      <c r="L23" s="29">
        <v>30.0</v>
      </c>
      <c r="M23" s="27">
        <f t="shared" si="7"/>
        <v>0</v>
      </c>
      <c r="N23" s="28"/>
      <c r="O23" s="25">
        <f>IF(N$98=1,N23,P23)</f>
        <v>30</v>
      </c>
      <c r="P23" s="29">
        <v>30.0</v>
      </c>
      <c r="Q23" s="27">
        <f t="shared" si="9"/>
        <v>0</v>
      </c>
      <c r="R23" s="28"/>
      <c r="S23" s="25">
        <f>IF(R$98=1,R23,T23)</f>
        <v>30</v>
      </c>
      <c r="T23" s="29">
        <v>30.0</v>
      </c>
      <c r="U23" s="27">
        <f t="shared" si="11"/>
        <v>0</v>
      </c>
      <c r="V23" s="28"/>
      <c r="W23" s="25">
        <f>IF(V$98=1,V23,X23)</f>
        <v>30</v>
      </c>
      <c r="X23" s="29">
        <v>30.0</v>
      </c>
      <c r="Y23" s="27">
        <f t="shared" si="13"/>
        <v>0</v>
      </c>
      <c r="Z23" s="28"/>
      <c r="AA23" s="25">
        <f>IF(Z$98=1,Z23,AB23)</f>
        <v>30</v>
      </c>
      <c r="AB23" s="29">
        <v>30.0</v>
      </c>
      <c r="AC23" s="27">
        <f t="shared" si="15"/>
        <v>0</v>
      </c>
      <c r="AD23" s="28"/>
      <c r="AE23" s="25">
        <f>IF(AD$98=1,AD23,AF23)</f>
        <v>30</v>
      </c>
      <c r="AF23" s="29">
        <v>30.0</v>
      </c>
      <c r="AG23" s="27">
        <f t="shared" si="17"/>
        <v>0</v>
      </c>
      <c r="AH23" s="28"/>
      <c r="AI23" s="25">
        <f>IF(AH$98=1,AH23,AJ23)</f>
        <v>30</v>
      </c>
      <c r="AJ23" s="29">
        <v>30.0</v>
      </c>
      <c r="AK23" s="27">
        <f t="shared" si="19"/>
        <v>0</v>
      </c>
      <c r="AL23" s="28"/>
      <c r="AM23" s="25">
        <f>IF(AL$98=1,AL23,AN23)</f>
        <v>30</v>
      </c>
      <c r="AN23" s="29">
        <v>30.0</v>
      </c>
      <c r="AO23" s="27">
        <f t="shared" si="21"/>
        <v>0</v>
      </c>
      <c r="AP23" s="28"/>
      <c r="AQ23" s="25">
        <f>IF(AP$98=1,AP23,AR23)</f>
        <v>30</v>
      </c>
      <c r="AR23" s="29">
        <v>30.0</v>
      </c>
      <c r="AS23" s="27">
        <f t="shared" si="23"/>
        <v>0</v>
      </c>
      <c r="AT23" s="28"/>
      <c r="AU23" s="25">
        <f>IF(AT$98=1,AT23,AV23)</f>
        <v>30</v>
      </c>
      <c r="AV23" s="29">
        <v>30.0</v>
      </c>
      <c r="AW23" s="27">
        <f t="shared" si="25"/>
        <v>0</v>
      </c>
      <c r="AX23" s="28"/>
      <c r="AY23" s="25">
        <f>IF(AX$98=1,AX23,AZ23)</f>
        <v>30</v>
      </c>
      <c r="AZ23" s="29">
        <v>30.0</v>
      </c>
      <c r="BA23" s="27">
        <f t="shared" si="27"/>
        <v>0</v>
      </c>
      <c r="BB23" s="28"/>
      <c r="BC23" s="25">
        <f>IF(BB$98=1,BB23,BD23)</f>
        <v>30</v>
      </c>
      <c r="BD23" s="29">
        <v>30.0</v>
      </c>
      <c r="BE23" s="27">
        <f t="shared" si="29"/>
        <v>0</v>
      </c>
      <c r="BF23" s="28"/>
      <c r="BG23" s="25">
        <f>IF(BF$98=1,BF23,BH23)</f>
        <v>30</v>
      </c>
      <c r="BH23" s="29">
        <v>30.0</v>
      </c>
      <c r="BI23" s="27">
        <f t="shared" si="31"/>
        <v>0</v>
      </c>
      <c r="BJ23" s="28"/>
      <c r="BK23" s="25">
        <f>IF(BJ$98=1,BJ23,BL23)</f>
        <v>30</v>
      </c>
      <c r="BL23" s="29">
        <v>30.0</v>
      </c>
      <c r="BM23" s="27">
        <f t="shared" si="33"/>
        <v>0</v>
      </c>
      <c r="BN23" s="28"/>
      <c r="BO23" s="25">
        <f>IF(BN$98=1,BN23,BP23)</f>
        <v>30</v>
      </c>
      <c r="BP23" s="29">
        <v>30.0</v>
      </c>
      <c r="BQ23" s="27">
        <f t="shared" si="35"/>
        <v>0</v>
      </c>
      <c r="BR23" s="28"/>
      <c r="BS23" s="25">
        <f>IF(BR$98=1,BR23,BT23)</f>
        <v>30</v>
      </c>
      <c r="BT23" s="29">
        <v>30.0</v>
      </c>
      <c r="BU23" s="27">
        <f t="shared" si="37"/>
        <v>0</v>
      </c>
      <c r="BV23" s="28"/>
      <c r="BW23" s="25">
        <f>IF(BV$98=1,BV23,BX23)</f>
        <v>30</v>
      </c>
      <c r="BX23" s="29">
        <v>30.0</v>
      </c>
      <c r="BY23" s="27">
        <f t="shared" si="39"/>
        <v>0</v>
      </c>
      <c r="BZ23" s="28"/>
      <c r="CA23" s="25">
        <f>IF(BZ$98=1,BZ23,CB23)</f>
        <v>30</v>
      </c>
      <c r="CB23" s="29">
        <v>30.0</v>
      </c>
      <c r="CC23" s="27">
        <f t="shared" si="41"/>
        <v>0</v>
      </c>
      <c r="CD23" s="28"/>
      <c r="CE23" s="25">
        <f>IF(CD$98=1,CD23,CF23)</f>
        <v>30</v>
      </c>
      <c r="CF23" s="29">
        <v>30.0</v>
      </c>
      <c r="CG23" s="27">
        <f t="shared" si="43"/>
        <v>0</v>
      </c>
      <c r="CH23" s="28"/>
      <c r="CI23" s="25">
        <f>IF(CH$98=1,CH23,CJ23)</f>
        <v>30</v>
      </c>
      <c r="CJ23" s="29">
        <v>30.0</v>
      </c>
      <c r="CK23" s="27">
        <f t="shared" si="45"/>
        <v>0</v>
      </c>
      <c r="CL23" s="28"/>
      <c r="CM23" s="25">
        <f>IF(CL$98=1,CL23,CN23)</f>
        <v>30</v>
      </c>
      <c r="CN23" s="29">
        <v>30.0</v>
      </c>
      <c r="CO23" s="27">
        <f t="shared" si="47"/>
        <v>0</v>
      </c>
      <c r="CP23" s="28"/>
      <c r="CQ23" s="25">
        <f>IF(CP$98=1,CP23,CR23)</f>
        <v>30</v>
      </c>
      <c r="CR23" s="29">
        <v>30.0</v>
      </c>
      <c r="CS23" s="27">
        <f t="shared" si="49"/>
        <v>0</v>
      </c>
      <c r="CT23" s="28"/>
      <c r="CU23" s="25">
        <f>IF(CT$98=1,CT23,CV23)</f>
        <v>30</v>
      </c>
      <c r="CV23" s="29">
        <v>30.0</v>
      </c>
      <c r="CW23" s="27">
        <f t="shared" si="51"/>
        <v>0</v>
      </c>
      <c r="CX23" s="28"/>
      <c r="CY23" s="25">
        <f>IF(CX$98=1,CX23,CZ23)</f>
        <v>30</v>
      </c>
      <c r="CZ23" s="29">
        <v>30.0</v>
      </c>
      <c r="DA23" s="27">
        <f t="shared" si="53"/>
        <v>0</v>
      </c>
      <c r="DB23" s="28"/>
      <c r="DC23" s="25">
        <f>IF(DB$98=1,DB23,DD23)</f>
        <v>30</v>
      </c>
      <c r="DD23" s="29">
        <v>30.0</v>
      </c>
      <c r="DE23" s="27">
        <f t="shared" si="55"/>
        <v>0</v>
      </c>
      <c r="DF23" s="28"/>
      <c r="DG23" s="25">
        <f>IF(DF$98=1,DF23,DH23)</f>
        <v>30</v>
      </c>
      <c r="DH23" s="29">
        <v>30.0</v>
      </c>
      <c r="DI23" s="27">
        <f t="shared" si="57"/>
        <v>0</v>
      </c>
      <c r="DJ23" s="28"/>
      <c r="DK23" s="25">
        <f>IF(DJ$98=1,DJ23,DL23)</f>
        <v>30</v>
      </c>
      <c r="DL23" s="29">
        <v>30.0</v>
      </c>
      <c r="DM23" s="27">
        <f t="shared" si="59"/>
        <v>0</v>
      </c>
      <c r="DN23" s="28"/>
      <c r="DO23" s="25">
        <f>IF(DN$98=1,DN23,DP23)</f>
        <v>30</v>
      </c>
      <c r="DP23" s="29">
        <v>30.0</v>
      </c>
      <c r="DQ23" s="27">
        <f t="shared" si="61"/>
        <v>0</v>
      </c>
      <c r="DR23" s="28"/>
      <c r="DS23" s="25">
        <f>IF(DR$98=1,DR23,DT23)</f>
        <v>30</v>
      </c>
      <c r="DT23" s="29">
        <v>30.0</v>
      </c>
      <c r="DU23" s="27">
        <f t="shared" si="63"/>
        <v>0</v>
      </c>
      <c r="DV23" s="28"/>
      <c r="DW23" s="25">
        <f>IF(DV$98=1,DV23,DX23)</f>
        <v>30</v>
      </c>
      <c r="DX23" s="29">
        <v>30.0</v>
      </c>
      <c r="DY23" s="27">
        <f t="shared" si="65"/>
        <v>0</v>
      </c>
      <c r="DZ23" s="28"/>
      <c r="EA23" s="25">
        <f>IF(DZ$98=1,DZ23,EB23)</f>
        <v>30</v>
      </c>
      <c r="EB23" s="29">
        <v>30.0</v>
      </c>
      <c r="EC23" s="27">
        <f t="shared" si="67"/>
        <v>0</v>
      </c>
      <c r="ED23" s="28"/>
      <c r="EE23" s="25">
        <f>IF(ED$98=1,ED23,EF23)</f>
        <v>30</v>
      </c>
      <c r="EF23" s="29">
        <v>30.0</v>
      </c>
      <c r="EG23" s="27">
        <f t="shared" si="69"/>
        <v>0</v>
      </c>
      <c r="EH23" s="28"/>
      <c r="EI23" s="25">
        <f>IF(EH$98=1,EH23,EJ23)</f>
        <v>30</v>
      </c>
      <c r="EJ23" s="29">
        <v>30.0</v>
      </c>
      <c r="EK23" s="27">
        <f t="shared" si="71"/>
        <v>0</v>
      </c>
      <c r="EL23" s="28">
        <v>30.0</v>
      </c>
      <c r="EM23" s="25">
        <f>IF(EL$98=1,EL23,EN23)</f>
        <v>30</v>
      </c>
      <c r="EN23" s="29">
        <v>30.0</v>
      </c>
      <c r="EO23" s="27">
        <f t="shared" si="73"/>
        <v>0</v>
      </c>
      <c r="EP23" s="28">
        <v>30.0</v>
      </c>
      <c r="EQ23" s="25">
        <f>IF(EP$98=1,EP23,ER23)</f>
        <v>30</v>
      </c>
      <c r="ER23" s="29">
        <v>30.0</v>
      </c>
      <c r="ES23" s="27">
        <f t="shared" si="75"/>
        <v>0</v>
      </c>
    </row>
    <row r="24" ht="18.0" customHeight="1">
      <c r="A24" s="36" t="s">
        <v>26</v>
      </c>
      <c r="B24" s="37">
        <f t="shared" ref="B24:D24" si="273">SUM(B8,B11,B14,B23)</f>
        <v>104</v>
      </c>
      <c r="C24" s="37">
        <f t="shared" si="273"/>
        <v>104</v>
      </c>
      <c r="D24" s="37">
        <f t="shared" si="273"/>
        <v>104</v>
      </c>
      <c r="E24" s="37">
        <f t="shared" si="3"/>
        <v>0</v>
      </c>
      <c r="F24" s="37" t="str">
        <f>IF(COUNT(F8,F11,F14,F23)=0,"",SUM(F8,F11,F14,F23))</f>
        <v/>
      </c>
      <c r="G24" s="37">
        <f t="shared" ref="G24:H24" si="274">SUM(G8,G11,G14,G23)</f>
        <v>104</v>
      </c>
      <c r="H24" s="37">
        <f t="shared" si="274"/>
        <v>104</v>
      </c>
      <c r="I24" s="37">
        <f t="shared" si="5"/>
        <v>0</v>
      </c>
      <c r="J24" s="37" t="str">
        <f>IF(COUNT(J8,J11,J14,J23)=0,"",SUM(J8,J11,J14,J23))</f>
        <v/>
      </c>
      <c r="K24" s="37">
        <f t="shared" ref="K24:L24" si="275">SUM(K8,K11,K14,K23)</f>
        <v>104</v>
      </c>
      <c r="L24" s="37">
        <f t="shared" si="275"/>
        <v>104</v>
      </c>
      <c r="M24" s="37">
        <f t="shared" si="7"/>
        <v>0</v>
      </c>
      <c r="N24" s="37" t="str">
        <f>IF(COUNT(N8,N11,N14,N23)=0,"",SUM(N8,N11,N14,N23))</f>
        <v/>
      </c>
      <c r="O24" s="37">
        <f t="shared" ref="O24:P24" si="276">SUM(O8,O11,O14,O23)</f>
        <v>104</v>
      </c>
      <c r="P24" s="37">
        <f t="shared" si="276"/>
        <v>104</v>
      </c>
      <c r="Q24" s="37">
        <f t="shared" si="9"/>
        <v>0</v>
      </c>
      <c r="R24" s="37" t="str">
        <f>IF(COUNT(R8,R11,R14,R23)=0,"",SUM(R8,R11,R14,R23))</f>
        <v/>
      </c>
      <c r="S24" s="37">
        <f t="shared" ref="S24:T24" si="277">SUM(S8,S11,S14,S23)</f>
        <v>104</v>
      </c>
      <c r="T24" s="37">
        <f t="shared" si="277"/>
        <v>104</v>
      </c>
      <c r="U24" s="37">
        <f t="shared" si="11"/>
        <v>0</v>
      </c>
      <c r="V24" s="37" t="str">
        <f>IF(COUNT(V8,V11,V14,V23)=0,"",SUM(V8,V11,V14,V23))</f>
        <v/>
      </c>
      <c r="W24" s="37">
        <f t="shared" ref="W24:X24" si="278">SUM(W8,W11,W14,W23)</f>
        <v>104</v>
      </c>
      <c r="X24" s="37">
        <f t="shared" si="278"/>
        <v>104</v>
      </c>
      <c r="Y24" s="37">
        <f t="shared" si="13"/>
        <v>0</v>
      </c>
      <c r="Z24" s="37" t="str">
        <f>IF(COUNT(Z8,Z11,Z14,Z23)=0,"",SUM(Z8,Z11,Z14,Z23))</f>
        <v/>
      </c>
      <c r="AA24" s="37">
        <f t="shared" ref="AA24:AB24" si="279">SUM(AA8,AA11,AA14,AA23)</f>
        <v>104</v>
      </c>
      <c r="AB24" s="37">
        <f t="shared" si="279"/>
        <v>104</v>
      </c>
      <c r="AC24" s="37">
        <f t="shared" si="15"/>
        <v>0</v>
      </c>
      <c r="AD24" s="37" t="str">
        <f>IF(COUNT(AD8,AD11,AD14,AD23)=0,"",SUM(AD8,AD11,AD14,AD23))</f>
        <v/>
      </c>
      <c r="AE24" s="37">
        <f t="shared" ref="AE24:AF24" si="280">SUM(AE8,AE11,AE14,AE23)</f>
        <v>104</v>
      </c>
      <c r="AF24" s="37">
        <f t="shared" si="280"/>
        <v>104</v>
      </c>
      <c r="AG24" s="37">
        <f t="shared" si="17"/>
        <v>0</v>
      </c>
      <c r="AH24" s="37" t="str">
        <f>IF(COUNT(AH8,AH11,AH14,AH23)=0,"",SUM(AH8,AH11,AH14,AH23))</f>
        <v/>
      </c>
      <c r="AI24" s="37">
        <f t="shared" ref="AI24:AJ24" si="281">SUM(AI8,AI11,AI14,AI23)</f>
        <v>104</v>
      </c>
      <c r="AJ24" s="37">
        <f t="shared" si="281"/>
        <v>104</v>
      </c>
      <c r="AK24" s="37">
        <f t="shared" si="19"/>
        <v>0</v>
      </c>
      <c r="AL24" s="37" t="str">
        <f>IF(COUNT(AL8,AL11,AL14,AL23)=0,"",SUM(AL8,AL11,AL14,AL23))</f>
        <v/>
      </c>
      <c r="AM24" s="37">
        <f t="shared" ref="AM24:AN24" si="282">SUM(AM8,AM11,AM14,AM23)</f>
        <v>104</v>
      </c>
      <c r="AN24" s="37">
        <f t="shared" si="282"/>
        <v>104</v>
      </c>
      <c r="AO24" s="37">
        <f t="shared" si="21"/>
        <v>0</v>
      </c>
      <c r="AP24" s="37" t="str">
        <f>IF(COUNT(AP8,AP11,AP14,AP23)=0,"",SUM(AP8,AP11,AP14,AP23))</f>
        <v/>
      </c>
      <c r="AQ24" s="37">
        <f t="shared" ref="AQ24:AR24" si="283">SUM(AQ8,AQ11,AQ14,AQ23)</f>
        <v>104</v>
      </c>
      <c r="AR24" s="37">
        <f t="shared" si="283"/>
        <v>104</v>
      </c>
      <c r="AS24" s="37">
        <f t="shared" si="23"/>
        <v>0</v>
      </c>
      <c r="AT24" s="37" t="str">
        <f>IF(COUNT(AT8,AT11,AT14,AT23)=0,"",SUM(AT8,AT11,AT14,AT23))</f>
        <v/>
      </c>
      <c r="AU24" s="37">
        <f t="shared" ref="AU24:AV24" si="284">SUM(AU8,AU11,AU14,AU23)</f>
        <v>104</v>
      </c>
      <c r="AV24" s="37">
        <f t="shared" si="284"/>
        <v>104</v>
      </c>
      <c r="AW24" s="37">
        <f t="shared" si="25"/>
        <v>0</v>
      </c>
      <c r="AX24" s="37" t="str">
        <f>IF(COUNT(AX8,AX11,AX14,AX23)=0,"",SUM(AX8,AX11,AX14,AX23))</f>
        <v/>
      </c>
      <c r="AY24" s="37">
        <f t="shared" ref="AY24:AZ24" si="285">SUM(AY8,AY11,AY14,AY23)</f>
        <v>104</v>
      </c>
      <c r="AZ24" s="37">
        <f t="shared" si="285"/>
        <v>104</v>
      </c>
      <c r="BA24" s="37">
        <f t="shared" si="27"/>
        <v>0</v>
      </c>
      <c r="BB24" s="37" t="str">
        <f>IF(COUNT(BB8,BB11,BB14,BB23)=0,"",SUM(BB8,BB11,BB14,BB23))</f>
        <v/>
      </c>
      <c r="BC24" s="37">
        <f t="shared" ref="BC24:BD24" si="286">SUM(BC8,BC11,BC14,BC23)</f>
        <v>104</v>
      </c>
      <c r="BD24" s="37">
        <f t="shared" si="286"/>
        <v>104</v>
      </c>
      <c r="BE24" s="37">
        <f t="shared" si="29"/>
        <v>0</v>
      </c>
      <c r="BF24" s="37" t="str">
        <f>IF(COUNT(BF8,BF11,BF14,BF23)=0,"",SUM(BF8,BF11,BF14,BF23))</f>
        <v/>
      </c>
      <c r="BG24" s="37">
        <f t="shared" ref="BG24:BH24" si="287">SUM(BG8,BG11,BG14,BG23)</f>
        <v>104</v>
      </c>
      <c r="BH24" s="37">
        <f t="shared" si="287"/>
        <v>104</v>
      </c>
      <c r="BI24" s="37">
        <f t="shared" si="31"/>
        <v>0</v>
      </c>
      <c r="BJ24" s="37" t="str">
        <f>IF(COUNT(BJ8,BJ11,BJ14,BJ23)=0,"",SUM(BJ8,BJ11,BJ14,BJ23))</f>
        <v/>
      </c>
      <c r="BK24" s="37">
        <f t="shared" ref="BK24:BL24" si="288">SUM(BK8,BK11,BK14,BK23)</f>
        <v>104</v>
      </c>
      <c r="BL24" s="37">
        <f t="shared" si="288"/>
        <v>104</v>
      </c>
      <c r="BM24" s="37">
        <f t="shared" si="33"/>
        <v>0</v>
      </c>
      <c r="BN24" s="37" t="str">
        <f>IF(COUNT(BN8,BN11,BN14,BN23)=0,"",SUM(BN8,BN11,BN14,BN23))</f>
        <v/>
      </c>
      <c r="BO24" s="37">
        <f t="shared" ref="BO24:BP24" si="289">SUM(BO8,BO11,BO14,BO23)</f>
        <v>104</v>
      </c>
      <c r="BP24" s="37">
        <f t="shared" si="289"/>
        <v>104</v>
      </c>
      <c r="BQ24" s="37">
        <f t="shared" si="35"/>
        <v>0</v>
      </c>
      <c r="BR24" s="37" t="str">
        <f>IF(COUNT(BR8,BR11,BR14,BR23)=0,"",SUM(BR8,BR11,BR14,BR23))</f>
        <v/>
      </c>
      <c r="BS24" s="37">
        <f t="shared" ref="BS24:BT24" si="290">SUM(BS8,BS11,BS14,BS23)</f>
        <v>104</v>
      </c>
      <c r="BT24" s="37">
        <f t="shared" si="290"/>
        <v>104</v>
      </c>
      <c r="BU24" s="37">
        <f t="shared" si="37"/>
        <v>0</v>
      </c>
      <c r="BV24" s="37" t="str">
        <f>IF(COUNT(BV8,BV11,BV14,BV23)=0,"",SUM(BV8,BV11,BV14,BV23))</f>
        <v/>
      </c>
      <c r="BW24" s="37">
        <f t="shared" ref="BW24:BX24" si="291">SUM(BW8,BW11,BW14,BW23)</f>
        <v>104</v>
      </c>
      <c r="BX24" s="37">
        <f t="shared" si="291"/>
        <v>104</v>
      </c>
      <c r="BY24" s="37">
        <f t="shared" si="39"/>
        <v>0</v>
      </c>
      <c r="BZ24" s="37" t="str">
        <f>IF(COUNT(BZ8,BZ11,BZ14,BZ23)=0,"",SUM(BZ8,BZ11,BZ14,BZ23))</f>
        <v/>
      </c>
      <c r="CA24" s="37">
        <f t="shared" ref="CA24:CB24" si="292">SUM(CA8,CA11,CA14,CA23)</f>
        <v>104</v>
      </c>
      <c r="CB24" s="37">
        <f t="shared" si="292"/>
        <v>104</v>
      </c>
      <c r="CC24" s="37">
        <f t="shared" si="41"/>
        <v>0</v>
      </c>
      <c r="CD24" s="37" t="str">
        <f>IF(COUNT(CD8,CD11,CD14,CD23)=0,"",SUM(CD8,CD11,CD14,CD23))</f>
        <v/>
      </c>
      <c r="CE24" s="37">
        <f t="shared" ref="CE24:CF24" si="293">SUM(CE8,CE11,CE14,CE23)</f>
        <v>104</v>
      </c>
      <c r="CF24" s="37">
        <f t="shared" si="293"/>
        <v>104</v>
      </c>
      <c r="CG24" s="37">
        <f t="shared" si="43"/>
        <v>0</v>
      </c>
      <c r="CH24" s="37" t="str">
        <f>IF(COUNT(CH8,CH11,CH14,CH23)=0,"",SUM(CH8,CH11,CH14,CH23))</f>
        <v/>
      </c>
      <c r="CI24" s="37">
        <f t="shared" ref="CI24:CJ24" si="294">SUM(CI8,CI11,CI14,CI23)</f>
        <v>104</v>
      </c>
      <c r="CJ24" s="37">
        <f t="shared" si="294"/>
        <v>104</v>
      </c>
      <c r="CK24" s="37">
        <f t="shared" si="45"/>
        <v>0</v>
      </c>
      <c r="CL24" s="37" t="str">
        <f>IF(COUNT(CL8,CL11,CL14,CL23)=0,"",SUM(CL8,CL11,CL14,CL23))</f>
        <v/>
      </c>
      <c r="CM24" s="37">
        <f t="shared" ref="CM24:CN24" si="295">SUM(CM8,CM11,CM14,CM23)</f>
        <v>104</v>
      </c>
      <c r="CN24" s="37">
        <f t="shared" si="295"/>
        <v>104</v>
      </c>
      <c r="CO24" s="37">
        <f t="shared" si="47"/>
        <v>0</v>
      </c>
      <c r="CP24" s="37" t="str">
        <f>IF(COUNT(CP8,CP11,CP14,CP23)=0,"",SUM(CP8,CP11,CP14,CP23))</f>
        <v/>
      </c>
      <c r="CQ24" s="37">
        <f t="shared" ref="CQ24:CR24" si="296">SUM(CQ8,CQ11,CQ14,CQ23)</f>
        <v>104</v>
      </c>
      <c r="CR24" s="37">
        <f t="shared" si="296"/>
        <v>104</v>
      </c>
      <c r="CS24" s="37">
        <f t="shared" si="49"/>
        <v>0</v>
      </c>
      <c r="CT24" s="37" t="str">
        <f>IF(COUNT(CT8,CT11,CT14,CT23)=0,"",SUM(CT8,CT11,CT14,CT23))</f>
        <v/>
      </c>
      <c r="CU24" s="37">
        <f t="shared" ref="CU24:CV24" si="297">SUM(CU8,CU11,CU14,CU23)</f>
        <v>104</v>
      </c>
      <c r="CV24" s="37">
        <f t="shared" si="297"/>
        <v>104</v>
      </c>
      <c r="CW24" s="37">
        <f t="shared" si="51"/>
        <v>0</v>
      </c>
      <c r="CX24" s="37" t="str">
        <f>IF(COUNT(CX8,CX11,CX14,CX23)=0,"",SUM(CX8,CX11,CX14,CX23))</f>
        <v/>
      </c>
      <c r="CY24" s="37">
        <f t="shared" ref="CY24:CZ24" si="298">SUM(CY8,CY11,CY14,CY23)</f>
        <v>104</v>
      </c>
      <c r="CZ24" s="37">
        <f t="shared" si="298"/>
        <v>104</v>
      </c>
      <c r="DA24" s="37">
        <f t="shared" si="53"/>
        <v>0</v>
      </c>
      <c r="DB24" s="37" t="str">
        <f>IF(COUNT(DB8,DB11,DB14,DB23)=0,"",SUM(DB8,DB11,DB14,DB23))</f>
        <v/>
      </c>
      <c r="DC24" s="37">
        <f t="shared" ref="DC24:DD24" si="299">SUM(DC8,DC11,DC14,DC23)</f>
        <v>104</v>
      </c>
      <c r="DD24" s="37">
        <f t="shared" si="299"/>
        <v>104</v>
      </c>
      <c r="DE24" s="37">
        <f t="shared" si="55"/>
        <v>0</v>
      </c>
      <c r="DF24" s="37" t="str">
        <f>IF(COUNT(DF8,DF11,DF14,DF23)=0,"",SUM(DF8,DF11,DF14,DF23))</f>
        <v/>
      </c>
      <c r="DG24" s="37">
        <f t="shared" ref="DG24:DH24" si="300">SUM(DG8,DG11,DG14,DG23)</f>
        <v>104</v>
      </c>
      <c r="DH24" s="37">
        <f t="shared" si="300"/>
        <v>104</v>
      </c>
      <c r="DI24" s="37">
        <f t="shared" si="57"/>
        <v>0</v>
      </c>
      <c r="DJ24" s="37" t="str">
        <f>IF(COUNT(DJ8,DJ11,DJ14,DJ23)=0,"",SUM(DJ8,DJ11,DJ14,DJ23))</f>
        <v/>
      </c>
      <c r="DK24" s="37">
        <f t="shared" ref="DK24:DL24" si="301">SUM(DK8,DK11,DK14,DK23)</f>
        <v>104</v>
      </c>
      <c r="DL24" s="37">
        <f t="shared" si="301"/>
        <v>104</v>
      </c>
      <c r="DM24" s="37">
        <f t="shared" si="59"/>
        <v>0</v>
      </c>
      <c r="DN24" s="37" t="str">
        <f>IF(COUNT(DN8,DN11,DN14,DN23)=0,"",SUM(DN8,DN11,DN14,DN23))</f>
        <v/>
      </c>
      <c r="DO24" s="37">
        <f t="shared" ref="DO24:DP24" si="302">SUM(DO8,DO11,DO14,DO23)</f>
        <v>104</v>
      </c>
      <c r="DP24" s="37">
        <f t="shared" si="302"/>
        <v>104</v>
      </c>
      <c r="DQ24" s="37">
        <f t="shared" si="61"/>
        <v>0</v>
      </c>
      <c r="DR24" s="37" t="str">
        <f>IF(COUNT(DR8,DR11,DR14,DR23)=0,"",SUM(DR8,DR11,DR14,DR23))</f>
        <v/>
      </c>
      <c r="DS24" s="37">
        <f t="shared" ref="DS24:DT24" si="303">SUM(DS8,DS11,DS14,DS23)</f>
        <v>104</v>
      </c>
      <c r="DT24" s="37">
        <f t="shared" si="303"/>
        <v>104</v>
      </c>
      <c r="DU24" s="37">
        <f t="shared" si="63"/>
        <v>0</v>
      </c>
      <c r="DV24" s="37" t="str">
        <f>IF(COUNT(DV8,DV11,DV14,DV23)=0,"",SUM(DV8,DV11,DV14,DV23))</f>
        <v/>
      </c>
      <c r="DW24" s="37">
        <f t="shared" ref="DW24:DX24" si="304">SUM(DW8,DW11,DW14,DW23)</f>
        <v>104</v>
      </c>
      <c r="DX24" s="37">
        <f t="shared" si="304"/>
        <v>104</v>
      </c>
      <c r="DY24" s="37">
        <f t="shared" si="65"/>
        <v>0</v>
      </c>
      <c r="DZ24" s="37" t="str">
        <f>IF(COUNT(DZ8,DZ11,DZ14,DZ23)=0,"",SUM(DZ8,DZ11,DZ14,DZ23))</f>
        <v/>
      </c>
      <c r="EA24" s="37">
        <f t="shared" ref="EA24:EB24" si="305">SUM(EA8,EA11,EA14,EA23)</f>
        <v>104</v>
      </c>
      <c r="EB24" s="37">
        <f t="shared" si="305"/>
        <v>104</v>
      </c>
      <c r="EC24" s="37">
        <f t="shared" si="67"/>
        <v>0</v>
      </c>
      <c r="ED24" s="37" t="str">
        <f>IF(COUNT(ED8,ED11,ED14,ED23)=0,"",SUM(ED8,ED11,ED14,ED23))</f>
        <v/>
      </c>
      <c r="EE24" s="37">
        <f t="shared" ref="EE24:EF24" si="306">SUM(EE8,EE11,EE14,EE23)</f>
        <v>104</v>
      </c>
      <c r="EF24" s="37">
        <f t="shared" si="306"/>
        <v>104</v>
      </c>
      <c r="EG24" s="37">
        <f t="shared" si="69"/>
        <v>0</v>
      </c>
      <c r="EH24" s="37" t="str">
        <f>IF(COUNT(EH8,EH11,EH14,EH23)=0,"",SUM(EH8,EH11,EH14,EH23))</f>
        <v/>
      </c>
      <c r="EI24" s="37">
        <f t="shared" ref="EI24:EJ24" si="307">SUM(EI8,EI11,EI14,EI23)</f>
        <v>104</v>
      </c>
      <c r="EJ24" s="37">
        <f t="shared" si="307"/>
        <v>104</v>
      </c>
      <c r="EK24" s="37">
        <f t="shared" si="71"/>
        <v>0</v>
      </c>
      <c r="EL24" s="37">
        <f>IF(COUNT(EL8,EL11,EL14,EL23)=0,"",SUM(EL8,EL11,EL14,EL23))</f>
        <v>104</v>
      </c>
      <c r="EM24" s="37">
        <f t="shared" ref="EM24:EN24" si="308">SUM(EM8,EM11,EM14,EM23)</f>
        <v>104</v>
      </c>
      <c r="EN24" s="37">
        <f t="shared" si="308"/>
        <v>104</v>
      </c>
      <c r="EO24" s="37">
        <f t="shared" si="73"/>
        <v>0</v>
      </c>
      <c r="EP24" s="37">
        <f>IF(COUNT(EP8,EP11,EP14,EP23)=0,"",SUM(EP8,EP11,EP14,EP23))</f>
        <v>104</v>
      </c>
      <c r="EQ24" s="37">
        <f t="shared" ref="EQ24:ER24" si="309">SUM(EQ8,EQ11,EQ14,EQ23)</f>
        <v>104</v>
      </c>
      <c r="ER24" s="37">
        <f t="shared" si="309"/>
        <v>104</v>
      </c>
      <c r="ES24" s="37">
        <f t="shared" si="75"/>
        <v>0</v>
      </c>
    </row>
    <row r="25" ht="18.0" customHeight="1">
      <c r="A25" s="12" t="s">
        <v>27</v>
      </c>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c r="BL25" s="12"/>
      <c r="BM25" s="12"/>
      <c r="BN25" s="12"/>
      <c r="BO25" s="12"/>
      <c r="BP25" s="12"/>
      <c r="BQ25" s="12"/>
      <c r="BR25" s="12"/>
      <c r="BS25" s="12"/>
      <c r="BT25" s="12"/>
      <c r="BU25" s="12"/>
      <c r="BV25" s="12"/>
      <c r="BW25" s="12"/>
      <c r="BX25" s="12"/>
      <c r="BY25" s="12"/>
      <c r="BZ25" s="12"/>
      <c r="CA25" s="12"/>
      <c r="CB25" s="12"/>
      <c r="CC25" s="12"/>
      <c r="CD25" s="12"/>
      <c r="CE25" s="12"/>
      <c r="CF25" s="12"/>
      <c r="CG25" s="12"/>
      <c r="CH25" s="12"/>
      <c r="CI25" s="12"/>
      <c r="CJ25" s="12"/>
      <c r="CK25" s="12"/>
      <c r="CL25" s="12"/>
      <c r="CM25" s="12"/>
      <c r="CN25" s="12"/>
      <c r="CO25" s="12"/>
      <c r="CP25" s="12"/>
      <c r="CQ25" s="12"/>
      <c r="CR25" s="12"/>
      <c r="CS25" s="12"/>
      <c r="CT25" s="12"/>
      <c r="CU25" s="12"/>
      <c r="CV25" s="12"/>
      <c r="CW25" s="12"/>
      <c r="CX25" s="12"/>
      <c r="CY25" s="12"/>
      <c r="CZ25" s="12"/>
      <c r="DA25" s="12"/>
      <c r="DB25" s="12"/>
      <c r="DC25" s="12"/>
      <c r="DD25" s="12"/>
      <c r="DE25" s="12"/>
      <c r="DF25" s="12"/>
      <c r="DG25" s="12"/>
      <c r="DH25" s="12"/>
      <c r="DI25" s="12"/>
      <c r="DJ25" s="12"/>
      <c r="DK25" s="12"/>
      <c r="DL25" s="12"/>
      <c r="DM25" s="12"/>
      <c r="DN25" s="12"/>
      <c r="DO25" s="12"/>
      <c r="DP25" s="12"/>
      <c r="DQ25" s="12"/>
      <c r="DR25" s="12"/>
      <c r="DS25" s="12"/>
      <c r="DT25" s="12"/>
      <c r="DU25" s="12"/>
      <c r="DV25" s="12"/>
      <c r="DW25" s="12"/>
      <c r="DX25" s="12"/>
      <c r="DY25" s="12"/>
      <c r="DZ25" s="12"/>
      <c r="EA25" s="12"/>
      <c r="EB25" s="12"/>
      <c r="EC25" s="12"/>
      <c r="ED25" s="12"/>
      <c r="EE25" s="12"/>
      <c r="EF25" s="12"/>
      <c r="EG25" s="12"/>
      <c r="EH25" s="12"/>
      <c r="EI25" s="12"/>
      <c r="EJ25" s="12"/>
      <c r="EK25" s="12"/>
      <c r="EL25" s="12"/>
      <c r="EM25" s="12"/>
      <c r="EN25" s="12"/>
      <c r="EO25" s="12"/>
      <c r="EP25" s="12"/>
      <c r="EQ25" s="12"/>
      <c r="ER25" s="12"/>
      <c r="ES25" s="12"/>
    </row>
    <row r="26" ht="18.0" customHeight="1">
      <c r="A26" s="2" t="s">
        <v>28</v>
      </c>
      <c r="B26" s="30">
        <f t="shared" ref="B26:D26" si="310">SUM(EP26,EL26,EH26,ED26,DZ26,DV26,DR26,DN26,DJ26,DF26,DB26,CX26,CT26,CP26,CL26,CH26,CD26,BZ26,BV26,BR26,BN26,BJ26,BF26,BB26,AX26,AT26,AP26,AL26,AH26,AD26,Z26,V26,R26,N26,J26,F26)</f>
        <v>110000</v>
      </c>
      <c r="C26" s="31">
        <f t="shared" si="310"/>
        <v>3926000</v>
      </c>
      <c r="D26" s="32">
        <f t="shared" si="310"/>
        <v>4072000</v>
      </c>
      <c r="E26" s="33">
        <f>IFERROR(IF(OR(C26="",D26=""),"",C26-D26),"")</f>
        <v>-146000</v>
      </c>
      <c r="F26" s="30" t="str">
        <f>IF(COUNT(F19:F21,F72)=4,IF((F19+F20)=0,0,ROUND(F21*(F72+F73)/(F19+F20),0)),"")</f>
        <v/>
      </c>
      <c r="G26" s="31">
        <f t="shared" ref="G26:H26" si="311">IF((G19+G20)=0,0,ROUND(G21*(G72+G73)/(G19+G20),0))</f>
        <v>144000</v>
      </c>
      <c r="H26" s="32">
        <f t="shared" si="311"/>
        <v>144000</v>
      </c>
      <c r="I26" s="33">
        <f>IFERROR(IF(OR(G26="",H26=""),"",G26-H26),"")</f>
        <v>0</v>
      </c>
      <c r="J26" s="30" t="str">
        <f>IF(COUNT(J19:J21,J72)=4,IF((J19+J20)=0,0,ROUND(J21*(J72+J73)/(J19+J20),0)),"")</f>
        <v/>
      </c>
      <c r="K26" s="31">
        <f t="shared" ref="K26:L26" si="312">IF((K19+K20)=0,0,ROUND(K21*(K72+K73)/(K19+K20),0))</f>
        <v>144000</v>
      </c>
      <c r="L26" s="32">
        <f t="shared" si="312"/>
        <v>144000</v>
      </c>
      <c r="M26" s="33">
        <f>IFERROR(IF(OR(K26="",L26=""),"",K26-L26),"")</f>
        <v>0</v>
      </c>
      <c r="N26" s="30" t="str">
        <f>IF(COUNT(N19:N21,N72)=4,IF((N19+N20)=0,0,ROUND(N21*(N72+N73)/(N19+N20),0)),"")</f>
        <v/>
      </c>
      <c r="O26" s="31">
        <f t="shared" ref="O26:P26" si="313">IF((O19+O20)=0,0,ROUND(O21*(O72+O73)/(O19+O20),0))</f>
        <v>144000</v>
      </c>
      <c r="P26" s="32">
        <f t="shared" si="313"/>
        <v>144000</v>
      </c>
      <c r="Q26" s="33">
        <f>IFERROR(IF(OR(O26="",P26=""),"",O26-P26),"")</f>
        <v>0</v>
      </c>
      <c r="R26" s="30" t="str">
        <f>IF(COUNT(R19:R21,R72)=4,IF((R19+R20)=0,0,ROUND(R21*(R72+R73)/(R19+R20),0)),"")</f>
        <v/>
      </c>
      <c r="S26" s="31">
        <f t="shared" ref="S26:T26" si="314">IF((S19+S20)=0,0,ROUND(S21*(S72+S73)/(S19+S20),0))</f>
        <v>144000</v>
      </c>
      <c r="T26" s="32">
        <f t="shared" si="314"/>
        <v>144000</v>
      </c>
      <c r="U26" s="33">
        <f>IFERROR(IF(OR(S26="",T26=""),"",S26-T26),"")</f>
        <v>0</v>
      </c>
      <c r="V26" s="30" t="str">
        <f>IF(COUNT(V19:V21,V72)=4,IF((V19+V20)=0,0,ROUND(V21*(V72+V73)/(V19+V20),0)),"")</f>
        <v/>
      </c>
      <c r="W26" s="31">
        <f t="shared" ref="W26:X26" si="315">IF((W19+W20)=0,0,ROUND(W21*(W72+W73)/(W19+W20),0))</f>
        <v>136000</v>
      </c>
      <c r="X26" s="32">
        <f t="shared" si="315"/>
        <v>136000</v>
      </c>
      <c r="Y26" s="33">
        <f>IFERROR(IF(OR(W26="",X26=""),"",W26-X26),"")</f>
        <v>0</v>
      </c>
      <c r="Z26" s="30" t="str">
        <f>IF(COUNT(Z19:Z21,Z72)=4,IF((Z19+Z20)=0,0,ROUND(Z21*(Z72+Z73)/(Z19+Z20),0)),"")</f>
        <v/>
      </c>
      <c r="AA26" s="31">
        <f t="shared" ref="AA26:AB26" si="316">IF((AA19+AA20)=0,0,ROUND(AA21*(AA72+AA73)/(AA19+AA20),0))</f>
        <v>136000</v>
      </c>
      <c r="AB26" s="32">
        <f t="shared" si="316"/>
        <v>136000</v>
      </c>
      <c r="AC26" s="33">
        <f>IFERROR(IF(OR(AA26="",AB26=""),"",AA26-AB26),"")</f>
        <v>0</v>
      </c>
      <c r="AD26" s="30" t="str">
        <f>IF(COUNT(AD19:AD21,AD72)=4,IF((AD19+AD20)=0,0,ROUND(AD21*(AD72+AD73)/(AD19+AD20),0)),"")</f>
        <v/>
      </c>
      <c r="AE26" s="31">
        <f t="shared" ref="AE26:AF26" si="317">IF((AE19+AE20)=0,0,ROUND(AE21*(AE72+AE73)/(AE19+AE20),0))</f>
        <v>136000</v>
      </c>
      <c r="AF26" s="32">
        <f t="shared" si="317"/>
        <v>136000</v>
      </c>
      <c r="AG26" s="33">
        <f>IFERROR(IF(OR(AE26="",AF26=""),"",AE26-AF26),"")</f>
        <v>0</v>
      </c>
      <c r="AH26" s="30" t="str">
        <f>IF(COUNT(AH19:AH21,AH72)=4,IF((AH19+AH20)=0,0,ROUND(AH21*(AH72+AH73)/(AH19+AH20),0)),"")</f>
        <v/>
      </c>
      <c r="AI26" s="31">
        <f t="shared" ref="AI26:AJ26" si="318">IF((AI19+AI20)=0,0,ROUND(AI21*(AI72+AI73)/(AI19+AI20),0))</f>
        <v>136000</v>
      </c>
      <c r="AJ26" s="32">
        <f t="shared" si="318"/>
        <v>136000</v>
      </c>
      <c r="AK26" s="33">
        <f>IFERROR(IF(OR(AI26="",AJ26=""),"",AI26-AJ26),"")</f>
        <v>0</v>
      </c>
      <c r="AL26" s="30" t="str">
        <f>IF(COUNT(AL19:AL21,AL72)=4,IF((AL19+AL20)=0,0,ROUND(AL21*(AL72+AL73)/(AL19+AL20),0)),"")</f>
        <v/>
      </c>
      <c r="AM26" s="31">
        <f t="shared" ref="AM26:AN26" si="319">IF((AM19+AM20)=0,0,ROUND(AM21*(AM72+AM73)/(AM19+AM20),0))</f>
        <v>128000</v>
      </c>
      <c r="AN26" s="32">
        <f t="shared" si="319"/>
        <v>128000</v>
      </c>
      <c r="AO26" s="33">
        <f>IFERROR(IF(OR(AM26="",AN26=""),"",AM26-AN26),"")</f>
        <v>0</v>
      </c>
      <c r="AP26" s="30" t="str">
        <f>IF(COUNT(AP19:AP21,AP72)=4,IF((AP19+AP20)=0,0,ROUND(AP21*(AP72+AP73)/(AP19+AP20),0)),"")</f>
        <v/>
      </c>
      <c r="AQ26" s="31">
        <f t="shared" ref="AQ26:AR26" si="320">IF((AQ19+AQ20)=0,0,ROUND(AQ21*(AQ72+AQ73)/(AQ19+AQ20),0))</f>
        <v>128000</v>
      </c>
      <c r="AR26" s="32">
        <f t="shared" si="320"/>
        <v>128000</v>
      </c>
      <c r="AS26" s="33">
        <f>IFERROR(IF(OR(AQ26="",AR26=""),"",AQ26-AR26),"")</f>
        <v>0</v>
      </c>
      <c r="AT26" s="30" t="str">
        <f>IF(COUNT(AT19:AT21,AT72)=4,IF((AT19+AT20)=0,0,ROUND(AT21*(AT72+AT73)/(AT19+AT20),0)),"")</f>
        <v/>
      </c>
      <c r="AU26" s="31">
        <f t="shared" ref="AU26:AV26" si="321">IF((AU19+AU20)=0,0,ROUND(AU21*(AU72+AU73)/(AU19+AU20),0))</f>
        <v>128000</v>
      </c>
      <c r="AV26" s="32">
        <f t="shared" si="321"/>
        <v>128000</v>
      </c>
      <c r="AW26" s="33">
        <f>IFERROR(IF(OR(AU26="",AV26=""),"",AU26-AV26),"")</f>
        <v>0</v>
      </c>
      <c r="AX26" s="30" t="str">
        <f>IF(COUNT(AX19:AX21,AX72)=4,IF((AX19+AX20)=0,0,ROUND(AX21*(AX72+AX73)/(AX19+AX20),0)),"")</f>
        <v/>
      </c>
      <c r="AY26" s="31">
        <f t="shared" ref="AY26:AZ26" si="322">IF((AY19+AY20)=0,0,ROUND(AY21*(AY72+AY73)/(AY19+AY20),0))</f>
        <v>128000</v>
      </c>
      <c r="AZ26" s="32">
        <f t="shared" si="322"/>
        <v>128000</v>
      </c>
      <c r="BA26" s="33">
        <f>IFERROR(IF(OR(AY26="",AZ26=""),"",AY26-AZ26),"")</f>
        <v>0</v>
      </c>
      <c r="BB26" s="30" t="str">
        <f>IF(COUNT(BB19:BB21,BB72)=4,IF((BB19+BB20)=0,0,ROUND(BB21*(BB72+BB73)/(BB19+BB20),0)),"")</f>
        <v/>
      </c>
      <c r="BC26" s="31">
        <f t="shared" ref="BC26:BD26" si="323">IF((BC19+BC20)=0,0,ROUND(BC21*(BC72+BC73)/(BC19+BC20),0))</f>
        <v>120000</v>
      </c>
      <c r="BD26" s="32">
        <f t="shared" si="323"/>
        <v>120000</v>
      </c>
      <c r="BE26" s="33">
        <f>IFERROR(IF(OR(BC26="",BD26=""),"",BC26-BD26),"")</f>
        <v>0</v>
      </c>
      <c r="BF26" s="30" t="str">
        <f>IF(COUNT(BF19:BF21,BF72)=4,IF((BF19+BF20)=0,0,ROUND(BF21*(BF72+BF73)/(BF19+BF20),0)),"")</f>
        <v/>
      </c>
      <c r="BG26" s="31">
        <f t="shared" ref="BG26:BH26" si="324">IF((BG19+BG20)=0,0,ROUND(BG21*(BG72+BG73)/(BG19+BG20),0))</f>
        <v>120000</v>
      </c>
      <c r="BH26" s="32">
        <f t="shared" si="324"/>
        <v>120000</v>
      </c>
      <c r="BI26" s="33">
        <f>IFERROR(IF(OR(BG26="",BH26=""),"",BG26-BH26),"")</f>
        <v>0</v>
      </c>
      <c r="BJ26" s="30" t="str">
        <f>IF(COUNT(BJ19:BJ21,BJ72)=4,IF((BJ19+BJ20)=0,0,ROUND(BJ21*(BJ72+BJ73)/(BJ19+BJ20),0)),"")</f>
        <v/>
      </c>
      <c r="BK26" s="31">
        <f t="shared" ref="BK26:BL26" si="325">IF((BK19+BK20)=0,0,ROUND(BK21*(BK72+BK73)/(BK19+BK20),0))</f>
        <v>120000</v>
      </c>
      <c r="BL26" s="32">
        <f t="shared" si="325"/>
        <v>120000</v>
      </c>
      <c r="BM26" s="33">
        <f>IFERROR(IF(OR(BK26="",BL26=""),"",BK26-BL26),"")</f>
        <v>0</v>
      </c>
      <c r="BN26" s="30" t="str">
        <f>IF(COUNT(BN19:BN21,BN72)=4,IF((BN19+BN20)=0,0,ROUND(BN21*(BN72+BN73)/(BN19+BN20),0)),"")</f>
        <v/>
      </c>
      <c r="BO26" s="31">
        <f t="shared" ref="BO26:BP26" si="326">IF((BO19+BO20)=0,0,ROUND(BO21*(BO72+BO73)/(BO19+BO20),0))</f>
        <v>120000</v>
      </c>
      <c r="BP26" s="32">
        <f t="shared" si="326"/>
        <v>120000</v>
      </c>
      <c r="BQ26" s="33">
        <f>IFERROR(IF(OR(BO26="",BP26=""),"",BO26-BP26),"")</f>
        <v>0</v>
      </c>
      <c r="BR26" s="30" t="str">
        <f>IF(COUNT(BR19:BR21,BR72)=4,IF((BR19+BR20)=0,0,ROUND(BR21*(BR72+BR73)/(BR19+BR20),0)),"")</f>
        <v/>
      </c>
      <c r="BS26" s="31">
        <f t="shared" ref="BS26:BT26" si="327">IF((BS19+BS20)=0,0,ROUND(BS21*(BS72+BS73)/(BS19+BS20),0))</f>
        <v>112000</v>
      </c>
      <c r="BT26" s="32">
        <f t="shared" si="327"/>
        <v>112000</v>
      </c>
      <c r="BU26" s="33">
        <f>IFERROR(IF(OR(BS26="",BT26=""),"",BS26-BT26),"")</f>
        <v>0</v>
      </c>
      <c r="BV26" s="30" t="str">
        <f>IF(COUNT(BV19:BV21,BV72)=4,IF((BV19+BV20)=0,0,ROUND(BV21*(BV72+BV73)/(BV19+BV20),0)),"")</f>
        <v/>
      </c>
      <c r="BW26" s="31">
        <f t="shared" ref="BW26:BX26" si="328">IF((BW19+BW20)=0,0,ROUND(BW21*(BW72+BW73)/(BW19+BW20),0))</f>
        <v>112000</v>
      </c>
      <c r="BX26" s="32">
        <f t="shared" si="328"/>
        <v>112000</v>
      </c>
      <c r="BY26" s="33">
        <f>IFERROR(IF(OR(BW26="",BX26=""),"",BW26-BX26),"")</f>
        <v>0</v>
      </c>
      <c r="BZ26" s="30" t="str">
        <f>IF(COUNT(BZ19:BZ21,BZ72)=4,IF((BZ19+BZ20)=0,0,ROUND(BZ21*(BZ72+BZ73)/(BZ19+BZ20),0)),"")</f>
        <v/>
      </c>
      <c r="CA26" s="31">
        <f t="shared" ref="CA26:CB26" si="329">IF((CA19+CA20)=0,0,ROUND(CA21*(CA72+CA73)/(CA19+CA20),0))</f>
        <v>112000</v>
      </c>
      <c r="CB26" s="32">
        <f t="shared" si="329"/>
        <v>112000</v>
      </c>
      <c r="CC26" s="33">
        <f>IFERROR(IF(OR(CA26="",CB26=""),"",CA26-CB26),"")</f>
        <v>0</v>
      </c>
      <c r="CD26" s="30" t="str">
        <f>IF(COUNT(CD19:CD21,CD72)=4,IF((CD19+CD20)=0,0,ROUND(CD21*(CD72+CD73)/(CD19+CD20),0)),"")</f>
        <v/>
      </c>
      <c r="CE26" s="31">
        <f t="shared" ref="CE26:CF26" si="330">IF((CE19+CE20)=0,0,ROUND(CE21*(CE72+CE73)/(CE19+CE20),0))</f>
        <v>112000</v>
      </c>
      <c r="CF26" s="32">
        <f t="shared" si="330"/>
        <v>112000</v>
      </c>
      <c r="CG26" s="33">
        <f>IFERROR(IF(OR(CE26="",CF26=""),"",CE26-CF26),"")</f>
        <v>0</v>
      </c>
      <c r="CH26" s="30" t="str">
        <f>IF(COUNT(CH19:CH21,CH72)=4,IF((CH19+CH20)=0,0,ROUND(CH21*(CH72+CH73)/(CH19+CH20),0)),"")</f>
        <v/>
      </c>
      <c r="CI26" s="31">
        <f t="shared" ref="CI26:CJ26" si="331">IF((CI19+CI20)=0,0,ROUND(CI21*(CI72+CI73)/(CI19+CI20),0))</f>
        <v>104000</v>
      </c>
      <c r="CJ26" s="32">
        <f t="shared" si="331"/>
        <v>104000</v>
      </c>
      <c r="CK26" s="33">
        <f>IFERROR(IF(OR(CI26="",CJ26=""),"",CI26-CJ26),"")</f>
        <v>0</v>
      </c>
      <c r="CL26" s="30" t="str">
        <f>IF(COUNT(CL19:CL21,CL72)=4,IF((CL19+CL20)=0,0,ROUND(CL21*(CL72+CL73)/(CL19+CL20),0)),"")</f>
        <v/>
      </c>
      <c r="CM26" s="31">
        <f t="shared" ref="CM26:CN26" si="332">IF((CM19+CM20)=0,0,ROUND(CM21*(CM72+CM73)/(CM19+CM20),0))</f>
        <v>104000</v>
      </c>
      <c r="CN26" s="32">
        <f t="shared" si="332"/>
        <v>104000</v>
      </c>
      <c r="CO26" s="33">
        <f>IFERROR(IF(OR(CM26="",CN26=""),"",CM26-CN26),"")</f>
        <v>0</v>
      </c>
      <c r="CP26" s="30" t="str">
        <f>IF(COUNT(CP19:CP21,CP72)=4,IF((CP19+CP20)=0,0,ROUND(CP21*(CP72+CP73)/(CP19+CP20),0)),"")</f>
        <v/>
      </c>
      <c r="CQ26" s="31">
        <f t="shared" ref="CQ26:CR26" si="333">IF((CQ19+CQ20)=0,0,ROUND(CQ21*(CQ72+CQ73)/(CQ19+CQ20),0))</f>
        <v>104000</v>
      </c>
      <c r="CR26" s="32">
        <f t="shared" si="333"/>
        <v>104000</v>
      </c>
      <c r="CS26" s="33">
        <f>IFERROR(IF(OR(CQ26="",CR26=""),"",CQ26-CR26),"")</f>
        <v>0</v>
      </c>
      <c r="CT26" s="30" t="str">
        <f>IF(COUNT(CT19:CT21,CT72)=4,IF((CT19+CT20)=0,0,ROUND(CT21*(CT72+CT73)/(CT19+CT20),0)),"")</f>
        <v/>
      </c>
      <c r="CU26" s="31">
        <f t="shared" ref="CU26:CV26" si="334">IF((CU19+CU20)=0,0,ROUND(CU21*(CU72+CU73)/(CU19+CU20),0))</f>
        <v>104000</v>
      </c>
      <c r="CV26" s="32">
        <f t="shared" si="334"/>
        <v>104000</v>
      </c>
      <c r="CW26" s="33">
        <f>IFERROR(IF(OR(CU26="",CV26=""),"",CU26-CV26),"")</f>
        <v>0</v>
      </c>
      <c r="CX26" s="30" t="str">
        <f>IF(COUNT(CX19:CX21,CX72)=4,IF((CX19+CX20)=0,0,ROUND(CX21*(CX72+CX73)/(CX19+CX20),0)),"")</f>
        <v/>
      </c>
      <c r="CY26" s="31">
        <f t="shared" ref="CY26:CZ26" si="335">IF((CY19+CY20)=0,0,ROUND(CY21*(CY72+CY73)/(CY19+CY20),0))</f>
        <v>96000</v>
      </c>
      <c r="CZ26" s="32">
        <f t="shared" si="335"/>
        <v>96000</v>
      </c>
      <c r="DA26" s="33">
        <f>IFERROR(IF(OR(CY26="",CZ26=""),"",CY26-CZ26),"")</f>
        <v>0</v>
      </c>
      <c r="DB26" s="30" t="str">
        <f>IF(COUNT(DB19:DB21,DB72)=4,IF((DB19+DB20)=0,0,ROUND(DB21*(DB72+DB73)/(DB19+DB20),0)),"")</f>
        <v/>
      </c>
      <c r="DC26" s="31">
        <f t="shared" ref="DC26:DD26" si="336">IF((DC19+DC20)=0,0,ROUND(DC21*(DC72+DC73)/(DC19+DC20),0))</f>
        <v>96000</v>
      </c>
      <c r="DD26" s="32">
        <f t="shared" si="336"/>
        <v>96000</v>
      </c>
      <c r="DE26" s="33">
        <f>IFERROR(IF(OR(DC26="",DD26=""),"",DC26-DD26),"")</f>
        <v>0</v>
      </c>
      <c r="DF26" s="30" t="str">
        <f>IF(COUNT(DF19:DF21,DF72)=4,IF((DF19+DF20)=0,0,ROUND(DF21*(DF72+DF73)/(DF19+DF20),0)),"")</f>
        <v/>
      </c>
      <c r="DG26" s="31">
        <f t="shared" ref="DG26:DH26" si="337">IF((DG19+DG20)=0,0,ROUND(DG21*(DG72+DG73)/(DG19+DG20),0))</f>
        <v>96000</v>
      </c>
      <c r="DH26" s="32">
        <f t="shared" si="337"/>
        <v>96000</v>
      </c>
      <c r="DI26" s="33">
        <f>IFERROR(IF(OR(DG26="",DH26=""),"",DG26-DH26),"")</f>
        <v>0</v>
      </c>
      <c r="DJ26" s="30" t="str">
        <f>IF(COUNT(DJ19:DJ21,DJ72)=4,IF((DJ19+DJ20)=0,0,ROUND(DJ21*(DJ72+DJ73)/(DJ19+DJ20),0)),"")</f>
        <v/>
      </c>
      <c r="DK26" s="31">
        <f t="shared" ref="DK26:DL26" si="338">IF((DK19+DK20)=0,0,ROUND(DK21*(DK72+DK73)/(DK19+DK20),0))</f>
        <v>96000</v>
      </c>
      <c r="DL26" s="32">
        <f t="shared" si="338"/>
        <v>96000</v>
      </c>
      <c r="DM26" s="33">
        <f>IFERROR(IF(OR(DK26="",DL26=""),"",DK26-DL26),"")</f>
        <v>0</v>
      </c>
      <c r="DN26" s="30" t="str">
        <f>IF(COUNT(DN19:DN21,DN72)=4,IF((DN19+DN20)=0,0,ROUND(DN21*(DN72+DN73)/(DN19+DN20),0)),"")</f>
        <v/>
      </c>
      <c r="DO26" s="31">
        <f t="shared" ref="DO26:DP26" si="339">IF((DO19+DO20)=0,0,ROUND(DO21*(DO72+DO73)/(DO19+DO20),0))</f>
        <v>88000</v>
      </c>
      <c r="DP26" s="32">
        <f t="shared" si="339"/>
        <v>88000</v>
      </c>
      <c r="DQ26" s="33">
        <f>IFERROR(IF(OR(DO26="",DP26=""),"",DO26-DP26),"")</f>
        <v>0</v>
      </c>
      <c r="DR26" s="30" t="str">
        <f>IF(COUNT(DR19:DR21,DR72)=4,IF((DR19+DR20)=0,0,ROUND(DR21*(DR72+DR73)/(DR19+DR20),0)),"")</f>
        <v/>
      </c>
      <c r="DS26" s="31">
        <f t="shared" ref="DS26:DT26" si="340">IF((DS19+DS20)=0,0,ROUND(DS21*(DS72+DS73)/(DS19+DS20),0))</f>
        <v>88000</v>
      </c>
      <c r="DT26" s="32">
        <f t="shared" si="340"/>
        <v>88000</v>
      </c>
      <c r="DU26" s="33">
        <f>IFERROR(IF(OR(DS26="",DT26=""),"",DS26-DT26),"")</f>
        <v>0</v>
      </c>
      <c r="DV26" s="30" t="str">
        <f>IF(COUNT(DV19:DV21,DV72)=4,IF((DV19+DV20)=0,0,ROUND(DV21*(DV72+DV73)/(DV19+DV20),0)),"")</f>
        <v/>
      </c>
      <c r="DW26" s="31">
        <f t="shared" ref="DW26:DX26" si="341">IF((DW19+DW20)=0,0,ROUND(DW21*(DW72+DW73)/(DW19+DW20),0))</f>
        <v>88000</v>
      </c>
      <c r="DX26" s="32">
        <f t="shared" si="341"/>
        <v>88000</v>
      </c>
      <c r="DY26" s="33">
        <f>IFERROR(IF(OR(DW26="",DX26=""),"",DW26-DX26),"")</f>
        <v>0</v>
      </c>
      <c r="DZ26" s="30" t="str">
        <f>IF(COUNT(DZ19:DZ21,DZ72)=4,IF((DZ19+DZ20)=0,0,ROUND(DZ21*(DZ72+DZ73)/(DZ19+DZ20),0)),"")</f>
        <v/>
      </c>
      <c r="EA26" s="31">
        <f t="shared" ref="EA26:EB26" si="342">IF((EA19+EA20)=0,0,ROUND(EA21*(EA72+EA73)/(EA19+EA20),0))</f>
        <v>88000</v>
      </c>
      <c r="EB26" s="32">
        <f t="shared" si="342"/>
        <v>88000</v>
      </c>
      <c r="EC26" s="33">
        <f>IFERROR(IF(OR(EA26="",EB26=""),"",EA26-EB26),"")</f>
        <v>0</v>
      </c>
      <c r="ED26" s="30" t="str">
        <f>IF(COUNT(ED19:ED21,ED72)=4,IF((ED19+ED20)=0,0,ROUND(ED21*(ED72+ED73)/(ED19+ED20),0)),"")</f>
        <v/>
      </c>
      <c r="EE26" s="31">
        <f t="shared" ref="EE26:EF26" si="343">IF((EE19+EE20)=0,0,ROUND(EE21*(EE72+EE73)/(EE19+EE20),0))</f>
        <v>64000</v>
      </c>
      <c r="EF26" s="32">
        <f t="shared" si="343"/>
        <v>80000</v>
      </c>
      <c r="EG26" s="33">
        <f>IFERROR(IF(OR(EE26="",EF26=""),"",EE26-EF26),"")</f>
        <v>-16000</v>
      </c>
      <c r="EH26" s="30" t="str">
        <f>IF(COUNT(EH19:EH21,EH72)=4,IF((EH19+EH20)=0,0,ROUND(EH21*(EH72+EH73)/(EH19+EH20),0)),"")</f>
        <v/>
      </c>
      <c r="EI26" s="31">
        <f t="shared" ref="EI26:EJ26" si="344">IF((EI19+EI20)=0,0,ROUND(EI21*(EI72+EI73)/(EI19+EI20),0))</f>
        <v>40000</v>
      </c>
      <c r="EJ26" s="32">
        <f t="shared" si="344"/>
        <v>80000</v>
      </c>
      <c r="EK26" s="33">
        <f>IFERROR(IF(OR(EI26="",EJ26=""),"",EI26-EJ26),"")</f>
        <v>-40000</v>
      </c>
      <c r="EL26" s="30">
        <f>IF(COUNT(EL19:EL21,EL72)=4,IF((EL19+EL20)=0,0,ROUND(EL21*(EL72+EL73)/(EL19+EL20),0)),"")</f>
        <v>50000</v>
      </c>
      <c r="EM26" s="31">
        <f t="shared" ref="EM26:EN26" si="345">IF((EM19+EM20)=0,0,ROUND(EM21*(EM72+EM73)/(EM19+EM20),0))</f>
        <v>50000</v>
      </c>
      <c r="EN26" s="32">
        <f t="shared" si="345"/>
        <v>80000</v>
      </c>
      <c r="EO26" s="33">
        <f>IFERROR(IF(OR(EM26="",EN26=""),"",EM26-EN26),"")</f>
        <v>-30000</v>
      </c>
      <c r="EP26" s="30">
        <f>IF(COUNT(EP19:EP21,EP72)=4,IF((EP19+EP20)=0,0,ROUND(EP21*(EP72+EP73)/(EP19+EP20),0)),"")</f>
        <v>60000</v>
      </c>
      <c r="EQ26" s="31">
        <f t="shared" ref="EQ26:ER26" si="346">IF((EQ19+EQ20)=0,0,ROUND(EQ21*(EQ72+EQ73)/(EQ19+EQ20),0))</f>
        <v>60000</v>
      </c>
      <c r="ER26" s="32">
        <f t="shared" si="346"/>
        <v>120000</v>
      </c>
      <c r="ES26" s="33">
        <f>IFERROR(IF(OR(EQ26="",ER26=""),"",EQ26-ER26),"")</f>
        <v>-60000</v>
      </c>
    </row>
    <row r="27" ht="18.0" customHeight="1">
      <c r="A27" s="12" t="s">
        <v>29</v>
      </c>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c r="AB27" s="38"/>
      <c r="AC27" s="38"/>
      <c r="AD27" s="38"/>
      <c r="AE27" s="38"/>
      <c r="AF27" s="38"/>
      <c r="AG27" s="38"/>
      <c r="AH27" s="38"/>
      <c r="AI27" s="38"/>
      <c r="AJ27" s="38"/>
      <c r="AK27" s="38"/>
      <c r="AL27" s="38"/>
      <c r="AM27" s="38"/>
      <c r="AN27" s="38"/>
      <c r="AO27" s="38"/>
      <c r="AP27" s="38"/>
      <c r="AQ27" s="38"/>
      <c r="AR27" s="38"/>
      <c r="AS27" s="38"/>
      <c r="AT27" s="38"/>
      <c r="AU27" s="38"/>
      <c r="AV27" s="38"/>
      <c r="AW27" s="38"/>
      <c r="AX27" s="38"/>
      <c r="AY27" s="38"/>
      <c r="AZ27" s="38"/>
      <c r="BA27" s="38"/>
      <c r="BB27" s="38"/>
      <c r="BC27" s="38"/>
      <c r="BD27" s="38"/>
      <c r="BE27" s="38"/>
      <c r="BF27" s="38"/>
      <c r="BG27" s="38"/>
      <c r="BH27" s="38"/>
      <c r="BI27" s="38"/>
      <c r="BJ27" s="38"/>
      <c r="BK27" s="38"/>
      <c r="BL27" s="38"/>
      <c r="BM27" s="38"/>
      <c r="BN27" s="38"/>
      <c r="BO27" s="38"/>
      <c r="BP27" s="38"/>
      <c r="BQ27" s="38"/>
      <c r="BR27" s="38"/>
      <c r="BS27" s="38"/>
      <c r="BT27" s="38"/>
      <c r="BU27" s="38"/>
      <c r="BV27" s="38"/>
      <c r="BW27" s="38"/>
      <c r="BX27" s="38"/>
      <c r="BY27" s="38"/>
      <c r="BZ27" s="38"/>
      <c r="CA27" s="38"/>
      <c r="CB27" s="38"/>
      <c r="CC27" s="38"/>
      <c r="CD27" s="38"/>
      <c r="CE27" s="38"/>
      <c r="CF27" s="38"/>
      <c r="CG27" s="38"/>
      <c r="CH27" s="38"/>
      <c r="CI27" s="38"/>
      <c r="CJ27" s="38"/>
      <c r="CK27" s="38"/>
      <c r="CL27" s="38"/>
      <c r="CM27" s="38"/>
      <c r="CN27" s="38"/>
      <c r="CO27" s="38"/>
      <c r="CP27" s="38"/>
      <c r="CQ27" s="38"/>
      <c r="CR27" s="38"/>
      <c r="CS27" s="38"/>
      <c r="CT27" s="38"/>
      <c r="CU27" s="38"/>
      <c r="CV27" s="38"/>
      <c r="CW27" s="38"/>
      <c r="CX27" s="38"/>
      <c r="CY27" s="38"/>
      <c r="CZ27" s="38"/>
      <c r="DA27" s="38"/>
      <c r="DB27" s="38"/>
      <c r="DC27" s="38"/>
      <c r="DD27" s="38"/>
      <c r="DE27" s="38"/>
      <c r="DF27" s="38"/>
      <c r="DG27" s="38"/>
      <c r="DH27" s="38"/>
      <c r="DI27" s="38"/>
      <c r="DJ27" s="38"/>
      <c r="DK27" s="38"/>
      <c r="DL27" s="38"/>
      <c r="DM27" s="38"/>
      <c r="DN27" s="38"/>
      <c r="DO27" s="38"/>
      <c r="DP27" s="38"/>
      <c r="DQ27" s="38"/>
      <c r="DR27" s="38"/>
      <c r="DS27" s="38"/>
      <c r="DT27" s="38"/>
      <c r="DU27" s="38"/>
      <c r="DV27" s="38"/>
      <c r="DW27" s="38"/>
      <c r="DX27" s="38"/>
      <c r="DY27" s="38"/>
      <c r="DZ27" s="38"/>
      <c r="EA27" s="38"/>
      <c r="EB27" s="38"/>
      <c r="EC27" s="38"/>
      <c r="ED27" s="38"/>
      <c r="EE27" s="38"/>
      <c r="EF27" s="38"/>
      <c r="EG27" s="38"/>
      <c r="EH27" s="38"/>
      <c r="EI27" s="38"/>
      <c r="EJ27" s="38"/>
      <c r="EK27" s="38"/>
      <c r="EL27" s="38"/>
      <c r="EM27" s="38"/>
      <c r="EN27" s="38"/>
      <c r="EO27" s="38"/>
      <c r="EP27" s="38"/>
      <c r="EQ27" s="38"/>
      <c r="ER27" s="38"/>
      <c r="ES27" s="38"/>
    </row>
    <row r="28" ht="18.0" customHeight="1">
      <c r="A28" s="2" t="s">
        <v>30</v>
      </c>
      <c r="B28" s="30">
        <f t="shared" ref="B28:D28" si="347">SUM(EP28,EL28,EH28,ED28,DZ28,DV28,DR28,DN28,DJ28,DF28,DB28,CX28,CT28,CP28,CL28,CH28,CD28,BZ28,BV28,BR28,BN28,BJ28,BF28,BB28,AX28,AT28,AP28,AL28,AH28,AD28,Z28,V28,R28,N28,J28,F28)</f>
        <v>4060</v>
      </c>
      <c r="C28" s="31">
        <f t="shared" si="347"/>
        <v>72060</v>
      </c>
      <c r="D28" s="32">
        <f t="shared" si="347"/>
        <v>72000</v>
      </c>
      <c r="E28" s="33">
        <f t="shared" ref="E28:E34" si="349">IFERROR(IF(OR(C28="",D28=""),"",C28-D28),"")</f>
        <v>60</v>
      </c>
      <c r="F28" s="34"/>
      <c r="G28" s="31">
        <f>IF(F$98=1,F28,H28)</f>
        <v>2000</v>
      </c>
      <c r="H28" s="35">
        <v>2000.0</v>
      </c>
      <c r="I28" s="33">
        <f t="shared" ref="I28:I34" si="351">IFERROR(IF(OR(G28="",H28=""),"",G28-H28),"")</f>
        <v>0</v>
      </c>
      <c r="J28" s="34"/>
      <c r="K28" s="31">
        <f>IF(J$98=1,J28,L28)</f>
        <v>2000</v>
      </c>
      <c r="L28" s="35">
        <v>2000.0</v>
      </c>
      <c r="M28" s="33">
        <f t="shared" ref="M28:M34" si="353">IFERROR(IF(OR(K28="",L28=""),"",K28-L28),"")</f>
        <v>0</v>
      </c>
      <c r="N28" s="34"/>
      <c r="O28" s="31">
        <f>IF(N$98=1,N28,P28)</f>
        <v>2000</v>
      </c>
      <c r="P28" s="35">
        <v>2000.0</v>
      </c>
      <c r="Q28" s="33">
        <f t="shared" ref="Q28:Q34" si="355">IFERROR(IF(OR(O28="",P28=""),"",O28-P28),"")</f>
        <v>0</v>
      </c>
      <c r="R28" s="34"/>
      <c r="S28" s="31">
        <f>IF(R$98=1,R28,T28)</f>
        <v>2000</v>
      </c>
      <c r="T28" s="35">
        <v>2000.0</v>
      </c>
      <c r="U28" s="33">
        <f t="shared" ref="U28:U34" si="357">IFERROR(IF(OR(S28="",T28=""),"",S28-T28),"")</f>
        <v>0</v>
      </c>
      <c r="V28" s="34"/>
      <c r="W28" s="31">
        <f>IF(V$98=1,V28,X28)</f>
        <v>2000</v>
      </c>
      <c r="X28" s="35">
        <v>2000.0</v>
      </c>
      <c r="Y28" s="33">
        <f t="shared" ref="Y28:Y34" si="359">IFERROR(IF(OR(W28="",X28=""),"",W28-X28),"")</f>
        <v>0</v>
      </c>
      <c r="Z28" s="34"/>
      <c r="AA28" s="31">
        <f>IF(Z$98=1,Z28,AB28)</f>
        <v>2000</v>
      </c>
      <c r="AB28" s="35">
        <v>2000.0</v>
      </c>
      <c r="AC28" s="33">
        <f t="shared" ref="AC28:AC34" si="361">IFERROR(IF(OR(AA28="",AB28=""),"",AA28-AB28),"")</f>
        <v>0</v>
      </c>
      <c r="AD28" s="34"/>
      <c r="AE28" s="31">
        <f>IF(AD$98=1,AD28,AF28)</f>
        <v>2000</v>
      </c>
      <c r="AF28" s="35">
        <v>2000.0</v>
      </c>
      <c r="AG28" s="33">
        <f t="shared" ref="AG28:AG34" si="363">IFERROR(IF(OR(AE28="",AF28=""),"",AE28-AF28),"")</f>
        <v>0</v>
      </c>
      <c r="AH28" s="34"/>
      <c r="AI28" s="31">
        <f>IF(AH$98=1,AH28,AJ28)</f>
        <v>2000</v>
      </c>
      <c r="AJ28" s="35">
        <v>2000.0</v>
      </c>
      <c r="AK28" s="33">
        <f t="shared" ref="AK28:AK34" si="365">IFERROR(IF(OR(AI28="",AJ28=""),"",AI28-AJ28),"")</f>
        <v>0</v>
      </c>
      <c r="AL28" s="34"/>
      <c r="AM28" s="31">
        <f>IF(AL$98=1,AL28,AN28)</f>
        <v>2000</v>
      </c>
      <c r="AN28" s="35">
        <v>2000.0</v>
      </c>
      <c r="AO28" s="33">
        <f t="shared" ref="AO28:AO34" si="367">IFERROR(IF(OR(AM28="",AN28=""),"",AM28-AN28),"")</f>
        <v>0</v>
      </c>
      <c r="AP28" s="34"/>
      <c r="AQ28" s="31">
        <f>IF(AP$98=1,AP28,AR28)</f>
        <v>2000</v>
      </c>
      <c r="AR28" s="35">
        <v>2000.0</v>
      </c>
      <c r="AS28" s="33">
        <f t="shared" ref="AS28:AS34" si="369">IFERROR(IF(OR(AQ28="",AR28=""),"",AQ28-AR28),"")</f>
        <v>0</v>
      </c>
      <c r="AT28" s="34"/>
      <c r="AU28" s="31">
        <f>IF(AT$98=1,AT28,AV28)</f>
        <v>2000</v>
      </c>
      <c r="AV28" s="35">
        <v>2000.0</v>
      </c>
      <c r="AW28" s="33">
        <f t="shared" ref="AW28:AW34" si="371">IFERROR(IF(OR(AU28="",AV28=""),"",AU28-AV28),"")</f>
        <v>0</v>
      </c>
      <c r="AX28" s="34"/>
      <c r="AY28" s="31">
        <f>IF(AX$98=1,AX28,AZ28)</f>
        <v>2000</v>
      </c>
      <c r="AZ28" s="35">
        <v>2000.0</v>
      </c>
      <c r="BA28" s="33">
        <f t="shared" ref="BA28:BA34" si="373">IFERROR(IF(OR(AY28="",AZ28=""),"",AY28-AZ28),"")</f>
        <v>0</v>
      </c>
      <c r="BB28" s="34"/>
      <c r="BC28" s="31">
        <f>IF(BB$98=1,BB28,BD28)</f>
        <v>2000</v>
      </c>
      <c r="BD28" s="35">
        <v>2000.0</v>
      </c>
      <c r="BE28" s="33">
        <f t="shared" ref="BE28:BE34" si="375">IFERROR(IF(OR(BC28="",BD28=""),"",BC28-BD28),"")</f>
        <v>0</v>
      </c>
      <c r="BF28" s="34"/>
      <c r="BG28" s="31">
        <f>IF(BF$98=1,BF28,BH28)</f>
        <v>2000</v>
      </c>
      <c r="BH28" s="35">
        <v>2000.0</v>
      </c>
      <c r="BI28" s="33">
        <f t="shared" ref="BI28:BI34" si="377">IFERROR(IF(OR(BG28="",BH28=""),"",BG28-BH28),"")</f>
        <v>0</v>
      </c>
      <c r="BJ28" s="34"/>
      <c r="BK28" s="31">
        <f>IF(BJ$98=1,BJ28,BL28)</f>
        <v>2000</v>
      </c>
      <c r="BL28" s="35">
        <v>2000.0</v>
      </c>
      <c r="BM28" s="33">
        <f t="shared" ref="BM28:BM34" si="379">IFERROR(IF(OR(BK28="",BL28=""),"",BK28-BL28),"")</f>
        <v>0</v>
      </c>
      <c r="BN28" s="34"/>
      <c r="BO28" s="31">
        <f>IF(BN$98=1,BN28,BP28)</f>
        <v>2000</v>
      </c>
      <c r="BP28" s="35">
        <v>2000.0</v>
      </c>
      <c r="BQ28" s="33">
        <f t="shared" ref="BQ28:BQ34" si="381">IFERROR(IF(OR(BO28="",BP28=""),"",BO28-BP28),"")</f>
        <v>0</v>
      </c>
      <c r="BR28" s="34"/>
      <c r="BS28" s="31">
        <f>IF(BR$98=1,BR28,BT28)</f>
        <v>2000</v>
      </c>
      <c r="BT28" s="35">
        <v>2000.0</v>
      </c>
      <c r="BU28" s="33">
        <f t="shared" ref="BU28:BU34" si="383">IFERROR(IF(OR(BS28="",BT28=""),"",BS28-BT28),"")</f>
        <v>0</v>
      </c>
      <c r="BV28" s="34"/>
      <c r="BW28" s="31">
        <f>IF(BV$98=1,BV28,BX28)</f>
        <v>2000</v>
      </c>
      <c r="BX28" s="35">
        <v>2000.0</v>
      </c>
      <c r="BY28" s="33">
        <f t="shared" ref="BY28:BY34" si="385">IFERROR(IF(OR(BW28="",BX28=""),"",BW28-BX28),"")</f>
        <v>0</v>
      </c>
      <c r="BZ28" s="34"/>
      <c r="CA28" s="31">
        <f>IF(BZ$98=1,BZ28,CB28)</f>
        <v>2000</v>
      </c>
      <c r="CB28" s="35">
        <v>2000.0</v>
      </c>
      <c r="CC28" s="33">
        <f t="shared" ref="CC28:CC34" si="387">IFERROR(IF(OR(CA28="",CB28=""),"",CA28-CB28),"")</f>
        <v>0</v>
      </c>
      <c r="CD28" s="34"/>
      <c r="CE28" s="31">
        <f>IF(CD$98=1,CD28,CF28)</f>
        <v>2000</v>
      </c>
      <c r="CF28" s="35">
        <v>2000.0</v>
      </c>
      <c r="CG28" s="33">
        <f t="shared" ref="CG28:CG34" si="389">IFERROR(IF(OR(CE28="",CF28=""),"",CE28-CF28),"")</f>
        <v>0</v>
      </c>
      <c r="CH28" s="34"/>
      <c r="CI28" s="31">
        <f>IF(CH$98=1,CH28,CJ28)</f>
        <v>2000</v>
      </c>
      <c r="CJ28" s="35">
        <v>2000.0</v>
      </c>
      <c r="CK28" s="33">
        <f t="shared" ref="CK28:CK34" si="391">IFERROR(IF(OR(CI28="",CJ28=""),"",CI28-CJ28),"")</f>
        <v>0</v>
      </c>
      <c r="CL28" s="34"/>
      <c r="CM28" s="31">
        <f>IF(CL$98=1,CL28,CN28)</f>
        <v>2000</v>
      </c>
      <c r="CN28" s="35">
        <v>2000.0</v>
      </c>
      <c r="CO28" s="33">
        <f t="shared" ref="CO28:CO34" si="393">IFERROR(IF(OR(CM28="",CN28=""),"",CM28-CN28),"")</f>
        <v>0</v>
      </c>
      <c r="CP28" s="34"/>
      <c r="CQ28" s="31">
        <f>IF(CP$98=1,CP28,CR28)</f>
        <v>2000</v>
      </c>
      <c r="CR28" s="35">
        <v>2000.0</v>
      </c>
      <c r="CS28" s="33">
        <f t="shared" ref="CS28:CS34" si="395">IFERROR(IF(OR(CQ28="",CR28=""),"",CQ28-CR28),"")</f>
        <v>0</v>
      </c>
      <c r="CT28" s="34"/>
      <c r="CU28" s="31">
        <f>IF(CT$98=1,CT28,CV28)</f>
        <v>2000</v>
      </c>
      <c r="CV28" s="35">
        <v>2000.0</v>
      </c>
      <c r="CW28" s="33">
        <f t="shared" ref="CW28:CW34" si="397">IFERROR(IF(OR(CU28="",CV28=""),"",CU28-CV28),"")</f>
        <v>0</v>
      </c>
      <c r="CX28" s="34"/>
      <c r="CY28" s="31">
        <f>IF(CX$98=1,CX28,CZ28)</f>
        <v>2000</v>
      </c>
      <c r="CZ28" s="35">
        <v>2000.0</v>
      </c>
      <c r="DA28" s="33">
        <f t="shared" ref="DA28:DA34" si="399">IFERROR(IF(OR(CY28="",CZ28=""),"",CY28-CZ28),"")</f>
        <v>0</v>
      </c>
      <c r="DB28" s="34"/>
      <c r="DC28" s="31">
        <f>IF(DB$98=1,DB28,DD28)</f>
        <v>2000</v>
      </c>
      <c r="DD28" s="35">
        <v>2000.0</v>
      </c>
      <c r="DE28" s="33">
        <f t="shared" ref="DE28:DE34" si="401">IFERROR(IF(OR(DC28="",DD28=""),"",DC28-DD28),"")</f>
        <v>0</v>
      </c>
      <c r="DF28" s="34"/>
      <c r="DG28" s="31">
        <f>IF(DF$98=1,DF28,DH28)</f>
        <v>2000</v>
      </c>
      <c r="DH28" s="35">
        <v>2000.0</v>
      </c>
      <c r="DI28" s="33">
        <f t="shared" ref="DI28:DI34" si="403">IFERROR(IF(OR(DG28="",DH28=""),"",DG28-DH28),"")</f>
        <v>0</v>
      </c>
      <c r="DJ28" s="34"/>
      <c r="DK28" s="31">
        <f>IF(DJ$98=1,DJ28,DL28)</f>
        <v>2000</v>
      </c>
      <c r="DL28" s="35">
        <v>2000.0</v>
      </c>
      <c r="DM28" s="33">
        <f t="shared" ref="DM28:DM34" si="405">IFERROR(IF(OR(DK28="",DL28=""),"",DK28-DL28),"")</f>
        <v>0</v>
      </c>
      <c r="DN28" s="34"/>
      <c r="DO28" s="31">
        <f>IF(DN$98=1,DN28,DP28)</f>
        <v>2000</v>
      </c>
      <c r="DP28" s="35">
        <v>2000.0</v>
      </c>
      <c r="DQ28" s="33">
        <f t="shared" ref="DQ28:DQ34" si="407">IFERROR(IF(OR(DO28="",DP28=""),"",DO28-DP28),"")</f>
        <v>0</v>
      </c>
      <c r="DR28" s="34"/>
      <c r="DS28" s="31">
        <f>IF(DR$98=1,DR28,DT28)</f>
        <v>2000</v>
      </c>
      <c r="DT28" s="35">
        <v>2000.0</v>
      </c>
      <c r="DU28" s="33">
        <f t="shared" ref="DU28:DU34" si="409">IFERROR(IF(OR(DS28="",DT28=""),"",DS28-DT28),"")</f>
        <v>0</v>
      </c>
      <c r="DV28" s="34"/>
      <c r="DW28" s="31">
        <f>IF(DV$98=1,DV28,DX28)</f>
        <v>2000</v>
      </c>
      <c r="DX28" s="35">
        <v>2000.0</v>
      </c>
      <c r="DY28" s="33">
        <f t="shared" ref="DY28:DY34" si="411">IFERROR(IF(OR(DW28="",DX28=""),"",DW28-DX28),"")</f>
        <v>0</v>
      </c>
      <c r="DZ28" s="34"/>
      <c r="EA28" s="31">
        <f>IF(DZ$98=1,DZ28,EB28)</f>
        <v>2000</v>
      </c>
      <c r="EB28" s="35">
        <v>2000.0</v>
      </c>
      <c r="EC28" s="33">
        <f t="shared" ref="EC28:EC34" si="413">IFERROR(IF(OR(EA28="",EB28=""),"",EA28-EB28),"")</f>
        <v>0</v>
      </c>
      <c r="ED28" s="34"/>
      <c r="EE28" s="31">
        <f>IF(ED$98=1,ED28,EF28)</f>
        <v>2000</v>
      </c>
      <c r="EF28" s="35">
        <v>2000.0</v>
      </c>
      <c r="EG28" s="33">
        <f t="shared" ref="EG28:EG34" si="415">IFERROR(IF(OR(EE28="",EF28=""),"",EE28-EF28),"")</f>
        <v>0</v>
      </c>
      <c r="EH28" s="34"/>
      <c r="EI28" s="31">
        <f>IF(EH$98=1,EH28,EJ28)</f>
        <v>2000</v>
      </c>
      <c r="EJ28" s="35">
        <v>2000.0</v>
      </c>
      <c r="EK28" s="33">
        <f t="shared" ref="EK28:EK34" si="417">IFERROR(IF(OR(EI28="",EJ28=""),"",EI28-EJ28),"")</f>
        <v>0</v>
      </c>
      <c r="EL28" s="34">
        <v>1960.0</v>
      </c>
      <c r="EM28" s="31">
        <f>IF(EL$98=1,EL28,EN28)</f>
        <v>1960</v>
      </c>
      <c r="EN28" s="35">
        <v>2000.0</v>
      </c>
      <c r="EO28" s="33">
        <f t="shared" ref="EO28:EO34" si="419">IFERROR(IF(OR(EM28="",EN28=""),"",EM28-EN28),"")</f>
        <v>-40</v>
      </c>
      <c r="EP28" s="34">
        <v>2100.0</v>
      </c>
      <c r="EQ28" s="31">
        <f>IF(EP$98=1,EP28,ER28)</f>
        <v>2100</v>
      </c>
      <c r="ER28" s="35">
        <v>2000.0</v>
      </c>
      <c r="ES28" s="33">
        <f t="shared" ref="ES28:ES34" si="421">IFERROR(IF(OR(EQ28="",ER28=""),"",EQ28-ER28),"")</f>
        <v>100</v>
      </c>
    </row>
    <row r="29" ht="18.0" customHeight="1">
      <c r="A29" s="2" t="s">
        <v>31</v>
      </c>
      <c r="B29" s="30">
        <f t="shared" ref="B29:D29" si="348">SUM(EP29,EL29,EH29,ED29,DZ29,DV29,DR29,DN29,DJ29,DF29,DB29,CX29,CT29,CP29,CL29,CH29,CD29,BZ29,BV29,BR29,BN29,BJ29,BF29,BB29,AX29,AT29,AP29,AL29,AH29,AD29,Z29,V29,R29,N29,J29,F29)</f>
        <v>22000</v>
      </c>
      <c r="C29" s="31">
        <f t="shared" si="348"/>
        <v>502000</v>
      </c>
      <c r="D29" s="32">
        <f t="shared" si="348"/>
        <v>509000</v>
      </c>
      <c r="E29" s="33">
        <f t="shared" si="349"/>
        <v>-7000</v>
      </c>
      <c r="F29" s="30" t="str">
        <f t="shared" ref="F29:H29" si="350">IF(COUNT(F21,F18)=2,F21*F18,"")</f>
        <v/>
      </c>
      <c r="G29" s="31">
        <f t="shared" si="350"/>
        <v>18000</v>
      </c>
      <c r="H29" s="32">
        <f t="shared" si="350"/>
        <v>18000</v>
      </c>
      <c r="I29" s="33">
        <f t="shared" si="351"/>
        <v>0</v>
      </c>
      <c r="J29" s="30" t="str">
        <f t="shared" ref="J29:L29" si="352">IF(COUNT(J21,J18)=2,J21*J18,"")</f>
        <v/>
      </c>
      <c r="K29" s="31">
        <f t="shared" si="352"/>
        <v>18000</v>
      </c>
      <c r="L29" s="32">
        <f t="shared" si="352"/>
        <v>18000</v>
      </c>
      <c r="M29" s="33">
        <f t="shared" si="353"/>
        <v>0</v>
      </c>
      <c r="N29" s="30" t="str">
        <f t="shared" ref="N29:P29" si="354">IF(COUNT(N21,N18)=2,N21*N18,"")</f>
        <v/>
      </c>
      <c r="O29" s="31">
        <f t="shared" si="354"/>
        <v>18000</v>
      </c>
      <c r="P29" s="32">
        <f t="shared" si="354"/>
        <v>18000</v>
      </c>
      <c r="Q29" s="33">
        <f t="shared" si="355"/>
        <v>0</v>
      </c>
      <c r="R29" s="30" t="str">
        <f t="shared" ref="R29:T29" si="356">IF(COUNT(R21,R18)=2,R21*R18,"")</f>
        <v/>
      </c>
      <c r="S29" s="31">
        <f t="shared" si="356"/>
        <v>18000</v>
      </c>
      <c r="T29" s="32">
        <f t="shared" si="356"/>
        <v>18000</v>
      </c>
      <c r="U29" s="33">
        <f t="shared" si="357"/>
        <v>0</v>
      </c>
      <c r="V29" s="30" t="str">
        <f t="shared" ref="V29:X29" si="358">IF(COUNT(V21,V18)=2,V21*V18,"")</f>
        <v/>
      </c>
      <c r="W29" s="31">
        <f t="shared" si="358"/>
        <v>17000</v>
      </c>
      <c r="X29" s="32">
        <f t="shared" si="358"/>
        <v>17000</v>
      </c>
      <c r="Y29" s="33">
        <f t="shared" si="359"/>
        <v>0</v>
      </c>
      <c r="Z29" s="30" t="str">
        <f t="shared" ref="Z29:AB29" si="360">IF(COUNT(Z21,Z18)=2,Z21*Z18,"")</f>
        <v/>
      </c>
      <c r="AA29" s="31">
        <f t="shared" si="360"/>
        <v>17000</v>
      </c>
      <c r="AB29" s="32">
        <f t="shared" si="360"/>
        <v>17000</v>
      </c>
      <c r="AC29" s="33">
        <f t="shared" si="361"/>
        <v>0</v>
      </c>
      <c r="AD29" s="30" t="str">
        <f t="shared" ref="AD29:AF29" si="362">IF(COUNT(AD21,AD18)=2,AD21*AD18,"")</f>
        <v/>
      </c>
      <c r="AE29" s="31">
        <f t="shared" si="362"/>
        <v>17000</v>
      </c>
      <c r="AF29" s="32">
        <f t="shared" si="362"/>
        <v>17000</v>
      </c>
      <c r="AG29" s="33">
        <f t="shared" si="363"/>
        <v>0</v>
      </c>
      <c r="AH29" s="30" t="str">
        <f t="shared" ref="AH29:AJ29" si="364">IF(COUNT(AH21,AH18)=2,AH21*AH18,"")</f>
        <v/>
      </c>
      <c r="AI29" s="31">
        <f t="shared" si="364"/>
        <v>17000</v>
      </c>
      <c r="AJ29" s="32">
        <f t="shared" si="364"/>
        <v>17000</v>
      </c>
      <c r="AK29" s="33">
        <f t="shared" si="365"/>
        <v>0</v>
      </c>
      <c r="AL29" s="30" t="str">
        <f t="shared" ref="AL29:AN29" si="366">IF(COUNT(AL21,AL18)=2,AL21*AL18,"")</f>
        <v/>
      </c>
      <c r="AM29" s="31">
        <f t="shared" si="366"/>
        <v>16000</v>
      </c>
      <c r="AN29" s="32">
        <f t="shared" si="366"/>
        <v>16000</v>
      </c>
      <c r="AO29" s="33">
        <f t="shared" si="367"/>
        <v>0</v>
      </c>
      <c r="AP29" s="30" t="str">
        <f t="shared" ref="AP29:AR29" si="368">IF(COUNT(AP21,AP18)=2,AP21*AP18,"")</f>
        <v/>
      </c>
      <c r="AQ29" s="31">
        <f t="shared" si="368"/>
        <v>16000</v>
      </c>
      <c r="AR29" s="32">
        <f t="shared" si="368"/>
        <v>16000</v>
      </c>
      <c r="AS29" s="33">
        <f t="shared" si="369"/>
        <v>0</v>
      </c>
      <c r="AT29" s="30" t="str">
        <f t="shared" ref="AT29:AV29" si="370">IF(COUNT(AT21,AT18)=2,AT21*AT18,"")</f>
        <v/>
      </c>
      <c r="AU29" s="31">
        <f t="shared" si="370"/>
        <v>16000</v>
      </c>
      <c r="AV29" s="32">
        <f t="shared" si="370"/>
        <v>16000</v>
      </c>
      <c r="AW29" s="33">
        <f t="shared" si="371"/>
        <v>0</v>
      </c>
      <c r="AX29" s="30" t="str">
        <f t="shared" ref="AX29:AZ29" si="372">IF(COUNT(AX21,AX18)=2,AX21*AX18,"")</f>
        <v/>
      </c>
      <c r="AY29" s="31">
        <f t="shared" si="372"/>
        <v>16000</v>
      </c>
      <c r="AZ29" s="32">
        <f t="shared" si="372"/>
        <v>16000</v>
      </c>
      <c r="BA29" s="33">
        <f t="shared" si="373"/>
        <v>0</v>
      </c>
      <c r="BB29" s="30" t="str">
        <f t="shared" ref="BB29:BD29" si="374">IF(COUNT(BB21,BB18)=2,BB21*BB18,"")</f>
        <v/>
      </c>
      <c r="BC29" s="31">
        <f t="shared" si="374"/>
        <v>15000</v>
      </c>
      <c r="BD29" s="32">
        <f t="shared" si="374"/>
        <v>15000</v>
      </c>
      <c r="BE29" s="33">
        <f t="shared" si="375"/>
        <v>0</v>
      </c>
      <c r="BF29" s="30" t="str">
        <f t="shared" ref="BF29:BH29" si="376">IF(COUNT(BF21,BF18)=2,BF21*BF18,"")</f>
        <v/>
      </c>
      <c r="BG29" s="31">
        <f t="shared" si="376"/>
        <v>15000</v>
      </c>
      <c r="BH29" s="32">
        <f t="shared" si="376"/>
        <v>15000</v>
      </c>
      <c r="BI29" s="33">
        <f t="shared" si="377"/>
        <v>0</v>
      </c>
      <c r="BJ29" s="30" t="str">
        <f t="shared" ref="BJ29:BL29" si="378">IF(COUNT(BJ21,BJ18)=2,BJ21*BJ18,"")</f>
        <v/>
      </c>
      <c r="BK29" s="31">
        <f t="shared" si="378"/>
        <v>15000</v>
      </c>
      <c r="BL29" s="32">
        <f t="shared" si="378"/>
        <v>15000</v>
      </c>
      <c r="BM29" s="33">
        <f t="shared" si="379"/>
        <v>0</v>
      </c>
      <c r="BN29" s="30" t="str">
        <f t="shared" ref="BN29:BP29" si="380">IF(COUNT(BN21,BN18)=2,BN21*BN18,"")</f>
        <v/>
      </c>
      <c r="BO29" s="31">
        <f t="shared" si="380"/>
        <v>15000</v>
      </c>
      <c r="BP29" s="32">
        <f t="shared" si="380"/>
        <v>15000</v>
      </c>
      <c r="BQ29" s="33">
        <f t="shared" si="381"/>
        <v>0</v>
      </c>
      <c r="BR29" s="30" t="str">
        <f t="shared" ref="BR29:BT29" si="382">IF(COUNT(BR21,BR18)=2,BR21*BR18,"")</f>
        <v/>
      </c>
      <c r="BS29" s="31">
        <f t="shared" si="382"/>
        <v>14000</v>
      </c>
      <c r="BT29" s="32">
        <f t="shared" si="382"/>
        <v>14000</v>
      </c>
      <c r="BU29" s="33">
        <f t="shared" si="383"/>
        <v>0</v>
      </c>
      <c r="BV29" s="30" t="str">
        <f t="shared" ref="BV29:BX29" si="384">IF(COUNT(BV21,BV18)=2,BV21*BV18,"")</f>
        <v/>
      </c>
      <c r="BW29" s="31">
        <f t="shared" si="384"/>
        <v>14000</v>
      </c>
      <c r="BX29" s="32">
        <f t="shared" si="384"/>
        <v>14000</v>
      </c>
      <c r="BY29" s="33">
        <f t="shared" si="385"/>
        <v>0</v>
      </c>
      <c r="BZ29" s="30" t="str">
        <f t="shared" ref="BZ29:CB29" si="386">IF(COUNT(BZ21,BZ18)=2,BZ21*BZ18,"")</f>
        <v/>
      </c>
      <c r="CA29" s="31">
        <f t="shared" si="386"/>
        <v>14000</v>
      </c>
      <c r="CB29" s="32">
        <f t="shared" si="386"/>
        <v>14000</v>
      </c>
      <c r="CC29" s="33">
        <f t="shared" si="387"/>
        <v>0</v>
      </c>
      <c r="CD29" s="30" t="str">
        <f t="shared" ref="CD29:CF29" si="388">IF(COUNT(CD21,CD18)=2,CD21*CD18,"")</f>
        <v/>
      </c>
      <c r="CE29" s="31">
        <f t="shared" si="388"/>
        <v>14000</v>
      </c>
      <c r="CF29" s="32">
        <f t="shared" si="388"/>
        <v>14000</v>
      </c>
      <c r="CG29" s="33">
        <f t="shared" si="389"/>
        <v>0</v>
      </c>
      <c r="CH29" s="30" t="str">
        <f t="shared" ref="CH29:CJ29" si="390">IF(COUNT(CH21,CH18)=2,CH21*CH18,"")</f>
        <v/>
      </c>
      <c r="CI29" s="31">
        <f t="shared" si="390"/>
        <v>13000</v>
      </c>
      <c r="CJ29" s="32">
        <f t="shared" si="390"/>
        <v>13000</v>
      </c>
      <c r="CK29" s="33">
        <f t="shared" si="391"/>
        <v>0</v>
      </c>
      <c r="CL29" s="30" t="str">
        <f t="shared" ref="CL29:CN29" si="392">IF(COUNT(CL21,CL18)=2,CL21*CL18,"")</f>
        <v/>
      </c>
      <c r="CM29" s="31">
        <f t="shared" si="392"/>
        <v>13000</v>
      </c>
      <c r="CN29" s="32">
        <f t="shared" si="392"/>
        <v>13000</v>
      </c>
      <c r="CO29" s="33">
        <f t="shared" si="393"/>
        <v>0</v>
      </c>
      <c r="CP29" s="30" t="str">
        <f t="shared" ref="CP29:CR29" si="394">IF(COUNT(CP21,CP18)=2,CP21*CP18,"")</f>
        <v/>
      </c>
      <c r="CQ29" s="31">
        <f t="shared" si="394"/>
        <v>13000</v>
      </c>
      <c r="CR29" s="32">
        <f t="shared" si="394"/>
        <v>13000</v>
      </c>
      <c r="CS29" s="33">
        <f t="shared" si="395"/>
        <v>0</v>
      </c>
      <c r="CT29" s="30" t="str">
        <f t="shared" ref="CT29:CV29" si="396">IF(COUNT(CT21,CT18)=2,CT21*CT18,"")</f>
        <v/>
      </c>
      <c r="CU29" s="31">
        <f t="shared" si="396"/>
        <v>13000</v>
      </c>
      <c r="CV29" s="32">
        <f t="shared" si="396"/>
        <v>13000</v>
      </c>
      <c r="CW29" s="33">
        <f t="shared" si="397"/>
        <v>0</v>
      </c>
      <c r="CX29" s="30" t="str">
        <f t="shared" ref="CX29:CZ29" si="398">IF(COUNT(CX21,CX18)=2,CX21*CX18,"")</f>
        <v/>
      </c>
      <c r="CY29" s="31">
        <f t="shared" si="398"/>
        <v>12000</v>
      </c>
      <c r="CZ29" s="32">
        <f t="shared" si="398"/>
        <v>12000</v>
      </c>
      <c r="DA29" s="33">
        <f t="shared" si="399"/>
        <v>0</v>
      </c>
      <c r="DB29" s="30" t="str">
        <f t="shared" ref="DB29:DD29" si="400">IF(COUNT(DB21,DB18)=2,DB21*DB18,"")</f>
        <v/>
      </c>
      <c r="DC29" s="31">
        <f t="shared" si="400"/>
        <v>12000</v>
      </c>
      <c r="DD29" s="32">
        <f t="shared" si="400"/>
        <v>12000</v>
      </c>
      <c r="DE29" s="33">
        <f t="shared" si="401"/>
        <v>0</v>
      </c>
      <c r="DF29" s="30" t="str">
        <f t="shared" ref="DF29:DH29" si="402">IF(COUNT(DF21,DF18)=2,DF21*DF18,"")</f>
        <v/>
      </c>
      <c r="DG29" s="31">
        <f t="shared" si="402"/>
        <v>12000</v>
      </c>
      <c r="DH29" s="32">
        <f t="shared" si="402"/>
        <v>12000</v>
      </c>
      <c r="DI29" s="33">
        <f t="shared" si="403"/>
        <v>0</v>
      </c>
      <c r="DJ29" s="30" t="str">
        <f t="shared" ref="DJ29:DL29" si="404">IF(COUNT(DJ21,DJ18)=2,DJ21*DJ18,"")</f>
        <v/>
      </c>
      <c r="DK29" s="31">
        <f t="shared" si="404"/>
        <v>12000</v>
      </c>
      <c r="DL29" s="32">
        <f t="shared" si="404"/>
        <v>12000</v>
      </c>
      <c r="DM29" s="33">
        <f t="shared" si="405"/>
        <v>0</v>
      </c>
      <c r="DN29" s="30" t="str">
        <f t="shared" ref="DN29:DP29" si="406">IF(COUNT(DN21,DN18)=2,DN21*DN18,"")</f>
        <v/>
      </c>
      <c r="DO29" s="31">
        <f t="shared" si="406"/>
        <v>11000</v>
      </c>
      <c r="DP29" s="32">
        <f t="shared" si="406"/>
        <v>11000</v>
      </c>
      <c r="DQ29" s="33">
        <f t="shared" si="407"/>
        <v>0</v>
      </c>
      <c r="DR29" s="30" t="str">
        <f t="shared" ref="DR29:DT29" si="408">IF(COUNT(DR21,DR18)=2,DR21*DR18,"")</f>
        <v/>
      </c>
      <c r="DS29" s="31">
        <f t="shared" si="408"/>
        <v>11000</v>
      </c>
      <c r="DT29" s="32">
        <f t="shared" si="408"/>
        <v>11000</v>
      </c>
      <c r="DU29" s="33">
        <f t="shared" si="409"/>
        <v>0</v>
      </c>
      <c r="DV29" s="30" t="str">
        <f t="shared" ref="DV29:DX29" si="410">IF(COUNT(DV21,DV18)=2,DV21*DV18,"")</f>
        <v/>
      </c>
      <c r="DW29" s="31">
        <f t="shared" si="410"/>
        <v>11000</v>
      </c>
      <c r="DX29" s="32">
        <f t="shared" si="410"/>
        <v>11000</v>
      </c>
      <c r="DY29" s="33">
        <f t="shared" si="411"/>
        <v>0</v>
      </c>
      <c r="DZ29" s="30" t="str">
        <f t="shared" ref="DZ29:EB29" si="412">IF(COUNT(DZ21,DZ18)=2,DZ21*DZ18,"")</f>
        <v/>
      </c>
      <c r="EA29" s="31">
        <f t="shared" si="412"/>
        <v>11000</v>
      </c>
      <c r="EB29" s="32">
        <f t="shared" si="412"/>
        <v>11000</v>
      </c>
      <c r="EC29" s="33">
        <f t="shared" si="413"/>
        <v>0</v>
      </c>
      <c r="ED29" s="30" t="str">
        <f t="shared" ref="ED29:EF29" si="414">IF(COUNT(ED21,ED18)=2,ED21*ED18,"")</f>
        <v/>
      </c>
      <c r="EE29" s="31">
        <f t="shared" si="414"/>
        <v>8000</v>
      </c>
      <c r="EF29" s="32">
        <f t="shared" si="414"/>
        <v>10000</v>
      </c>
      <c r="EG29" s="33">
        <f t="shared" si="415"/>
        <v>-2000</v>
      </c>
      <c r="EH29" s="30" t="str">
        <f t="shared" ref="EH29:EJ29" si="416">IF(COUNT(EH21,EH18)=2,EH21*EH18,"")</f>
        <v/>
      </c>
      <c r="EI29" s="31">
        <f t="shared" si="416"/>
        <v>8000</v>
      </c>
      <c r="EJ29" s="32">
        <f t="shared" si="416"/>
        <v>10000</v>
      </c>
      <c r="EK29" s="33">
        <f t="shared" si="417"/>
        <v>-2000</v>
      </c>
      <c r="EL29" s="30">
        <f t="shared" ref="EL29:EN29" si="418">IF(COUNT(EL21,EL18)=2,EL21*EL18,"")</f>
        <v>10000</v>
      </c>
      <c r="EM29" s="31">
        <f t="shared" si="418"/>
        <v>10000</v>
      </c>
      <c r="EN29" s="32">
        <f t="shared" si="418"/>
        <v>10000</v>
      </c>
      <c r="EO29" s="33">
        <f t="shared" si="419"/>
        <v>0</v>
      </c>
      <c r="EP29" s="30">
        <f t="shared" ref="EP29:ER29" si="420">IF(COUNT(EP21,EP18)=2,EP21*EP18,"")</f>
        <v>12000</v>
      </c>
      <c r="EQ29" s="31">
        <f t="shared" si="420"/>
        <v>12000</v>
      </c>
      <c r="ER29" s="32">
        <f t="shared" si="420"/>
        <v>15000</v>
      </c>
      <c r="ES29" s="33">
        <f t="shared" si="421"/>
        <v>-3000</v>
      </c>
    </row>
    <row r="30" ht="18.0" customHeight="1">
      <c r="A30" s="2" t="s">
        <v>32</v>
      </c>
      <c r="B30" s="30">
        <f t="shared" ref="B30:D30" si="422">SUM(EP30,EL30,EH30,ED30,DZ30,DV30,DR30,DN30,DJ30,DF30,DB30,CX30,CT30,CP30,CL30,CH30,CD30,BZ30,BV30,BR30,BN30,BJ30,BF30,BB30,AX30,AT30,AP30,AL30,AH30,AD30,Z30,V30,R30,N30,J30,F30)</f>
        <v>1015</v>
      </c>
      <c r="C30" s="31">
        <f t="shared" si="422"/>
        <v>18015</v>
      </c>
      <c r="D30" s="32">
        <f t="shared" si="422"/>
        <v>18000</v>
      </c>
      <c r="E30" s="33">
        <f t="shared" si="349"/>
        <v>15</v>
      </c>
      <c r="F30" s="34"/>
      <c r="G30" s="31">
        <f t="shared" ref="G30:G33" si="424">IF(F$98=1,F30,H30)</f>
        <v>500</v>
      </c>
      <c r="H30" s="35">
        <v>500.0</v>
      </c>
      <c r="I30" s="33">
        <f t="shared" si="351"/>
        <v>0</v>
      </c>
      <c r="J30" s="34"/>
      <c r="K30" s="31">
        <f t="shared" ref="K30:K33" si="425">IF(J$98=1,J30,L30)</f>
        <v>500</v>
      </c>
      <c r="L30" s="35">
        <v>500.0</v>
      </c>
      <c r="M30" s="33">
        <f t="shared" si="353"/>
        <v>0</v>
      </c>
      <c r="N30" s="34"/>
      <c r="O30" s="31">
        <f t="shared" ref="O30:O33" si="426">IF(N$98=1,N30,P30)</f>
        <v>500</v>
      </c>
      <c r="P30" s="35">
        <v>500.0</v>
      </c>
      <c r="Q30" s="33">
        <f t="shared" si="355"/>
        <v>0</v>
      </c>
      <c r="R30" s="34"/>
      <c r="S30" s="31">
        <f t="shared" ref="S30:S33" si="427">IF(R$98=1,R30,T30)</f>
        <v>500</v>
      </c>
      <c r="T30" s="35">
        <v>500.0</v>
      </c>
      <c r="U30" s="33">
        <f t="shared" si="357"/>
        <v>0</v>
      </c>
      <c r="V30" s="34"/>
      <c r="W30" s="31">
        <f t="shared" ref="W30:W33" si="428">IF(V$98=1,V30,X30)</f>
        <v>500</v>
      </c>
      <c r="X30" s="35">
        <v>500.0</v>
      </c>
      <c r="Y30" s="33">
        <f t="shared" si="359"/>
        <v>0</v>
      </c>
      <c r="Z30" s="34"/>
      <c r="AA30" s="31">
        <f t="shared" ref="AA30:AA33" si="429">IF(Z$98=1,Z30,AB30)</f>
        <v>500</v>
      </c>
      <c r="AB30" s="35">
        <v>500.0</v>
      </c>
      <c r="AC30" s="33">
        <f t="shared" si="361"/>
        <v>0</v>
      </c>
      <c r="AD30" s="34"/>
      <c r="AE30" s="31">
        <f t="shared" ref="AE30:AE33" si="430">IF(AD$98=1,AD30,AF30)</f>
        <v>500</v>
      </c>
      <c r="AF30" s="35">
        <v>500.0</v>
      </c>
      <c r="AG30" s="33">
        <f t="shared" si="363"/>
        <v>0</v>
      </c>
      <c r="AH30" s="34"/>
      <c r="AI30" s="31">
        <f t="shared" ref="AI30:AI33" si="431">IF(AH$98=1,AH30,AJ30)</f>
        <v>500</v>
      </c>
      <c r="AJ30" s="35">
        <v>500.0</v>
      </c>
      <c r="AK30" s="33">
        <f t="shared" si="365"/>
        <v>0</v>
      </c>
      <c r="AL30" s="34"/>
      <c r="AM30" s="31">
        <f t="shared" ref="AM30:AM33" si="432">IF(AL$98=1,AL30,AN30)</f>
        <v>500</v>
      </c>
      <c r="AN30" s="35">
        <v>500.0</v>
      </c>
      <c r="AO30" s="33">
        <f t="shared" si="367"/>
        <v>0</v>
      </c>
      <c r="AP30" s="34"/>
      <c r="AQ30" s="31">
        <f t="shared" ref="AQ30:AQ33" si="433">IF(AP$98=1,AP30,AR30)</f>
        <v>500</v>
      </c>
      <c r="AR30" s="35">
        <v>500.0</v>
      </c>
      <c r="AS30" s="33">
        <f t="shared" si="369"/>
        <v>0</v>
      </c>
      <c r="AT30" s="34"/>
      <c r="AU30" s="31">
        <f t="shared" ref="AU30:AU33" si="434">IF(AT$98=1,AT30,AV30)</f>
        <v>500</v>
      </c>
      <c r="AV30" s="35">
        <v>500.0</v>
      </c>
      <c r="AW30" s="33">
        <f t="shared" si="371"/>
        <v>0</v>
      </c>
      <c r="AX30" s="34"/>
      <c r="AY30" s="31">
        <f t="shared" ref="AY30:AY33" si="435">IF(AX$98=1,AX30,AZ30)</f>
        <v>500</v>
      </c>
      <c r="AZ30" s="35">
        <v>500.0</v>
      </c>
      <c r="BA30" s="33">
        <f t="shared" si="373"/>
        <v>0</v>
      </c>
      <c r="BB30" s="34"/>
      <c r="BC30" s="31">
        <f t="shared" ref="BC30:BC33" si="436">IF(BB$98=1,BB30,BD30)</f>
        <v>500</v>
      </c>
      <c r="BD30" s="35">
        <v>500.0</v>
      </c>
      <c r="BE30" s="33">
        <f t="shared" si="375"/>
        <v>0</v>
      </c>
      <c r="BF30" s="34"/>
      <c r="BG30" s="31">
        <f t="shared" ref="BG30:BG33" si="437">IF(BF$98=1,BF30,BH30)</f>
        <v>500</v>
      </c>
      <c r="BH30" s="35">
        <v>500.0</v>
      </c>
      <c r="BI30" s="33">
        <f t="shared" si="377"/>
        <v>0</v>
      </c>
      <c r="BJ30" s="34"/>
      <c r="BK30" s="31">
        <f t="shared" ref="BK30:BK33" si="438">IF(BJ$98=1,BJ30,BL30)</f>
        <v>500</v>
      </c>
      <c r="BL30" s="35">
        <v>500.0</v>
      </c>
      <c r="BM30" s="33">
        <f t="shared" si="379"/>
        <v>0</v>
      </c>
      <c r="BN30" s="34"/>
      <c r="BO30" s="31">
        <f t="shared" ref="BO30:BO33" si="439">IF(BN$98=1,BN30,BP30)</f>
        <v>500</v>
      </c>
      <c r="BP30" s="35">
        <v>500.0</v>
      </c>
      <c r="BQ30" s="33">
        <f t="shared" si="381"/>
        <v>0</v>
      </c>
      <c r="BR30" s="34"/>
      <c r="BS30" s="31">
        <f t="shared" ref="BS30:BS33" si="440">IF(BR$98=1,BR30,BT30)</f>
        <v>500</v>
      </c>
      <c r="BT30" s="35">
        <v>500.0</v>
      </c>
      <c r="BU30" s="33">
        <f t="shared" si="383"/>
        <v>0</v>
      </c>
      <c r="BV30" s="34"/>
      <c r="BW30" s="31">
        <f t="shared" ref="BW30:BW33" si="441">IF(BV$98=1,BV30,BX30)</f>
        <v>500</v>
      </c>
      <c r="BX30" s="35">
        <v>500.0</v>
      </c>
      <c r="BY30" s="33">
        <f t="shared" si="385"/>
        <v>0</v>
      </c>
      <c r="BZ30" s="34"/>
      <c r="CA30" s="31">
        <f t="shared" ref="CA30:CA33" si="442">IF(BZ$98=1,BZ30,CB30)</f>
        <v>500</v>
      </c>
      <c r="CB30" s="35">
        <v>500.0</v>
      </c>
      <c r="CC30" s="33">
        <f t="shared" si="387"/>
        <v>0</v>
      </c>
      <c r="CD30" s="34"/>
      <c r="CE30" s="31">
        <f t="shared" ref="CE30:CE33" si="443">IF(CD$98=1,CD30,CF30)</f>
        <v>500</v>
      </c>
      <c r="CF30" s="35">
        <v>500.0</v>
      </c>
      <c r="CG30" s="33">
        <f t="shared" si="389"/>
        <v>0</v>
      </c>
      <c r="CH30" s="34"/>
      <c r="CI30" s="31">
        <f t="shared" ref="CI30:CI33" si="444">IF(CH$98=1,CH30,CJ30)</f>
        <v>500</v>
      </c>
      <c r="CJ30" s="35">
        <v>500.0</v>
      </c>
      <c r="CK30" s="33">
        <f t="shared" si="391"/>
        <v>0</v>
      </c>
      <c r="CL30" s="34"/>
      <c r="CM30" s="31">
        <f t="shared" ref="CM30:CM33" si="445">IF(CL$98=1,CL30,CN30)</f>
        <v>500</v>
      </c>
      <c r="CN30" s="35">
        <v>500.0</v>
      </c>
      <c r="CO30" s="33">
        <f t="shared" si="393"/>
        <v>0</v>
      </c>
      <c r="CP30" s="34"/>
      <c r="CQ30" s="31">
        <f t="shared" ref="CQ30:CQ33" si="446">IF(CP$98=1,CP30,CR30)</f>
        <v>500</v>
      </c>
      <c r="CR30" s="35">
        <v>500.0</v>
      </c>
      <c r="CS30" s="33">
        <f t="shared" si="395"/>
        <v>0</v>
      </c>
      <c r="CT30" s="34"/>
      <c r="CU30" s="31">
        <f t="shared" ref="CU30:CU33" si="447">IF(CT$98=1,CT30,CV30)</f>
        <v>500</v>
      </c>
      <c r="CV30" s="35">
        <v>500.0</v>
      </c>
      <c r="CW30" s="33">
        <f t="shared" si="397"/>
        <v>0</v>
      </c>
      <c r="CX30" s="34"/>
      <c r="CY30" s="31">
        <f t="shared" ref="CY30:CY33" si="448">IF(CX$98=1,CX30,CZ30)</f>
        <v>500</v>
      </c>
      <c r="CZ30" s="35">
        <v>500.0</v>
      </c>
      <c r="DA30" s="33">
        <f t="shared" si="399"/>
        <v>0</v>
      </c>
      <c r="DB30" s="34"/>
      <c r="DC30" s="31">
        <f t="shared" ref="DC30:DC33" si="449">IF(DB$98=1,DB30,DD30)</f>
        <v>500</v>
      </c>
      <c r="DD30" s="35">
        <v>500.0</v>
      </c>
      <c r="DE30" s="33">
        <f t="shared" si="401"/>
        <v>0</v>
      </c>
      <c r="DF30" s="34"/>
      <c r="DG30" s="31">
        <f t="shared" ref="DG30:DG33" si="450">IF(DF$98=1,DF30,DH30)</f>
        <v>500</v>
      </c>
      <c r="DH30" s="35">
        <v>500.0</v>
      </c>
      <c r="DI30" s="33">
        <f t="shared" si="403"/>
        <v>0</v>
      </c>
      <c r="DJ30" s="34"/>
      <c r="DK30" s="31">
        <f t="shared" ref="DK30:DK33" si="451">IF(DJ$98=1,DJ30,DL30)</f>
        <v>500</v>
      </c>
      <c r="DL30" s="35">
        <v>500.0</v>
      </c>
      <c r="DM30" s="33">
        <f t="shared" si="405"/>
        <v>0</v>
      </c>
      <c r="DN30" s="34"/>
      <c r="DO30" s="31">
        <f t="shared" ref="DO30:DO33" si="452">IF(DN$98=1,DN30,DP30)</f>
        <v>500</v>
      </c>
      <c r="DP30" s="35">
        <v>500.0</v>
      </c>
      <c r="DQ30" s="33">
        <f t="shared" si="407"/>
        <v>0</v>
      </c>
      <c r="DR30" s="34"/>
      <c r="DS30" s="31">
        <f t="shared" ref="DS30:DS33" si="453">IF(DR$98=1,DR30,DT30)</f>
        <v>500</v>
      </c>
      <c r="DT30" s="35">
        <v>500.0</v>
      </c>
      <c r="DU30" s="33">
        <f t="shared" si="409"/>
        <v>0</v>
      </c>
      <c r="DV30" s="34"/>
      <c r="DW30" s="31">
        <f t="shared" ref="DW30:DW33" si="454">IF(DV$98=1,DV30,DX30)</f>
        <v>500</v>
      </c>
      <c r="DX30" s="35">
        <v>500.0</v>
      </c>
      <c r="DY30" s="33">
        <f t="shared" si="411"/>
        <v>0</v>
      </c>
      <c r="DZ30" s="34"/>
      <c r="EA30" s="31">
        <f t="shared" ref="EA30:EA33" si="455">IF(DZ$98=1,DZ30,EB30)</f>
        <v>500</v>
      </c>
      <c r="EB30" s="35">
        <v>500.0</v>
      </c>
      <c r="EC30" s="33">
        <f t="shared" si="413"/>
        <v>0</v>
      </c>
      <c r="ED30" s="34"/>
      <c r="EE30" s="31">
        <f t="shared" ref="EE30:EE33" si="456">IF(ED$98=1,ED30,EF30)</f>
        <v>500</v>
      </c>
      <c r="EF30" s="35">
        <v>500.0</v>
      </c>
      <c r="EG30" s="33">
        <f t="shared" si="415"/>
        <v>0</v>
      </c>
      <c r="EH30" s="34"/>
      <c r="EI30" s="31">
        <f t="shared" ref="EI30:EI33" si="457">IF(EH$98=1,EH30,EJ30)</f>
        <v>500</v>
      </c>
      <c r="EJ30" s="35">
        <v>500.0</v>
      </c>
      <c r="EK30" s="33">
        <f t="shared" si="417"/>
        <v>0</v>
      </c>
      <c r="EL30" s="34">
        <v>490.0</v>
      </c>
      <c r="EM30" s="31">
        <f t="shared" ref="EM30:EM33" si="458">IF(EL$98=1,EL30,EN30)</f>
        <v>490</v>
      </c>
      <c r="EN30" s="35">
        <v>500.0</v>
      </c>
      <c r="EO30" s="33">
        <f t="shared" si="419"/>
        <v>-10</v>
      </c>
      <c r="EP30" s="34">
        <v>525.0</v>
      </c>
      <c r="EQ30" s="31">
        <f t="shared" ref="EQ30:EQ33" si="459">IF(EP$98=1,EP30,ER30)</f>
        <v>525</v>
      </c>
      <c r="ER30" s="35">
        <v>500.0</v>
      </c>
      <c r="ES30" s="33">
        <f t="shared" si="421"/>
        <v>25</v>
      </c>
    </row>
    <row r="31" ht="18.0" customHeight="1">
      <c r="A31" s="2" t="s">
        <v>33</v>
      </c>
      <c r="B31" s="30">
        <f t="shared" ref="B31:D31" si="423">SUM(EP31,EL31,EH31,ED31,DZ31,DV31,DR31,DN31,DJ31,DF31,DB31,CX31,CT31,CP31,CL31,CH31,CD31,BZ31,BV31,BR31,BN31,BJ31,BF31,BB31,AX31,AT31,AP31,AL31,AH31,AD31,Z31,V31,R31,N31,J31,F31)</f>
        <v>2030</v>
      </c>
      <c r="C31" s="31">
        <f t="shared" si="423"/>
        <v>36030</v>
      </c>
      <c r="D31" s="32">
        <f t="shared" si="423"/>
        <v>36000</v>
      </c>
      <c r="E31" s="33">
        <f t="shared" si="349"/>
        <v>30</v>
      </c>
      <c r="F31" s="34"/>
      <c r="G31" s="31">
        <f t="shared" si="424"/>
        <v>1000</v>
      </c>
      <c r="H31" s="35">
        <v>1000.0</v>
      </c>
      <c r="I31" s="33">
        <f t="shared" si="351"/>
        <v>0</v>
      </c>
      <c r="J31" s="34"/>
      <c r="K31" s="31">
        <f t="shared" si="425"/>
        <v>1000</v>
      </c>
      <c r="L31" s="35">
        <v>1000.0</v>
      </c>
      <c r="M31" s="33">
        <f t="shared" si="353"/>
        <v>0</v>
      </c>
      <c r="N31" s="34"/>
      <c r="O31" s="31">
        <f t="shared" si="426"/>
        <v>1000</v>
      </c>
      <c r="P31" s="35">
        <v>1000.0</v>
      </c>
      <c r="Q31" s="33">
        <f t="shared" si="355"/>
        <v>0</v>
      </c>
      <c r="R31" s="34"/>
      <c r="S31" s="31">
        <f t="shared" si="427"/>
        <v>1000</v>
      </c>
      <c r="T31" s="35">
        <v>1000.0</v>
      </c>
      <c r="U31" s="33">
        <f t="shared" si="357"/>
        <v>0</v>
      </c>
      <c r="V31" s="34"/>
      <c r="W31" s="31">
        <f t="shared" si="428"/>
        <v>1000</v>
      </c>
      <c r="X31" s="35">
        <v>1000.0</v>
      </c>
      <c r="Y31" s="33">
        <f t="shared" si="359"/>
        <v>0</v>
      </c>
      <c r="Z31" s="34"/>
      <c r="AA31" s="31">
        <f t="shared" si="429"/>
        <v>1000</v>
      </c>
      <c r="AB31" s="35">
        <v>1000.0</v>
      </c>
      <c r="AC31" s="33">
        <f t="shared" si="361"/>
        <v>0</v>
      </c>
      <c r="AD31" s="34"/>
      <c r="AE31" s="31">
        <f t="shared" si="430"/>
        <v>1000</v>
      </c>
      <c r="AF31" s="35">
        <v>1000.0</v>
      </c>
      <c r="AG31" s="33">
        <f t="shared" si="363"/>
        <v>0</v>
      </c>
      <c r="AH31" s="34"/>
      <c r="AI31" s="31">
        <f t="shared" si="431"/>
        <v>1000</v>
      </c>
      <c r="AJ31" s="35">
        <v>1000.0</v>
      </c>
      <c r="AK31" s="33">
        <f t="shared" si="365"/>
        <v>0</v>
      </c>
      <c r="AL31" s="34"/>
      <c r="AM31" s="31">
        <f t="shared" si="432"/>
        <v>1000</v>
      </c>
      <c r="AN31" s="35">
        <v>1000.0</v>
      </c>
      <c r="AO31" s="33">
        <f t="shared" si="367"/>
        <v>0</v>
      </c>
      <c r="AP31" s="34"/>
      <c r="AQ31" s="31">
        <f t="shared" si="433"/>
        <v>1000</v>
      </c>
      <c r="AR31" s="35">
        <v>1000.0</v>
      </c>
      <c r="AS31" s="33">
        <f t="shared" si="369"/>
        <v>0</v>
      </c>
      <c r="AT31" s="34"/>
      <c r="AU31" s="31">
        <f t="shared" si="434"/>
        <v>1000</v>
      </c>
      <c r="AV31" s="35">
        <v>1000.0</v>
      </c>
      <c r="AW31" s="33">
        <f t="shared" si="371"/>
        <v>0</v>
      </c>
      <c r="AX31" s="34"/>
      <c r="AY31" s="31">
        <f t="shared" si="435"/>
        <v>1000</v>
      </c>
      <c r="AZ31" s="35">
        <v>1000.0</v>
      </c>
      <c r="BA31" s="33">
        <f t="shared" si="373"/>
        <v>0</v>
      </c>
      <c r="BB31" s="34"/>
      <c r="BC31" s="31">
        <f t="shared" si="436"/>
        <v>1000</v>
      </c>
      <c r="BD31" s="35">
        <v>1000.0</v>
      </c>
      <c r="BE31" s="33">
        <f t="shared" si="375"/>
        <v>0</v>
      </c>
      <c r="BF31" s="34"/>
      <c r="BG31" s="31">
        <f t="shared" si="437"/>
        <v>1000</v>
      </c>
      <c r="BH31" s="35">
        <v>1000.0</v>
      </c>
      <c r="BI31" s="33">
        <f t="shared" si="377"/>
        <v>0</v>
      </c>
      <c r="BJ31" s="34"/>
      <c r="BK31" s="31">
        <f t="shared" si="438"/>
        <v>1000</v>
      </c>
      <c r="BL31" s="35">
        <v>1000.0</v>
      </c>
      <c r="BM31" s="33">
        <f t="shared" si="379"/>
        <v>0</v>
      </c>
      <c r="BN31" s="34"/>
      <c r="BO31" s="31">
        <f t="shared" si="439"/>
        <v>1000</v>
      </c>
      <c r="BP31" s="35">
        <v>1000.0</v>
      </c>
      <c r="BQ31" s="33">
        <f t="shared" si="381"/>
        <v>0</v>
      </c>
      <c r="BR31" s="34"/>
      <c r="BS31" s="31">
        <f t="shared" si="440"/>
        <v>1000</v>
      </c>
      <c r="BT31" s="35">
        <v>1000.0</v>
      </c>
      <c r="BU31" s="33">
        <f t="shared" si="383"/>
        <v>0</v>
      </c>
      <c r="BV31" s="34"/>
      <c r="BW31" s="31">
        <f t="shared" si="441"/>
        <v>1000</v>
      </c>
      <c r="BX31" s="35">
        <v>1000.0</v>
      </c>
      <c r="BY31" s="33">
        <f t="shared" si="385"/>
        <v>0</v>
      </c>
      <c r="BZ31" s="34"/>
      <c r="CA31" s="31">
        <f t="shared" si="442"/>
        <v>1000</v>
      </c>
      <c r="CB31" s="35">
        <v>1000.0</v>
      </c>
      <c r="CC31" s="33">
        <f t="shared" si="387"/>
        <v>0</v>
      </c>
      <c r="CD31" s="34"/>
      <c r="CE31" s="31">
        <f t="shared" si="443"/>
        <v>1000</v>
      </c>
      <c r="CF31" s="35">
        <v>1000.0</v>
      </c>
      <c r="CG31" s="33">
        <f t="shared" si="389"/>
        <v>0</v>
      </c>
      <c r="CH31" s="34"/>
      <c r="CI31" s="31">
        <f t="shared" si="444"/>
        <v>1000</v>
      </c>
      <c r="CJ31" s="35">
        <v>1000.0</v>
      </c>
      <c r="CK31" s="33">
        <f t="shared" si="391"/>
        <v>0</v>
      </c>
      <c r="CL31" s="34"/>
      <c r="CM31" s="31">
        <f t="shared" si="445"/>
        <v>1000</v>
      </c>
      <c r="CN31" s="35">
        <v>1000.0</v>
      </c>
      <c r="CO31" s="33">
        <f t="shared" si="393"/>
        <v>0</v>
      </c>
      <c r="CP31" s="34"/>
      <c r="CQ31" s="31">
        <f t="shared" si="446"/>
        <v>1000</v>
      </c>
      <c r="CR31" s="35">
        <v>1000.0</v>
      </c>
      <c r="CS31" s="33">
        <f t="shared" si="395"/>
        <v>0</v>
      </c>
      <c r="CT31" s="34"/>
      <c r="CU31" s="31">
        <f t="shared" si="447"/>
        <v>1000</v>
      </c>
      <c r="CV31" s="35">
        <v>1000.0</v>
      </c>
      <c r="CW31" s="33">
        <f t="shared" si="397"/>
        <v>0</v>
      </c>
      <c r="CX31" s="34"/>
      <c r="CY31" s="31">
        <f t="shared" si="448"/>
        <v>1000</v>
      </c>
      <c r="CZ31" s="35">
        <v>1000.0</v>
      </c>
      <c r="DA31" s="33">
        <f t="shared" si="399"/>
        <v>0</v>
      </c>
      <c r="DB31" s="34"/>
      <c r="DC31" s="31">
        <f t="shared" si="449"/>
        <v>1000</v>
      </c>
      <c r="DD31" s="35">
        <v>1000.0</v>
      </c>
      <c r="DE31" s="33">
        <f t="shared" si="401"/>
        <v>0</v>
      </c>
      <c r="DF31" s="34"/>
      <c r="DG31" s="31">
        <f t="shared" si="450"/>
        <v>1000</v>
      </c>
      <c r="DH31" s="35">
        <v>1000.0</v>
      </c>
      <c r="DI31" s="33">
        <f t="shared" si="403"/>
        <v>0</v>
      </c>
      <c r="DJ31" s="34"/>
      <c r="DK31" s="31">
        <f t="shared" si="451"/>
        <v>1000</v>
      </c>
      <c r="DL31" s="35">
        <v>1000.0</v>
      </c>
      <c r="DM31" s="33">
        <f t="shared" si="405"/>
        <v>0</v>
      </c>
      <c r="DN31" s="34"/>
      <c r="DO31" s="31">
        <f t="shared" si="452"/>
        <v>1000</v>
      </c>
      <c r="DP31" s="35">
        <v>1000.0</v>
      </c>
      <c r="DQ31" s="33">
        <f t="shared" si="407"/>
        <v>0</v>
      </c>
      <c r="DR31" s="34"/>
      <c r="DS31" s="31">
        <f t="shared" si="453"/>
        <v>1000</v>
      </c>
      <c r="DT31" s="35">
        <v>1000.0</v>
      </c>
      <c r="DU31" s="33">
        <f t="shared" si="409"/>
        <v>0</v>
      </c>
      <c r="DV31" s="34"/>
      <c r="DW31" s="31">
        <f t="shared" si="454"/>
        <v>1000</v>
      </c>
      <c r="DX31" s="35">
        <v>1000.0</v>
      </c>
      <c r="DY31" s="33">
        <f t="shared" si="411"/>
        <v>0</v>
      </c>
      <c r="DZ31" s="34"/>
      <c r="EA31" s="31">
        <f t="shared" si="455"/>
        <v>1000</v>
      </c>
      <c r="EB31" s="35">
        <v>1000.0</v>
      </c>
      <c r="EC31" s="33">
        <f t="shared" si="413"/>
        <v>0</v>
      </c>
      <c r="ED31" s="34"/>
      <c r="EE31" s="31">
        <f t="shared" si="456"/>
        <v>1000</v>
      </c>
      <c r="EF31" s="35">
        <v>1000.0</v>
      </c>
      <c r="EG31" s="33">
        <f t="shared" si="415"/>
        <v>0</v>
      </c>
      <c r="EH31" s="34"/>
      <c r="EI31" s="31">
        <f t="shared" si="457"/>
        <v>1000</v>
      </c>
      <c r="EJ31" s="35">
        <v>1000.0</v>
      </c>
      <c r="EK31" s="33">
        <f t="shared" si="417"/>
        <v>0</v>
      </c>
      <c r="EL31" s="34">
        <v>980.0</v>
      </c>
      <c r="EM31" s="31">
        <f t="shared" si="458"/>
        <v>980</v>
      </c>
      <c r="EN31" s="35">
        <v>1000.0</v>
      </c>
      <c r="EO31" s="33">
        <f t="shared" si="419"/>
        <v>-20</v>
      </c>
      <c r="EP31" s="34">
        <v>1050.0</v>
      </c>
      <c r="EQ31" s="31">
        <f t="shared" si="459"/>
        <v>1050</v>
      </c>
      <c r="ER31" s="35">
        <v>1000.0</v>
      </c>
      <c r="ES31" s="33">
        <f t="shared" si="421"/>
        <v>50</v>
      </c>
    </row>
    <row r="32" ht="18.0" customHeight="1">
      <c r="A32" s="2" t="s">
        <v>34</v>
      </c>
      <c r="B32" s="30">
        <f t="shared" ref="B32:D32" si="460">SUM(EP32,EL32,EH32,ED32,DZ32,DV32,DR32,DN32,DJ32,DF32,DB32,CX32,CT32,CP32,CL32,CH32,CD32,BZ32,BV32,BR32,BN32,BJ32,BF32,BB32,AX32,AT32,AP32,AL32,AH32,AD32,Z32,V32,R32,N32,J32,F32)</f>
        <v>1015</v>
      </c>
      <c r="C32" s="31">
        <f t="shared" si="460"/>
        <v>18015</v>
      </c>
      <c r="D32" s="32">
        <f t="shared" si="460"/>
        <v>18000</v>
      </c>
      <c r="E32" s="33">
        <f t="shared" si="349"/>
        <v>15</v>
      </c>
      <c r="F32" s="34"/>
      <c r="G32" s="31">
        <f t="shared" si="424"/>
        <v>500</v>
      </c>
      <c r="H32" s="35">
        <v>500.0</v>
      </c>
      <c r="I32" s="33">
        <f t="shared" si="351"/>
        <v>0</v>
      </c>
      <c r="J32" s="34"/>
      <c r="K32" s="31">
        <f t="shared" si="425"/>
        <v>500</v>
      </c>
      <c r="L32" s="35">
        <v>500.0</v>
      </c>
      <c r="M32" s="33">
        <f t="shared" si="353"/>
        <v>0</v>
      </c>
      <c r="N32" s="34"/>
      <c r="O32" s="31">
        <f t="shared" si="426"/>
        <v>500</v>
      </c>
      <c r="P32" s="35">
        <v>500.0</v>
      </c>
      <c r="Q32" s="33">
        <f t="shared" si="355"/>
        <v>0</v>
      </c>
      <c r="R32" s="34"/>
      <c r="S32" s="31">
        <f t="shared" si="427"/>
        <v>500</v>
      </c>
      <c r="T32" s="35">
        <v>500.0</v>
      </c>
      <c r="U32" s="33">
        <f t="shared" si="357"/>
        <v>0</v>
      </c>
      <c r="V32" s="34"/>
      <c r="W32" s="31">
        <f t="shared" si="428"/>
        <v>500</v>
      </c>
      <c r="X32" s="35">
        <v>500.0</v>
      </c>
      <c r="Y32" s="33">
        <f t="shared" si="359"/>
        <v>0</v>
      </c>
      <c r="Z32" s="34"/>
      <c r="AA32" s="31">
        <f t="shared" si="429"/>
        <v>500</v>
      </c>
      <c r="AB32" s="35">
        <v>500.0</v>
      </c>
      <c r="AC32" s="33">
        <f t="shared" si="361"/>
        <v>0</v>
      </c>
      <c r="AD32" s="34"/>
      <c r="AE32" s="31">
        <f t="shared" si="430"/>
        <v>500</v>
      </c>
      <c r="AF32" s="35">
        <v>500.0</v>
      </c>
      <c r="AG32" s="33">
        <f t="shared" si="363"/>
        <v>0</v>
      </c>
      <c r="AH32" s="34"/>
      <c r="AI32" s="31">
        <f t="shared" si="431"/>
        <v>500</v>
      </c>
      <c r="AJ32" s="35">
        <v>500.0</v>
      </c>
      <c r="AK32" s="33">
        <f t="shared" si="365"/>
        <v>0</v>
      </c>
      <c r="AL32" s="34"/>
      <c r="AM32" s="31">
        <f t="shared" si="432"/>
        <v>500</v>
      </c>
      <c r="AN32" s="35">
        <v>500.0</v>
      </c>
      <c r="AO32" s="33">
        <f t="shared" si="367"/>
        <v>0</v>
      </c>
      <c r="AP32" s="34"/>
      <c r="AQ32" s="31">
        <f t="shared" si="433"/>
        <v>500</v>
      </c>
      <c r="AR32" s="35">
        <v>500.0</v>
      </c>
      <c r="AS32" s="33">
        <f t="shared" si="369"/>
        <v>0</v>
      </c>
      <c r="AT32" s="34"/>
      <c r="AU32" s="31">
        <f t="shared" si="434"/>
        <v>500</v>
      </c>
      <c r="AV32" s="35">
        <v>500.0</v>
      </c>
      <c r="AW32" s="33">
        <f t="shared" si="371"/>
        <v>0</v>
      </c>
      <c r="AX32" s="34"/>
      <c r="AY32" s="31">
        <f t="shared" si="435"/>
        <v>500</v>
      </c>
      <c r="AZ32" s="35">
        <v>500.0</v>
      </c>
      <c r="BA32" s="33">
        <f t="shared" si="373"/>
        <v>0</v>
      </c>
      <c r="BB32" s="34"/>
      <c r="BC32" s="31">
        <f t="shared" si="436"/>
        <v>500</v>
      </c>
      <c r="BD32" s="35">
        <v>500.0</v>
      </c>
      <c r="BE32" s="33">
        <f t="shared" si="375"/>
        <v>0</v>
      </c>
      <c r="BF32" s="34"/>
      <c r="BG32" s="31">
        <f t="shared" si="437"/>
        <v>500</v>
      </c>
      <c r="BH32" s="35">
        <v>500.0</v>
      </c>
      <c r="BI32" s="33">
        <f t="shared" si="377"/>
        <v>0</v>
      </c>
      <c r="BJ32" s="34"/>
      <c r="BK32" s="31">
        <f t="shared" si="438"/>
        <v>500</v>
      </c>
      <c r="BL32" s="35">
        <v>500.0</v>
      </c>
      <c r="BM32" s="33">
        <f t="shared" si="379"/>
        <v>0</v>
      </c>
      <c r="BN32" s="34"/>
      <c r="BO32" s="31">
        <f t="shared" si="439"/>
        <v>500</v>
      </c>
      <c r="BP32" s="35">
        <v>500.0</v>
      </c>
      <c r="BQ32" s="33">
        <f t="shared" si="381"/>
        <v>0</v>
      </c>
      <c r="BR32" s="34"/>
      <c r="BS32" s="31">
        <f t="shared" si="440"/>
        <v>500</v>
      </c>
      <c r="BT32" s="35">
        <v>500.0</v>
      </c>
      <c r="BU32" s="33">
        <f t="shared" si="383"/>
        <v>0</v>
      </c>
      <c r="BV32" s="34"/>
      <c r="BW32" s="31">
        <f t="shared" si="441"/>
        <v>500</v>
      </c>
      <c r="BX32" s="35">
        <v>500.0</v>
      </c>
      <c r="BY32" s="33">
        <f t="shared" si="385"/>
        <v>0</v>
      </c>
      <c r="BZ32" s="34"/>
      <c r="CA32" s="31">
        <f t="shared" si="442"/>
        <v>500</v>
      </c>
      <c r="CB32" s="35">
        <v>500.0</v>
      </c>
      <c r="CC32" s="33">
        <f t="shared" si="387"/>
        <v>0</v>
      </c>
      <c r="CD32" s="34"/>
      <c r="CE32" s="31">
        <f t="shared" si="443"/>
        <v>500</v>
      </c>
      <c r="CF32" s="35">
        <v>500.0</v>
      </c>
      <c r="CG32" s="33">
        <f t="shared" si="389"/>
        <v>0</v>
      </c>
      <c r="CH32" s="34"/>
      <c r="CI32" s="31">
        <f t="shared" si="444"/>
        <v>500</v>
      </c>
      <c r="CJ32" s="35">
        <v>500.0</v>
      </c>
      <c r="CK32" s="33">
        <f t="shared" si="391"/>
        <v>0</v>
      </c>
      <c r="CL32" s="34"/>
      <c r="CM32" s="31">
        <f t="shared" si="445"/>
        <v>500</v>
      </c>
      <c r="CN32" s="35">
        <v>500.0</v>
      </c>
      <c r="CO32" s="33">
        <f t="shared" si="393"/>
        <v>0</v>
      </c>
      <c r="CP32" s="34"/>
      <c r="CQ32" s="31">
        <f t="shared" si="446"/>
        <v>500</v>
      </c>
      <c r="CR32" s="35">
        <v>500.0</v>
      </c>
      <c r="CS32" s="33">
        <f t="shared" si="395"/>
        <v>0</v>
      </c>
      <c r="CT32" s="34"/>
      <c r="CU32" s="31">
        <f t="shared" si="447"/>
        <v>500</v>
      </c>
      <c r="CV32" s="35">
        <v>500.0</v>
      </c>
      <c r="CW32" s="33">
        <f t="shared" si="397"/>
        <v>0</v>
      </c>
      <c r="CX32" s="34"/>
      <c r="CY32" s="31">
        <f t="shared" si="448"/>
        <v>500</v>
      </c>
      <c r="CZ32" s="35">
        <v>500.0</v>
      </c>
      <c r="DA32" s="33">
        <f t="shared" si="399"/>
        <v>0</v>
      </c>
      <c r="DB32" s="34"/>
      <c r="DC32" s="31">
        <f t="shared" si="449"/>
        <v>500</v>
      </c>
      <c r="DD32" s="35">
        <v>500.0</v>
      </c>
      <c r="DE32" s="33">
        <f t="shared" si="401"/>
        <v>0</v>
      </c>
      <c r="DF32" s="34"/>
      <c r="DG32" s="31">
        <f t="shared" si="450"/>
        <v>500</v>
      </c>
      <c r="DH32" s="35">
        <v>500.0</v>
      </c>
      <c r="DI32" s="33">
        <f t="shared" si="403"/>
        <v>0</v>
      </c>
      <c r="DJ32" s="34"/>
      <c r="DK32" s="31">
        <f t="shared" si="451"/>
        <v>500</v>
      </c>
      <c r="DL32" s="35">
        <v>500.0</v>
      </c>
      <c r="DM32" s="33">
        <f t="shared" si="405"/>
        <v>0</v>
      </c>
      <c r="DN32" s="34"/>
      <c r="DO32" s="31">
        <f t="shared" si="452"/>
        <v>500</v>
      </c>
      <c r="DP32" s="35">
        <v>500.0</v>
      </c>
      <c r="DQ32" s="33">
        <f t="shared" si="407"/>
        <v>0</v>
      </c>
      <c r="DR32" s="34"/>
      <c r="DS32" s="31">
        <f t="shared" si="453"/>
        <v>500</v>
      </c>
      <c r="DT32" s="35">
        <v>500.0</v>
      </c>
      <c r="DU32" s="33">
        <f t="shared" si="409"/>
        <v>0</v>
      </c>
      <c r="DV32" s="34"/>
      <c r="DW32" s="31">
        <f t="shared" si="454"/>
        <v>500</v>
      </c>
      <c r="DX32" s="35">
        <v>500.0</v>
      </c>
      <c r="DY32" s="33">
        <f t="shared" si="411"/>
        <v>0</v>
      </c>
      <c r="DZ32" s="34"/>
      <c r="EA32" s="31">
        <f t="shared" si="455"/>
        <v>500</v>
      </c>
      <c r="EB32" s="35">
        <v>500.0</v>
      </c>
      <c r="EC32" s="33">
        <f t="shared" si="413"/>
        <v>0</v>
      </c>
      <c r="ED32" s="34"/>
      <c r="EE32" s="31">
        <f t="shared" si="456"/>
        <v>500</v>
      </c>
      <c r="EF32" s="35">
        <v>500.0</v>
      </c>
      <c r="EG32" s="33">
        <f t="shared" si="415"/>
        <v>0</v>
      </c>
      <c r="EH32" s="34"/>
      <c r="EI32" s="31">
        <f t="shared" si="457"/>
        <v>500</v>
      </c>
      <c r="EJ32" s="35">
        <v>500.0</v>
      </c>
      <c r="EK32" s="33">
        <f t="shared" si="417"/>
        <v>0</v>
      </c>
      <c r="EL32" s="34">
        <v>490.0</v>
      </c>
      <c r="EM32" s="31">
        <f t="shared" si="458"/>
        <v>490</v>
      </c>
      <c r="EN32" s="35">
        <v>500.0</v>
      </c>
      <c r="EO32" s="33">
        <f t="shared" si="419"/>
        <v>-10</v>
      </c>
      <c r="EP32" s="34">
        <v>525.0</v>
      </c>
      <c r="EQ32" s="31">
        <f t="shared" si="459"/>
        <v>525</v>
      </c>
      <c r="ER32" s="35">
        <v>500.0</v>
      </c>
      <c r="ES32" s="33">
        <f t="shared" si="421"/>
        <v>25</v>
      </c>
    </row>
    <row r="33" ht="18.0" customHeight="1">
      <c r="A33" s="2" t="s">
        <v>35</v>
      </c>
      <c r="B33" s="30">
        <f t="shared" ref="B33:D33" si="461">SUM(EP33,EL33,EH33,ED33,DZ33,DV33,DR33,DN33,DJ33,DF33,DB33,CX33,CT33,CP33,CL33,CH33,CD33,BZ33,BV33,BR33,BN33,BJ33,BF33,BB33,AX33,AT33,AP33,AL33,AH33,AD33,Z33,V33,R33,N33,J33,F33)</f>
        <v>4060</v>
      </c>
      <c r="C33" s="31">
        <f t="shared" si="461"/>
        <v>72060</v>
      </c>
      <c r="D33" s="32">
        <f t="shared" si="461"/>
        <v>72000</v>
      </c>
      <c r="E33" s="33">
        <f t="shared" si="349"/>
        <v>60</v>
      </c>
      <c r="F33" s="34"/>
      <c r="G33" s="31">
        <f t="shared" si="424"/>
        <v>2000</v>
      </c>
      <c r="H33" s="35">
        <v>2000.0</v>
      </c>
      <c r="I33" s="33">
        <f t="shared" si="351"/>
        <v>0</v>
      </c>
      <c r="J33" s="34"/>
      <c r="K33" s="31">
        <f t="shared" si="425"/>
        <v>2000</v>
      </c>
      <c r="L33" s="35">
        <v>2000.0</v>
      </c>
      <c r="M33" s="33">
        <f t="shared" si="353"/>
        <v>0</v>
      </c>
      <c r="N33" s="34"/>
      <c r="O33" s="31">
        <f t="shared" si="426"/>
        <v>2000</v>
      </c>
      <c r="P33" s="35">
        <v>2000.0</v>
      </c>
      <c r="Q33" s="33">
        <f t="shared" si="355"/>
        <v>0</v>
      </c>
      <c r="R33" s="34"/>
      <c r="S33" s="31">
        <f t="shared" si="427"/>
        <v>2000</v>
      </c>
      <c r="T33" s="35">
        <v>2000.0</v>
      </c>
      <c r="U33" s="33">
        <f t="shared" si="357"/>
        <v>0</v>
      </c>
      <c r="V33" s="34"/>
      <c r="W33" s="31">
        <f t="shared" si="428"/>
        <v>2000</v>
      </c>
      <c r="X33" s="35">
        <v>2000.0</v>
      </c>
      <c r="Y33" s="33">
        <f t="shared" si="359"/>
        <v>0</v>
      </c>
      <c r="Z33" s="34"/>
      <c r="AA33" s="31">
        <f t="shared" si="429"/>
        <v>2000</v>
      </c>
      <c r="AB33" s="35">
        <v>2000.0</v>
      </c>
      <c r="AC33" s="33">
        <f t="shared" si="361"/>
        <v>0</v>
      </c>
      <c r="AD33" s="34"/>
      <c r="AE33" s="31">
        <f t="shared" si="430"/>
        <v>2000</v>
      </c>
      <c r="AF33" s="35">
        <v>2000.0</v>
      </c>
      <c r="AG33" s="33">
        <f t="shared" si="363"/>
        <v>0</v>
      </c>
      <c r="AH33" s="34"/>
      <c r="AI33" s="31">
        <f t="shared" si="431"/>
        <v>2000</v>
      </c>
      <c r="AJ33" s="35">
        <v>2000.0</v>
      </c>
      <c r="AK33" s="33">
        <f t="shared" si="365"/>
        <v>0</v>
      </c>
      <c r="AL33" s="34"/>
      <c r="AM33" s="31">
        <f t="shared" si="432"/>
        <v>2000</v>
      </c>
      <c r="AN33" s="35">
        <v>2000.0</v>
      </c>
      <c r="AO33" s="33">
        <f t="shared" si="367"/>
        <v>0</v>
      </c>
      <c r="AP33" s="34"/>
      <c r="AQ33" s="31">
        <f t="shared" si="433"/>
        <v>2000</v>
      </c>
      <c r="AR33" s="35">
        <v>2000.0</v>
      </c>
      <c r="AS33" s="33">
        <f t="shared" si="369"/>
        <v>0</v>
      </c>
      <c r="AT33" s="34"/>
      <c r="AU33" s="31">
        <f t="shared" si="434"/>
        <v>2000</v>
      </c>
      <c r="AV33" s="35">
        <v>2000.0</v>
      </c>
      <c r="AW33" s="33">
        <f t="shared" si="371"/>
        <v>0</v>
      </c>
      <c r="AX33" s="34"/>
      <c r="AY33" s="31">
        <f t="shared" si="435"/>
        <v>2000</v>
      </c>
      <c r="AZ33" s="35">
        <v>2000.0</v>
      </c>
      <c r="BA33" s="33">
        <f t="shared" si="373"/>
        <v>0</v>
      </c>
      <c r="BB33" s="34"/>
      <c r="BC33" s="31">
        <f t="shared" si="436"/>
        <v>2000</v>
      </c>
      <c r="BD33" s="35">
        <v>2000.0</v>
      </c>
      <c r="BE33" s="33">
        <f t="shared" si="375"/>
        <v>0</v>
      </c>
      <c r="BF33" s="34"/>
      <c r="BG33" s="31">
        <f t="shared" si="437"/>
        <v>2000</v>
      </c>
      <c r="BH33" s="35">
        <v>2000.0</v>
      </c>
      <c r="BI33" s="33">
        <f t="shared" si="377"/>
        <v>0</v>
      </c>
      <c r="BJ33" s="34"/>
      <c r="BK33" s="31">
        <f t="shared" si="438"/>
        <v>2000</v>
      </c>
      <c r="BL33" s="35">
        <v>2000.0</v>
      </c>
      <c r="BM33" s="33">
        <f t="shared" si="379"/>
        <v>0</v>
      </c>
      <c r="BN33" s="34"/>
      <c r="BO33" s="31">
        <f t="shared" si="439"/>
        <v>2000</v>
      </c>
      <c r="BP33" s="35">
        <v>2000.0</v>
      </c>
      <c r="BQ33" s="33">
        <f t="shared" si="381"/>
        <v>0</v>
      </c>
      <c r="BR33" s="34"/>
      <c r="BS33" s="31">
        <f t="shared" si="440"/>
        <v>2000</v>
      </c>
      <c r="BT33" s="35">
        <v>2000.0</v>
      </c>
      <c r="BU33" s="33">
        <f t="shared" si="383"/>
        <v>0</v>
      </c>
      <c r="BV33" s="34"/>
      <c r="BW33" s="31">
        <f t="shared" si="441"/>
        <v>2000</v>
      </c>
      <c r="BX33" s="35">
        <v>2000.0</v>
      </c>
      <c r="BY33" s="33">
        <f t="shared" si="385"/>
        <v>0</v>
      </c>
      <c r="BZ33" s="34"/>
      <c r="CA33" s="31">
        <f t="shared" si="442"/>
        <v>2000</v>
      </c>
      <c r="CB33" s="35">
        <v>2000.0</v>
      </c>
      <c r="CC33" s="33">
        <f t="shared" si="387"/>
        <v>0</v>
      </c>
      <c r="CD33" s="34"/>
      <c r="CE33" s="31">
        <f t="shared" si="443"/>
        <v>2000</v>
      </c>
      <c r="CF33" s="35">
        <v>2000.0</v>
      </c>
      <c r="CG33" s="33">
        <f t="shared" si="389"/>
        <v>0</v>
      </c>
      <c r="CH33" s="34"/>
      <c r="CI33" s="31">
        <f t="shared" si="444"/>
        <v>2000</v>
      </c>
      <c r="CJ33" s="35">
        <v>2000.0</v>
      </c>
      <c r="CK33" s="33">
        <f t="shared" si="391"/>
        <v>0</v>
      </c>
      <c r="CL33" s="34"/>
      <c r="CM33" s="31">
        <f t="shared" si="445"/>
        <v>2000</v>
      </c>
      <c r="CN33" s="35">
        <v>2000.0</v>
      </c>
      <c r="CO33" s="33">
        <f t="shared" si="393"/>
        <v>0</v>
      </c>
      <c r="CP33" s="34"/>
      <c r="CQ33" s="31">
        <f t="shared" si="446"/>
        <v>2000</v>
      </c>
      <c r="CR33" s="35">
        <v>2000.0</v>
      </c>
      <c r="CS33" s="33">
        <f t="shared" si="395"/>
        <v>0</v>
      </c>
      <c r="CT33" s="34"/>
      <c r="CU33" s="31">
        <f t="shared" si="447"/>
        <v>2000</v>
      </c>
      <c r="CV33" s="35">
        <v>2000.0</v>
      </c>
      <c r="CW33" s="33">
        <f t="shared" si="397"/>
        <v>0</v>
      </c>
      <c r="CX33" s="34"/>
      <c r="CY33" s="31">
        <f t="shared" si="448"/>
        <v>2000</v>
      </c>
      <c r="CZ33" s="35">
        <v>2000.0</v>
      </c>
      <c r="DA33" s="33">
        <f t="shared" si="399"/>
        <v>0</v>
      </c>
      <c r="DB33" s="34"/>
      <c r="DC33" s="31">
        <f t="shared" si="449"/>
        <v>2000</v>
      </c>
      <c r="DD33" s="35">
        <v>2000.0</v>
      </c>
      <c r="DE33" s="33">
        <f t="shared" si="401"/>
        <v>0</v>
      </c>
      <c r="DF33" s="34"/>
      <c r="DG33" s="31">
        <f t="shared" si="450"/>
        <v>2000</v>
      </c>
      <c r="DH33" s="35">
        <v>2000.0</v>
      </c>
      <c r="DI33" s="33">
        <f t="shared" si="403"/>
        <v>0</v>
      </c>
      <c r="DJ33" s="34"/>
      <c r="DK33" s="31">
        <f t="shared" si="451"/>
        <v>2000</v>
      </c>
      <c r="DL33" s="35">
        <v>2000.0</v>
      </c>
      <c r="DM33" s="33">
        <f t="shared" si="405"/>
        <v>0</v>
      </c>
      <c r="DN33" s="34"/>
      <c r="DO33" s="31">
        <f t="shared" si="452"/>
        <v>2000</v>
      </c>
      <c r="DP33" s="35">
        <v>2000.0</v>
      </c>
      <c r="DQ33" s="33">
        <f t="shared" si="407"/>
        <v>0</v>
      </c>
      <c r="DR33" s="34"/>
      <c r="DS33" s="31">
        <f t="shared" si="453"/>
        <v>2000</v>
      </c>
      <c r="DT33" s="35">
        <v>2000.0</v>
      </c>
      <c r="DU33" s="33">
        <f t="shared" si="409"/>
        <v>0</v>
      </c>
      <c r="DV33" s="34"/>
      <c r="DW33" s="31">
        <f t="shared" si="454"/>
        <v>2000</v>
      </c>
      <c r="DX33" s="35">
        <v>2000.0</v>
      </c>
      <c r="DY33" s="33">
        <f t="shared" si="411"/>
        <v>0</v>
      </c>
      <c r="DZ33" s="34"/>
      <c r="EA33" s="31">
        <f t="shared" si="455"/>
        <v>2000</v>
      </c>
      <c r="EB33" s="35">
        <v>2000.0</v>
      </c>
      <c r="EC33" s="33">
        <f t="shared" si="413"/>
        <v>0</v>
      </c>
      <c r="ED33" s="34"/>
      <c r="EE33" s="31">
        <f t="shared" si="456"/>
        <v>2000</v>
      </c>
      <c r="EF33" s="35">
        <v>2000.0</v>
      </c>
      <c r="EG33" s="33">
        <f t="shared" si="415"/>
        <v>0</v>
      </c>
      <c r="EH33" s="34"/>
      <c r="EI33" s="31">
        <f t="shared" si="457"/>
        <v>2000</v>
      </c>
      <c r="EJ33" s="35">
        <v>2000.0</v>
      </c>
      <c r="EK33" s="33">
        <f t="shared" si="417"/>
        <v>0</v>
      </c>
      <c r="EL33" s="34">
        <v>1960.0</v>
      </c>
      <c r="EM33" s="31">
        <f t="shared" si="458"/>
        <v>1960</v>
      </c>
      <c r="EN33" s="35">
        <v>2000.0</v>
      </c>
      <c r="EO33" s="33">
        <f t="shared" si="419"/>
        <v>-40</v>
      </c>
      <c r="EP33" s="34">
        <v>2100.0</v>
      </c>
      <c r="EQ33" s="31">
        <f t="shared" si="459"/>
        <v>2100</v>
      </c>
      <c r="ER33" s="35">
        <v>2000.0</v>
      </c>
      <c r="ES33" s="33">
        <f t="shared" si="421"/>
        <v>100</v>
      </c>
    </row>
    <row r="34" ht="18.0" customHeight="1">
      <c r="A34" s="36" t="s">
        <v>36</v>
      </c>
      <c r="B34" s="39">
        <f t="shared" ref="B34:D34" si="462">SUM(EP34,EL34,EH34,ED34,DZ34,DV34,DR34,DN34,DJ34,DF34,DB34,CX34,CT34,CP34,CL34,CH34,CD34,BZ34,BV34,BR34,BN34,BJ34,BF34,BB34,AX34,AT34,AP34,AL34,AH34,AD34,Z34,V34,R34,N34,J34,F34)</f>
        <v>34180</v>
      </c>
      <c r="C34" s="39">
        <f t="shared" si="462"/>
        <v>718180</v>
      </c>
      <c r="D34" s="39">
        <f t="shared" si="462"/>
        <v>725000</v>
      </c>
      <c r="E34" s="39">
        <f t="shared" si="349"/>
        <v>-6820</v>
      </c>
      <c r="F34" s="39" t="str">
        <f t="shared" ref="F34:H34" si="463">IF(COUNT(F28:F33)&gt;0,SUM(F28:F33),"")</f>
        <v/>
      </c>
      <c r="G34" s="39">
        <f t="shared" si="463"/>
        <v>24000</v>
      </c>
      <c r="H34" s="39">
        <f t="shared" si="463"/>
        <v>24000</v>
      </c>
      <c r="I34" s="39">
        <f t="shared" si="351"/>
        <v>0</v>
      </c>
      <c r="J34" s="39" t="str">
        <f t="shared" ref="J34:L34" si="464">IF(COUNT(J28:J33)&gt;0,SUM(J28:J33),"")</f>
        <v/>
      </c>
      <c r="K34" s="39">
        <f t="shared" si="464"/>
        <v>24000</v>
      </c>
      <c r="L34" s="39">
        <f t="shared" si="464"/>
        <v>24000</v>
      </c>
      <c r="M34" s="39">
        <f t="shared" si="353"/>
        <v>0</v>
      </c>
      <c r="N34" s="39" t="str">
        <f t="shared" ref="N34:P34" si="465">IF(COUNT(N28:N33)&gt;0,SUM(N28:N33),"")</f>
        <v/>
      </c>
      <c r="O34" s="39">
        <f t="shared" si="465"/>
        <v>24000</v>
      </c>
      <c r="P34" s="39">
        <f t="shared" si="465"/>
        <v>24000</v>
      </c>
      <c r="Q34" s="39">
        <f t="shared" si="355"/>
        <v>0</v>
      </c>
      <c r="R34" s="39" t="str">
        <f t="shared" ref="R34:T34" si="466">IF(COUNT(R28:R33)&gt;0,SUM(R28:R33),"")</f>
        <v/>
      </c>
      <c r="S34" s="39">
        <f t="shared" si="466"/>
        <v>24000</v>
      </c>
      <c r="T34" s="39">
        <f t="shared" si="466"/>
        <v>24000</v>
      </c>
      <c r="U34" s="39">
        <f t="shared" si="357"/>
        <v>0</v>
      </c>
      <c r="V34" s="39" t="str">
        <f t="shared" ref="V34:X34" si="467">IF(COUNT(V28:V33)&gt;0,SUM(V28:V33),"")</f>
        <v/>
      </c>
      <c r="W34" s="39">
        <f t="shared" si="467"/>
        <v>23000</v>
      </c>
      <c r="X34" s="39">
        <f t="shared" si="467"/>
        <v>23000</v>
      </c>
      <c r="Y34" s="39">
        <f t="shared" si="359"/>
        <v>0</v>
      </c>
      <c r="Z34" s="39" t="str">
        <f t="shared" ref="Z34:AB34" si="468">IF(COUNT(Z28:Z33)&gt;0,SUM(Z28:Z33),"")</f>
        <v/>
      </c>
      <c r="AA34" s="39">
        <f t="shared" si="468"/>
        <v>23000</v>
      </c>
      <c r="AB34" s="39">
        <f t="shared" si="468"/>
        <v>23000</v>
      </c>
      <c r="AC34" s="39">
        <f t="shared" si="361"/>
        <v>0</v>
      </c>
      <c r="AD34" s="39" t="str">
        <f t="shared" ref="AD34:AF34" si="469">IF(COUNT(AD28:AD33)&gt;0,SUM(AD28:AD33),"")</f>
        <v/>
      </c>
      <c r="AE34" s="39">
        <f t="shared" si="469"/>
        <v>23000</v>
      </c>
      <c r="AF34" s="39">
        <f t="shared" si="469"/>
        <v>23000</v>
      </c>
      <c r="AG34" s="39">
        <f t="shared" si="363"/>
        <v>0</v>
      </c>
      <c r="AH34" s="39" t="str">
        <f t="shared" ref="AH34:AJ34" si="470">IF(COUNT(AH28:AH33)&gt;0,SUM(AH28:AH33),"")</f>
        <v/>
      </c>
      <c r="AI34" s="39">
        <f t="shared" si="470"/>
        <v>23000</v>
      </c>
      <c r="AJ34" s="39">
        <f t="shared" si="470"/>
        <v>23000</v>
      </c>
      <c r="AK34" s="39">
        <f t="shared" si="365"/>
        <v>0</v>
      </c>
      <c r="AL34" s="39" t="str">
        <f t="shared" ref="AL34:AN34" si="471">IF(COUNT(AL28:AL33)&gt;0,SUM(AL28:AL33),"")</f>
        <v/>
      </c>
      <c r="AM34" s="39">
        <f t="shared" si="471"/>
        <v>22000</v>
      </c>
      <c r="AN34" s="39">
        <f t="shared" si="471"/>
        <v>22000</v>
      </c>
      <c r="AO34" s="39">
        <f t="shared" si="367"/>
        <v>0</v>
      </c>
      <c r="AP34" s="39" t="str">
        <f t="shared" ref="AP34:AR34" si="472">IF(COUNT(AP28:AP33)&gt;0,SUM(AP28:AP33),"")</f>
        <v/>
      </c>
      <c r="AQ34" s="39">
        <f t="shared" si="472"/>
        <v>22000</v>
      </c>
      <c r="AR34" s="39">
        <f t="shared" si="472"/>
        <v>22000</v>
      </c>
      <c r="AS34" s="39">
        <f t="shared" si="369"/>
        <v>0</v>
      </c>
      <c r="AT34" s="39" t="str">
        <f t="shared" ref="AT34:AV34" si="473">IF(COUNT(AT28:AT33)&gt;0,SUM(AT28:AT33),"")</f>
        <v/>
      </c>
      <c r="AU34" s="39">
        <f t="shared" si="473"/>
        <v>22000</v>
      </c>
      <c r="AV34" s="39">
        <f t="shared" si="473"/>
        <v>22000</v>
      </c>
      <c r="AW34" s="39">
        <f t="shared" si="371"/>
        <v>0</v>
      </c>
      <c r="AX34" s="39" t="str">
        <f t="shared" ref="AX34:AZ34" si="474">IF(COUNT(AX28:AX33)&gt;0,SUM(AX28:AX33),"")</f>
        <v/>
      </c>
      <c r="AY34" s="39">
        <f t="shared" si="474"/>
        <v>22000</v>
      </c>
      <c r="AZ34" s="39">
        <f t="shared" si="474"/>
        <v>22000</v>
      </c>
      <c r="BA34" s="39">
        <f t="shared" si="373"/>
        <v>0</v>
      </c>
      <c r="BB34" s="39" t="str">
        <f t="shared" ref="BB34:BD34" si="475">IF(COUNT(BB28:BB33)&gt;0,SUM(BB28:BB33),"")</f>
        <v/>
      </c>
      <c r="BC34" s="39">
        <f t="shared" si="475"/>
        <v>21000</v>
      </c>
      <c r="BD34" s="39">
        <f t="shared" si="475"/>
        <v>21000</v>
      </c>
      <c r="BE34" s="39">
        <f t="shared" si="375"/>
        <v>0</v>
      </c>
      <c r="BF34" s="39" t="str">
        <f t="shared" ref="BF34:BH34" si="476">IF(COUNT(BF28:BF33)&gt;0,SUM(BF28:BF33),"")</f>
        <v/>
      </c>
      <c r="BG34" s="39">
        <f t="shared" si="476"/>
        <v>21000</v>
      </c>
      <c r="BH34" s="39">
        <f t="shared" si="476"/>
        <v>21000</v>
      </c>
      <c r="BI34" s="39">
        <f t="shared" si="377"/>
        <v>0</v>
      </c>
      <c r="BJ34" s="39" t="str">
        <f t="shared" ref="BJ34:BL34" si="477">IF(COUNT(BJ28:BJ33)&gt;0,SUM(BJ28:BJ33),"")</f>
        <v/>
      </c>
      <c r="BK34" s="39">
        <f t="shared" si="477"/>
        <v>21000</v>
      </c>
      <c r="BL34" s="39">
        <f t="shared" si="477"/>
        <v>21000</v>
      </c>
      <c r="BM34" s="39">
        <f t="shared" si="379"/>
        <v>0</v>
      </c>
      <c r="BN34" s="39" t="str">
        <f t="shared" ref="BN34:BP34" si="478">IF(COUNT(BN28:BN33)&gt;0,SUM(BN28:BN33),"")</f>
        <v/>
      </c>
      <c r="BO34" s="39">
        <f t="shared" si="478"/>
        <v>21000</v>
      </c>
      <c r="BP34" s="39">
        <f t="shared" si="478"/>
        <v>21000</v>
      </c>
      <c r="BQ34" s="39">
        <f t="shared" si="381"/>
        <v>0</v>
      </c>
      <c r="BR34" s="39" t="str">
        <f t="shared" ref="BR34:BT34" si="479">IF(COUNT(BR28:BR33)&gt;0,SUM(BR28:BR33),"")</f>
        <v/>
      </c>
      <c r="BS34" s="39">
        <f t="shared" si="479"/>
        <v>20000</v>
      </c>
      <c r="BT34" s="39">
        <f t="shared" si="479"/>
        <v>20000</v>
      </c>
      <c r="BU34" s="39">
        <f t="shared" si="383"/>
        <v>0</v>
      </c>
      <c r="BV34" s="39" t="str">
        <f t="shared" ref="BV34:BX34" si="480">IF(COUNT(BV28:BV33)&gt;0,SUM(BV28:BV33),"")</f>
        <v/>
      </c>
      <c r="BW34" s="39">
        <f t="shared" si="480"/>
        <v>20000</v>
      </c>
      <c r="BX34" s="39">
        <f t="shared" si="480"/>
        <v>20000</v>
      </c>
      <c r="BY34" s="39">
        <f t="shared" si="385"/>
        <v>0</v>
      </c>
      <c r="BZ34" s="39" t="str">
        <f t="shared" ref="BZ34:CB34" si="481">IF(COUNT(BZ28:BZ33)&gt;0,SUM(BZ28:BZ33),"")</f>
        <v/>
      </c>
      <c r="CA34" s="39">
        <f t="shared" si="481"/>
        <v>20000</v>
      </c>
      <c r="CB34" s="39">
        <f t="shared" si="481"/>
        <v>20000</v>
      </c>
      <c r="CC34" s="39">
        <f t="shared" si="387"/>
        <v>0</v>
      </c>
      <c r="CD34" s="39" t="str">
        <f t="shared" ref="CD34:CF34" si="482">IF(COUNT(CD28:CD33)&gt;0,SUM(CD28:CD33),"")</f>
        <v/>
      </c>
      <c r="CE34" s="39">
        <f t="shared" si="482"/>
        <v>20000</v>
      </c>
      <c r="CF34" s="39">
        <f t="shared" si="482"/>
        <v>20000</v>
      </c>
      <c r="CG34" s="39">
        <f t="shared" si="389"/>
        <v>0</v>
      </c>
      <c r="CH34" s="39" t="str">
        <f t="shared" ref="CH34:CJ34" si="483">IF(COUNT(CH28:CH33)&gt;0,SUM(CH28:CH33),"")</f>
        <v/>
      </c>
      <c r="CI34" s="39">
        <f t="shared" si="483"/>
        <v>19000</v>
      </c>
      <c r="CJ34" s="39">
        <f t="shared" si="483"/>
        <v>19000</v>
      </c>
      <c r="CK34" s="39">
        <f t="shared" si="391"/>
        <v>0</v>
      </c>
      <c r="CL34" s="39" t="str">
        <f t="shared" ref="CL34:CN34" si="484">IF(COUNT(CL28:CL33)&gt;0,SUM(CL28:CL33),"")</f>
        <v/>
      </c>
      <c r="CM34" s="39">
        <f t="shared" si="484"/>
        <v>19000</v>
      </c>
      <c r="CN34" s="39">
        <f t="shared" si="484"/>
        <v>19000</v>
      </c>
      <c r="CO34" s="39">
        <f t="shared" si="393"/>
        <v>0</v>
      </c>
      <c r="CP34" s="39" t="str">
        <f t="shared" ref="CP34:CR34" si="485">IF(COUNT(CP28:CP33)&gt;0,SUM(CP28:CP33),"")</f>
        <v/>
      </c>
      <c r="CQ34" s="39">
        <f t="shared" si="485"/>
        <v>19000</v>
      </c>
      <c r="CR34" s="39">
        <f t="shared" si="485"/>
        <v>19000</v>
      </c>
      <c r="CS34" s="39">
        <f t="shared" si="395"/>
        <v>0</v>
      </c>
      <c r="CT34" s="39" t="str">
        <f t="shared" ref="CT34:CV34" si="486">IF(COUNT(CT28:CT33)&gt;0,SUM(CT28:CT33),"")</f>
        <v/>
      </c>
      <c r="CU34" s="39">
        <f t="shared" si="486"/>
        <v>19000</v>
      </c>
      <c r="CV34" s="39">
        <f t="shared" si="486"/>
        <v>19000</v>
      </c>
      <c r="CW34" s="39">
        <f t="shared" si="397"/>
        <v>0</v>
      </c>
      <c r="CX34" s="39" t="str">
        <f t="shared" ref="CX34:CZ34" si="487">IF(COUNT(CX28:CX33)&gt;0,SUM(CX28:CX33),"")</f>
        <v/>
      </c>
      <c r="CY34" s="39">
        <f t="shared" si="487"/>
        <v>18000</v>
      </c>
      <c r="CZ34" s="39">
        <f t="shared" si="487"/>
        <v>18000</v>
      </c>
      <c r="DA34" s="39">
        <f t="shared" si="399"/>
        <v>0</v>
      </c>
      <c r="DB34" s="39" t="str">
        <f t="shared" ref="DB34:DD34" si="488">IF(COUNT(DB28:DB33)&gt;0,SUM(DB28:DB33),"")</f>
        <v/>
      </c>
      <c r="DC34" s="39">
        <f t="shared" si="488"/>
        <v>18000</v>
      </c>
      <c r="DD34" s="39">
        <f t="shared" si="488"/>
        <v>18000</v>
      </c>
      <c r="DE34" s="39">
        <f t="shared" si="401"/>
        <v>0</v>
      </c>
      <c r="DF34" s="39" t="str">
        <f t="shared" ref="DF34:DH34" si="489">IF(COUNT(DF28:DF33)&gt;0,SUM(DF28:DF33),"")</f>
        <v/>
      </c>
      <c r="DG34" s="39">
        <f t="shared" si="489"/>
        <v>18000</v>
      </c>
      <c r="DH34" s="39">
        <f t="shared" si="489"/>
        <v>18000</v>
      </c>
      <c r="DI34" s="39">
        <f t="shared" si="403"/>
        <v>0</v>
      </c>
      <c r="DJ34" s="39" t="str">
        <f t="shared" ref="DJ34:DL34" si="490">IF(COUNT(DJ28:DJ33)&gt;0,SUM(DJ28:DJ33),"")</f>
        <v/>
      </c>
      <c r="DK34" s="39">
        <f t="shared" si="490"/>
        <v>18000</v>
      </c>
      <c r="DL34" s="39">
        <f t="shared" si="490"/>
        <v>18000</v>
      </c>
      <c r="DM34" s="39">
        <f t="shared" si="405"/>
        <v>0</v>
      </c>
      <c r="DN34" s="39" t="str">
        <f t="shared" ref="DN34:DP34" si="491">IF(COUNT(DN28:DN33)&gt;0,SUM(DN28:DN33),"")</f>
        <v/>
      </c>
      <c r="DO34" s="39">
        <f t="shared" si="491"/>
        <v>17000</v>
      </c>
      <c r="DP34" s="39">
        <f t="shared" si="491"/>
        <v>17000</v>
      </c>
      <c r="DQ34" s="39">
        <f t="shared" si="407"/>
        <v>0</v>
      </c>
      <c r="DR34" s="39" t="str">
        <f t="shared" ref="DR34:DT34" si="492">IF(COUNT(DR28:DR33)&gt;0,SUM(DR28:DR33),"")</f>
        <v/>
      </c>
      <c r="DS34" s="39">
        <f t="shared" si="492"/>
        <v>17000</v>
      </c>
      <c r="DT34" s="39">
        <f t="shared" si="492"/>
        <v>17000</v>
      </c>
      <c r="DU34" s="39">
        <f t="shared" si="409"/>
        <v>0</v>
      </c>
      <c r="DV34" s="39" t="str">
        <f t="shared" ref="DV34:DX34" si="493">IF(COUNT(DV28:DV33)&gt;0,SUM(DV28:DV33),"")</f>
        <v/>
      </c>
      <c r="DW34" s="39">
        <f t="shared" si="493"/>
        <v>17000</v>
      </c>
      <c r="DX34" s="39">
        <f t="shared" si="493"/>
        <v>17000</v>
      </c>
      <c r="DY34" s="39">
        <f t="shared" si="411"/>
        <v>0</v>
      </c>
      <c r="DZ34" s="39" t="str">
        <f t="shared" ref="DZ34:EB34" si="494">IF(COUNT(DZ28:DZ33)&gt;0,SUM(DZ28:DZ33),"")</f>
        <v/>
      </c>
      <c r="EA34" s="39">
        <f t="shared" si="494"/>
        <v>17000</v>
      </c>
      <c r="EB34" s="39">
        <f t="shared" si="494"/>
        <v>17000</v>
      </c>
      <c r="EC34" s="39">
        <f t="shared" si="413"/>
        <v>0</v>
      </c>
      <c r="ED34" s="39" t="str">
        <f t="shared" ref="ED34:EF34" si="495">IF(COUNT(ED28:ED33)&gt;0,SUM(ED28:ED33),"")</f>
        <v/>
      </c>
      <c r="EE34" s="39">
        <f t="shared" si="495"/>
        <v>14000</v>
      </c>
      <c r="EF34" s="39">
        <f t="shared" si="495"/>
        <v>16000</v>
      </c>
      <c r="EG34" s="39">
        <f t="shared" si="415"/>
        <v>-2000</v>
      </c>
      <c r="EH34" s="39" t="str">
        <f t="shared" ref="EH34:EJ34" si="496">IF(COUNT(EH28:EH33)&gt;0,SUM(EH28:EH33),"")</f>
        <v/>
      </c>
      <c r="EI34" s="39">
        <f t="shared" si="496"/>
        <v>14000</v>
      </c>
      <c r="EJ34" s="39">
        <f t="shared" si="496"/>
        <v>16000</v>
      </c>
      <c r="EK34" s="39">
        <f t="shared" si="417"/>
        <v>-2000</v>
      </c>
      <c r="EL34" s="39">
        <f t="shared" ref="EL34:EN34" si="497">IF(COUNT(EL28:EL33)&gt;0,SUM(EL28:EL33),"")</f>
        <v>15880</v>
      </c>
      <c r="EM34" s="39">
        <f t="shared" si="497"/>
        <v>15880</v>
      </c>
      <c r="EN34" s="39">
        <f t="shared" si="497"/>
        <v>16000</v>
      </c>
      <c r="EO34" s="39">
        <f t="shared" si="419"/>
        <v>-120</v>
      </c>
      <c r="EP34" s="39">
        <f t="shared" ref="EP34:ER34" si="498">IF(COUNT(EP28:EP33)&gt;0,SUM(EP28:EP33),"")</f>
        <v>18300</v>
      </c>
      <c r="EQ34" s="39">
        <f t="shared" si="498"/>
        <v>18300</v>
      </c>
      <c r="ER34" s="39">
        <f t="shared" si="498"/>
        <v>21000</v>
      </c>
      <c r="ES34" s="39">
        <f t="shared" si="421"/>
        <v>-2700</v>
      </c>
    </row>
    <row r="35" ht="18.0" customHeight="1">
      <c r="A35" s="12" t="s">
        <v>37</v>
      </c>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c r="BC35" s="38"/>
      <c r="BD35" s="38"/>
      <c r="BE35" s="38"/>
      <c r="BF35" s="38"/>
      <c r="BG35" s="38"/>
      <c r="BH35" s="38"/>
      <c r="BI35" s="38"/>
      <c r="BJ35" s="38"/>
      <c r="BK35" s="38"/>
      <c r="BL35" s="38"/>
      <c r="BM35" s="38"/>
      <c r="BN35" s="38"/>
      <c r="BO35" s="38"/>
      <c r="BP35" s="38"/>
      <c r="BQ35" s="38"/>
      <c r="BR35" s="38"/>
      <c r="BS35" s="38"/>
      <c r="BT35" s="38"/>
      <c r="BU35" s="38"/>
      <c r="BV35" s="38"/>
      <c r="BW35" s="38"/>
      <c r="BX35" s="38"/>
      <c r="BY35" s="38"/>
      <c r="BZ35" s="38"/>
      <c r="CA35" s="38"/>
      <c r="CB35" s="38"/>
      <c r="CC35" s="38"/>
      <c r="CD35" s="38"/>
      <c r="CE35" s="38"/>
      <c r="CF35" s="38"/>
      <c r="CG35" s="38"/>
      <c r="CH35" s="38"/>
      <c r="CI35" s="38"/>
      <c r="CJ35" s="38"/>
      <c r="CK35" s="38"/>
      <c r="CL35" s="38"/>
      <c r="CM35" s="38"/>
      <c r="CN35" s="38"/>
      <c r="CO35" s="38"/>
      <c r="CP35" s="38"/>
      <c r="CQ35" s="38"/>
      <c r="CR35" s="38"/>
      <c r="CS35" s="38"/>
      <c r="CT35" s="38"/>
      <c r="CU35" s="38"/>
      <c r="CV35" s="38"/>
      <c r="CW35" s="38"/>
      <c r="CX35" s="38"/>
      <c r="CY35" s="38"/>
      <c r="CZ35" s="38"/>
      <c r="DA35" s="38"/>
      <c r="DB35" s="38"/>
      <c r="DC35" s="38"/>
      <c r="DD35" s="38"/>
      <c r="DE35" s="38"/>
      <c r="DF35" s="38"/>
      <c r="DG35" s="38"/>
      <c r="DH35" s="38"/>
      <c r="DI35" s="38"/>
      <c r="DJ35" s="38"/>
      <c r="DK35" s="38"/>
      <c r="DL35" s="38"/>
      <c r="DM35" s="38"/>
      <c r="DN35" s="38"/>
      <c r="DO35" s="38"/>
      <c r="DP35" s="38"/>
      <c r="DQ35" s="38"/>
      <c r="DR35" s="38"/>
      <c r="DS35" s="38"/>
      <c r="DT35" s="38"/>
      <c r="DU35" s="38"/>
      <c r="DV35" s="38"/>
      <c r="DW35" s="38"/>
      <c r="DX35" s="38"/>
      <c r="DY35" s="38"/>
      <c r="DZ35" s="38"/>
      <c r="EA35" s="38"/>
      <c r="EB35" s="38"/>
      <c r="EC35" s="38"/>
      <c r="ED35" s="38"/>
      <c r="EE35" s="38"/>
      <c r="EF35" s="38"/>
      <c r="EG35" s="38"/>
      <c r="EH35" s="38"/>
      <c r="EI35" s="38"/>
      <c r="EJ35" s="38"/>
      <c r="EK35" s="38"/>
      <c r="EL35" s="38"/>
      <c r="EM35" s="38"/>
      <c r="EN35" s="38"/>
      <c r="EO35" s="38"/>
      <c r="EP35" s="38"/>
      <c r="EQ35" s="38"/>
      <c r="ER35" s="38"/>
      <c r="ES35" s="38"/>
    </row>
    <row r="36" ht="18.0" customHeight="1">
      <c r="A36" s="36" t="s">
        <v>38</v>
      </c>
      <c r="B36" s="39">
        <f t="shared" ref="B36:D36" si="499">SUM(EP36,EL36,EH36,ED36,DZ36,DV36,DR36,DN36,DJ36,DF36,DB36,CX36,CT36,CP36,CL36,CH36,CD36,BZ36,BV36,BR36,BN36,BJ36,BF36,BB36,AX36,AT36,AP36,AL36,AH36,AD36,Z36,V36,R36,N36,J36,F36)</f>
        <v>75820</v>
      </c>
      <c r="C36" s="39">
        <f t="shared" si="499"/>
        <v>3207820</v>
      </c>
      <c r="D36" s="39">
        <f t="shared" si="499"/>
        <v>3347000</v>
      </c>
      <c r="E36" s="39">
        <f>IFERROR(IF(OR(C36="",D36=""),"",C36-D36),"")</f>
        <v>-139180</v>
      </c>
      <c r="F36" s="39" t="str">
        <f t="shared" ref="F36:H36" si="500">IF(COUNT(F26,F34)=2,F26-F34,"")</f>
        <v/>
      </c>
      <c r="G36" s="39">
        <f t="shared" si="500"/>
        <v>120000</v>
      </c>
      <c r="H36" s="39">
        <f t="shared" si="500"/>
        <v>120000</v>
      </c>
      <c r="I36" s="39">
        <f>IFERROR(IF(OR(G36="",H36=""),"",G36-H36),"")</f>
        <v>0</v>
      </c>
      <c r="J36" s="39" t="str">
        <f t="shared" ref="J36:L36" si="501">IF(COUNT(J26,J34)=2,J26-J34,"")</f>
        <v/>
      </c>
      <c r="K36" s="39">
        <f t="shared" si="501"/>
        <v>120000</v>
      </c>
      <c r="L36" s="39">
        <f t="shared" si="501"/>
        <v>120000</v>
      </c>
      <c r="M36" s="39">
        <f>IFERROR(IF(OR(K36="",L36=""),"",K36-L36),"")</f>
        <v>0</v>
      </c>
      <c r="N36" s="39" t="str">
        <f t="shared" ref="N36:P36" si="502">IF(COUNT(N26,N34)=2,N26-N34,"")</f>
        <v/>
      </c>
      <c r="O36" s="39">
        <f t="shared" si="502"/>
        <v>120000</v>
      </c>
      <c r="P36" s="39">
        <f t="shared" si="502"/>
        <v>120000</v>
      </c>
      <c r="Q36" s="39">
        <f>IFERROR(IF(OR(O36="",P36=""),"",O36-P36),"")</f>
        <v>0</v>
      </c>
      <c r="R36" s="39" t="str">
        <f t="shared" ref="R36:T36" si="503">IF(COUNT(R26,R34)=2,R26-R34,"")</f>
        <v/>
      </c>
      <c r="S36" s="39">
        <f t="shared" si="503"/>
        <v>120000</v>
      </c>
      <c r="T36" s="39">
        <f t="shared" si="503"/>
        <v>120000</v>
      </c>
      <c r="U36" s="39">
        <f>IFERROR(IF(OR(S36="",T36=""),"",S36-T36),"")</f>
        <v>0</v>
      </c>
      <c r="V36" s="39" t="str">
        <f t="shared" ref="V36:X36" si="504">IF(COUNT(V26,V34)=2,V26-V34,"")</f>
        <v/>
      </c>
      <c r="W36" s="39">
        <f t="shared" si="504"/>
        <v>113000</v>
      </c>
      <c r="X36" s="39">
        <f t="shared" si="504"/>
        <v>113000</v>
      </c>
      <c r="Y36" s="39">
        <f>IFERROR(IF(OR(W36="",X36=""),"",W36-X36),"")</f>
        <v>0</v>
      </c>
      <c r="Z36" s="39" t="str">
        <f t="shared" ref="Z36:AB36" si="505">IF(COUNT(Z26,Z34)=2,Z26-Z34,"")</f>
        <v/>
      </c>
      <c r="AA36" s="39">
        <f t="shared" si="505"/>
        <v>113000</v>
      </c>
      <c r="AB36" s="39">
        <f t="shared" si="505"/>
        <v>113000</v>
      </c>
      <c r="AC36" s="39">
        <f>IFERROR(IF(OR(AA36="",AB36=""),"",AA36-AB36),"")</f>
        <v>0</v>
      </c>
      <c r="AD36" s="39" t="str">
        <f t="shared" ref="AD36:AF36" si="506">IF(COUNT(AD26,AD34)=2,AD26-AD34,"")</f>
        <v/>
      </c>
      <c r="AE36" s="39">
        <f t="shared" si="506"/>
        <v>113000</v>
      </c>
      <c r="AF36" s="39">
        <f t="shared" si="506"/>
        <v>113000</v>
      </c>
      <c r="AG36" s="39">
        <f>IFERROR(IF(OR(AE36="",AF36=""),"",AE36-AF36),"")</f>
        <v>0</v>
      </c>
      <c r="AH36" s="39" t="str">
        <f t="shared" ref="AH36:AJ36" si="507">IF(COUNT(AH26,AH34)=2,AH26-AH34,"")</f>
        <v/>
      </c>
      <c r="AI36" s="39">
        <f t="shared" si="507"/>
        <v>113000</v>
      </c>
      <c r="AJ36" s="39">
        <f t="shared" si="507"/>
        <v>113000</v>
      </c>
      <c r="AK36" s="39">
        <f>IFERROR(IF(OR(AI36="",AJ36=""),"",AI36-AJ36),"")</f>
        <v>0</v>
      </c>
      <c r="AL36" s="39" t="str">
        <f t="shared" ref="AL36:AN36" si="508">IF(COUNT(AL26,AL34)=2,AL26-AL34,"")</f>
        <v/>
      </c>
      <c r="AM36" s="39">
        <f t="shared" si="508"/>
        <v>106000</v>
      </c>
      <c r="AN36" s="39">
        <f t="shared" si="508"/>
        <v>106000</v>
      </c>
      <c r="AO36" s="39">
        <f>IFERROR(IF(OR(AM36="",AN36=""),"",AM36-AN36),"")</f>
        <v>0</v>
      </c>
      <c r="AP36" s="39" t="str">
        <f t="shared" ref="AP36:AR36" si="509">IF(COUNT(AP26,AP34)=2,AP26-AP34,"")</f>
        <v/>
      </c>
      <c r="AQ36" s="39">
        <f t="shared" si="509"/>
        <v>106000</v>
      </c>
      <c r="AR36" s="39">
        <f t="shared" si="509"/>
        <v>106000</v>
      </c>
      <c r="AS36" s="39">
        <f>IFERROR(IF(OR(AQ36="",AR36=""),"",AQ36-AR36),"")</f>
        <v>0</v>
      </c>
      <c r="AT36" s="39" t="str">
        <f t="shared" ref="AT36:AV36" si="510">IF(COUNT(AT26,AT34)=2,AT26-AT34,"")</f>
        <v/>
      </c>
      <c r="AU36" s="39">
        <f t="shared" si="510"/>
        <v>106000</v>
      </c>
      <c r="AV36" s="39">
        <f t="shared" si="510"/>
        <v>106000</v>
      </c>
      <c r="AW36" s="39">
        <f>IFERROR(IF(OR(AU36="",AV36=""),"",AU36-AV36),"")</f>
        <v>0</v>
      </c>
      <c r="AX36" s="39" t="str">
        <f t="shared" ref="AX36:AZ36" si="511">IF(COUNT(AX26,AX34)=2,AX26-AX34,"")</f>
        <v/>
      </c>
      <c r="AY36" s="39">
        <f t="shared" si="511"/>
        <v>106000</v>
      </c>
      <c r="AZ36" s="39">
        <f t="shared" si="511"/>
        <v>106000</v>
      </c>
      <c r="BA36" s="39">
        <f>IFERROR(IF(OR(AY36="",AZ36=""),"",AY36-AZ36),"")</f>
        <v>0</v>
      </c>
      <c r="BB36" s="39" t="str">
        <f t="shared" ref="BB36:BD36" si="512">IF(COUNT(BB26,BB34)=2,BB26-BB34,"")</f>
        <v/>
      </c>
      <c r="BC36" s="39">
        <f t="shared" si="512"/>
        <v>99000</v>
      </c>
      <c r="BD36" s="39">
        <f t="shared" si="512"/>
        <v>99000</v>
      </c>
      <c r="BE36" s="39">
        <f>IFERROR(IF(OR(BC36="",BD36=""),"",BC36-BD36),"")</f>
        <v>0</v>
      </c>
      <c r="BF36" s="39" t="str">
        <f t="shared" ref="BF36:BH36" si="513">IF(COUNT(BF26,BF34)=2,BF26-BF34,"")</f>
        <v/>
      </c>
      <c r="BG36" s="39">
        <f t="shared" si="513"/>
        <v>99000</v>
      </c>
      <c r="BH36" s="39">
        <f t="shared" si="513"/>
        <v>99000</v>
      </c>
      <c r="BI36" s="39">
        <f>IFERROR(IF(OR(BG36="",BH36=""),"",BG36-BH36),"")</f>
        <v>0</v>
      </c>
      <c r="BJ36" s="39" t="str">
        <f t="shared" ref="BJ36:BL36" si="514">IF(COUNT(BJ26,BJ34)=2,BJ26-BJ34,"")</f>
        <v/>
      </c>
      <c r="BK36" s="39">
        <f t="shared" si="514"/>
        <v>99000</v>
      </c>
      <c r="BL36" s="39">
        <f t="shared" si="514"/>
        <v>99000</v>
      </c>
      <c r="BM36" s="39">
        <f>IFERROR(IF(OR(BK36="",BL36=""),"",BK36-BL36),"")</f>
        <v>0</v>
      </c>
      <c r="BN36" s="39" t="str">
        <f t="shared" ref="BN36:BP36" si="515">IF(COUNT(BN26,BN34)=2,BN26-BN34,"")</f>
        <v/>
      </c>
      <c r="BO36" s="39">
        <f t="shared" si="515"/>
        <v>99000</v>
      </c>
      <c r="BP36" s="39">
        <f t="shared" si="515"/>
        <v>99000</v>
      </c>
      <c r="BQ36" s="39">
        <f>IFERROR(IF(OR(BO36="",BP36=""),"",BO36-BP36),"")</f>
        <v>0</v>
      </c>
      <c r="BR36" s="39" t="str">
        <f t="shared" ref="BR36:BT36" si="516">IF(COUNT(BR26,BR34)=2,BR26-BR34,"")</f>
        <v/>
      </c>
      <c r="BS36" s="39">
        <f t="shared" si="516"/>
        <v>92000</v>
      </c>
      <c r="BT36" s="39">
        <f t="shared" si="516"/>
        <v>92000</v>
      </c>
      <c r="BU36" s="39">
        <f>IFERROR(IF(OR(BS36="",BT36=""),"",BS36-BT36),"")</f>
        <v>0</v>
      </c>
      <c r="BV36" s="39" t="str">
        <f t="shared" ref="BV36:BX36" si="517">IF(COUNT(BV26,BV34)=2,BV26-BV34,"")</f>
        <v/>
      </c>
      <c r="BW36" s="39">
        <f t="shared" si="517"/>
        <v>92000</v>
      </c>
      <c r="BX36" s="39">
        <f t="shared" si="517"/>
        <v>92000</v>
      </c>
      <c r="BY36" s="39">
        <f>IFERROR(IF(OR(BW36="",BX36=""),"",BW36-BX36),"")</f>
        <v>0</v>
      </c>
      <c r="BZ36" s="39" t="str">
        <f t="shared" ref="BZ36:CB36" si="518">IF(COUNT(BZ26,BZ34)=2,BZ26-BZ34,"")</f>
        <v/>
      </c>
      <c r="CA36" s="39">
        <f t="shared" si="518"/>
        <v>92000</v>
      </c>
      <c r="CB36" s="39">
        <f t="shared" si="518"/>
        <v>92000</v>
      </c>
      <c r="CC36" s="39">
        <f>IFERROR(IF(OR(CA36="",CB36=""),"",CA36-CB36),"")</f>
        <v>0</v>
      </c>
      <c r="CD36" s="39" t="str">
        <f t="shared" ref="CD36:CF36" si="519">IF(COUNT(CD26,CD34)=2,CD26-CD34,"")</f>
        <v/>
      </c>
      <c r="CE36" s="39">
        <f t="shared" si="519"/>
        <v>92000</v>
      </c>
      <c r="CF36" s="39">
        <f t="shared" si="519"/>
        <v>92000</v>
      </c>
      <c r="CG36" s="39">
        <f>IFERROR(IF(OR(CE36="",CF36=""),"",CE36-CF36),"")</f>
        <v>0</v>
      </c>
      <c r="CH36" s="39" t="str">
        <f t="shared" ref="CH36:CJ36" si="520">IF(COUNT(CH26,CH34)=2,CH26-CH34,"")</f>
        <v/>
      </c>
      <c r="CI36" s="39">
        <f t="shared" si="520"/>
        <v>85000</v>
      </c>
      <c r="CJ36" s="39">
        <f t="shared" si="520"/>
        <v>85000</v>
      </c>
      <c r="CK36" s="39">
        <f>IFERROR(IF(OR(CI36="",CJ36=""),"",CI36-CJ36),"")</f>
        <v>0</v>
      </c>
      <c r="CL36" s="39" t="str">
        <f t="shared" ref="CL36:CN36" si="521">IF(COUNT(CL26,CL34)=2,CL26-CL34,"")</f>
        <v/>
      </c>
      <c r="CM36" s="39">
        <f t="shared" si="521"/>
        <v>85000</v>
      </c>
      <c r="CN36" s="39">
        <f t="shared" si="521"/>
        <v>85000</v>
      </c>
      <c r="CO36" s="39">
        <f>IFERROR(IF(OR(CM36="",CN36=""),"",CM36-CN36),"")</f>
        <v>0</v>
      </c>
      <c r="CP36" s="39" t="str">
        <f t="shared" ref="CP36:CR36" si="522">IF(COUNT(CP26,CP34)=2,CP26-CP34,"")</f>
        <v/>
      </c>
      <c r="CQ36" s="39">
        <f t="shared" si="522"/>
        <v>85000</v>
      </c>
      <c r="CR36" s="39">
        <f t="shared" si="522"/>
        <v>85000</v>
      </c>
      <c r="CS36" s="39">
        <f>IFERROR(IF(OR(CQ36="",CR36=""),"",CQ36-CR36),"")</f>
        <v>0</v>
      </c>
      <c r="CT36" s="39" t="str">
        <f t="shared" ref="CT36:CV36" si="523">IF(COUNT(CT26,CT34)=2,CT26-CT34,"")</f>
        <v/>
      </c>
      <c r="CU36" s="39">
        <f t="shared" si="523"/>
        <v>85000</v>
      </c>
      <c r="CV36" s="39">
        <f t="shared" si="523"/>
        <v>85000</v>
      </c>
      <c r="CW36" s="39">
        <f>IFERROR(IF(OR(CU36="",CV36=""),"",CU36-CV36),"")</f>
        <v>0</v>
      </c>
      <c r="CX36" s="39" t="str">
        <f t="shared" ref="CX36:CZ36" si="524">IF(COUNT(CX26,CX34)=2,CX26-CX34,"")</f>
        <v/>
      </c>
      <c r="CY36" s="39">
        <f t="shared" si="524"/>
        <v>78000</v>
      </c>
      <c r="CZ36" s="39">
        <f t="shared" si="524"/>
        <v>78000</v>
      </c>
      <c r="DA36" s="39">
        <f>IFERROR(IF(OR(CY36="",CZ36=""),"",CY36-CZ36),"")</f>
        <v>0</v>
      </c>
      <c r="DB36" s="39" t="str">
        <f t="shared" ref="DB36:DD36" si="525">IF(COUNT(DB26,DB34)=2,DB26-DB34,"")</f>
        <v/>
      </c>
      <c r="DC36" s="39">
        <f t="shared" si="525"/>
        <v>78000</v>
      </c>
      <c r="DD36" s="39">
        <f t="shared" si="525"/>
        <v>78000</v>
      </c>
      <c r="DE36" s="39">
        <f>IFERROR(IF(OR(DC36="",DD36=""),"",DC36-DD36),"")</f>
        <v>0</v>
      </c>
      <c r="DF36" s="39" t="str">
        <f t="shared" ref="DF36:DH36" si="526">IF(COUNT(DF26,DF34)=2,DF26-DF34,"")</f>
        <v/>
      </c>
      <c r="DG36" s="39">
        <f t="shared" si="526"/>
        <v>78000</v>
      </c>
      <c r="DH36" s="39">
        <f t="shared" si="526"/>
        <v>78000</v>
      </c>
      <c r="DI36" s="39">
        <f>IFERROR(IF(OR(DG36="",DH36=""),"",DG36-DH36),"")</f>
        <v>0</v>
      </c>
      <c r="DJ36" s="39" t="str">
        <f t="shared" ref="DJ36:DL36" si="527">IF(COUNT(DJ26,DJ34)=2,DJ26-DJ34,"")</f>
        <v/>
      </c>
      <c r="DK36" s="39">
        <f t="shared" si="527"/>
        <v>78000</v>
      </c>
      <c r="DL36" s="39">
        <f t="shared" si="527"/>
        <v>78000</v>
      </c>
      <c r="DM36" s="39">
        <f>IFERROR(IF(OR(DK36="",DL36=""),"",DK36-DL36),"")</f>
        <v>0</v>
      </c>
      <c r="DN36" s="39" t="str">
        <f t="shared" ref="DN36:DP36" si="528">IF(COUNT(DN26,DN34)=2,DN26-DN34,"")</f>
        <v/>
      </c>
      <c r="DO36" s="39">
        <f t="shared" si="528"/>
        <v>71000</v>
      </c>
      <c r="DP36" s="39">
        <f t="shared" si="528"/>
        <v>71000</v>
      </c>
      <c r="DQ36" s="39">
        <f>IFERROR(IF(OR(DO36="",DP36=""),"",DO36-DP36),"")</f>
        <v>0</v>
      </c>
      <c r="DR36" s="39" t="str">
        <f t="shared" ref="DR36:DT36" si="529">IF(COUNT(DR26,DR34)=2,DR26-DR34,"")</f>
        <v/>
      </c>
      <c r="DS36" s="39">
        <f t="shared" si="529"/>
        <v>71000</v>
      </c>
      <c r="DT36" s="39">
        <f t="shared" si="529"/>
        <v>71000</v>
      </c>
      <c r="DU36" s="39">
        <f>IFERROR(IF(OR(DS36="",DT36=""),"",DS36-DT36),"")</f>
        <v>0</v>
      </c>
      <c r="DV36" s="39" t="str">
        <f t="shared" ref="DV36:DX36" si="530">IF(COUNT(DV26,DV34)=2,DV26-DV34,"")</f>
        <v/>
      </c>
      <c r="DW36" s="39">
        <f t="shared" si="530"/>
        <v>71000</v>
      </c>
      <c r="DX36" s="39">
        <f t="shared" si="530"/>
        <v>71000</v>
      </c>
      <c r="DY36" s="39">
        <f>IFERROR(IF(OR(DW36="",DX36=""),"",DW36-DX36),"")</f>
        <v>0</v>
      </c>
      <c r="DZ36" s="39" t="str">
        <f t="shared" ref="DZ36:EB36" si="531">IF(COUNT(DZ26,DZ34)=2,DZ26-DZ34,"")</f>
        <v/>
      </c>
      <c r="EA36" s="39">
        <f t="shared" si="531"/>
        <v>71000</v>
      </c>
      <c r="EB36" s="39">
        <f t="shared" si="531"/>
        <v>71000</v>
      </c>
      <c r="EC36" s="39">
        <f>IFERROR(IF(OR(EA36="",EB36=""),"",EA36-EB36),"")</f>
        <v>0</v>
      </c>
      <c r="ED36" s="39" t="str">
        <f t="shared" ref="ED36:EF36" si="532">IF(COUNT(ED26,ED34)=2,ED26-ED34,"")</f>
        <v/>
      </c>
      <c r="EE36" s="39">
        <f t="shared" si="532"/>
        <v>50000</v>
      </c>
      <c r="EF36" s="39">
        <f t="shared" si="532"/>
        <v>64000</v>
      </c>
      <c r="EG36" s="39">
        <f>IFERROR(IF(OR(EE36="",EF36=""),"",EE36-EF36),"")</f>
        <v>-14000</v>
      </c>
      <c r="EH36" s="39" t="str">
        <f t="shared" ref="EH36:EJ36" si="533">IF(COUNT(EH26,EH34)=2,EH26-EH34,"")</f>
        <v/>
      </c>
      <c r="EI36" s="39">
        <f t="shared" si="533"/>
        <v>26000</v>
      </c>
      <c r="EJ36" s="39">
        <f t="shared" si="533"/>
        <v>64000</v>
      </c>
      <c r="EK36" s="39">
        <f>IFERROR(IF(OR(EI36="",EJ36=""),"",EI36-EJ36),"")</f>
        <v>-38000</v>
      </c>
      <c r="EL36" s="39">
        <f t="shared" ref="EL36:EN36" si="534">IF(COUNT(EL26,EL34)=2,EL26-EL34,"")</f>
        <v>34120</v>
      </c>
      <c r="EM36" s="39">
        <f t="shared" si="534"/>
        <v>34120</v>
      </c>
      <c r="EN36" s="39">
        <f t="shared" si="534"/>
        <v>64000</v>
      </c>
      <c r="EO36" s="39">
        <f>IFERROR(IF(OR(EM36="",EN36=""),"",EM36-EN36),"")</f>
        <v>-29880</v>
      </c>
      <c r="EP36" s="39">
        <f t="shared" ref="EP36:ER36" si="535">IF(COUNT(EP26,EP34)=2,EP26-EP34,"")</f>
        <v>41700</v>
      </c>
      <c r="EQ36" s="39">
        <f t="shared" si="535"/>
        <v>41700</v>
      </c>
      <c r="ER36" s="39">
        <f t="shared" si="535"/>
        <v>99000</v>
      </c>
      <c r="ES36" s="39">
        <f>IFERROR(IF(OR(EQ36="",ER36=""),"",EQ36-ER36),"")</f>
        <v>-57300</v>
      </c>
    </row>
    <row r="37" ht="18.0" customHeight="1">
      <c r="A37" s="12" t="s">
        <v>39</v>
      </c>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c r="BL37" s="12"/>
      <c r="BM37" s="12"/>
      <c r="BN37" s="12"/>
      <c r="BO37" s="12"/>
      <c r="BP37" s="12"/>
      <c r="BQ37" s="12"/>
      <c r="BR37" s="12"/>
      <c r="BS37" s="12"/>
      <c r="BT37" s="12"/>
      <c r="BU37" s="12"/>
      <c r="BV37" s="12"/>
      <c r="BW37" s="12"/>
      <c r="BX37" s="12"/>
      <c r="BY37" s="12"/>
      <c r="BZ37" s="12"/>
      <c r="CA37" s="12"/>
      <c r="CB37" s="12"/>
      <c r="CC37" s="12"/>
      <c r="CD37" s="12"/>
      <c r="CE37" s="12"/>
      <c r="CF37" s="12"/>
      <c r="CG37" s="12"/>
      <c r="CH37" s="12"/>
      <c r="CI37" s="12"/>
      <c r="CJ37" s="12"/>
      <c r="CK37" s="12"/>
      <c r="CL37" s="12"/>
      <c r="CM37" s="12"/>
      <c r="CN37" s="12"/>
      <c r="CO37" s="12"/>
      <c r="CP37" s="12"/>
      <c r="CQ37" s="12"/>
      <c r="CR37" s="12"/>
      <c r="CS37" s="12"/>
      <c r="CT37" s="12"/>
      <c r="CU37" s="12"/>
      <c r="CV37" s="12"/>
      <c r="CW37" s="12"/>
      <c r="CX37" s="12"/>
      <c r="CY37" s="12"/>
      <c r="CZ37" s="12"/>
      <c r="DA37" s="12"/>
      <c r="DB37" s="12"/>
      <c r="DC37" s="12"/>
      <c r="DD37" s="12"/>
      <c r="DE37" s="12"/>
      <c r="DF37" s="12"/>
      <c r="DG37" s="12"/>
      <c r="DH37" s="12"/>
      <c r="DI37" s="12"/>
      <c r="DJ37" s="12"/>
      <c r="DK37" s="12"/>
      <c r="DL37" s="12"/>
      <c r="DM37" s="12"/>
      <c r="DN37" s="12"/>
      <c r="DO37" s="12"/>
      <c r="DP37" s="12"/>
      <c r="DQ37" s="12"/>
      <c r="DR37" s="12"/>
      <c r="DS37" s="12"/>
      <c r="DT37" s="12"/>
      <c r="DU37" s="12"/>
      <c r="DV37" s="12"/>
      <c r="DW37" s="12"/>
      <c r="DX37" s="12"/>
      <c r="DY37" s="12"/>
      <c r="DZ37" s="12"/>
      <c r="EA37" s="12"/>
      <c r="EB37" s="12"/>
      <c r="EC37" s="12"/>
      <c r="ED37" s="12"/>
      <c r="EE37" s="12"/>
      <c r="EF37" s="12"/>
      <c r="EG37" s="12"/>
      <c r="EH37" s="12"/>
      <c r="EI37" s="12"/>
      <c r="EJ37" s="12"/>
      <c r="EK37" s="12"/>
      <c r="EL37" s="12"/>
      <c r="EM37" s="12"/>
      <c r="EN37" s="12"/>
      <c r="EO37" s="12"/>
      <c r="EP37" s="12"/>
      <c r="EQ37" s="12"/>
      <c r="ER37" s="12"/>
      <c r="ES37" s="12"/>
    </row>
    <row r="38" ht="18.0" customHeight="1">
      <c r="A38" s="2" t="s">
        <v>40</v>
      </c>
      <c r="B38" s="30">
        <f t="shared" ref="B38:D38" si="536">SUM(EP38,EL38,EH38,ED38,DZ38,DV38,DR38,DN38,DJ38,DF38,DB38,CX38,CT38,CP38,CL38,CH38,CD38,BZ38,BV38,BR38,BN38,BJ38,BF38,BB38,AX38,AT38,AP38,AL38,AH38,AD38,Z38,V38,R38,N38,J38,F38)</f>
        <v>86275</v>
      </c>
      <c r="C38" s="31">
        <f t="shared" si="536"/>
        <v>1531275</v>
      </c>
      <c r="D38" s="32">
        <f t="shared" si="536"/>
        <v>1530000</v>
      </c>
      <c r="E38" s="33">
        <f t="shared" ref="E38:E53" si="538">IFERROR(IF(OR(C38="",D38=""),"",C38-D38),"")</f>
        <v>1275</v>
      </c>
      <c r="F38" s="34"/>
      <c r="G38" s="31">
        <f t="shared" ref="G38:G52" si="539">IF(F$98=1,F38,H38)</f>
        <v>42500</v>
      </c>
      <c r="H38" s="35">
        <v>42500.0</v>
      </c>
      <c r="I38" s="33">
        <f t="shared" ref="I38:I53" si="540">IFERROR(IF(OR(G38="",H38=""),"",G38-H38),"")</f>
        <v>0</v>
      </c>
      <c r="J38" s="34"/>
      <c r="K38" s="31">
        <f t="shared" ref="K38:K52" si="541">IF(J$98=1,J38,L38)</f>
        <v>42500</v>
      </c>
      <c r="L38" s="35">
        <v>42500.0</v>
      </c>
      <c r="M38" s="33">
        <f t="shared" ref="M38:M53" si="542">IFERROR(IF(OR(K38="",L38=""),"",K38-L38),"")</f>
        <v>0</v>
      </c>
      <c r="N38" s="34"/>
      <c r="O38" s="31">
        <f t="shared" ref="O38:O52" si="543">IF(N$98=1,N38,P38)</f>
        <v>42500</v>
      </c>
      <c r="P38" s="35">
        <v>42500.0</v>
      </c>
      <c r="Q38" s="33">
        <f t="shared" ref="Q38:Q53" si="544">IFERROR(IF(OR(O38="",P38=""),"",O38-P38),"")</f>
        <v>0</v>
      </c>
      <c r="R38" s="34"/>
      <c r="S38" s="31">
        <f t="shared" ref="S38:S52" si="545">IF(R$98=1,R38,T38)</f>
        <v>42500</v>
      </c>
      <c r="T38" s="35">
        <v>42500.0</v>
      </c>
      <c r="U38" s="33">
        <f t="shared" ref="U38:U53" si="546">IFERROR(IF(OR(S38="",T38=""),"",S38-T38),"")</f>
        <v>0</v>
      </c>
      <c r="V38" s="34"/>
      <c r="W38" s="31">
        <f t="shared" ref="W38:W52" si="547">IF(V$98=1,V38,X38)</f>
        <v>42500</v>
      </c>
      <c r="X38" s="35">
        <v>42500.0</v>
      </c>
      <c r="Y38" s="33">
        <f t="shared" ref="Y38:Y53" si="548">IFERROR(IF(OR(W38="",X38=""),"",W38-X38),"")</f>
        <v>0</v>
      </c>
      <c r="Z38" s="34"/>
      <c r="AA38" s="31">
        <f t="shared" ref="AA38:AA52" si="549">IF(Z$98=1,Z38,AB38)</f>
        <v>42500</v>
      </c>
      <c r="AB38" s="35">
        <v>42500.0</v>
      </c>
      <c r="AC38" s="33">
        <f t="shared" ref="AC38:AC53" si="550">IFERROR(IF(OR(AA38="",AB38=""),"",AA38-AB38),"")</f>
        <v>0</v>
      </c>
      <c r="AD38" s="34"/>
      <c r="AE38" s="31">
        <f t="shared" ref="AE38:AE52" si="551">IF(AD$98=1,AD38,AF38)</f>
        <v>42500</v>
      </c>
      <c r="AF38" s="35">
        <v>42500.0</v>
      </c>
      <c r="AG38" s="33">
        <f t="shared" ref="AG38:AG53" si="552">IFERROR(IF(OR(AE38="",AF38=""),"",AE38-AF38),"")</f>
        <v>0</v>
      </c>
      <c r="AH38" s="34"/>
      <c r="AI38" s="31">
        <f t="shared" ref="AI38:AI52" si="553">IF(AH$98=1,AH38,AJ38)</f>
        <v>42500</v>
      </c>
      <c r="AJ38" s="35">
        <v>42500.0</v>
      </c>
      <c r="AK38" s="33">
        <f t="shared" ref="AK38:AK53" si="554">IFERROR(IF(OR(AI38="",AJ38=""),"",AI38-AJ38),"")</f>
        <v>0</v>
      </c>
      <c r="AL38" s="34"/>
      <c r="AM38" s="31">
        <f t="shared" ref="AM38:AM52" si="555">IF(AL$98=1,AL38,AN38)</f>
        <v>42500</v>
      </c>
      <c r="AN38" s="35">
        <v>42500.0</v>
      </c>
      <c r="AO38" s="33">
        <f t="shared" ref="AO38:AO53" si="556">IFERROR(IF(OR(AM38="",AN38=""),"",AM38-AN38),"")</f>
        <v>0</v>
      </c>
      <c r="AP38" s="34"/>
      <c r="AQ38" s="31">
        <f t="shared" ref="AQ38:AQ52" si="557">IF(AP$98=1,AP38,AR38)</f>
        <v>42500</v>
      </c>
      <c r="AR38" s="35">
        <v>42500.0</v>
      </c>
      <c r="AS38" s="33">
        <f t="shared" ref="AS38:AS53" si="558">IFERROR(IF(OR(AQ38="",AR38=""),"",AQ38-AR38),"")</f>
        <v>0</v>
      </c>
      <c r="AT38" s="34"/>
      <c r="AU38" s="31">
        <f t="shared" ref="AU38:AU52" si="559">IF(AT$98=1,AT38,AV38)</f>
        <v>42500</v>
      </c>
      <c r="AV38" s="35">
        <v>42500.0</v>
      </c>
      <c r="AW38" s="33">
        <f t="shared" ref="AW38:AW53" si="560">IFERROR(IF(OR(AU38="",AV38=""),"",AU38-AV38),"")</f>
        <v>0</v>
      </c>
      <c r="AX38" s="34"/>
      <c r="AY38" s="31">
        <f t="shared" ref="AY38:AY52" si="561">IF(AX$98=1,AX38,AZ38)</f>
        <v>42500</v>
      </c>
      <c r="AZ38" s="35">
        <v>42500.0</v>
      </c>
      <c r="BA38" s="33">
        <f t="shared" ref="BA38:BA53" si="562">IFERROR(IF(OR(AY38="",AZ38=""),"",AY38-AZ38),"")</f>
        <v>0</v>
      </c>
      <c r="BB38" s="34"/>
      <c r="BC38" s="31">
        <f t="shared" ref="BC38:BC52" si="563">IF(BB$98=1,BB38,BD38)</f>
        <v>42500</v>
      </c>
      <c r="BD38" s="35">
        <v>42500.0</v>
      </c>
      <c r="BE38" s="33">
        <f t="shared" ref="BE38:BE53" si="564">IFERROR(IF(OR(BC38="",BD38=""),"",BC38-BD38),"")</f>
        <v>0</v>
      </c>
      <c r="BF38" s="34"/>
      <c r="BG38" s="31">
        <f t="shared" ref="BG38:BG52" si="565">IF(BF$98=1,BF38,BH38)</f>
        <v>42500</v>
      </c>
      <c r="BH38" s="35">
        <v>42500.0</v>
      </c>
      <c r="BI38" s="33">
        <f t="shared" ref="BI38:BI53" si="566">IFERROR(IF(OR(BG38="",BH38=""),"",BG38-BH38),"")</f>
        <v>0</v>
      </c>
      <c r="BJ38" s="34"/>
      <c r="BK38" s="31">
        <f t="shared" ref="BK38:BK52" si="567">IF(BJ$98=1,BJ38,BL38)</f>
        <v>42500</v>
      </c>
      <c r="BL38" s="35">
        <v>42500.0</v>
      </c>
      <c r="BM38" s="33">
        <f t="shared" ref="BM38:BM53" si="568">IFERROR(IF(OR(BK38="",BL38=""),"",BK38-BL38),"")</f>
        <v>0</v>
      </c>
      <c r="BN38" s="34"/>
      <c r="BO38" s="31">
        <f t="shared" ref="BO38:BO52" si="569">IF(BN$98=1,BN38,BP38)</f>
        <v>42500</v>
      </c>
      <c r="BP38" s="35">
        <v>42500.0</v>
      </c>
      <c r="BQ38" s="33">
        <f t="shared" ref="BQ38:BQ53" si="570">IFERROR(IF(OR(BO38="",BP38=""),"",BO38-BP38),"")</f>
        <v>0</v>
      </c>
      <c r="BR38" s="34"/>
      <c r="BS38" s="31">
        <f t="shared" ref="BS38:BS52" si="571">IF(BR$98=1,BR38,BT38)</f>
        <v>42500</v>
      </c>
      <c r="BT38" s="35">
        <v>42500.0</v>
      </c>
      <c r="BU38" s="33">
        <f t="shared" ref="BU38:BU53" si="572">IFERROR(IF(OR(BS38="",BT38=""),"",BS38-BT38),"")</f>
        <v>0</v>
      </c>
      <c r="BV38" s="34"/>
      <c r="BW38" s="31">
        <f t="shared" ref="BW38:BW52" si="573">IF(BV$98=1,BV38,BX38)</f>
        <v>42500</v>
      </c>
      <c r="BX38" s="35">
        <v>42500.0</v>
      </c>
      <c r="BY38" s="33">
        <f t="shared" ref="BY38:BY53" si="574">IFERROR(IF(OR(BW38="",BX38=""),"",BW38-BX38),"")</f>
        <v>0</v>
      </c>
      <c r="BZ38" s="34"/>
      <c r="CA38" s="31">
        <f t="shared" ref="CA38:CA52" si="575">IF(BZ$98=1,BZ38,CB38)</f>
        <v>42500</v>
      </c>
      <c r="CB38" s="35">
        <v>42500.0</v>
      </c>
      <c r="CC38" s="33">
        <f t="shared" ref="CC38:CC53" si="576">IFERROR(IF(OR(CA38="",CB38=""),"",CA38-CB38),"")</f>
        <v>0</v>
      </c>
      <c r="CD38" s="34"/>
      <c r="CE38" s="31">
        <f t="shared" ref="CE38:CE52" si="577">IF(CD$98=1,CD38,CF38)</f>
        <v>42500</v>
      </c>
      <c r="CF38" s="35">
        <v>42500.0</v>
      </c>
      <c r="CG38" s="33">
        <f t="shared" ref="CG38:CG53" si="578">IFERROR(IF(OR(CE38="",CF38=""),"",CE38-CF38),"")</f>
        <v>0</v>
      </c>
      <c r="CH38" s="34"/>
      <c r="CI38" s="31">
        <f t="shared" ref="CI38:CI52" si="579">IF(CH$98=1,CH38,CJ38)</f>
        <v>42500</v>
      </c>
      <c r="CJ38" s="35">
        <v>42500.0</v>
      </c>
      <c r="CK38" s="33">
        <f t="shared" ref="CK38:CK53" si="580">IFERROR(IF(OR(CI38="",CJ38=""),"",CI38-CJ38),"")</f>
        <v>0</v>
      </c>
      <c r="CL38" s="34"/>
      <c r="CM38" s="31">
        <f t="shared" ref="CM38:CM52" si="581">IF(CL$98=1,CL38,CN38)</f>
        <v>42500</v>
      </c>
      <c r="CN38" s="35">
        <v>42500.0</v>
      </c>
      <c r="CO38" s="33">
        <f t="shared" ref="CO38:CO53" si="582">IFERROR(IF(OR(CM38="",CN38=""),"",CM38-CN38),"")</f>
        <v>0</v>
      </c>
      <c r="CP38" s="34"/>
      <c r="CQ38" s="31">
        <f t="shared" ref="CQ38:CQ52" si="583">IF(CP$98=1,CP38,CR38)</f>
        <v>42500</v>
      </c>
      <c r="CR38" s="35">
        <v>42500.0</v>
      </c>
      <c r="CS38" s="33">
        <f t="shared" ref="CS38:CS53" si="584">IFERROR(IF(OR(CQ38="",CR38=""),"",CQ38-CR38),"")</f>
        <v>0</v>
      </c>
      <c r="CT38" s="34"/>
      <c r="CU38" s="31">
        <f t="shared" ref="CU38:CU52" si="585">IF(CT$98=1,CT38,CV38)</f>
        <v>42500</v>
      </c>
      <c r="CV38" s="35">
        <v>42500.0</v>
      </c>
      <c r="CW38" s="33">
        <f t="shared" ref="CW38:CW53" si="586">IFERROR(IF(OR(CU38="",CV38=""),"",CU38-CV38),"")</f>
        <v>0</v>
      </c>
      <c r="CX38" s="34"/>
      <c r="CY38" s="31">
        <f t="shared" ref="CY38:CY52" si="587">IF(CX$98=1,CX38,CZ38)</f>
        <v>42500</v>
      </c>
      <c r="CZ38" s="35">
        <v>42500.0</v>
      </c>
      <c r="DA38" s="33">
        <f t="shared" ref="DA38:DA53" si="588">IFERROR(IF(OR(CY38="",CZ38=""),"",CY38-CZ38),"")</f>
        <v>0</v>
      </c>
      <c r="DB38" s="34"/>
      <c r="DC38" s="31">
        <f t="shared" ref="DC38:DC52" si="589">IF(DB$98=1,DB38,DD38)</f>
        <v>42500</v>
      </c>
      <c r="DD38" s="35">
        <v>42500.0</v>
      </c>
      <c r="DE38" s="33">
        <f t="shared" ref="DE38:DE53" si="590">IFERROR(IF(OR(DC38="",DD38=""),"",DC38-DD38),"")</f>
        <v>0</v>
      </c>
      <c r="DF38" s="34"/>
      <c r="DG38" s="31">
        <f t="shared" ref="DG38:DG52" si="591">IF(DF$98=1,DF38,DH38)</f>
        <v>42500</v>
      </c>
      <c r="DH38" s="35">
        <v>42500.0</v>
      </c>
      <c r="DI38" s="33">
        <f t="shared" ref="DI38:DI53" si="592">IFERROR(IF(OR(DG38="",DH38=""),"",DG38-DH38),"")</f>
        <v>0</v>
      </c>
      <c r="DJ38" s="34"/>
      <c r="DK38" s="31">
        <f t="shared" ref="DK38:DK52" si="593">IF(DJ$98=1,DJ38,DL38)</f>
        <v>42500</v>
      </c>
      <c r="DL38" s="35">
        <v>42500.0</v>
      </c>
      <c r="DM38" s="33">
        <f t="shared" ref="DM38:DM53" si="594">IFERROR(IF(OR(DK38="",DL38=""),"",DK38-DL38),"")</f>
        <v>0</v>
      </c>
      <c r="DN38" s="34"/>
      <c r="DO38" s="31">
        <f t="shared" ref="DO38:DO52" si="595">IF(DN$98=1,DN38,DP38)</f>
        <v>42500</v>
      </c>
      <c r="DP38" s="35">
        <v>42500.0</v>
      </c>
      <c r="DQ38" s="33">
        <f t="shared" ref="DQ38:DQ53" si="596">IFERROR(IF(OR(DO38="",DP38=""),"",DO38-DP38),"")</f>
        <v>0</v>
      </c>
      <c r="DR38" s="34"/>
      <c r="DS38" s="31">
        <f t="shared" ref="DS38:DS52" si="597">IF(DR$98=1,DR38,DT38)</f>
        <v>42500</v>
      </c>
      <c r="DT38" s="35">
        <v>42500.0</v>
      </c>
      <c r="DU38" s="33">
        <f t="shared" ref="DU38:DU53" si="598">IFERROR(IF(OR(DS38="",DT38=""),"",DS38-DT38),"")</f>
        <v>0</v>
      </c>
      <c r="DV38" s="34"/>
      <c r="DW38" s="31">
        <f t="shared" ref="DW38:DW52" si="599">IF(DV$98=1,DV38,DX38)</f>
        <v>42500</v>
      </c>
      <c r="DX38" s="35">
        <v>42500.0</v>
      </c>
      <c r="DY38" s="33">
        <f t="shared" ref="DY38:DY53" si="600">IFERROR(IF(OR(DW38="",DX38=""),"",DW38-DX38),"")</f>
        <v>0</v>
      </c>
      <c r="DZ38" s="34"/>
      <c r="EA38" s="31">
        <f t="shared" ref="EA38:EA52" si="601">IF(DZ$98=1,DZ38,EB38)</f>
        <v>42500</v>
      </c>
      <c r="EB38" s="35">
        <v>42500.0</v>
      </c>
      <c r="EC38" s="33">
        <f t="shared" ref="EC38:EC53" si="602">IFERROR(IF(OR(EA38="",EB38=""),"",EA38-EB38),"")</f>
        <v>0</v>
      </c>
      <c r="ED38" s="34"/>
      <c r="EE38" s="31">
        <f t="shared" ref="EE38:EE52" si="603">IF(ED$98=1,ED38,EF38)</f>
        <v>42500</v>
      </c>
      <c r="EF38" s="35">
        <v>42500.0</v>
      </c>
      <c r="EG38" s="33">
        <f t="shared" ref="EG38:EG53" si="604">IFERROR(IF(OR(EE38="",EF38=""),"",EE38-EF38),"")</f>
        <v>0</v>
      </c>
      <c r="EH38" s="34"/>
      <c r="EI38" s="31">
        <f t="shared" ref="EI38:EI52" si="605">IF(EH$98=1,EH38,EJ38)</f>
        <v>42500</v>
      </c>
      <c r="EJ38" s="35">
        <v>42500.0</v>
      </c>
      <c r="EK38" s="33">
        <f t="shared" ref="EK38:EK53" si="606">IFERROR(IF(OR(EI38="",EJ38=""),"",EI38-EJ38),"")</f>
        <v>0</v>
      </c>
      <c r="EL38" s="34">
        <v>41650.0</v>
      </c>
      <c r="EM38" s="31">
        <f t="shared" ref="EM38:EM52" si="607">IF(EL$98=1,EL38,EN38)</f>
        <v>41650</v>
      </c>
      <c r="EN38" s="35">
        <v>42500.0</v>
      </c>
      <c r="EO38" s="33">
        <f t="shared" ref="EO38:EO53" si="608">IFERROR(IF(OR(EM38="",EN38=""),"",EM38-EN38),"")</f>
        <v>-850</v>
      </c>
      <c r="EP38" s="34">
        <v>44625.0</v>
      </c>
      <c r="EQ38" s="31">
        <f t="shared" ref="EQ38:EQ52" si="609">IF(EP$98=1,EP38,ER38)</f>
        <v>44625</v>
      </c>
      <c r="ER38" s="35">
        <v>42500.0</v>
      </c>
      <c r="ES38" s="33">
        <f t="shared" ref="ES38:ES53" si="610">IFERROR(IF(OR(EQ38="",ER38=""),"",EQ38-ER38),"")</f>
        <v>2125</v>
      </c>
    </row>
    <row r="39" ht="18.0" customHeight="1">
      <c r="A39" s="2" t="s">
        <v>41</v>
      </c>
      <c r="B39" s="30">
        <f t="shared" ref="B39:D39" si="537">SUM(EP39,EL39,EH39,ED39,DZ39,DV39,DR39,DN39,DJ39,DF39,DB39,CX39,CT39,CP39,CL39,CH39,CD39,BZ39,BV39,BR39,BN39,BJ39,BF39,BB39,AX39,AT39,AP39,AL39,AH39,AD39,Z39,V39,R39,N39,J39,F39)</f>
        <v>7105</v>
      </c>
      <c r="C39" s="31">
        <f t="shared" si="537"/>
        <v>126105</v>
      </c>
      <c r="D39" s="32">
        <f t="shared" si="537"/>
        <v>126000</v>
      </c>
      <c r="E39" s="33">
        <f t="shared" si="538"/>
        <v>105</v>
      </c>
      <c r="F39" s="34"/>
      <c r="G39" s="31">
        <f t="shared" si="539"/>
        <v>3500</v>
      </c>
      <c r="H39" s="35">
        <v>3500.0</v>
      </c>
      <c r="I39" s="33">
        <f t="shared" si="540"/>
        <v>0</v>
      </c>
      <c r="J39" s="34"/>
      <c r="K39" s="31">
        <f t="shared" si="541"/>
        <v>3500</v>
      </c>
      <c r="L39" s="35">
        <v>3500.0</v>
      </c>
      <c r="M39" s="33">
        <f t="shared" si="542"/>
        <v>0</v>
      </c>
      <c r="N39" s="34"/>
      <c r="O39" s="31">
        <f t="shared" si="543"/>
        <v>3500</v>
      </c>
      <c r="P39" s="35">
        <v>3500.0</v>
      </c>
      <c r="Q39" s="33">
        <f t="shared" si="544"/>
        <v>0</v>
      </c>
      <c r="R39" s="34"/>
      <c r="S39" s="31">
        <f t="shared" si="545"/>
        <v>3500</v>
      </c>
      <c r="T39" s="35">
        <v>3500.0</v>
      </c>
      <c r="U39" s="33">
        <f t="shared" si="546"/>
        <v>0</v>
      </c>
      <c r="V39" s="34"/>
      <c r="W39" s="31">
        <f t="shared" si="547"/>
        <v>3500</v>
      </c>
      <c r="X39" s="35">
        <v>3500.0</v>
      </c>
      <c r="Y39" s="33">
        <f t="shared" si="548"/>
        <v>0</v>
      </c>
      <c r="Z39" s="34"/>
      <c r="AA39" s="31">
        <f t="shared" si="549"/>
        <v>3500</v>
      </c>
      <c r="AB39" s="35">
        <v>3500.0</v>
      </c>
      <c r="AC39" s="33">
        <f t="shared" si="550"/>
        <v>0</v>
      </c>
      <c r="AD39" s="34"/>
      <c r="AE39" s="31">
        <f t="shared" si="551"/>
        <v>3500</v>
      </c>
      <c r="AF39" s="35">
        <v>3500.0</v>
      </c>
      <c r="AG39" s="33">
        <f t="shared" si="552"/>
        <v>0</v>
      </c>
      <c r="AH39" s="34"/>
      <c r="AI39" s="31">
        <f t="shared" si="553"/>
        <v>3500</v>
      </c>
      <c r="AJ39" s="35">
        <v>3500.0</v>
      </c>
      <c r="AK39" s="33">
        <f t="shared" si="554"/>
        <v>0</v>
      </c>
      <c r="AL39" s="34"/>
      <c r="AM39" s="31">
        <f t="shared" si="555"/>
        <v>3500</v>
      </c>
      <c r="AN39" s="35">
        <v>3500.0</v>
      </c>
      <c r="AO39" s="33">
        <f t="shared" si="556"/>
        <v>0</v>
      </c>
      <c r="AP39" s="34"/>
      <c r="AQ39" s="31">
        <f t="shared" si="557"/>
        <v>3500</v>
      </c>
      <c r="AR39" s="35">
        <v>3500.0</v>
      </c>
      <c r="AS39" s="33">
        <f t="shared" si="558"/>
        <v>0</v>
      </c>
      <c r="AT39" s="34"/>
      <c r="AU39" s="31">
        <f t="shared" si="559"/>
        <v>3500</v>
      </c>
      <c r="AV39" s="35">
        <v>3500.0</v>
      </c>
      <c r="AW39" s="33">
        <f t="shared" si="560"/>
        <v>0</v>
      </c>
      <c r="AX39" s="34"/>
      <c r="AY39" s="31">
        <f t="shared" si="561"/>
        <v>3500</v>
      </c>
      <c r="AZ39" s="35">
        <v>3500.0</v>
      </c>
      <c r="BA39" s="33">
        <f t="shared" si="562"/>
        <v>0</v>
      </c>
      <c r="BB39" s="34"/>
      <c r="BC39" s="31">
        <f t="shared" si="563"/>
        <v>3500</v>
      </c>
      <c r="BD39" s="35">
        <v>3500.0</v>
      </c>
      <c r="BE39" s="33">
        <f t="shared" si="564"/>
        <v>0</v>
      </c>
      <c r="BF39" s="34"/>
      <c r="BG39" s="31">
        <f t="shared" si="565"/>
        <v>3500</v>
      </c>
      <c r="BH39" s="35">
        <v>3500.0</v>
      </c>
      <c r="BI39" s="33">
        <f t="shared" si="566"/>
        <v>0</v>
      </c>
      <c r="BJ39" s="34"/>
      <c r="BK39" s="31">
        <f t="shared" si="567"/>
        <v>3500</v>
      </c>
      <c r="BL39" s="35">
        <v>3500.0</v>
      </c>
      <c r="BM39" s="33">
        <f t="shared" si="568"/>
        <v>0</v>
      </c>
      <c r="BN39" s="34"/>
      <c r="BO39" s="31">
        <f t="shared" si="569"/>
        <v>3500</v>
      </c>
      <c r="BP39" s="35">
        <v>3500.0</v>
      </c>
      <c r="BQ39" s="33">
        <f t="shared" si="570"/>
        <v>0</v>
      </c>
      <c r="BR39" s="34"/>
      <c r="BS39" s="31">
        <f t="shared" si="571"/>
        <v>3500</v>
      </c>
      <c r="BT39" s="35">
        <v>3500.0</v>
      </c>
      <c r="BU39" s="33">
        <f t="shared" si="572"/>
        <v>0</v>
      </c>
      <c r="BV39" s="34"/>
      <c r="BW39" s="31">
        <f t="shared" si="573"/>
        <v>3500</v>
      </c>
      <c r="BX39" s="35">
        <v>3500.0</v>
      </c>
      <c r="BY39" s="33">
        <f t="shared" si="574"/>
        <v>0</v>
      </c>
      <c r="BZ39" s="34"/>
      <c r="CA39" s="31">
        <f t="shared" si="575"/>
        <v>3500</v>
      </c>
      <c r="CB39" s="35">
        <v>3500.0</v>
      </c>
      <c r="CC39" s="33">
        <f t="shared" si="576"/>
        <v>0</v>
      </c>
      <c r="CD39" s="34"/>
      <c r="CE39" s="31">
        <f t="shared" si="577"/>
        <v>3500</v>
      </c>
      <c r="CF39" s="35">
        <v>3500.0</v>
      </c>
      <c r="CG39" s="33">
        <f t="shared" si="578"/>
        <v>0</v>
      </c>
      <c r="CH39" s="34"/>
      <c r="CI39" s="31">
        <f t="shared" si="579"/>
        <v>3500</v>
      </c>
      <c r="CJ39" s="35">
        <v>3500.0</v>
      </c>
      <c r="CK39" s="33">
        <f t="shared" si="580"/>
        <v>0</v>
      </c>
      <c r="CL39" s="34"/>
      <c r="CM39" s="31">
        <f t="shared" si="581"/>
        <v>3500</v>
      </c>
      <c r="CN39" s="35">
        <v>3500.0</v>
      </c>
      <c r="CO39" s="33">
        <f t="shared" si="582"/>
        <v>0</v>
      </c>
      <c r="CP39" s="34"/>
      <c r="CQ39" s="31">
        <f t="shared" si="583"/>
        <v>3500</v>
      </c>
      <c r="CR39" s="35">
        <v>3500.0</v>
      </c>
      <c r="CS39" s="33">
        <f t="shared" si="584"/>
        <v>0</v>
      </c>
      <c r="CT39" s="34"/>
      <c r="CU39" s="31">
        <f t="shared" si="585"/>
        <v>3500</v>
      </c>
      <c r="CV39" s="35">
        <v>3500.0</v>
      </c>
      <c r="CW39" s="33">
        <f t="shared" si="586"/>
        <v>0</v>
      </c>
      <c r="CX39" s="34"/>
      <c r="CY39" s="31">
        <f t="shared" si="587"/>
        <v>3500</v>
      </c>
      <c r="CZ39" s="35">
        <v>3500.0</v>
      </c>
      <c r="DA39" s="33">
        <f t="shared" si="588"/>
        <v>0</v>
      </c>
      <c r="DB39" s="34"/>
      <c r="DC39" s="31">
        <f t="shared" si="589"/>
        <v>3500</v>
      </c>
      <c r="DD39" s="35">
        <v>3500.0</v>
      </c>
      <c r="DE39" s="33">
        <f t="shared" si="590"/>
        <v>0</v>
      </c>
      <c r="DF39" s="34"/>
      <c r="DG39" s="31">
        <f t="shared" si="591"/>
        <v>3500</v>
      </c>
      <c r="DH39" s="35">
        <v>3500.0</v>
      </c>
      <c r="DI39" s="33">
        <f t="shared" si="592"/>
        <v>0</v>
      </c>
      <c r="DJ39" s="34"/>
      <c r="DK39" s="31">
        <f t="shared" si="593"/>
        <v>3500</v>
      </c>
      <c r="DL39" s="35">
        <v>3500.0</v>
      </c>
      <c r="DM39" s="33">
        <f t="shared" si="594"/>
        <v>0</v>
      </c>
      <c r="DN39" s="34"/>
      <c r="DO39" s="31">
        <f t="shared" si="595"/>
        <v>3500</v>
      </c>
      <c r="DP39" s="35">
        <v>3500.0</v>
      </c>
      <c r="DQ39" s="33">
        <f t="shared" si="596"/>
        <v>0</v>
      </c>
      <c r="DR39" s="34"/>
      <c r="DS39" s="31">
        <f t="shared" si="597"/>
        <v>3500</v>
      </c>
      <c r="DT39" s="35">
        <v>3500.0</v>
      </c>
      <c r="DU39" s="33">
        <f t="shared" si="598"/>
        <v>0</v>
      </c>
      <c r="DV39" s="34"/>
      <c r="DW39" s="31">
        <f t="shared" si="599"/>
        <v>3500</v>
      </c>
      <c r="DX39" s="35">
        <v>3500.0</v>
      </c>
      <c r="DY39" s="33">
        <f t="shared" si="600"/>
        <v>0</v>
      </c>
      <c r="DZ39" s="34"/>
      <c r="EA39" s="31">
        <f t="shared" si="601"/>
        <v>3500</v>
      </c>
      <c r="EB39" s="35">
        <v>3500.0</v>
      </c>
      <c r="EC39" s="33">
        <f t="shared" si="602"/>
        <v>0</v>
      </c>
      <c r="ED39" s="34"/>
      <c r="EE39" s="31">
        <f t="shared" si="603"/>
        <v>3500</v>
      </c>
      <c r="EF39" s="35">
        <v>3500.0</v>
      </c>
      <c r="EG39" s="33">
        <f t="shared" si="604"/>
        <v>0</v>
      </c>
      <c r="EH39" s="34"/>
      <c r="EI39" s="31">
        <f t="shared" si="605"/>
        <v>3500</v>
      </c>
      <c r="EJ39" s="35">
        <v>3500.0</v>
      </c>
      <c r="EK39" s="33">
        <f t="shared" si="606"/>
        <v>0</v>
      </c>
      <c r="EL39" s="34">
        <v>3430.0</v>
      </c>
      <c r="EM39" s="31">
        <f t="shared" si="607"/>
        <v>3430</v>
      </c>
      <c r="EN39" s="35">
        <v>3500.0</v>
      </c>
      <c r="EO39" s="33">
        <f t="shared" si="608"/>
        <v>-70</v>
      </c>
      <c r="EP39" s="34">
        <v>3675.0</v>
      </c>
      <c r="EQ39" s="31">
        <f t="shared" si="609"/>
        <v>3675</v>
      </c>
      <c r="ER39" s="35">
        <v>3500.0</v>
      </c>
      <c r="ES39" s="33">
        <f t="shared" si="610"/>
        <v>175</v>
      </c>
    </row>
    <row r="40" ht="18.0" customHeight="1">
      <c r="A40" s="2" t="s">
        <v>42</v>
      </c>
      <c r="B40" s="30">
        <f t="shared" ref="B40:D40" si="611">SUM(EP40,EL40,EH40,ED40,DZ40,DV40,DR40,DN40,DJ40,DF40,DB40,CX40,CT40,CP40,CL40,CH40,CD40,BZ40,BV40,BR40,BN40,BJ40,BF40,BB40,AX40,AT40,AP40,AL40,AH40,AD40,Z40,V40,R40,N40,J40,F40)</f>
        <v>0</v>
      </c>
      <c r="C40" s="31">
        <f t="shared" si="611"/>
        <v>0</v>
      </c>
      <c r="D40" s="32">
        <f t="shared" si="611"/>
        <v>0</v>
      </c>
      <c r="E40" s="33">
        <f t="shared" si="538"/>
        <v>0</v>
      </c>
      <c r="F40" s="34"/>
      <c r="G40" s="31">
        <f t="shared" si="539"/>
        <v>0</v>
      </c>
      <c r="H40" s="35">
        <v>0.0</v>
      </c>
      <c r="I40" s="33">
        <f t="shared" si="540"/>
        <v>0</v>
      </c>
      <c r="J40" s="34"/>
      <c r="K40" s="31">
        <f t="shared" si="541"/>
        <v>0</v>
      </c>
      <c r="L40" s="35">
        <v>0.0</v>
      </c>
      <c r="M40" s="33">
        <f t="shared" si="542"/>
        <v>0</v>
      </c>
      <c r="N40" s="34"/>
      <c r="O40" s="31">
        <f t="shared" si="543"/>
        <v>0</v>
      </c>
      <c r="P40" s="35">
        <v>0.0</v>
      </c>
      <c r="Q40" s="33">
        <f t="shared" si="544"/>
        <v>0</v>
      </c>
      <c r="R40" s="34"/>
      <c r="S40" s="31">
        <f t="shared" si="545"/>
        <v>0</v>
      </c>
      <c r="T40" s="35">
        <v>0.0</v>
      </c>
      <c r="U40" s="33">
        <f t="shared" si="546"/>
        <v>0</v>
      </c>
      <c r="V40" s="34"/>
      <c r="W40" s="31">
        <f t="shared" si="547"/>
        <v>0</v>
      </c>
      <c r="X40" s="35">
        <v>0.0</v>
      </c>
      <c r="Y40" s="33">
        <f t="shared" si="548"/>
        <v>0</v>
      </c>
      <c r="Z40" s="34"/>
      <c r="AA40" s="31">
        <f t="shared" si="549"/>
        <v>0</v>
      </c>
      <c r="AB40" s="35">
        <v>0.0</v>
      </c>
      <c r="AC40" s="33">
        <f t="shared" si="550"/>
        <v>0</v>
      </c>
      <c r="AD40" s="34"/>
      <c r="AE40" s="31">
        <f t="shared" si="551"/>
        <v>0</v>
      </c>
      <c r="AF40" s="35">
        <v>0.0</v>
      </c>
      <c r="AG40" s="33">
        <f t="shared" si="552"/>
        <v>0</v>
      </c>
      <c r="AH40" s="34"/>
      <c r="AI40" s="31">
        <f t="shared" si="553"/>
        <v>0</v>
      </c>
      <c r="AJ40" s="35">
        <v>0.0</v>
      </c>
      <c r="AK40" s="33">
        <f t="shared" si="554"/>
        <v>0</v>
      </c>
      <c r="AL40" s="34"/>
      <c r="AM40" s="31">
        <f t="shared" si="555"/>
        <v>0</v>
      </c>
      <c r="AN40" s="35">
        <v>0.0</v>
      </c>
      <c r="AO40" s="33">
        <f t="shared" si="556"/>
        <v>0</v>
      </c>
      <c r="AP40" s="34"/>
      <c r="AQ40" s="31">
        <f t="shared" si="557"/>
        <v>0</v>
      </c>
      <c r="AR40" s="35">
        <v>0.0</v>
      </c>
      <c r="AS40" s="33">
        <f t="shared" si="558"/>
        <v>0</v>
      </c>
      <c r="AT40" s="34"/>
      <c r="AU40" s="31">
        <f t="shared" si="559"/>
        <v>0</v>
      </c>
      <c r="AV40" s="35">
        <v>0.0</v>
      </c>
      <c r="AW40" s="33">
        <f t="shared" si="560"/>
        <v>0</v>
      </c>
      <c r="AX40" s="34"/>
      <c r="AY40" s="31">
        <f t="shared" si="561"/>
        <v>0</v>
      </c>
      <c r="AZ40" s="35">
        <v>0.0</v>
      </c>
      <c r="BA40" s="33">
        <f t="shared" si="562"/>
        <v>0</v>
      </c>
      <c r="BB40" s="34"/>
      <c r="BC40" s="31">
        <f t="shared" si="563"/>
        <v>0</v>
      </c>
      <c r="BD40" s="35">
        <v>0.0</v>
      </c>
      <c r="BE40" s="33">
        <f t="shared" si="564"/>
        <v>0</v>
      </c>
      <c r="BF40" s="34"/>
      <c r="BG40" s="31">
        <f t="shared" si="565"/>
        <v>0</v>
      </c>
      <c r="BH40" s="35">
        <v>0.0</v>
      </c>
      <c r="BI40" s="33">
        <f t="shared" si="566"/>
        <v>0</v>
      </c>
      <c r="BJ40" s="34"/>
      <c r="BK40" s="31">
        <f t="shared" si="567"/>
        <v>0</v>
      </c>
      <c r="BL40" s="35">
        <v>0.0</v>
      </c>
      <c r="BM40" s="33">
        <f t="shared" si="568"/>
        <v>0</v>
      </c>
      <c r="BN40" s="34"/>
      <c r="BO40" s="31">
        <f t="shared" si="569"/>
        <v>0</v>
      </c>
      <c r="BP40" s="35">
        <v>0.0</v>
      </c>
      <c r="BQ40" s="33">
        <f t="shared" si="570"/>
        <v>0</v>
      </c>
      <c r="BR40" s="34"/>
      <c r="BS40" s="31">
        <f t="shared" si="571"/>
        <v>0</v>
      </c>
      <c r="BT40" s="35">
        <v>0.0</v>
      </c>
      <c r="BU40" s="33">
        <f t="shared" si="572"/>
        <v>0</v>
      </c>
      <c r="BV40" s="34"/>
      <c r="BW40" s="31">
        <f t="shared" si="573"/>
        <v>0</v>
      </c>
      <c r="BX40" s="35">
        <v>0.0</v>
      </c>
      <c r="BY40" s="33">
        <f t="shared" si="574"/>
        <v>0</v>
      </c>
      <c r="BZ40" s="34"/>
      <c r="CA40" s="31">
        <f t="shared" si="575"/>
        <v>0</v>
      </c>
      <c r="CB40" s="35">
        <v>0.0</v>
      </c>
      <c r="CC40" s="33">
        <f t="shared" si="576"/>
        <v>0</v>
      </c>
      <c r="CD40" s="34"/>
      <c r="CE40" s="31">
        <f t="shared" si="577"/>
        <v>0</v>
      </c>
      <c r="CF40" s="35">
        <v>0.0</v>
      </c>
      <c r="CG40" s="33">
        <f t="shared" si="578"/>
        <v>0</v>
      </c>
      <c r="CH40" s="34"/>
      <c r="CI40" s="31">
        <f t="shared" si="579"/>
        <v>0</v>
      </c>
      <c r="CJ40" s="35">
        <v>0.0</v>
      </c>
      <c r="CK40" s="33">
        <f t="shared" si="580"/>
        <v>0</v>
      </c>
      <c r="CL40" s="34"/>
      <c r="CM40" s="31">
        <f t="shared" si="581"/>
        <v>0</v>
      </c>
      <c r="CN40" s="35">
        <v>0.0</v>
      </c>
      <c r="CO40" s="33">
        <f t="shared" si="582"/>
        <v>0</v>
      </c>
      <c r="CP40" s="34"/>
      <c r="CQ40" s="31">
        <f t="shared" si="583"/>
        <v>0</v>
      </c>
      <c r="CR40" s="35">
        <v>0.0</v>
      </c>
      <c r="CS40" s="33">
        <f t="shared" si="584"/>
        <v>0</v>
      </c>
      <c r="CT40" s="34"/>
      <c r="CU40" s="31">
        <f t="shared" si="585"/>
        <v>0</v>
      </c>
      <c r="CV40" s="35">
        <v>0.0</v>
      </c>
      <c r="CW40" s="33">
        <f t="shared" si="586"/>
        <v>0</v>
      </c>
      <c r="CX40" s="34"/>
      <c r="CY40" s="31">
        <f t="shared" si="587"/>
        <v>0</v>
      </c>
      <c r="CZ40" s="35">
        <v>0.0</v>
      </c>
      <c r="DA40" s="33">
        <f t="shared" si="588"/>
        <v>0</v>
      </c>
      <c r="DB40" s="34"/>
      <c r="DC40" s="31">
        <f t="shared" si="589"/>
        <v>0</v>
      </c>
      <c r="DD40" s="35">
        <v>0.0</v>
      </c>
      <c r="DE40" s="33">
        <f t="shared" si="590"/>
        <v>0</v>
      </c>
      <c r="DF40" s="34"/>
      <c r="DG40" s="31">
        <f t="shared" si="591"/>
        <v>0</v>
      </c>
      <c r="DH40" s="35">
        <v>0.0</v>
      </c>
      <c r="DI40" s="33">
        <f t="shared" si="592"/>
        <v>0</v>
      </c>
      <c r="DJ40" s="34"/>
      <c r="DK40" s="31">
        <f t="shared" si="593"/>
        <v>0</v>
      </c>
      <c r="DL40" s="35">
        <v>0.0</v>
      </c>
      <c r="DM40" s="33">
        <f t="shared" si="594"/>
        <v>0</v>
      </c>
      <c r="DN40" s="34"/>
      <c r="DO40" s="31">
        <f t="shared" si="595"/>
        <v>0</v>
      </c>
      <c r="DP40" s="35">
        <v>0.0</v>
      </c>
      <c r="DQ40" s="33">
        <f t="shared" si="596"/>
        <v>0</v>
      </c>
      <c r="DR40" s="34"/>
      <c r="DS40" s="31">
        <f t="shared" si="597"/>
        <v>0</v>
      </c>
      <c r="DT40" s="35">
        <v>0.0</v>
      </c>
      <c r="DU40" s="33">
        <f t="shared" si="598"/>
        <v>0</v>
      </c>
      <c r="DV40" s="34"/>
      <c r="DW40" s="31">
        <f t="shared" si="599"/>
        <v>0</v>
      </c>
      <c r="DX40" s="35">
        <v>0.0</v>
      </c>
      <c r="DY40" s="33">
        <f t="shared" si="600"/>
        <v>0</v>
      </c>
      <c r="DZ40" s="34"/>
      <c r="EA40" s="31">
        <f t="shared" si="601"/>
        <v>0</v>
      </c>
      <c r="EB40" s="35">
        <v>0.0</v>
      </c>
      <c r="EC40" s="33">
        <f t="shared" si="602"/>
        <v>0</v>
      </c>
      <c r="ED40" s="34"/>
      <c r="EE40" s="31">
        <f t="shared" si="603"/>
        <v>0</v>
      </c>
      <c r="EF40" s="35">
        <v>0.0</v>
      </c>
      <c r="EG40" s="33">
        <f t="shared" si="604"/>
        <v>0</v>
      </c>
      <c r="EH40" s="34"/>
      <c r="EI40" s="31">
        <f t="shared" si="605"/>
        <v>0</v>
      </c>
      <c r="EJ40" s="35">
        <v>0.0</v>
      </c>
      <c r="EK40" s="33">
        <f t="shared" si="606"/>
        <v>0</v>
      </c>
      <c r="EL40" s="34">
        <v>0.0</v>
      </c>
      <c r="EM40" s="31">
        <f t="shared" si="607"/>
        <v>0</v>
      </c>
      <c r="EN40" s="35">
        <v>0.0</v>
      </c>
      <c r="EO40" s="33">
        <f t="shared" si="608"/>
        <v>0</v>
      </c>
      <c r="EP40" s="34">
        <v>0.0</v>
      </c>
      <c r="EQ40" s="31">
        <f t="shared" si="609"/>
        <v>0</v>
      </c>
      <c r="ER40" s="35">
        <v>0.0</v>
      </c>
      <c r="ES40" s="33">
        <f t="shared" si="610"/>
        <v>0</v>
      </c>
    </row>
    <row r="41" ht="18.0" customHeight="1">
      <c r="A41" s="2" t="s">
        <v>43</v>
      </c>
      <c r="B41" s="30">
        <f t="shared" ref="B41:D41" si="612">SUM(EP41,EL41,EH41,ED41,DZ41,DV41,DR41,DN41,DJ41,DF41,DB41,CX41,CT41,CP41,CL41,CH41,CD41,BZ41,BV41,BR41,BN41,BJ41,BF41,BB41,AX41,AT41,AP41,AL41,AH41,AD41,Z41,V41,R41,N41,J41,F41)</f>
        <v>2538</v>
      </c>
      <c r="C41" s="31">
        <f t="shared" si="612"/>
        <v>45038</v>
      </c>
      <c r="D41" s="32">
        <f t="shared" si="612"/>
        <v>45000</v>
      </c>
      <c r="E41" s="33">
        <f t="shared" si="538"/>
        <v>38</v>
      </c>
      <c r="F41" s="34"/>
      <c r="G41" s="31">
        <f t="shared" si="539"/>
        <v>1250</v>
      </c>
      <c r="H41" s="35">
        <v>1250.0</v>
      </c>
      <c r="I41" s="33">
        <f t="shared" si="540"/>
        <v>0</v>
      </c>
      <c r="J41" s="34"/>
      <c r="K41" s="31">
        <f t="shared" si="541"/>
        <v>1250</v>
      </c>
      <c r="L41" s="35">
        <v>1250.0</v>
      </c>
      <c r="M41" s="33">
        <f t="shared" si="542"/>
        <v>0</v>
      </c>
      <c r="N41" s="34"/>
      <c r="O41" s="31">
        <f t="shared" si="543"/>
        <v>1250</v>
      </c>
      <c r="P41" s="35">
        <v>1250.0</v>
      </c>
      <c r="Q41" s="33">
        <f t="shared" si="544"/>
        <v>0</v>
      </c>
      <c r="R41" s="34"/>
      <c r="S41" s="31">
        <f t="shared" si="545"/>
        <v>1250</v>
      </c>
      <c r="T41" s="35">
        <v>1250.0</v>
      </c>
      <c r="U41" s="33">
        <f t="shared" si="546"/>
        <v>0</v>
      </c>
      <c r="V41" s="34"/>
      <c r="W41" s="31">
        <f t="shared" si="547"/>
        <v>1250</v>
      </c>
      <c r="X41" s="35">
        <v>1250.0</v>
      </c>
      <c r="Y41" s="33">
        <f t="shared" si="548"/>
        <v>0</v>
      </c>
      <c r="Z41" s="34"/>
      <c r="AA41" s="31">
        <f t="shared" si="549"/>
        <v>1250</v>
      </c>
      <c r="AB41" s="35">
        <v>1250.0</v>
      </c>
      <c r="AC41" s="33">
        <f t="shared" si="550"/>
        <v>0</v>
      </c>
      <c r="AD41" s="34"/>
      <c r="AE41" s="31">
        <f t="shared" si="551"/>
        <v>1250</v>
      </c>
      <c r="AF41" s="35">
        <v>1250.0</v>
      </c>
      <c r="AG41" s="33">
        <f t="shared" si="552"/>
        <v>0</v>
      </c>
      <c r="AH41" s="34"/>
      <c r="AI41" s="31">
        <f t="shared" si="553"/>
        <v>1250</v>
      </c>
      <c r="AJ41" s="35">
        <v>1250.0</v>
      </c>
      <c r="AK41" s="33">
        <f t="shared" si="554"/>
        <v>0</v>
      </c>
      <c r="AL41" s="34"/>
      <c r="AM41" s="31">
        <f t="shared" si="555"/>
        <v>1250</v>
      </c>
      <c r="AN41" s="35">
        <v>1250.0</v>
      </c>
      <c r="AO41" s="33">
        <f t="shared" si="556"/>
        <v>0</v>
      </c>
      <c r="AP41" s="34"/>
      <c r="AQ41" s="31">
        <f t="shared" si="557"/>
        <v>1250</v>
      </c>
      <c r="AR41" s="35">
        <v>1250.0</v>
      </c>
      <c r="AS41" s="33">
        <f t="shared" si="558"/>
        <v>0</v>
      </c>
      <c r="AT41" s="34"/>
      <c r="AU41" s="31">
        <f t="shared" si="559"/>
        <v>1250</v>
      </c>
      <c r="AV41" s="35">
        <v>1250.0</v>
      </c>
      <c r="AW41" s="33">
        <f t="shared" si="560"/>
        <v>0</v>
      </c>
      <c r="AX41" s="34"/>
      <c r="AY41" s="31">
        <f t="shared" si="561"/>
        <v>1250</v>
      </c>
      <c r="AZ41" s="35">
        <v>1250.0</v>
      </c>
      <c r="BA41" s="33">
        <f t="shared" si="562"/>
        <v>0</v>
      </c>
      <c r="BB41" s="34"/>
      <c r="BC41" s="31">
        <f t="shared" si="563"/>
        <v>1250</v>
      </c>
      <c r="BD41" s="35">
        <v>1250.0</v>
      </c>
      <c r="BE41" s="33">
        <f t="shared" si="564"/>
        <v>0</v>
      </c>
      <c r="BF41" s="34"/>
      <c r="BG41" s="31">
        <f t="shared" si="565"/>
        <v>1250</v>
      </c>
      <c r="BH41" s="35">
        <v>1250.0</v>
      </c>
      <c r="BI41" s="33">
        <f t="shared" si="566"/>
        <v>0</v>
      </c>
      <c r="BJ41" s="34"/>
      <c r="BK41" s="31">
        <f t="shared" si="567"/>
        <v>1250</v>
      </c>
      <c r="BL41" s="35">
        <v>1250.0</v>
      </c>
      <c r="BM41" s="33">
        <f t="shared" si="568"/>
        <v>0</v>
      </c>
      <c r="BN41" s="34"/>
      <c r="BO41" s="31">
        <f t="shared" si="569"/>
        <v>1250</v>
      </c>
      <c r="BP41" s="35">
        <v>1250.0</v>
      </c>
      <c r="BQ41" s="33">
        <f t="shared" si="570"/>
        <v>0</v>
      </c>
      <c r="BR41" s="34"/>
      <c r="BS41" s="31">
        <f t="shared" si="571"/>
        <v>1250</v>
      </c>
      <c r="BT41" s="35">
        <v>1250.0</v>
      </c>
      <c r="BU41" s="33">
        <f t="shared" si="572"/>
        <v>0</v>
      </c>
      <c r="BV41" s="34"/>
      <c r="BW41" s="31">
        <f t="shared" si="573"/>
        <v>1250</v>
      </c>
      <c r="BX41" s="35">
        <v>1250.0</v>
      </c>
      <c r="BY41" s="33">
        <f t="shared" si="574"/>
        <v>0</v>
      </c>
      <c r="BZ41" s="34"/>
      <c r="CA41" s="31">
        <f t="shared" si="575"/>
        <v>1250</v>
      </c>
      <c r="CB41" s="35">
        <v>1250.0</v>
      </c>
      <c r="CC41" s="33">
        <f t="shared" si="576"/>
        <v>0</v>
      </c>
      <c r="CD41" s="34"/>
      <c r="CE41" s="31">
        <f t="shared" si="577"/>
        <v>1250</v>
      </c>
      <c r="CF41" s="35">
        <v>1250.0</v>
      </c>
      <c r="CG41" s="33">
        <f t="shared" si="578"/>
        <v>0</v>
      </c>
      <c r="CH41" s="34"/>
      <c r="CI41" s="31">
        <f t="shared" si="579"/>
        <v>1250</v>
      </c>
      <c r="CJ41" s="35">
        <v>1250.0</v>
      </c>
      <c r="CK41" s="33">
        <f t="shared" si="580"/>
        <v>0</v>
      </c>
      <c r="CL41" s="34"/>
      <c r="CM41" s="31">
        <f t="shared" si="581"/>
        <v>1250</v>
      </c>
      <c r="CN41" s="35">
        <v>1250.0</v>
      </c>
      <c r="CO41" s="33">
        <f t="shared" si="582"/>
        <v>0</v>
      </c>
      <c r="CP41" s="34"/>
      <c r="CQ41" s="31">
        <f t="shared" si="583"/>
        <v>1250</v>
      </c>
      <c r="CR41" s="35">
        <v>1250.0</v>
      </c>
      <c r="CS41" s="33">
        <f t="shared" si="584"/>
        <v>0</v>
      </c>
      <c r="CT41" s="34"/>
      <c r="CU41" s="31">
        <f t="shared" si="585"/>
        <v>1250</v>
      </c>
      <c r="CV41" s="35">
        <v>1250.0</v>
      </c>
      <c r="CW41" s="33">
        <f t="shared" si="586"/>
        <v>0</v>
      </c>
      <c r="CX41" s="34"/>
      <c r="CY41" s="31">
        <f t="shared" si="587"/>
        <v>1250</v>
      </c>
      <c r="CZ41" s="35">
        <v>1250.0</v>
      </c>
      <c r="DA41" s="33">
        <f t="shared" si="588"/>
        <v>0</v>
      </c>
      <c r="DB41" s="34"/>
      <c r="DC41" s="31">
        <f t="shared" si="589"/>
        <v>1250</v>
      </c>
      <c r="DD41" s="35">
        <v>1250.0</v>
      </c>
      <c r="DE41" s="33">
        <f t="shared" si="590"/>
        <v>0</v>
      </c>
      <c r="DF41" s="34"/>
      <c r="DG41" s="31">
        <f t="shared" si="591"/>
        <v>1250</v>
      </c>
      <c r="DH41" s="35">
        <v>1250.0</v>
      </c>
      <c r="DI41" s="33">
        <f t="shared" si="592"/>
        <v>0</v>
      </c>
      <c r="DJ41" s="34"/>
      <c r="DK41" s="31">
        <f t="shared" si="593"/>
        <v>1250</v>
      </c>
      <c r="DL41" s="35">
        <v>1250.0</v>
      </c>
      <c r="DM41" s="33">
        <f t="shared" si="594"/>
        <v>0</v>
      </c>
      <c r="DN41" s="34"/>
      <c r="DO41" s="31">
        <f t="shared" si="595"/>
        <v>1250</v>
      </c>
      <c r="DP41" s="35">
        <v>1250.0</v>
      </c>
      <c r="DQ41" s="33">
        <f t="shared" si="596"/>
        <v>0</v>
      </c>
      <c r="DR41" s="34"/>
      <c r="DS41" s="31">
        <f t="shared" si="597"/>
        <v>1250</v>
      </c>
      <c r="DT41" s="35">
        <v>1250.0</v>
      </c>
      <c r="DU41" s="33">
        <f t="shared" si="598"/>
        <v>0</v>
      </c>
      <c r="DV41" s="34"/>
      <c r="DW41" s="31">
        <f t="shared" si="599"/>
        <v>1250</v>
      </c>
      <c r="DX41" s="35">
        <v>1250.0</v>
      </c>
      <c r="DY41" s="33">
        <f t="shared" si="600"/>
        <v>0</v>
      </c>
      <c r="DZ41" s="34"/>
      <c r="EA41" s="31">
        <f t="shared" si="601"/>
        <v>1250</v>
      </c>
      <c r="EB41" s="35">
        <v>1250.0</v>
      </c>
      <c r="EC41" s="33">
        <f t="shared" si="602"/>
        <v>0</v>
      </c>
      <c r="ED41" s="34"/>
      <c r="EE41" s="31">
        <f t="shared" si="603"/>
        <v>1250</v>
      </c>
      <c r="EF41" s="35">
        <v>1250.0</v>
      </c>
      <c r="EG41" s="33">
        <f t="shared" si="604"/>
        <v>0</v>
      </c>
      <c r="EH41" s="34"/>
      <c r="EI41" s="31">
        <f t="shared" si="605"/>
        <v>1250</v>
      </c>
      <c r="EJ41" s="35">
        <v>1250.0</v>
      </c>
      <c r="EK41" s="33">
        <f t="shared" si="606"/>
        <v>0</v>
      </c>
      <c r="EL41" s="34">
        <v>1225.0</v>
      </c>
      <c r="EM41" s="31">
        <f t="shared" si="607"/>
        <v>1225</v>
      </c>
      <c r="EN41" s="35">
        <v>1250.0</v>
      </c>
      <c r="EO41" s="33">
        <f t="shared" si="608"/>
        <v>-25</v>
      </c>
      <c r="EP41" s="34">
        <v>1313.0</v>
      </c>
      <c r="EQ41" s="31">
        <f t="shared" si="609"/>
        <v>1313</v>
      </c>
      <c r="ER41" s="35">
        <v>1250.0</v>
      </c>
      <c r="ES41" s="33">
        <f t="shared" si="610"/>
        <v>63</v>
      </c>
    </row>
    <row r="42" ht="18.0" customHeight="1">
      <c r="A42" s="2" t="s">
        <v>44</v>
      </c>
      <c r="B42" s="30">
        <f t="shared" ref="B42:D42" si="613">SUM(EP42,EL42,EH42,ED42,DZ42,DV42,DR42,DN42,DJ42,DF42,DB42,CX42,CT42,CP42,CL42,CH42,CD42,BZ42,BV42,BR42,BN42,BJ42,BF42,BB42,AX42,AT42,AP42,AL42,AH42,AD42,Z42,V42,R42,N42,J42,F42)</f>
        <v>10252</v>
      </c>
      <c r="C42" s="31">
        <f t="shared" si="613"/>
        <v>181952</v>
      </c>
      <c r="D42" s="32">
        <f t="shared" si="613"/>
        <v>181800</v>
      </c>
      <c r="E42" s="33">
        <f t="shared" si="538"/>
        <v>152</v>
      </c>
      <c r="F42" s="34"/>
      <c r="G42" s="31">
        <f t="shared" si="539"/>
        <v>5050</v>
      </c>
      <c r="H42" s="35">
        <v>5050.0</v>
      </c>
      <c r="I42" s="33">
        <f t="shared" si="540"/>
        <v>0</v>
      </c>
      <c r="J42" s="34"/>
      <c r="K42" s="31">
        <f t="shared" si="541"/>
        <v>5050</v>
      </c>
      <c r="L42" s="35">
        <v>5050.0</v>
      </c>
      <c r="M42" s="33">
        <f t="shared" si="542"/>
        <v>0</v>
      </c>
      <c r="N42" s="34"/>
      <c r="O42" s="31">
        <f t="shared" si="543"/>
        <v>5050</v>
      </c>
      <c r="P42" s="35">
        <v>5050.0</v>
      </c>
      <c r="Q42" s="33">
        <f t="shared" si="544"/>
        <v>0</v>
      </c>
      <c r="R42" s="34"/>
      <c r="S42" s="31">
        <f t="shared" si="545"/>
        <v>5050</v>
      </c>
      <c r="T42" s="35">
        <v>5050.0</v>
      </c>
      <c r="U42" s="33">
        <f t="shared" si="546"/>
        <v>0</v>
      </c>
      <c r="V42" s="34"/>
      <c r="W42" s="31">
        <f t="shared" si="547"/>
        <v>5050</v>
      </c>
      <c r="X42" s="35">
        <v>5050.0</v>
      </c>
      <c r="Y42" s="33">
        <f t="shared" si="548"/>
        <v>0</v>
      </c>
      <c r="Z42" s="34"/>
      <c r="AA42" s="31">
        <f t="shared" si="549"/>
        <v>5050</v>
      </c>
      <c r="AB42" s="35">
        <v>5050.0</v>
      </c>
      <c r="AC42" s="33">
        <f t="shared" si="550"/>
        <v>0</v>
      </c>
      <c r="AD42" s="34"/>
      <c r="AE42" s="31">
        <f t="shared" si="551"/>
        <v>5050</v>
      </c>
      <c r="AF42" s="35">
        <v>5050.0</v>
      </c>
      <c r="AG42" s="33">
        <f t="shared" si="552"/>
        <v>0</v>
      </c>
      <c r="AH42" s="34"/>
      <c r="AI42" s="31">
        <f t="shared" si="553"/>
        <v>5050</v>
      </c>
      <c r="AJ42" s="35">
        <v>5050.0</v>
      </c>
      <c r="AK42" s="33">
        <f t="shared" si="554"/>
        <v>0</v>
      </c>
      <c r="AL42" s="34"/>
      <c r="AM42" s="31">
        <f t="shared" si="555"/>
        <v>5050</v>
      </c>
      <c r="AN42" s="35">
        <v>5050.0</v>
      </c>
      <c r="AO42" s="33">
        <f t="shared" si="556"/>
        <v>0</v>
      </c>
      <c r="AP42" s="34"/>
      <c r="AQ42" s="31">
        <f t="shared" si="557"/>
        <v>5050</v>
      </c>
      <c r="AR42" s="35">
        <v>5050.0</v>
      </c>
      <c r="AS42" s="33">
        <f t="shared" si="558"/>
        <v>0</v>
      </c>
      <c r="AT42" s="34"/>
      <c r="AU42" s="31">
        <f t="shared" si="559"/>
        <v>5050</v>
      </c>
      <c r="AV42" s="35">
        <v>5050.0</v>
      </c>
      <c r="AW42" s="33">
        <f t="shared" si="560"/>
        <v>0</v>
      </c>
      <c r="AX42" s="34"/>
      <c r="AY42" s="31">
        <f t="shared" si="561"/>
        <v>5050</v>
      </c>
      <c r="AZ42" s="35">
        <v>5050.0</v>
      </c>
      <c r="BA42" s="33">
        <f t="shared" si="562"/>
        <v>0</v>
      </c>
      <c r="BB42" s="34"/>
      <c r="BC42" s="31">
        <f t="shared" si="563"/>
        <v>5050</v>
      </c>
      <c r="BD42" s="35">
        <v>5050.0</v>
      </c>
      <c r="BE42" s="33">
        <f t="shared" si="564"/>
        <v>0</v>
      </c>
      <c r="BF42" s="34"/>
      <c r="BG42" s="31">
        <f t="shared" si="565"/>
        <v>5050</v>
      </c>
      <c r="BH42" s="35">
        <v>5050.0</v>
      </c>
      <c r="BI42" s="33">
        <f t="shared" si="566"/>
        <v>0</v>
      </c>
      <c r="BJ42" s="34"/>
      <c r="BK42" s="31">
        <f t="shared" si="567"/>
        <v>5050</v>
      </c>
      <c r="BL42" s="35">
        <v>5050.0</v>
      </c>
      <c r="BM42" s="33">
        <f t="shared" si="568"/>
        <v>0</v>
      </c>
      <c r="BN42" s="34"/>
      <c r="BO42" s="31">
        <f t="shared" si="569"/>
        <v>5050</v>
      </c>
      <c r="BP42" s="35">
        <v>5050.0</v>
      </c>
      <c r="BQ42" s="33">
        <f t="shared" si="570"/>
        <v>0</v>
      </c>
      <c r="BR42" s="34"/>
      <c r="BS42" s="31">
        <f t="shared" si="571"/>
        <v>5050</v>
      </c>
      <c r="BT42" s="35">
        <v>5050.0</v>
      </c>
      <c r="BU42" s="33">
        <f t="shared" si="572"/>
        <v>0</v>
      </c>
      <c r="BV42" s="34"/>
      <c r="BW42" s="31">
        <f t="shared" si="573"/>
        <v>5050</v>
      </c>
      <c r="BX42" s="35">
        <v>5050.0</v>
      </c>
      <c r="BY42" s="33">
        <f t="shared" si="574"/>
        <v>0</v>
      </c>
      <c r="BZ42" s="34"/>
      <c r="CA42" s="31">
        <f t="shared" si="575"/>
        <v>5050</v>
      </c>
      <c r="CB42" s="35">
        <v>5050.0</v>
      </c>
      <c r="CC42" s="33">
        <f t="shared" si="576"/>
        <v>0</v>
      </c>
      <c r="CD42" s="34"/>
      <c r="CE42" s="31">
        <f t="shared" si="577"/>
        <v>5050</v>
      </c>
      <c r="CF42" s="35">
        <v>5050.0</v>
      </c>
      <c r="CG42" s="33">
        <f t="shared" si="578"/>
        <v>0</v>
      </c>
      <c r="CH42" s="34"/>
      <c r="CI42" s="31">
        <f t="shared" si="579"/>
        <v>5050</v>
      </c>
      <c r="CJ42" s="35">
        <v>5050.0</v>
      </c>
      <c r="CK42" s="33">
        <f t="shared" si="580"/>
        <v>0</v>
      </c>
      <c r="CL42" s="34"/>
      <c r="CM42" s="31">
        <f t="shared" si="581"/>
        <v>5050</v>
      </c>
      <c r="CN42" s="35">
        <v>5050.0</v>
      </c>
      <c r="CO42" s="33">
        <f t="shared" si="582"/>
        <v>0</v>
      </c>
      <c r="CP42" s="34"/>
      <c r="CQ42" s="31">
        <f t="shared" si="583"/>
        <v>5050</v>
      </c>
      <c r="CR42" s="35">
        <v>5050.0</v>
      </c>
      <c r="CS42" s="33">
        <f t="shared" si="584"/>
        <v>0</v>
      </c>
      <c r="CT42" s="34"/>
      <c r="CU42" s="31">
        <f t="shared" si="585"/>
        <v>5050</v>
      </c>
      <c r="CV42" s="35">
        <v>5050.0</v>
      </c>
      <c r="CW42" s="33">
        <f t="shared" si="586"/>
        <v>0</v>
      </c>
      <c r="CX42" s="34"/>
      <c r="CY42" s="31">
        <f t="shared" si="587"/>
        <v>5050</v>
      </c>
      <c r="CZ42" s="35">
        <v>5050.0</v>
      </c>
      <c r="DA42" s="33">
        <f t="shared" si="588"/>
        <v>0</v>
      </c>
      <c r="DB42" s="34"/>
      <c r="DC42" s="31">
        <f t="shared" si="589"/>
        <v>5050</v>
      </c>
      <c r="DD42" s="35">
        <v>5050.0</v>
      </c>
      <c r="DE42" s="33">
        <f t="shared" si="590"/>
        <v>0</v>
      </c>
      <c r="DF42" s="34"/>
      <c r="DG42" s="31">
        <f t="shared" si="591"/>
        <v>5050</v>
      </c>
      <c r="DH42" s="35">
        <v>5050.0</v>
      </c>
      <c r="DI42" s="33">
        <f t="shared" si="592"/>
        <v>0</v>
      </c>
      <c r="DJ42" s="34"/>
      <c r="DK42" s="31">
        <f t="shared" si="593"/>
        <v>5050</v>
      </c>
      <c r="DL42" s="35">
        <v>5050.0</v>
      </c>
      <c r="DM42" s="33">
        <f t="shared" si="594"/>
        <v>0</v>
      </c>
      <c r="DN42" s="34"/>
      <c r="DO42" s="31">
        <f t="shared" si="595"/>
        <v>5050</v>
      </c>
      <c r="DP42" s="35">
        <v>5050.0</v>
      </c>
      <c r="DQ42" s="33">
        <f t="shared" si="596"/>
        <v>0</v>
      </c>
      <c r="DR42" s="34"/>
      <c r="DS42" s="31">
        <f t="shared" si="597"/>
        <v>5050</v>
      </c>
      <c r="DT42" s="35">
        <v>5050.0</v>
      </c>
      <c r="DU42" s="33">
        <f t="shared" si="598"/>
        <v>0</v>
      </c>
      <c r="DV42" s="34"/>
      <c r="DW42" s="31">
        <f t="shared" si="599"/>
        <v>5050</v>
      </c>
      <c r="DX42" s="35">
        <v>5050.0</v>
      </c>
      <c r="DY42" s="33">
        <f t="shared" si="600"/>
        <v>0</v>
      </c>
      <c r="DZ42" s="34"/>
      <c r="EA42" s="31">
        <f t="shared" si="601"/>
        <v>5050</v>
      </c>
      <c r="EB42" s="35">
        <v>5050.0</v>
      </c>
      <c r="EC42" s="33">
        <f t="shared" si="602"/>
        <v>0</v>
      </c>
      <c r="ED42" s="34"/>
      <c r="EE42" s="31">
        <f t="shared" si="603"/>
        <v>5050</v>
      </c>
      <c r="EF42" s="35">
        <v>5050.0</v>
      </c>
      <c r="EG42" s="33">
        <f t="shared" si="604"/>
        <v>0</v>
      </c>
      <c r="EH42" s="34"/>
      <c r="EI42" s="31">
        <f t="shared" si="605"/>
        <v>5050</v>
      </c>
      <c r="EJ42" s="35">
        <v>5050.0</v>
      </c>
      <c r="EK42" s="33">
        <f t="shared" si="606"/>
        <v>0</v>
      </c>
      <c r="EL42" s="34">
        <v>4949.0</v>
      </c>
      <c r="EM42" s="31">
        <f t="shared" si="607"/>
        <v>4949</v>
      </c>
      <c r="EN42" s="35">
        <v>5050.0</v>
      </c>
      <c r="EO42" s="33">
        <f t="shared" si="608"/>
        <v>-101</v>
      </c>
      <c r="EP42" s="34">
        <v>5303.0</v>
      </c>
      <c r="EQ42" s="31">
        <f t="shared" si="609"/>
        <v>5303</v>
      </c>
      <c r="ER42" s="35">
        <v>5050.0</v>
      </c>
      <c r="ES42" s="33">
        <f t="shared" si="610"/>
        <v>253</v>
      </c>
    </row>
    <row r="43" ht="18.0" customHeight="1">
      <c r="A43" s="2" t="s">
        <v>45</v>
      </c>
      <c r="B43" s="30">
        <f t="shared" ref="B43:D43" si="614">SUM(EP43,EL43,EH43,ED43,DZ43,DV43,DR43,DN43,DJ43,DF43,DB43,CX43,CT43,CP43,CL43,CH43,CD43,BZ43,BV43,BR43,BN43,BJ43,BF43,BB43,AX43,AT43,AP43,AL43,AH43,AD43,Z43,V43,R43,N43,J43,F43)</f>
        <v>609</v>
      </c>
      <c r="C43" s="31">
        <f t="shared" si="614"/>
        <v>10809</v>
      </c>
      <c r="D43" s="32">
        <f t="shared" si="614"/>
        <v>10800</v>
      </c>
      <c r="E43" s="33">
        <f t="shared" si="538"/>
        <v>9</v>
      </c>
      <c r="F43" s="34"/>
      <c r="G43" s="31">
        <f t="shared" si="539"/>
        <v>300</v>
      </c>
      <c r="H43" s="35">
        <v>300.0</v>
      </c>
      <c r="I43" s="33">
        <f t="shared" si="540"/>
        <v>0</v>
      </c>
      <c r="J43" s="34"/>
      <c r="K43" s="31">
        <f t="shared" si="541"/>
        <v>300</v>
      </c>
      <c r="L43" s="35">
        <v>300.0</v>
      </c>
      <c r="M43" s="33">
        <f t="shared" si="542"/>
        <v>0</v>
      </c>
      <c r="N43" s="34"/>
      <c r="O43" s="31">
        <f t="shared" si="543"/>
        <v>300</v>
      </c>
      <c r="P43" s="35">
        <v>300.0</v>
      </c>
      <c r="Q43" s="33">
        <f t="shared" si="544"/>
        <v>0</v>
      </c>
      <c r="R43" s="34"/>
      <c r="S43" s="31">
        <f t="shared" si="545"/>
        <v>300</v>
      </c>
      <c r="T43" s="35">
        <v>300.0</v>
      </c>
      <c r="U43" s="33">
        <f t="shared" si="546"/>
        <v>0</v>
      </c>
      <c r="V43" s="34"/>
      <c r="W43" s="31">
        <f t="shared" si="547"/>
        <v>300</v>
      </c>
      <c r="X43" s="35">
        <v>300.0</v>
      </c>
      <c r="Y43" s="33">
        <f t="shared" si="548"/>
        <v>0</v>
      </c>
      <c r="Z43" s="34"/>
      <c r="AA43" s="31">
        <f t="shared" si="549"/>
        <v>300</v>
      </c>
      <c r="AB43" s="35">
        <v>300.0</v>
      </c>
      <c r="AC43" s="33">
        <f t="shared" si="550"/>
        <v>0</v>
      </c>
      <c r="AD43" s="34"/>
      <c r="AE43" s="31">
        <f t="shared" si="551"/>
        <v>300</v>
      </c>
      <c r="AF43" s="35">
        <v>300.0</v>
      </c>
      <c r="AG43" s="33">
        <f t="shared" si="552"/>
        <v>0</v>
      </c>
      <c r="AH43" s="34"/>
      <c r="AI43" s="31">
        <f t="shared" si="553"/>
        <v>300</v>
      </c>
      <c r="AJ43" s="35">
        <v>300.0</v>
      </c>
      <c r="AK43" s="33">
        <f t="shared" si="554"/>
        <v>0</v>
      </c>
      <c r="AL43" s="34"/>
      <c r="AM43" s="31">
        <f t="shared" si="555"/>
        <v>300</v>
      </c>
      <c r="AN43" s="35">
        <v>300.0</v>
      </c>
      <c r="AO43" s="33">
        <f t="shared" si="556"/>
        <v>0</v>
      </c>
      <c r="AP43" s="34"/>
      <c r="AQ43" s="31">
        <f t="shared" si="557"/>
        <v>300</v>
      </c>
      <c r="AR43" s="35">
        <v>300.0</v>
      </c>
      <c r="AS43" s="33">
        <f t="shared" si="558"/>
        <v>0</v>
      </c>
      <c r="AT43" s="34"/>
      <c r="AU43" s="31">
        <f t="shared" si="559"/>
        <v>300</v>
      </c>
      <c r="AV43" s="35">
        <v>300.0</v>
      </c>
      <c r="AW43" s="33">
        <f t="shared" si="560"/>
        <v>0</v>
      </c>
      <c r="AX43" s="34"/>
      <c r="AY43" s="31">
        <f t="shared" si="561"/>
        <v>300</v>
      </c>
      <c r="AZ43" s="35">
        <v>300.0</v>
      </c>
      <c r="BA43" s="33">
        <f t="shared" si="562"/>
        <v>0</v>
      </c>
      <c r="BB43" s="34"/>
      <c r="BC43" s="31">
        <f t="shared" si="563"/>
        <v>300</v>
      </c>
      <c r="BD43" s="35">
        <v>300.0</v>
      </c>
      <c r="BE43" s="33">
        <f t="shared" si="564"/>
        <v>0</v>
      </c>
      <c r="BF43" s="34"/>
      <c r="BG43" s="31">
        <f t="shared" si="565"/>
        <v>300</v>
      </c>
      <c r="BH43" s="35">
        <v>300.0</v>
      </c>
      <c r="BI43" s="33">
        <f t="shared" si="566"/>
        <v>0</v>
      </c>
      <c r="BJ43" s="34"/>
      <c r="BK43" s="31">
        <f t="shared" si="567"/>
        <v>300</v>
      </c>
      <c r="BL43" s="35">
        <v>300.0</v>
      </c>
      <c r="BM43" s="33">
        <f t="shared" si="568"/>
        <v>0</v>
      </c>
      <c r="BN43" s="34"/>
      <c r="BO43" s="31">
        <f t="shared" si="569"/>
        <v>300</v>
      </c>
      <c r="BP43" s="35">
        <v>300.0</v>
      </c>
      <c r="BQ43" s="33">
        <f t="shared" si="570"/>
        <v>0</v>
      </c>
      <c r="BR43" s="34"/>
      <c r="BS43" s="31">
        <f t="shared" si="571"/>
        <v>300</v>
      </c>
      <c r="BT43" s="35">
        <v>300.0</v>
      </c>
      <c r="BU43" s="33">
        <f t="shared" si="572"/>
        <v>0</v>
      </c>
      <c r="BV43" s="34"/>
      <c r="BW43" s="31">
        <f t="shared" si="573"/>
        <v>300</v>
      </c>
      <c r="BX43" s="35">
        <v>300.0</v>
      </c>
      <c r="BY43" s="33">
        <f t="shared" si="574"/>
        <v>0</v>
      </c>
      <c r="BZ43" s="34"/>
      <c r="CA43" s="31">
        <f t="shared" si="575"/>
        <v>300</v>
      </c>
      <c r="CB43" s="35">
        <v>300.0</v>
      </c>
      <c r="CC43" s="33">
        <f t="shared" si="576"/>
        <v>0</v>
      </c>
      <c r="CD43" s="34"/>
      <c r="CE43" s="31">
        <f t="shared" si="577"/>
        <v>300</v>
      </c>
      <c r="CF43" s="35">
        <v>300.0</v>
      </c>
      <c r="CG43" s="33">
        <f t="shared" si="578"/>
        <v>0</v>
      </c>
      <c r="CH43" s="34"/>
      <c r="CI43" s="31">
        <f t="shared" si="579"/>
        <v>300</v>
      </c>
      <c r="CJ43" s="35">
        <v>300.0</v>
      </c>
      <c r="CK43" s="33">
        <f t="shared" si="580"/>
        <v>0</v>
      </c>
      <c r="CL43" s="34"/>
      <c r="CM43" s="31">
        <f t="shared" si="581"/>
        <v>300</v>
      </c>
      <c r="CN43" s="35">
        <v>300.0</v>
      </c>
      <c r="CO43" s="33">
        <f t="shared" si="582"/>
        <v>0</v>
      </c>
      <c r="CP43" s="34"/>
      <c r="CQ43" s="31">
        <f t="shared" si="583"/>
        <v>300</v>
      </c>
      <c r="CR43" s="35">
        <v>300.0</v>
      </c>
      <c r="CS43" s="33">
        <f t="shared" si="584"/>
        <v>0</v>
      </c>
      <c r="CT43" s="34"/>
      <c r="CU43" s="31">
        <f t="shared" si="585"/>
        <v>300</v>
      </c>
      <c r="CV43" s="35">
        <v>300.0</v>
      </c>
      <c r="CW43" s="33">
        <f t="shared" si="586"/>
        <v>0</v>
      </c>
      <c r="CX43" s="34"/>
      <c r="CY43" s="31">
        <f t="shared" si="587"/>
        <v>300</v>
      </c>
      <c r="CZ43" s="35">
        <v>300.0</v>
      </c>
      <c r="DA43" s="33">
        <f t="shared" si="588"/>
        <v>0</v>
      </c>
      <c r="DB43" s="34"/>
      <c r="DC43" s="31">
        <f t="shared" si="589"/>
        <v>300</v>
      </c>
      <c r="DD43" s="35">
        <v>300.0</v>
      </c>
      <c r="DE43" s="33">
        <f t="shared" si="590"/>
        <v>0</v>
      </c>
      <c r="DF43" s="34"/>
      <c r="DG43" s="31">
        <f t="shared" si="591"/>
        <v>300</v>
      </c>
      <c r="DH43" s="35">
        <v>300.0</v>
      </c>
      <c r="DI43" s="33">
        <f t="shared" si="592"/>
        <v>0</v>
      </c>
      <c r="DJ43" s="34"/>
      <c r="DK43" s="31">
        <f t="shared" si="593"/>
        <v>300</v>
      </c>
      <c r="DL43" s="35">
        <v>300.0</v>
      </c>
      <c r="DM43" s="33">
        <f t="shared" si="594"/>
        <v>0</v>
      </c>
      <c r="DN43" s="34"/>
      <c r="DO43" s="31">
        <f t="shared" si="595"/>
        <v>300</v>
      </c>
      <c r="DP43" s="35">
        <v>300.0</v>
      </c>
      <c r="DQ43" s="33">
        <f t="shared" si="596"/>
        <v>0</v>
      </c>
      <c r="DR43" s="34"/>
      <c r="DS43" s="31">
        <f t="shared" si="597"/>
        <v>300</v>
      </c>
      <c r="DT43" s="35">
        <v>300.0</v>
      </c>
      <c r="DU43" s="33">
        <f t="shared" si="598"/>
        <v>0</v>
      </c>
      <c r="DV43" s="34"/>
      <c r="DW43" s="31">
        <f t="shared" si="599"/>
        <v>300</v>
      </c>
      <c r="DX43" s="35">
        <v>300.0</v>
      </c>
      <c r="DY43" s="33">
        <f t="shared" si="600"/>
        <v>0</v>
      </c>
      <c r="DZ43" s="34"/>
      <c r="EA43" s="31">
        <f t="shared" si="601"/>
        <v>300</v>
      </c>
      <c r="EB43" s="35">
        <v>300.0</v>
      </c>
      <c r="EC43" s="33">
        <f t="shared" si="602"/>
        <v>0</v>
      </c>
      <c r="ED43" s="34"/>
      <c r="EE43" s="31">
        <f t="shared" si="603"/>
        <v>300</v>
      </c>
      <c r="EF43" s="35">
        <v>300.0</v>
      </c>
      <c r="EG43" s="33">
        <f t="shared" si="604"/>
        <v>0</v>
      </c>
      <c r="EH43" s="34"/>
      <c r="EI43" s="31">
        <f t="shared" si="605"/>
        <v>300</v>
      </c>
      <c r="EJ43" s="35">
        <v>300.0</v>
      </c>
      <c r="EK43" s="33">
        <f t="shared" si="606"/>
        <v>0</v>
      </c>
      <c r="EL43" s="34">
        <v>294.0</v>
      </c>
      <c r="EM43" s="31">
        <f t="shared" si="607"/>
        <v>294</v>
      </c>
      <c r="EN43" s="35">
        <v>300.0</v>
      </c>
      <c r="EO43" s="33">
        <f t="shared" si="608"/>
        <v>-6</v>
      </c>
      <c r="EP43" s="34">
        <v>315.0</v>
      </c>
      <c r="EQ43" s="31">
        <f t="shared" si="609"/>
        <v>315</v>
      </c>
      <c r="ER43" s="35">
        <v>300.0</v>
      </c>
      <c r="ES43" s="33">
        <f t="shared" si="610"/>
        <v>15</v>
      </c>
    </row>
    <row r="44" ht="18.0" customHeight="1">
      <c r="A44" s="2" t="s">
        <v>46</v>
      </c>
      <c r="B44" s="30">
        <f t="shared" ref="B44:D44" si="615">SUM(EP44,EL44,EH44,ED44,DZ44,DV44,DR44,DN44,DJ44,DF44,DB44,CX44,CT44,CP44,CL44,CH44,CD44,BZ44,BV44,BR44,BN44,BJ44,BF44,BB44,AX44,AT44,AP44,AL44,AH44,AD44,Z44,V44,R44,N44,J44,F44)</f>
        <v>2233</v>
      </c>
      <c r="C44" s="31">
        <f t="shared" si="615"/>
        <v>39633</v>
      </c>
      <c r="D44" s="32">
        <f t="shared" si="615"/>
        <v>39600</v>
      </c>
      <c r="E44" s="33">
        <f t="shared" si="538"/>
        <v>33</v>
      </c>
      <c r="F44" s="34"/>
      <c r="G44" s="31">
        <f t="shared" si="539"/>
        <v>1100</v>
      </c>
      <c r="H44" s="35">
        <v>1100.0</v>
      </c>
      <c r="I44" s="33">
        <f t="shared" si="540"/>
        <v>0</v>
      </c>
      <c r="J44" s="34"/>
      <c r="K44" s="31">
        <f t="shared" si="541"/>
        <v>1100</v>
      </c>
      <c r="L44" s="35">
        <v>1100.0</v>
      </c>
      <c r="M44" s="33">
        <f t="shared" si="542"/>
        <v>0</v>
      </c>
      <c r="N44" s="34"/>
      <c r="O44" s="31">
        <f t="shared" si="543"/>
        <v>1100</v>
      </c>
      <c r="P44" s="35">
        <v>1100.0</v>
      </c>
      <c r="Q44" s="33">
        <f t="shared" si="544"/>
        <v>0</v>
      </c>
      <c r="R44" s="34"/>
      <c r="S44" s="31">
        <f t="shared" si="545"/>
        <v>1100</v>
      </c>
      <c r="T44" s="35">
        <v>1100.0</v>
      </c>
      <c r="U44" s="33">
        <f t="shared" si="546"/>
        <v>0</v>
      </c>
      <c r="V44" s="34"/>
      <c r="W44" s="31">
        <f t="shared" si="547"/>
        <v>1100</v>
      </c>
      <c r="X44" s="35">
        <v>1100.0</v>
      </c>
      <c r="Y44" s="33">
        <f t="shared" si="548"/>
        <v>0</v>
      </c>
      <c r="Z44" s="34"/>
      <c r="AA44" s="31">
        <f t="shared" si="549"/>
        <v>1100</v>
      </c>
      <c r="AB44" s="35">
        <v>1100.0</v>
      </c>
      <c r="AC44" s="33">
        <f t="shared" si="550"/>
        <v>0</v>
      </c>
      <c r="AD44" s="34"/>
      <c r="AE44" s="31">
        <f t="shared" si="551"/>
        <v>1100</v>
      </c>
      <c r="AF44" s="35">
        <v>1100.0</v>
      </c>
      <c r="AG44" s="33">
        <f t="shared" si="552"/>
        <v>0</v>
      </c>
      <c r="AH44" s="34"/>
      <c r="AI44" s="31">
        <f t="shared" si="553"/>
        <v>1100</v>
      </c>
      <c r="AJ44" s="35">
        <v>1100.0</v>
      </c>
      <c r="AK44" s="33">
        <f t="shared" si="554"/>
        <v>0</v>
      </c>
      <c r="AL44" s="34"/>
      <c r="AM44" s="31">
        <f t="shared" si="555"/>
        <v>1100</v>
      </c>
      <c r="AN44" s="35">
        <v>1100.0</v>
      </c>
      <c r="AO44" s="33">
        <f t="shared" si="556"/>
        <v>0</v>
      </c>
      <c r="AP44" s="34"/>
      <c r="AQ44" s="31">
        <f t="shared" si="557"/>
        <v>1100</v>
      </c>
      <c r="AR44" s="35">
        <v>1100.0</v>
      </c>
      <c r="AS44" s="33">
        <f t="shared" si="558"/>
        <v>0</v>
      </c>
      <c r="AT44" s="34"/>
      <c r="AU44" s="31">
        <f t="shared" si="559"/>
        <v>1100</v>
      </c>
      <c r="AV44" s="35">
        <v>1100.0</v>
      </c>
      <c r="AW44" s="33">
        <f t="shared" si="560"/>
        <v>0</v>
      </c>
      <c r="AX44" s="34"/>
      <c r="AY44" s="31">
        <f t="shared" si="561"/>
        <v>1100</v>
      </c>
      <c r="AZ44" s="35">
        <v>1100.0</v>
      </c>
      <c r="BA44" s="33">
        <f t="shared" si="562"/>
        <v>0</v>
      </c>
      <c r="BB44" s="34"/>
      <c r="BC44" s="31">
        <f t="shared" si="563"/>
        <v>1100</v>
      </c>
      <c r="BD44" s="35">
        <v>1100.0</v>
      </c>
      <c r="BE44" s="33">
        <f t="shared" si="564"/>
        <v>0</v>
      </c>
      <c r="BF44" s="34"/>
      <c r="BG44" s="31">
        <f t="shared" si="565"/>
        <v>1100</v>
      </c>
      <c r="BH44" s="35">
        <v>1100.0</v>
      </c>
      <c r="BI44" s="33">
        <f t="shared" si="566"/>
        <v>0</v>
      </c>
      <c r="BJ44" s="34"/>
      <c r="BK44" s="31">
        <f t="shared" si="567"/>
        <v>1100</v>
      </c>
      <c r="BL44" s="35">
        <v>1100.0</v>
      </c>
      <c r="BM44" s="33">
        <f t="shared" si="568"/>
        <v>0</v>
      </c>
      <c r="BN44" s="34"/>
      <c r="BO44" s="31">
        <f t="shared" si="569"/>
        <v>1100</v>
      </c>
      <c r="BP44" s="35">
        <v>1100.0</v>
      </c>
      <c r="BQ44" s="33">
        <f t="shared" si="570"/>
        <v>0</v>
      </c>
      <c r="BR44" s="34"/>
      <c r="BS44" s="31">
        <f t="shared" si="571"/>
        <v>1100</v>
      </c>
      <c r="BT44" s="35">
        <v>1100.0</v>
      </c>
      <c r="BU44" s="33">
        <f t="shared" si="572"/>
        <v>0</v>
      </c>
      <c r="BV44" s="34"/>
      <c r="BW44" s="31">
        <f t="shared" si="573"/>
        <v>1100</v>
      </c>
      <c r="BX44" s="35">
        <v>1100.0</v>
      </c>
      <c r="BY44" s="33">
        <f t="shared" si="574"/>
        <v>0</v>
      </c>
      <c r="BZ44" s="34"/>
      <c r="CA44" s="31">
        <f t="shared" si="575"/>
        <v>1100</v>
      </c>
      <c r="CB44" s="35">
        <v>1100.0</v>
      </c>
      <c r="CC44" s="33">
        <f t="shared" si="576"/>
        <v>0</v>
      </c>
      <c r="CD44" s="34"/>
      <c r="CE44" s="31">
        <f t="shared" si="577"/>
        <v>1100</v>
      </c>
      <c r="CF44" s="35">
        <v>1100.0</v>
      </c>
      <c r="CG44" s="33">
        <f t="shared" si="578"/>
        <v>0</v>
      </c>
      <c r="CH44" s="34"/>
      <c r="CI44" s="31">
        <f t="shared" si="579"/>
        <v>1100</v>
      </c>
      <c r="CJ44" s="35">
        <v>1100.0</v>
      </c>
      <c r="CK44" s="33">
        <f t="shared" si="580"/>
        <v>0</v>
      </c>
      <c r="CL44" s="34"/>
      <c r="CM44" s="31">
        <f t="shared" si="581"/>
        <v>1100</v>
      </c>
      <c r="CN44" s="35">
        <v>1100.0</v>
      </c>
      <c r="CO44" s="33">
        <f t="shared" si="582"/>
        <v>0</v>
      </c>
      <c r="CP44" s="34"/>
      <c r="CQ44" s="31">
        <f t="shared" si="583"/>
        <v>1100</v>
      </c>
      <c r="CR44" s="35">
        <v>1100.0</v>
      </c>
      <c r="CS44" s="33">
        <f t="shared" si="584"/>
        <v>0</v>
      </c>
      <c r="CT44" s="34"/>
      <c r="CU44" s="31">
        <f t="shared" si="585"/>
        <v>1100</v>
      </c>
      <c r="CV44" s="35">
        <v>1100.0</v>
      </c>
      <c r="CW44" s="33">
        <f t="shared" si="586"/>
        <v>0</v>
      </c>
      <c r="CX44" s="34"/>
      <c r="CY44" s="31">
        <f t="shared" si="587"/>
        <v>1100</v>
      </c>
      <c r="CZ44" s="35">
        <v>1100.0</v>
      </c>
      <c r="DA44" s="33">
        <f t="shared" si="588"/>
        <v>0</v>
      </c>
      <c r="DB44" s="34"/>
      <c r="DC44" s="31">
        <f t="shared" si="589"/>
        <v>1100</v>
      </c>
      <c r="DD44" s="35">
        <v>1100.0</v>
      </c>
      <c r="DE44" s="33">
        <f t="shared" si="590"/>
        <v>0</v>
      </c>
      <c r="DF44" s="34"/>
      <c r="DG44" s="31">
        <f t="shared" si="591"/>
        <v>1100</v>
      </c>
      <c r="DH44" s="35">
        <v>1100.0</v>
      </c>
      <c r="DI44" s="33">
        <f t="shared" si="592"/>
        <v>0</v>
      </c>
      <c r="DJ44" s="34"/>
      <c r="DK44" s="31">
        <f t="shared" si="593"/>
        <v>1100</v>
      </c>
      <c r="DL44" s="35">
        <v>1100.0</v>
      </c>
      <c r="DM44" s="33">
        <f t="shared" si="594"/>
        <v>0</v>
      </c>
      <c r="DN44" s="34"/>
      <c r="DO44" s="31">
        <f t="shared" si="595"/>
        <v>1100</v>
      </c>
      <c r="DP44" s="35">
        <v>1100.0</v>
      </c>
      <c r="DQ44" s="33">
        <f t="shared" si="596"/>
        <v>0</v>
      </c>
      <c r="DR44" s="34"/>
      <c r="DS44" s="31">
        <f t="shared" si="597"/>
        <v>1100</v>
      </c>
      <c r="DT44" s="35">
        <v>1100.0</v>
      </c>
      <c r="DU44" s="33">
        <f t="shared" si="598"/>
        <v>0</v>
      </c>
      <c r="DV44" s="34"/>
      <c r="DW44" s="31">
        <f t="shared" si="599"/>
        <v>1100</v>
      </c>
      <c r="DX44" s="35">
        <v>1100.0</v>
      </c>
      <c r="DY44" s="33">
        <f t="shared" si="600"/>
        <v>0</v>
      </c>
      <c r="DZ44" s="34"/>
      <c r="EA44" s="31">
        <f t="shared" si="601"/>
        <v>1100</v>
      </c>
      <c r="EB44" s="35">
        <v>1100.0</v>
      </c>
      <c r="EC44" s="33">
        <f t="shared" si="602"/>
        <v>0</v>
      </c>
      <c r="ED44" s="34"/>
      <c r="EE44" s="31">
        <f t="shared" si="603"/>
        <v>1100</v>
      </c>
      <c r="EF44" s="35">
        <v>1100.0</v>
      </c>
      <c r="EG44" s="33">
        <f t="shared" si="604"/>
        <v>0</v>
      </c>
      <c r="EH44" s="34"/>
      <c r="EI44" s="31">
        <f t="shared" si="605"/>
        <v>1100</v>
      </c>
      <c r="EJ44" s="35">
        <v>1100.0</v>
      </c>
      <c r="EK44" s="33">
        <f t="shared" si="606"/>
        <v>0</v>
      </c>
      <c r="EL44" s="34">
        <v>1078.0</v>
      </c>
      <c r="EM44" s="31">
        <f t="shared" si="607"/>
        <v>1078</v>
      </c>
      <c r="EN44" s="35">
        <v>1100.0</v>
      </c>
      <c r="EO44" s="33">
        <f t="shared" si="608"/>
        <v>-22</v>
      </c>
      <c r="EP44" s="34">
        <v>1155.0</v>
      </c>
      <c r="EQ44" s="31">
        <f t="shared" si="609"/>
        <v>1155</v>
      </c>
      <c r="ER44" s="35">
        <v>1100.0</v>
      </c>
      <c r="ES44" s="33">
        <f t="shared" si="610"/>
        <v>55</v>
      </c>
    </row>
    <row r="45" ht="18.0" customHeight="1">
      <c r="A45" s="2" t="s">
        <v>47</v>
      </c>
      <c r="B45" s="30">
        <f t="shared" ref="B45:D45" si="616">SUM(EP45,EL45,EH45,ED45,DZ45,DV45,DR45,DN45,DJ45,DF45,DB45,CX45,CT45,CP45,CL45,CH45,CD45,BZ45,BV45,BR45,BN45,BJ45,BF45,BB45,AX45,AT45,AP45,AL45,AH45,AD45,Z45,V45,R45,N45,J45,F45)</f>
        <v>10150</v>
      </c>
      <c r="C45" s="31">
        <f t="shared" si="616"/>
        <v>180150</v>
      </c>
      <c r="D45" s="32">
        <f t="shared" si="616"/>
        <v>180000</v>
      </c>
      <c r="E45" s="33">
        <f t="shared" si="538"/>
        <v>150</v>
      </c>
      <c r="F45" s="34"/>
      <c r="G45" s="31">
        <f t="shared" si="539"/>
        <v>5000</v>
      </c>
      <c r="H45" s="35">
        <v>5000.0</v>
      </c>
      <c r="I45" s="33">
        <f t="shared" si="540"/>
        <v>0</v>
      </c>
      <c r="J45" s="34"/>
      <c r="K45" s="31">
        <f t="shared" si="541"/>
        <v>5000</v>
      </c>
      <c r="L45" s="35">
        <v>5000.0</v>
      </c>
      <c r="M45" s="33">
        <f t="shared" si="542"/>
        <v>0</v>
      </c>
      <c r="N45" s="34"/>
      <c r="O45" s="31">
        <f t="shared" si="543"/>
        <v>5000</v>
      </c>
      <c r="P45" s="35">
        <v>5000.0</v>
      </c>
      <c r="Q45" s="33">
        <f t="shared" si="544"/>
        <v>0</v>
      </c>
      <c r="R45" s="34"/>
      <c r="S45" s="31">
        <f t="shared" si="545"/>
        <v>5000</v>
      </c>
      <c r="T45" s="35">
        <v>5000.0</v>
      </c>
      <c r="U45" s="33">
        <f t="shared" si="546"/>
        <v>0</v>
      </c>
      <c r="V45" s="34"/>
      <c r="W45" s="31">
        <f t="shared" si="547"/>
        <v>5000</v>
      </c>
      <c r="X45" s="35">
        <v>5000.0</v>
      </c>
      <c r="Y45" s="33">
        <f t="shared" si="548"/>
        <v>0</v>
      </c>
      <c r="Z45" s="34"/>
      <c r="AA45" s="31">
        <f t="shared" si="549"/>
        <v>5000</v>
      </c>
      <c r="AB45" s="35">
        <v>5000.0</v>
      </c>
      <c r="AC45" s="33">
        <f t="shared" si="550"/>
        <v>0</v>
      </c>
      <c r="AD45" s="34"/>
      <c r="AE45" s="31">
        <f t="shared" si="551"/>
        <v>5000</v>
      </c>
      <c r="AF45" s="35">
        <v>5000.0</v>
      </c>
      <c r="AG45" s="33">
        <f t="shared" si="552"/>
        <v>0</v>
      </c>
      <c r="AH45" s="34"/>
      <c r="AI45" s="31">
        <f t="shared" si="553"/>
        <v>5000</v>
      </c>
      <c r="AJ45" s="35">
        <v>5000.0</v>
      </c>
      <c r="AK45" s="33">
        <f t="shared" si="554"/>
        <v>0</v>
      </c>
      <c r="AL45" s="34"/>
      <c r="AM45" s="31">
        <f t="shared" si="555"/>
        <v>5000</v>
      </c>
      <c r="AN45" s="35">
        <v>5000.0</v>
      </c>
      <c r="AO45" s="33">
        <f t="shared" si="556"/>
        <v>0</v>
      </c>
      <c r="AP45" s="34"/>
      <c r="AQ45" s="31">
        <f t="shared" si="557"/>
        <v>5000</v>
      </c>
      <c r="AR45" s="35">
        <v>5000.0</v>
      </c>
      <c r="AS45" s="33">
        <f t="shared" si="558"/>
        <v>0</v>
      </c>
      <c r="AT45" s="34"/>
      <c r="AU45" s="31">
        <f t="shared" si="559"/>
        <v>5000</v>
      </c>
      <c r="AV45" s="35">
        <v>5000.0</v>
      </c>
      <c r="AW45" s="33">
        <f t="shared" si="560"/>
        <v>0</v>
      </c>
      <c r="AX45" s="34"/>
      <c r="AY45" s="31">
        <f t="shared" si="561"/>
        <v>5000</v>
      </c>
      <c r="AZ45" s="35">
        <v>5000.0</v>
      </c>
      <c r="BA45" s="33">
        <f t="shared" si="562"/>
        <v>0</v>
      </c>
      <c r="BB45" s="34"/>
      <c r="BC45" s="31">
        <f t="shared" si="563"/>
        <v>5000</v>
      </c>
      <c r="BD45" s="35">
        <v>5000.0</v>
      </c>
      <c r="BE45" s="33">
        <f t="shared" si="564"/>
        <v>0</v>
      </c>
      <c r="BF45" s="34"/>
      <c r="BG45" s="31">
        <f t="shared" si="565"/>
        <v>5000</v>
      </c>
      <c r="BH45" s="35">
        <v>5000.0</v>
      </c>
      <c r="BI45" s="33">
        <f t="shared" si="566"/>
        <v>0</v>
      </c>
      <c r="BJ45" s="34"/>
      <c r="BK45" s="31">
        <f t="shared" si="567"/>
        <v>5000</v>
      </c>
      <c r="BL45" s="35">
        <v>5000.0</v>
      </c>
      <c r="BM45" s="33">
        <f t="shared" si="568"/>
        <v>0</v>
      </c>
      <c r="BN45" s="34"/>
      <c r="BO45" s="31">
        <f t="shared" si="569"/>
        <v>5000</v>
      </c>
      <c r="BP45" s="35">
        <v>5000.0</v>
      </c>
      <c r="BQ45" s="33">
        <f t="shared" si="570"/>
        <v>0</v>
      </c>
      <c r="BR45" s="34"/>
      <c r="BS45" s="31">
        <f t="shared" si="571"/>
        <v>5000</v>
      </c>
      <c r="BT45" s="35">
        <v>5000.0</v>
      </c>
      <c r="BU45" s="33">
        <f t="shared" si="572"/>
        <v>0</v>
      </c>
      <c r="BV45" s="34"/>
      <c r="BW45" s="31">
        <f t="shared" si="573"/>
        <v>5000</v>
      </c>
      <c r="BX45" s="35">
        <v>5000.0</v>
      </c>
      <c r="BY45" s="33">
        <f t="shared" si="574"/>
        <v>0</v>
      </c>
      <c r="BZ45" s="34"/>
      <c r="CA45" s="31">
        <f t="shared" si="575"/>
        <v>5000</v>
      </c>
      <c r="CB45" s="35">
        <v>5000.0</v>
      </c>
      <c r="CC45" s="33">
        <f t="shared" si="576"/>
        <v>0</v>
      </c>
      <c r="CD45" s="34"/>
      <c r="CE45" s="31">
        <f t="shared" si="577"/>
        <v>5000</v>
      </c>
      <c r="CF45" s="35">
        <v>5000.0</v>
      </c>
      <c r="CG45" s="33">
        <f t="shared" si="578"/>
        <v>0</v>
      </c>
      <c r="CH45" s="34"/>
      <c r="CI45" s="31">
        <f t="shared" si="579"/>
        <v>5000</v>
      </c>
      <c r="CJ45" s="35">
        <v>5000.0</v>
      </c>
      <c r="CK45" s="33">
        <f t="shared" si="580"/>
        <v>0</v>
      </c>
      <c r="CL45" s="34"/>
      <c r="CM45" s="31">
        <f t="shared" si="581"/>
        <v>5000</v>
      </c>
      <c r="CN45" s="35">
        <v>5000.0</v>
      </c>
      <c r="CO45" s="33">
        <f t="shared" si="582"/>
        <v>0</v>
      </c>
      <c r="CP45" s="34"/>
      <c r="CQ45" s="31">
        <f t="shared" si="583"/>
        <v>5000</v>
      </c>
      <c r="CR45" s="35">
        <v>5000.0</v>
      </c>
      <c r="CS45" s="33">
        <f t="shared" si="584"/>
        <v>0</v>
      </c>
      <c r="CT45" s="34"/>
      <c r="CU45" s="31">
        <f t="shared" si="585"/>
        <v>5000</v>
      </c>
      <c r="CV45" s="35">
        <v>5000.0</v>
      </c>
      <c r="CW45" s="33">
        <f t="shared" si="586"/>
        <v>0</v>
      </c>
      <c r="CX45" s="34"/>
      <c r="CY45" s="31">
        <f t="shared" si="587"/>
        <v>5000</v>
      </c>
      <c r="CZ45" s="35">
        <v>5000.0</v>
      </c>
      <c r="DA45" s="33">
        <f t="shared" si="588"/>
        <v>0</v>
      </c>
      <c r="DB45" s="34"/>
      <c r="DC45" s="31">
        <f t="shared" si="589"/>
        <v>5000</v>
      </c>
      <c r="DD45" s="35">
        <v>5000.0</v>
      </c>
      <c r="DE45" s="33">
        <f t="shared" si="590"/>
        <v>0</v>
      </c>
      <c r="DF45" s="34"/>
      <c r="DG45" s="31">
        <f t="shared" si="591"/>
        <v>5000</v>
      </c>
      <c r="DH45" s="35">
        <v>5000.0</v>
      </c>
      <c r="DI45" s="33">
        <f t="shared" si="592"/>
        <v>0</v>
      </c>
      <c r="DJ45" s="34"/>
      <c r="DK45" s="31">
        <f t="shared" si="593"/>
        <v>5000</v>
      </c>
      <c r="DL45" s="35">
        <v>5000.0</v>
      </c>
      <c r="DM45" s="33">
        <f t="shared" si="594"/>
        <v>0</v>
      </c>
      <c r="DN45" s="34"/>
      <c r="DO45" s="31">
        <f t="shared" si="595"/>
        <v>5000</v>
      </c>
      <c r="DP45" s="35">
        <v>5000.0</v>
      </c>
      <c r="DQ45" s="33">
        <f t="shared" si="596"/>
        <v>0</v>
      </c>
      <c r="DR45" s="34"/>
      <c r="DS45" s="31">
        <f t="shared" si="597"/>
        <v>5000</v>
      </c>
      <c r="DT45" s="35">
        <v>5000.0</v>
      </c>
      <c r="DU45" s="33">
        <f t="shared" si="598"/>
        <v>0</v>
      </c>
      <c r="DV45" s="34"/>
      <c r="DW45" s="31">
        <f t="shared" si="599"/>
        <v>5000</v>
      </c>
      <c r="DX45" s="35">
        <v>5000.0</v>
      </c>
      <c r="DY45" s="33">
        <f t="shared" si="600"/>
        <v>0</v>
      </c>
      <c r="DZ45" s="34"/>
      <c r="EA45" s="31">
        <f t="shared" si="601"/>
        <v>5000</v>
      </c>
      <c r="EB45" s="35">
        <v>5000.0</v>
      </c>
      <c r="EC45" s="33">
        <f t="shared" si="602"/>
        <v>0</v>
      </c>
      <c r="ED45" s="34"/>
      <c r="EE45" s="31">
        <f t="shared" si="603"/>
        <v>5000</v>
      </c>
      <c r="EF45" s="35">
        <v>5000.0</v>
      </c>
      <c r="EG45" s="33">
        <f t="shared" si="604"/>
        <v>0</v>
      </c>
      <c r="EH45" s="34"/>
      <c r="EI45" s="31">
        <f t="shared" si="605"/>
        <v>5000</v>
      </c>
      <c r="EJ45" s="35">
        <v>5000.0</v>
      </c>
      <c r="EK45" s="33">
        <f t="shared" si="606"/>
        <v>0</v>
      </c>
      <c r="EL45" s="34">
        <v>4900.0</v>
      </c>
      <c r="EM45" s="31">
        <f t="shared" si="607"/>
        <v>4900</v>
      </c>
      <c r="EN45" s="35">
        <v>5000.0</v>
      </c>
      <c r="EO45" s="33">
        <f t="shared" si="608"/>
        <v>-100</v>
      </c>
      <c r="EP45" s="34">
        <v>5250.0</v>
      </c>
      <c r="EQ45" s="31">
        <f t="shared" si="609"/>
        <v>5250</v>
      </c>
      <c r="ER45" s="35">
        <v>5000.0</v>
      </c>
      <c r="ES45" s="33">
        <f t="shared" si="610"/>
        <v>250</v>
      </c>
    </row>
    <row r="46" ht="18.0" customHeight="1">
      <c r="A46" s="2" t="s">
        <v>48</v>
      </c>
      <c r="B46" s="30">
        <f t="shared" ref="B46:D46" si="617">SUM(EP46,EL46,EH46,ED46,DZ46,DV46,DR46,DN46,DJ46,DF46,DB46,CX46,CT46,CP46,CL46,CH46,CD46,BZ46,BV46,BR46,BN46,BJ46,BF46,BB46,AX46,AT46,AP46,AL46,AH46,AD46,Z46,V46,R46,N46,J46,F46)</f>
        <v>2030</v>
      </c>
      <c r="C46" s="31">
        <f t="shared" si="617"/>
        <v>36030</v>
      </c>
      <c r="D46" s="32">
        <f t="shared" si="617"/>
        <v>36000</v>
      </c>
      <c r="E46" s="33">
        <f t="shared" si="538"/>
        <v>30</v>
      </c>
      <c r="F46" s="34"/>
      <c r="G46" s="31">
        <f t="shared" si="539"/>
        <v>1000</v>
      </c>
      <c r="H46" s="35">
        <v>1000.0</v>
      </c>
      <c r="I46" s="33">
        <f t="shared" si="540"/>
        <v>0</v>
      </c>
      <c r="J46" s="34"/>
      <c r="K46" s="31">
        <f t="shared" si="541"/>
        <v>1000</v>
      </c>
      <c r="L46" s="35">
        <v>1000.0</v>
      </c>
      <c r="M46" s="33">
        <f t="shared" si="542"/>
        <v>0</v>
      </c>
      <c r="N46" s="34"/>
      <c r="O46" s="31">
        <f t="shared" si="543"/>
        <v>1000</v>
      </c>
      <c r="P46" s="35">
        <v>1000.0</v>
      </c>
      <c r="Q46" s="33">
        <f t="shared" si="544"/>
        <v>0</v>
      </c>
      <c r="R46" s="34"/>
      <c r="S46" s="31">
        <f t="shared" si="545"/>
        <v>1000</v>
      </c>
      <c r="T46" s="35">
        <v>1000.0</v>
      </c>
      <c r="U46" s="33">
        <f t="shared" si="546"/>
        <v>0</v>
      </c>
      <c r="V46" s="34"/>
      <c r="W46" s="31">
        <f t="shared" si="547"/>
        <v>1000</v>
      </c>
      <c r="X46" s="35">
        <v>1000.0</v>
      </c>
      <c r="Y46" s="33">
        <f t="shared" si="548"/>
        <v>0</v>
      </c>
      <c r="Z46" s="34"/>
      <c r="AA46" s="31">
        <f t="shared" si="549"/>
        <v>1000</v>
      </c>
      <c r="AB46" s="35">
        <v>1000.0</v>
      </c>
      <c r="AC46" s="33">
        <f t="shared" si="550"/>
        <v>0</v>
      </c>
      <c r="AD46" s="34"/>
      <c r="AE46" s="31">
        <f t="shared" si="551"/>
        <v>1000</v>
      </c>
      <c r="AF46" s="35">
        <v>1000.0</v>
      </c>
      <c r="AG46" s="33">
        <f t="shared" si="552"/>
        <v>0</v>
      </c>
      <c r="AH46" s="34"/>
      <c r="AI46" s="31">
        <f t="shared" si="553"/>
        <v>1000</v>
      </c>
      <c r="AJ46" s="35">
        <v>1000.0</v>
      </c>
      <c r="AK46" s="33">
        <f t="shared" si="554"/>
        <v>0</v>
      </c>
      <c r="AL46" s="34"/>
      <c r="AM46" s="31">
        <f t="shared" si="555"/>
        <v>1000</v>
      </c>
      <c r="AN46" s="35">
        <v>1000.0</v>
      </c>
      <c r="AO46" s="33">
        <f t="shared" si="556"/>
        <v>0</v>
      </c>
      <c r="AP46" s="34"/>
      <c r="AQ46" s="31">
        <f t="shared" si="557"/>
        <v>1000</v>
      </c>
      <c r="AR46" s="35">
        <v>1000.0</v>
      </c>
      <c r="AS46" s="33">
        <f t="shared" si="558"/>
        <v>0</v>
      </c>
      <c r="AT46" s="34"/>
      <c r="AU46" s="31">
        <f t="shared" si="559"/>
        <v>1000</v>
      </c>
      <c r="AV46" s="35">
        <v>1000.0</v>
      </c>
      <c r="AW46" s="33">
        <f t="shared" si="560"/>
        <v>0</v>
      </c>
      <c r="AX46" s="34"/>
      <c r="AY46" s="31">
        <f t="shared" si="561"/>
        <v>1000</v>
      </c>
      <c r="AZ46" s="35">
        <v>1000.0</v>
      </c>
      <c r="BA46" s="33">
        <f t="shared" si="562"/>
        <v>0</v>
      </c>
      <c r="BB46" s="34"/>
      <c r="BC46" s="31">
        <f t="shared" si="563"/>
        <v>1000</v>
      </c>
      <c r="BD46" s="35">
        <v>1000.0</v>
      </c>
      <c r="BE46" s="33">
        <f t="shared" si="564"/>
        <v>0</v>
      </c>
      <c r="BF46" s="34"/>
      <c r="BG46" s="31">
        <f t="shared" si="565"/>
        <v>1000</v>
      </c>
      <c r="BH46" s="35">
        <v>1000.0</v>
      </c>
      <c r="BI46" s="33">
        <f t="shared" si="566"/>
        <v>0</v>
      </c>
      <c r="BJ46" s="34"/>
      <c r="BK46" s="31">
        <f t="shared" si="567"/>
        <v>1000</v>
      </c>
      <c r="BL46" s="35">
        <v>1000.0</v>
      </c>
      <c r="BM46" s="33">
        <f t="shared" si="568"/>
        <v>0</v>
      </c>
      <c r="BN46" s="34"/>
      <c r="BO46" s="31">
        <f t="shared" si="569"/>
        <v>1000</v>
      </c>
      <c r="BP46" s="35">
        <v>1000.0</v>
      </c>
      <c r="BQ46" s="33">
        <f t="shared" si="570"/>
        <v>0</v>
      </c>
      <c r="BR46" s="34"/>
      <c r="BS46" s="31">
        <f t="shared" si="571"/>
        <v>1000</v>
      </c>
      <c r="BT46" s="35">
        <v>1000.0</v>
      </c>
      <c r="BU46" s="33">
        <f t="shared" si="572"/>
        <v>0</v>
      </c>
      <c r="BV46" s="34"/>
      <c r="BW46" s="31">
        <f t="shared" si="573"/>
        <v>1000</v>
      </c>
      <c r="BX46" s="35">
        <v>1000.0</v>
      </c>
      <c r="BY46" s="33">
        <f t="shared" si="574"/>
        <v>0</v>
      </c>
      <c r="BZ46" s="34"/>
      <c r="CA46" s="31">
        <f t="shared" si="575"/>
        <v>1000</v>
      </c>
      <c r="CB46" s="35">
        <v>1000.0</v>
      </c>
      <c r="CC46" s="33">
        <f t="shared" si="576"/>
        <v>0</v>
      </c>
      <c r="CD46" s="34"/>
      <c r="CE46" s="31">
        <f t="shared" si="577"/>
        <v>1000</v>
      </c>
      <c r="CF46" s="35">
        <v>1000.0</v>
      </c>
      <c r="CG46" s="33">
        <f t="shared" si="578"/>
        <v>0</v>
      </c>
      <c r="CH46" s="34"/>
      <c r="CI46" s="31">
        <f t="shared" si="579"/>
        <v>1000</v>
      </c>
      <c r="CJ46" s="35">
        <v>1000.0</v>
      </c>
      <c r="CK46" s="33">
        <f t="shared" si="580"/>
        <v>0</v>
      </c>
      <c r="CL46" s="34"/>
      <c r="CM46" s="31">
        <f t="shared" si="581"/>
        <v>1000</v>
      </c>
      <c r="CN46" s="35">
        <v>1000.0</v>
      </c>
      <c r="CO46" s="33">
        <f t="shared" si="582"/>
        <v>0</v>
      </c>
      <c r="CP46" s="34"/>
      <c r="CQ46" s="31">
        <f t="shared" si="583"/>
        <v>1000</v>
      </c>
      <c r="CR46" s="35">
        <v>1000.0</v>
      </c>
      <c r="CS46" s="33">
        <f t="shared" si="584"/>
        <v>0</v>
      </c>
      <c r="CT46" s="34"/>
      <c r="CU46" s="31">
        <f t="shared" si="585"/>
        <v>1000</v>
      </c>
      <c r="CV46" s="35">
        <v>1000.0</v>
      </c>
      <c r="CW46" s="33">
        <f t="shared" si="586"/>
        <v>0</v>
      </c>
      <c r="CX46" s="34"/>
      <c r="CY46" s="31">
        <f t="shared" si="587"/>
        <v>1000</v>
      </c>
      <c r="CZ46" s="35">
        <v>1000.0</v>
      </c>
      <c r="DA46" s="33">
        <f t="shared" si="588"/>
        <v>0</v>
      </c>
      <c r="DB46" s="34"/>
      <c r="DC46" s="31">
        <f t="shared" si="589"/>
        <v>1000</v>
      </c>
      <c r="DD46" s="35">
        <v>1000.0</v>
      </c>
      <c r="DE46" s="33">
        <f t="shared" si="590"/>
        <v>0</v>
      </c>
      <c r="DF46" s="34"/>
      <c r="DG46" s="31">
        <f t="shared" si="591"/>
        <v>1000</v>
      </c>
      <c r="DH46" s="35">
        <v>1000.0</v>
      </c>
      <c r="DI46" s="33">
        <f t="shared" si="592"/>
        <v>0</v>
      </c>
      <c r="DJ46" s="34"/>
      <c r="DK46" s="31">
        <f t="shared" si="593"/>
        <v>1000</v>
      </c>
      <c r="DL46" s="35">
        <v>1000.0</v>
      </c>
      <c r="DM46" s="33">
        <f t="shared" si="594"/>
        <v>0</v>
      </c>
      <c r="DN46" s="34"/>
      <c r="DO46" s="31">
        <f t="shared" si="595"/>
        <v>1000</v>
      </c>
      <c r="DP46" s="35">
        <v>1000.0</v>
      </c>
      <c r="DQ46" s="33">
        <f t="shared" si="596"/>
        <v>0</v>
      </c>
      <c r="DR46" s="34"/>
      <c r="DS46" s="31">
        <f t="shared" si="597"/>
        <v>1000</v>
      </c>
      <c r="DT46" s="35">
        <v>1000.0</v>
      </c>
      <c r="DU46" s="33">
        <f t="shared" si="598"/>
        <v>0</v>
      </c>
      <c r="DV46" s="34"/>
      <c r="DW46" s="31">
        <f t="shared" si="599"/>
        <v>1000</v>
      </c>
      <c r="DX46" s="35">
        <v>1000.0</v>
      </c>
      <c r="DY46" s="33">
        <f t="shared" si="600"/>
        <v>0</v>
      </c>
      <c r="DZ46" s="34"/>
      <c r="EA46" s="31">
        <f t="shared" si="601"/>
        <v>1000</v>
      </c>
      <c r="EB46" s="35">
        <v>1000.0</v>
      </c>
      <c r="EC46" s="33">
        <f t="shared" si="602"/>
        <v>0</v>
      </c>
      <c r="ED46" s="34"/>
      <c r="EE46" s="31">
        <f t="shared" si="603"/>
        <v>1000</v>
      </c>
      <c r="EF46" s="35">
        <v>1000.0</v>
      </c>
      <c r="EG46" s="33">
        <f t="shared" si="604"/>
        <v>0</v>
      </c>
      <c r="EH46" s="34"/>
      <c r="EI46" s="31">
        <f t="shared" si="605"/>
        <v>1000</v>
      </c>
      <c r="EJ46" s="35">
        <v>1000.0</v>
      </c>
      <c r="EK46" s="33">
        <f t="shared" si="606"/>
        <v>0</v>
      </c>
      <c r="EL46" s="34">
        <v>980.0</v>
      </c>
      <c r="EM46" s="31">
        <f t="shared" si="607"/>
        <v>980</v>
      </c>
      <c r="EN46" s="35">
        <v>1000.0</v>
      </c>
      <c r="EO46" s="33">
        <f t="shared" si="608"/>
        <v>-20</v>
      </c>
      <c r="EP46" s="34">
        <v>1050.0</v>
      </c>
      <c r="EQ46" s="31">
        <f t="shared" si="609"/>
        <v>1050</v>
      </c>
      <c r="ER46" s="35">
        <v>1000.0</v>
      </c>
      <c r="ES46" s="33">
        <f t="shared" si="610"/>
        <v>50</v>
      </c>
    </row>
    <row r="47" ht="18.0" customHeight="1">
      <c r="A47" s="2" t="s">
        <v>49</v>
      </c>
      <c r="B47" s="30">
        <f t="shared" ref="B47:D47" si="618">SUM(EP47,EL47,EH47,ED47,DZ47,DV47,DR47,DN47,DJ47,DF47,DB47,CX47,CT47,CP47,CL47,CH47,CD47,BZ47,BV47,BR47,BN47,BJ47,BF47,BB47,AX47,AT47,AP47,AL47,AH47,AD47,Z47,V47,R47,N47,J47,F47)</f>
        <v>1015</v>
      </c>
      <c r="C47" s="31">
        <f t="shared" si="618"/>
        <v>18015</v>
      </c>
      <c r="D47" s="32">
        <f t="shared" si="618"/>
        <v>18000</v>
      </c>
      <c r="E47" s="33">
        <f t="shared" si="538"/>
        <v>15</v>
      </c>
      <c r="F47" s="34"/>
      <c r="G47" s="31">
        <f t="shared" si="539"/>
        <v>500</v>
      </c>
      <c r="H47" s="35">
        <v>500.0</v>
      </c>
      <c r="I47" s="33">
        <f t="shared" si="540"/>
        <v>0</v>
      </c>
      <c r="J47" s="34"/>
      <c r="K47" s="31">
        <f t="shared" si="541"/>
        <v>500</v>
      </c>
      <c r="L47" s="35">
        <v>500.0</v>
      </c>
      <c r="M47" s="33">
        <f t="shared" si="542"/>
        <v>0</v>
      </c>
      <c r="N47" s="34"/>
      <c r="O47" s="31">
        <f t="shared" si="543"/>
        <v>500</v>
      </c>
      <c r="P47" s="35">
        <v>500.0</v>
      </c>
      <c r="Q47" s="33">
        <f t="shared" si="544"/>
        <v>0</v>
      </c>
      <c r="R47" s="34"/>
      <c r="S47" s="31">
        <f t="shared" si="545"/>
        <v>500</v>
      </c>
      <c r="T47" s="35">
        <v>500.0</v>
      </c>
      <c r="U47" s="33">
        <f t="shared" si="546"/>
        <v>0</v>
      </c>
      <c r="V47" s="34"/>
      <c r="W47" s="31">
        <f t="shared" si="547"/>
        <v>500</v>
      </c>
      <c r="X47" s="35">
        <v>500.0</v>
      </c>
      <c r="Y47" s="33">
        <f t="shared" si="548"/>
        <v>0</v>
      </c>
      <c r="Z47" s="34"/>
      <c r="AA47" s="31">
        <f t="shared" si="549"/>
        <v>500</v>
      </c>
      <c r="AB47" s="35">
        <v>500.0</v>
      </c>
      <c r="AC47" s="33">
        <f t="shared" si="550"/>
        <v>0</v>
      </c>
      <c r="AD47" s="34"/>
      <c r="AE47" s="31">
        <f t="shared" si="551"/>
        <v>500</v>
      </c>
      <c r="AF47" s="35">
        <v>500.0</v>
      </c>
      <c r="AG47" s="33">
        <f t="shared" si="552"/>
        <v>0</v>
      </c>
      <c r="AH47" s="34"/>
      <c r="AI47" s="31">
        <f t="shared" si="553"/>
        <v>500</v>
      </c>
      <c r="AJ47" s="35">
        <v>500.0</v>
      </c>
      <c r="AK47" s="33">
        <f t="shared" si="554"/>
        <v>0</v>
      </c>
      <c r="AL47" s="34"/>
      <c r="AM47" s="31">
        <f t="shared" si="555"/>
        <v>500</v>
      </c>
      <c r="AN47" s="35">
        <v>500.0</v>
      </c>
      <c r="AO47" s="33">
        <f t="shared" si="556"/>
        <v>0</v>
      </c>
      <c r="AP47" s="34"/>
      <c r="AQ47" s="31">
        <f t="shared" si="557"/>
        <v>500</v>
      </c>
      <c r="AR47" s="35">
        <v>500.0</v>
      </c>
      <c r="AS47" s="33">
        <f t="shared" si="558"/>
        <v>0</v>
      </c>
      <c r="AT47" s="34"/>
      <c r="AU47" s="31">
        <f t="shared" si="559"/>
        <v>500</v>
      </c>
      <c r="AV47" s="35">
        <v>500.0</v>
      </c>
      <c r="AW47" s="33">
        <f t="shared" si="560"/>
        <v>0</v>
      </c>
      <c r="AX47" s="34"/>
      <c r="AY47" s="31">
        <f t="shared" si="561"/>
        <v>500</v>
      </c>
      <c r="AZ47" s="35">
        <v>500.0</v>
      </c>
      <c r="BA47" s="33">
        <f t="shared" si="562"/>
        <v>0</v>
      </c>
      <c r="BB47" s="34"/>
      <c r="BC47" s="31">
        <f t="shared" si="563"/>
        <v>500</v>
      </c>
      <c r="BD47" s="35">
        <v>500.0</v>
      </c>
      <c r="BE47" s="33">
        <f t="shared" si="564"/>
        <v>0</v>
      </c>
      <c r="BF47" s="34"/>
      <c r="BG47" s="31">
        <f t="shared" si="565"/>
        <v>500</v>
      </c>
      <c r="BH47" s="35">
        <v>500.0</v>
      </c>
      <c r="BI47" s="33">
        <f t="shared" si="566"/>
        <v>0</v>
      </c>
      <c r="BJ47" s="34"/>
      <c r="BK47" s="31">
        <f t="shared" si="567"/>
        <v>500</v>
      </c>
      <c r="BL47" s="35">
        <v>500.0</v>
      </c>
      <c r="BM47" s="33">
        <f t="shared" si="568"/>
        <v>0</v>
      </c>
      <c r="BN47" s="34"/>
      <c r="BO47" s="31">
        <f t="shared" si="569"/>
        <v>500</v>
      </c>
      <c r="BP47" s="35">
        <v>500.0</v>
      </c>
      <c r="BQ47" s="33">
        <f t="shared" si="570"/>
        <v>0</v>
      </c>
      <c r="BR47" s="34"/>
      <c r="BS47" s="31">
        <f t="shared" si="571"/>
        <v>500</v>
      </c>
      <c r="BT47" s="35">
        <v>500.0</v>
      </c>
      <c r="BU47" s="33">
        <f t="shared" si="572"/>
        <v>0</v>
      </c>
      <c r="BV47" s="34"/>
      <c r="BW47" s="31">
        <f t="shared" si="573"/>
        <v>500</v>
      </c>
      <c r="BX47" s="35">
        <v>500.0</v>
      </c>
      <c r="BY47" s="33">
        <f t="shared" si="574"/>
        <v>0</v>
      </c>
      <c r="BZ47" s="34"/>
      <c r="CA47" s="31">
        <f t="shared" si="575"/>
        <v>500</v>
      </c>
      <c r="CB47" s="35">
        <v>500.0</v>
      </c>
      <c r="CC47" s="33">
        <f t="shared" si="576"/>
        <v>0</v>
      </c>
      <c r="CD47" s="34"/>
      <c r="CE47" s="31">
        <f t="shared" si="577"/>
        <v>500</v>
      </c>
      <c r="CF47" s="35">
        <v>500.0</v>
      </c>
      <c r="CG47" s="33">
        <f t="shared" si="578"/>
        <v>0</v>
      </c>
      <c r="CH47" s="34"/>
      <c r="CI47" s="31">
        <f t="shared" si="579"/>
        <v>500</v>
      </c>
      <c r="CJ47" s="35">
        <v>500.0</v>
      </c>
      <c r="CK47" s="33">
        <f t="shared" si="580"/>
        <v>0</v>
      </c>
      <c r="CL47" s="34"/>
      <c r="CM47" s="31">
        <f t="shared" si="581"/>
        <v>500</v>
      </c>
      <c r="CN47" s="35">
        <v>500.0</v>
      </c>
      <c r="CO47" s="33">
        <f t="shared" si="582"/>
        <v>0</v>
      </c>
      <c r="CP47" s="34"/>
      <c r="CQ47" s="31">
        <f t="shared" si="583"/>
        <v>500</v>
      </c>
      <c r="CR47" s="35">
        <v>500.0</v>
      </c>
      <c r="CS47" s="33">
        <f t="shared" si="584"/>
        <v>0</v>
      </c>
      <c r="CT47" s="34"/>
      <c r="CU47" s="31">
        <f t="shared" si="585"/>
        <v>500</v>
      </c>
      <c r="CV47" s="35">
        <v>500.0</v>
      </c>
      <c r="CW47" s="33">
        <f t="shared" si="586"/>
        <v>0</v>
      </c>
      <c r="CX47" s="34"/>
      <c r="CY47" s="31">
        <f t="shared" si="587"/>
        <v>500</v>
      </c>
      <c r="CZ47" s="35">
        <v>500.0</v>
      </c>
      <c r="DA47" s="33">
        <f t="shared" si="588"/>
        <v>0</v>
      </c>
      <c r="DB47" s="34"/>
      <c r="DC47" s="31">
        <f t="shared" si="589"/>
        <v>500</v>
      </c>
      <c r="DD47" s="35">
        <v>500.0</v>
      </c>
      <c r="DE47" s="33">
        <f t="shared" si="590"/>
        <v>0</v>
      </c>
      <c r="DF47" s="34"/>
      <c r="DG47" s="31">
        <f t="shared" si="591"/>
        <v>500</v>
      </c>
      <c r="DH47" s="35">
        <v>500.0</v>
      </c>
      <c r="DI47" s="33">
        <f t="shared" si="592"/>
        <v>0</v>
      </c>
      <c r="DJ47" s="34"/>
      <c r="DK47" s="31">
        <f t="shared" si="593"/>
        <v>500</v>
      </c>
      <c r="DL47" s="35">
        <v>500.0</v>
      </c>
      <c r="DM47" s="33">
        <f t="shared" si="594"/>
        <v>0</v>
      </c>
      <c r="DN47" s="34"/>
      <c r="DO47" s="31">
        <f t="shared" si="595"/>
        <v>500</v>
      </c>
      <c r="DP47" s="35">
        <v>500.0</v>
      </c>
      <c r="DQ47" s="33">
        <f t="shared" si="596"/>
        <v>0</v>
      </c>
      <c r="DR47" s="34"/>
      <c r="DS47" s="31">
        <f t="shared" si="597"/>
        <v>500</v>
      </c>
      <c r="DT47" s="35">
        <v>500.0</v>
      </c>
      <c r="DU47" s="33">
        <f t="shared" si="598"/>
        <v>0</v>
      </c>
      <c r="DV47" s="34"/>
      <c r="DW47" s="31">
        <f t="shared" si="599"/>
        <v>500</v>
      </c>
      <c r="DX47" s="35">
        <v>500.0</v>
      </c>
      <c r="DY47" s="33">
        <f t="shared" si="600"/>
        <v>0</v>
      </c>
      <c r="DZ47" s="34"/>
      <c r="EA47" s="31">
        <f t="shared" si="601"/>
        <v>500</v>
      </c>
      <c r="EB47" s="35">
        <v>500.0</v>
      </c>
      <c r="EC47" s="33">
        <f t="shared" si="602"/>
        <v>0</v>
      </c>
      <c r="ED47" s="34"/>
      <c r="EE47" s="31">
        <f t="shared" si="603"/>
        <v>500</v>
      </c>
      <c r="EF47" s="35">
        <v>500.0</v>
      </c>
      <c r="EG47" s="33">
        <f t="shared" si="604"/>
        <v>0</v>
      </c>
      <c r="EH47" s="34"/>
      <c r="EI47" s="31">
        <f t="shared" si="605"/>
        <v>500</v>
      </c>
      <c r="EJ47" s="35">
        <v>500.0</v>
      </c>
      <c r="EK47" s="33">
        <f t="shared" si="606"/>
        <v>0</v>
      </c>
      <c r="EL47" s="34">
        <v>490.0</v>
      </c>
      <c r="EM47" s="31">
        <f t="shared" si="607"/>
        <v>490</v>
      </c>
      <c r="EN47" s="35">
        <v>500.0</v>
      </c>
      <c r="EO47" s="33">
        <f t="shared" si="608"/>
        <v>-10</v>
      </c>
      <c r="EP47" s="34">
        <v>525.0</v>
      </c>
      <c r="EQ47" s="31">
        <f t="shared" si="609"/>
        <v>525</v>
      </c>
      <c r="ER47" s="35">
        <v>500.0</v>
      </c>
      <c r="ES47" s="33">
        <f t="shared" si="610"/>
        <v>25</v>
      </c>
    </row>
    <row r="48" ht="18.0" customHeight="1">
      <c r="A48" s="2" t="s">
        <v>50</v>
      </c>
      <c r="B48" s="30">
        <f t="shared" ref="B48:D48" si="619">SUM(EP48,EL48,EH48,ED48,DZ48,DV48,DR48,DN48,DJ48,DF48,DB48,CX48,CT48,CP48,CL48,CH48,CD48,BZ48,BV48,BR48,BN48,BJ48,BF48,BB48,AX48,AT48,AP48,AL48,AH48,AD48,Z48,V48,R48,N48,J48,F48)</f>
        <v>609</v>
      </c>
      <c r="C48" s="31">
        <f t="shared" si="619"/>
        <v>10809</v>
      </c>
      <c r="D48" s="32">
        <f t="shared" si="619"/>
        <v>10800</v>
      </c>
      <c r="E48" s="33">
        <f t="shared" si="538"/>
        <v>9</v>
      </c>
      <c r="F48" s="34"/>
      <c r="G48" s="31">
        <f t="shared" si="539"/>
        <v>300</v>
      </c>
      <c r="H48" s="35">
        <v>300.0</v>
      </c>
      <c r="I48" s="33">
        <f t="shared" si="540"/>
        <v>0</v>
      </c>
      <c r="J48" s="34"/>
      <c r="K48" s="31">
        <f t="shared" si="541"/>
        <v>300</v>
      </c>
      <c r="L48" s="35">
        <v>300.0</v>
      </c>
      <c r="M48" s="33">
        <f t="shared" si="542"/>
        <v>0</v>
      </c>
      <c r="N48" s="34"/>
      <c r="O48" s="31">
        <f t="shared" si="543"/>
        <v>300</v>
      </c>
      <c r="P48" s="35">
        <v>300.0</v>
      </c>
      <c r="Q48" s="33">
        <f t="shared" si="544"/>
        <v>0</v>
      </c>
      <c r="R48" s="34"/>
      <c r="S48" s="31">
        <f t="shared" si="545"/>
        <v>300</v>
      </c>
      <c r="T48" s="35">
        <v>300.0</v>
      </c>
      <c r="U48" s="33">
        <f t="shared" si="546"/>
        <v>0</v>
      </c>
      <c r="V48" s="34"/>
      <c r="W48" s="31">
        <f t="shared" si="547"/>
        <v>300</v>
      </c>
      <c r="X48" s="35">
        <v>300.0</v>
      </c>
      <c r="Y48" s="33">
        <f t="shared" si="548"/>
        <v>0</v>
      </c>
      <c r="Z48" s="34"/>
      <c r="AA48" s="31">
        <f t="shared" si="549"/>
        <v>300</v>
      </c>
      <c r="AB48" s="35">
        <v>300.0</v>
      </c>
      <c r="AC48" s="33">
        <f t="shared" si="550"/>
        <v>0</v>
      </c>
      <c r="AD48" s="34"/>
      <c r="AE48" s="31">
        <f t="shared" si="551"/>
        <v>300</v>
      </c>
      <c r="AF48" s="35">
        <v>300.0</v>
      </c>
      <c r="AG48" s="33">
        <f t="shared" si="552"/>
        <v>0</v>
      </c>
      <c r="AH48" s="34"/>
      <c r="AI48" s="31">
        <f t="shared" si="553"/>
        <v>300</v>
      </c>
      <c r="AJ48" s="35">
        <v>300.0</v>
      </c>
      <c r="AK48" s="33">
        <f t="shared" si="554"/>
        <v>0</v>
      </c>
      <c r="AL48" s="34"/>
      <c r="AM48" s="31">
        <f t="shared" si="555"/>
        <v>300</v>
      </c>
      <c r="AN48" s="35">
        <v>300.0</v>
      </c>
      <c r="AO48" s="33">
        <f t="shared" si="556"/>
        <v>0</v>
      </c>
      <c r="AP48" s="34"/>
      <c r="AQ48" s="31">
        <f t="shared" si="557"/>
        <v>300</v>
      </c>
      <c r="AR48" s="35">
        <v>300.0</v>
      </c>
      <c r="AS48" s="33">
        <f t="shared" si="558"/>
        <v>0</v>
      </c>
      <c r="AT48" s="34"/>
      <c r="AU48" s="31">
        <f t="shared" si="559"/>
        <v>300</v>
      </c>
      <c r="AV48" s="35">
        <v>300.0</v>
      </c>
      <c r="AW48" s="33">
        <f t="shared" si="560"/>
        <v>0</v>
      </c>
      <c r="AX48" s="34"/>
      <c r="AY48" s="31">
        <f t="shared" si="561"/>
        <v>300</v>
      </c>
      <c r="AZ48" s="35">
        <v>300.0</v>
      </c>
      <c r="BA48" s="33">
        <f t="shared" si="562"/>
        <v>0</v>
      </c>
      <c r="BB48" s="34"/>
      <c r="BC48" s="31">
        <f t="shared" si="563"/>
        <v>300</v>
      </c>
      <c r="BD48" s="35">
        <v>300.0</v>
      </c>
      <c r="BE48" s="33">
        <f t="shared" si="564"/>
        <v>0</v>
      </c>
      <c r="BF48" s="34"/>
      <c r="BG48" s="31">
        <f t="shared" si="565"/>
        <v>300</v>
      </c>
      <c r="BH48" s="35">
        <v>300.0</v>
      </c>
      <c r="BI48" s="33">
        <f t="shared" si="566"/>
        <v>0</v>
      </c>
      <c r="BJ48" s="34"/>
      <c r="BK48" s="31">
        <f t="shared" si="567"/>
        <v>300</v>
      </c>
      <c r="BL48" s="35">
        <v>300.0</v>
      </c>
      <c r="BM48" s="33">
        <f t="shared" si="568"/>
        <v>0</v>
      </c>
      <c r="BN48" s="34"/>
      <c r="BO48" s="31">
        <f t="shared" si="569"/>
        <v>300</v>
      </c>
      <c r="BP48" s="35">
        <v>300.0</v>
      </c>
      <c r="BQ48" s="33">
        <f t="shared" si="570"/>
        <v>0</v>
      </c>
      <c r="BR48" s="34"/>
      <c r="BS48" s="31">
        <f t="shared" si="571"/>
        <v>300</v>
      </c>
      <c r="BT48" s="35">
        <v>300.0</v>
      </c>
      <c r="BU48" s="33">
        <f t="shared" si="572"/>
        <v>0</v>
      </c>
      <c r="BV48" s="34"/>
      <c r="BW48" s="31">
        <f t="shared" si="573"/>
        <v>300</v>
      </c>
      <c r="BX48" s="35">
        <v>300.0</v>
      </c>
      <c r="BY48" s="33">
        <f t="shared" si="574"/>
        <v>0</v>
      </c>
      <c r="BZ48" s="34"/>
      <c r="CA48" s="31">
        <f t="shared" si="575"/>
        <v>300</v>
      </c>
      <c r="CB48" s="35">
        <v>300.0</v>
      </c>
      <c r="CC48" s="33">
        <f t="shared" si="576"/>
        <v>0</v>
      </c>
      <c r="CD48" s="34"/>
      <c r="CE48" s="31">
        <f t="shared" si="577"/>
        <v>300</v>
      </c>
      <c r="CF48" s="35">
        <v>300.0</v>
      </c>
      <c r="CG48" s="33">
        <f t="shared" si="578"/>
        <v>0</v>
      </c>
      <c r="CH48" s="34"/>
      <c r="CI48" s="31">
        <f t="shared" si="579"/>
        <v>300</v>
      </c>
      <c r="CJ48" s="35">
        <v>300.0</v>
      </c>
      <c r="CK48" s="33">
        <f t="shared" si="580"/>
        <v>0</v>
      </c>
      <c r="CL48" s="34"/>
      <c r="CM48" s="31">
        <f t="shared" si="581"/>
        <v>300</v>
      </c>
      <c r="CN48" s="35">
        <v>300.0</v>
      </c>
      <c r="CO48" s="33">
        <f t="shared" si="582"/>
        <v>0</v>
      </c>
      <c r="CP48" s="34"/>
      <c r="CQ48" s="31">
        <f t="shared" si="583"/>
        <v>300</v>
      </c>
      <c r="CR48" s="35">
        <v>300.0</v>
      </c>
      <c r="CS48" s="33">
        <f t="shared" si="584"/>
        <v>0</v>
      </c>
      <c r="CT48" s="34"/>
      <c r="CU48" s="31">
        <f t="shared" si="585"/>
        <v>300</v>
      </c>
      <c r="CV48" s="35">
        <v>300.0</v>
      </c>
      <c r="CW48" s="33">
        <f t="shared" si="586"/>
        <v>0</v>
      </c>
      <c r="CX48" s="34"/>
      <c r="CY48" s="31">
        <f t="shared" si="587"/>
        <v>300</v>
      </c>
      <c r="CZ48" s="35">
        <v>300.0</v>
      </c>
      <c r="DA48" s="33">
        <f t="shared" si="588"/>
        <v>0</v>
      </c>
      <c r="DB48" s="34"/>
      <c r="DC48" s="31">
        <f t="shared" si="589"/>
        <v>300</v>
      </c>
      <c r="DD48" s="35">
        <v>300.0</v>
      </c>
      <c r="DE48" s="33">
        <f t="shared" si="590"/>
        <v>0</v>
      </c>
      <c r="DF48" s="34"/>
      <c r="DG48" s="31">
        <f t="shared" si="591"/>
        <v>300</v>
      </c>
      <c r="DH48" s="35">
        <v>300.0</v>
      </c>
      <c r="DI48" s="33">
        <f t="shared" si="592"/>
        <v>0</v>
      </c>
      <c r="DJ48" s="34"/>
      <c r="DK48" s="31">
        <f t="shared" si="593"/>
        <v>300</v>
      </c>
      <c r="DL48" s="35">
        <v>300.0</v>
      </c>
      <c r="DM48" s="33">
        <f t="shared" si="594"/>
        <v>0</v>
      </c>
      <c r="DN48" s="34"/>
      <c r="DO48" s="31">
        <f t="shared" si="595"/>
        <v>300</v>
      </c>
      <c r="DP48" s="35">
        <v>300.0</v>
      </c>
      <c r="DQ48" s="33">
        <f t="shared" si="596"/>
        <v>0</v>
      </c>
      <c r="DR48" s="34"/>
      <c r="DS48" s="31">
        <f t="shared" si="597"/>
        <v>300</v>
      </c>
      <c r="DT48" s="35">
        <v>300.0</v>
      </c>
      <c r="DU48" s="33">
        <f t="shared" si="598"/>
        <v>0</v>
      </c>
      <c r="DV48" s="34"/>
      <c r="DW48" s="31">
        <f t="shared" si="599"/>
        <v>300</v>
      </c>
      <c r="DX48" s="35">
        <v>300.0</v>
      </c>
      <c r="DY48" s="33">
        <f t="shared" si="600"/>
        <v>0</v>
      </c>
      <c r="DZ48" s="34"/>
      <c r="EA48" s="31">
        <f t="shared" si="601"/>
        <v>300</v>
      </c>
      <c r="EB48" s="35">
        <v>300.0</v>
      </c>
      <c r="EC48" s="33">
        <f t="shared" si="602"/>
        <v>0</v>
      </c>
      <c r="ED48" s="34"/>
      <c r="EE48" s="31">
        <f t="shared" si="603"/>
        <v>300</v>
      </c>
      <c r="EF48" s="35">
        <v>300.0</v>
      </c>
      <c r="EG48" s="33">
        <f t="shared" si="604"/>
        <v>0</v>
      </c>
      <c r="EH48" s="34"/>
      <c r="EI48" s="31">
        <f t="shared" si="605"/>
        <v>300</v>
      </c>
      <c r="EJ48" s="35">
        <v>300.0</v>
      </c>
      <c r="EK48" s="33">
        <f t="shared" si="606"/>
        <v>0</v>
      </c>
      <c r="EL48" s="34">
        <v>294.0</v>
      </c>
      <c r="EM48" s="31">
        <f t="shared" si="607"/>
        <v>294</v>
      </c>
      <c r="EN48" s="35">
        <v>300.0</v>
      </c>
      <c r="EO48" s="33">
        <f t="shared" si="608"/>
        <v>-6</v>
      </c>
      <c r="EP48" s="34">
        <v>315.0</v>
      </c>
      <c r="EQ48" s="31">
        <f t="shared" si="609"/>
        <v>315</v>
      </c>
      <c r="ER48" s="35">
        <v>300.0</v>
      </c>
      <c r="ES48" s="33">
        <f t="shared" si="610"/>
        <v>15</v>
      </c>
    </row>
    <row r="49" ht="18.0" customHeight="1">
      <c r="A49" s="2" t="s">
        <v>51</v>
      </c>
      <c r="B49" s="30">
        <f t="shared" ref="B49:D49" si="620">SUM(EP49,EL49,EH49,ED49,DZ49,DV49,DR49,DN49,DJ49,DF49,DB49,CX49,CT49,CP49,CL49,CH49,CD49,BZ49,BV49,BR49,BN49,BJ49,BF49,BB49,AX49,AT49,AP49,AL49,AH49,AD49,Z49,V49,R49,N49,J49,F49)</f>
        <v>5075</v>
      </c>
      <c r="C49" s="31">
        <f t="shared" si="620"/>
        <v>90075</v>
      </c>
      <c r="D49" s="32">
        <f t="shared" si="620"/>
        <v>90000</v>
      </c>
      <c r="E49" s="33">
        <f t="shared" si="538"/>
        <v>75</v>
      </c>
      <c r="F49" s="34"/>
      <c r="G49" s="31">
        <f t="shared" si="539"/>
        <v>2500</v>
      </c>
      <c r="H49" s="35">
        <v>2500.0</v>
      </c>
      <c r="I49" s="33">
        <f t="shared" si="540"/>
        <v>0</v>
      </c>
      <c r="J49" s="34"/>
      <c r="K49" s="31">
        <f t="shared" si="541"/>
        <v>2500</v>
      </c>
      <c r="L49" s="35">
        <v>2500.0</v>
      </c>
      <c r="M49" s="33">
        <f t="shared" si="542"/>
        <v>0</v>
      </c>
      <c r="N49" s="34"/>
      <c r="O49" s="31">
        <f t="shared" si="543"/>
        <v>2500</v>
      </c>
      <c r="P49" s="35">
        <v>2500.0</v>
      </c>
      <c r="Q49" s="33">
        <f t="shared" si="544"/>
        <v>0</v>
      </c>
      <c r="R49" s="34"/>
      <c r="S49" s="31">
        <f t="shared" si="545"/>
        <v>2500</v>
      </c>
      <c r="T49" s="35">
        <v>2500.0</v>
      </c>
      <c r="U49" s="33">
        <f t="shared" si="546"/>
        <v>0</v>
      </c>
      <c r="V49" s="34"/>
      <c r="W49" s="31">
        <f t="shared" si="547"/>
        <v>2500</v>
      </c>
      <c r="X49" s="35">
        <v>2500.0</v>
      </c>
      <c r="Y49" s="33">
        <f t="shared" si="548"/>
        <v>0</v>
      </c>
      <c r="Z49" s="34"/>
      <c r="AA49" s="31">
        <f t="shared" si="549"/>
        <v>2500</v>
      </c>
      <c r="AB49" s="35">
        <v>2500.0</v>
      </c>
      <c r="AC49" s="33">
        <f t="shared" si="550"/>
        <v>0</v>
      </c>
      <c r="AD49" s="34"/>
      <c r="AE49" s="31">
        <f t="shared" si="551"/>
        <v>2500</v>
      </c>
      <c r="AF49" s="35">
        <v>2500.0</v>
      </c>
      <c r="AG49" s="33">
        <f t="shared" si="552"/>
        <v>0</v>
      </c>
      <c r="AH49" s="34"/>
      <c r="AI49" s="31">
        <f t="shared" si="553"/>
        <v>2500</v>
      </c>
      <c r="AJ49" s="35">
        <v>2500.0</v>
      </c>
      <c r="AK49" s="33">
        <f t="shared" si="554"/>
        <v>0</v>
      </c>
      <c r="AL49" s="34"/>
      <c r="AM49" s="31">
        <f t="shared" si="555"/>
        <v>2500</v>
      </c>
      <c r="AN49" s="35">
        <v>2500.0</v>
      </c>
      <c r="AO49" s="33">
        <f t="shared" si="556"/>
        <v>0</v>
      </c>
      <c r="AP49" s="34"/>
      <c r="AQ49" s="31">
        <f t="shared" si="557"/>
        <v>2500</v>
      </c>
      <c r="AR49" s="35">
        <v>2500.0</v>
      </c>
      <c r="AS49" s="33">
        <f t="shared" si="558"/>
        <v>0</v>
      </c>
      <c r="AT49" s="34"/>
      <c r="AU49" s="31">
        <f t="shared" si="559"/>
        <v>2500</v>
      </c>
      <c r="AV49" s="35">
        <v>2500.0</v>
      </c>
      <c r="AW49" s="33">
        <f t="shared" si="560"/>
        <v>0</v>
      </c>
      <c r="AX49" s="34"/>
      <c r="AY49" s="31">
        <f t="shared" si="561"/>
        <v>2500</v>
      </c>
      <c r="AZ49" s="35">
        <v>2500.0</v>
      </c>
      <c r="BA49" s="33">
        <f t="shared" si="562"/>
        <v>0</v>
      </c>
      <c r="BB49" s="34"/>
      <c r="BC49" s="31">
        <f t="shared" si="563"/>
        <v>2500</v>
      </c>
      <c r="BD49" s="35">
        <v>2500.0</v>
      </c>
      <c r="BE49" s="33">
        <f t="shared" si="564"/>
        <v>0</v>
      </c>
      <c r="BF49" s="34"/>
      <c r="BG49" s="31">
        <f t="shared" si="565"/>
        <v>2500</v>
      </c>
      <c r="BH49" s="35">
        <v>2500.0</v>
      </c>
      <c r="BI49" s="33">
        <f t="shared" si="566"/>
        <v>0</v>
      </c>
      <c r="BJ49" s="34"/>
      <c r="BK49" s="31">
        <f t="shared" si="567"/>
        <v>2500</v>
      </c>
      <c r="BL49" s="35">
        <v>2500.0</v>
      </c>
      <c r="BM49" s="33">
        <f t="shared" si="568"/>
        <v>0</v>
      </c>
      <c r="BN49" s="34"/>
      <c r="BO49" s="31">
        <f t="shared" si="569"/>
        <v>2500</v>
      </c>
      <c r="BP49" s="35">
        <v>2500.0</v>
      </c>
      <c r="BQ49" s="33">
        <f t="shared" si="570"/>
        <v>0</v>
      </c>
      <c r="BR49" s="34"/>
      <c r="BS49" s="31">
        <f t="shared" si="571"/>
        <v>2500</v>
      </c>
      <c r="BT49" s="35">
        <v>2500.0</v>
      </c>
      <c r="BU49" s="33">
        <f t="shared" si="572"/>
        <v>0</v>
      </c>
      <c r="BV49" s="34"/>
      <c r="BW49" s="31">
        <f t="shared" si="573"/>
        <v>2500</v>
      </c>
      <c r="BX49" s="35">
        <v>2500.0</v>
      </c>
      <c r="BY49" s="33">
        <f t="shared" si="574"/>
        <v>0</v>
      </c>
      <c r="BZ49" s="34"/>
      <c r="CA49" s="31">
        <f t="shared" si="575"/>
        <v>2500</v>
      </c>
      <c r="CB49" s="35">
        <v>2500.0</v>
      </c>
      <c r="CC49" s="33">
        <f t="shared" si="576"/>
        <v>0</v>
      </c>
      <c r="CD49" s="34"/>
      <c r="CE49" s="31">
        <f t="shared" si="577"/>
        <v>2500</v>
      </c>
      <c r="CF49" s="35">
        <v>2500.0</v>
      </c>
      <c r="CG49" s="33">
        <f t="shared" si="578"/>
        <v>0</v>
      </c>
      <c r="CH49" s="34"/>
      <c r="CI49" s="31">
        <f t="shared" si="579"/>
        <v>2500</v>
      </c>
      <c r="CJ49" s="35">
        <v>2500.0</v>
      </c>
      <c r="CK49" s="33">
        <f t="shared" si="580"/>
        <v>0</v>
      </c>
      <c r="CL49" s="34"/>
      <c r="CM49" s="31">
        <f t="shared" si="581"/>
        <v>2500</v>
      </c>
      <c r="CN49" s="35">
        <v>2500.0</v>
      </c>
      <c r="CO49" s="33">
        <f t="shared" si="582"/>
        <v>0</v>
      </c>
      <c r="CP49" s="34"/>
      <c r="CQ49" s="31">
        <f t="shared" si="583"/>
        <v>2500</v>
      </c>
      <c r="CR49" s="35">
        <v>2500.0</v>
      </c>
      <c r="CS49" s="33">
        <f t="shared" si="584"/>
        <v>0</v>
      </c>
      <c r="CT49" s="34"/>
      <c r="CU49" s="31">
        <f t="shared" si="585"/>
        <v>2500</v>
      </c>
      <c r="CV49" s="35">
        <v>2500.0</v>
      </c>
      <c r="CW49" s="33">
        <f t="shared" si="586"/>
        <v>0</v>
      </c>
      <c r="CX49" s="34"/>
      <c r="CY49" s="31">
        <f t="shared" si="587"/>
        <v>2500</v>
      </c>
      <c r="CZ49" s="35">
        <v>2500.0</v>
      </c>
      <c r="DA49" s="33">
        <f t="shared" si="588"/>
        <v>0</v>
      </c>
      <c r="DB49" s="34"/>
      <c r="DC49" s="31">
        <f t="shared" si="589"/>
        <v>2500</v>
      </c>
      <c r="DD49" s="35">
        <v>2500.0</v>
      </c>
      <c r="DE49" s="33">
        <f t="shared" si="590"/>
        <v>0</v>
      </c>
      <c r="DF49" s="34"/>
      <c r="DG49" s="31">
        <f t="shared" si="591"/>
        <v>2500</v>
      </c>
      <c r="DH49" s="35">
        <v>2500.0</v>
      </c>
      <c r="DI49" s="33">
        <f t="shared" si="592"/>
        <v>0</v>
      </c>
      <c r="DJ49" s="34"/>
      <c r="DK49" s="31">
        <f t="shared" si="593"/>
        <v>2500</v>
      </c>
      <c r="DL49" s="35">
        <v>2500.0</v>
      </c>
      <c r="DM49" s="33">
        <f t="shared" si="594"/>
        <v>0</v>
      </c>
      <c r="DN49" s="34"/>
      <c r="DO49" s="31">
        <f t="shared" si="595"/>
        <v>2500</v>
      </c>
      <c r="DP49" s="35">
        <v>2500.0</v>
      </c>
      <c r="DQ49" s="33">
        <f t="shared" si="596"/>
        <v>0</v>
      </c>
      <c r="DR49" s="34"/>
      <c r="DS49" s="31">
        <f t="shared" si="597"/>
        <v>2500</v>
      </c>
      <c r="DT49" s="35">
        <v>2500.0</v>
      </c>
      <c r="DU49" s="33">
        <f t="shared" si="598"/>
        <v>0</v>
      </c>
      <c r="DV49" s="34"/>
      <c r="DW49" s="31">
        <f t="shared" si="599"/>
        <v>2500</v>
      </c>
      <c r="DX49" s="35">
        <v>2500.0</v>
      </c>
      <c r="DY49" s="33">
        <f t="shared" si="600"/>
        <v>0</v>
      </c>
      <c r="DZ49" s="34"/>
      <c r="EA49" s="31">
        <f t="shared" si="601"/>
        <v>2500</v>
      </c>
      <c r="EB49" s="35">
        <v>2500.0</v>
      </c>
      <c r="EC49" s="33">
        <f t="shared" si="602"/>
        <v>0</v>
      </c>
      <c r="ED49" s="34"/>
      <c r="EE49" s="31">
        <f t="shared" si="603"/>
        <v>2500</v>
      </c>
      <c r="EF49" s="35">
        <v>2500.0</v>
      </c>
      <c r="EG49" s="33">
        <f t="shared" si="604"/>
        <v>0</v>
      </c>
      <c r="EH49" s="34"/>
      <c r="EI49" s="31">
        <f t="shared" si="605"/>
        <v>2500</v>
      </c>
      <c r="EJ49" s="35">
        <v>2500.0</v>
      </c>
      <c r="EK49" s="33">
        <f t="shared" si="606"/>
        <v>0</v>
      </c>
      <c r="EL49" s="34">
        <v>2450.0</v>
      </c>
      <c r="EM49" s="31">
        <f t="shared" si="607"/>
        <v>2450</v>
      </c>
      <c r="EN49" s="35">
        <v>2500.0</v>
      </c>
      <c r="EO49" s="33">
        <f t="shared" si="608"/>
        <v>-50</v>
      </c>
      <c r="EP49" s="34">
        <v>2625.0</v>
      </c>
      <c r="EQ49" s="31">
        <f t="shared" si="609"/>
        <v>2625</v>
      </c>
      <c r="ER49" s="35">
        <v>2500.0</v>
      </c>
      <c r="ES49" s="33">
        <f t="shared" si="610"/>
        <v>125</v>
      </c>
    </row>
    <row r="50" ht="18.0" customHeight="1">
      <c r="A50" s="2" t="s">
        <v>52</v>
      </c>
      <c r="B50" s="30">
        <f t="shared" ref="B50:D50" si="621">SUM(EP50,EL50,EH50,ED50,DZ50,DV50,DR50,DN50,DJ50,DF50,DB50,CX50,CT50,CP50,CL50,CH50,CD50,BZ50,BV50,BR50,BN50,BJ50,BF50,BB50,AX50,AT50,AP50,AL50,AH50,AD50,Z50,V50,R50,N50,J50,F50)</f>
        <v>609</v>
      </c>
      <c r="C50" s="31">
        <f t="shared" si="621"/>
        <v>10809</v>
      </c>
      <c r="D50" s="32">
        <f t="shared" si="621"/>
        <v>10800</v>
      </c>
      <c r="E50" s="33">
        <f t="shared" si="538"/>
        <v>9</v>
      </c>
      <c r="F50" s="34"/>
      <c r="G50" s="31">
        <f t="shared" si="539"/>
        <v>300</v>
      </c>
      <c r="H50" s="35">
        <v>300.0</v>
      </c>
      <c r="I50" s="33">
        <f t="shared" si="540"/>
        <v>0</v>
      </c>
      <c r="J50" s="34"/>
      <c r="K50" s="31">
        <f t="shared" si="541"/>
        <v>300</v>
      </c>
      <c r="L50" s="35">
        <v>300.0</v>
      </c>
      <c r="M50" s="33">
        <f t="shared" si="542"/>
        <v>0</v>
      </c>
      <c r="N50" s="34"/>
      <c r="O50" s="31">
        <f t="shared" si="543"/>
        <v>300</v>
      </c>
      <c r="P50" s="35">
        <v>300.0</v>
      </c>
      <c r="Q50" s="33">
        <f t="shared" si="544"/>
        <v>0</v>
      </c>
      <c r="R50" s="34"/>
      <c r="S50" s="31">
        <f t="shared" si="545"/>
        <v>300</v>
      </c>
      <c r="T50" s="35">
        <v>300.0</v>
      </c>
      <c r="U50" s="33">
        <f t="shared" si="546"/>
        <v>0</v>
      </c>
      <c r="V50" s="34"/>
      <c r="W50" s="31">
        <f t="shared" si="547"/>
        <v>300</v>
      </c>
      <c r="X50" s="35">
        <v>300.0</v>
      </c>
      <c r="Y50" s="33">
        <f t="shared" si="548"/>
        <v>0</v>
      </c>
      <c r="Z50" s="34"/>
      <c r="AA50" s="31">
        <f t="shared" si="549"/>
        <v>300</v>
      </c>
      <c r="AB50" s="35">
        <v>300.0</v>
      </c>
      <c r="AC50" s="33">
        <f t="shared" si="550"/>
        <v>0</v>
      </c>
      <c r="AD50" s="34"/>
      <c r="AE50" s="31">
        <f t="shared" si="551"/>
        <v>300</v>
      </c>
      <c r="AF50" s="35">
        <v>300.0</v>
      </c>
      <c r="AG50" s="33">
        <f t="shared" si="552"/>
        <v>0</v>
      </c>
      <c r="AH50" s="34"/>
      <c r="AI50" s="31">
        <f t="shared" si="553"/>
        <v>300</v>
      </c>
      <c r="AJ50" s="35">
        <v>300.0</v>
      </c>
      <c r="AK50" s="33">
        <f t="shared" si="554"/>
        <v>0</v>
      </c>
      <c r="AL50" s="34"/>
      <c r="AM50" s="31">
        <f t="shared" si="555"/>
        <v>300</v>
      </c>
      <c r="AN50" s="35">
        <v>300.0</v>
      </c>
      <c r="AO50" s="33">
        <f t="shared" si="556"/>
        <v>0</v>
      </c>
      <c r="AP50" s="34"/>
      <c r="AQ50" s="31">
        <f t="shared" si="557"/>
        <v>300</v>
      </c>
      <c r="AR50" s="35">
        <v>300.0</v>
      </c>
      <c r="AS50" s="33">
        <f t="shared" si="558"/>
        <v>0</v>
      </c>
      <c r="AT50" s="34"/>
      <c r="AU50" s="31">
        <f t="shared" si="559"/>
        <v>300</v>
      </c>
      <c r="AV50" s="35">
        <v>300.0</v>
      </c>
      <c r="AW50" s="33">
        <f t="shared" si="560"/>
        <v>0</v>
      </c>
      <c r="AX50" s="34"/>
      <c r="AY50" s="31">
        <f t="shared" si="561"/>
        <v>300</v>
      </c>
      <c r="AZ50" s="35">
        <v>300.0</v>
      </c>
      <c r="BA50" s="33">
        <f t="shared" si="562"/>
        <v>0</v>
      </c>
      <c r="BB50" s="34"/>
      <c r="BC50" s="31">
        <f t="shared" si="563"/>
        <v>300</v>
      </c>
      <c r="BD50" s="35">
        <v>300.0</v>
      </c>
      <c r="BE50" s="33">
        <f t="shared" si="564"/>
        <v>0</v>
      </c>
      <c r="BF50" s="34"/>
      <c r="BG50" s="31">
        <f t="shared" si="565"/>
        <v>300</v>
      </c>
      <c r="BH50" s="35">
        <v>300.0</v>
      </c>
      <c r="BI50" s="33">
        <f t="shared" si="566"/>
        <v>0</v>
      </c>
      <c r="BJ50" s="34"/>
      <c r="BK50" s="31">
        <f t="shared" si="567"/>
        <v>300</v>
      </c>
      <c r="BL50" s="35">
        <v>300.0</v>
      </c>
      <c r="BM50" s="33">
        <f t="shared" si="568"/>
        <v>0</v>
      </c>
      <c r="BN50" s="34"/>
      <c r="BO50" s="31">
        <f t="shared" si="569"/>
        <v>300</v>
      </c>
      <c r="BP50" s="35">
        <v>300.0</v>
      </c>
      <c r="BQ50" s="33">
        <f t="shared" si="570"/>
        <v>0</v>
      </c>
      <c r="BR50" s="34"/>
      <c r="BS50" s="31">
        <f t="shared" si="571"/>
        <v>300</v>
      </c>
      <c r="BT50" s="35">
        <v>300.0</v>
      </c>
      <c r="BU50" s="33">
        <f t="shared" si="572"/>
        <v>0</v>
      </c>
      <c r="BV50" s="34"/>
      <c r="BW50" s="31">
        <f t="shared" si="573"/>
        <v>300</v>
      </c>
      <c r="BX50" s="35">
        <v>300.0</v>
      </c>
      <c r="BY50" s="33">
        <f t="shared" si="574"/>
        <v>0</v>
      </c>
      <c r="BZ50" s="34"/>
      <c r="CA50" s="31">
        <f t="shared" si="575"/>
        <v>300</v>
      </c>
      <c r="CB50" s="35">
        <v>300.0</v>
      </c>
      <c r="CC50" s="33">
        <f t="shared" si="576"/>
        <v>0</v>
      </c>
      <c r="CD50" s="34"/>
      <c r="CE50" s="31">
        <f t="shared" si="577"/>
        <v>300</v>
      </c>
      <c r="CF50" s="35">
        <v>300.0</v>
      </c>
      <c r="CG50" s="33">
        <f t="shared" si="578"/>
        <v>0</v>
      </c>
      <c r="CH50" s="34"/>
      <c r="CI50" s="31">
        <f t="shared" si="579"/>
        <v>300</v>
      </c>
      <c r="CJ50" s="35">
        <v>300.0</v>
      </c>
      <c r="CK50" s="33">
        <f t="shared" si="580"/>
        <v>0</v>
      </c>
      <c r="CL50" s="34"/>
      <c r="CM50" s="31">
        <f t="shared" si="581"/>
        <v>300</v>
      </c>
      <c r="CN50" s="35">
        <v>300.0</v>
      </c>
      <c r="CO50" s="33">
        <f t="shared" si="582"/>
        <v>0</v>
      </c>
      <c r="CP50" s="34"/>
      <c r="CQ50" s="31">
        <f t="shared" si="583"/>
        <v>300</v>
      </c>
      <c r="CR50" s="35">
        <v>300.0</v>
      </c>
      <c r="CS50" s="33">
        <f t="shared" si="584"/>
        <v>0</v>
      </c>
      <c r="CT50" s="34"/>
      <c r="CU50" s="31">
        <f t="shared" si="585"/>
        <v>300</v>
      </c>
      <c r="CV50" s="35">
        <v>300.0</v>
      </c>
      <c r="CW50" s="33">
        <f t="shared" si="586"/>
        <v>0</v>
      </c>
      <c r="CX50" s="34"/>
      <c r="CY50" s="31">
        <f t="shared" si="587"/>
        <v>300</v>
      </c>
      <c r="CZ50" s="35">
        <v>300.0</v>
      </c>
      <c r="DA50" s="33">
        <f t="shared" si="588"/>
        <v>0</v>
      </c>
      <c r="DB50" s="34"/>
      <c r="DC50" s="31">
        <f t="shared" si="589"/>
        <v>300</v>
      </c>
      <c r="DD50" s="35">
        <v>300.0</v>
      </c>
      <c r="DE50" s="33">
        <f t="shared" si="590"/>
        <v>0</v>
      </c>
      <c r="DF50" s="34"/>
      <c r="DG50" s="31">
        <f t="shared" si="591"/>
        <v>300</v>
      </c>
      <c r="DH50" s="35">
        <v>300.0</v>
      </c>
      <c r="DI50" s="33">
        <f t="shared" si="592"/>
        <v>0</v>
      </c>
      <c r="DJ50" s="34"/>
      <c r="DK50" s="31">
        <f t="shared" si="593"/>
        <v>300</v>
      </c>
      <c r="DL50" s="35">
        <v>300.0</v>
      </c>
      <c r="DM50" s="33">
        <f t="shared" si="594"/>
        <v>0</v>
      </c>
      <c r="DN50" s="34"/>
      <c r="DO50" s="31">
        <f t="shared" si="595"/>
        <v>300</v>
      </c>
      <c r="DP50" s="35">
        <v>300.0</v>
      </c>
      <c r="DQ50" s="33">
        <f t="shared" si="596"/>
        <v>0</v>
      </c>
      <c r="DR50" s="34"/>
      <c r="DS50" s="31">
        <f t="shared" si="597"/>
        <v>300</v>
      </c>
      <c r="DT50" s="35">
        <v>300.0</v>
      </c>
      <c r="DU50" s="33">
        <f t="shared" si="598"/>
        <v>0</v>
      </c>
      <c r="DV50" s="34"/>
      <c r="DW50" s="31">
        <f t="shared" si="599"/>
        <v>300</v>
      </c>
      <c r="DX50" s="35">
        <v>300.0</v>
      </c>
      <c r="DY50" s="33">
        <f t="shared" si="600"/>
        <v>0</v>
      </c>
      <c r="DZ50" s="34"/>
      <c r="EA50" s="31">
        <f t="shared" si="601"/>
        <v>300</v>
      </c>
      <c r="EB50" s="35">
        <v>300.0</v>
      </c>
      <c r="EC50" s="33">
        <f t="shared" si="602"/>
        <v>0</v>
      </c>
      <c r="ED50" s="34"/>
      <c r="EE50" s="31">
        <f t="shared" si="603"/>
        <v>300</v>
      </c>
      <c r="EF50" s="35">
        <v>300.0</v>
      </c>
      <c r="EG50" s="33">
        <f t="shared" si="604"/>
        <v>0</v>
      </c>
      <c r="EH50" s="34"/>
      <c r="EI50" s="31">
        <f t="shared" si="605"/>
        <v>300</v>
      </c>
      <c r="EJ50" s="35">
        <v>300.0</v>
      </c>
      <c r="EK50" s="33">
        <f t="shared" si="606"/>
        <v>0</v>
      </c>
      <c r="EL50" s="34">
        <v>294.0</v>
      </c>
      <c r="EM50" s="31">
        <f t="shared" si="607"/>
        <v>294</v>
      </c>
      <c r="EN50" s="35">
        <v>300.0</v>
      </c>
      <c r="EO50" s="33">
        <f t="shared" si="608"/>
        <v>-6</v>
      </c>
      <c r="EP50" s="34">
        <v>315.0</v>
      </c>
      <c r="EQ50" s="31">
        <f t="shared" si="609"/>
        <v>315</v>
      </c>
      <c r="ER50" s="35">
        <v>300.0</v>
      </c>
      <c r="ES50" s="33">
        <f t="shared" si="610"/>
        <v>15</v>
      </c>
    </row>
    <row r="51" ht="18.0" customHeight="1">
      <c r="A51" s="2" t="s">
        <v>53</v>
      </c>
      <c r="B51" s="30">
        <f t="shared" ref="B51:D51" si="622">SUM(EP51,EL51,EH51,ED51,DZ51,DV51,DR51,DN51,DJ51,DF51,DB51,CX51,CT51,CP51,CL51,CH51,CD51,BZ51,BV51,BR51,BN51,BJ51,BF51,BB51,AX51,AT51,AP51,AL51,AH51,AD51,Z51,V51,R51,N51,J51,F51)</f>
        <v>1015</v>
      </c>
      <c r="C51" s="31">
        <f t="shared" si="622"/>
        <v>18015</v>
      </c>
      <c r="D51" s="32">
        <f t="shared" si="622"/>
        <v>18000</v>
      </c>
      <c r="E51" s="33">
        <f t="shared" si="538"/>
        <v>15</v>
      </c>
      <c r="F51" s="34"/>
      <c r="G51" s="31">
        <f t="shared" si="539"/>
        <v>500</v>
      </c>
      <c r="H51" s="35">
        <v>500.0</v>
      </c>
      <c r="I51" s="33">
        <f t="shared" si="540"/>
        <v>0</v>
      </c>
      <c r="J51" s="34"/>
      <c r="K51" s="31">
        <f t="shared" si="541"/>
        <v>500</v>
      </c>
      <c r="L51" s="35">
        <v>500.0</v>
      </c>
      <c r="M51" s="33">
        <f t="shared" si="542"/>
        <v>0</v>
      </c>
      <c r="N51" s="34"/>
      <c r="O51" s="31">
        <f t="shared" si="543"/>
        <v>500</v>
      </c>
      <c r="P51" s="35">
        <v>500.0</v>
      </c>
      <c r="Q51" s="33">
        <f t="shared" si="544"/>
        <v>0</v>
      </c>
      <c r="R51" s="34"/>
      <c r="S51" s="31">
        <f t="shared" si="545"/>
        <v>500</v>
      </c>
      <c r="T51" s="35">
        <v>500.0</v>
      </c>
      <c r="U51" s="33">
        <f t="shared" si="546"/>
        <v>0</v>
      </c>
      <c r="V51" s="34"/>
      <c r="W51" s="31">
        <f t="shared" si="547"/>
        <v>500</v>
      </c>
      <c r="X51" s="35">
        <v>500.0</v>
      </c>
      <c r="Y51" s="33">
        <f t="shared" si="548"/>
        <v>0</v>
      </c>
      <c r="Z51" s="34"/>
      <c r="AA51" s="31">
        <f t="shared" si="549"/>
        <v>500</v>
      </c>
      <c r="AB51" s="35">
        <v>500.0</v>
      </c>
      <c r="AC51" s="33">
        <f t="shared" si="550"/>
        <v>0</v>
      </c>
      <c r="AD51" s="34"/>
      <c r="AE51" s="31">
        <f t="shared" si="551"/>
        <v>500</v>
      </c>
      <c r="AF51" s="35">
        <v>500.0</v>
      </c>
      <c r="AG51" s="33">
        <f t="shared" si="552"/>
        <v>0</v>
      </c>
      <c r="AH51" s="34"/>
      <c r="AI51" s="31">
        <f t="shared" si="553"/>
        <v>500</v>
      </c>
      <c r="AJ51" s="35">
        <v>500.0</v>
      </c>
      <c r="AK51" s="33">
        <f t="shared" si="554"/>
        <v>0</v>
      </c>
      <c r="AL51" s="34"/>
      <c r="AM51" s="31">
        <f t="shared" si="555"/>
        <v>500</v>
      </c>
      <c r="AN51" s="35">
        <v>500.0</v>
      </c>
      <c r="AO51" s="33">
        <f t="shared" si="556"/>
        <v>0</v>
      </c>
      <c r="AP51" s="34"/>
      <c r="AQ51" s="31">
        <f t="shared" si="557"/>
        <v>500</v>
      </c>
      <c r="AR51" s="35">
        <v>500.0</v>
      </c>
      <c r="AS51" s="33">
        <f t="shared" si="558"/>
        <v>0</v>
      </c>
      <c r="AT51" s="34"/>
      <c r="AU51" s="31">
        <f t="shared" si="559"/>
        <v>500</v>
      </c>
      <c r="AV51" s="35">
        <v>500.0</v>
      </c>
      <c r="AW51" s="33">
        <f t="shared" si="560"/>
        <v>0</v>
      </c>
      <c r="AX51" s="34"/>
      <c r="AY51" s="31">
        <f t="shared" si="561"/>
        <v>500</v>
      </c>
      <c r="AZ51" s="35">
        <v>500.0</v>
      </c>
      <c r="BA51" s="33">
        <f t="shared" si="562"/>
        <v>0</v>
      </c>
      <c r="BB51" s="34"/>
      <c r="BC51" s="31">
        <f t="shared" si="563"/>
        <v>500</v>
      </c>
      <c r="BD51" s="35">
        <v>500.0</v>
      </c>
      <c r="BE51" s="33">
        <f t="shared" si="564"/>
        <v>0</v>
      </c>
      <c r="BF51" s="34"/>
      <c r="BG51" s="31">
        <f t="shared" si="565"/>
        <v>500</v>
      </c>
      <c r="BH51" s="35">
        <v>500.0</v>
      </c>
      <c r="BI51" s="33">
        <f t="shared" si="566"/>
        <v>0</v>
      </c>
      <c r="BJ51" s="34"/>
      <c r="BK51" s="31">
        <f t="shared" si="567"/>
        <v>500</v>
      </c>
      <c r="BL51" s="35">
        <v>500.0</v>
      </c>
      <c r="BM51" s="33">
        <f t="shared" si="568"/>
        <v>0</v>
      </c>
      <c r="BN51" s="34"/>
      <c r="BO51" s="31">
        <f t="shared" si="569"/>
        <v>500</v>
      </c>
      <c r="BP51" s="35">
        <v>500.0</v>
      </c>
      <c r="BQ51" s="33">
        <f t="shared" si="570"/>
        <v>0</v>
      </c>
      <c r="BR51" s="34"/>
      <c r="BS51" s="31">
        <f t="shared" si="571"/>
        <v>500</v>
      </c>
      <c r="BT51" s="35">
        <v>500.0</v>
      </c>
      <c r="BU51" s="33">
        <f t="shared" si="572"/>
        <v>0</v>
      </c>
      <c r="BV51" s="34"/>
      <c r="BW51" s="31">
        <f t="shared" si="573"/>
        <v>500</v>
      </c>
      <c r="BX51" s="35">
        <v>500.0</v>
      </c>
      <c r="BY51" s="33">
        <f t="shared" si="574"/>
        <v>0</v>
      </c>
      <c r="BZ51" s="34"/>
      <c r="CA51" s="31">
        <f t="shared" si="575"/>
        <v>500</v>
      </c>
      <c r="CB51" s="35">
        <v>500.0</v>
      </c>
      <c r="CC51" s="33">
        <f t="shared" si="576"/>
        <v>0</v>
      </c>
      <c r="CD51" s="34"/>
      <c r="CE51" s="31">
        <f t="shared" si="577"/>
        <v>500</v>
      </c>
      <c r="CF51" s="35">
        <v>500.0</v>
      </c>
      <c r="CG51" s="33">
        <f t="shared" si="578"/>
        <v>0</v>
      </c>
      <c r="CH51" s="34"/>
      <c r="CI51" s="31">
        <f t="shared" si="579"/>
        <v>500</v>
      </c>
      <c r="CJ51" s="35">
        <v>500.0</v>
      </c>
      <c r="CK51" s="33">
        <f t="shared" si="580"/>
        <v>0</v>
      </c>
      <c r="CL51" s="34"/>
      <c r="CM51" s="31">
        <f t="shared" si="581"/>
        <v>500</v>
      </c>
      <c r="CN51" s="35">
        <v>500.0</v>
      </c>
      <c r="CO51" s="33">
        <f t="shared" si="582"/>
        <v>0</v>
      </c>
      <c r="CP51" s="34"/>
      <c r="CQ51" s="31">
        <f t="shared" si="583"/>
        <v>500</v>
      </c>
      <c r="CR51" s="35">
        <v>500.0</v>
      </c>
      <c r="CS51" s="33">
        <f t="shared" si="584"/>
        <v>0</v>
      </c>
      <c r="CT51" s="34"/>
      <c r="CU51" s="31">
        <f t="shared" si="585"/>
        <v>500</v>
      </c>
      <c r="CV51" s="35">
        <v>500.0</v>
      </c>
      <c r="CW51" s="33">
        <f t="shared" si="586"/>
        <v>0</v>
      </c>
      <c r="CX51" s="34"/>
      <c r="CY51" s="31">
        <f t="shared" si="587"/>
        <v>500</v>
      </c>
      <c r="CZ51" s="35">
        <v>500.0</v>
      </c>
      <c r="DA51" s="33">
        <f t="shared" si="588"/>
        <v>0</v>
      </c>
      <c r="DB51" s="34"/>
      <c r="DC51" s="31">
        <f t="shared" si="589"/>
        <v>500</v>
      </c>
      <c r="DD51" s="35">
        <v>500.0</v>
      </c>
      <c r="DE51" s="33">
        <f t="shared" si="590"/>
        <v>0</v>
      </c>
      <c r="DF51" s="34"/>
      <c r="DG51" s="31">
        <f t="shared" si="591"/>
        <v>500</v>
      </c>
      <c r="DH51" s="35">
        <v>500.0</v>
      </c>
      <c r="DI51" s="33">
        <f t="shared" si="592"/>
        <v>0</v>
      </c>
      <c r="DJ51" s="34"/>
      <c r="DK51" s="31">
        <f t="shared" si="593"/>
        <v>500</v>
      </c>
      <c r="DL51" s="35">
        <v>500.0</v>
      </c>
      <c r="DM51" s="33">
        <f t="shared" si="594"/>
        <v>0</v>
      </c>
      <c r="DN51" s="34"/>
      <c r="DO51" s="31">
        <f t="shared" si="595"/>
        <v>500</v>
      </c>
      <c r="DP51" s="35">
        <v>500.0</v>
      </c>
      <c r="DQ51" s="33">
        <f t="shared" si="596"/>
        <v>0</v>
      </c>
      <c r="DR51" s="34"/>
      <c r="DS51" s="31">
        <f t="shared" si="597"/>
        <v>500</v>
      </c>
      <c r="DT51" s="35">
        <v>500.0</v>
      </c>
      <c r="DU51" s="33">
        <f t="shared" si="598"/>
        <v>0</v>
      </c>
      <c r="DV51" s="34"/>
      <c r="DW51" s="31">
        <f t="shared" si="599"/>
        <v>500</v>
      </c>
      <c r="DX51" s="35">
        <v>500.0</v>
      </c>
      <c r="DY51" s="33">
        <f t="shared" si="600"/>
        <v>0</v>
      </c>
      <c r="DZ51" s="34"/>
      <c r="EA51" s="31">
        <f t="shared" si="601"/>
        <v>500</v>
      </c>
      <c r="EB51" s="35">
        <v>500.0</v>
      </c>
      <c r="EC51" s="33">
        <f t="shared" si="602"/>
        <v>0</v>
      </c>
      <c r="ED51" s="34"/>
      <c r="EE51" s="31">
        <f t="shared" si="603"/>
        <v>500</v>
      </c>
      <c r="EF51" s="35">
        <v>500.0</v>
      </c>
      <c r="EG51" s="33">
        <f t="shared" si="604"/>
        <v>0</v>
      </c>
      <c r="EH51" s="34"/>
      <c r="EI51" s="31">
        <f t="shared" si="605"/>
        <v>500</v>
      </c>
      <c r="EJ51" s="35">
        <v>500.0</v>
      </c>
      <c r="EK51" s="33">
        <f t="shared" si="606"/>
        <v>0</v>
      </c>
      <c r="EL51" s="34">
        <v>490.0</v>
      </c>
      <c r="EM51" s="31">
        <f t="shared" si="607"/>
        <v>490</v>
      </c>
      <c r="EN51" s="35">
        <v>500.0</v>
      </c>
      <c r="EO51" s="33">
        <f t="shared" si="608"/>
        <v>-10</v>
      </c>
      <c r="EP51" s="34">
        <v>525.0</v>
      </c>
      <c r="EQ51" s="31">
        <f t="shared" si="609"/>
        <v>525</v>
      </c>
      <c r="ER51" s="35">
        <v>500.0</v>
      </c>
      <c r="ES51" s="33">
        <f t="shared" si="610"/>
        <v>25</v>
      </c>
    </row>
    <row r="52" ht="18.0" customHeight="1">
      <c r="A52" s="2" t="s">
        <v>54</v>
      </c>
      <c r="B52" s="30">
        <f t="shared" ref="B52:D52" si="623">SUM(EP52,EL52,EH52,ED52,DZ52,DV52,DR52,DN52,DJ52,DF52,DB52,CX52,CT52,CP52,CL52,CH52,CD52,BZ52,BV52,BR52,BN52,BJ52,BF52,BB52,AX52,AT52,AP52,AL52,AH52,AD52,Z52,V52,R52,N52,J52,F52)</f>
        <v>2030</v>
      </c>
      <c r="C52" s="31">
        <f t="shared" si="623"/>
        <v>36030</v>
      </c>
      <c r="D52" s="32">
        <f t="shared" si="623"/>
        <v>36000</v>
      </c>
      <c r="E52" s="33">
        <f t="shared" si="538"/>
        <v>30</v>
      </c>
      <c r="F52" s="34"/>
      <c r="G52" s="31">
        <f t="shared" si="539"/>
        <v>1000</v>
      </c>
      <c r="H52" s="35">
        <v>1000.0</v>
      </c>
      <c r="I52" s="33">
        <f t="shared" si="540"/>
        <v>0</v>
      </c>
      <c r="J52" s="34"/>
      <c r="K52" s="31">
        <f t="shared" si="541"/>
        <v>1000</v>
      </c>
      <c r="L52" s="35">
        <v>1000.0</v>
      </c>
      <c r="M52" s="33">
        <f t="shared" si="542"/>
        <v>0</v>
      </c>
      <c r="N52" s="34"/>
      <c r="O52" s="31">
        <f t="shared" si="543"/>
        <v>1000</v>
      </c>
      <c r="P52" s="35">
        <v>1000.0</v>
      </c>
      <c r="Q52" s="33">
        <f t="shared" si="544"/>
        <v>0</v>
      </c>
      <c r="R52" s="34"/>
      <c r="S52" s="31">
        <f t="shared" si="545"/>
        <v>1000</v>
      </c>
      <c r="T52" s="35">
        <v>1000.0</v>
      </c>
      <c r="U52" s="33">
        <f t="shared" si="546"/>
        <v>0</v>
      </c>
      <c r="V52" s="34"/>
      <c r="W52" s="31">
        <f t="shared" si="547"/>
        <v>1000</v>
      </c>
      <c r="X52" s="35">
        <v>1000.0</v>
      </c>
      <c r="Y52" s="33">
        <f t="shared" si="548"/>
        <v>0</v>
      </c>
      <c r="Z52" s="34"/>
      <c r="AA52" s="31">
        <f t="shared" si="549"/>
        <v>1000</v>
      </c>
      <c r="AB52" s="35">
        <v>1000.0</v>
      </c>
      <c r="AC52" s="33">
        <f t="shared" si="550"/>
        <v>0</v>
      </c>
      <c r="AD52" s="34"/>
      <c r="AE52" s="31">
        <f t="shared" si="551"/>
        <v>1000</v>
      </c>
      <c r="AF52" s="35">
        <v>1000.0</v>
      </c>
      <c r="AG52" s="33">
        <f t="shared" si="552"/>
        <v>0</v>
      </c>
      <c r="AH52" s="34"/>
      <c r="AI52" s="31">
        <f t="shared" si="553"/>
        <v>1000</v>
      </c>
      <c r="AJ52" s="35">
        <v>1000.0</v>
      </c>
      <c r="AK52" s="33">
        <f t="shared" si="554"/>
        <v>0</v>
      </c>
      <c r="AL52" s="34"/>
      <c r="AM52" s="31">
        <f t="shared" si="555"/>
        <v>1000</v>
      </c>
      <c r="AN52" s="35">
        <v>1000.0</v>
      </c>
      <c r="AO52" s="33">
        <f t="shared" si="556"/>
        <v>0</v>
      </c>
      <c r="AP52" s="34"/>
      <c r="AQ52" s="31">
        <f t="shared" si="557"/>
        <v>1000</v>
      </c>
      <c r="AR52" s="35">
        <v>1000.0</v>
      </c>
      <c r="AS52" s="33">
        <f t="shared" si="558"/>
        <v>0</v>
      </c>
      <c r="AT52" s="34"/>
      <c r="AU52" s="31">
        <f t="shared" si="559"/>
        <v>1000</v>
      </c>
      <c r="AV52" s="35">
        <v>1000.0</v>
      </c>
      <c r="AW52" s="33">
        <f t="shared" si="560"/>
        <v>0</v>
      </c>
      <c r="AX52" s="34"/>
      <c r="AY52" s="31">
        <f t="shared" si="561"/>
        <v>1000</v>
      </c>
      <c r="AZ52" s="35">
        <v>1000.0</v>
      </c>
      <c r="BA52" s="33">
        <f t="shared" si="562"/>
        <v>0</v>
      </c>
      <c r="BB52" s="34"/>
      <c r="BC52" s="31">
        <f t="shared" si="563"/>
        <v>1000</v>
      </c>
      <c r="BD52" s="35">
        <v>1000.0</v>
      </c>
      <c r="BE52" s="33">
        <f t="shared" si="564"/>
        <v>0</v>
      </c>
      <c r="BF52" s="34"/>
      <c r="BG52" s="31">
        <f t="shared" si="565"/>
        <v>1000</v>
      </c>
      <c r="BH52" s="35">
        <v>1000.0</v>
      </c>
      <c r="BI52" s="33">
        <f t="shared" si="566"/>
        <v>0</v>
      </c>
      <c r="BJ52" s="34"/>
      <c r="BK52" s="31">
        <f t="shared" si="567"/>
        <v>1000</v>
      </c>
      <c r="BL52" s="35">
        <v>1000.0</v>
      </c>
      <c r="BM52" s="33">
        <f t="shared" si="568"/>
        <v>0</v>
      </c>
      <c r="BN52" s="34"/>
      <c r="BO52" s="31">
        <f t="shared" si="569"/>
        <v>1000</v>
      </c>
      <c r="BP52" s="35">
        <v>1000.0</v>
      </c>
      <c r="BQ52" s="33">
        <f t="shared" si="570"/>
        <v>0</v>
      </c>
      <c r="BR52" s="34"/>
      <c r="BS52" s="31">
        <f t="shared" si="571"/>
        <v>1000</v>
      </c>
      <c r="BT52" s="35">
        <v>1000.0</v>
      </c>
      <c r="BU52" s="33">
        <f t="shared" si="572"/>
        <v>0</v>
      </c>
      <c r="BV52" s="34"/>
      <c r="BW52" s="31">
        <f t="shared" si="573"/>
        <v>1000</v>
      </c>
      <c r="BX52" s="35">
        <v>1000.0</v>
      </c>
      <c r="BY52" s="33">
        <f t="shared" si="574"/>
        <v>0</v>
      </c>
      <c r="BZ52" s="34"/>
      <c r="CA52" s="31">
        <f t="shared" si="575"/>
        <v>1000</v>
      </c>
      <c r="CB52" s="35">
        <v>1000.0</v>
      </c>
      <c r="CC52" s="33">
        <f t="shared" si="576"/>
        <v>0</v>
      </c>
      <c r="CD52" s="34"/>
      <c r="CE52" s="31">
        <f t="shared" si="577"/>
        <v>1000</v>
      </c>
      <c r="CF52" s="35">
        <v>1000.0</v>
      </c>
      <c r="CG52" s="33">
        <f t="shared" si="578"/>
        <v>0</v>
      </c>
      <c r="CH52" s="34"/>
      <c r="CI52" s="31">
        <f t="shared" si="579"/>
        <v>1000</v>
      </c>
      <c r="CJ52" s="35">
        <v>1000.0</v>
      </c>
      <c r="CK52" s="33">
        <f t="shared" si="580"/>
        <v>0</v>
      </c>
      <c r="CL52" s="34"/>
      <c r="CM52" s="31">
        <f t="shared" si="581"/>
        <v>1000</v>
      </c>
      <c r="CN52" s="35">
        <v>1000.0</v>
      </c>
      <c r="CO52" s="33">
        <f t="shared" si="582"/>
        <v>0</v>
      </c>
      <c r="CP52" s="34"/>
      <c r="CQ52" s="31">
        <f t="shared" si="583"/>
        <v>1000</v>
      </c>
      <c r="CR52" s="35">
        <v>1000.0</v>
      </c>
      <c r="CS52" s="33">
        <f t="shared" si="584"/>
        <v>0</v>
      </c>
      <c r="CT52" s="34"/>
      <c r="CU52" s="31">
        <f t="shared" si="585"/>
        <v>1000</v>
      </c>
      <c r="CV52" s="35">
        <v>1000.0</v>
      </c>
      <c r="CW52" s="33">
        <f t="shared" si="586"/>
        <v>0</v>
      </c>
      <c r="CX52" s="34"/>
      <c r="CY52" s="31">
        <f t="shared" si="587"/>
        <v>1000</v>
      </c>
      <c r="CZ52" s="35">
        <v>1000.0</v>
      </c>
      <c r="DA52" s="33">
        <f t="shared" si="588"/>
        <v>0</v>
      </c>
      <c r="DB52" s="34"/>
      <c r="DC52" s="31">
        <f t="shared" si="589"/>
        <v>1000</v>
      </c>
      <c r="DD52" s="35">
        <v>1000.0</v>
      </c>
      <c r="DE52" s="33">
        <f t="shared" si="590"/>
        <v>0</v>
      </c>
      <c r="DF52" s="34"/>
      <c r="DG52" s="31">
        <f t="shared" si="591"/>
        <v>1000</v>
      </c>
      <c r="DH52" s="35">
        <v>1000.0</v>
      </c>
      <c r="DI52" s="33">
        <f t="shared" si="592"/>
        <v>0</v>
      </c>
      <c r="DJ52" s="34"/>
      <c r="DK52" s="31">
        <f t="shared" si="593"/>
        <v>1000</v>
      </c>
      <c r="DL52" s="35">
        <v>1000.0</v>
      </c>
      <c r="DM52" s="33">
        <f t="shared" si="594"/>
        <v>0</v>
      </c>
      <c r="DN52" s="34"/>
      <c r="DO52" s="31">
        <f t="shared" si="595"/>
        <v>1000</v>
      </c>
      <c r="DP52" s="35">
        <v>1000.0</v>
      </c>
      <c r="DQ52" s="33">
        <f t="shared" si="596"/>
        <v>0</v>
      </c>
      <c r="DR52" s="34"/>
      <c r="DS52" s="31">
        <f t="shared" si="597"/>
        <v>1000</v>
      </c>
      <c r="DT52" s="35">
        <v>1000.0</v>
      </c>
      <c r="DU52" s="33">
        <f t="shared" si="598"/>
        <v>0</v>
      </c>
      <c r="DV52" s="34"/>
      <c r="DW52" s="31">
        <f t="shared" si="599"/>
        <v>1000</v>
      </c>
      <c r="DX52" s="35">
        <v>1000.0</v>
      </c>
      <c r="DY52" s="33">
        <f t="shared" si="600"/>
        <v>0</v>
      </c>
      <c r="DZ52" s="34"/>
      <c r="EA52" s="31">
        <f t="shared" si="601"/>
        <v>1000</v>
      </c>
      <c r="EB52" s="35">
        <v>1000.0</v>
      </c>
      <c r="EC52" s="33">
        <f t="shared" si="602"/>
        <v>0</v>
      </c>
      <c r="ED52" s="34"/>
      <c r="EE52" s="31">
        <f t="shared" si="603"/>
        <v>1000</v>
      </c>
      <c r="EF52" s="35">
        <v>1000.0</v>
      </c>
      <c r="EG52" s="33">
        <f t="shared" si="604"/>
        <v>0</v>
      </c>
      <c r="EH52" s="34"/>
      <c r="EI52" s="31">
        <f t="shared" si="605"/>
        <v>1000</v>
      </c>
      <c r="EJ52" s="35">
        <v>1000.0</v>
      </c>
      <c r="EK52" s="33">
        <f t="shared" si="606"/>
        <v>0</v>
      </c>
      <c r="EL52" s="34">
        <v>980.0</v>
      </c>
      <c r="EM52" s="31">
        <f t="shared" si="607"/>
        <v>980</v>
      </c>
      <c r="EN52" s="35">
        <v>1000.0</v>
      </c>
      <c r="EO52" s="33">
        <f t="shared" si="608"/>
        <v>-20</v>
      </c>
      <c r="EP52" s="34">
        <v>1050.0</v>
      </c>
      <c r="EQ52" s="31">
        <f t="shared" si="609"/>
        <v>1050</v>
      </c>
      <c r="ER52" s="35">
        <v>1000.0</v>
      </c>
      <c r="ES52" s="33">
        <f t="shared" si="610"/>
        <v>50</v>
      </c>
    </row>
    <row r="53" ht="18.0" customHeight="1">
      <c r="A53" s="36" t="s">
        <v>55</v>
      </c>
      <c r="B53" s="39">
        <f t="shared" ref="B53:D53" si="624">SUM(EP53,EL53,EH53,ED53,DZ53,DV53,DR53,DN53,DJ53,DF53,DB53,CX53,CT53,CP53,CL53,CH53,CD53,BZ53,BV53,BR53,BN53,BJ53,BF53,BB53,AX53,AT53,AP53,AL53,AH53,AD53,Z53,V53,R53,N53,J53,F53)</f>
        <v>131545</v>
      </c>
      <c r="C53" s="39">
        <f t="shared" si="624"/>
        <v>2334745</v>
      </c>
      <c r="D53" s="39">
        <f t="shared" si="624"/>
        <v>2332800</v>
      </c>
      <c r="E53" s="39">
        <f t="shared" si="538"/>
        <v>1945</v>
      </c>
      <c r="F53" s="39" t="str">
        <f t="shared" ref="F53:H53" si="625">IF(COUNT(F38:F52)&gt;0,SUM(F38:F52),"")</f>
        <v/>
      </c>
      <c r="G53" s="39">
        <f t="shared" si="625"/>
        <v>64800</v>
      </c>
      <c r="H53" s="39">
        <f t="shared" si="625"/>
        <v>64800</v>
      </c>
      <c r="I53" s="39">
        <f t="shared" si="540"/>
        <v>0</v>
      </c>
      <c r="J53" s="39" t="str">
        <f t="shared" ref="J53:L53" si="626">IF(COUNT(J38:J52)&gt;0,SUM(J38:J52),"")</f>
        <v/>
      </c>
      <c r="K53" s="39">
        <f t="shared" si="626"/>
        <v>64800</v>
      </c>
      <c r="L53" s="39">
        <f t="shared" si="626"/>
        <v>64800</v>
      </c>
      <c r="M53" s="39">
        <f t="shared" si="542"/>
        <v>0</v>
      </c>
      <c r="N53" s="39" t="str">
        <f t="shared" ref="N53:P53" si="627">IF(COUNT(N38:N52)&gt;0,SUM(N38:N52),"")</f>
        <v/>
      </c>
      <c r="O53" s="39">
        <f t="shared" si="627"/>
        <v>64800</v>
      </c>
      <c r="P53" s="39">
        <f t="shared" si="627"/>
        <v>64800</v>
      </c>
      <c r="Q53" s="39">
        <f t="shared" si="544"/>
        <v>0</v>
      </c>
      <c r="R53" s="39" t="str">
        <f t="shared" ref="R53:T53" si="628">IF(COUNT(R38:R52)&gt;0,SUM(R38:R52),"")</f>
        <v/>
      </c>
      <c r="S53" s="39">
        <f t="shared" si="628"/>
        <v>64800</v>
      </c>
      <c r="T53" s="39">
        <f t="shared" si="628"/>
        <v>64800</v>
      </c>
      <c r="U53" s="39">
        <f t="shared" si="546"/>
        <v>0</v>
      </c>
      <c r="V53" s="39" t="str">
        <f t="shared" ref="V53:X53" si="629">IF(COUNT(V38:V52)&gt;0,SUM(V38:V52),"")</f>
        <v/>
      </c>
      <c r="W53" s="39">
        <f t="shared" si="629"/>
        <v>64800</v>
      </c>
      <c r="X53" s="39">
        <f t="shared" si="629"/>
        <v>64800</v>
      </c>
      <c r="Y53" s="39">
        <f t="shared" si="548"/>
        <v>0</v>
      </c>
      <c r="Z53" s="39" t="str">
        <f t="shared" ref="Z53:AB53" si="630">IF(COUNT(Z38:Z52)&gt;0,SUM(Z38:Z52),"")</f>
        <v/>
      </c>
      <c r="AA53" s="39">
        <f t="shared" si="630"/>
        <v>64800</v>
      </c>
      <c r="AB53" s="39">
        <f t="shared" si="630"/>
        <v>64800</v>
      </c>
      <c r="AC53" s="39">
        <f t="shared" si="550"/>
        <v>0</v>
      </c>
      <c r="AD53" s="39" t="str">
        <f t="shared" ref="AD53:AF53" si="631">IF(COUNT(AD38:AD52)&gt;0,SUM(AD38:AD52),"")</f>
        <v/>
      </c>
      <c r="AE53" s="39">
        <f t="shared" si="631"/>
        <v>64800</v>
      </c>
      <c r="AF53" s="39">
        <f t="shared" si="631"/>
        <v>64800</v>
      </c>
      <c r="AG53" s="39">
        <f t="shared" si="552"/>
        <v>0</v>
      </c>
      <c r="AH53" s="39" t="str">
        <f t="shared" ref="AH53:AJ53" si="632">IF(COUNT(AH38:AH52)&gt;0,SUM(AH38:AH52),"")</f>
        <v/>
      </c>
      <c r="AI53" s="39">
        <f t="shared" si="632"/>
        <v>64800</v>
      </c>
      <c r="AJ53" s="39">
        <f t="shared" si="632"/>
        <v>64800</v>
      </c>
      <c r="AK53" s="39">
        <f t="shared" si="554"/>
        <v>0</v>
      </c>
      <c r="AL53" s="39" t="str">
        <f t="shared" ref="AL53:AN53" si="633">IF(COUNT(AL38:AL52)&gt;0,SUM(AL38:AL52),"")</f>
        <v/>
      </c>
      <c r="AM53" s="39">
        <f t="shared" si="633"/>
        <v>64800</v>
      </c>
      <c r="AN53" s="39">
        <f t="shared" si="633"/>
        <v>64800</v>
      </c>
      <c r="AO53" s="39">
        <f t="shared" si="556"/>
        <v>0</v>
      </c>
      <c r="AP53" s="39" t="str">
        <f t="shared" ref="AP53:AR53" si="634">IF(COUNT(AP38:AP52)&gt;0,SUM(AP38:AP52),"")</f>
        <v/>
      </c>
      <c r="AQ53" s="39">
        <f t="shared" si="634"/>
        <v>64800</v>
      </c>
      <c r="AR53" s="39">
        <f t="shared" si="634"/>
        <v>64800</v>
      </c>
      <c r="AS53" s="39">
        <f t="shared" si="558"/>
        <v>0</v>
      </c>
      <c r="AT53" s="39" t="str">
        <f t="shared" ref="AT53:AV53" si="635">IF(COUNT(AT38:AT52)&gt;0,SUM(AT38:AT52),"")</f>
        <v/>
      </c>
      <c r="AU53" s="39">
        <f t="shared" si="635"/>
        <v>64800</v>
      </c>
      <c r="AV53" s="39">
        <f t="shared" si="635"/>
        <v>64800</v>
      </c>
      <c r="AW53" s="39">
        <f t="shared" si="560"/>
        <v>0</v>
      </c>
      <c r="AX53" s="39" t="str">
        <f t="shared" ref="AX53:AZ53" si="636">IF(COUNT(AX38:AX52)&gt;0,SUM(AX38:AX52),"")</f>
        <v/>
      </c>
      <c r="AY53" s="39">
        <f t="shared" si="636"/>
        <v>64800</v>
      </c>
      <c r="AZ53" s="39">
        <f t="shared" si="636"/>
        <v>64800</v>
      </c>
      <c r="BA53" s="39">
        <f t="shared" si="562"/>
        <v>0</v>
      </c>
      <c r="BB53" s="39" t="str">
        <f t="shared" ref="BB53:BD53" si="637">IF(COUNT(BB38:BB52)&gt;0,SUM(BB38:BB52),"")</f>
        <v/>
      </c>
      <c r="BC53" s="39">
        <f t="shared" si="637"/>
        <v>64800</v>
      </c>
      <c r="BD53" s="39">
        <f t="shared" si="637"/>
        <v>64800</v>
      </c>
      <c r="BE53" s="39">
        <f t="shared" si="564"/>
        <v>0</v>
      </c>
      <c r="BF53" s="39" t="str">
        <f t="shared" ref="BF53:BH53" si="638">IF(COUNT(BF38:BF52)&gt;0,SUM(BF38:BF52),"")</f>
        <v/>
      </c>
      <c r="BG53" s="39">
        <f t="shared" si="638"/>
        <v>64800</v>
      </c>
      <c r="BH53" s="39">
        <f t="shared" si="638"/>
        <v>64800</v>
      </c>
      <c r="BI53" s="39">
        <f t="shared" si="566"/>
        <v>0</v>
      </c>
      <c r="BJ53" s="39" t="str">
        <f t="shared" ref="BJ53:BL53" si="639">IF(COUNT(BJ38:BJ52)&gt;0,SUM(BJ38:BJ52),"")</f>
        <v/>
      </c>
      <c r="BK53" s="39">
        <f t="shared" si="639"/>
        <v>64800</v>
      </c>
      <c r="BL53" s="39">
        <f t="shared" si="639"/>
        <v>64800</v>
      </c>
      <c r="BM53" s="39">
        <f t="shared" si="568"/>
        <v>0</v>
      </c>
      <c r="BN53" s="39" t="str">
        <f t="shared" ref="BN53:BP53" si="640">IF(COUNT(BN38:BN52)&gt;0,SUM(BN38:BN52),"")</f>
        <v/>
      </c>
      <c r="BO53" s="39">
        <f t="shared" si="640"/>
        <v>64800</v>
      </c>
      <c r="BP53" s="39">
        <f t="shared" si="640"/>
        <v>64800</v>
      </c>
      <c r="BQ53" s="39">
        <f t="shared" si="570"/>
        <v>0</v>
      </c>
      <c r="BR53" s="39" t="str">
        <f t="shared" ref="BR53:BT53" si="641">IF(COUNT(BR38:BR52)&gt;0,SUM(BR38:BR52),"")</f>
        <v/>
      </c>
      <c r="BS53" s="39">
        <f t="shared" si="641"/>
        <v>64800</v>
      </c>
      <c r="BT53" s="39">
        <f t="shared" si="641"/>
        <v>64800</v>
      </c>
      <c r="BU53" s="39">
        <f t="shared" si="572"/>
        <v>0</v>
      </c>
      <c r="BV53" s="39" t="str">
        <f t="shared" ref="BV53:BX53" si="642">IF(COUNT(BV38:BV52)&gt;0,SUM(BV38:BV52),"")</f>
        <v/>
      </c>
      <c r="BW53" s="39">
        <f t="shared" si="642"/>
        <v>64800</v>
      </c>
      <c r="BX53" s="39">
        <f t="shared" si="642"/>
        <v>64800</v>
      </c>
      <c r="BY53" s="39">
        <f t="shared" si="574"/>
        <v>0</v>
      </c>
      <c r="BZ53" s="39" t="str">
        <f t="shared" ref="BZ53:CB53" si="643">IF(COUNT(BZ38:BZ52)&gt;0,SUM(BZ38:BZ52),"")</f>
        <v/>
      </c>
      <c r="CA53" s="39">
        <f t="shared" si="643"/>
        <v>64800</v>
      </c>
      <c r="CB53" s="39">
        <f t="shared" si="643"/>
        <v>64800</v>
      </c>
      <c r="CC53" s="39">
        <f t="shared" si="576"/>
        <v>0</v>
      </c>
      <c r="CD53" s="39" t="str">
        <f t="shared" ref="CD53:CF53" si="644">IF(COUNT(CD38:CD52)&gt;0,SUM(CD38:CD52),"")</f>
        <v/>
      </c>
      <c r="CE53" s="39">
        <f t="shared" si="644"/>
        <v>64800</v>
      </c>
      <c r="CF53" s="39">
        <f t="shared" si="644"/>
        <v>64800</v>
      </c>
      <c r="CG53" s="39">
        <f t="shared" si="578"/>
        <v>0</v>
      </c>
      <c r="CH53" s="39" t="str">
        <f t="shared" ref="CH53:CJ53" si="645">IF(COUNT(CH38:CH52)&gt;0,SUM(CH38:CH52),"")</f>
        <v/>
      </c>
      <c r="CI53" s="39">
        <f t="shared" si="645"/>
        <v>64800</v>
      </c>
      <c r="CJ53" s="39">
        <f t="shared" si="645"/>
        <v>64800</v>
      </c>
      <c r="CK53" s="39">
        <f t="shared" si="580"/>
        <v>0</v>
      </c>
      <c r="CL53" s="39" t="str">
        <f t="shared" ref="CL53:CN53" si="646">IF(COUNT(CL38:CL52)&gt;0,SUM(CL38:CL52),"")</f>
        <v/>
      </c>
      <c r="CM53" s="39">
        <f t="shared" si="646"/>
        <v>64800</v>
      </c>
      <c r="CN53" s="39">
        <f t="shared" si="646"/>
        <v>64800</v>
      </c>
      <c r="CO53" s="39">
        <f t="shared" si="582"/>
        <v>0</v>
      </c>
      <c r="CP53" s="39" t="str">
        <f t="shared" ref="CP53:CR53" si="647">IF(COUNT(CP38:CP52)&gt;0,SUM(CP38:CP52),"")</f>
        <v/>
      </c>
      <c r="CQ53" s="39">
        <f t="shared" si="647"/>
        <v>64800</v>
      </c>
      <c r="CR53" s="39">
        <f t="shared" si="647"/>
        <v>64800</v>
      </c>
      <c r="CS53" s="39">
        <f t="shared" si="584"/>
        <v>0</v>
      </c>
      <c r="CT53" s="39" t="str">
        <f t="shared" ref="CT53:CV53" si="648">IF(COUNT(CT38:CT52)&gt;0,SUM(CT38:CT52),"")</f>
        <v/>
      </c>
      <c r="CU53" s="39">
        <f t="shared" si="648"/>
        <v>64800</v>
      </c>
      <c r="CV53" s="39">
        <f t="shared" si="648"/>
        <v>64800</v>
      </c>
      <c r="CW53" s="39">
        <f t="shared" si="586"/>
        <v>0</v>
      </c>
      <c r="CX53" s="39" t="str">
        <f t="shared" ref="CX53:CZ53" si="649">IF(COUNT(CX38:CX52)&gt;0,SUM(CX38:CX52),"")</f>
        <v/>
      </c>
      <c r="CY53" s="39">
        <f t="shared" si="649"/>
        <v>64800</v>
      </c>
      <c r="CZ53" s="39">
        <f t="shared" si="649"/>
        <v>64800</v>
      </c>
      <c r="DA53" s="39">
        <f t="shared" si="588"/>
        <v>0</v>
      </c>
      <c r="DB53" s="39" t="str">
        <f t="shared" ref="DB53:DD53" si="650">IF(COUNT(DB38:DB52)&gt;0,SUM(DB38:DB52),"")</f>
        <v/>
      </c>
      <c r="DC53" s="39">
        <f t="shared" si="650"/>
        <v>64800</v>
      </c>
      <c r="DD53" s="39">
        <f t="shared" si="650"/>
        <v>64800</v>
      </c>
      <c r="DE53" s="39">
        <f t="shared" si="590"/>
        <v>0</v>
      </c>
      <c r="DF53" s="39" t="str">
        <f t="shared" ref="DF53:DH53" si="651">IF(COUNT(DF38:DF52)&gt;0,SUM(DF38:DF52),"")</f>
        <v/>
      </c>
      <c r="DG53" s="39">
        <f t="shared" si="651"/>
        <v>64800</v>
      </c>
      <c r="DH53" s="39">
        <f t="shared" si="651"/>
        <v>64800</v>
      </c>
      <c r="DI53" s="39">
        <f t="shared" si="592"/>
        <v>0</v>
      </c>
      <c r="DJ53" s="39" t="str">
        <f t="shared" ref="DJ53:DL53" si="652">IF(COUNT(DJ38:DJ52)&gt;0,SUM(DJ38:DJ52),"")</f>
        <v/>
      </c>
      <c r="DK53" s="39">
        <f t="shared" si="652"/>
        <v>64800</v>
      </c>
      <c r="DL53" s="39">
        <f t="shared" si="652"/>
        <v>64800</v>
      </c>
      <c r="DM53" s="39">
        <f t="shared" si="594"/>
        <v>0</v>
      </c>
      <c r="DN53" s="39" t="str">
        <f t="shared" ref="DN53:DP53" si="653">IF(COUNT(DN38:DN52)&gt;0,SUM(DN38:DN52),"")</f>
        <v/>
      </c>
      <c r="DO53" s="39">
        <f t="shared" si="653"/>
        <v>64800</v>
      </c>
      <c r="DP53" s="39">
        <f t="shared" si="653"/>
        <v>64800</v>
      </c>
      <c r="DQ53" s="39">
        <f t="shared" si="596"/>
        <v>0</v>
      </c>
      <c r="DR53" s="39" t="str">
        <f t="shared" ref="DR53:DT53" si="654">IF(COUNT(DR38:DR52)&gt;0,SUM(DR38:DR52),"")</f>
        <v/>
      </c>
      <c r="DS53" s="39">
        <f t="shared" si="654"/>
        <v>64800</v>
      </c>
      <c r="DT53" s="39">
        <f t="shared" si="654"/>
        <v>64800</v>
      </c>
      <c r="DU53" s="39">
        <f t="shared" si="598"/>
        <v>0</v>
      </c>
      <c r="DV53" s="39" t="str">
        <f t="shared" ref="DV53:DX53" si="655">IF(COUNT(DV38:DV52)&gt;0,SUM(DV38:DV52),"")</f>
        <v/>
      </c>
      <c r="DW53" s="39">
        <f t="shared" si="655"/>
        <v>64800</v>
      </c>
      <c r="DX53" s="39">
        <f t="shared" si="655"/>
        <v>64800</v>
      </c>
      <c r="DY53" s="39">
        <f t="shared" si="600"/>
        <v>0</v>
      </c>
      <c r="DZ53" s="39" t="str">
        <f t="shared" ref="DZ53:EB53" si="656">IF(COUNT(DZ38:DZ52)&gt;0,SUM(DZ38:DZ52),"")</f>
        <v/>
      </c>
      <c r="EA53" s="39">
        <f t="shared" si="656"/>
        <v>64800</v>
      </c>
      <c r="EB53" s="39">
        <f t="shared" si="656"/>
        <v>64800</v>
      </c>
      <c r="EC53" s="39">
        <f t="shared" si="602"/>
        <v>0</v>
      </c>
      <c r="ED53" s="39" t="str">
        <f t="shared" ref="ED53:EF53" si="657">IF(COUNT(ED38:ED52)&gt;0,SUM(ED38:ED52),"")</f>
        <v/>
      </c>
      <c r="EE53" s="39">
        <f t="shared" si="657"/>
        <v>64800</v>
      </c>
      <c r="EF53" s="39">
        <f t="shared" si="657"/>
        <v>64800</v>
      </c>
      <c r="EG53" s="39">
        <f t="shared" si="604"/>
        <v>0</v>
      </c>
      <c r="EH53" s="39" t="str">
        <f t="shared" ref="EH53:EJ53" si="658">IF(COUNT(EH38:EH52)&gt;0,SUM(EH38:EH52),"")</f>
        <v/>
      </c>
      <c r="EI53" s="39">
        <f t="shared" si="658"/>
        <v>64800</v>
      </c>
      <c r="EJ53" s="39">
        <f t="shared" si="658"/>
        <v>64800</v>
      </c>
      <c r="EK53" s="39">
        <f t="shared" si="606"/>
        <v>0</v>
      </c>
      <c r="EL53" s="39">
        <f t="shared" ref="EL53:EN53" si="659">IF(COUNT(EL38:EL52)&gt;0,SUM(EL38:EL52),"")</f>
        <v>63504</v>
      </c>
      <c r="EM53" s="39">
        <f t="shared" si="659"/>
        <v>63504</v>
      </c>
      <c r="EN53" s="39">
        <f t="shared" si="659"/>
        <v>64800</v>
      </c>
      <c r="EO53" s="39">
        <f t="shared" si="608"/>
        <v>-1296</v>
      </c>
      <c r="EP53" s="39">
        <f t="shared" ref="EP53:ER53" si="660">IF(COUNT(EP38:EP52)&gt;0,SUM(EP38:EP52),"")</f>
        <v>68041</v>
      </c>
      <c r="EQ53" s="39">
        <f t="shared" si="660"/>
        <v>68041</v>
      </c>
      <c r="ER53" s="39">
        <f t="shared" si="660"/>
        <v>64800</v>
      </c>
      <c r="ES53" s="39">
        <f t="shared" si="610"/>
        <v>3241</v>
      </c>
    </row>
    <row r="54" ht="18.0" customHeight="1">
      <c r="A54" s="12" t="s">
        <v>56</v>
      </c>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c r="CX54" s="38"/>
      <c r="CY54" s="38"/>
      <c r="CZ54" s="38"/>
      <c r="DA54" s="38"/>
      <c r="DB54" s="38"/>
      <c r="DC54" s="38"/>
      <c r="DD54" s="38"/>
      <c r="DE54" s="38"/>
      <c r="DF54" s="38"/>
      <c r="DG54" s="38"/>
      <c r="DH54" s="38"/>
      <c r="DI54" s="38"/>
      <c r="DJ54" s="38"/>
      <c r="DK54" s="38"/>
      <c r="DL54" s="38"/>
      <c r="DM54" s="38"/>
      <c r="DN54" s="38"/>
      <c r="DO54" s="38"/>
      <c r="DP54" s="38"/>
      <c r="DQ54" s="38"/>
      <c r="DR54" s="38"/>
      <c r="DS54" s="38"/>
      <c r="DT54" s="38"/>
      <c r="DU54" s="38"/>
      <c r="DV54" s="38"/>
      <c r="DW54" s="38"/>
      <c r="DX54" s="38"/>
      <c r="DY54" s="38"/>
      <c r="DZ54" s="38"/>
      <c r="EA54" s="38"/>
      <c r="EB54" s="38"/>
      <c r="EC54" s="38"/>
      <c r="ED54" s="38"/>
      <c r="EE54" s="38"/>
      <c r="EF54" s="38"/>
      <c r="EG54" s="38"/>
      <c r="EH54" s="38"/>
      <c r="EI54" s="38"/>
      <c r="EJ54" s="38"/>
      <c r="EK54" s="38"/>
      <c r="EL54" s="38"/>
      <c r="EM54" s="38"/>
      <c r="EN54" s="38"/>
      <c r="EO54" s="38"/>
      <c r="EP54" s="38"/>
      <c r="EQ54" s="38"/>
      <c r="ER54" s="38"/>
      <c r="ES54" s="38"/>
    </row>
    <row r="55" ht="18.0" customHeight="1">
      <c r="A55" s="36" t="s">
        <v>57</v>
      </c>
      <c r="B55" s="39">
        <f t="shared" ref="B55:D55" si="661">SUM(EP55,EL55,EH55,ED55,DZ55,DV55,DR55,DN55,DJ55,DF55,DB55,CX55,CT55,CP55,CL55,CH55,CD55,BZ55,BV55,BR55,BN55,BJ55,BF55,BB55,AX55,AT55,AP55,AL55,AH55,AD55,Z55,V55,R55,N55,J55,F55)</f>
        <v>-55725</v>
      </c>
      <c r="C55" s="39">
        <f t="shared" si="661"/>
        <v>873075</v>
      </c>
      <c r="D55" s="39">
        <f t="shared" si="661"/>
        <v>1014200</v>
      </c>
      <c r="E55" s="39">
        <f>IFERROR(IF(OR(C55="",D55=""),"",C55-D55),"")</f>
        <v>-141125</v>
      </c>
      <c r="F55" s="39" t="str">
        <f t="shared" ref="F55:H55" si="662">IF(COUNT(F36,F53)=2,F36-F53,"")</f>
        <v/>
      </c>
      <c r="G55" s="39">
        <f t="shared" si="662"/>
        <v>55200</v>
      </c>
      <c r="H55" s="39">
        <f t="shared" si="662"/>
        <v>55200</v>
      </c>
      <c r="I55" s="39">
        <f>IFERROR(IF(OR(G55="",H55=""),"",G55-H55),"")</f>
        <v>0</v>
      </c>
      <c r="J55" s="39" t="str">
        <f t="shared" ref="J55:L55" si="663">IF(COUNT(J36,J53)=2,J36-J53,"")</f>
        <v/>
      </c>
      <c r="K55" s="39">
        <f t="shared" si="663"/>
        <v>55200</v>
      </c>
      <c r="L55" s="39">
        <f t="shared" si="663"/>
        <v>55200</v>
      </c>
      <c r="M55" s="39">
        <f>IFERROR(IF(OR(K55="",L55=""),"",K55-L55),"")</f>
        <v>0</v>
      </c>
      <c r="N55" s="39" t="str">
        <f t="shared" ref="N55:P55" si="664">IF(COUNT(N36,N53)=2,N36-N53,"")</f>
        <v/>
      </c>
      <c r="O55" s="39">
        <f t="shared" si="664"/>
        <v>55200</v>
      </c>
      <c r="P55" s="39">
        <f t="shared" si="664"/>
        <v>55200</v>
      </c>
      <c r="Q55" s="39">
        <f>IFERROR(IF(OR(O55="",P55=""),"",O55-P55),"")</f>
        <v>0</v>
      </c>
      <c r="R55" s="39" t="str">
        <f t="shared" ref="R55:T55" si="665">IF(COUNT(R36,R53)=2,R36-R53,"")</f>
        <v/>
      </c>
      <c r="S55" s="39">
        <f t="shared" si="665"/>
        <v>55200</v>
      </c>
      <c r="T55" s="39">
        <f t="shared" si="665"/>
        <v>55200</v>
      </c>
      <c r="U55" s="39">
        <f>IFERROR(IF(OR(S55="",T55=""),"",S55-T55),"")</f>
        <v>0</v>
      </c>
      <c r="V55" s="39" t="str">
        <f t="shared" ref="V55:X55" si="666">IF(COUNT(V36,V53)=2,V36-V53,"")</f>
        <v/>
      </c>
      <c r="W55" s="39">
        <f t="shared" si="666"/>
        <v>48200</v>
      </c>
      <c r="X55" s="39">
        <f t="shared" si="666"/>
        <v>48200</v>
      </c>
      <c r="Y55" s="39">
        <f>IFERROR(IF(OR(W55="",X55=""),"",W55-X55),"")</f>
        <v>0</v>
      </c>
      <c r="Z55" s="39" t="str">
        <f t="shared" ref="Z55:AB55" si="667">IF(COUNT(Z36,Z53)=2,Z36-Z53,"")</f>
        <v/>
      </c>
      <c r="AA55" s="39">
        <f t="shared" si="667"/>
        <v>48200</v>
      </c>
      <c r="AB55" s="39">
        <f t="shared" si="667"/>
        <v>48200</v>
      </c>
      <c r="AC55" s="39">
        <f>IFERROR(IF(OR(AA55="",AB55=""),"",AA55-AB55),"")</f>
        <v>0</v>
      </c>
      <c r="AD55" s="39" t="str">
        <f t="shared" ref="AD55:AF55" si="668">IF(COUNT(AD36,AD53)=2,AD36-AD53,"")</f>
        <v/>
      </c>
      <c r="AE55" s="39">
        <f t="shared" si="668"/>
        <v>48200</v>
      </c>
      <c r="AF55" s="39">
        <f t="shared" si="668"/>
        <v>48200</v>
      </c>
      <c r="AG55" s="39">
        <f>IFERROR(IF(OR(AE55="",AF55=""),"",AE55-AF55),"")</f>
        <v>0</v>
      </c>
      <c r="AH55" s="39" t="str">
        <f t="shared" ref="AH55:AJ55" si="669">IF(COUNT(AH36,AH53)=2,AH36-AH53,"")</f>
        <v/>
      </c>
      <c r="AI55" s="39">
        <f t="shared" si="669"/>
        <v>48200</v>
      </c>
      <c r="AJ55" s="39">
        <f t="shared" si="669"/>
        <v>48200</v>
      </c>
      <c r="AK55" s="39">
        <f>IFERROR(IF(OR(AI55="",AJ55=""),"",AI55-AJ55),"")</f>
        <v>0</v>
      </c>
      <c r="AL55" s="39" t="str">
        <f t="shared" ref="AL55:AN55" si="670">IF(COUNT(AL36,AL53)=2,AL36-AL53,"")</f>
        <v/>
      </c>
      <c r="AM55" s="39">
        <f t="shared" si="670"/>
        <v>41200</v>
      </c>
      <c r="AN55" s="39">
        <f t="shared" si="670"/>
        <v>41200</v>
      </c>
      <c r="AO55" s="39">
        <f>IFERROR(IF(OR(AM55="",AN55=""),"",AM55-AN55),"")</f>
        <v>0</v>
      </c>
      <c r="AP55" s="39" t="str">
        <f t="shared" ref="AP55:AR55" si="671">IF(COUNT(AP36,AP53)=2,AP36-AP53,"")</f>
        <v/>
      </c>
      <c r="AQ55" s="39">
        <f t="shared" si="671"/>
        <v>41200</v>
      </c>
      <c r="AR55" s="39">
        <f t="shared" si="671"/>
        <v>41200</v>
      </c>
      <c r="AS55" s="39">
        <f>IFERROR(IF(OR(AQ55="",AR55=""),"",AQ55-AR55),"")</f>
        <v>0</v>
      </c>
      <c r="AT55" s="39" t="str">
        <f t="shared" ref="AT55:AV55" si="672">IF(COUNT(AT36,AT53)=2,AT36-AT53,"")</f>
        <v/>
      </c>
      <c r="AU55" s="39">
        <f t="shared" si="672"/>
        <v>41200</v>
      </c>
      <c r="AV55" s="39">
        <f t="shared" si="672"/>
        <v>41200</v>
      </c>
      <c r="AW55" s="39">
        <f>IFERROR(IF(OR(AU55="",AV55=""),"",AU55-AV55),"")</f>
        <v>0</v>
      </c>
      <c r="AX55" s="39" t="str">
        <f t="shared" ref="AX55:AZ55" si="673">IF(COUNT(AX36,AX53)=2,AX36-AX53,"")</f>
        <v/>
      </c>
      <c r="AY55" s="39">
        <f t="shared" si="673"/>
        <v>41200</v>
      </c>
      <c r="AZ55" s="39">
        <f t="shared" si="673"/>
        <v>41200</v>
      </c>
      <c r="BA55" s="39">
        <f>IFERROR(IF(OR(AY55="",AZ55=""),"",AY55-AZ55),"")</f>
        <v>0</v>
      </c>
      <c r="BB55" s="39" t="str">
        <f t="shared" ref="BB55:BD55" si="674">IF(COUNT(BB36,BB53)=2,BB36-BB53,"")</f>
        <v/>
      </c>
      <c r="BC55" s="39">
        <f t="shared" si="674"/>
        <v>34200</v>
      </c>
      <c r="BD55" s="39">
        <f t="shared" si="674"/>
        <v>34200</v>
      </c>
      <c r="BE55" s="39">
        <f>IFERROR(IF(OR(BC55="",BD55=""),"",BC55-BD55),"")</f>
        <v>0</v>
      </c>
      <c r="BF55" s="39" t="str">
        <f t="shared" ref="BF55:BH55" si="675">IF(COUNT(BF36,BF53)=2,BF36-BF53,"")</f>
        <v/>
      </c>
      <c r="BG55" s="39">
        <f t="shared" si="675"/>
        <v>34200</v>
      </c>
      <c r="BH55" s="39">
        <f t="shared" si="675"/>
        <v>34200</v>
      </c>
      <c r="BI55" s="39">
        <f>IFERROR(IF(OR(BG55="",BH55=""),"",BG55-BH55),"")</f>
        <v>0</v>
      </c>
      <c r="BJ55" s="39" t="str">
        <f t="shared" ref="BJ55:BL55" si="676">IF(COUNT(BJ36,BJ53)=2,BJ36-BJ53,"")</f>
        <v/>
      </c>
      <c r="BK55" s="39">
        <f t="shared" si="676"/>
        <v>34200</v>
      </c>
      <c r="BL55" s="39">
        <f t="shared" si="676"/>
        <v>34200</v>
      </c>
      <c r="BM55" s="39">
        <f>IFERROR(IF(OR(BK55="",BL55=""),"",BK55-BL55),"")</f>
        <v>0</v>
      </c>
      <c r="BN55" s="39" t="str">
        <f t="shared" ref="BN55:BP55" si="677">IF(COUNT(BN36,BN53)=2,BN36-BN53,"")</f>
        <v/>
      </c>
      <c r="BO55" s="39">
        <f t="shared" si="677"/>
        <v>34200</v>
      </c>
      <c r="BP55" s="39">
        <f t="shared" si="677"/>
        <v>34200</v>
      </c>
      <c r="BQ55" s="39">
        <f>IFERROR(IF(OR(BO55="",BP55=""),"",BO55-BP55),"")</f>
        <v>0</v>
      </c>
      <c r="BR55" s="39" t="str">
        <f t="shared" ref="BR55:BT55" si="678">IF(COUNT(BR36,BR53)=2,BR36-BR53,"")</f>
        <v/>
      </c>
      <c r="BS55" s="39">
        <f t="shared" si="678"/>
        <v>27200</v>
      </c>
      <c r="BT55" s="39">
        <f t="shared" si="678"/>
        <v>27200</v>
      </c>
      <c r="BU55" s="39">
        <f>IFERROR(IF(OR(BS55="",BT55=""),"",BS55-BT55),"")</f>
        <v>0</v>
      </c>
      <c r="BV55" s="39" t="str">
        <f t="shared" ref="BV55:BX55" si="679">IF(COUNT(BV36,BV53)=2,BV36-BV53,"")</f>
        <v/>
      </c>
      <c r="BW55" s="39">
        <f t="shared" si="679"/>
        <v>27200</v>
      </c>
      <c r="BX55" s="39">
        <f t="shared" si="679"/>
        <v>27200</v>
      </c>
      <c r="BY55" s="39">
        <f>IFERROR(IF(OR(BW55="",BX55=""),"",BW55-BX55),"")</f>
        <v>0</v>
      </c>
      <c r="BZ55" s="39" t="str">
        <f t="shared" ref="BZ55:CB55" si="680">IF(COUNT(BZ36,BZ53)=2,BZ36-BZ53,"")</f>
        <v/>
      </c>
      <c r="CA55" s="39">
        <f t="shared" si="680"/>
        <v>27200</v>
      </c>
      <c r="CB55" s="39">
        <f t="shared" si="680"/>
        <v>27200</v>
      </c>
      <c r="CC55" s="39">
        <f>IFERROR(IF(OR(CA55="",CB55=""),"",CA55-CB55),"")</f>
        <v>0</v>
      </c>
      <c r="CD55" s="39" t="str">
        <f t="shared" ref="CD55:CF55" si="681">IF(COUNT(CD36,CD53)=2,CD36-CD53,"")</f>
        <v/>
      </c>
      <c r="CE55" s="39">
        <f t="shared" si="681"/>
        <v>27200</v>
      </c>
      <c r="CF55" s="39">
        <f t="shared" si="681"/>
        <v>27200</v>
      </c>
      <c r="CG55" s="39">
        <f>IFERROR(IF(OR(CE55="",CF55=""),"",CE55-CF55),"")</f>
        <v>0</v>
      </c>
      <c r="CH55" s="39" t="str">
        <f t="shared" ref="CH55:CJ55" si="682">IF(COUNT(CH36,CH53)=2,CH36-CH53,"")</f>
        <v/>
      </c>
      <c r="CI55" s="39">
        <f t="shared" si="682"/>
        <v>20200</v>
      </c>
      <c r="CJ55" s="39">
        <f t="shared" si="682"/>
        <v>20200</v>
      </c>
      <c r="CK55" s="39">
        <f>IFERROR(IF(OR(CI55="",CJ55=""),"",CI55-CJ55),"")</f>
        <v>0</v>
      </c>
      <c r="CL55" s="39" t="str">
        <f t="shared" ref="CL55:CN55" si="683">IF(COUNT(CL36,CL53)=2,CL36-CL53,"")</f>
        <v/>
      </c>
      <c r="CM55" s="39">
        <f t="shared" si="683"/>
        <v>20200</v>
      </c>
      <c r="CN55" s="39">
        <f t="shared" si="683"/>
        <v>20200</v>
      </c>
      <c r="CO55" s="39">
        <f>IFERROR(IF(OR(CM55="",CN55=""),"",CM55-CN55),"")</f>
        <v>0</v>
      </c>
      <c r="CP55" s="39" t="str">
        <f t="shared" ref="CP55:CR55" si="684">IF(COUNT(CP36,CP53)=2,CP36-CP53,"")</f>
        <v/>
      </c>
      <c r="CQ55" s="39">
        <f t="shared" si="684"/>
        <v>20200</v>
      </c>
      <c r="CR55" s="39">
        <f t="shared" si="684"/>
        <v>20200</v>
      </c>
      <c r="CS55" s="39">
        <f>IFERROR(IF(OR(CQ55="",CR55=""),"",CQ55-CR55),"")</f>
        <v>0</v>
      </c>
      <c r="CT55" s="39" t="str">
        <f t="shared" ref="CT55:CV55" si="685">IF(COUNT(CT36,CT53)=2,CT36-CT53,"")</f>
        <v/>
      </c>
      <c r="CU55" s="39">
        <f t="shared" si="685"/>
        <v>20200</v>
      </c>
      <c r="CV55" s="39">
        <f t="shared" si="685"/>
        <v>20200</v>
      </c>
      <c r="CW55" s="39">
        <f>IFERROR(IF(OR(CU55="",CV55=""),"",CU55-CV55),"")</f>
        <v>0</v>
      </c>
      <c r="CX55" s="39" t="str">
        <f t="shared" ref="CX55:CZ55" si="686">IF(COUNT(CX36,CX53)=2,CX36-CX53,"")</f>
        <v/>
      </c>
      <c r="CY55" s="39">
        <f t="shared" si="686"/>
        <v>13200</v>
      </c>
      <c r="CZ55" s="39">
        <f t="shared" si="686"/>
        <v>13200</v>
      </c>
      <c r="DA55" s="39">
        <f>IFERROR(IF(OR(CY55="",CZ55=""),"",CY55-CZ55),"")</f>
        <v>0</v>
      </c>
      <c r="DB55" s="39" t="str">
        <f t="shared" ref="DB55:DD55" si="687">IF(COUNT(DB36,DB53)=2,DB36-DB53,"")</f>
        <v/>
      </c>
      <c r="DC55" s="39">
        <f t="shared" si="687"/>
        <v>13200</v>
      </c>
      <c r="DD55" s="39">
        <f t="shared" si="687"/>
        <v>13200</v>
      </c>
      <c r="DE55" s="39">
        <f>IFERROR(IF(OR(DC55="",DD55=""),"",DC55-DD55),"")</f>
        <v>0</v>
      </c>
      <c r="DF55" s="39" t="str">
        <f t="shared" ref="DF55:DH55" si="688">IF(COUNT(DF36,DF53)=2,DF36-DF53,"")</f>
        <v/>
      </c>
      <c r="DG55" s="39">
        <f t="shared" si="688"/>
        <v>13200</v>
      </c>
      <c r="DH55" s="39">
        <f t="shared" si="688"/>
        <v>13200</v>
      </c>
      <c r="DI55" s="39">
        <f>IFERROR(IF(OR(DG55="",DH55=""),"",DG55-DH55),"")</f>
        <v>0</v>
      </c>
      <c r="DJ55" s="39" t="str">
        <f t="shared" ref="DJ55:DL55" si="689">IF(COUNT(DJ36,DJ53)=2,DJ36-DJ53,"")</f>
        <v/>
      </c>
      <c r="DK55" s="39">
        <f t="shared" si="689"/>
        <v>13200</v>
      </c>
      <c r="DL55" s="39">
        <f t="shared" si="689"/>
        <v>13200</v>
      </c>
      <c r="DM55" s="39">
        <f>IFERROR(IF(OR(DK55="",DL55=""),"",DK55-DL55),"")</f>
        <v>0</v>
      </c>
      <c r="DN55" s="39" t="str">
        <f t="shared" ref="DN55:DP55" si="690">IF(COUNT(DN36,DN53)=2,DN36-DN53,"")</f>
        <v/>
      </c>
      <c r="DO55" s="39">
        <f t="shared" si="690"/>
        <v>6200</v>
      </c>
      <c r="DP55" s="39">
        <f t="shared" si="690"/>
        <v>6200</v>
      </c>
      <c r="DQ55" s="39">
        <f>IFERROR(IF(OR(DO55="",DP55=""),"",DO55-DP55),"")</f>
        <v>0</v>
      </c>
      <c r="DR55" s="39" t="str">
        <f t="shared" ref="DR55:DT55" si="691">IF(COUNT(DR36,DR53)=2,DR36-DR53,"")</f>
        <v/>
      </c>
      <c r="DS55" s="39">
        <f t="shared" si="691"/>
        <v>6200</v>
      </c>
      <c r="DT55" s="39">
        <f t="shared" si="691"/>
        <v>6200</v>
      </c>
      <c r="DU55" s="39">
        <f>IFERROR(IF(OR(DS55="",DT55=""),"",DS55-DT55),"")</f>
        <v>0</v>
      </c>
      <c r="DV55" s="39" t="str">
        <f t="shared" ref="DV55:DX55" si="692">IF(COUNT(DV36,DV53)=2,DV36-DV53,"")</f>
        <v/>
      </c>
      <c r="DW55" s="39">
        <f t="shared" si="692"/>
        <v>6200</v>
      </c>
      <c r="DX55" s="39">
        <f t="shared" si="692"/>
        <v>6200</v>
      </c>
      <c r="DY55" s="39">
        <f>IFERROR(IF(OR(DW55="",DX55=""),"",DW55-DX55),"")</f>
        <v>0</v>
      </c>
      <c r="DZ55" s="39" t="str">
        <f t="shared" ref="DZ55:EB55" si="693">IF(COUNT(DZ36,DZ53)=2,DZ36-DZ53,"")</f>
        <v/>
      </c>
      <c r="EA55" s="39">
        <f t="shared" si="693"/>
        <v>6200</v>
      </c>
      <c r="EB55" s="39">
        <f t="shared" si="693"/>
        <v>6200</v>
      </c>
      <c r="EC55" s="39">
        <f>IFERROR(IF(OR(EA55="",EB55=""),"",EA55-EB55),"")</f>
        <v>0</v>
      </c>
      <c r="ED55" s="39" t="str">
        <f t="shared" ref="ED55:EF55" si="694">IF(COUNT(ED36,ED53)=2,ED36-ED53,"")</f>
        <v/>
      </c>
      <c r="EE55" s="39">
        <f t="shared" si="694"/>
        <v>-14800</v>
      </c>
      <c r="EF55" s="39">
        <f t="shared" si="694"/>
        <v>-800</v>
      </c>
      <c r="EG55" s="39">
        <f>IFERROR(IF(OR(EE55="",EF55=""),"",EE55-EF55),"")</f>
        <v>-14000</v>
      </c>
      <c r="EH55" s="39" t="str">
        <f t="shared" ref="EH55:EJ55" si="695">IF(COUNT(EH36,EH53)=2,EH36-EH53,"")</f>
        <v/>
      </c>
      <c r="EI55" s="39">
        <f t="shared" si="695"/>
        <v>-38800</v>
      </c>
      <c r="EJ55" s="39">
        <f t="shared" si="695"/>
        <v>-800</v>
      </c>
      <c r="EK55" s="39">
        <f>IFERROR(IF(OR(EI55="",EJ55=""),"",EI55-EJ55),"")</f>
        <v>-38000</v>
      </c>
      <c r="EL55" s="39">
        <f t="shared" ref="EL55:EN55" si="696">IF(COUNT(EL36,EL53)=2,EL36-EL53,"")</f>
        <v>-29384</v>
      </c>
      <c r="EM55" s="39">
        <f t="shared" si="696"/>
        <v>-29384</v>
      </c>
      <c r="EN55" s="39">
        <f t="shared" si="696"/>
        <v>-800</v>
      </c>
      <c r="EO55" s="39">
        <f>IFERROR(IF(OR(EM55="",EN55=""),"",EM55-EN55),"")</f>
        <v>-28584</v>
      </c>
      <c r="EP55" s="39">
        <f t="shared" ref="EP55:ER55" si="697">IF(COUNT(EP36,EP53)=2,EP36-EP53,"")</f>
        <v>-26341</v>
      </c>
      <c r="EQ55" s="39">
        <f t="shared" si="697"/>
        <v>-26341</v>
      </c>
      <c r="ER55" s="39">
        <f t="shared" si="697"/>
        <v>34200</v>
      </c>
      <c r="ES55" s="39">
        <f>IFERROR(IF(OR(EQ55="",ER55=""),"",EQ55-ER55),"")</f>
        <v>-60541</v>
      </c>
    </row>
    <row r="56" ht="18.0" customHeight="1">
      <c r="A56" s="12" t="s">
        <v>58</v>
      </c>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c r="BC56" s="38"/>
      <c r="BD56" s="38"/>
      <c r="BE56" s="38"/>
      <c r="BF56" s="38"/>
      <c r="BG56" s="38"/>
      <c r="BH56" s="38"/>
      <c r="BI56" s="38"/>
      <c r="BJ56" s="38"/>
      <c r="BK56" s="38"/>
      <c r="BL56" s="38"/>
      <c r="BM56" s="38"/>
      <c r="BN56" s="38"/>
      <c r="BO56" s="38"/>
      <c r="BP56" s="38"/>
      <c r="BQ56" s="38"/>
      <c r="BR56" s="38"/>
      <c r="BS56" s="38"/>
      <c r="BT56" s="38"/>
      <c r="BU56" s="38"/>
      <c r="BV56" s="38"/>
      <c r="BW56" s="38"/>
      <c r="BX56" s="38"/>
      <c r="BY56" s="38"/>
      <c r="BZ56" s="38"/>
      <c r="CA56" s="38"/>
      <c r="CB56" s="38"/>
      <c r="CC56" s="38"/>
      <c r="CD56" s="38"/>
      <c r="CE56" s="38"/>
      <c r="CF56" s="38"/>
      <c r="CG56" s="38"/>
      <c r="CH56" s="38"/>
      <c r="CI56" s="38"/>
      <c r="CJ56" s="38"/>
      <c r="CK56" s="38"/>
      <c r="CL56" s="38"/>
      <c r="CM56" s="38"/>
      <c r="CN56" s="38"/>
      <c r="CO56" s="38"/>
      <c r="CP56" s="38"/>
      <c r="CQ56" s="38"/>
      <c r="CR56" s="38"/>
      <c r="CS56" s="38"/>
      <c r="CT56" s="38"/>
      <c r="CU56" s="38"/>
      <c r="CV56" s="38"/>
      <c r="CW56" s="38"/>
      <c r="CX56" s="38"/>
      <c r="CY56" s="38"/>
      <c r="CZ56" s="38"/>
      <c r="DA56" s="38"/>
      <c r="DB56" s="38"/>
      <c r="DC56" s="38"/>
      <c r="DD56" s="38"/>
      <c r="DE56" s="38"/>
      <c r="DF56" s="38"/>
      <c r="DG56" s="38"/>
      <c r="DH56" s="38"/>
      <c r="DI56" s="38"/>
      <c r="DJ56" s="38"/>
      <c r="DK56" s="38"/>
      <c r="DL56" s="38"/>
      <c r="DM56" s="38"/>
      <c r="DN56" s="38"/>
      <c r="DO56" s="38"/>
      <c r="DP56" s="38"/>
      <c r="DQ56" s="38"/>
      <c r="DR56" s="38"/>
      <c r="DS56" s="38"/>
      <c r="DT56" s="38"/>
      <c r="DU56" s="38"/>
      <c r="DV56" s="38"/>
      <c r="DW56" s="38"/>
      <c r="DX56" s="38"/>
      <c r="DY56" s="38"/>
      <c r="DZ56" s="38"/>
      <c r="EA56" s="38"/>
      <c r="EB56" s="38"/>
      <c r="EC56" s="38"/>
      <c r="ED56" s="38"/>
      <c r="EE56" s="38"/>
      <c r="EF56" s="38"/>
      <c r="EG56" s="38"/>
      <c r="EH56" s="38"/>
      <c r="EI56" s="38"/>
      <c r="EJ56" s="38"/>
      <c r="EK56" s="38"/>
      <c r="EL56" s="38"/>
      <c r="EM56" s="38"/>
      <c r="EN56" s="38"/>
      <c r="EO56" s="38"/>
      <c r="EP56" s="38"/>
      <c r="EQ56" s="38"/>
      <c r="ER56" s="38"/>
      <c r="ES56" s="38"/>
    </row>
    <row r="57" ht="18.0" customHeight="1">
      <c r="A57" s="2" t="s">
        <v>59</v>
      </c>
      <c r="B57" s="30">
        <f t="shared" ref="B57:D57" si="698">SUM(EP57,EL57,EH57,ED57,DZ57,DV57,DR57,DN57,DJ57,DF57,DB57,CX57,CT57,CP57,CL57,CH57,CD57,BZ57,BV57,BR57,BN57,BJ57,BF57,BB57,AX57,AT57,AP57,AL57,AH57,AD57,Z57,V57,R57,N57,J57,F57)</f>
        <v>110000</v>
      </c>
      <c r="C57" s="31">
        <f t="shared" si="698"/>
        <v>3832000</v>
      </c>
      <c r="D57" s="32">
        <f t="shared" si="698"/>
        <v>4008000</v>
      </c>
      <c r="E57" s="33">
        <f t="shared" ref="E57:E70" si="700">IFERROR(IF(OR(C57="",D57=""),"",C57-D57),"")</f>
        <v>-176000</v>
      </c>
      <c r="F57" s="34"/>
      <c r="G57" s="31">
        <f>IF(F$98=1,F57,ROUND(SUM(IF(AND(EQ$26&lt;&gt;"",EQ$23&lt;&gt;""),IF(EOMONTH($EP$3+INT((DAY(EOMONTH($EP$3,0))-1)/2)+EQ$23,0)=EOMONTH($F$3,0),EQ$26,0),0),IF(AND(EM$26&lt;&gt;"",EM$23&lt;&gt;""),IF(EOMONTH($EL$3+INT((DAY(EOMONTH($EL$3,0))-1)/2)+EM$23,0)=EOMONTH($F$3,0),EM$26,0),0),IF(AND(EI$26&lt;&gt;"",EI$23&lt;&gt;""),IF(EOMONTH($EH$3+INT((DAY(EOMONTH($EH$3,0))-1)/2)+EI$23,0)=EOMONTH($F$3,0),EI$26,0),0),IF(AND(EE$26&lt;&gt;"",EE$23&lt;&gt;""),IF(EOMONTH($ED$3+INT((DAY(EOMONTH($ED$3,0))-1)/2)+EE$23,0)=EOMONTH($F$3,0),EE$26,0),0),IF(AND(EA$26&lt;&gt;"",EA$23&lt;&gt;""),IF(EOMONTH($DZ$3+INT((DAY(EOMONTH($DZ$3,0))-1)/2)+EA$23,0)=EOMONTH($F$3,0),EA$26,0),0),IF(AND(DW$26&lt;&gt;"",DW$23&lt;&gt;""),IF(EOMONTH($DV$3+INT((DAY(EOMONTH($DV$3,0))-1)/2)+DW$23,0)=EOMONTH($F$3,0),DW$26,0),0),IF(AND(DS$26&lt;&gt;"",DS$23&lt;&gt;""),IF(EOMONTH($DR$3+INT((DAY(EOMONTH($DR$3,0))-1)/2)+DS$23,0)=EOMONTH($F$3,0),DS$26,0),0),IF(AND(DO$26&lt;&gt;"",DO$23&lt;&gt;""),IF(EOMONTH($DN$3+INT((DAY(EOMONTH($DN$3,0))-1)/2)+DO$23,0)=EOMONTH($F$3,0),DO$26,0),0),IF(AND(DK$26&lt;&gt;"",DK$23&lt;&gt;""),IF(EOMONTH($DJ$3+INT((DAY(EOMONTH($DJ$3,0))-1)/2)+DK$23,0)=EOMONTH($F$3,0),DK$26,0),0),IF(AND(DG$26&lt;&gt;"",DG$23&lt;&gt;""),IF(EOMONTH($DF$3+INT((DAY(EOMONTH($DF$3,0))-1)/2)+DG$23,0)=EOMONTH($F$3,0),DG$26,0),0),IF(AND(DC$26&lt;&gt;"",DC$23&lt;&gt;""),IF(EOMONTH($DB$3+INT((DAY(EOMONTH($DB$3,0))-1)/2)+DC$23,0)=EOMONTH($F$3,0),DC$26,0),0),IF(AND(CY$26&lt;&gt;"",CY$23&lt;&gt;""),IF(EOMONTH($CX$3+INT((DAY(EOMONTH($CX$3,0))-1)/2)+CY$23,0)=EOMONTH($F$3,0),CY$26,0),0),IF(AND(CU$26&lt;&gt;"",CU$23&lt;&gt;""),IF(EOMONTH($CT$3+INT((DAY(EOMONTH($CT$3,0))-1)/2)+CU$23,0)=EOMONTH($F$3,0),CU$26,0),0),IF(AND(CQ$26&lt;&gt;"",CQ$23&lt;&gt;""),IF(EOMONTH($CP$3+INT((DAY(EOMONTH($CP$3,0))-1)/2)+CQ$23,0)=EOMONTH($F$3,0),CQ$26,0),0),IF(AND(CM$26&lt;&gt;"",CM$23&lt;&gt;""),IF(EOMONTH($CL$3+INT((DAY(EOMONTH($CL$3,0))-1)/2)+CM$23,0)=EOMONTH($F$3,0),CM$26,0),0),IF(AND(CI$26&lt;&gt;"",CI$23&lt;&gt;""),IF(EOMONTH($CH$3+INT((DAY(EOMONTH($CH$3,0))-1)/2)+CI$23,0)=EOMONTH($F$3,0),CI$26,0),0),IF(AND(CE$26&lt;&gt;"",CE$23&lt;&gt;""),IF(EOMONTH($CD$3+INT((DAY(EOMONTH($CD$3,0))-1)/2)+CE$23,0)=EOMONTH($F$3,0),CE$26,0),0),IF(AND(CA$26&lt;&gt;"",CA$23&lt;&gt;""),IF(EOMONTH($BZ$3+INT((DAY(EOMONTH($BZ$3,0))-1)/2)+CA$23,0)=EOMONTH($F$3,0),CA$26,0),0),IF(AND(BW$26&lt;&gt;"",BW$23&lt;&gt;""),IF(EOMONTH($BV$3+INT((DAY(EOMONTH($BV$3,0))-1)/2)+BW$23,0)=EOMONTH($F$3,0),BW$26,0),0),IF(AND(BS$26&lt;&gt;"",BS$23&lt;&gt;""),IF(EOMONTH($BR$3+INT((DAY(EOMONTH($BR$3,0))-1)/2)+BS$23,0)=EOMONTH($F$3,0),BS$26,0),0),IF(AND(BO$26&lt;&gt;"",BO$23&lt;&gt;""),IF(EOMONTH($BN$3+INT((DAY(EOMONTH($BN$3,0))-1)/2)+BO$23,0)=EOMONTH($F$3,0),BO$26,0),0),IF(AND(BK$26&lt;&gt;"",BK$23&lt;&gt;""),IF(EOMONTH($BJ$3+INT((DAY(EOMONTH($BJ$3,0))-1)/2)+BK$23,0)=EOMONTH($F$3,0),BK$26,0),0),IF(AND(BG$26&lt;&gt;"",BG$23&lt;&gt;""),IF(EOMONTH($BF$3+INT((DAY(EOMONTH($BF$3,0))-1)/2)+BG$23,0)=EOMONTH($F$3,0),BG$26,0),0),IF(AND(BC$26&lt;&gt;"",BC$23&lt;&gt;""),IF(EOMONTH($BB$3+INT((DAY(EOMONTH($BB$3,0))-1)/2)+BC$23,0)=EOMONTH($F$3,0),BC$26,0),0),IF(AND(AY$26&lt;&gt;"",AY$23&lt;&gt;""),IF(EOMONTH($AX$3+INT((DAY(EOMONTH($AX$3,0))-1)/2)+AY$23,0)=EOMONTH($F$3,0),AY$26,0),0),IF(AND(AU$26&lt;&gt;"",AU$23&lt;&gt;""),IF(EOMONTH($AT$3+INT((DAY(EOMONTH($AT$3,0))-1)/2)+AU$23,0)=EOMONTH($F$3,0),AU$26,0),0),IF(AND(AQ$26&lt;&gt;"",AQ$23&lt;&gt;""),IF(EOMONTH($AP$3+INT((DAY(EOMONTH($AP$3,0))-1)/2)+AQ$23,0)=EOMONTH($F$3,0),AQ$26,0),0),IF(AND(AM$26&lt;&gt;"",AM$23&lt;&gt;""),IF(EOMONTH($AL$3+INT((DAY(EOMONTH($AL$3,0))-1)/2)+AM$23,0)=EOMONTH($F$3,0),AM$26,0),0),IF(AND(AI$26&lt;&gt;"",AI$23&lt;&gt;""),IF(EOMONTH($AH$3+INT((DAY(EOMONTH($AH$3,0))-1)/2)+AI$23,0)=EOMONTH($F$3,0),AI$26,0),0),IF(AND(AE$26&lt;&gt;"",AE$23&lt;&gt;""),IF(EOMONTH($AD$3+INT((DAY(EOMONTH($AD$3,0))-1)/2)+AE$23,0)=EOMONTH($F$3,0),AE$26,0),0),IF(AND(AA$26&lt;&gt;"",AA$23&lt;&gt;""),IF(EOMONTH($Z$3+INT((DAY(EOMONTH($Z$3,0))-1)/2)+AA$23,0)=EOMONTH($F$3,0),AA$26,0),0),IF(AND(W$26&lt;&gt;"",W$23&lt;&gt;""),IF(EOMONTH($V$3+INT((DAY(EOMONTH($V$3,0))-1)/2)+W$23,0)=EOMONTH($F$3,0),W$26,0),0),IF(AND(S$26&lt;&gt;"",S$23&lt;&gt;""),IF(EOMONTH($R$3+INT((DAY(EOMONTH($R$3,0))-1)/2)+S$23,0)=EOMONTH($F$3,0),S$26,0),0),IF(AND(O$26&lt;&gt;"",O$23&lt;&gt;""),IF(EOMONTH($N$3+INT((DAY(EOMONTH($N$3,0))-1)/2)+O$23,0)=EOMONTH($F$3,0),O$26,0),0),IF(AND(K$26&lt;&gt;"",K$23&lt;&gt;""),IF(EOMONTH($J$3+INT((DAY(EOMONTH($J$3,0))-1)/2)+K$23,0)=EOMONTH($F$3,0),K$26,0),0),IF(AND(G$26&lt;&gt;"",G$23&lt;&gt;""),IF(EOMONTH($F$3+INT((DAY(EOMONTH($F$3,0))-1)/2)+G$23,0)=EOMONTH($F$3,0),G$26,0),0),IF($EP$75="",0,IF(EOMONTH($EP$75+EQ$23,0)=EOMONTH($F$3,0),$EP$78*EQ$13,0))),0))</f>
        <v>144000</v>
      </c>
      <c r="H57" s="32">
        <f>ROUND(SUM(IF(AND(ER$26&lt;&gt;"",ER$23&lt;&gt;""),IF(EOMONTH($EP$3+INT((DAY(EOMONTH($EP$3,0))-1)/2)+ER$23,0)=EOMONTH($F$3,0),ER$26,0),0),IF(AND(EN$26&lt;&gt;"",EN$23&lt;&gt;""),IF(EOMONTH($EL$3+INT((DAY(EOMONTH($EL$3,0))-1)/2)+EN$23,0)=EOMONTH($F$3,0),EN$26,0),0),IF(AND(EJ$26&lt;&gt;"",EJ$23&lt;&gt;""),IF(EOMONTH($EH$3+INT((DAY(EOMONTH($EH$3,0))-1)/2)+EJ$23,0)=EOMONTH($F$3,0),EJ$26,0),0),IF(AND(EF$26&lt;&gt;"",EF$23&lt;&gt;""),IF(EOMONTH($ED$3+INT((DAY(EOMONTH($ED$3,0))-1)/2)+EF$23,0)=EOMONTH($F$3,0),EF$26,0),0),IF(AND(EB$26&lt;&gt;"",EB$23&lt;&gt;""),IF(EOMONTH($DZ$3+INT((DAY(EOMONTH($DZ$3,0))-1)/2)+EB$23,0)=EOMONTH($F$3,0),EB$26,0),0),IF(AND(DX$26&lt;&gt;"",DX$23&lt;&gt;""),IF(EOMONTH($DV$3+INT((DAY(EOMONTH($DV$3,0))-1)/2)+DX$23,0)=EOMONTH($F$3,0),DX$26,0),0),IF(AND(DT$26&lt;&gt;"",DT$23&lt;&gt;""),IF(EOMONTH($DR$3+INT((DAY(EOMONTH($DR$3,0))-1)/2)+DT$23,0)=EOMONTH($F$3,0),DT$26,0),0),IF(AND(DP$26&lt;&gt;"",DP$23&lt;&gt;""),IF(EOMONTH($DN$3+INT((DAY(EOMONTH($DN$3,0))-1)/2)+DP$23,0)=EOMONTH($F$3,0),DP$26,0),0),IF(AND(DL$26&lt;&gt;"",DL$23&lt;&gt;""),IF(EOMONTH($DJ$3+INT((DAY(EOMONTH($DJ$3,0))-1)/2)+DL$23,0)=EOMONTH($F$3,0),DL$26,0),0),IF(AND(DH$26&lt;&gt;"",DH$23&lt;&gt;""),IF(EOMONTH($DF$3+INT((DAY(EOMONTH($DF$3,0))-1)/2)+DH$23,0)=EOMONTH($F$3,0),DH$26,0),0),IF(AND(DD$26&lt;&gt;"",DD$23&lt;&gt;""),IF(EOMONTH($DB$3+INT((DAY(EOMONTH($DB$3,0))-1)/2)+DD$23,0)=EOMONTH($F$3,0),DD$26,0),0),IF(AND(CZ$26&lt;&gt;"",CZ$23&lt;&gt;""),IF(EOMONTH($CX$3+INT((DAY(EOMONTH($CX$3,0))-1)/2)+CZ$23,0)=EOMONTH($F$3,0),CZ$26,0),0),IF(AND(CV$26&lt;&gt;"",CV$23&lt;&gt;""),IF(EOMONTH($CT$3+INT((DAY(EOMONTH($CT$3,0))-1)/2)+CV$23,0)=EOMONTH($F$3,0),CV$26,0),0),IF(AND(CR$26&lt;&gt;"",CR$23&lt;&gt;""),IF(EOMONTH($CP$3+INT((DAY(EOMONTH($CP$3,0))-1)/2)+CR$23,0)=EOMONTH($F$3,0),CR$26,0),0),IF(AND(CN$26&lt;&gt;"",CN$23&lt;&gt;""),IF(EOMONTH($CL$3+INT((DAY(EOMONTH($CL$3,0))-1)/2)+CN$23,0)=EOMONTH($F$3,0),CN$26,0),0),IF(AND(CJ$26&lt;&gt;"",CJ$23&lt;&gt;""),IF(EOMONTH($CH$3+INT((DAY(EOMONTH($CH$3,0))-1)/2)+CJ$23,0)=EOMONTH($F$3,0),CJ$26,0),0),IF(AND(CF$26&lt;&gt;"",CF$23&lt;&gt;""),IF(EOMONTH($CD$3+INT((DAY(EOMONTH($CD$3,0))-1)/2)+CF$23,0)=EOMONTH($F$3,0),CF$26,0),0),IF(AND(CB$26&lt;&gt;"",CB$23&lt;&gt;""),IF(EOMONTH($BZ$3+INT((DAY(EOMONTH($BZ$3,0))-1)/2)+CB$23,0)=EOMONTH($F$3,0),CB$26,0),0),IF(AND(BX$26&lt;&gt;"",BX$23&lt;&gt;""),IF(EOMONTH($BV$3+INT((DAY(EOMONTH($BV$3,0))-1)/2)+BX$23,0)=EOMONTH($F$3,0),BX$26,0),0),IF(AND(BT$26&lt;&gt;"",BT$23&lt;&gt;""),IF(EOMONTH($BR$3+INT((DAY(EOMONTH($BR$3,0))-1)/2)+BT$23,0)=EOMONTH($F$3,0),BT$26,0),0),IF(AND(BP$26&lt;&gt;"",BP$23&lt;&gt;""),IF(EOMONTH($BN$3+INT((DAY(EOMONTH($BN$3,0))-1)/2)+BP$23,0)=EOMONTH($F$3,0),BP$26,0),0),IF(AND(BL$26&lt;&gt;"",BL$23&lt;&gt;""),IF(EOMONTH($BJ$3+INT((DAY(EOMONTH($BJ$3,0))-1)/2)+BL$23,0)=EOMONTH($F$3,0),BL$26,0),0),IF(AND(BH$26&lt;&gt;"",BH$23&lt;&gt;""),IF(EOMONTH($BF$3+INT((DAY(EOMONTH($BF$3,0))-1)/2)+BH$23,0)=EOMONTH($F$3,0),BH$26,0),0),IF(AND(BD$26&lt;&gt;"",BD$23&lt;&gt;""),IF(EOMONTH($BB$3+INT((DAY(EOMONTH($BB$3,0))-1)/2)+BD$23,0)=EOMONTH($F$3,0),BD$26,0),0),IF(AND(AZ$26&lt;&gt;"",AZ$23&lt;&gt;""),IF(EOMONTH($AX$3+INT((DAY(EOMONTH($AX$3,0))-1)/2)+AZ$23,0)=EOMONTH($F$3,0),AZ$26,0),0),IF(AND(AV$26&lt;&gt;"",AV$23&lt;&gt;""),IF(EOMONTH($AT$3+INT((DAY(EOMONTH($AT$3,0))-1)/2)+AV$23,0)=EOMONTH($F$3,0),AV$26,0),0),IF(AND(AR$26&lt;&gt;"",AR$23&lt;&gt;""),IF(EOMONTH($AP$3+INT((DAY(EOMONTH($AP$3,0))-1)/2)+AR$23,0)=EOMONTH($F$3,0),AR$26,0),0),IF(AND(AN$26&lt;&gt;"",AN$23&lt;&gt;""),IF(EOMONTH($AL$3+INT((DAY(EOMONTH($AL$3,0))-1)/2)+AN$23,0)=EOMONTH($F$3,0),AN$26,0),0),IF(AND(AJ$26&lt;&gt;"",AJ$23&lt;&gt;""),IF(EOMONTH($AH$3+INT((DAY(EOMONTH($AH$3,0))-1)/2)+AJ$23,0)=EOMONTH($F$3,0),AJ$26,0),0),IF(AND(AF$26&lt;&gt;"",AF$23&lt;&gt;""),IF(EOMONTH($AD$3+INT((DAY(EOMONTH($AD$3,0))-1)/2)+AF$23,0)=EOMONTH($F$3,0),AF$26,0),0),IF(AND(AB$26&lt;&gt;"",AB$23&lt;&gt;""),IF(EOMONTH($Z$3+INT((DAY(EOMONTH($Z$3,0))-1)/2)+AB$23,0)=EOMONTH($F$3,0),AB$26,0),0),IF(AND(X$26&lt;&gt;"",X$23&lt;&gt;""),IF(EOMONTH($V$3+INT((DAY(EOMONTH($V$3,0))-1)/2)+X$23,0)=EOMONTH($F$3,0),X$26,0),0),IF(AND(T$26&lt;&gt;"",T$23&lt;&gt;""),IF(EOMONTH($R$3+INT((DAY(EOMONTH($R$3,0))-1)/2)+T$23,0)=EOMONTH($F$3,0),T$26,0),0),IF(AND(P$26&lt;&gt;"",P$23&lt;&gt;""),IF(EOMONTH($N$3+INT((DAY(EOMONTH($N$3,0))-1)/2)+P$23,0)=EOMONTH($F$3,0),P$26,0),0),IF(AND(L$26&lt;&gt;"",L$23&lt;&gt;""),IF(EOMONTH($J$3+INT((DAY(EOMONTH($J$3,0))-1)/2)+L$23,0)=EOMONTH($F$3,0),L$26,0),0),IF(AND(H$26&lt;&gt;"",H$23&lt;&gt;""),IF(EOMONTH($F$3+INT((DAY(EOMONTH($F$3,0))-1)/2)+H$23,0)=EOMONTH($F$3,0),H$26,0),0),IF($EP$75="",0,IF(EOMONTH($EP$75+ER$23,0)=EOMONTH($F$3,0),$EP$78*ER$13,0))),0)</f>
        <v>144000</v>
      </c>
      <c r="I57" s="33">
        <f t="shared" ref="I57:I70" si="702">IFERROR(IF(OR(G57="",H57=""),"",G57-H57),"")</f>
        <v>0</v>
      </c>
      <c r="J57" s="34"/>
      <c r="K57" s="31">
        <f>IF(J$98=1,J57,ROUND(SUM(IF(AND(EQ$26&lt;&gt;"",EQ$23&lt;&gt;""),IF(EOMONTH($EP$3+INT((DAY(EOMONTH($EP$3,0))-1)/2)+EQ$23,0)=EOMONTH($J$3,0),EQ$26,0),0),IF(AND(EM$26&lt;&gt;"",EM$23&lt;&gt;""),IF(EOMONTH($EL$3+INT((DAY(EOMONTH($EL$3,0))-1)/2)+EM$23,0)=EOMONTH($J$3,0),EM$26,0),0),IF(AND(EI$26&lt;&gt;"",EI$23&lt;&gt;""),IF(EOMONTH($EH$3+INT((DAY(EOMONTH($EH$3,0))-1)/2)+EI$23,0)=EOMONTH($J$3,0),EI$26,0),0),IF(AND(EE$26&lt;&gt;"",EE$23&lt;&gt;""),IF(EOMONTH($ED$3+INT((DAY(EOMONTH($ED$3,0))-1)/2)+EE$23,0)=EOMONTH($J$3,0),EE$26,0),0),IF(AND(EA$26&lt;&gt;"",EA$23&lt;&gt;""),IF(EOMONTH($DZ$3+INT((DAY(EOMONTH($DZ$3,0))-1)/2)+EA$23,0)=EOMONTH($J$3,0),EA$26,0),0),IF(AND(DW$26&lt;&gt;"",DW$23&lt;&gt;""),IF(EOMONTH($DV$3+INT((DAY(EOMONTH($DV$3,0))-1)/2)+DW$23,0)=EOMONTH($J$3,0),DW$26,0),0),IF(AND(DS$26&lt;&gt;"",DS$23&lt;&gt;""),IF(EOMONTH($DR$3+INT((DAY(EOMONTH($DR$3,0))-1)/2)+DS$23,0)=EOMONTH($J$3,0),DS$26,0),0),IF(AND(DO$26&lt;&gt;"",DO$23&lt;&gt;""),IF(EOMONTH($DN$3+INT((DAY(EOMONTH($DN$3,0))-1)/2)+DO$23,0)=EOMONTH($J$3,0),DO$26,0),0),IF(AND(DK$26&lt;&gt;"",DK$23&lt;&gt;""),IF(EOMONTH($DJ$3+INT((DAY(EOMONTH($DJ$3,0))-1)/2)+DK$23,0)=EOMONTH($J$3,0),DK$26,0),0),IF(AND(DG$26&lt;&gt;"",DG$23&lt;&gt;""),IF(EOMONTH($DF$3+INT((DAY(EOMONTH($DF$3,0))-1)/2)+DG$23,0)=EOMONTH($J$3,0),DG$26,0),0),IF(AND(DC$26&lt;&gt;"",DC$23&lt;&gt;""),IF(EOMONTH($DB$3+INT((DAY(EOMONTH($DB$3,0))-1)/2)+DC$23,0)=EOMONTH($J$3,0),DC$26,0),0),IF(AND(CY$26&lt;&gt;"",CY$23&lt;&gt;""),IF(EOMONTH($CX$3+INT((DAY(EOMONTH($CX$3,0))-1)/2)+CY$23,0)=EOMONTH($J$3,0),CY$26,0),0),IF(AND(CU$26&lt;&gt;"",CU$23&lt;&gt;""),IF(EOMONTH($CT$3+INT((DAY(EOMONTH($CT$3,0))-1)/2)+CU$23,0)=EOMONTH($J$3,0),CU$26,0),0),IF(AND(CQ$26&lt;&gt;"",CQ$23&lt;&gt;""),IF(EOMONTH($CP$3+INT((DAY(EOMONTH($CP$3,0))-1)/2)+CQ$23,0)=EOMONTH($J$3,0),CQ$26,0),0),IF(AND(CM$26&lt;&gt;"",CM$23&lt;&gt;""),IF(EOMONTH($CL$3+INT((DAY(EOMONTH($CL$3,0))-1)/2)+CM$23,0)=EOMONTH($J$3,0),CM$26,0),0),IF(AND(CI$26&lt;&gt;"",CI$23&lt;&gt;""),IF(EOMONTH($CH$3+INT((DAY(EOMONTH($CH$3,0))-1)/2)+CI$23,0)=EOMONTH($J$3,0),CI$26,0),0),IF(AND(CE$26&lt;&gt;"",CE$23&lt;&gt;""),IF(EOMONTH($CD$3+INT((DAY(EOMONTH($CD$3,0))-1)/2)+CE$23,0)=EOMONTH($J$3,0),CE$26,0),0),IF(AND(CA$26&lt;&gt;"",CA$23&lt;&gt;""),IF(EOMONTH($BZ$3+INT((DAY(EOMONTH($BZ$3,0))-1)/2)+CA$23,0)=EOMONTH($J$3,0),CA$26,0),0),IF(AND(BW$26&lt;&gt;"",BW$23&lt;&gt;""),IF(EOMONTH($BV$3+INT((DAY(EOMONTH($BV$3,0))-1)/2)+BW$23,0)=EOMONTH($J$3,0),BW$26,0),0),IF(AND(BS$26&lt;&gt;"",BS$23&lt;&gt;""),IF(EOMONTH($BR$3+INT((DAY(EOMONTH($BR$3,0))-1)/2)+BS$23,0)=EOMONTH($J$3,0),BS$26,0),0),IF(AND(BO$26&lt;&gt;"",BO$23&lt;&gt;""),IF(EOMONTH($BN$3+INT((DAY(EOMONTH($BN$3,0))-1)/2)+BO$23,0)=EOMONTH($J$3,0),BO$26,0),0),IF(AND(BK$26&lt;&gt;"",BK$23&lt;&gt;""),IF(EOMONTH($BJ$3+INT((DAY(EOMONTH($BJ$3,0))-1)/2)+BK$23,0)=EOMONTH($J$3,0),BK$26,0),0),IF(AND(BG$26&lt;&gt;"",BG$23&lt;&gt;""),IF(EOMONTH($BF$3+INT((DAY(EOMONTH($BF$3,0))-1)/2)+BG$23,0)=EOMONTH($J$3,0),BG$26,0),0),IF(AND(BC$26&lt;&gt;"",BC$23&lt;&gt;""),IF(EOMONTH($BB$3+INT((DAY(EOMONTH($BB$3,0))-1)/2)+BC$23,0)=EOMONTH($J$3,0),BC$26,0),0),IF(AND(AY$26&lt;&gt;"",AY$23&lt;&gt;""),IF(EOMONTH($AX$3+INT((DAY(EOMONTH($AX$3,0))-1)/2)+AY$23,0)=EOMONTH($J$3,0),AY$26,0),0),IF(AND(AU$26&lt;&gt;"",AU$23&lt;&gt;""),IF(EOMONTH($AT$3+INT((DAY(EOMONTH($AT$3,0))-1)/2)+AU$23,0)=EOMONTH($J$3,0),AU$26,0),0),IF(AND(AQ$26&lt;&gt;"",AQ$23&lt;&gt;""),IF(EOMONTH($AP$3+INT((DAY(EOMONTH($AP$3,0))-1)/2)+AQ$23,0)=EOMONTH($J$3,0),AQ$26,0),0),IF(AND(AM$26&lt;&gt;"",AM$23&lt;&gt;""),IF(EOMONTH($AL$3+INT((DAY(EOMONTH($AL$3,0))-1)/2)+AM$23,0)=EOMONTH($J$3,0),AM$26,0),0),IF(AND(AI$26&lt;&gt;"",AI$23&lt;&gt;""),IF(EOMONTH($AH$3+INT((DAY(EOMONTH($AH$3,0))-1)/2)+AI$23,0)=EOMONTH($J$3,0),AI$26,0),0),IF(AND(AE$26&lt;&gt;"",AE$23&lt;&gt;""),IF(EOMONTH($AD$3+INT((DAY(EOMONTH($AD$3,0))-1)/2)+AE$23,0)=EOMONTH($J$3,0),AE$26,0),0),IF(AND(AA$26&lt;&gt;"",AA$23&lt;&gt;""),IF(EOMONTH($Z$3+INT((DAY(EOMONTH($Z$3,0))-1)/2)+AA$23,0)=EOMONTH($J$3,0),AA$26,0),0),IF(AND(W$26&lt;&gt;"",W$23&lt;&gt;""),IF(EOMONTH($V$3+INT((DAY(EOMONTH($V$3,0))-1)/2)+W$23,0)=EOMONTH($J$3,0),W$26,0),0),IF(AND(S$26&lt;&gt;"",S$23&lt;&gt;""),IF(EOMONTH($R$3+INT((DAY(EOMONTH($R$3,0))-1)/2)+S$23,0)=EOMONTH($J$3,0),S$26,0),0),IF(AND(O$26&lt;&gt;"",O$23&lt;&gt;""),IF(EOMONTH($N$3+INT((DAY(EOMONTH($N$3,0))-1)/2)+O$23,0)=EOMONTH($J$3,0),O$26,0),0),IF(AND(K$26&lt;&gt;"",K$23&lt;&gt;""),IF(EOMONTH($J$3+INT((DAY(EOMONTH($J$3,0))-1)/2)+K$23,0)=EOMONTH($J$3,0),K$26,0),0),IF(AND(G$26&lt;&gt;"",G$23&lt;&gt;""),IF(EOMONTH($F$3+INT((DAY(EOMONTH($F$3,0))-1)/2)+G$23,0)=EOMONTH($J$3,0),G$26,0),0),IF($EP$75="",0,IF(EOMONTH($EP$75+EQ$23,0)=EOMONTH($J$3,0),$EP$78*EQ$13,0))),0))</f>
        <v>144000</v>
      </c>
      <c r="L57" s="32">
        <f>ROUND(SUM(IF(AND(ER$26&lt;&gt;"",ER$23&lt;&gt;""),IF(EOMONTH($EP$3+INT((DAY(EOMONTH($EP$3,0))-1)/2)+ER$23,0)=EOMONTH($J$3,0),ER$26,0),0),IF(AND(EN$26&lt;&gt;"",EN$23&lt;&gt;""),IF(EOMONTH($EL$3+INT((DAY(EOMONTH($EL$3,0))-1)/2)+EN$23,0)=EOMONTH($J$3,0),EN$26,0),0),IF(AND(EJ$26&lt;&gt;"",EJ$23&lt;&gt;""),IF(EOMONTH($EH$3+INT((DAY(EOMONTH($EH$3,0))-1)/2)+EJ$23,0)=EOMONTH($J$3,0),EJ$26,0),0),IF(AND(EF$26&lt;&gt;"",EF$23&lt;&gt;""),IF(EOMONTH($ED$3+INT((DAY(EOMONTH($ED$3,0))-1)/2)+EF$23,0)=EOMONTH($J$3,0),EF$26,0),0),IF(AND(EB$26&lt;&gt;"",EB$23&lt;&gt;""),IF(EOMONTH($DZ$3+INT((DAY(EOMONTH($DZ$3,0))-1)/2)+EB$23,0)=EOMONTH($J$3,0),EB$26,0),0),IF(AND(DX$26&lt;&gt;"",DX$23&lt;&gt;""),IF(EOMONTH($DV$3+INT((DAY(EOMONTH($DV$3,0))-1)/2)+DX$23,0)=EOMONTH($J$3,0),DX$26,0),0),IF(AND(DT$26&lt;&gt;"",DT$23&lt;&gt;""),IF(EOMONTH($DR$3+INT((DAY(EOMONTH($DR$3,0))-1)/2)+DT$23,0)=EOMONTH($J$3,0),DT$26,0),0),IF(AND(DP$26&lt;&gt;"",DP$23&lt;&gt;""),IF(EOMONTH($DN$3+INT((DAY(EOMONTH($DN$3,0))-1)/2)+DP$23,0)=EOMONTH($J$3,0),DP$26,0),0),IF(AND(DL$26&lt;&gt;"",DL$23&lt;&gt;""),IF(EOMONTH($DJ$3+INT((DAY(EOMONTH($DJ$3,0))-1)/2)+DL$23,0)=EOMONTH($J$3,0),DL$26,0),0),IF(AND(DH$26&lt;&gt;"",DH$23&lt;&gt;""),IF(EOMONTH($DF$3+INT((DAY(EOMONTH($DF$3,0))-1)/2)+DH$23,0)=EOMONTH($J$3,0),DH$26,0),0),IF(AND(DD$26&lt;&gt;"",DD$23&lt;&gt;""),IF(EOMONTH($DB$3+INT((DAY(EOMONTH($DB$3,0))-1)/2)+DD$23,0)=EOMONTH($J$3,0),DD$26,0),0),IF(AND(CZ$26&lt;&gt;"",CZ$23&lt;&gt;""),IF(EOMONTH($CX$3+INT((DAY(EOMONTH($CX$3,0))-1)/2)+CZ$23,0)=EOMONTH($J$3,0),CZ$26,0),0),IF(AND(CV$26&lt;&gt;"",CV$23&lt;&gt;""),IF(EOMONTH($CT$3+INT((DAY(EOMONTH($CT$3,0))-1)/2)+CV$23,0)=EOMONTH($J$3,0),CV$26,0),0),IF(AND(CR$26&lt;&gt;"",CR$23&lt;&gt;""),IF(EOMONTH($CP$3+INT((DAY(EOMONTH($CP$3,0))-1)/2)+CR$23,0)=EOMONTH($J$3,0),CR$26,0),0),IF(AND(CN$26&lt;&gt;"",CN$23&lt;&gt;""),IF(EOMONTH($CL$3+INT((DAY(EOMONTH($CL$3,0))-1)/2)+CN$23,0)=EOMONTH($J$3,0),CN$26,0),0),IF(AND(CJ$26&lt;&gt;"",CJ$23&lt;&gt;""),IF(EOMONTH($CH$3+INT((DAY(EOMONTH($CH$3,0))-1)/2)+CJ$23,0)=EOMONTH($J$3,0),CJ$26,0),0),IF(AND(CF$26&lt;&gt;"",CF$23&lt;&gt;""),IF(EOMONTH($CD$3+INT((DAY(EOMONTH($CD$3,0))-1)/2)+CF$23,0)=EOMONTH($J$3,0),CF$26,0),0),IF(AND(CB$26&lt;&gt;"",CB$23&lt;&gt;""),IF(EOMONTH($BZ$3+INT((DAY(EOMONTH($BZ$3,0))-1)/2)+CB$23,0)=EOMONTH($J$3,0),CB$26,0),0),IF(AND(BX$26&lt;&gt;"",BX$23&lt;&gt;""),IF(EOMONTH($BV$3+INT((DAY(EOMONTH($BV$3,0))-1)/2)+BX$23,0)=EOMONTH($J$3,0),BX$26,0),0),IF(AND(BT$26&lt;&gt;"",BT$23&lt;&gt;""),IF(EOMONTH($BR$3+INT((DAY(EOMONTH($BR$3,0))-1)/2)+BT$23,0)=EOMONTH($J$3,0),BT$26,0),0),IF(AND(BP$26&lt;&gt;"",BP$23&lt;&gt;""),IF(EOMONTH($BN$3+INT((DAY(EOMONTH($BN$3,0))-1)/2)+BP$23,0)=EOMONTH($J$3,0),BP$26,0),0),IF(AND(BL$26&lt;&gt;"",BL$23&lt;&gt;""),IF(EOMONTH($BJ$3+INT((DAY(EOMONTH($BJ$3,0))-1)/2)+BL$23,0)=EOMONTH($J$3,0),BL$26,0),0),IF(AND(BH$26&lt;&gt;"",BH$23&lt;&gt;""),IF(EOMONTH($BF$3+INT((DAY(EOMONTH($BF$3,0))-1)/2)+BH$23,0)=EOMONTH($J$3,0),BH$26,0),0),IF(AND(BD$26&lt;&gt;"",BD$23&lt;&gt;""),IF(EOMONTH($BB$3+INT((DAY(EOMONTH($BB$3,0))-1)/2)+BD$23,0)=EOMONTH($J$3,0),BD$26,0),0),IF(AND(AZ$26&lt;&gt;"",AZ$23&lt;&gt;""),IF(EOMONTH($AX$3+INT((DAY(EOMONTH($AX$3,0))-1)/2)+AZ$23,0)=EOMONTH($J$3,0),AZ$26,0),0),IF(AND(AV$26&lt;&gt;"",AV$23&lt;&gt;""),IF(EOMONTH($AT$3+INT((DAY(EOMONTH($AT$3,0))-1)/2)+AV$23,0)=EOMONTH($J$3,0),AV$26,0),0),IF(AND(AR$26&lt;&gt;"",AR$23&lt;&gt;""),IF(EOMONTH($AP$3+INT((DAY(EOMONTH($AP$3,0))-1)/2)+AR$23,0)=EOMONTH($J$3,0),AR$26,0),0),IF(AND(AN$26&lt;&gt;"",AN$23&lt;&gt;""),IF(EOMONTH($AL$3+INT((DAY(EOMONTH($AL$3,0))-1)/2)+AN$23,0)=EOMONTH($J$3,0),AN$26,0),0),IF(AND(AJ$26&lt;&gt;"",AJ$23&lt;&gt;""),IF(EOMONTH($AH$3+INT((DAY(EOMONTH($AH$3,0))-1)/2)+AJ$23,0)=EOMONTH($J$3,0),AJ$26,0),0),IF(AND(AF$26&lt;&gt;"",AF$23&lt;&gt;""),IF(EOMONTH($AD$3+INT((DAY(EOMONTH($AD$3,0))-1)/2)+AF$23,0)=EOMONTH($J$3,0),AF$26,0),0),IF(AND(AB$26&lt;&gt;"",AB$23&lt;&gt;""),IF(EOMONTH($Z$3+INT((DAY(EOMONTH($Z$3,0))-1)/2)+AB$23,0)=EOMONTH($J$3,0),AB$26,0),0),IF(AND(X$26&lt;&gt;"",X$23&lt;&gt;""),IF(EOMONTH($V$3+INT((DAY(EOMONTH($V$3,0))-1)/2)+X$23,0)=EOMONTH($J$3,0),X$26,0),0),IF(AND(T$26&lt;&gt;"",T$23&lt;&gt;""),IF(EOMONTH($R$3+INT((DAY(EOMONTH($R$3,0))-1)/2)+T$23,0)=EOMONTH($J$3,0),T$26,0),0),IF(AND(P$26&lt;&gt;"",P$23&lt;&gt;""),IF(EOMONTH($N$3+INT((DAY(EOMONTH($N$3,0))-1)/2)+P$23,0)=EOMONTH($J$3,0),P$26,0),0),IF(AND(L$26&lt;&gt;"",L$23&lt;&gt;""),IF(EOMONTH($J$3+INT((DAY(EOMONTH($J$3,0))-1)/2)+L$23,0)=EOMONTH($J$3,0),L$26,0),0),IF(AND(H$26&lt;&gt;"",H$23&lt;&gt;""),IF(EOMONTH($F$3+INT((DAY(EOMONTH($F$3,0))-1)/2)+H$23,0)=EOMONTH($J$3,0),H$26,0),0),IF($EP$75="",0,IF(EOMONTH($EP$75+ER$23,0)=EOMONTH($J$3,0),$EP$78*ER$13,0))),0)</f>
        <v>144000</v>
      </c>
      <c r="M57" s="33">
        <f t="shared" ref="M57:M70" si="704">IFERROR(IF(OR(K57="",L57=""),"",K57-L57),"")</f>
        <v>0</v>
      </c>
      <c r="N57" s="34"/>
      <c r="O57" s="31">
        <f>IF(N$98=1,N57,ROUND(SUM(IF(AND(EQ$26&lt;&gt;"",EQ$23&lt;&gt;""),IF(EOMONTH($EP$3+INT((DAY(EOMONTH($EP$3,0))-1)/2)+EQ$23,0)=EOMONTH($N$3,0),EQ$26,0),0),IF(AND(EM$26&lt;&gt;"",EM$23&lt;&gt;""),IF(EOMONTH($EL$3+INT((DAY(EOMONTH($EL$3,0))-1)/2)+EM$23,0)=EOMONTH($N$3,0),EM$26,0),0),IF(AND(EI$26&lt;&gt;"",EI$23&lt;&gt;""),IF(EOMONTH($EH$3+INT((DAY(EOMONTH($EH$3,0))-1)/2)+EI$23,0)=EOMONTH($N$3,0),EI$26,0),0),IF(AND(EE$26&lt;&gt;"",EE$23&lt;&gt;""),IF(EOMONTH($ED$3+INT((DAY(EOMONTH($ED$3,0))-1)/2)+EE$23,0)=EOMONTH($N$3,0),EE$26,0),0),IF(AND(EA$26&lt;&gt;"",EA$23&lt;&gt;""),IF(EOMONTH($DZ$3+INT((DAY(EOMONTH($DZ$3,0))-1)/2)+EA$23,0)=EOMONTH($N$3,0),EA$26,0),0),IF(AND(DW$26&lt;&gt;"",DW$23&lt;&gt;""),IF(EOMONTH($DV$3+INT((DAY(EOMONTH($DV$3,0))-1)/2)+DW$23,0)=EOMONTH($N$3,0),DW$26,0),0),IF(AND(DS$26&lt;&gt;"",DS$23&lt;&gt;""),IF(EOMONTH($DR$3+INT((DAY(EOMONTH($DR$3,0))-1)/2)+DS$23,0)=EOMONTH($N$3,0),DS$26,0),0),IF(AND(DO$26&lt;&gt;"",DO$23&lt;&gt;""),IF(EOMONTH($DN$3+INT((DAY(EOMONTH($DN$3,0))-1)/2)+DO$23,0)=EOMONTH($N$3,0),DO$26,0),0),IF(AND(DK$26&lt;&gt;"",DK$23&lt;&gt;""),IF(EOMONTH($DJ$3+INT((DAY(EOMONTH($DJ$3,0))-1)/2)+DK$23,0)=EOMONTH($N$3,0),DK$26,0),0),IF(AND(DG$26&lt;&gt;"",DG$23&lt;&gt;""),IF(EOMONTH($DF$3+INT((DAY(EOMONTH($DF$3,0))-1)/2)+DG$23,0)=EOMONTH($N$3,0),DG$26,0),0),IF(AND(DC$26&lt;&gt;"",DC$23&lt;&gt;""),IF(EOMONTH($DB$3+INT((DAY(EOMONTH($DB$3,0))-1)/2)+DC$23,0)=EOMONTH($N$3,0),DC$26,0),0),IF(AND(CY$26&lt;&gt;"",CY$23&lt;&gt;""),IF(EOMONTH($CX$3+INT((DAY(EOMONTH($CX$3,0))-1)/2)+CY$23,0)=EOMONTH($N$3,0),CY$26,0),0),IF(AND(CU$26&lt;&gt;"",CU$23&lt;&gt;""),IF(EOMONTH($CT$3+INT((DAY(EOMONTH($CT$3,0))-1)/2)+CU$23,0)=EOMONTH($N$3,0),CU$26,0),0),IF(AND(CQ$26&lt;&gt;"",CQ$23&lt;&gt;""),IF(EOMONTH($CP$3+INT((DAY(EOMONTH($CP$3,0))-1)/2)+CQ$23,0)=EOMONTH($N$3,0),CQ$26,0),0),IF(AND(CM$26&lt;&gt;"",CM$23&lt;&gt;""),IF(EOMONTH($CL$3+INT((DAY(EOMONTH($CL$3,0))-1)/2)+CM$23,0)=EOMONTH($N$3,0),CM$26,0),0),IF(AND(CI$26&lt;&gt;"",CI$23&lt;&gt;""),IF(EOMONTH($CH$3+INT((DAY(EOMONTH($CH$3,0))-1)/2)+CI$23,0)=EOMONTH($N$3,0),CI$26,0),0),IF(AND(CE$26&lt;&gt;"",CE$23&lt;&gt;""),IF(EOMONTH($CD$3+INT((DAY(EOMONTH($CD$3,0))-1)/2)+CE$23,0)=EOMONTH($N$3,0),CE$26,0),0),IF(AND(CA$26&lt;&gt;"",CA$23&lt;&gt;""),IF(EOMONTH($BZ$3+INT((DAY(EOMONTH($BZ$3,0))-1)/2)+CA$23,0)=EOMONTH($N$3,0),CA$26,0),0),IF(AND(BW$26&lt;&gt;"",BW$23&lt;&gt;""),IF(EOMONTH($BV$3+INT((DAY(EOMONTH($BV$3,0))-1)/2)+BW$23,0)=EOMONTH($N$3,0),BW$26,0),0),IF(AND(BS$26&lt;&gt;"",BS$23&lt;&gt;""),IF(EOMONTH($BR$3+INT((DAY(EOMONTH($BR$3,0))-1)/2)+BS$23,0)=EOMONTH($N$3,0),BS$26,0),0),IF(AND(BO$26&lt;&gt;"",BO$23&lt;&gt;""),IF(EOMONTH($BN$3+INT((DAY(EOMONTH($BN$3,0))-1)/2)+BO$23,0)=EOMONTH($N$3,0),BO$26,0),0),IF(AND(BK$26&lt;&gt;"",BK$23&lt;&gt;""),IF(EOMONTH($BJ$3+INT((DAY(EOMONTH($BJ$3,0))-1)/2)+BK$23,0)=EOMONTH($N$3,0),BK$26,0),0),IF(AND(BG$26&lt;&gt;"",BG$23&lt;&gt;""),IF(EOMONTH($BF$3+INT((DAY(EOMONTH($BF$3,0))-1)/2)+BG$23,0)=EOMONTH($N$3,0),BG$26,0),0),IF(AND(BC$26&lt;&gt;"",BC$23&lt;&gt;""),IF(EOMONTH($BB$3+INT((DAY(EOMONTH($BB$3,0))-1)/2)+BC$23,0)=EOMONTH($N$3,0),BC$26,0),0),IF(AND(AY$26&lt;&gt;"",AY$23&lt;&gt;""),IF(EOMONTH($AX$3+INT((DAY(EOMONTH($AX$3,0))-1)/2)+AY$23,0)=EOMONTH($N$3,0),AY$26,0),0),IF(AND(AU$26&lt;&gt;"",AU$23&lt;&gt;""),IF(EOMONTH($AT$3+INT((DAY(EOMONTH($AT$3,0))-1)/2)+AU$23,0)=EOMONTH($N$3,0),AU$26,0),0),IF(AND(AQ$26&lt;&gt;"",AQ$23&lt;&gt;""),IF(EOMONTH($AP$3+INT((DAY(EOMONTH($AP$3,0))-1)/2)+AQ$23,0)=EOMONTH($N$3,0),AQ$26,0),0),IF(AND(AM$26&lt;&gt;"",AM$23&lt;&gt;""),IF(EOMONTH($AL$3+INT((DAY(EOMONTH($AL$3,0))-1)/2)+AM$23,0)=EOMONTH($N$3,0),AM$26,0),0),IF(AND(AI$26&lt;&gt;"",AI$23&lt;&gt;""),IF(EOMONTH($AH$3+INT((DAY(EOMONTH($AH$3,0))-1)/2)+AI$23,0)=EOMONTH($N$3,0),AI$26,0),0),IF(AND(AE$26&lt;&gt;"",AE$23&lt;&gt;""),IF(EOMONTH($AD$3+INT((DAY(EOMONTH($AD$3,0))-1)/2)+AE$23,0)=EOMONTH($N$3,0),AE$26,0),0),IF(AND(AA$26&lt;&gt;"",AA$23&lt;&gt;""),IF(EOMONTH($Z$3+INT((DAY(EOMONTH($Z$3,0))-1)/2)+AA$23,0)=EOMONTH($N$3,0),AA$26,0),0),IF(AND(W$26&lt;&gt;"",W$23&lt;&gt;""),IF(EOMONTH($V$3+INT((DAY(EOMONTH($V$3,0))-1)/2)+W$23,0)=EOMONTH($N$3,0),W$26,0),0),IF(AND(S$26&lt;&gt;"",S$23&lt;&gt;""),IF(EOMONTH($R$3+INT((DAY(EOMONTH($R$3,0))-1)/2)+S$23,0)=EOMONTH($N$3,0),S$26,0),0),IF(AND(O$26&lt;&gt;"",O$23&lt;&gt;""),IF(EOMONTH($N$3+INT((DAY(EOMONTH($N$3,0))-1)/2)+O$23,0)=EOMONTH($N$3,0),O$26,0),0),IF(AND(K$26&lt;&gt;"",K$23&lt;&gt;""),IF(EOMONTH($J$3+INT((DAY(EOMONTH($J$3,0))-1)/2)+K$23,0)=EOMONTH($N$3,0),K$26,0),0),IF(AND(G$26&lt;&gt;"",G$23&lt;&gt;""),IF(EOMONTH($F$3+INT((DAY(EOMONTH($F$3,0))-1)/2)+G$23,0)=EOMONTH($N$3,0),G$26,0),0),IF($EP$75="",0,IF(EOMONTH($EP$75+EQ$23,0)=EOMONTH($N$3,0),$EP$78*EQ$13,0))),0))</f>
        <v>144000</v>
      </c>
      <c r="P57" s="32">
        <f>ROUND(SUM(IF(AND(ER$26&lt;&gt;"",ER$23&lt;&gt;""),IF(EOMONTH($EP$3+INT((DAY(EOMONTH($EP$3,0))-1)/2)+ER$23,0)=EOMONTH($N$3,0),ER$26,0),0),IF(AND(EN$26&lt;&gt;"",EN$23&lt;&gt;""),IF(EOMONTH($EL$3+INT((DAY(EOMONTH($EL$3,0))-1)/2)+EN$23,0)=EOMONTH($N$3,0),EN$26,0),0),IF(AND(EJ$26&lt;&gt;"",EJ$23&lt;&gt;""),IF(EOMONTH($EH$3+INT((DAY(EOMONTH($EH$3,0))-1)/2)+EJ$23,0)=EOMONTH($N$3,0),EJ$26,0),0),IF(AND(EF$26&lt;&gt;"",EF$23&lt;&gt;""),IF(EOMONTH($ED$3+INT((DAY(EOMONTH($ED$3,0))-1)/2)+EF$23,0)=EOMONTH($N$3,0),EF$26,0),0),IF(AND(EB$26&lt;&gt;"",EB$23&lt;&gt;""),IF(EOMONTH($DZ$3+INT((DAY(EOMONTH($DZ$3,0))-1)/2)+EB$23,0)=EOMONTH($N$3,0),EB$26,0),0),IF(AND(DX$26&lt;&gt;"",DX$23&lt;&gt;""),IF(EOMONTH($DV$3+INT((DAY(EOMONTH($DV$3,0))-1)/2)+DX$23,0)=EOMONTH($N$3,0),DX$26,0),0),IF(AND(DT$26&lt;&gt;"",DT$23&lt;&gt;""),IF(EOMONTH($DR$3+INT((DAY(EOMONTH($DR$3,0))-1)/2)+DT$23,0)=EOMONTH($N$3,0),DT$26,0),0),IF(AND(DP$26&lt;&gt;"",DP$23&lt;&gt;""),IF(EOMONTH($DN$3+INT((DAY(EOMONTH($DN$3,0))-1)/2)+DP$23,0)=EOMONTH($N$3,0),DP$26,0),0),IF(AND(DL$26&lt;&gt;"",DL$23&lt;&gt;""),IF(EOMONTH($DJ$3+INT((DAY(EOMONTH($DJ$3,0))-1)/2)+DL$23,0)=EOMONTH($N$3,0),DL$26,0),0),IF(AND(DH$26&lt;&gt;"",DH$23&lt;&gt;""),IF(EOMONTH($DF$3+INT((DAY(EOMONTH($DF$3,0))-1)/2)+DH$23,0)=EOMONTH($N$3,0),DH$26,0),0),IF(AND(DD$26&lt;&gt;"",DD$23&lt;&gt;""),IF(EOMONTH($DB$3+INT((DAY(EOMONTH($DB$3,0))-1)/2)+DD$23,0)=EOMONTH($N$3,0),DD$26,0),0),IF(AND(CZ$26&lt;&gt;"",CZ$23&lt;&gt;""),IF(EOMONTH($CX$3+INT((DAY(EOMONTH($CX$3,0))-1)/2)+CZ$23,0)=EOMONTH($N$3,0),CZ$26,0),0),IF(AND(CV$26&lt;&gt;"",CV$23&lt;&gt;""),IF(EOMONTH($CT$3+INT((DAY(EOMONTH($CT$3,0))-1)/2)+CV$23,0)=EOMONTH($N$3,0),CV$26,0),0),IF(AND(CR$26&lt;&gt;"",CR$23&lt;&gt;""),IF(EOMONTH($CP$3+INT((DAY(EOMONTH($CP$3,0))-1)/2)+CR$23,0)=EOMONTH($N$3,0),CR$26,0),0),IF(AND(CN$26&lt;&gt;"",CN$23&lt;&gt;""),IF(EOMONTH($CL$3+INT((DAY(EOMONTH($CL$3,0))-1)/2)+CN$23,0)=EOMONTH($N$3,0),CN$26,0),0),IF(AND(CJ$26&lt;&gt;"",CJ$23&lt;&gt;""),IF(EOMONTH($CH$3+INT((DAY(EOMONTH($CH$3,0))-1)/2)+CJ$23,0)=EOMONTH($N$3,0),CJ$26,0),0),IF(AND(CF$26&lt;&gt;"",CF$23&lt;&gt;""),IF(EOMONTH($CD$3+INT((DAY(EOMONTH($CD$3,0))-1)/2)+CF$23,0)=EOMONTH($N$3,0),CF$26,0),0),IF(AND(CB$26&lt;&gt;"",CB$23&lt;&gt;""),IF(EOMONTH($BZ$3+INT((DAY(EOMONTH($BZ$3,0))-1)/2)+CB$23,0)=EOMONTH($N$3,0),CB$26,0),0),IF(AND(BX$26&lt;&gt;"",BX$23&lt;&gt;""),IF(EOMONTH($BV$3+INT((DAY(EOMONTH($BV$3,0))-1)/2)+BX$23,0)=EOMONTH($N$3,0),BX$26,0),0),IF(AND(BT$26&lt;&gt;"",BT$23&lt;&gt;""),IF(EOMONTH($BR$3+INT((DAY(EOMONTH($BR$3,0))-1)/2)+BT$23,0)=EOMONTH($N$3,0),BT$26,0),0),IF(AND(BP$26&lt;&gt;"",BP$23&lt;&gt;""),IF(EOMONTH($BN$3+INT((DAY(EOMONTH($BN$3,0))-1)/2)+BP$23,0)=EOMONTH($N$3,0),BP$26,0),0),IF(AND(BL$26&lt;&gt;"",BL$23&lt;&gt;""),IF(EOMONTH($BJ$3+INT((DAY(EOMONTH($BJ$3,0))-1)/2)+BL$23,0)=EOMONTH($N$3,0),BL$26,0),0),IF(AND(BH$26&lt;&gt;"",BH$23&lt;&gt;""),IF(EOMONTH($BF$3+INT((DAY(EOMONTH($BF$3,0))-1)/2)+BH$23,0)=EOMONTH($N$3,0),BH$26,0),0),IF(AND(BD$26&lt;&gt;"",BD$23&lt;&gt;""),IF(EOMONTH($BB$3+INT((DAY(EOMONTH($BB$3,0))-1)/2)+BD$23,0)=EOMONTH($N$3,0),BD$26,0),0),IF(AND(AZ$26&lt;&gt;"",AZ$23&lt;&gt;""),IF(EOMONTH($AX$3+INT((DAY(EOMONTH($AX$3,0))-1)/2)+AZ$23,0)=EOMONTH($N$3,0),AZ$26,0),0),IF(AND(AV$26&lt;&gt;"",AV$23&lt;&gt;""),IF(EOMONTH($AT$3+INT((DAY(EOMONTH($AT$3,0))-1)/2)+AV$23,0)=EOMONTH($N$3,0),AV$26,0),0),IF(AND(AR$26&lt;&gt;"",AR$23&lt;&gt;""),IF(EOMONTH($AP$3+INT((DAY(EOMONTH($AP$3,0))-1)/2)+AR$23,0)=EOMONTH($N$3,0),AR$26,0),0),IF(AND(AN$26&lt;&gt;"",AN$23&lt;&gt;""),IF(EOMONTH($AL$3+INT((DAY(EOMONTH($AL$3,0))-1)/2)+AN$23,0)=EOMONTH($N$3,0),AN$26,0),0),IF(AND(AJ$26&lt;&gt;"",AJ$23&lt;&gt;""),IF(EOMONTH($AH$3+INT((DAY(EOMONTH($AH$3,0))-1)/2)+AJ$23,0)=EOMONTH($N$3,0),AJ$26,0),0),IF(AND(AF$26&lt;&gt;"",AF$23&lt;&gt;""),IF(EOMONTH($AD$3+INT((DAY(EOMONTH($AD$3,0))-1)/2)+AF$23,0)=EOMONTH($N$3,0),AF$26,0),0),IF(AND(AB$26&lt;&gt;"",AB$23&lt;&gt;""),IF(EOMONTH($Z$3+INT((DAY(EOMONTH($Z$3,0))-1)/2)+AB$23,0)=EOMONTH($N$3,0),AB$26,0),0),IF(AND(X$26&lt;&gt;"",X$23&lt;&gt;""),IF(EOMONTH($V$3+INT((DAY(EOMONTH($V$3,0))-1)/2)+X$23,0)=EOMONTH($N$3,0),X$26,0),0),IF(AND(T$26&lt;&gt;"",T$23&lt;&gt;""),IF(EOMONTH($R$3+INT((DAY(EOMONTH($R$3,0))-1)/2)+T$23,0)=EOMONTH($N$3,0),T$26,0),0),IF(AND(P$26&lt;&gt;"",P$23&lt;&gt;""),IF(EOMONTH($N$3+INT((DAY(EOMONTH($N$3,0))-1)/2)+P$23,0)=EOMONTH($N$3,0),P$26,0),0),IF(AND(L$26&lt;&gt;"",L$23&lt;&gt;""),IF(EOMONTH($J$3+INT((DAY(EOMONTH($J$3,0))-1)/2)+L$23,0)=EOMONTH($N$3,0),L$26,0),0),IF(AND(H$26&lt;&gt;"",H$23&lt;&gt;""),IF(EOMONTH($F$3+INT((DAY(EOMONTH($F$3,0))-1)/2)+H$23,0)=EOMONTH($N$3,0),H$26,0),0),IF($EP$75="",0,IF(EOMONTH($EP$75+ER$23,0)=EOMONTH($N$3,0),$EP$78*ER$13,0))),0)</f>
        <v>144000</v>
      </c>
      <c r="Q57" s="33">
        <f t="shared" ref="Q57:Q70" si="706">IFERROR(IF(OR(O57="",P57=""),"",O57-P57),"")</f>
        <v>0</v>
      </c>
      <c r="R57" s="34"/>
      <c r="S57" s="31">
        <f>IF(R$98=1,R57,ROUND(SUM(IF(AND(EQ$26&lt;&gt;"",EQ$23&lt;&gt;""),IF(EOMONTH($EP$3+INT((DAY(EOMONTH($EP$3,0))-1)/2)+EQ$23,0)=EOMONTH($R$3,0),EQ$26,0),0),IF(AND(EM$26&lt;&gt;"",EM$23&lt;&gt;""),IF(EOMONTH($EL$3+INT((DAY(EOMONTH($EL$3,0))-1)/2)+EM$23,0)=EOMONTH($R$3,0),EM$26,0),0),IF(AND(EI$26&lt;&gt;"",EI$23&lt;&gt;""),IF(EOMONTH($EH$3+INT((DAY(EOMONTH($EH$3,0))-1)/2)+EI$23,0)=EOMONTH($R$3,0),EI$26,0),0),IF(AND(EE$26&lt;&gt;"",EE$23&lt;&gt;""),IF(EOMONTH($ED$3+INT((DAY(EOMONTH($ED$3,0))-1)/2)+EE$23,0)=EOMONTH($R$3,0),EE$26,0),0),IF(AND(EA$26&lt;&gt;"",EA$23&lt;&gt;""),IF(EOMONTH($DZ$3+INT((DAY(EOMONTH($DZ$3,0))-1)/2)+EA$23,0)=EOMONTH($R$3,0),EA$26,0),0),IF(AND(DW$26&lt;&gt;"",DW$23&lt;&gt;""),IF(EOMONTH($DV$3+INT((DAY(EOMONTH($DV$3,0))-1)/2)+DW$23,0)=EOMONTH($R$3,0),DW$26,0),0),IF(AND(DS$26&lt;&gt;"",DS$23&lt;&gt;""),IF(EOMONTH($DR$3+INT((DAY(EOMONTH($DR$3,0))-1)/2)+DS$23,0)=EOMONTH($R$3,0),DS$26,0),0),IF(AND(DO$26&lt;&gt;"",DO$23&lt;&gt;""),IF(EOMONTH($DN$3+INT((DAY(EOMONTH($DN$3,0))-1)/2)+DO$23,0)=EOMONTH($R$3,0),DO$26,0),0),IF(AND(DK$26&lt;&gt;"",DK$23&lt;&gt;""),IF(EOMONTH($DJ$3+INT((DAY(EOMONTH($DJ$3,0))-1)/2)+DK$23,0)=EOMONTH($R$3,0),DK$26,0),0),IF(AND(DG$26&lt;&gt;"",DG$23&lt;&gt;""),IF(EOMONTH($DF$3+INT((DAY(EOMONTH($DF$3,0))-1)/2)+DG$23,0)=EOMONTH($R$3,0),DG$26,0),0),IF(AND(DC$26&lt;&gt;"",DC$23&lt;&gt;""),IF(EOMONTH($DB$3+INT((DAY(EOMONTH($DB$3,0))-1)/2)+DC$23,0)=EOMONTH($R$3,0),DC$26,0),0),IF(AND(CY$26&lt;&gt;"",CY$23&lt;&gt;""),IF(EOMONTH($CX$3+INT((DAY(EOMONTH($CX$3,0))-1)/2)+CY$23,0)=EOMONTH($R$3,0),CY$26,0),0),IF(AND(CU$26&lt;&gt;"",CU$23&lt;&gt;""),IF(EOMONTH($CT$3+INT((DAY(EOMONTH($CT$3,0))-1)/2)+CU$23,0)=EOMONTH($R$3,0),CU$26,0),0),IF(AND(CQ$26&lt;&gt;"",CQ$23&lt;&gt;""),IF(EOMONTH($CP$3+INT((DAY(EOMONTH($CP$3,0))-1)/2)+CQ$23,0)=EOMONTH($R$3,0),CQ$26,0),0),IF(AND(CM$26&lt;&gt;"",CM$23&lt;&gt;""),IF(EOMONTH($CL$3+INT((DAY(EOMONTH($CL$3,0))-1)/2)+CM$23,0)=EOMONTH($R$3,0),CM$26,0),0),IF(AND(CI$26&lt;&gt;"",CI$23&lt;&gt;""),IF(EOMONTH($CH$3+INT((DAY(EOMONTH($CH$3,0))-1)/2)+CI$23,0)=EOMONTH($R$3,0),CI$26,0),0),IF(AND(CE$26&lt;&gt;"",CE$23&lt;&gt;""),IF(EOMONTH($CD$3+INT((DAY(EOMONTH($CD$3,0))-1)/2)+CE$23,0)=EOMONTH($R$3,0),CE$26,0),0),IF(AND(CA$26&lt;&gt;"",CA$23&lt;&gt;""),IF(EOMONTH($BZ$3+INT((DAY(EOMONTH($BZ$3,0))-1)/2)+CA$23,0)=EOMONTH($R$3,0),CA$26,0),0),IF(AND(BW$26&lt;&gt;"",BW$23&lt;&gt;""),IF(EOMONTH($BV$3+INT((DAY(EOMONTH($BV$3,0))-1)/2)+BW$23,0)=EOMONTH($R$3,0),BW$26,0),0),IF(AND(BS$26&lt;&gt;"",BS$23&lt;&gt;""),IF(EOMONTH($BR$3+INT((DAY(EOMONTH($BR$3,0))-1)/2)+BS$23,0)=EOMONTH($R$3,0),BS$26,0),0),IF(AND(BO$26&lt;&gt;"",BO$23&lt;&gt;""),IF(EOMONTH($BN$3+INT((DAY(EOMONTH($BN$3,0))-1)/2)+BO$23,0)=EOMONTH($R$3,0),BO$26,0),0),IF(AND(BK$26&lt;&gt;"",BK$23&lt;&gt;""),IF(EOMONTH($BJ$3+INT((DAY(EOMONTH($BJ$3,0))-1)/2)+BK$23,0)=EOMONTH($R$3,0),BK$26,0),0),IF(AND(BG$26&lt;&gt;"",BG$23&lt;&gt;""),IF(EOMONTH($BF$3+INT((DAY(EOMONTH($BF$3,0))-1)/2)+BG$23,0)=EOMONTH($R$3,0),BG$26,0),0),IF(AND(BC$26&lt;&gt;"",BC$23&lt;&gt;""),IF(EOMONTH($BB$3+INT((DAY(EOMONTH($BB$3,0))-1)/2)+BC$23,0)=EOMONTH($R$3,0),BC$26,0),0),IF(AND(AY$26&lt;&gt;"",AY$23&lt;&gt;""),IF(EOMONTH($AX$3+INT((DAY(EOMONTH($AX$3,0))-1)/2)+AY$23,0)=EOMONTH($R$3,0),AY$26,0),0),IF(AND(AU$26&lt;&gt;"",AU$23&lt;&gt;""),IF(EOMONTH($AT$3+INT((DAY(EOMONTH($AT$3,0))-1)/2)+AU$23,0)=EOMONTH($R$3,0),AU$26,0),0),IF(AND(AQ$26&lt;&gt;"",AQ$23&lt;&gt;""),IF(EOMONTH($AP$3+INT((DAY(EOMONTH($AP$3,0))-1)/2)+AQ$23,0)=EOMONTH($R$3,0),AQ$26,0),0),IF(AND(AM$26&lt;&gt;"",AM$23&lt;&gt;""),IF(EOMONTH($AL$3+INT((DAY(EOMONTH($AL$3,0))-1)/2)+AM$23,0)=EOMONTH($R$3,0),AM$26,0),0),IF(AND(AI$26&lt;&gt;"",AI$23&lt;&gt;""),IF(EOMONTH($AH$3+INT((DAY(EOMONTH($AH$3,0))-1)/2)+AI$23,0)=EOMONTH($R$3,0),AI$26,0),0),IF(AND(AE$26&lt;&gt;"",AE$23&lt;&gt;""),IF(EOMONTH($AD$3+INT((DAY(EOMONTH($AD$3,0))-1)/2)+AE$23,0)=EOMONTH($R$3,0),AE$26,0),0),IF(AND(AA$26&lt;&gt;"",AA$23&lt;&gt;""),IF(EOMONTH($Z$3+INT((DAY(EOMONTH($Z$3,0))-1)/2)+AA$23,0)=EOMONTH($R$3,0),AA$26,0),0),IF(AND(W$26&lt;&gt;"",W$23&lt;&gt;""),IF(EOMONTH($V$3+INT((DAY(EOMONTH($V$3,0))-1)/2)+W$23,0)=EOMONTH($R$3,0),W$26,0),0),IF(AND(S$26&lt;&gt;"",S$23&lt;&gt;""),IF(EOMONTH($R$3+INT((DAY(EOMONTH($R$3,0))-1)/2)+S$23,0)=EOMONTH($R$3,0),S$26,0),0),IF(AND(O$26&lt;&gt;"",O$23&lt;&gt;""),IF(EOMONTH($N$3+INT((DAY(EOMONTH($N$3,0))-1)/2)+O$23,0)=EOMONTH($R$3,0),O$26,0),0),IF(AND(K$26&lt;&gt;"",K$23&lt;&gt;""),IF(EOMONTH($J$3+INT((DAY(EOMONTH($J$3,0))-1)/2)+K$23,0)=EOMONTH($R$3,0),K$26,0),0),IF(AND(G$26&lt;&gt;"",G$23&lt;&gt;""),IF(EOMONTH($F$3+INT((DAY(EOMONTH($F$3,0))-1)/2)+G$23,0)=EOMONTH($R$3,0),G$26,0),0),IF($EP$75="",0,IF(EOMONTH($EP$75+EQ$23,0)=EOMONTH($R$3,0),$EP$78*EQ$13,0))),0))</f>
        <v>136000</v>
      </c>
      <c r="T57" s="32">
        <f>ROUND(SUM(IF(AND(ER$26&lt;&gt;"",ER$23&lt;&gt;""),IF(EOMONTH($EP$3+INT((DAY(EOMONTH($EP$3,0))-1)/2)+ER$23,0)=EOMONTH($R$3,0),ER$26,0),0),IF(AND(EN$26&lt;&gt;"",EN$23&lt;&gt;""),IF(EOMONTH($EL$3+INT((DAY(EOMONTH($EL$3,0))-1)/2)+EN$23,0)=EOMONTH($R$3,0),EN$26,0),0),IF(AND(EJ$26&lt;&gt;"",EJ$23&lt;&gt;""),IF(EOMONTH($EH$3+INT((DAY(EOMONTH($EH$3,0))-1)/2)+EJ$23,0)=EOMONTH($R$3,0),EJ$26,0),0),IF(AND(EF$26&lt;&gt;"",EF$23&lt;&gt;""),IF(EOMONTH($ED$3+INT((DAY(EOMONTH($ED$3,0))-1)/2)+EF$23,0)=EOMONTH($R$3,0),EF$26,0),0),IF(AND(EB$26&lt;&gt;"",EB$23&lt;&gt;""),IF(EOMONTH($DZ$3+INT((DAY(EOMONTH($DZ$3,0))-1)/2)+EB$23,0)=EOMONTH($R$3,0),EB$26,0),0),IF(AND(DX$26&lt;&gt;"",DX$23&lt;&gt;""),IF(EOMONTH($DV$3+INT((DAY(EOMONTH($DV$3,0))-1)/2)+DX$23,0)=EOMONTH($R$3,0),DX$26,0),0),IF(AND(DT$26&lt;&gt;"",DT$23&lt;&gt;""),IF(EOMONTH($DR$3+INT((DAY(EOMONTH($DR$3,0))-1)/2)+DT$23,0)=EOMONTH($R$3,0),DT$26,0),0),IF(AND(DP$26&lt;&gt;"",DP$23&lt;&gt;""),IF(EOMONTH($DN$3+INT((DAY(EOMONTH($DN$3,0))-1)/2)+DP$23,0)=EOMONTH($R$3,0),DP$26,0),0),IF(AND(DL$26&lt;&gt;"",DL$23&lt;&gt;""),IF(EOMONTH($DJ$3+INT((DAY(EOMONTH($DJ$3,0))-1)/2)+DL$23,0)=EOMONTH($R$3,0),DL$26,0),0),IF(AND(DH$26&lt;&gt;"",DH$23&lt;&gt;""),IF(EOMONTH($DF$3+INT((DAY(EOMONTH($DF$3,0))-1)/2)+DH$23,0)=EOMONTH($R$3,0),DH$26,0),0),IF(AND(DD$26&lt;&gt;"",DD$23&lt;&gt;""),IF(EOMONTH($DB$3+INT((DAY(EOMONTH($DB$3,0))-1)/2)+DD$23,0)=EOMONTH($R$3,0),DD$26,0),0),IF(AND(CZ$26&lt;&gt;"",CZ$23&lt;&gt;""),IF(EOMONTH($CX$3+INT((DAY(EOMONTH($CX$3,0))-1)/2)+CZ$23,0)=EOMONTH($R$3,0),CZ$26,0),0),IF(AND(CV$26&lt;&gt;"",CV$23&lt;&gt;""),IF(EOMONTH($CT$3+INT((DAY(EOMONTH($CT$3,0))-1)/2)+CV$23,0)=EOMONTH($R$3,0),CV$26,0),0),IF(AND(CR$26&lt;&gt;"",CR$23&lt;&gt;""),IF(EOMONTH($CP$3+INT((DAY(EOMONTH($CP$3,0))-1)/2)+CR$23,0)=EOMONTH($R$3,0),CR$26,0),0),IF(AND(CN$26&lt;&gt;"",CN$23&lt;&gt;""),IF(EOMONTH($CL$3+INT((DAY(EOMONTH($CL$3,0))-1)/2)+CN$23,0)=EOMONTH($R$3,0),CN$26,0),0),IF(AND(CJ$26&lt;&gt;"",CJ$23&lt;&gt;""),IF(EOMONTH($CH$3+INT((DAY(EOMONTH($CH$3,0))-1)/2)+CJ$23,0)=EOMONTH($R$3,0),CJ$26,0),0),IF(AND(CF$26&lt;&gt;"",CF$23&lt;&gt;""),IF(EOMONTH($CD$3+INT((DAY(EOMONTH($CD$3,0))-1)/2)+CF$23,0)=EOMONTH($R$3,0),CF$26,0),0),IF(AND(CB$26&lt;&gt;"",CB$23&lt;&gt;""),IF(EOMONTH($BZ$3+INT((DAY(EOMONTH($BZ$3,0))-1)/2)+CB$23,0)=EOMONTH($R$3,0),CB$26,0),0),IF(AND(BX$26&lt;&gt;"",BX$23&lt;&gt;""),IF(EOMONTH($BV$3+INT((DAY(EOMONTH($BV$3,0))-1)/2)+BX$23,0)=EOMONTH($R$3,0),BX$26,0),0),IF(AND(BT$26&lt;&gt;"",BT$23&lt;&gt;""),IF(EOMONTH($BR$3+INT((DAY(EOMONTH($BR$3,0))-1)/2)+BT$23,0)=EOMONTH($R$3,0),BT$26,0),0),IF(AND(BP$26&lt;&gt;"",BP$23&lt;&gt;""),IF(EOMONTH($BN$3+INT((DAY(EOMONTH($BN$3,0))-1)/2)+BP$23,0)=EOMONTH($R$3,0),BP$26,0),0),IF(AND(BL$26&lt;&gt;"",BL$23&lt;&gt;""),IF(EOMONTH($BJ$3+INT((DAY(EOMONTH($BJ$3,0))-1)/2)+BL$23,0)=EOMONTH($R$3,0),BL$26,0),0),IF(AND(BH$26&lt;&gt;"",BH$23&lt;&gt;""),IF(EOMONTH($BF$3+INT((DAY(EOMONTH($BF$3,0))-1)/2)+BH$23,0)=EOMONTH($R$3,0),BH$26,0),0),IF(AND(BD$26&lt;&gt;"",BD$23&lt;&gt;""),IF(EOMONTH($BB$3+INT((DAY(EOMONTH($BB$3,0))-1)/2)+BD$23,0)=EOMONTH($R$3,0),BD$26,0),0),IF(AND(AZ$26&lt;&gt;"",AZ$23&lt;&gt;""),IF(EOMONTH($AX$3+INT((DAY(EOMONTH($AX$3,0))-1)/2)+AZ$23,0)=EOMONTH($R$3,0),AZ$26,0),0),IF(AND(AV$26&lt;&gt;"",AV$23&lt;&gt;""),IF(EOMONTH($AT$3+INT((DAY(EOMONTH($AT$3,0))-1)/2)+AV$23,0)=EOMONTH($R$3,0),AV$26,0),0),IF(AND(AR$26&lt;&gt;"",AR$23&lt;&gt;""),IF(EOMONTH($AP$3+INT((DAY(EOMONTH($AP$3,0))-1)/2)+AR$23,0)=EOMONTH($R$3,0),AR$26,0),0),IF(AND(AN$26&lt;&gt;"",AN$23&lt;&gt;""),IF(EOMONTH($AL$3+INT((DAY(EOMONTH($AL$3,0))-1)/2)+AN$23,0)=EOMONTH($R$3,0),AN$26,0),0),IF(AND(AJ$26&lt;&gt;"",AJ$23&lt;&gt;""),IF(EOMONTH($AH$3+INT((DAY(EOMONTH($AH$3,0))-1)/2)+AJ$23,0)=EOMONTH($R$3,0),AJ$26,0),0),IF(AND(AF$26&lt;&gt;"",AF$23&lt;&gt;""),IF(EOMONTH($AD$3+INT((DAY(EOMONTH($AD$3,0))-1)/2)+AF$23,0)=EOMONTH($R$3,0),AF$26,0),0),IF(AND(AB$26&lt;&gt;"",AB$23&lt;&gt;""),IF(EOMONTH($Z$3+INT((DAY(EOMONTH($Z$3,0))-1)/2)+AB$23,0)=EOMONTH($R$3,0),AB$26,0),0),IF(AND(X$26&lt;&gt;"",X$23&lt;&gt;""),IF(EOMONTH($V$3+INT((DAY(EOMONTH($V$3,0))-1)/2)+X$23,0)=EOMONTH($R$3,0),X$26,0),0),IF(AND(T$26&lt;&gt;"",T$23&lt;&gt;""),IF(EOMONTH($R$3+INT((DAY(EOMONTH($R$3,0))-1)/2)+T$23,0)=EOMONTH($R$3,0),T$26,0),0),IF(AND(P$26&lt;&gt;"",P$23&lt;&gt;""),IF(EOMONTH($N$3+INT((DAY(EOMONTH($N$3,0))-1)/2)+P$23,0)=EOMONTH($R$3,0),P$26,0),0),IF(AND(L$26&lt;&gt;"",L$23&lt;&gt;""),IF(EOMONTH($J$3+INT((DAY(EOMONTH($J$3,0))-1)/2)+L$23,0)=EOMONTH($R$3,0),L$26,0),0),IF(AND(H$26&lt;&gt;"",H$23&lt;&gt;""),IF(EOMONTH($F$3+INT((DAY(EOMONTH($F$3,0))-1)/2)+H$23,0)=EOMONTH($R$3,0),H$26,0),0),IF($EP$75="",0,IF(EOMONTH($EP$75+ER$23,0)=EOMONTH($R$3,0),$EP$78*ER$13,0))),0)</f>
        <v>136000</v>
      </c>
      <c r="U57" s="33">
        <f t="shared" ref="U57:U70" si="708">IFERROR(IF(OR(S57="",T57=""),"",S57-T57),"")</f>
        <v>0</v>
      </c>
      <c r="V57" s="34"/>
      <c r="W57" s="31">
        <f>IF(V$98=1,V57,ROUND(SUM(IF(AND(EQ$26&lt;&gt;"",EQ$23&lt;&gt;""),IF(EOMONTH($EP$3+INT((DAY(EOMONTH($EP$3,0))-1)/2)+EQ$23,0)=EOMONTH($V$3,0),EQ$26,0),0),IF(AND(EM$26&lt;&gt;"",EM$23&lt;&gt;""),IF(EOMONTH($EL$3+INT((DAY(EOMONTH($EL$3,0))-1)/2)+EM$23,0)=EOMONTH($V$3,0),EM$26,0),0),IF(AND(EI$26&lt;&gt;"",EI$23&lt;&gt;""),IF(EOMONTH($EH$3+INT((DAY(EOMONTH($EH$3,0))-1)/2)+EI$23,0)=EOMONTH($V$3,0),EI$26,0),0),IF(AND(EE$26&lt;&gt;"",EE$23&lt;&gt;""),IF(EOMONTH($ED$3+INT((DAY(EOMONTH($ED$3,0))-1)/2)+EE$23,0)=EOMONTH($V$3,0),EE$26,0),0),IF(AND(EA$26&lt;&gt;"",EA$23&lt;&gt;""),IF(EOMONTH($DZ$3+INT((DAY(EOMONTH($DZ$3,0))-1)/2)+EA$23,0)=EOMONTH($V$3,0),EA$26,0),0),IF(AND(DW$26&lt;&gt;"",DW$23&lt;&gt;""),IF(EOMONTH($DV$3+INT((DAY(EOMONTH($DV$3,0))-1)/2)+DW$23,0)=EOMONTH($V$3,0),DW$26,0),0),IF(AND(DS$26&lt;&gt;"",DS$23&lt;&gt;""),IF(EOMONTH($DR$3+INT((DAY(EOMONTH($DR$3,0))-1)/2)+DS$23,0)=EOMONTH($V$3,0),DS$26,0),0),IF(AND(DO$26&lt;&gt;"",DO$23&lt;&gt;""),IF(EOMONTH($DN$3+INT((DAY(EOMONTH($DN$3,0))-1)/2)+DO$23,0)=EOMONTH($V$3,0),DO$26,0),0),IF(AND(DK$26&lt;&gt;"",DK$23&lt;&gt;""),IF(EOMONTH($DJ$3+INT((DAY(EOMONTH($DJ$3,0))-1)/2)+DK$23,0)=EOMONTH($V$3,0),DK$26,0),0),IF(AND(DG$26&lt;&gt;"",DG$23&lt;&gt;""),IF(EOMONTH($DF$3+INT((DAY(EOMONTH($DF$3,0))-1)/2)+DG$23,0)=EOMONTH($V$3,0),DG$26,0),0),IF(AND(DC$26&lt;&gt;"",DC$23&lt;&gt;""),IF(EOMONTH($DB$3+INT((DAY(EOMONTH($DB$3,0))-1)/2)+DC$23,0)=EOMONTH($V$3,0),DC$26,0),0),IF(AND(CY$26&lt;&gt;"",CY$23&lt;&gt;""),IF(EOMONTH($CX$3+INT((DAY(EOMONTH($CX$3,0))-1)/2)+CY$23,0)=EOMONTH($V$3,0),CY$26,0),0),IF(AND(CU$26&lt;&gt;"",CU$23&lt;&gt;""),IF(EOMONTH($CT$3+INT((DAY(EOMONTH($CT$3,0))-1)/2)+CU$23,0)=EOMONTH($V$3,0),CU$26,0),0),IF(AND(CQ$26&lt;&gt;"",CQ$23&lt;&gt;""),IF(EOMONTH($CP$3+INT((DAY(EOMONTH($CP$3,0))-1)/2)+CQ$23,0)=EOMONTH($V$3,0),CQ$26,0),0),IF(AND(CM$26&lt;&gt;"",CM$23&lt;&gt;""),IF(EOMONTH($CL$3+INT((DAY(EOMONTH($CL$3,0))-1)/2)+CM$23,0)=EOMONTH($V$3,0),CM$26,0),0),IF(AND(CI$26&lt;&gt;"",CI$23&lt;&gt;""),IF(EOMONTH($CH$3+INT((DAY(EOMONTH($CH$3,0))-1)/2)+CI$23,0)=EOMONTH($V$3,0),CI$26,0),0),IF(AND(CE$26&lt;&gt;"",CE$23&lt;&gt;""),IF(EOMONTH($CD$3+INT((DAY(EOMONTH($CD$3,0))-1)/2)+CE$23,0)=EOMONTH($V$3,0),CE$26,0),0),IF(AND(CA$26&lt;&gt;"",CA$23&lt;&gt;""),IF(EOMONTH($BZ$3+INT((DAY(EOMONTH($BZ$3,0))-1)/2)+CA$23,0)=EOMONTH($V$3,0),CA$26,0),0),IF(AND(BW$26&lt;&gt;"",BW$23&lt;&gt;""),IF(EOMONTH($BV$3+INT((DAY(EOMONTH($BV$3,0))-1)/2)+BW$23,0)=EOMONTH($V$3,0),BW$26,0),0),IF(AND(BS$26&lt;&gt;"",BS$23&lt;&gt;""),IF(EOMONTH($BR$3+INT((DAY(EOMONTH($BR$3,0))-1)/2)+BS$23,0)=EOMONTH($V$3,0),BS$26,0),0),IF(AND(BO$26&lt;&gt;"",BO$23&lt;&gt;""),IF(EOMONTH($BN$3+INT((DAY(EOMONTH($BN$3,0))-1)/2)+BO$23,0)=EOMONTH($V$3,0),BO$26,0),0),IF(AND(BK$26&lt;&gt;"",BK$23&lt;&gt;""),IF(EOMONTH($BJ$3+INT((DAY(EOMONTH($BJ$3,0))-1)/2)+BK$23,0)=EOMONTH($V$3,0),BK$26,0),0),IF(AND(BG$26&lt;&gt;"",BG$23&lt;&gt;""),IF(EOMONTH($BF$3+INT((DAY(EOMONTH($BF$3,0))-1)/2)+BG$23,0)=EOMONTH($V$3,0),BG$26,0),0),IF(AND(BC$26&lt;&gt;"",BC$23&lt;&gt;""),IF(EOMONTH($BB$3+INT((DAY(EOMONTH($BB$3,0))-1)/2)+BC$23,0)=EOMONTH($V$3,0),BC$26,0),0),IF(AND(AY$26&lt;&gt;"",AY$23&lt;&gt;""),IF(EOMONTH($AX$3+INT((DAY(EOMONTH($AX$3,0))-1)/2)+AY$23,0)=EOMONTH($V$3,0),AY$26,0),0),IF(AND(AU$26&lt;&gt;"",AU$23&lt;&gt;""),IF(EOMONTH($AT$3+INT((DAY(EOMONTH($AT$3,0))-1)/2)+AU$23,0)=EOMONTH($V$3,0),AU$26,0),0),IF(AND(AQ$26&lt;&gt;"",AQ$23&lt;&gt;""),IF(EOMONTH($AP$3+INT((DAY(EOMONTH($AP$3,0))-1)/2)+AQ$23,0)=EOMONTH($V$3,0),AQ$26,0),0),IF(AND(AM$26&lt;&gt;"",AM$23&lt;&gt;""),IF(EOMONTH($AL$3+INT((DAY(EOMONTH($AL$3,0))-1)/2)+AM$23,0)=EOMONTH($V$3,0),AM$26,0),0),IF(AND(AI$26&lt;&gt;"",AI$23&lt;&gt;""),IF(EOMONTH($AH$3+INT((DAY(EOMONTH($AH$3,0))-1)/2)+AI$23,0)=EOMONTH($V$3,0),AI$26,0),0),IF(AND(AE$26&lt;&gt;"",AE$23&lt;&gt;""),IF(EOMONTH($AD$3+INT((DAY(EOMONTH($AD$3,0))-1)/2)+AE$23,0)=EOMONTH($V$3,0),AE$26,0),0),IF(AND(AA$26&lt;&gt;"",AA$23&lt;&gt;""),IF(EOMONTH($Z$3+INT((DAY(EOMONTH($Z$3,0))-1)/2)+AA$23,0)=EOMONTH($V$3,0),AA$26,0),0),IF(AND(W$26&lt;&gt;"",W$23&lt;&gt;""),IF(EOMONTH($V$3+INT((DAY(EOMONTH($V$3,0))-1)/2)+W$23,0)=EOMONTH($V$3,0),W$26,0),0),IF(AND(S$26&lt;&gt;"",S$23&lt;&gt;""),IF(EOMONTH($R$3+INT((DAY(EOMONTH($R$3,0))-1)/2)+S$23,0)=EOMONTH($V$3,0),S$26,0),0),IF(AND(O$26&lt;&gt;"",O$23&lt;&gt;""),IF(EOMONTH($N$3+INT((DAY(EOMONTH($N$3,0))-1)/2)+O$23,0)=EOMONTH($V$3,0),O$26,0),0),IF(AND(K$26&lt;&gt;"",K$23&lt;&gt;""),IF(EOMONTH($J$3+INT((DAY(EOMONTH($J$3,0))-1)/2)+K$23,0)=EOMONTH($V$3,0),K$26,0),0),IF(AND(G$26&lt;&gt;"",G$23&lt;&gt;""),IF(EOMONTH($F$3+INT((DAY(EOMONTH($F$3,0))-1)/2)+G$23,0)=EOMONTH($V$3,0),G$26,0),0),IF($EP$75="",0,IF(EOMONTH($EP$75+EQ$23,0)=EOMONTH($V$3,0),$EP$78*EQ$13,0))),0))</f>
        <v>136000</v>
      </c>
      <c r="X57" s="32">
        <f>ROUND(SUM(IF(AND(ER$26&lt;&gt;"",ER$23&lt;&gt;""),IF(EOMONTH($EP$3+INT((DAY(EOMONTH($EP$3,0))-1)/2)+ER$23,0)=EOMONTH($V$3,0),ER$26,0),0),IF(AND(EN$26&lt;&gt;"",EN$23&lt;&gt;""),IF(EOMONTH($EL$3+INT((DAY(EOMONTH($EL$3,0))-1)/2)+EN$23,0)=EOMONTH($V$3,0),EN$26,0),0),IF(AND(EJ$26&lt;&gt;"",EJ$23&lt;&gt;""),IF(EOMONTH($EH$3+INT((DAY(EOMONTH($EH$3,0))-1)/2)+EJ$23,0)=EOMONTH($V$3,0),EJ$26,0),0),IF(AND(EF$26&lt;&gt;"",EF$23&lt;&gt;""),IF(EOMONTH($ED$3+INT((DAY(EOMONTH($ED$3,0))-1)/2)+EF$23,0)=EOMONTH($V$3,0),EF$26,0),0),IF(AND(EB$26&lt;&gt;"",EB$23&lt;&gt;""),IF(EOMONTH($DZ$3+INT((DAY(EOMONTH($DZ$3,0))-1)/2)+EB$23,0)=EOMONTH($V$3,0),EB$26,0),0),IF(AND(DX$26&lt;&gt;"",DX$23&lt;&gt;""),IF(EOMONTH($DV$3+INT((DAY(EOMONTH($DV$3,0))-1)/2)+DX$23,0)=EOMONTH($V$3,0),DX$26,0),0),IF(AND(DT$26&lt;&gt;"",DT$23&lt;&gt;""),IF(EOMONTH($DR$3+INT((DAY(EOMONTH($DR$3,0))-1)/2)+DT$23,0)=EOMONTH($V$3,0),DT$26,0),0),IF(AND(DP$26&lt;&gt;"",DP$23&lt;&gt;""),IF(EOMONTH($DN$3+INT((DAY(EOMONTH($DN$3,0))-1)/2)+DP$23,0)=EOMONTH($V$3,0),DP$26,0),0),IF(AND(DL$26&lt;&gt;"",DL$23&lt;&gt;""),IF(EOMONTH($DJ$3+INT((DAY(EOMONTH($DJ$3,0))-1)/2)+DL$23,0)=EOMONTH($V$3,0),DL$26,0),0),IF(AND(DH$26&lt;&gt;"",DH$23&lt;&gt;""),IF(EOMONTH($DF$3+INT((DAY(EOMONTH($DF$3,0))-1)/2)+DH$23,0)=EOMONTH($V$3,0),DH$26,0),0),IF(AND(DD$26&lt;&gt;"",DD$23&lt;&gt;""),IF(EOMONTH($DB$3+INT((DAY(EOMONTH($DB$3,0))-1)/2)+DD$23,0)=EOMONTH($V$3,0),DD$26,0),0),IF(AND(CZ$26&lt;&gt;"",CZ$23&lt;&gt;""),IF(EOMONTH($CX$3+INT((DAY(EOMONTH($CX$3,0))-1)/2)+CZ$23,0)=EOMONTH($V$3,0),CZ$26,0),0),IF(AND(CV$26&lt;&gt;"",CV$23&lt;&gt;""),IF(EOMONTH($CT$3+INT((DAY(EOMONTH($CT$3,0))-1)/2)+CV$23,0)=EOMONTH($V$3,0),CV$26,0),0),IF(AND(CR$26&lt;&gt;"",CR$23&lt;&gt;""),IF(EOMONTH($CP$3+INT((DAY(EOMONTH($CP$3,0))-1)/2)+CR$23,0)=EOMONTH($V$3,0),CR$26,0),0),IF(AND(CN$26&lt;&gt;"",CN$23&lt;&gt;""),IF(EOMONTH($CL$3+INT((DAY(EOMONTH($CL$3,0))-1)/2)+CN$23,0)=EOMONTH($V$3,0),CN$26,0),0),IF(AND(CJ$26&lt;&gt;"",CJ$23&lt;&gt;""),IF(EOMONTH($CH$3+INT((DAY(EOMONTH($CH$3,0))-1)/2)+CJ$23,0)=EOMONTH($V$3,0),CJ$26,0),0),IF(AND(CF$26&lt;&gt;"",CF$23&lt;&gt;""),IF(EOMONTH($CD$3+INT((DAY(EOMONTH($CD$3,0))-1)/2)+CF$23,0)=EOMONTH($V$3,0),CF$26,0),0),IF(AND(CB$26&lt;&gt;"",CB$23&lt;&gt;""),IF(EOMONTH($BZ$3+INT((DAY(EOMONTH($BZ$3,0))-1)/2)+CB$23,0)=EOMONTH($V$3,0),CB$26,0),0),IF(AND(BX$26&lt;&gt;"",BX$23&lt;&gt;""),IF(EOMONTH($BV$3+INT((DAY(EOMONTH($BV$3,0))-1)/2)+BX$23,0)=EOMONTH($V$3,0),BX$26,0),0),IF(AND(BT$26&lt;&gt;"",BT$23&lt;&gt;""),IF(EOMONTH($BR$3+INT((DAY(EOMONTH($BR$3,0))-1)/2)+BT$23,0)=EOMONTH($V$3,0),BT$26,0),0),IF(AND(BP$26&lt;&gt;"",BP$23&lt;&gt;""),IF(EOMONTH($BN$3+INT((DAY(EOMONTH($BN$3,0))-1)/2)+BP$23,0)=EOMONTH($V$3,0),BP$26,0),0),IF(AND(BL$26&lt;&gt;"",BL$23&lt;&gt;""),IF(EOMONTH($BJ$3+INT((DAY(EOMONTH($BJ$3,0))-1)/2)+BL$23,0)=EOMONTH($V$3,0),BL$26,0),0),IF(AND(BH$26&lt;&gt;"",BH$23&lt;&gt;""),IF(EOMONTH($BF$3+INT((DAY(EOMONTH($BF$3,0))-1)/2)+BH$23,0)=EOMONTH($V$3,0),BH$26,0),0),IF(AND(BD$26&lt;&gt;"",BD$23&lt;&gt;""),IF(EOMONTH($BB$3+INT((DAY(EOMONTH($BB$3,0))-1)/2)+BD$23,0)=EOMONTH($V$3,0),BD$26,0),0),IF(AND(AZ$26&lt;&gt;"",AZ$23&lt;&gt;""),IF(EOMONTH($AX$3+INT((DAY(EOMONTH($AX$3,0))-1)/2)+AZ$23,0)=EOMONTH($V$3,0),AZ$26,0),0),IF(AND(AV$26&lt;&gt;"",AV$23&lt;&gt;""),IF(EOMONTH($AT$3+INT((DAY(EOMONTH($AT$3,0))-1)/2)+AV$23,0)=EOMONTH($V$3,0),AV$26,0),0),IF(AND(AR$26&lt;&gt;"",AR$23&lt;&gt;""),IF(EOMONTH($AP$3+INT((DAY(EOMONTH($AP$3,0))-1)/2)+AR$23,0)=EOMONTH($V$3,0),AR$26,0),0),IF(AND(AN$26&lt;&gt;"",AN$23&lt;&gt;""),IF(EOMONTH($AL$3+INT((DAY(EOMONTH($AL$3,0))-1)/2)+AN$23,0)=EOMONTH($V$3,0),AN$26,0),0),IF(AND(AJ$26&lt;&gt;"",AJ$23&lt;&gt;""),IF(EOMONTH($AH$3+INT((DAY(EOMONTH($AH$3,0))-1)/2)+AJ$23,0)=EOMONTH($V$3,0),AJ$26,0),0),IF(AND(AF$26&lt;&gt;"",AF$23&lt;&gt;""),IF(EOMONTH($AD$3+INT((DAY(EOMONTH($AD$3,0))-1)/2)+AF$23,0)=EOMONTH($V$3,0),AF$26,0),0),IF(AND(AB$26&lt;&gt;"",AB$23&lt;&gt;""),IF(EOMONTH($Z$3+INT((DAY(EOMONTH($Z$3,0))-1)/2)+AB$23,0)=EOMONTH($V$3,0),AB$26,0),0),IF(AND(X$26&lt;&gt;"",X$23&lt;&gt;""),IF(EOMONTH($V$3+INT((DAY(EOMONTH($V$3,0))-1)/2)+X$23,0)=EOMONTH($V$3,0),X$26,0),0),IF(AND(T$26&lt;&gt;"",T$23&lt;&gt;""),IF(EOMONTH($R$3+INT((DAY(EOMONTH($R$3,0))-1)/2)+T$23,0)=EOMONTH($V$3,0),T$26,0),0),IF(AND(P$26&lt;&gt;"",P$23&lt;&gt;""),IF(EOMONTH($N$3+INT((DAY(EOMONTH($N$3,0))-1)/2)+P$23,0)=EOMONTH($V$3,0),P$26,0),0),IF(AND(L$26&lt;&gt;"",L$23&lt;&gt;""),IF(EOMONTH($J$3+INT((DAY(EOMONTH($J$3,0))-1)/2)+L$23,0)=EOMONTH($V$3,0),L$26,0),0),IF(AND(H$26&lt;&gt;"",H$23&lt;&gt;""),IF(EOMONTH($F$3+INT((DAY(EOMONTH($F$3,0))-1)/2)+H$23,0)=EOMONTH($V$3,0),H$26,0),0),IF($EP$75="",0,IF(EOMONTH($EP$75+ER$23,0)=EOMONTH($V$3,0),$EP$78*ER$13,0))),0)</f>
        <v>136000</v>
      </c>
      <c r="Y57" s="33">
        <f t="shared" ref="Y57:Y70" si="710">IFERROR(IF(OR(W57="",X57=""),"",W57-X57),"")</f>
        <v>0</v>
      </c>
      <c r="Z57" s="34"/>
      <c r="AA57" s="31">
        <f>IF(Z$98=1,Z57,ROUND(SUM(IF(AND(EQ$26&lt;&gt;"",EQ$23&lt;&gt;""),IF(EOMONTH($EP$3+INT((DAY(EOMONTH($EP$3,0))-1)/2)+EQ$23,0)=EOMONTH($Z$3,0),EQ$26,0),0),IF(AND(EM$26&lt;&gt;"",EM$23&lt;&gt;""),IF(EOMONTH($EL$3+INT((DAY(EOMONTH($EL$3,0))-1)/2)+EM$23,0)=EOMONTH($Z$3,0),EM$26,0),0),IF(AND(EI$26&lt;&gt;"",EI$23&lt;&gt;""),IF(EOMONTH($EH$3+INT((DAY(EOMONTH($EH$3,0))-1)/2)+EI$23,0)=EOMONTH($Z$3,0),EI$26,0),0),IF(AND(EE$26&lt;&gt;"",EE$23&lt;&gt;""),IF(EOMONTH($ED$3+INT((DAY(EOMONTH($ED$3,0))-1)/2)+EE$23,0)=EOMONTH($Z$3,0),EE$26,0),0),IF(AND(EA$26&lt;&gt;"",EA$23&lt;&gt;""),IF(EOMONTH($DZ$3+INT((DAY(EOMONTH($DZ$3,0))-1)/2)+EA$23,0)=EOMONTH($Z$3,0),EA$26,0),0),IF(AND(DW$26&lt;&gt;"",DW$23&lt;&gt;""),IF(EOMONTH($DV$3+INT((DAY(EOMONTH($DV$3,0))-1)/2)+DW$23,0)=EOMONTH($Z$3,0),DW$26,0),0),IF(AND(DS$26&lt;&gt;"",DS$23&lt;&gt;""),IF(EOMONTH($DR$3+INT((DAY(EOMONTH($DR$3,0))-1)/2)+DS$23,0)=EOMONTH($Z$3,0),DS$26,0),0),IF(AND(DO$26&lt;&gt;"",DO$23&lt;&gt;""),IF(EOMONTH($DN$3+INT((DAY(EOMONTH($DN$3,0))-1)/2)+DO$23,0)=EOMONTH($Z$3,0),DO$26,0),0),IF(AND(DK$26&lt;&gt;"",DK$23&lt;&gt;""),IF(EOMONTH($DJ$3+INT((DAY(EOMONTH($DJ$3,0))-1)/2)+DK$23,0)=EOMONTH($Z$3,0),DK$26,0),0),IF(AND(DG$26&lt;&gt;"",DG$23&lt;&gt;""),IF(EOMONTH($DF$3+INT((DAY(EOMONTH($DF$3,0))-1)/2)+DG$23,0)=EOMONTH($Z$3,0),DG$26,0),0),IF(AND(DC$26&lt;&gt;"",DC$23&lt;&gt;""),IF(EOMONTH($DB$3+INT((DAY(EOMONTH($DB$3,0))-1)/2)+DC$23,0)=EOMONTH($Z$3,0),DC$26,0),0),IF(AND(CY$26&lt;&gt;"",CY$23&lt;&gt;""),IF(EOMONTH($CX$3+INT((DAY(EOMONTH($CX$3,0))-1)/2)+CY$23,0)=EOMONTH($Z$3,0),CY$26,0),0),IF(AND(CU$26&lt;&gt;"",CU$23&lt;&gt;""),IF(EOMONTH($CT$3+INT((DAY(EOMONTH($CT$3,0))-1)/2)+CU$23,0)=EOMONTH($Z$3,0),CU$26,0),0),IF(AND(CQ$26&lt;&gt;"",CQ$23&lt;&gt;""),IF(EOMONTH($CP$3+INT((DAY(EOMONTH($CP$3,0))-1)/2)+CQ$23,0)=EOMONTH($Z$3,0),CQ$26,0),0),IF(AND(CM$26&lt;&gt;"",CM$23&lt;&gt;""),IF(EOMONTH($CL$3+INT((DAY(EOMONTH($CL$3,0))-1)/2)+CM$23,0)=EOMONTH($Z$3,0),CM$26,0),0),IF(AND(CI$26&lt;&gt;"",CI$23&lt;&gt;""),IF(EOMONTH($CH$3+INT((DAY(EOMONTH($CH$3,0))-1)/2)+CI$23,0)=EOMONTH($Z$3,0),CI$26,0),0),IF(AND(CE$26&lt;&gt;"",CE$23&lt;&gt;""),IF(EOMONTH($CD$3+INT((DAY(EOMONTH($CD$3,0))-1)/2)+CE$23,0)=EOMONTH($Z$3,0),CE$26,0),0),IF(AND(CA$26&lt;&gt;"",CA$23&lt;&gt;""),IF(EOMONTH($BZ$3+INT((DAY(EOMONTH($BZ$3,0))-1)/2)+CA$23,0)=EOMONTH($Z$3,0),CA$26,0),0),IF(AND(BW$26&lt;&gt;"",BW$23&lt;&gt;""),IF(EOMONTH($BV$3+INT((DAY(EOMONTH($BV$3,0))-1)/2)+BW$23,0)=EOMONTH($Z$3,0),BW$26,0),0),IF(AND(BS$26&lt;&gt;"",BS$23&lt;&gt;""),IF(EOMONTH($BR$3+INT((DAY(EOMONTH($BR$3,0))-1)/2)+BS$23,0)=EOMONTH($Z$3,0),BS$26,0),0),IF(AND(BO$26&lt;&gt;"",BO$23&lt;&gt;""),IF(EOMONTH($BN$3+INT((DAY(EOMONTH($BN$3,0))-1)/2)+BO$23,0)=EOMONTH($Z$3,0),BO$26,0),0),IF(AND(BK$26&lt;&gt;"",BK$23&lt;&gt;""),IF(EOMONTH($BJ$3+INT((DAY(EOMONTH($BJ$3,0))-1)/2)+BK$23,0)=EOMONTH($Z$3,0),BK$26,0),0),IF(AND(BG$26&lt;&gt;"",BG$23&lt;&gt;""),IF(EOMONTH($BF$3+INT((DAY(EOMONTH($BF$3,0))-1)/2)+BG$23,0)=EOMONTH($Z$3,0),BG$26,0),0),IF(AND(BC$26&lt;&gt;"",BC$23&lt;&gt;""),IF(EOMONTH($BB$3+INT((DAY(EOMONTH($BB$3,0))-1)/2)+BC$23,0)=EOMONTH($Z$3,0),BC$26,0),0),IF(AND(AY$26&lt;&gt;"",AY$23&lt;&gt;""),IF(EOMONTH($AX$3+INT((DAY(EOMONTH($AX$3,0))-1)/2)+AY$23,0)=EOMONTH($Z$3,0),AY$26,0),0),IF(AND(AU$26&lt;&gt;"",AU$23&lt;&gt;""),IF(EOMONTH($AT$3+INT((DAY(EOMONTH($AT$3,0))-1)/2)+AU$23,0)=EOMONTH($Z$3,0),AU$26,0),0),IF(AND(AQ$26&lt;&gt;"",AQ$23&lt;&gt;""),IF(EOMONTH($AP$3+INT((DAY(EOMONTH($AP$3,0))-1)/2)+AQ$23,0)=EOMONTH($Z$3,0),AQ$26,0),0),IF(AND(AM$26&lt;&gt;"",AM$23&lt;&gt;""),IF(EOMONTH($AL$3+INT((DAY(EOMONTH($AL$3,0))-1)/2)+AM$23,0)=EOMONTH($Z$3,0),AM$26,0),0),IF(AND(AI$26&lt;&gt;"",AI$23&lt;&gt;""),IF(EOMONTH($AH$3+INT((DAY(EOMONTH($AH$3,0))-1)/2)+AI$23,0)=EOMONTH($Z$3,0),AI$26,0),0),IF(AND(AE$26&lt;&gt;"",AE$23&lt;&gt;""),IF(EOMONTH($AD$3+INT((DAY(EOMONTH($AD$3,0))-1)/2)+AE$23,0)=EOMONTH($Z$3,0),AE$26,0),0),IF(AND(AA$26&lt;&gt;"",AA$23&lt;&gt;""),IF(EOMONTH($Z$3+INT((DAY(EOMONTH($Z$3,0))-1)/2)+AA$23,0)=EOMONTH($Z$3,0),AA$26,0),0),IF(AND(W$26&lt;&gt;"",W$23&lt;&gt;""),IF(EOMONTH($V$3+INT((DAY(EOMONTH($V$3,0))-1)/2)+W$23,0)=EOMONTH($Z$3,0),W$26,0),0),IF(AND(S$26&lt;&gt;"",S$23&lt;&gt;""),IF(EOMONTH($R$3+INT((DAY(EOMONTH($R$3,0))-1)/2)+S$23,0)=EOMONTH($Z$3,0),S$26,0),0),IF(AND(O$26&lt;&gt;"",O$23&lt;&gt;""),IF(EOMONTH($N$3+INT((DAY(EOMONTH($N$3,0))-1)/2)+O$23,0)=EOMONTH($Z$3,0),O$26,0),0),IF(AND(K$26&lt;&gt;"",K$23&lt;&gt;""),IF(EOMONTH($J$3+INT((DAY(EOMONTH($J$3,0))-1)/2)+K$23,0)=EOMONTH($Z$3,0),K$26,0),0),IF(AND(G$26&lt;&gt;"",G$23&lt;&gt;""),IF(EOMONTH($F$3+INT((DAY(EOMONTH($F$3,0))-1)/2)+G$23,0)=EOMONTH($Z$3,0),G$26,0),0),IF($EP$75="",0,IF(EOMONTH($EP$75+EQ$23,0)=EOMONTH($Z$3,0),$EP$78*EQ$13,0))),0))</f>
        <v>136000</v>
      </c>
      <c r="AB57" s="32">
        <f>ROUND(SUM(IF(AND(ER$26&lt;&gt;"",ER$23&lt;&gt;""),IF(EOMONTH($EP$3+INT((DAY(EOMONTH($EP$3,0))-1)/2)+ER$23,0)=EOMONTH($Z$3,0),ER$26,0),0),IF(AND(EN$26&lt;&gt;"",EN$23&lt;&gt;""),IF(EOMONTH($EL$3+INT((DAY(EOMONTH($EL$3,0))-1)/2)+EN$23,0)=EOMONTH($Z$3,0),EN$26,0),0),IF(AND(EJ$26&lt;&gt;"",EJ$23&lt;&gt;""),IF(EOMONTH($EH$3+INT((DAY(EOMONTH($EH$3,0))-1)/2)+EJ$23,0)=EOMONTH($Z$3,0),EJ$26,0),0),IF(AND(EF$26&lt;&gt;"",EF$23&lt;&gt;""),IF(EOMONTH($ED$3+INT((DAY(EOMONTH($ED$3,0))-1)/2)+EF$23,0)=EOMONTH($Z$3,0),EF$26,0),0),IF(AND(EB$26&lt;&gt;"",EB$23&lt;&gt;""),IF(EOMONTH($DZ$3+INT((DAY(EOMONTH($DZ$3,0))-1)/2)+EB$23,0)=EOMONTH($Z$3,0),EB$26,0),0),IF(AND(DX$26&lt;&gt;"",DX$23&lt;&gt;""),IF(EOMONTH($DV$3+INT((DAY(EOMONTH($DV$3,0))-1)/2)+DX$23,0)=EOMONTH($Z$3,0),DX$26,0),0),IF(AND(DT$26&lt;&gt;"",DT$23&lt;&gt;""),IF(EOMONTH($DR$3+INT((DAY(EOMONTH($DR$3,0))-1)/2)+DT$23,0)=EOMONTH($Z$3,0),DT$26,0),0),IF(AND(DP$26&lt;&gt;"",DP$23&lt;&gt;""),IF(EOMONTH($DN$3+INT((DAY(EOMONTH($DN$3,0))-1)/2)+DP$23,0)=EOMONTH($Z$3,0),DP$26,0),0),IF(AND(DL$26&lt;&gt;"",DL$23&lt;&gt;""),IF(EOMONTH($DJ$3+INT((DAY(EOMONTH($DJ$3,0))-1)/2)+DL$23,0)=EOMONTH($Z$3,0),DL$26,0),0),IF(AND(DH$26&lt;&gt;"",DH$23&lt;&gt;""),IF(EOMONTH($DF$3+INT((DAY(EOMONTH($DF$3,0))-1)/2)+DH$23,0)=EOMONTH($Z$3,0),DH$26,0),0),IF(AND(DD$26&lt;&gt;"",DD$23&lt;&gt;""),IF(EOMONTH($DB$3+INT((DAY(EOMONTH($DB$3,0))-1)/2)+DD$23,0)=EOMONTH($Z$3,0),DD$26,0),0),IF(AND(CZ$26&lt;&gt;"",CZ$23&lt;&gt;""),IF(EOMONTH($CX$3+INT((DAY(EOMONTH($CX$3,0))-1)/2)+CZ$23,0)=EOMONTH($Z$3,0),CZ$26,0),0),IF(AND(CV$26&lt;&gt;"",CV$23&lt;&gt;""),IF(EOMONTH($CT$3+INT((DAY(EOMONTH($CT$3,0))-1)/2)+CV$23,0)=EOMONTH($Z$3,0),CV$26,0),0),IF(AND(CR$26&lt;&gt;"",CR$23&lt;&gt;""),IF(EOMONTH($CP$3+INT((DAY(EOMONTH($CP$3,0))-1)/2)+CR$23,0)=EOMONTH($Z$3,0),CR$26,0),0),IF(AND(CN$26&lt;&gt;"",CN$23&lt;&gt;""),IF(EOMONTH($CL$3+INT((DAY(EOMONTH($CL$3,0))-1)/2)+CN$23,0)=EOMONTH($Z$3,0),CN$26,0),0),IF(AND(CJ$26&lt;&gt;"",CJ$23&lt;&gt;""),IF(EOMONTH($CH$3+INT((DAY(EOMONTH($CH$3,0))-1)/2)+CJ$23,0)=EOMONTH($Z$3,0),CJ$26,0),0),IF(AND(CF$26&lt;&gt;"",CF$23&lt;&gt;""),IF(EOMONTH($CD$3+INT((DAY(EOMONTH($CD$3,0))-1)/2)+CF$23,0)=EOMONTH($Z$3,0),CF$26,0),0),IF(AND(CB$26&lt;&gt;"",CB$23&lt;&gt;""),IF(EOMONTH($BZ$3+INT((DAY(EOMONTH($BZ$3,0))-1)/2)+CB$23,0)=EOMONTH($Z$3,0),CB$26,0),0),IF(AND(BX$26&lt;&gt;"",BX$23&lt;&gt;""),IF(EOMONTH($BV$3+INT((DAY(EOMONTH($BV$3,0))-1)/2)+BX$23,0)=EOMONTH($Z$3,0),BX$26,0),0),IF(AND(BT$26&lt;&gt;"",BT$23&lt;&gt;""),IF(EOMONTH($BR$3+INT((DAY(EOMONTH($BR$3,0))-1)/2)+BT$23,0)=EOMONTH($Z$3,0),BT$26,0),0),IF(AND(BP$26&lt;&gt;"",BP$23&lt;&gt;""),IF(EOMONTH($BN$3+INT((DAY(EOMONTH($BN$3,0))-1)/2)+BP$23,0)=EOMONTH($Z$3,0),BP$26,0),0),IF(AND(BL$26&lt;&gt;"",BL$23&lt;&gt;""),IF(EOMONTH($BJ$3+INT((DAY(EOMONTH($BJ$3,0))-1)/2)+BL$23,0)=EOMONTH($Z$3,0),BL$26,0),0),IF(AND(BH$26&lt;&gt;"",BH$23&lt;&gt;""),IF(EOMONTH($BF$3+INT((DAY(EOMONTH($BF$3,0))-1)/2)+BH$23,0)=EOMONTH($Z$3,0),BH$26,0),0),IF(AND(BD$26&lt;&gt;"",BD$23&lt;&gt;""),IF(EOMONTH($BB$3+INT((DAY(EOMONTH($BB$3,0))-1)/2)+BD$23,0)=EOMONTH($Z$3,0),BD$26,0),0),IF(AND(AZ$26&lt;&gt;"",AZ$23&lt;&gt;""),IF(EOMONTH($AX$3+INT((DAY(EOMONTH($AX$3,0))-1)/2)+AZ$23,0)=EOMONTH($Z$3,0),AZ$26,0),0),IF(AND(AV$26&lt;&gt;"",AV$23&lt;&gt;""),IF(EOMONTH($AT$3+INT((DAY(EOMONTH($AT$3,0))-1)/2)+AV$23,0)=EOMONTH($Z$3,0),AV$26,0),0),IF(AND(AR$26&lt;&gt;"",AR$23&lt;&gt;""),IF(EOMONTH($AP$3+INT((DAY(EOMONTH($AP$3,0))-1)/2)+AR$23,0)=EOMONTH($Z$3,0),AR$26,0),0),IF(AND(AN$26&lt;&gt;"",AN$23&lt;&gt;""),IF(EOMONTH($AL$3+INT((DAY(EOMONTH($AL$3,0))-1)/2)+AN$23,0)=EOMONTH($Z$3,0),AN$26,0),0),IF(AND(AJ$26&lt;&gt;"",AJ$23&lt;&gt;""),IF(EOMONTH($AH$3+INT((DAY(EOMONTH($AH$3,0))-1)/2)+AJ$23,0)=EOMONTH($Z$3,0),AJ$26,0),0),IF(AND(AF$26&lt;&gt;"",AF$23&lt;&gt;""),IF(EOMONTH($AD$3+INT((DAY(EOMONTH($AD$3,0))-1)/2)+AF$23,0)=EOMONTH($Z$3,0),AF$26,0),0),IF(AND(AB$26&lt;&gt;"",AB$23&lt;&gt;""),IF(EOMONTH($Z$3+INT((DAY(EOMONTH($Z$3,0))-1)/2)+AB$23,0)=EOMONTH($Z$3,0),AB$26,0),0),IF(AND(X$26&lt;&gt;"",X$23&lt;&gt;""),IF(EOMONTH($V$3+INT((DAY(EOMONTH($V$3,0))-1)/2)+X$23,0)=EOMONTH($Z$3,0),X$26,0),0),IF(AND(T$26&lt;&gt;"",T$23&lt;&gt;""),IF(EOMONTH($R$3+INT((DAY(EOMONTH($R$3,0))-1)/2)+T$23,0)=EOMONTH($Z$3,0),T$26,0),0),IF(AND(P$26&lt;&gt;"",P$23&lt;&gt;""),IF(EOMONTH($N$3+INT((DAY(EOMONTH($N$3,0))-1)/2)+P$23,0)=EOMONTH($Z$3,0),P$26,0),0),IF(AND(L$26&lt;&gt;"",L$23&lt;&gt;""),IF(EOMONTH($J$3+INT((DAY(EOMONTH($J$3,0))-1)/2)+L$23,0)=EOMONTH($Z$3,0),L$26,0),0),IF(AND(H$26&lt;&gt;"",H$23&lt;&gt;""),IF(EOMONTH($F$3+INT((DAY(EOMONTH($F$3,0))-1)/2)+H$23,0)=EOMONTH($Z$3,0),H$26,0),0),IF($EP$75="",0,IF(EOMONTH($EP$75+ER$23,0)=EOMONTH($Z$3,0),$EP$78*ER$13,0))),0)</f>
        <v>136000</v>
      </c>
      <c r="AC57" s="33">
        <f t="shared" ref="AC57:AC70" si="712">IFERROR(IF(OR(AA57="",AB57=""),"",AA57-AB57),"")</f>
        <v>0</v>
      </c>
      <c r="AD57" s="34"/>
      <c r="AE57" s="31">
        <f>IF(AD$98=1,AD57,ROUND(SUM(IF(AND(EQ$26&lt;&gt;"",EQ$23&lt;&gt;""),IF(EOMONTH($EP$3+INT((DAY(EOMONTH($EP$3,0))-1)/2)+EQ$23,0)=EOMONTH($AD$3,0),EQ$26,0),0),IF(AND(EM$26&lt;&gt;"",EM$23&lt;&gt;""),IF(EOMONTH($EL$3+INT((DAY(EOMONTH($EL$3,0))-1)/2)+EM$23,0)=EOMONTH($AD$3,0),EM$26,0),0),IF(AND(EI$26&lt;&gt;"",EI$23&lt;&gt;""),IF(EOMONTH($EH$3+INT((DAY(EOMONTH($EH$3,0))-1)/2)+EI$23,0)=EOMONTH($AD$3,0),EI$26,0),0),IF(AND(EE$26&lt;&gt;"",EE$23&lt;&gt;""),IF(EOMONTH($ED$3+INT((DAY(EOMONTH($ED$3,0))-1)/2)+EE$23,0)=EOMONTH($AD$3,0),EE$26,0),0),IF(AND(EA$26&lt;&gt;"",EA$23&lt;&gt;""),IF(EOMONTH($DZ$3+INT((DAY(EOMONTH($DZ$3,0))-1)/2)+EA$23,0)=EOMONTH($AD$3,0),EA$26,0),0),IF(AND(DW$26&lt;&gt;"",DW$23&lt;&gt;""),IF(EOMONTH($DV$3+INT((DAY(EOMONTH($DV$3,0))-1)/2)+DW$23,0)=EOMONTH($AD$3,0),DW$26,0),0),IF(AND(DS$26&lt;&gt;"",DS$23&lt;&gt;""),IF(EOMONTH($DR$3+INT((DAY(EOMONTH($DR$3,0))-1)/2)+DS$23,0)=EOMONTH($AD$3,0),DS$26,0),0),IF(AND(DO$26&lt;&gt;"",DO$23&lt;&gt;""),IF(EOMONTH($DN$3+INT((DAY(EOMONTH($DN$3,0))-1)/2)+DO$23,0)=EOMONTH($AD$3,0),DO$26,0),0),IF(AND(DK$26&lt;&gt;"",DK$23&lt;&gt;""),IF(EOMONTH($DJ$3+INT((DAY(EOMONTH($DJ$3,0))-1)/2)+DK$23,0)=EOMONTH($AD$3,0),DK$26,0),0),IF(AND(DG$26&lt;&gt;"",DG$23&lt;&gt;""),IF(EOMONTH($DF$3+INT((DAY(EOMONTH($DF$3,0))-1)/2)+DG$23,0)=EOMONTH($AD$3,0),DG$26,0),0),IF(AND(DC$26&lt;&gt;"",DC$23&lt;&gt;""),IF(EOMONTH($DB$3+INT((DAY(EOMONTH($DB$3,0))-1)/2)+DC$23,0)=EOMONTH($AD$3,0),DC$26,0),0),IF(AND(CY$26&lt;&gt;"",CY$23&lt;&gt;""),IF(EOMONTH($CX$3+INT((DAY(EOMONTH($CX$3,0))-1)/2)+CY$23,0)=EOMONTH($AD$3,0),CY$26,0),0),IF(AND(CU$26&lt;&gt;"",CU$23&lt;&gt;""),IF(EOMONTH($CT$3+INT((DAY(EOMONTH($CT$3,0))-1)/2)+CU$23,0)=EOMONTH($AD$3,0),CU$26,0),0),IF(AND(CQ$26&lt;&gt;"",CQ$23&lt;&gt;""),IF(EOMONTH($CP$3+INT((DAY(EOMONTH($CP$3,0))-1)/2)+CQ$23,0)=EOMONTH($AD$3,0),CQ$26,0),0),IF(AND(CM$26&lt;&gt;"",CM$23&lt;&gt;""),IF(EOMONTH($CL$3+INT((DAY(EOMONTH($CL$3,0))-1)/2)+CM$23,0)=EOMONTH($AD$3,0),CM$26,0),0),IF(AND(CI$26&lt;&gt;"",CI$23&lt;&gt;""),IF(EOMONTH($CH$3+INT((DAY(EOMONTH($CH$3,0))-1)/2)+CI$23,0)=EOMONTH($AD$3,0),CI$26,0),0),IF(AND(CE$26&lt;&gt;"",CE$23&lt;&gt;""),IF(EOMONTH($CD$3+INT((DAY(EOMONTH($CD$3,0))-1)/2)+CE$23,0)=EOMONTH($AD$3,0),CE$26,0),0),IF(AND(CA$26&lt;&gt;"",CA$23&lt;&gt;""),IF(EOMONTH($BZ$3+INT((DAY(EOMONTH($BZ$3,0))-1)/2)+CA$23,0)=EOMONTH($AD$3,0),CA$26,0),0),IF(AND(BW$26&lt;&gt;"",BW$23&lt;&gt;""),IF(EOMONTH($BV$3+INT((DAY(EOMONTH($BV$3,0))-1)/2)+BW$23,0)=EOMONTH($AD$3,0),BW$26,0),0),IF(AND(BS$26&lt;&gt;"",BS$23&lt;&gt;""),IF(EOMONTH($BR$3+INT((DAY(EOMONTH($BR$3,0))-1)/2)+BS$23,0)=EOMONTH($AD$3,0),BS$26,0),0),IF(AND(BO$26&lt;&gt;"",BO$23&lt;&gt;""),IF(EOMONTH($BN$3+INT((DAY(EOMONTH($BN$3,0))-1)/2)+BO$23,0)=EOMONTH($AD$3,0),BO$26,0),0),IF(AND(BK$26&lt;&gt;"",BK$23&lt;&gt;""),IF(EOMONTH($BJ$3+INT((DAY(EOMONTH($BJ$3,0))-1)/2)+BK$23,0)=EOMONTH($AD$3,0),BK$26,0),0),IF(AND(BG$26&lt;&gt;"",BG$23&lt;&gt;""),IF(EOMONTH($BF$3+INT((DAY(EOMONTH($BF$3,0))-1)/2)+BG$23,0)=EOMONTH($AD$3,0),BG$26,0),0),IF(AND(BC$26&lt;&gt;"",BC$23&lt;&gt;""),IF(EOMONTH($BB$3+INT((DAY(EOMONTH($BB$3,0))-1)/2)+BC$23,0)=EOMONTH($AD$3,0),BC$26,0),0),IF(AND(AY$26&lt;&gt;"",AY$23&lt;&gt;""),IF(EOMONTH($AX$3+INT((DAY(EOMONTH($AX$3,0))-1)/2)+AY$23,0)=EOMONTH($AD$3,0),AY$26,0),0),IF(AND(AU$26&lt;&gt;"",AU$23&lt;&gt;""),IF(EOMONTH($AT$3+INT((DAY(EOMONTH($AT$3,0))-1)/2)+AU$23,0)=EOMONTH($AD$3,0),AU$26,0),0),IF(AND(AQ$26&lt;&gt;"",AQ$23&lt;&gt;""),IF(EOMONTH($AP$3+INT((DAY(EOMONTH($AP$3,0))-1)/2)+AQ$23,0)=EOMONTH($AD$3,0),AQ$26,0),0),IF(AND(AM$26&lt;&gt;"",AM$23&lt;&gt;""),IF(EOMONTH($AL$3+INT((DAY(EOMONTH($AL$3,0))-1)/2)+AM$23,0)=EOMONTH($AD$3,0),AM$26,0),0),IF(AND(AI$26&lt;&gt;"",AI$23&lt;&gt;""),IF(EOMONTH($AH$3+INT((DAY(EOMONTH($AH$3,0))-1)/2)+AI$23,0)=EOMONTH($AD$3,0),AI$26,0),0),IF(AND(AE$26&lt;&gt;"",AE$23&lt;&gt;""),IF(EOMONTH($AD$3+INT((DAY(EOMONTH($AD$3,0))-1)/2)+AE$23,0)=EOMONTH($AD$3,0),AE$26,0),0),IF(AND(AA$26&lt;&gt;"",AA$23&lt;&gt;""),IF(EOMONTH($Z$3+INT((DAY(EOMONTH($Z$3,0))-1)/2)+AA$23,0)=EOMONTH($AD$3,0),AA$26,0),0),IF(AND(W$26&lt;&gt;"",W$23&lt;&gt;""),IF(EOMONTH($V$3+INT((DAY(EOMONTH($V$3,0))-1)/2)+W$23,0)=EOMONTH($AD$3,0),W$26,0),0),IF(AND(S$26&lt;&gt;"",S$23&lt;&gt;""),IF(EOMONTH($R$3+INT((DAY(EOMONTH($R$3,0))-1)/2)+S$23,0)=EOMONTH($AD$3,0),S$26,0),0),IF(AND(O$26&lt;&gt;"",O$23&lt;&gt;""),IF(EOMONTH($N$3+INT((DAY(EOMONTH($N$3,0))-1)/2)+O$23,0)=EOMONTH($AD$3,0),O$26,0),0),IF(AND(K$26&lt;&gt;"",K$23&lt;&gt;""),IF(EOMONTH($J$3+INT((DAY(EOMONTH($J$3,0))-1)/2)+K$23,0)=EOMONTH($AD$3,0),K$26,0),0),IF(AND(G$26&lt;&gt;"",G$23&lt;&gt;""),IF(EOMONTH($F$3+INT((DAY(EOMONTH($F$3,0))-1)/2)+G$23,0)=EOMONTH($AD$3,0),G$26,0),0),IF($EP$75="",0,IF(EOMONTH($EP$75+EQ$23,0)=EOMONTH($AD$3,0),$EP$78*EQ$13,0))),0))</f>
        <v>136000</v>
      </c>
      <c r="AF57" s="32">
        <f>ROUND(SUM(IF(AND(ER$26&lt;&gt;"",ER$23&lt;&gt;""),IF(EOMONTH($EP$3+INT((DAY(EOMONTH($EP$3,0))-1)/2)+ER$23,0)=EOMONTH($AD$3,0),ER$26,0),0),IF(AND(EN$26&lt;&gt;"",EN$23&lt;&gt;""),IF(EOMONTH($EL$3+INT((DAY(EOMONTH($EL$3,0))-1)/2)+EN$23,0)=EOMONTH($AD$3,0),EN$26,0),0),IF(AND(EJ$26&lt;&gt;"",EJ$23&lt;&gt;""),IF(EOMONTH($EH$3+INT((DAY(EOMONTH($EH$3,0))-1)/2)+EJ$23,0)=EOMONTH($AD$3,0),EJ$26,0),0),IF(AND(EF$26&lt;&gt;"",EF$23&lt;&gt;""),IF(EOMONTH($ED$3+INT((DAY(EOMONTH($ED$3,0))-1)/2)+EF$23,0)=EOMONTH($AD$3,0),EF$26,0),0),IF(AND(EB$26&lt;&gt;"",EB$23&lt;&gt;""),IF(EOMONTH($DZ$3+INT((DAY(EOMONTH($DZ$3,0))-1)/2)+EB$23,0)=EOMONTH($AD$3,0),EB$26,0),0),IF(AND(DX$26&lt;&gt;"",DX$23&lt;&gt;""),IF(EOMONTH($DV$3+INT((DAY(EOMONTH($DV$3,0))-1)/2)+DX$23,0)=EOMONTH($AD$3,0),DX$26,0),0),IF(AND(DT$26&lt;&gt;"",DT$23&lt;&gt;""),IF(EOMONTH($DR$3+INT((DAY(EOMONTH($DR$3,0))-1)/2)+DT$23,0)=EOMONTH($AD$3,0),DT$26,0),0),IF(AND(DP$26&lt;&gt;"",DP$23&lt;&gt;""),IF(EOMONTH($DN$3+INT((DAY(EOMONTH($DN$3,0))-1)/2)+DP$23,0)=EOMONTH($AD$3,0),DP$26,0),0),IF(AND(DL$26&lt;&gt;"",DL$23&lt;&gt;""),IF(EOMONTH($DJ$3+INT((DAY(EOMONTH($DJ$3,0))-1)/2)+DL$23,0)=EOMONTH($AD$3,0),DL$26,0),0),IF(AND(DH$26&lt;&gt;"",DH$23&lt;&gt;""),IF(EOMONTH($DF$3+INT((DAY(EOMONTH($DF$3,0))-1)/2)+DH$23,0)=EOMONTH($AD$3,0),DH$26,0),0),IF(AND(DD$26&lt;&gt;"",DD$23&lt;&gt;""),IF(EOMONTH($DB$3+INT((DAY(EOMONTH($DB$3,0))-1)/2)+DD$23,0)=EOMONTH($AD$3,0),DD$26,0),0),IF(AND(CZ$26&lt;&gt;"",CZ$23&lt;&gt;""),IF(EOMONTH($CX$3+INT((DAY(EOMONTH($CX$3,0))-1)/2)+CZ$23,0)=EOMONTH($AD$3,0),CZ$26,0),0),IF(AND(CV$26&lt;&gt;"",CV$23&lt;&gt;""),IF(EOMONTH($CT$3+INT((DAY(EOMONTH($CT$3,0))-1)/2)+CV$23,0)=EOMONTH($AD$3,0),CV$26,0),0),IF(AND(CR$26&lt;&gt;"",CR$23&lt;&gt;""),IF(EOMONTH($CP$3+INT((DAY(EOMONTH($CP$3,0))-1)/2)+CR$23,0)=EOMONTH($AD$3,0),CR$26,0),0),IF(AND(CN$26&lt;&gt;"",CN$23&lt;&gt;""),IF(EOMONTH($CL$3+INT((DAY(EOMONTH($CL$3,0))-1)/2)+CN$23,0)=EOMONTH($AD$3,0),CN$26,0),0),IF(AND(CJ$26&lt;&gt;"",CJ$23&lt;&gt;""),IF(EOMONTH($CH$3+INT((DAY(EOMONTH($CH$3,0))-1)/2)+CJ$23,0)=EOMONTH($AD$3,0),CJ$26,0),0),IF(AND(CF$26&lt;&gt;"",CF$23&lt;&gt;""),IF(EOMONTH($CD$3+INT((DAY(EOMONTH($CD$3,0))-1)/2)+CF$23,0)=EOMONTH($AD$3,0),CF$26,0),0),IF(AND(CB$26&lt;&gt;"",CB$23&lt;&gt;""),IF(EOMONTH($BZ$3+INT((DAY(EOMONTH($BZ$3,0))-1)/2)+CB$23,0)=EOMONTH($AD$3,0),CB$26,0),0),IF(AND(BX$26&lt;&gt;"",BX$23&lt;&gt;""),IF(EOMONTH($BV$3+INT((DAY(EOMONTH($BV$3,0))-1)/2)+BX$23,0)=EOMONTH($AD$3,0),BX$26,0),0),IF(AND(BT$26&lt;&gt;"",BT$23&lt;&gt;""),IF(EOMONTH($BR$3+INT((DAY(EOMONTH($BR$3,0))-1)/2)+BT$23,0)=EOMONTH($AD$3,0),BT$26,0),0),IF(AND(BP$26&lt;&gt;"",BP$23&lt;&gt;""),IF(EOMONTH($BN$3+INT((DAY(EOMONTH($BN$3,0))-1)/2)+BP$23,0)=EOMONTH($AD$3,0),BP$26,0),0),IF(AND(BL$26&lt;&gt;"",BL$23&lt;&gt;""),IF(EOMONTH($BJ$3+INT((DAY(EOMONTH($BJ$3,0))-1)/2)+BL$23,0)=EOMONTH($AD$3,0),BL$26,0),0),IF(AND(BH$26&lt;&gt;"",BH$23&lt;&gt;""),IF(EOMONTH($BF$3+INT((DAY(EOMONTH($BF$3,0))-1)/2)+BH$23,0)=EOMONTH($AD$3,0),BH$26,0),0),IF(AND(BD$26&lt;&gt;"",BD$23&lt;&gt;""),IF(EOMONTH($BB$3+INT((DAY(EOMONTH($BB$3,0))-1)/2)+BD$23,0)=EOMONTH($AD$3,0),BD$26,0),0),IF(AND(AZ$26&lt;&gt;"",AZ$23&lt;&gt;""),IF(EOMONTH($AX$3+INT((DAY(EOMONTH($AX$3,0))-1)/2)+AZ$23,0)=EOMONTH($AD$3,0),AZ$26,0),0),IF(AND(AV$26&lt;&gt;"",AV$23&lt;&gt;""),IF(EOMONTH($AT$3+INT((DAY(EOMONTH($AT$3,0))-1)/2)+AV$23,0)=EOMONTH($AD$3,0),AV$26,0),0),IF(AND(AR$26&lt;&gt;"",AR$23&lt;&gt;""),IF(EOMONTH($AP$3+INT((DAY(EOMONTH($AP$3,0))-1)/2)+AR$23,0)=EOMONTH($AD$3,0),AR$26,0),0),IF(AND(AN$26&lt;&gt;"",AN$23&lt;&gt;""),IF(EOMONTH($AL$3+INT((DAY(EOMONTH($AL$3,0))-1)/2)+AN$23,0)=EOMONTH($AD$3,0),AN$26,0),0),IF(AND(AJ$26&lt;&gt;"",AJ$23&lt;&gt;""),IF(EOMONTH($AH$3+INT((DAY(EOMONTH($AH$3,0))-1)/2)+AJ$23,0)=EOMONTH($AD$3,0),AJ$26,0),0),IF(AND(AF$26&lt;&gt;"",AF$23&lt;&gt;""),IF(EOMONTH($AD$3+INT((DAY(EOMONTH($AD$3,0))-1)/2)+AF$23,0)=EOMONTH($AD$3,0),AF$26,0),0),IF(AND(AB$26&lt;&gt;"",AB$23&lt;&gt;""),IF(EOMONTH($Z$3+INT((DAY(EOMONTH($Z$3,0))-1)/2)+AB$23,0)=EOMONTH($AD$3,0),AB$26,0),0),IF(AND(X$26&lt;&gt;"",X$23&lt;&gt;""),IF(EOMONTH($V$3+INT((DAY(EOMONTH($V$3,0))-1)/2)+X$23,0)=EOMONTH($AD$3,0),X$26,0),0),IF(AND(T$26&lt;&gt;"",T$23&lt;&gt;""),IF(EOMONTH($R$3+INT((DAY(EOMONTH($R$3,0))-1)/2)+T$23,0)=EOMONTH($AD$3,0),T$26,0),0),IF(AND(P$26&lt;&gt;"",P$23&lt;&gt;""),IF(EOMONTH($N$3+INT((DAY(EOMONTH($N$3,0))-1)/2)+P$23,0)=EOMONTH($AD$3,0),P$26,0),0),IF(AND(L$26&lt;&gt;"",L$23&lt;&gt;""),IF(EOMONTH($J$3+INT((DAY(EOMONTH($J$3,0))-1)/2)+L$23,0)=EOMONTH($AD$3,0),L$26,0),0),IF(AND(H$26&lt;&gt;"",H$23&lt;&gt;""),IF(EOMONTH($F$3+INT((DAY(EOMONTH($F$3,0))-1)/2)+H$23,0)=EOMONTH($AD$3,0),H$26,0),0),IF($EP$75="",0,IF(EOMONTH($EP$75+ER$23,0)=EOMONTH($AD$3,0),$EP$78*ER$13,0))),0)</f>
        <v>136000</v>
      </c>
      <c r="AG57" s="33">
        <f t="shared" ref="AG57:AG70" si="714">IFERROR(IF(OR(AE57="",AF57=""),"",AE57-AF57),"")</f>
        <v>0</v>
      </c>
      <c r="AH57" s="34"/>
      <c r="AI57" s="31">
        <f>IF(AH$98=1,AH57,ROUND(SUM(IF(AND(EQ$26&lt;&gt;"",EQ$23&lt;&gt;""),IF(EOMONTH($EP$3+INT((DAY(EOMONTH($EP$3,0))-1)/2)+EQ$23,0)=EOMONTH($AH$3,0),EQ$26,0),0),IF(AND(EM$26&lt;&gt;"",EM$23&lt;&gt;""),IF(EOMONTH($EL$3+INT((DAY(EOMONTH($EL$3,0))-1)/2)+EM$23,0)=EOMONTH($AH$3,0),EM$26,0),0),IF(AND(EI$26&lt;&gt;"",EI$23&lt;&gt;""),IF(EOMONTH($EH$3+INT((DAY(EOMONTH($EH$3,0))-1)/2)+EI$23,0)=EOMONTH($AH$3,0),EI$26,0),0),IF(AND(EE$26&lt;&gt;"",EE$23&lt;&gt;""),IF(EOMONTH($ED$3+INT((DAY(EOMONTH($ED$3,0))-1)/2)+EE$23,0)=EOMONTH($AH$3,0),EE$26,0),0),IF(AND(EA$26&lt;&gt;"",EA$23&lt;&gt;""),IF(EOMONTH($DZ$3+INT((DAY(EOMONTH($DZ$3,0))-1)/2)+EA$23,0)=EOMONTH($AH$3,0),EA$26,0),0),IF(AND(DW$26&lt;&gt;"",DW$23&lt;&gt;""),IF(EOMONTH($DV$3+INT((DAY(EOMONTH($DV$3,0))-1)/2)+DW$23,0)=EOMONTH($AH$3,0),DW$26,0),0),IF(AND(DS$26&lt;&gt;"",DS$23&lt;&gt;""),IF(EOMONTH($DR$3+INT((DAY(EOMONTH($DR$3,0))-1)/2)+DS$23,0)=EOMONTH($AH$3,0),DS$26,0),0),IF(AND(DO$26&lt;&gt;"",DO$23&lt;&gt;""),IF(EOMONTH($DN$3+INT((DAY(EOMONTH($DN$3,0))-1)/2)+DO$23,0)=EOMONTH($AH$3,0),DO$26,0),0),IF(AND(DK$26&lt;&gt;"",DK$23&lt;&gt;""),IF(EOMONTH($DJ$3+INT((DAY(EOMONTH($DJ$3,0))-1)/2)+DK$23,0)=EOMONTH($AH$3,0),DK$26,0),0),IF(AND(DG$26&lt;&gt;"",DG$23&lt;&gt;""),IF(EOMONTH($DF$3+INT((DAY(EOMONTH($DF$3,0))-1)/2)+DG$23,0)=EOMONTH($AH$3,0),DG$26,0),0),IF(AND(DC$26&lt;&gt;"",DC$23&lt;&gt;""),IF(EOMONTH($DB$3+INT((DAY(EOMONTH($DB$3,0))-1)/2)+DC$23,0)=EOMONTH($AH$3,0),DC$26,0),0),IF(AND(CY$26&lt;&gt;"",CY$23&lt;&gt;""),IF(EOMONTH($CX$3+INT((DAY(EOMONTH($CX$3,0))-1)/2)+CY$23,0)=EOMONTH($AH$3,0),CY$26,0),0),IF(AND(CU$26&lt;&gt;"",CU$23&lt;&gt;""),IF(EOMONTH($CT$3+INT((DAY(EOMONTH($CT$3,0))-1)/2)+CU$23,0)=EOMONTH($AH$3,0),CU$26,0),0),IF(AND(CQ$26&lt;&gt;"",CQ$23&lt;&gt;""),IF(EOMONTH($CP$3+INT((DAY(EOMONTH($CP$3,0))-1)/2)+CQ$23,0)=EOMONTH($AH$3,0),CQ$26,0),0),IF(AND(CM$26&lt;&gt;"",CM$23&lt;&gt;""),IF(EOMONTH($CL$3+INT((DAY(EOMONTH($CL$3,0))-1)/2)+CM$23,0)=EOMONTH($AH$3,0),CM$26,0),0),IF(AND(CI$26&lt;&gt;"",CI$23&lt;&gt;""),IF(EOMONTH($CH$3+INT((DAY(EOMONTH($CH$3,0))-1)/2)+CI$23,0)=EOMONTH($AH$3,0),CI$26,0),0),IF(AND(CE$26&lt;&gt;"",CE$23&lt;&gt;""),IF(EOMONTH($CD$3+INT((DAY(EOMONTH($CD$3,0))-1)/2)+CE$23,0)=EOMONTH($AH$3,0),CE$26,0),0),IF(AND(CA$26&lt;&gt;"",CA$23&lt;&gt;""),IF(EOMONTH($BZ$3+INT((DAY(EOMONTH($BZ$3,0))-1)/2)+CA$23,0)=EOMONTH($AH$3,0),CA$26,0),0),IF(AND(BW$26&lt;&gt;"",BW$23&lt;&gt;""),IF(EOMONTH($BV$3+INT((DAY(EOMONTH($BV$3,0))-1)/2)+BW$23,0)=EOMONTH($AH$3,0),BW$26,0),0),IF(AND(BS$26&lt;&gt;"",BS$23&lt;&gt;""),IF(EOMONTH($BR$3+INT((DAY(EOMONTH($BR$3,0))-1)/2)+BS$23,0)=EOMONTH($AH$3,0),BS$26,0),0),IF(AND(BO$26&lt;&gt;"",BO$23&lt;&gt;""),IF(EOMONTH($BN$3+INT((DAY(EOMONTH($BN$3,0))-1)/2)+BO$23,0)=EOMONTH($AH$3,0),BO$26,0),0),IF(AND(BK$26&lt;&gt;"",BK$23&lt;&gt;""),IF(EOMONTH($BJ$3+INT((DAY(EOMONTH($BJ$3,0))-1)/2)+BK$23,0)=EOMONTH($AH$3,0),BK$26,0),0),IF(AND(BG$26&lt;&gt;"",BG$23&lt;&gt;""),IF(EOMONTH($BF$3+INT((DAY(EOMONTH($BF$3,0))-1)/2)+BG$23,0)=EOMONTH($AH$3,0),BG$26,0),0),IF(AND(BC$26&lt;&gt;"",BC$23&lt;&gt;""),IF(EOMONTH($BB$3+INT((DAY(EOMONTH($BB$3,0))-1)/2)+BC$23,0)=EOMONTH($AH$3,0),BC$26,0),0),IF(AND(AY$26&lt;&gt;"",AY$23&lt;&gt;""),IF(EOMONTH($AX$3+INT((DAY(EOMONTH($AX$3,0))-1)/2)+AY$23,0)=EOMONTH($AH$3,0),AY$26,0),0),IF(AND(AU$26&lt;&gt;"",AU$23&lt;&gt;""),IF(EOMONTH($AT$3+INT((DAY(EOMONTH($AT$3,0))-1)/2)+AU$23,0)=EOMONTH($AH$3,0),AU$26,0),0),IF(AND(AQ$26&lt;&gt;"",AQ$23&lt;&gt;""),IF(EOMONTH($AP$3+INT((DAY(EOMONTH($AP$3,0))-1)/2)+AQ$23,0)=EOMONTH($AH$3,0),AQ$26,0),0),IF(AND(AM$26&lt;&gt;"",AM$23&lt;&gt;""),IF(EOMONTH($AL$3+INT((DAY(EOMONTH($AL$3,0))-1)/2)+AM$23,0)=EOMONTH($AH$3,0),AM$26,0),0),IF(AND(AI$26&lt;&gt;"",AI$23&lt;&gt;""),IF(EOMONTH($AH$3+INT((DAY(EOMONTH($AH$3,0))-1)/2)+AI$23,0)=EOMONTH($AH$3,0),AI$26,0),0),IF(AND(AE$26&lt;&gt;"",AE$23&lt;&gt;""),IF(EOMONTH($AD$3+INT((DAY(EOMONTH($AD$3,0))-1)/2)+AE$23,0)=EOMONTH($AH$3,0),AE$26,0),0),IF(AND(AA$26&lt;&gt;"",AA$23&lt;&gt;""),IF(EOMONTH($Z$3+INT((DAY(EOMONTH($Z$3,0))-1)/2)+AA$23,0)=EOMONTH($AH$3,0),AA$26,0),0),IF(AND(W$26&lt;&gt;"",W$23&lt;&gt;""),IF(EOMONTH($V$3+INT((DAY(EOMONTH($V$3,0))-1)/2)+W$23,0)=EOMONTH($AH$3,0),W$26,0),0),IF(AND(S$26&lt;&gt;"",S$23&lt;&gt;""),IF(EOMONTH($R$3+INT((DAY(EOMONTH($R$3,0))-1)/2)+S$23,0)=EOMONTH($AH$3,0),S$26,0),0),IF(AND(O$26&lt;&gt;"",O$23&lt;&gt;""),IF(EOMONTH($N$3+INT((DAY(EOMONTH($N$3,0))-1)/2)+O$23,0)=EOMONTH($AH$3,0),O$26,0),0),IF(AND(K$26&lt;&gt;"",K$23&lt;&gt;""),IF(EOMONTH($J$3+INT((DAY(EOMONTH($J$3,0))-1)/2)+K$23,0)=EOMONTH($AH$3,0),K$26,0),0),IF(AND(G$26&lt;&gt;"",G$23&lt;&gt;""),IF(EOMONTH($F$3+INT((DAY(EOMONTH($F$3,0))-1)/2)+G$23,0)=EOMONTH($AH$3,0),G$26,0),0),IF($EP$75="",0,IF(EOMONTH($EP$75+EQ$23,0)=EOMONTH($AH$3,0),$EP$78*EQ$13,0))),0))</f>
        <v>128000</v>
      </c>
      <c r="AJ57" s="32">
        <f>ROUND(SUM(IF(AND(ER$26&lt;&gt;"",ER$23&lt;&gt;""),IF(EOMONTH($EP$3+INT((DAY(EOMONTH($EP$3,0))-1)/2)+ER$23,0)=EOMONTH($AH$3,0),ER$26,0),0),IF(AND(EN$26&lt;&gt;"",EN$23&lt;&gt;""),IF(EOMONTH($EL$3+INT((DAY(EOMONTH($EL$3,0))-1)/2)+EN$23,0)=EOMONTH($AH$3,0),EN$26,0),0),IF(AND(EJ$26&lt;&gt;"",EJ$23&lt;&gt;""),IF(EOMONTH($EH$3+INT((DAY(EOMONTH($EH$3,0))-1)/2)+EJ$23,0)=EOMONTH($AH$3,0),EJ$26,0),0),IF(AND(EF$26&lt;&gt;"",EF$23&lt;&gt;""),IF(EOMONTH($ED$3+INT((DAY(EOMONTH($ED$3,0))-1)/2)+EF$23,0)=EOMONTH($AH$3,0),EF$26,0),0),IF(AND(EB$26&lt;&gt;"",EB$23&lt;&gt;""),IF(EOMONTH($DZ$3+INT((DAY(EOMONTH($DZ$3,0))-1)/2)+EB$23,0)=EOMONTH($AH$3,0),EB$26,0),0),IF(AND(DX$26&lt;&gt;"",DX$23&lt;&gt;""),IF(EOMONTH($DV$3+INT((DAY(EOMONTH($DV$3,0))-1)/2)+DX$23,0)=EOMONTH($AH$3,0),DX$26,0),0),IF(AND(DT$26&lt;&gt;"",DT$23&lt;&gt;""),IF(EOMONTH($DR$3+INT((DAY(EOMONTH($DR$3,0))-1)/2)+DT$23,0)=EOMONTH($AH$3,0),DT$26,0),0),IF(AND(DP$26&lt;&gt;"",DP$23&lt;&gt;""),IF(EOMONTH($DN$3+INT((DAY(EOMONTH($DN$3,0))-1)/2)+DP$23,0)=EOMONTH($AH$3,0),DP$26,0),0),IF(AND(DL$26&lt;&gt;"",DL$23&lt;&gt;""),IF(EOMONTH($DJ$3+INT((DAY(EOMONTH($DJ$3,0))-1)/2)+DL$23,0)=EOMONTH($AH$3,0),DL$26,0),0),IF(AND(DH$26&lt;&gt;"",DH$23&lt;&gt;""),IF(EOMONTH($DF$3+INT((DAY(EOMONTH($DF$3,0))-1)/2)+DH$23,0)=EOMONTH($AH$3,0),DH$26,0),0),IF(AND(DD$26&lt;&gt;"",DD$23&lt;&gt;""),IF(EOMONTH($DB$3+INT((DAY(EOMONTH($DB$3,0))-1)/2)+DD$23,0)=EOMONTH($AH$3,0),DD$26,0),0),IF(AND(CZ$26&lt;&gt;"",CZ$23&lt;&gt;""),IF(EOMONTH($CX$3+INT((DAY(EOMONTH($CX$3,0))-1)/2)+CZ$23,0)=EOMONTH($AH$3,0),CZ$26,0),0),IF(AND(CV$26&lt;&gt;"",CV$23&lt;&gt;""),IF(EOMONTH($CT$3+INT((DAY(EOMONTH($CT$3,0))-1)/2)+CV$23,0)=EOMONTH($AH$3,0),CV$26,0),0),IF(AND(CR$26&lt;&gt;"",CR$23&lt;&gt;""),IF(EOMONTH($CP$3+INT((DAY(EOMONTH($CP$3,0))-1)/2)+CR$23,0)=EOMONTH($AH$3,0),CR$26,0),0),IF(AND(CN$26&lt;&gt;"",CN$23&lt;&gt;""),IF(EOMONTH($CL$3+INT((DAY(EOMONTH($CL$3,0))-1)/2)+CN$23,0)=EOMONTH($AH$3,0),CN$26,0),0),IF(AND(CJ$26&lt;&gt;"",CJ$23&lt;&gt;""),IF(EOMONTH($CH$3+INT((DAY(EOMONTH($CH$3,0))-1)/2)+CJ$23,0)=EOMONTH($AH$3,0),CJ$26,0),0),IF(AND(CF$26&lt;&gt;"",CF$23&lt;&gt;""),IF(EOMONTH($CD$3+INT((DAY(EOMONTH($CD$3,0))-1)/2)+CF$23,0)=EOMONTH($AH$3,0),CF$26,0),0),IF(AND(CB$26&lt;&gt;"",CB$23&lt;&gt;""),IF(EOMONTH($BZ$3+INT((DAY(EOMONTH($BZ$3,0))-1)/2)+CB$23,0)=EOMONTH($AH$3,0),CB$26,0),0),IF(AND(BX$26&lt;&gt;"",BX$23&lt;&gt;""),IF(EOMONTH($BV$3+INT((DAY(EOMONTH($BV$3,0))-1)/2)+BX$23,0)=EOMONTH($AH$3,0),BX$26,0),0),IF(AND(BT$26&lt;&gt;"",BT$23&lt;&gt;""),IF(EOMONTH($BR$3+INT((DAY(EOMONTH($BR$3,0))-1)/2)+BT$23,0)=EOMONTH($AH$3,0),BT$26,0),0),IF(AND(BP$26&lt;&gt;"",BP$23&lt;&gt;""),IF(EOMONTH($BN$3+INT((DAY(EOMONTH($BN$3,0))-1)/2)+BP$23,0)=EOMONTH($AH$3,0),BP$26,0),0),IF(AND(BL$26&lt;&gt;"",BL$23&lt;&gt;""),IF(EOMONTH($BJ$3+INT((DAY(EOMONTH($BJ$3,0))-1)/2)+BL$23,0)=EOMONTH($AH$3,0),BL$26,0),0),IF(AND(BH$26&lt;&gt;"",BH$23&lt;&gt;""),IF(EOMONTH($BF$3+INT((DAY(EOMONTH($BF$3,0))-1)/2)+BH$23,0)=EOMONTH($AH$3,0),BH$26,0),0),IF(AND(BD$26&lt;&gt;"",BD$23&lt;&gt;""),IF(EOMONTH($BB$3+INT((DAY(EOMONTH($BB$3,0))-1)/2)+BD$23,0)=EOMONTH($AH$3,0),BD$26,0),0),IF(AND(AZ$26&lt;&gt;"",AZ$23&lt;&gt;""),IF(EOMONTH($AX$3+INT((DAY(EOMONTH($AX$3,0))-1)/2)+AZ$23,0)=EOMONTH($AH$3,0),AZ$26,0),0),IF(AND(AV$26&lt;&gt;"",AV$23&lt;&gt;""),IF(EOMONTH($AT$3+INT((DAY(EOMONTH($AT$3,0))-1)/2)+AV$23,0)=EOMONTH($AH$3,0),AV$26,0),0),IF(AND(AR$26&lt;&gt;"",AR$23&lt;&gt;""),IF(EOMONTH($AP$3+INT((DAY(EOMONTH($AP$3,0))-1)/2)+AR$23,0)=EOMONTH($AH$3,0),AR$26,0),0),IF(AND(AN$26&lt;&gt;"",AN$23&lt;&gt;""),IF(EOMONTH($AL$3+INT((DAY(EOMONTH($AL$3,0))-1)/2)+AN$23,0)=EOMONTH($AH$3,0),AN$26,0),0),IF(AND(AJ$26&lt;&gt;"",AJ$23&lt;&gt;""),IF(EOMONTH($AH$3+INT((DAY(EOMONTH($AH$3,0))-1)/2)+AJ$23,0)=EOMONTH($AH$3,0),AJ$26,0),0),IF(AND(AF$26&lt;&gt;"",AF$23&lt;&gt;""),IF(EOMONTH($AD$3+INT((DAY(EOMONTH($AD$3,0))-1)/2)+AF$23,0)=EOMONTH($AH$3,0),AF$26,0),0),IF(AND(AB$26&lt;&gt;"",AB$23&lt;&gt;""),IF(EOMONTH($Z$3+INT((DAY(EOMONTH($Z$3,0))-1)/2)+AB$23,0)=EOMONTH($AH$3,0),AB$26,0),0),IF(AND(X$26&lt;&gt;"",X$23&lt;&gt;""),IF(EOMONTH($V$3+INT((DAY(EOMONTH($V$3,0))-1)/2)+X$23,0)=EOMONTH($AH$3,0),X$26,0),0),IF(AND(T$26&lt;&gt;"",T$23&lt;&gt;""),IF(EOMONTH($R$3+INT((DAY(EOMONTH($R$3,0))-1)/2)+T$23,0)=EOMONTH($AH$3,0),T$26,0),0),IF(AND(P$26&lt;&gt;"",P$23&lt;&gt;""),IF(EOMONTH($N$3+INT((DAY(EOMONTH($N$3,0))-1)/2)+P$23,0)=EOMONTH($AH$3,0),P$26,0),0),IF(AND(L$26&lt;&gt;"",L$23&lt;&gt;""),IF(EOMONTH($J$3+INT((DAY(EOMONTH($J$3,0))-1)/2)+L$23,0)=EOMONTH($AH$3,0),L$26,0),0),IF(AND(H$26&lt;&gt;"",H$23&lt;&gt;""),IF(EOMONTH($F$3+INT((DAY(EOMONTH($F$3,0))-1)/2)+H$23,0)=EOMONTH($AH$3,0),H$26,0),0),IF($EP$75="",0,IF(EOMONTH($EP$75+ER$23,0)=EOMONTH($AH$3,0),$EP$78*ER$13,0))),0)</f>
        <v>128000</v>
      </c>
      <c r="AK57" s="33">
        <f t="shared" ref="AK57:AK70" si="716">IFERROR(IF(OR(AI57="",AJ57=""),"",AI57-AJ57),"")</f>
        <v>0</v>
      </c>
      <c r="AL57" s="34"/>
      <c r="AM57" s="31">
        <f>IF(AL$98=1,AL57,ROUND(SUM(IF(AND(EQ$26&lt;&gt;"",EQ$23&lt;&gt;""),IF(EOMONTH($EP$3+INT((DAY(EOMONTH($EP$3,0))-1)/2)+EQ$23,0)=EOMONTH($AL$3,0),EQ$26,0),0),IF(AND(EM$26&lt;&gt;"",EM$23&lt;&gt;""),IF(EOMONTH($EL$3+INT((DAY(EOMONTH($EL$3,0))-1)/2)+EM$23,0)=EOMONTH($AL$3,0),EM$26,0),0),IF(AND(EI$26&lt;&gt;"",EI$23&lt;&gt;""),IF(EOMONTH($EH$3+INT((DAY(EOMONTH($EH$3,0))-1)/2)+EI$23,0)=EOMONTH($AL$3,0),EI$26,0),0),IF(AND(EE$26&lt;&gt;"",EE$23&lt;&gt;""),IF(EOMONTH($ED$3+INT((DAY(EOMONTH($ED$3,0))-1)/2)+EE$23,0)=EOMONTH($AL$3,0),EE$26,0),0),IF(AND(EA$26&lt;&gt;"",EA$23&lt;&gt;""),IF(EOMONTH($DZ$3+INT((DAY(EOMONTH($DZ$3,0))-1)/2)+EA$23,0)=EOMONTH($AL$3,0),EA$26,0),0),IF(AND(DW$26&lt;&gt;"",DW$23&lt;&gt;""),IF(EOMONTH($DV$3+INT((DAY(EOMONTH($DV$3,0))-1)/2)+DW$23,0)=EOMONTH($AL$3,0),DW$26,0),0),IF(AND(DS$26&lt;&gt;"",DS$23&lt;&gt;""),IF(EOMONTH($DR$3+INT((DAY(EOMONTH($DR$3,0))-1)/2)+DS$23,0)=EOMONTH($AL$3,0),DS$26,0),0),IF(AND(DO$26&lt;&gt;"",DO$23&lt;&gt;""),IF(EOMONTH($DN$3+INT((DAY(EOMONTH($DN$3,0))-1)/2)+DO$23,0)=EOMONTH($AL$3,0),DO$26,0),0),IF(AND(DK$26&lt;&gt;"",DK$23&lt;&gt;""),IF(EOMONTH($DJ$3+INT((DAY(EOMONTH($DJ$3,0))-1)/2)+DK$23,0)=EOMONTH($AL$3,0),DK$26,0),0),IF(AND(DG$26&lt;&gt;"",DG$23&lt;&gt;""),IF(EOMONTH($DF$3+INT((DAY(EOMONTH($DF$3,0))-1)/2)+DG$23,0)=EOMONTH($AL$3,0),DG$26,0),0),IF(AND(DC$26&lt;&gt;"",DC$23&lt;&gt;""),IF(EOMONTH($DB$3+INT((DAY(EOMONTH($DB$3,0))-1)/2)+DC$23,0)=EOMONTH($AL$3,0),DC$26,0),0),IF(AND(CY$26&lt;&gt;"",CY$23&lt;&gt;""),IF(EOMONTH($CX$3+INT((DAY(EOMONTH($CX$3,0))-1)/2)+CY$23,0)=EOMONTH($AL$3,0),CY$26,0),0),IF(AND(CU$26&lt;&gt;"",CU$23&lt;&gt;""),IF(EOMONTH($CT$3+INT((DAY(EOMONTH($CT$3,0))-1)/2)+CU$23,0)=EOMONTH($AL$3,0),CU$26,0),0),IF(AND(CQ$26&lt;&gt;"",CQ$23&lt;&gt;""),IF(EOMONTH($CP$3+INT((DAY(EOMONTH($CP$3,0))-1)/2)+CQ$23,0)=EOMONTH($AL$3,0),CQ$26,0),0),IF(AND(CM$26&lt;&gt;"",CM$23&lt;&gt;""),IF(EOMONTH($CL$3+INT((DAY(EOMONTH($CL$3,0))-1)/2)+CM$23,0)=EOMONTH($AL$3,0),CM$26,0),0),IF(AND(CI$26&lt;&gt;"",CI$23&lt;&gt;""),IF(EOMONTH($CH$3+INT((DAY(EOMONTH($CH$3,0))-1)/2)+CI$23,0)=EOMONTH($AL$3,0),CI$26,0),0),IF(AND(CE$26&lt;&gt;"",CE$23&lt;&gt;""),IF(EOMONTH($CD$3+INT((DAY(EOMONTH($CD$3,0))-1)/2)+CE$23,0)=EOMONTH($AL$3,0),CE$26,0),0),IF(AND(CA$26&lt;&gt;"",CA$23&lt;&gt;""),IF(EOMONTH($BZ$3+INT((DAY(EOMONTH($BZ$3,0))-1)/2)+CA$23,0)=EOMONTH($AL$3,0),CA$26,0),0),IF(AND(BW$26&lt;&gt;"",BW$23&lt;&gt;""),IF(EOMONTH($BV$3+INT((DAY(EOMONTH($BV$3,0))-1)/2)+BW$23,0)=EOMONTH($AL$3,0),BW$26,0),0),IF(AND(BS$26&lt;&gt;"",BS$23&lt;&gt;""),IF(EOMONTH($BR$3+INT((DAY(EOMONTH($BR$3,0))-1)/2)+BS$23,0)=EOMONTH($AL$3,0),BS$26,0),0),IF(AND(BO$26&lt;&gt;"",BO$23&lt;&gt;""),IF(EOMONTH($BN$3+INT((DAY(EOMONTH($BN$3,0))-1)/2)+BO$23,0)=EOMONTH($AL$3,0),BO$26,0),0),IF(AND(BK$26&lt;&gt;"",BK$23&lt;&gt;""),IF(EOMONTH($BJ$3+INT((DAY(EOMONTH($BJ$3,0))-1)/2)+BK$23,0)=EOMONTH($AL$3,0),BK$26,0),0),IF(AND(BG$26&lt;&gt;"",BG$23&lt;&gt;""),IF(EOMONTH($BF$3+INT((DAY(EOMONTH($BF$3,0))-1)/2)+BG$23,0)=EOMONTH($AL$3,0),BG$26,0),0),IF(AND(BC$26&lt;&gt;"",BC$23&lt;&gt;""),IF(EOMONTH($BB$3+INT((DAY(EOMONTH($BB$3,0))-1)/2)+BC$23,0)=EOMONTH($AL$3,0),BC$26,0),0),IF(AND(AY$26&lt;&gt;"",AY$23&lt;&gt;""),IF(EOMONTH($AX$3+INT((DAY(EOMONTH($AX$3,0))-1)/2)+AY$23,0)=EOMONTH($AL$3,0),AY$26,0),0),IF(AND(AU$26&lt;&gt;"",AU$23&lt;&gt;""),IF(EOMONTH($AT$3+INT((DAY(EOMONTH($AT$3,0))-1)/2)+AU$23,0)=EOMONTH($AL$3,0),AU$26,0),0),IF(AND(AQ$26&lt;&gt;"",AQ$23&lt;&gt;""),IF(EOMONTH($AP$3+INT((DAY(EOMONTH($AP$3,0))-1)/2)+AQ$23,0)=EOMONTH($AL$3,0),AQ$26,0),0),IF(AND(AM$26&lt;&gt;"",AM$23&lt;&gt;""),IF(EOMONTH($AL$3+INT((DAY(EOMONTH($AL$3,0))-1)/2)+AM$23,0)=EOMONTH($AL$3,0),AM$26,0),0),IF(AND(AI$26&lt;&gt;"",AI$23&lt;&gt;""),IF(EOMONTH($AH$3+INT((DAY(EOMONTH($AH$3,0))-1)/2)+AI$23,0)=EOMONTH($AL$3,0),AI$26,0),0),IF(AND(AE$26&lt;&gt;"",AE$23&lt;&gt;""),IF(EOMONTH($AD$3+INT((DAY(EOMONTH($AD$3,0))-1)/2)+AE$23,0)=EOMONTH($AL$3,0),AE$26,0),0),IF(AND(AA$26&lt;&gt;"",AA$23&lt;&gt;""),IF(EOMONTH($Z$3+INT((DAY(EOMONTH($Z$3,0))-1)/2)+AA$23,0)=EOMONTH($AL$3,0),AA$26,0),0),IF(AND(W$26&lt;&gt;"",W$23&lt;&gt;""),IF(EOMONTH($V$3+INT((DAY(EOMONTH($V$3,0))-1)/2)+W$23,0)=EOMONTH($AL$3,0),W$26,0),0),IF(AND(S$26&lt;&gt;"",S$23&lt;&gt;""),IF(EOMONTH($R$3+INT((DAY(EOMONTH($R$3,0))-1)/2)+S$23,0)=EOMONTH($AL$3,0),S$26,0),0),IF(AND(O$26&lt;&gt;"",O$23&lt;&gt;""),IF(EOMONTH($N$3+INT((DAY(EOMONTH($N$3,0))-1)/2)+O$23,0)=EOMONTH($AL$3,0),O$26,0),0),IF(AND(K$26&lt;&gt;"",K$23&lt;&gt;""),IF(EOMONTH($J$3+INT((DAY(EOMONTH($J$3,0))-1)/2)+K$23,0)=EOMONTH($AL$3,0),K$26,0),0),IF(AND(G$26&lt;&gt;"",G$23&lt;&gt;""),IF(EOMONTH($F$3+INT((DAY(EOMONTH($F$3,0))-1)/2)+G$23,0)=EOMONTH($AL$3,0),G$26,0),0),IF($EP$75="",0,IF(EOMONTH($EP$75+EQ$23,0)=EOMONTH($AL$3,0),$EP$78*EQ$13,0))),0))</f>
        <v>128000</v>
      </c>
      <c r="AN57" s="32">
        <f>ROUND(SUM(IF(AND(ER$26&lt;&gt;"",ER$23&lt;&gt;""),IF(EOMONTH($EP$3+INT((DAY(EOMONTH($EP$3,0))-1)/2)+ER$23,0)=EOMONTH($AL$3,0),ER$26,0),0),IF(AND(EN$26&lt;&gt;"",EN$23&lt;&gt;""),IF(EOMONTH($EL$3+INT((DAY(EOMONTH($EL$3,0))-1)/2)+EN$23,0)=EOMONTH($AL$3,0),EN$26,0),0),IF(AND(EJ$26&lt;&gt;"",EJ$23&lt;&gt;""),IF(EOMONTH($EH$3+INT((DAY(EOMONTH($EH$3,0))-1)/2)+EJ$23,0)=EOMONTH($AL$3,0),EJ$26,0),0),IF(AND(EF$26&lt;&gt;"",EF$23&lt;&gt;""),IF(EOMONTH($ED$3+INT((DAY(EOMONTH($ED$3,0))-1)/2)+EF$23,0)=EOMONTH($AL$3,0),EF$26,0),0),IF(AND(EB$26&lt;&gt;"",EB$23&lt;&gt;""),IF(EOMONTH($DZ$3+INT((DAY(EOMONTH($DZ$3,0))-1)/2)+EB$23,0)=EOMONTH($AL$3,0),EB$26,0),0),IF(AND(DX$26&lt;&gt;"",DX$23&lt;&gt;""),IF(EOMONTH($DV$3+INT((DAY(EOMONTH($DV$3,0))-1)/2)+DX$23,0)=EOMONTH($AL$3,0),DX$26,0),0),IF(AND(DT$26&lt;&gt;"",DT$23&lt;&gt;""),IF(EOMONTH($DR$3+INT((DAY(EOMONTH($DR$3,0))-1)/2)+DT$23,0)=EOMONTH($AL$3,0),DT$26,0),0),IF(AND(DP$26&lt;&gt;"",DP$23&lt;&gt;""),IF(EOMONTH($DN$3+INT((DAY(EOMONTH($DN$3,0))-1)/2)+DP$23,0)=EOMONTH($AL$3,0),DP$26,0),0),IF(AND(DL$26&lt;&gt;"",DL$23&lt;&gt;""),IF(EOMONTH($DJ$3+INT((DAY(EOMONTH($DJ$3,0))-1)/2)+DL$23,0)=EOMONTH($AL$3,0),DL$26,0),0),IF(AND(DH$26&lt;&gt;"",DH$23&lt;&gt;""),IF(EOMONTH($DF$3+INT((DAY(EOMONTH($DF$3,0))-1)/2)+DH$23,0)=EOMONTH($AL$3,0),DH$26,0),0),IF(AND(DD$26&lt;&gt;"",DD$23&lt;&gt;""),IF(EOMONTH($DB$3+INT((DAY(EOMONTH($DB$3,0))-1)/2)+DD$23,0)=EOMONTH($AL$3,0),DD$26,0),0),IF(AND(CZ$26&lt;&gt;"",CZ$23&lt;&gt;""),IF(EOMONTH($CX$3+INT((DAY(EOMONTH($CX$3,0))-1)/2)+CZ$23,0)=EOMONTH($AL$3,0),CZ$26,0),0),IF(AND(CV$26&lt;&gt;"",CV$23&lt;&gt;""),IF(EOMONTH($CT$3+INT((DAY(EOMONTH($CT$3,0))-1)/2)+CV$23,0)=EOMONTH($AL$3,0),CV$26,0),0),IF(AND(CR$26&lt;&gt;"",CR$23&lt;&gt;""),IF(EOMONTH($CP$3+INT((DAY(EOMONTH($CP$3,0))-1)/2)+CR$23,0)=EOMONTH($AL$3,0),CR$26,0),0),IF(AND(CN$26&lt;&gt;"",CN$23&lt;&gt;""),IF(EOMONTH($CL$3+INT((DAY(EOMONTH($CL$3,0))-1)/2)+CN$23,0)=EOMONTH($AL$3,0),CN$26,0),0),IF(AND(CJ$26&lt;&gt;"",CJ$23&lt;&gt;""),IF(EOMONTH($CH$3+INT((DAY(EOMONTH($CH$3,0))-1)/2)+CJ$23,0)=EOMONTH($AL$3,0),CJ$26,0),0),IF(AND(CF$26&lt;&gt;"",CF$23&lt;&gt;""),IF(EOMONTH($CD$3+INT((DAY(EOMONTH($CD$3,0))-1)/2)+CF$23,0)=EOMONTH($AL$3,0),CF$26,0),0),IF(AND(CB$26&lt;&gt;"",CB$23&lt;&gt;""),IF(EOMONTH($BZ$3+INT((DAY(EOMONTH($BZ$3,0))-1)/2)+CB$23,0)=EOMONTH($AL$3,0),CB$26,0),0),IF(AND(BX$26&lt;&gt;"",BX$23&lt;&gt;""),IF(EOMONTH($BV$3+INT((DAY(EOMONTH($BV$3,0))-1)/2)+BX$23,0)=EOMONTH($AL$3,0),BX$26,0),0),IF(AND(BT$26&lt;&gt;"",BT$23&lt;&gt;""),IF(EOMONTH($BR$3+INT((DAY(EOMONTH($BR$3,0))-1)/2)+BT$23,0)=EOMONTH($AL$3,0),BT$26,0),0),IF(AND(BP$26&lt;&gt;"",BP$23&lt;&gt;""),IF(EOMONTH($BN$3+INT((DAY(EOMONTH($BN$3,0))-1)/2)+BP$23,0)=EOMONTH($AL$3,0),BP$26,0),0),IF(AND(BL$26&lt;&gt;"",BL$23&lt;&gt;""),IF(EOMONTH($BJ$3+INT((DAY(EOMONTH($BJ$3,0))-1)/2)+BL$23,0)=EOMONTH($AL$3,0),BL$26,0),0),IF(AND(BH$26&lt;&gt;"",BH$23&lt;&gt;""),IF(EOMONTH($BF$3+INT((DAY(EOMONTH($BF$3,0))-1)/2)+BH$23,0)=EOMONTH($AL$3,0),BH$26,0),0),IF(AND(BD$26&lt;&gt;"",BD$23&lt;&gt;""),IF(EOMONTH($BB$3+INT((DAY(EOMONTH($BB$3,0))-1)/2)+BD$23,0)=EOMONTH($AL$3,0),BD$26,0),0),IF(AND(AZ$26&lt;&gt;"",AZ$23&lt;&gt;""),IF(EOMONTH($AX$3+INT((DAY(EOMONTH($AX$3,0))-1)/2)+AZ$23,0)=EOMONTH($AL$3,0),AZ$26,0),0),IF(AND(AV$26&lt;&gt;"",AV$23&lt;&gt;""),IF(EOMONTH($AT$3+INT((DAY(EOMONTH($AT$3,0))-1)/2)+AV$23,0)=EOMONTH($AL$3,0),AV$26,0),0),IF(AND(AR$26&lt;&gt;"",AR$23&lt;&gt;""),IF(EOMONTH($AP$3+INT((DAY(EOMONTH($AP$3,0))-1)/2)+AR$23,0)=EOMONTH($AL$3,0),AR$26,0),0),IF(AND(AN$26&lt;&gt;"",AN$23&lt;&gt;""),IF(EOMONTH($AL$3+INT((DAY(EOMONTH($AL$3,0))-1)/2)+AN$23,0)=EOMONTH($AL$3,0),AN$26,0),0),IF(AND(AJ$26&lt;&gt;"",AJ$23&lt;&gt;""),IF(EOMONTH($AH$3+INT((DAY(EOMONTH($AH$3,0))-1)/2)+AJ$23,0)=EOMONTH($AL$3,0),AJ$26,0),0),IF(AND(AF$26&lt;&gt;"",AF$23&lt;&gt;""),IF(EOMONTH($AD$3+INT((DAY(EOMONTH($AD$3,0))-1)/2)+AF$23,0)=EOMONTH($AL$3,0),AF$26,0),0),IF(AND(AB$26&lt;&gt;"",AB$23&lt;&gt;""),IF(EOMONTH($Z$3+INT((DAY(EOMONTH($Z$3,0))-1)/2)+AB$23,0)=EOMONTH($AL$3,0),AB$26,0),0),IF(AND(X$26&lt;&gt;"",X$23&lt;&gt;""),IF(EOMONTH($V$3+INT((DAY(EOMONTH($V$3,0))-1)/2)+X$23,0)=EOMONTH($AL$3,0),X$26,0),0),IF(AND(T$26&lt;&gt;"",T$23&lt;&gt;""),IF(EOMONTH($R$3+INT((DAY(EOMONTH($R$3,0))-1)/2)+T$23,0)=EOMONTH($AL$3,0),T$26,0),0),IF(AND(P$26&lt;&gt;"",P$23&lt;&gt;""),IF(EOMONTH($N$3+INT((DAY(EOMONTH($N$3,0))-1)/2)+P$23,0)=EOMONTH($AL$3,0),P$26,0),0),IF(AND(L$26&lt;&gt;"",L$23&lt;&gt;""),IF(EOMONTH($J$3+INT((DAY(EOMONTH($J$3,0))-1)/2)+L$23,0)=EOMONTH($AL$3,0),L$26,0),0),IF(AND(H$26&lt;&gt;"",H$23&lt;&gt;""),IF(EOMONTH($F$3+INT((DAY(EOMONTH($F$3,0))-1)/2)+H$23,0)=EOMONTH($AL$3,0),H$26,0),0),IF($EP$75="",0,IF(EOMONTH($EP$75+ER$23,0)=EOMONTH($AL$3,0),$EP$78*ER$13,0))),0)</f>
        <v>128000</v>
      </c>
      <c r="AO57" s="33">
        <f t="shared" ref="AO57:AO70" si="718">IFERROR(IF(OR(AM57="",AN57=""),"",AM57-AN57),"")</f>
        <v>0</v>
      </c>
      <c r="AP57" s="34"/>
      <c r="AQ57" s="31">
        <f>IF(AP$98=1,AP57,ROUND(SUM(IF(AND(EQ$26&lt;&gt;"",EQ$23&lt;&gt;""),IF(EOMONTH($EP$3+INT((DAY(EOMONTH($EP$3,0))-1)/2)+EQ$23,0)=EOMONTH($AP$3,0),EQ$26,0),0),IF(AND(EM$26&lt;&gt;"",EM$23&lt;&gt;""),IF(EOMONTH($EL$3+INT((DAY(EOMONTH($EL$3,0))-1)/2)+EM$23,0)=EOMONTH($AP$3,0),EM$26,0),0),IF(AND(EI$26&lt;&gt;"",EI$23&lt;&gt;""),IF(EOMONTH($EH$3+INT((DAY(EOMONTH($EH$3,0))-1)/2)+EI$23,0)=EOMONTH($AP$3,0),EI$26,0),0),IF(AND(EE$26&lt;&gt;"",EE$23&lt;&gt;""),IF(EOMONTH($ED$3+INT((DAY(EOMONTH($ED$3,0))-1)/2)+EE$23,0)=EOMONTH($AP$3,0),EE$26,0),0),IF(AND(EA$26&lt;&gt;"",EA$23&lt;&gt;""),IF(EOMONTH($DZ$3+INT((DAY(EOMONTH($DZ$3,0))-1)/2)+EA$23,0)=EOMONTH($AP$3,0),EA$26,0),0),IF(AND(DW$26&lt;&gt;"",DW$23&lt;&gt;""),IF(EOMONTH($DV$3+INT((DAY(EOMONTH($DV$3,0))-1)/2)+DW$23,0)=EOMONTH($AP$3,0),DW$26,0),0),IF(AND(DS$26&lt;&gt;"",DS$23&lt;&gt;""),IF(EOMONTH($DR$3+INT((DAY(EOMONTH($DR$3,0))-1)/2)+DS$23,0)=EOMONTH($AP$3,0),DS$26,0),0),IF(AND(DO$26&lt;&gt;"",DO$23&lt;&gt;""),IF(EOMONTH($DN$3+INT((DAY(EOMONTH($DN$3,0))-1)/2)+DO$23,0)=EOMONTH($AP$3,0),DO$26,0),0),IF(AND(DK$26&lt;&gt;"",DK$23&lt;&gt;""),IF(EOMONTH($DJ$3+INT((DAY(EOMONTH($DJ$3,0))-1)/2)+DK$23,0)=EOMONTH($AP$3,0),DK$26,0),0),IF(AND(DG$26&lt;&gt;"",DG$23&lt;&gt;""),IF(EOMONTH($DF$3+INT((DAY(EOMONTH($DF$3,0))-1)/2)+DG$23,0)=EOMONTH($AP$3,0),DG$26,0),0),IF(AND(DC$26&lt;&gt;"",DC$23&lt;&gt;""),IF(EOMONTH($DB$3+INT((DAY(EOMONTH($DB$3,0))-1)/2)+DC$23,0)=EOMONTH($AP$3,0),DC$26,0),0),IF(AND(CY$26&lt;&gt;"",CY$23&lt;&gt;""),IF(EOMONTH($CX$3+INT((DAY(EOMONTH($CX$3,0))-1)/2)+CY$23,0)=EOMONTH($AP$3,0),CY$26,0),0),IF(AND(CU$26&lt;&gt;"",CU$23&lt;&gt;""),IF(EOMONTH($CT$3+INT((DAY(EOMONTH($CT$3,0))-1)/2)+CU$23,0)=EOMONTH($AP$3,0),CU$26,0),0),IF(AND(CQ$26&lt;&gt;"",CQ$23&lt;&gt;""),IF(EOMONTH($CP$3+INT((DAY(EOMONTH($CP$3,0))-1)/2)+CQ$23,0)=EOMONTH($AP$3,0),CQ$26,0),0),IF(AND(CM$26&lt;&gt;"",CM$23&lt;&gt;""),IF(EOMONTH($CL$3+INT((DAY(EOMONTH($CL$3,0))-1)/2)+CM$23,0)=EOMONTH($AP$3,0),CM$26,0),0),IF(AND(CI$26&lt;&gt;"",CI$23&lt;&gt;""),IF(EOMONTH($CH$3+INT((DAY(EOMONTH($CH$3,0))-1)/2)+CI$23,0)=EOMONTH($AP$3,0),CI$26,0),0),IF(AND(CE$26&lt;&gt;"",CE$23&lt;&gt;""),IF(EOMONTH($CD$3+INT((DAY(EOMONTH($CD$3,0))-1)/2)+CE$23,0)=EOMONTH($AP$3,0),CE$26,0),0),IF(AND(CA$26&lt;&gt;"",CA$23&lt;&gt;""),IF(EOMONTH($BZ$3+INT((DAY(EOMONTH($BZ$3,0))-1)/2)+CA$23,0)=EOMONTH($AP$3,0),CA$26,0),0),IF(AND(BW$26&lt;&gt;"",BW$23&lt;&gt;""),IF(EOMONTH($BV$3+INT((DAY(EOMONTH($BV$3,0))-1)/2)+BW$23,0)=EOMONTH($AP$3,0),BW$26,0),0),IF(AND(BS$26&lt;&gt;"",BS$23&lt;&gt;""),IF(EOMONTH($BR$3+INT((DAY(EOMONTH($BR$3,0))-1)/2)+BS$23,0)=EOMONTH($AP$3,0),BS$26,0),0),IF(AND(BO$26&lt;&gt;"",BO$23&lt;&gt;""),IF(EOMONTH($BN$3+INT((DAY(EOMONTH($BN$3,0))-1)/2)+BO$23,0)=EOMONTH($AP$3,0),BO$26,0),0),IF(AND(BK$26&lt;&gt;"",BK$23&lt;&gt;""),IF(EOMONTH($BJ$3+INT((DAY(EOMONTH($BJ$3,0))-1)/2)+BK$23,0)=EOMONTH($AP$3,0),BK$26,0),0),IF(AND(BG$26&lt;&gt;"",BG$23&lt;&gt;""),IF(EOMONTH($BF$3+INT((DAY(EOMONTH($BF$3,0))-1)/2)+BG$23,0)=EOMONTH($AP$3,0),BG$26,0),0),IF(AND(BC$26&lt;&gt;"",BC$23&lt;&gt;""),IF(EOMONTH($BB$3+INT((DAY(EOMONTH($BB$3,0))-1)/2)+BC$23,0)=EOMONTH($AP$3,0),BC$26,0),0),IF(AND(AY$26&lt;&gt;"",AY$23&lt;&gt;""),IF(EOMONTH($AX$3+INT((DAY(EOMONTH($AX$3,0))-1)/2)+AY$23,0)=EOMONTH($AP$3,0),AY$26,0),0),IF(AND(AU$26&lt;&gt;"",AU$23&lt;&gt;""),IF(EOMONTH($AT$3+INT((DAY(EOMONTH($AT$3,0))-1)/2)+AU$23,0)=EOMONTH($AP$3,0),AU$26,0),0),IF(AND(AQ$26&lt;&gt;"",AQ$23&lt;&gt;""),IF(EOMONTH($AP$3+INT((DAY(EOMONTH($AP$3,0))-1)/2)+AQ$23,0)=EOMONTH($AP$3,0),AQ$26,0),0),IF(AND(AM$26&lt;&gt;"",AM$23&lt;&gt;""),IF(EOMONTH($AL$3+INT((DAY(EOMONTH($AL$3,0))-1)/2)+AM$23,0)=EOMONTH($AP$3,0),AM$26,0),0),IF(AND(AI$26&lt;&gt;"",AI$23&lt;&gt;""),IF(EOMONTH($AH$3+INT((DAY(EOMONTH($AH$3,0))-1)/2)+AI$23,0)=EOMONTH($AP$3,0),AI$26,0),0),IF(AND(AE$26&lt;&gt;"",AE$23&lt;&gt;""),IF(EOMONTH($AD$3+INT((DAY(EOMONTH($AD$3,0))-1)/2)+AE$23,0)=EOMONTH($AP$3,0),AE$26,0),0),IF(AND(AA$26&lt;&gt;"",AA$23&lt;&gt;""),IF(EOMONTH($Z$3+INT((DAY(EOMONTH($Z$3,0))-1)/2)+AA$23,0)=EOMONTH($AP$3,0),AA$26,0),0),IF(AND(W$26&lt;&gt;"",W$23&lt;&gt;""),IF(EOMONTH($V$3+INT((DAY(EOMONTH($V$3,0))-1)/2)+W$23,0)=EOMONTH($AP$3,0),W$26,0),0),IF(AND(S$26&lt;&gt;"",S$23&lt;&gt;""),IF(EOMONTH($R$3+INT((DAY(EOMONTH($R$3,0))-1)/2)+S$23,0)=EOMONTH($AP$3,0),S$26,0),0),IF(AND(O$26&lt;&gt;"",O$23&lt;&gt;""),IF(EOMONTH($N$3+INT((DAY(EOMONTH($N$3,0))-1)/2)+O$23,0)=EOMONTH($AP$3,0),O$26,0),0),IF(AND(K$26&lt;&gt;"",K$23&lt;&gt;""),IF(EOMONTH($J$3+INT((DAY(EOMONTH($J$3,0))-1)/2)+K$23,0)=EOMONTH($AP$3,0),K$26,0),0),IF(AND(G$26&lt;&gt;"",G$23&lt;&gt;""),IF(EOMONTH($F$3+INT((DAY(EOMONTH($F$3,0))-1)/2)+G$23,0)=EOMONTH($AP$3,0),G$26,0),0),IF($EP$75="",0,IF(EOMONTH($EP$75+EQ$23,0)=EOMONTH($AP$3,0),$EP$78*EQ$13,0))),0))</f>
        <v>128000</v>
      </c>
      <c r="AR57" s="32">
        <f>ROUND(SUM(IF(AND(ER$26&lt;&gt;"",ER$23&lt;&gt;""),IF(EOMONTH($EP$3+INT((DAY(EOMONTH($EP$3,0))-1)/2)+ER$23,0)=EOMONTH($AP$3,0),ER$26,0),0),IF(AND(EN$26&lt;&gt;"",EN$23&lt;&gt;""),IF(EOMONTH($EL$3+INT((DAY(EOMONTH($EL$3,0))-1)/2)+EN$23,0)=EOMONTH($AP$3,0),EN$26,0),0),IF(AND(EJ$26&lt;&gt;"",EJ$23&lt;&gt;""),IF(EOMONTH($EH$3+INT((DAY(EOMONTH($EH$3,0))-1)/2)+EJ$23,0)=EOMONTH($AP$3,0),EJ$26,0),0),IF(AND(EF$26&lt;&gt;"",EF$23&lt;&gt;""),IF(EOMONTH($ED$3+INT((DAY(EOMONTH($ED$3,0))-1)/2)+EF$23,0)=EOMONTH($AP$3,0),EF$26,0),0),IF(AND(EB$26&lt;&gt;"",EB$23&lt;&gt;""),IF(EOMONTH($DZ$3+INT((DAY(EOMONTH($DZ$3,0))-1)/2)+EB$23,0)=EOMONTH($AP$3,0),EB$26,0),0),IF(AND(DX$26&lt;&gt;"",DX$23&lt;&gt;""),IF(EOMONTH($DV$3+INT((DAY(EOMONTH($DV$3,0))-1)/2)+DX$23,0)=EOMONTH($AP$3,0),DX$26,0),0),IF(AND(DT$26&lt;&gt;"",DT$23&lt;&gt;""),IF(EOMONTH($DR$3+INT((DAY(EOMONTH($DR$3,0))-1)/2)+DT$23,0)=EOMONTH($AP$3,0),DT$26,0),0),IF(AND(DP$26&lt;&gt;"",DP$23&lt;&gt;""),IF(EOMONTH($DN$3+INT((DAY(EOMONTH($DN$3,0))-1)/2)+DP$23,0)=EOMONTH($AP$3,0),DP$26,0),0),IF(AND(DL$26&lt;&gt;"",DL$23&lt;&gt;""),IF(EOMONTH($DJ$3+INT((DAY(EOMONTH($DJ$3,0))-1)/2)+DL$23,0)=EOMONTH($AP$3,0),DL$26,0),0),IF(AND(DH$26&lt;&gt;"",DH$23&lt;&gt;""),IF(EOMONTH($DF$3+INT((DAY(EOMONTH($DF$3,0))-1)/2)+DH$23,0)=EOMONTH($AP$3,0),DH$26,0),0),IF(AND(DD$26&lt;&gt;"",DD$23&lt;&gt;""),IF(EOMONTH($DB$3+INT((DAY(EOMONTH($DB$3,0))-1)/2)+DD$23,0)=EOMONTH($AP$3,0),DD$26,0),0),IF(AND(CZ$26&lt;&gt;"",CZ$23&lt;&gt;""),IF(EOMONTH($CX$3+INT((DAY(EOMONTH($CX$3,0))-1)/2)+CZ$23,0)=EOMONTH($AP$3,0),CZ$26,0),0),IF(AND(CV$26&lt;&gt;"",CV$23&lt;&gt;""),IF(EOMONTH($CT$3+INT((DAY(EOMONTH($CT$3,0))-1)/2)+CV$23,0)=EOMONTH($AP$3,0),CV$26,0),0),IF(AND(CR$26&lt;&gt;"",CR$23&lt;&gt;""),IF(EOMONTH($CP$3+INT((DAY(EOMONTH($CP$3,0))-1)/2)+CR$23,0)=EOMONTH($AP$3,0),CR$26,0),0),IF(AND(CN$26&lt;&gt;"",CN$23&lt;&gt;""),IF(EOMONTH($CL$3+INT((DAY(EOMONTH($CL$3,0))-1)/2)+CN$23,0)=EOMONTH($AP$3,0),CN$26,0),0),IF(AND(CJ$26&lt;&gt;"",CJ$23&lt;&gt;""),IF(EOMONTH($CH$3+INT((DAY(EOMONTH($CH$3,0))-1)/2)+CJ$23,0)=EOMONTH($AP$3,0),CJ$26,0),0),IF(AND(CF$26&lt;&gt;"",CF$23&lt;&gt;""),IF(EOMONTH($CD$3+INT((DAY(EOMONTH($CD$3,0))-1)/2)+CF$23,0)=EOMONTH($AP$3,0),CF$26,0),0),IF(AND(CB$26&lt;&gt;"",CB$23&lt;&gt;""),IF(EOMONTH($BZ$3+INT((DAY(EOMONTH($BZ$3,0))-1)/2)+CB$23,0)=EOMONTH($AP$3,0),CB$26,0),0),IF(AND(BX$26&lt;&gt;"",BX$23&lt;&gt;""),IF(EOMONTH($BV$3+INT((DAY(EOMONTH($BV$3,0))-1)/2)+BX$23,0)=EOMONTH($AP$3,0),BX$26,0),0),IF(AND(BT$26&lt;&gt;"",BT$23&lt;&gt;""),IF(EOMONTH($BR$3+INT((DAY(EOMONTH($BR$3,0))-1)/2)+BT$23,0)=EOMONTH($AP$3,0),BT$26,0),0),IF(AND(BP$26&lt;&gt;"",BP$23&lt;&gt;""),IF(EOMONTH($BN$3+INT((DAY(EOMONTH($BN$3,0))-1)/2)+BP$23,0)=EOMONTH($AP$3,0),BP$26,0),0),IF(AND(BL$26&lt;&gt;"",BL$23&lt;&gt;""),IF(EOMONTH($BJ$3+INT((DAY(EOMONTH($BJ$3,0))-1)/2)+BL$23,0)=EOMONTH($AP$3,0),BL$26,0),0),IF(AND(BH$26&lt;&gt;"",BH$23&lt;&gt;""),IF(EOMONTH($BF$3+INT((DAY(EOMONTH($BF$3,0))-1)/2)+BH$23,0)=EOMONTH($AP$3,0),BH$26,0),0),IF(AND(BD$26&lt;&gt;"",BD$23&lt;&gt;""),IF(EOMONTH($BB$3+INT((DAY(EOMONTH($BB$3,0))-1)/2)+BD$23,0)=EOMONTH($AP$3,0),BD$26,0),0),IF(AND(AZ$26&lt;&gt;"",AZ$23&lt;&gt;""),IF(EOMONTH($AX$3+INT((DAY(EOMONTH($AX$3,0))-1)/2)+AZ$23,0)=EOMONTH($AP$3,0),AZ$26,0),0),IF(AND(AV$26&lt;&gt;"",AV$23&lt;&gt;""),IF(EOMONTH($AT$3+INT((DAY(EOMONTH($AT$3,0))-1)/2)+AV$23,0)=EOMONTH($AP$3,0),AV$26,0),0),IF(AND(AR$26&lt;&gt;"",AR$23&lt;&gt;""),IF(EOMONTH($AP$3+INT((DAY(EOMONTH($AP$3,0))-1)/2)+AR$23,0)=EOMONTH($AP$3,0),AR$26,0),0),IF(AND(AN$26&lt;&gt;"",AN$23&lt;&gt;""),IF(EOMONTH($AL$3+INT((DAY(EOMONTH($AL$3,0))-1)/2)+AN$23,0)=EOMONTH($AP$3,0),AN$26,0),0),IF(AND(AJ$26&lt;&gt;"",AJ$23&lt;&gt;""),IF(EOMONTH($AH$3+INT((DAY(EOMONTH($AH$3,0))-1)/2)+AJ$23,0)=EOMONTH($AP$3,0),AJ$26,0),0),IF(AND(AF$26&lt;&gt;"",AF$23&lt;&gt;""),IF(EOMONTH($AD$3+INT((DAY(EOMONTH($AD$3,0))-1)/2)+AF$23,0)=EOMONTH($AP$3,0),AF$26,0),0),IF(AND(AB$26&lt;&gt;"",AB$23&lt;&gt;""),IF(EOMONTH($Z$3+INT((DAY(EOMONTH($Z$3,0))-1)/2)+AB$23,0)=EOMONTH($AP$3,0),AB$26,0),0),IF(AND(X$26&lt;&gt;"",X$23&lt;&gt;""),IF(EOMONTH($V$3+INT((DAY(EOMONTH($V$3,0))-1)/2)+X$23,0)=EOMONTH($AP$3,0),X$26,0),0),IF(AND(T$26&lt;&gt;"",T$23&lt;&gt;""),IF(EOMONTH($R$3+INT((DAY(EOMONTH($R$3,0))-1)/2)+T$23,0)=EOMONTH($AP$3,0),T$26,0),0),IF(AND(P$26&lt;&gt;"",P$23&lt;&gt;""),IF(EOMONTH($N$3+INT((DAY(EOMONTH($N$3,0))-1)/2)+P$23,0)=EOMONTH($AP$3,0),P$26,0),0),IF(AND(L$26&lt;&gt;"",L$23&lt;&gt;""),IF(EOMONTH($J$3+INT((DAY(EOMONTH($J$3,0))-1)/2)+L$23,0)=EOMONTH($AP$3,0),L$26,0),0),IF(AND(H$26&lt;&gt;"",H$23&lt;&gt;""),IF(EOMONTH($F$3+INT((DAY(EOMONTH($F$3,0))-1)/2)+H$23,0)=EOMONTH($AP$3,0),H$26,0),0),IF($EP$75="",0,IF(EOMONTH($EP$75+ER$23,0)=EOMONTH($AP$3,0),$EP$78*ER$13,0))),0)</f>
        <v>128000</v>
      </c>
      <c r="AS57" s="33">
        <f t="shared" ref="AS57:AS70" si="720">IFERROR(IF(OR(AQ57="",AR57=""),"",AQ57-AR57),"")</f>
        <v>0</v>
      </c>
      <c r="AT57" s="34"/>
      <c r="AU57" s="31">
        <f>IF(AT$98=1,AT57,ROUND(SUM(IF(AND(EQ$26&lt;&gt;"",EQ$23&lt;&gt;""),IF(EOMONTH($EP$3+INT((DAY(EOMONTH($EP$3,0))-1)/2)+EQ$23,0)=EOMONTH($AT$3,0),EQ$26,0),0),IF(AND(EM$26&lt;&gt;"",EM$23&lt;&gt;""),IF(EOMONTH($EL$3+INT((DAY(EOMONTH($EL$3,0))-1)/2)+EM$23,0)=EOMONTH($AT$3,0),EM$26,0),0),IF(AND(EI$26&lt;&gt;"",EI$23&lt;&gt;""),IF(EOMONTH($EH$3+INT((DAY(EOMONTH($EH$3,0))-1)/2)+EI$23,0)=EOMONTH($AT$3,0),EI$26,0),0),IF(AND(EE$26&lt;&gt;"",EE$23&lt;&gt;""),IF(EOMONTH($ED$3+INT((DAY(EOMONTH($ED$3,0))-1)/2)+EE$23,0)=EOMONTH($AT$3,0),EE$26,0),0),IF(AND(EA$26&lt;&gt;"",EA$23&lt;&gt;""),IF(EOMONTH($DZ$3+INT((DAY(EOMONTH($DZ$3,0))-1)/2)+EA$23,0)=EOMONTH($AT$3,0),EA$26,0),0),IF(AND(DW$26&lt;&gt;"",DW$23&lt;&gt;""),IF(EOMONTH($DV$3+INT((DAY(EOMONTH($DV$3,0))-1)/2)+DW$23,0)=EOMONTH($AT$3,0),DW$26,0),0),IF(AND(DS$26&lt;&gt;"",DS$23&lt;&gt;""),IF(EOMONTH($DR$3+INT((DAY(EOMONTH($DR$3,0))-1)/2)+DS$23,0)=EOMONTH($AT$3,0),DS$26,0),0),IF(AND(DO$26&lt;&gt;"",DO$23&lt;&gt;""),IF(EOMONTH($DN$3+INT((DAY(EOMONTH($DN$3,0))-1)/2)+DO$23,0)=EOMONTH($AT$3,0),DO$26,0),0),IF(AND(DK$26&lt;&gt;"",DK$23&lt;&gt;""),IF(EOMONTH($DJ$3+INT((DAY(EOMONTH($DJ$3,0))-1)/2)+DK$23,0)=EOMONTH($AT$3,0),DK$26,0),0),IF(AND(DG$26&lt;&gt;"",DG$23&lt;&gt;""),IF(EOMONTH($DF$3+INT((DAY(EOMONTH($DF$3,0))-1)/2)+DG$23,0)=EOMONTH($AT$3,0),DG$26,0),0),IF(AND(DC$26&lt;&gt;"",DC$23&lt;&gt;""),IF(EOMONTH($DB$3+INT((DAY(EOMONTH($DB$3,0))-1)/2)+DC$23,0)=EOMONTH($AT$3,0),DC$26,0),0),IF(AND(CY$26&lt;&gt;"",CY$23&lt;&gt;""),IF(EOMONTH($CX$3+INT((DAY(EOMONTH($CX$3,0))-1)/2)+CY$23,0)=EOMONTH($AT$3,0),CY$26,0),0),IF(AND(CU$26&lt;&gt;"",CU$23&lt;&gt;""),IF(EOMONTH($CT$3+INT((DAY(EOMONTH($CT$3,0))-1)/2)+CU$23,0)=EOMONTH($AT$3,0),CU$26,0),0),IF(AND(CQ$26&lt;&gt;"",CQ$23&lt;&gt;""),IF(EOMONTH($CP$3+INT((DAY(EOMONTH($CP$3,0))-1)/2)+CQ$23,0)=EOMONTH($AT$3,0),CQ$26,0),0),IF(AND(CM$26&lt;&gt;"",CM$23&lt;&gt;""),IF(EOMONTH($CL$3+INT((DAY(EOMONTH($CL$3,0))-1)/2)+CM$23,0)=EOMONTH($AT$3,0),CM$26,0),0),IF(AND(CI$26&lt;&gt;"",CI$23&lt;&gt;""),IF(EOMONTH($CH$3+INT((DAY(EOMONTH($CH$3,0))-1)/2)+CI$23,0)=EOMONTH($AT$3,0),CI$26,0),0),IF(AND(CE$26&lt;&gt;"",CE$23&lt;&gt;""),IF(EOMONTH($CD$3+INT((DAY(EOMONTH($CD$3,0))-1)/2)+CE$23,0)=EOMONTH($AT$3,0),CE$26,0),0),IF(AND(CA$26&lt;&gt;"",CA$23&lt;&gt;""),IF(EOMONTH($BZ$3+INT((DAY(EOMONTH($BZ$3,0))-1)/2)+CA$23,0)=EOMONTH($AT$3,0),CA$26,0),0),IF(AND(BW$26&lt;&gt;"",BW$23&lt;&gt;""),IF(EOMONTH($BV$3+INT((DAY(EOMONTH($BV$3,0))-1)/2)+BW$23,0)=EOMONTH($AT$3,0),BW$26,0),0),IF(AND(BS$26&lt;&gt;"",BS$23&lt;&gt;""),IF(EOMONTH($BR$3+INT((DAY(EOMONTH($BR$3,0))-1)/2)+BS$23,0)=EOMONTH($AT$3,0),BS$26,0),0),IF(AND(BO$26&lt;&gt;"",BO$23&lt;&gt;""),IF(EOMONTH($BN$3+INT((DAY(EOMONTH($BN$3,0))-1)/2)+BO$23,0)=EOMONTH($AT$3,0),BO$26,0),0),IF(AND(BK$26&lt;&gt;"",BK$23&lt;&gt;""),IF(EOMONTH($BJ$3+INT((DAY(EOMONTH($BJ$3,0))-1)/2)+BK$23,0)=EOMONTH($AT$3,0),BK$26,0),0),IF(AND(BG$26&lt;&gt;"",BG$23&lt;&gt;""),IF(EOMONTH($BF$3+INT((DAY(EOMONTH($BF$3,0))-1)/2)+BG$23,0)=EOMONTH($AT$3,0),BG$26,0),0),IF(AND(BC$26&lt;&gt;"",BC$23&lt;&gt;""),IF(EOMONTH($BB$3+INT((DAY(EOMONTH($BB$3,0))-1)/2)+BC$23,0)=EOMONTH($AT$3,0),BC$26,0),0),IF(AND(AY$26&lt;&gt;"",AY$23&lt;&gt;""),IF(EOMONTH($AX$3+INT((DAY(EOMONTH($AX$3,0))-1)/2)+AY$23,0)=EOMONTH($AT$3,0),AY$26,0),0),IF(AND(AU$26&lt;&gt;"",AU$23&lt;&gt;""),IF(EOMONTH($AT$3+INT((DAY(EOMONTH($AT$3,0))-1)/2)+AU$23,0)=EOMONTH($AT$3,0),AU$26,0),0),IF(AND(AQ$26&lt;&gt;"",AQ$23&lt;&gt;""),IF(EOMONTH($AP$3+INT((DAY(EOMONTH($AP$3,0))-1)/2)+AQ$23,0)=EOMONTH($AT$3,0),AQ$26,0),0),IF(AND(AM$26&lt;&gt;"",AM$23&lt;&gt;""),IF(EOMONTH($AL$3+INT((DAY(EOMONTH($AL$3,0))-1)/2)+AM$23,0)=EOMONTH($AT$3,0),AM$26,0),0),IF(AND(AI$26&lt;&gt;"",AI$23&lt;&gt;""),IF(EOMONTH($AH$3+INT((DAY(EOMONTH($AH$3,0))-1)/2)+AI$23,0)=EOMONTH($AT$3,0),AI$26,0),0),IF(AND(AE$26&lt;&gt;"",AE$23&lt;&gt;""),IF(EOMONTH($AD$3+INT((DAY(EOMONTH($AD$3,0))-1)/2)+AE$23,0)=EOMONTH($AT$3,0),AE$26,0),0),IF(AND(AA$26&lt;&gt;"",AA$23&lt;&gt;""),IF(EOMONTH($Z$3+INT((DAY(EOMONTH($Z$3,0))-1)/2)+AA$23,0)=EOMONTH($AT$3,0),AA$26,0),0),IF(AND(W$26&lt;&gt;"",W$23&lt;&gt;""),IF(EOMONTH($V$3+INT((DAY(EOMONTH($V$3,0))-1)/2)+W$23,0)=EOMONTH($AT$3,0),W$26,0),0),IF(AND(S$26&lt;&gt;"",S$23&lt;&gt;""),IF(EOMONTH($R$3+INT((DAY(EOMONTH($R$3,0))-1)/2)+S$23,0)=EOMONTH($AT$3,0),S$26,0),0),IF(AND(O$26&lt;&gt;"",O$23&lt;&gt;""),IF(EOMONTH($N$3+INT((DAY(EOMONTH($N$3,0))-1)/2)+O$23,0)=EOMONTH($AT$3,0),O$26,0),0),IF(AND(K$26&lt;&gt;"",K$23&lt;&gt;""),IF(EOMONTH($J$3+INT((DAY(EOMONTH($J$3,0))-1)/2)+K$23,0)=EOMONTH($AT$3,0),K$26,0),0),IF(AND(G$26&lt;&gt;"",G$23&lt;&gt;""),IF(EOMONTH($F$3+INT((DAY(EOMONTH($F$3,0))-1)/2)+G$23,0)=EOMONTH($AT$3,0),G$26,0),0),IF($EP$75="",0,IF(EOMONTH($EP$75+EQ$23,0)=EOMONTH($AT$3,0),$EP$78*EQ$13,0))),0))</f>
        <v>128000</v>
      </c>
      <c r="AV57" s="32">
        <f>ROUND(SUM(IF(AND(ER$26&lt;&gt;"",ER$23&lt;&gt;""),IF(EOMONTH($EP$3+INT((DAY(EOMONTH($EP$3,0))-1)/2)+ER$23,0)=EOMONTH($AT$3,0),ER$26,0),0),IF(AND(EN$26&lt;&gt;"",EN$23&lt;&gt;""),IF(EOMONTH($EL$3+INT((DAY(EOMONTH($EL$3,0))-1)/2)+EN$23,0)=EOMONTH($AT$3,0),EN$26,0),0),IF(AND(EJ$26&lt;&gt;"",EJ$23&lt;&gt;""),IF(EOMONTH($EH$3+INT((DAY(EOMONTH($EH$3,0))-1)/2)+EJ$23,0)=EOMONTH($AT$3,0),EJ$26,0),0),IF(AND(EF$26&lt;&gt;"",EF$23&lt;&gt;""),IF(EOMONTH($ED$3+INT((DAY(EOMONTH($ED$3,0))-1)/2)+EF$23,0)=EOMONTH($AT$3,0),EF$26,0),0),IF(AND(EB$26&lt;&gt;"",EB$23&lt;&gt;""),IF(EOMONTH($DZ$3+INT((DAY(EOMONTH($DZ$3,0))-1)/2)+EB$23,0)=EOMONTH($AT$3,0),EB$26,0),0),IF(AND(DX$26&lt;&gt;"",DX$23&lt;&gt;""),IF(EOMONTH($DV$3+INT((DAY(EOMONTH($DV$3,0))-1)/2)+DX$23,0)=EOMONTH($AT$3,0),DX$26,0),0),IF(AND(DT$26&lt;&gt;"",DT$23&lt;&gt;""),IF(EOMONTH($DR$3+INT((DAY(EOMONTH($DR$3,0))-1)/2)+DT$23,0)=EOMONTH($AT$3,0),DT$26,0),0),IF(AND(DP$26&lt;&gt;"",DP$23&lt;&gt;""),IF(EOMONTH($DN$3+INT((DAY(EOMONTH($DN$3,0))-1)/2)+DP$23,0)=EOMONTH($AT$3,0),DP$26,0),0),IF(AND(DL$26&lt;&gt;"",DL$23&lt;&gt;""),IF(EOMONTH($DJ$3+INT((DAY(EOMONTH($DJ$3,0))-1)/2)+DL$23,0)=EOMONTH($AT$3,0),DL$26,0),0),IF(AND(DH$26&lt;&gt;"",DH$23&lt;&gt;""),IF(EOMONTH($DF$3+INT((DAY(EOMONTH($DF$3,0))-1)/2)+DH$23,0)=EOMONTH($AT$3,0),DH$26,0),0),IF(AND(DD$26&lt;&gt;"",DD$23&lt;&gt;""),IF(EOMONTH($DB$3+INT((DAY(EOMONTH($DB$3,0))-1)/2)+DD$23,0)=EOMONTH($AT$3,0),DD$26,0),0),IF(AND(CZ$26&lt;&gt;"",CZ$23&lt;&gt;""),IF(EOMONTH($CX$3+INT((DAY(EOMONTH($CX$3,0))-1)/2)+CZ$23,0)=EOMONTH($AT$3,0),CZ$26,0),0),IF(AND(CV$26&lt;&gt;"",CV$23&lt;&gt;""),IF(EOMONTH($CT$3+INT((DAY(EOMONTH($CT$3,0))-1)/2)+CV$23,0)=EOMONTH($AT$3,0),CV$26,0),0),IF(AND(CR$26&lt;&gt;"",CR$23&lt;&gt;""),IF(EOMONTH($CP$3+INT((DAY(EOMONTH($CP$3,0))-1)/2)+CR$23,0)=EOMONTH($AT$3,0),CR$26,0),0),IF(AND(CN$26&lt;&gt;"",CN$23&lt;&gt;""),IF(EOMONTH($CL$3+INT((DAY(EOMONTH($CL$3,0))-1)/2)+CN$23,0)=EOMONTH($AT$3,0),CN$26,0),0),IF(AND(CJ$26&lt;&gt;"",CJ$23&lt;&gt;""),IF(EOMONTH($CH$3+INT((DAY(EOMONTH($CH$3,0))-1)/2)+CJ$23,0)=EOMONTH($AT$3,0),CJ$26,0),0),IF(AND(CF$26&lt;&gt;"",CF$23&lt;&gt;""),IF(EOMONTH($CD$3+INT((DAY(EOMONTH($CD$3,0))-1)/2)+CF$23,0)=EOMONTH($AT$3,0),CF$26,0),0),IF(AND(CB$26&lt;&gt;"",CB$23&lt;&gt;""),IF(EOMONTH($BZ$3+INT((DAY(EOMONTH($BZ$3,0))-1)/2)+CB$23,0)=EOMONTH($AT$3,0),CB$26,0),0),IF(AND(BX$26&lt;&gt;"",BX$23&lt;&gt;""),IF(EOMONTH($BV$3+INT((DAY(EOMONTH($BV$3,0))-1)/2)+BX$23,0)=EOMONTH($AT$3,0),BX$26,0),0),IF(AND(BT$26&lt;&gt;"",BT$23&lt;&gt;""),IF(EOMONTH($BR$3+INT((DAY(EOMONTH($BR$3,0))-1)/2)+BT$23,0)=EOMONTH($AT$3,0),BT$26,0),0),IF(AND(BP$26&lt;&gt;"",BP$23&lt;&gt;""),IF(EOMONTH($BN$3+INT((DAY(EOMONTH($BN$3,0))-1)/2)+BP$23,0)=EOMONTH($AT$3,0),BP$26,0),0),IF(AND(BL$26&lt;&gt;"",BL$23&lt;&gt;""),IF(EOMONTH($BJ$3+INT((DAY(EOMONTH($BJ$3,0))-1)/2)+BL$23,0)=EOMONTH($AT$3,0),BL$26,0),0),IF(AND(BH$26&lt;&gt;"",BH$23&lt;&gt;""),IF(EOMONTH($BF$3+INT((DAY(EOMONTH($BF$3,0))-1)/2)+BH$23,0)=EOMONTH($AT$3,0),BH$26,0),0),IF(AND(BD$26&lt;&gt;"",BD$23&lt;&gt;""),IF(EOMONTH($BB$3+INT((DAY(EOMONTH($BB$3,0))-1)/2)+BD$23,0)=EOMONTH($AT$3,0),BD$26,0),0),IF(AND(AZ$26&lt;&gt;"",AZ$23&lt;&gt;""),IF(EOMONTH($AX$3+INT((DAY(EOMONTH($AX$3,0))-1)/2)+AZ$23,0)=EOMONTH($AT$3,0),AZ$26,0),0),IF(AND(AV$26&lt;&gt;"",AV$23&lt;&gt;""),IF(EOMONTH($AT$3+INT((DAY(EOMONTH($AT$3,0))-1)/2)+AV$23,0)=EOMONTH($AT$3,0),AV$26,0),0),IF(AND(AR$26&lt;&gt;"",AR$23&lt;&gt;""),IF(EOMONTH($AP$3+INT((DAY(EOMONTH($AP$3,0))-1)/2)+AR$23,0)=EOMONTH($AT$3,0),AR$26,0),0),IF(AND(AN$26&lt;&gt;"",AN$23&lt;&gt;""),IF(EOMONTH($AL$3+INT((DAY(EOMONTH($AL$3,0))-1)/2)+AN$23,0)=EOMONTH($AT$3,0),AN$26,0),0),IF(AND(AJ$26&lt;&gt;"",AJ$23&lt;&gt;""),IF(EOMONTH($AH$3+INT((DAY(EOMONTH($AH$3,0))-1)/2)+AJ$23,0)=EOMONTH($AT$3,0),AJ$26,0),0),IF(AND(AF$26&lt;&gt;"",AF$23&lt;&gt;""),IF(EOMONTH($AD$3+INT((DAY(EOMONTH($AD$3,0))-1)/2)+AF$23,0)=EOMONTH($AT$3,0),AF$26,0),0),IF(AND(AB$26&lt;&gt;"",AB$23&lt;&gt;""),IF(EOMONTH($Z$3+INT((DAY(EOMONTH($Z$3,0))-1)/2)+AB$23,0)=EOMONTH($AT$3,0),AB$26,0),0),IF(AND(X$26&lt;&gt;"",X$23&lt;&gt;""),IF(EOMONTH($V$3+INT((DAY(EOMONTH($V$3,0))-1)/2)+X$23,0)=EOMONTH($AT$3,0),X$26,0),0),IF(AND(T$26&lt;&gt;"",T$23&lt;&gt;""),IF(EOMONTH($R$3+INT((DAY(EOMONTH($R$3,0))-1)/2)+T$23,0)=EOMONTH($AT$3,0),T$26,0),0),IF(AND(P$26&lt;&gt;"",P$23&lt;&gt;""),IF(EOMONTH($N$3+INT((DAY(EOMONTH($N$3,0))-1)/2)+P$23,0)=EOMONTH($AT$3,0),P$26,0),0),IF(AND(L$26&lt;&gt;"",L$23&lt;&gt;""),IF(EOMONTH($J$3+INT((DAY(EOMONTH($J$3,0))-1)/2)+L$23,0)=EOMONTH($AT$3,0),L$26,0),0),IF(AND(H$26&lt;&gt;"",H$23&lt;&gt;""),IF(EOMONTH($F$3+INT((DAY(EOMONTH($F$3,0))-1)/2)+H$23,0)=EOMONTH($AT$3,0),H$26,0),0),IF($EP$75="",0,IF(EOMONTH($EP$75+ER$23,0)=EOMONTH($AT$3,0),$EP$78*ER$13,0))),0)</f>
        <v>128000</v>
      </c>
      <c r="AW57" s="33">
        <f t="shared" ref="AW57:AW70" si="722">IFERROR(IF(OR(AU57="",AV57=""),"",AU57-AV57),"")</f>
        <v>0</v>
      </c>
      <c r="AX57" s="34"/>
      <c r="AY57" s="31">
        <f>IF(AX$98=1,AX57,ROUND(SUM(IF(AND(EQ$26&lt;&gt;"",EQ$23&lt;&gt;""),IF(EOMONTH($EP$3+INT((DAY(EOMONTH($EP$3,0))-1)/2)+EQ$23,0)=EOMONTH($AX$3,0),EQ$26,0),0),IF(AND(EM$26&lt;&gt;"",EM$23&lt;&gt;""),IF(EOMONTH($EL$3+INT((DAY(EOMONTH($EL$3,0))-1)/2)+EM$23,0)=EOMONTH($AX$3,0),EM$26,0),0),IF(AND(EI$26&lt;&gt;"",EI$23&lt;&gt;""),IF(EOMONTH($EH$3+INT((DAY(EOMONTH($EH$3,0))-1)/2)+EI$23,0)=EOMONTH($AX$3,0),EI$26,0),0),IF(AND(EE$26&lt;&gt;"",EE$23&lt;&gt;""),IF(EOMONTH($ED$3+INT((DAY(EOMONTH($ED$3,0))-1)/2)+EE$23,0)=EOMONTH($AX$3,0),EE$26,0),0),IF(AND(EA$26&lt;&gt;"",EA$23&lt;&gt;""),IF(EOMONTH($DZ$3+INT((DAY(EOMONTH($DZ$3,0))-1)/2)+EA$23,0)=EOMONTH($AX$3,0),EA$26,0),0),IF(AND(DW$26&lt;&gt;"",DW$23&lt;&gt;""),IF(EOMONTH($DV$3+INT((DAY(EOMONTH($DV$3,0))-1)/2)+DW$23,0)=EOMONTH($AX$3,0),DW$26,0),0),IF(AND(DS$26&lt;&gt;"",DS$23&lt;&gt;""),IF(EOMONTH($DR$3+INT((DAY(EOMONTH($DR$3,0))-1)/2)+DS$23,0)=EOMONTH($AX$3,0),DS$26,0),0),IF(AND(DO$26&lt;&gt;"",DO$23&lt;&gt;""),IF(EOMONTH($DN$3+INT((DAY(EOMONTH($DN$3,0))-1)/2)+DO$23,0)=EOMONTH($AX$3,0),DO$26,0),0),IF(AND(DK$26&lt;&gt;"",DK$23&lt;&gt;""),IF(EOMONTH($DJ$3+INT((DAY(EOMONTH($DJ$3,0))-1)/2)+DK$23,0)=EOMONTH($AX$3,0),DK$26,0),0),IF(AND(DG$26&lt;&gt;"",DG$23&lt;&gt;""),IF(EOMONTH($DF$3+INT((DAY(EOMONTH($DF$3,0))-1)/2)+DG$23,0)=EOMONTH($AX$3,0),DG$26,0),0),IF(AND(DC$26&lt;&gt;"",DC$23&lt;&gt;""),IF(EOMONTH($DB$3+INT((DAY(EOMONTH($DB$3,0))-1)/2)+DC$23,0)=EOMONTH($AX$3,0),DC$26,0),0),IF(AND(CY$26&lt;&gt;"",CY$23&lt;&gt;""),IF(EOMONTH($CX$3+INT((DAY(EOMONTH($CX$3,0))-1)/2)+CY$23,0)=EOMONTH($AX$3,0),CY$26,0),0),IF(AND(CU$26&lt;&gt;"",CU$23&lt;&gt;""),IF(EOMONTH($CT$3+INT((DAY(EOMONTH($CT$3,0))-1)/2)+CU$23,0)=EOMONTH($AX$3,0),CU$26,0),0),IF(AND(CQ$26&lt;&gt;"",CQ$23&lt;&gt;""),IF(EOMONTH($CP$3+INT((DAY(EOMONTH($CP$3,0))-1)/2)+CQ$23,0)=EOMONTH($AX$3,0),CQ$26,0),0),IF(AND(CM$26&lt;&gt;"",CM$23&lt;&gt;""),IF(EOMONTH($CL$3+INT((DAY(EOMONTH($CL$3,0))-1)/2)+CM$23,0)=EOMONTH($AX$3,0),CM$26,0),0),IF(AND(CI$26&lt;&gt;"",CI$23&lt;&gt;""),IF(EOMONTH($CH$3+INT((DAY(EOMONTH($CH$3,0))-1)/2)+CI$23,0)=EOMONTH($AX$3,0),CI$26,0),0),IF(AND(CE$26&lt;&gt;"",CE$23&lt;&gt;""),IF(EOMONTH($CD$3+INT((DAY(EOMONTH($CD$3,0))-1)/2)+CE$23,0)=EOMONTH($AX$3,0),CE$26,0),0),IF(AND(CA$26&lt;&gt;"",CA$23&lt;&gt;""),IF(EOMONTH($BZ$3+INT((DAY(EOMONTH($BZ$3,0))-1)/2)+CA$23,0)=EOMONTH($AX$3,0),CA$26,0),0),IF(AND(BW$26&lt;&gt;"",BW$23&lt;&gt;""),IF(EOMONTH($BV$3+INT((DAY(EOMONTH($BV$3,0))-1)/2)+BW$23,0)=EOMONTH($AX$3,0),BW$26,0),0),IF(AND(BS$26&lt;&gt;"",BS$23&lt;&gt;""),IF(EOMONTH($BR$3+INT((DAY(EOMONTH($BR$3,0))-1)/2)+BS$23,0)=EOMONTH($AX$3,0),BS$26,0),0),IF(AND(BO$26&lt;&gt;"",BO$23&lt;&gt;""),IF(EOMONTH($BN$3+INT((DAY(EOMONTH($BN$3,0))-1)/2)+BO$23,0)=EOMONTH($AX$3,0),BO$26,0),0),IF(AND(BK$26&lt;&gt;"",BK$23&lt;&gt;""),IF(EOMONTH($BJ$3+INT((DAY(EOMONTH($BJ$3,0))-1)/2)+BK$23,0)=EOMONTH($AX$3,0),BK$26,0),0),IF(AND(BG$26&lt;&gt;"",BG$23&lt;&gt;""),IF(EOMONTH($BF$3+INT((DAY(EOMONTH($BF$3,0))-1)/2)+BG$23,0)=EOMONTH($AX$3,0),BG$26,0),0),IF(AND(BC$26&lt;&gt;"",BC$23&lt;&gt;""),IF(EOMONTH($BB$3+INT((DAY(EOMONTH($BB$3,0))-1)/2)+BC$23,0)=EOMONTH($AX$3,0),BC$26,0),0),IF(AND(AY$26&lt;&gt;"",AY$23&lt;&gt;""),IF(EOMONTH($AX$3+INT((DAY(EOMONTH($AX$3,0))-1)/2)+AY$23,0)=EOMONTH($AX$3,0),AY$26,0),0),IF(AND(AU$26&lt;&gt;"",AU$23&lt;&gt;""),IF(EOMONTH($AT$3+INT((DAY(EOMONTH($AT$3,0))-1)/2)+AU$23,0)=EOMONTH($AX$3,0),AU$26,0),0),IF(AND(AQ$26&lt;&gt;"",AQ$23&lt;&gt;""),IF(EOMONTH($AP$3+INT((DAY(EOMONTH($AP$3,0))-1)/2)+AQ$23,0)=EOMONTH($AX$3,0),AQ$26,0),0),IF(AND(AM$26&lt;&gt;"",AM$23&lt;&gt;""),IF(EOMONTH($AL$3+INT((DAY(EOMONTH($AL$3,0))-1)/2)+AM$23,0)=EOMONTH($AX$3,0),AM$26,0),0),IF(AND(AI$26&lt;&gt;"",AI$23&lt;&gt;""),IF(EOMONTH($AH$3+INT((DAY(EOMONTH($AH$3,0))-1)/2)+AI$23,0)=EOMONTH($AX$3,0),AI$26,0),0),IF(AND(AE$26&lt;&gt;"",AE$23&lt;&gt;""),IF(EOMONTH($AD$3+INT((DAY(EOMONTH($AD$3,0))-1)/2)+AE$23,0)=EOMONTH($AX$3,0),AE$26,0),0),IF(AND(AA$26&lt;&gt;"",AA$23&lt;&gt;""),IF(EOMONTH($Z$3+INT((DAY(EOMONTH($Z$3,0))-1)/2)+AA$23,0)=EOMONTH($AX$3,0),AA$26,0),0),IF(AND(W$26&lt;&gt;"",W$23&lt;&gt;""),IF(EOMONTH($V$3+INT((DAY(EOMONTH($V$3,0))-1)/2)+W$23,0)=EOMONTH($AX$3,0),W$26,0),0),IF(AND(S$26&lt;&gt;"",S$23&lt;&gt;""),IF(EOMONTH($R$3+INT((DAY(EOMONTH($R$3,0))-1)/2)+S$23,0)=EOMONTH($AX$3,0),S$26,0),0),IF(AND(O$26&lt;&gt;"",O$23&lt;&gt;""),IF(EOMONTH($N$3+INT((DAY(EOMONTH($N$3,0))-1)/2)+O$23,0)=EOMONTH($AX$3,0),O$26,0),0),IF(AND(K$26&lt;&gt;"",K$23&lt;&gt;""),IF(EOMONTH($J$3+INT((DAY(EOMONTH($J$3,0))-1)/2)+K$23,0)=EOMONTH($AX$3,0),K$26,0),0),IF(AND(G$26&lt;&gt;"",G$23&lt;&gt;""),IF(EOMONTH($F$3+INT((DAY(EOMONTH($F$3,0))-1)/2)+G$23,0)=EOMONTH($AX$3,0),G$26,0),0),IF($EP$75="",0,IF(EOMONTH($EP$75+EQ$23,0)=EOMONTH($AX$3,0),$EP$78*EQ$13,0))),0))</f>
        <v>120000</v>
      </c>
      <c r="AZ57" s="32">
        <f>ROUND(SUM(IF(AND(ER$26&lt;&gt;"",ER$23&lt;&gt;""),IF(EOMONTH($EP$3+INT((DAY(EOMONTH($EP$3,0))-1)/2)+ER$23,0)=EOMONTH($AX$3,0),ER$26,0),0),IF(AND(EN$26&lt;&gt;"",EN$23&lt;&gt;""),IF(EOMONTH($EL$3+INT((DAY(EOMONTH($EL$3,0))-1)/2)+EN$23,0)=EOMONTH($AX$3,0),EN$26,0),0),IF(AND(EJ$26&lt;&gt;"",EJ$23&lt;&gt;""),IF(EOMONTH($EH$3+INT((DAY(EOMONTH($EH$3,0))-1)/2)+EJ$23,0)=EOMONTH($AX$3,0),EJ$26,0),0),IF(AND(EF$26&lt;&gt;"",EF$23&lt;&gt;""),IF(EOMONTH($ED$3+INT((DAY(EOMONTH($ED$3,0))-1)/2)+EF$23,0)=EOMONTH($AX$3,0),EF$26,0),0),IF(AND(EB$26&lt;&gt;"",EB$23&lt;&gt;""),IF(EOMONTH($DZ$3+INT((DAY(EOMONTH($DZ$3,0))-1)/2)+EB$23,0)=EOMONTH($AX$3,0),EB$26,0),0),IF(AND(DX$26&lt;&gt;"",DX$23&lt;&gt;""),IF(EOMONTH($DV$3+INT((DAY(EOMONTH($DV$3,0))-1)/2)+DX$23,0)=EOMONTH($AX$3,0),DX$26,0),0),IF(AND(DT$26&lt;&gt;"",DT$23&lt;&gt;""),IF(EOMONTH($DR$3+INT((DAY(EOMONTH($DR$3,0))-1)/2)+DT$23,0)=EOMONTH($AX$3,0),DT$26,0),0),IF(AND(DP$26&lt;&gt;"",DP$23&lt;&gt;""),IF(EOMONTH($DN$3+INT((DAY(EOMONTH($DN$3,0))-1)/2)+DP$23,0)=EOMONTH($AX$3,0),DP$26,0),0),IF(AND(DL$26&lt;&gt;"",DL$23&lt;&gt;""),IF(EOMONTH($DJ$3+INT((DAY(EOMONTH($DJ$3,0))-1)/2)+DL$23,0)=EOMONTH($AX$3,0),DL$26,0),0),IF(AND(DH$26&lt;&gt;"",DH$23&lt;&gt;""),IF(EOMONTH($DF$3+INT((DAY(EOMONTH($DF$3,0))-1)/2)+DH$23,0)=EOMONTH($AX$3,0),DH$26,0),0),IF(AND(DD$26&lt;&gt;"",DD$23&lt;&gt;""),IF(EOMONTH($DB$3+INT((DAY(EOMONTH($DB$3,0))-1)/2)+DD$23,0)=EOMONTH($AX$3,0),DD$26,0),0),IF(AND(CZ$26&lt;&gt;"",CZ$23&lt;&gt;""),IF(EOMONTH($CX$3+INT((DAY(EOMONTH($CX$3,0))-1)/2)+CZ$23,0)=EOMONTH($AX$3,0),CZ$26,0),0),IF(AND(CV$26&lt;&gt;"",CV$23&lt;&gt;""),IF(EOMONTH($CT$3+INT((DAY(EOMONTH($CT$3,0))-1)/2)+CV$23,0)=EOMONTH($AX$3,0),CV$26,0),0),IF(AND(CR$26&lt;&gt;"",CR$23&lt;&gt;""),IF(EOMONTH($CP$3+INT((DAY(EOMONTH($CP$3,0))-1)/2)+CR$23,0)=EOMONTH($AX$3,0),CR$26,0),0),IF(AND(CN$26&lt;&gt;"",CN$23&lt;&gt;""),IF(EOMONTH($CL$3+INT((DAY(EOMONTH($CL$3,0))-1)/2)+CN$23,0)=EOMONTH($AX$3,0),CN$26,0),0),IF(AND(CJ$26&lt;&gt;"",CJ$23&lt;&gt;""),IF(EOMONTH($CH$3+INT((DAY(EOMONTH($CH$3,0))-1)/2)+CJ$23,0)=EOMONTH($AX$3,0),CJ$26,0),0),IF(AND(CF$26&lt;&gt;"",CF$23&lt;&gt;""),IF(EOMONTH($CD$3+INT((DAY(EOMONTH($CD$3,0))-1)/2)+CF$23,0)=EOMONTH($AX$3,0),CF$26,0),0),IF(AND(CB$26&lt;&gt;"",CB$23&lt;&gt;""),IF(EOMONTH($BZ$3+INT((DAY(EOMONTH($BZ$3,0))-1)/2)+CB$23,0)=EOMONTH($AX$3,0),CB$26,0),0),IF(AND(BX$26&lt;&gt;"",BX$23&lt;&gt;""),IF(EOMONTH($BV$3+INT((DAY(EOMONTH($BV$3,0))-1)/2)+BX$23,0)=EOMONTH($AX$3,0),BX$26,0),0),IF(AND(BT$26&lt;&gt;"",BT$23&lt;&gt;""),IF(EOMONTH($BR$3+INT((DAY(EOMONTH($BR$3,0))-1)/2)+BT$23,0)=EOMONTH($AX$3,0),BT$26,0),0),IF(AND(BP$26&lt;&gt;"",BP$23&lt;&gt;""),IF(EOMONTH($BN$3+INT((DAY(EOMONTH($BN$3,0))-1)/2)+BP$23,0)=EOMONTH($AX$3,0),BP$26,0),0),IF(AND(BL$26&lt;&gt;"",BL$23&lt;&gt;""),IF(EOMONTH($BJ$3+INT((DAY(EOMONTH($BJ$3,0))-1)/2)+BL$23,0)=EOMONTH($AX$3,0),BL$26,0),0),IF(AND(BH$26&lt;&gt;"",BH$23&lt;&gt;""),IF(EOMONTH($BF$3+INT((DAY(EOMONTH($BF$3,0))-1)/2)+BH$23,0)=EOMONTH($AX$3,0),BH$26,0),0),IF(AND(BD$26&lt;&gt;"",BD$23&lt;&gt;""),IF(EOMONTH($BB$3+INT((DAY(EOMONTH($BB$3,0))-1)/2)+BD$23,0)=EOMONTH($AX$3,0),BD$26,0),0),IF(AND(AZ$26&lt;&gt;"",AZ$23&lt;&gt;""),IF(EOMONTH($AX$3+INT((DAY(EOMONTH($AX$3,0))-1)/2)+AZ$23,0)=EOMONTH($AX$3,0),AZ$26,0),0),IF(AND(AV$26&lt;&gt;"",AV$23&lt;&gt;""),IF(EOMONTH($AT$3+INT((DAY(EOMONTH($AT$3,0))-1)/2)+AV$23,0)=EOMONTH($AX$3,0),AV$26,0),0),IF(AND(AR$26&lt;&gt;"",AR$23&lt;&gt;""),IF(EOMONTH($AP$3+INT((DAY(EOMONTH($AP$3,0))-1)/2)+AR$23,0)=EOMONTH($AX$3,0),AR$26,0),0),IF(AND(AN$26&lt;&gt;"",AN$23&lt;&gt;""),IF(EOMONTH($AL$3+INT((DAY(EOMONTH($AL$3,0))-1)/2)+AN$23,0)=EOMONTH($AX$3,0),AN$26,0),0),IF(AND(AJ$26&lt;&gt;"",AJ$23&lt;&gt;""),IF(EOMONTH($AH$3+INT((DAY(EOMONTH($AH$3,0))-1)/2)+AJ$23,0)=EOMONTH($AX$3,0),AJ$26,0),0),IF(AND(AF$26&lt;&gt;"",AF$23&lt;&gt;""),IF(EOMONTH($AD$3+INT((DAY(EOMONTH($AD$3,0))-1)/2)+AF$23,0)=EOMONTH($AX$3,0),AF$26,0),0),IF(AND(AB$26&lt;&gt;"",AB$23&lt;&gt;""),IF(EOMONTH($Z$3+INT((DAY(EOMONTH($Z$3,0))-1)/2)+AB$23,0)=EOMONTH($AX$3,0),AB$26,0),0),IF(AND(X$26&lt;&gt;"",X$23&lt;&gt;""),IF(EOMONTH($V$3+INT((DAY(EOMONTH($V$3,0))-1)/2)+X$23,0)=EOMONTH($AX$3,0),X$26,0),0),IF(AND(T$26&lt;&gt;"",T$23&lt;&gt;""),IF(EOMONTH($R$3+INT((DAY(EOMONTH($R$3,0))-1)/2)+T$23,0)=EOMONTH($AX$3,0),T$26,0),0),IF(AND(P$26&lt;&gt;"",P$23&lt;&gt;""),IF(EOMONTH($N$3+INT((DAY(EOMONTH($N$3,0))-1)/2)+P$23,0)=EOMONTH($AX$3,0),P$26,0),0),IF(AND(L$26&lt;&gt;"",L$23&lt;&gt;""),IF(EOMONTH($J$3+INT((DAY(EOMONTH($J$3,0))-1)/2)+L$23,0)=EOMONTH($AX$3,0),L$26,0),0),IF(AND(H$26&lt;&gt;"",H$23&lt;&gt;""),IF(EOMONTH($F$3+INT((DAY(EOMONTH($F$3,0))-1)/2)+H$23,0)=EOMONTH($AX$3,0),H$26,0),0),IF($EP$75="",0,IF(EOMONTH($EP$75+ER$23,0)=EOMONTH($AX$3,0),$EP$78*ER$13,0))),0)</f>
        <v>120000</v>
      </c>
      <c r="BA57" s="33">
        <f t="shared" ref="BA57:BA70" si="724">IFERROR(IF(OR(AY57="",AZ57=""),"",AY57-AZ57),"")</f>
        <v>0</v>
      </c>
      <c r="BB57" s="34"/>
      <c r="BC57" s="31">
        <f>IF(BB$98=1,BB57,ROUND(SUM(IF(AND(EQ$26&lt;&gt;"",EQ$23&lt;&gt;""),IF(EOMONTH($EP$3+INT((DAY(EOMONTH($EP$3,0))-1)/2)+EQ$23,0)=EOMONTH($BB$3,0),EQ$26,0),0),IF(AND(EM$26&lt;&gt;"",EM$23&lt;&gt;""),IF(EOMONTH($EL$3+INT((DAY(EOMONTH($EL$3,0))-1)/2)+EM$23,0)=EOMONTH($BB$3,0),EM$26,0),0),IF(AND(EI$26&lt;&gt;"",EI$23&lt;&gt;""),IF(EOMONTH($EH$3+INT((DAY(EOMONTH($EH$3,0))-1)/2)+EI$23,0)=EOMONTH($BB$3,0),EI$26,0),0),IF(AND(EE$26&lt;&gt;"",EE$23&lt;&gt;""),IF(EOMONTH($ED$3+INT((DAY(EOMONTH($ED$3,0))-1)/2)+EE$23,0)=EOMONTH($BB$3,0),EE$26,0),0),IF(AND(EA$26&lt;&gt;"",EA$23&lt;&gt;""),IF(EOMONTH($DZ$3+INT((DAY(EOMONTH($DZ$3,0))-1)/2)+EA$23,0)=EOMONTH($BB$3,0),EA$26,0),0),IF(AND(DW$26&lt;&gt;"",DW$23&lt;&gt;""),IF(EOMONTH($DV$3+INT((DAY(EOMONTH($DV$3,0))-1)/2)+DW$23,0)=EOMONTH($BB$3,0),DW$26,0),0),IF(AND(DS$26&lt;&gt;"",DS$23&lt;&gt;""),IF(EOMONTH($DR$3+INT((DAY(EOMONTH($DR$3,0))-1)/2)+DS$23,0)=EOMONTH($BB$3,0),DS$26,0),0),IF(AND(DO$26&lt;&gt;"",DO$23&lt;&gt;""),IF(EOMONTH($DN$3+INT((DAY(EOMONTH($DN$3,0))-1)/2)+DO$23,0)=EOMONTH($BB$3,0),DO$26,0),0),IF(AND(DK$26&lt;&gt;"",DK$23&lt;&gt;""),IF(EOMONTH($DJ$3+INT((DAY(EOMONTH($DJ$3,0))-1)/2)+DK$23,0)=EOMONTH($BB$3,0),DK$26,0),0),IF(AND(DG$26&lt;&gt;"",DG$23&lt;&gt;""),IF(EOMONTH($DF$3+INT((DAY(EOMONTH($DF$3,0))-1)/2)+DG$23,0)=EOMONTH($BB$3,0),DG$26,0),0),IF(AND(DC$26&lt;&gt;"",DC$23&lt;&gt;""),IF(EOMONTH($DB$3+INT((DAY(EOMONTH($DB$3,0))-1)/2)+DC$23,0)=EOMONTH($BB$3,0),DC$26,0),0),IF(AND(CY$26&lt;&gt;"",CY$23&lt;&gt;""),IF(EOMONTH($CX$3+INT((DAY(EOMONTH($CX$3,0))-1)/2)+CY$23,0)=EOMONTH($BB$3,0),CY$26,0),0),IF(AND(CU$26&lt;&gt;"",CU$23&lt;&gt;""),IF(EOMONTH($CT$3+INT((DAY(EOMONTH($CT$3,0))-1)/2)+CU$23,0)=EOMONTH($BB$3,0),CU$26,0),0),IF(AND(CQ$26&lt;&gt;"",CQ$23&lt;&gt;""),IF(EOMONTH($CP$3+INT((DAY(EOMONTH($CP$3,0))-1)/2)+CQ$23,0)=EOMONTH($BB$3,0),CQ$26,0),0),IF(AND(CM$26&lt;&gt;"",CM$23&lt;&gt;""),IF(EOMONTH($CL$3+INT((DAY(EOMONTH($CL$3,0))-1)/2)+CM$23,0)=EOMONTH($BB$3,0),CM$26,0),0),IF(AND(CI$26&lt;&gt;"",CI$23&lt;&gt;""),IF(EOMONTH($CH$3+INT((DAY(EOMONTH($CH$3,0))-1)/2)+CI$23,0)=EOMONTH($BB$3,0),CI$26,0),0),IF(AND(CE$26&lt;&gt;"",CE$23&lt;&gt;""),IF(EOMONTH($CD$3+INT((DAY(EOMONTH($CD$3,0))-1)/2)+CE$23,0)=EOMONTH($BB$3,0),CE$26,0),0),IF(AND(CA$26&lt;&gt;"",CA$23&lt;&gt;""),IF(EOMONTH($BZ$3+INT((DAY(EOMONTH($BZ$3,0))-1)/2)+CA$23,0)=EOMONTH($BB$3,0),CA$26,0),0),IF(AND(BW$26&lt;&gt;"",BW$23&lt;&gt;""),IF(EOMONTH($BV$3+INT((DAY(EOMONTH($BV$3,0))-1)/2)+BW$23,0)=EOMONTH($BB$3,0),BW$26,0),0),IF(AND(BS$26&lt;&gt;"",BS$23&lt;&gt;""),IF(EOMONTH($BR$3+INT((DAY(EOMONTH($BR$3,0))-1)/2)+BS$23,0)=EOMONTH($BB$3,0),BS$26,0),0),IF(AND(BO$26&lt;&gt;"",BO$23&lt;&gt;""),IF(EOMONTH($BN$3+INT((DAY(EOMONTH($BN$3,0))-1)/2)+BO$23,0)=EOMONTH($BB$3,0),BO$26,0),0),IF(AND(BK$26&lt;&gt;"",BK$23&lt;&gt;""),IF(EOMONTH($BJ$3+INT((DAY(EOMONTH($BJ$3,0))-1)/2)+BK$23,0)=EOMONTH($BB$3,0),BK$26,0),0),IF(AND(BG$26&lt;&gt;"",BG$23&lt;&gt;""),IF(EOMONTH($BF$3+INT((DAY(EOMONTH($BF$3,0))-1)/2)+BG$23,0)=EOMONTH($BB$3,0),BG$26,0),0),IF(AND(BC$26&lt;&gt;"",BC$23&lt;&gt;""),IF(EOMONTH($BB$3+INT((DAY(EOMONTH($BB$3,0))-1)/2)+BC$23,0)=EOMONTH($BB$3,0),BC$26,0),0),IF(AND(AY$26&lt;&gt;"",AY$23&lt;&gt;""),IF(EOMONTH($AX$3+INT((DAY(EOMONTH($AX$3,0))-1)/2)+AY$23,0)=EOMONTH($BB$3,0),AY$26,0),0),IF(AND(AU$26&lt;&gt;"",AU$23&lt;&gt;""),IF(EOMONTH($AT$3+INT((DAY(EOMONTH($AT$3,0))-1)/2)+AU$23,0)=EOMONTH($BB$3,0),AU$26,0),0),IF(AND(AQ$26&lt;&gt;"",AQ$23&lt;&gt;""),IF(EOMONTH($AP$3+INT((DAY(EOMONTH($AP$3,0))-1)/2)+AQ$23,0)=EOMONTH($BB$3,0),AQ$26,0),0),IF(AND(AM$26&lt;&gt;"",AM$23&lt;&gt;""),IF(EOMONTH($AL$3+INT((DAY(EOMONTH($AL$3,0))-1)/2)+AM$23,0)=EOMONTH($BB$3,0),AM$26,0),0),IF(AND(AI$26&lt;&gt;"",AI$23&lt;&gt;""),IF(EOMONTH($AH$3+INT((DAY(EOMONTH($AH$3,0))-1)/2)+AI$23,0)=EOMONTH($BB$3,0),AI$26,0),0),IF(AND(AE$26&lt;&gt;"",AE$23&lt;&gt;""),IF(EOMONTH($AD$3+INT((DAY(EOMONTH($AD$3,0))-1)/2)+AE$23,0)=EOMONTH($BB$3,0),AE$26,0),0),IF(AND(AA$26&lt;&gt;"",AA$23&lt;&gt;""),IF(EOMONTH($Z$3+INT((DAY(EOMONTH($Z$3,0))-1)/2)+AA$23,0)=EOMONTH($BB$3,0),AA$26,0),0),IF(AND(W$26&lt;&gt;"",W$23&lt;&gt;""),IF(EOMONTH($V$3+INT((DAY(EOMONTH($V$3,0))-1)/2)+W$23,0)=EOMONTH($BB$3,0),W$26,0),0),IF(AND(S$26&lt;&gt;"",S$23&lt;&gt;""),IF(EOMONTH($R$3+INT((DAY(EOMONTH($R$3,0))-1)/2)+S$23,0)=EOMONTH($BB$3,0),S$26,0),0),IF(AND(O$26&lt;&gt;"",O$23&lt;&gt;""),IF(EOMONTH($N$3+INT((DAY(EOMONTH($N$3,0))-1)/2)+O$23,0)=EOMONTH($BB$3,0),O$26,0),0),IF(AND(K$26&lt;&gt;"",K$23&lt;&gt;""),IF(EOMONTH($J$3+INT((DAY(EOMONTH($J$3,0))-1)/2)+K$23,0)=EOMONTH($BB$3,0),K$26,0),0),IF(AND(G$26&lt;&gt;"",G$23&lt;&gt;""),IF(EOMONTH($F$3+INT((DAY(EOMONTH($F$3,0))-1)/2)+G$23,0)=EOMONTH($BB$3,0),G$26,0),0),IF($EP$75="",0,IF(EOMONTH($EP$75+EQ$23,0)=EOMONTH($BB$3,0),$EP$78*EQ$13,0))),0))</f>
        <v>120000</v>
      </c>
      <c r="BD57" s="32">
        <f>ROUND(SUM(IF(AND(ER$26&lt;&gt;"",ER$23&lt;&gt;""),IF(EOMONTH($EP$3+INT((DAY(EOMONTH($EP$3,0))-1)/2)+ER$23,0)=EOMONTH($BB$3,0),ER$26,0),0),IF(AND(EN$26&lt;&gt;"",EN$23&lt;&gt;""),IF(EOMONTH($EL$3+INT((DAY(EOMONTH($EL$3,0))-1)/2)+EN$23,0)=EOMONTH($BB$3,0),EN$26,0),0),IF(AND(EJ$26&lt;&gt;"",EJ$23&lt;&gt;""),IF(EOMONTH($EH$3+INT((DAY(EOMONTH($EH$3,0))-1)/2)+EJ$23,0)=EOMONTH($BB$3,0),EJ$26,0),0),IF(AND(EF$26&lt;&gt;"",EF$23&lt;&gt;""),IF(EOMONTH($ED$3+INT((DAY(EOMONTH($ED$3,0))-1)/2)+EF$23,0)=EOMONTH($BB$3,0),EF$26,0),0),IF(AND(EB$26&lt;&gt;"",EB$23&lt;&gt;""),IF(EOMONTH($DZ$3+INT((DAY(EOMONTH($DZ$3,0))-1)/2)+EB$23,0)=EOMONTH($BB$3,0),EB$26,0),0),IF(AND(DX$26&lt;&gt;"",DX$23&lt;&gt;""),IF(EOMONTH($DV$3+INT((DAY(EOMONTH($DV$3,0))-1)/2)+DX$23,0)=EOMONTH($BB$3,0),DX$26,0),0),IF(AND(DT$26&lt;&gt;"",DT$23&lt;&gt;""),IF(EOMONTH($DR$3+INT((DAY(EOMONTH($DR$3,0))-1)/2)+DT$23,0)=EOMONTH($BB$3,0),DT$26,0),0),IF(AND(DP$26&lt;&gt;"",DP$23&lt;&gt;""),IF(EOMONTH($DN$3+INT((DAY(EOMONTH($DN$3,0))-1)/2)+DP$23,0)=EOMONTH($BB$3,0),DP$26,0),0),IF(AND(DL$26&lt;&gt;"",DL$23&lt;&gt;""),IF(EOMONTH($DJ$3+INT((DAY(EOMONTH($DJ$3,0))-1)/2)+DL$23,0)=EOMONTH($BB$3,0),DL$26,0),0),IF(AND(DH$26&lt;&gt;"",DH$23&lt;&gt;""),IF(EOMONTH($DF$3+INT((DAY(EOMONTH($DF$3,0))-1)/2)+DH$23,0)=EOMONTH($BB$3,0),DH$26,0),0),IF(AND(DD$26&lt;&gt;"",DD$23&lt;&gt;""),IF(EOMONTH($DB$3+INT((DAY(EOMONTH($DB$3,0))-1)/2)+DD$23,0)=EOMONTH($BB$3,0),DD$26,0),0),IF(AND(CZ$26&lt;&gt;"",CZ$23&lt;&gt;""),IF(EOMONTH($CX$3+INT((DAY(EOMONTH($CX$3,0))-1)/2)+CZ$23,0)=EOMONTH($BB$3,0),CZ$26,0),0),IF(AND(CV$26&lt;&gt;"",CV$23&lt;&gt;""),IF(EOMONTH($CT$3+INT((DAY(EOMONTH($CT$3,0))-1)/2)+CV$23,0)=EOMONTH($BB$3,0),CV$26,0),0),IF(AND(CR$26&lt;&gt;"",CR$23&lt;&gt;""),IF(EOMONTH($CP$3+INT((DAY(EOMONTH($CP$3,0))-1)/2)+CR$23,0)=EOMONTH($BB$3,0),CR$26,0),0),IF(AND(CN$26&lt;&gt;"",CN$23&lt;&gt;""),IF(EOMONTH($CL$3+INT((DAY(EOMONTH($CL$3,0))-1)/2)+CN$23,0)=EOMONTH($BB$3,0),CN$26,0),0),IF(AND(CJ$26&lt;&gt;"",CJ$23&lt;&gt;""),IF(EOMONTH($CH$3+INT((DAY(EOMONTH($CH$3,0))-1)/2)+CJ$23,0)=EOMONTH($BB$3,0),CJ$26,0),0),IF(AND(CF$26&lt;&gt;"",CF$23&lt;&gt;""),IF(EOMONTH($CD$3+INT((DAY(EOMONTH($CD$3,0))-1)/2)+CF$23,0)=EOMONTH($BB$3,0),CF$26,0),0),IF(AND(CB$26&lt;&gt;"",CB$23&lt;&gt;""),IF(EOMONTH($BZ$3+INT((DAY(EOMONTH($BZ$3,0))-1)/2)+CB$23,0)=EOMONTH($BB$3,0),CB$26,0),0),IF(AND(BX$26&lt;&gt;"",BX$23&lt;&gt;""),IF(EOMONTH($BV$3+INT((DAY(EOMONTH($BV$3,0))-1)/2)+BX$23,0)=EOMONTH($BB$3,0),BX$26,0),0),IF(AND(BT$26&lt;&gt;"",BT$23&lt;&gt;""),IF(EOMONTH($BR$3+INT((DAY(EOMONTH($BR$3,0))-1)/2)+BT$23,0)=EOMONTH($BB$3,0),BT$26,0),0),IF(AND(BP$26&lt;&gt;"",BP$23&lt;&gt;""),IF(EOMONTH($BN$3+INT((DAY(EOMONTH($BN$3,0))-1)/2)+BP$23,0)=EOMONTH($BB$3,0),BP$26,0),0),IF(AND(BL$26&lt;&gt;"",BL$23&lt;&gt;""),IF(EOMONTH($BJ$3+INT((DAY(EOMONTH($BJ$3,0))-1)/2)+BL$23,0)=EOMONTH($BB$3,0),BL$26,0),0),IF(AND(BH$26&lt;&gt;"",BH$23&lt;&gt;""),IF(EOMONTH($BF$3+INT((DAY(EOMONTH($BF$3,0))-1)/2)+BH$23,0)=EOMONTH($BB$3,0),BH$26,0),0),IF(AND(BD$26&lt;&gt;"",BD$23&lt;&gt;""),IF(EOMONTH($BB$3+INT((DAY(EOMONTH($BB$3,0))-1)/2)+BD$23,0)=EOMONTH($BB$3,0),BD$26,0),0),IF(AND(AZ$26&lt;&gt;"",AZ$23&lt;&gt;""),IF(EOMONTH($AX$3+INT((DAY(EOMONTH($AX$3,0))-1)/2)+AZ$23,0)=EOMONTH($BB$3,0),AZ$26,0),0),IF(AND(AV$26&lt;&gt;"",AV$23&lt;&gt;""),IF(EOMONTH($AT$3+INT((DAY(EOMONTH($AT$3,0))-1)/2)+AV$23,0)=EOMONTH($BB$3,0),AV$26,0),0),IF(AND(AR$26&lt;&gt;"",AR$23&lt;&gt;""),IF(EOMONTH($AP$3+INT((DAY(EOMONTH($AP$3,0))-1)/2)+AR$23,0)=EOMONTH($BB$3,0),AR$26,0),0),IF(AND(AN$26&lt;&gt;"",AN$23&lt;&gt;""),IF(EOMONTH($AL$3+INT((DAY(EOMONTH($AL$3,0))-1)/2)+AN$23,0)=EOMONTH($BB$3,0),AN$26,0),0),IF(AND(AJ$26&lt;&gt;"",AJ$23&lt;&gt;""),IF(EOMONTH($AH$3+INT((DAY(EOMONTH($AH$3,0))-1)/2)+AJ$23,0)=EOMONTH($BB$3,0),AJ$26,0),0),IF(AND(AF$26&lt;&gt;"",AF$23&lt;&gt;""),IF(EOMONTH($AD$3+INT((DAY(EOMONTH($AD$3,0))-1)/2)+AF$23,0)=EOMONTH($BB$3,0),AF$26,0),0),IF(AND(AB$26&lt;&gt;"",AB$23&lt;&gt;""),IF(EOMONTH($Z$3+INT((DAY(EOMONTH($Z$3,0))-1)/2)+AB$23,0)=EOMONTH($BB$3,0),AB$26,0),0),IF(AND(X$26&lt;&gt;"",X$23&lt;&gt;""),IF(EOMONTH($V$3+INT((DAY(EOMONTH($V$3,0))-1)/2)+X$23,0)=EOMONTH($BB$3,0),X$26,0),0),IF(AND(T$26&lt;&gt;"",T$23&lt;&gt;""),IF(EOMONTH($R$3+INT((DAY(EOMONTH($R$3,0))-1)/2)+T$23,0)=EOMONTH($BB$3,0),T$26,0),0),IF(AND(P$26&lt;&gt;"",P$23&lt;&gt;""),IF(EOMONTH($N$3+INT((DAY(EOMONTH($N$3,0))-1)/2)+P$23,0)=EOMONTH($BB$3,0),P$26,0),0),IF(AND(L$26&lt;&gt;"",L$23&lt;&gt;""),IF(EOMONTH($J$3+INT((DAY(EOMONTH($J$3,0))-1)/2)+L$23,0)=EOMONTH($BB$3,0),L$26,0),0),IF(AND(H$26&lt;&gt;"",H$23&lt;&gt;""),IF(EOMONTH($F$3+INT((DAY(EOMONTH($F$3,0))-1)/2)+H$23,0)=EOMONTH($BB$3,0),H$26,0),0),IF($EP$75="",0,IF(EOMONTH($EP$75+ER$23,0)=EOMONTH($BB$3,0),$EP$78*ER$13,0))),0)</f>
        <v>120000</v>
      </c>
      <c r="BE57" s="33">
        <f t="shared" ref="BE57:BE70" si="726">IFERROR(IF(OR(BC57="",BD57=""),"",BC57-BD57),"")</f>
        <v>0</v>
      </c>
      <c r="BF57" s="34"/>
      <c r="BG57" s="31">
        <f>IF(BF$98=1,BF57,ROUND(SUM(IF(AND(EQ$26&lt;&gt;"",EQ$23&lt;&gt;""),IF(EOMONTH($EP$3+INT((DAY(EOMONTH($EP$3,0))-1)/2)+EQ$23,0)=EOMONTH($BF$3,0),EQ$26,0),0),IF(AND(EM$26&lt;&gt;"",EM$23&lt;&gt;""),IF(EOMONTH($EL$3+INT((DAY(EOMONTH($EL$3,0))-1)/2)+EM$23,0)=EOMONTH($BF$3,0),EM$26,0),0),IF(AND(EI$26&lt;&gt;"",EI$23&lt;&gt;""),IF(EOMONTH($EH$3+INT((DAY(EOMONTH($EH$3,0))-1)/2)+EI$23,0)=EOMONTH($BF$3,0),EI$26,0),0),IF(AND(EE$26&lt;&gt;"",EE$23&lt;&gt;""),IF(EOMONTH($ED$3+INT((DAY(EOMONTH($ED$3,0))-1)/2)+EE$23,0)=EOMONTH($BF$3,0),EE$26,0),0),IF(AND(EA$26&lt;&gt;"",EA$23&lt;&gt;""),IF(EOMONTH($DZ$3+INT((DAY(EOMONTH($DZ$3,0))-1)/2)+EA$23,0)=EOMONTH($BF$3,0),EA$26,0),0),IF(AND(DW$26&lt;&gt;"",DW$23&lt;&gt;""),IF(EOMONTH($DV$3+INT((DAY(EOMONTH($DV$3,0))-1)/2)+DW$23,0)=EOMONTH($BF$3,0),DW$26,0),0),IF(AND(DS$26&lt;&gt;"",DS$23&lt;&gt;""),IF(EOMONTH($DR$3+INT((DAY(EOMONTH($DR$3,0))-1)/2)+DS$23,0)=EOMONTH($BF$3,0),DS$26,0),0),IF(AND(DO$26&lt;&gt;"",DO$23&lt;&gt;""),IF(EOMONTH($DN$3+INT((DAY(EOMONTH($DN$3,0))-1)/2)+DO$23,0)=EOMONTH($BF$3,0),DO$26,0),0),IF(AND(DK$26&lt;&gt;"",DK$23&lt;&gt;""),IF(EOMONTH($DJ$3+INT((DAY(EOMONTH($DJ$3,0))-1)/2)+DK$23,0)=EOMONTH($BF$3,0),DK$26,0),0),IF(AND(DG$26&lt;&gt;"",DG$23&lt;&gt;""),IF(EOMONTH($DF$3+INT((DAY(EOMONTH($DF$3,0))-1)/2)+DG$23,0)=EOMONTH($BF$3,0),DG$26,0),0),IF(AND(DC$26&lt;&gt;"",DC$23&lt;&gt;""),IF(EOMONTH($DB$3+INT((DAY(EOMONTH($DB$3,0))-1)/2)+DC$23,0)=EOMONTH($BF$3,0),DC$26,0),0),IF(AND(CY$26&lt;&gt;"",CY$23&lt;&gt;""),IF(EOMONTH($CX$3+INT((DAY(EOMONTH($CX$3,0))-1)/2)+CY$23,0)=EOMONTH($BF$3,0),CY$26,0),0),IF(AND(CU$26&lt;&gt;"",CU$23&lt;&gt;""),IF(EOMONTH($CT$3+INT((DAY(EOMONTH($CT$3,0))-1)/2)+CU$23,0)=EOMONTH($BF$3,0),CU$26,0),0),IF(AND(CQ$26&lt;&gt;"",CQ$23&lt;&gt;""),IF(EOMONTH($CP$3+INT((DAY(EOMONTH($CP$3,0))-1)/2)+CQ$23,0)=EOMONTH($BF$3,0),CQ$26,0),0),IF(AND(CM$26&lt;&gt;"",CM$23&lt;&gt;""),IF(EOMONTH($CL$3+INT((DAY(EOMONTH($CL$3,0))-1)/2)+CM$23,0)=EOMONTH($BF$3,0),CM$26,0),0),IF(AND(CI$26&lt;&gt;"",CI$23&lt;&gt;""),IF(EOMONTH($CH$3+INT((DAY(EOMONTH($CH$3,0))-1)/2)+CI$23,0)=EOMONTH($BF$3,0),CI$26,0),0),IF(AND(CE$26&lt;&gt;"",CE$23&lt;&gt;""),IF(EOMONTH($CD$3+INT((DAY(EOMONTH($CD$3,0))-1)/2)+CE$23,0)=EOMONTH($BF$3,0),CE$26,0),0),IF(AND(CA$26&lt;&gt;"",CA$23&lt;&gt;""),IF(EOMONTH($BZ$3+INT((DAY(EOMONTH($BZ$3,0))-1)/2)+CA$23,0)=EOMONTH($BF$3,0),CA$26,0),0),IF(AND(BW$26&lt;&gt;"",BW$23&lt;&gt;""),IF(EOMONTH($BV$3+INT((DAY(EOMONTH($BV$3,0))-1)/2)+BW$23,0)=EOMONTH($BF$3,0),BW$26,0),0),IF(AND(BS$26&lt;&gt;"",BS$23&lt;&gt;""),IF(EOMONTH($BR$3+INT((DAY(EOMONTH($BR$3,0))-1)/2)+BS$23,0)=EOMONTH($BF$3,0),BS$26,0),0),IF(AND(BO$26&lt;&gt;"",BO$23&lt;&gt;""),IF(EOMONTH($BN$3+INT((DAY(EOMONTH($BN$3,0))-1)/2)+BO$23,0)=EOMONTH($BF$3,0),BO$26,0),0),IF(AND(BK$26&lt;&gt;"",BK$23&lt;&gt;""),IF(EOMONTH($BJ$3+INT((DAY(EOMONTH($BJ$3,0))-1)/2)+BK$23,0)=EOMONTH($BF$3,0),BK$26,0),0),IF(AND(BG$26&lt;&gt;"",BG$23&lt;&gt;""),IF(EOMONTH($BF$3+INT((DAY(EOMONTH($BF$3,0))-1)/2)+BG$23,0)=EOMONTH($BF$3,0),BG$26,0),0),IF(AND(BC$26&lt;&gt;"",BC$23&lt;&gt;""),IF(EOMONTH($BB$3+INT((DAY(EOMONTH($BB$3,0))-1)/2)+BC$23,0)=EOMONTH($BF$3,0),BC$26,0),0),IF(AND(AY$26&lt;&gt;"",AY$23&lt;&gt;""),IF(EOMONTH($AX$3+INT((DAY(EOMONTH($AX$3,0))-1)/2)+AY$23,0)=EOMONTH($BF$3,0),AY$26,0),0),IF(AND(AU$26&lt;&gt;"",AU$23&lt;&gt;""),IF(EOMONTH($AT$3+INT((DAY(EOMONTH($AT$3,0))-1)/2)+AU$23,0)=EOMONTH($BF$3,0),AU$26,0),0),IF(AND(AQ$26&lt;&gt;"",AQ$23&lt;&gt;""),IF(EOMONTH($AP$3+INT((DAY(EOMONTH($AP$3,0))-1)/2)+AQ$23,0)=EOMONTH($BF$3,0),AQ$26,0),0),IF(AND(AM$26&lt;&gt;"",AM$23&lt;&gt;""),IF(EOMONTH($AL$3+INT((DAY(EOMONTH($AL$3,0))-1)/2)+AM$23,0)=EOMONTH($BF$3,0),AM$26,0),0),IF(AND(AI$26&lt;&gt;"",AI$23&lt;&gt;""),IF(EOMONTH($AH$3+INT((DAY(EOMONTH($AH$3,0))-1)/2)+AI$23,0)=EOMONTH($BF$3,0),AI$26,0),0),IF(AND(AE$26&lt;&gt;"",AE$23&lt;&gt;""),IF(EOMONTH($AD$3+INT((DAY(EOMONTH($AD$3,0))-1)/2)+AE$23,0)=EOMONTH($BF$3,0),AE$26,0),0),IF(AND(AA$26&lt;&gt;"",AA$23&lt;&gt;""),IF(EOMONTH($Z$3+INT((DAY(EOMONTH($Z$3,0))-1)/2)+AA$23,0)=EOMONTH($BF$3,0),AA$26,0),0),IF(AND(W$26&lt;&gt;"",W$23&lt;&gt;""),IF(EOMONTH($V$3+INT((DAY(EOMONTH($V$3,0))-1)/2)+W$23,0)=EOMONTH($BF$3,0),W$26,0),0),IF(AND(S$26&lt;&gt;"",S$23&lt;&gt;""),IF(EOMONTH($R$3+INT((DAY(EOMONTH($R$3,0))-1)/2)+S$23,0)=EOMONTH($BF$3,0),S$26,0),0),IF(AND(O$26&lt;&gt;"",O$23&lt;&gt;""),IF(EOMONTH($N$3+INT((DAY(EOMONTH($N$3,0))-1)/2)+O$23,0)=EOMONTH($BF$3,0),O$26,0),0),IF(AND(K$26&lt;&gt;"",K$23&lt;&gt;""),IF(EOMONTH($J$3+INT((DAY(EOMONTH($J$3,0))-1)/2)+K$23,0)=EOMONTH($BF$3,0),K$26,0),0),IF(AND(G$26&lt;&gt;"",G$23&lt;&gt;""),IF(EOMONTH($F$3+INT((DAY(EOMONTH($F$3,0))-1)/2)+G$23,0)=EOMONTH($BF$3,0),G$26,0),0),IF($EP$75="",0,IF(EOMONTH($EP$75+EQ$23,0)=EOMONTH($BF$3,0),$EP$78*EQ$13,0))),0))</f>
        <v>120000</v>
      </c>
      <c r="BH57" s="32">
        <f>ROUND(SUM(IF(AND(ER$26&lt;&gt;"",ER$23&lt;&gt;""),IF(EOMONTH($EP$3+INT((DAY(EOMONTH($EP$3,0))-1)/2)+ER$23,0)=EOMONTH($BF$3,0),ER$26,0),0),IF(AND(EN$26&lt;&gt;"",EN$23&lt;&gt;""),IF(EOMONTH($EL$3+INT((DAY(EOMONTH($EL$3,0))-1)/2)+EN$23,0)=EOMONTH($BF$3,0),EN$26,0),0),IF(AND(EJ$26&lt;&gt;"",EJ$23&lt;&gt;""),IF(EOMONTH($EH$3+INT((DAY(EOMONTH($EH$3,0))-1)/2)+EJ$23,0)=EOMONTH($BF$3,0),EJ$26,0),0),IF(AND(EF$26&lt;&gt;"",EF$23&lt;&gt;""),IF(EOMONTH($ED$3+INT((DAY(EOMONTH($ED$3,0))-1)/2)+EF$23,0)=EOMONTH($BF$3,0),EF$26,0),0),IF(AND(EB$26&lt;&gt;"",EB$23&lt;&gt;""),IF(EOMONTH($DZ$3+INT((DAY(EOMONTH($DZ$3,0))-1)/2)+EB$23,0)=EOMONTH($BF$3,0),EB$26,0),0),IF(AND(DX$26&lt;&gt;"",DX$23&lt;&gt;""),IF(EOMONTH($DV$3+INT((DAY(EOMONTH($DV$3,0))-1)/2)+DX$23,0)=EOMONTH($BF$3,0),DX$26,0),0),IF(AND(DT$26&lt;&gt;"",DT$23&lt;&gt;""),IF(EOMONTH($DR$3+INT((DAY(EOMONTH($DR$3,0))-1)/2)+DT$23,0)=EOMONTH($BF$3,0),DT$26,0),0),IF(AND(DP$26&lt;&gt;"",DP$23&lt;&gt;""),IF(EOMONTH($DN$3+INT((DAY(EOMONTH($DN$3,0))-1)/2)+DP$23,0)=EOMONTH($BF$3,0),DP$26,0),0),IF(AND(DL$26&lt;&gt;"",DL$23&lt;&gt;""),IF(EOMONTH($DJ$3+INT((DAY(EOMONTH($DJ$3,0))-1)/2)+DL$23,0)=EOMONTH($BF$3,0),DL$26,0),0),IF(AND(DH$26&lt;&gt;"",DH$23&lt;&gt;""),IF(EOMONTH($DF$3+INT((DAY(EOMONTH($DF$3,0))-1)/2)+DH$23,0)=EOMONTH($BF$3,0),DH$26,0),0),IF(AND(DD$26&lt;&gt;"",DD$23&lt;&gt;""),IF(EOMONTH($DB$3+INT((DAY(EOMONTH($DB$3,0))-1)/2)+DD$23,0)=EOMONTH($BF$3,0),DD$26,0),0),IF(AND(CZ$26&lt;&gt;"",CZ$23&lt;&gt;""),IF(EOMONTH($CX$3+INT((DAY(EOMONTH($CX$3,0))-1)/2)+CZ$23,0)=EOMONTH($BF$3,0),CZ$26,0),0),IF(AND(CV$26&lt;&gt;"",CV$23&lt;&gt;""),IF(EOMONTH($CT$3+INT((DAY(EOMONTH($CT$3,0))-1)/2)+CV$23,0)=EOMONTH($BF$3,0),CV$26,0),0),IF(AND(CR$26&lt;&gt;"",CR$23&lt;&gt;""),IF(EOMONTH($CP$3+INT((DAY(EOMONTH($CP$3,0))-1)/2)+CR$23,0)=EOMONTH($BF$3,0),CR$26,0),0),IF(AND(CN$26&lt;&gt;"",CN$23&lt;&gt;""),IF(EOMONTH($CL$3+INT((DAY(EOMONTH($CL$3,0))-1)/2)+CN$23,0)=EOMONTH($BF$3,0),CN$26,0),0),IF(AND(CJ$26&lt;&gt;"",CJ$23&lt;&gt;""),IF(EOMONTH($CH$3+INT((DAY(EOMONTH($CH$3,0))-1)/2)+CJ$23,0)=EOMONTH($BF$3,0),CJ$26,0),0),IF(AND(CF$26&lt;&gt;"",CF$23&lt;&gt;""),IF(EOMONTH($CD$3+INT((DAY(EOMONTH($CD$3,0))-1)/2)+CF$23,0)=EOMONTH($BF$3,0),CF$26,0),0),IF(AND(CB$26&lt;&gt;"",CB$23&lt;&gt;""),IF(EOMONTH($BZ$3+INT((DAY(EOMONTH($BZ$3,0))-1)/2)+CB$23,0)=EOMONTH($BF$3,0),CB$26,0),0),IF(AND(BX$26&lt;&gt;"",BX$23&lt;&gt;""),IF(EOMONTH($BV$3+INT((DAY(EOMONTH($BV$3,0))-1)/2)+BX$23,0)=EOMONTH($BF$3,0),BX$26,0),0),IF(AND(BT$26&lt;&gt;"",BT$23&lt;&gt;""),IF(EOMONTH($BR$3+INT((DAY(EOMONTH($BR$3,0))-1)/2)+BT$23,0)=EOMONTH($BF$3,0),BT$26,0),0),IF(AND(BP$26&lt;&gt;"",BP$23&lt;&gt;""),IF(EOMONTH($BN$3+INT((DAY(EOMONTH($BN$3,0))-1)/2)+BP$23,0)=EOMONTH($BF$3,0),BP$26,0),0),IF(AND(BL$26&lt;&gt;"",BL$23&lt;&gt;""),IF(EOMONTH($BJ$3+INT((DAY(EOMONTH($BJ$3,0))-1)/2)+BL$23,0)=EOMONTH($BF$3,0),BL$26,0),0),IF(AND(BH$26&lt;&gt;"",BH$23&lt;&gt;""),IF(EOMONTH($BF$3+INT((DAY(EOMONTH($BF$3,0))-1)/2)+BH$23,0)=EOMONTH($BF$3,0),BH$26,0),0),IF(AND(BD$26&lt;&gt;"",BD$23&lt;&gt;""),IF(EOMONTH($BB$3+INT((DAY(EOMONTH($BB$3,0))-1)/2)+BD$23,0)=EOMONTH($BF$3,0),BD$26,0),0),IF(AND(AZ$26&lt;&gt;"",AZ$23&lt;&gt;""),IF(EOMONTH($AX$3+INT((DAY(EOMONTH($AX$3,0))-1)/2)+AZ$23,0)=EOMONTH($BF$3,0),AZ$26,0),0),IF(AND(AV$26&lt;&gt;"",AV$23&lt;&gt;""),IF(EOMONTH($AT$3+INT((DAY(EOMONTH($AT$3,0))-1)/2)+AV$23,0)=EOMONTH($BF$3,0),AV$26,0),0),IF(AND(AR$26&lt;&gt;"",AR$23&lt;&gt;""),IF(EOMONTH($AP$3+INT((DAY(EOMONTH($AP$3,0))-1)/2)+AR$23,0)=EOMONTH($BF$3,0),AR$26,0),0),IF(AND(AN$26&lt;&gt;"",AN$23&lt;&gt;""),IF(EOMONTH($AL$3+INT((DAY(EOMONTH($AL$3,0))-1)/2)+AN$23,0)=EOMONTH($BF$3,0),AN$26,0),0),IF(AND(AJ$26&lt;&gt;"",AJ$23&lt;&gt;""),IF(EOMONTH($AH$3+INT((DAY(EOMONTH($AH$3,0))-1)/2)+AJ$23,0)=EOMONTH($BF$3,0),AJ$26,0),0),IF(AND(AF$26&lt;&gt;"",AF$23&lt;&gt;""),IF(EOMONTH($AD$3+INT((DAY(EOMONTH($AD$3,0))-1)/2)+AF$23,0)=EOMONTH($BF$3,0),AF$26,0),0),IF(AND(AB$26&lt;&gt;"",AB$23&lt;&gt;""),IF(EOMONTH($Z$3+INT((DAY(EOMONTH($Z$3,0))-1)/2)+AB$23,0)=EOMONTH($BF$3,0),AB$26,0),0),IF(AND(X$26&lt;&gt;"",X$23&lt;&gt;""),IF(EOMONTH($V$3+INT((DAY(EOMONTH($V$3,0))-1)/2)+X$23,0)=EOMONTH($BF$3,0),X$26,0),0),IF(AND(T$26&lt;&gt;"",T$23&lt;&gt;""),IF(EOMONTH($R$3+INT((DAY(EOMONTH($R$3,0))-1)/2)+T$23,0)=EOMONTH($BF$3,0),T$26,0),0),IF(AND(P$26&lt;&gt;"",P$23&lt;&gt;""),IF(EOMONTH($N$3+INT((DAY(EOMONTH($N$3,0))-1)/2)+P$23,0)=EOMONTH($BF$3,0),P$26,0),0),IF(AND(L$26&lt;&gt;"",L$23&lt;&gt;""),IF(EOMONTH($J$3+INT((DAY(EOMONTH($J$3,0))-1)/2)+L$23,0)=EOMONTH($BF$3,0),L$26,0),0),IF(AND(H$26&lt;&gt;"",H$23&lt;&gt;""),IF(EOMONTH($F$3+INT((DAY(EOMONTH($F$3,0))-1)/2)+H$23,0)=EOMONTH($BF$3,0),H$26,0),0),IF($EP$75="",0,IF(EOMONTH($EP$75+ER$23,0)=EOMONTH($BF$3,0),$EP$78*ER$13,0))),0)</f>
        <v>120000</v>
      </c>
      <c r="BI57" s="33">
        <f t="shared" ref="BI57:BI70" si="728">IFERROR(IF(OR(BG57="",BH57=""),"",BG57-BH57),"")</f>
        <v>0</v>
      </c>
      <c r="BJ57" s="34"/>
      <c r="BK57" s="31">
        <f>IF(BJ$98=1,BJ57,ROUND(SUM(IF(AND(EQ$26&lt;&gt;"",EQ$23&lt;&gt;""),IF(EOMONTH($EP$3+INT((DAY(EOMONTH($EP$3,0))-1)/2)+EQ$23,0)=EOMONTH($BJ$3,0),EQ$26,0),0),IF(AND(EM$26&lt;&gt;"",EM$23&lt;&gt;""),IF(EOMONTH($EL$3+INT((DAY(EOMONTH($EL$3,0))-1)/2)+EM$23,0)=EOMONTH($BJ$3,0),EM$26,0),0),IF(AND(EI$26&lt;&gt;"",EI$23&lt;&gt;""),IF(EOMONTH($EH$3+INT((DAY(EOMONTH($EH$3,0))-1)/2)+EI$23,0)=EOMONTH($BJ$3,0),EI$26,0),0),IF(AND(EE$26&lt;&gt;"",EE$23&lt;&gt;""),IF(EOMONTH($ED$3+INT((DAY(EOMONTH($ED$3,0))-1)/2)+EE$23,0)=EOMONTH($BJ$3,0),EE$26,0),0),IF(AND(EA$26&lt;&gt;"",EA$23&lt;&gt;""),IF(EOMONTH($DZ$3+INT((DAY(EOMONTH($DZ$3,0))-1)/2)+EA$23,0)=EOMONTH($BJ$3,0),EA$26,0),0),IF(AND(DW$26&lt;&gt;"",DW$23&lt;&gt;""),IF(EOMONTH($DV$3+INT((DAY(EOMONTH($DV$3,0))-1)/2)+DW$23,0)=EOMONTH($BJ$3,0),DW$26,0),0),IF(AND(DS$26&lt;&gt;"",DS$23&lt;&gt;""),IF(EOMONTH($DR$3+INT((DAY(EOMONTH($DR$3,0))-1)/2)+DS$23,0)=EOMONTH($BJ$3,0),DS$26,0),0),IF(AND(DO$26&lt;&gt;"",DO$23&lt;&gt;""),IF(EOMONTH($DN$3+INT((DAY(EOMONTH($DN$3,0))-1)/2)+DO$23,0)=EOMONTH($BJ$3,0),DO$26,0),0),IF(AND(DK$26&lt;&gt;"",DK$23&lt;&gt;""),IF(EOMONTH($DJ$3+INT((DAY(EOMONTH($DJ$3,0))-1)/2)+DK$23,0)=EOMONTH($BJ$3,0),DK$26,0),0),IF(AND(DG$26&lt;&gt;"",DG$23&lt;&gt;""),IF(EOMONTH($DF$3+INT((DAY(EOMONTH($DF$3,0))-1)/2)+DG$23,0)=EOMONTH($BJ$3,0),DG$26,0),0),IF(AND(DC$26&lt;&gt;"",DC$23&lt;&gt;""),IF(EOMONTH($DB$3+INT((DAY(EOMONTH($DB$3,0))-1)/2)+DC$23,0)=EOMONTH($BJ$3,0),DC$26,0),0),IF(AND(CY$26&lt;&gt;"",CY$23&lt;&gt;""),IF(EOMONTH($CX$3+INT((DAY(EOMONTH($CX$3,0))-1)/2)+CY$23,0)=EOMONTH($BJ$3,0),CY$26,0),0),IF(AND(CU$26&lt;&gt;"",CU$23&lt;&gt;""),IF(EOMONTH($CT$3+INT((DAY(EOMONTH($CT$3,0))-1)/2)+CU$23,0)=EOMONTH($BJ$3,0),CU$26,0),0),IF(AND(CQ$26&lt;&gt;"",CQ$23&lt;&gt;""),IF(EOMONTH($CP$3+INT((DAY(EOMONTH($CP$3,0))-1)/2)+CQ$23,0)=EOMONTH($BJ$3,0),CQ$26,0),0),IF(AND(CM$26&lt;&gt;"",CM$23&lt;&gt;""),IF(EOMONTH($CL$3+INT((DAY(EOMONTH($CL$3,0))-1)/2)+CM$23,0)=EOMONTH($BJ$3,0),CM$26,0),0),IF(AND(CI$26&lt;&gt;"",CI$23&lt;&gt;""),IF(EOMONTH($CH$3+INT((DAY(EOMONTH($CH$3,0))-1)/2)+CI$23,0)=EOMONTH($BJ$3,0),CI$26,0),0),IF(AND(CE$26&lt;&gt;"",CE$23&lt;&gt;""),IF(EOMONTH($CD$3+INT((DAY(EOMONTH($CD$3,0))-1)/2)+CE$23,0)=EOMONTH($BJ$3,0),CE$26,0),0),IF(AND(CA$26&lt;&gt;"",CA$23&lt;&gt;""),IF(EOMONTH($BZ$3+INT((DAY(EOMONTH($BZ$3,0))-1)/2)+CA$23,0)=EOMONTH($BJ$3,0),CA$26,0),0),IF(AND(BW$26&lt;&gt;"",BW$23&lt;&gt;""),IF(EOMONTH($BV$3+INT((DAY(EOMONTH($BV$3,0))-1)/2)+BW$23,0)=EOMONTH($BJ$3,0),BW$26,0),0),IF(AND(BS$26&lt;&gt;"",BS$23&lt;&gt;""),IF(EOMONTH($BR$3+INT((DAY(EOMONTH($BR$3,0))-1)/2)+BS$23,0)=EOMONTH($BJ$3,0),BS$26,0),0),IF(AND(BO$26&lt;&gt;"",BO$23&lt;&gt;""),IF(EOMONTH($BN$3+INT((DAY(EOMONTH($BN$3,0))-1)/2)+BO$23,0)=EOMONTH($BJ$3,0),BO$26,0),0),IF(AND(BK$26&lt;&gt;"",BK$23&lt;&gt;""),IF(EOMONTH($BJ$3+INT((DAY(EOMONTH($BJ$3,0))-1)/2)+BK$23,0)=EOMONTH($BJ$3,0),BK$26,0),0),IF(AND(BG$26&lt;&gt;"",BG$23&lt;&gt;""),IF(EOMONTH($BF$3+INT((DAY(EOMONTH($BF$3,0))-1)/2)+BG$23,0)=EOMONTH($BJ$3,0),BG$26,0),0),IF(AND(BC$26&lt;&gt;"",BC$23&lt;&gt;""),IF(EOMONTH($BB$3+INT((DAY(EOMONTH($BB$3,0))-1)/2)+BC$23,0)=EOMONTH($BJ$3,0),BC$26,0),0),IF(AND(AY$26&lt;&gt;"",AY$23&lt;&gt;""),IF(EOMONTH($AX$3+INT((DAY(EOMONTH($AX$3,0))-1)/2)+AY$23,0)=EOMONTH($BJ$3,0),AY$26,0),0),IF(AND(AU$26&lt;&gt;"",AU$23&lt;&gt;""),IF(EOMONTH($AT$3+INT((DAY(EOMONTH($AT$3,0))-1)/2)+AU$23,0)=EOMONTH($BJ$3,0),AU$26,0),0),IF(AND(AQ$26&lt;&gt;"",AQ$23&lt;&gt;""),IF(EOMONTH($AP$3+INT((DAY(EOMONTH($AP$3,0))-1)/2)+AQ$23,0)=EOMONTH($BJ$3,0),AQ$26,0),0),IF(AND(AM$26&lt;&gt;"",AM$23&lt;&gt;""),IF(EOMONTH($AL$3+INT((DAY(EOMONTH($AL$3,0))-1)/2)+AM$23,0)=EOMONTH($BJ$3,0),AM$26,0),0),IF(AND(AI$26&lt;&gt;"",AI$23&lt;&gt;""),IF(EOMONTH($AH$3+INT((DAY(EOMONTH($AH$3,0))-1)/2)+AI$23,0)=EOMONTH($BJ$3,0),AI$26,0),0),IF(AND(AE$26&lt;&gt;"",AE$23&lt;&gt;""),IF(EOMONTH($AD$3+INT((DAY(EOMONTH($AD$3,0))-1)/2)+AE$23,0)=EOMONTH($BJ$3,0),AE$26,0),0),IF(AND(AA$26&lt;&gt;"",AA$23&lt;&gt;""),IF(EOMONTH($Z$3+INT((DAY(EOMONTH($Z$3,0))-1)/2)+AA$23,0)=EOMONTH($BJ$3,0),AA$26,0),0),IF(AND(W$26&lt;&gt;"",W$23&lt;&gt;""),IF(EOMONTH($V$3+INT((DAY(EOMONTH($V$3,0))-1)/2)+W$23,0)=EOMONTH($BJ$3,0),W$26,0),0),IF(AND(S$26&lt;&gt;"",S$23&lt;&gt;""),IF(EOMONTH($R$3+INT((DAY(EOMONTH($R$3,0))-1)/2)+S$23,0)=EOMONTH($BJ$3,0),S$26,0),0),IF(AND(O$26&lt;&gt;"",O$23&lt;&gt;""),IF(EOMONTH($N$3+INT((DAY(EOMONTH($N$3,0))-1)/2)+O$23,0)=EOMONTH($BJ$3,0),O$26,0),0),IF(AND(K$26&lt;&gt;"",K$23&lt;&gt;""),IF(EOMONTH($J$3+INT((DAY(EOMONTH($J$3,0))-1)/2)+K$23,0)=EOMONTH($BJ$3,0),K$26,0),0),IF(AND(G$26&lt;&gt;"",G$23&lt;&gt;""),IF(EOMONTH($F$3+INT((DAY(EOMONTH($F$3,0))-1)/2)+G$23,0)=EOMONTH($BJ$3,0),G$26,0),0),IF($EP$75="",0,IF(EOMONTH($EP$75+EQ$23,0)=EOMONTH($BJ$3,0),$EP$78*EQ$13,0))),0))</f>
        <v>120000</v>
      </c>
      <c r="BL57" s="32">
        <f>ROUND(SUM(IF(AND(ER$26&lt;&gt;"",ER$23&lt;&gt;""),IF(EOMONTH($EP$3+INT((DAY(EOMONTH($EP$3,0))-1)/2)+ER$23,0)=EOMONTH($BJ$3,0),ER$26,0),0),IF(AND(EN$26&lt;&gt;"",EN$23&lt;&gt;""),IF(EOMONTH($EL$3+INT((DAY(EOMONTH($EL$3,0))-1)/2)+EN$23,0)=EOMONTH($BJ$3,0),EN$26,0),0),IF(AND(EJ$26&lt;&gt;"",EJ$23&lt;&gt;""),IF(EOMONTH($EH$3+INT((DAY(EOMONTH($EH$3,0))-1)/2)+EJ$23,0)=EOMONTH($BJ$3,0),EJ$26,0),0),IF(AND(EF$26&lt;&gt;"",EF$23&lt;&gt;""),IF(EOMONTH($ED$3+INT((DAY(EOMONTH($ED$3,0))-1)/2)+EF$23,0)=EOMONTH($BJ$3,0),EF$26,0),0),IF(AND(EB$26&lt;&gt;"",EB$23&lt;&gt;""),IF(EOMONTH($DZ$3+INT((DAY(EOMONTH($DZ$3,0))-1)/2)+EB$23,0)=EOMONTH($BJ$3,0),EB$26,0),0),IF(AND(DX$26&lt;&gt;"",DX$23&lt;&gt;""),IF(EOMONTH($DV$3+INT((DAY(EOMONTH($DV$3,0))-1)/2)+DX$23,0)=EOMONTH($BJ$3,0),DX$26,0),0),IF(AND(DT$26&lt;&gt;"",DT$23&lt;&gt;""),IF(EOMONTH($DR$3+INT((DAY(EOMONTH($DR$3,0))-1)/2)+DT$23,0)=EOMONTH($BJ$3,0),DT$26,0),0),IF(AND(DP$26&lt;&gt;"",DP$23&lt;&gt;""),IF(EOMONTH($DN$3+INT((DAY(EOMONTH($DN$3,0))-1)/2)+DP$23,0)=EOMONTH($BJ$3,0),DP$26,0),0),IF(AND(DL$26&lt;&gt;"",DL$23&lt;&gt;""),IF(EOMONTH($DJ$3+INT((DAY(EOMONTH($DJ$3,0))-1)/2)+DL$23,0)=EOMONTH($BJ$3,0),DL$26,0),0),IF(AND(DH$26&lt;&gt;"",DH$23&lt;&gt;""),IF(EOMONTH($DF$3+INT((DAY(EOMONTH($DF$3,0))-1)/2)+DH$23,0)=EOMONTH($BJ$3,0),DH$26,0),0),IF(AND(DD$26&lt;&gt;"",DD$23&lt;&gt;""),IF(EOMONTH($DB$3+INT((DAY(EOMONTH($DB$3,0))-1)/2)+DD$23,0)=EOMONTH($BJ$3,0),DD$26,0),0),IF(AND(CZ$26&lt;&gt;"",CZ$23&lt;&gt;""),IF(EOMONTH($CX$3+INT((DAY(EOMONTH($CX$3,0))-1)/2)+CZ$23,0)=EOMONTH($BJ$3,0),CZ$26,0),0),IF(AND(CV$26&lt;&gt;"",CV$23&lt;&gt;""),IF(EOMONTH($CT$3+INT((DAY(EOMONTH($CT$3,0))-1)/2)+CV$23,0)=EOMONTH($BJ$3,0),CV$26,0),0),IF(AND(CR$26&lt;&gt;"",CR$23&lt;&gt;""),IF(EOMONTH($CP$3+INT((DAY(EOMONTH($CP$3,0))-1)/2)+CR$23,0)=EOMONTH($BJ$3,0),CR$26,0),0),IF(AND(CN$26&lt;&gt;"",CN$23&lt;&gt;""),IF(EOMONTH($CL$3+INT((DAY(EOMONTH($CL$3,0))-1)/2)+CN$23,0)=EOMONTH($BJ$3,0),CN$26,0),0),IF(AND(CJ$26&lt;&gt;"",CJ$23&lt;&gt;""),IF(EOMONTH($CH$3+INT((DAY(EOMONTH($CH$3,0))-1)/2)+CJ$23,0)=EOMONTH($BJ$3,0),CJ$26,0),0),IF(AND(CF$26&lt;&gt;"",CF$23&lt;&gt;""),IF(EOMONTH($CD$3+INT((DAY(EOMONTH($CD$3,0))-1)/2)+CF$23,0)=EOMONTH($BJ$3,0),CF$26,0),0),IF(AND(CB$26&lt;&gt;"",CB$23&lt;&gt;""),IF(EOMONTH($BZ$3+INT((DAY(EOMONTH($BZ$3,0))-1)/2)+CB$23,0)=EOMONTH($BJ$3,0),CB$26,0),0),IF(AND(BX$26&lt;&gt;"",BX$23&lt;&gt;""),IF(EOMONTH($BV$3+INT((DAY(EOMONTH($BV$3,0))-1)/2)+BX$23,0)=EOMONTH($BJ$3,0),BX$26,0),0),IF(AND(BT$26&lt;&gt;"",BT$23&lt;&gt;""),IF(EOMONTH($BR$3+INT((DAY(EOMONTH($BR$3,0))-1)/2)+BT$23,0)=EOMONTH($BJ$3,0),BT$26,0),0),IF(AND(BP$26&lt;&gt;"",BP$23&lt;&gt;""),IF(EOMONTH($BN$3+INT((DAY(EOMONTH($BN$3,0))-1)/2)+BP$23,0)=EOMONTH($BJ$3,0),BP$26,0),0),IF(AND(BL$26&lt;&gt;"",BL$23&lt;&gt;""),IF(EOMONTH($BJ$3+INT((DAY(EOMONTH($BJ$3,0))-1)/2)+BL$23,0)=EOMONTH($BJ$3,0),BL$26,0),0),IF(AND(BH$26&lt;&gt;"",BH$23&lt;&gt;""),IF(EOMONTH($BF$3+INT((DAY(EOMONTH($BF$3,0))-1)/2)+BH$23,0)=EOMONTH($BJ$3,0),BH$26,0),0),IF(AND(BD$26&lt;&gt;"",BD$23&lt;&gt;""),IF(EOMONTH($BB$3+INT((DAY(EOMONTH($BB$3,0))-1)/2)+BD$23,0)=EOMONTH($BJ$3,0),BD$26,0),0),IF(AND(AZ$26&lt;&gt;"",AZ$23&lt;&gt;""),IF(EOMONTH($AX$3+INT((DAY(EOMONTH($AX$3,0))-1)/2)+AZ$23,0)=EOMONTH($BJ$3,0),AZ$26,0),0),IF(AND(AV$26&lt;&gt;"",AV$23&lt;&gt;""),IF(EOMONTH($AT$3+INT((DAY(EOMONTH($AT$3,0))-1)/2)+AV$23,0)=EOMONTH($BJ$3,0),AV$26,0),0),IF(AND(AR$26&lt;&gt;"",AR$23&lt;&gt;""),IF(EOMONTH($AP$3+INT((DAY(EOMONTH($AP$3,0))-1)/2)+AR$23,0)=EOMONTH($BJ$3,0),AR$26,0),0),IF(AND(AN$26&lt;&gt;"",AN$23&lt;&gt;""),IF(EOMONTH($AL$3+INT((DAY(EOMONTH($AL$3,0))-1)/2)+AN$23,0)=EOMONTH($BJ$3,0),AN$26,0),0),IF(AND(AJ$26&lt;&gt;"",AJ$23&lt;&gt;""),IF(EOMONTH($AH$3+INT((DAY(EOMONTH($AH$3,0))-1)/2)+AJ$23,0)=EOMONTH($BJ$3,0),AJ$26,0),0),IF(AND(AF$26&lt;&gt;"",AF$23&lt;&gt;""),IF(EOMONTH($AD$3+INT((DAY(EOMONTH($AD$3,0))-1)/2)+AF$23,0)=EOMONTH($BJ$3,0),AF$26,0),0),IF(AND(AB$26&lt;&gt;"",AB$23&lt;&gt;""),IF(EOMONTH($Z$3+INT((DAY(EOMONTH($Z$3,0))-1)/2)+AB$23,0)=EOMONTH($BJ$3,0),AB$26,0),0),IF(AND(X$26&lt;&gt;"",X$23&lt;&gt;""),IF(EOMONTH($V$3+INT((DAY(EOMONTH($V$3,0))-1)/2)+X$23,0)=EOMONTH($BJ$3,0),X$26,0),0),IF(AND(T$26&lt;&gt;"",T$23&lt;&gt;""),IF(EOMONTH($R$3+INT((DAY(EOMONTH($R$3,0))-1)/2)+T$23,0)=EOMONTH($BJ$3,0),T$26,0),0),IF(AND(P$26&lt;&gt;"",P$23&lt;&gt;""),IF(EOMONTH($N$3+INT((DAY(EOMONTH($N$3,0))-1)/2)+P$23,0)=EOMONTH($BJ$3,0),P$26,0),0),IF(AND(L$26&lt;&gt;"",L$23&lt;&gt;""),IF(EOMONTH($J$3+INT((DAY(EOMONTH($J$3,0))-1)/2)+L$23,0)=EOMONTH($BJ$3,0),L$26,0),0),IF(AND(H$26&lt;&gt;"",H$23&lt;&gt;""),IF(EOMONTH($F$3+INT((DAY(EOMONTH($F$3,0))-1)/2)+H$23,0)=EOMONTH($BJ$3,0),H$26,0),0),IF($EP$75="",0,IF(EOMONTH($EP$75+ER$23,0)=EOMONTH($BJ$3,0),$EP$78*ER$13,0))),0)</f>
        <v>120000</v>
      </c>
      <c r="BM57" s="33">
        <f t="shared" ref="BM57:BM70" si="730">IFERROR(IF(OR(BK57="",BL57=""),"",BK57-BL57),"")</f>
        <v>0</v>
      </c>
      <c r="BN57" s="34"/>
      <c r="BO57" s="31">
        <f>IF(BN$98=1,BN57,ROUND(SUM(IF(AND(EQ$26&lt;&gt;"",EQ$23&lt;&gt;""),IF(EOMONTH($EP$3+INT((DAY(EOMONTH($EP$3,0))-1)/2)+EQ$23,0)=EOMONTH($BN$3,0),EQ$26,0),0),IF(AND(EM$26&lt;&gt;"",EM$23&lt;&gt;""),IF(EOMONTH($EL$3+INT((DAY(EOMONTH($EL$3,0))-1)/2)+EM$23,0)=EOMONTH($BN$3,0),EM$26,0),0),IF(AND(EI$26&lt;&gt;"",EI$23&lt;&gt;""),IF(EOMONTH($EH$3+INT((DAY(EOMONTH($EH$3,0))-1)/2)+EI$23,0)=EOMONTH($BN$3,0),EI$26,0),0),IF(AND(EE$26&lt;&gt;"",EE$23&lt;&gt;""),IF(EOMONTH($ED$3+INT((DAY(EOMONTH($ED$3,0))-1)/2)+EE$23,0)=EOMONTH($BN$3,0),EE$26,0),0),IF(AND(EA$26&lt;&gt;"",EA$23&lt;&gt;""),IF(EOMONTH($DZ$3+INT((DAY(EOMONTH($DZ$3,0))-1)/2)+EA$23,0)=EOMONTH($BN$3,0),EA$26,0),0),IF(AND(DW$26&lt;&gt;"",DW$23&lt;&gt;""),IF(EOMONTH($DV$3+INT((DAY(EOMONTH($DV$3,0))-1)/2)+DW$23,0)=EOMONTH($BN$3,0),DW$26,0),0),IF(AND(DS$26&lt;&gt;"",DS$23&lt;&gt;""),IF(EOMONTH($DR$3+INT((DAY(EOMONTH($DR$3,0))-1)/2)+DS$23,0)=EOMONTH($BN$3,0),DS$26,0),0),IF(AND(DO$26&lt;&gt;"",DO$23&lt;&gt;""),IF(EOMONTH($DN$3+INT((DAY(EOMONTH($DN$3,0))-1)/2)+DO$23,0)=EOMONTH($BN$3,0),DO$26,0),0),IF(AND(DK$26&lt;&gt;"",DK$23&lt;&gt;""),IF(EOMONTH($DJ$3+INT((DAY(EOMONTH($DJ$3,0))-1)/2)+DK$23,0)=EOMONTH($BN$3,0),DK$26,0),0),IF(AND(DG$26&lt;&gt;"",DG$23&lt;&gt;""),IF(EOMONTH($DF$3+INT((DAY(EOMONTH($DF$3,0))-1)/2)+DG$23,0)=EOMONTH($BN$3,0),DG$26,0),0),IF(AND(DC$26&lt;&gt;"",DC$23&lt;&gt;""),IF(EOMONTH($DB$3+INT((DAY(EOMONTH($DB$3,0))-1)/2)+DC$23,0)=EOMONTH($BN$3,0),DC$26,0),0),IF(AND(CY$26&lt;&gt;"",CY$23&lt;&gt;""),IF(EOMONTH($CX$3+INT((DAY(EOMONTH($CX$3,0))-1)/2)+CY$23,0)=EOMONTH($BN$3,0),CY$26,0),0),IF(AND(CU$26&lt;&gt;"",CU$23&lt;&gt;""),IF(EOMONTH($CT$3+INT((DAY(EOMONTH($CT$3,0))-1)/2)+CU$23,0)=EOMONTH($BN$3,0),CU$26,0),0),IF(AND(CQ$26&lt;&gt;"",CQ$23&lt;&gt;""),IF(EOMONTH($CP$3+INT((DAY(EOMONTH($CP$3,0))-1)/2)+CQ$23,0)=EOMONTH($BN$3,0),CQ$26,0),0),IF(AND(CM$26&lt;&gt;"",CM$23&lt;&gt;""),IF(EOMONTH($CL$3+INT((DAY(EOMONTH($CL$3,0))-1)/2)+CM$23,0)=EOMONTH($BN$3,0),CM$26,0),0),IF(AND(CI$26&lt;&gt;"",CI$23&lt;&gt;""),IF(EOMONTH($CH$3+INT((DAY(EOMONTH($CH$3,0))-1)/2)+CI$23,0)=EOMONTH($BN$3,0),CI$26,0),0),IF(AND(CE$26&lt;&gt;"",CE$23&lt;&gt;""),IF(EOMONTH($CD$3+INT((DAY(EOMONTH($CD$3,0))-1)/2)+CE$23,0)=EOMONTH($BN$3,0),CE$26,0),0),IF(AND(CA$26&lt;&gt;"",CA$23&lt;&gt;""),IF(EOMONTH($BZ$3+INT((DAY(EOMONTH($BZ$3,0))-1)/2)+CA$23,0)=EOMONTH($BN$3,0),CA$26,0),0),IF(AND(BW$26&lt;&gt;"",BW$23&lt;&gt;""),IF(EOMONTH($BV$3+INT((DAY(EOMONTH($BV$3,0))-1)/2)+BW$23,0)=EOMONTH($BN$3,0),BW$26,0),0),IF(AND(BS$26&lt;&gt;"",BS$23&lt;&gt;""),IF(EOMONTH($BR$3+INT((DAY(EOMONTH($BR$3,0))-1)/2)+BS$23,0)=EOMONTH($BN$3,0),BS$26,0),0),IF(AND(BO$26&lt;&gt;"",BO$23&lt;&gt;""),IF(EOMONTH($BN$3+INT((DAY(EOMONTH($BN$3,0))-1)/2)+BO$23,0)=EOMONTH($BN$3,0),BO$26,0),0),IF(AND(BK$26&lt;&gt;"",BK$23&lt;&gt;""),IF(EOMONTH($BJ$3+INT((DAY(EOMONTH($BJ$3,0))-1)/2)+BK$23,0)=EOMONTH($BN$3,0),BK$26,0),0),IF(AND(BG$26&lt;&gt;"",BG$23&lt;&gt;""),IF(EOMONTH($BF$3+INT((DAY(EOMONTH($BF$3,0))-1)/2)+BG$23,0)=EOMONTH($BN$3,0),BG$26,0),0),IF(AND(BC$26&lt;&gt;"",BC$23&lt;&gt;""),IF(EOMONTH($BB$3+INT((DAY(EOMONTH($BB$3,0))-1)/2)+BC$23,0)=EOMONTH($BN$3,0),BC$26,0),0),IF(AND(AY$26&lt;&gt;"",AY$23&lt;&gt;""),IF(EOMONTH($AX$3+INT((DAY(EOMONTH($AX$3,0))-1)/2)+AY$23,0)=EOMONTH($BN$3,0),AY$26,0),0),IF(AND(AU$26&lt;&gt;"",AU$23&lt;&gt;""),IF(EOMONTH($AT$3+INT((DAY(EOMONTH($AT$3,0))-1)/2)+AU$23,0)=EOMONTH($BN$3,0),AU$26,0),0),IF(AND(AQ$26&lt;&gt;"",AQ$23&lt;&gt;""),IF(EOMONTH($AP$3+INT((DAY(EOMONTH($AP$3,0))-1)/2)+AQ$23,0)=EOMONTH($BN$3,0),AQ$26,0),0),IF(AND(AM$26&lt;&gt;"",AM$23&lt;&gt;""),IF(EOMONTH($AL$3+INT((DAY(EOMONTH($AL$3,0))-1)/2)+AM$23,0)=EOMONTH($BN$3,0),AM$26,0),0),IF(AND(AI$26&lt;&gt;"",AI$23&lt;&gt;""),IF(EOMONTH($AH$3+INT((DAY(EOMONTH($AH$3,0))-1)/2)+AI$23,0)=EOMONTH($BN$3,0),AI$26,0),0),IF(AND(AE$26&lt;&gt;"",AE$23&lt;&gt;""),IF(EOMONTH($AD$3+INT((DAY(EOMONTH($AD$3,0))-1)/2)+AE$23,0)=EOMONTH($BN$3,0),AE$26,0),0),IF(AND(AA$26&lt;&gt;"",AA$23&lt;&gt;""),IF(EOMONTH($Z$3+INT((DAY(EOMONTH($Z$3,0))-1)/2)+AA$23,0)=EOMONTH($BN$3,0),AA$26,0),0),IF(AND(W$26&lt;&gt;"",W$23&lt;&gt;""),IF(EOMONTH($V$3+INT((DAY(EOMONTH($V$3,0))-1)/2)+W$23,0)=EOMONTH($BN$3,0),W$26,0),0),IF(AND(S$26&lt;&gt;"",S$23&lt;&gt;""),IF(EOMONTH($R$3+INT((DAY(EOMONTH($R$3,0))-1)/2)+S$23,0)=EOMONTH($BN$3,0),S$26,0),0),IF(AND(O$26&lt;&gt;"",O$23&lt;&gt;""),IF(EOMONTH($N$3+INT((DAY(EOMONTH($N$3,0))-1)/2)+O$23,0)=EOMONTH($BN$3,0),O$26,0),0),IF(AND(K$26&lt;&gt;"",K$23&lt;&gt;""),IF(EOMONTH($J$3+INT((DAY(EOMONTH($J$3,0))-1)/2)+K$23,0)=EOMONTH($BN$3,0),K$26,0),0),IF(AND(G$26&lt;&gt;"",G$23&lt;&gt;""),IF(EOMONTH($F$3+INT((DAY(EOMONTH($F$3,0))-1)/2)+G$23,0)=EOMONTH($BN$3,0),G$26,0),0),IF($EP$75="",0,IF(EOMONTH($EP$75+EQ$23,0)=EOMONTH($BN$3,0),$EP$78*EQ$13,0))),0))</f>
        <v>112000</v>
      </c>
      <c r="BP57" s="32">
        <f>ROUND(SUM(IF(AND(ER$26&lt;&gt;"",ER$23&lt;&gt;""),IF(EOMONTH($EP$3+INT((DAY(EOMONTH($EP$3,0))-1)/2)+ER$23,0)=EOMONTH($BN$3,0),ER$26,0),0),IF(AND(EN$26&lt;&gt;"",EN$23&lt;&gt;""),IF(EOMONTH($EL$3+INT((DAY(EOMONTH($EL$3,0))-1)/2)+EN$23,0)=EOMONTH($BN$3,0),EN$26,0),0),IF(AND(EJ$26&lt;&gt;"",EJ$23&lt;&gt;""),IF(EOMONTH($EH$3+INT((DAY(EOMONTH($EH$3,0))-1)/2)+EJ$23,0)=EOMONTH($BN$3,0),EJ$26,0),0),IF(AND(EF$26&lt;&gt;"",EF$23&lt;&gt;""),IF(EOMONTH($ED$3+INT((DAY(EOMONTH($ED$3,0))-1)/2)+EF$23,0)=EOMONTH($BN$3,0),EF$26,0),0),IF(AND(EB$26&lt;&gt;"",EB$23&lt;&gt;""),IF(EOMONTH($DZ$3+INT((DAY(EOMONTH($DZ$3,0))-1)/2)+EB$23,0)=EOMONTH($BN$3,0),EB$26,0),0),IF(AND(DX$26&lt;&gt;"",DX$23&lt;&gt;""),IF(EOMONTH($DV$3+INT((DAY(EOMONTH($DV$3,0))-1)/2)+DX$23,0)=EOMONTH($BN$3,0),DX$26,0),0),IF(AND(DT$26&lt;&gt;"",DT$23&lt;&gt;""),IF(EOMONTH($DR$3+INT((DAY(EOMONTH($DR$3,0))-1)/2)+DT$23,0)=EOMONTH($BN$3,0),DT$26,0),0),IF(AND(DP$26&lt;&gt;"",DP$23&lt;&gt;""),IF(EOMONTH($DN$3+INT((DAY(EOMONTH($DN$3,0))-1)/2)+DP$23,0)=EOMONTH($BN$3,0),DP$26,0),0),IF(AND(DL$26&lt;&gt;"",DL$23&lt;&gt;""),IF(EOMONTH($DJ$3+INT((DAY(EOMONTH($DJ$3,0))-1)/2)+DL$23,0)=EOMONTH($BN$3,0),DL$26,0),0),IF(AND(DH$26&lt;&gt;"",DH$23&lt;&gt;""),IF(EOMONTH($DF$3+INT((DAY(EOMONTH($DF$3,0))-1)/2)+DH$23,0)=EOMONTH($BN$3,0),DH$26,0),0),IF(AND(DD$26&lt;&gt;"",DD$23&lt;&gt;""),IF(EOMONTH($DB$3+INT((DAY(EOMONTH($DB$3,0))-1)/2)+DD$23,0)=EOMONTH($BN$3,0),DD$26,0),0),IF(AND(CZ$26&lt;&gt;"",CZ$23&lt;&gt;""),IF(EOMONTH($CX$3+INT((DAY(EOMONTH($CX$3,0))-1)/2)+CZ$23,0)=EOMONTH($BN$3,0),CZ$26,0),0),IF(AND(CV$26&lt;&gt;"",CV$23&lt;&gt;""),IF(EOMONTH($CT$3+INT((DAY(EOMONTH($CT$3,0))-1)/2)+CV$23,0)=EOMONTH($BN$3,0),CV$26,0),0),IF(AND(CR$26&lt;&gt;"",CR$23&lt;&gt;""),IF(EOMONTH($CP$3+INT((DAY(EOMONTH($CP$3,0))-1)/2)+CR$23,0)=EOMONTH($BN$3,0),CR$26,0),0),IF(AND(CN$26&lt;&gt;"",CN$23&lt;&gt;""),IF(EOMONTH($CL$3+INT((DAY(EOMONTH($CL$3,0))-1)/2)+CN$23,0)=EOMONTH($BN$3,0),CN$26,0),0),IF(AND(CJ$26&lt;&gt;"",CJ$23&lt;&gt;""),IF(EOMONTH($CH$3+INT((DAY(EOMONTH($CH$3,0))-1)/2)+CJ$23,0)=EOMONTH($BN$3,0),CJ$26,0),0),IF(AND(CF$26&lt;&gt;"",CF$23&lt;&gt;""),IF(EOMONTH($CD$3+INT((DAY(EOMONTH($CD$3,0))-1)/2)+CF$23,0)=EOMONTH($BN$3,0),CF$26,0),0),IF(AND(CB$26&lt;&gt;"",CB$23&lt;&gt;""),IF(EOMONTH($BZ$3+INT((DAY(EOMONTH($BZ$3,0))-1)/2)+CB$23,0)=EOMONTH($BN$3,0),CB$26,0),0),IF(AND(BX$26&lt;&gt;"",BX$23&lt;&gt;""),IF(EOMONTH($BV$3+INT((DAY(EOMONTH($BV$3,0))-1)/2)+BX$23,0)=EOMONTH($BN$3,0),BX$26,0),0),IF(AND(BT$26&lt;&gt;"",BT$23&lt;&gt;""),IF(EOMONTH($BR$3+INT((DAY(EOMONTH($BR$3,0))-1)/2)+BT$23,0)=EOMONTH($BN$3,0),BT$26,0),0),IF(AND(BP$26&lt;&gt;"",BP$23&lt;&gt;""),IF(EOMONTH($BN$3+INT((DAY(EOMONTH($BN$3,0))-1)/2)+BP$23,0)=EOMONTH($BN$3,0),BP$26,0),0),IF(AND(BL$26&lt;&gt;"",BL$23&lt;&gt;""),IF(EOMONTH($BJ$3+INT((DAY(EOMONTH($BJ$3,0))-1)/2)+BL$23,0)=EOMONTH($BN$3,0),BL$26,0),0),IF(AND(BH$26&lt;&gt;"",BH$23&lt;&gt;""),IF(EOMONTH($BF$3+INT((DAY(EOMONTH($BF$3,0))-1)/2)+BH$23,0)=EOMONTH($BN$3,0),BH$26,0),0),IF(AND(BD$26&lt;&gt;"",BD$23&lt;&gt;""),IF(EOMONTH($BB$3+INT((DAY(EOMONTH($BB$3,0))-1)/2)+BD$23,0)=EOMONTH($BN$3,0),BD$26,0),0),IF(AND(AZ$26&lt;&gt;"",AZ$23&lt;&gt;""),IF(EOMONTH($AX$3+INT((DAY(EOMONTH($AX$3,0))-1)/2)+AZ$23,0)=EOMONTH($BN$3,0),AZ$26,0),0),IF(AND(AV$26&lt;&gt;"",AV$23&lt;&gt;""),IF(EOMONTH($AT$3+INT((DAY(EOMONTH($AT$3,0))-1)/2)+AV$23,0)=EOMONTH($BN$3,0),AV$26,0),0),IF(AND(AR$26&lt;&gt;"",AR$23&lt;&gt;""),IF(EOMONTH($AP$3+INT((DAY(EOMONTH($AP$3,0))-1)/2)+AR$23,0)=EOMONTH($BN$3,0),AR$26,0),0),IF(AND(AN$26&lt;&gt;"",AN$23&lt;&gt;""),IF(EOMONTH($AL$3+INT((DAY(EOMONTH($AL$3,0))-1)/2)+AN$23,0)=EOMONTH($BN$3,0),AN$26,0),0),IF(AND(AJ$26&lt;&gt;"",AJ$23&lt;&gt;""),IF(EOMONTH($AH$3+INT((DAY(EOMONTH($AH$3,0))-1)/2)+AJ$23,0)=EOMONTH($BN$3,0),AJ$26,0),0),IF(AND(AF$26&lt;&gt;"",AF$23&lt;&gt;""),IF(EOMONTH($AD$3+INT((DAY(EOMONTH($AD$3,0))-1)/2)+AF$23,0)=EOMONTH($BN$3,0),AF$26,0),0),IF(AND(AB$26&lt;&gt;"",AB$23&lt;&gt;""),IF(EOMONTH($Z$3+INT((DAY(EOMONTH($Z$3,0))-1)/2)+AB$23,0)=EOMONTH($BN$3,0),AB$26,0),0),IF(AND(X$26&lt;&gt;"",X$23&lt;&gt;""),IF(EOMONTH($V$3+INT((DAY(EOMONTH($V$3,0))-1)/2)+X$23,0)=EOMONTH($BN$3,0),X$26,0),0),IF(AND(T$26&lt;&gt;"",T$23&lt;&gt;""),IF(EOMONTH($R$3+INT((DAY(EOMONTH($R$3,0))-1)/2)+T$23,0)=EOMONTH($BN$3,0),T$26,0),0),IF(AND(P$26&lt;&gt;"",P$23&lt;&gt;""),IF(EOMONTH($N$3+INT((DAY(EOMONTH($N$3,0))-1)/2)+P$23,0)=EOMONTH($BN$3,0),P$26,0),0),IF(AND(L$26&lt;&gt;"",L$23&lt;&gt;""),IF(EOMONTH($J$3+INT((DAY(EOMONTH($J$3,0))-1)/2)+L$23,0)=EOMONTH($BN$3,0),L$26,0),0),IF(AND(H$26&lt;&gt;"",H$23&lt;&gt;""),IF(EOMONTH($F$3+INT((DAY(EOMONTH($F$3,0))-1)/2)+H$23,0)=EOMONTH($BN$3,0),H$26,0),0),IF($EP$75="",0,IF(EOMONTH($EP$75+ER$23,0)=EOMONTH($BN$3,0),$EP$78*ER$13,0))),0)</f>
        <v>112000</v>
      </c>
      <c r="BQ57" s="33">
        <f t="shared" ref="BQ57:BQ70" si="732">IFERROR(IF(OR(BO57="",BP57=""),"",BO57-BP57),"")</f>
        <v>0</v>
      </c>
      <c r="BR57" s="34"/>
      <c r="BS57" s="31">
        <f>IF(BR$98=1,BR57,ROUND(SUM(IF(AND(EQ$26&lt;&gt;"",EQ$23&lt;&gt;""),IF(EOMONTH($EP$3+INT((DAY(EOMONTH($EP$3,0))-1)/2)+EQ$23,0)=EOMONTH($BR$3,0),EQ$26,0),0),IF(AND(EM$26&lt;&gt;"",EM$23&lt;&gt;""),IF(EOMONTH($EL$3+INT((DAY(EOMONTH($EL$3,0))-1)/2)+EM$23,0)=EOMONTH($BR$3,0),EM$26,0),0),IF(AND(EI$26&lt;&gt;"",EI$23&lt;&gt;""),IF(EOMONTH($EH$3+INT((DAY(EOMONTH($EH$3,0))-1)/2)+EI$23,0)=EOMONTH($BR$3,0),EI$26,0),0),IF(AND(EE$26&lt;&gt;"",EE$23&lt;&gt;""),IF(EOMONTH($ED$3+INT((DAY(EOMONTH($ED$3,0))-1)/2)+EE$23,0)=EOMONTH($BR$3,0),EE$26,0),0),IF(AND(EA$26&lt;&gt;"",EA$23&lt;&gt;""),IF(EOMONTH($DZ$3+INT((DAY(EOMONTH($DZ$3,0))-1)/2)+EA$23,0)=EOMONTH($BR$3,0),EA$26,0),0),IF(AND(DW$26&lt;&gt;"",DW$23&lt;&gt;""),IF(EOMONTH($DV$3+INT((DAY(EOMONTH($DV$3,0))-1)/2)+DW$23,0)=EOMONTH($BR$3,0),DW$26,0),0),IF(AND(DS$26&lt;&gt;"",DS$23&lt;&gt;""),IF(EOMONTH($DR$3+INT((DAY(EOMONTH($DR$3,0))-1)/2)+DS$23,0)=EOMONTH($BR$3,0),DS$26,0),0),IF(AND(DO$26&lt;&gt;"",DO$23&lt;&gt;""),IF(EOMONTH($DN$3+INT((DAY(EOMONTH($DN$3,0))-1)/2)+DO$23,0)=EOMONTH($BR$3,0),DO$26,0),0),IF(AND(DK$26&lt;&gt;"",DK$23&lt;&gt;""),IF(EOMONTH($DJ$3+INT((DAY(EOMONTH($DJ$3,0))-1)/2)+DK$23,0)=EOMONTH($BR$3,0),DK$26,0),0),IF(AND(DG$26&lt;&gt;"",DG$23&lt;&gt;""),IF(EOMONTH($DF$3+INT((DAY(EOMONTH($DF$3,0))-1)/2)+DG$23,0)=EOMONTH($BR$3,0),DG$26,0),0),IF(AND(DC$26&lt;&gt;"",DC$23&lt;&gt;""),IF(EOMONTH($DB$3+INT((DAY(EOMONTH($DB$3,0))-1)/2)+DC$23,0)=EOMONTH($BR$3,0),DC$26,0),0),IF(AND(CY$26&lt;&gt;"",CY$23&lt;&gt;""),IF(EOMONTH($CX$3+INT((DAY(EOMONTH($CX$3,0))-1)/2)+CY$23,0)=EOMONTH($BR$3,0),CY$26,0),0),IF(AND(CU$26&lt;&gt;"",CU$23&lt;&gt;""),IF(EOMONTH($CT$3+INT((DAY(EOMONTH($CT$3,0))-1)/2)+CU$23,0)=EOMONTH($BR$3,0),CU$26,0),0),IF(AND(CQ$26&lt;&gt;"",CQ$23&lt;&gt;""),IF(EOMONTH($CP$3+INT((DAY(EOMONTH($CP$3,0))-1)/2)+CQ$23,0)=EOMONTH($BR$3,0),CQ$26,0),0),IF(AND(CM$26&lt;&gt;"",CM$23&lt;&gt;""),IF(EOMONTH($CL$3+INT((DAY(EOMONTH($CL$3,0))-1)/2)+CM$23,0)=EOMONTH($BR$3,0),CM$26,0),0),IF(AND(CI$26&lt;&gt;"",CI$23&lt;&gt;""),IF(EOMONTH($CH$3+INT((DAY(EOMONTH($CH$3,0))-1)/2)+CI$23,0)=EOMONTH($BR$3,0),CI$26,0),0),IF(AND(CE$26&lt;&gt;"",CE$23&lt;&gt;""),IF(EOMONTH($CD$3+INT((DAY(EOMONTH($CD$3,0))-1)/2)+CE$23,0)=EOMONTH($BR$3,0),CE$26,0),0),IF(AND(CA$26&lt;&gt;"",CA$23&lt;&gt;""),IF(EOMONTH($BZ$3+INT((DAY(EOMONTH($BZ$3,0))-1)/2)+CA$23,0)=EOMONTH($BR$3,0),CA$26,0),0),IF(AND(BW$26&lt;&gt;"",BW$23&lt;&gt;""),IF(EOMONTH($BV$3+INT((DAY(EOMONTH($BV$3,0))-1)/2)+BW$23,0)=EOMONTH($BR$3,0),BW$26,0),0),IF(AND(BS$26&lt;&gt;"",BS$23&lt;&gt;""),IF(EOMONTH($BR$3+INT((DAY(EOMONTH($BR$3,0))-1)/2)+BS$23,0)=EOMONTH($BR$3,0),BS$26,0),0),IF(AND(BO$26&lt;&gt;"",BO$23&lt;&gt;""),IF(EOMONTH($BN$3+INT((DAY(EOMONTH($BN$3,0))-1)/2)+BO$23,0)=EOMONTH($BR$3,0),BO$26,0),0),IF(AND(BK$26&lt;&gt;"",BK$23&lt;&gt;""),IF(EOMONTH($BJ$3+INT((DAY(EOMONTH($BJ$3,0))-1)/2)+BK$23,0)=EOMONTH($BR$3,0),BK$26,0),0),IF(AND(BG$26&lt;&gt;"",BG$23&lt;&gt;""),IF(EOMONTH($BF$3+INT((DAY(EOMONTH($BF$3,0))-1)/2)+BG$23,0)=EOMONTH($BR$3,0),BG$26,0),0),IF(AND(BC$26&lt;&gt;"",BC$23&lt;&gt;""),IF(EOMONTH($BB$3+INT((DAY(EOMONTH($BB$3,0))-1)/2)+BC$23,0)=EOMONTH($BR$3,0),BC$26,0),0),IF(AND(AY$26&lt;&gt;"",AY$23&lt;&gt;""),IF(EOMONTH($AX$3+INT((DAY(EOMONTH($AX$3,0))-1)/2)+AY$23,0)=EOMONTH($BR$3,0),AY$26,0),0),IF(AND(AU$26&lt;&gt;"",AU$23&lt;&gt;""),IF(EOMONTH($AT$3+INT((DAY(EOMONTH($AT$3,0))-1)/2)+AU$23,0)=EOMONTH($BR$3,0),AU$26,0),0),IF(AND(AQ$26&lt;&gt;"",AQ$23&lt;&gt;""),IF(EOMONTH($AP$3+INT((DAY(EOMONTH($AP$3,0))-1)/2)+AQ$23,0)=EOMONTH($BR$3,0),AQ$26,0),0),IF(AND(AM$26&lt;&gt;"",AM$23&lt;&gt;""),IF(EOMONTH($AL$3+INT((DAY(EOMONTH($AL$3,0))-1)/2)+AM$23,0)=EOMONTH($BR$3,0),AM$26,0),0),IF(AND(AI$26&lt;&gt;"",AI$23&lt;&gt;""),IF(EOMONTH($AH$3+INT((DAY(EOMONTH($AH$3,0))-1)/2)+AI$23,0)=EOMONTH($BR$3,0),AI$26,0),0),IF(AND(AE$26&lt;&gt;"",AE$23&lt;&gt;""),IF(EOMONTH($AD$3+INT((DAY(EOMONTH($AD$3,0))-1)/2)+AE$23,0)=EOMONTH($BR$3,0),AE$26,0),0),IF(AND(AA$26&lt;&gt;"",AA$23&lt;&gt;""),IF(EOMONTH($Z$3+INT((DAY(EOMONTH($Z$3,0))-1)/2)+AA$23,0)=EOMONTH($BR$3,0),AA$26,0),0),IF(AND(W$26&lt;&gt;"",W$23&lt;&gt;""),IF(EOMONTH($V$3+INT((DAY(EOMONTH($V$3,0))-1)/2)+W$23,0)=EOMONTH($BR$3,0),W$26,0),0),IF(AND(S$26&lt;&gt;"",S$23&lt;&gt;""),IF(EOMONTH($R$3+INT((DAY(EOMONTH($R$3,0))-1)/2)+S$23,0)=EOMONTH($BR$3,0),S$26,0),0),IF(AND(O$26&lt;&gt;"",O$23&lt;&gt;""),IF(EOMONTH($N$3+INT((DAY(EOMONTH($N$3,0))-1)/2)+O$23,0)=EOMONTH($BR$3,0),O$26,0),0),IF(AND(K$26&lt;&gt;"",K$23&lt;&gt;""),IF(EOMONTH($J$3+INT((DAY(EOMONTH($J$3,0))-1)/2)+K$23,0)=EOMONTH($BR$3,0),K$26,0),0),IF(AND(G$26&lt;&gt;"",G$23&lt;&gt;""),IF(EOMONTH($F$3+INT((DAY(EOMONTH($F$3,0))-1)/2)+G$23,0)=EOMONTH($BR$3,0),G$26,0),0),IF($EP$75="",0,IF(EOMONTH($EP$75+EQ$23,0)=EOMONTH($BR$3,0),$EP$78*EQ$13,0))),0))</f>
        <v>112000</v>
      </c>
      <c r="BT57" s="32">
        <f>ROUND(SUM(IF(AND(ER$26&lt;&gt;"",ER$23&lt;&gt;""),IF(EOMONTH($EP$3+INT((DAY(EOMONTH($EP$3,0))-1)/2)+ER$23,0)=EOMONTH($BR$3,0),ER$26,0),0),IF(AND(EN$26&lt;&gt;"",EN$23&lt;&gt;""),IF(EOMONTH($EL$3+INT((DAY(EOMONTH($EL$3,0))-1)/2)+EN$23,0)=EOMONTH($BR$3,0),EN$26,0),0),IF(AND(EJ$26&lt;&gt;"",EJ$23&lt;&gt;""),IF(EOMONTH($EH$3+INT((DAY(EOMONTH($EH$3,0))-1)/2)+EJ$23,0)=EOMONTH($BR$3,0),EJ$26,0),0),IF(AND(EF$26&lt;&gt;"",EF$23&lt;&gt;""),IF(EOMONTH($ED$3+INT((DAY(EOMONTH($ED$3,0))-1)/2)+EF$23,0)=EOMONTH($BR$3,0),EF$26,0),0),IF(AND(EB$26&lt;&gt;"",EB$23&lt;&gt;""),IF(EOMONTH($DZ$3+INT((DAY(EOMONTH($DZ$3,0))-1)/2)+EB$23,0)=EOMONTH($BR$3,0),EB$26,0),0),IF(AND(DX$26&lt;&gt;"",DX$23&lt;&gt;""),IF(EOMONTH($DV$3+INT((DAY(EOMONTH($DV$3,0))-1)/2)+DX$23,0)=EOMONTH($BR$3,0),DX$26,0),0),IF(AND(DT$26&lt;&gt;"",DT$23&lt;&gt;""),IF(EOMONTH($DR$3+INT((DAY(EOMONTH($DR$3,0))-1)/2)+DT$23,0)=EOMONTH($BR$3,0),DT$26,0),0),IF(AND(DP$26&lt;&gt;"",DP$23&lt;&gt;""),IF(EOMONTH($DN$3+INT((DAY(EOMONTH($DN$3,0))-1)/2)+DP$23,0)=EOMONTH($BR$3,0),DP$26,0),0),IF(AND(DL$26&lt;&gt;"",DL$23&lt;&gt;""),IF(EOMONTH($DJ$3+INT((DAY(EOMONTH($DJ$3,0))-1)/2)+DL$23,0)=EOMONTH($BR$3,0),DL$26,0),0),IF(AND(DH$26&lt;&gt;"",DH$23&lt;&gt;""),IF(EOMONTH($DF$3+INT((DAY(EOMONTH($DF$3,0))-1)/2)+DH$23,0)=EOMONTH($BR$3,0),DH$26,0),0),IF(AND(DD$26&lt;&gt;"",DD$23&lt;&gt;""),IF(EOMONTH($DB$3+INT((DAY(EOMONTH($DB$3,0))-1)/2)+DD$23,0)=EOMONTH($BR$3,0),DD$26,0),0),IF(AND(CZ$26&lt;&gt;"",CZ$23&lt;&gt;""),IF(EOMONTH($CX$3+INT((DAY(EOMONTH($CX$3,0))-1)/2)+CZ$23,0)=EOMONTH($BR$3,0),CZ$26,0),0),IF(AND(CV$26&lt;&gt;"",CV$23&lt;&gt;""),IF(EOMONTH($CT$3+INT((DAY(EOMONTH($CT$3,0))-1)/2)+CV$23,0)=EOMONTH($BR$3,0),CV$26,0),0),IF(AND(CR$26&lt;&gt;"",CR$23&lt;&gt;""),IF(EOMONTH($CP$3+INT((DAY(EOMONTH($CP$3,0))-1)/2)+CR$23,0)=EOMONTH($BR$3,0),CR$26,0),0),IF(AND(CN$26&lt;&gt;"",CN$23&lt;&gt;""),IF(EOMONTH($CL$3+INT((DAY(EOMONTH($CL$3,0))-1)/2)+CN$23,0)=EOMONTH($BR$3,0),CN$26,0),0),IF(AND(CJ$26&lt;&gt;"",CJ$23&lt;&gt;""),IF(EOMONTH($CH$3+INT((DAY(EOMONTH($CH$3,0))-1)/2)+CJ$23,0)=EOMONTH($BR$3,0),CJ$26,0),0),IF(AND(CF$26&lt;&gt;"",CF$23&lt;&gt;""),IF(EOMONTH($CD$3+INT((DAY(EOMONTH($CD$3,0))-1)/2)+CF$23,0)=EOMONTH($BR$3,0),CF$26,0),0),IF(AND(CB$26&lt;&gt;"",CB$23&lt;&gt;""),IF(EOMONTH($BZ$3+INT((DAY(EOMONTH($BZ$3,0))-1)/2)+CB$23,0)=EOMONTH($BR$3,0),CB$26,0),0),IF(AND(BX$26&lt;&gt;"",BX$23&lt;&gt;""),IF(EOMONTH($BV$3+INT((DAY(EOMONTH($BV$3,0))-1)/2)+BX$23,0)=EOMONTH($BR$3,0),BX$26,0),0),IF(AND(BT$26&lt;&gt;"",BT$23&lt;&gt;""),IF(EOMONTH($BR$3+INT((DAY(EOMONTH($BR$3,0))-1)/2)+BT$23,0)=EOMONTH($BR$3,0),BT$26,0),0),IF(AND(BP$26&lt;&gt;"",BP$23&lt;&gt;""),IF(EOMONTH($BN$3+INT((DAY(EOMONTH($BN$3,0))-1)/2)+BP$23,0)=EOMONTH($BR$3,0),BP$26,0),0),IF(AND(BL$26&lt;&gt;"",BL$23&lt;&gt;""),IF(EOMONTH($BJ$3+INT((DAY(EOMONTH($BJ$3,0))-1)/2)+BL$23,0)=EOMONTH($BR$3,0),BL$26,0),0),IF(AND(BH$26&lt;&gt;"",BH$23&lt;&gt;""),IF(EOMONTH($BF$3+INT((DAY(EOMONTH($BF$3,0))-1)/2)+BH$23,0)=EOMONTH($BR$3,0),BH$26,0),0),IF(AND(BD$26&lt;&gt;"",BD$23&lt;&gt;""),IF(EOMONTH($BB$3+INT((DAY(EOMONTH($BB$3,0))-1)/2)+BD$23,0)=EOMONTH($BR$3,0),BD$26,0),0),IF(AND(AZ$26&lt;&gt;"",AZ$23&lt;&gt;""),IF(EOMONTH($AX$3+INT((DAY(EOMONTH($AX$3,0))-1)/2)+AZ$23,0)=EOMONTH($BR$3,0),AZ$26,0),0),IF(AND(AV$26&lt;&gt;"",AV$23&lt;&gt;""),IF(EOMONTH($AT$3+INT((DAY(EOMONTH($AT$3,0))-1)/2)+AV$23,0)=EOMONTH($BR$3,0),AV$26,0),0),IF(AND(AR$26&lt;&gt;"",AR$23&lt;&gt;""),IF(EOMONTH($AP$3+INT((DAY(EOMONTH($AP$3,0))-1)/2)+AR$23,0)=EOMONTH($BR$3,0),AR$26,0),0),IF(AND(AN$26&lt;&gt;"",AN$23&lt;&gt;""),IF(EOMONTH($AL$3+INT((DAY(EOMONTH($AL$3,0))-1)/2)+AN$23,0)=EOMONTH($BR$3,0),AN$26,0),0),IF(AND(AJ$26&lt;&gt;"",AJ$23&lt;&gt;""),IF(EOMONTH($AH$3+INT((DAY(EOMONTH($AH$3,0))-1)/2)+AJ$23,0)=EOMONTH($BR$3,0),AJ$26,0),0),IF(AND(AF$26&lt;&gt;"",AF$23&lt;&gt;""),IF(EOMONTH($AD$3+INT((DAY(EOMONTH($AD$3,0))-1)/2)+AF$23,0)=EOMONTH($BR$3,0),AF$26,0),0),IF(AND(AB$26&lt;&gt;"",AB$23&lt;&gt;""),IF(EOMONTH($Z$3+INT((DAY(EOMONTH($Z$3,0))-1)/2)+AB$23,0)=EOMONTH($BR$3,0),AB$26,0),0),IF(AND(X$26&lt;&gt;"",X$23&lt;&gt;""),IF(EOMONTH($V$3+INT((DAY(EOMONTH($V$3,0))-1)/2)+X$23,0)=EOMONTH($BR$3,0),X$26,0),0),IF(AND(T$26&lt;&gt;"",T$23&lt;&gt;""),IF(EOMONTH($R$3+INT((DAY(EOMONTH($R$3,0))-1)/2)+T$23,0)=EOMONTH($BR$3,0),T$26,0),0),IF(AND(P$26&lt;&gt;"",P$23&lt;&gt;""),IF(EOMONTH($N$3+INT((DAY(EOMONTH($N$3,0))-1)/2)+P$23,0)=EOMONTH($BR$3,0),P$26,0),0),IF(AND(L$26&lt;&gt;"",L$23&lt;&gt;""),IF(EOMONTH($J$3+INT((DAY(EOMONTH($J$3,0))-1)/2)+L$23,0)=EOMONTH($BR$3,0),L$26,0),0),IF(AND(H$26&lt;&gt;"",H$23&lt;&gt;""),IF(EOMONTH($F$3+INT((DAY(EOMONTH($F$3,0))-1)/2)+H$23,0)=EOMONTH($BR$3,0),H$26,0),0),IF($EP$75="",0,IF(EOMONTH($EP$75+ER$23,0)=EOMONTH($BR$3,0),$EP$78*ER$13,0))),0)</f>
        <v>112000</v>
      </c>
      <c r="BU57" s="33">
        <f t="shared" ref="BU57:BU70" si="734">IFERROR(IF(OR(BS57="",BT57=""),"",BS57-BT57),"")</f>
        <v>0</v>
      </c>
      <c r="BV57" s="34"/>
      <c r="BW57" s="31">
        <f>IF(BV$98=1,BV57,ROUND(SUM(IF(AND(EQ$26&lt;&gt;"",EQ$23&lt;&gt;""),IF(EOMONTH($EP$3+INT((DAY(EOMONTH($EP$3,0))-1)/2)+EQ$23,0)=EOMONTH($BV$3,0),EQ$26,0),0),IF(AND(EM$26&lt;&gt;"",EM$23&lt;&gt;""),IF(EOMONTH($EL$3+INT((DAY(EOMONTH($EL$3,0))-1)/2)+EM$23,0)=EOMONTH($BV$3,0),EM$26,0),0),IF(AND(EI$26&lt;&gt;"",EI$23&lt;&gt;""),IF(EOMONTH($EH$3+INT((DAY(EOMONTH($EH$3,0))-1)/2)+EI$23,0)=EOMONTH($BV$3,0),EI$26,0),0),IF(AND(EE$26&lt;&gt;"",EE$23&lt;&gt;""),IF(EOMONTH($ED$3+INT((DAY(EOMONTH($ED$3,0))-1)/2)+EE$23,0)=EOMONTH($BV$3,0),EE$26,0),0),IF(AND(EA$26&lt;&gt;"",EA$23&lt;&gt;""),IF(EOMONTH($DZ$3+INT((DAY(EOMONTH($DZ$3,0))-1)/2)+EA$23,0)=EOMONTH($BV$3,0),EA$26,0),0),IF(AND(DW$26&lt;&gt;"",DW$23&lt;&gt;""),IF(EOMONTH($DV$3+INT((DAY(EOMONTH($DV$3,0))-1)/2)+DW$23,0)=EOMONTH($BV$3,0),DW$26,0),0),IF(AND(DS$26&lt;&gt;"",DS$23&lt;&gt;""),IF(EOMONTH($DR$3+INT((DAY(EOMONTH($DR$3,0))-1)/2)+DS$23,0)=EOMONTH($BV$3,0),DS$26,0),0),IF(AND(DO$26&lt;&gt;"",DO$23&lt;&gt;""),IF(EOMONTH($DN$3+INT((DAY(EOMONTH($DN$3,0))-1)/2)+DO$23,0)=EOMONTH($BV$3,0),DO$26,0),0),IF(AND(DK$26&lt;&gt;"",DK$23&lt;&gt;""),IF(EOMONTH($DJ$3+INT((DAY(EOMONTH($DJ$3,0))-1)/2)+DK$23,0)=EOMONTH($BV$3,0),DK$26,0),0),IF(AND(DG$26&lt;&gt;"",DG$23&lt;&gt;""),IF(EOMONTH($DF$3+INT((DAY(EOMONTH($DF$3,0))-1)/2)+DG$23,0)=EOMONTH($BV$3,0),DG$26,0),0),IF(AND(DC$26&lt;&gt;"",DC$23&lt;&gt;""),IF(EOMONTH($DB$3+INT((DAY(EOMONTH($DB$3,0))-1)/2)+DC$23,0)=EOMONTH($BV$3,0),DC$26,0),0),IF(AND(CY$26&lt;&gt;"",CY$23&lt;&gt;""),IF(EOMONTH($CX$3+INT((DAY(EOMONTH($CX$3,0))-1)/2)+CY$23,0)=EOMONTH($BV$3,0),CY$26,0),0),IF(AND(CU$26&lt;&gt;"",CU$23&lt;&gt;""),IF(EOMONTH($CT$3+INT((DAY(EOMONTH($CT$3,0))-1)/2)+CU$23,0)=EOMONTH($BV$3,0),CU$26,0),0),IF(AND(CQ$26&lt;&gt;"",CQ$23&lt;&gt;""),IF(EOMONTH($CP$3+INT((DAY(EOMONTH($CP$3,0))-1)/2)+CQ$23,0)=EOMONTH($BV$3,0),CQ$26,0),0),IF(AND(CM$26&lt;&gt;"",CM$23&lt;&gt;""),IF(EOMONTH($CL$3+INT((DAY(EOMONTH($CL$3,0))-1)/2)+CM$23,0)=EOMONTH($BV$3,0),CM$26,0),0),IF(AND(CI$26&lt;&gt;"",CI$23&lt;&gt;""),IF(EOMONTH($CH$3+INT((DAY(EOMONTH($CH$3,0))-1)/2)+CI$23,0)=EOMONTH($BV$3,0),CI$26,0),0),IF(AND(CE$26&lt;&gt;"",CE$23&lt;&gt;""),IF(EOMONTH($CD$3+INT((DAY(EOMONTH($CD$3,0))-1)/2)+CE$23,0)=EOMONTH($BV$3,0),CE$26,0),0),IF(AND(CA$26&lt;&gt;"",CA$23&lt;&gt;""),IF(EOMONTH($BZ$3+INT((DAY(EOMONTH($BZ$3,0))-1)/2)+CA$23,0)=EOMONTH($BV$3,0),CA$26,0),0),IF(AND(BW$26&lt;&gt;"",BW$23&lt;&gt;""),IF(EOMONTH($BV$3+INT((DAY(EOMONTH($BV$3,0))-1)/2)+BW$23,0)=EOMONTH($BV$3,0),BW$26,0),0),IF(AND(BS$26&lt;&gt;"",BS$23&lt;&gt;""),IF(EOMONTH($BR$3+INT((DAY(EOMONTH($BR$3,0))-1)/2)+BS$23,0)=EOMONTH($BV$3,0),BS$26,0),0),IF(AND(BO$26&lt;&gt;"",BO$23&lt;&gt;""),IF(EOMONTH($BN$3+INT((DAY(EOMONTH($BN$3,0))-1)/2)+BO$23,0)=EOMONTH($BV$3,0),BO$26,0),0),IF(AND(BK$26&lt;&gt;"",BK$23&lt;&gt;""),IF(EOMONTH($BJ$3+INT((DAY(EOMONTH($BJ$3,0))-1)/2)+BK$23,0)=EOMONTH($BV$3,0),BK$26,0),0),IF(AND(BG$26&lt;&gt;"",BG$23&lt;&gt;""),IF(EOMONTH($BF$3+INT((DAY(EOMONTH($BF$3,0))-1)/2)+BG$23,0)=EOMONTH($BV$3,0),BG$26,0),0),IF(AND(BC$26&lt;&gt;"",BC$23&lt;&gt;""),IF(EOMONTH($BB$3+INT((DAY(EOMONTH($BB$3,0))-1)/2)+BC$23,0)=EOMONTH($BV$3,0),BC$26,0),0),IF(AND(AY$26&lt;&gt;"",AY$23&lt;&gt;""),IF(EOMONTH($AX$3+INT((DAY(EOMONTH($AX$3,0))-1)/2)+AY$23,0)=EOMONTH($BV$3,0),AY$26,0),0),IF(AND(AU$26&lt;&gt;"",AU$23&lt;&gt;""),IF(EOMONTH($AT$3+INT((DAY(EOMONTH($AT$3,0))-1)/2)+AU$23,0)=EOMONTH($BV$3,0),AU$26,0),0),IF(AND(AQ$26&lt;&gt;"",AQ$23&lt;&gt;""),IF(EOMONTH($AP$3+INT((DAY(EOMONTH($AP$3,0))-1)/2)+AQ$23,0)=EOMONTH($BV$3,0),AQ$26,0),0),IF(AND(AM$26&lt;&gt;"",AM$23&lt;&gt;""),IF(EOMONTH($AL$3+INT((DAY(EOMONTH($AL$3,0))-1)/2)+AM$23,0)=EOMONTH($BV$3,0),AM$26,0),0),IF(AND(AI$26&lt;&gt;"",AI$23&lt;&gt;""),IF(EOMONTH($AH$3+INT((DAY(EOMONTH($AH$3,0))-1)/2)+AI$23,0)=EOMONTH($BV$3,0),AI$26,0),0),IF(AND(AE$26&lt;&gt;"",AE$23&lt;&gt;""),IF(EOMONTH($AD$3+INT((DAY(EOMONTH($AD$3,0))-1)/2)+AE$23,0)=EOMONTH($BV$3,0),AE$26,0),0),IF(AND(AA$26&lt;&gt;"",AA$23&lt;&gt;""),IF(EOMONTH($Z$3+INT((DAY(EOMONTH($Z$3,0))-1)/2)+AA$23,0)=EOMONTH($BV$3,0),AA$26,0),0),IF(AND(W$26&lt;&gt;"",W$23&lt;&gt;""),IF(EOMONTH($V$3+INT((DAY(EOMONTH($V$3,0))-1)/2)+W$23,0)=EOMONTH($BV$3,0),W$26,0),0),IF(AND(S$26&lt;&gt;"",S$23&lt;&gt;""),IF(EOMONTH($R$3+INT((DAY(EOMONTH($R$3,0))-1)/2)+S$23,0)=EOMONTH($BV$3,0),S$26,0),0),IF(AND(O$26&lt;&gt;"",O$23&lt;&gt;""),IF(EOMONTH($N$3+INT((DAY(EOMONTH($N$3,0))-1)/2)+O$23,0)=EOMONTH($BV$3,0),O$26,0),0),IF(AND(K$26&lt;&gt;"",K$23&lt;&gt;""),IF(EOMONTH($J$3+INT((DAY(EOMONTH($J$3,0))-1)/2)+K$23,0)=EOMONTH($BV$3,0),K$26,0),0),IF(AND(G$26&lt;&gt;"",G$23&lt;&gt;""),IF(EOMONTH($F$3+INT((DAY(EOMONTH($F$3,0))-1)/2)+G$23,0)=EOMONTH($BV$3,0),G$26,0),0),IF($EP$75="",0,IF(EOMONTH($EP$75+EQ$23,0)=EOMONTH($BV$3,0),$EP$78*EQ$13,0))),0))</f>
        <v>112000</v>
      </c>
      <c r="BX57" s="32">
        <f>ROUND(SUM(IF(AND(ER$26&lt;&gt;"",ER$23&lt;&gt;""),IF(EOMONTH($EP$3+INT((DAY(EOMONTH($EP$3,0))-1)/2)+ER$23,0)=EOMONTH($BV$3,0),ER$26,0),0),IF(AND(EN$26&lt;&gt;"",EN$23&lt;&gt;""),IF(EOMONTH($EL$3+INT((DAY(EOMONTH($EL$3,0))-1)/2)+EN$23,0)=EOMONTH($BV$3,0),EN$26,0),0),IF(AND(EJ$26&lt;&gt;"",EJ$23&lt;&gt;""),IF(EOMONTH($EH$3+INT((DAY(EOMONTH($EH$3,0))-1)/2)+EJ$23,0)=EOMONTH($BV$3,0),EJ$26,0),0),IF(AND(EF$26&lt;&gt;"",EF$23&lt;&gt;""),IF(EOMONTH($ED$3+INT((DAY(EOMONTH($ED$3,0))-1)/2)+EF$23,0)=EOMONTH($BV$3,0),EF$26,0),0),IF(AND(EB$26&lt;&gt;"",EB$23&lt;&gt;""),IF(EOMONTH($DZ$3+INT((DAY(EOMONTH($DZ$3,0))-1)/2)+EB$23,0)=EOMONTH($BV$3,0),EB$26,0),0),IF(AND(DX$26&lt;&gt;"",DX$23&lt;&gt;""),IF(EOMONTH($DV$3+INT((DAY(EOMONTH($DV$3,0))-1)/2)+DX$23,0)=EOMONTH($BV$3,0),DX$26,0),0),IF(AND(DT$26&lt;&gt;"",DT$23&lt;&gt;""),IF(EOMONTH($DR$3+INT((DAY(EOMONTH($DR$3,0))-1)/2)+DT$23,0)=EOMONTH($BV$3,0),DT$26,0),0),IF(AND(DP$26&lt;&gt;"",DP$23&lt;&gt;""),IF(EOMONTH($DN$3+INT((DAY(EOMONTH($DN$3,0))-1)/2)+DP$23,0)=EOMONTH($BV$3,0),DP$26,0),0),IF(AND(DL$26&lt;&gt;"",DL$23&lt;&gt;""),IF(EOMONTH($DJ$3+INT((DAY(EOMONTH($DJ$3,0))-1)/2)+DL$23,0)=EOMONTH($BV$3,0),DL$26,0),0),IF(AND(DH$26&lt;&gt;"",DH$23&lt;&gt;""),IF(EOMONTH($DF$3+INT((DAY(EOMONTH($DF$3,0))-1)/2)+DH$23,0)=EOMONTH($BV$3,0),DH$26,0),0),IF(AND(DD$26&lt;&gt;"",DD$23&lt;&gt;""),IF(EOMONTH($DB$3+INT((DAY(EOMONTH($DB$3,0))-1)/2)+DD$23,0)=EOMONTH($BV$3,0),DD$26,0),0),IF(AND(CZ$26&lt;&gt;"",CZ$23&lt;&gt;""),IF(EOMONTH($CX$3+INT((DAY(EOMONTH($CX$3,0))-1)/2)+CZ$23,0)=EOMONTH($BV$3,0),CZ$26,0),0),IF(AND(CV$26&lt;&gt;"",CV$23&lt;&gt;""),IF(EOMONTH($CT$3+INT((DAY(EOMONTH($CT$3,0))-1)/2)+CV$23,0)=EOMONTH($BV$3,0),CV$26,0),0),IF(AND(CR$26&lt;&gt;"",CR$23&lt;&gt;""),IF(EOMONTH($CP$3+INT((DAY(EOMONTH($CP$3,0))-1)/2)+CR$23,0)=EOMONTH($BV$3,0),CR$26,0),0),IF(AND(CN$26&lt;&gt;"",CN$23&lt;&gt;""),IF(EOMONTH($CL$3+INT((DAY(EOMONTH($CL$3,0))-1)/2)+CN$23,0)=EOMONTH($BV$3,0),CN$26,0),0),IF(AND(CJ$26&lt;&gt;"",CJ$23&lt;&gt;""),IF(EOMONTH($CH$3+INT((DAY(EOMONTH($CH$3,0))-1)/2)+CJ$23,0)=EOMONTH($BV$3,0),CJ$26,0),0),IF(AND(CF$26&lt;&gt;"",CF$23&lt;&gt;""),IF(EOMONTH($CD$3+INT((DAY(EOMONTH($CD$3,0))-1)/2)+CF$23,0)=EOMONTH($BV$3,0),CF$26,0),0),IF(AND(CB$26&lt;&gt;"",CB$23&lt;&gt;""),IF(EOMONTH($BZ$3+INT((DAY(EOMONTH($BZ$3,0))-1)/2)+CB$23,0)=EOMONTH($BV$3,0),CB$26,0),0),IF(AND(BX$26&lt;&gt;"",BX$23&lt;&gt;""),IF(EOMONTH($BV$3+INT((DAY(EOMONTH($BV$3,0))-1)/2)+BX$23,0)=EOMONTH($BV$3,0),BX$26,0),0),IF(AND(BT$26&lt;&gt;"",BT$23&lt;&gt;""),IF(EOMONTH($BR$3+INT((DAY(EOMONTH($BR$3,0))-1)/2)+BT$23,0)=EOMONTH($BV$3,0),BT$26,0),0),IF(AND(BP$26&lt;&gt;"",BP$23&lt;&gt;""),IF(EOMONTH($BN$3+INT((DAY(EOMONTH($BN$3,0))-1)/2)+BP$23,0)=EOMONTH($BV$3,0),BP$26,0),0),IF(AND(BL$26&lt;&gt;"",BL$23&lt;&gt;""),IF(EOMONTH($BJ$3+INT((DAY(EOMONTH($BJ$3,0))-1)/2)+BL$23,0)=EOMONTH($BV$3,0),BL$26,0),0),IF(AND(BH$26&lt;&gt;"",BH$23&lt;&gt;""),IF(EOMONTH($BF$3+INT((DAY(EOMONTH($BF$3,0))-1)/2)+BH$23,0)=EOMONTH($BV$3,0),BH$26,0),0),IF(AND(BD$26&lt;&gt;"",BD$23&lt;&gt;""),IF(EOMONTH($BB$3+INT((DAY(EOMONTH($BB$3,0))-1)/2)+BD$23,0)=EOMONTH($BV$3,0),BD$26,0),0),IF(AND(AZ$26&lt;&gt;"",AZ$23&lt;&gt;""),IF(EOMONTH($AX$3+INT((DAY(EOMONTH($AX$3,0))-1)/2)+AZ$23,0)=EOMONTH($BV$3,0),AZ$26,0),0),IF(AND(AV$26&lt;&gt;"",AV$23&lt;&gt;""),IF(EOMONTH($AT$3+INT((DAY(EOMONTH($AT$3,0))-1)/2)+AV$23,0)=EOMONTH($BV$3,0),AV$26,0),0),IF(AND(AR$26&lt;&gt;"",AR$23&lt;&gt;""),IF(EOMONTH($AP$3+INT((DAY(EOMONTH($AP$3,0))-1)/2)+AR$23,0)=EOMONTH($BV$3,0),AR$26,0),0),IF(AND(AN$26&lt;&gt;"",AN$23&lt;&gt;""),IF(EOMONTH($AL$3+INT((DAY(EOMONTH($AL$3,0))-1)/2)+AN$23,0)=EOMONTH($BV$3,0),AN$26,0),0),IF(AND(AJ$26&lt;&gt;"",AJ$23&lt;&gt;""),IF(EOMONTH($AH$3+INT((DAY(EOMONTH($AH$3,0))-1)/2)+AJ$23,0)=EOMONTH($BV$3,0),AJ$26,0),0),IF(AND(AF$26&lt;&gt;"",AF$23&lt;&gt;""),IF(EOMONTH($AD$3+INT((DAY(EOMONTH($AD$3,0))-1)/2)+AF$23,0)=EOMONTH($BV$3,0),AF$26,0),0),IF(AND(AB$26&lt;&gt;"",AB$23&lt;&gt;""),IF(EOMONTH($Z$3+INT((DAY(EOMONTH($Z$3,0))-1)/2)+AB$23,0)=EOMONTH($BV$3,0),AB$26,0),0),IF(AND(X$26&lt;&gt;"",X$23&lt;&gt;""),IF(EOMONTH($V$3+INT((DAY(EOMONTH($V$3,0))-1)/2)+X$23,0)=EOMONTH($BV$3,0),X$26,0),0),IF(AND(T$26&lt;&gt;"",T$23&lt;&gt;""),IF(EOMONTH($R$3+INT((DAY(EOMONTH($R$3,0))-1)/2)+T$23,0)=EOMONTH($BV$3,0),T$26,0),0),IF(AND(P$26&lt;&gt;"",P$23&lt;&gt;""),IF(EOMONTH($N$3+INT((DAY(EOMONTH($N$3,0))-1)/2)+P$23,0)=EOMONTH($BV$3,0),P$26,0),0),IF(AND(L$26&lt;&gt;"",L$23&lt;&gt;""),IF(EOMONTH($J$3+INT((DAY(EOMONTH($J$3,0))-1)/2)+L$23,0)=EOMONTH($BV$3,0),L$26,0),0),IF(AND(H$26&lt;&gt;"",H$23&lt;&gt;""),IF(EOMONTH($F$3+INT((DAY(EOMONTH($F$3,0))-1)/2)+H$23,0)=EOMONTH($BV$3,0),H$26,0),0),IF($EP$75="",0,IF(EOMONTH($EP$75+ER$23,0)=EOMONTH($BV$3,0),$EP$78*ER$13,0))),0)</f>
        <v>112000</v>
      </c>
      <c r="BY57" s="33">
        <f t="shared" ref="BY57:BY70" si="736">IFERROR(IF(OR(BW57="",BX57=""),"",BW57-BX57),"")</f>
        <v>0</v>
      </c>
      <c r="BZ57" s="34"/>
      <c r="CA57" s="31">
        <f>IF(BZ$98=1,BZ57,ROUND(SUM(IF(AND(EQ$26&lt;&gt;"",EQ$23&lt;&gt;""),IF(EOMONTH($EP$3+INT((DAY(EOMONTH($EP$3,0))-1)/2)+EQ$23,0)=EOMONTH($BZ$3,0),EQ$26,0),0),IF(AND(EM$26&lt;&gt;"",EM$23&lt;&gt;""),IF(EOMONTH($EL$3+INT((DAY(EOMONTH($EL$3,0))-1)/2)+EM$23,0)=EOMONTH($BZ$3,0),EM$26,0),0),IF(AND(EI$26&lt;&gt;"",EI$23&lt;&gt;""),IF(EOMONTH($EH$3+INT((DAY(EOMONTH($EH$3,0))-1)/2)+EI$23,0)=EOMONTH($BZ$3,0),EI$26,0),0),IF(AND(EE$26&lt;&gt;"",EE$23&lt;&gt;""),IF(EOMONTH($ED$3+INT((DAY(EOMONTH($ED$3,0))-1)/2)+EE$23,0)=EOMONTH($BZ$3,0),EE$26,0),0),IF(AND(EA$26&lt;&gt;"",EA$23&lt;&gt;""),IF(EOMONTH($DZ$3+INT((DAY(EOMONTH($DZ$3,0))-1)/2)+EA$23,0)=EOMONTH($BZ$3,0),EA$26,0),0),IF(AND(DW$26&lt;&gt;"",DW$23&lt;&gt;""),IF(EOMONTH($DV$3+INT((DAY(EOMONTH($DV$3,0))-1)/2)+DW$23,0)=EOMONTH($BZ$3,0),DW$26,0),0),IF(AND(DS$26&lt;&gt;"",DS$23&lt;&gt;""),IF(EOMONTH($DR$3+INT((DAY(EOMONTH($DR$3,0))-1)/2)+DS$23,0)=EOMONTH($BZ$3,0),DS$26,0),0),IF(AND(DO$26&lt;&gt;"",DO$23&lt;&gt;""),IF(EOMONTH($DN$3+INT((DAY(EOMONTH($DN$3,0))-1)/2)+DO$23,0)=EOMONTH($BZ$3,0),DO$26,0),0),IF(AND(DK$26&lt;&gt;"",DK$23&lt;&gt;""),IF(EOMONTH($DJ$3+INT((DAY(EOMONTH($DJ$3,0))-1)/2)+DK$23,0)=EOMONTH($BZ$3,0),DK$26,0),0),IF(AND(DG$26&lt;&gt;"",DG$23&lt;&gt;""),IF(EOMONTH($DF$3+INT((DAY(EOMONTH($DF$3,0))-1)/2)+DG$23,0)=EOMONTH($BZ$3,0),DG$26,0),0),IF(AND(DC$26&lt;&gt;"",DC$23&lt;&gt;""),IF(EOMONTH($DB$3+INT((DAY(EOMONTH($DB$3,0))-1)/2)+DC$23,0)=EOMONTH($BZ$3,0),DC$26,0),0),IF(AND(CY$26&lt;&gt;"",CY$23&lt;&gt;""),IF(EOMONTH($CX$3+INT((DAY(EOMONTH($CX$3,0))-1)/2)+CY$23,0)=EOMONTH($BZ$3,0),CY$26,0),0),IF(AND(CU$26&lt;&gt;"",CU$23&lt;&gt;""),IF(EOMONTH($CT$3+INT((DAY(EOMONTH($CT$3,0))-1)/2)+CU$23,0)=EOMONTH($BZ$3,0),CU$26,0),0),IF(AND(CQ$26&lt;&gt;"",CQ$23&lt;&gt;""),IF(EOMONTH($CP$3+INT((DAY(EOMONTH($CP$3,0))-1)/2)+CQ$23,0)=EOMONTH($BZ$3,0),CQ$26,0),0),IF(AND(CM$26&lt;&gt;"",CM$23&lt;&gt;""),IF(EOMONTH($CL$3+INT((DAY(EOMONTH($CL$3,0))-1)/2)+CM$23,0)=EOMONTH($BZ$3,0),CM$26,0),0),IF(AND(CI$26&lt;&gt;"",CI$23&lt;&gt;""),IF(EOMONTH($CH$3+INT((DAY(EOMONTH($CH$3,0))-1)/2)+CI$23,0)=EOMONTH($BZ$3,0),CI$26,0),0),IF(AND(CE$26&lt;&gt;"",CE$23&lt;&gt;""),IF(EOMONTH($CD$3+INT((DAY(EOMONTH($CD$3,0))-1)/2)+CE$23,0)=EOMONTH($BZ$3,0),CE$26,0),0),IF(AND(CA$26&lt;&gt;"",CA$23&lt;&gt;""),IF(EOMONTH($BZ$3+INT((DAY(EOMONTH($BZ$3,0))-1)/2)+CA$23,0)=EOMONTH($BZ$3,0),CA$26,0),0),IF(AND(BW$26&lt;&gt;"",BW$23&lt;&gt;""),IF(EOMONTH($BV$3+INT((DAY(EOMONTH($BV$3,0))-1)/2)+BW$23,0)=EOMONTH($BZ$3,0),BW$26,0),0),IF(AND(BS$26&lt;&gt;"",BS$23&lt;&gt;""),IF(EOMONTH($BR$3+INT((DAY(EOMONTH($BR$3,0))-1)/2)+BS$23,0)=EOMONTH($BZ$3,0),BS$26,0),0),IF(AND(BO$26&lt;&gt;"",BO$23&lt;&gt;""),IF(EOMONTH($BN$3+INT((DAY(EOMONTH($BN$3,0))-1)/2)+BO$23,0)=EOMONTH($BZ$3,0),BO$26,0),0),IF(AND(BK$26&lt;&gt;"",BK$23&lt;&gt;""),IF(EOMONTH($BJ$3+INT((DAY(EOMONTH($BJ$3,0))-1)/2)+BK$23,0)=EOMONTH($BZ$3,0),BK$26,0),0),IF(AND(BG$26&lt;&gt;"",BG$23&lt;&gt;""),IF(EOMONTH($BF$3+INT((DAY(EOMONTH($BF$3,0))-1)/2)+BG$23,0)=EOMONTH($BZ$3,0),BG$26,0),0),IF(AND(BC$26&lt;&gt;"",BC$23&lt;&gt;""),IF(EOMONTH($BB$3+INT((DAY(EOMONTH($BB$3,0))-1)/2)+BC$23,0)=EOMONTH($BZ$3,0),BC$26,0),0),IF(AND(AY$26&lt;&gt;"",AY$23&lt;&gt;""),IF(EOMONTH($AX$3+INT((DAY(EOMONTH($AX$3,0))-1)/2)+AY$23,0)=EOMONTH($BZ$3,0),AY$26,0),0),IF(AND(AU$26&lt;&gt;"",AU$23&lt;&gt;""),IF(EOMONTH($AT$3+INT((DAY(EOMONTH($AT$3,0))-1)/2)+AU$23,0)=EOMONTH($BZ$3,0),AU$26,0),0),IF(AND(AQ$26&lt;&gt;"",AQ$23&lt;&gt;""),IF(EOMONTH($AP$3+INT((DAY(EOMONTH($AP$3,0))-1)/2)+AQ$23,0)=EOMONTH($BZ$3,0),AQ$26,0),0),IF(AND(AM$26&lt;&gt;"",AM$23&lt;&gt;""),IF(EOMONTH($AL$3+INT((DAY(EOMONTH($AL$3,0))-1)/2)+AM$23,0)=EOMONTH($BZ$3,0),AM$26,0),0),IF(AND(AI$26&lt;&gt;"",AI$23&lt;&gt;""),IF(EOMONTH($AH$3+INT((DAY(EOMONTH($AH$3,0))-1)/2)+AI$23,0)=EOMONTH($BZ$3,0),AI$26,0),0),IF(AND(AE$26&lt;&gt;"",AE$23&lt;&gt;""),IF(EOMONTH($AD$3+INT((DAY(EOMONTH($AD$3,0))-1)/2)+AE$23,0)=EOMONTH($BZ$3,0),AE$26,0),0),IF(AND(AA$26&lt;&gt;"",AA$23&lt;&gt;""),IF(EOMONTH($Z$3+INT((DAY(EOMONTH($Z$3,0))-1)/2)+AA$23,0)=EOMONTH($BZ$3,0),AA$26,0),0),IF(AND(W$26&lt;&gt;"",W$23&lt;&gt;""),IF(EOMONTH($V$3+INT((DAY(EOMONTH($V$3,0))-1)/2)+W$23,0)=EOMONTH($BZ$3,0),W$26,0),0),IF(AND(S$26&lt;&gt;"",S$23&lt;&gt;""),IF(EOMONTH($R$3+INT((DAY(EOMONTH($R$3,0))-1)/2)+S$23,0)=EOMONTH($BZ$3,0),S$26,0),0),IF(AND(O$26&lt;&gt;"",O$23&lt;&gt;""),IF(EOMONTH($N$3+INT((DAY(EOMONTH($N$3,0))-1)/2)+O$23,0)=EOMONTH($BZ$3,0),O$26,0),0),IF(AND(K$26&lt;&gt;"",K$23&lt;&gt;""),IF(EOMONTH($J$3+INT((DAY(EOMONTH($J$3,0))-1)/2)+K$23,0)=EOMONTH($BZ$3,0),K$26,0),0),IF(AND(G$26&lt;&gt;"",G$23&lt;&gt;""),IF(EOMONTH($F$3+INT((DAY(EOMONTH($F$3,0))-1)/2)+G$23,0)=EOMONTH($BZ$3,0),G$26,0),0),IF($EP$75="",0,IF(EOMONTH($EP$75+EQ$23,0)=EOMONTH($BZ$3,0),$EP$78*EQ$13,0))),0))</f>
        <v>112000</v>
      </c>
      <c r="CB57" s="32">
        <f>ROUND(SUM(IF(AND(ER$26&lt;&gt;"",ER$23&lt;&gt;""),IF(EOMONTH($EP$3+INT((DAY(EOMONTH($EP$3,0))-1)/2)+ER$23,0)=EOMONTH($BZ$3,0),ER$26,0),0),IF(AND(EN$26&lt;&gt;"",EN$23&lt;&gt;""),IF(EOMONTH($EL$3+INT((DAY(EOMONTH($EL$3,0))-1)/2)+EN$23,0)=EOMONTH($BZ$3,0),EN$26,0),0),IF(AND(EJ$26&lt;&gt;"",EJ$23&lt;&gt;""),IF(EOMONTH($EH$3+INT((DAY(EOMONTH($EH$3,0))-1)/2)+EJ$23,0)=EOMONTH($BZ$3,0),EJ$26,0),0),IF(AND(EF$26&lt;&gt;"",EF$23&lt;&gt;""),IF(EOMONTH($ED$3+INT((DAY(EOMONTH($ED$3,0))-1)/2)+EF$23,0)=EOMONTH($BZ$3,0),EF$26,0),0),IF(AND(EB$26&lt;&gt;"",EB$23&lt;&gt;""),IF(EOMONTH($DZ$3+INT((DAY(EOMONTH($DZ$3,0))-1)/2)+EB$23,0)=EOMONTH($BZ$3,0),EB$26,0),0),IF(AND(DX$26&lt;&gt;"",DX$23&lt;&gt;""),IF(EOMONTH($DV$3+INT((DAY(EOMONTH($DV$3,0))-1)/2)+DX$23,0)=EOMONTH($BZ$3,0),DX$26,0),0),IF(AND(DT$26&lt;&gt;"",DT$23&lt;&gt;""),IF(EOMONTH($DR$3+INT((DAY(EOMONTH($DR$3,0))-1)/2)+DT$23,0)=EOMONTH($BZ$3,0),DT$26,0),0),IF(AND(DP$26&lt;&gt;"",DP$23&lt;&gt;""),IF(EOMONTH($DN$3+INT((DAY(EOMONTH($DN$3,0))-1)/2)+DP$23,0)=EOMONTH($BZ$3,0),DP$26,0),0),IF(AND(DL$26&lt;&gt;"",DL$23&lt;&gt;""),IF(EOMONTH($DJ$3+INT((DAY(EOMONTH($DJ$3,0))-1)/2)+DL$23,0)=EOMONTH($BZ$3,0),DL$26,0),0),IF(AND(DH$26&lt;&gt;"",DH$23&lt;&gt;""),IF(EOMONTH($DF$3+INT((DAY(EOMONTH($DF$3,0))-1)/2)+DH$23,0)=EOMONTH($BZ$3,0),DH$26,0),0),IF(AND(DD$26&lt;&gt;"",DD$23&lt;&gt;""),IF(EOMONTH($DB$3+INT((DAY(EOMONTH($DB$3,0))-1)/2)+DD$23,0)=EOMONTH($BZ$3,0),DD$26,0),0),IF(AND(CZ$26&lt;&gt;"",CZ$23&lt;&gt;""),IF(EOMONTH($CX$3+INT((DAY(EOMONTH($CX$3,0))-1)/2)+CZ$23,0)=EOMONTH($BZ$3,0),CZ$26,0),0),IF(AND(CV$26&lt;&gt;"",CV$23&lt;&gt;""),IF(EOMONTH($CT$3+INT((DAY(EOMONTH($CT$3,0))-1)/2)+CV$23,0)=EOMONTH($BZ$3,0),CV$26,0),0),IF(AND(CR$26&lt;&gt;"",CR$23&lt;&gt;""),IF(EOMONTH($CP$3+INT((DAY(EOMONTH($CP$3,0))-1)/2)+CR$23,0)=EOMONTH($BZ$3,0),CR$26,0),0),IF(AND(CN$26&lt;&gt;"",CN$23&lt;&gt;""),IF(EOMONTH($CL$3+INT((DAY(EOMONTH($CL$3,0))-1)/2)+CN$23,0)=EOMONTH($BZ$3,0),CN$26,0),0),IF(AND(CJ$26&lt;&gt;"",CJ$23&lt;&gt;""),IF(EOMONTH($CH$3+INT((DAY(EOMONTH($CH$3,0))-1)/2)+CJ$23,0)=EOMONTH($BZ$3,0),CJ$26,0),0),IF(AND(CF$26&lt;&gt;"",CF$23&lt;&gt;""),IF(EOMONTH($CD$3+INT((DAY(EOMONTH($CD$3,0))-1)/2)+CF$23,0)=EOMONTH($BZ$3,0),CF$26,0),0),IF(AND(CB$26&lt;&gt;"",CB$23&lt;&gt;""),IF(EOMONTH($BZ$3+INT((DAY(EOMONTH($BZ$3,0))-1)/2)+CB$23,0)=EOMONTH($BZ$3,0),CB$26,0),0),IF(AND(BX$26&lt;&gt;"",BX$23&lt;&gt;""),IF(EOMONTH($BV$3+INT((DAY(EOMONTH($BV$3,0))-1)/2)+BX$23,0)=EOMONTH($BZ$3,0),BX$26,0),0),IF(AND(BT$26&lt;&gt;"",BT$23&lt;&gt;""),IF(EOMONTH($BR$3+INT((DAY(EOMONTH($BR$3,0))-1)/2)+BT$23,0)=EOMONTH($BZ$3,0),BT$26,0),0),IF(AND(BP$26&lt;&gt;"",BP$23&lt;&gt;""),IF(EOMONTH($BN$3+INT((DAY(EOMONTH($BN$3,0))-1)/2)+BP$23,0)=EOMONTH($BZ$3,0),BP$26,0),0),IF(AND(BL$26&lt;&gt;"",BL$23&lt;&gt;""),IF(EOMONTH($BJ$3+INT((DAY(EOMONTH($BJ$3,0))-1)/2)+BL$23,0)=EOMONTH($BZ$3,0),BL$26,0),0),IF(AND(BH$26&lt;&gt;"",BH$23&lt;&gt;""),IF(EOMONTH($BF$3+INT((DAY(EOMONTH($BF$3,0))-1)/2)+BH$23,0)=EOMONTH($BZ$3,0),BH$26,0),0),IF(AND(BD$26&lt;&gt;"",BD$23&lt;&gt;""),IF(EOMONTH($BB$3+INT((DAY(EOMONTH($BB$3,0))-1)/2)+BD$23,0)=EOMONTH($BZ$3,0),BD$26,0),0),IF(AND(AZ$26&lt;&gt;"",AZ$23&lt;&gt;""),IF(EOMONTH($AX$3+INT((DAY(EOMONTH($AX$3,0))-1)/2)+AZ$23,0)=EOMONTH($BZ$3,0),AZ$26,0),0),IF(AND(AV$26&lt;&gt;"",AV$23&lt;&gt;""),IF(EOMONTH($AT$3+INT((DAY(EOMONTH($AT$3,0))-1)/2)+AV$23,0)=EOMONTH($BZ$3,0),AV$26,0),0),IF(AND(AR$26&lt;&gt;"",AR$23&lt;&gt;""),IF(EOMONTH($AP$3+INT((DAY(EOMONTH($AP$3,0))-1)/2)+AR$23,0)=EOMONTH($BZ$3,0),AR$26,0),0),IF(AND(AN$26&lt;&gt;"",AN$23&lt;&gt;""),IF(EOMONTH($AL$3+INT((DAY(EOMONTH($AL$3,0))-1)/2)+AN$23,0)=EOMONTH($BZ$3,0),AN$26,0),0),IF(AND(AJ$26&lt;&gt;"",AJ$23&lt;&gt;""),IF(EOMONTH($AH$3+INT((DAY(EOMONTH($AH$3,0))-1)/2)+AJ$23,0)=EOMONTH($BZ$3,0),AJ$26,0),0),IF(AND(AF$26&lt;&gt;"",AF$23&lt;&gt;""),IF(EOMONTH($AD$3+INT((DAY(EOMONTH($AD$3,0))-1)/2)+AF$23,0)=EOMONTH($BZ$3,0),AF$26,0),0),IF(AND(AB$26&lt;&gt;"",AB$23&lt;&gt;""),IF(EOMONTH($Z$3+INT((DAY(EOMONTH($Z$3,0))-1)/2)+AB$23,0)=EOMONTH($BZ$3,0),AB$26,0),0),IF(AND(X$26&lt;&gt;"",X$23&lt;&gt;""),IF(EOMONTH($V$3+INT((DAY(EOMONTH($V$3,0))-1)/2)+X$23,0)=EOMONTH($BZ$3,0),X$26,0),0),IF(AND(T$26&lt;&gt;"",T$23&lt;&gt;""),IF(EOMONTH($R$3+INT((DAY(EOMONTH($R$3,0))-1)/2)+T$23,0)=EOMONTH($BZ$3,0),T$26,0),0),IF(AND(P$26&lt;&gt;"",P$23&lt;&gt;""),IF(EOMONTH($N$3+INT((DAY(EOMONTH($N$3,0))-1)/2)+P$23,0)=EOMONTH($BZ$3,0),P$26,0),0),IF(AND(L$26&lt;&gt;"",L$23&lt;&gt;""),IF(EOMONTH($J$3+INT((DAY(EOMONTH($J$3,0))-1)/2)+L$23,0)=EOMONTH($BZ$3,0),L$26,0),0),IF(AND(H$26&lt;&gt;"",H$23&lt;&gt;""),IF(EOMONTH($F$3+INT((DAY(EOMONTH($F$3,0))-1)/2)+H$23,0)=EOMONTH($BZ$3,0),H$26,0),0),IF($EP$75="",0,IF(EOMONTH($EP$75+ER$23,0)=EOMONTH($BZ$3,0),$EP$78*ER$13,0))),0)</f>
        <v>112000</v>
      </c>
      <c r="CC57" s="33">
        <f t="shared" ref="CC57:CC70" si="738">IFERROR(IF(OR(CA57="",CB57=""),"",CA57-CB57),"")</f>
        <v>0</v>
      </c>
      <c r="CD57" s="34"/>
      <c r="CE57" s="31">
        <f>IF(CD$98=1,CD57,ROUND(SUM(IF(AND(EQ$26&lt;&gt;"",EQ$23&lt;&gt;""),IF(EOMONTH($EP$3+INT((DAY(EOMONTH($EP$3,0))-1)/2)+EQ$23,0)=EOMONTH($CD$3,0),EQ$26,0),0),IF(AND(EM$26&lt;&gt;"",EM$23&lt;&gt;""),IF(EOMONTH($EL$3+INT((DAY(EOMONTH($EL$3,0))-1)/2)+EM$23,0)=EOMONTH($CD$3,0),EM$26,0),0),IF(AND(EI$26&lt;&gt;"",EI$23&lt;&gt;""),IF(EOMONTH($EH$3+INT((DAY(EOMONTH($EH$3,0))-1)/2)+EI$23,0)=EOMONTH($CD$3,0),EI$26,0),0),IF(AND(EE$26&lt;&gt;"",EE$23&lt;&gt;""),IF(EOMONTH($ED$3+INT((DAY(EOMONTH($ED$3,0))-1)/2)+EE$23,0)=EOMONTH($CD$3,0),EE$26,0),0),IF(AND(EA$26&lt;&gt;"",EA$23&lt;&gt;""),IF(EOMONTH($DZ$3+INT((DAY(EOMONTH($DZ$3,0))-1)/2)+EA$23,0)=EOMONTH($CD$3,0),EA$26,0),0),IF(AND(DW$26&lt;&gt;"",DW$23&lt;&gt;""),IF(EOMONTH($DV$3+INT((DAY(EOMONTH($DV$3,0))-1)/2)+DW$23,0)=EOMONTH($CD$3,0),DW$26,0),0),IF(AND(DS$26&lt;&gt;"",DS$23&lt;&gt;""),IF(EOMONTH($DR$3+INT((DAY(EOMONTH($DR$3,0))-1)/2)+DS$23,0)=EOMONTH($CD$3,0),DS$26,0),0),IF(AND(DO$26&lt;&gt;"",DO$23&lt;&gt;""),IF(EOMONTH($DN$3+INT((DAY(EOMONTH($DN$3,0))-1)/2)+DO$23,0)=EOMONTH($CD$3,0),DO$26,0),0),IF(AND(DK$26&lt;&gt;"",DK$23&lt;&gt;""),IF(EOMONTH($DJ$3+INT((DAY(EOMONTH($DJ$3,0))-1)/2)+DK$23,0)=EOMONTH($CD$3,0),DK$26,0),0),IF(AND(DG$26&lt;&gt;"",DG$23&lt;&gt;""),IF(EOMONTH($DF$3+INT((DAY(EOMONTH($DF$3,0))-1)/2)+DG$23,0)=EOMONTH($CD$3,0),DG$26,0),0),IF(AND(DC$26&lt;&gt;"",DC$23&lt;&gt;""),IF(EOMONTH($DB$3+INT((DAY(EOMONTH($DB$3,0))-1)/2)+DC$23,0)=EOMONTH($CD$3,0),DC$26,0),0),IF(AND(CY$26&lt;&gt;"",CY$23&lt;&gt;""),IF(EOMONTH($CX$3+INT((DAY(EOMONTH($CX$3,0))-1)/2)+CY$23,0)=EOMONTH($CD$3,0),CY$26,0),0),IF(AND(CU$26&lt;&gt;"",CU$23&lt;&gt;""),IF(EOMONTH($CT$3+INT((DAY(EOMONTH($CT$3,0))-1)/2)+CU$23,0)=EOMONTH($CD$3,0),CU$26,0),0),IF(AND(CQ$26&lt;&gt;"",CQ$23&lt;&gt;""),IF(EOMONTH($CP$3+INT((DAY(EOMONTH($CP$3,0))-1)/2)+CQ$23,0)=EOMONTH($CD$3,0),CQ$26,0),0),IF(AND(CM$26&lt;&gt;"",CM$23&lt;&gt;""),IF(EOMONTH($CL$3+INT((DAY(EOMONTH($CL$3,0))-1)/2)+CM$23,0)=EOMONTH($CD$3,0),CM$26,0),0),IF(AND(CI$26&lt;&gt;"",CI$23&lt;&gt;""),IF(EOMONTH($CH$3+INT((DAY(EOMONTH($CH$3,0))-1)/2)+CI$23,0)=EOMONTH($CD$3,0),CI$26,0),0),IF(AND(CE$26&lt;&gt;"",CE$23&lt;&gt;""),IF(EOMONTH($CD$3+INT((DAY(EOMONTH($CD$3,0))-1)/2)+CE$23,0)=EOMONTH($CD$3,0),CE$26,0),0),IF(AND(CA$26&lt;&gt;"",CA$23&lt;&gt;""),IF(EOMONTH($BZ$3+INT((DAY(EOMONTH($BZ$3,0))-1)/2)+CA$23,0)=EOMONTH($CD$3,0),CA$26,0),0),IF(AND(BW$26&lt;&gt;"",BW$23&lt;&gt;""),IF(EOMONTH($BV$3+INT((DAY(EOMONTH($BV$3,0))-1)/2)+BW$23,0)=EOMONTH($CD$3,0),BW$26,0),0),IF(AND(BS$26&lt;&gt;"",BS$23&lt;&gt;""),IF(EOMONTH($BR$3+INT((DAY(EOMONTH($BR$3,0))-1)/2)+BS$23,0)=EOMONTH($CD$3,0),BS$26,0),0),IF(AND(BO$26&lt;&gt;"",BO$23&lt;&gt;""),IF(EOMONTH($BN$3+INT((DAY(EOMONTH($BN$3,0))-1)/2)+BO$23,0)=EOMONTH($CD$3,0),BO$26,0),0),IF(AND(BK$26&lt;&gt;"",BK$23&lt;&gt;""),IF(EOMONTH($BJ$3+INT((DAY(EOMONTH($BJ$3,0))-1)/2)+BK$23,0)=EOMONTH($CD$3,0),BK$26,0),0),IF(AND(BG$26&lt;&gt;"",BG$23&lt;&gt;""),IF(EOMONTH($BF$3+INT((DAY(EOMONTH($BF$3,0))-1)/2)+BG$23,0)=EOMONTH($CD$3,0),BG$26,0),0),IF(AND(BC$26&lt;&gt;"",BC$23&lt;&gt;""),IF(EOMONTH($BB$3+INT((DAY(EOMONTH($BB$3,0))-1)/2)+BC$23,0)=EOMONTH($CD$3,0),BC$26,0),0),IF(AND(AY$26&lt;&gt;"",AY$23&lt;&gt;""),IF(EOMONTH($AX$3+INT((DAY(EOMONTH($AX$3,0))-1)/2)+AY$23,0)=EOMONTH($CD$3,0),AY$26,0),0),IF(AND(AU$26&lt;&gt;"",AU$23&lt;&gt;""),IF(EOMONTH($AT$3+INT((DAY(EOMONTH($AT$3,0))-1)/2)+AU$23,0)=EOMONTH($CD$3,0),AU$26,0),0),IF(AND(AQ$26&lt;&gt;"",AQ$23&lt;&gt;""),IF(EOMONTH($AP$3+INT((DAY(EOMONTH($AP$3,0))-1)/2)+AQ$23,0)=EOMONTH($CD$3,0),AQ$26,0),0),IF(AND(AM$26&lt;&gt;"",AM$23&lt;&gt;""),IF(EOMONTH($AL$3+INT((DAY(EOMONTH($AL$3,0))-1)/2)+AM$23,0)=EOMONTH($CD$3,0),AM$26,0),0),IF(AND(AI$26&lt;&gt;"",AI$23&lt;&gt;""),IF(EOMONTH($AH$3+INT((DAY(EOMONTH($AH$3,0))-1)/2)+AI$23,0)=EOMONTH($CD$3,0),AI$26,0),0),IF(AND(AE$26&lt;&gt;"",AE$23&lt;&gt;""),IF(EOMONTH($AD$3+INT((DAY(EOMONTH($AD$3,0))-1)/2)+AE$23,0)=EOMONTH($CD$3,0),AE$26,0),0),IF(AND(AA$26&lt;&gt;"",AA$23&lt;&gt;""),IF(EOMONTH($Z$3+INT((DAY(EOMONTH($Z$3,0))-1)/2)+AA$23,0)=EOMONTH($CD$3,0),AA$26,0),0),IF(AND(W$26&lt;&gt;"",W$23&lt;&gt;""),IF(EOMONTH($V$3+INT((DAY(EOMONTH($V$3,0))-1)/2)+W$23,0)=EOMONTH($CD$3,0),W$26,0),0),IF(AND(S$26&lt;&gt;"",S$23&lt;&gt;""),IF(EOMONTH($R$3+INT((DAY(EOMONTH($R$3,0))-1)/2)+S$23,0)=EOMONTH($CD$3,0),S$26,0),0),IF(AND(O$26&lt;&gt;"",O$23&lt;&gt;""),IF(EOMONTH($N$3+INT((DAY(EOMONTH($N$3,0))-1)/2)+O$23,0)=EOMONTH($CD$3,0),O$26,0),0),IF(AND(K$26&lt;&gt;"",K$23&lt;&gt;""),IF(EOMONTH($J$3+INT((DAY(EOMONTH($J$3,0))-1)/2)+K$23,0)=EOMONTH($CD$3,0),K$26,0),0),IF(AND(G$26&lt;&gt;"",G$23&lt;&gt;""),IF(EOMONTH($F$3+INT((DAY(EOMONTH($F$3,0))-1)/2)+G$23,0)=EOMONTH($CD$3,0),G$26,0),0),IF($EP$75="",0,IF(EOMONTH($EP$75+EQ$23,0)=EOMONTH($CD$3,0),$EP$78*EQ$13,0))),0))</f>
        <v>104000</v>
      </c>
      <c r="CF57" s="32">
        <f>ROUND(SUM(IF(AND(ER$26&lt;&gt;"",ER$23&lt;&gt;""),IF(EOMONTH($EP$3+INT((DAY(EOMONTH($EP$3,0))-1)/2)+ER$23,0)=EOMONTH($CD$3,0),ER$26,0),0),IF(AND(EN$26&lt;&gt;"",EN$23&lt;&gt;""),IF(EOMONTH($EL$3+INT((DAY(EOMONTH($EL$3,0))-1)/2)+EN$23,0)=EOMONTH($CD$3,0),EN$26,0),0),IF(AND(EJ$26&lt;&gt;"",EJ$23&lt;&gt;""),IF(EOMONTH($EH$3+INT((DAY(EOMONTH($EH$3,0))-1)/2)+EJ$23,0)=EOMONTH($CD$3,0),EJ$26,0),0),IF(AND(EF$26&lt;&gt;"",EF$23&lt;&gt;""),IF(EOMONTH($ED$3+INT((DAY(EOMONTH($ED$3,0))-1)/2)+EF$23,0)=EOMONTH($CD$3,0),EF$26,0),0),IF(AND(EB$26&lt;&gt;"",EB$23&lt;&gt;""),IF(EOMONTH($DZ$3+INT((DAY(EOMONTH($DZ$3,0))-1)/2)+EB$23,0)=EOMONTH($CD$3,0),EB$26,0),0),IF(AND(DX$26&lt;&gt;"",DX$23&lt;&gt;""),IF(EOMONTH($DV$3+INT((DAY(EOMONTH($DV$3,0))-1)/2)+DX$23,0)=EOMONTH($CD$3,0),DX$26,0),0),IF(AND(DT$26&lt;&gt;"",DT$23&lt;&gt;""),IF(EOMONTH($DR$3+INT((DAY(EOMONTH($DR$3,0))-1)/2)+DT$23,0)=EOMONTH($CD$3,0),DT$26,0),0),IF(AND(DP$26&lt;&gt;"",DP$23&lt;&gt;""),IF(EOMONTH($DN$3+INT((DAY(EOMONTH($DN$3,0))-1)/2)+DP$23,0)=EOMONTH($CD$3,0),DP$26,0),0),IF(AND(DL$26&lt;&gt;"",DL$23&lt;&gt;""),IF(EOMONTH($DJ$3+INT((DAY(EOMONTH($DJ$3,0))-1)/2)+DL$23,0)=EOMONTH($CD$3,0),DL$26,0),0),IF(AND(DH$26&lt;&gt;"",DH$23&lt;&gt;""),IF(EOMONTH($DF$3+INT((DAY(EOMONTH($DF$3,0))-1)/2)+DH$23,0)=EOMONTH($CD$3,0),DH$26,0),0),IF(AND(DD$26&lt;&gt;"",DD$23&lt;&gt;""),IF(EOMONTH($DB$3+INT((DAY(EOMONTH($DB$3,0))-1)/2)+DD$23,0)=EOMONTH($CD$3,0),DD$26,0),0),IF(AND(CZ$26&lt;&gt;"",CZ$23&lt;&gt;""),IF(EOMONTH($CX$3+INT((DAY(EOMONTH($CX$3,0))-1)/2)+CZ$23,0)=EOMONTH($CD$3,0),CZ$26,0),0),IF(AND(CV$26&lt;&gt;"",CV$23&lt;&gt;""),IF(EOMONTH($CT$3+INT((DAY(EOMONTH($CT$3,0))-1)/2)+CV$23,0)=EOMONTH($CD$3,0),CV$26,0),0),IF(AND(CR$26&lt;&gt;"",CR$23&lt;&gt;""),IF(EOMONTH($CP$3+INT((DAY(EOMONTH($CP$3,0))-1)/2)+CR$23,0)=EOMONTH($CD$3,0),CR$26,0),0),IF(AND(CN$26&lt;&gt;"",CN$23&lt;&gt;""),IF(EOMONTH($CL$3+INT((DAY(EOMONTH($CL$3,0))-1)/2)+CN$23,0)=EOMONTH($CD$3,0),CN$26,0),0),IF(AND(CJ$26&lt;&gt;"",CJ$23&lt;&gt;""),IF(EOMONTH($CH$3+INT((DAY(EOMONTH($CH$3,0))-1)/2)+CJ$23,0)=EOMONTH($CD$3,0),CJ$26,0),0),IF(AND(CF$26&lt;&gt;"",CF$23&lt;&gt;""),IF(EOMONTH($CD$3+INT((DAY(EOMONTH($CD$3,0))-1)/2)+CF$23,0)=EOMONTH($CD$3,0),CF$26,0),0),IF(AND(CB$26&lt;&gt;"",CB$23&lt;&gt;""),IF(EOMONTH($BZ$3+INT((DAY(EOMONTH($BZ$3,0))-1)/2)+CB$23,0)=EOMONTH($CD$3,0),CB$26,0),0),IF(AND(BX$26&lt;&gt;"",BX$23&lt;&gt;""),IF(EOMONTH($BV$3+INT((DAY(EOMONTH($BV$3,0))-1)/2)+BX$23,0)=EOMONTH($CD$3,0),BX$26,0),0),IF(AND(BT$26&lt;&gt;"",BT$23&lt;&gt;""),IF(EOMONTH($BR$3+INT((DAY(EOMONTH($BR$3,0))-1)/2)+BT$23,0)=EOMONTH($CD$3,0),BT$26,0),0),IF(AND(BP$26&lt;&gt;"",BP$23&lt;&gt;""),IF(EOMONTH($BN$3+INT((DAY(EOMONTH($BN$3,0))-1)/2)+BP$23,0)=EOMONTH($CD$3,0),BP$26,0),0),IF(AND(BL$26&lt;&gt;"",BL$23&lt;&gt;""),IF(EOMONTH($BJ$3+INT((DAY(EOMONTH($BJ$3,0))-1)/2)+BL$23,0)=EOMONTH($CD$3,0),BL$26,0),0),IF(AND(BH$26&lt;&gt;"",BH$23&lt;&gt;""),IF(EOMONTH($BF$3+INT((DAY(EOMONTH($BF$3,0))-1)/2)+BH$23,0)=EOMONTH($CD$3,0),BH$26,0),0),IF(AND(BD$26&lt;&gt;"",BD$23&lt;&gt;""),IF(EOMONTH($BB$3+INT((DAY(EOMONTH($BB$3,0))-1)/2)+BD$23,0)=EOMONTH($CD$3,0),BD$26,0),0),IF(AND(AZ$26&lt;&gt;"",AZ$23&lt;&gt;""),IF(EOMONTH($AX$3+INT((DAY(EOMONTH($AX$3,0))-1)/2)+AZ$23,0)=EOMONTH($CD$3,0),AZ$26,0),0),IF(AND(AV$26&lt;&gt;"",AV$23&lt;&gt;""),IF(EOMONTH($AT$3+INT((DAY(EOMONTH($AT$3,0))-1)/2)+AV$23,0)=EOMONTH($CD$3,0),AV$26,0),0),IF(AND(AR$26&lt;&gt;"",AR$23&lt;&gt;""),IF(EOMONTH($AP$3+INT((DAY(EOMONTH($AP$3,0))-1)/2)+AR$23,0)=EOMONTH($CD$3,0),AR$26,0),0),IF(AND(AN$26&lt;&gt;"",AN$23&lt;&gt;""),IF(EOMONTH($AL$3+INT((DAY(EOMONTH($AL$3,0))-1)/2)+AN$23,0)=EOMONTH($CD$3,0),AN$26,0),0),IF(AND(AJ$26&lt;&gt;"",AJ$23&lt;&gt;""),IF(EOMONTH($AH$3+INT((DAY(EOMONTH($AH$3,0))-1)/2)+AJ$23,0)=EOMONTH($CD$3,0),AJ$26,0),0),IF(AND(AF$26&lt;&gt;"",AF$23&lt;&gt;""),IF(EOMONTH($AD$3+INT((DAY(EOMONTH($AD$3,0))-1)/2)+AF$23,0)=EOMONTH($CD$3,0),AF$26,0),0),IF(AND(AB$26&lt;&gt;"",AB$23&lt;&gt;""),IF(EOMONTH($Z$3+INT((DAY(EOMONTH($Z$3,0))-1)/2)+AB$23,0)=EOMONTH($CD$3,0),AB$26,0),0),IF(AND(X$26&lt;&gt;"",X$23&lt;&gt;""),IF(EOMONTH($V$3+INT((DAY(EOMONTH($V$3,0))-1)/2)+X$23,0)=EOMONTH($CD$3,0),X$26,0),0),IF(AND(T$26&lt;&gt;"",T$23&lt;&gt;""),IF(EOMONTH($R$3+INT((DAY(EOMONTH($R$3,0))-1)/2)+T$23,0)=EOMONTH($CD$3,0),T$26,0),0),IF(AND(P$26&lt;&gt;"",P$23&lt;&gt;""),IF(EOMONTH($N$3+INT((DAY(EOMONTH($N$3,0))-1)/2)+P$23,0)=EOMONTH($CD$3,0),P$26,0),0),IF(AND(L$26&lt;&gt;"",L$23&lt;&gt;""),IF(EOMONTH($J$3+INT((DAY(EOMONTH($J$3,0))-1)/2)+L$23,0)=EOMONTH($CD$3,0),L$26,0),0),IF(AND(H$26&lt;&gt;"",H$23&lt;&gt;""),IF(EOMONTH($F$3+INT((DAY(EOMONTH($F$3,0))-1)/2)+H$23,0)=EOMONTH($CD$3,0),H$26,0),0),IF($EP$75="",0,IF(EOMONTH($EP$75+ER$23,0)=EOMONTH($CD$3,0),$EP$78*ER$13,0))),0)</f>
        <v>104000</v>
      </c>
      <c r="CG57" s="33">
        <f t="shared" ref="CG57:CG70" si="740">IFERROR(IF(OR(CE57="",CF57=""),"",CE57-CF57),"")</f>
        <v>0</v>
      </c>
      <c r="CH57" s="34"/>
      <c r="CI57" s="31">
        <f>IF(CH$98=1,CH57,ROUND(SUM(IF(AND(EQ$26&lt;&gt;"",EQ$23&lt;&gt;""),IF(EOMONTH($EP$3+INT((DAY(EOMONTH($EP$3,0))-1)/2)+EQ$23,0)=EOMONTH($CH$3,0),EQ$26,0),0),IF(AND(EM$26&lt;&gt;"",EM$23&lt;&gt;""),IF(EOMONTH($EL$3+INT((DAY(EOMONTH($EL$3,0))-1)/2)+EM$23,0)=EOMONTH($CH$3,0),EM$26,0),0),IF(AND(EI$26&lt;&gt;"",EI$23&lt;&gt;""),IF(EOMONTH($EH$3+INT((DAY(EOMONTH($EH$3,0))-1)/2)+EI$23,0)=EOMONTH($CH$3,0),EI$26,0),0),IF(AND(EE$26&lt;&gt;"",EE$23&lt;&gt;""),IF(EOMONTH($ED$3+INT((DAY(EOMONTH($ED$3,0))-1)/2)+EE$23,0)=EOMONTH($CH$3,0),EE$26,0),0),IF(AND(EA$26&lt;&gt;"",EA$23&lt;&gt;""),IF(EOMONTH($DZ$3+INT((DAY(EOMONTH($DZ$3,0))-1)/2)+EA$23,0)=EOMONTH($CH$3,0),EA$26,0),0),IF(AND(DW$26&lt;&gt;"",DW$23&lt;&gt;""),IF(EOMONTH($DV$3+INT((DAY(EOMONTH($DV$3,0))-1)/2)+DW$23,0)=EOMONTH($CH$3,0),DW$26,0),0),IF(AND(DS$26&lt;&gt;"",DS$23&lt;&gt;""),IF(EOMONTH($DR$3+INT((DAY(EOMONTH($DR$3,0))-1)/2)+DS$23,0)=EOMONTH($CH$3,0),DS$26,0),0),IF(AND(DO$26&lt;&gt;"",DO$23&lt;&gt;""),IF(EOMONTH($DN$3+INT((DAY(EOMONTH($DN$3,0))-1)/2)+DO$23,0)=EOMONTH($CH$3,0),DO$26,0),0),IF(AND(DK$26&lt;&gt;"",DK$23&lt;&gt;""),IF(EOMONTH($DJ$3+INT((DAY(EOMONTH($DJ$3,0))-1)/2)+DK$23,0)=EOMONTH($CH$3,0),DK$26,0),0),IF(AND(DG$26&lt;&gt;"",DG$23&lt;&gt;""),IF(EOMONTH($DF$3+INT((DAY(EOMONTH($DF$3,0))-1)/2)+DG$23,0)=EOMONTH($CH$3,0),DG$26,0),0),IF(AND(DC$26&lt;&gt;"",DC$23&lt;&gt;""),IF(EOMONTH($DB$3+INT((DAY(EOMONTH($DB$3,0))-1)/2)+DC$23,0)=EOMONTH($CH$3,0),DC$26,0),0),IF(AND(CY$26&lt;&gt;"",CY$23&lt;&gt;""),IF(EOMONTH($CX$3+INT((DAY(EOMONTH($CX$3,0))-1)/2)+CY$23,0)=EOMONTH($CH$3,0),CY$26,0),0),IF(AND(CU$26&lt;&gt;"",CU$23&lt;&gt;""),IF(EOMONTH($CT$3+INT((DAY(EOMONTH($CT$3,0))-1)/2)+CU$23,0)=EOMONTH($CH$3,0),CU$26,0),0),IF(AND(CQ$26&lt;&gt;"",CQ$23&lt;&gt;""),IF(EOMONTH($CP$3+INT((DAY(EOMONTH($CP$3,0))-1)/2)+CQ$23,0)=EOMONTH($CH$3,0),CQ$26,0),0),IF(AND(CM$26&lt;&gt;"",CM$23&lt;&gt;""),IF(EOMONTH($CL$3+INT((DAY(EOMONTH($CL$3,0))-1)/2)+CM$23,0)=EOMONTH($CH$3,0),CM$26,0),0),IF(AND(CI$26&lt;&gt;"",CI$23&lt;&gt;""),IF(EOMONTH($CH$3+INT((DAY(EOMONTH($CH$3,0))-1)/2)+CI$23,0)=EOMONTH($CH$3,0),CI$26,0),0),IF(AND(CE$26&lt;&gt;"",CE$23&lt;&gt;""),IF(EOMONTH($CD$3+INT((DAY(EOMONTH($CD$3,0))-1)/2)+CE$23,0)=EOMONTH($CH$3,0),CE$26,0),0),IF(AND(CA$26&lt;&gt;"",CA$23&lt;&gt;""),IF(EOMONTH($BZ$3+INT((DAY(EOMONTH($BZ$3,0))-1)/2)+CA$23,0)=EOMONTH($CH$3,0),CA$26,0),0),IF(AND(BW$26&lt;&gt;"",BW$23&lt;&gt;""),IF(EOMONTH($BV$3+INT((DAY(EOMONTH($BV$3,0))-1)/2)+BW$23,0)=EOMONTH($CH$3,0),BW$26,0),0),IF(AND(BS$26&lt;&gt;"",BS$23&lt;&gt;""),IF(EOMONTH($BR$3+INT((DAY(EOMONTH($BR$3,0))-1)/2)+BS$23,0)=EOMONTH($CH$3,0),BS$26,0),0),IF(AND(BO$26&lt;&gt;"",BO$23&lt;&gt;""),IF(EOMONTH($BN$3+INT((DAY(EOMONTH($BN$3,0))-1)/2)+BO$23,0)=EOMONTH($CH$3,0),BO$26,0),0),IF(AND(BK$26&lt;&gt;"",BK$23&lt;&gt;""),IF(EOMONTH($BJ$3+INT((DAY(EOMONTH($BJ$3,0))-1)/2)+BK$23,0)=EOMONTH($CH$3,0),BK$26,0),0),IF(AND(BG$26&lt;&gt;"",BG$23&lt;&gt;""),IF(EOMONTH($BF$3+INT((DAY(EOMONTH($BF$3,0))-1)/2)+BG$23,0)=EOMONTH($CH$3,0),BG$26,0),0),IF(AND(BC$26&lt;&gt;"",BC$23&lt;&gt;""),IF(EOMONTH($BB$3+INT((DAY(EOMONTH($BB$3,0))-1)/2)+BC$23,0)=EOMONTH($CH$3,0),BC$26,0),0),IF(AND(AY$26&lt;&gt;"",AY$23&lt;&gt;""),IF(EOMONTH($AX$3+INT((DAY(EOMONTH($AX$3,0))-1)/2)+AY$23,0)=EOMONTH($CH$3,0),AY$26,0),0),IF(AND(AU$26&lt;&gt;"",AU$23&lt;&gt;""),IF(EOMONTH($AT$3+INT((DAY(EOMONTH($AT$3,0))-1)/2)+AU$23,0)=EOMONTH($CH$3,0),AU$26,0),0),IF(AND(AQ$26&lt;&gt;"",AQ$23&lt;&gt;""),IF(EOMONTH($AP$3+INT((DAY(EOMONTH($AP$3,0))-1)/2)+AQ$23,0)=EOMONTH($CH$3,0),AQ$26,0),0),IF(AND(AM$26&lt;&gt;"",AM$23&lt;&gt;""),IF(EOMONTH($AL$3+INT((DAY(EOMONTH($AL$3,0))-1)/2)+AM$23,0)=EOMONTH($CH$3,0),AM$26,0),0),IF(AND(AI$26&lt;&gt;"",AI$23&lt;&gt;""),IF(EOMONTH($AH$3+INT((DAY(EOMONTH($AH$3,0))-1)/2)+AI$23,0)=EOMONTH($CH$3,0),AI$26,0),0),IF(AND(AE$26&lt;&gt;"",AE$23&lt;&gt;""),IF(EOMONTH($AD$3+INT((DAY(EOMONTH($AD$3,0))-1)/2)+AE$23,0)=EOMONTH($CH$3,0),AE$26,0),0),IF(AND(AA$26&lt;&gt;"",AA$23&lt;&gt;""),IF(EOMONTH($Z$3+INT((DAY(EOMONTH($Z$3,0))-1)/2)+AA$23,0)=EOMONTH($CH$3,0),AA$26,0),0),IF(AND(W$26&lt;&gt;"",W$23&lt;&gt;""),IF(EOMONTH($V$3+INT((DAY(EOMONTH($V$3,0))-1)/2)+W$23,0)=EOMONTH($CH$3,0),W$26,0),0),IF(AND(S$26&lt;&gt;"",S$23&lt;&gt;""),IF(EOMONTH($R$3+INT((DAY(EOMONTH($R$3,0))-1)/2)+S$23,0)=EOMONTH($CH$3,0),S$26,0),0),IF(AND(O$26&lt;&gt;"",O$23&lt;&gt;""),IF(EOMONTH($N$3+INT((DAY(EOMONTH($N$3,0))-1)/2)+O$23,0)=EOMONTH($CH$3,0),O$26,0),0),IF(AND(K$26&lt;&gt;"",K$23&lt;&gt;""),IF(EOMONTH($J$3+INT((DAY(EOMONTH($J$3,0))-1)/2)+K$23,0)=EOMONTH($CH$3,0),K$26,0),0),IF(AND(G$26&lt;&gt;"",G$23&lt;&gt;""),IF(EOMONTH($F$3+INT((DAY(EOMONTH($F$3,0))-1)/2)+G$23,0)=EOMONTH($CH$3,0),G$26,0),0),IF($EP$75="",0,IF(EOMONTH($EP$75+EQ$23,0)=EOMONTH($CH$3,0),$EP$78*EQ$13,0))),0))</f>
        <v>104000</v>
      </c>
      <c r="CJ57" s="32">
        <f>ROUND(SUM(IF(AND(ER$26&lt;&gt;"",ER$23&lt;&gt;""),IF(EOMONTH($EP$3+INT((DAY(EOMONTH($EP$3,0))-1)/2)+ER$23,0)=EOMONTH($CH$3,0),ER$26,0),0),IF(AND(EN$26&lt;&gt;"",EN$23&lt;&gt;""),IF(EOMONTH($EL$3+INT((DAY(EOMONTH($EL$3,0))-1)/2)+EN$23,0)=EOMONTH($CH$3,0),EN$26,0),0),IF(AND(EJ$26&lt;&gt;"",EJ$23&lt;&gt;""),IF(EOMONTH($EH$3+INT((DAY(EOMONTH($EH$3,0))-1)/2)+EJ$23,0)=EOMONTH($CH$3,0),EJ$26,0),0),IF(AND(EF$26&lt;&gt;"",EF$23&lt;&gt;""),IF(EOMONTH($ED$3+INT((DAY(EOMONTH($ED$3,0))-1)/2)+EF$23,0)=EOMONTH($CH$3,0),EF$26,0),0),IF(AND(EB$26&lt;&gt;"",EB$23&lt;&gt;""),IF(EOMONTH($DZ$3+INT((DAY(EOMONTH($DZ$3,0))-1)/2)+EB$23,0)=EOMONTH($CH$3,0),EB$26,0),0),IF(AND(DX$26&lt;&gt;"",DX$23&lt;&gt;""),IF(EOMONTH($DV$3+INT((DAY(EOMONTH($DV$3,0))-1)/2)+DX$23,0)=EOMONTH($CH$3,0),DX$26,0),0),IF(AND(DT$26&lt;&gt;"",DT$23&lt;&gt;""),IF(EOMONTH($DR$3+INT((DAY(EOMONTH($DR$3,0))-1)/2)+DT$23,0)=EOMONTH($CH$3,0),DT$26,0),0),IF(AND(DP$26&lt;&gt;"",DP$23&lt;&gt;""),IF(EOMONTH($DN$3+INT((DAY(EOMONTH($DN$3,0))-1)/2)+DP$23,0)=EOMONTH($CH$3,0),DP$26,0),0),IF(AND(DL$26&lt;&gt;"",DL$23&lt;&gt;""),IF(EOMONTH($DJ$3+INT((DAY(EOMONTH($DJ$3,0))-1)/2)+DL$23,0)=EOMONTH($CH$3,0),DL$26,0),0),IF(AND(DH$26&lt;&gt;"",DH$23&lt;&gt;""),IF(EOMONTH($DF$3+INT((DAY(EOMONTH($DF$3,0))-1)/2)+DH$23,0)=EOMONTH($CH$3,0),DH$26,0),0),IF(AND(DD$26&lt;&gt;"",DD$23&lt;&gt;""),IF(EOMONTH($DB$3+INT((DAY(EOMONTH($DB$3,0))-1)/2)+DD$23,0)=EOMONTH($CH$3,0),DD$26,0),0),IF(AND(CZ$26&lt;&gt;"",CZ$23&lt;&gt;""),IF(EOMONTH($CX$3+INT((DAY(EOMONTH($CX$3,0))-1)/2)+CZ$23,0)=EOMONTH($CH$3,0),CZ$26,0),0),IF(AND(CV$26&lt;&gt;"",CV$23&lt;&gt;""),IF(EOMONTH($CT$3+INT((DAY(EOMONTH($CT$3,0))-1)/2)+CV$23,0)=EOMONTH($CH$3,0),CV$26,0),0),IF(AND(CR$26&lt;&gt;"",CR$23&lt;&gt;""),IF(EOMONTH($CP$3+INT((DAY(EOMONTH($CP$3,0))-1)/2)+CR$23,0)=EOMONTH($CH$3,0),CR$26,0),0),IF(AND(CN$26&lt;&gt;"",CN$23&lt;&gt;""),IF(EOMONTH($CL$3+INT((DAY(EOMONTH($CL$3,0))-1)/2)+CN$23,0)=EOMONTH($CH$3,0),CN$26,0),0),IF(AND(CJ$26&lt;&gt;"",CJ$23&lt;&gt;""),IF(EOMONTH($CH$3+INT((DAY(EOMONTH($CH$3,0))-1)/2)+CJ$23,0)=EOMONTH($CH$3,0),CJ$26,0),0),IF(AND(CF$26&lt;&gt;"",CF$23&lt;&gt;""),IF(EOMONTH($CD$3+INT((DAY(EOMONTH($CD$3,0))-1)/2)+CF$23,0)=EOMONTH($CH$3,0),CF$26,0),0),IF(AND(CB$26&lt;&gt;"",CB$23&lt;&gt;""),IF(EOMONTH($BZ$3+INT((DAY(EOMONTH($BZ$3,0))-1)/2)+CB$23,0)=EOMONTH($CH$3,0),CB$26,0),0),IF(AND(BX$26&lt;&gt;"",BX$23&lt;&gt;""),IF(EOMONTH($BV$3+INT((DAY(EOMONTH($BV$3,0))-1)/2)+BX$23,0)=EOMONTH($CH$3,0),BX$26,0),0),IF(AND(BT$26&lt;&gt;"",BT$23&lt;&gt;""),IF(EOMONTH($BR$3+INT((DAY(EOMONTH($BR$3,0))-1)/2)+BT$23,0)=EOMONTH($CH$3,0),BT$26,0),0),IF(AND(BP$26&lt;&gt;"",BP$23&lt;&gt;""),IF(EOMONTH($BN$3+INT((DAY(EOMONTH($BN$3,0))-1)/2)+BP$23,0)=EOMONTH($CH$3,0),BP$26,0),0),IF(AND(BL$26&lt;&gt;"",BL$23&lt;&gt;""),IF(EOMONTH($BJ$3+INT((DAY(EOMONTH($BJ$3,0))-1)/2)+BL$23,0)=EOMONTH($CH$3,0),BL$26,0),0),IF(AND(BH$26&lt;&gt;"",BH$23&lt;&gt;""),IF(EOMONTH($BF$3+INT((DAY(EOMONTH($BF$3,0))-1)/2)+BH$23,0)=EOMONTH($CH$3,0),BH$26,0),0),IF(AND(BD$26&lt;&gt;"",BD$23&lt;&gt;""),IF(EOMONTH($BB$3+INT((DAY(EOMONTH($BB$3,0))-1)/2)+BD$23,0)=EOMONTH($CH$3,0),BD$26,0),0),IF(AND(AZ$26&lt;&gt;"",AZ$23&lt;&gt;""),IF(EOMONTH($AX$3+INT((DAY(EOMONTH($AX$3,0))-1)/2)+AZ$23,0)=EOMONTH($CH$3,0),AZ$26,0),0),IF(AND(AV$26&lt;&gt;"",AV$23&lt;&gt;""),IF(EOMONTH($AT$3+INT((DAY(EOMONTH($AT$3,0))-1)/2)+AV$23,0)=EOMONTH($CH$3,0),AV$26,0),0),IF(AND(AR$26&lt;&gt;"",AR$23&lt;&gt;""),IF(EOMONTH($AP$3+INT((DAY(EOMONTH($AP$3,0))-1)/2)+AR$23,0)=EOMONTH($CH$3,0),AR$26,0),0),IF(AND(AN$26&lt;&gt;"",AN$23&lt;&gt;""),IF(EOMONTH($AL$3+INT((DAY(EOMONTH($AL$3,0))-1)/2)+AN$23,0)=EOMONTH($CH$3,0),AN$26,0),0),IF(AND(AJ$26&lt;&gt;"",AJ$23&lt;&gt;""),IF(EOMONTH($AH$3+INT((DAY(EOMONTH($AH$3,0))-1)/2)+AJ$23,0)=EOMONTH($CH$3,0),AJ$26,0),0),IF(AND(AF$26&lt;&gt;"",AF$23&lt;&gt;""),IF(EOMONTH($AD$3+INT((DAY(EOMONTH($AD$3,0))-1)/2)+AF$23,0)=EOMONTH($CH$3,0),AF$26,0),0),IF(AND(AB$26&lt;&gt;"",AB$23&lt;&gt;""),IF(EOMONTH($Z$3+INT((DAY(EOMONTH($Z$3,0))-1)/2)+AB$23,0)=EOMONTH($CH$3,0),AB$26,0),0),IF(AND(X$26&lt;&gt;"",X$23&lt;&gt;""),IF(EOMONTH($V$3+INT((DAY(EOMONTH($V$3,0))-1)/2)+X$23,0)=EOMONTH($CH$3,0),X$26,0),0),IF(AND(T$26&lt;&gt;"",T$23&lt;&gt;""),IF(EOMONTH($R$3+INT((DAY(EOMONTH($R$3,0))-1)/2)+T$23,0)=EOMONTH($CH$3,0),T$26,0),0),IF(AND(P$26&lt;&gt;"",P$23&lt;&gt;""),IF(EOMONTH($N$3+INT((DAY(EOMONTH($N$3,0))-1)/2)+P$23,0)=EOMONTH($CH$3,0),P$26,0),0),IF(AND(L$26&lt;&gt;"",L$23&lt;&gt;""),IF(EOMONTH($J$3+INT((DAY(EOMONTH($J$3,0))-1)/2)+L$23,0)=EOMONTH($CH$3,0),L$26,0),0),IF(AND(H$26&lt;&gt;"",H$23&lt;&gt;""),IF(EOMONTH($F$3+INT((DAY(EOMONTH($F$3,0))-1)/2)+H$23,0)=EOMONTH($CH$3,0),H$26,0),0),IF($EP$75="",0,IF(EOMONTH($EP$75+ER$23,0)=EOMONTH($CH$3,0),$EP$78*ER$13,0))),0)</f>
        <v>104000</v>
      </c>
      <c r="CK57" s="33">
        <f t="shared" ref="CK57:CK70" si="742">IFERROR(IF(OR(CI57="",CJ57=""),"",CI57-CJ57),"")</f>
        <v>0</v>
      </c>
      <c r="CL57" s="34"/>
      <c r="CM57" s="31">
        <f>IF(CL$98=1,CL57,ROUND(SUM(IF(AND(EQ$26&lt;&gt;"",EQ$23&lt;&gt;""),IF(EOMONTH($EP$3+INT((DAY(EOMONTH($EP$3,0))-1)/2)+EQ$23,0)=EOMONTH($CL$3,0),EQ$26,0),0),IF(AND(EM$26&lt;&gt;"",EM$23&lt;&gt;""),IF(EOMONTH($EL$3+INT((DAY(EOMONTH($EL$3,0))-1)/2)+EM$23,0)=EOMONTH($CL$3,0),EM$26,0),0),IF(AND(EI$26&lt;&gt;"",EI$23&lt;&gt;""),IF(EOMONTH($EH$3+INT((DAY(EOMONTH($EH$3,0))-1)/2)+EI$23,0)=EOMONTH($CL$3,0),EI$26,0),0),IF(AND(EE$26&lt;&gt;"",EE$23&lt;&gt;""),IF(EOMONTH($ED$3+INT((DAY(EOMONTH($ED$3,0))-1)/2)+EE$23,0)=EOMONTH($CL$3,0),EE$26,0),0),IF(AND(EA$26&lt;&gt;"",EA$23&lt;&gt;""),IF(EOMONTH($DZ$3+INT((DAY(EOMONTH($DZ$3,0))-1)/2)+EA$23,0)=EOMONTH($CL$3,0),EA$26,0),0),IF(AND(DW$26&lt;&gt;"",DW$23&lt;&gt;""),IF(EOMONTH($DV$3+INT((DAY(EOMONTH($DV$3,0))-1)/2)+DW$23,0)=EOMONTH($CL$3,0),DW$26,0),0),IF(AND(DS$26&lt;&gt;"",DS$23&lt;&gt;""),IF(EOMONTH($DR$3+INT((DAY(EOMONTH($DR$3,0))-1)/2)+DS$23,0)=EOMONTH($CL$3,0),DS$26,0),0),IF(AND(DO$26&lt;&gt;"",DO$23&lt;&gt;""),IF(EOMONTH($DN$3+INT((DAY(EOMONTH($DN$3,0))-1)/2)+DO$23,0)=EOMONTH($CL$3,0),DO$26,0),0),IF(AND(DK$26&lt;&gt;"",DK$23&lt;&gt;""),IF(EOMONTH($DJ$3+INT((DAY(EOMONTH($DJ$3,0))-1)/2)+DK$23,0)=EOMONTH($CL$3,0),DK$26,0),0),IF(AND(DG$26&lt;&gt;"",DG$23&lt;&gt;""),IF(EOMONTH($DF$3+INT((DAY(EOMONTH($DF$3,0))-1)/2)+DG$23,0)=EOMONTH($CL$3,0),DG$26,0),0),IF(AND(DC$26&lt;&gt;"",DC$23&lt;&gt;""),IF(EOMONTH($DB$3+INT((DAY(EOMONTH($DB$3,0))-1)/2)+DC$23,0)=EOMONTH($CL$3,0),DC$26,0),0),IF(AND(CY$26&lt;&gt;"",CY$23&lt;&gt;""),IF(EOMONTH($CX$3+INT((DAY(EOMONTH($CX$3,0))-1)/2)+CY$23,0)=EOMONTH($CL$3,0),CY$26,0),0),IF(AND(CU$26&lt;&gt;"",CU$23&lt;&gt;""),IF(EOMONTH($CT$3+INT((DAY(EOMONTH($CT$3,0))-1)/2)+CU$23,0)=EOMONTH($CL$3,0),CU$26,0),0),IF(AND(CQ$26&lt;&gt;"",CQ$23&lt;&gt;""),IF(EOMONTH($CP$3+INT((DAY(EOMONTH($CP$3,0))-1)/2)+CQ$23,0)=EOMONTH($CL$3,0),CQ$26,0),0),IF(AND(CM$26&lt;&gt;"",CM$23&lt;&gt;""),IF(EOMONTH($CL$3+INT((DAY(EOMONTH($CL$3,0))-1)/2)+CM$23,0)=EOMONTH($CL$3,0),CM$26,0),0),IF(AND(CI$26&lt;&gt;"",CI$23&lt;&gt;""),IF(EOMONTH($CH$3+INT((DAY(EOMONTH($CH$3,0))-1)/2)+CI$23,0)=EOMONTH($CL$3,0),CI$26,0),0),IF(AND(CE$26&lt;&gt;"",CE$23&lt;&gt;""),IF(EOMONTH($CD$3+INT((DAY(EOMONTH($CD$3,0))-1)/2)+CE$23,0)=EOMONTH($CL$3,0),CE$26,0),0),IF(AND(CA$26&lt;&gt;"",CA$23&lt;&gt;""),IF(EOMONTH($BZ$3+INT((DAY(EOMONTH($BZ$3,0))-1)/2)+CA$23,0)=EOMONTH($CL$3,0),CA$26,0),0),IF(AND(BW$26&lt;&gt;"",BW$23&lt;&gt;""),IF(EOMONTH($BV$3+INT((DAY(EOMONTH($BV$3,0))-1)/2)+BW$23,0)=EOMONTH($CL$3,0),BW$26,0),0),IF(AND(BS$26&lt;&gt;"",BS$23&lt;&gt;""),IF(EOMONTH($BR$3+INT((DAY(EOMONTH($BR$3,0))-1)/2)+BS$23,0)=EOMONTH($CL$3,0),BS$26,0),0),IF(AND(BO$26&lt;&gt;"",BO$23&lt;&gt;""),IF(EOMONTH($BN$3+INT((DAY(EOMONTH($BN$3,0))-1)/2)+BO$23,0)=EOMONTH($CL$3,0),BO$26,0),0),IF(AND(BK$26&lt;&gt;"",BK$23&lt;&gt;""),IF(EOMONTH($BJ$3+INT((DAY(EOMONTH($BJ$3,0))-1)/2)+BK$23,0)=EOMONTH($CL$3,0),BK$26,0),0),IF(AND(BG$26&lt;&gt;"",BG$23&lt;&gt;""),IF(EOMONTH($BF$3+INT((DAY(EOMONTH($BF$3,0))-1)/2)+BG$23,0)=EOMONTH($CL$3,0),BG$26,0),0),IF(AND(BC$26&lt;&gt;"",BC$23&lt;&gt;""),IF(EOMONTH($BB$3+INT((DAY(EOMONTH($BB$3,0))-1)/2)+BC$23,0)=EOMONTH($CL$3,0),BC$26,0),0),IF(AND(AY$26&lt;&gt;"",AY$23&lt;&gt;""),IF(EOMONTH($AX$3+INT((DAY(EOMONTH($AX$3,0))-1)/2)+AY$23,0)=EOMONTH($CL$3,0),AY$26,0),0),IF(AND(AU$26&lt;&gt;"",AU$23&lt;&gt;""),IF(EOMONTH($AT$3+INT((DAY(EOMONTH($AT$3,0))-1)/2)+AU$23,0)=EOMONTH($CL$3,0),AU$26,0),0),IF(AND(AQ$26&lt;&gt;"",AQ$23&lt;&gt;""),IF(EOMONTH($AP$3+INT((DAY(EOMONTH($AP$3,0))-1)/2)+AQ$23,0)=EOMONTH($CL$3,0),AQ$26,0),0),IF(AND(AM$26&lt;&gt;"",AM$23&lt;&gt;""),IF(EOMONTH($AL$3+INT((DAY(EOMONTH($AL$3,0))-1)/2)+AM$23,0)=EOMONTH($CL$3,0),AM$26,0),0),IF(AND(AI$26&lt;&gt;"",AI$23&lt;&gt;""),IF(EOMONTH($AH$3+INT((DAY(EOMONTH($AH$3,0))-1)/2)+AI$23,0)=EOMONTH($CL$3,0),AI$26,0),0),IF(AND(AE$26&lt;&gt;"",AE$23&lt;&gt;""),IF(EOMONTH($AD$3+INT((DAY(EOMONTH($AD$3,0))-1)/2)+AE$23,0)=EOMONTH($CL$3,0),AE$26,0),0),IF(AND(AA$26&lt;&gt;"",AA$23&lt;&gt;""),IF(EOMONTH($Z$3+INT((DAY(EOMONTH($Z$3,0))-1)/2)+AA$23,0)=EOMONTH($CL$3,0),AA$26,0),0),IF(AND(W$26&lt;&gt;"",W$23&lt;&gt;""),IF(EOMONTH($V$3+INT((DAY(EOMONTH($V$3,0))-1)/2)+W$23,0)=EOMONTH($CL$3,0),W$26,0),0),IF(AND(S$26&lt;&gt;"",S$23&lt;&gt;""),IF(EOMONTH($R$3+INT((DAY(EOMONTH($R$3,0))-1)/2)+S$23,0)=EOMONTH($CL$3,0),S$26,0),0),IF(AND(O$26&lt;&gt;"",O$23&lt;&gt;""),IF(EOMONTH($N$3+INT((DAY(EOMONTH($N$3,0))-1)/2)+O$23,0)=EOMONTH($CL$3,0),O$26,0),0),IF(AND(K$26&lt;&gt;"",K$23&lt;&gt;""),IF(EOMONTH($J$3+INT((DAY(EOMONTH($J$3,0))-1)/2)+K$23,0)=EOMONTH($CL$3,0),K$26,0),0),IF(AND(G$26&lt;&gt;"",G$23&lt;&gt;""),IF(EOMONTH($F$3+INT((DAY(EOMONTH($F$3,0))-1)/2)+G$23,0)=EOMONTH($CL$3,0),G$26,0),0),IF($EP$75="",0,IF(EOMONTH($EP$75+EQ$23,0)=EOMONTH($CL$3,0),$EP$78*EQ$13,0))),0))</f>
        <v>104000</v>
      </c>
      <c r="CN57" s="32">
        <f>ROUND(SUM(IF(AND(ER$26&lt;&gt;"",ER$23&lt;&gt;""),IF(EOMONTH($EP$3+INT((DAY(EOMONTH($EP$3,0))-1)/2)+ER$23,0)=EOMONTH($CL$3,0),ER$26,0),0),IF(AND(EN$26&lt;&gt;"",EN$23&lt;&gt;""),IF(EOMONTH($EL$3+INT((DAY(EOMONTH($EL$3,0))-1)/2)+EN$23,0)=EOMONTH($CL$3,0),EN$26,0),0),IF(AND(EJ$26&lt;&gt;"",EJ$23&lt;&gt;""),IF(EOMONTH($EH$3+INT((DAY(EOMONTH($EH$3,0))-1)/2)+EJ$23,0)=EOMONTH($CL$3,0),EJ$26,0),0),IF(AND(EF$26&lt;&gt;"",EF$23&lt;&gt;""),IF(EOMONTH($ED$3+INT((DAY(EOMONTH($ED$3,0))-1)/2)+EF$23,0)=EOMONTH($CL$3,0),EF$26,0),0),IF(AND(EB$26&lt;&gt;"",EB$23&lt;&gt;""),IF(EOMONTH($DZ$3+INT((DAY(EOMONTH($DZ$3,0))-1)/2)+EB$23,0)=EOMONTH($CL$3,0),EB$26,0),0),IF(AND(DX$26&lt;&gt;"",DX$23&lt;&gt;""),IF(EOMONTH($DV$3+INT((DAY(EOMONTH($DV$3,0))-1)/2)+DX$23,0)=EOMONTH($CL$3,0),DX$26,0),0),IF(AND(DT$26&lt;&gt;"",DT$23&lt;&gt;""),IF(EOMONTH($DR$3+INT((DAY(EOMONTH($DR$3,0))-1)/2)+DT$23,0)=EOMONTH($CL$3,0),DT$26,0),0),IF(AND(DP$26&lt;&gt;"",DP$23&lt;&gt;""),IF(EOMONTH($DN$3+INT((DAY(EOMONTH($DN$3,0))-1)/2)+DP$23,0)=EOMONTH($CL$3,0),DP$26,0),0),IF(AND(DL$26&lt;&gt;"",DL$23&lt;&gt;""),IF(EOMONTH($DJ$3+INT((DAY(EOMONTH($DJ$3,0))-1)/2)+DL$23,0)=EOMONTH($CL$3,0),DL$26,0),0),IF(AND(DH$26&lt;&gt;"",DH$23&lt;&gt;""),IF(EOMONTH($DF$3+INT((DAY(EOMONTH($DF$3,0))-1)/2)+DH$23,0)=EOMONTH($CL$3,0),DH$26,0),0),IF(AND(DD$26&lt;&gt;"",DD$23&lt;&gt;""),IF(EOMONTH($DB$3+INT((DAY(EOMONTH($DB$3,0))-1)/2)+DD$23,0)=EOMONTH($CL$3,0),DD$26,0),0),IF(AND(CZ$26&lt;&gt;"",CZ$23&lt;&gt;""),IF(EOMONTH($CX$3+INT((DAY(EOMONTH($CX$3,0))-1)/2)+CZ$23,0)=EOMONTH($CL$3,0),CZ$26,0),0),IF(AND(CV$26&lt;&gt;"",CV$23&lt;&gt;""),IF(EOMONTH($CT$3+INT((DAY(EOMONTH($CT$3,0))-1)/2)+CV$23,0)=EOMONTH($CL$3,0),CV$26,0),0),IF(AND(CR$26&lt;&gt;"",CR$23&lt;&gt;""),IF(EOMONTH($CP$3+INT((DAY(EOMONTH($CP$3,0))-1)/2)+CR$23,0)=EOMONTH($CL$3,0),CR$26,0),0),IF(AND(CN$26&lt;&gt;"",CN$23&lt;&gt;""),IF(EOMONTH($CL$3+INT((DAY(EOMONTH($CL$3,0))-1)/2)+CN$23,0)=EOMONTH($CL$3,0),CN$26,0),0),IF(AND(CJ$26&lt;&gt;"",CJ$23&lt;&gt;""),IF(EOMONTH($CH$3+INT((DAY(EOMONTH($CH$3,0))-1)/2)+CJ$23,0)=EOMONTH($CL$3,0),CJ$26,0),0),IF(AND(CF$26&lt;&gt;"",CF$23&lt;&gt;""),IF(EOMONTH($CD$3+INT((DAY(EOMONTH($CD$3,0))-1)/2)+CF$23,0)=EOMONTH($CL$3,0),CF$26,0),0),IF(AND(CB$26&lt;&gt;"",CB$23&lt;&gt;""),IF(EOMONTH($BZ$3+INT((DAY(EOMONTH($BZ$3,0))-1)/2)+CB$23,0)=EOMONTH($CL$3,0),CB$26,0),0),IF(AND(BX$26&lt;&gt;"",BX$23&lt;&gt;""),IF(EOMONTH($BV$3+INT((DAY(EOMONTH($BV$3,0))-1)/2)+BX$23,0)=EOMONTH($CL$3,0),BX$26,0),0),IF(AND(BT$26&lt;&gt;"",BT$23&lt;&gt;""),IF(EOMONTH($BR$3+INT((DAY(EOMONTH($BR$3,0))-1)/2)+BT$23,0)=EOMONTH($CL$3,0),BT$26,0),0),IF(AND(BP$26&lt;&gt;"",BP$23&lt;&gt;""),IF(EOMONTH($BN$3+INT((DAY(EOMONTH($BN$3,0))-1)/2)+BP$23,0)=EOMONTH($CL$3,0),BP$26,0),0),IF(AND(BL$26&lt;&gt;"",BL$23&lt;&gt;""),IF(EOMONTH($BJ$3+INT((DAY(EOMONTH($BJ$3,0))-1)/2)+BL$23,0)=EOMONTH($CL$3,0),BL$26,0),0),IF(AND(BH$26&lt;&gt;"",BH$23&lt;&gt;""),IF(EOMONTH($BF$3+INT((DAY(EOMONTH($BF$3,0))-1)/2)+BH$23,0)=EOMONTH($CL$3,0),BH$26,0),0),IF(AND(BD$26&lt;&gt;"",BD$23&lt;&gt;""),IF(EOMONTH($BB$3+INT((DAY(EOMONTH($BB$3,0))-1)/2)+BD$23,0)=EOMONTH($CL$3,0),BD$26,0),0),IF(AND(AZ$26&lt;&gt;"",AZ$23&lt;&gt;""),IF(EOMONTH($AX$3+INT((DAY(EOMONTH($AX$3,0))-1)/2)+AZ$23,0)=EOMONTH($CL$3,0),AZ$26,0),0),IF(AND(AV$26&lt;&gt;"",AV$23&lt;&gt;""),IF(EOMONTH($AT$3+INT((DAY(EOMONTH($AT$3,0))-1)/2)+AV$23,0)=EOMONTH($CL$3,0),AV$26,0),0),IF(AND(AR$26&lt;&gt;"",AR$23&lt;&gt;""),IF(EOMONTH($AP$3+INT((DAY(EOMONTH($AP$3,0))-1)/2)+AR$23,0)=EOMONTH($CL$3,0),AR$26,0),0),IF(AND(AN$26&lt;&gt;"",AN$23&lt;&gt;""),IF(EOMONTH($AL$3+INT((DAY(EOMONTH($AL$3,0))-1)/2)+AN$23,0)=EOMONTH($CL$3,0),AN$26,0),0),IF(AND(AJ$26&lt;&gt;"",AJ$23&lt;&gt;""),IF(EOMONTH($AH$3+INT((DAY(EOMONTH($AH$3,0))-1)/2)+AJ$23,0)=EOMONTH($CL$3,0),AJ$26,0),0),IF(AND(AF$26&lt;&gt;"",AF$23&lt;&gt;""),IF(EOMONTH($AD$3+INT((DAY(EOMONTH($AD$3,0))-1)/2)+AF$23,0)=EOMONTH($CL$3,0),AF$26,0),0),IF(AND(AB$26&lt;&gt;"",AB$23&lt;&gt;""),IF(EOMONTH($Z$3+INT((DAY(EOMONTH($Z$3,0))-1)/2)+AB$23,0)=EOMONTH($CL$3,0),AB$26,0),0),IF(AND(X$26&lt;&gt;"",X$23&lt;&gt;""),IF(EOMONTH($V$3+INT((DAY(EOMONTH($V$3,0))-1)/2)+X$23,0)=EOMONTH($CL$3,0),X$26,0),0),IF(AND(T$26&lt;&gt;"",T$23&lt;&gt;""),IF(EOMONTH($R$3+INT((DAY(EOMONTH($R$3,0))-1)/2)+T$23,0)=EOMONTH($CL$3,0),T$26,0),0),IF(AND(P$26&lt;&gt;"",P$23&lt;&gt;""),IF(EOMONTH($N$3+INT((DAY(EOMONTH($N$3,0))-1)/2)+P$23,0)=EOMONTH($CL$3,0),P$26,0),0),IF(AND(L$26&lt;&gt;"",L$23&lt;&gt;""),IF(EOMONTH($J$3+INT((DAY(EOMONTH($J$3,0))-1)/2)+L$23,0)=EOMONTH($CL$3,0),L$26,0),0),IF(AND(H$26&lt;&gt;"",H$23&lt;&gt;""),IF(EOMONTH($F$3+INT((DAY(EOMONTH($F$3,0))-1)/2)+H$23,0)=EOMONTH($CL$3,0),H$26,0),0),IF($EP$75="",0,IF(EOMONTH($EP$75+ER$23,0)=EOMONTH($CL$3,0),$EP$78*ER$13,0))),0)</f>
        <v>104000</v>
      </c>
      <c r="CO57" s="33">
        <f t="shared" ref="CO57:CO70" si="744">IFERROR(IF(OR(CM57="",CN57=""),"",CM57-CN57),"")</f>
        <v>0</v>
      </c>
      <c r="CP57" s="34"/>
      <c r="CQ57" s="31">
        <f>IF(CP$98=1,CP57,ROUND(SUM(IF(AND(EQ$26&lt;&gt;"",EQ$23&lt;&gt;""),IF(EOMONTH($EP$3+INT((DAY(EOMONTH($EP$3,0))-1)/2)+EQ$23,0)=EOMONTH($CP$3,0),EQ$26,0),0),IF(AND(EM$26&lt;&gt;"",EM$23&lt;&gt;""),IF(EOMONTH($EL$3+INT((DAY(EOMONTH($EL$3,0))-1)/2)+EM$23,0)=EOMONTH($CP$3,0),EM$26,0),0),IF(AND(EI$26&lt;&gt;"",EI$23&lt;&gt;""),IF(EOMONTH($EH$3+INT((DAY(EOMONTH($EH$3,0))-1)/2)+EI$23,0)=EOMONTH($CP$3,0),EI$26,0),0),IF(AND(EE$26&lt;&gt;"",EE$23&lt;&gt;""),IF(EOMONTH($ED$3+INT((DAY(EOMONTH($ED$3,0))-1)/2)+EE$23,0)=EOMONTH($CP$3,0),EE$26,0),0),IF(AND(EA$26&lt;&gt;"",EA$23&lt;&gt;""),IF(EOMONTH($DZ$3+INT((DAY(EOMONTH($DZ$3,0))-1)/2)+EA$23,0)=EOMONTH($CP$3,0),EA$26,0),0),IF(AND(DW$26&lt;&gt;"",DW$23&lt;&gt;""),IF(EOMONTH($DV$3+INT((DAY(EOMONTH($DV$3,0))-1)/2)+DW$23,0)=EOMONTH($CP$3,0),DW$26,0),0),IF(AND(DS$26&lt;&gt;"",DS$23&lt;&gt;""),IF(EOMONTH($DR$3+INT((DAY(EOMONTH($DR$3,0))-1)/2)+DS$23,0)=EOMONTH($CP$3,0),DS$26,0),0),IF(AND(DO$26&lt;&gt;"",DO$23&lt;&gt;""),IF(EOMONTH($DN$3+INT((DAY(EOMONTH($DN$3,0))-1)/2)+DO$23,0)=EOMONTH($CP$3,0),DO$26,0),0),IF(AND(DK$26&lt;&gt;"",DK$23&lt;&gt;""),IF(EOMONTH($DJ$3+INT((DAY(EOMONTH($DJ$3,0))-1)/2)+DK$23,0)=EOMONTH($CP$3,0),DK$26,0),0),IF(AND(DG$26&lt;&gt;"",DG$23&lt;&gt;""),IF(EOMONTH($DF$3+INT((DAY(EOMONTH($DF$3,0))-1)/2)+DG$23,0)=EOMONTH($CP$3,0),DG$26,0),0),IF(AND(DC$26&lt;&gt;"",DC$23&lt;&gt;""),IF(EOMONTH($DB$3+INT((DAY(EOMONTH($DB$3,0))-1)/2)+DC$23,0)=EOMONTH($CP$3,0),DC$26,0),0),IF(AND(CY$26&lt;&gt;"",CY$23&lt;&gt;""),IF(EOMONTH($CX$3+INT((DAY(EOMONTH($CX$3,0))-1)/2)+CY$23,0)=EOMONTH($CP$3,0),CY$26,0),0),IF(AND(CU$26&lt;&gt;"",CU$23&lt;&gt;""),IF(EOMONTH($CT$3+INT((DAY(EOMONTH($CT$3,0))-1)/2)+CU$23,0)=EOMONTH($CP$3,0),CU$26,0),0),IF(AND(CQ$26&lt;&gt;"",CQ$23&lt;&gt;""),IF(EOMONTH($CP$3+INT((DAY(EOMONTH($CP$3,0))-1)/2)+CQ$23,0)=EOMONTH($CP$3,0),CQ$26,0),0),IF(AND(CM$26&lt;&gt;"",CM$23&lt;&gt;""),IF(EOMONTH($CL$3+INT((DAY(EOMONTH($CL$3,0))-1)/2)+CM$23,0)=EOMONTH($CP$3,0),CM$26,0),0),IF(AND(CI$26&lt;&gt;"",CI$23&lt;&gt;""),IF(EOMONTH($CH$3+INT((DAY(EOMONTH($CH$3,0))-1)/2)+CI$23,0)=EOMONTH($CP$3,0),CI$26,0),0),IF(AND(CE$26&lt;&gt;"",CE$23&lt;&gt;""),IF(EOMONTH($CD$3+INT((DAY(EOMONTH($CD$3,0))-1)/2)+CE$23,0)=EOMONTH($CP$3,0),CE$26,0),0),IF(AND(CA$26&lt;&gt;"",CA$23&lt;&gt;""),IF(EOMONTH($BZ$3+INT((DAY(EOMONTH($BZ$3,0))-1)/2)+CA$23,0)=EOMONTH($CP$3,0),CA$26,0),0),IF(AND(BW$26&lt;&gt;"",BW$23&lt;&gt;""),IF(EOMONTH($BV$3+INT((DAY(EOMONTH($BV$3,0))-1)/2)+BW$23,0)=EOMONTH($CP$3,0),BW$26,0),0),IF(AND(BS$26&lt;&gt;"",BS$23&lt;&gt;""),IF(EOMONTH($BR$3+INT((DAY(EOMONTH($BR$3,0))-1)/2)+BS$23,0)=EOMONTH($CP$3,0),BS$26,0),0),IF(AND(BO$26&lt;&gt;"",BO$23&lt;&gt;""),IF(EOMONTH($BN$3+INT((DAY(EOMONTH($BN$3,0))-1)/2)+BO$23,0)=EOMONTH($CP$3,0),BO$26,0),0),IF(AND(BK$26&lt;&gt;"",BK$23&lt;&gt;""),IF(EOMONTH($BJ$3+INT((DAY(EOMONTH($BJ$3,0))-1)/2)+BK$23,0)=EOMONTH($CP$3,0),BK$26,0),0),IF(AND(BG$26&lt;&gt;"",BG$23&lt;&gt;""),IF(EOMONTH($BF$3+INT((DAY(EOMONTH($BF$3,0))-1)/2)+BG$23,0)=EOMONTH($CP$3,0),BG$26,0),0),IF(AND(BC$26&lt;&gt;"",BC$23&lt;&gt;""),IF(EOMONTH($BB$3+INT((DAY(EOMONTH($BB$3,0))-1)/2)+BC$23,0)=EOMONTH($CP$3,0),BC$26,0),0),IF(AND(AY$26&lt;&gt;"",AY$23&lt;&gt;""),IF(EOMONTH($AX$3+INT((DAY(EOMONTH($AX$3,0))-1)/2)+AY$23,0)=EOMONTH($CP$3,0),AY$26,0),0),IF(AND(AU$26&lt;&gt;"",AU$23&lt;&gt;""),IF(EOMONTH($AT$3+INT((DAY(EOMONTH($AT$3,0))-1)/2)+AU$23,0)=EOMONTH($CP$3,0),AU$26,0),0),IF(AND(AQ$26&lt;&gt;"",AQ$23&lt;&gt;""),IF(EOMONTH($AP$3+INT((DAY(EOMONTH($AP$3,0))-1)/2)+AQ$23,0)=EOMONTH($CP$3,0),AQ$26,0),0),IF(AND(AM$26&lt;&gt;"",AM$23&lt;&gt;""),IF(EOMONTH($AL$3+INT((DAY(EOMONTH($AL$3,0))-1)/2)+AM$23,0)=EOMONTH($CP$3,0),AM$26,0),0),IF(AND(AI$26&lt;&gt;"",AI$23&lt;&gt;""),IF(EOMONTH($AH$3+INT((DAY(EOMONTH($AH$3,0))-1)/2)+AI$23,0)=EOMONTH($CP$3,0),AI$26,0),0),IF(AND(AE$26&lt;&gt;"",AE$23&lt;&gt;""),IF(EOMONTH($AD$3+INT((DAY(EOMONTH($AD$3,0))-1)/2)+AE$23,0)=EOMONTH($CP$3,0),AE$26,0),0),IF(AND(AA$26&lt;&gt;"",AA$23&lt;&gt;""),IF(EOMONTH($Z$3+INT((DAY(EOMONTH($Z$3,0))-1)/2)+AA$23,0)=EOMONTH($CP$3,0),AA$26,0),0),IF(AND(W$26&lt;&gt;"",W$23&lt;&gt;""),IF(EOMONTH($V$3+INT((DAY(EOMONTH($V$3,0))-1)/2)+W$23,0)=EOMONTH($CP$3,0),W$26,0),0),IF(AND(S$26&lt;&gt;"",S$23&lt;&gt;""),IF(EOMONTH($R$3+INT((DAY(EOMONTH($R$3,0))-1)/2)+S$23,0)=EOMONTH($CP$3,0),S$26,0),0),IF(AND(O$26&lt;&gt;"",O$23&lt;&gt;""),IF(EOMONTH($N$3+INT((DAY(EOMONTH($N$3,0))-1)/2)+O$23,0)=EOMONTH($CP$3,0),O$26,0),0),IF(AND(K$26&lt;&gt;"",K$23&lt;&gt;""),IF(EOMONTH($J$3+INT((DAY(EOMONTH($J$3,0))-1)/2)+K$23,0)=EOMONTH($CP$3,0),K$26,0),0),IF(AND(G$26&lt;&gt;"",G$23&lt;&gt;""),IF(EOMONTH($F$3+INT((DAY(EOMONTH($F$3,0))-1)/2)+G$23,0)=EOMONTH($CP$3,0),G$26,0),0),IF($EP$75="",0,IF(EOMONTH($EP$75+EQ$23,0)=EOMONTH($CP$3,0),$EP$78*EQ$13,0))),0))</f>
        <v>104000</v>
      </c>
      <c r="CR57" s="32">
        <f>ROUND(SUM(IF(AND(ER$26&lt;&gt;"",ER$23&lt;&gt;""),IF(EOMONTH($EP$3+INT((DAY(EOMONTH($EP$3,0))-1)/2)+ER$23,0)=EOMONTH($CP$3,0),ER$26,0),0),IF(AND(EN$26&lt;&gt;"",EN$23&lt;&gt;""),IF(EOMONTH($EL$3+INT((DAY(EOMONTH($EL$3,0))-1)/2)+EN$23,0)=EOMONTH($CP$3,0),EN$26,0),0),IF(AND(EJ$26&lt;&gt;"",EJ$23&lt;&gt;""),IF(EOMONTH($EH$3+INT((DAY(EOMONTH($EH$3,0))-1)/2)+EJ$23,0)=EOMONTH($CP$3,0),EJ$26,0),0),IF(AND(EF$26&lt;&gt;"",EF$23&lt;&gt;""),IF(EOMONTH($ED$3+INT((DAY(EOMONTH($ED$3,0))-1)/2)+EF$23,0)=EOMONTH($CP$3,0),EF$26,0),0),IF(AND(EB$26&lt;&gt;"",EB$23&lt;&gt;""),IF(EOMONTH($DZ$3+INT((DAY(EOMONTH($DZ$3,0))-1)/2)+EB$23,0)=EOMONTH($CP$3,0),EB$26,0),0),IF(AND(DX$26&lt;&gt;"",DX$23&lt;&gt;""),IF(EOMONTH($DV$3+INT((DAY(EOMONTH($DV$3,0))-1)/2)+DX$23,0)=EOMONTH($CP$3,0),DX$26,0),0),IF(AND(DT$26&lt;&gt;"",DT$23&lt;&gt;""),IF(EOMONTH($DR$3+INT((DAY(EOMONTH($DR$3,0))-1)/2)+DT$23,0)=EOMONTH($CP$3,0),DT$26,0),0),IF(AND(DP$26&lt;&gt;"",DP$23&lt;&gt;""),IF(EOMONTH($DN$3+INT((DAY(EOMONTH($DN$3,0))-1)/2)+DP$23,0)=EOMONTH($CP$3,0),DP$26,0),0),IF(AND(DL$26&lt;&gt;"",DL$23&lt;&gt;""),IF(EOMONTH($DJ$3+INT((DAY(EOMONTH($DJ$3,0))-1)/2)+DL$23,0)=EOMONTH($CP$3,0),DL$26,0),0),IF(AND(DH$26&lt;&gt;"",DH$23&lt;&gt;""),IF(EOMONTH($DF$3+INT((DAY(EOMONTH($DF$3,0))-1)/2)+DH$23,0)=EOMONTH($CP$3,0),DH$26,0),0),IF(AND(DD$26&lt;&gt;"",DD$23&lt;&gt;""),IF(EOMONTH($DB$3+INT((DAY(EOMONTH($DB$3,0))-1)/2)+DD$23,0)=EOMONTH($CP$3,0),DD$26,0),0),IF(AND(CZ$26&lt;&gt;"",CZ$23&lt;&gt;""),IF(EOMONTH($CX$3+INT((DAY(EOMONTH($CX$3,0))-1)/2)+CZ$23,0)=EOMONTH($CP$3,0),CZ$26,0),0),IF(AND(CV$26&lt;&gt;"",CV$23&lt;&gt;""),IF(EOMONTH($CT$3+INT((DAY(EOMONTH($CT$3,0))-1)/2)+CV$23,0)=EOMONTH($CP$3,0),CV$26,0),0),IF(AND(CR$26&lt;&gt;"",CR$23&lt;&gt;""),IF(EOMONTH($CP$3+INT((DAY(EOMONTH($CP$3,0))-1)/2)+CR$23,0)=EOMONTH($CP$3,0),CR$26,0),0),IF(AND(CN$26&lt;&gt;"",CN$23&lt;&gt;""),IF(EOMONTH($CL$3+INT((DAY(EOMONTH($CL$3,0))-1)/2)+CN$23,0)=EOMONTH($CP$3,0),CN$26,0),0),IF(AND(CJ$26&lt;&gt;"",CJ$23&lt;&gt;""),IF(EOMONTH($CH$3+INT((DAY(EOMONTH($CH$3,0))-1)/2)+CJ$23,0)=EOMONTH($CP$3,0),CJ$26,0),0),IF(AND(CF$26&lt;&gt;"",CF$23&lt;&gt;""),IF(EOMONTH($CD$3+INT((DAY(EOMONTH($CD$3,0))-1)/2)+CF$23,0)=EOMONTH($CP$3,0),CF$26,0),0),IF(AND(CB$26&lt;&gt;"",CB$23&lt;&gt;""),IF(EOMONTH($BZ$3+INT((DAY(EOMONTH($BZ$3,0))-1)/2)+CB$23,0)=EOMONTH($CP$3,0),CB$26,0),0),IF(AND(BX$26&lt;&gt;"",BX$23&lt;&gt;""),IF(EOMONTH($BV$3+INT((DAY(EOMONTH($BV$3,0))-1)/2)+BX$23,0)=EOMONTH($CP$3,0),BX$26,0),0),IF(AND(BT$26&lt;&gt;"",BT$23&lt;&gt;""),IF(EOMONTH($BR$3+INT((DAY(EOMONTH($BR$3,0))-1)/2)+BT$23,0)=EOMONTH($CP$3,0),BT$26,0),0),IF(AND(BP$26&lt;&gt;"",BP$23&lt;&gt;""),IF(EOMONTH($BN$3+INT((DAY(EOMONTH($BN$3,0))-1)/2)+BP$23,0)=EOMONTH($CP$3,0),BP$26,0),0),IF(AND(BL$26&lt;&gt;"",BL$23&lt;&gt;""),IF(EOMONTH($BJ$3+INT((DAY(EOMONTH($BJ$3,0))-1)/2)+BL$23,0)=EOMONTH($CP$3,0),BL$26,0),0),IF(AND(BH$26&lt;&gt;"",BH$23&lt;&gt;""),IF(EOMONTH($BF$3+INT((DAY(EOMONTH($BF$3,0))-1)/2)+BH$23,0)=EOMONTH($CP$3,0),BH$26,0),0),IF(AND(BD$26&lt;&gt;"",BD$23&lt;&gt;""),IF(EOMONTH($BB$3+INT((DAY(EOMONTH($BB$3,0))-1)/2)+BD$23,0)=EOMONTH($CP$3,0),BD$26,0),0),IF(AND(AZ$26&lt;&gt;"",AZ$23&lt;&gt;""),IF(EOMONTH($AX$3+INT((DAY(EOMONTH($AX$3,0))-1)/2)+AZ$23,0)=EOMONTH($CP$3,0),AZ$26,0),0),IF(AND(AV$26&lt;&gt;"",AV$23&lt;&gt;""),IF(EOMONTH($AT$3+INT((DAY(EOMONTH($AT$3,0))-1)/2)+AV$23,0)=EOMONTH($CP$3,0),AV$26,0),0),IF(AND(AR$26&lt;&gt;"",AR$23&lt;&gt;""),IF(EOMONTH($AP$3+INT((DAY(EOMONTH($AP$3,0))-1)/2)+AR$23,0)=EOMONTH($CP$3,0),AR$26,0),0),IF(AND(AN$26&lt;&gt;"",AN$23&lt;&gt;""),IF(EOMONTH($AL$3+INT((DAY(EOMONTH($AL$3,0))-1)/2)+AN$23,0)=EOMONTH($CP$3,0),AN$26,0),0),IF(AND(AJ$26&lt;&gt;"",AJ$23&lt;&gt;""),IF(EOMONTH($AH$3+INT((DAY(EOMONTH($AH$3,0))-1)/2)+AJ$23,0)=EOMONTH($CP$3,0),AJ$26,0),0),IF(AND(AF$26&lt;&gt;"",AF$23&lt;&gt;""),IF(EOMONTH($AD$3+INT((DAY(EOMONTH($AD$3,0))-1)/2)+AF$23,0)=EOMONTH($CP$3,0),AF$26,0),0),IF(AND(AB$26&lt;&gt;"",AB$23&lt;&gt;""),IF(EOMONTH($Z$3+INT((DAY(EOMONTH($Z$3,0))-1)/2)+AB$23,0)=EOMONTH($CP$3,0),AB$26,0),0),IF(AND(X$26&lt;&gt;"",X$23&lt;&gt;""),IF(EOMONTH($V$3+INT((DAY(EOMONTH($V$3,0))-1)/2)+X$23,0)=EOMONTH($CP$3,0),X$26,0),0),IF(AND(T$26&lt;&gt;"",T$23&lt;&gt;""),IF(EOMONTH($R$3+INT((DAY(EOMONTH($R$3,0))-1)/2)+T$23,0)=EOMONTH($CP$3,0),T$26,0),0),IF(AND(P$26&lt;&gt;"",P$23&lt;&gt;""),IF(EOMONTH($N$3+INT((DAY(EOMONTH($N$3,0))-1)/2)+P$23,0)=EOMONTH($CP$3,0),P$26,0),0),IF(AND(L$26&lt;&gt;"",L$23&lt;&gt;""),IF(EOMONTH($J$3+INT((DAY(EOMONTH($J$3,0))-1)/2)+L$23,0)=EOMONTH($CP$3,0),L$26,0),0),IF(AND(H$26&lt;&gt;"",H$23&lt;&gt;""),IF(EOMONTH($F$3+INT((DAY(EOMONTH($F$3,0))-1)/2)+H$23,0)=EOMONTH($CP$3,0),H$26,0),0),IF($EP$75="",0,IF(EOMONTH($EP$75+ER$23,0)=EOMONTH($CP$3,0),$EP$78*ER$13,0))),0)</f>
        <v>104000</v>
      </c>
      <c r="CS57" s="33">
        <f t="shared" ref="CS57:CS70" si="746">IFERROR(IF(OR(CQ57="",CR57=""),"",CQ57-CR57),"")</f>
        <v>0</v>
      </c>
      <c r="CT57" s="34"/>
      <c r="CU57" s="31">
        <f>IF(CT$98=1,CT57,ROUND(SUM(IF(AND(EQ$26&lt;&gt;"",EQ$23&lt;&gt;""),IF(EOMONTH($EP$3+INT((DAY(EOMONTH($EP$3,0))-1)/2)+EQ$23,0)=EOMONTH($CT$3,0),EQ$26,0),0),IF(AND(EM$26&lt;&gt;"",EM$23&lt;&gt;""),IF(EOMONTH($EL$3+INT((DAY(EOMONTH($EL$3,0))-1)/2)+EM$23,0)=EOMONTH($CT$3,0),EM$26,0),0),IF(AND(EI$26&lt;&gt;"",EI$23&lt;&gt;""),IF(EOMONTH($EH$3+INT((DAY(EOMONTH($EH$3,0))-1)/2)+EI$23,0)=EOMONTH($CT$3,0),EI$26,0),0),IF(AND(EE$26&lt;&gt;"",EE$23&lt;&gt;""),IF(EOMONTH($ED$3+INT((DAY(EOMONTH($ED$3,0))-1)/2)+EE$23,0)=EOMONTH($CT$3,0),EE$26,0),0),IF(AND(EA$26&lt;&gt;"",EA$23&lt;&gt;""),IF(EOMONTH($DZ$3+INT((DAY(EOMONTH($DZ$3,0))-1)/2)+EA$23,0)=EOMONTH($CT$3,0),EA$26,0),0),IF(AND(DW$26&lt;&gt;"",DW$23&lt;&gt;""),IF(EOMONTH($DV$3+INT((DAY(EOMONTH($DV$3,0))-1)/2)+DW$23,0)=EOMONTH($CT$3,0),DW$26,0),0),IF(AND(DS$26&lt;&gt;"",DS$23&lt;&gt;""),IF(EOMONTH($DR$3+INT((DAY(EOMONTH($DR$3,0))-1)/2)+DS$23,0)=EOMONTH($CT$3,0),DS$26,0),0),IF(AND(DO$26&lt;&gt;"",DO$23&lt;&gt;""),IF(EOMONTH($DN$3+INT((DAY(EOMONTH($DN$3,0))-1)/2)+DO$23,0)=EOMONTH($CT$3,0),DO$26,0),0),IF(AND(DK$26&lt;&gt;"",DK$23&lt;&gt;""),IF(EOMONTH($DJ$3+INT((DAY(EOMONTH($DJ$3,0))-1)/2)+DK$23,0)=EOMONTH($CT$3,0),DK$26,0),0),IF(AND(DG$26&lt;&gt;"",DG$23&lt;&gt;""),IF(EOMONTH($DF$3+INT((DAY(EOMONTH($DF$3,0))-1)/2)+DG$23,0)=EOMONTH($CT$3,0),DG$26,0),0),IF(AND(DC$26&lt;&gt;"",DC$23&lt;&gt;""),IF(EOMONTH($DB$3+INT((DAY(EOMONTH($DB$3,0))-1)/2)+DC$23,0)=EOMONTH($CT$3,0),DC$26,0),0),IF(AND(CY$26&lt;&gt;"",CY$23&lt;&gt;""),IF(EOMONTH($CX$3+INT((DAY(EOMONTH($CX$3,0))-1)/2)+CY$23,0)=EOMONTH($CT$3,0),CY$26,0),0),IF(AND(CU$26&lt;&gt;"",CU$23&lt;&gt;""),IF(EOMONTH($CT$3+INT((DAY(EOMONTH($CT$3,0))-1)/2)+CU$23,0)=EOMONTH($CT$3,0),CU$26,0),0),IF(AND(CQ$26&lt;&gt;"",CQ$23&lt;&gt;""),IF(EOMONTH($CP$3+INT((DAY(EOMONTH($CP$3,0))-1)/2)+CQ$23,0)=EOMONTH($CT$3,0),CQ$26,0),0),IF(AND(CM$26&lt;&gt;"",CM$23&lt;&gt;""),IF(EOMONTH($CL$3+INT((DAY(EOMONTH($CL$3,0))-1)/2)+CM$23,0)=EOMONTH($CT$3,0),CM$26,0),0),IF(AND(CI$26&lt;&gt;"",CI$23&lt;&gt;""),IF(EOMONTH($CH$3+INT((DAY(EOMONTH($CH$3,0))-1)/2)+CI$23,0)=EOMONTH($CT$3,0),CI$26,0),0),IF(AND(CE$26&lt;&gt;"",CE$23&lt;&gt;""),IF(EOMONTH($CD$3+INT((DAY(EOMONTH($CD$3,0))-1)/2)+CE$23,0)=EOMONTH($CT$3,0),CE$26,0),0),IF(AND(CA$26&lt;&gt;"",CA$23&lt;&gt;""),IF(EOMONTH($BZ$3+INT((DAY(EOMONTH($BZ$3,0))-1)/2)+CA$23,0)=EOMONTH($CT$3,0),CA$26,0),0),IF(AND(BW$26&lt;&gt;"",BW$23&lt;&gt;""),IF(EOMONTH($BV$3+INT((DAY(EOMONTH($BV$3,0))-1)/2)+BW$23,0)=EOMONTH($CT$3,0),BW$26,0),0),IF(AND(BS$26&lt;&gt;"",BS$23&lt;&gt;""),IF(EOMONTH($BR$3+INT((DAY(EOMONTH($BR$3,0))-1)/2)+BS$23,0)=EOMONTH($CT$3,0),BS$26,0),0),IF(AND(BO$26&lt;&gt;"",BO$23&lt;&gt;""),IF(EOMONTH($BN$3+INT((DAY(EOMONTH($BN$3,0))-1)/2)+BO$23,0)=EOMONTH($CT$3,0),BO$26,0),0),IF(AND(BK$26&lt;&gt;"",BK$23&lt;&gt;""),IF(EOMONTH($BJ$3+INT((DAY(EOMONTH($BJ$3,0))-1)/2)+BK$23,0)=EOMONTH($CT$3,0),BK$26,0),0),IF(AND(BG$26&lt;&gt;"",BG$23&lt;&gt;""),IF(EOMONTH($BF$3+INT((DAY(EOMONTH($BF$3,0))-1)/2)+BG$23,0)=EOMONTH($CT$3,0),BG$26,0),0),IF(AND(BC$26&lt;&gt;"",BC$23&lt;&gt;""),IF(EOMONTH($BB$3+INT((DAY(EOMONTH($BB$3,0))-1)/2)+BC$23,0)=EOMONTH($CT$3,0),BC$26,0),0),IF(AND(AY$26&lt;&gt;"",AY$23&lt;&gt;""),IF(EOMONTH($AX$3+INT((DAY(EOMONTH($AX$3,0))-1)/2)+AY$23,0)=EOMONTH($CT$3,0),AY$26,0),0),IF(AND(AU$26&lt;&gt;"",AU$23&lt;&gt;""),IF(EOMONTH($AT$3+INT((DAY(EOMONTH($AT$3,0))-1)/2)+AU$23,0)=EOMONTH($CT$3,0),AU$26,0),0),IF(AND(AQ$26&lt;&gt;"",AQ$23&lt;&gt;""),IF(EOMONTH($AP$3+INT((DAY(EOMONTH($AP$3,0))-1)/2)+AQ$23,0)=EOMONTH($CT$3,0),AQ$26,0),0),IF(AND(AM$26&lt;&gt;"",AM$23&lt;&gt;""),IF(EOMONTH($AL$3+INT((DAY(EOMONTH($AL$3,0))-1)/2)+AM$23,0)=EOMONTH($CT$3,0),AM$26,0),0),IF(AND(AI$26&lt;&gt;"",AI$23&lt;&gt;""),IF(EOMONTH($AH$3+INT((DAY(EOMONTH($AH$3,0))-1)/2)+AI$23,0)=EOMONTH($CT$3,0),AI$26,0),0),IF(AND(AE$26&lt;&gt;"",AE$23&lt;&gt;""),IF(EOMONTH($AD$3+INT((DAY(EOMONTH($AD$3,0))-1)/2)+AE$23,0)=EOMONTH($CT$3,0),AE$26,0),0),IF(AND(AA$26&lt;&gt;"",AA$23&lt;&gt;""),IF(EOMONTH($Z$3+INT((DAY(EOMONTH($Z$3,0))-1)/2)+AA$23,0)=EOMONTH($CT$3,0),AA$26,0),0),IF(AND(W$26&lt;&gt;"",W$23&lt;&gt;""),IF(EOMONTH($V$3+INT((DAY(EOMONTH($V$3,0))-1)/2)+W$23,0)=EOMONTH($CT$3,0),W$26,0),0),IF(AND(S$26&lt;&gt;"",S$23&lt;&gt;""),IF(EOMONTH($R$3+INT((DAY(EOMONTH($R$3,0))-1)/2)+S$23,0)=EOMONTH($CT$3,0),S$26,0),0),IF(AND(O$26&lt;&gt;"",O$23&lt;&gt;""),IF(EOMONTH($N$3+INT((DAY(EOMONTH($N$3,0))-1)/2)+O$23,0)=EOMONTH($CT$3,0),O$26,0),0),IF(AND(K$26&lt;&gt;"",K$23&lt;&gt;""),IF(EOMONTH($J$3+INT((DAY(EOMONTH($J$3,0))-1)/2)+K$23,0)=EOMONTH($CT$3,0),K$26,0),0),IF(AND(G$26&lt;&gt;"",G$23&lt;&gt;""),IF(EOMONTH($F$3+INT((DAY(EOMONTH($F$3,0))-1)/2)+G$23,0)=EOMONTH($CT$3,0),G$26,0),0),IF($EP$75="",0,IF(EOMONTH($EP$75+EQ$23,0)=EOMONTH($CT$3,0),$EP$78*EQ$13,0))),0))</f>
        <v>96000</v>
      </c>
      <c r="CV57" s="32">
        <f>ROUND(SUM(IF(AND(ER$26&lt;&gt;"",ER$23&lt;&gt;""),IF(EOMONTH($EP$3+INT((DAY(EOMONTH($EP$3,0))-1)/2)+ER$23,0)=EOMONTH($CT$3,0),ER$26,0),0),IF(AND(EN$26&lt;&gt;"",EN$23&lt;&gt;""),IF(EOMONTH($EL$3+INT((DAY(EOMONTH($EL$3,0))-1)/2)+EN$23,0)=EOMONTH($CT$3,0),EN$26,0),0),IF(AND(EJ$26&lt;&gt;"",EJ$23&lt;&gt;""),IF(EOMONTH($EH$3+INT((DAY(EOMONTH($EH$3,0))-1)/2)+EJ$23,0)=EOMONTH($CT$3,0),EJ$26,0),0),IF(AND(EF$26&lt;&gt;"",EF$23&lt;&gt;""),IF(EOMONTH($ED$3+INT((DAY(EOMONTH($ED$3,0))-1)/2)+EF$23,0)=EOMONTH($CT$3,0),EF$26,0),0),IF(AND(EB$26&lt;&gt;"",EB$23&lt;&gt;""),IF(EOMONTH($DZ$3+INT((DAY(EOMONTH($DZ$3,0))-1)/2)+EB$23,0)=EOMONTH($CT$3,0),EB$26,0),0),IF(AND(DX$26&lt;&gt;"",DX$23&lt;&gt;""),IF(EOMONTH($DV$3+INT((DAY(EOMONTH($DV$3,0))-1)/2)+DX$23,0)=EOMONTH($CT$3,0),DX$26,0),0),IF(AND(DT$26&lt;&gt;"",DT$23&lt;&gt;""),IF(EOMONTH($DR$3+INT((DAY(EOMONTH($DR$3,0))-1)/2)+DT$23,0)=EOMONTH($CT$3,0),DT$26,0),0),IF(AND(DP$26&lt;&gt;"",DP$23&lt;&gt;""),IF(EOMONTH($DN$3+INT((DAY(EOMONTH($DN$3,0))-1)/2)+DP$23,0)=EOMONTH($CT$3,0),DP$26,0),0),IF(AND(DL$26&lt;&gt;"",DL$23&lt;&gt;""),IF(EOMONTH($DJ$3+INT((DAY(EOMONTH($DJ$3,0))-1)/2)+DL$23,0)=EOMONTH($CT$3,0),DL$26,0),0),IF(AND(DH$26&lt;&gt;"",DH$23&lt;&gt;""),IF(EOMONTH($DF$3+INT((DAY(EOMONTH($DF$3,0))-1)/2)+DH$23,0)=EOMONTH($CT$3,0),DH$26,0),0),IF(AND(DD$26&lt;&gt;"",DD$23&lt;&gt;""),IF(EOMONTH($DB$3+INT((DAY(EOMONTH($DB$3,0))-1)/2)+DD$23,0)=EOMONTH($CT$3,0),DD$26,0),0),IF(AND(CZ$26&lt;&gt;"",CZ$23&lt;&gt;""),IF(EOMONTH($CX$3+INT((DAY(EOMONTH($CX$3,0))-1)/2)+CZ$23,0)=EOMONTH($CT$3,0),CZ$26,0),0),IF(AND(CV$26&lt;&gt;"",CV$23&lt;&gt;""),IF(EOMONTH($CT$3+INT((DAY(EOMONTH($CT$3,0))-1)/2)+CV$23,0)=EOMONTH($CT$3,0),CV$26,0),0),IF(AND(CR$26&lt;&gt;"",CR$23&lt;&gt;""),IF(EOMONTH($CP$3+INT((DAY(EOMONTH($CP$3,0))-1)/2)+CR$23,0)=EOMONTH($CT$3,0),CR$26,0),0),IF(AND(CN$26&lt;&gt;"",CN$23&lt;&gt;""),IF(EOMONTH($CL$3+INT((DAY(EOMONTH($CL$3,0))-1)/2)+CN$23,0)=EOMONTH($CT$3,0),CN$26,0),0),IF(AND(CJ$26&lt;&gt;"",CJ$23&lt;&gt;""),IF(EOMONTH($CH$3+INT((DAY(EOMONTH($CH$3,0))-1)/2)+CJ$23,0)=EOMONTH($CT$3,0),CJ$26,0),0),IF(AND(CF$26&lt;&gt;"",CF$23&lt;&gt;""),IF(EOMONTH($CD$3+INT((DAY(EOMONTH($CD$3,0))-1)/2)+CF$23,0)=EOMONTH($CT$3,0),CF$26,0),0),IF(AND(CB$26&lt;&gt;"",CB$23&lt;&gt;""),IF(EOMONTH($BZ$3+INT((DAY(EOMONTH($BZ$3,0))-1)/2)+CB$23,0)=EOMONTH($CT$3,0),CB$26,0),0),IF(AND(BX$26&lt;&gt;"",BX$23&lt;&gt;""),IF(EOMONTH($BV$3+INT((DAY(EOMONTH($BV$3,0))-1)/2)+BX$23,0)=EOMONTH($CT$3,0),BX$26,0),0),IF(AND(BT$26&lt;&gt;"",BT$23&lt;&gt;""),IF(EOMONTH($BR$3+INT((DAY(EOMONTH($BR$3,0))-1)/2)+BT$23,0)=EOMONTH($CT$3,0),BT$26,0),0),IF(AND(BP$26&lt;&gt;"",BP$23&lt;&gt;""),IF(EOMONTH($BN$3+INT((DAY(EOMONTH($BN$3,0))-1)/2)+BP$23,0)=EOMONTH($CT$3,0),BP$26,0),0),IF(AND(BL$26&lt;&gt;"",BL$23&lt;&gt;""),IF(EOMONTH($BJ$3+INT((DAY(EOMONTH($BJ$3,0))-1)/2)+BL$23,0)=EOMONTH($CT$3,0),BL$26,0),0),IF(AND(BH$26&lt;&gt;"",BH$23&lt;&gt;""),IF(EOMONTH($BF$3+INT((DAY(EOMONTH($BF$3,0))-1)/2)+BH$23,0)=EOMONTH($CT$3,0),BH$26,0),0),IF(AND(BD$26&lt;&gt;"",BD$23&lt;&gt;""),IF(EOMONTH($BB$3+INT((DAY(EOMONTH($BB$3,0))-1)/2)+BD$23,0)=EOMONTH($CT$3,0),BD$26,0),0),IF(AND(AZ$26&lt;&gt;"",AZ$23&lt;&gt;""),IF(EOMONTH($AX$3+INT((DAY(EOMONTH($AX$3,0))-1)/2)+AZ$23,0)=EOMONTH($CT$3,0),AZ$26,0),0),IF(AND(AV$26&lt;&gt;"",AV$23&lt;&gt;""),IF(EOMONTH($AT$3+INT((DAY(EOMONTH($AT$3,0))-1)/2)+AV$23,0)=EOMONTH($CT$3,0),AV$26,0),0),IF(AND(AR$26&lt;&gt;"",AR$23&lt;&gt;""),IF(EOMONTH($AP$3+INT((DAY(EOMONTH($AP$3,0))-1)/2)+AR$23,0)=EOMONTH($CT$3,0),AR$26,0),0),IF(AND(AN$26&lt;&gt;"",AN$23&lt;&gt;""),IF(EOMONTH($AL$3+INT((DAY(EOMONTH($AL$3,0))-1)/2)+AN$23,0)=EOMONTH($CT$3,0),AN$26,0),0),IF(AND(AJ$26&lt;&gt;"",AJ$23&lt;&gt;""),IF(EOMONTH($AH$3+INT((DAY(EOMONTH($AH$3,0))-1)/2)+AJ$23,0)=EOMONTH($CT$3,0),AJ$26,0),0),IF(AND(AF$26&lt;&gt;"",AF$23&lt;&gt;""),IF(EOMONTH($AD$3+INT((DAY(EOMONTH($AD$3,0))-1)/2)+AF$23,0)=EOMONTH($CT$3,0),AF$26,0),0),IF(AND(AB$26&lt;&gt;"",AB$23&lt;&gt;""),IF(EOMONTH($Z$3+INT((DAY(EOMONTH($Z$3,0))-1)/2)+AB$23,0)=EOMONTH($CT$3,0),AB$26,0),0),IF(AND(X$26&lt;&gt;"",X$23&lt;&gt;""),IF(EOMONTH($V$3+INT((DAY(EOMONTH($V$3,0))-1)/2)+X$23,0)=EOMONTH($CT$3,0),X$26,0),0),IF(AND(T$26&lt;&gt;"",T$23&lt;&gt;""),IF(EOMONTH($R$3+INT((DAY(EOMONTH($R$3,0))-1)/2)+T$23,0)=EOMONTH($CT$3,0),T$26,0),0),IF(AND(P$26&lt;&gt;"",P$23&lt;&gt;""),IF(EOMONTH($N$3+INT((DAY(EOMONTH($N$3,0))-1)/2)+P$23,0)=EOMONTH($CT$3,0),P$26,0),0),IF(AND(L$26&lt;&gt;"",L$23&lt;&gt;""),IF(EOMONTH($J$3+INT((DAY(EOMONTH($J$3,0))-1)/2)+L$23,0)=EOMONTH($CT$3,0),L$26,0),0),IF(AND(H$26&lt;&gt;"",H$23&lt;&gt;""),IF(EOMONTH($F$3+INT((DAY(EOMONTH($F$3,0))-1)/2)+H$23,0)=EOMONTH($CT$3,0),H$26,0),0),IF($EP$75="",0,IF(EOMONTH($EP$75+ER$23,0)=EOMONTH($CT$3,0),$EP$78*ER$13,0))),0)</f>
        <v>96000</v>
      </c>
      <c r="CW57" s="33">
        <f t="shared" ref="CW57:CW70" si="748">IFERROR(IF(OR(CU57="",CV57=""),"",CU57-CV57),"")</f>
        <v>0</v>
      </c>
      <c r="CX57" s="34"/>
      <c r="CY57" s="31">
        <f>IF(CX$98=1,CX57,ROUND(SUM(IF(AND(EQ$26&lt;&gt;"",EQ$23&lt;&gt;""),IF(EOMONTH($EP$3+INT((DAY(EOMONTH($EP$3,0))-1)/2)+EQ$23,0)=EOMONTH($CX$3,0),EQ$26,0),0),IF(AND(EM$26&lt;&gt;"",EM$23&lt;&gt;""),IF(EOMONTH($EL$3+INT((DAY(EOMONTH($EL$3,0))-1)/2)+EM$23,0)=EOMONTH($CX$3,0),EM$26,0),0),IF(AND(EI$26&lt;&gt;"",EI$23&lt;&gt;""),IF(EOMONTH($EH$3+INT((DAY(EOMONTH($EH$3,0))-1)/2)+EI$23,0)=EOMONTH($CX$3,0),EI$26,0),0),IF(AND(EE$26&lt;&gt;"",EE$23&lt;&gt;""),IF(EOMONTH($ED$3+INT((DAY(EOMONTH($ED$3,0))-1)/2)+EE$23,0)=EOMONTH($CX$3,0),EE$26,0),0),IF(AND(EA$26&lt;&gt;"",EA$23&lt;&gt;""),IF(EOMONTH($DZ$3+INT((DAY(EOMONTH($DZ$3,0))-1)/2)+EA$23,0)=EOMONTH($CX$3,0),EA$26,0),0),IF(AND(DW$26&lt;&gt;"",DW$23&lt;&gt;""),IF(EOMONTH($DV$3+INT((DAY(EOMONTH($DV$3,0))-1)/2)+DW$23,0)=EOMONTH($CX$3,0),DW$26,0),0),IF(AND(DS$26&lt;&gt;"",DS$23&lt;&gt;""),IF(EOMONTH($DR$3+INT((DAY(EOMONTH($DR$3,0))-1)/2)+DS$23,0)=EOMONTH($CX$3,0),DS$26,0),0),IF(AND(DO$26&lt;&gt;"",DO$23&lt;&gt;""),IF(EOMONTH($DN$3+INT((DAY(EOMONTH($DN$3,0))-1)/2)+DO$23,0)=EOMONTH($CX$3,0),DO$26,0),0),IF(AND(DK$26&lt;&gt;"",DK$23&lt;&gt;""),IF(EOMONTH($DJ$3+INT((DAY(EOMONTH($DJ$3,0))-1)/2)+DK$23,0)=EOMONTH($CX$3,0),DK$26,0),0),IF(AND(DG$26&lt;&gt;"",DG$23&lt;&gt;""),IF(EOMONTH($DF$3+INT((DAY(EOMONTH($DF$3,0))-1)/2)+DG$23,0)=EOMONTH($CX$3,0),DG$26,0),0),IF(AND(DC$26&lt;&gt;"",DC$23&lt;&gt;""),IF(EOMONTH($DB$3+INT((DAY(EOMONTH($DB$3,0))-1)/2)+DC$23,0)=EOMONTH($CX$3,0),DC$26,0),0),IF(AND(CY$26&lt;&gt;"",CY$23&lt;&gt;""),IF(EOMONTH($CX$3+INT((DAY(EOMONTH($CX$3,0))-1)/2)+CY$23,0)=EOMONTH($CX$3,0),CY$26,0),0),IF(AND(CU$26&lt;&gt;"",CU$23&lt;&gt;""),IF(EOMONTH($CT$3+INT((DAY(EOMONTH($CT$3,0))-1)/2)+CU$23,0)=EOMONTH($CX$3,0),CU$26,0),0),IF(AND(CQ$26&lt;&gt;"",CQ$23&lt;&gt;""),IF(EOMONTH($CP$3+INT((DAY(EOMONTH($CP$3,0))-1)/2)+CQ$23,0)=EOMONTH($CX$3,0),CQ$26,0),0),IF(AND(CM$26&lt;&gt;"",CM$23&lt;&gt;""),IF(EOMONTH($CL$3+INT((DAY(EOMONTH($CL$3,0))-1)/2)+CM$23,0)=EOMONTH($CX$3,0),CM$26,0),0),IF(AND(CI$26&lt;&gt;"",CI$23&lt;&gt;""),IF(EOMONTH($CH$3+INT((DAY(EOMONTH($CH$3,0))-1)/2)+CI$23,0)=EOMONTH($CX$3,0),CI$26,0),0),IF(AND(CE$26&lt;&gt;"",CE$23&lt;&gt;""),IF(EOMONTH($CD$3+INT((DAY(EOMONTH($CD$3,0))-1)/2)+CE$23,0)=EOMONTH($CX$3,0),CE$26,0),0),IF(AND(CA$26&lt;&gt;"",CA$23&lt;&gt;""),IF(EOMONTH($BZ$3+INT((DAY(EOMONTH($BZ$3,0))-1)/2)+CA$23,0)=EOMONTH($CX$3,0),CA$26,0),0),IF(AND(BW$26&lt;&gt;"",BW$23&lt;&gt;""),IF(EOMONTH($BV$3+INT((DAY(EOMONTH($BV$3,0))-1)/2)+BW$23,0)=EOMONTH($CX$3,0),BW$26,0),0),IF(AND(BS$26&lt;&gt;"",BS$23&lt;&gt;""),IF(EOMONTH($BR$3+INT((DAY(EOMONTH($BR$3,0))-1)/2)+BS$23,0)=EOMONTH($CX$3,0),BS$26,0),0),IF(AND(BO$26&lt;&gt;"",BO$23&lt;&gt;""),IF(EOMONTH($BN$3+INT((DAY(EOMONTH($BN$3,0))-1)/2)+BO$23,0)=EOMONTH($CX$3,0),BO$26,0),0),IF(AND(BK$26&lt;&gt;"",BK$23&lt;&gt;""),IF(EOMONTH($BJ$3+INT((DAY(EOMONTH($BJ$3,0))-1)/2)+BK$23,0)=EOMONTH($CX$3,0),BK$26,0),0),IF(AND(BG$26&lt;&gt;"",BG$23&lt;&gt;""),IF(EOMONTH($BF$3+INT((DAY(EOMONTH($BF$3,0))-1)/2)+BG$23,0)=EOMONTH($CX$3,0),BG$26,0),0),IF(AND(BC$26&lt;&gt;"",BC$23&lt;&gt;""),IF(EOMONTH($BB$3+INT((DAY(EOMONTH($BB$3,0))-1)/2)+BC$23,0)=EOMONTH($CX$3,0),BC$26,0),0),IF(AND(AY$26&lt;&gt;"",AY$23&lt;&gt;""),IF(EOMONTH($AX$3+INT((DAY(EOMONTH($AX$3,0))-1)/2)+AY$23,0)=EOMONTH($CX$3,0),AY$26,0),0),IF(AND(AU$26&lt;&gt;"",AU$23&lt;&gt;""),IF(EOMONTH($AT$3+INT((DAY(EOMONTH($AT$3,0))-1)/2)+AU$23,0)=EOMONTH($CX$3,0),AU$26,0),0),IF(AND(AQ$26&lt;&gt;"",AQ$23&lt;&gt;""),IF(EOMONTH($AP$3+INT((DAY(EOMONTH($AP$3,0))-1)/2)+AQ$23,0)=EOMONTH($CX$3,0),AQ$26,0),0),IF(AND(AM$26&lt;&gt;"",AM$23&lt;&gt;""),IF(EOMONTH($AL$3+INT((DAY(EOMONTH($AL$3,0))-1)/2)+AM$23,0)=EOMONTH($CX$3,0),AM$26,0),0),IF(AND(AI$26&lt;&gt;"",AI$23&lt;&gt;""),IF(EOMONTH($AH$3+INT((DAY(EOMONTH($AH$3,0))-1)/2)+AI$23,0)=EOMONTH($CX$3,0),AI$26,0),0),IF(AND(AE$26&lt;&gt;"",AE$23&lt;&gt;""),IF(EOMONTH($AD$3+INT((DAY(EOMONTH($AD$3,0))-1)/2)+AE$23,0)=EOMONTH($CX$3,0),AE$26,0),0),IF(AND(AA$26&lt;&gt;"",AA$23&lt;&gt;""),IF(EOMONTH($Z$3+INT((DAY(EOMONTH($Z$3,0))-1)/2)+AA$23,0)=EOMONTH($CX$3,0),AA$26,0),0),IF(AND(W$26&lt;&gt;"",W$23&lt;&gt;""),IF(EOMONTH($V$3+INT((DAY(EOMONTH($V$3,0))-1)/2)+W$23,0)=EOMONTH($CX$3,0),W$26,0),0),IF(AND(S$26&lt;&gt;"",S$23&lt;&gt;""),IF(EOMONTH($R$3+INT((DAY(EOMONTH($R$3,0))-1)/2)+S$23,0)=EOMONTH($CX$3,0),S$26,0),0),IF(AND(O$26&lt;&gt;"",O$23&lt;&gt;""),IF(EOMONTH($N$3+INT((DAY(EOMONTH($N$3,0))-1)/2)+O$23,0)=EOMONTH($CX$3,0),O$26,0),0),IF(AND(K$26&lt;&gt;"",K$23&lt;&gt;""),IF(EOMONTH($J$3+INT((DAY(EOMONTH($J$3,0))-1)/2)+K$23,0)=EOMONTH($CX$3,0),K$26,0),0),IF(AND(G$26&lt;&gt;"",G$23&lt;&gt;""),IF(EOMONTH($F$3+INT((DAY(EOMONTH($F$3,0))-1)/2)+G$23,0)=EOMONTH($CX$3,0),G$26,0),0),IF($EP$75="",0,IF(EOMONTH($EP$75+EQ$23,0)=EOMONTH($CX$3,0),$EP$78*EQ$13,0))),0))</f>
        <v>96000</v>
      </c>
      <c r="CZ57" s="32">
        <f>ROUND(SUM(IF(AND(ER$26&lt;&gt;"",ER$23&lt;&gt;""),IF(EOMONTH($EP$3+INT((DAY(EOMONTH($EP$3,0))-1)/2)+ER$23,0)=EOMONTH($CX$3,0),ER$26,0),0),IF(AND(EN$26&lt;&gt;"",EN$23&lt;&gt;""),IF(EOMONTH($EL$3+INT((DAY(EOMONTH($EL$3,0))-1)/2)+EN$23,0)=EOMONTH($CX$3,0),EN$26,0),0),IF(AND(EJ$26&lt;&gt;"",EJ$23&lt;&gt;""),IF(EOMONTH($EH$3+INT((DAY(EOMONTH($EH$3,0))-1)/2)+EJ$23,0)=EOMONTH($CX$3,0),EJ$26,0),0),IF(AND(EF$26&lt;&gt;"",EF$23&lt;&gt;""),IF(EOMONTH($ED$3+INT((DAY(EOMONTH($ED$3,0))-1)/2)+EF$23,0)=EOMONTH($CX$3,0),EF$26,0),0),IF(AND(EB$26&lt;&gt;"",EB$23&lt;&gt;""),IF(EOMONTH($DZ$3+INT((DAY(EOMONTH($DZ$3,0))-1)/2)+EB$23,0)=EOMONTH($CX$3,0),EB$26,0),0),IF(AND(DX$26&lt;&gt;"",DX$23&lt;&gt;""),IF(EOMONTH($DV$3+INT((DAY(EOMONTH($DV$3,0))-1)/2)+DX$23,0)=EOMONTH($CX$3,0),DX$26,0),0),IF(AND(DT$26&lt;&gt;"",DT$23&lt;&gt;""),IF(EOMONTH($DR$3+INT((DAY(EOMONTH($DR$3,0))-1)/2)+DT$23,0)=EOMONTH($CX$3,0),DT$26,0),0),IF(AND(DP$26&lt;&gt;"",DP$23&lt;&gt;""),IF(EOMONTH($DN$3+INT((DAY(EOMONTH($DN$3,0))-1)/2)+DP$23,0)=EOMONTH($CX$3,0),DP$26,0),0),IF(AND(DL$26&lt;&gt;"",DL$23&lt;&gt;""),IF(EOMONTH($DJ$3+INT((DAY(EOMONTH($DJ$3,0))-1)/2)+DL$23,0)=EOMONTH($CX$3,0),DL$26,0),0),IF(AND(DH$26&lt;&gt;"",DH$23&lt;&gt;""),IF(EOMONTH($DF$3+INT((DAY(EOMONTH($DF$3,0))-1)/2)+DH$23,0)=EOMONTH($CX$3,0),DH$26,0),0),IF(AND(DD$26&lt;&gt;"",DD$23&lt;&gt;""),IF(EOMONTH($DB$3+INT((DAY(EOMONTH($DB$3,0))-1)/2)+DD$23,0)=EOMONTH($CX$3,0),DD$26,0),0),IF(AND(CZ$26&lt;&gt;"",CZ$23&lt;&gt;""),IF(EOMONTH($CX$3+INT((DAY(EOMONTH($CX$3,0))-1)/2)+CZ$23,0)=EOMONTH($CX$3,0),CZ$26,0),0),IF(AND(CV$26&lt;&gt;"",CV$23&lt;&gt;""),IF(EOMONTH($CT$3+INT((DAY(EOMONTH($CT$3,0))-1)/2)+CV$23,0)=EOMONTH($CX$3,0),CV$26,0),0),IF(AND(CR$26&lt;&gt;"",CR$23&lt;&gt;""),IF(EOMONTH($CP$3+INT((DAY(EOMONTH($CP$3,0))-1)/2)+CR$23,0)=EOMONTH($CX$3,0),CR$26,0),0),IF(AND(CN$26&lt;&gt;"",CN$23&lt;&gt;""),IF(EOMONTH($CL$3+INT((DAY(EOMONTH($CL$3,0))-1)/2)+CN$23,0)=EOMONTH($CX$3,0),CN$26,0),0),IF(AND(CJ$26&lt;&gt;"",CJ$23&lt;&gt;""),IF(EOMONTH($CH$3+INT((DAY(EOMONTH($CH$3,0))-1)/2)+CJ$23,0)=EOMONTH($CX$3,0),CJ$26,0),0),IF(AND(CF$26&lt;&gt;"",CF$23&lt;&gt;""),IF(EOMONTH($CD$3+INT((DAY(EOMONTH($CD$3,0))-1)/2)+CF$23,0)=EOMONTH($CX$3,0),CF$26,0),0),IF(AND(CB$26&lt;&gt;"",CB$23&lt;&gt;""),IF(EOMONTH($BZ$3+INT((DAY(EOMONTH($BZ$3,0))-1)/2)+CB$23,0)=EOMONTH($CX$3,0),CB$26,0),0),IF(AND(BX$26&lt;&gt;"",BX$23&lt;&gt;""),IF(EOMONTH($BV$3+INT((DAY(EOMONTH($BV$3,0))-1)/2)+BX$23,0)=EOMONTH($CX$3,0),BX$26,0),0),IF(AND(BT$26&lt;&gt;"",BT$23&lt;&gt;""),IF(EOMONTH($BR$3+INT((DAY(EOMONTH($BR$3,0))-1)/2)+BT$23,0)=EOMONTH($CX$3,0),BT$26,0),0),IF(AND(BP$26&lt;&gt;"",BP$23&lt;&gt;""),IF(EOMONTH($BN$3+INT((DAY(EOMONTH($BN$3,0))-1)/2)+BP$23,0)=EOMONTH($CX$3,0),BP$26,0),0),IF(AND(BL$26&lt;&gt;"",BL$23&lt;&gt;""),IF(EOMONTH($BJ$3+INT((DAY(EOMONTH($BJ$3,0))-1)/2)+BL$23,0)=EOMONTH($CX$3,0),BL$26,0),0),IF(AND(BH$26&lt;&gt;"",BH$23&lt;&gt;""),IF(EOMONTH($BF$3+INT((DAY(EOMONTH($BF$3,0))-1)/2)+BH$23,0)=EOMONTH($CX$3,0),BH$26,0),0),IF(AND(BD$26&lt;&gt;"",BD$23&lt;&gt;""),IF(EOMONTH($BB$3+INT((DAY(EOMONTH($BB$3,0))-1)/2)+BD$23,0)=EOMONTH($CX$3,0),BD$26,0),0),IF(AND(AZ$26&lt;&gt;"",AZ$23&lt;&gt;""),IF(EOMONTH($AX$3+INT((DAY(EOMONTH($AX$3,0))-1)/2)+AZ$23,0)=EOMONTH($CX$3,0),AZ$26,0),0),IF(AND(AV$26&lt;&gt;"",AV$23&lt;&gt;""),IF(EOMONTH($AT$3+INT((DAY(EOMONTH($AT$3,0))-1)/2)+AV$23,0)=EOMONTH($CX$3,0),AV$26,0),0),IF(AND(AR$26&lt;&gt;"",AR$23&lt;&gt;""),IF(EOMONTH($AP$3+INT((DAY(EOMONTH($AP$3,0))-1)/2)+AR$23,0)=EOMONTH($CX$3,0),AR$26,0),0),IF(AND(AN$26&lt;&gt;"",AN$23&lt;&gt;""),IF(EOMONTH($AL$3+INT((DAY(EOMONTH($AL$3,0))-1)/2)+AN$23,0)=EOMONTH($CX$3,0),AN$26,0),0),IF(AND(AJ$26&lt;&gt;"",AJ$23&lt;&gt;""),IF(EOMONTH($AH$3+INT((DAY(EOMONTH($AH$3,0))-1)/2)+AJ$23,0)=EOMONTH($CX$3,0),AJ$26,0),0),IF(AND(AF$26&lt;&gt;"",AF$23&lt;&gt;""),IF(EOMONTH($AD$3+INT((DAY(EOMONTH($AD$3,0))-1)/2)+AF$23,0)=EOMONTH($CX$3,0),AF$26,0),0),IF(AND(AB$26&lt;&gt;"",AB$23&lt;&gt;""),IF(EOMONTH($Z$3+INT((DAY(EOMONTH($Z$3,0))-1)/2)+AB$23,0)=EOMONTH($CX$3,0),AB$26,0),0),IF(AND(X$26&lt;&gt;"",X$23&lt;&gt;""),IF(EOMONTH($V$3+INT((DAY(EOMONTH($V$3,0))-1)/2)+X$23,0)=EOMONTH($CX$3,0),X$26,0),0),IF(AND(T$26&lt;&gt;"",T$23&lt;&gt;""),IF(EOMONTH($R$3+INT((DAY(EOMONTH($R$3,0))-1)/2)+T$23,0)=EOMONTH($CX$3,0),T$26,0),0),IF(AND(P$26&lt;&gt;"",P$23&lt;&gt;""),IF(EOMONTH($N$3+INT((DAY(EOMONTH($N$3,0))-1)/2)+P$23,0)=EOMONTH($CX$3,0),P$26,0),0),IF(AND(L$26&lt;&gt;"",L$23&lt;&gt;""),IF(EOMONTH($J$3+INT((DAY(EOMONTH($J$3,0))-1)/2)+L$23,0)=EOMONTH($CX$3,0),L$26,0),0),IF(AND(H$26&lt;&gt;"",H$23&lt;&gt;""),IF(EOMONTH($F$3+INT((DAY(EOMONTH($F$3,0))-1)/2)+H$23,0)=EOMONTH($CX$3,0),H$26,0),0),IF($EP$75="",0,IF(EOMONTH($EP$75+ER$23,0)=EOMONTH($CX$3,0),$EP$78*ER$13,0))),0)</f>
        <v>96000</v>
      </c>
      <c r="DA57" s="33">
        <f t="shared" ref="DA57:DA70" si="750">IFERROR(IF(OR(CY57="",CZ57=""),"",CY57-CZ57),"")</f>
        <v>0</v>
      </c>
      <c r="DB57" s="34"/>
      <c r="DC57" s="31">
        <f>IF(DB$98=1,DB57,ROUND(SUM(IF(AND(EQ$26&lt;&gt;"",EQ$23&lt;&gt;""),IF(EOMONTH($EP$3+INT((DAY(EOMONTH($EP$3,0))-1)/2)+EQ$23,0)=EOMONTH($DB$3,0),EQ$26,0),0),IF(AND(EM$26&lt;&gt;"",EM$23&lt;&gt;""),IF(EOMONTH($EL$3+INT((DAY(EOMONTH($EL$3,0))-1)/2)+EM$23,0)=EOMONTH($DB$3,0),EM$26,0),0),IF(AND(EI$26&lt;&gt;"",EI$23&lt;&gt;""),IF(EOMONTH($EH$3+INT((DAY(EOMONTH($EH$3,0))-1)/2)+EI$23,0)=EOMONTH($DB$3,0),EI$26,0),0),IF(AND(EE$26&lt;&gt;"",EE$23&lt;&gt;""),IF(EOMONTH($ED$3+INT((DAY(EOMONTH($ED$3,0))-1)/2)+EE$23,0)=EOMONTH($DB$3,0),EE$26,0),0),IF(AND(EA$26&lt;&gt;"",EA$23&lt;&gt;""),IF(EOMONTH($DZ$3+INT((DAY(EOMONTH($DZ$3,0))-1)/2)+EA$23,0)=EOMONTH($DB$3,0),EA$26,0),0),IF(AND(DW$26&lt;&gt;"",DW$23&lt;&gt;""),IF(EOMONTH($DV$3+INT((DAY(EOMONTH($DV$3,0))-1)/2)+DW$23,0)=EOMONTH($DB$3,0),DW$26,0),0),IF(AND(DS$26&lt;&gt;"",DS$23&lt;&gt;""),IF(EOMONTH($DR$3+INT((DAY(EOMONTH($DR$3,0))-1)/2)+DS$23,0)=EOMONTH($DB$3,0),DS$26,0),0),IF(AND(DO$26&lt;&gt;"",DO$23&lt;&gt;""),IF(EOMONTH($DN$3+INT((DAY(EOMONTH($DN$3,0))-1)/2)+DO$23,0)=EOMONTH($DB$3,0),DO$26,0),0),IF(AND(DK$26&lt;&gt;"",DK$23&lt;&gt;""),IF(EOMONTH($DJ$3+INT((DAY(EOMONTH($DJ$3,0))-1)/2)+DK$23,0)=EOMONTH($DB$3,0),DK$26,0),0),IF(AND(DG$26&lt;&gt;"",DG$23&lt;&gt;""),IF(EOMONTH($DF$3+INT((DAY(EOMONTH($DF$3,0))-1)/2)+DG$23,0)=EOMONTH($DB$3,0),DG$26,0),0),IF(AND(DC$26&lt;&gt;"",DC$23&lt;&gt;""),IF(EOMONTH($DB$3+INT((DAY(EOMONTH($DB$3,0))-1)/2)+DC$23,0)=EOMONTH($DB$3,0),DC$26,0),0),IF(AND(CY$26&lt;&gt;"",CY$23&lt;&gt;""),IF(EOMONTH($CX$3+INT((DAY(EOMONTH($CX$3,0))-1)/2)+CY$23,0)=EOMONTH($DB$3,0),CY$26,0),0),IF(AND(CU$26&lt;&gt;"",CU$23&lt;&gt;""),IF(EOMONTH($CT$3+INT((DAY(EOMONTH($CT$3,0))-1)/2)+CU$23,0)=EOMONTH($DB$3,0),CU$26,0),0),IF(AND(CQ$26&lt;&gt;"",CQ$23&lt;&gt;""),IF(EOMONTH($CP$3+INT((DAY(EOMONTH($CP$3,0))-1)/2)+CQ$23,0)=EOMONTH($DB$3,0),CQ$26,0),0),IF(AND(CM$26&lt;&gt;"",CM$23&lt;&gt;""),IF(EOMONTH($CL$3+INT((DAY(EOMONTH($CL$3,0))-1)/2)+CM$23,0)=EOMONTH($DB$3,0),CM$26,0),0),IF(AND(CI$26&lt;&gt;"",CI$23&lt;&gt;""),IF(EOMONTH($CH$3+INT((DAY(EOMONTH($CH$3,0))-1)/2)+CI$23,0)=EOMONTH($DB$3,0),CI$26,0),0),IF(AND(CE$26&lt;&gt;"",CE$23&lt;&gt;""),IF(EOMONTH($CD$3+INT((DAY(EOMONTH($CD$3,0))-1)/2)+CE$23,0)=EOMONTH($DB$3,0),CE$26,0),0),IF(AND(CA$26&lt;&gt;"",CA$23&lt;&gt;""),IF(EOMONTH($BZ$3+INT((DAY(EOMONTH($BZ$3,0))-1)/2)+CA$23,0)=EOMONTH($DB$3,0),CA$26,0),0),IF(AND(BW$26&lt;&gt;"",BW$23&lt;&gt;""),IF(EOMONTH($BV$3+INT((DAY(EOMONTH($BV$3,0))-1)/2)+BW$23,0)=EOMONTH($DB$3,0),BW$26,0),0),IF(AND(BS$26&lt;&gt;"",BS$23&lt;&gt;""),IF(EOMONTH($BR$3+INT((DAY(EOMONTH($BR$3,0))-1)/2)+BS$23,0)=EOMONTH($DB$3,0),BS$26,0),0),IF(AND(BO$26&lt;&gt;"",BO$23&lt;&gt;""),IF(EOMONTH($BN$3+INT((DAY(EOMONTH($BN$3,0))-1)/2)+BO$23,0)=EOMONTH($DB$3,0),BO$26,0),0),IF(AND(BK$26&lt;&gt;"",BK$23&lt;&gt;""),IF(EOMONTH($BJ$3+INT((DAY(EOMONTH($BJ$3,0))-1)/2)+BK$23,0)=EOMONTH($DB$3,0),BK$26,0),0),IF(AND(BG$26&lt;&gt;"",BG$23&lt;&gt;""),IF(EOMONTH($BF$3+INT((DAY(EOMONTH($BF$3,0))-1)/2)+BG$23,0)=EOMONTH($DB$3,0),BG$26,0),0),IF(AND(BC$26&lt;&gt;"",BC$23&lt;&gt;""),IF(EOMONTH($BB$3+INT((DAY(EOMONTH($BB$3,0))-1)/2)+BC$23,0)=EOMONTH($DB$3,0),BC$26,0),0),IF(AND(AY$26&lt;&gt;"",AY$23&lt;&gt;""),IF(EOMONTH($AX$3+INT((DAY(EOMONTH($AX$3,0))-1)/2)+AY$23,0)=EOMONTH($DB$3,0),AY$26,0),0),IF(AND(AU$26&lt;&gt;"",AU$23&lt;&gt;""),IF(EOMONTH($AT$3+INT((DAY(EOMONTH($AT$3,0))-1)/2)+AU$23,0)=EOMONTH($DB$3,0),AU$26,0),0),IF(AND(AQ$26&lt;&gt;"",AQ$23&lt;&gt;""),IF(EOMONTH($AP$3+INT((DAY(EOMONTH($AP$3,0))-1)/2)+AQ$23,0)=EOMONTH($DB$3,0),AQ$26,0),0),IF(AND(AM$26&lt;&gt;"",AM$23&lt;&gt;""),IF(EOMONTH($AL$3+INT((DAY(EOMONTH($AL$3,0))-1)/2)+AM$23,0)=EOMONTH($DB$3,0),AM$26,0),0),IF(AND(AI$26&lt;&gt;"",AI$23&lt;&gt;""),IF(EOMONTH($AH$3+INT((DAY(EOMONTH($AH$3,0))-1)/2)+AI$23,0)=EOMONTH($DB$3,0),AI$26,0),0),IF(AND(AE$26&lt;&gt;"",AE$23&lt;&gt;""),IF(EOMONTH($AD$3+INT((DAY(EOMONTH($AD$3,0))-1)/2)+AE$23,0)=EOMONTH($DB$3,0),AE$26,0),0),IF(AND(AA$26&lt;&gt;"",AA$23&lt;&gt;""),IF(EOMONTH($Z$3+INT((DAY(EOMONTH($Z$3,0))-1)/2)+AA$23,0)=EOMONTH($DB$3,0),AA$26,0),0),IF(AND(W$26&lt;&gt;"",W$23&lt;&gt;""),IF(EOMONTH($V$3+INT((DAY(EOMONTH($V$3,0))-1)/2)+W$23,0)=EOMONTH($DB$3,0),W$26,0),0),IF(AND(S$26&lt;&gt;"",S$23&lt;&gt;""),IF(EOMONTH($R$3+INT((DAY(EOMONTH($R$3,0))-1)/2)+S$23,0)=EOMONTH($DB$3,0),S$26,0),0),IF(AND(O$26&lt;&gt;"",O$23&lt;&gt;""),IF(EOMONTH($N$3+INT((DAY(EOMONTH($N$3,0))-1)/2)+O$23,0)=EOMONTH($DB$3,0),O$26,0),0),IF(AND(K$26&lt;&gt;"",K$23&lt;&gt;""),IF(EOMONTH($J$3+INT((DAY(EOMONTH($J$3,0))-1)/2)+K$23,0)=EOMONTH($DB$3,0),K$26,0),0),IF(AND(G$26&lt;&gt;"",G$23&lt;&gt;""),IF(EOMONTH($F$3+INT((DAY(EOMONTH($F$3,0))-1)/2)+G$23,0)=EOMONTH($DB$3,0),G$26,0),0),IF($EP$75="",0,IF(EOMONTH($EP$75+EQ$23,0)=EOMONTH($DB$3,0),$EP$78*EQ$13,0))),0))</f>
        <v>96000</v>
      </c>
      <c r="DD57" s="32">
        <f>ROUND(SUM(IF(AND(ER$26&lt;&gt;"",ER$23&lt;&gt;""),IF(EOMONTH($EP$3+INT((DAY(EOMONTH($EP$3,0))-1)/2)+ER$23,0)=EOMONTH($DB$3,0),ER$26,0),0),IF(AND(EN$26&lt;&gt;"",EN$23&lt;&gt;""),IF(EOMONTH($EL$3+INT((DAY(EOMONTH($EL$3,0))-1)/2)+EN$23,0)=EOMONTH($DB$3,0),EN$26,0),0),IF(AND(EJ$26&lt;&gt;"",EJ$23&lt;&gt;""),IF(EOMONTH($EH$3+INT((DAY(EOMONTH($EH$3,0))-1)/2)+EJ$23,0)=EOMONTH($DB$3,0),EJ$26,0),0),IF(AND(EF$26&lt;&gt;"",EF$23&lt;&gt;""),IF(EOMONTH($ED$3+INT((DAY(EOMONTH($ED$3,0))-1)/2)+EF$23,0)=EOMONTH($DB$3,0),EF$26,0),0),IF(AND(EB$26&lt;&gt;"",EB$23&lt;&gt;""),IF(EOMONTH($DZ$3+INT((DAY(EOMONTH($DZ$3,0))-1)/2)+EB$23,0)=EOMONTH($DB$3,0),EB$26,0),0),IF(AND(DX$26&lt;&gt;"",DX$23&lt;&gt;""),IF(EOMONTH($DV$3+INT((DAY(EOMONTH($DV$3,0))-1)/2)+DX$23,0)=EOMONTH($DB$3,0),DX$26,0),0),IF(AND(DT$26&lt;&gt;"",DT$23&lt;&gt;""),IF(EOMONTH($DR$3+INT((DAY(EOMONTH($DR$3,0))-1)/2)+DT$23,0)=EOMONTH($DB$3,0),DT$26,0),0),IF(AND(DP$26&lt;&gt;"",DP$23&lt;&gt;""),IF(EOMONTH($DN$3+INT((DAY(EOMONTH($DN$3,0))-1)/2)+DP$23,0)=EOMONTH($DB$3,0),DP$26,0),0),IF(AND(DL$26&lt;&gt;"",DL$23&lt;&gt;""),IF(EOMONTH($DJ$3+INT((DAY(EOMONTH($DJ$3,0))-1)/2)+DL$23,0)=EOMONTH($DB$3,0),DL$26,0),0),IF(AND(DH$26&lt;&gt;"",DH$23&lt;&gt;""),IF(EOMONTH($DF$3+INT((DAY(EOMONTH($DF$3,0))-1)/2)+DH$23,0)=EOMONTH($DB$3,0),DH$26,0),0),IF(AND(DD$26&lt;&gt;"",DD$23&lt;&gt;""),IF(EOMONTH($DB$3+INT((DAY(EOMONTH($DB$3,0))-1)/2)+DD$23,0)=EOMONTH($DB$3,0),DD$26,0),0),IF(AND(CZ$26&lt;&gt;"",CZ$23&lt;&gt;""),IF(EOMONTH($CX$3+INT((DAY(EOMONTH($CX$3,0))-1)/2)+CZ$23,0)=EOMONTH($DB$3,0),CZ$26,0),0),IF(AND(CV$26&lt;&gt;"",CV$23&lt;&gt;""),IF(EOMONTH($CT$3+INT((DAY(EOMONTH($CT$3,0))-1)/2)+CV$23,0)=EOMONTH($DB$3,0),CV$26,0),0),IF(AND(CR$26&lt;&gt;"",CR$23&lt;&gt;""),IF(EOMONTH($CP$3+INT((DAY(EOMONTH($CP$3,0))-1)/2)+CR$23,0)=EOMONTH($DB$3,0),CR$26,0),0),IF(AND(CN$26&lt;&gt;"",CN$23&lt;&gt;""),IF(EOMONTH($CL$3+INT((DAY(EOMONTH($CL$3,0))-1)/2)+CN$23,0)=EOMONTH($DB$3,0),CN$26,0),0),IF(AND(CJ$26&lt;&gt;"",CJ$23&lt;&gt;""),IF(EOMONTH($CH$3+INT((DAY(EOMONTH($CH$3,0))-1)/2)+CJ$23,0)=EOMONTH($DB$3,0),CJ$26,0),0),IF(AND(CF$26&lt;&gt;"",CF$23&lt;&gt;""),IF(EOMONTH($CD$3+INT((DAY(EOMONTH($CD$3,0))-1)/2)+CF$23,0)=EOMONTH($DB$3,0),CF$26,0),0),IF(AND(CB$26&lt;&gt;"",CB$23&lt;&gt;""),IF(EOMONTH($BZ$3+INT((DAY(EOMONTH($BZ$3,0))-1)/2)+CB$23,0)=EOMONTH($DB$3,0),CB$26,0),0),IF(AND(BX$26&lt;&gt;"",BX$23&lt;&gt;""),IF(EOMONTH($BV$3+INT((DAY(EOMONTH($BV$3,0))-1)/2)+BX$23,0)=EOMONTH($DB$3,0),BX$26,0),0),IF(AND(BT$26&lt;&gt;"",BT$23&lt;&gt;""),IF(EOMONTH($BR$3+INT((DAY(EOMONTH($BR$3,0))-1)/2)+BT$23,0)=EOMONTH($DB$3,0),BT$26,0),0),IF(AND(BP$26&lt;&gt;"",BP$23&lt;&gt;""),IF(EOMONTH($BN$3+INT((DAY(EOMONTH($BN$3,0))-1)/2)+BP$23,0)=EOMONTH($DB$3,0),BP$26,0),0),IF(AND(BL$26&lt;&gt;"",BL$23&lt;&gt;""),IF(EOMONTH($BJ$3+INT((DAY(EOMONTH($BJ$3,0))-1)/2)+BL$23,0)=EOMONTH($DB$3,0),BL$26,0),0),IF(AND(BH$26&lt;&gt;"",BH$23&lt;&gt;""),IF(EOMONTH($BF$3+INT((DAY(EOMONTH($BF$3,0))-1)/2)+BH$23,0)=EOMONTH($DB$3,0),BH$26,0),0),IF(AND(BD$26&lt;&gt;"",BD$23&lt;&gt;""),IF(EOMONTH($BB$3+INT((DAY(EOMONTH($BB$3,0))-1)/2)+BD$23,0)=EOMONTH($DB$3,0),BD$26,0),0),IF(AND(AZ$26&lt;&gt;"",AZ$23&lt;&gt;""),IF(EOMONTH($AX$3+INT((DAY(EOMONTH($AX$3,0))-1)/2)+AZ$23,0)=EOMONTH($DB$3,0),AZ$26,0),0),IF(AND(AV$26&lt;&gt;"",AV$23&lt;&gt;""),IF(EOMONTH($AT$3+INT((DAY(EOMONTH($AT$3,0))-1)/2)+AV$23,0)=EOMONTH($DB$3,0),AV$26,0),0),IF(AND(AR$26&lt;&gt;"",AR$23&lt;&gt;""),IF(EOMONTH($AP$3+INT((DAY(EOMONTH($AP$3,0))-1)/2)+AR$23,0)=EOMONTH($DB$3,0),AR$26,0),0),IF(AND(AN$26&lt;&gt;"",AN$23&lt;&gt;""),IF(EOMONTH($AL$3+INT((DAY(EOMONTH($AL$3,0))-1)/2)+AN$23,0)=EOMONTH($DB$3,0),AN$26,0),0),IF(AND(AJ$26&lt;&gt;"",AJ$23&lt;&gt;""),IF(EOMONTH($AH$3+INT((DAY(EOMONTH($AH$3,0))-1)/2)+AJ$23,0)=EOMONTH($DB$3,0),AJ$26,0),0),IF(AND(AF$26&lt;&gt;"",AF$23&lt;&gt;""),IF(EOMONTH($AD$3+INT((DAY(EOMONTH($AD$3,0))-1)/2)+AF$23,0)=EOMONTH($DB$3,0),AF$26,0),0),IF(AND(AB$26&lt;&gt;"",AB$23&lt;&gt;""),IF(EOMONTH($Z$3+INT((DAY(EOMONTH($Z$3,0))-1)/2)+AB$23,0)=EOMONTH($DB$3,0),AB$26,0),0),IF(AND(X$26&lt;&gt;"",X$23&lt;&gt;""),IF(EOMONTH($V$3+INT((DAY(EOMONTH($V$3,0))-1)/2)+X$23,0)=EOMONTH($DB$3,0),X$26,0),0),IF(AND(T$26&lt;&gt;"",T$23&lt;&gt;""),IF(EOMONTH($R$3+INT((DAY(EOMONTH($R$3,0))-1)/2)+T$23,0)=EOMONTH($DB$3,0),T$26,0),0),IF(AND(P$26&lt;&gt;"",P$23&lt;&gt;""),IF(EOMONTH($N$3+INT((DAY(EOMONTH($N$3,0))-1)/2)+P$23,0)=EOMONTH($DB$3,0),P$26,0),0),IF(AND(L$26&lt;&gt;"",L$23&lt;&gt;""),IF(EOMONTH($J$3+INT((DAY(EOMONTH($J$3,0))-1)/2)+L$23,0)=EOMONTH($DB$3,0),L$26,0),0),IF(AND(H$26&lt;&gt;"",H$23&lt;&gt;""),IF(EOMONTH($F$3+INT((DAY(EOMONTH($F$3,0))-1)/2)+H$23,0)=EOMONTH($DB$3,0),H$26,0),0),IF($EP$75="",0,IF(EOMONTH($EP$75+ER$23,0)=EOMONTH($DB$3,0),$EP$78*ER$13,0))),0)</f>
        <v>96000</v>
      </c>
      <c r="DE57" s="33">
        <f t="shared" ref="DE57:DE70" si="752">IFERROR(IF(OR(DC57="",DD57=""),"",DC57-DD57),"")</f>
        <v>0</v>
      </c>
      <c r="DF57" s="34"/>
      <c r="DG57" s="31">
        <f>IF(DF$98=1,DF57,ROUND(SUM(IF(AND(EQ$26&lt;&gt;"",EQ$23&lt;&gt;""),IF(EOMONTH($EP$3+INT((DAY(EOMONTH($EP$3,0))-1)/2)+EQ$23,0)=EOMONTH($DF$3,0),EQ$26,0),0),IF(AND(EM$26&lt;&gt;"",EM$23&lt;&gt;""),IF(EOMONTH($EL$3+INT((DAY(EOMONTH($EL$3,0))-1)/2)+EM$23,0)=EOMONTH($DF$3,0),EM$26,0),0),IF(AND(EI$26&lt;&gt;"",EI$23&lt;&gt;""),IF(EOMONTH($EH$3+INT((DAY(EOMONTH($EH$3,0))-1)/2)+EI$23,0)=EOMONTH($DF$3,0),EI$26,0),0),IF(AND(EE$26&lt;&gt;"",EE$23&lt;&gt;""),IF(EOMONTH($ED$3+INT((DAY(EOMONTH($ED$3,0))-1)/2)+EE$23,0)=EOMONTH($DF$3,0),EE$26,0),0),IF(AND(EA$26&lt;&gt;"",EA$23&lt;&gt;""),IF(EOMONTH($DZ$3+INT((DAY(EOMONTH($DZ$3,0))-1)/2)+EA$23,0)=EOMONTH($DF$3,0),EA$26,0),0),IF(AND(DW$26&lt;&gt;"",DW$23&lt;&gt;""),IF(EOMONTH($DV$3+INT((DAY(EOMONTH($DV$3,0))-1)/2)+DW$23,0)=EOMONTH($DF$3,0),DW$26,0),0),IF(AND(DS$26&lt;&gt;"",DS$23&lt;&gt;""),IF(EOMONTH($DR$3+INT((DAY(EOMONTH($DR$3,0))-1)/2)+DS$23,0)=EOMONTH($DF$3,0),DS$26,0),0),IF(AND(DO$26&lt;&gt;"",DO$23&lt;&gt;""),IF(EOMONTH($DN$3+INT((DAY(EOMONTH($DN$3,0))-1)/2)+DO$23,0)=EOMONTH($DF$3,0),DO$26,0),0),IF(AND(DK$26&lt;&gt;"",DK$23&lt;&gt;""),IF(EOMONTH($DJ$3+INT((DAY(EOMONTH($DJ$3,0))-1)/2)+DK$23,0)=EOMONTH($DF$3,0),DK$26,0),0),IF(AND(DG$26&lt;&gt;"",DG$23&lt;&gt;""),IF(EOMONTH($DF$3+INT((DAY(EOMONTH($DF$3,0))-1)/2)+DG$23,0)=EOMONTH($DF$3,0),DG$26,0),0),IF(AND(DC$26&lt;&gt;"",DC$23&lt;&gt;""),IF(EOMONTH($DB$3+INT((DAY(EOMONTH($DB$3,0))-1)/2)+DC$23,0)=EOMONTH($DF$3,0),DC$26,0),0),IF(AND(CY$26&lt;&gt;"",CY$23&lt;&gt;""),IF(EOMONTH($CX$3+INT((DAY(EOMONTH($CX$3,0))-1)/2)+CY$23,0)=EOMONTH($DF$3,0),CY$26,0),0),IF(AND(CU$26&lt;&gt;"",CU$23&lt;&gt;""),IF(EOMONTH($CT$3+INT((DAY(EOMONTH($CT$3,0))-1)/2)+CU$23,0)=EOMONTH($DF$3,0),CU$26,0),0),IF(AND(CQ$26&lt;&gt;"",CQ$23&lt;&gt;""),IF(EOMONTH($CP$3+INT((DAY(EOMONTH($CP$3,0))-1)/2)+CQ$23,0)=EOMONTH($DF$3,0),CQ$26,0),0),IF(AND(CM$26&lt;&gt;"",CM$23&lt;&gt;""),IF(EOMONTH($CL$3+INT((DAY(EOMONTH($CL$3,0))-1)/2)+CM$23,0)=EOMONTH($DF$3,0),CM$26,0),0),IF(AND(CI$26&lt;&gt;"",CI$23&lt;&gt;""),IF(EOMONTH($CH$3+INT((DAY(EOMONTH($CH$3,0))-1)/2)+CI$23,0)=EOMONTH($DF$3,0),CI$26,0),0),IF(AND(CE$26&lt;&gt;"",CE$23&lt;&gt;""),IF(EOMONTH($CD$3+INT((DAY(EOMONTH($CD$3,0))-1)/2)+CE$23,0)=EOMONTH($DF$3,0),CE$26,0),0),IF(AND(CA$26&lt;&gt;"",CA$23&lt;&gt;""),IF(EOMONTH($BZ$3+INT((DAY(EOMONTH($BZ$3,0))-1)/2)+CA$23,0)=EOMONTH($DF$3,0),CA$26,0),0),IF(AND(BW$26&lt;&gt;"",BW$23&lt;&gt;""),IF(EOMONTH($BV$3+INT((DAY(EOMONTH($BV$3,0))-1)/2)+BW$23,0)=EOMONTH($DF$3,0),BW$26,0),0),IF(AND(BS$26&lt;&gt;"",BS$23&lt;&gt;""),IF(EOMONTH($BR$3+INT((DAY(EOMONTH($BR$3,0))-1)/2)+BS$23,0)=EOMONTH($DF$3,0),BS$26,0),0),IF(AND(BO$26&lt;&gt;"",BO$23&lt;&gt;""),IF(EOMONTH($BN$3+INT((DAY(EOMONTH($BN$3,0))-1)/2)+BO$23,0)=EOMONTH($DF$3,0),BO$26,0),0),IF(AND(BK$26&lt;&gt;"",BK$23&lt;&gt;""),IF(EOMONTH($BJ$3+INT((DAY(EOMONTH($BJ$3,0))-1)/2)+BK$23,0)=EOMONTH($DF$3,0),BK$26,0),0),IF(AND(BG$26&lt;&gt;"",BG$23&lt;&gt;""),IF(EOMONTH($BF$3+INT((DAY(EOMONTH($BF$3,0))-1)/2)+BG$23,0)=EOMONTH($DF$3,0),BG$26,0),0),IF(AND(BC$26&lt;&gt;"",BC$23&lt;&gt;""),IF(EOMONTH($BB$3+INT((DAY(EOMONTH($BB$3,0))-1)/2)+BC$23,0)=EOMONTH($DF$3,0),BC$26,0),0),IF(AND(AY$26&lt;&gt;"",AY$23&lt;&gt;""),IF(EOMONTH($AX$3+INT((DAY(EOMONTH($AX$3,0))-1)/2)+AY$23,0)=EOMONTH($DF$3,0),AY$26,0),0),IF(AND(AU$26&lt;&gt;"",AU$23&lt;&gt;""),IF(EOMONTH($AT$3+INT((DAY(EOMONTH($AT$3,0))-1)/2)+AU$23,0)=EOMONTH($DF$3,0),AU$26,0),0),IF(AND(AQ$26&lt;&gt;"",AQ$23&lt;&gt;""),IF(EOMONTH($AP$3+INT((DAY(EOMONTH($AP$3,0))-1)/2)+AQ$23,0)=EOMONTH($DF$3,0),AQ$26,0),0),IF(AND(AM$26&lt;&gt;"",AM$23&lt;&gt;""),IF(EOMONTH($AL$3+INT((DAY(EOMONTH($AL$3,0))-1)/2)+AM$23,0)=EOMONTH($DF$3,0),AM$26,0),0),IF(AND(AI$26&lt;&gt;"",AI$23&lt;&gt;""),IF(EOMONTH($AH$3+INT((DAY(EOMONTH($AH$3,0))-1)/2)+AI$23,0)=EOMONTH($DF$3,0),AI$26,0),0),IF(AND(AE$26&lt;&gt;"",AE$23&lt;&gt;""),IF(EOMONTH($AD$3+INT((DAY(EOMONTH($AD$3,0))-1)/2)+AE$23,0)=EOMONTH($DF$3,0),AE$26,0),0),IF(AND(AA$26&lt;&gt;"",AA$23&lt;&gt;""),IF(EOMONTH($Z$3+INT((DAY(EOMONTH($Z$3,0))-1)/2)+AA$23,0)=EOMONTH($DF$3,0),AA$26,0),0),IF(AND(W$26&lt;&gt;"",W$23&lt;&gt;""),IF(EOMONTH($V$3+INT((DAY(EOMONTH($V$3,0))-1)/2)+W$23,0)=EOMONTH($DF$3,0),W$26,0),0),IF(AND(S$26&lt;&gt;"",S$23&lt;&gt;""),IF(EOMONTH($R$3+INT((DAY(EOMONTH($R$3,0))-1)/2)+S$23,0)=EOMONTH($DF$3,0),S$26,0),0),IF(AND(O$26&lt;&gt;"",O$23&lt;&gt;""),IF(EOMONTH($N$3+INT((DAY(EOMONTH($N$3,0))-1)/2)+O$23,0)=EOMONTH($DF$3,0),O$26,0),0),IF(AND(K$26&lt;&gt;"",K$23&lt;&gt;""),IF(EOMONTH($J$3+INT((DAY(EOMONTH($J$3,0))-1)/2)+K$23,0)=EOMONTH($DF$3,0),K$26,0),0),IF(AND(G$26&lt;&gt;"",G$23&lt;&gt;""),IF(EOMONTH($F$3+INT((DAY(EOMONTH($F$3,0))-1)/2)+G$23,0)=EOMONTH($DF$3,0),G$26,0),0),IF($EP$75="",0,IF(EOMONTH($EP$75+EQ$23,0)=EOMONTH($DF$3,0),$EP$78*EQ$13,0))),0))</f>
        <v>96000</v>
      </c>
      <c r="DH57" s="32">
        <f>ROUND(SUM(IF(AND(ER$26&lt;&gt;"",ER$23&lt;&gt;""),IF(EOMONTH($EP$3+INT((DAY(EOMONTH($EP$3,0))-1)/2)+ER$23,0)=EOMONTH($DF$3,0),ER$26,0),0),IF(AND(EN$26&lt;&gt;"",EN$23&lt;&gt;""),IF(EOMONTH($EL$3+INT((DAY(EOMONTH($EL$3,0))-1)/2)+EN$23,0)=EOMONTH($DF$3,0),EN$26,0),0),IF(AND(EJ$26&lt;&gt;"",EJ$23&lt;&gt;""),IF(EOMONTH($EH$3+INT((DAY(EOMONTH($EH$3,0))-1)/2)+EJ$23,0)=EOMONTH($DF$3,0),EJ$26,0),0),IF(AND(EF$26&lt;&gt;"",EF$23&lt;&gt;""),IF(EOMONTH($ED$3+INT((DAY(EOMONTH($ED$3,0))-1)/2)+EF$23,0)=EOMONTH($DF$3,0),EF$26,0),0),IF(AND(EB$26&lt;&gt;"",EB$23&lt;&gt;""),IF(EOMONTH($DZ$3+INT((DAY(EOMONTH($DZ$3,0))-1)/2)+EB$23,0)=EOMONTH($DF$3,0),EB$26,0),0),IF(AND(DX$26&lt;&gt;"",DX$23&lt;&gt;""),IF(EOMONTH($DV$3+INT((DAY(EOMONTH($DV$3,0))-1)/2)+DX$23,0)=EOMONTH($DF$3,0),DX$26,0),0),IF(AND(DT$26&lt;&gt;"",DT$23&lt;&gt;""),IF(EOMONTH($DR$3+INT((DAY(EOMONTH($DR$3,0))-1)/2)+DT$23,0)=EOMONTH($DF$3,0),DT$26,0),0),IF(AND(DP$26&lt;&gt;"",DP$23&lt;&gt;""),IF(EOMONTH($DN$3+INT((DAY(EOMONTH($DN$3,0))-1)/2)+DP$23,0)=EOMONTH($DF$3,0),DP$26,0),0),IF(AND(DL$26&lt;&gt;"",DL$23&lt;&gt;""),IF(EOMONTH($DJ$3+INT((DAY(EOMONTH($DJ$3,0))-1)/2)+DL$23,0)=EOMONTH($DF$3,0),DL$26,0),0),IF(AND(DH$26&lt;&gt;"",DH$23&lt;&gt;""),IF(EOMONTH($DF$3+INT((DAY(EOMONTH($DF$3,0))-1)/2)+DH$23,0)=EOMONTH($DF$3,0),DH$26,0),0),IF(AND(DD$26&lt;&gt;"",DD$23&lt;&gt;""),IF(EOMONTH($DB$3+INT((DAY(EOMONTH($DB$3,0))-1)/2)+DD$23,0)=EOMONTH($DF$3,0),DD$26,0),0),IF(AND(CZ$26&lt;&gt;"",CZ$23&lt;&gt;""),IF(EOMONTH($CX$3+INT((DAY(EOMONTH($CX$3,0))-1)/2)+CZ$23,0)=EOMONTH($DF$3,0),CZ$26,0),0),IF(AND(CV$26&lt;&gt;"",CV$23&lt;&gt;""),IF(EOMONTH($CT$3+INT((DAY(EOMONTH($CT$3,0))-1)/2)+CV$23,0)=EOMONTH($DF$3,0),CV$26,0),0),IF(AND(CR$26&lt;&gt;"",CR$23&lt;&gt;""),IF(EOMONTH($CP$3+INT((DAY(EOMONTH($CP$3,0))-1)/2)+CR$23,0)=EOMONTH($DF$3,0),CR$26,0),0),IF(AND(CN$26&lt;&gt;"",CN$23&lt;&gt;""),IF(EOMONTH($CL$3+INT((DAY(EOMONTH($CL$3,0))-1)/2)+CN$23,0)=EOMONTH($DF$3,0),CN$26,0),0),IF(AND(CJ$26&lt;&gt;"",CJ$23&lt;&gt;""),IF(EOMONTH($CH$3+INT((DAY(EOMONTH($CH$3,0))-1)/2)+CJ$23,0)=EOMONTH($DF$3,0),CJ$26,0),0),IF(AND(CF$26&lt;&gt;"",CF$23&lt;&gt;""),IF(EOMONTH($CD$3+INT((DAY(EOMONTH($CD$3,0))-1)/2)+CF$23,0)=EOMONTH($DF$3,0),CF$26,0),0),IF(AND(CB$26&lt;&gt;"",CB$23&lt;&gt;""),IF(EOMONTH($BZ$3+INT((DAY(EOMONTH($BZ$3,0))-1)/2)+CB$23,0)=EOMONTH($DF$3,0),CB$26,0),0),IF(AND(BX$26&lt;&gt;"",BX$23&lt;&gt;""),IF(EOMONTH($BV$3+INT((DAY(EOMONTH($BV$3,0))-1)/2)+BX$23,0)=EOMONTH($DF$3,0),BX$26,0),0),IF(AND(BT$26&lt;&gt;"",BT$23&lt;&gt;""),IF(EOMONTH($BR$3+INT((DAY(EOMONTH($BR$3,0))-1)/2)+BT$23,0)=EOMONTH($DF$3,0),BT$26,0),0),IF(AND(BP$26&lt;&gt;"",BP$23&lt;&gt;""),IF(EOMONTH($BN$3+INT((DAY(EOMONTH($BN$3,0))-1)/2)+BP$23,0)=EOMONTH($DF$3,0),BP$26,0),0),IF(AND(BL$26&lt;&gt;"",BL$23&lt;&gt;""),IF(EOMONTH($BJ$3+INT((DAY(EOMONTH($BJ$3,0))-1)/2)+BL$23,0)=EOMONTH($DF$3,0),BL$26,0),0),IF(AND(BH$26&lt;&gt;"",BH$23&lt;&gt;""),IF(EOMONTH($BF$3+INT((DAY(EOMONTH($BF$3,0))-1)/2)+BH$23,0)=EOMONTH($DF$3,0),BH$26,0),0),IF(AND(BD$26&lt;&gt;"",BD$23&lt;&gt;""),IF(EOMONTH($BB$3+INT((DAY(EOMONTH($BB$3,0))-1)/2)+BD$23,0)=EOMONTH($DF$3,0),BD$26,0),0),IF(AND(AZ$26&lt;&gt;"",AZ$23&lt;&gt;""),IF(EOMONTH($AX$3+INT((DAY(EOMONTH($AX$3,0))-1)/2)+AZ$23,0)=EOMONTH($DF$3,0),AZ$26,0),0),IF(AND(AV$26&lt;&gt;"",AV$23&lt;&gt;""),IF(EOMONTH($AT$3+INT((DAY(EOMONTH($AT$3,0))-1)/2)+AV$23,0)=EOMONTH($DF$3,0),AV$26,0),0),IF(AND(AR$26&lt;&gt;"",AR$23&lt;&gt;""),IF(EOMONTH($AP$3+INT((DAY(EOMONTH($AP$3,0))-1)/2)+AR$23,0)=EOMONTH($DF$3,0),AR$26,0),0),IF(AND(AN$26&lt;&gt;"",AN$23&lt;&gt;""),IF(EOMONTH($AL$3+INT((DAY(EOMONTH($AL$3,0))-1)/2)+AN$23,0)=EOMONTH($DF$3,0),AN$26,0),0),IF(AND(AJ$26&lt;&gt;"",AJ$23&lt;&gt;""),IF(EOMONTH($AH$3+INT((DAY(EOMONTH($AH$3,0))-1)/2)+AJ$23,0)=EOMONTH($DF$3,0),AJ$26,0),0),IF(AND(AF$26&lt;&gt;"",AF$23&lt;&gt;""),IF(EOMONTH($AD$3+INT((DAY(EOMONTH($AD$3,0))-1)/2)+AF$23,0)=EOMONTH($DF$3,0),AF$26,0),0),IF(AND(AB$26&lt;&gt;"",AB$23&lt;&gt;""),IF(EOMONTH($Z$3+INT((DAY(EOMONTH($Z$3,0))-1)/2)+AB$23,0)=EOMONTH($DF$3,0),AB$26,0),0),IF(AND(X$26&lt;&gt;"",X$23&lt;&gt;""),IF(EOMONTH($V$3+INT((DAY(EOMONTH($V$3,0))-1)/2)+X$23,0)=EOMONTH($DF$3,0),X$26,0),0),IF(AND(T$26&lt;&gt;"",T$23&lt;&gt;""),IF(EOMONTH($R$3+INT((DAY(EOMONTH($R$3,0))-1)/2)+T$23,0)=EOMONTH($DF$3,0),T$26,0),0),IF(AND(P$26&lt;&gt;"",P$23&lt;&gt;""),IF(EOMONTH($N$3+INT((DAY(EOMONTH($N$3,0))-1)/2)+P$23,0)=EOMONTH($DF$3,0),P$26,0),0),IF(AND(L$26&lt;&gt;"",L$23&lt;&gt;""),IF(EOMONTH($J$3+INT((DAY(EOMONTH($J$3,0))-1)/2)+L$23,0)=EOMONTH($DF$3,0),L$26,0),0),IF(AND(H$26&lt;&gt;"",H$23&lt;&gt;""),IF(EOMONTH($F$3+INT((DAY(EOMONTH($F$3,0))-1)/2)+H$23,0)=EOMONTH($DF$3,0),H$26,0),0),IF($EP$75="",0,IF(EOMONTH($EP$75+ER$23,0)=EOMONTH($DF$3,0),$EP$78*ER$13,0))),0)</f>
        <v>96000</v>
      </c>
      <c r="DI57" s="33">
        <f t="shared" ref="DI57:DI70" si="754">IFERROR(IF(OR(DG57="",DH57=""),"",DG57-DH57),"")</f>
        <v>0</v>
      </c>
      <c r="DJ57" s="34"/>
      <c r="DK57" s="31">
        <f>IF(DJ$98=1,DJ57,ROUND(SUM(IF(AND(EQ$26&lt;&gt;"",EQ$23&lt;&gt;""),IF(EOMONTH($EP$3+INT((DAY(EOMONTH($EP$3,0))-1)/2)+EQ$23,0)=EOMONTH($DJ$3,0),EQ$26,0),0),IF(AND(EM$26&lt;&gt;"",EM$23&lt;&gt;""),IF(EOMONTH($EL$3+INT((DAY(EOMONTH($EL$3,0))-1)/2)+EM$23,0)=EOMONTH($DJ$3,0),EM$26,0),0),IF(AND(EI$26&lt;&gt;"",EI$23&lt;&gt;""),IF(EOMONTH($EH$3+INT((DAY(EOMONTH($EH$3,0))-1)/2)+EI$23,0)=EOMONTH($DJ$3,0),EI$26,0),0),IF(AND(EE$26&lt;&gt;"",EE$23&lt;&gt;""),IF(EOMONTH($ED$3+INT((DAY(EOMONTH($ED$3,0))-1)/2)+EE$23,0)=EOMONTH($DJ$3,0),EE$26,0),0),IF(AND(EA$26&lt;&gt;"",EA$23&lt;&gt;""),IF(EOMONTH($DZ$3+INT((DAY(EOMONTH($DZ$3,0))-1)/2)+EA$23,0)=EOMONTH($DJ$3,0),EA$26,0),0),IF(AND(DW$26&lt;&gt;"",DW$23&lt;&gt;""),IF(EOMONTH($DV$3+INT((DAY(EOMONTH($DV$3,0))-1)/2)+DW$23,0)=EOMONTH($DJ$3,0),DW$26,0),0),IF(AND(DS$26&lt;&gt;"",DS$23&lt;&gt;""),IF(EOMONTH($DR$3+INT((DAY(EOMONTH($DR$3,0))-1)/2)+DS$23,0)=EOMONTH($DJ$3,0),DS$26,0),0),IF(AND(DO$26&lt;&gt;"",DO$23&lt;&gt;""),IF(EOMONTH($DN$3+INT((DAY(EOMONTH($DN$3,0))-1)/2)+DO$23,0)=EOMONTH($DJ$3,0),DO$26,0),0),IF(AND(DK$26&lt;&gt;"",DK$23&lt;&gt;""),IF(EOMONTH($DJ$3+INT((DAY(EOMONTH($DJ$3,0))-1)/2)+DK$23,0)=EOMONTH($DJ$3,0),DK$26,0),0),IF(AND(DG$26&lt;&gt;"",DG$23&lt;&gt;""),IF(EOMONTH($DF$3+INT((DAY(EOMONTH($DF$3,0))-1)/2)+DG$23,0)=EOMONTH($DJ$3,0),DG$26,0),0),IF(AND(DC$26&lt;&gt;"",DC$23&lt;&gt;""),IF(EOMONTH($DB$3+INT((DAY(EOMONTH($DB$3,0))-1)/2)+DC$23,0)=EOMONTH($DJ$3,0),DC$26,0),0),IF(AND(CY$26&lt;&gt;"",CY$23&lt;&gt;""),IF(EOMONTH($CX$3+INT((DAY(EOMONTH($CX$3,0))-1)/2)+CY$23,0)=EOMONTH($DJ$3,0),CY$26,0),0),IF(AND(CU$26&lt;&gt;"",CU$23&lt;&gt;""),IF(EOMONTH($CT$3+INT((DAY(EOMONTH($CT$3,0))-1)/2)+CU$23,0)=EOMONTH($DJ$3,0),CU$26,0),0),IF(AND(CQ$26&lt;&gt;"",CQ$23&lt;&gt;""),IF(EOMONTH($CP$3+INT((DAY(EOMONTH($CP$3,0))-1)/2)+CQ$23,0)=EOMONTH($DJ$3,0),CQ$26,0),0),IF(AND(CM$26&lt;&gt;"",CM$23&lt;&gt;""),IF(EOMONTH($CL$3+INT((DAY(EOMONTH($CL$3,0))-1)/2)+CM$23,0)=EOMONTH($DJ$3,0),CM$26,0),0),IF(AND(CI$26&lt;&gt;"",CI$23&lt;&gt;""),IF(EOMONTH($CH$3+INT((DAY(EOMONTH($CH$3,0))-1)/2)+CI$23,0)=EOMONTH($DJ$3,0),CI$26,0),0),IF(AND(CE$26&lt;&gt;"",CE$23&lt;&gt;""),IF(EOMONTH($CD$3+INT((DAY(EOMONTH($CD$3,0))-1)/2)+CE$23,0)=EOMONTH($DJ$3,0),CE$26,0),0),IF(AND(CA$26&lt;&gt;"",CA$23&lt;&gt;""),IF(EOMONTH($BZ$3+INT((DAY(EOMONTH($BZ$3,0))-1)/2)+CA$23,0)=EOMONTH($DJ$3,0),CA$26,0),0),IF(AND(BW$26&lt;&gt;"",BW$23&lt;&gt;""),IF(EOMONTH($BV$3+INT((DAY(EOMONTH($BV$3,0))-1)/2)+BW$23,0)=EOMONTH($DJ$3,0),BW$26,0),0),IF(AND(BS$26&lt;&gt;"",BS$23&lt;&gt;""),IF(EOMONTH($BR$3+INT((DAY(EOMONTH($BR$3,0))-1)/2)+BS$23,0)=EOMONTH($DJ$3,0),BS$26,0),0),IF(AND(BO$26&lt;&gt;"",BO$23&lt;&gt;""),IF(EOMONTH($BN$3+INT((DAY(EOMONTH($BN$3,0))-1)/2)+BO$23,0)=EOMONTH($DJ$3,0),BO$26,0),0),IF(AND(BK$26&lt;&gt;"",BK$23&lt;&gt;""),IF(EOMONTH($BJ$3+INT((DAY(EOMONTH($BJ$3,0))-1)/2)+BK$23,0)=EOMONTH($DJ$3,0),BK$26,0),0),IF(AND(BG$26&lt;&gt;"",BG$23&lt;&gt;""),IF(EOMONTH($BF$3+INT((DAY(EOMONTH($BF$3,0))-1)/2)+BG$23,0)=EOMONTH($DJ$3,0),BG$26,0),0),IF(AND(BC$26&lt;&gt;"",BC$23&lt;&gt;""),IF(EOMONTH($BB$3+INT((DAY(EOMONTH($BB$3,0))-1)/2)+BC$23,0)=EOMONTH($DJ$3,0),BC$26,0),0),IF(AND(AY$26&lt;&gt;"",AY$23&lt;&gt;""),IF(EOMONTH($AX$3+INT((DAY(EOMONTH($AX$3,0))-1)/2)+AY$23,0)=EOMONTH($DJ$3,0),AY$26,0),0),IF(AND(AU$26&lt;&gt;"",AU$23&lt;&gt;""),IF(EOMONTH($AT$3+INT((DAY(EOMONTH($AT$3,0))-1)/2)+AU$23,0)=EOMONTH($DJ$3,0),AU$26,0),0),IF(AND(AQ$26&lt;&gt;"",AQ$23&lt;&gt;""),IF(EOMONTH($AP$3+INT((DAY(EOMONTH($AP$3,0))-1)/2)+AQ$23,0)=EOMONTH($DJ$3,0),AQ$26,0),0),IF(AND(AM$26&lt;&gt;"",AM$23&lt;&gt;""),IF(EOMONTH($AL$3+INT((DAY(EOMONTH($AL$3,0))-1)/2)+AM$23,0)=EOMONTH($DJ$3,0),AM$26,0),0),IF(AND(AI$26&lt;&gt;"",AI$23&lt;&gt;""),IF(EOMONTH($AH$3+INT((DAY(EOMONTH($AH$3,0))-1)/2)+AI$23,0)=EOMONTH($DJ$3,0),AI$26,0),0),IF(AND(AE$26&lt;&gt;"",AE$23&lt;&gt;""),IF(EOMONTH($AD$3+INT((DAY(EOMONTH($AD$3,0))-1)/2)+AE$23,0)=EOMONTH($DJ$3,0),AE$26,0),0),IF(AND(AA$26&lt;&gt;"",AA$23&lt;&gt;""),IF(EOMONTH($Z$3+INT((DAY(EOMONTH($Z$3,0))-1)/2)+AA$23,0)=EOMONTH($DJ$3,0),AA$26,0),0),IF(AND(W$26&lt;&gt;"",W$23&lt;&gt;""),IF(EOMONTH($V$3+INT((DAY(EOMONTH($V$3,0))-1)/2)+W$23,0)=EOMONTH($DJ$3,0),W$26,0),0),IF(AND(S$26&lt;&gt;"",S$23&lt;&gt;""),IF(EOMONTH($R$3+INT((DAY(EOMONTH($R$3,0))-1)/2)+S$23,0)=EOMONTH($DJ$3,0),S$26,0),0),IF(AND(O$26&lt;&gt;"",O$23&lt;&gt;""),IF(EOMONTH($N$3+INT((DAY(EOMONTH($N$3,0))-1)/2)+O$23,0)=EOMONTH($DJ$3,0),O$26,0),0),IF(AND(K$26&lt;&gt;"",K$23&lt;&gt;""),IF(EOMONTH($J$3+INT((DAY(EOMONTH($J$3,0))-1)/2)+K$23,0)=EOMONTH($DJ$3,0),K$26,0),0),IF(AND(G$26&lt;&gt;"",G$23&lt;&gt;""),IF(EOMONTH($F$3+INT((DAY(EOMONTH($F$3,0))-1)/2)+G$23,0)=EOMONTH($DJ$3,0),G$26,0),0),IF($EP$75="",0,IF(EOMONTH($EP$75+EQ$23,0)=EOMONTH($DJ$3,0),$EP$78*EQ$13,0))),0))</f>
        <v>88000</v>
      </c>
      <c r="DL57" s="32">
        <f>ROUND(SUM(IF(AND(ER$26&lt;&gt;"",ER$23&lt;&gt;""),IF(EOMONTH($EP$3+INT((DAY(EOMONTH($EP$3,0))-1)/2)+ER$23,0)=EOMONTH($DJ$3,0),ER$26,0),0),IF(AND(EN$26&lt;&gt;"",EN$23&lt;&gt;""),IF(EOMONTH($EL$3+INT((DAY(EOMONTH($EL$3,0))-1)/2)+EN$23,0)=EOMONTH($DJ$3,0),EN$26,0),0),IF(AND(EJ$26&lt;&gt;"",EJ$23&lt;&gt;""),IF(EOMONTH($EH$3+INT((DAY(EOMONTH($EH$3,0))-1)/2)+EJ$23,0)=EOMONTH($DJ$3,0),EJ$26,0),0),IF(AND(EF$26&lt;&gt;"",EF$23&lt;&gt;""),IF(EOMONTH($ED$3+INT((DAY(EOMONTH($ED$3,0))-1)/2)+EF$23,0)=EOMONTH($DJ$3,0),EF$26,0),0),IF(AND(EB$26&lt;&gt;"",EB$23&lt;&gt;""),IF(EOMONTH($DZ$3+INT((DAY(EOMONTH($DZ$3,0))-1)/2)+EB$23,0)=EOMONTH($DJ$3,0),EB$26,0),0),IF(AND(DX$26&lt;&gt;"",DX$23&lt;&gt;""),IF(EOMONTH($DV$3+INT((DAY(EOMONTH($DV$3,0))-1)/2)+DX$23,0)=EOMONTH($DJ$3,0),DX$26,0),0),IF(AND(DT$26&lt;&gt;"",DT$23&lt;&gt;""),IF(EOMONTH($DR$3+INT((DAY(EOMONTH($DR$3,0))-1)/2)+DT$23,0)=EOMONTH($DJ$3,0),DT$26,0),0),IF(AND(DP$26&lt;&gt;"",DP$23&lt;&gt;""),IF(EOMONTH($DN$3+INT((DAY(EOMONTH($DN$3,0))-1)/2)+DP$23,0)=EOMONTH($DJ$3,0),DP$26,0),0),IF(AND(DL$26&lt;&gt;"",DL$23&lt;&gt;""),IF(EOMONTH($DJ$3+INT((DAY(EOMONTH($DJ$3,0))-1)/2)+DL$23,0)=EOMONTH($DJ$3,0),DL$26,0),0),IF(AND(DH$26&lt;&gt;"",DH$23&lt;&gt;""),IF(EOMONTH($DF$3+INT((DAY(EOMONTH($DF$3,0))-1)/2)+DH$23,0)=EOMONTH($DJ$3,0),DH$26,0),0),IF(AND(DD$26&lt;&gt;"",DD$23&lt;&gt;""),IF(EOMONTH($DB$3+INT((DAY(EOMONTH($DB$3,0))-1)/2)+DD$23,0)=EOMONTH($DJ$3,0),DD$26,0),0),IF(AND(CZ$26&lt;&gt;"",CZ$23&lt;&gt;""),IF(EOMONTH($CX$3+INT((DAY(EOMONTH($CX$3,0))-1)/2)+CZ$23,0)=EOMONTH($DJ$3,0),CZ$26,0),0),IF(AND(CV$26&lt;&gt;"",CV$23&lt;&gt;""),IF(EOMONTH($CT$3+INT((DAY(EOMONTH($CT$3,0))-1)/2)+CV$23,0)=EOMONTH($DJ$3,0),CV$26,0),0),IF(AND(CR$26&lt;&gt;"",CR$23&lt;&gt;""),IF(EOMONTH($CP$3+INT((DAY(EOMONTH($CP$3,0))-1)/2)+CR$23,0)=EOMONTH($DJ$3,0),CR$26,0),0),IF(AND(CN$26&lt;&gt;"",CN$23&lt;&gt;""),IF(EOMONTH($CL$3+INT((DAY(EOMONTH($CL$3,0))-1)/2)+CN$23,0)=EOMONTH($DJ$3,0),CN$26,0),0),IF(AND(CJ$26&lt;&gt;"",CJ$23&lt;&gt;""),IF(EOMONTH($CH$3+INT((DAY(EOMONTH($CH$3,0))-1)/2)+CJ$23,0)=EOMONTH($DJ$3,0),CJ$26,0),0),IF(AND(CF$26&lt;&gt;"",CF$23&lt;&gt;""),IF(EOMONTH($CD$3+INT((DAY(EOMONTH($CD$3,0))-1)/2)+CF$23,0)=EOMONTH($DJ$3,0),CF$26,0),0),IF(AND(CB$26&lt;&gt;"",CB$23&lt;&gt;""),IF(EOMONTH($BZ$3+INT((DAY(EOMONTH($BZ$3,0))-1)/2)+CB$23,0)=EOMONTH($DJ$3,0),CB$26,0),0),IF(AND(BX$26&lt;&gt;"",BX$23&lt;&gt;""),IF(EOMONTH($BV$3+INT((DAY(EOMONTH($BV$3,0))-1)/2)+BX$23,0)=EOMONTH($DJ$3,0),BX$26,0),0),IF(AND(BT$26&lt;&gt;"",BT$23&lt;&gt;""),IF(EOMONTH($BR$3+INT((DAY(EOMONTH($BR$3,0))-1)/2)+BT$23,0)=EOMONTH($DJ$3,0),BT$26,0),0),IF(AND(BP$26&lt;&gt;"",BP$23&lt;&gt;""),IF(EOMONTH($BN$3+INT((DAY(EOMONTH($BN$3,0))-1)/2)+BP$23,0)=EOMONTH($DJ$3,0),BP$26,0),0),IF(AND(BL$26&lt;&gt;"",BL$23&lt;&gt;""),IF(EOMONTH($BJ$3+INT((DAY(EOMONTH($BJ$3,0))-1)/2)+BL$23,0)=EOMONTH($DJ$3,0),BL$26,0),0),IF(AND(BH$26&lt;&gt;"",BH$23&lt;&gt;""),IF(EOMONTH($BF$3+INT((DAY(EOMONTH($BF$3,0))-1)/2)+BH$23,0)=EOMONTH($DJ$3,0),BH$26,0),0),IF(AND(BD$26&lt;&gt;"",BD$23&lt;&gt;""),IF(EOMONTH($BB$3+INT((DAY(EOMONTH($BB$3,0))-1)/2)+BD$23,0)=EOMONTH($DJ$3,0),BD$26,0),0),IF(AND(AZ$26&lt;&gt;"",AZ$23&lt;&gt;""),IF(EOMONTH($AX$3+INT((DAY(EOMONTH($AX$3,0))-1)/2)+AZ$23,0)=EOMONTH($DJ$3,0),AZ$26,0),0),IF(AND(AV$26&lt;&gt;"",AV$23&lt;&gt;""),IF(EOMONTH($AT$3+INT((DAY(EOMONTH($AT$3,0))-1)/2)+AV$23,0)=EOMONTH($DJ$3,0),AV$26,0),0),IF(AND(AR$26&lt;&gt;"",AR$23&lt;&gt;""),IF(EOMONTH($AP$3+INT((DAY(EOMONTH($AP$3,0))-1)/2)+AR$23,0)=EOMONTH($DJ$3,0),AR$26,0),0),IF(AND(AN$26&lt;&gt;"",AN$23&lt;&gt;""),IF(EOMONTH($AL$3+INT((DAY(EOMONTH($AL$3,0))-1)/2)+AN$23,0)=EOMONTH($DJ$3,0),AN$26,0),0),IF(AND(AJ$26&lt;&gt;"",AJ$23&lt;&gt;""),IF(EOMONTH($AH$3+INT((DAY(EOMONTH($AH$3,0))-1)/2)+AJ$23,0)=EOMONTH($DJ$3,0),AJ$26,0),0),IF(AND(AF$26&lt;&gt;"",AF$23&lt;&gt;""),IF(EOMONTH($AD$3+INT((DAY(EOMONTH($AD$3,0))-1)/2)+AF$23,0)=EOMONTH($DJ$3,0),AF$26,0),0),IF(AND(AB$26&lt;&gt;"",AB$23&lt;&gt;""),IF(EOMONTH($Z$3+INT((DAY(EOMONTH($Z$3,0))-1)/2)+AB$23,0)=EOMONTH($DJ$3,0),AB$26,0),0),IF(AND(X$26&lt;&gt;"",X$23&lt;&gt;""),IF(EOMONTH($V$3+INT((DAY(EOMONTH($V$3,0))-1)/2)+X$23,0)=EOMONTH($DJ$3,0),X$26,0),0),IF(AND(T$26&lt;&gt;"",T$23&lt;&gt;""),IF(EOMONTH($R$3+INT((DAY(EOMONTH($R$3,0))-1)/2)+T$23,0)=EOMONTH($DJ$3,0),T$26,0),0),IF(AND(P$26&lt;&gt;"",P$23&lt;&gt;""),IF(EOMONTH($N$3+INT((DAY(EOMONTH($N$3,0))-1)/2)+P$23,0)=EOMONTH($DJ$3,0),P$26,0),0),IF(AND(L$26&lt;&gt;"",L$23&lt;&gt;""),IF(EOMONTH($J$3+INT((DAY(EOMONTH($J$3,0))-1)/2)+L$23,0)=EOMONTH($DJ$3,0),L$26,0),0),IF(AND(H$26&lt;&gt;"",H$23&lt;&gt;""),IF(EOMONTH($F$3+INT((DAY(EOMONTH($F$3,0))-1)/2)+H$23,0)=EOMONTH($DJ$3,0),H$26,0),0),IF($EP$75="",0,IF(EOMONTH($EP$75+ER$23,0)=EOMONTH($DJ$3,0),$EP$78*ER$13,0))),0)</f>
        <v>88000</v>
      </c>
      <c r="DM57" s="33">
        <f t="shared" ref="DM57:DM70" si="756">IFERROR(IF(OR(DK57="",DL57=""),"",DK57-DL57),"")</f>
        <v>0</v>
      </c>
      <c r="DN57" s="34"/>
      <c r="DO57" s="31">
        <f>IF(DN$98=1,DN57,ROUND(SUM(IF(AND(EQ$26&lt;&gt;"",EQ$23&lt;&gt;""),IF(EOMONTH($EP$3+INT((DAY(EOMONTH($EP$3,0))-1)/2)+EQ$23,0)=EOMONTH($DN$3,0),EQ$26,0),0),IF(AND(EM$26&lt;&gt;"",EM$23&lt;&gt;""),IF(EOMONTH($EL$3+INT((DAY(EOMONTH($EL$3,0))-1)/2)+EM$23,0)=EOMONTH($DN$3,0),EM$26,0),0),IF(AND(EI$26&lt;&gt;"",EI$23&lt;&gt;""),IF(EOMONTH($EH$3+INT((DAY(EOMONTH($EH$3,0))-1)/2)+EI$23,0)=EOMONTH($DN$3,0),EI$26,0),0),IF(AND(EE$26&lt;&gt;"",EE$23&lt;&gt;""),IF(EOMONTH($ED$3+INT((DAY(EOMONTH($ED$3,0))-1)/2)+EE$23,0)=EOMONTH($DN$3,0),EE$26,0),0),IF(AND(EA$26&lt;&gt;"",EA$23&lt;&gt;""),IF(EOMONTH($DZ$3+INT((DAY(EOMONTH($DZ$3,0))-1)/2)+EA$23,0)=EOMONTH($DN$3,0),EA$26,0),0),IF(AND(DW$26&lt;&gt;"",DW$23&lt;&gt;""),IF(EOMONTH($DV$3+INT((DAY(EOMONTH($DV$3,0))-1)/2)+DW$23,0)=EOMONTH($DN$3,0),DW$26,0),0),IF(AND(DS$26&lt;&gt;"",DS$23&lt;&gt;""),IF(EOMONTH($DR$3+INT((DAY(EOMONTH($DR$3,0))-1)/2)+DS$23,0)=EOMONTH($DN$3,0),DS$26,0),0),IF(AND(DO$26&lt;&gt;"",DO$23&lt;&gt;""),IF(EOMONTH($DN$3+INT((DAY(EOMONTH($DN$3,0))-1)/2)+DO$23,0)=EOMONTH($DN$3,0),DO$26,0),0),IF(AND(DK$26&lt;&gt;"",DK$23&lt;&gt;""),IF(EOMONTH($DJ$3+INT((DAY(EOMONTH($DJ$3,0))-1)/2)+DK$23,0)=EOMONTH($DN$3,0),DK$26,0),0),IF(AND(DG$26&lt;&gt;"",DG$23&lt;&gt;""),IF(EOMONTH($DF$3+INT((DAY(EOMONTH($DF$3,0))-1)/2)+DG$23,0)=EOMONTH($DN$3,0),DG$26,0),0),IF(AND(DC$26&lt;&gt;"",DC$23&lt;&gt;""),IF(EOMONTH($DB$3+INT((DAY(EOMONTH($DB$3,0))-1)/2)+DC$23,0)=EOMONTH($DN$3,0),DC$26,0),0),IF(AND(CY$26&lt;&gt;"",CY$23&lt;&gt;""),IF(EOMONTH($CX$3+INT((DAY(EOMONTH($CX$3,0))-1)/2)+CY$23,0)=EOMONTH($DN$3,0),CY$26,0),0),IF(AND(CU$26&lt;&gt;"",CU$23&lt;&gt;""),IF(EOMONTH($CT$3+INT((DAY(EOMONTH($CT$3,0))-1)/2)+CU$23,0)=EOMONTH($DN$3,0),CU$26,0),0),IF(AND(CQ$26&lt;&gt;"",CQ$23&lt;&gt;""),IF(EOMONTH($CP$3+INT((DAY(EOMONTH($CP$3,0))-1)/2)+CQ$23,0)=EOMONTH($DN$3,0),CQ$26,0),0),IF(AND(CM$26&lt;&gt;"",CM$23&lt;&gt;""),IF(EOMONTH($CL$3+INT((DAY(EOMONTH($CL$3,0))-1)/2)+CM$23,0)=EOMONTH($DN$3,0),CM$26,0),0),IF(AND(CI$26&lt;&gt;"",CI$23&lt;&gt;""),IF(EOMONTH($CH$3+INT((DAY(EOMONTH($CH$3,0))-1)/2)+CI$23,0)=EOMONTH($DN$3,0),CI$26,0),0),IF(AND(CE$26&lt;&gt;"",CE$23&lt;&gt;""),IF(EOMONTH($CD$3+INT((DAY(EOMONTH($CD$3,0))-1)/2)+CE$23,0)=EOMONTH($DN$3,0),CE$26,0),0),IF(AND(CA$26&lt;&gt;"",CA$23&lt;&gt;""),IF(EOMONTH($BZ$3+INT((DAY(EOMONTH($BZ$3,0))-1)/2)+CA$23,0)=EOMONTH($DN$3,0),CA$26,0),0),IF(AND(BW$26&lt;&gt;"",BW$23&lt;&gt;""),IF(EOMONTH($BV$3+INT((DAY(EOMONTH($BV$3,0))-1)/2)+BW$23,0)=EOMONTH($DN$3,0),BW$26,0),0),IF(AND(BS$26&lt;&gt;"",BS$23&lt;&gt;""),IF(EOMONTH($BR$3+INT((DAY(EOMONTH($BR$3,0))-1)/2)+BS$23,0)=EOMONTH($DN$3,0),BS$26,0),0),IF(AND(BO$26&lt;&gt;"",BO$23&lt;&gt;""),IF(EOMONTH($BN$3+INT((DAY(EOMONTH($BN$3,0))-1)/2)+BO$23,0)=EOMONTH($DN$3,0),BO$26,0),0),IF(AND(BK$26&lt;&gt;"",BK$23&lt;&gt;""),IF(EOMONTH($BJ$3+INT((DAY(EOMONTH($BJ$3,0))-1)/2)+BK$23,0)=EOMONTH($DN$3,0),BK$26,0),0),IF(AND(BG$26&lt;&gt;"",BG$23&lt;&gt;""),IF(EOMONTH($BF$3+INT((DAY(EOMONTH($BF$3,0))-1)/2)+BG$23,0)=EOMONTH($DN$3,0),BG$26,0),0),IF(AND(BC$26&lt;&gt;"",BC$23&lt;&gt;""),IF(EOMONTH($BB$3+INT((DAY(EOMONTH($BB$3,0))-1)/2)+BC$23,0)=EOMONTH($DN$3,0),BC$26,0),0),IF(AND(AY$26&lt;&gt;"",AY$23&lt;&gt;""),IF(EOMONTH($AX$3+INT((DAY(EOMONTH($AX$3,0))-1)/2)+AY$23,0)=EOMONTH($DN$3,0),AY$26,0),0),IF(AND(AU$26&lt;&gt;"",AU$23&lt;&gt;""),IF(EOMONTH($AT$3+INT((DAY(EOMONTH($AT$3,0))-1)/2)+AU$23,0)=EOMONTH($DN$3,0),AU$26,0),0),IF(AND(AQ$26&lt;&gt;"",AQ$23&lt;&gt;""),IF(EOMONTH($AP$3+INT((DAY(EOMONTH($AP$3,0))-1)/2)+AQ$23,0)=EOMONTH($DN$3,0),AQ$26,0),0),IF(AND(AM$26&lt;&gt;"",AM$23&lt;&gt;""),IF(EOMONTH($AL$3+INT((DAY(EOMONTH($AL$3,0))-1)/2)+AM$23,0)=EOMONTH($DN$3,0),AM$26,0),0),IF(AND(AI$26&lt;&gt;"",AI$23&lt;&gt;""),IF(EOMONTH($AH$3+INT((DAY(EOMONTH($AH$3,0))-1)/2)+AI$23,0)=EOMONTH($DN$3,0),AI$26,0),0),IF(AND(AE$26&lt;&gt;"",AE$23&lt;&gt;""),IF(EOMONTH($AD$3+INT((DAY(EOMONTH($AD$3,0))-1)/2)+AE$23,0)=EOMONTH($DN$3,0),AE$26,0),0),IF(AND(AA$26&lt;&gt;"",AA$23&lt;&gt;""),IF(EOMONTH($Z$3+INT((DAY(EOMONTH($Z$3,0))-1)/2)+AA$23,0)=EOMONTH($DN$3,0),AA$26,0),0),IF(AND(W$26&lt;&gt;"",W$23&lt;&gt;""),IF(EOMONTH($V$3+INT((DAY(EOMONTH($V$3,0))-1)/2)+W$23,0)=EOMONTH($DN$3,0),W$26,0),0),IF(AND(S$26&lt;&gt;"",S$23&lt;&gt;""),IF(EOMONTH($R$3+INT((DAY(EOMONTH($R$3,0))-1)/2)+S$23,0)=EOMONTH($DN$3,0),S$26,0),0),IF(AND(O$26&lt;&gt;"",O$23&lt;&gt;""),IF(EOMONTH($N$3+INT((DAY(EOMONTH($N$3,0))-1)/2)+O$23,0)=EOMONTH($DN$3,0),O$26,0),0),IF(AND(K$26&lt;&gt;"",K$23&lt;&gt;""),IF(EOMONTH($J$3+INT((DAY(EOMONTH($J$3,0))-1)/2)+K$23,0)=EOMONTH($DN$3,0),K$26,0),0),IF(AND(G$26&lt;&gt;"",G$23&lt;&gt;""),IF(EOMONTH($F$3+INT((DAY(EOMONTH($F$3,0))-1)/2)+G$23,0)=EOMONTH($DN$3,0),G$26,0),0),IF($EP$75="",0,IF(EOMONTH($EP$75+EQ$23,0)=EOMONTH($DN$3,0),$EP$78*EQ$13,0))),0))</f>
        <v>88000</v>
      </c>
      <c r="DP57" s="32">
        <f>ROUND(SUM(IF(AND(ER$26&lt;&gt;"",ER$23&lt;&gt;""),IF(EOMONTH($EP$3+INT((DAY(EOMONTH($EP$3,0))-1)/2)+ER$23,0)=EOMONTH($DN$3,0),ER$26,0),0),IF(AND(EN$26&lt;&gt;"",EN$23&lt;&gt;""),IF(EOMONTH($EL$3+INT((DAY(EOMONTH($EL$3,0))-1)/2)+EN$23,0)=EOMONTH($DN$3,0),EN$26,0),0),IF(AND(EJ$26&lt;&gt;"",EJ$23&lt;&gt;""),IF(EOMONTH($EH$3+INT((DAY(EOMONTH($EH$3,0))-1)/2)+EJ$23,0)=EOMONTH($DN$3,0),EJ$26,0),0),IF(AND(EF$26&lt;&gt;"",EF$23&lt;&gt;""),IF(EOMONTH($ED$3+INT((DAY(EOMONTH($ED$3,0))-1)/2)+EF$23,0)=EOMONTH($DN$3,0),EF$26,0),0),IF(AND(EB$26&lt;&gt;"",EB$23&lt;&gt;""),IF(EOMONTH($DZ$3+INT((DAY(EOMONTH($DZ$3,0))-1)/2)+EB$23,0)=EOMONTH($DN$3,0),EB$26,0),0),IF(AND(DX$26&lt;&gt;"",DX$23&lt;&gt;""),IF(EOMONTH($DV$3+INT((DAY(EOMONTH($DV$3,0))-1)/2)+DX$23,0)=EOMONTH($DN$3,0),DX$26,0),0),IF(AND(DT$26&lt;&gt;"",DT$23&lt;&gt;""),IF(EOMONTH($DR$3+INT((DAY(EOMONTH($DR$3,0))-1)/2)+DT$23,0)=EOMONTH($DN$3,0),DT$26,0),0),IF(AND(DP$26&lt;&gt;"",DP$23&lt;&gt;""),IF(EOMONTH($DN$3+INT((DAY(EOMONTH($DN$3,0))-1)/2)+DP$23,0)=EOMONTH($DN$3,0),DP$26,0),0),IF(AND(DL$26&lt;&gt;"",DL$23&lt;&gt;""),IF(EOMONTH($DJ$3+INT((DAY(EOMONTH($DJ$3,0))-1)/2)+DL$23,0)=EOMONTH($DN$3,0),DL$26,0),0),IF(AND(DH$26&lt;&gt;"",DH$23&lt;&gt;""),IF(EOMONTH($DF$3+INT((DAY(EOMONTH($DF$3,0))-1)/2)+DH$23,0)=EOMONTH($DN$3,0),DH$26,0),0),IF(AND(DD$26&lt;&gt;"",DD$23&lt;&gt;""),IF(EOMONTH($DB$3+INT((DAY(EOMONTH($DB$3,0))-1)/2)+DD$23,0)=EOMONTH($DN$3,0),DD$26,0),0),IF(AND(CZ$26&lt;&gt;"",CZ$23&lt;&gt;""),IF(EOMONTH($CX$3+INT((DAY(EOMONTH($CX$3,0))-1)/2)+CZ$23,0)=EOMONTH($DN$3,0),CZ$26,0),0),IF(AND(CV$26&lt;&gt;"",CV$23&lt;&gt;""),IF(EOMONTH($CT$3+INT((DAY(EOMONTH($CT$3,0))-1)/2)+CV$23,0)=EOMONTH($DN$3,0),CV$26,0),0),IF(AND(CR$26&lt;&gt;"",CR$23&lt;&gt;""),IF(EOMONTH($CP$3+INT((DAY(EOMONTH($CP$3,0))-1)/2)+CR$23,0)=EOMONTH($DN$3,0),CR$26,0),0),IF(AND(CN$26&lt;&gt;"",CN$23&lt;&gt;""),IF(EOMONTH($CL$3+INT((DAY(EOMONTH($CL$3,0))-1)/2)+CN$23,0)=EOMONTH($DN$3,0),CN$26,0),0),IF(AND(CJ$26&lt;&gt;"",CJ$23&lt;&gt;""),IF(EOMONTH($CH$3+INT((DAY(EOMONTH($CH$3,0))-1)/2)+CJ$23,0)=EOMONTH($DN$3,0),CJ$26,0),0),IF(AND(CF$26&lt;&gt;"",CF$23&lt;&gt;""),IF(EOMONTH($CD$3+INT((DAY(EOMONTH($CD$3,0))-1)/2)+CF$23,0)=EOMONTH($DN$3,0),CF$26,0),0),IF(AND(CB$26&lt;&gt;"",CB$23&lt;&gt;""),IF(EOMONTH($BZ$3+INT((DAY(EOMONTH($BZ$3,0))-1)/2)+CB$23,0)=EOMONTH($DN$3,0),CB$26,0),0),IF(AND(BX$26&lt;&gt;"",BX$23&lt;&gt;""),IF(EOMONTH($BV$3+INT((DAY(EOMONTH($BV$3,0))-1)/2)+BX$23,0)=EOMONTH($DN$3,0),BX$26,0),0),IF(AND(BT$26&lt;&gt;"",BT$23&lt;&gt;""),IF(EOMONTH($BR$3+INT((DAY(EOMONTH($BR$3,0))-1)/2)+BT$23,0)=EOMONTH($DN$3,0),BT$26,0),0),IF(AND(BP$26&lt;&gt;"",BP$23&lt;&gt;""),IF(EOMONTH($BN$3+INT((DAY(EOMONTH($BN$3,0))-1)/2)+BP$23,0)=EOMONTH($DN$3,0),BP$26,0),0),IF(AND(BL$26&lt;&gt;"",BL$23&lt;&gt;""),IF(EOMONTH($BJ$3+INT((DAY(EOMONTH($BJ$3,0))-1)/2)+BL$23,0)=EOMONTH($DN$3,0),BL$26,0),0),IF(AND(BH$26&lt;&gt;"",BH$23&lt;&gt;""),IF(EOMONTH($BF$3+INT((DAY(EOMONTH($BF$3,0))-1)/2)+BH$23,0)=EOMONTH($DN$3,0),BH$26,0),0),IF(AND(BD$26&lt;&gt;"",BD$23&lt;&gt;""),IF(EOMONTH($BB$3+INT((DAY(EOMONTH($BB$3,0))-1)/2)+BD$23,0)=EOMONTH($DN$3,0),BD$26,0),0),IF(AND(AZ$26&lt;&gt;"",AZ$23&lt;&gt;""),IF(EOMONTH($AX$3+INT((DAY(EOMONTH($AX$3,0))-1)/2)+AZ$23,0)=EOMONTH($DN$3,0),AZ$26,0),0),IF(AND(AV$26&lt;&gt;"",AV$23&lt;&gt;""),IF(EOMONTH($AT$3+INT((DAY(EOMONTH($AT$3,0))-1)/2)+AV$23,0)=EOMONTH($DN$3,0),AV$26,0),0),IF(AND(AR$26&lt;&gt;"",AR$23&lt;&gt;""),IF(EOMONTH($AP$3+INT((DAY(EOMONTH($AP$3,0))-1)/2)+AR$23,0)=EOMONTH($DN$3,0),AR$26,0),0),IF(AND(AN$26&lt;&gt;"",AN$23&lt;&gt;""),IF(EOMONTH($AL$3+INT((DAY(EOMONTH($AL$3,0))-1)/2)+AN$23,0)=EOMONTH($DN$3,0),AN$26,0),0),IF(AND(AJ$26&lt;&gt;"",AJ$23&lt;&gt;""),IF(EOMONTH($AH$3+INT((DAY(EOMONTH($AH$3,0))-1)/2)+AJ$23,0)=EOMONTH($DN$3,0),AJ$26,0),0),IF(AND(AF$26&lt;&gt;"",AF$23&lt;&gt;""),IF(EOMONTH($AD$3+INT((DAY(EOMONTH($AD$3,0))-1)/2)+AF$23,0)=EOMONTH($DN$3,0),AF$26,0),0),IF(AND(AB$26&lt;&gt;"",AB$23&lt;&gt;""),IF(EOMONTH($Z$3+INT((DAY(EOMONTH($Z$3,0))-1)/2)+AB$23,0)=EOMONTH($DN$3,0),AB$26,0),0),IF(AND(X$26&lt;&gt;"",X$23&lt;&gt;""),IF(EOMONTH($V$3+INT((DAY(EOMONTH($V$3,0))-1)/2)+X$23,0)=EOMONTH($DN$3,0),X$26,0),0),IF(AND(T$26&lt;&gt;"",T$23&lt;&gt;""),IF(EOMONTH($R$3+INT((DAY(EOMONTH($R$3,0))-1)/2)+T$23,0)=EOMONTH($DN$3,0),T$26,0),0),IF(AND(P$26&lt;&gt;"",P$23&lt;&gt;""),IF(EOMONTH($N$3+INT((DAY(EOMONTH($N$3,0))-1)/2)+P$23,0)=EOMONTH($DN$3,0),P$26,0),0),IF(AND(L$26&lt;&gt;"",L$23&lt;&gt;""),IF(EOMONTH($J$3+INT((DAY(EOMONTH($J$3,0))-1)/2)+L$23,0)=EOMONTH($DN$3,0),L$26,0),0),IF(AND(H$26&lt;&gt;"",H$23&lt;&gt;""),IF(EOMONTH($F$3+INT((DAY(EOMONTH($F$3,0))-1)/2)+H$23,0)=EOMONTH($DN$3,0),H$26,0),0),IF($EP$75="",0,IF(EOMONTH($EP$75+ER$23,0)=EOMONTH($DN$3,0),$EP$78*ER$13,0))),0)</f>
        <v>88000</v>
      </c>
      <c r="DQ57" s="33">
        <f t="shared" ref="DQ57:DQ70" si="758">IFERROR(IF(OR(DO57="",DP57=""),"",DO57-DP57),"")</f>
        <v>0</v>
      </c>
      <c r="DR57" s="34"/>
      <c r="DS57" s="31">
        <f>IF(DR$98=1,DR57,ROUND(SUM(IF(AND(EQ$26&lt;&gt;"",EQ$23&lt;&gt;""),IF(EOMONTH($EP$3+INT((DAY(EOMONTH($EP$3,0))-1)/2)+EQ$23,0)=EOMONTH($DR$3,0),EQ$26,0),0),IF(AND(EM$26&lt;&gt;"",EM$23&lt;&gt;""),IF(EOMONTH($EL$3+INT((DAY(EOMONTH($EL$3,0))-1)/2)+EM$23,0)=EOMONTH($DR$3,0),EM$26,0),0),IF(AND(EI$26&lt;&gt;"",EI$23&lt;&gt;""),IF(EOMONTH($EH$3+INT((DAY(EOMONTH($EH$3,0))-1)/2)+EI$23,0)=EOMONTH($DR$3,0),EI$26,0),0),IF(AND(EE$26&lt;&gt;"",EE$23&lt;&gt;""),IF(EOMONTH($ED$3+INT((DAY(EOMONTH($ED$3,0))-1)/2)+EE$23,0)=EOMONTH($DR$3,0),EE$26,0),0),IF(AND(EA$26&lt;&gt;"",EA$23&lt;&gt;""),IF(EOMONTH($DZ$3+INT((DAY(EOMONTH($DZ$3,0))-1)/2)+EA$23,0)=EOMONTH($DR$3,0),EA$26,0),0),IF(AND(DW$26&lt;&gt;"",DW$23&lt;&gt;""),IF(EOMONTH($DV$3+INT((DAY(EOMONTH($DV$3,0))-1)/2)+DW$23,0)=EOMONTH($DR$3,0),DW$26,0),0),IF(AND(DS$26&lt;&gt;"",DS$23&lt;&gt;""),IF(EOMONTH($DR$3+INT((DAY(EOMONTH($DR$3,0))-1)/2)+DS$23,0)=EOMONTH($DR$3,0),DS$26,0),0),IF(AND(DO$26&lt;&gt;"",DO$23&lt;&gt;""),IF(EOMONTH($DN$3+INT((DAY(EOMONTH($DN$3,0))-1)/2)+DO$23,0)=EOMONTH($DR$3,0),DO$26,0),0),IF(AND(DK$26&lt;&gt;"",DK$23&lt;&gt;""),IF(EOMONTH($DJ$3+INT((DAY(EOMONTH($DJ$3,0))-1)/2)+DK$23,0)=EOMONTH($DR$3,0),DK$26,0),0),IF(AND(DG$26&lt;&gt;"",DG$23&lt;&gt;""),IF(EOMONTH($DF$3+INT((DAY(EOMONTH($DF$3,0))-1)/2)+DG$23,0)=EOMONTH($DR$3,0),DG$26,0),0),IF(AND(DC$26&lt;&gt;"",DC$23&lt;&gt;""),IF(EOMONTH($DB$3+INT((DAY(EOMONTH($DB$3,0))-1)/2)+DC$23,0)=EOMONTH($DR$3,0),DC$26,0),0),IF(AND(CY$26&lt;&gt;"",CY$23&lt;&gt;""),IF(EOMONTH($CX$3+INT((DAY(EOMONTH($CX$3,0))-1)/2)+CY$23,0)=EOMONTH($DR$3,0),CY$26,0),0),IF(AND(CU$26&lt;&gt;"",CU$23&lt;&gt;""),IF(EOMONTH($CT$3+INT((DAY(EOMONTH($CT$3,0))-1)/2)+CU$23,0)=EOMONTH($DR$3,0),CU$26,0),0),IF(AND(CQ$26&lt;&gt;"",CQ$23&lt;&gt;""),IF(EOMONTH($CP$3+INT((DAY(EOMONTH($CP$3,0))-1)/2)+CQ$23,0)=EOMONTH($DR$3,0),CQ$26,0),0),IF(AND(CM$26&lt;&gt;"",CM$23&lt;&gt;""),IF(EOMONTH($CL$3+INT((DAY(EOMONTH($CL$3,0))-1)/2)+CM$23,0)=EOMONTH($DR$3,0),CM$26,0),0),IF(AND(CI$26&lt;&gt;"",CI$23&lt;&gt;""),IF(EOMONTH($CH$3+INT((DAY(EOMONTH($CH$3,0))-1)/2)+CI$23,0)=EOMONTH($DR$3,0),CI$26,0),0),IF(AND(CE$26&lt;&gt;"",CE$23&lt;&gt;""),IF(EOMONTH($CD$3+INT((DAY(EOMONTH($CD$3,0))-1)/2)+CE$23,0)=EOMONTH($DR$3,0),CE$26,0),0),IF(AND(CA$26&lt;&gt;"",CA$23&lt;&gt;""),IF(EOMONTH($BZ$3+INT((DAY(EOMONTH($BZ$3,0))-1)/2)+CA$23,0)=EOMONTH($DR$3,0),CA$26,0),0),IF(AND(BW$26&lt;&gt;"",BW$23&lt;&gt;""),IF(EOMONTH($BV$3+INT((DAY(EOMONTH($BV$3,0))-1)/2)+BW$23,0)=EOMONTH($DR$3,0),BW$26,0),0),IF(AND(BS$26&lt;&gt;"",BS$23&lt;&gt;""),IF(EOMONTH($BR$3+INT((DAY(EOMONTH($BR$3,0))-1)/2)+BS$23,0)=EOMONTH($DR$3,0),BS$26,0),0),IF(AND(BO$26&lt;&gt;"",BO$23&lt;&gt;""),IF(EOMONTH($BN$3+INT((DAY(EOMONTH($BN$3,0))-1)/2)+BO$23,0)=EOMONTH($DR$3,0),BO$26,0),0),IF(AND(BK$26&lt;&gt;"",BK$23&lt;&gt;""),IF(EOMONTH($BJ$3+INT((DAY(EOMONTH($BJ$3,0))-1)/2)+BK$23,0)=EOMONTH($DR$3,0),BK$26,0),0),IF(AND(BG$26&lt;&gt;"",BG$23&lt;&gt;""),IF(EOMONTH($BF$3+INT((DAY(EOMONTH($BF$3,0))-1)/2)+BG$23,0)=EOMONTH($DR$3,0),BG$26,0),0),IF(AND(BC$26&lt;&gt;"",BC$23&lt;&gt;""),IF(EOMONTH($BB$3+INT((DAY(EOMONTH($BB$3,0))-1)/2)+BC$23,0)=EOMONTH($DR$3,0),BC$26,0),0),IF(AND(AY$26&lt;&gt;"",AY$23&lt;&gt;""),IF(EOMONTH($AX$3+INT((DAY(EOMONTH($AX$3,0))-1)/2)+AY$23,0)=EOMONTH($DR$3,0),AY$26,0),0),IF(AND(AU$26&lt;&gt;"",AU$23&lt;&gt;""),IF(EOMONTH($AT$3+INT((DAY(EOMONTH($AT$3,0))-1)/2)+AU$23,0)=EOMONTH($DR$3,0),AU$26,0),0),IF(AND(AQ$26&lt;&gt;"",AQ$23&lt;&gt;""),IF(EOMONTH($AP$3+INT((DAY(EOMONTH($AP$3,0))-1)/2)+AQ$23,0)=EOMONTH($DR$3,0),AQ$26,0),0),IF(AND(AM$26&lt;&gt;"",AM$23&lt;&gt;""),IF(EOMONTH($AL$3+INT((DAY(EOMONTH($AL$3,0))-1)/2)+AM$23,0)=EOMONTH($DR$3,0),AM$26,0),0),IF(AND(AI$26&lt;&gt;"",AI$23&lt;&gt;""),IF(EOMONTH($AH$3+INT((DAY(EOMONTH($AH$3,0))-1)/2)+AI$23,0)=EOMONTH($DR$3,0),AI$26,0),0),IF(AND(AE$26&lt;&gt;"",AE$23&lt;&gt;""),IF(EOMONTH($AD$3+INT((DAY(EOMONTH($AD$3,0))-1)/2)+AE$23,0)=EOMONTH($DR$3,0),AE$26,0),0),IF(AND(AA$26&lt;&gt;"",AA$23&lt;&gt;""),IF(EOMONTH($Z$3+INT((DAY(EOMONTH($Z$3,0))-1)/2)+AA$23,0)=EOMONTH($DR$3,0),AA$26,0),0),IF(AND(W$26&lt;&gt;"",W$23&lt;&gt;""),IF(EOMONTH($V$3+INT((DAY(EOMONTH($V$3,0))-1)/2)+W$23,0)=EOMONTH($DR$3,0),W$26,0),0),IF(AND(S$26&lt;&gt;"",S$23&lt;&gt;""),IF(EOMONTH($R$3+INT((DAY(EOMONTH($R$3,0))-1)/2)+S$23,0)=EOMONTH($DR$3,0),S$26,0),0),IF(AND(O$26&lt;&gt;"",O$23&lt;&gt;""),IF(EOMONTH($N$3+INT((DAY(EOMONTH($N$3,0))-1)/2)+O$23,0)=EOMONTH($DR$3,0),O$26,0),0),IF(AND(K$26&lt;&gt;"",K$23&lt;&gt;""),IF(EOMONTH($J$3+INT((DAY(EOMONTH($J$3,0))-1)/2)+K$23,0)=EOMONTH($DR$3,0),K$26,0),0),IF(AND(G$26&lt;&gt;"",G$23&lt;&gt;""),IF(EOMONTH($F$3+INT((DAY(EOMONTH($F$3,0))-1)/2)+G$23,0)=EOMONTH($DR$3,0),G$26,0),0),IF($EP$75="",0,IF(EOMONTH($EP$75+EQ$23,0)=EOMONTH($DR$3,0),$EP$78*EQ$13,0))),0))</f>
        <v>88000</v>
      </c>
      <c r="DT57" s="32">
        <f>ROUND(SUM(IF(AND(ER$26&lt;&gt;"",ER$23&lt;&gt;""),IF(EOMONTH($EP$3+INT((DAY(EOMONTH($EP$3,0))-1)/2)+ER$23,0)=EOMONTH($DR$3,0),ER$26,0),0),IF(AND(EN$26&lt;&gt;"",EN$23&lt;&gt;""),IF(EOMONTH($EL$3+INT((DAY(EOMONTH($EL$3,0))-1)/2)+EN$23,0)=EOMONTH($DR$3,0),EN$26,0),0),IF(AND(EJ$26&lt;&gt;"",EJ$23&lt;&gt;""),IF(EOMONTH($EH$3+INT((DAY(EOMONTH($EH$3,0))-1)/2)+EJ$23,0)=EOMONTH($DR$3,0),EJ$26,0),0),IF(AND(EF$26&lt;&gt;"",EF$23&lt;&gt;""),IF(EOMONTH($ED$3+INT((DAY(EOMONTH($ED$3,0))-1)/2)+EF$23,0)=EOMONTH($DR$3,0),EF$26,0),0),IF(AND(EB$26&lt;&gt;"",EB$23&lt;&gt;""),IF(EOMONTH($DZ$3+INT((DAY(EOMONTH($DZ$3,0))-1)/2)+EB$23,0)=EOMONTH($DR$3,0),EB$26,0),0),IF(AND(DX$26&lt;&gt;"",DX$23&lt;&gt;""),IF(EOMONTH($DV$3+INT((DAY(EOMONTH($DV$3,0))-1)/2)+DX$23,0)=EOMONTH($DR$3,0),DX$26,0),0),IF(AND(DT$26&lt;&gt;"",DT$23&lt;&gt;""),IF(EOMONTH($DR$3+INT((DAY(EOMONTH($DR$3,0))-1)/2)+DT$23,0)=EOMONTH($DR$3,0),DT$26,0),0),IF(AND(DP$26&lt;&gt;"",DP$23&lt;&gt;""),IF(EOMONTH($DN$3+INT((DAY(EOMONTH($DN$3,0))-1)/2)+DP$23,0)=EOMONTH($DR$3,0),DP$26,0),0),IF(AND(DL$26&lt;&gt;"",DL$23&lt;&gt;""),IF(EOMONTH($DJ$3+INT((DAY(EOMONTH($DJ$3,0))-1)/2)+DL$23,0)=EOMONTH($DR$3,0),DL$26,0),0),IF(AND(DH$26&lt;&gt;"",DH$23&lt;&gt;""),IF(EOMONTH($DF$3+INT((DAY(EOMONTH($DF$3,0))-1)/2)+DH$23,0)=EOMONTH($DR$3,0),DH$26,0),0),IF(AND(DD$26&lt;&gt;"",DD$23&lt;&gt;""),IF(EOMONTH($DB$3+INT((DAY(EOMONTH($DB$3,0))-1)/2)+DD$23,0)=EOMONTH($DR$3,0),DD$26,0),0),IF(AND(CZ$26&lt;&gt;"",CZ$23&lt;&gt;""),IF(EOMONTH($CX$3+INT((DAY(EOMONTH($CX$3,0))-1)/2)+CZ$23,0)=EOMONTH($DR$3,0),CZ$26,0),0),IF(AND(CV$26&lt;&gt;"",CV$23&lt;&gt;""),IF(EOMONTH($CT$3+INT((DAY(EOMONTH($CT$3,0))-1)/2)+CV$23,0)=EOMONTH($DR$3,0),CV$26,0),0),IF(AND(CR$26&lt;&gt;"",CR$23&lt;&gt;""),IF(EOMONTH($CP$3+INT((DAY(EOMONTH($CP$3,0))-1)/2)+CR$23,0)=EOMONTH($DR$3,0),CR$26,0),0),IF(AND(CN$26&lt;&gt;"",CN$23&lt;&gt;""),IF(EOMONTH($CL$3+INT((DAY(EOMONTH($CL$3,0))-1)/2)+CN$23,0)=EOMONTH($DR$3,0),CN$26,0),0),IF(AND(CJ$26&lt;&gt;"",CJ$23&lt;&gt;""),IF(EOMONTH($CH$3+INT((DAY(EOMONTH($CH$3,0))-1)/2)+CJ$23,0)=EOMONTH($DR$3,0),CJ$26,0),0),IF(AND(CF$26&lt;&gt;"",CF$23&lt;&gt;""),IF(EOMONTH($CD$3+INT((DAY(EOMONTH($CD$3,0))-1)/2)+CF$23,0)=EOMONTH($DR$3,0),CF$26,0),0),IF(AND(CB$26&lt;&gt;"",CB$23&lt;&gt;""),IF(EOMONTH($BZ$3+INT((DAY(EOMONTH($BZ$3,0))-1)/2)+CB$23,0)=EOMONTH($DR$3,0),CB$26,0),0),IF(AND(BX$26&lt;&gt;"",BX$23&lt;&gt;""),IF(EOMONTH($BV$3+INT((DAY(EOMONTH($BV$3,0))-1)/2)+BX$23,0)=EOMONTH($DR$3,0),BX$26,0),0),IF(AND(BT$26&lt;&gt;"",BT$23&lt;&gt;""),IF(EOMONTH($BR$3+INT((DAY(EOMONTH($BR$3,0))-1)/2)+BT$23,0)=EOMONTH($DR$3,0),BT$26,0),0),IF(AND(BP$26&lt;&gt;"",BP$23&lt;&gt;""),IF(EOMONTH($BN$3+INT((DAY(EOMONTH($BN$3,0))-1)/2)+BP$23,0)=EOMONTH($DR$3,0),BP$26,0),0),IF(AND(BL$26&lt;&gt;"",BL$23&lt;&gt;""),IF(EOMONTH($BJ$3+INT((DAY(EOMONTH($BJ$3,0))-1)/2)+BL$23,0)=EOMONTH($DR$3,0),BL$26,0),0),IF(AND(BH$26&lt;&gt;"",BH$23&lt;&gt;""),IF(EOMONTH($BF$3+INT((DAY(EOMONTH($BF$3,0))-1)/2)+BH$23,0)=EOMONTH($DR$3,0),BH$26,0),0),IF(AND(BD$26&lt;&gt;"",BD$23&lt;&gt;""),IF(EOMONTH($BB$3+INT((DAY(EOMONTH($BB$3,0))-1)/2)+BD$23,0)=EOMONTH($DR$3,0),BD$26,0),0),IF(AND(AZ$26&lt;&gt;"",AZ$23&lt;&gt;""),IF(EOMONTH($AX$3+INT((DAY(EOMONTH($AX$3,0))-1)/2)+AZ$23,0)=EOMONTH($DR$3,0),AZ$26,0),0),IF(AND(AV$26&lt;&gt;"",AV$23&lt;&gt;""),IF(EOMONTH($AT$3+INT((DAY(EOMONTH($AT$3,0))-1)/2)+AV$23,0)=EOMONTH($DR$3,0),AV$26,0),0),IF(AND(AR$26&lt;&gt;"",AR$23&lt;&gt;""),IF(EOMONTH($AP$3+INT((DAY(EOMONTH($AP$3,0))-1)/2)+AR$23,0)=EOMONTH($DR$3,0),AR$26,0),0),IF(AND(AN$26&lt;&gt;"",AN$23&lt;&gt;""),IF(EOMONTH($AL$3+INT((DAY(EOMONTH($AL$3,0))-1)/2)+AN$23,0)=EOMONTH($DR$3,0),AN$26,0),0),IF(AND(AJ$26&lt;&gt;"",AJ$23&lt;&gt;""),IF(EOMONTH($AH$3+INT((DAY(EOMONTH($AH$3,0))-1)/2)+AJ$23,0)=EOMONTH($DR$3,0),AJ$26,0),0),IF(AND(AF$26&lt;&gt;"",AF$23&lt;&gt;""),IF(EOMONTH($AD$3+INT((DAY(EOMONTH($AD$3,0))-1)/2)+AF$23,0)=EOMONTH($DR$3,0),AF$26,0),0),IF(AND(AB$26&lt;&gt;"",AB$23&lt;&gt;""),IF(EOMONTH($Z$3+INT((DAY(EOMONTH($Z$3,0))-1)/2)+AB$23,0)=EOMONTH($DR$3,0),AB$26,0),0),IF(AND(X$26&lt;&gt;"",X$23&lt;&gt;""),IF(EOMONTH($V$3+INT((DAY(EOMONTH($V$3,0))-1)/2)+X$23,0)=EOMONTH($DR$3,0),X$26,0),0),IF(AND(T$26&lt;&gt;"",T$23&lt;&gt;""),IF(EOMONTH($R$3+INT((DAY(EOMONTH($R$3,0))-1)/2)+T$23,0)=EOMONTH($DR$3,0),T$26,0),0),IF(AND(P$26&lt;&gt;"",P$23&lt;&gt;""),IF(EOMONTH($N$3+INT((DAY(EOMONTH($N$3,0))-1)/2)+P$23,0)=EOMONTH($DR$3,0),P$26,0),0),IF(AND(L$26&lt;&gt;"",L$23&lt;&gt;""),IF(EOMONTH($J$3+INT((DAY(EOMONTH($J$3,0))-1)/2)+L$23,0)=EOMONTH($DR$3,0),L$26,0),0),IF(AND(H$26&lt;&gt;"",H$23&lt;&gt;""),IF(EOMONTH($F$3+INT((DAY(EOMONTH($F$3,0))-1)/2)+H$23,0)=EOMONTH($DR$3,0),H$26,0),0),IF($EP$75="",0,IF(EOMONTH($EP$75+ER$23,0)=EOMONTH($DR$3,0),$EP$78*ER$13,0))),0)</f>
        <v>88000</v>
      </c>
      <c r="DU57" s="33">
        <f t="shared" ref="DU57:DU70" si="760">IFERROR(IF(OR(DS57="",DT57=""),"",DS57-DT57),"")</f>
        <v>0</v>
      </c>
      <c r="DV57" s="34"/>
      <c r="DW57" s="31">
        <f>IF(DV$98=1,DV57,ROUND(SUM(IF(AND(EQ$26&lt;&gt;"",EQ$23&lt;&gt;""),IF(EOMONTH($EP$3+INT((DAY(EOMONTH($EP$3,0))-1)/2)+EQ$23,0)=EOMONTH($DV$3,0),EQ$26,0),0),IF(AND(EM$26&lt;&gt;"",EM$23&lt;&gt;""),IF(EOMONTH($EL$3+INT((DAY(EOMONTH($EL$3,0))-1)/2)+EM$23,0)=EOMONTH($DV$3,0),EM$26,0),0),IF(AND(EI$26&lt;&gt;"",EI$23&lt;&gt;""),IF(EOMONTH($EH$3+INT((DAY(EOMONTH($EH$3,0))-1)/2)+EI$23,0)=EOMONTH($DV$3,0),EI$26,0),0),IF(AND(EE$26&lt;&gt;"",EE$23&lt;&gt;""),IF(EOMONTH($ED$3+INT((DAY(EOMONTH($ED$3,0))-1)/2)+EE$23,0)=EOMONTH($DV$3,0),EE$26,0),0),IF(AND(EA$26&lt;&gt;"",EA$23&lt;&gt;""),IF(EOMONTH($DZ$3+INT((DAY(EOMONTH($DZ$3,0))-1)/2)+EA$23,0)=EOMONTH($DV$3,0),EA$26,0),0),IF(AND(DW$26&lt;&gt;"",DW$23&lt;&gt;""),IF(EOMONTH($DV$3+INT((DAY(EOMONTH($DV$3,0))-1)/2)+DW$23,0)=EOMONTH($DV$3,0),DW$26,0),0),IF(AND(DS$26&lt;&gt;"",DS$23&lt;&gt;""),IF(EOMONTH($DR$3+INT((DAY(EOMONTH($DR$3,0))-1)/2)+DS$23,0)=EOMONTH($DV$3,0),DS$26,0),0),IF(AND(DO$26&lt;&gt;"",DO$23&lt;&gt;""),IF(EOMONTH($DN$3+INT((DAY(EOMONTH($DN$3,0))-1)/2)+DO$23,0)=EOMONTH($DV$3,0),DO$26,0),0),IF(AND(DK$26&lt;&gt;"",DK$23&lt;&gt;""),IF(EOMONTH($DJ$3+INT((DAY(EOMONTH($DJ$3,0))-1)/2)+DK$23,0)=EOMONTH($DV$3,0),DK$26,0),0),IF(AND(DG$26&lt;&gt;"",DG$23&lt;&gt;""),IF(EOMONTH($DF$3+INT((DAY(EOMONTH($DF$3,0))-1)/2)+DG$23,0)=EOMONTH($DV$3,0),DG$26,0),0),IF(AND(DC$26&lt;&gt;"",DC$23&lt;&gt;""),IF(EOMONTH($DB$3+INT((DAY(EOMONTH($DB$3,0))-1)/2)+DC$23,0)=EOMONTH($DV$3,0),DC$26,0),0),IF(AND(CY$26&lt;&gt;"",CY$23&lt;&gt;""),IF(EOMONTH($CX$3+INT((DAY(EOMONTH($CX$3,0))-1)/2)+CY$23,0)=EOMONTH($DV$3,0),CY$26,0),0),IF(AND(CU$26&lt;&gt;"",CU$23&lt;&gt;""),IF(EOMONTH($CT$3+INT((DAY(EOMONTH($CT$3,0))-1)/2)+CU$23,0)=EOMONTH($DV$3,0),CU$26,0),0),IF(AND(CQ$26&lt;&gt;"",CQ$23&lt;&gt;""),IF(EOMONTH($CP$3+INT((DAY(EOMONTH($CP$3,0))-1)/2)+CQ$23,0)=EOMONTH($DV$3,0),CQ$26,0),0),IF(AND(CM$26&lt;&gt;"",CM$23&lt;&gt;""),IF(EOMONTH($CL$3+INT((DAY(EOMONTH($CL$3,0))-1)/2)+CM$23,0)=EOMONTH($DV$3,0),CM$26,0),0),IF(AND(CI$26&lt;&gt;"",CI$23&lt;&gt;""),IF(EOMONTH($CH$3+INT((DAY(EOMONTH($CH$3,0))-1)/2)+CI$23,0)=EOMONTH($DV$3,0),CI$26,0),0),IF(AND(CE$26&lt;&gt;"",CE$23&lt;&gt;""),IF(EOMONTH($CD$3+INT((DAY(EOMONTH($CD$3,0))-1)/2)+CE$23,0)=EOMONTH($DV$3,0),CE$26,0),0),IF(AND(CA$26&lt;&gt;"",CA$23&lt;&gt;""),IF(EOMONTH($BZ$3+INT((DAY(EOMONTH($BZ$3,0))-1)/2)+CA$23,0)=EOMONTH($DV$3,0),CA$26,0),0),IF(AND(BW$26&lt;&gt;"",BW$23&lt;&gt;""),IF(EOMONTH($BV$3+INT((DAY(EOMONTH($BV$3,0))-1)/2)+BW$23,0)=EOMONTH($DV$3,0),BW$26,0),0),IF(AND(BS$26&lt;&gt;"",BS$23&lt;&gt;""),IF(EOMONTH($BR$3+INT((DAY(EOMONTH($BR$3,0))-1)/2)+BS$23,0)=EOMONTH($DV$3,0),BS$26,0),0),IF(AND(BO$26&lt;&gt;"",BO$23&lt;&gt;""),IF(EOMONTH($BN$3+INT((DAY(EOMONTH($BN$3,0))-1)/2)+BO$23,0)=EOMONTH($DV$3,0),BO$26,0),0),IF(AND(BK$26&lt;&gt;"",BK$23&lt;&gt;""),IF(EOMONTH($BJ$3+INT((DAY(EOMONTH($BJ$3,0))-1)/2)+BK$23,0)=EOMONTH($DV$3,0),BK$26,0),0),IF(AND(BG$26&lt;&gt;"",BG$23&lt;&gt;""),IF(EOMONTH($BF$3+INT((DAY(EOMONTH($BF$3,0))-1)/2)+BG$23,0)=EOMONTH($DV$3,0),BG$26,0),0),IF(AND(BC$26&lt;&gt;"",BC$23&lt;&gt;""),IF(EOMONTH($BB$3+INT((DAY(EOMONTH($BB$3,0))-1)/2)+BC$23,0)=EOMONTH($DV$3,0),BC$26,0),0),IF(AND(AY$26&lt;&gt;"",AY$23&lt;&gt;""),IF(EOMONTH($AX$3+INT((DAY(EOMONTH($AX$3,0))-1)/2)+AY$23,0)=EOMONTH($DV$3,0),AY$26,0),0),IF(AND(AU$26&lt;&gt;"",AU$23&lt;&gt;""),IF(EOMONTH($AT$3+INT((DAY(EOMONTH($AT$3,0))-1)/2)+AU$23,0)=EOMONTH($DV$3,0),AU$26,0),0),IF(AND(AQ$26&lt;&gt;"",AQ$23&lt;&gt;""),IF(EOMONTH($AP$3+INT((DAY(EOMONTH($AP$3,0))-1)/2)+AQ$23,0)=EOMONTH($DV$3,0),AQ$26,0),0),IF(AND(AM$26&lt;&gt;"",AM$23&lt;&gt;""),IF(EOMONTH($AL$3+INT((DAY(EOMONTH($AL$3,0))-1)/2)+AM$23,0)=EOMONTH($DV$3,0),AM$26,0),0),IF(AND(AI$26&lt;&gt;"",AI$23&lt;&gt;""),IF(EOMONTH($AH$3+INT((DAY(EOMONTH($AH$3,0))-1)/2)+AI$23,0)=EOMONTH($DV$3,0),AI$26,0),0),IF(AND(AE$26&lt;&gt;"",AE$23&lt;&gt;""),IF(EOMONTH($AD$3+INT((DAY(EOMONTH($AD$3,0))-1)/2)+AE$23,0)=EOMONTH($DV$3,0),AE$26,0),0),IF(AND(AA$26&lt;&gt;"",AA$23&lt;&gt;""),IF(EOMONTH($Z$3+INT((DAY(EOMONTH($Z$3,0))-1)/2)+AA$23,0)=EOMONTH($DV$3,0),AA$26,0),0),IF(AND(W$26&lt;&gt;"",W$23&lt;&gt;""),IF(EOMONTH($V$3+INT((DAY(EOMONTH($V$3,0))-1)/2)+W$23,0)=EOMONTH($DV$3,0),W$26,0),0),IF(AND(S$26&lt;&gt;"",S$23&lt;&gt;""),IF(EOMONTH($R$3+INT((DAY(EOMONTH($R$3,0))-1)/2)+S$23,0)=EOMONTH($DV$3,0),S$26,0),0),IF(AND(O$26&lt;&gt;"",O$23&lt;&gt;""),IF(EOMONTH($N$3+INT((DAY(EOMONTH($N$3,0))-1)/2)+O$23,0)=EOMONTH($DV$3,0),O$26,0),0),IF(AND(K$26&lt;&gt;"",K$23&lt;&gt;""),IF(EOMONTH($J$3+INT((DAY(EOMONTH($J$3,0))-1)/2)+K$23,0)=EOMONTH($DV$3,0),K$26,0),0),IF(AND(G$26&lt;&gt;"",G$23&lt;&gt;""),IF(EOMONTH($F$3+INT((DAY(EOMONTH($F$3,0))-1)/2)+G$23,0)=EOMONTH($DV$3,0),G$26,0),0),IF($EP$75="",0,IF(EOMONTH($EP$75+EQ$23,0)=EOMONTH($DV$3,0),$EP$78*EQ$13,0))),0))</f>
        <v>88000</v>
      </c>
      <c r="DX57" s="32">
        <f>ROUND(SUM(IF(AND(ER$26&lt;&gt;"",ER$23&lt;&gt;""),IF(EOMONTH($EP$3+INT((DAY(EOMONTH($EP$3,0))-1)/2)+ER$23,0)=EOMONTH($DV$3,0),ER$26,0),0),IF(AND(EN$26&lt;&gt;"",EN$23&lt;&gt;""),IF(EOMONTH($EL$3+INT((DAY(EOMONTH($EL$3,0))-1)/2)+EN$23,0)=EOMONTH($DV$3,0),EN$26,0),0),IF(AND(EJ$26&lt;&gt;"",EJ$23&lt;&gt;""),IF(EOMONTH($EH$3+INT((DAY(EOMONTH($EH$3,0))-1)/2)+EJ$23,0)=EOMONTH($DV$3,0),EJ$26,0),0),IF(AND(EF$26&lt;&gt;"",EF$23&lt;&gt;""),IF(EOMONTH($ED$3+INT((DAY(EOMONTH($ED$3,0))-1)/2)+EF$23,0)=EOMONTH($DV$3,0),EF$26,0),0),IF(AND(EB$26&lt;&gt;"",EB$23&lt;&gt;""),IF(EOMONTH($DZ$3+INT((DAY(EOMONTH($DZ$3,0))-1)/2)+EB$23,0)=EOMONTH($DV$3,0),EB$26,0),0),IF(AND(DX$26&lt;&gt;"",DX$23&lt;&gt;""),IF(EOMONTH($DV$3+INT((DAY(EOMONTH($DV$3,0))-1)/2)+DX$23,0)=EOMONTH($DV$3,0),DX$26,0),0),IF(AND(DT$26&lt;&gt;"",DT$23&lt;&gt;""),IF(EOMONTH($DR$3+INT((DAY(EOMONTH($DR$3,0))-1)/2)+DT$23,0)=EOMONTH($DV$3,0),DT$26,0),0),IF(AND(DP$26&lt;&gt;"",DP$23&lt;&gt;""),IF(EOMONTH($DN$3+INT((DAY(EOMONTH($DN$3,0))-1)/2)+DP$23,0)=EOMONTH($DV$3,0),DP$26,0),0),IF(AND(DL$26&lt;&gt;"",DL$23&lt;&gt;""),IF(EOMONTH($DJ$3+INT((DAY(EOMONTH($DJ$3,0))-1)/2)+DL$23,0)=EOMONTH($DV$3,0),DL$26,0),0),IF(AND(DH$26&lt;&gt;"",DH$23&lt;&gt;""),IF(EOMONTH($DF$3+INT((DAY(EOMONTH($DF$3,0))-1)/2)+DH$23,0)=EOMONTH($DV$3,0),DH$26,0),0),IF(AND(DD$26&lt;&gt;"",DD$23&lt;&gt;""),IF(EOMONTH($DB$3+INT((DAY(EOMONTH($DB$3,0))-1)/2)+DD$23,0)=EOMONTH($DV$3,0),DD$26,0),0),IF(AND(CZ$26&lt;&gt;"",CZ$23&lt;&gt;""),IF(EOMONTH($CX$3+INT((DAY(EOMONTH($CX$3,0))-1)/2)+CZ$23,0)=EOMONTH($DV$3,0),CZ$26,0),0),IF(AND(CV$26&lt;&gt;"",CV$23&lt;&gt;""),IF(EOMONTH($CT$3+INT((DAY(EOMONTH($CT$3,0))-1)/2)+CV$23,0)=EOMONTH($DV$3,0),CV$26,0),0),IF(AND(CR$26&lt;&gt;"",CR$23&lt;&gt;""),IF(EOMONTH($CP$3+INT((DAY(EOMONTH($CP$3,0))-1)/2)+CR$23,0)=EOMONTH($DV$3,0),CR$26,0),0),IF(AND(CN$26&lt;&gt;"",CN$23&lt;&gt;""),IF(EOMONTH($CL$3+INT((DAY(EOMONTH($CL$3,0))-1)/2)+CN$23,0)=EOMONTH($DV$3,0),CN$26,0),0),IF(AND(CJ$26&lt;&gt;"",CJ$23&lt;&gt;""),IF(EOMONTH($CH$3+INT((DAY(EOMONTH($CH$3,0))-1)/2)+CJ$23,0)=EOMONTH($DV$3,0),CJ$26,0),0),IF(AND(CF$26&lt;&gt;"",CF$23&lt;&gt;""),IF(EOMONTH($CD$3+INT((DAY(EOMONTH($CD$3,0))-1)/2)+CF$23,0)=EOMONTH($DV$3,0),CF$26,0),0),IF(AND(CB$26&lt;&gt;"",CB$23&lt;&gt;""),IF(EOMONTH($BZ$3+INT((DAY(EOMONTH($BZ$3,0))-1)/2)+CB$23,0)=EOMONTH($DV$3,0),CB$26,0),0),IF(AND(BX$26&lt;&gt;"",BX$23&lt;&gt;""),IF(EOMONTH($BV$3+INT((DAY(EOMONTH($BV$3,0))-1)/2)+BX$23,0)=EOMONTH($DV$3,0),BX$26,0),0),IF(AND(BT$26&lt;&gt;"",BT$23&lt;&gt;""),IF(EOMONTH($BR$3+INT((DAY(EOMONTH($BR$3,0))-1)/2)+BT$23,0)=EOMONTH($DV$3,0),BT$26,0),0),IF(AND(BP$26&lt;&gt;"",BP$23&lt;&gt;""),IF(EOMONTH($BN$3+INT((DAY(EOMONTH($BN$3,0))-1)/2)+BP$23,0)=EOMONTH($DV$3,0),BP$26,0),0),IF(AND(BL$26&lt;&gt;"",BL$23&lt;&gt;""),IF(EOMONTH($BJ$3+INT((DAY(EOMONTH($BJ$3,0))-1)/2)+BL$23,0)=EOMONTH($DV$3,0),BL$26,0),0),IF(AND(BH$26&lt;&gt;"",BH$23&lt;&gt;""),IF(EOMONTH($BF$3+INT((DAY(EOMONTH($BF$3,0))-1)/2)+BH$23,0)=EOMONTH($DV$3,0),BH$26,0),0),IF(AND(BD$26&lt;&gt;"",BD$23&lt;&gt;""),IF(EOMONTH($BB$3+INT((DAY(EOMONTH($BB$3,0))-1)/2)+BD$23,0)=EOMONTH($DV$3,0),BD$26,0),0),IF(AND(AZ$26&lt;&gt;"",AZ$23&lt;&gt;""),IF(EOMONTH($AX$3+INT((DAY(EOMONTH($AX$3,0))-1)/2)+AZ$23,0)=EOMONTH($DV$3,0),AZ$26,0),0),IF(AND(AV$26&lt;&gt;"",AV$23&lt;&gt;""),IF(EOMONTH($AT$3+INT((DAY(EOMONTH($AT$3,0))-1)/2)+AV$23,0)=EOMONTH($DV$3,0),AV$26,0),0),IF(AND(AR$26&lt;&gt;"",AR$23&lt;&gt;""),IF(EOMONTH($AP$3+INT((DAY(EOMONTH($AP$3,0))-1)/2)+AR$23,0)=EOMONTH($DV$3,0),AR$26,0),0),IF(AND(AN$26&lt;&gt;"",AN$23&lt;&gt;""),IF(EOMONTH($AL$3+INT((DAY(EOMONTH($AL$3,0))-1)/2)+AN$23,0)=EOMONTH($DV$3,0),AN$26,0),0),IF(AND(AJ$26&lt;&gt;"",AJ$23&lt;&gt;""),IF(EOMONTH($AH$3+INT((DAY(EOMONTH($AH$3,0))-1)/2)+AJ$23,0)=EOMONTH($DV$3,0),AJ$26,0),0),IF(AND(AF$26&lt;&gt;"",AF$23&lt;&gt;""),IF(EOMONTH($AD$3+INT((DAY(EOMONTH($AD$3,0))-1)/2)+AF$23,0)=EOMONTH($DV$3,0),AF$26,0),0),IF(AND(AB$26&lt;&gt;"",AB$23&lt;&gt;""),IF(EOMONTH($Z$3+INT((DAY(EOMONTH($Z$3,0))-1)/2)+AB$23,0)=EOMONTH($DV$3,0),AB$26,0),0),IF(AND(X$26&lt;&gt;"",X$23&lt;&gt;""),IF(EOMONTH($V$3+INT((DAY(EOMONTH($V$3,0))-1)/2)+X$23,0)=EOMONTH($DV$3,0),X$26,0),0),IF(AND(T$26&lt;&gt;"",T$23&lt;&gt;""),IF(EOMONTH($R$3+INT((DAY(EOMONTH($R$3,0))-1)/2)+T$23,0)=EOMONTH($DV$3,0),T$26,0),0),IF(AND(P$26&lt;&gt;"",P$23&lt;&gt;""),IF(EOMONTH($N$3+INT((DAY(EOMONTH($N$3,0))-1)/2)+P$23,0)=EOMONTH($DV$3,0),P$26,0),0),IF(AND(L$26&lt;&gt;"",L$23&lt;&gt;""),IF(EOMONTH($J$3+INT((DAY(EOMONTH($J$3,0))-1)/2)+L$23,0)=EOMONTH($DV$3,0),L$26,0),0),IF(AND(H$26&lt;&gt;"",H$23&lt;&gt;""),IF(EOMONTH($F$3+INT((DAY(EOMONTH($F$3,0))-1)/2)+H$23,0)=EOMONTH($DV$3,0),H$26,0),0),IF($EP$75="",0,IF(EOMONTH($EP$75+ER$23,0)=EOMONTH($DV$3,0),$EP$78*ER$13,0))),0)</f>
        <v>88000</v>
      </c>
      <c r="DY57" s="33">
        <f t="shared" ref="DY57:DY70" si="762">IFERROR(IF(OR(DW57="",DX57=""),"",DW57-DX57),"")</f>
        <v>0</v>
      </c>
      <c r="DZ57" s="34"/>
      <c r="EA57" s="31">
        <f>IF(DZ$98=1,DZ57,ROUND(SUM(IF(AND(EQ$26&lt;&gt;"",EQ$23&lt;&gt;""),IF(EOMONTH($EP$3+INT((DAY(EOMONTH($EP$3,0))-1)/2)+EQ$23,0)=EOMONTH($DZ$3,0),EQ$26,0),0),IF(AND(EM$26&lt;&gt;"",EM$23&lt;&gt;""),IF(EOMONTH($EL$3+INT((DAY(EOMONTH($EL$3,0))-1)/2)+EM$23,0)=EOMONTH($DZ$3,0),EM$26,0),0),IF(AND(EI$26&lt;&gt;"",EI$23&lt;&gt;""),IF(EOMONTH($EH$3+INT((DAY(EOMONTH($EH$3,0))-1)/2)+EI$23,0)=EOMONTH($DZ$3,0),EI$26,0),0),IF(AND(EE$26&lt;&gt;"",EE$23&lt;&gt;""),IF(EOMONTH($ED$3+INT((DAY(EOMONTH($ED$3,0))-1)/2)+EE$23,0)=EOMONTH($DZ$3,0),EE$26,0),0),IF(AND(EA$26&lt;&gt;"",EA$23&lt;&gt;""),IF(EOMONTH($DZ$3+INT((DAY(EOMONTH($DZ$3,0))-1)/2)+EA$23,0)=EOMONTH($DZ$3,0),EA$26,0),0),IF(AND(DW$26&lt;&gt;"",DW$23&lt;&gt;""),IF(EOMONTH($DV$3+INT((DAY(EOMONTH($DV$3,0))-1)/2)+DW$23,0)=EOMONTH($DZ$3,0),DW$26,0),0),IF(AND(DS$26&lt;&gt;"",DS$23&lt;&gt;""),IF(EOMONTH($DR$3+INT((DAY(EOMONTH($DR$3,0))-1)/2)+DS$23,0)=EOMONTH($DZ$3,0),DS$26,0),0),IF(AND(DO$26&lt;&gt;"",DO$23&lt;&gt;""),IF(EOMONTH($DN$3+INT((DAY(EOMONTH($DN$3,0))-1)/2)+DO$23,0)=EOMONTH($DZ$3,0),DO$26,0),0),IF(AND(DK$26&lt;&gt;"",DK$23&lt;&gt;""),IF(EOMONTH($DJ$3+INT((DAY(EOMONTH($DJ$3,0))-1)/2)+DK$23,0)=EOMONTH($DZ$3,0),DK$26,0),0),IF(AND(DG$26&lt;&gt;"",DG$23&lt;&gt;""),IF(EOMONTH($DF$3+INT((DAY(EOMONTH($DF$3,0))-1)/2)+DG$23,0)=EOMONTH($DZ$3,0),DG$26,0),0),IF(AND(DC$26&lt;&gt;"",DC$23&lt;&gt;""),IF(EOMONTH($DB$3+INT((DAY(EOMONTH($DB$3,0))-1)/2)+DC$23,0)=EOMONTH($DZ$3,0),DC$26,0),0),IF(AND(CY$26&lt;&gt;"",CY$23&lt;&gt;""),IF(EOMONTH($CX$3+INT((DAY(EOMONTH($CX$3,0))-1)/2)+CY$23,0)=EOMONTH($DZ$3,0),CY$26,0),0),IF(AND(CU$26&lt;&gt;"",CU$23&lt;&gt;""),IF(EOMONTH($CT$3+INT((DAY(EOMONTH($CT$3,0))-1)/2)+CU$23,0)=EOMONTH($DZ$3,0),CU$26,0),0),IF(AND(CQ$26&lt;&gt;"",CQ$23&lt;&gt;""),IF(EOMONTH($CP$3+INT((DAY(EOMONTH($CP$3,0))-1)/2)+CQ$23,0)=EOMONTH($DZ$3,0),CQ$26,0),0),IF(AND(CM$26&lt;&gt;"",CM$23&lt;&gt;""),IF(EOMONTH($CL$3+INT((DAY(EOMONTH($CL$3,0))-1)/2)+CM$23,0)=EOMONTH($DZ$3,0),CM$26,0),0),IF(AND(CI$26&lt;&gt;"",CI$23&lt;&gt;""),IF(EOMONTH($CH$3+INT((DAY(EOMONTH($CH$3,0))-1)/2)+CI$23,0)=EOMONTH($DZ$3,0),CI$26,0),0),IF(AND(CE$26&lt;&gt;"",CE$23&lt;&gt;""),IF(EOMONTH($CD$3+INT((DAY(EOMONTH($CD$3,0))-1)/2)+CE$23,0)=EOMONTH($DZ$3,0),CE$26,0),0),IF(AND(CA$26&lt;&gt;"",CA$23&lt;&gt;""),IF(EOMONTH($BZ$3+INT((DAY(EOMONTH($BZ$3,0))-1)/2)+CA$23,0)=EOMONTH($DZ$3,0),CA$26,0),0),IF(AND(BW$26&lt;&gt;"",BW$23&lt;&gt;""),IF(EOMONTH($BV$3+INT((DAY(EOMONTH($BV$3,0))-1)/2)+BW$23,0)=EOMONTH($DZ$3,0),BW$26,0),0),IF(AND(BS$26&lt;&gt;"",BS$23&lt;&gt;""),IF(EOMONTH($BR$3+INT((DAY(EOMONTH($BR$3,0))-1)/2)+BS$23,0)=EOMONTH($DZ$3,0),BS$26,0),0),IF(AND(BO$26&lt;&gt;"",BO$23&lt;&gt;""),IF(EOMONTH($BN$3+INT((DAY(EOMONTH($BN$3,0))-1)/2)+BO$23,0)=EOMONTH($DZ$3,0),BO$26,0),0),IF(AND(BK$26&lt;&gt;"",BK$23&lt;&gt;""),IF(EOMONTH($BJ$3+INT((DAY(EOMONTH($BJ$3,0))-1)/2)+BK$23,0)=EOMONTH($DZ$3,0),BK$26,0),0),IF(AND(BG$26&lt;&gt;"",BG$23&lt;&gt;""),IF(EOMONTH($BF$3+INT((DAY(EOMONTH($BF$3,0))-1)/2)+BG$23,0)=EOMONTH($DZ$3,0),BG$26,0),0),IF(AND(BC$26&lt;&gt;"",BC$23&lt;&gt;""),IF(EOMONTH($BB$3+INT((DAY(EOMONTH($BB$3,0))-1)/2)+BC$23,0)=EOMONTH($DZ$3,0),BC$26,0),0),IF(AND(AY$26&lt;&gt;"",AY$23&lt;&gt;""),IF(EOMONTH($AX$3+INT((DAY(EOMONTH($AX$3,0))-1)/2)+AY$23,0)=EOMONTH($DZ$3,0),AY$26,0),0),IF(AND(AU$26&lt;&gt;"",AU$23&lt;&gt;""),IF(EOMONTH($AT$3+INT((DAY(EOMONTH($AT$3,0))-1)/2)+AU$23,0)=EOMONTH($DZ$3,0),AU$26,0),0),IF(AND(AQ$26&lt;&gt;"",AQ$23&lt;&gt;""),IF(EOMONTH($AP$3+INT((DAY(EOMONTH($AP$3,0))-1)/2)+AQ$23,0)=EOMONTH($DZ$3,0),AQ$26,0),0),IF(AND(AM$26&lt;&gt;"",AM$23&lt;&gt;""),IF(EOMONTH($AL$3+INT((DAY(EOMONTH($AL$3,0))-1)/2)+AM$23,0)=EOMONTH($DZ$3,0),AM$26,0),0),IF(AND(AI$26&lt;&gt;"",AI$23&lt;&gt;""),IF(EOMONTH($AH$3+INT((DAY(EOMONTH($AH$3,0))-1)/2)+AI$23,0)=EOMONTH($DZ$3,0),AI$26,0),0),IF(AND(AE$26&lt;&gt;"",AE$23&lt;&gt;""),IF(EOMONTH($AD$3+INT((DAY(EOMONTH($AD$3,0))-1)/2)+AE$23,0)=EOMONTH($DZ$3,0),AE$26,0),0),IF(AND(AA$26&lt;&gt;"",AA$23&lt;&gt;""),IF(EOMONTH($Z$3+INT((DAY(EOMONTH($Z$3,0))-1)/2)+AA$23,0)=EOMONTH($DZ$3,0),AA$26,0),0),IF(AND(W$26&lt;&gt;"",W$23&lt;&gt;""),IF(EOMONTH($V$3+INT((DAY(EOMONTH($V$3,0))-1)/2)+W$23,0)=EOMONTH($DZ$3,0),W$26,0),0),IF(AND(S$26&lt;&gt;"",S$23&lt;&gt;""),IF(EOMONTH($R$3+INT((DAY(EOMONTH($R$3,0))-1)/2)+S$23,0)=EOMONTH($DZ$3,0),S$26,0),0),IF(AND(O$26&lt;&gt;"",O$23&lt;&gt;""),IF(EOMONTH($N$3+INT((DAY(EOMONTH($N$3,0))-1)/2)+O$23,0)=EOMONTH($DZ$3,0),O$26,0),0),IF(AND(K$26&lt;&gt;"",K$23&lt;&gt;""),IF(EOMONTH($J$3+INT((DAY(EOMONTH($J$3,0))-1)/2)+K$23,0)=EOMONTH($DZ$3,0),K$26,0),0),IF(AND(G$26&lt;&gt;"",G$23&lt;&gt;""),IF(EOMONTH($F$3+INT((DAY(EOMONTH($F$3,0))-1)/2)+G$23,0)=EOMONTH($DZ$3,0),G$26,0),0),IF($EP$75="",0,IF(EOMONTH($EP$75+EQ$23,0)=EOMONTH($DZ$3,0),$EP$78*EQ$13,0))),0))</f>
        <v>64000</v>
      </c>
      <c r="EB57" s="32">
        <f>ROUND(SUM(IF(AND(ER$26&lt;&gt;"",ER$23&lt;&gt;""),IF(EOMONTH($EP$3+INT((DAY(EOMONTH($EP$3,0))-1)/2)+ER$23,0)=EOMONTH($DZ$3,0),ER$26,0),0),IF(AND(EN$26&lt;&gt;"",EN$23&lt;&gt;""),IF(EOMONTH($EL$3+INT((DAY(EOMONTH($EL$3,0))-1)/2)+EN$23,0)=EOMONTH($DZ$3,0),EN$26,0),0),IF(AND(EJ$26&lt;&gt;"",EJ$23&lt;&gt;""),IF(EOMONTH($EH$3+INT((DAY(EOMONTH($EH$3,0))-1)/2)+EJ$23,0)=EOMONTH($DZ$3,0),EJ$26,0),0),IF(AND(EF$26&lt;&gt;"",EF$23&lt;&gt;""),IF(EOMONTH($ED$3+INT((DAY(EOMONTH($ED$3,0))-1)/2)+EF$23,0)=EOMONTH($DZ$3,0),EF$26,0),0),IF(AND(EB$26&lt;&gt;"",EB$23&lt;&gt;""),IF(EOMONTH($DZ$3+INT((DAY(EOMONTH($DZ$3,0))-1)/2)+EB$23,0)=EOMONTH($DZ$3,0),EB$26,0),0),IF(AND(DX$26&lt;&gt;"",DX$23&lt;&gt;""),IF(EOMONTH($DV$3+INT((DAY(EOMONTH($DV$3,0))-1)/2)+DX$23,0)=EOMONTH($DZ$3,0),DX$26,0),0),IF(AND(DT$26&lt;&gt;"",DT$23&lt;&gt;""),IF(EOMONTH($DR$3+INT((DAY(EOMONTH($DR$3,0))-1)/2)+DT$23,0)=EOMONTH($DZ$3,0),DT$26,0),0),IF(AND(DP$26&lt;&gt;"",DP$23&lt;&gt;""),IF(EOMONTH($DN$3+INT((DAY(EOMONTH($DN$3,0))-1)/2)+DP$23,0)=EOMONTH($DZ$3,0),DP$26,0),0),IF(AND(DL$26&lt;&gt;"",DL$23&lt;&gt;""),IF(EOMONTH($DJ$3+INT((DAY(EOMONTH($DJ$3,0))-1)/2)+DL$23,0)=EOMONTH($DZ$3,0),DL$26,0),0),IF(AND(DH$26&lt;&gt;"",DH$23&lt;&gt;""),IF(EOMONTH($DF$3+INT((DAY(EOMONTH($DF$3,0))-1)/2)+DH$23,0)=EOMONTH($DZ$3,0),DH$26,0),0),IF(AND(DD$26&lt;&gt;"",DD$23&lt;&gt;""),IF(EOMONTH($DB$3+INT((DAY(EOMONTH($DB$3,0))-1)/2)+DD$23,0)=EOMONTH($DZ$3,0),DD$26,0),0),IF(AND(CZ$26&lt;&gt;"",CZ$23&lt;&gt;""),IF(EOMONTH($CX$3+INT((DAY(EOMONTH($CX$3,0))-1)/2)+CZ$23,0)=EOMONTH($DZ$3,0),CZ$26,0),0),IF(AND(CV$26&lt;&gt;"",CV$23&lt;&gt;""),IF(EOMONTH($CT$3+INT((DAY(EOMONTH($CT$3,0))-1)/2)+CV$23,0)=EOMONTH($DZ$3,0),CV$26,0),0),IF(AND(CR$26&lt;&gt;"",CR$23&lt;&gt;""),IF(EOMONTH($CP$3+INT((DAY(EOMONTH($CP$3,0))-1)/2)+CR$23,0)=EOMONTH($DZ$3,0),CR$26,0),0),IF(AND(CN$26&lt;&gt;"",CN$23&lt;&gt;""),IF(EOMONTH($CL$3+INT((DAY(EOMONTH($CL$3,0))-1)/2)+CN$23,0)=EOMONTH($DZ$3,0),CN$26,0),0),IF(AND(CJ$26&lt;&gt;"",CJ$23&lt;&gt;""),IF(EOMONTH($CH$3+INT((DAY(EOMONTH($CH$3,0))-1)/2)+CJ$23,0)=EOMONTH($DZ$3,0),CJ$26,0),0),IF(AND(CF$26&lt;&gt;"",CF$23&lt;&gt;""),IF(EOMONTH($CD$3+INT((DAY(EOMONTH($CD$3,0))-1)/2)+CF$23,0)=EOMONTH($DZ$3,0),CF$26,0),0),IF(AND(CB$26&lt;&gt;"",CB$23&lt;&gt;""),IF(EOMONTH($BZ$3+INT((DAY(EOMONTH($BZ$3,0))-1)/2)+CB$23,0)=EOMONTH($DZ$3,0),CB$26,0),0),IF(AND(BX$26&lt;&gt;"",BX$23&lt;&gt;""),IF(EOMONTH($BV$3+INT((DAY(EOMONTH($BV$3,0))-1)/2)+BX$23,0)=EOMONTH($DZ$3,0),BX$26,0),0),IF(AND(BT$26&lt;&gt;"",BT$23&lt;&gt;""),IF(EOMONTH($BR$3+INT((DAY(EOMONTH($BR$3,0))-1)/2)+BT$23,0)=EOMONTH($DZ$3,0),BT$26,0),0),IF(AND(BP$26&lt;&gt;"",BP$23&lt;&gt;""),IF(EOMONTH($BN$3+INT((DAY(EOMONTH($BN$3,0))-1)/2)+BP$23,0)=EOMONTH($DZ$3,0),BP$26,0),0),IF(AND(BL$26&lt;&gt;"",BL$23&lt;&gt;""),IF(EOMONTH($BJ$3+INT((DAY(EOMONTH($BJ$3,0))-1)/2)+BL$23,0)=EOMONTH($DZ$3,0),BL$26,0),0),IF(AND(BH$26&lt;&gt;"",BH$23&lt;&gt;""),IF(EOMONTH($BF$3+INT((DAY(EOMONTH($BF$3,0))-1)/2)+BH$23,0)=EOMONTH($DZ$3,0),BH$26,0),0),IF(AND(BD$26&lt;&gt;"",BD$23&lt;&gt;""),IF(EOMONTH($BB$3+INT((DAY(EOMONTH($BB$3,0))-1)/2)+BD$23,0)=EOMONTH($DZ$3,0),BD$26,0),0),IF(AND(AZ$26&lt;&gt;"",AZ$23&lt;&gt;""),IF(EOMONTH($AX$3+INT((DAY(EOMONTH($AX$3,0))-1)/2)+AZ$23,0)=EOMONTH($DZ$3,0),AZ$26,0),0),IF(AND(AV$26&lt;&gt;"",AV$23&lt;&gt;""),IF(EOMONTH($AT$3+INT((DAY(EOMONTH($AT$3,0))-1)/2)+AV$23,0)=EOMONTH($DZ$3,0),AV$26,0),0),IF(AND(AR$26&lt;&gt;"",AR$23&lt;&gt;""),IF(EOMONTH($AP$3+INT((DAY(EOMONTH($AP$3,0))-1)/2)+AR$23,0)=EOMONTH($DZ$3,0),AR$26,0),0),IF(AND(AN$26&lt;&gt;"",AN$23&lt;&gt;""),IF(EOMONTH($AL$3+INT((DAY(EOMONTH($AL$3,0))-1)/2)+AN$23,0)=EOMONTH($DZ$3,0),AN$26,0),0),IF(AND(AJ$26&lt;&gt;"",AJ$23&lt;&gt;""),IF(EOMONTH($AH$3+INT((DAY(EOMONTH($AH$3,0))-1)/2)+AJ$23,0)=EOMONTH($DZ$3,0),AJ$26,0),0),IF(AND(AF$26&lt;&gt;"",AF$23&lt;&gt;""),IF(EOMONTH($AD$3+INT((DAY(EOMONTH($AD$3,0))-1)/2)+AF$23,0)=EOMONTH($DZ$3,0),AF$26,0),0),IF(AND(AB$26&lt;&gt;"",AB$23&lt;&gt;""),IF(EOMONTH($Z$3+INT((DAY(EOMONTH($Z$3,0))-1)/2)+AB$23,0)=EOMONTH($DZ$3,0),AB$26,0),0),IF(AND(X$26&lt;&gt;"",X$23&lt;&gt;""),IF(EOMONTH($V$3+INT((DAY(EOMONTH($V$3,0))-1)/2)+X$23,0)=EOMONTH($DZ$3,0),X$26,0),0),IF(AND(T$26&lt;&gt;"",T$23&lt;&gt;""),IF(EOMONTH($R$3+INT((DAY(EOMONTH($R$3,0))-1)/2)+T$23,0)=EOMONTH($DZ$3,0),T$26,0),0),IF(AND(P$26&lt;&gt;"",P$23&lt;&gt;""),IF(EOMONTH($N$3+INT((DAY(EOMONTH($N$3,0))-1)/2)+P$23,0)=EOMONTH($DZ$3,0),P$26,0),0),IF(AND(L$26&lt;&gt;"",L$23&lt;&gt;""),IF(EOMONTH($J$3+INT((DAY(EOMONTH($J$3,0))-1)/2)+L$23,0)=EOMONTH($DZ$3,0),L$26,0),0),IF(AND(H$26&lt;&gt;"",H$23&lt;&gt;""),IF(EOMONTH($F$3+INT((DAY(EOMONTH($F$3,0))-1)/2)+H$23,0)=EOMONTH($DZ$3,0),H$26,0),0),IF($EP$75="",0,IF(EOMONTH($EP$75+ER$23,0)=EOMONTH($DZ$3,0),$EP$78*ER$13,0))),0)</f>
        <v>80000</v>
      </c>
      <c r="EC57" s="33">
        <f t="shared" ref="EC57:EC70" si="764">IFERROR(IF(OR(EA57="",EB57=""),"",EA57-EB57),"")</f>
        <v>-16000</v>
      </c>
      <c r="ED57" s="34"/>
      <c r="EE57" s="31">
        <f>IF(ED$98=1,ED57,ROUND(SUM(IF(AND(EQ$26&lt;&gt;"",EQ$23&lt;&gt;""),IF(EOMONTH($EP$3+INT((DAY(EOMONTH($EP$3,0))-1)/2)+EQ$23,0)=EOMONTH($ED$3,0),EQ$26,0),0),IF(AND(EM$26&lt;&gt;"",EM$23&lt;&gt;""),IF(EOMONTH($EL$3+INT((DAY(EOMONTH($EL$3,0))-1)/2)+EM$23,0)=EOMONTH($ED$3,0),EM$26,0),0),IF(AND(EI$26&lt;&gt;"",EI$23&lt;&gt;""),IF(EOMONTH($EH$3+INT((DAY(EOMONTH($EH$3,0))-1)/2)+EI$23,0)=EOMONTH($ED$3,0),EI$26,0),0),IF(AND(EE$26&lt;&gt;"",EE$23&lt;&gt;""),IF(EOMONTH($ED$3+INT((DAY(EOMONTH($ED$3,0))-1)/2)+EE$23,0)=EOMONTH($ED$3,0),EE$26,0),0),IF(AND(EA$26&lt;&gt;"",EA$23&lt;&gt;""),IF(EOMONTH($DZ$3+INT((DAY(EOMONTH($DZ$3,0))-1)/2)+EA$23,0)=EOMONTH($ED$3,0),EA$26,0),0),IF(AND(DW$26&lt;&gt;"",DW$23&lt;&gt;""),IF(EOMONTH($DV$3+INT((DAY(EOMONTH($DV$3,0))-1)/2)+DW$23,0)=EOMONTH($ED$3,0),DW$26,0),0),IF(AND(DS$26&lt;&gt;"",DS$23&lt;&gt;""),IF(EOMONTH($DR$3+INT((DAY(EOMONTH($DR$3,0))-1)/2)+DS$23,0)=EOMONTH($ED$3,0),DS$26,0),0),IF(AND(DO$26&lt;&gt;"",DO$23&lt;&gt;""),IF(EOMONTH($DN$3+INT((DAY(EOMONTH($DN$3,0))-1)/2)+DO$23,0)=EOMONTH($ED$3,0),DO$26,0),0),IF(AND(DK$26&lt;&gt;"",DK$23&lt;&gt;""),IF(EOMONTH($DJ$3+INT((DAY(EOMONTH($DJ$3,0))-1)/2)+DK$23,0)=EOMONTH($ED$3,0),DK$26,0),0),IF(AND(DG$26&lt;&gt;"",DG$23&lt;&gt;""),IF(EOMONTH($DF$3+INT((DAY(EOMONTH($DF$3,0))-1)/2)+DG$23,0)=EOMONTH($ED$3,0),DG$26,0),0),IF(AND(DC$26&lt;&gt;"",DC$23&lt;&gt;""),IF(EOMONTH($DB$3+INT((DAY(EOMONTH($DB$3,0))-1)/2)+DC$23,0)=EOMONTH($ED$3,0),DC$26,0),0),IF(AND(CY$26&lt;&gt;"",CY$23&lt;&gt;""),IF(EOMONTH($CX$3+INT((DAY(EOMONTH($CX$3,0))-1)/2)+CY$23,0)=EOMONTH($ED$3,0),CY$26,0),0),IF(AND(CU$26&lt;&gt;"",CU$23&lt;&gt;""),IF(EOMONTH($CT$3+INT((DAY(EOMONTH($CT$3,0))-1)/2)+CU$23,0)=EOMONTH($ED$3,0),CU$26,0),0),IF(AND(CQ$26&lt;&gt;"",CQ$23&lt;&gt;""),IF(EOMONTH($CP$3+INT((DAY(EOMONTH($CP$3,0))-1)/2)+CQ$23,0)=EOMONTH($ED$3,0),CQ$26,0),0),IF(AND(CM$26&lt;&gt;"",CM$23&lt;&gt;""),IF(EOMONTH($CL$3+INT((DAY(EOMONTH($CL$3,0))-1)/2)+CM$23,0)=EOMONTH($ED$3,0),CM$26,0),0),IF(AND(CI$26&lt;&gt;"",CI$23&lt;&gt;""),IF(EOMONTH($CH$3+INT((DAY(EOMONTH($CH$3,0))-1)/2)+CI$23,0)=EOMONTH($ED$3,0),CI$26,0),0),IF(AND(CE$26&lt;&gt;"",CE$23&lt;&gt;""),IF(EOMONTH($CD$3+INT((DAY(EOMONTH($CD$3,0))-1)/2)+CE$23,0)=EOMONTH($ED$3,0),CE$26,0),0),IF(AND(CA$26&lt;&gt;"",CA$23&lt;&gt;""),IF(EOMONTH($BZ$3+INT((DAY(EOMONTH($BZ$3,0))-1)/2)+CA$23,0)=EOMONTH($ED$3,0),CA$26,0),0),IF(AND(BW$26&lt;&gt;"",BW$23&lt;&gt;""),IF(EOMONTH($BV$3+INT((DAY(EOMONTH($BV$3,0))-1)/2)+BW$23,0)=EOMONTH($ED$3,0),BW$26,0),0),IF(AND(BS$26&lt;&gt;"",BS$23&lt;&gt;""),IF(EOMONTH($BR$3+INT((DAY(EOMONTH($BR$3,0))-1)/2)+BS$23,0)=EOMONTH($ED$3,0),BS$26,0),0),IF(AND(BO$26&lt;&gt;"",BO$23&lt;&gt;""),IF(EOMONTH($BN$3+INT((DAY(EOMONTH($BN$3,0))-1)/2)+BO$23,0)=EOMONTH($ED$3,0),BO$26,0),0),IF(AND(BK$26&lt;&gt;"",BK$23&lt;&gt;""),IF(EOMONTH($BJ$3+INT((DAY(EOMONTH($BJ$3,0))-1)/2)+BK$23,0)=EOMONTH($ED$3,0),BK$26,0),0),IF(AND(BG$26&lt;&gt;"",BG$23&lt;&gt;""),IF(EOMONTH($BF$3+INT((DAY(EOMONTH($BF$3,0))-1)/2)+BG$23,0)=EOMONTH($ED$3,0),BG$26,0),0),IF(AND(BC$26&lt;&gt;"",BC$23&lt;&gt;""),IF(EOMONTH($BB$3+INT((DAY(EOMONTH($BB$3,0))-1)/2)+BC$23,0)=EOMONTH($ED$3,0),BC$26,0),0),IF(AND(AY$26&lt;&gt;"",AY$23&lt;&gt;""),IF(EOMONTH($AX$3+INT((DAY(EOMONTH($AX$3,0))-1)/2)+AY$23,0)=EOMONTH($ED$3,0),AY$26,0),0),IF(AND(AU$26&lt;&gt;"",AU$23&lt;&gt;""),IF(EOMONTH($AT$3+INT((DAY(EOMONTH($AT$3,0))-1)/2)+AU$23,0)=EOMONTH($ED$3,0),AU$26,0),0),IF(AND(AQ$26&lt;&gt;"",AQ$23&lt;&gt;""),IF(EOMONTH($AP$3+INT((DAY(EOMONTH($AP$3,0))-1)/2)+AQ$23,0)=EOMONTH($ED$3,0),AQ$26,0),0),IF(AND(AM$26&lt;&gt;"",AM$23&lt;&gt;""),IF(EOMONTH($AL$3+INT((DAY(EOMONTH($AL$3,0))-1)/2)+AM$23,0)=EOMONTH($ED$3,0),AM$26,0),0),IF(AND(AI$26&lt;&gt;"",AI$23&lt;&gt;""),IF(EOMONTH($AH$3+INT((DAY(EOMONTH($AH$3,0))-1)/2)+AI$23,0)=EOMONTH($ED$3,0),AI$26,0),0),IF(AND(AE$26&lt;&gt;"",AE$23&lt;&gt;""),IF(EOMONTH($AD$3+INT((DAY(EOMONTH($AD$3,0))-1)/2)+AE$23,0)=EOMONTH($ED$3,0),AE$26,0),0),IF(AND(AA$26&lt;&gt;"",AA$23&lt;&gt;""),IF(EOMONTH($Z$3+INT((DAY(EOMONTH($Z$3,0))-1)/2)+AA$23,0)=EOMONTH($ED$3,0),AA$26,0),0),IF(AND(W$26&lt;&gt;"",W$23&lt;&gt;""),IF(EOMONTH($V$3+INT((DAY(EOMONTH($V$3,0))-1)/2)+W$23,0)=EOMONTH($ED$3,0),W$26,0),0),IF(AND(S$26&lt;&gt;"",S$23&lt;&gt;""),IF(EOMONTH($R$3+INT((DAY(EOMONTH($R$3,0))-1)/2)+S$23,0)=EOMONTH($ED$3,0),S$26,0),0),IF(AND(O$26&lt;&gt;"",O$23&lt;&gt;""),IF(EOMONTH($N$3+INT((DAY(EOMONTH($N$3,0))-1)/2)+O$23,0)=EOMONTH($ED$3,0),O$26,0),0),IF(AND(K$26&lt;&gt;"",K$23&lt;&gt;""),IF(EOMONTH($J$3+INT((DAY(EOMONTH($J$3,0))-1)/2)+K$23,0)=EOMONTH($ED$3,0),K$26,0),0),IF(AND(G$26&lt;&gt;"",G$23&lt;&gt;""),IF(EOMONTH($F$3+INT((DAY(EOMONTH($F$3,0))-1)/2)+G$23,0)=EOMONTH($ED$3,0),G$26,0),0),IF($EP$75="",0,IF(EOMONTH($EP$75+EQ$23,0)=EOMONTH($ED$3,0),$EP$78*EQ$13,0))),0))</f>
        <v>40000</v>
      </c>
      <c r="EF57" s="32">
        <f>ROUND(SUM(IF(AND(ER$26&lt;&gt;"",ER$23&lt;&gt;""),IF(EOMONTH($EP$3+INT((DAY(EOMONTH($EP$3,0))-1)/2)+ER$23,0)=EOMONTH($ED$3,0),ER$26,0),0),IF(AND(EN$26&lt;&gt;"",EN$23&lt;&gt;""),IF(EOMONTH($EL$3+INT((DAY(EOMONTH($EL$3,0))-1)/2)+EN$23,0)=EOMONTH($ED$3,0),EN$26,0),0),IF(AND(EJ$26&lt;&gt;"",EJ$23&lt;&gt;""),IF(EOMONTH($EH$3+INT((DAY(EOMONTH($EH$3,0))-1)/2)+EJ$23,0)=EOMONTH($ED$3,0),EJ$26,0),0),IF(AND(EF$26&lt;&gt;"",EF$23&lt;&gt;""),IF(EOMONTH($ED$3+INT((DAY(EOMONTH($ED$3,0))-1)/2)+EF$23,0)=EOMONTH($ED$3,0),EF$26,0),0),IF(AND(EB$26&lt;&gt;"",EB$23&lt;&gt;""),IF(EOMONTH($DZ$3+INT((DAY(EOMONTH($DZ$3,0))-1)/2)+EB$23,0)=EOMONTH($ED$3,0),EB$26,0),0),IF(AND(DX$26&lt;&gt;"",DX$23&lt;&gt;""),IF(EOMONTH($DV$3+INT((DAY(EOMONTH($DV$3,0))-1)/2)+DX$23,0)=EOMONTH($ED$3,0),DX$26,0),0),IF(AND(DT$26&lt;&gt;"",DT$23&lt;&gt;""),IF(EOMONTH($DR$3+INT((DAY(EOMONTH($DR$3,0))-1)/2)+DT$23,0)=EOMONTH($ED$3,0),DT$26,0),0),IF(AND(DP$26&lt;&gt;"",DP$23&lt;&gt;""),IF(EOMONTH($DN$3+INT((DAY(EOMONTH($DN$3,0))-1)/2)+DP$23,0)=EOMONTH($ED$3,0),DP$26,0),0),IF(AND(DL$26&lt;&gt;"",DL$23&lt;&gt;""),IF(EOMONTH($DJ$3+INT((DAY(EOMONTH($DJ$3,0))-1)/2)+DL$23,0)=EOMONTH($ED$3,0),DL$26,0),0),IF(AND(DH$26&lt;&gt;"",DH$23&lt;&gt;""),IF(EOMONTH($DF$3+INT((DAY(EOMONTH($DF$3,0))-1)/2)+DH$23,0)=EOMONTH($ED$3,0),DH$26,0),0),IF(AND(DD$26&lt;&gt;"",DD$23&lt;&gt;""),IF(EOMONTH($DB$3+INT((DAY(EOMONTH($DB$3,0))-1)/2)+DD$23,0)=EOMONTH($ED$3,0),DD$26,0),0),IF(AND(CZ$26&lt;&gt;"",CZ$23&lt;&gt;""),IF(EOMONTH($CX$3+INT((DAY(EOMONTH($CX$3,0))-1)/2)+CZ$23,0)=EOMONTH($ED$3,0),CZ$26,0),0),IF(AND(CV$26&lt;&gt;"",CV$23&lt;&gt;""),IF(EOMONTH($CT$3+INT((DAY(EOMONTH($CT$3,0))-1)/2)+CV$23,0)=EOMONTH($ED$3,0),CV$26,0),0),IF(AND(CR$26&lt;&gt;"",CR$23&lt;&gt;""),IF(EOMONTH($CP$3+INT((DAY(EOMONTH($CP$3,0))-1)/2)+CR$23,0)=EOMONTH($ED$3,0),CR$26,0),0),IF(AND(CN$26&lt;&gt;"",CN$23&lt;&gt;""),IF(EOMONTH($CL$3+INT((DAY(EOMONTH($CL$3,0))-1)/2)+CN$23,0)=EOMONTH($ED$3,0),CN$26,0),0),IF(AND(CJ$26&lt;&gt;"",CJ$23&lt;&gt;""),IF(EOMONTH($CH$3+INT((DAY(EOMONTH($CH$3,0))-1)/2)+CJ$23,0)=EOMONTH($ED$3,0),CJ$26,0),0),IF(AND(CF$26&lt;&gt;"",CF$23&lt;&gt;""),IF(EOMONTH($CD$3+INT((DAY(EOMONTH($CD$3,0))-1)/2)+CF$23,0)=EOMONTH($ED$3,0),CF$26,0),0),IF(AND(CB$26&lt;&gt;"",CB$23&lt;&gt;""),IF(EOMONTH($BZ$3+INT((DAY(EOMONTH($BZ$3,0))-1)/2)+CB$23,0)=EOMONTH($ED$3,0),CB$26,0),0),IF(AND(BX$26&lt;&gt;"",BX$23&lt;&gt;""),IF(EOMONTH($BV$3+INT((DAY(EOMONTH($BV$3,0))-1)/2)+BX$23,0)=EOMONTH($ED$3,0),BX$26,0),0),IF(AND(BT$26&lt;&gt;"",BT$23&lt;&gt;""),IF(EOMONTH($BR$3+INT((DAY(EOMONTH($BR$3,0))-1)/2)+BT$23,0)=EOMONTH($ED$3,0),BT$26,0),0),IF(AND(BP$26&lt;&gt;"",BP$23&lt;&gt;""),IF(EOMONTH($BN$3+INT((DAY(EOMONTH($BN$3,0))-1)/2)+BP$23,0)=EOMONTH($ED$3,0),BP$26,0),0),IF(AND(BL$26&lt;&gt;"",BL$23&lt;&gt;""),IF(EOMONTH($BJ$3+INT((DAY(EOMONTH($BJ$3,0))-1)/2)+BL$23,0)=EOMONTH($ED$3,0),BL$26,0),0),IF(AND(BH$26&lt;&gt;"",BH$23&lt;&gt;""),IF(EOMONTH($BF$3+INT((DAY(EOMONTH($BF$3,0))-1)/2)+BH$23,0)=EOMONTH($ED$3,0),BH$26,0),0),IF(AND(BD$26&lt;&gt;"",BD$23&lt;&gt;""),IF(EOMONTH($BB$3+INT((DAY(EOMONTH($BB$3,0))-1)/2)+BD$23,0)=EOMONTH($ED$3,0),BD$26,0),0),IF(AND(AZ$26&lt;&gt;"",AZ$23&lt;&gt;""),IF(EOMONTH($AX$3+INT((DAY(EOMONTH($AX$3,0))-1)/2)+AZ$23,0)=EOMONTH($ED$3,0),AZ$26,0),0),IF(AND(AV$26&lt;&gt;"",AV$23&lt;&gt;""),IF(EOMONTH($AT$3+INT((DAY(EOMONTH($AT$3,0))-1)/2)+AV$23,0)=EOMONTH($ED$3,0),AV$26,0),0),IF(AND(AR$26&lt;&gt;"",AR$23&lt;&gt;""),IF(EOMONTH($AP$3+INT((DAY(EOMONTH($AP$3,0))-1)/2)+AR$23,0)=EOMONTH($ED$3,0),AR$26,0),0),IF(AND(AN$26&lt;&gt;"",AN$23&lt;&gt;""),IF(EOMONTH($AL$3+INT((DAY(EOMONTH($AL$3,0))-1)/2)+AN$23,0)=EOMONTH($ED$3,0),AN$26,0),0),IF(AND(AJ$26&lt;&gt;"",AJ$23&lt;&gt;""),IF(EOMONTH($AH$3+INT((DAY(EOMONTH($AH$3,0))-1)/2)+AJ$23,0)=EOMONTH($ED$3,0),AJ$26,0),0),IF(AND(AF$26&lt;&gt;"",AF$23&lt;&gt;""),IF(EOMONTH($AD$3+INT((DAY(EOMONTH($AD$3,0))-1)/2)+AF$23,0)=EOMONTH($ED$3,0),AF$26,0),0),IF(AND(AB$26&lt;&gt;"",AB$23&lt;&gt;""),IF(EOMONTH($Z$3+INT((DAY(EOMONTH($Z$3,0))-1)/2)+AB$23,0)=EOMONTH($ED$3,0),AB$26,0),0),IF(AND(X$26&lt;&gt;"",X$23&lt;&gt;""),IF(EOMONTH($V$3+INT((DAY(EOMONTH($V$3,0))-1)/2)+X$23,0)=EOMONTH($ED$3,0),X$26,0),0),IF(AND(T$26&lt;&gt;"",T$23&lt;&gt;""),IF(EOMONTH($R$3+INT((DAY(EOMONTH($R$3,0))-1)/2)+T$23,0)=EOMONTH($ED$3,0),T$26,0),0),IF(AND(P$26&lt;&gt;"",P$23&lt;&gt;""),IF(EOMONTH($N$3+INT((DAY(EOMONTH($N$3,0))-1)/2)+P$23,0)=EOMONTH($ED$3,0),P$26,0),0),IF(AND(L$26&lt;&gt;"",L$23&lt;&gt;""),IF(EOMONTH($J$3+INT((DAY(EOMONTH($J$3,0))-1)/2)+L$23,0)=EOMONTH($ED$3,0),L$26,0),0),IF(AND(H$26&lt;&gt;"",H$23&lt;&gt;""),IF(EOMONTH($F$3+INT((DAY(EOMONTH($F$3,0))-1)/2)+H$23,0)=EOMONTH($ED$3,0),H$26,0),0),IF($EP$75="",0,IF(EOMONTH($EP$75+ER$23,0)=EOMONTH($ED$3,0),$EP$78*ER$13,0))),0)</f>
        <v>80000</v>
      </c>
      <c r="EG57" s="33">
        <f t="shared" ref="EG57:EG70" si="766">IFERROR(IF(OR(EE57="",EF57=""),"",EE57-EF57),"")</f>
        <v>-40000</v>
      </c>
      <c r="EH57" s="34"/>
      <c r="EI57" s="31">
        <f>IF(EH$98=1,EH57,ROUND(SUM(IF(AND(EQ$26&lt;&gt;"",EQ$23&lt;&gt;""),IF(EOMONTH($EP$3+INT((DAY(EOMONTH($EP$3,0))-1)/2)+EQ$23,0)=EOMONTH($EH$3,0),EQ$26,0),0),IF(AND(EM$26&lt;&gt;"",EM$23&lt;&gt;""),IF(EOMONTH($EL$3+INT((DAY(EOMONTH($EL$3,0))-1)/2)+EM$23,0)=EOMONTH($EH$3,0),EM$26,0),0),IF(AND(EI$26&lt;&gt;"",EI$23&lt;&gt;""),IF(EOMONTH($EH$3+INT((DAY(EOMONTH($EH$3,0))-1)/2)+EI$23,0)=EOMONTH($EH$3,0),EI$26,0),0),IF(AND(EE$26&lt;&gt;"",EE$23&lt;&gt;""),IF(EOMONTH($ED$3+INT((DAY(EOMONTH($ED$3,0))-1)/2)+EE$23,0)=EOMONTH($EH$3,0),EE$26,0),0),IF(AND(EA$26&lt;&gt;"",EA$23&lt;&gt;""),IF(EOMONTH($DZ$3+INT((DAY(EOMONTH($DZ$3,0))-1)/2)+EA$23,0)=EOMONTH($EH$3,0),EA$26,0),0),IF(AND(DW$26&lt;&gt;"",DW$23&lt;&gt;""),IF(EOMONTH($DV$3+INT((DAY(EOMONTH($DV$3,0))-1)/2)+DW$23,0)=EOMONTH($EH$3,0),DW$26,0),0),IF(AND(DS$26&lt;&gt;"",DS$23&lt;&gt;""),IF(EOMONTH($DR$3+INT((DAY(EOMONTH($DR$3,0))-1)/2)+DS$23,0)=EOMONTH($EH$3,0),DS$26,0),0),IF(AND(DO$26&lt;&gt;"",DO$23&lt;&gt;""),IF(EOMONTH($DN$3+INT((DAY(EOMONTH($DN$3,0))-1)/2)+DO$23,0)=EOMONTH($EH$3,0),DO$26,0),0),IF(AND(DK$26&lt;&gt;"",DK$23&lt;&gt;""),IF(EOMONTH($DJ$3+INT((DAY(EOMONTH($DJ$3,0))-1)/2)+DK$23,0)=EOMONTH($EH$3,0),DK$26,0),0),IF(AND(DG$26&lt;&gt;"",DG$23&lt;&gt;""),IF(EOMONTH($DF$3+INT((DAY(EOMONTH($DF$3,0))-1)/2)+DG$23,0)=EOMONTH($EH$3,0),DG$26,0),0),IF(AND(DC$26&lt;&gt;"",DC$23&lt;&gt;""),IF(EOMONTH($DB$3+INT((DAY(EOMONTH($DB$3,0))-1)/2)+DC$23,0)=EOMONTH($EH$3,0),DC$26,0),0),IF(AND(CY$26&lt;&gt;"",CY$23&lt;&gt;""),IF(EOMONTH($CX$3+INT((DAY(EOMONTH($CX$3,0))-1)/2)+CY$23,0)=EOMONTH($EH$3,0),CY$26,0),0),IF(AND(CU$26&lt;&gt;"",CU$23&lt;&gt;""),IF(EOMONTH($CT$3+INT((DAY(EOMONTH($CT$3,0))-1)/2)+CU$23,0)=EOMONTH($EH$3,0),CU$26,0),0),IF(AND(CQ$26&lt;&gt;"",CQ$23&lt;&gt;""),IF(EOMONTH($CP$3+INT((DAY(EOMONTH($CP$3,0))-1)/2)+CQ$23,0)=EOMONTH($EH$3,0),CQ$26,0),0),IF(AND(CM$26&lt;&gt;"",CM$23&lt;&gt;""),IF(EOMONTH($CL$3+INT((DAY(EOMONTH($CL$3,0))-1)/2)+CM$23,0)=EOMONTH($EH$3,0),CM$26,0),0),IF(AND(CI$26&lt;&gt;"",CI$23&lt;&gt;""),IF(EOMONTH($CH$3+INT((DAY(EOMONTH($CH$3,0))-1)/2)+CI$23,0)=EOMONTH($EH$3,0),CI$26,0),0),IF(AND(CE$26&lt;&gt;"",CE$23&lt;&gt;""),IF(EOMONTH($CD$3+INT((DAY(EOMONTH($CD$3,0))-1)/2)+CE$23,0)=EOMONTH($EH$3,0),CE$26,0),0),IF(AND(CA$26&lt;&gt;"",CA$23&lt;&gt;""),IF(EOMONTH($BZ$3+INT((DAY(EOMONTH($BZ$3,0))-1)/2)+CA$23,0)=EOMONTH($EH$3,0),CA$26,0),0),IF(AND(BW$26&lt;&gt;"",BW$23&lt;&gt;""),IF(EOMONTH($BV$3+INT((DAY(EOMONTH($BV$3,0))-1)/2)+BW$23,0)=EOMONTH($EH$3,0),BW$26,0),0),IF(AND(BS$26&lt;&gt;"",BS$23&lt;&gt;""),IF(EOMONTH($BR$3+INT((DAY(EOMONTH($BR$3,0))-1)/2)+BS$23,0)=EOMONTH($EH$3,0),BS$26,0),0),IF(AND(BO$26&lt;&gt;"",BO$23&lt;&gt;""),IF(EOMONTH($BN$3+INT((DAY(EOMONTH($BN$3,0))-1)/2)+BO$23,0)=EOMONTH($EH$3,0),BO$26,0),0),IF(AND(BK$26&lt;&gt;"",BK$23&lt;&gt;""),IF(EOMONTH($BJ$3+INT((DAY(EOMONTH($BJ$3,0))-1)/2)+BK$23,0)=EOMONTH($EH$3,0),BK$26,0),0),IF(AND(BG$26&lt;&gt;"",BG$23&lt;&gt;""),IF(EOMONTH($BF$3+INT((DAY(EOMONTH($BF$3,0))-1)/2)+BG$23,0)=EOMONTH($EH$3,0),BG$26,0),0),IF(AND(BC$26&lt;&gt;"",BC$23&lt;&gt;""),IF(EOMONTH($BB$3+INT((DAY(EOMONTH($BB$3,0))-1)/2)+BC$23,0)=EOMONTH($EH$3,0),BC$26,0),0),IF(AND(AY$26&lt;&gt;"",AY$23&lt;&gt;""),IF(EOMONTH($AX$3+INT((DAY(EOMONTH($AX$3,0))-1)/2)+AY$23,0)=EOMONTH($EH$3,0),AY$26,0),0),IF(AND(AU$26&lt;&gt;"",AU$23&lt;&gt;""),IF(EOMONTH($AT$3+INT((DAY(EOMONTH($AT$3,0))-1)/2)+AU$23,0)=EOMONTH($EH$3,0),AU$26,0),0),IF(AND(AQ$26&lt;&gt;"",AQ$23&lt;&gt;""),IF(EOMONTH($AP$3+INT((DAY(EOMONTH($AP$3,0))-1)/2)+AQ$23,0)=EOMONTH($EH$3,0),AQ$26,0),0),IF(AND(AM$26&lt;&gt;"",AM$23&lt;&gt;""),IF(EOMONTH($AL$3+INT((DAY(EOMONTH($AL$3,0))-1)/2)+AM$23,0)=EOMONTH($EH$3,0),AM$26,0),0),IF(AND(AI$26&lt;&gt;"",AI$23&lt;&gt;""),IF(EOMONTH($AH$3+INT((DAY(EOMONTH($AH$3,0))-1)/2)+AI$23,0)=EOMONTH($EH$3,0),AI$26,0),0),IF(AND(AE$26&lt;&gt;"",AE$23&lt;&gt;""),IF(EOMONTH($AD$3+INT((DAY(EOMONTH($AD$3,0))-1)/2)+AE$23,0)=EOMONTH($EH$3,0),AE$26,0),0),IF(AND(AA$26&lt;&gt;"",AA$23&lt;&gt;""),IF(EOMONTH($Z$3+INT((DAY(EOMONTH($Z$3,0))-1)/2)+AA$23,0)=EOMONTH($EH$3,0),AA$26,0),0),IF(AND(W$26&lt;&gt;"",W$23&lt;&gt;""),IF(EOMONTH($V$3+INT((DAY(EOMONTH($V$3,0))-1)/2)+W$23,0)=EOMONTH($EH$3,0),W$26,0),0),IF(AND(S$26&lt;&gt;"",S$23&lt;&gt;""),IF(EOMONTH($R$3+INT((DAY(EOMONTH($R$3,0))-1)/2)+S$23,0)=EOMONTH($EH$3,0),S$26,0),0),IF(AND(O$26&lt;&gt;"",O$23&lt;&gt;""),IF(EOMONTH($N$3+INT((DAY(EOMONTH($N$3,0))-1)/2)+O$23,0)=EOMONTH($EH$3,0),O$26,0),0),IF(AND(K$26&lt;&gt;"",K$23&lt;&gt;""),IF(EOMONTH($J$3+INT((DAY(EOMONTH($J$3,0))-1)/2)+K$23,0)=EOMONTH($EH$3,0),K$26,0),0),IF(AND(G$26&lt;&gt;"",G$23&lt;&gt;""),IF(EOMONTH($F$3+INT((DAY(EOMONTH($F$3,0))-1)/2)+G$23,0)=EOMONTH($EH$3,0),G$26,0),0),IF($EP$75="",0,IF(EOMONTH($EP$75+EQ$23,0)=EOMONTH($EH$3,0),$EP$78*EQ$13,0))),0))</f>
        <v>50000</v>
      </c>
      <c r="EJ57" s="32">
        <f>ROUND(SUM(IF(AND(ER$26&lt;&gt;"",ER$23&lt;&gt;""),IF(EOMONTH($EP$3+INT((DAY(EOMONTH($EP$3,0))-1)/2)+ER$23,0)=EOMONTH($EH$3,0),ER$26,0),0),IF(AND(EN$26&lt;&gt;"",EN$23&lt;&gt;""),IF(EOMONTH($EL$3+INT((DAY(EOMONTH($EL$3,0))-1)/2)+EN$23,0)=EOMONTH($EH$3,0),EN$26,0),0),IF(AND(EJ$26&lt;&gt;"",EJ$23&lt;&gt;""),IF(EOMONTH($EH$3+INT((DAY(EOMONTH($EH$3,0))-1)/2)+EJ$23,0)=EOMONTH($EH$3,0),EJ$26,0),0),IF(AND(EF$26&lt;&gt;"",EF$23&lt;&gt;""),IF(EOMONTH($ED$3+INT((DAY(EOMONTH($ED$3,0))-1)/2)+EF$23,0)=EOMONTH($EH$3,0),EF$26,0),0),IF(AND(EB$26&lt;&gt;"",EB$23&lt;&gt;""),IF(EOMONTH($DZ$3+INT((DAY(EOMONTH($DZ$3,0))-1)/2)+EB$23,0)=EOMONTH($EH$3,0),EB$26,0),0),IF(AND(DX$26&lt;&gt;"",DX$23&lt;&gt;""),IF(EOMONTH($DV$3+INT((DAY(EOMONTH($DV$3,0))-1)/2)+DX$23,0)=EOMONTH($EH$3,0),DX$26,0),0),IF(AND(DT$26&lt;&gt;"",DT$23&lt;&gt;""),IF(EOMONTH($DR$3+INT((DAY(EOMONTH($DR$3,0))-1)/2)+DT$23,0)=EOMONTH($EH$3,0),DT$26,0),0),IF(AND(DP$26&lt;&gt;"",DP$23&lt;&gt;""),IF(EOMONTH($DN$3+INT((DAY(EOMONTH($DN$3,0))-1)/2)+DP$23,0)=EOMONTH($EH$3,0),DP$26,0),0),IF(AND(DL$26&lt;&gt;"",DL$23&lt;&gt;""),IF(EOMONTH($DJ$3+INT((DAY(EOMONTH($DJ$3,0))-1)/2)+DL$23,0)=EOMONTH($EH$3,0),DL$26,0),0),IF(AND(DH$26&lt;&gt;"",DH$23&lt;&gt;""),IF(EOMONTH($DF$3+INT((DAY(EOMONTH($DF$3,0))-1)/2)+DH$23,0)=EOMONTH($EH$3,0),DH$26,0),0),IF(AND(DD$26&lt;&gt;"",DD$23&lt;&gt;""),IF(EOMONTH($DB$3+INT((DAY(EOMONTH($DB$3,0))-1)/2)+DD$23,0)=EOMONTH($EH$3,0),DD$26,0),0),IF(AND(CZ$26&lt;&gt;"",CZ$23&lt;&gt;""),IF(EOMONTH($CX$3+INT((DAY(EOMONTH($CX$3,0))-1)/2)+CZ$23,0)=EOMONTH($EH$3,0),CZ$26,0),0),IF(AND(CV$26&lt;&gt;"",CV$23&lt;&gt;""),IF(EOMONTH($CT$3+INT((DAY(EOMONTH($CT$3,0))-1)/2)+CV$23,0)=EOMONTH($EH$3,0),CV$26,0),0),IF(AND(CR$26&lt;&gt;"",CR$23&lt;&gt;""),IF(EOMONTH($CP$3+INT((DAY(EOMONTH($CP$3,0))-1)/2)+CR$23,0)=EOMONTH($EH$3,0),CR$26,0),0),IF(AND(CN$26&lt;&gt;"",CN$23&lt;&gt;""),IF(EOMONTH($CL$3+INT((DAY(EOMONTH($CL$3,0))-1)/2)+CN$23,0)=EOMONTH($EH$3,0),CN$26,0),0),IF(AND(CJ$26&lt;&gt;"",CJ$23&lt;&gt;""),IF(EOMONTH($CH$3+INT((DAY(EOMONTH($CH$3,0))-1)/2)+CJ$23,0)=EOMONTH($EH$3,0),CJ$26,0),0),IF(AND(CF$26&lt;&gt;"",CF$23&lt;&gt;""),IF(EOMONTH($CD$3+INT((DAY(EOMONTH($CD$3,0))-1)/2)+CF$23,0)=EOMONTH($EH$3,0),CF$26,0),0),IF(AND(CB$26&lt;&gt;"",CB$23&lt;&gt;""),IF(EOMONTH($BZ$3+INT((DAY(EOMONTH($BZ$3,0))-1)/2)+CB$23,0)=EOMONTH($EH$3,0),CB$26,0),0),IF(AND(BX$26&lt;&gt;"",BX$23&lt;&gt;""),IF(EOMONTH($BV$3+INT((DAY(EOMONTH($BV$3,0))-1)/2)+BX$23,0)=EOMONTH($EH$3,0),BX$26,0),0),IF(AND(BT$26&lt;&gt;"",BT$23&lt;&gt;""),IF(EOMONTH($BR$3+INT((DAY(EOMONTH($BR$3,0))-1)/2)+BT$23,0)=EOMONTH($EH$3,0),BT$26,0),0),IF(AND(BP$26&lt;&gt;"",BP$23&lt;&gt;""),IF(EOMONTH($BN$3+INT((DAY(EOMONTH($BN$3,0))-1)/2)+BP$23,0)=EOMONTH($EH$3,0),BP$26,0),0),IF(AND(BL$26&lt;&gt;"",BL$23&lt;&gt;""),IF(EOMONTH($BJ$3+INT((DAY(EOMONTH($BJ$3,0))-1)/2)+BL$23,0)=EOMONTH($EH$3,0),BL$26,0),0),IF(AND(BH$26&lt;&gt;"",BH$23&lt;&gt;""),IF(EOMONTH($BF$3+INT((DAY(EOMONTH($BF$3,0))-1)/2)+BH$23,0)=EOMONTH($EH$3,0),BH$26,0),0),IF(AND(BD$26&lt;&gt;"",BD$23&lt;&gt;""),IF(EOMONTH($BB$3+INT((DAY(EOMONTH($BB$3,0))-1)/2)+BD$23,0)=EOMONTH($EH$3,0),BD$26,0),0),IF(AND(AZ$26&lt;&gt;"",AZ$23&lt;&gt;""),IF(EOMONTH($AX$3+INT((DAY(EOMONTH($AX$3,0))-1)/2)+AZ$23,0)=EOMONTH($EH$3,0),AZ$26,0),0),IF(AND(AV$26&lt;&gt;"",AV$23&lt;&gt;""),IF(EOMONTH($AT$3+INT((DAY(EOMONTH($AT$3,0))-1)/2)+AV$23,0)=EOMONTH($EH$3,0),AV$26,0),0),IF(AND(AR$26&lt;&gt;"",AR$23&lt;&gt;""),IF(EOMONTH($AP$3+INT((DAY(EOMONTH($AP$3,0))-1)/2)+AR$23,0)=EOMONTH($EH$3,0),AR$26,0),0),IF(AND(AN$26&lt;&gt;"",AN$23&lt;&gt;""),IF(EOMONTH($AL$3+INT((DAY(EOMONTH($AL$3,0))-1)/2)+AN$23,0)=EOMONTH($EH$3,0),AN$26,0),0),IF(AND(AJ$26&lt;&gt;"",AJ$23&lt;&gt;""),IF(EOMONTH($AH$3+INT((DAY(EOMONTH($AH$3,0))-1)/2)+AJ$23,0)=EOMONTH($EH$3,0),AJ$26,0),0),IF(AND(AF$26&lt;&gt;"",AF$23&lt;&gt;""),IF(EOMONTH($AD$3+INT((DAY(EOMONTH($AD$3,0))-1)/2)+AF$23,0)=EOMONTH($EH$3,0),AF$26,0),0),IF(AND(AB$26&lt;&gt;"",AB$23&lt;&gt;""),IF(EOMONTH($Z$3+INT((DAY(EOMONTH($Z$3,0))-1)/2)+AB$23,0)=EOMONTH($EH$3,0),AB$26,0),0),IF(AND(X$26&lt;&gt;"",X$23&lt;&gt;""),IF(EOMONTH($V$3+INT((DAY(EOMONTH($V$3,0))-1)/2)+X$23,0)=EOMONTH($EH$3,0),X$26,0),0),IF(AND(T$26&lt;&gt;"",T$23&lt;&gt;""),IF(EOMONTH($R$3+INT((DAY(EOMONTH($R$3,0))-1)/2)+T$23,0)=EOMONTH($EH$3,0),T$26,0),0),IF(AND(P$26&lt;&gt;"",P$23&lt;&gt;""),IF(EOMONTH($N$3+INT((DAY(EOMONTH($N$3,0))-1)/2)+P$23,0)=EOMONTH($EH$3,0),P$26,0),0),IF(AND(L$26&lt;&gt;"",L$23&lt;&gt;""),IF(EOMONTH($J$3+INT((DAY(EOMONTH($J$3,0))-1)/2)+L$23,0)=EOMONTH($EH$3,0),L$26,0),0),IF(AND(H$26&lt;&gt;"",H$23&lt;&gt;""),IF(EOMONTH($F$3+INT((DAY(EOMONTH($F$3,0))-1)/2)+H$23,0)=EOMONTH($EH$3,0),H$26,0),0),IF($EP$75="",0,IF(EOMONTH($EP$75+ER$23,0)=EOMONTH($EH$3,0),$EP$78*ER$13,0))),0)</f>
        <v>80000</v>
      </c>
      <c r="EK57" s="33">
        <f t="shared" ref="EK57:EK70" si="768">IFERROR(IF(OR(EI57="",EJ57=""),"",EI57-EJ57),"")</f>
        <v>-30000</v>
      </c>
      <c r="EL57" s="34">
        <v>60000.0</v>
      </c>
      <c r="EM57" s="31">
        <f>IF(EL$98=1,EL57,ROUND(SUM(IF(AND(EQ$26&lt;&gt;"",EQ$23&lt;&gt;""),IF(EOMONTH($EP$3+INT((DAY(EOMONTH($EP$3,0))-1)/2)+EQ$23,0)=EOMONTH($EL$3,0),EQ$26,0),0),IF(AND(EM$26&lt;&gt;"",EM$23&lt;&gt;""),IF(EOMONTH($EL$3+INT((DAY(EOMONTH($EL$3,0))-1)/2)+EM$23,0)=EOMONTH($EL$3,0),EM$26,0),0),IF(AND(EI$26&lt;&gt;"",EI$23&lt;&gt;""),IF(EOMONTH($EH$3+INT((DAY(EOMONTH($EH$3,0))-1)/2)+EI$23,0)=EOMONTH($EL$3,0),EI$26,0),0),IF(AND(EE$26&lt;&gt;"",EE$23&lt;&gt;""),IF(EOMONTH($ED$3+INT((DAY(EOMONTH($ED$3,0))-1)/2)+EE$23,0)=EOMONTH($EL$3,0),EE$26,0),0),IF(AND(EA$26&lt;&gt;"",EA$23&lt;&gt;""),IF(EOMONTH($DZ$3+INT((DAY(EOMONTH($DZ$3,0))-1)/2)+EA$23,0)=EOMONTH($EL$3,0),EA$26,0),0),IF(AND(DW$26&lt;&gt;"",DW$23&lt;&gt;""),IF(EOMONTH($DV$3+INT((DAY(EOMONTH($DV$3,0))-1)/2)+DW$23,0)=EOMONTH($EL$3,0),DW$26,0),0),IF(AND(DS$26&lt;&gt;"",DS$23&lt;&gt;""),IF(EOMONTH($DR$3+INT((DAY(EOMONTH($DR$3,0))-1)/2)+DS$23,0)=EOMONTH($EL$3,0),DS$26,0),0),IF(AND(DO$26&lt;&gt;"",DO$23&lt;&gt;""),IF(EOMONTH($DN$3+INT((DAY(EOMONTH($DN$3,0))-1)/2)+DO$23,0)=EOMONTH($EL$3,0),DO$26,0),0),IF(AND(DK$26&lt;&gt;"",DK$23&lt;&gt;""),IF(EOMONTH($DJ$3+INT((DAY(EOMONTH($DJ$3,0))-1)/2)+DK$23,0)=EOMONTH($EL$3,0),DK$26,0),0),IF(AND(DG$26&lt;&gt;"",DG$23&lt;&gt;""),IF(EOMONTH($DF$3+INT((DAY(EOMONTH($DF$3,0))-1)/2)+DG$23,0)=EOMONTH($EL$3,0),DG$26,0),0),IF(AND(DC$26&lt;&gt;"",DC$23&lt;&gt;""),IF(EOMONTH($DB$3+INT((DAY(EOMONTH($DB$3,0))-1)/2)+DC$23,0)=EOMONTH($EL$3,0),DC$26,0),0),IF(AND(CY$26&lt;&gt;"",CY$23&lt;&gt;""),IF(EOMONTH($CX$3+INT((DAY(EOMONTH($CX$3,0))-1)/2)+CY$23,0)=EOMONTH($EL$3,0),CY$26,0),0),IF(AND(CU$26&lt;&gt;"",CU$23&lt;&gt;""),IF(EOMONTH($CT$3+INT((DAY(EOMONTH($CT$3,0))-1)/2)+CU$23,0)=EOMONTH($EL$3,0),CU$26,0),0),IF(AND(CQ$26&lt;&gt;"",CQ$23&lt;&gt;""),IF(EOMONTH($CP$3+INT((DAY(EOMONTH($CP$3,0))-1)/2)+CQ$23,0)=EOMONTH($EL$3,0),CQ$26,0),0),IF(AND(CM$26&lt;&gt;"",CM$23&lt;&gt;""),IF(EOMONTH($CL$3+INT((DAY(EOMONTH($CL$3,0))-1)/2)+CM$23,0)=EOMONTH($EL$3,0),CM$26,0),0),IF(AND(CI$26&lt;&gt;"",CI$23&lt;&gt;""),IF(EOMONTH($CH$3+INT((DAY(EOMONTH($CH$3,0))-1)/2)+CI$23,0)=EOMONTH($EL$3,0),CI$26,0),0),IF(AND(CE$26&lt;&gt;"",CE$23&lt;&gt;""),IF(EOMONTH($CD$3+INT((DAY(EOMONTH($CD$3,0))-1)/2)+CE$23,0)=EOMONTH($EL$3,0),CE$26,0),0),IF(AND(CA$26&lt;&gt;"",CA$23&lt;&gt;""),IF(EOMONTH($BZ$3+INT((DAY(EOMONTH($BZ$3,0))-1)/2)+CA$23,0)=EOMONTH($EL$3,0),CA$26,0),0),IF(AND(BW$26&lt;&gt;"",BW$23&lt;&gt;""),IF(EOMONTH($BV$3+INT((DAY(EOMONTH($BV$3,0))-1)/2)+BW$23,0)=EOMONTH($EL$3,0),BW$26,0),0),IF(AND(BS$26&lt;&gt;"",BS$23&lt;&gt;""),IF(EOMONTH($BR$3+INT((DAY(EOMONTH($BR$3,0))-1)/2)+BS$23,0)=EOMONTH($EL$3,0),BS$26,0),0),IF(AND(BO$26&lt;&gt;"",BO$23&lt;&gt;""),IF(EOMONTH($BN$3+INT((DAY(EOMONTH($BN$3,0))-1)/2)+BO$23,0)=EOMONTH($EL$3,0),BO$26,0),0),IF(AND(BK$26&lt;&gt;"",BK$23&lt;&gt;""),IF(EOMONTH($BJ$3+INT((DAY(EOMONTH($BJ$3,0))-1)/2)+BK$23,0)=EOMONTH($EL$3,0),BK$26,0),0),IF(AND(BG$26&lt;&gt;"",BG$23&lt;&gt;""),IF(EOMONTH($BF$3+INT((DAY(EOMONTH($BF$3,0))-1)/2)+BG$23,0)=EOMONTH($EL$3,0),BG$26,0),0),IF(AND(BC$26&lt;&gt;"",BC$23&lt;&gt;""),IF(EOMONTH($BB$3+INT((DAY(EOMONTH($BB$3,0))-1)/2)+BC$23,0)=EOMONTH($EL$3,0),BC$26,0),0),IF(AND(AY$26&lt;&gt;"",AY$23&lt;&gt;""),IF(EOMONTH($AX$3+INT((DAY(EOMONTH($AX$3,0))-1)/2)+AY$23,0)=EOMONTH($EL$3,0),AY$26,0),0),IF(AND(AU$26&lt;&gt;"",AU$23&lt;&gt;""),IF(EOMONTH($AT$3+INT((DAY(EOMONTH($AT$3,0))-1)/2)+AU$23,0)=EOMONTH($EL$3,0),AU$26,0),0),IF(AND(AQ$26&lt;&gt;"",AQ$23&lt;&gt;""),IF(EOMONTH($AP$3+INT((DAY(EOMONTH($AP$3,0))-1)/2)+AQ$23,0)=EOMONTH($EL$3,0),AQ$26,0),0),IF(AND(AM$26&lt;&gt;"",AM$23&lt;&gt;""),IF(EOMONTH($AL$3+INT((DAY(EOMONTH($AL$3,0))-1)/2)+AM$23,0)=EOMONTH($EL$3,0),AM$26,0),0),IF(AND(AI$26&lt;&gt;"",AI$23&lt;&gt;""),IF(EOMONTH($AH$3+INT((DAY(EOMONTH($AH$3,0))-1)/2)+AI$23,0)=EOMONTH($EL$3,0),AI$26,0),0),IF(AND(AE$26&lt;&gt;"",AE$23&lt;&gt;""),IF(EOMONTH($AD$3+INT((DAY(EOMONTH($AD$3,0))-1)/2)+AE$23,0)=EOMONTH($EL$3,0),AE$26,0),0),IF(AND(AA$26&lt;&gt;"",AA$23&lt;&gt;""),IF(EOMONTH($Z$3+INT((DAY(EOMONTH($Z$3,0))-1)/2)+AA$23,0)=EOMONTH($EL$3,0),AA$26,0),0),IF(AND(W$26&lt;&gt;"",W$23&lt;&gt;""),IF(EOMONTH($V$3+INT((DAY(EOMONTH($V$3,0))-1)/2)+W$23,0)=EOMONTH($EL$3,0),W$26,0),0),IF(AND(S$26&lt;&gt;"",S$23&lt;&gt;""),IF(EOMONTH($R$3+INT((DAY(EOMONTH($R$3,0))-1)/2)+S$23,0)=EOMONTH($EL$3,0),S$26,0),0),IF(AND(O$26&lt;&gt;"",O$23&lt;&gt;""),IF(EOMONTH($N$3+INT((DAY(EOMONTH($N$3,0))-1)/2)+O$23,0)=EOMONTH($EL$3,0),O$26,0),0),IF(AND(K$26&lt;&gt;"",K$23&lt;&gt;""),IF(EOMONTH($J$3+INT((DAY(EOMONTH($J$3,0))-1)/2)+K$23,0)=EOMONTH($EL$3,0),K$26,0),0),IF(AND(G$26&lt;&gt;"",G$23&lt;&gt;""),IF(EOMONTH($F$3+INT((DAY(EOMONTH($F$3,0))-1)/2)+G$23,0)=EOMONTH($EL$3,0),G$26,0),0),IF($EP$75="",0,IF(EOMONTH($EP$75+EQ$23,0)=EOMONTH($EL$3,0),$EP$78*EQ$13,0))),0))</f>
        <v>60000</v>
      </c>
      <c r="EN57" s="32">
        <f>ROUND(SUM(IF(AND(ER$26&lt;&gt;"",ER$23&lt;&gt;""),IF(EOMONTH($EP$3+INT((DAY(EOMONTH($EP$3,0))-1)/2)+ER$23,0)=EOMONTH($EL$3,0),ER$26,0),0),IF(AND(EN$26&lt;&gt;"",EN$23&lt;&gt;""),IF(EOMONTH($EL$3+INT((DAY(EOMONTH($EL$3,0))-1)/2)+EN$23,0)=EOMONTH($EL$3,0),EN$26,0),0),IF(AND(EJ$26&lt;&gt;"",EJ$23&lt;&gt;""),IF(EOMONTH($EH$3+INT((DAY(EOMONTH($EH$3,0))-1)/2)+EJ$23,0)=EOMONTH($EL$3,0),EJ$26,0),0),IF(AND(EF$26&lt;&gt;"",EF$23&lt;&gt;""),IF(EOMONTH($ED$3+INT((DAY(EOMONTH($ED$3,0))-1)/2)+EF$23,0)=EOMONTH($EL$3,0),EF$26,0),0),IF(AND(EB$26&lt;&gt;"",EB$23&lt;&gt;""),IF(EOMONTH($DZ$3+INT((DAY(EOMONTH($DZ$3,0))-1)/2)+EB$23,0)=EOMONTH($EL$3,0),EB$26,0),0),IF(AND(DX$26&lt;&gt;"",DX$23&lt;&gt;""),IF(EOMONTH($DV$3+INT((DAY(EOMONTH($DV$3,0))-1)/2)+DX$23,0)=EOMONTH($EL$3,0),DX$26,0),0),IF(AND(DT$26&lt;&gt;"",DT$23&lt;&gt;""),IF(EOMONTH($DR$3+INT((DAY(EOMONTH($DR$3,0))-1)/2)+DT$23,0)=EOMONTH($EL$3,0),DT$26,0),0),IF(AND(DP$26&lt;&gt;"",DP$23&lt;&gt;""),IF(EOMONTH($DN$3+INT((DAY(EOMONTH($DN$3,0))-1)/2)+DP$23,0)=EOMONTH($EL$3,0),DP$26,0),0),IF(AND(DL$26&lt;&gt;"",DL$23&lt;&gt;""),IF(EOMONTH($DJ$3+INT((DAY(EOMONTH($DJ$3,0))-1)/2)+DL$23,0)=EOMONTH($EL$3,0),DL$26,0),0),IF(AND(DH$26&lt;&gt;"",DH$23&lt;&gt;""),IF(EOMONTH($DF$3+INT((DAY(EOMONTH($DF$3,0))-1)/2)+DH$23,0)=EOMONTH($EL$3,0),DH$26,0),0),IF(AND(DD$26&lt;&gt;"",DD$23&lt;&gt;""),IF(EOMONTH($DB$3+INT((DAY(EOMONTH($DB$3,0))-1)/2)+DD$23,0)=EOMONTH($EL$3,0),DD$26,0),0),IF(AND(CZ$26&lt;&gt;"",CZ$23&lt;&gt;""),IF(EOMONTH($CX$3+INT((DAY(EOMONTH($CX$3,0))-1)/2)+CZ$23,0)=EOMONTH($EL$3,0),CZ$26,0),0),IF(AND(CV$26&lt;&gt;"",CV$23&lt;&gt;""),IF(EOMONTH($CT$3+INT((DAY(EOMONTH($CT$3,0))-1)/2)+CV$23,0)=EOMONTH($EL$3,0),CV$26,0),0),IF(AND(CR$26&lt;&gt;"",CR$23&lt;&gt;""),IF(EOMONTH($CP$3+INT((DAY(EOMONTH($CP$3,0))-1)/2)+CR$23,0)=EOMONTH($EL$3,0),CR$26,0),0),IF(AND(CN$26&lt;&gt;"",CN$23&lt;&gt;""),IF(EOMONTH($CL$3+INT((DAY(EOMONTH($CL$3,0))-1)/2)+CN$23,0)=EOMONTH($EL$3,0),CN$26,0),0),IF(AND(CJ$26&lt;&gt;"",CJ$23&lt;&gt;""),IF(EOMONTH($CH$3+INT((DAY(EOMONTH($CH$3,0))-1)/2)+CJ$23,0)=EOMONTH($EL$3,0),CJ$26,0),0),IF(AND(CF$26&lt;&gt;"",CF$23&lt;&gt;""),IF(EOMONTH($CD$3+INT((DAY(EOMONTH($CD$3,0))-1)/2)+CF$23,0)=EOMONTH($EL$3,0),CF$26,0),0),IF(AND(CB$26&lt;&gt;"",CB$23&lt;&gt;""),IF(EOMONTH($BZ$3+INT((DAY(EOMONTH($BZ$3,0))-1)/2)+CB$23,0)=EOMONTH($EL$3,0),CB$26,0),0),IF(AND(BX$26&lt;&gt;"",BX$23&lt;&gt;""),IF(EOMONTH($BV$3+INT((DAY(EOMONTH($BV$3,0))-1)/2)+BX$23,0)=EOMONTH($EL$3,0),BX$26,0),0),IF(AND(BT$26&lt;&gt;"",BT$23&lt;&gt;""),IF(EOMONTH($BR$3+INT((DAY(EOMONTH($BR$3,0))-1)/2)+BT$23,0)=EOMONTH($EL$3,0),BT$26,0),0),IF(AND(BP$26&lt;&gt;"",BP$23&lt;&gt;""),IF(EOMONTH($BN$3+INT((DAY(EOMONTH($BN$3,0))-1)/2)+BP$23,0)=EOMONTH($EL$3,0),BP$26,0),0),IF(AND(BL$26&lt;&gt;"",BL$23&lt;&gt;""),IF(EOMONTH($BJ$3+INT((DAY(EOMONTH($BJ$3,0))-1)/2)+BL$23,0)=EOMONTH($EL$3,0),BL$26,0),0),IF(AND(BH$26&lt;&gt;"",BH$23&lt;&gt;""),IF(EOMONTH($BF$3+INT((DAY(EOMONTH($BF$3,0))-1)/2)+BH$23,0)=EOMONTH($EL$3,0),BH$26,0),0),IF(AND(BD$26&lt;&gt;"",BD$23&lt;&gt;""),IF(EOMONTH($BB$3+INT((DAY(EOMONTH($BB$3,0))-1)/2)+BD$23,0)=EOMONTH($EL$3,0),BD$26,0),0),IF(AND(AZ$26&lt;&gt;"",AZ$23&lt;&gt;""),IF(EOMONTH($AX$3+INT((DAY(EOMONTH($AX$3,0))-1)/2)+AZ$23,0)=EOMONTH($EL$3,0),AZ$26,0),0),IF(AND(AV$26&lt;&gt;"",AV$23&lt;&gt;""),IF(EOMONTH($AT$3+INT((DAY(EOMONTH($AT$3,0))-1)/2)+AV$23,0)=EOMONTH($EL$3,0),AV$26,0),0),IF(AND(AR$26&lt;&gt;"",AR$23&lt;&gt;""),IF(EOMONTH($AP$3+INT((DAY(EOMONTH($AP$3,0))-1)/2)+AR$23,0)=EOMONTH($EL$3,0),AR$26,0),0),IF(AND(AN$26&lt;&gt;"",AN$23&lt;&gt;""),IF(EOMONTH($AL$3+INT((DAY(EOMONTH($AL$3,0))-1)/2)+AN$23,0)=EOMONTH($EL$3,0),AN$26,0),0),IF(AND(AJ$26&lt;&gt;"",AJ$23&lt;&gt;""),IF(EOMONTH($AH$3+INT((DAY(EOMONTH($AH$3,0))-1)/2)+AJ$23,0)=EOMONTH($EL$3,0),AJ$26,0),0),IF(AND(AF$26&lt;&gt;"",AF$23&lt;&gt;""),IF(EOMONTH($AD$3+INT((DAY(EOMONTH($AD$3,0))-1)/2)+AF$23,0)=EOMONTH($EL$3,0),AF$26,0),0),IF(AND(AB$26&lt;&gt;"",AB$23&lt;&gt;""),IF(EOMONTH($Z$3+INT((DAY(EOMONTH($Z$3,0))-1)/2)+AB$23,0)=EOMONTH($EL$3,0),AB$26,0),0),IF(AND(X$26&lt;&gt;"",X$23&lt;&gt;""),IF(EOMONTH($V$3+INT((DAY(EOMONTH($V$3,0))-1)/2)+X$23,0)=EOMONTH($EL$3,0),X$26,0),0),IF(AND(T$26&lt;&gt;"",T$23&lt;&gt;""),IF(EOMONTH($R$3+INT((DAY(EOMONTH($R$3,0))-1)/2)+T$23,0)=EOMONTH($EL$3,0),T$26,0),0),IF(AND(P$26&lt;&gt;"",P$23&lt;&gt;""),IF(EOMONTH($N$3+INT((DAY(EOMONTH($N$3,0))-1)/2)+P$23,0)=EOMONTH($EL$3,0),P$26,0),0),IF(AND(L$26&lt;&gt;"",L$23&lt;&gt;""),IF(EOMONTH($J$3+INT((DAY(EOMONTH($J$3,0))-1)/2)+L$23,0)=EOMONTH($EL$3,0),L$26,0),0),IF(AND(H$26&lt;&gt;"",H$23&lt;&gt;""),IF(EOMONTH($F$3+INT((DAY(EOMONTH($F$3,0))-1)/2)+H$23,0)=EOMONTH($EL$3,0),H$26,0),0),IF($EP$75="",0,IF(EOMONTH($EP$75+ER$23,0)=EOMONTH($EL$3,0),$EP$78*ER$13,0))),0)</f>
        <v>120000</v>
      </c>
      <c r="EO57" s="33">
        <f t="shared" ref="EO57:EO70" si="770">IFERROR(IF(OR(EM57="",EN57=""),"",EM57-EN57),"")</f>
        <v>-60000</v>
      </c>
      <c r="EP57" s="34">
        <v>50000.0</v>
      </c>
      <c r="EQ57" s="31">
        <f>IF(EP$98=1,EP57,ROUND(SUM(IF(AND(EQ$26&lt;&gt;"",EQ$23&lt;&gt;""),IF(EOMONTH($EP$3+INT((DAY(EOMONTH($EP$3,0))-1)/2)+EQ$23,0)=EOMONTH($EP$3,0),EQ$26,0),0),IF(AND(EM$26&lt;&gt;"",EM$23&lt;&gt;""),IF(EOMONTH($EL$3+INT((DAY(EOMONTH($EL$3,0))-1)/2)+EM$23,0)=EOMONTH($EP$3,0),EM$26,0),0),IF(AND(EI$26&lt;&gt;"",EI$23&lt;&gt;""),IF(EOMONTH($EH$3+INT((DAY(EOMONTH($EH$3,0))-1)/2)+EI$23,0)=EOMONTH($EP$3,0),EI$26,0),0),IF(AND(EE$26&lt;&gt;"",EE$23&lt;&gt;""),IF(EOMONTH($ED$3+INT((DAY(EOMONTH($ED$3,0))-1)/2)+EE$23,0)=EOMONTH($EP$3,0),EE$26,0),0),IF(AND(EA$26&lt;&gt;"",EA$23&lt;&gt;""),IF(EOMONTH($DZ$3+INT((DAY(EOMONTH($DZ$3,0))-1)/2)+EA$23,0)=EOMONTH($EP$3,0),EA$26,0),0),IF(AND(DW$26&lt;&gt;"",DW$23&lt;&gt;""),IF(EOMONTH($DV$3+INT((DAY(EOMONTH($DV$3,0))-1)/2)+DW$23,0)=EOMONTH($EP$3,0),DW$26,0),0),IF(AND(DS$26&lt;&gt;"",DS$23&lt;&gt;""),IF(EOMONTH($DR$3+INT((DAY(EOMONTH($DR$3,0))-1)/2)+DS$23,0)=EOMONTH($EP$3,0),DS$26,0),0),IF(AND(DO$26&lt;&gt;"",DO$23&lt;&gt;""),IF(EOMONTH($DN$3+INT((DAY(EOMONTH($DN$3,0))-1)/2)+DO$23,0)=EOMONTH($EP$3,0),DO$26,0),0),IF(AND(DK$26&lt;&gt;"",DK$23&lt;&gt;""),IF(EOMONTH($DJ$3+INT((DAY(EOMONTH($DJ$3,0))-1)/2)+DK$23,0)=EOMONTH($EP$3,0),DK$26,0),0),IF(AND(DG$26&lt;&gt;"",DG$23&lt;&gt;""),IF(EOMONTH($DF$3+INT((DAY(EOMONTH($DF$3,0))-1)/2)+DG$23,0)=EOMONTH($EP$3,0),DG$26,0),0),IF(AND(DC$26&lt;&gt;"",DC$23&lt;&gt;""),IF(EOMONTH($DB$3+INT((DAY(EOMONTH($DB$3,0))-1)/2)+DC$23,0)=EOMONTH($EP$3,0),DC$26,0),0),IF(AND(CY$26&lt;&gt;"",CY$23&lt;&gt;""),IF(EOMONTH($CX$3+INT((DAY(EOMONTH($CX$3,0))-1)/2)+CY$23,0)=EOMONTH($EP$3,0),CY$26,0),0),IF(AND(CU$26&lt;&gt;"",CU$23&lt;&gt;""),IF(EOMONTH($CT$3+INT((DAY(EOMONTH($CT$3,0))-1)/2)+CU$23,0)=EOMONTH($EP$3,0),CU$26,0),0),IF(AND(CQ$26&lt;&gt;"",CQ$23&lt;&gt;""),IF(EOMONTH($CP$3+INT((DAY(EOMONTH($CP$3,0))-1)/2)+CQ$23,0)=EOMONTH($EP$3,0),CQ$26,0),0),IF(AND(CM$26&lt;&gt;"",CM$23&lt;&gt;""),IF(EOMONTH($CL$3+INT((DAY(EOMONTH($CL$3,0))-1)/2)+CM$23,0)=EOMONTH($EP$3,0),CM$26,0),0),IF(AND(CI$26&lt;&gt;"",CI$23&lt;&gt;""),IF(EOMONTH($CH$3+INT((DAY(EOMONTH($CH$3,0))-1)/2)+CI$23,0)=EOMONTH($EP$3,0),CI$26,0),0),IF(AND(CE$26&lt;&gt;"",CE$23&lt;&gt;""),IF(EOMONTH($CD$3+INT((DAY(EOMONTH($CD$3,0))-1)/2)+CE$23,0)=EOMONTH($EP$3,0),CE$26,0),0),IF(AND(CA$26&lt;&gt;"",CA$23&lt;&gt;""),IF(EOMONTH($BZ$3+INT((DAY(EOMONTH($BZ$3,0))-1)/2)+CA$23,0)=EOMONTH($EP$3,0),CA$26,0),0),IF(AND(BW$26&lt;&gt;"",BW$23&lt;&gt;""),IF(EOMONTH($BV$3+INT((DAY(EOMONTH($BV$3,0))-1)/2)+BW$23,0)=EOMONTH($EP$3,0),BW$26,0),0),IF(AND(BS$26&lt;&gt;"",BS$23&lt;&gt;""),IF(EOMONTH($BR$3+INT((DAY(EOMONTH($BR$3,0))-1)/2)+BS$23,0)=EOMONTH($EP$3,0),BS$26,0),0),IF(AND(BO$26&lt;&gt;"",BO$23&lt;&gt;""),IF(EOMONTH($BN$3+INT((DAY(EOMONTH($BN$3,0))-1)/2)+BO$23,0)=EOMONTH($EP$3,0),BO$26,0),0),IF(AND(BK$26&lt;&gt;"",BK$23&lt;&gt;""),IF(EOMONTH($BJ$3+INT((DAY(EOMONTH($BJ$3,0))-1)/2)+BK$23,0)=EOMONTH($EP$3,0),BK$26,0),0),IF(AND(BG$26&lt;&gt;"",BG$23&lt;&gt;""),IF(EOMONTH($BF$3+INT((DAY(EOMONTH($BF$3,0))-1)/2)+BG$23,0)=EOMONTH($EP$3,0),BG$26,0),0),IF(AND(BC$26&lt;&gt;"",BC$23&lt;&gt;""),IF(EOMONTH($BB$3+INT((DAY(EOMONTH($BB$3,0))-1)/2)+BC$23,0)=EOMONTH($EP$3,0),BC$26,0),0),IF(AND(AY$26&lt;&gt;"",AY$23&lt;&gt;""),IF(EOMONTH($AX$3+INT((DAY(EOMONTH($AX$3,0))-1)/2)+AY$23,0)=EOMONTH($EP$3,0),AY$26,0),0),IF(AND(AU$26&lt;&gt;"",AU$23&lt;&gt;""),IF(EOMONTH($AT$3+INT((DAY(EOMONTH($AT$3,0))-1)/2)+AU$23,0)=EOMONTH($EP$3,0),AU$26,0),0),IF(AND(AQ$26&lt;&gt;"",AQ$23&lt;&gt;""),IF(EOMONTH($AP$3+INT((DAY(EOMONTH($AP$3,0))-1)/2)+AQ$23,0)=EOMONTH($EP$3,0),AQ$26,0),0),IF(AND(AM$26&lt;&gt;"",AM$23&lt;&gt;""),IF(EOMONTH($AL$3+INT((DAY(EOMONTH($AL$3,0))-1)/2)+AM$23,0)=EOMONTH($EP$3,0),AM$26,0),0),IF(AND(AI$26&lt;&gt;"",AI$23&lt;&gt;""),IF(EOMONTH($AH$3+INT((DAY(EOMONTH($AH$3,0))-1)/2)+AI$23,0)=EOMONTH($EP$3,0),AI$26,0),0),IF(AND(AE$26&lt;&gt;"",AE$23&lt;&gt;""),IF(EOMONTH($AD$3+INT((DAY(EOMONTH($AD$3,0))-1)/2)+AE$23,0)=EOMONTH($EP$3,0),AE$26,0),0),IF(AND(AA$26&lt;&gt;"",AA$23&lt;&gt;""),IF(EOMONTH($Z$3+INT((DAY(EOMONTH($Z$3,0))-1)/2)+AA$23,0)=EOMONTH($EP$3,0),AA$26,0),0),IF(AND(W$26&lt;&gt;"",W$23&lt;&gt;""),IF(EOMONTH($V$3+INT((DAY(EOMONTH($V$3,0))-1)/2)+W$23,0)=EOMONTH($EP$3,0),W$26,0),0),IF(AND(S$26&lt;&gt;"",S$23&lt;&gt;""),IF(EOMONTH($R$3+INT((DAY(EOMONTH($R$3,0))-1)/2)+S$23,0)=EOMONTH($EP$3,0),S$26,0),0),IF(AND(O$26&lt;&gt;"",O$23&lt;&gt;""),IF(EOMONTH($N$3+INT((DAY(EOMONTH($N$3,0))-1)/2)+O$23,0)=EOMONTH($EP$3,0),O$26,0),0),IF(AND(K$26&lt;&gt;"",K$23&lt;&gt;""),IF(EOMONTH($J$3+INT((DAY(EOMONTH($J$3,0))-1)/2)+K$23,0)=EOMONTH($EP$3,0),K$26,0),0),IF(AND(G$26&lt;&gt;"",G$23&lt;&gt;""),IF(EOMONTH($F$3+INT((DAY(EOMONTH($F$3,0))-1)/2)+G$23,0)=EOMONTH($EP$3,0),G$26,0),0),IF($EP$75="",0,IF(EOMONTH($EP$75+EQ$23,0)=EOMONTH($EP$3,0),$EP$78*EQ$13,0))),0))</f>
        <v>50000</v>
      </c>
      <c r="ER57" s="32">
        <f>ROUND(SUM(IF(AND(ER$26&lt;&gt;"",ER$23&lt;&gt;""),IF(EOMONTH($EP$3+INT((DAY(EOMONTH($EP$3,0))-1)/2)+ER$23,0)=EOMONTH($EP$3,0),ER$26,0),0),IF(AND(EN$26&lt;&gt;"",EN$23&lt;&gt;""),IF(EOMONTH($EL$3+INT((DAY(EOMONTH($EL$3,0))-1)/2)+EN$23,0)=EOMONTH($EP$3,0),EN$26,0),0),IF(AND(EJ$26&lt;&gt;"",EJ$23&lt;&gt;""),IF(EOMONTH($EH$3+INT((DAY(EOMONTH($EH$3,0))-1)/2)+EJ$23,0)=EOMONTH($EP$3,0),EJ$26,0),0),IF(AND(EF$26&lt;&gt;"",EF$23&lt;&gt;""),IF(EOMONTH($ED$3+INT((DAY(EOMONTH($ED$3,0))-1)/2)+EF$23,0)=EOMONTH($EP$3,0),EF$26,0),0),IF(AND(EB$26&lt;&gt;"",EB$23&lt;&gt;""),IF(EOMONTH($DZ$3+INT((DAY(EOMONTH($DZ$3,0))-1)/2)+EB$23,0)=EOMONTH($EP$3,0),EB$26,0),0),IF(AND(DX$26&lt;&gt;"",DX$23&lt;&gt;""),IF(EOMONTH($DV$3+INT((DAY(EOMONTH($DV$3,0))-1)/2)+DX$23,0)=EOMONTH($EP$3,0),DX$26,0),0),IF(AND(DT$26&lt;&gt;"",DT$23&lt;&gt;""),IF(EOMONTH($DR$3+INT((DAY(EOMONTH($DR$3,0))-1)/2)+DT$23,0)=EOMONTH($EP$3,0),DT$26,0),0),IF(AND(DP$26&lt;&gt;"",DP$23&lt;&gt;""),IF(EOMONTH($DN$3+INT((DAY(EOMONTH($DN$3,0))-1)/2)+DP$23,0)=EOMONTH($EP$3,0),DP$26,0),0),IF(AND(DL$26&lt;&gt;"",DL$23&lt;&gt;""),IF(EOMONTH($DJ$3+INT((DAY(EOMONTH($DJ$3,0))-1)/2)+DL$23,0)=EOMONTH($EP$3,0),DL$26,0),0),IF(AND(DH$26&lt;&gt;"",DH$23&lt;&gt;""),IF(EOMONTH($DF$3+INT((DAY(EOMONTH($DF$3,0))-1)/2)+DH$23,0)=EOMONTH($EP$3,0),DH$26,0),0),IF(AND(DD$26&lt;&gt;"",DD$23&lt;&gt;""),IF(EOMONTH($DB$3+INT((DAY(EOMONTH($DB$3,0))-1)/2)+DD$23,0)=EOMONTH($EP$3,0),DD$26,0),0),IF(AND(CZ$26&lt;&gt;"",CZ$23&lt;&gt;""),IF(EOMONTH($CX$3+INT((DAY(EOMONTH($CX$3,0))-1)/2)+CZ$23,0)=EOMONTH($EP$3,0),CZ$26,0),0),IF(AND(CV$26&lt;&gt;"",CV$23&lt;&gt;""),IF(EOMONTH($CT$3+INT((DAY(EOMONTH($CT$3,0))-1)/2)+CV$23,0)=EOMONTH($EP$3,0),CV$26,0),0),IF(AND(CR$26&lt;&gt;"",CR$23&lt;&gt;""),IF(EOMONTH($CP$3+INT((DAY(EOMONTH($CP$3,0))-1)/2)+CR$23,0)=EOMONTH($EP$3,0),CR$26,0),0),IF(AND(CN$26&lt;&gt;"",CN$23&lt;&gt;""),IF(EOMONTH($CL$3+INT((DAY(EOMONTH($CL$3,0))-1)/2)+CN$23,0)=EOMONTH($EP$3,0),CN$26,0),0),IF(AND(CJ$26&lt;&gt;"",CJ$23&lt;&gt;""),IF(EOMONTH($CH$3+INT((DAY(EOMONTH($CH$3,0))-1)/2)+CJ$23,0)=EOMONTH($EP$3,0),CJ$26,0),0),IF(AND(CF$26&lt;&gt;"",CF$23&lt;&gt;""),IF(EOMONTH($CD$3+INT((DAY(EOMONTH($CD$3,0))-1)/2)+CF$23,0)=EOMONTH($EP$3,0),CF$26,0),0),IF(AND(CB$26&lt;&gt;"",CB$23&lt;&gt;""),IF(EOMONTH($BZ$3+INT((DAY(EOMONTH($BZ$3,0))-1)/2)+CB$23,0)=EOMONTH($EP$3,0),CB$26,0),0),IF(AND(BX$26&lt;&gt;"",BX$23&lt;&gt;""),IF(EOMONTH($BV$3+INT((DAY(EOMONTH($BV$3,0))-1)/2)+BX$23,0)=EOMONTH($EP$3,0),BX$26,0),0),IF(AND(BT$26&lt;&gt;"",BT$23&lt;&gt;""),IF(EOMONTH($BR$3+INT((DAY(EOMONTH($BR$3,0))-1)/2)+BT$23,0)=EOMONTH($EP$3,0),BT$26,0),0),IF(AND(BP$26&lt;&gt;"",BP$23&lt;&gt;""),IF(EOMONTH($BN$3+INT((DAY(EOMONTH($BN$3,0))-1)/2)+BP$23,0)=EOMONTH($EP$3,0),BP$26,0),0),IF(AND(BL$26&lt;&gt;"",BL$23&lt;&gt;""),IF(EOMONTH($BJ$3+INT((DAY(EOMONTH($BJ$3,0))-1)/2)+BL$23,0)=EOMONTH($EP$3,0),BL$26,0),0),IF(AND(BH$26&lt;&gt;"",BH$23&lt;&gt;""),IF(EOMONTH($BF$3+INT((DAY(EOMONTH($BF$3,0))-1)/2)+BH$23,0)=EOMONTH($EP$3,0),BH$26,0),0),IF(AND(BD$26&lt;&gt;"",BD$23&lt;&gt;""),IF(EOMONTH($BB$3+INT((DAY(EOMONTH($BB$3,0))-1)/2)+BD$23,0)=EOMONTH($EP$3,0),BD$26,0),0),IF(AND(AZ$26&lt;&gt;"",AZ$23&lt;&gt;""),IF(EOMONTH($AX$3+INT((DAY(EOMONTH($AX$3,0))-1)/2)+AZ$23,0)=EOMONTH($EP$3,0),AZ$26,0),0),IF(AND(AV$26&lt;&gt;"",AV$23&lt;&gt;""),IF(EOMONTH($AT$3+INT((DAY(EOMONTH($AT$3,0))-1)/2)+AV$23,0)=EOMONTH($EP$3,0),AV$26,0),0),IF(AND(AR$26&lt;&gt;"",AR$23&lt;&gt;""),IF(EOMONTH($AP$3+INT((DAY(EOMONTH($AP$3,0))-1)/2)+AR$23,0)=EOMONTH($EP$3,0),AR$26,0),0),IF(AND(AN$26&lt;&gt;"",AN$23&lt;&gt;""),IF(EOMONTH($AL$3+INT((DAY(EOMONTH($AL$3,0))-1)/2)+AN$23,0)=EOMONTH($EP$3,0),AN$26,0),0),IF(AND(AJ$26&lt;&gt;"",AJ$23&lt;&gt;""),IF(EOMONTH($AH$3+INT((DAY(EOMONTH($AH$3,0))-1)/2)+AJ$23,0)=EOMONTH($EP$3,0),AJ$26,0),0),IF(AND(AF$26&lt;&gt;"",AF$23&lt;&gt;""),IF(EOMONTH($AD$3+INT((DAY(EOMONTH($AD$3,0))-1)/2)+AF$23,0)=EOMONTH($EP$3,0),AF$26,0),0),IF(AND(AB$26&lt;&gt;"",AB$23&lt;&gt;""),IF(EOMONTH($Z$3+INT((DAY(EOMONTH($Z$3,0))-1)/2)+AB$23,0)=EOMONTH($EP$3,0),AB$26,0),0),IF(AND(X$26&lt;&gt;"",X$23&lt;&gt;""),IF(EOMONTH($V$3+INT((DAY(EOMONTH($V$3,0))-1)/2)+X$23,0)=EOMONTH($EP$3,0),X$26,0),0),IF(AND(T$26&lt;&gt;"",T$23&lt;&gt;""),IF(EOMONTH($R$3+INT((DAY(EOMONTH($R$3,0))-1)/2)+T$23,0)=EOMONTH($EP$3,0),T$26,0),0),IF(AND(P$26&lt;&gt;"",P$23&lt;&gt;""),IF(EOMONTH($N$3+INT((DAY(EOMONTH($N$3,0))-1)/2)+P$23,0)=EOMONTH($EP$3,0),P$26,0),0),IF(AND(L$26&lt;&gt;"",L$23&lt;&gt;""),IF(EOMONTH($J$3+INT((DAY(EOMONTH($J$3,0))-1)/2)+L$23,0)=EOMONTH($EP$3,0),L$26,0),0),IF(AND(H$26&lt;&gt;"",H$23&lt;&gt;""),IF(EOMONTH($F$3+INT((DAY(EOMONTH($F$3,0))-1)/2)+H$23,0)=EOMONTH($EP$3,0),H$26,0),0),IF($EP$75="",0,IF(EOMONTH($EP$75+ER$23,0)=EOMONTH($EP$3,0),$EP$78*ER$13,0))),0)</f>
        <v>80000</v>
      </c>
      <c r="ES57" s="33">
        <f t="shared" ref="ES57:ES70" si="772">IFERROR(IF(OR(EQ57="",ER57=""),"",EQ57-ER57),"")</f>
        <v>-30000</v>
      </c>
    </row>
    <row r="58" ht="18.0" customHeight="1">
      <c r="A58" s="2" t="s">
        <v>60</v>
      </c>
      <c r="B58" s="30">
        <f t="shared" ref="B58:D58" si="699">SUM(EP58,EL58,EH58,ED58,DZ58,DV58,DR58,DN58,DJ58,DF58,DB58,CX58,CT58,CP58,CL58,CH58,CD58,BZ58,BV58,BR58,BN58,BJ58,BF58,BB58,AX58,AT58,AP58,AL58,AH58,AD58,Z58,V58,R58,N58,J58,F58)</f>
        <v>34180</v>
      </c>
      <c r="C58" s="31">
        <f t="shared" si="699"/>
        <v>718180</v>
      </c>
      <c r="D58" s="32">
        <f t="shared" si="699"/>
        <v>725000</v>
      </c>
      <c r="E58" s="33">
        <f t="shared" si="700"/>
        <v>-6820</v>
      </c>
      <c r="F58" s="30" t="str">
        <f>IF(F34="","",F34)</f>
        <v/>
      </c>
      <c r="G58" s="31">
        <f t="shared" ref="G58:H58" si="701">G34</f>
        <v>24000</v>
      </c>
      <c r="H58" s="32">
        <f t="shared" si="701"/>
        <v>24000</v>
      </c>
      <c r="I58" s="33">
        <f t="shared" si="702"/>
        <v>0</v>
      </c>
      <c r="J58" s="30" t="str">
        <f>IF(J34="","",J34)</f>
        <v/>
      </c>
      <c r="K58" s="31">
        <f t="shared" ref="K58:L58" si="703">K34</f>
        <v>24000</v>
      </c>
      <c r="L58" s="32">
        <f t="shared" si="703"/>
        <v>24000</v>
      </c>
      <c r="M58" s="33">
        <f t="shared" si="704"/>
        <v>0</v>
      </c>
      <c r="N58" s="30" t="str">
        <f>IF(N34="","",N34)</f>
        <v/>
      </c>
      <c r="O58" s="31">
        <f t="shared" ref="O58:P58" si="705">O34</f>
        <v>24000</v>
      </c>
      <c r="P58" s="32">
        <f t="shared" si="705"/>
        <v>24000</v>
      </c>
      <c r="Q58" s="33">
        <f t="shared" si="706"/>
        <v>0</v>
      </c>
      <c r="R58" s="30" t="str">
        <f>IF(R34="","",R34)</f>
        <v/>
      </c>
      <c r="S58" s="31">
        <f t="shared" ref="S58:T58" si="707">S34</f>
        <v>24000</v>
      </c>
      <c r="T58" s="32">
        <f t="shared" si="707"/>
        <v>24000</v>
      </c>
      <c r="U58" s="33">
        <f t="shared" si="708"/>
        <v>0</v>
      </c>
      <c r="V58" s="30" t="str">
        <f>IF(V34="","",V34)</f>
        <v/>
      </c>
      <c r="W58" s="31">
        <f t="shared" ref="W58:X58" si="709">W34</f>
        <v>23000</v>
      </c>
      <c r="X58" s="32">
        <f t="shared" si="709"/>
        <v>23000</v>
      </c>
      <c r="Y58" s="33">
        <f t="shared" si="710"/>
        <v>0</v>
      </c>
      <c r="Z58" s="30" t="str">
        <f>IF(Z34="","",Z34)</f>
        <v/>
      </c>
      <c r="AA58" s="31">
        <f t="shared" ref="AA58:AB58" si="711">AA34</f>
        <v>23000</v>
      </c>
      <c r="AB58" s="32">
        <f t="shared" si="711"/>
        <v>23000</v>
      </c>
      <c r="AC58" s="33">
        <f t="shared" si="712"/>
        <v>0</v>
      </c>
      <c r="AD58" s="30" t="str">
        <f>IF(AD34="","",AD34)</f>
        <v/>
      </c>
      <c r="AE58" s="31">
        <f t="shared" ref="AE58:AF58" si="713">AE34</f>
        <v>23000</v>
      </c>
      <c r="AF58" s="32">
        <f t="shared" si="713"/>
        <v>23000</v>
      </c>
      <c r="AG58" s="33">
        <f t="shared" si="714"/>
        <v>0</v>
      </c>
      <c r="AH58" s="30" t="str">
        <f>IF(AH34="","",AH34)</f>
        <v/>
      </c>
      <c r="AI58" s="31">
        <f t="shared" ref="AI58:AJ58" si="715">AI34</f>
        <v>23000</v>
      </c>
      <c r="AJ58" s="32">
        <f t="shared" si="715"/>
        <v>23000</v>
      </c>
      <c r="AK58" s="33">
        <f t="shared" si="716"/>
        <v>0</v>
      </c>
      <c r="AL58" s="30" t="str">
        <f>IF(AL34="","",AL34)</f>
        <v/>
      </c>
      <c r="AM58" s="31">
        <f t="shared" ref="AM58:AN58" si="717">AM34</f>
        <v>22000</v>
      </c>
      <c r="AN58" s="32">
        <f t="shared" si="717"/>
        <v>22000</v>
      </c>
      <c r="AO58" s="33">
        <f t="shared" si="718"/>
        <v>0</v>
      </c>
      <c r="AP58" s="30" t="str">
        <f>IF(AP34="","",AP34)</f>
        <v/>
      </c>
      <c r="AQ58" s="31">
        <f t="shared" ref="AQ58:AR58" si="719">AQ34</f>
        <v>22000</v>
      </c>
      <c r="AR58" s="32">
        <f t="shared" si="719"/>
        <v>22000</v>
      </c>
      <c r="AS58" s="33">
        <f t="shared" si="720"/>
        <v>0</v>
      </c>
      <c r="AT58" s="30" t="str">
        <f>IF(AT34="","",AT34)</f>
        <v/>
      </c>
      <c r="AU58" s="31">
        <f t="shared" ref="AU58:AV58" si="721">AU34</f>
        <v>22000</v>
      </c>
      <c r="AV58" s="32">
        <f t="shared" si="721"/>
        <v>22000</v>
      </c>
      <c r="AW58" s="33">
        <f t="shared" si="722"/>
        <v>0</v>
      </c>
      <c r="AX58" s="30" t="str">
        <f>IF(AX34="","",AX34)</f>
        <v/>
      </c>
      <c r="AY58" s="31">
        <f t="shared" ref="AY58:AZ58" si="723">AY34</f>
        <v>22000</v>
      </c>
      <c r="AZ58" s="32">
        <f t="shared" si="723"/>
        <v>22000</v>
      </c>
      <c r="BA58" s="33">
        <f t="shared" si="724"/>
        <v>0</v>
      </c>
      <c r="BB58" s="30" t="str">
        <f>IF(BB34="","",BB34)</f>
        <v/>
      </c>
      <c r="BC58" s="31">
        <f t="shared" ref="BC58:BD58" si="725">BC34</f>
        <v>21000</v>
      </c>
      <c r="BD58" s="32">
        <f t="shared" si="725"/>
        <v>21000</v>
      </c>
      <c r="BE58" s="33">
        <f t="shared" si="726"/>
        <v>0</v>
      </c>
      <c r="BF58" s="30" t="str">
        <f>IF(BF34="","",BF34)</f>
        <v/>
      </c>
      <c r="BG58" s="31">
        <f t="shared" ref="BG58:BH58" si="727">BG34</f>
        <v>21000</v>
      </c>
      <c r="BH58" s="32">
        <f t="shared" si="727"/>
        <v>21000</v>
      </c>
      <c r="BI58" s="33">
        <f t="shared" si="728"/>
        <v>0</v>
      </c>
      <c r="BJ58" s="30" t="str">
        <f>IF(BJ34="","",BJ34)</f>
        <v/>
      </c>
      <c r="BK58" s="31">
        <f t="shared" ref="BK58:BL58" si="729">BK34</f>
        <v>21000</v>
      </c>
      <c r="BL58" s="32">
        <f t="shared" si="729"/>
        <v>21000</v>
      </c>
      <c r="BM58" s="33">
        <f t="shared" si="730"/>
        <v>0</v>
      </c>
      <c r="BN58" s="30" t="str">
        <f>IF(BN34="","",BN34)</f>
        <v/>
      </c>
      <c r="BO58" s="31">
        <f t="shared" ref="BO58:BP58" si="731">BO34</f>
        <v>21000</v>
      </c>
      <c r="BP58" s="32">
        <f t="shared" si="731"/>
        <v>21000</v>
      </c>
      <c r="BQ58" s="33">
        <f t="shared" si="732"/>
        <v>0</v>
      </c>
      <c r="BR58" s="30" t="str">
        <f>IF(BR34="","",BR34)</f>
        <v/>
      </c>
      <c r="BS58" s="31">
        <f t="shared" ref="BS58:BT58" si="733">BS34</f>
        <v>20000</v>
      </c>
      <c r="BT58" s="32">
        <f t="shared" si="733"/>
        <v>20000</v>
      </c>
      <c r="BU58" s="33">
        <f t="shared" si="734"/>
        <v>0</v>
      </c>
      <c r="BV58" s="30" t="str">
        <f>IF(BV34="","",BV34)</f>
        <v/>
      </c>
      <c r="BW58" s="31">
        <f t="shared" ref="BW58:BX58" si="735">BW34</f>
        <v>20000</v>
      </c>
      <c r="BX58" s="32">
        <f t="shared" si="735"/>
        <v>20000</v>
      </c>
      <c r="BY58" s="33">
        <f t="shared" si="736"/>
        <v>0</v>
      </c>
      <c r="BZ58" s="30" t="str">
        <f>IF(BZ34="","",BZ34)</f>
        <v/>
      </c>
      <c r="CA58" s="31">
        <f t="shared" ref="CA58:CB58" si="737">CA34</f>
        <v>20000</v>
      </c>
      <c r="CB58" s="32">
        <f t="shared" si="737"/>
        <v>20000</v>
      </c>
      <c r="CC58" s="33">
        <f t="shared" si="738"/>
        <v>0</v>
      </c>
      <c r="CD58" s="30" t="str">
        <f>IF(CD34="","",CD34)</f>
        <v/>
      </c>
      <c r="CE58" s="31">
        <f t="shared" ref="CE58:CF58" si="739">CE34</f>
        <v>20000</v>
      </c>
      <c r="CF58" s="32">
        <f t="shared" si="739"/>
        <v>20000</v>
      </c>
      <c r="CG58" s="33">
        <f t="shared" si="740"/>
        <v>0</v>
      </c>
      <c r="CH58" s="30" t="str">
        <f>IF(CH34="","",CH34)</f>
        <v/>
      </c>
      <c r="CI58" s="31">
        <f t="shared" ref="CI58:CJ58" si="741">CI34</f>
        <v>19000</v>
      </c>
      <c r="CJ58" s="32">
        <f t="shared" si="741"/>
        <v>19000</v>
      </c>
      <c r="CK58" s="33">
        <f t="shared" si="742"/>
        <v>0</v>
      </c>
      <c r="CL58" s="30" t="str">
        <f>IF(CL34="","",CL34)</f>
        <v/>
      </c>
      <c r="CM58" s="31">
        <f t="shared" ref="CM58:CN58" si="743">CM34</f>
        <v>19000</v>
      </c>
      <c r="CN58" s="32">
        <f t="shared" si="743"/>
        <v>19000</v>
      </c>
      <c r="CO58" s="33">
        <f t="shared" si="744"/>
        <v>0</v>
      </c>
      <c r="CP58" s="30" t="str">
        <f>IF(CP34="","",CP34)</f>
        <v/>
      </c>
      <c r="CQ58" s="31">
        <f t="shared" ref="CQ58:CR58" si="745">CQ34</f>
        <v>19000</v>
      </c>
      <c r="CR58" s="32">
        <f t="shared" si="745"/>
        <v>19000</v>
      </c>
      <c r="CS58" s="33">
        <f t="shared" si="746"/>
        <v>0</v>
      </c>
      <c r="CT58" s="30" t="str">
        <f>IF(CT34="","",CT34)</f>
        <v/>
      </c>
      <c r="CU58" s="31">
        <f t="shared" ref="CU58:CV58" si="747">CU34</f>
        <v>19000</v>
      </c>
      <c r="CV58" s="32">
        <f t="shared" si="747"/>
        <v>19000</v>
      </c>
      <c r="CW58" s="33">
        <f t="shared" si="748"/>
        <v>0</v>
      </c>
      <c r="CX58" s="30" t="str">
        <f>IF(CX34="","",CX34)</f>
        <v/>
      </c>
      <c r="CY58" s="31">
        <f t="shared" ref="CY58:CZ58" si="749">CY34</f>
        <v>18000</v>
      </c>
      <c r="CZ58" s="32">
        <f t="shared" si="749"/>
        <v>18000</v>
      </c>
      <c r="DA58" s="33">
        <f t="shared" si="750"/>
        <v>0</v>
      </c>
      <c r="DB58" s="30" t="str">
        <f>IF(DB34="","",DB34)</f>
        <v/>
      </c>
      <c r="DC58" s="31">
        <f t="shared" ref="DC58:DD58" si="751">DC34</f>
        <v>18000</v>
      </c>
      <c r="DD58" s="32">
        <f t="shared" si="751"/>
        <v>18000</v>
      </c>
      <c r="DE58" s="33">
        <f t="shared" si="752"/>
        <v>0</v>
      </c>
      <c r="DF58" s="30" t="str">
        <f>IF(DF34="","",DF34)</f>
        <v/>
      </c>
      <c r="DG58" s="31">
        <f t="shared" ref="DG58:DH58" si="753">DG34</f>
        <v>18000</v>
      </c>
      <c r="DH58" s="32">
        <f t="shared" si="753"/>
        <v>18000</v>
      </c>
      <c r="DI58" s="33">
        <f t="shared" si="754"/>
        <v>0</v>
      </c>
      <c r="DJ58" s="30" t="str">
        <f>IF(DJ34="","",DJ34)</f>
        <v/>
      </c>
      <c r="DK58" s="31">
        <f t="shared" ref="DK58:DL58" si="755">DK34</f>
        <v>18000</v>
      </c>
      <c r="DL58" s="32">
        <f t="shared" si="755"/>
        <v>18000</v>
      </c>
      <c r="DM58" s="33">
        <f t="shared" si="756"/>
        <v>0</v>
      </c>
      <c r="DN58" s="30" t="str">
        <f>IF(DN34="","",DN34)</f>
        <v/>
      </c>
      <c r="DO58" s="31">
        <f t="shared" ref="DO58:DP58" si="757">DO34</f>
        <v>17000</v>
      </c>
      <c r="DP58" s="32">
        <f t="shared" si="757"/>
        <v>17000</v>
      </c>
      <c r="DQ58" s="33">
        <f t="shared" si="758"/>
        <v>0</v>
      </c>
      <c r="DR58" s="30" t="str">
        <f>IF(DR34="","",DR34)</f>
        <v/>
      </c>
      <c r="DS58" s="31">
        <f t="shared" ref="DS58:DT58" si="759">DS34</f>
        <v>17000</v>
      </c>
      <c r="DT58" s="32">
        <f t="shared" si="759"/>
        <v>17000</v>
      </c>
      <c r="DU58" s="33">
        <f t="shared" si="760"/>
        <v>0</v>
      </c>
      <c r="DV58" s="30" t="str">
        <f>IF(DV34="","",DV34)</f>
        <v/>
      </c>
      <c r="DW58" s="31">
        <f t="shared" ref="DW58:DX58" si="761">DW34</f>
        <v>17000</v>
      </c>
      <c r="DX58" s="32">
        <f t="shared" si="761"/>
        <v>17000</v>
      </c>
      <c r="DY58" s="33">
        <f t="shared" si="762"/>
        <v>0</v>
      </c>
      <c r="DZ58" s="30" t="str">
        <f>IF(DZ34="","",DZ34)</f>
        <v/>
      </c>
      <c r="EA58" s="31">
        <f t="shared" ref="EA58:EB58" si="763">EA34</f>
        <v>17000</v>
      </c>
      <c r="EB58" s="32">
        <f t="shared" si="763"/>
        <v>17000</v>
      </c>
      <c r="EC58" s="33">
        <f t="shared" si="764"/>
        <v>0</v>
      </c>
      <c r="ED58" s="30" t="str">
        <f>IF(ED34="","",ED34)</f>
        <v/>
      </c>
      <c r="EE58" s="31">
        <f t="shared" ref="EE58:EF58" si="765">EE34</f>
        <v>14000</v>
      </c>
      <c r="EF58" s="32">
        <f t="shared" si="765"/>
        <v>16000</v>
      </c>
      <c r="EG58" s="33">
        <f t="shared" si="766"/>
        <v>-2000</v>
      </c>
      <c r="EH58" s="30" t="str">
        <f>IF(EH34="","",EH34)</f>
        <v/>
      </c>
      <c r="EI58" s="31">
        <f t="shared" ref="EI58:EJ58" si="767">EI34</f>
        <v>14000</v>
      </c>
      <c r="EJ58" s="32">
        <f t="shared" si="767"/>
        <v>16000</v>
      </c>
      <c r="EK58" s="33">
        <f t="shared" si="768"/>
        <v>-2000</v>
      </c>
      <c r="EL58" s="30">
        <f>IF(EL34="","",EL34)</f>
        <v>15880</v>
      </c>
      <c r="EM58" s="31">
        <f t="shared" ref="EM58:EN58" si="769">EM34</f>
        <v>15880</v>
      </c>
      <c r="EN58" s="32">
        <f t="shared" si="769"/>
        <v>16000</v>
      </c>
      <c r="EO58" s="33">
        <f t="shared" si="770"/>
        <v>-120</v>
      </c>
      <c r="EP58" s="30">
        <f>IF(EP34="","",EP34)</f>
        <v>18300</v>
      </c>
      <c r="EQ58" s="31">
        <f t="shared" ref="EQ58:ER58" si="771">EQ34</f>
        <v>18300</v>
      </c>
      <c r="ER58" s="32">
        <f t="shared" si="771"/>
        <v>21000</v>
      </c>
      <c r="ES58" s="33">
        <f t="shared" si="772"/>
        <v>-2700</v>
      </c>
    </row>
    <row r="59" ht="18.0" customHeight="1">
      <c r="A59" s="2" t="s">
        <v>61</v>
      </c>
      <c r="B59" s="30">
        <f t="shared" ref="B59:D59" si="773">SUM(EP59,EL59,EH59,ED59,DZ59,DV59,DR59,DN59,DJ59,DF59,DB59,CX59,CT59,CP59,CL59,CH59,CD59,BZ59,BV59,BR59,BN59,BJ59,BF59,BB59,AX59,AT59,AP59,AL59,AH59,AD59,Z59,V59,R59,N59,J59,F59)</f>
        <v>131545</v>
      </c>
      <c r="C59" s="31">
        <f t="shared" si="773"/>
        <v>2334745</v>
      </c>
      <c r="D59" s="32">
        <f t="shared" si="773"/>
        <v>2332800</v>
      </c>
      <c r="E59" s="33">
        <f t="shared" si="700"/>
        <v>1945</v>
      </c>
      <c r="F59" s="30" t="str">
        <f>IF(F53="","",F53)</f>
        <v/>
      </c>
      <c r="G59" s="31">
        <f t="shared" ref="G59:H59" si="774">G53</f>
        <v>64800</v>
      </c>
      <c r="H59" s="32">
        <f t="shared" si="774"/>
        <v>64800</v>
      </c>
      <c r="I59" s="33">
        <f t="shared" si="702"/>
        <v>0</v>
      </c>
      <c r="J59" s="30" t="str">
        <f>IF(J53="","",J53)</f>
        <v/>
      </c>
      <c r="K59" s="31">
        <f t="shared" ref="K59:L59" si="775">K53</f>
        <v>64800</v>
      </c>
      <c r="L59" s="32">
        <f t="shared" si="775"/>
        <v>64800</v>
      </c>
      <c r="M59" s="33">
        <f t="shared" si="704"/>
        <v>0</v>
      </c>
      <c r="N59" s="30" t="str">
        <f>IF(N53="","",N53)</f>
        <v/>
      </c>
      <c r="O59" s="31">
        <f t="shared" ref="O59:P59" si="776">O53</f>
        <v>64800</v>
      </c>
      <c r="P59" s="32">
        <f t="shared" si="776"/>
        <v>64800</v>
      </c>
      <c r="Q59" s="33">
        <f t="shared" si="706"/>
        <v>0</v>
      </c>
      <c r="R59" s="30" t="str">
        <f>IF(R53="","",R53)</f>
        <v/>
      </c>
      <c r="S59" s="31">
        <f t="shared" ref="S59:T59" si="777">S53</f>
        <v>64800</v>
      </c>
      <c r="T59" s="32">
        <f t="shared" si="777"/>
        <v>64800</v>
      </c>
      <c r="U59" s="33">
        <f t="shared" si="708"/>
        <v>0</v>
      </c>
      <c r="V59" s="30" t="str">
        <f>IF(V53="","",V53)</f>
        <v/>
      </c>
      <c r="W59" s="31">
        <f t="shared" ref="W59:X59" si="778">W53</f>
        <v>64800</v>
      </c>
      <c r="X59" s="32">
        <f t="shared" si="778"/>
        <v>64800</v>
      </c>
      <c r="Y59" s="33">
        <f t="shared" si="710"/>
        <v>0</v>
      </c>
      <c r="Z59" s="30" t="str">
        <f>IF(Z53="","",Z53)</f>
        <v/>
      </c>
      <c r="AA59" s="31">
        <f t="shared" ref="AA59:AB59" si="779">AA53</f>
        <v>64800</v>
      </c>
      <c r="AB59" s="32">
        <f t="shared" si="779"/>
        <v>64800</v>
      </c>
      <c r="AC59" s="33">
        <f t="shared" si="712"/>
        <v>0</v>
      </c>
      <c r="AD59" s="30" t="str">
        <f>IF(AD53="","",AD53)</f>
        <v/>
      </c>
      <c r="AE59" s="31">
        <f t="shared" ref="AE59:AF59" si="780">AE53</f>
        <v>64800</v>
      </c>
      <c r="AF59" s="32">
        <f t="shared" si="780"/>
        <v>64800</v>
      </c>
      <c r="AG59" s="33">
        <f t="shared" si="714"/>
        <v>0</v>
      </c>
      <c r="AH59" s="30" t="str">
        <f>IF(AH53="","",AH53)</f>
        <v/>
      </c>
      <c r="AI59" s="31">
        <f t="shared" ref="AI59:AJ59" si="781">AI53</f>
        <v>64800</v>
      </c>
      <c r="AJ59" s="32">
        <f t="shared" si="781"/>
        <v>64800</v>
      </c>
      <c r="AK59" s="33">
        <f t="shared" si="716"/>
        <v>0</v>
      </c>
      <c r="AL59" s="30" t="str">
        <f>IF(AL53="","",AL53)</f>
        <v/>
      </c>
      <c r="AM59" s="31">
        <f t="shared" ref="AM59:AN59" si="782">AM53</f>
        <v>64800</v>
      </c>
      <c r="AN59" s="32">
        <f t="shared" si="782"/>
        <v>64800</v>
      </c>
      <c r="AO59" s="33">
        <f t="shared" si="718"/>
        <v>0</v>
      </c>
      <c r="AP59" s="30" t="str">
        <f>IF(AP53="","",AP53)</f>
        <v/>
      </c>
      <c r="AQ59" s="31">
        <f t="shared" ref="AQ59:AR59" si="783">AQ53</f>
        <v>64800</v>
      </c>
      <c r="AR59" s="32">
        <f t="shared" si="783"/>
        <v>64800</v>
      </c>
      <c r="AS59" s="33">
        <f t="shared" si="720"/>
        <v>0</v>
      </c>
      <c r="AT59" s="30" t="str">
        <f>IF(AT53="","",AT53)</f>
        <v/>
      </c>
      <c r="AU59" s="31">
        <f t="shared" ref="AU59:AV59" si="784">AU53</f>
        <v>64800</v>
      </c>
      <c r="AV59" s="32">
        <f t="shared" si="784"/>
        <v>64800</v>
      </c>
      <c r="AW59" s="33">
        <f t="shared" si="722"/>
        <v>0</v>
      </c>
      <c r="AX59" s="30" t="str">
        <f>IF(AX53="","",AX53)</f>
        <v/>
      </c>
      <c r="AY59" s="31">
        <f t="shared" ref="AY59:AZ59" si="785">AY53</f>
        <v>64800</v>
      </c>
      <c r="AZ59" s="32">
        <f t="shared" si="785"/>
        <v>64800</v>
      </c>
      <c r="BA59" s="33">
        <f t="shared" si="724"/>
        <v>0</v>
      </c>
      <c r="BB59" s="30" t="str">
        <f>IF(BB53="","",BB53)</f>
        <v/>
      </c>
      <c r="BC59" s="31">
        <f t="shared" ref="BC59:BD59" si="786">BC53</f>
        <v>64800</v>
      </c>
      <c r="BD59" s="32">
        <f t="shared" si="786"/>
        <v>64800</v>
      </c>
      <c r="BE59" s="33">
        <f t="shared" si="726"/>
        <v>0</v>
      </c>
      <c r="BF59" s="30" t="str">
        <f>IF(BF53="","",BF53)</f>
        <v/>
      </c>
      <c r="BG59" s="31">
        <f t="shared" ref="BG59:BH59" si="787">BG53</f>
        <v>64800</v>
      </c>
      <c r="BH59" s="32">
        <f t="shared" si="787"/>
        <v>64800</v>
      </c>
      <c r="BI59" s="33">
        <f t="shared" si="728"/>
        <v>0</v>
      </c>
      <c r="BJ59" s="30" t="str">
        <f>IF(BJ53="","",BJ53)</f>
        <v/>
      </c>
      <c r="BK59" s="31">
        <f t="shared" ref="BK59:BL59" si="788">BK53</f>
        <v>64800</v>
      </c>
      <c r="BL59" s="32">
        <f t="shared" si="788"/>
        <v>64800</v>
      </c>
      <c r="BM59" s="33">
        <f t="shared" si="730"/>
        <v>0</v>
      </c>
      <c r="BN59" s="30" t="str">
        <f>IF(BN53="","",BN53)</f>
        <v/>
      </c>
      <c r="BO59" s="31">
        <f t="shared" ref="BO59:BP59" si="789">BO53</f>
        <v>64800</v>
      </c>
      <c r="BP59" s="32">
        <f t="shared" si="789"/>
        <v>64800</v>
      </c>
      <c r="BQ59" s="33">
        <f t="shared" si="732"/>
        <v>0</v>
      </c>
      <c r="BR59" s="30" t="str">
        <f>IF(BR53="","",BR53)</f>
        <v/>
      </c>
      <c r="BS59" s="31">
        <f t="shared" ref="BS59:BT59" si="790">BS53</f>
        <v>64800</v>
      </c>
      <c r="BT59" s="32">
        <f t="shared" si="790"/>
        <v>64800</v>
      </c>
      <c r="BU59" s="33">
        <f t="shared" si="734"/>
        <v>0</v>
      </c>
      <c r="BV59" s="30" t="str">
        <f>IF(BV53="","",BV53)</f>
        <v/>
      </c>
      <c r="BW59" s="31">
        <f t="shared" ref="BW59:BX59" si="791">BW53</f>
        <v>64800</v>
      </c>
      <c r="BX59" s="32">
        <f t="shared" si="791"/>
        <v>64800</v>
      </c>
      <c r="BY59" s="33">
        <f t="shared" si="736"/>
        <v>0</v>
      </c>
      <c r="BZ59" s="30" t="str">
        <f>IF(BZ53="","",BZ53)</f>
        <v/>
      </c>
      <c r="CA59" s="31">
        <f t="shared" ref="CA59:CB59" si="792">CA53</f>
        <v>64800</v>
      </c>
      <c r="CB59" s="32">
        <f t="shared" si="792"/>
        <v>64800</v>
      </c>
      <c r="CC59" s="33">
        <f t="shared" si="738"/>
        <v>0</v>
      </c>
      <c r="CD59" s="30" t="str">
        <f>IF(CD53="","",CD53)</f>
        <v/>
      </c>
      <c r="CE59" s="31">
        <f t="shared" ref="CE59:CF59" si="793">CE53</f>
        <v>64800</v>
      </c>
      <c r="CF59" s="32">
        <f t="shared" si="793"/>
        <v>64800</v>
      </c>
      <c r="CG59" s="33">
        <f t="shared" si="740"/>
        <v>0</v>
      </c>
      <c r="CH59" s="30" t="str">
        <f>IF(CH53="","",CH53)</f>
        <v/>
      </c>
      <c r="CI59" s="31">
        <f t="shared" ref="CI59:CJ59" si="794">CI53</f>
        <v>64800</v>
      </c>
      <c r="CJ59" s="32">
        <f t="shared" si="794"/>
        <v>64800</v>
      </c>
      <c r="CK59" s="33">
        <f t="shared" si="742"/>
        <v>0</v>
      </c>
      <c r="CL59" s="30" t="str">
        <f>IF(CL53="","",CL53)</f>
        <v/>
      </c>
      <c r="CM59" s="31">
        <f t="shared" ref="CM59:CN59" si="795">CM53</f>
        <v>64800</v>
      </c>
      <c r="CN59" s="32">
        <f t="shared" si="795"/>
        <v>64800</v>
      </c>
      <c r="CO59" s="33">
        <f t="shared" si="744"/>
        <v>0</v>
      </c>
      <c r="CP59" s="30" t="str">
        <f>IF(CP53="","",CP53)</f>
        <v/>
      </c>
      <c r="CQ59" s="31">
        <f t="shared" ref="CQ59:CR59" si="796">CQ53</f>
        <v>64800</v>
      </c>
      <c r="CR59" s="32">
        <f t="shared" si="796"/>
        <v>64800</v>
      </c>
      <c r="CS59" s="33">
        <f t="shared" si="746"/>
        <v>0</v>
      </c>
      <c r="CT59" s="30" t="str">
        <f>IF(CT53="","",CT53)</f>
        <v/>
      </c>
      <c r="CU59" s="31">
        <f t="shared" ref="CU59:CV59" si="797">CU53</f>
        <v>64800</v>
      </c>
      <c r="CV59" s="32">
        <f t="shared" si="797"/>
        <v>64800</v>
      </c>
      <c r="CW59" s="33">
        <f t="shared" si="748"/>
        <v>0</v>
      </c>
      <c r="CX59" s="30" t="str">
        <f>IF(CX53="","",CX53)</f>
        <v/>
      </c>
      <c r="CY59" s="31">
        <f t="shared" ref="CY59:CZ59" si="798">CY53</f>
        <v>64800</v>
      </c>
      <c r="CZ59" s="32">
        <f t="shared" si="798"/>
        <v>64800</v>
      </c>
      <c r="DA59" s="33">
        <f t="shared" si="750"/>
        <v>0</v>
      </c>
      <c r="DB59" s="30" t="str">
        <f>IF(DB53="","",DB53)</f>
        <v/>
      </c>
      <c r="DC59" s="31">
        <f t="shared" ref="DC59:DD59" si="799">DC53</f>
        <v>64800</v>
      </c>
      <c r="DD59" s="32">
        <f t="shared" si="799"/>
        <v>64800</v>
      </c>
      <c r="DE59" s="33">
        <f t="shared" si="752"/>
        <v>0</v>
      </c>
      <c r="DF59" s="30" t="str">
        <f>IF(DF53="","",DF53)</f>
        <v/>
      </c>
      <c r="DG59" s="31">
        <f t="shared" ref="DG59:DH59" si="800">DG53</f>
        <v>64800</v>
      </c>
      <c r="DH59" s="32">
        <f t="shared" si="800"/>
        <v>64800</v>
      </c>
      <c r="DI59" s="33">
        <f t="shared" si="754"/>
        <v>0</v>
      </c>
      <c r="DJ59" s="30" t="str">
        <f>IF(DJ53="","",DJ53)</f>
        <v/>
      </c>
      <c r="DK59" s="31">
        <f t="shared" ref="DK59:DL59" si="801">DK53</f>
        <v>64800</v>
      </c>
      <c r="DL59" s="32">
        <f t="shared" si="801"/>
        <v>64800</v>
      </c>
      <c r="DM59" s="33">
        <f t="shared" si="756"/>
        <v>0</v>
      </c>
      <c r="DN59" s="30" t="str">
        <f>IF(DN53="","",DN53)</f>
        <v/>
      </c>
      <c r="DO59" s="31">
        <f t="shared" ref="DO59:DP59" si="802">DO53</f>
        <v>64800</v>
      </c>
      <c r="DP59" s="32">
        <f t="shared" si="802"/>
        <v>64800</v>
      </c>
      <c r="DQ59" s="33">
        <f t="shared" si="758"/>
        <v>0</v>
      </c>
      <c r="DR59" s="30" t="str">
        <f>IF(DR53="","",DR53)</f>
        <v/>
      </c>
      <c r="DS59" s="31">
        <f t="shared" ref="DS59:DT59" si="803">DS53</f>
        <v>64800</v>
      </c>
      <c r="DT59" s="32">
        <f t="shared" si="803"/>
        <v>64800</v>
      </c>
      <c r="DU59" s="33">
        <f t="shared" si="760"/>
        <v>0</v>
      </c>
      <c r="DV59" s="30" t="str">
        <f>IF(DV53="","",DV53)</f>
        <v/>
      </c>
      <c r="DW59" s="31">
        <f t="shared" ref="DW59:DX59" si="804">DW53</f>
        <v>64800</v>
      </c>
      <c r="DX59" s="32">
        <f t="shared" si="804"/>
        <v>64800</v>
      </c>
      <c r="DY59" s="33">
        <f t="shared" si="762"/>
        <v>0</v>
      </c>
      <c r="DZ59" s="30" t="str">
        <f>IF(DZ53="","",DZ53)</f>
        <v/>
      </c>
      <c r="EA59" s="31">
        <f t="shared" ref="EA59:EB59" si="805">EA53</f>
        <v>64800</v>
      </c>
      <c r="EB59" s="32">
        <f t="shared" si="805"/>
        <v>64800</v>
      </c>
      <c r="EC59" s="33">
        <f t="shared" si="764"/>
        <v>0</v>
      </c>
      <c r="ED59" s="30" t="str">
        <f>IF(ED53="","",ED53)</f>
        <v/>
      </c>
      <c r="EE59" s="31">
        <f t="shared" ref="EE59:EF59" si="806">EE53</f>
        <v>64800</v>
      </c>
      <c r="EF59" s="32">
        <f t="shared" si="806"/>
        <v>64800</v>
      </c>
      <c r="EG59" s="33">
        <f t="shared" si="766"/>
        <v>0</v>
      </c>
      <c r="EH59" s="30" t="str">
        <f>IF(EH53="","",EH53)</f>
        <v/>
      </c>
      <c r="EI59" s="31">
        <f t="shared" ref="EI59:EJ59" si="807">EI53</f>
        <v>64800</v>
      </c>
      <c r="EJ59" s="32">
        <f t="shared" si="807"/>
        <v>64800</v>
      </c>
      <c r="EK59" s="33">
        <f t="shared" si="768"/>
        <v>0</v>
      </c>
      <c r="EL59" s="30">
        <f>IF(EL53="","",EL53)</f>
        <v>63504</v>
      </c>
      <c r="EM59" s="31">
        <f t="shared" ref="EM59:EN59" si="808">EM53</f>
        <v>63504</v>
      </c>
      <c r="EN59" s="32">
        <f t="shared" si="808"/>
        <v>64800</v>
      </c>
      <c r="EO59" s="33">
        <f t="shared" si="770"/>
        <v>-1296</v>
      </c>
      <c r="EP59" s="30">
        <f>IF(EP53="","",EP53)</f>
        <v>68041</v>
      </c>
      <c r="EQ59" s="31">
        <f t="shared" ref="EQ59:ER59" si="809">EQ53</f>
        <v>68041</v>
      </c>
      <c r="ER59" s="32">
        <f t="shared" si="809"/>
        <v>64800</v>
      </c>
      <c r="ES59" s="33">
        <f t="shared" si="772"/>
        <v>3241</v>
      </c>
    </row>
    <row r="60" ht="18.0" customHeight="1">
      <c r="A60" s="2" t="s">
        <v>62</v>
      </c>
      <c r="B60" s="30">
        <f t="shared" ref="B60:D60" si="810">SUM(EP60,EL60,EH60,ED60,DZ60,DV60,DR60,DN60,DJ60,DF60,DB60,CX60,CT60,CP60,CL60,CH60,CD60,BZ60,BV60,BR60,BN60,BJ60,BF60,BB60,AX60,AT60,AP60,AL60,AH60,AD60,Z60,V60,R60,N60,J60,F60)</f>
        <v>0</v>
      </c>
      <c r="C60" s="31">
        <f t="shared" si="810"/>
        <v>50000</v>
      </c>
      <c r="D60" s="32">
        <f t="shared" si="810"/>
        <v>50000</v>
      </c>
      <c r="E60" s="33">
        <f t="shared" si="700"/>
        <v>0</v>
      </c>
      <c r="F60" s="34"/>
      <c r="G60" s="31">
        <f t="shared" ref="G60:G64" si="812">IF(F$98=1,F60,H60)</f>
        <v>0</v>
      </c>
      <c r="H60" s="35">
        <v>0.0</v>
      </c>
      <c r="I60" s="33">
        <f t="shared" si="702"/>
        <v>0</v>
      </c>
      <c r="J60" s="34"/>
      <c r="K60" s="31">
        <f t="shared" ref="K60:K64" si="813">IF(J$98=1,J60,L60)</f>
        <v>0</v>
      </c>
      <c r="L60" s="35">
        <v>0.0</v>
      </c>
      <c r="M60" s="33">
        <f t="shared" si="704"/>
        <v>0</v>
      </c>
      <c r="N60" s="34"/>
      <c r="O60" s="31">
        <f t="shared" ref="O60:O64" si="814">IF(N$98=1,N60,P60)</f>
        <v>0</v>
      </c>
      <c r="P60" s="35">
        <v>0.0</v>
      </c>
      <c r="Q60" s="33">
        <f t="shared" si="706"/>
        <v>0</v>
      </c>
      <c r="R60" s="34"/>
      <c r="S60" s="31">
        <f t="shared" ref="S60:S64" si="815">IF(R$98=1,R60,T60)</f>
        <v>0</v>
      </c>
      <c r="T60" s="35">
        <v>0.0</v>
      </c>
      <c r="U60" s="33">
        <f t="shared" si="708"/>
        <v>0</v>
      </c>
      <c r="V60" s="34"/>
      <c r="W60" s="31">
        <f t="shared" ref="W60:W64" si="816">IF(V$98=1,V60,X60)</f>
        <v>0</v>
      </c>
      <c r="X60" s="35">
        <v>0.0</v>
      </c>
      <c r="Y60" s="33">
        <f t="shared" si="710"/>
        <v>0</v>
      </c>
      <c r="Z60" s="34"/>
      <c r="AA60" s="31">
        <f t="shared" ref="AA60:AA64" si="817">IF(Z$98=1,Z60,AB60)</f>
        <v>0</v>
      </c>
      <c r="AB60" s="35">
        <v>0.0</v>
      </c>
      <c r="AC60" s="33">
        <f t="shared" si="712"/>
        <v>0</v>
      </c>
      <c r="AD60" s="34"/>
      <c r="AE60" s="31">
        <f t="shared" ref="AE60:AE64" si="818">IF(AD$98=1,AD60,AF60)</f>
        <v>0</v>
      </c>
      <c r="AF60" s="35">
        <v>0.0</v>
      </c>
      <c r="AG60" s="33">
        <f t="shared" si="714"/>
        <v>0</v>
      </c>
      <c r="AH60" s="34"/>
      <c r="AI60" s="31">
        <f t="shared" ref="AI60:AI64" si="819">IF(AH$98=1,AH60,AJ60)</f>
        <v>0</v>
      </c>
      <c r="AJ60" s="35">
        <v>0.0</v>
      </c>
      <c r="AK60" s="33">
        <f t="shared" si="716"/>
        <v>0</v>
      </c>
      <c r="AL60" s="34"/>
      <c r="AM60" s="31">
        <f t="shared" ref="AM60:AM64" si="820">IF(AL$98=1,AL60,AN60)</f>
        <v>0</v>
      </c>
      <c r="AN60" s="35">
        <v>0.0</v>
      </c>
      <c r="AO60" s="33">
        <f t="shared" si="718"/>
        <v>0</v>
      </c>
      <c r="AP60" s="34"/>
      <c r="AQ60" s="31">
        <f t="shared" ref="AQ60:AQ64" si="821">IF(AP$98=1,AP60,AR60)</f>
        <v>0</v>
      </c>
      <c r="AR60" s="35">
        <v>0.0</v>
      </c>
      <c r="AS60" s="33">
        <f t="shared" si="720"/>
        <v>0</v>
      </c>
      <c r="AT60" s="34"/>
      <c r="AU60" s="31">
        <f t="shared" ref="AU60:AU64" si="822">IF(AT$98=1,AT60,AV60)</f>
        <v>0</v>
      </c>
      <c r="AV60" s="35">
        <v>0.0</v>
      </c>
      <c r="AW60" s="33">
        <f t="shared" si="722"/>
        <v>0</v>
      </c>
      <c r="AX60" s="34"/>
      <c r="AY60" s="31">
        <f t="shared" ref="AY60:AY64" si="823">IF(AX$98=1,AX60,AZ60)</f>
        <v>0</v>
      </c>
      <c r="AZ60" s="35">
        <v>0.0</v>
      </c>
      <c r="BA60" s="33">
        <f t="shared" si="724"/>
        <v>0</v>
      </c>
      <c r="BB60" s="34"/>
      <c r="BC60" s="31">
        <f t="shared" ref="BC60:BC64" si="824">IF(BB$98=1,BB60,BD60)</f>
        <v>0</v>
      </c>
      <c r="BD60" s="35">
        <v>0.0</v>
      </c>
      <c r="BE60" s="33">
        <f t="shared" si="726"/>
        <v>0</v>
      </c>
      <c r="BF60" s="34"/>
      <c r="BG60" s="31">
        <f t="shared" ref="BG60:BG64" si="825">IF(BF$98=1,BF60,BH60)</f>
        <v>0</v>
      </c>
      <c r="BH60" s="35">
        <v>0.0</v>
      </c>
      <c r="BI60" s="33">
        <f t="shared" si="728"/>
        <v>0</v>
      </c>
      <c r="BJ60" s="34"/>
      <c r="BK60" s="31">
        <f t="shared" ref="BK60:BK64" si="826">IF(BJ$98=1,BJ60,BL60)</f>
        <v>0</v>
      </c>
      <c r="BL60" s="35">
        <v>0.0</v>
      </c>
      <c r="BM60" s="33">
        <f t="shared" si="730"/>
        <v>0</v>
      </c>
      <c r="BN60" s="34"/>
      <c r="BO60" s="31">
        <f t="shared" ref="BO60:BO64" si="827">IF(BN$98=1,BN60,BP60)</f>
        <v>0</v>
      </c>
      <c r="BP60" s="35">
        <v>0.0</v>
      </c>
      <c r="BQ60" s="33">
        <f t="shared" si="732"/>
        <v>0</v>
      </c>
      <c r="BR60" s="34"/>
      <c r="BS60" s="31">
        <f t="shared" ref="BS60:BS64" si="828">IF(BR$98=1,BR60,BT60)</f>
        <v>0</v>
      </c>
      <c r="BT60" s="35">
        <v>0.0</v>
      </c>
      <c r="BU60" s="33">
        <f t="shared" si="734"/>
        <v>0</v>
      </c>
      <c r="BV60" s="34"/>
      <c r="BW60" s="31">
        <f t="shared" ref="BW60:BW64" si="829">IF(BV$98=1,BV60,BX60)</f>
        <v>0</v>
      </c>
      <c r="BX60" s="35">
        <v>0.0</v>
      </c>
      <c r="BY60" s="33">
        <f t="shared" si="736"/>
        <v>0</v>
      </c>
      <c r="BZ60" s="34"/>
      <c r="CA60" s="31">
        <f t="shared" ref="CA60:CA64" si="830">IF(BZ$98=1,BZ60,CB60)</f>
        <v>0</v>
      </c>
      <c r="CB60" s="35">
        <v>0.0</v>
      </c>
      <c r="CC60" s="33">
        <f t="shared" si="738"/>
        <v>0</v>
      </c>
      <c r="CD60" s="34"/>
      <c r="CE60" s="31">
        <f t="shared" ref="CE60:CE64" si="831">IF(CD$98=1,CD60,CF60)</f>
        <v>0</v>
      </c>
      <c r="CF60" s="35">
        <v>0.0</v>
      </c>
      <c r="CG60" s="33">
        <f t="shared" si="740"/>
        <v>0</v>
      </c>
      <c r="CH60" s="34"/>
      <c r="CI60" s="31">
        <f t="shared" ref="CI60:CI64" si="832">IF(CH$98=1,CH60,CJ60)</f>
        <v>0</v>
      </c>
      <c r="CJ60" s="35">
        <v>0.0</v>
      </c>
      <c r="CK60" s="33">
        <f t="shared" si="742"/>
        <v>0</v>
      </c>
      <c r="CL60" s="34"/>
      <c r="CM60" s="31">
        <f t="shared" ref="CM60:CM64" si="833">IF(CL$98=1,CL60,CN60)</f>
        <v>0</v>
      </c>
      <c r="CN60" s="35">
        <v>0.0</v>
      </c>
      <c r="CO60" s="33">
        <f t="shared" si="744"/>
        <v>0</v>
      </c>
      <c r="CP60" s="34"/>
      <c r="CQ60" s="31">
        <f t="shared" ref="CQ60:CQ64" si="834">IF(CP$98=1,CP60,CR60)</f>
        <v>0</v>
      </c>
      <c r="CR60" s="35">
        <v>0.0</v>
      </c>
      <c r="CS60" s="33">
        <f t="shared" si="746"/>
        <v>0</v>
      </c>
      <c r="CT60" s="34"/>
      <c r="CU60" s="31">
        <f t="shared" ref="CU60:CU64" si="835">IF(CT$98=1,CT60,CV60)</f>
        <v>0</v>
      </c>
      <c r="CV60" s="35">
        <v>0.0</v>
      </c>
      <c r="CW60" s="33">
        <f t="shared" si="748"/>
        <v>0</v>
      </c>
      <c r="CX60" s="34"/>
      <c r="CY60" s="31">
        <f t="shared" ref="CY60:CY64" si="836">IF(CX$98=1,CX60,CZ60)</f>
        <v>0</v>
      </c>
      <c r="CZ60" s="35">
        <v>0.0</v>
      </c>
      <c r="DA60" s="33">
        <f t="shared" si="750"/>
        <v>0</v>
      </c>
      <c r="DB60" s="34"/>
      <c r="DC60" s="31">
        <f t="shared" ref="DC60:DC64" si="837">IF(DB$98=1,DB60,DD60)</f>
        <v>0</v>
      </c>
      <c r="DD60" s="35">
        <v>0.0</v>
      </c>
      <c r="DE60" s="33">
        <f t="shared" si="752"/>
        <v>0</v>
      </c>
      <c r="DF60" s="34"/>
      <c r="DG60" s="31">
        <f t="shared" ref="DG60:DG64" si="838">IF(DF$98=1,DF60,DH60)</f>
        <v>0</v>
      </c>
      <c r="DH60" s="35">
        <v>0.0</v>
      </c>
      <c r="DI60" s="33">
        <f t="shared" si="754"/>
        <v>0</v>
      </c>
      <c r="DJ60" s="34"/>
      <c r="DK60" s="31">
        <f t="shared" ref="DK60:DK64" si="839">IF(DJ$98=1,DJ60,DL60)</f>
        <v>0</v>
      </c>
      <c r="DL60" s="35">
        <v>0.0</v>
      </c>
      <c r="DM60" s="33">
        <f t="shared" si="756"/>
        <v>0</v>
      </c>
      <c r="DN60" s="34"/>
      <c r="DO60" s="31">
        <f t="shared" ref="DO60:DO64" si="840">IF(DN$98=1,DN60,DP60)</f>
        <v>0</v>
      </c>
      <c r="DP60" s="35">
        <v>0.0</v>
      </c>
      <c r="DQ60" s="33">
        <f t="shared" si="758"/>
        <v>0</v>
      </c>
      <c r="DR60" s="34"/>
      <c r="DS60" s="31">
        <f t="shared" ref="DS60:DS64" si="841">IF(DR$98=1,DR60,DT60)</f>
        <v>0</v>
      </c>
      <c r="DT60" s="35">
        <v>0.0</v>
      </c>
      <c r="DU60" s="33">
        <f t="shared" si="760"/>
        <v>0</v>
      </c>
      <c r="DV60" s="34"/>
      <c r="DW60" s="31">
        <f t="shared" ref="DW60:DW64" si="842">IF(DV$98=1,DV60,DX60)</f>
        <v>0</v>
      </c>
      <c r="DX60" s="35">
        <v>0.0</v>
      </c>
      <c r="DY60" s="33">
        <f t="shared" si="762"/>
        <v>0</v>
      </c>
      <c r="DZ60" s="34"/>
      <c r="EA60" s="31">
        <f t="shared" ref="EA60:EA64" si="843">IF(DZ$98=1,DZ60,EB60)</f>
        <v>0</v>
      </c>
      <c r="EB60" s="35">
        <v>0.0</v>
      </c>
      <c r="EC60" s="33">
        <f t="shared" si="764"/>
        <v>0</v>
      </c>
      <c r="ED60" s="34"/>
      <c r="EE60" s="31">
        <f t="shared" ref="EE60:EE64" si="844">IF(ED$98=1,ED60,EF60)</f>
        <v>0</v>
      </c>
      <c r="EF60" s="35">
        <v>0.0</v>
      </c>
      <c r="EG60" s="33">
        <f t="shared" si="766"/>
        <v>0</v>
      </c>
      <c r="EH60" s="34"/>
      <c r="EI60" s="31">
        <f t="shared" ref="EI60:EI64" si="845">IF(EH$98=1,EH60,EJ60)</f>
        <v>50000</v>
      </c>
      <c r="EJ60" s="35">
        <v>50000.0</v>
      </c>
      <c r="EK60" s="33">
        <f t="shared" si="768"/>
        <v>0</v>
      </c>
      <c r="EL60" s="34">
        <v>0.0</v>
      </c>
      <c r="EM60" s="31">
        <f t="shared" ref="EM60:EM64" si="846">IF(EL$98=1,EL60,EN60)</f>
        <v>0</v>
      </c>
      <c r="EN60" s="35">
        <v>0.0</v>
      </c>
      <c r="EO60" s="33">
        <f t="shared" si="770"/>
        <v>0</v>
      </c>
      <c r="EP60" s="34">
        <v>0.0</v>
      </c>
      <c r="EQ60" s="31">
        <f t="shared" ref="EQ60:EQ64" si="847">IF(EP$98=1,EP60,ER60)</f>
        <v>0</v>
      </c>
      <c r="ER60" s="35">
        <v>0.0</v>
      </c>
      <c r="ES60" s="33">
        <f t="shared" si="772"/>
        <v>0</v>
      </c>
    </row>
    <row r="61" ht="18.0" customHeight="1">
      <c r="A61" s="2" t="s">
        <v>63</v>
      </c>
      <c r="B61" s="30">
        <f t="shared" ref="B61:D61" si="811">SUM(EP61,EL61,EH61,ED61,DZ61,DV61,DR61,DN61,DJ61,DF61,DB61,CX61,CT61,CP61,CL61,CH61,CD61,BZ61,BV61,BR61,BN61,BJ61,BF61,BB61,AX61,AT61,AP61,AL61,AH61,AD61,Z61,V61,R61,N61,J61,F61)</f>
        <v>0</v>
      </c>
      <c r="C61" s="31">
        <f t="shared" si="811"/>
        <v>45000</v>
      </c>
      <c r="D61" s="32">
        <f t="shared" si="811"/>
        <v>45000</v>
      </c>
      <c r="E61" s="33">
        <f t="shared" si="700"/>
        <v>0</v>
      </c>
      <c r="F61" s="34"/>
      <c r="G61" s="31">
        <f t="shared" si="812"/>
        <v>5000</v>
      </c>
      <c r="H61" s="35">
        <v>5000.0</v>
      </c>
      <c r="I61" s="33">
        <f t="shared" si="702"/>
        <v>0</v>
      </c>
      <c r="J61" s="34"/>
      <c r="K61" s="31">
        <f t="shared" si="813"/>
        <v>0</v>
      </c>
      <c r="L61" s="35">
        <v>0.0</v>
      </c>
      <c r="M61" s="33">
        <f t="shared" si="704"/>
        <v>0</v>
      </c>
      <c r="N61" s="34"/>
      <c r="O61" s="31">
        <f t="shared" si="814"/>
        <v>0</v>
      </c>
      <c r="P61" s="35">
        <v>0.0</v>
      </c>
      <c r="Q61" s="33">
        <f t="shared" si="706"/>
        <v>0</v>
      </c>
      <c r="R61" s="34"/>
      <c r="S61" s="31">
        <f t="shared" si="815"/>
        <v>5000</v>
      </c>
      <c r="T61" s="35">
        <v>5000.0</v>
      </c>
      <c r="U61" s="33">
        <f t="shared" si="708"/>
        <v>0</v>
      </c>
      <c r="V61" s="34"/>
      <c r="W61" s="31">
        <f t="shared" si="816"/>
        <v>0</v>
      </c>
      <c r="X61" s="35">
        <v>0.0</v>
      </c>
      <c r="Y61" s="33">
        <f t="shared" si="710"/>
        <v>0</v>
      </c>
      <c r="Z61" s="34"/>
      <c r="AA61" s="31">
        <f t="shared" si="817"/>
        <v>0</v>
      </c>
      <c r="AB61" s="35">
        <v>0.0</v>
      </c>
      <c r="AC61" s="33">
        <f t="shared" si="712"/>
        <v>0</v>
      </c>
      <c r="AD61" s="34"/>
      <c r="AE61" s="31">
        <f t="shared" si="818"/>
        <v>5000</v>
      </c>
      <c r="AF61" s="35">
        <v>5000.0</v>
      </c>
      <c r="AG61" s="33">
        <f t="shared" si="714"/>
        <v>0</v>
      </c>
      <c r="AH61" s="34"/>
      <c r="AI61" s="31">
        <f t="shared" si="819"/>
        <v>0</v>
      </c>
      <c r="AJ61" s="35">
        <v>0.0</v>
      </c>
      <c r="AK61" s="33">
        <f t="shared" si="716"/>
        <v>0</v>
      </c>
      <c r="AL61" s="34"/>
      <c r="AM61" s="31">
        <f t="shared" si="820"/>
        <v>0</v>
      </c>
      <c r="AN61" s="35">
        <v>0.0</v>
      </c>
      <c r="AO61" s="33">
        <f t="shared" si="718"/>
        <v>0</v>
      </c>
      <c r="AP61" s="34"/>
      <c r="AQ61" s="31">
        <f t="shared" si="821"/>
        <v>0</v>
      </c>
      <c r="AR61" s="35">
        <v>0.0</v>
      </c>
      <c r="AS61" s="33">
        <f t="shared" si="720"/>
        <v>0</v>
      </c>
      <c r="AT61" s="34"/>
      <c r="AU61" s="31">
        <f t="shared" si="822"/>
        <v>0</v>
      </c>
      <c r="AV61" s="35">
        <v>0.0</v>
      </c>
      <c r="AW61" s="33">
        <f t="shared" si="722"/>
        <v>0</v>
      </c>
      <c r="AX61" s="34"/>
      <c r="AY61" s="31">
        <f t="shared" si="823"/>
        <v>0</v>
      </c>
      <c r="AZ61" s="35">
        <v>0.0</v>
      </c>
      <c r="BA61" s="33">
        <f t="shared" si="724"/>
        <v>0</v>
      </c>
      <c r="BB61" s="34"/>
      <c r="BC61" s="31">
        <f t="shared" si="824"/>
        <v>5000</v>
      </c>
      <c r="BD61" s="35">
        <v>5000.0</v>
      </c>
      <c r="BE61" s="33">
        <f t="shared" si="726"/>
        <v>0</v>
      </c>
      <c r="BF61" s="34"/>
      <c r="BG61" s="31">
        <f t="shared" si="825"/>
        <v>0</v>
      </c>
      <c r="BH61" s="35">
        <v>0.0</v>
      </c>
      <c r="BI61" s="33">
        <f t="shared" si="728"/>
        <v>0</v>
      </c>
      <c r="BJ61" s="34"/>
      <c r="BK61" s="31">
        <f t="shared" si="826"/>
        <v>0</v>
      </c>
      <c r="BL61" s="35">
        <v>0.0</v>
      </c>
      <c r="BM61" s="33">
        <f t="shared" si="730"/>
        <v>0</v>
      </c>
      <c r="BN61" s="34"/>
      <c r="BO61" s="31">
        <f t="shared" si="827"/>
        <v>5000</v>
      </c>
      <c r="BP61" s="35">
        <v>5000.0</v>
      </c>
      <c r="BQ61" s="33">
        <f t="shared" si="732"/>
        <v>0</v>
      </c>
      <c r="BR61" s="34"/>
      <c r="BS61" s="31">
        <f t="shared" si="828"/>
        <v>0</v>
      </c>
      <c r="BT61" s="35">
        <v>0.0</v>
      </c>
      <c r="BU61" s="33">
        <f t="shared" si="734"/>
        <v>0</v>
      </c>
      <c r="BV61" s="34"/>
      <c r="BW61" s="31">
        <f t="shared" si="829"/>
        <v>0</v>
      </c>
      <c r="BX61" s="35">
        <v>0.0</v>
      </c>
      <c r="BY61" s="33">
        <f t="shared" si="736"/>
        <v>0</v>
      </c>
      <c r="BZ61" s="34"/>
      <c r="CA61" s="31">
        <f t="shared" si="830"/>
        <v>5000</v>
      </c>
      <c r="CB61" s="35">
        <v>5000.0</v>
      </c>
      <c r="CC61" s="33">
        <f t="shared" si="738"/>
        <v>0</v>
      </c>
      <c r="CD61" s="34"/>
      <c r="CE61" s="31">
        <f t="shared" si="831"/>
        <v>0</v>
      </c>
      <c r="CF61" s="35">
        <v>0.0</v>
      </c>
      <c r="CG61" s="33">
        <f t="shared" si="740"/>
        <v>0</v>
      </c>
      <c r="CH61" s="34"/>
      <c r="CI61" s="31">
        <f t="shared" si="832"/>
        <v>0</v>
      </c>
      <c r="CJ61" s="35">
        <v>0.0</v>
      </c>
      <c r="CK61" s="33">
        <f t="shared" si="742"/>
        <v>0</v>
      </c>
      <c r="CL61" s="34"/>
      <c r="CM61" s="31">
        <f t="shared" si="833"/>
        <v>0</v>
      </c>
      <c r="CN61" s="35">
        <v>0.0</v>
      </c>
      <c r="CO61" s="33">
        <f t="shared" si="744"/>
        <v>0</v>
      </c>
      <c r="CP61" s="34"/>
      <c r="CQ61" s="31">
        <f t="shared" si="834"/>
        <v>0</v>
      </c>
      <c r="CR61" s="35">
        <v>0.0</v>
      </c>
      <c r="CS61" s="33">
        <f t="shared" si="746"/>
        <v>0</v>
      </c>
      <c r="CT61" s="34"/>
      <c r="CU61" s="31">
        <f t="shared" si="835"/>
        <v>0</v>
      </c>
      <c r="CV61" s="35">
        <v>0.0</v>
      </c>
      <c r="CW61" s="33">
        <f t="shared" si="748"/>
        <v>0</v>
      </c>
      <c r="CX61" s="34"/>
      <c r="CY61" s="31">
        <f t="shared" si="836"/>
        <v>5000</v>
      </c>
      <c r="CZ61" s="35">
        <v>5000.0</v>
      </c>
      <c r="DA61" s="33">
        <f t="shared" si="750"/>
        <v>0</v>
      </c>
      <c r="DB61" s="34"/>
      <c r="DC61" s="31">
        <f t="shared" si="837"/>
        <v>0</v>
      </c>
      <c r="DD61" s="35">
        <v>0.0</v>
      </c>
      <c r="DE61" s="33">
        <f t="shared" si="752"/>
        <v>0</v>
      </c>
      <c r="DF61" s="34"/>
      <c r="DG61" s="31">
        <f t="shared" si="838"/>
        <v>0</v>
      </c>
      <c r="DH61" s="35">
        <v>0.0</v>
      </c>
      <c r="DI61" s="33">
        <f t="shared" si="754"/>
        <v>0</v>
      </c>
      <c r="DJ61" s="34"/>
      <c r="DK61" s="31">
        <f t="shared" si="839"/>
        <v>5000</v>
      </c>
      <c r="DL61" s="35">
        <v>5000.0</v>
      </c>
      <c r="DM61" s="33">
        <f t="shared" si="756"/>
        <v>0</v>
      </c>
      <c r="DN61" s="34"/>
      <c r="DO61" s="31">
        <f t="shared" si="840"/>
        <v>0</v>
      </c>
      <c r="DP61" s="35">
        <v>0.0</v>
      </c>
      <c r="DQ61" s="33">
        <f t="shared" si="758"/>
        <v>0</v>
      </c>
      <c r="DR61" s="34"/>
      <c r="DS61" s="31">
        <f t="shared" si="841"/>
        <v>0</v>
      </c>
      <c r="DT61" s="35">
        <v>0.0</v>
      </c>
      <c r="DU61" s="33">
        <f t="shared" si="760"/>
        <v>0</v>
      </c>
      <c r="DV61" s="34"/>
      <c r="DW61" s="31">
        <f t="shared" si="842"/>
        <v>5000</v>
      </c>
      <c r="DX61" s="35">
        <v>5000.0</v>
      </c>
      <c r="DY61" s="33">
        <f t="shared" si="762"/>
        <v>0</v>
      </c>
      <c r="DZ61" s="34"/>
      <c r="EA61" s="31">
        <f t="shared" si="843"/>
        <v>0</v>
      </c>
      <c r="EB61" s="35">
        <v>0.0</v>
      </c>
      <c r="EC61" s="33">
        <f t="shared" si="764"/>
        <v>0</v>
      </c>
      <c r="ED61" s="34"/>
      <c r="EE61" s="31">
        <f t="shared" si="844"/>
        <v>0</v>
      </c>
      <c r="EF61" s="35">
        <v>0.0</v>
      </c>
      <c r="EG61" s="33">
        <f t="shared" si="766"/>
        <v>0</v>
      </c>
      <c r="EH61" s="34"/>
      <c r="EI61" s="31">
        <f t="shared" si="845"/>
        <v>0</v>
      </c>
      <c r="EJ61" s="35">
        <v>0.0</v>
      </c>
      <c r="EK61" s="33">
        <f t="shared" si="768"/>
        <v>0</v>
      </c>
      <c r="EL61" s="34">
        <v>0.0</v>
      </c>
      <c r="EM61" s="31">
        <f t="shared" si="846"/>
        <v>0</v>
      </c>
      <c r="EN61" s="35">
        <v>0.0</v>
      </c>
      <c r="EO61" s="33">
        <f t="shared" si="770"/>
        <v>0</v>
      </c>
      <c r="EP61" s="34">
        <v>0.0</v>
      </c>
      <c r="EQ61" s="31">
        <f t="shared" si="847"/>
        <v>0</v>
      </c>
      <c r="ER61" s="35">
        <v>0.0</v>
      </c>
      <c r="ES61" s="33">
        <f t="shared" si="772"/>
        <v>0</v>
      </c>
    </row>
    <row r="62" ht="18.0" customHeight="1">
      <c r="A62" s="2" t="s">
        <v>64</v>
      </c>
      <c r="B62" s="30">
        <f t="shared" ref="B62:D62" si="848">SUM(EP62,EL62,EH62,ED62,DZ62,DV62,DR62,DN62,DJ62,DF62,DB62,CX62,CT62,CP62,CL62,CH62,CD62,BZ62,BV62,BR62,BN62,BJ62,BF62,BB62,AX62,AT62,AP62,AL62,AH62,AD62,Z62,V62,R62,N62,J62,F62)</f>
        <v>5000</v>
      </c>
      <c r="C62" s="31">
        <f t="shared" si="848"/>
        <v>80000</v>
      </c>
      <c r="D62" s="32">
        <f t="shared" si="848"/>
        <v>75000</v>
      </c>
      <c r="E62" s="33">
        <f t="shared" si="700"/>
        <v>5000</v>
      </c>
      <c r="F62" s="34"/>
      <c r="G62" s="31">
        <f t="shared" si="812"/>
        <v>0</v>
      </c>
      <c r="H62" s="35">
        <v>0.0</v>
      </c>
      <c r="I62" s="33">
        <f t="shared" si="702"/>
        <v>0</v>
      </c>
      <c r="J62" s="34"/>
      <c r="K62" s="31">
        <f t="shared" si="813"/>
        <v>0</v>
      </c>
      <c r="L62" s="35">
        <v>0.0</v>
      </c>
      <c r="M62" s="33">
        <f t="shared" si="704"/>
        <v>0</v>
      </c>
      <c r="N62" s="34"/>
      <c r="O62" s="31">
        <f t="shared" si="814"/>
        <v>0</v>
      </c>
      <c r="P62" s="35">
        <v>0.0</v>
      </c>
      <c r="Q62" s="33">
        <f t="shared" si="706"/>
        <v>0</v>
      </c>
      <c r="R62" s="34"/>
      <c r="S62" s="31">
        <f t="shared" si="815"/>
        <v>10000</v>
      </c>
      <c r="T62" s="35">
        <v>10000.0</v>
      </c>
      <c r="U62" s="33">
        <f t="shared" si="708"/>
        <v>0</v>
      </c>
      <c r="V62" s="34"/>
      <c r="W62" s="31">
        <f t="shared" si="816"/>
        <v>0</v>
      </c>
      <c r="X62" s="35">
        <v>0.0</v>
      </c>
      <c r="Y62" s="33">
        <f t="shared" si="710"/>
        <v>0</v>
      </c>
      <c r="Z62" s="34"/>
      <c r="AA62" s="31">
        <f t="shared" si="817"/>
        <v>0</v>
      </c>
      <c r="AB62" s="35">
        <v>0.0</v>
      </c>
      <c r="AC62" s="33">
        <f t="shared" si="712"/>
        <v>0</v>
      </c>
      <c r="AD62" s="34"/>
      <c r="AE62" s="31">
        <f t="shared" si="818"/>
        <v>0</v>
      </c>
      <c r="AF62" s="35">
        <v>0.0</v>
      </c>
      <c r="AG62" s="33">
        <f t="shared" si="714"/>
        <v>0</v>
      </c>
      <c r="AH62" s="34"/>
      <c r="AI62" s="31">
        <f t="shared" si="819"/>
        <v>0</v>
      </c>
      <c r="AJ62" s="35">
        <v>0.0</v>
      </c>
      <c r="AK62" s="33">
        <f t="shared" si="716"/>
        <v>0</v>
      </c>
      <c r="AL62" s="34"/>
      <c r="AM62" s="31">
        <f t="shared" si="820"/>
        <v>15000</v>
      </c>
      <c r="AN62" s="35">
        <v>15000.0</v>
      </c>
      <c r="AO62" s="33">
        <f t="shared" si="718"/>
        <v>0</v>
      </c>
      <c r="AP62" s="34"/>
      <c r="AQ62" s="31">
        <f t="shared" si="821"/>
        <v>0</v>
      </c>
      <c r="AR62" s="35">
        <v>0.0</v>
      </c>
      <c r="AS62" s="33">
        <f t="shared" si="720"/>
        <v>0</v>
      </c>
      <c r="AT62" s="34"/>
      <c r="AU62" s="31">
        <f t="shared" si="822"/>
        <v>0</v>
      </c>
      <c r="AV62" s="35">
        <v>0.0</v>
      </c>
      <c r="AW62" s="33">
        <f t="shared" si="722"/>
        <v>0</v>
      </c>
      <c r="AX62" s="34"/>
      <c r="AY62" s="31">
        <f t="shared" si="823"/>
        <v>0</v>
      </c>
      <c r="AZ62" s="35">
        <v>0.0</v>
      </c>
      <c r="BA62" s="33">
        <f t="shared" si="724"/>
        <v>0</v>
      </c>
      <c r="BB62" s="34"/>
      <c r="BC62" s="31">
        <f t="shared" si="824"/>
        <v>0</v>
      </c>
      <c r="BD62" s="35">
        <v>0.0</v>
      </c>
      <c r="BE62" s="33">
        <f t="shared" si="726"/>
        <v>0</v>
      </c>
      <c r="BF62" s="34"/>
      <c r="BG62" s="31">
        <f t="shared" si="825"/>
        <v>0</v>
      </c>
      <c r="BH62" s="35">
        <v>0.0</v>
      </c>
      <c r="BI62" s="33">
        <f t="shared" si="728"/>
        <v>0</v>
      </c>
      <c r="BJ62" s="34"/>
      <c r="BK62" s="31">
        <f t="shared" si="826"/>
        <v>0</v>
      </c>
      <c r="BL62" s="35">
        <v>0.0</v>
      </c>
      <c r="BM62" s="33">
        <f t="shared" si="730"/>
        <v>0</v>
      </c>
      <c r="BN62" s="34"/>
      <c r="BO62" s="31">
        <f t="shared" si="827"/>
        <v>10000</v>
      </c>
      <c r="BP62" s="35">
        <v>10000.0</v>
      </c>
      <c r="BQ62" s="33">
        <f t="shared" si="732"/>
        <v>0</v>
      </c>
      <c r="BR62" s="34"/>
      <c r="BS62" s="31">
        <f t="shared" si="828"/>
        <v>0</v>
      </c>
      <c r="BT62" s="35">
        <v>0.0</v>
      </c>
      <c r="BU62" s="33">
        <f t="shared" si="734"/>
        <v>0</v>
      </c>
      <c r="BV62" s="34"/>
      <c r="BW62" s="31">
        <f t="shared" si="829"/>
        <v>0</v>
      </c>
      <c r="BX62" s="35">
        <v>0.0</v>
      </c>
      <c r="BY62" s="33">
        <f t="shared" si="736"/>
        <v>0</v>
      </c>
      <c r="BZ62" s="34"/>
      <c r="CA62" s="31">
        <f t="shared" si="830"/>
        <v>0</v>
      </c>
      <c r="CB62" s="35">
        <v>0.0</v>
      </c>
      <c r="CC62" s="33">
        <f t="shared" si="738"/>
        <v>0</v>
      </c>
      <c r="CD62" s="34"/>
      <c r="CE62" s="31">
        <f t="shared" si="831"/>
        <v>0</v>
      </c>
      <c r="CF62" s="35">
        <v>0.0</v>
      </c>
      <c r="CG62" s="33">
        <f t="shared" si="740"/>
        <v>0</v>
      </c>
      <c r="CH62" s="34"/>
      <c r="CI62" s="31">
        <f t="shared" si="832"/>
        <v>15000</v>
      </c>
      <c r="CJ62" s="35">
        <v>15000.0</v>
      </c>
      <c r="CK62" s="33">
        <f t="shared" si="742"/>
        <v>0</v>
      </c>
      <c r="CL62" s="34"/>
      <c r="CM62" s="31">
        <f t="shared" si="833"/>
        <v>0</v>
      </c>
      <c r="CN62" s="35">
        <v>0.0</v>
      </c>
      <c r="CO62" s="33">
        <f t="shared" si="744"/>
        <v>0</v>
      </c>
      <c r="CP62" s="34"/>
      <c r="CQ62" s="31">
        <f t="shared" si="834"/>
        <v>0</v>
      </c>
      <c r="CR62" s="35">
        <v>0.0</v>
      </c>
      <c r="CS62" s="33">
        <f t="shared" si="746"/>
        <v>0</v>
      </c>
      <c r="CT62" s="34"/>
      <c r="CU62" s="31">
        <f t="shared" si="835"/>
        <v>0</v>
      </c>
      <c r="CV62" s="35">
        <v>0.0</v>
      </c>
      <c r="CW62" s="33">
        <f t="shared" si="748"/>
        <v>0</v>
      </c>
      <c r="CX62" s="34"/>
      <c r="CY62" s="31">
        <f t="shared" si="836"/>
        <v>0</v>
      </c>
      <c r="CZ62" s="35">
        <v>0.0</v>
      </c>
      <c r="DA62" s="33">
        <f t="shared" si="750"/>
        <v>0</v>
      </c>
      <c r="DB62" s="34"/>
      <c r="DC62" s="31">
        <f t="shared" si="837"/>
        <v>0</v>
      </c>
      <c r="DD62" s="35">
        <v>0.0</v>
      </c>
      <c r="DE62" s="33">
        <f t="shared" si="752"/>
        <v>0</v>
      </c>
      <c r="DF62" s="34"/>
      <c r="DG62" s="31">
        <f t="shared" si="838"/>
        <v>0</v>
      </c>
      <c r="DH62" s="35">
        <v>0.0</v>
      </c>
      <c r="DI62" s="33">
        <f t="shared" si="754"/>
        <v>0</v>
      </c>
      <c r="DJ62" s="34"/>
      <c r="DK62" s="31">
        <f t="shared" si="839"/>
        <v>10000</v>
      </c>
      <c r="DL62" s="35">
        <v>10000.0</v>
      </c>
      <c r="DM62" s="33">
        <f t="shared" si="756"/>
        <v>0</v>
      </c>
      <c r="DN62" s="34"/>
      <c r="DO62" s="31">
        <f t="shared" si="840"/>
        <v>0</v>
      </c>
      <c r="DP62" s="35">
        <v>0.0</v>
      </c>
      <c r="DQ62" s="33">
        <f t="shared" si="758"/>
        <v>0</v>
      </c>
      <c r="DR62" s="34"/>
      <c r="DS62" s="31">
        <f t="shared" si="841"/>
        <v>0</v>
      </c>
      <c r="DT62" s="35">
        <v>0.0</v>
      </c>
      <c r="DU62" s="33">
        <f t="shared" si="760"/>
        <v>0</v>
      </c>
      <c r="DV62" s="34"/>
      <c r="DW62" s="31">
        <f t="shared" si="842"/>
        <v>0</v>
      </c>
      <c r="DX62" s="35">
        <v>0.0</v>
      </c>
      <c r="DY62" s="33">
        <f t="shared" si="762"/>
        <v>0</v>
      </c>
      <c r="DZ62" s="34"/>
      <c r="EA62" s="31">
        <f t="shared" si="843"/>
        <v>0</v>
      </c>
      <c r="EB62" s="35">
        <v>0.0</v>
      </c>
      <c r="EC62" s="33">
        <f t="shared" si="764"/>
        <v>0</v>
      </c>
      <c r="ED62" s="34"/>
      <c r="EE62" s="31">
        <f t="shared" si="844"/>
        <v>15000</v>
      </c>
      <c r="EF62" s="35">
        <v>15000.0</v>
      </c>
      <c r="EG62" s="33">
        <f t="shared" si="766"/>
        <v>0</v>
      </c>
      <c r="EH62" s="34"/>
      <c r="EI62" s="31">
        <f t="shared" si="845"/>
        <v>0</v>
      </c>
      <c r="EJ62" s="35">
        <v>0.0</v>
      </c>
      <c r="EK62" s="33">
        <f t="shared" si="768"/>
        <v>0</v>
      </c>
      <c r="EL62" s="34">
        <v>0.0</v>
      </c>
      <c r="EM62" s="31">
        <f t="shared" si="846"/>
        <v>0</v>
      </c>
      <c r="EN62" s="35">
        <v>0.0</v>
      </c>
      <c r="EO62" s="33">
        <f t="shared" si="770"/>
        <v>0</v>
      </c>
      <c r="EP62" s="34">
        <v>5000.0</v>
      </c>
      <c r="EQ62" s="31">
        <f t="shared" si="847"/>
        <v>5000</v>
      </c>
      <c r="ER62" s="35">
        <v>0.0</v>
      </c>
      <c r="ES62" s="33">
        <f t="shared" si="772"/>
        <v>5000</v>
      </c>
    </row>
    <row r="63" ht="18.0" customHeight="1">
      <c r="A63" s="2" t="s">
        <v>65</v>
      </c>
      <c r="B63" s="30">
        <f t="shared" ref="B63:D63" si="849">SUM(EP63,EL63,EH63,ED63,DZ63,DV63,DR63,DN63,DJ63,DF63,DB63,CX63,CT63,CP63,CL63,CH63,CD63,BZ63,BV63,BR63,BN63,BJ63,BF63,BB63,AX63,AT63,AP63,AL63,AH63,AD63,Z63,V63,R63,N63,J63,F63)</f>
        <v>2000</v>
      </c>
      <c r="C63" s="31">
        <f t="shared" si="849"/>
        <v>36000</v>
      </c>
      <c r="D63" s="32">
        <f t="shared" si="849"/>
        <v>36000</v>
      </c>
      <c r="E63" s="33">
        <f t="shared" si="700"/>
        <v>0</v>
      </c>
      <c r="F63" s="34"/>
      <c r="G63" s="31">
        <f t="shared" si="812"/>
        <v>1000</v>
      </c>
      <c r="H63" s="35">
        <v>1000.0</v>
      </c>
      <c r="I63" s="33">
        <f t="shared" si="702"/>
        <v>0</v>
      </c>
      <c r="J63" s="34"/>
      <c r="K63" s="31">
        <f t="shared" si="813"/>
        <v>1000</v>
      </c>
      <c r="L63" s="35">
        <v>1000.0</v>
      </c>
      <c r="M63" s="33">
        <f t="shared" si="704"/>
        <v>0</v>
      </c>
      <c r="N63" s="34"/>
      <c r="O63" s="31">
        <f t="shared" si="814"/>
        <v>1000</v>
      </c>
      <c r="P63" s="35">
        <v>1000.0</v>
      </c>
      <c r="Q63" s="33">
        <f t="shared" si="706"/>
        <v>0</v>
      </c>
      <c r="R63" s="34"/>
      <c r="S63" s="31">
        <f t="shared" si="815"/>
        <v>1000</v>
      </c>
      <c r="T63" s="35">
        <v>1000.0</v>
      </c>
      <c r="U63" s="33">
        <f t="shared" si="708"/>
        <v>0</v>
      </c>
      <c r="V63" s="34"/>
      <c r="W63" s="31">
        <f t="shared" si="816"/>
        <v>1000</v>
      </c>
      <c r="X63" s="35">
        <v>1000.0</v>
      </c>
      <c r="Y63" s="33">
        <f t="shared" si="710"/>
        <v>0</v>
      </c>
      <c r="Z63" s="34"/>
      <c r="AA63" s="31">
        <f t="shared" si="817"/>
        <v>1000</v>
      </c>
      <c r="AB63" s="35">
        <v>1000.0</v>
      </c>
      <c r="AC63" s="33">
        <f t="shared" si="712"/>
        <v>0</v>
      </c>
      <c r="AD63" s="34"/>
      <c r="AE63" s="31">
        <f t="shared" si="818"/>
        <v>1000</v>
      </c>
      <c r="AF63" s="35">
        <v>1000.0</v>
      </c>
      <c r="AG63" s="33">
        <f t="shared" si="714"/>
        <v>0</v>
      </c>
      <c r="AH63" s="34"/>
      <c r="AI63" s="31">
        <f t="shared" si="819"/>
        <v>1000</v>
      </c>
      <c r="AJ63" s="35">
        <v>1000.0</v>
      </c>
      <c r="AK63" s="33">
        <f t="shared" si="716"/>
        <v>0</v>
      </c>
      <c r="AL63" s="34"/>
      <c r="AM63" s="31">
        <f t="shared" si="820"/>
        <v>1000</v>
      </c>
      <c r="AN63" s="35">
        <v>1000.0</v>
      </c>
      <c r="AO63" s="33">
        <f t="shared" si="718"/>
        <v>0</v>
      </c>
      <c r="AP63" s="34"/>
      <c r="AQ63" s="31">
        <f t="shared" si="821"/>
        <v>1000</v>
      </c>
      <c r="AR63" s="35">
        <v>1000.0</v>
      </c>
      <c r="AS63" s="33">
        <f t="shared" si="720"/>
        <v>0</v>
      </c>
      <c r="AT63" s="34"/>
      <c r="AU63" s="31">
        <f t="shared" si="822"/>
        <v>1000</v>
      </c>
      <c r="AV63" s="35">
        <v>1000.0</v>
      </c>
      <c r="AW63" s="33">
        <f t="shared" si="722"/>
        <v>0</v>
      </c>
      <c r="AX63" s="34"/>
      <c r="AY63" s="31">
        <f t="shared" si="823"/>
        <v>1000</v>
      </c>
      <c r="AZ63" s="35">
        <v>1000.0</v>
      </c>
      <c r="BA63" s="33">
        <f t="shared" si="724"/>
        <v>0</v>
      </c>
      <c r="BB63" s="34"/>
      <c r="BC63" s="31">
        <f t="shared" si="824"/>
        <v>1000</v>
      </c>
      <c r="BD63" s="35">
        <v>1000.0</v>
      </c>
      <c r="BE63" s="33">
        <f t="shared" si="726"/>
        <v>0</v>
      </c>
      <c r="BF63" s="34"/>
      <c r="BG63" s="31">
        <f t="shared" si="825"/>
        <v>1000</v>
      </c>
      <c r="BH63" s="35">
        <v>1000.0</v>
      </c>
      <c r="BI63" s="33">
        <f t="shared" si="728"/>
        <v>0</v>
      </c>
      <c r="BJ63" s="34"/>
      <c r="BK63" s="31">
        <f t="shared" si="826"/>
        <v>1000</v>
      </c>
      <c r="BL63" s="35">
        <v>1000.0</v>
      </c>
      <c r="BM63" s="33">
        <f t="shared" si="730"/>
        <v>0</v>
      </c>
      <c r="BN63" s="34"/>
      <c r="BO63" s="31">
        <f t="shared" si="827"/>
        <v>1000</v>
      </c>
      <c r="BP63" s="35">
        <v>1000.0</v>
      </c>
      <c r="BQ63" s="33">
        <f t="shared" si="732"/>
        <v>0</v>
      </c>
      <c r="BR63" s="34"/>
      <c r="BS63" s="31">
        <f t="shared" si="828"/>
        <v>1000</v>
      </c>
      <c r="BT63" s="35">
        <v>1000.0</v>
      </c>
      <c r="BU63" s="33">
        <f t="shared" si="734"/>
        <v>0</v>
      </c>
      <c r="BV63" s="34"/>
      <c r="BW63" s="31">
        <f t="shared" si="829"/>
        <v>1000</v>
      </c>
      <c r="BX63" s="35">
        <v>1000.0</v>
      </c>
      <c r="BY63" s="33">
        <f t="shared" si="736"/>
        <v>0</v>
      </c>
      <c r="BZ63" s="34"/>
      <c r="CA63" s="31">
        <f t="shared" si="830"/>
        <v>1000</v>
      </c>
      <c r="CB63" s="35">
        <v>1000.0</v>
      </c>
      <c r="CC63" s="33">
        <f t="shared" si="738"/>
        <v>0</v>
      </c>
      <c r="CD63" s="34"/>
      <c r="CE63" s="31">
        <f t="shared" si="831"/>
        <v>1000</v>
      </c>
      <c r="CF63" s="35">
        <v>1000.0</v>
      </c>
      <c r="CG63" s="33">
        <f t="shared" si="740"/>
        <v>0</v>
      </c>
      <c r="CH63" s="34"/>
      <c r="CI63" s="31">
        <f t="shared" si="832"/>
        <v>1000</v>
      </c>
      <c r="CJ63" s="35">
        <v>1000.0</v>
      </c>
      <c r="CK63" s="33">
        <f t="shared" si="742"/>
        <v>0</v>
      </c>
      <c r="CL63" s="34"/>
      <c r="CM63" s="31">
        <f t="shared" si="833"/>
        <v>1000</v>
      </c>
      <c r="CN63" s="35">
        <v>1000.0</v>
      </c>
      <c r="CO63" s="33">
        <f t="shared" si="744"/>
        <v>0</v>
      </c>
      <c r="CP63" s="34"/>
      <c r="CQ63" s="31">
        <f t="shared" si="834"/>
        <v>1000</v>
      </c>
      <c r="CR63" s="35">
        <v>1000.0</v>
      </c>
      <c r="CS63" s="33">
        <f t="shared" si="746"/>
        <v>0</v>
      </c>
      <c r="CT63" s="34"/>
      <c r="CU63" s="31">
        <f t="shared" si="835"/>
        <v>1000</v>
      </c>
      <c r="CV63" s="35">
        <v>1000.0</v>
      </c>
      <c r="CW63" s="33">
        <f t="shared" si="748"/>
        <v>0</v>
      </c>
      <c r="CX63" s="34"/>
      <c r="CY63" s="31">
        <f t="shared" si="836"/>
        <v>1000</v>
      </c>
      <c r="CZ63" s="35">
        <v>1000.0</v>
      </c>
      <c r="DA63" s="33">
        <f t="shared" si="750"/>
        <v>0</v>
      </c>
      <c r="DB63" s="34"/>
      <c r="DC63" s="31">
        <f t="shared" si="837"/>
        <v>1000</v>
      </c>
      <c r="DD63" s="35">
        <v>1000.0</v>
      </c>
      <c r="DE63" s="33">
        <f t="shared" si="752"/>
        <v>0</v>
      </c>
      <c r="DF63" s="34"/>
      <c r="DG63" s="31">
        <f t="shared" si="838"/>
        <v>1000</v>
      </c>
      <c r="DH63" s="35">
        <v>1000.0</v>
      </c>
      <c r="DI63" s="33">
        <f t="shared" si="754"/>
        <v>0</v>
      </c>
      <c r="DJ63" s="34"/>
      <c r="DK63" s="31">
        <f t="shared" si="839"/>
        <v>1000</v>
      </c>
      <c r="DL63" s="35">
        <v>1000.0</v>
      </c>
      <c r="DM63" s="33">
        <f t="shared" si="756"/>
        <v>0</v>
      </c>
      <c r="DN63" s="34"/>
      <c r="DO63" s="31">
        <f t="shared" si="840"/>
        <v>1000</v>
      </c>
      <c r="DP63" s="35">
        <v>1000.0</v>
      </c>
      <c r="DQ63" s="33">
        <f t="shared" si="758"/>
        <v>0</v>
      </c>
      <c r="DR63" s="34"/>
      <c r="DS63" s="31">
        <f t="shared" si="841"/>
        <v>1000</v>
      </c>
      <c r="DT63" s="35">
        <v>1000.0</v>
      </c>
      <c r="DU63" s="33">
        <f t="shared" si="760"/>
        <v>0</v>
      </c>
      <c r="DV63" s="34"/>
      <c r="DW63" s="31">
        <f t="shared" si="842"/>
        <v>1000</v>
      </c>
      <c r="DX63" s="35">
        <v>1000.0</v>
      </c>
      <c r="DY63" s="33">
        <f t="shared" si="762"/>
        <v>0</v>
      </c>
      <c r="DZ63" s="34"/>
      <c r="EA63" s="31">
        <f t="shared" si="843"/>
        <v>1000</v>
      </c>
      <c r="EB63" s="35">
        <v>1000.0</v>
      </c>
      <c r="EC63" s="33">
        <f t="shared" si="764"/>
        <v>0</v>
      </c>
      <c r="ED63" s="34"/>
      <c r="EE63" s="31">
        <f t="shared" si="844"/>
        <v>1000</v>
      </c>
      <c r="EF63" s="35">
        <v>1000.0</v>
      </c>
      <c r="EG63" s="33">
        <f t="shared" si="766"/>
        <v>0</v>
      </c>
      <c r="EH63" s="34"/>
      <c r="EI63" s="31">
        <f t="shared" si="845"/>
        <v>1000</v>
      </c>
      <c r="EJ63" s="35">
        <v>1000.0</v>
      </c>
      <c r="EK63" s="33">
        <f t="shared" si="768"/>
        <v>0</v>
      </c>
      <c r="EL63" s="34">
        <v>1000.0</v>
      </c>
      <c r="EM63" s="31">
        <f t="shared" si="846"/>
        <v>1000</v>
      </c>
      <c r="EN63" s="35">
        <v>1000.0</v>
      </c>
      <c r="EO63" s="33">
        <f t="shared" si="770"/>
        <v>0</v>
      </c>
      <c r="EP63" s="34">
        <v>1000.0</v>
      </c>
      <c r="EQ63" s="31">
        <f t="shared" si="847"/>
        <v>1000</v>
      </c>
      <c r="ER63" s="35">
        <v>1000.0</v>
      </c>
      <c r="ES63" s="33">
        <f t="shared" si="772"/>
        <v>0</v>
      </c>
    </row>
    <row r="64" ht="18.0" customHeight="1">
      <c r="A64" s="2" t="s">
        <v>66</v>
      </c>
      <c r="B64" s="30">
        <f t="shared" ref="B64:D64" si="850">SUM(EP64,EL64,EH64,ED64,DZ64,DV64,DR64,DN64,DJ64,DF64,DB64,CX64,CT64,CP64,CL64,CH64,CD64,BZ64,BV64,BR64,BN64,BJ64,BF64,BB64,AX64,AT64,AP64,AL64,AH64,AD64,Z64,V64,R64,N64,J64,F64)</f>
        <v>5000</v>
      </c>
      <c r="C64" s="31">
        <f t="shared" si="850"/>
        <v>65000</v>
      </c>
      <c r="D64" s="32">
        <f t="shared" si="850"/>
        <v>60000</v>
      </c>
      <c r="E64" s="33">
        <f t="shared" si="700"/>
        <v>5000</v>
      </c>
      <c r="F64" s="34"/>
      <c r="G64" s="31">
        <f t="shared" si="812"/>
        <v>5000</v>
      </c>
      <c r="H64" s="35">
        <v>5000.0</v>
      </c>
      <c r="I64" s="33">
        <f t="shared" si="702"/>
        <v>0</v>
      </c>
      <c r="J64" s="34"/>
      <c r="K64" s="31">
        <f t="shared" si="813"/>
        <v>0</v>
      </c>
      <c r="L64" s="35">
        <v>0.0</v>
      </c>
      <c r="M64" s="33">
        <f t="shared" si="704"/>
        <v>0</v>
      </c>
      <c r="N64" s="34"/>
      <c r="O64" s="31">
        <f t="shared" si="814"/>
        <v>0</v>
      </c>
      <c r="P64" s="35">
        <v>0.0</v>
      </c>
      <c r="Q64" s="33">
        <f t="shared" si="706"/>
        <v>0</v>
      </c>
      <c r="R64" s="34"/>
      <c r="S64" s="31">
        <f t="shared" si="815"/>
        <v>5000</v>
      </c>
      <c r="T64" s="35">
        <v>5000.0</v>
      </c>
      <c r="U64" s="33">
        <f t="shared" si="708"/>
        <v>0</v>
      </c>
      <c r="V64" s="34"/>
      <c r="W64" s="31">
        <f t="shared" si="816"/>
        <v>0</v>
      </c>
      <c r="X64" s="35">
        <v>0.0</v>
      </c>
      <c r="Y64" s="33">
        <f t="shared" si="710"/>
        <v>0</v>
      </c>
      <c r="Z64" s="34"/>
      <c r="AA64" s="31">
        <f t="shared" si="817"/>
        <v>0</v>
      </c>
      <c r="AB64" s="35">
        <v>0.0</v>
      </c>
      <c r="AC64" s="33">
        <f t="shared" si="712"/>
        <v>0</v>
      </c>
      <c r="AD64" s="34"/>
      <c r="AE64" s="31">
        <f t="shared" si="818"/>
        <v>5000</v>
      </c>
      <c r="AF64" s="35">
        <v>5000.0</v>
      </c>
      <c r="AG64" s="33">
        <f t="shared" si="714"/>
        <v>0</v>
      </c>
      <c r="AH64" s="34"/>
      <c r="AI64" s="31">
        <f t="shared" si="819"/>
        <v>0</v>
      </c>
      <c r="AJ64" s="35">
        <v>0.0</v>
      </c>
      <c r="AK64" s="33">
        <f t="shared" si="716"/>
        <v>0</v>
      </c>
      <c r="AL64" s="34"/>
      <c r="AM64" s="31">
        <f t="shared" si="820"/>
        <v>0</v>
      </c>
      <c r="AN64" s="35">
        <v>0.0</v>
      </c>
      <c r="AO64" s="33">
        <f t="shared" si="718"/>
        <v>0</v>
      </c>
      <c r="AP64" s="34"/>
      <c r="AQ64" s="31">
        <f t="shared" si="821"/>
        <v>5000</v>
      </c>
      <c r="AR64" s="35">
        <v>5000.0</v>
      </c>
      <c r="AS64" s="33">
        <f t="shared" si="720"/>
        <v>0</v>
      </c>
      <c r="AT64" s="34"/>
      <c r="AU64" s="31">
        <f t="shared" si="822"/>
        <v>0</v>
      </c>
      <c r="AV64" s="35">
        <v>0.0</v>
      </c>
      <c r="AW64" s="33">
        <f t="shared" si="722"/>
        <v>0</v>
      </c>
      <c r="AX64" s="34"/>
      <c r="AY64" s="31">
        <f t="shared" si="823"/>
        <v>0</v>
      </c>
      <c r="AZ64" s="35">
        <v>0.0</v>
      </c>
      <c r="BA64" s="33">
        <f t="shared" si="724"/>
        <v>0</v>
      </c>
      <c r="BB64" s="34"/>
      <c r="BC64" s="31">
        <f t="shared" si="824"/>
        <v>5000</v>
      </c>
      <c r="BD64" s="35">
        <v>5000.0</v>
      </c>
      <c r="BE64" s="33">
        <f t="shared" si="726"/>
        <v>0</v>
      </c>
      <c r="BF64" s="34"/>
      <c r="BG64" s="31">
        <f t="shared" si="825"/>
        <v>0</v>
      </c>
      <c r="BH64" s="35">
        <v>0.0</v>
      </c>
      <c r="BI64" s="33">
        <f t="shared" si="728"/>
        <v>0</v>
      </c>
      <c r="BJ64" s="34"/>
      <c r="BK64" s="31">
        <f t="shared" si="826"/>
        <v>0</v>
      </c>
      <c r="BL64" s="35">
        <v>0.0</v>
      </c>
      <c r="BM64" s="33">
        <f t="shared" si="730"/>
        <v>0</v>
      </c>
      <c r="BN64" s="34"/>
      <c r="BO64" s="31">
        <f t="shared" si="827"/>
        <v>5000</v>
      </c>
      <c r="BP64" s="35">
        <v>5000.0</v>
      </c>
      <c r="BQ64" s="33">
        <f t="shared" si="732"/>
        <v>0</v>
      </c>
      <c r="BR64" s="34"/>
      <c r="BS64" s="31">
        <f t="shared" si="828"/>
        <v>0</v>
      </c>
      <c r="BT64" s="35">
        <v>0.0</v>
      </c>
      <c r="BU64" s="33">
        <f t="shared" si="734"/>
        <v>0</v>
      </c>
      <c r="BV64" s="34"/>
      <c r="BW64" s="31">
        <f t="shared" si="829"/>
        <v>0</v>
      </c>
      <c r="BX64" s="35">
        <v>0.0</v>
      </c>
      <c r="BY64" s="33">
        <f t="shared" si="736"/>
        <v>0</v>
      </c>
      <c r="BZ64" s="34"/>
      <c r="CA64" s="31">
        <f t="shared" si="830"/>
        <v>5000</v>
      </c>
      <c r="CB64" s="35">
        <v>5000.0</v>
      </c>
      <c r="CC64" s="33">
        <f t="shared" si="738"/>
        <v>0</v>
      </c>
      <c r="CD64" s="34"/>
      <c r="CE64" s="31">
        <f t="shared" si="831"/>
        <v>0</v>
      </c>
      <c r="CF64" s="35">
        <v>0.0</v>
      </c>
      <c r="CG64" s="33">
        <f t="shared" si="740"/>
        <v>0</v>
      </c>
      <c r="CH64" s="34"/>
      <c r="CI64" s="31">
        <f t="shared" si="832"/>
        <v>0</v>
      </c>
      <c r="CJ64" s="35">
        <v>0.0</v>
      </c>
      <c r="CK64" s="33">
        <f t="shared" si="742"/>
        <v>0</v>
      </c>
      <c r="CL64" s="34"/>
      <c r="CM64" s="31">
        <f t="shared" si="833"/>
        <v>5000</v>
      </c>
      <c r="CN64" s="35">
        <v>5000.0</v>
      </c>
      <c r="CO64" s="33">
        <f t="shared" si="744"/>
        <v>0</v>
      </c>
      <c r="CP64" s="34"/>
      <c r="CQ64" s="31">
        <f t="shared" si="834"/>
        <v>0</v>
      </c>
      <c r="CR64" s="35">
        <v>0.0</v>
      </c>
      <c r="CS64" s="33">
        <f t="shared" si="746"/>
        <v>0</v>
      </c>
      <c r="CT64" s="34"/>
      <c r="CU64" s="31">
        <f t="shared" si="835"/>
        <v>0</v>
      </c>
      <c r="CV64" s="35">
        <v>0.0</v>
      </c>
      <c r="CW64" s="33">
        <f t="shared" si="748"/>
        <v>0</v>
      </c>
      <c r="CX64" s="34"/>
      <c r="CY64" s="31">
        <f t="shared" si="836"/>
        <v>5000</v>
      </c>
      <c r="CZ64" s="35">
        <v>5000.0</v>
      </c>
      <c r="DA64" s="33">
        <f t="shared" si="750"/>
        <v>0</v>
      </c>
      <c r="DB64" s="34"/>
      <c r="DC64" s="31">
        <f t="shared" si="837"/>
        <v>0</v>
      </c>
      <c r="DD64" s="35">
        <v>0.0</v>
      </c>
      <c r="DE64" s="33">
        <f t="shared" si="752"/>
        <v>0</v>
      </c>
      <c r="DF64" s="34"/>
      <c r="DG64" s="31">
        <f t="shared" si="838"/>
        <v>0</v>
      </c>
      <c r="DH64" s="35">
        <v>0.0</v>
      </c>
      <c r="DI64" s="33">
        <f t="shared" si="754"/>
        <v>0</v>
      </c>
      <c r="DJ64" s="34"/>
      <c r="DK64" s="31">
        <f t="shared" si="839"/>
        <v>5000</v>
      </c>
      <c r="DL64" s="35">
        <v>5000.0</v>
      </c>
      <c r="DM64" s="33">
        <f t="shared" si="756"/>
        <v>0</v>
      </c>
      <c r="DN64" s="34"/>
      <c r="DO64" s="31">
        <f t="shared" si="840"/>
        <v>0</v>
      </c>
      <c r="DP64" s="35">
        <v>0.0</v>
      </c>
      <c r="DQ64" s="33">
        <f t="shared" si="758"/>
        <v>0</v>
      </c>
      <c r="DR64" s="34"/>
      <c r="DS64" s="31">
        <f t="shared" si="841"/>
        <v>0</v>
      </c>
      <c r="DT64" s="35">
        <v>0.0</v>
      </c>
      <c r="DU64" s="33">
        <f t="shared" si="760"/>
        <v>0</v>
      </c>
      <c r="DV64" s="34"/>
      <c r="DW64" s="31">
        <f t="shared" si="842"/>
        <v>5000</v>
      </c>
      <c r="DX64" s="35">
        <v>5000.0</v>
      </c>
      <c r="DY64" s="33">
        <f t="shared" si="762"/>
        <v>0</v>
      </c>
      <c r="DZ64" s="34"/>
      <c r="EA64" s="31">
        <f t="shared" si="843"/>
        <v>0</v>
      </c>
      <c r="EB64" s="35">
        <v>0.0</v>
      </c>
      <c r="EC64" s="33">
        <f t="shared" si="764"/>
        <v>0</v>
      </c>
      <c r="ED64" s="34"/>
      <c r="EE64" s="31">
        <f t="shared" si="844"/>
        <v>0</v>
      </c>
      <c r="EF64" s="35">
        <v>0.0</v>
      </c>
      <c r="EG64" s="33">
        <f t="shared" si="766"/>
        <v>0</v>
      </c>
      <c r="EH64" s="34"/>
      <c r="EI64" s="31">
        <f t="shared" si="845"/>
        <v>5000</v>
      </c>
      <c r="EJ64" s="35">
        <v>5000.0</v>
      </c>
      <c r="EK64" s="33">
        <f t="shared" si="768"/>
        <v>0</v>
      </c>
      <c r="EL64" s="34">
        <v>5000.0</v>
      </c>
      <c r="EM64" s="31">
        <f t="shared" si="846"/>
        <v>5000</v>
      </c>
      <c r="EN64" s="35">
        <v>0.0</v>
      </c>
      <c r="EO64" s="33">
        <f t="shared" si="770"/>
        <v>5000</v>
      </c>
      <c r="EP64" s="34">
        <v>0.0</v>
      </c>
      <c r="EQ64" s="31">
        <f t="shared" si="847"/>
        <v>0</v>
      </c>
      <c r="ER64" s="35">
        <v>0.0</v>
      </c>
      <c r="ES64" s="33">
        <f t="shared" si="772"/>
        <v>0</v>
      </c>
    </row>
    <row r="65" ht="18.0" customHeight="1">
      <c r="A65" s="36" t="s">
        <v>67</v>
      </c>
      <c r="B65" s="39">
        <f t="shared" ref="B65:D65" si="851">SUM(EP65,EL65,EH65,ED65,DZ65,DV65,DR65,DN65,DJ65,DF65,DB65,CX65,CT65,CP65,CL65,CH65,CD65,BZ65,BV65,BR65,BN65,BJ65,BF65,BB65,AX65,AT65,AP65,AL65,AH65,AD65,Z65,V65,R65,N65,J65,F65)</f>
        <v>12000</v>
      </c>
      <c r="C65" s="39">
        <f t="shared" si="851"/>
        <v>226000</v>
      </c>
      <c r="D65" s="39">
        <f t="shared" si="851"/>
        <v>216000</v>
      </c>
      <c r="E65" s="39">
        <f t="shared" si="700"/>
        <v>10000</v>
      </c>
      <c r="F65" s="39" t="str">
        <f t="shared" ref="F65:H65" si="852">IF(COUNT(F61:F64)&gt;0,SUM(F61:F64),"")</f>
        <v/>
      </c>
      <c r="G65" s="39">
        <f t="shared" si="852"/>
        <v>11000</v>
      </c>
      <c r="H65" s="39">
        <f t="shared" si="852"/>
        <v>11000</v>
      </c>
      <c r="I65" s="39">
        <f t="shared" si="702"/>
        <v>0</v>
      </c>
      <c r="J65" s="39" t="str">
        <f t="shared" ref="J65:L65" si="853">IF(COUNT(J61:J64)&gt;0,SUM(J61:J64),"")</f>
        <v/>
      </c>
      <c r="K65" s="39">
        <f t="shared" si="853"/>
        <v>1000</v>
      </c>
      <c r="L65" s="39">
        <f t="shared" si="853"/>
        <v>1000</v>
      </c>
      <c r="M65" s="39">
        <f t="shared" si="704"/>
        <v>0</v>
      </c>
      <c r="N65" s="39" t="str">
        <f t="shared" ref="N65:P65" si="854">IF(COUNT(N61:N64)&gt;0,SUM(N61:N64),"")</f>
        <v/>
      </c>
      <c r="O65" s="39">
        <f t="shared" si="854"/>
        <v>1000</v>
      </c>
      <c r="P65" s="39">
        <f t="shared" si="854"/>
        <v>1000</v>
      </c>
      <c r="Q65" s="39">
        <f t="shared" si="706"/>
        <v>0</v>
      </c>
      <c r="R65" s="39" t="str">
        <f t="shared" ref="R65:T65" si="855">IF(COUNT(R61:R64)&gt;0,SUM(R61:R64),"")</f>
        <v/>
      </c>
      <c r="S65" s="39">
        <f t="shared" si="855"/>
        <v>21000</v>
      </c>
      <c r="T65" s="39">
        <f t="shared" si="855"/>
        <v>21000</v>
      </c>
      <c r="U65" s="39">
        <f t="shared" si="708"/>
        <v>0</v>
      </c>
      <c r="V65" s="39" t="str">
        <f t="shared" ref="V65:X65" si="856">IF(COUNT(V61:V64)&gt;0,SUM(V61:V64),"")</f>
        <v/>
      </c>
      <c r="W65" s="39">
        <f t="shared" si="856"/>
        <v>1000</v>
      </c>
      <c r="X65" s="39">
        <f t="shared" si="856"/>
        <v>1000</v>
      </c>
      <c r="Y65" s="39">
        <f t="shared" si="710"/>
        <v>0</v>
      </c>
      <c r="Z65" s="39" t="str">
        <f t="shared" ref="Z65:AB65" si="857">IF(COUNT(Z61:Z64)&gt;0,SUM(Z61:Z64),"")</f>
        <v/>
      </c>
      <c r="AA65" s="39">
        <f t="shared" si="857"/>
        <v>1000</v>
      </c>
      <c r="AB65" s="39">
        <f t="shared" si="857"/>
        <v>1000</v>
      </c>
      <c r="AC65" s="39">
        <f t="shared" si="712"/>
        <v>0</v>
      </c>
      <c r="AD65" s="39" t="str">
        <f t="shared" ref="AD65:AF65" si="858">IF(COUNT(AD61:AD64)&gt;0,SUM(AD61:AD64),"")</f>
        <v/>
      </c>
      <c r="AE65" s="39">
        <f t="shared" si="858"/>
        <v>11000</v>
      </c>
      <c r="AF65" s="39">
        <f t="shared" si="858"/>
        <v>11000</v>
      </c>
      <c r="AG65" s="39">
        <f t="shared" si="714"/>
        <v>0</v>
      </c>
      <c r="AH65" s="39" t="str">
        <f t="shared" ref="AH65:AJ65" si="859">IF(COUNT(AH61:AH64)&gt;0,SUM(AH61:AH64),"")</f>
        <v/>
      </c>
      <c r="AI65" s="39">
        <f t="shared" si="859"/>
        <v>1000</v>
      </c>
      <c r="AJ65" s="39">
        <f t="shared" si="859"/>
        <v>1000</v>
      </c>
      <c r="AK65" s="39">
        <f t="shared" si="716"/>
        <v>0</v>
      </c>
      <c r="AL65" s="39" t="str">
        <f t="shared" ref="AL65:AN65" si="860">IF(COUNT(AL61:AL64)&gt;0,SUM(AL61:AL64),"")</f>
        <v/>
      </c>
      <c r="AM65" s="39">
        <f t="shared" si="860"/>
        <v>16000</v>
      </c>
      <c r="AN65" s="39">
        <f t="shared" si="860"/>
        <v>16000</v>
      </c>
      <c r="AO65" s="39">
        <f t="shared" si="718"/>
        <v>0</v>
      </c>
      <c r="AP65" s="39" t="str">
        <f t="shared" ref="AP65:AR65" si="861">IF(COUNT(AP61:AP64)&gt;0,SUM(AP61:AP64),"")</f>
        <v/>
      </c>
      <c r="AQ65" s="39">
        <f t="shared" si="861"/>
        <v>6000</v>
      </c>
      <c r="AR65" s="39">
        <f t="shared" si="861"/>
        <v>6000</v>
      </c>
      <c r="AS65" s="39">
        <f t="shared" si="720"/>
        <v>0</v>
      </c>
      <c r="AT65" s="39" t="str">
        <f t="shared" ref="AT65:AV65" si="862">IF(COUNT(AT61:AT64)&gt;0,SUM(AT61:AT64),"")</f>
        <v/>
      </c>
      <c r="AU65" s="39">
        <f t="shared" si="862"/>
        <v>1000</v>
      </c>
      <c r="AV65" s="39">
        <f t="shared" si="862"/>
        <v>1000</v>
      </c>
      <c r="AW65" s="39">
        <f t="shared" si="722"/>
        <v>0</v>
      </c>
      <c r="AX65" s="39" t="str">
        <f t="shared" ref="AX65:AZ65" si="863">IF(COUNT(AX61:AX64)&gt;0,SUM(AX61:AX64),"")</f>
        <v/>
      </c>
      <c r="AY65" s="39">
        <f t="shared" si="863"/>
        <v>1000</v>
      </c>
      <c r="AZ65" s="39">
        <f t="shared" si="863"/>
        <v>1000</v>
      </c>
      <c r="BA65" s="39">
        <f t="shared" si="724"/>
        <v>0</v>
      </c>
      <c r="BB65" s="39" t="str">
        <f t="shared" ref="BB65:BD65" si="864">IF(COUNT(BB61:BB64)&gt;0,SUM(BB61:BB64),"")</f>
        <v/>
      </c>
      <c r="BC65" s="39">
        <f t="shared" si="864"/>
        <v>11000</v>
      </c>
      <c r="BD65" s="39">
        <f t="shared" si="864"/>
        <v>11000</v>
      </c>
      <c r="BE65" s="39">
        <f t="shared" si="726"/>
        <v>0</v>
      </c>
      <c r="BF65" s="39" t="str">
        <f t="shared" ref="BF65:BH65" si="865">IF(COUNT(BF61:BF64)&gt;0,SUM(BF61:BF64),"")</f>
        <v/>
      </c>
      <c r="BG65" s="39">
        <f t="shared" si="865"/>
        <v>1000</v>
      </c>
      <c r="BH65" s="39">
        <f t="shared" si="865"/>
        <v>1000</v>
      </c>
      <c r="BI65" s="39">
        <f t="shared" si="728"/>
        <v>0</v>
      </c>
      <c r="BJ65" s="39" t="str">
        <f t="shared" ref="BJ65:BL65" si="866">IF(COUNT(BJ61:BJ64)&gt;0,SUM(BJ61:BJ64),"")</f>
        <v/>
      </c>
      <c r="BK65" s="39">
        <f t="shared" si="866"/>
        <v>1000</v>
      </c>
      <c r="BL65" s="39">
        <f t="shared" si="866"/>
        <v>1000</v>
      </c>
      <c r="BM65" s="39">
        <f t="shared" si="730"/>
        <v>0</v>
      </c>
      <c r="BN65" s="39" t="str">
        <f t="shared" ref="BN65:BP65" si="867">IF(COUNT(BN61:BN64)&gt;0,SUM(BN61:BN64),"")</f>
        <v/>
      </c>
      <c r="BO65" s="39">
        <f t="shared" si="867"/>
        <v>21000</v>
      </c>
      <c r="BP65" s="39">
        <f t="shared" si="867"/>
        <v>21000</v>
      </c>
      <c r="BQ65" s="39">
        <f t="shared" si="732"/>
        <v>0</v>
      </c>
      <c r="BR65" s="39" t="str">
        <f t="shared" ref="BR65:BT65" si="868">IF(COUNT(BR61:BR64)&gt;0,SUM(BR61:BR64),"")</f>
        <v/>
      </c>
      <c r="BS65" s="39">
        <f t="shared" si="868"/>
        <v>1000</v>
      </c>
      <c r="BT65" s="39">
        <f t="shared" si="868"/>
        <v>1000</v>
      </c>
      <c r="BU65" s="39">
        <f t="shared" si="734"/>
        <v>0</v>
      </c>
      <c r="BV65" s="39" t="str">
        <f t="shared" ref="BV65:BX65" si="869">IF(COUNT(BV61:BV64)&gt;0,SUM(BV61:BV64),"")</f>
        <v/>
      </c>
      <c r="BW65" s="39">
        <f t="shared" si="869"/>
        <v>1000</v>
      </c>
      <c r="BX65" s="39">
        <f t="shared" si="869"/>
        <v>1000</v>
      </c>
      <c r="BY65" s="39">
        <f t="shared" si="736"/>
        <v>0</v>
      </c>
      <c r="BZ65" s="39" t="str">
        <f t="shared" ref="BZ65:CB65" si="870">IF(COUNT(BZ61:BZ64)&gt;0,SUM(BZ61:BZ64),"")</f>
        <v/>
      </c>
      <c r="CA65" s="39">
        <f t="shared" si="870"/>
        <v>11000</v>
      </c>
      <c r="CB65" s="39">
        <f t="shared" si="870"/>
        <v>11000</v>
      </c>
      <c r="CC65" s="39">
        <f t="shared" si="738"/>
        <v>0</v>
      </c>
      <c r="CD65" s="39" t="str">
        <f t="shared" ref="CD65:CF65" si="871">IF(COUNT(CD61:CD64)&gt;0,SUM(CD61:CD64),"")</f>
        <v/>
      </c>
      <c r="CE65" s="39">
        <f t="shared" si="871"/>
        <v>1000</v>
      </c>
      <c r="CF65" s="39">
        <f t="shared" si="871"/>
        <v>1000</v>
      </c>
      <c r="CG65" s="39">
        <f t="shared" si="740"/>
        <v>0</v>
      </c>
      <c r="CH65" s="39" t="str">
        <f t="shared" ref="CH65:CJ65" si="872">IF(COUNT(CH61:CH64)&gt;0,SUM(CH61:CH64),"")</f>
        <v/>
      </c>
      <c r="CI65" s="39">
        <f t="shared" si="872"/>
        <v>16000</v>
      </c>
      <c r="CJ65" s="39">
        <f t="shared" si="872"/>
        <v>16000</v>
      </c>
      <c r="CK65" s="39">
        <f t="shared" si="742"/>
        <v>0</v>
      </c>
      <c r="CL65" s="39" t="str">
        <f t="shared" ref="CL65:CN65" si="873">IF(COUNT(CL61:CL64)&gt;0,SUM(CL61:CL64),"")</f>
        <v/>
      </c>
      <c r="CM65" s="39">
        <f t="shared" si="873"/>
        <v>6000</v>
      </c>
      <c r="CN65" s="39">
        <f t="shared" si="873"/>
        <v>6000</v>
      </c>
      <c r="CO65" s="39">
        <f t="shared" si="744"/>
        <v>0</v>
      </c>
      <c r="CP65" s="39" t="str">
        <f t="shared" ref="CP65:CR65" si="874">IF(COUNT(CP61:CP64)&gt;0,SUM(CP61:CP64),"")</f>
        <v/>
      </c>
      <c r="CQ65" s="39">
        <f t="shared" si="874"/>
        <v>1000</v>
      </c>
      <c r="CR65" s="39">
        <f t="shared" si="874"/>
        <v>1000</v>
      </c>
      <c r="CS65" s="39">
        <f t="shared" si="746"/>
        <v>0</v>
      </c>
      <c r="CT65" s="39" t="str">
        <f t="shared" ref="CT65:CV65" si="875">IF(COUNT(CT61:CT64)&gt;0,SUM(CT61:CT64),"")</f>
        <v/>
      </c>
      <c r="CU65" s="39">
        <f t="shared" si="875"/>
        <v>1000</v>
      </c>
      <c r="CV65" s="39">
        <f t="shared" si="875"/>
        <v>1000</v>
      </c>
      <c r="CW65" s="39">
        <f t="shared" si="748"/>
        <v>0</v>
      </c>
      <c r="CX65" s="39" t="str">
        <f t="shared" ref="CX65:CZ65" si="876">IF(COUNT(CX61:CX64)&gt;0,SUM(CX61:CX64),"")</f>
        <v/>
      </c>
      <c r="CY65" s="39">
        <f t="shared" si="876"/>
        <v>11000</v>
      </c>
      <c r="CZ65" s="39">
        <f t="shared" si="876"/>
        <v>11000</v>
      </c>
      <c r="DA65" s="39">
        <f t="shared" si="750"/>
        <v>0</v>
      </c>
      <c r="DB65" s="39" t="str">
        <f t="shared" ref="DB65:DD65" si="877">IF(COUNT(DB61:DB64)&gt;0,SUM(DB61:DB64),"")</f>
        <v/>
      </c>
      <c r="DC65" s="39">
        <f t="shared" si="877"/>
        <v>1000</v>
      </c>
      <c r="DD65" s="39">
        <f t="shared" si="877"/>
        <v>1000</v>
      </c>
      <c r="DE65" s="39">
        <f t="shared" si="752"/>
        <v>0</v>
      </c>
      <c r="DF65" s="39" t="str">
        <f t="shared" ref="DF65:DH65" si="878">IF(COUNT(DF61:DF64)&gt;0,SUM(DF61:DF64),"")</f>
        <v/>
      </c>
      <c r="DG65" s="39">
        <f t="shared" si="878"/>
        <v>1000</v>
      </c>
      <c r="DH65" s="39">
        <f t="shared" si="878"/>
        <v>1000</v>
      </c>
      <c r="DI65" s="39">
        <f t="shared" si="754"/>
        <v>0</v>
      </c>
      <c r="DJ65" s="39" t="str">
        <f t="shared" ref="DJ65:DL65" si="879">IF(COUNT(DJ61:DJ64)&gt;0,SUM(DJ61:DJ64),"")</f>
        <v/>
      </c>
      <c r="DK65" s="39">
        <f t="shared" si="879"/>
        <v>21000</v>
      </c>
      <c r="DL65" s="39">
        <f t="shared" si="879"/>
        <v>21000</v>
      </c>
      <c r="DM65" s="39">
        <f t="shared" si="756"/>
        <v>0</v>
      </c>
      <c r="DN65" s="39" t="str">
        <f t="shared" ref="DN65:DP65" si="880">IF(COUNT(DN61:DN64)&gt;0,SUM(DN61:DN64),"")</f>
        <v/>
      </c>
      <c r="DO65" s="39">
        <f t="shared" si="880"/>
        <v>1000</v>
      </c>
      <c r="DP65" s="39">
        <f t="shared" si="880"/>
        <v>1000</v>
      </c>
      <c r="DQ65" s="39">
        <f t="shared" si="758"/>
        <v>0</v>
      </c>
      <c r="DR65" s="39" t="str">
        <f t="shared" ref="DR65:DT65" si="881">IF(COUNT(DR61:DR64)&gt;0,SUM(DR61:DR64),"")</f>
        <v/>
      </c>
      <c r="DS65" s="39">
        <f t="shared" si="881"/>
        <v>1000</v>
      </c>
      <c r="DT65" s="39">
        <f t="shared" si="881"/>
        <v>1000</v>
      </c>
      <c r="DU65" s="39">
        <f t="shared" si="760"/>
        <v>0</v>
      </c>
      <c r="DV65" s="39" t="str">
        <f t="shared" ref="DV65:DX65" si="882">IF(COUNT(DV61:DV64)&gt;0,SUM(DV61:DV64),"")</f>
        <v/>
      </c>
      <c r="DW65" s="39">
        <f t="shared" si="882"/>
        <v>11000</v>
      </c>
      <c r="DX65" s="39">
        <f t="shared" si="882"/>
        <v>11000</v>
      </c>
      <c r="DY65" s="39">
        <f t="shared" si="762"/>
        <v>0</v>
      </c>
      <c r="DZ65" s="39" t="str">
        <f t="shared" ref="DZ65:EB65" si="883">IF(COUNT(DZ61:DZ64)&gt;0,SUM(DZ61:DZ64),"")</f>
        <v/>
      </c>
      <c r="EA65" s="39">
        <f t="shared" si="883"/>
        <v>1000</v>
      </c>
      <c r="EB65" s="39">
        <f t="shared" si="883"/>
        <v>1000</v>
      </c>
      <c r="EC65" s="39">
        <f t="shared" si="764"/>
        <v>0</v>
      </c>
      <c r="ED65" s="39" t="str">
        <f t="shared" ref="ED65:EF65" si="884">IF(COUNT(ED61:ED64)&gt;0,SUM(ED61:ED64),"")</f>
        <v/>
      </c>
      <c r="EE65" s="39">
        <f t="shared" si="884"/>
        <v>16000</v>
      </c>
      <c r="EF65" s="39">
        <f t="shared" si="884"/>
        <v>16000</v>
      </c>
      <c r="EG65" s="39">
        <f t="shared" si="766"/>
        <v>0</v>
      </c>
      <c r="EH65" s="39" t="str">
        <f t="shared" ref="EH65:EJ65" si="885">IF(COUNT(EH61:EH64)&gt;0,SUM(EH61:EH64),"")</f>
        <v/>
      </c>
      <c r="EI65" s="39">
        <f t="shared" si="885"/>
        <v>6000</v>
      </c>
      <c r="EJ65" s="39">
        <f t="shared" si="885"/>
        <v>6000</v>
      </c>
      <c r="EK65" s="39">
        <f t="shared" si="768"/>
        <v>0</v>
      </c>
      <c r="EL65" s="39">
        <f t="shared" ref="EL65:EN65" si="886">IF(COUNT(EL61:EL64)&gt;0,SUM(EL61:EL64),"")</f>
        <v>6000</v>
      </c>
      <c r="EM65" s="39">
        <f t="shared" si="886"/>
        <v>6000</v>
      </c>
      <c r="EN65" s="39">
        <f t="shared" si="886"/>
        <v>1000</v>
      </c>
      <c r="EO65" s="39">
        <f t="shared" si="770"/>
        <v>5000</v>
      </c>
      <c r="EP65" s="39">
        <f t="shared" ref="EP65:ER65" si="887">IF(COUNT(EP61:EP64)&gt;0,SUM(EP61:EP64),"")</f>
        <v>6000</v>
      </c>
      <c r="EQ65" s="39">
        <f t="shared" si="887"/>
        <v>6000</v>
      </c>
      <c r="ER65" s="39">
        <f t="shared" si="887"/>
        <v>1000</v>
      </c>
      <c r="ES65" s="39">
        <f t="shared" si="772"/>
        <v>5000</v>
      </c>
    </row>
    <row r="66" ht="18.0" customHeight="1">
      <c r="A66" s="36" t="s">
        <v>68</v>
      </c>
      <c r="B66" s="39">
        <f t="shared" ref="B66:D66" si="888">SUM(EP66,EL66,EH66,ED66,DZ66,DV66,DR66,DN66,DJ66,DF66,DB66,CX66,CT66,CP66,CL66,CH66,CD66,BZ66,BV66,BR66,BN66,BJ66,BF66,BB66,AX66,AT66,AP66,AL66,AH66,AD66,Z66,V66,R66,N66,J66,F66)</f>
        <v>-67725</v>
      </c>
      <c r="C66" s="39">
        <f t="shared" si="888"/>
        <v>603075</v>
      </c>
      <c r="D66" s="39">
        <f t="shared" si="888"/>
        <v>784200</v>
      </c>
      <c r="E66" s="39">
        <f t="shared" si="700"/>
        <v>-181125</v>
      </c>
      <c r="F66" s="39" t="str">
        <f>IF(COUNT(F57:F64)&gt;0,SUM(F57,F60)-SUM(F58,F59,F65),"")</f>
        <v/>
      </c>
      <c r="G66" s="39">
        <f t="shared" ref="G66:H66" si="889">SUM(G57,G60)-SUM(G58,G59,G65)</f>
        <v>44200</v>
      </c>
      <c r="H66" s="39">
        <f t="shared" si="889"/>
        <v>44200</v>
      </c>
      <c r="I66" s="39">
        <f t="shared" si="702"/>
        <v>0</v>
      </c>
      <c r="J66" s="39" t="str">
        <f>IF(COUNT(J57:J64)&gt;0,SUM(J57,J60)-SUM(J58,J59,J65),"")</f>
        <v/>
      </c>
      <c r="K66" s="39">
        <f t="shared" ref="K66:L66" si="890">SUM(K57,K60)-SUM(K58,K59,K65)</f>
        <v>54200</v>
      </c>
      <c r="L66" s="39">
        <f t="shared" si="890"/>
        <v>54200</v>
      </c>
      <c r="M66" s="39">
        <f t="shared" si="704"/>
        <v>0</v>
      </c>
      <c r="N66" s="39" t="str">
        <f>IF(COUNT(N57:N64)&gt;0,SUM(N57,N60)-SUM(N58,N59,N65),"")</f>
        <v/>
      </c>
      <c r="O66" s="39">
        <f t="shared" ref="O66:P66" si="891">SUM(O57,O60)-SUM(O58,O59,O65)</f>
        <v>54200</v>
      </c>
      <c r="P66" s="39">
        <f t="shared" si="891"/>
        <v>54200</v>
      </c>
      <c r="Q66" s="39">
        <f t="shared" si="706"/>
        <v>0</v>
      </c>
      <c r="R66" s="39" t="str">
        <f>IF(COUNT(R57:R64)&gt;0,SUM(R57,R60)-SUM(R58,R59,R65),"")</f>
        <v/>
      </c>
      <c r="S66" s="39">
        <f t="shared" ref="S66:T66" si="892">SUM(S57,S60)-SUM(S58,S59,S65)</f>
        <v>26200</v>
      </c>
      <c r="T66" s="39">
        <f t="shared" si="892"/>
        <v>26200</v>
      </c>
      <c r="U66" s="39">
        <f t="shared" si="708"/>
        <v>0</v>
      </c>
      <c r="V66" s="39" t="str">
        <f>IF(COUNT(V57:V64)&gt;0,SUM(V57,V60)-SUM(V58,V59,V65),"")</f>
        <v/>
      </c>
      <c r="W66" s="39">
        <f t="shared" ref="W66:X66" si="893">SUM(W57,W60)-SUM(W58,W59,W65)</f>
        <v>47200</v>
      </c>
      <c r="X66" s="39">
        <f t="shared" si="893"/>
        <v>47200</v>
      </c>
      <c r="Y66" s="39">
        <f t="shared" si="710"/>
        <v>0</v>
      </c>
      <c r="Z66" s="39" t="str">
        <f>IF(COUNT(Z57:Z64)&gt;0,SUM(Z57,Z60)-SUM(Z58,Z59,Z65),"")</f>
        <v/>
      </c>
      <c r="AA66" s="39">
        <f t="shared" ref="AA66:AB66" si="894">SUM(AA57,AA60)-SUM(AA58,AA59,AA65)</f>
        <v>47200</v>
      </c>
      <c r="AB66" s="39">
        <f t="shared" si="894"/>
        <v>47200</v>
      </c>
      <c r="AC66" s="39">
        <f t="shared" si="712"/>
        <v>0</v>
      </c>
      <c r="AD66" s="39" t="str">
        <f>IF(COUNT(AD57:AD64)&gt;0,SUM(AD57,AD60)-SUM(AD58,AD59,AD65),"")</f>
        <v/>
      </c>
      <c r="AE66" s="39">
        <f t="shared" ref="AE66:AF66" si="895">SUM(AE57,AE60)-SUM(AE58,AE59,AE65)</f>
        <v>37200</v>
      </c>
      <c r="AF66" s="39">
        <f t="shared" si="895"/>
        <v>37200</v>
      </c>
      <c r="AG66" s="39">
        <f t="shared" si="714"/>
        <v>0</v>
      </c>
      <c r="AH66" s="39" t="str">
        <f>IF(COUNT(AH57:AH64)&gt;0,SUM(AH57,AH60)-SUM(AH58,AH59,AH65),"")</f>
        <v/>
      </c>
      <c r="AI66" s="39">
        <f t="shared" ref="AI66:AJ66" si="896">SUM(AI57,AI60)-SUM(AI58,AI59,AI65)</f>
        <v>39200</v>
      </c>
      <c r="AJ66" s="39">
        <f t="shared" si="896"/>
        <v>39200</v>
      </c>
      <c r="AK66" s="39">
        <f t="shared" si="716"/>
        <v>0</v>
      </c>
      <c r="AL66" s="39" t="str">
        <f>IF(COUNT(AL57:AL64)&gt;0,SUM(AL57,AL60)-SUM(AL58,AL59,AL65),"")</f>
        <v/>
      </c>
      <c r="AM66" s="39">
        <f t="shared" ref="AM66:AN66" si="897">SUM(AM57,AM60)-SUM(AM58,AM59,AM65)</f>
        <v>25200</v>
      </c>
      <c r="AN66" s="39">
        <f t="shared" si="897"/>
        <v>25200</v>
      </c>
      <c r="AO66" s="39">
        <f t="shared" si="718"/>
        <v>0</v>
      </c>
      <c r="AP66" s="39" t="str">
        <f>IF(COUNT(AP57:AP64)&gt;0,SUM(AP57,AP60)-SUM(AP58,AP59,AP65),"")</f>
        <v/>
      </c>
      <c r="AQ66" s="39">
        <f t="shared" ref="AQ66:AR66" si="898">SUM(AQ57,AQ60)-SUM(AQ58,AQ59,AQ65)</f>
        <v>35200</v>
      </c>
      <c r="AR66" s="39">
        <f t="shared" si="898"/>
        <v>35200</v>
      </c>
      <c r="AS66" s="39">
        <f t="shared" si="720"/>
        <v>0</v>
      </c>
      <c r="AT66" s="39" t="str">
        <f>IF(COUNT(AT57:AT64)&gt;0,SUM(AT57,AT60)-SUM(AT58,AT59,AT65),"")</f>
        <v/>
      </c>
      <c r="AU66" s="39">
        <f t="shared" ref="AU66:AV66" si="899">SUM(AU57,AU60)-SUM(AU58,AU59,AU65)</f>
        <v>40200</v>
      </c>
      <c r="AV66" s="39">
        <f t="shared" si="899"/>
        <v>40200</v>
      </c>
      <c r="AW66" s="39">
        <f t="shared" si="722"/>
        <v>0</v>
      </c>
      <c r="AX66" s="39" t="str">
        <f>IF(COUNT(AX57:AX64)&gt;0,SUM(AX57,AX60)-SUM(AX58,AX59,AX65),"")</f>
        <v/>
      </c>
      <c r="AY66" s="39">
        <f t="shared" ref="AY66:AZ66" si="900">SUM(AY57,AY60)-SUM(AY58,AY59,AY65)</f>
        <v>32200</v>
      </c>
      <c r="AZ66" s="39">
        <f t="shared" si="900"/>
        <v>32200</v>
      </c>
      <c r="BA66" s="39">
        <f t="shared" si="724"/>
        <v>0</v>
      </c>
      <c r="BB66" s="39" t="str">
        <f>IF(COUNT(BB57:BB64)&gt;0,SUM(BB57,BB60)-SUM(BB58,BB59,BB65),"")</f>
        <v/>
      </c>
      <c r="BC66" s="39">
        <f t="shared" ref="BC66:BD66" si="901">SUM(BC57,BC60)-SUM(BC58,BC59,BC65)</f>
        <v>23200</v>
      </c>
      <c r="BD66" s="39">
        <f t="shared" si="901"/>
        <v>23200</v>
      </c>
      <c r="BE66" s="39">
        <f t="shared" si="726"/>
        <v>0</v>
      </c>
      <c r="BF66" s="39" t="str">
        <f>IF(COUNT(BF57:BF64)&gt;0,SUM(BF57,BF60)-SUM(BF58,BF59,BF65),"")</f>
        <v/>
      </c>
      <c r="BG66" s="39">
        <f t="shared" ref="BG66:BH66" si="902">SUM(BG57,BG60)-SUM(BG58,BG59,BG65)</f>
        <v>33200</v>
      </c>
      <c r="BH66" s="39">
        <f t="shared" si="902"/>
        <v>33200</v>
      </c>
      <c r="BI66" s="39">
        <f t="shared" si="728"/>
        <v>0</v>
      </c>
      <c r="BJ66" s="39" t="str">
        <f>IF(COUNT(BJ57:BJ64)&gt;0,SUM(BJ57,BJ60)-SUM(BJ58,BJ59,BJ65),"")</f>
        <v/>
      </c>
      <c r="BK66" s="39">
        <f t="shared" ref="BK66:BL66" si="903">SUM(BK57,BK60)-SUM(BK58,BK59,BK65)</f>
        <v>33200</v>
      </c>
      <c r="BL66" s="39">
        <f t="shared" si="903"/>
        <v>33200</v>
      </c>
      <c r="BM66" s="39">
        <f t="shared" si="730"/>
        <v>0</v>
      </c>
      <c r="BN66" s="39" t="str">
        <f>IF(COUNT(BN57:BN64)&gt;0,SUM(BN57,BN60)-SUM(BN58,BN59,BN65),"")</f>
        <v/>
      </c>
      <c r="BO66" s="39">
        <f t="shared" ref="BO66:BP66" si="904">SUM(BO57,BO60)-SUM(BO58,BO59,BO65)</f>
        <v>5200</v>
      </c>
      <c r="BP66" s="39">
        <f t="shared" si="904"/>
        <v>5200</v>
      </c>
      <c r="BQ66" s="39">
        <f t="shared" si="732"/>
        <v>0</v>
      </c>
      <c r="BR66" s="39" t="str">
        <f>IF(COUNT(BR57:BR64)&gt;0,SUM(BR57,BR60)-SUM(BR58,BR59,BR65),"")</f>
        <v/>
      </c>
      <c r="BS66" s="39">
        <f t="shared" ref="BS66:BT66" si="905">SUM(BS57,BS60)-SUM(BS58,BS59,BS65)</f>
        <v>26200</v>
      </c>
      <c r="BT66" s="39">
        <f t="shared" si="905"/>
        <v>26200</v>
      </c>
      <c r="BU66" s="39">
        <f t="shared" si="734"/>
        <v>0</v>
      </c>
      <c r="BV66" s="39" t="str">
        <f>IF(COUNT(BV57:BV64)&gt;0,SUM(BV57,BV60)-SUM(BV58,BV59,BV65),"")</f>
        <v/>
      </c>
      <c r="BW66" s="39">
        <f t="shared" ref="BW66:BX66" si="906">SUM(BW57,BW60)-SUM(BW58,BW59,BW65)</f>
        <v>26200</v>
      </c>
      <c r="BX66" s="39">
        <f t="shared" si="906"/>
        <v>26200</v>
      </c>
      <c r="BY66" s="39">
        <f t="shared" si="736"/>
        <v>0</v>
      </c>
      <c r="BZ66" s="39" t="str">
        <f>IF(COUNT(BZ57:BZ64)&gt;0,SUM(BZ57,BZ60)-SUM(BZ58,BZ59,BZ65),"")</f>
        <v/>
      </c>
      <c r="CA66" s="39">
        <f t="shared" ref="CA66:CB66" si="907">SUM(CA57,CA60)-SUM(CA58,CA59,CA65)</f>
        <v>16200</v>
      </c>
      <c r="CB66" s="39">
        <f t="shared" si="907"/>
        <v>16200</v>
      </c>
      <c r="CC66" s="39">
        <f t="shared" si="738"/>
        <v>0</v>
      </c>
      <c r="CD66" s="39" t="str">
        <f>IF(COUNT(CD57:CD64)&gt;0,SUM(CD57,CD60)-SUM(CD58,CD59,CD65),"")</f>
        <v/>
      </c>
      <c r="CE66" s="39">
        <f t="shared" ref="CE66:CF66" si="908">SUM(CE57,CE60)-SUM(CE58,CE59,CE65)</f>
        <v>18200</v>
      </c>
      <c r="CF66" s="39">
        <f t="shared" si="908"/>
        <v>18200</v>
      </c>
      <c r="CG66" s="39">
        <f t="shared" si="740"/>
        <v>0</v>
      </c>
      <c r="CH66" s="39" t="str">
        <f>IF(COUNT(CH57:CH64)&gt;0,SUM(CH57,CH60)-SUM(CH58,CH59,CH65),"")</f>
        <v/>
      </c>
      <c r="CI66" s="39">
        <f t="shared" ref="CI66:CJ66" si="909">SUM(CI57,CI60)-SUM(CI58,CI59,CI65)</f>
        <v>4200</v>
      </c>
      <c r="CJ66" s="39">
        <f t="shared" si="909"/>
        <v>4200</v>
      </c>
      <c r="CK66" s="39">
        <f t="shared" si="742"/>
        <v>0</v>
      </c>
      <c r="CL66" s="39" t="str">
        <f>IF(COUNT(CL57:CL64)&gt;0,SUM(CL57,CL60)-SUM(CL58,CL59,CL65),"")</f>
        <v/>
      </c>
      <c r="CM66" s="39">
        <f t="shared" ref="CM66:CN66" si="910">SUM(CM57,CM60)-SUM(CM58,CM59,CM65)</f>
        <v>14200</v>
      </c>
      <c r="CN66" s="39">
        <f t="shared" si="910"/>
        <v>14200</v>
      </c>
      <c r="CO66" s="39">
        <f t="shared" si="744"/>
        <v>0</v>
      </c>
      <c r="CP66" s="39" t="str">
        <f>IF(COUNT(CP57:CP64)&gt;0,SUM(CP57,CP60)-SUM(CP58,CP59,CP65),"")</f>
        <v/>
      </c>
      <c r="CQ66" s="39">
        <f t="shared" ref="CQ66:CR66" si="911">SUM(CQ57,CQ60)-SUM(CQ58,CQ59,CQ65)</f>
        <v>19200</v>
      </c>
      <c r="CR66" s="39">
        <f t="shared" si="911"/>
        <v>19200</v>
      </c>
      <c r="CS66" s="39">
        <f t="shared" si="746"/>
        <v>0</v>
      </c>
      <c r="CT66" s="39" t="str">
        <f>IF(COUNT(CT57:CT64)&gt;0,SUM(CT57,CT60)-SUM(CT58,CT59,CT65),"")</f>
        <v/>
      </c>
      <c r="CU66" s="39">
        <f t="shared" ref="CU66:CV66" si="912">SUM(CU57,CU60)-SUM(CU58,CU59,CU65)</f>
        <v>11200</v>
      </c>
      <c r="CV66" s="39">
        <f t="shared" si="912"/>
        <v>11200</v>
      </c>
      <c r="CW66" s="39">
        <f t="shared" si="748"/>
        <v>0</v>
      </c>
      <c r="CX66" s="39" t="str">
        <f>IF(COUNT(CX57:CX64)&gt;0,SUM(CX57,CX60)-SUM(CX58,CX59,CX65),"")</f>
        <v/>
      </c>
      <c r="CY66" s="39">
        <f t="shared" ref="CY66:CZ66" si="913">SUM(CY57,CY60)-SUM(CY58,CY59,CY65)</f>
        <v>2200</v>
      </c>
      <c r="CZ66" s="39">
        <f t="shared" si="913"/>
        <v>2200</v>
      </c>
      <c r="DA66" s="39">
        <f t="shared" si="750"/>
        <v>0</v>
      </c>
      <c r="DB66" s="39" t="str">
        <f>IF(COUNT(DB57:DB64)&gt;0,SUM(DB57,DB60)-SUM(DB58,DB59,DB65),"")</f>
        <v/>
      </c>
      <c r="DC66" s="39">
        <f t="shared" ref="DC66:DD66" si="914">SUM(DC57,DC60)-SUM(DC58,DC59,DC65)</f>
        <v>12200</v>
      </c>
      <c r="DD66" s="39">
        <f t="shared" si="914"/>
        <v>12200</v>
      </c>
      <c r="DE66" s="39">
        <f t="shared" si="752"/>
        <v>0</v>
      </c>
      <c r="DF66" s="39" t="str">
        <f>IF(COUNT(DF57:DF64)&gt;0,SUM(DF57,DF60)-SUM(DF58,DF59,DF65),"")</f>
        <v/>
      </c>
      <c r="DG66" s="39">
        <f t="shared" ref="DG66:DH66" si="915">SUM(DG57,DG60)-SUM(DG58,DG59,DG65)</f>
        <v>12200</v>
      </c>
      <c r="DH66" s="39">
        <f t="shared" si="915"/>
        <v>12200</v>
      </c>
      <c r="DI66" s="39">
        <f t="shared" si="754"/>
        <v>0</v>
      </c>
      <c r="DJ66" s="39" t="str">
        <f>IF(COUNT(DJ57:DJ64)&gt;0,SUM(DJ57,DJ60)-SUM(DJ58,DJ59,DJ65),"")</f>
        <v/>
      </c>
      <c r="DK66" s="39">
        <f t="shared" ref="DK66:DL66" si="916">SUM(DK57,DK60)-SUM(DK58,DK59,DK65)</f>
        <v>-15800</v>
      </c>
      <c r="DL66" s="39">
        <f t="shared" si="916"/>
        <v>-15800</v>
      </c>
      <c r="DM66" s="39">
        <f t="shared" si="756"/>
        <v>0</v>
      </c>
      <c r="DN66" s="39" t="str">
        <f>IF(COUNT(DN57:DN64)&gt;0,SUM(DN57,DN60)-SUM(DN58,DN59,DN65),"")</f>
        <v/>
      </c>
      <c r="DO66" s="39">
        <f t="shared" ref="DO66:DP66" si="917">SUM(DO57,DO60)-SUM(DO58,DO59,DO65)</f>
        <v>5200</v>
      </c>
      <c r="DP66" s="39">
        <f t="shared" si="917"/>
        <v>5200</v>
      </c>
      <c r="DQ66" s="39">
        <f t="shared" si="758"/>
        <v>0</v>
      </c>
      <c r="DR66" s="39" t="str">
        <f>IF(COUNT(DR57:DR64)&gt;0,SUM(DR57,DR60)-SUM(DR58,DR59,DR65),"")</f>
        <v/>
      </c>
      <c r="DS66" s="39">
        <f t="shared" ref="DS66:DT66" si="918">SUM(DS57,DS60)-SUM(DS58,DS59,DS65)</f>
        <v>5200</v>
      </c>
      <c r="DT66" s="39">
        <f t="shared" si="918"/>
        <v>5200</v>
      </c>
      <c r="DU66" s="39">
        <f t="shared" si="760"/>
        <v>0</v>
      </c>
      <c r="DV66" s="39" t="str">
        <f>IF(COUNT(DV57:DV64)&gt;0,SUM(DV57,DV60)-SUM(DV58,DV59,DV65),"")</f>
        <v/>
      </c>
      <c r="DW66" s="39">
        <f t="shared" ref="DW66:DX66" si="919">SUM(DW57,DW60)-SUM(DW58,DW59,DW65)</f>
        <v>-4800</v>
      </c>
      <c r="DX66" s="39">
        <f t="shared" si="919"/>
        <v>-4800</v>
      </c>
      <c r="DY66" s="39">
        <f t="shared" si="762"/>
        <v>0</v>
      </c>
      <c r="DZ66" s="39" t="str">
        <f>IF(COUNT(DZ57:DZ64)&gt;0,SUM(DZ57,DZ60)-SUM(DZ58,DZ59,DZ65),"")</f>
        <v/>
      </c>
      <c r="EA66" s="39">
        <f t="shared" ref="EA66:EB66" si="920">SUM(EA57,EA60)-SUM(EA58,EA59,EA65)</f>
        <v>-18800</v>
      </c>
      <c r="EB66" s="39">
        <f t="shared" si="920"/>
        <v>-2800</v>
      </c>
      <c r="EC66" s="39">
        <f t="shared" si="764"/>
        <v>-16000</v>
      </c>
      <c r="ED66" s="39" t="str">
        <f>IF(COUNT(ED57:ED64)&gt;0,SUM(ED57,ED60)-SUM(ED58,ED59,ED65),"")</f>
        <v/>
      </c>
      <c r="EE66" s="39">
        <f t="shared" ref="EE66:EF66" si="921">SUM(EE57,EE60)-SUM(EE58,EE59,EE65)</f>
        <v>-54800</v>
      </c>
      <c r="EF66" s="39">
        <f t="shared" si="921"/>
        <v>-16800</v>
      </c>
      <c r="EG66" s="39">
        <f t="shared" si="766"/>
        <v>-38000</v>
      </c>
      <c r="EH66" s="39" t="str">
        <f>IF(COUNT(EH57:EH64)&gt;0,SUM(EH57,EH60)-SUM(EH58,EH59,EH65),"")</f>
        <v/>
      </c>
      <c r="EI66" s="39">
        <f t="shared" ref="EI66:EJ66" si="922">SUM(EI57,EI60)-SUM(EI58,EI59,EI65)</f>
        <v>15200</v>
      </c>
      <c r="EJ66" s="39">
        <f t="shared" si="922"/>
        <v>43200</v>
      </c>
      <c r="EK66" s="39">
        <f t="shared" si="768"/>
        <v>-28000</v>
      </c>
      <c r="EL66" s="39">
        <f>IF(COUNT(EL57:EL64)&gt;0,SUM(EL57,EL60)-SUM(EL58,EL59,EL65),"")</f>
        <v>-25384</v>
      </c>
      <c r="EM66" s="39">
        <f t="shared" ref="EM66:EN66" si="923">SUM(EM57,EM60)-SUM(EM58,EM59,EM65)</f>
        <v>-25384</v>
      </c>
      <c r="EN66" s="39">
        <f t="shared" si="923"/>
        <v>38200</v>
      </c>
      <c r="EO66" s="39">
        <f t="shared" si="770"/>
        <v>-63584</v>
      </c>
      <c r="EP66" s="39">
        <f>IF(COUNT(EP57:EP64)&gt;0,SUM(EP57,EP60)-SUM(EP58,EP59,EP65),"")</f>
        <v>-42341</v>
      </c>
      <c r="EQ66" s="39">
        <f t="shared" ref="EQ66:ER66" si="924">SUM(EQ57,EQ60)-SUM(EQ58,EQ59,EQ65)</f>
        <v>-42341</v>
      </c>
      <c r="ER66" s="39">
        <f t="shared" si="924"/>
        <v>-6800</v>
      </c>
      <c r="ES66" s="39">
        <f t="shared" si="772"/>
        <v>-35541</v>
      </c>
    </row>
    <row r="67" ht="18.0" customHeight="1">
      <c r="A67" s="2" t="s">
        <v>69</v>
      </c>
      <c r="B67" s="30">
        <f t="shared" ref="B67:D67" si="925">EP67</f>
        <v>250000</v>
      </c>
      <c r="C67" s="31">
        <f t="shared" si="925"/>
        <v>250000</v>
      </c>
      <c r="D67" s="32">
        <f t="shared" si="925"/>
        <v>250000</v>
      </c>
      <c r="E67" s="33">
        <f t="shared" si="700"/>
        <v>0</v>
      </c>
      <c r="F67" s="30" t="str">
        <f>IF(F66="","",IF(J$98=1,J68,K68))</f>
        <v/>
      </c>
      <c r="G67" s="31">
        <f>IF(J$98=1,J68,K68)</f>
        <v>808875</v>
      </c>
      <c r="H67" s="32">
        <f>L68</f>
        <v>990000</v>
      </c>
      <c r="I67" s="33">
        <f t="shared" si="702"/>
        <v>-181125</v>
      </c>
      <c r="J67" s="30" t="str">
        <f>IF(J66="","",IF(N$98=1,N68,O68))</f>
        <v/>
      </c>
      <c r="K67" s="31">
        <f>IF(N$98=1,N68,O68)</f>
        <v>754675</v>
      </c>
      <c r="L67" s="32">
        <f>P68</f>
        <v>935800</v>
      </c>
      <c r="M67" s="33">
        <f t="shared" si="704"/>
        <v>-181125</v>
      </c>
      <c r="N67" s="30" t="str">
        <f>IF(N66="","",IF(R$98=1,R68,S68))</f>
        <v/>
      </c>
      <c r="O67" s="31">
        <f>IF(R$98=1,R68,S68)</f>
        <v>700475</v>
      </c>
      <c r="P67" s="32">
        <f>T68</f>
        <v>881600</v>
      </c>
      <c r="Q67" s="33">
        <f t="shared" si="706"/>
        <v>-181125</v>
      </c>
      <c r="R67" s="30" t="str">
        <f>IF(R66="","",IF(V$98=1,V68,W68))</f>
        <v/>
      </c>
      <c r="S67" s="31">
        <f>IF(V$98=1,V68,W68)</f>
        <v>674275</v>
      </c>
      <c r="T67" s="32">
        <f>X68</f>
        <v>855400</v>
      </c>
      <c r="U67" s="33">
        <f t="shared" si="708"/>
        <v>-181125</v>
      </c>
      <c r="V67" s="30" t="str">
        <f>IF(V66="","",IF(Z$98=1,Z68,AA68))</f>
        <v/>
      </c>
      <c r="W67" s="31">
        <f>IF(Z$98=1,Z68,AA68)</f>
        <v>627075</v>
      </c>
      <c r="X67" s="32">
        <f>AB68</f>
        <v>808200</v>
      </c>
      <c r="Y67" s="33">
        <f t="shared" si="710"/>
        <v>-181125</v>
      </c>
      <c r="Z67" s="30" t="str">
        <f>IF(Z66="","",IF(AD$98=1,AD68,AE68))</f>
        <v/>
      </c>
      <c r="AA67" s="31">
        <f>IF(AD$98=1,AD68,AE68)</f>
        <v>579875</v>
      </c>
      <c r="AB67" s="32">
        <f>AF68</f>
        <v>761000</v>
      </c>
      <c r="AC67" s="33">
        <f t="shared" si="712"/>
        <v>-181125</v>
      </c>
      <c r="AD67" s="30" t="str">
        <f>IF(AD66="","",IF(AH$98=1,AH68,AI68))</f>
        <v/>
      </c>
      <c r="AE67" s="31">
        <f>IF(AH$98=1,AH68,AI68)</f>
        <v>542675</v>
      </c>
      <c r="AF67" s="32">
        <f>AJ68</f>
        <v>723800</v>
      </c>
      <c r="AG67" s="33">
        <f t="shared" si="714"/>
        <v>-181125</v>
      </c>
      <c r="AH67" s="30" t="str">
        <f>IF(AH66="","",IF(AL$98=1,AL68,AM68))</f>
        <v/>
      </c>
      <c r="AI67" s="31">
        <f>IF(AL$98=1,AL68,AM68)</f>
        <v>503475</v>
      </c>
      <c r="AJ67" s="32">
        <f>AN68</f>
        <v>684600</v>
      </c>
      <c r="AK67" s="33">
        <f t="shared" si="716"/>
        <v>-181125</v>
      </c>
      <c r="AL67" s="30" t="str">
        <f>IF(AL66="","",IF(AP$98=1,AP68,AQ68))</f>
        <v/>
      </c>
      <c r="AM67" s="31">
        <f>IF(AP$98=1,AP68,AQ68)</f>
        <v>478275</v>
      </c>
      <c r="AN67" s="32">
        <f>AR68</f>
        <v>659400</v>
      </c>
      <c r="AO67" s="33">
        <f t="shared" si="718"/>
        <v>-181125</v>
      </c>
      <c r="AP67" s="30" t="str">
        <f>IF(AP66="","",IF(AT$98=1,AT68,AU68))</f>
        <v/>
      </c>
      <c r="AQ67" s="31">
        <f>IF(AT$98=1,AT68,AU68)</f>
        <v>443075</v>
      </c>
      <c r="AR67" s="32">
        <f>AV68</f>
        <v>624200</v>
      </c>
      <c r="AS67" s="33">
        <f t="shared" si="720"/>
        <v>-181125</v>
      </c>
      <c r="AT67" s="30" t="str">
        <f>IF(AT66="","",IF(AX$98=1,AX68,AY68))</f>
        <v/>
      </c>
      <c r="AU67" s="31">
        <f>IF(AX$98=1,AX68,AY68)</f>
        <v>402875</v>
      </c>
      <c r="AV67" s="32">
        <f>AZ68</f>
        <v>584000</v>
      </c>
      <c r="AW67" s="33">
        <f t="shared" si="722"/>
        <v>-181125</v>
      </c>
      <c r="AX67" s="30" t="str">
        <f>IF(AX66="","",IF(BB$98=1,BB68,BC68))</f>
        <v/>
      </c>
      <c r="AY67" s="31">
        <f>IF(BB$98=1,BB68,BC68)</f>
        <v>370675</v>
      </c>
      <c r="AZ67" s="32">
        <f>BD68</f>
        <v>551800</v>
      </c>
      <c r="BA67" s="33">
        <f t="shared" si="724"/>
        <v>-181125</v>
      </c>
      <c r="BB67" s="30" t="str">
        <f>IF(BB66="","",IF(BF$98=1,BF68,BG68))</f>
        <v/>
      </c>
      <c r="BC67" s="31">
        <f>IF(BF$98=1,BF68,BG68)</f>
        <v>347475</v>
      </c>
      <c r="BD67" s="32">
        <f>BH68</f>
        <v>528600</v>
      </c>
      <c r="BE67" s="33">
        <f t="shared" si="726"/>
        <v>-181125</v>
      </c>
      <c r="BF67" s="30" t="str">
        <f>IF(BF66="","",IF(BJ$98=1,BJ68,BK68))</f>
        <v/>
      </c>
      <c r="BG67" s="31">
        <f>IF(BJ$98=1,BJ68,BK68)</f>
        <v>314275</v>
      </c>
      <c r="BH67" s="32">
        <f>BL68</f>
        <v>495400</v>
      </c>
      <c r="BI67" s="33">
        <f t="shared" si="728"/>
        <v>-181125</v>
      </c>
      <c r="BJ67" s="30" t="str">
        <f>IF(BJ66="","",IF(BN$98=1,BN68,BO68))</f>
        <v/>
      </c>
      <c r="BK67" s="31">
        <f>IF(BN$98=1,BN68,BO68)</f>
        <v>281075</v>
      </c>
      <c r="BL67" s="32">
        <f>BP68</f>
        <v>462200</v>
      </c>
      <c r="BM67" s="33">
        <f t="shared" si="730"/>
        <v>-181125</v>
      </c>
      <c r="BN67" s="30" t="str">
        <f>IF(BN66="","",IF(BR$98=1,BR68,BS68))</f>
        <v/>
      </c>
      <c r="BO67" s="31">
        <f>IF(BR$98=1,BR68,BS68)</f>
        <v>275875</v>
      </c>
      <c r="BP67" s="32">
        <f>BT68</f>
        <v>457000</v>
      </c>
      <c r="BQ67" s="33">
        <f t="shared" si="732"/>
        <v>-181125</v>
      </c>
      <c r="BR67" s="30" t="str">
        <f>IF(BR66="","",IF(BV$98=1,BV68,BW68))</f>
        <v/>
      </c>
      <c r="BS67" s="31">
        <f>IF(BV$98=1,BV68,BW68)</f>
        <v>249675</v>
      </c>
      <c r="BT67" s="32">
        <f>BX68</f>
        <v>430800</v>
      </c>
      <c r="BU67" s="33">
        <f t="shared" si="734"/>
        <v>-181125</v>
      </c>
      <c r="BV67" s="30" t="str">
        <f>IF(BV66="","",IF(BZ$98=1,BZ68,CA68))</f>
        <v/>
      </c>
      <c r="BW67" s="31">
        <f>IF(BZ$98=1,BZ68,CA68)</f>
        <v>223475</v>
      </c>
      <c r="BX67" s="32">
        <f>CB68</f>
        <v>404600</v>
      </c>
      <c r="BY67" s="33">
        <f t="shared" si="736"/>
        <v>-181125</v>
      </c>
      <c r="BZ67" s="30" t="str">
        <f>IF(BZ66="","",IF(CD$98=1,CD68,CE68))</f>
        <v/>
      </c>
      <c r="CA67" s="31">
        <f>IF(CD$98=1,CD68,CE68)</f>
        <v>207275</v>
      </c>
      <c r="CB67" s="32">
        <f>CF68</f>
        <v>388400</v>
      </c>
      <c r="CC67" s="33">
        <f t="shared" si="738"/>
        <v>-181125</v>
      </c>
      <c r="CD67" s="30" t="str">
        <f>IF(CD66="","",IF(CH$98=1,CH68,CI68))</f>
        <v/>
      </c>
      <c r="CE67" s="31">
        <f>IF(CH$98=1,CH68,CI68)</f>
        <v>189075</v>
      </c>
      <c r="CF67" s="32">
        <f>CJ68</f>
        <v>370200</v>
      </c>
      <c r="CG67" s="33">
        <f t="shared" si="740"/>
        <v>-181125</v>
      </c>
      <c r="CH67" s="30" t="str">
        <f>IF(CH66="","",IF(CL$98=1,CL68,CM68))</f>
        <v/>
      </c>
      <c r="CI67" s="31">
        <f>IF(CL$98=1,CL68,CM68)</f>
        <v>184875</v>
      </c>
      <c r="CJ67" s="32">
        <f>CN68</f>
        <v>366000</v>
      </c>
      <c r="CK67" s="33">
        <f t="shared" si="742"/>
        <v>-181125</v>
      </c>
      <c r="CL67" s="30" t="str">
        <f>IF(CL66="","",IF(CP$98=1,CP68,CQ68))</f>
        <v/>
      </c>
      <c r="CM67" s="31">
        <f>IF(CP$98=1,CP68,CQ68)</f>
        <v>170675</v>
      </c>
      <c r="CN67" s="32">
        <f>CR68</f>
        <v>351800</v>
      </c>
      <c r="CO67" s="33">
        <f t="shared" si="744"/>
        <v>-181125</v>
      </c>
      <c r="CP67" s="30" t="str">
        <f>IF(CP66="","",IF(CT$98=1,CT68,CU68))</f>
        <v/>
      </c>
      <c r="CQ67" s="31">
        <f>IF(CT$98=1,CT68,CU68)</f>
        <v>151475</v>
      </c>
      <c r="CR67" s="32">
        <f>CV68</f>
        <v>332600</v>
      </c>
      <c r="CS67" s="33">
        <f t="shared" si="746"/>
        <v>-181125</v>
      </c>
      <c r="CT67" s="30" t="str">
        <f>IF(CT66="","",IF(CX$98=1,CX68,CY68))</f>
        <v/>
      </c>
      <c r="CU67" s="31">
        <f>IF(CX$98=1,CX68,CY68)</f>
        <v>140275</v>
      </c>
      <c r="CV67" s="32">
        <f>CZ68</f>
        <v>321400</v>
      </c>
      <c r="CW67" s="33">
        <f t="shared" si="748"/>
        <v>-181125</v>
      </c>
      <c r="CX67" s="30" t="str">
        <f>IF(CX66="","",IF(DB$98=1,DB68,DC68))</f>
        <v/>
      </c>
      <c r="CY67" s="31">
        <f>IF(DB$98=1,DB68,DC68)</f>
        <v>138075</v>
      </c>
      <c r="CZ67" s="32">
        <f>DD68</f>
        <v>319200</v>
      </c>
      <c r="DA67" s="33">
        <f t="shared" si="750"/>
        <v>-181125</v>
      </c>
      <c r="DB67" s="30" t="str">
        <f>IF(DB66="","",IF(DF$98=1,DF68,DG68))</f>
        <v/>
      </c>
      <c r="DC67" s="31">
        <f>IF(DF$98=1,DF68,DG68)</f>
        <v>125875</v>
      </c>
      <c r="DD67" s="32">
        <f>DH68</f>
        <v>307000</v>
      </c>
      <c r="DE67" s="33">
        <f t="shared" si="752"/>
        <v>-181125</v>
      </c>
      <c r="DF67" s="30" t="str">
        <f>IF(DF66="","",IF(DJ$98=1,DJ68,DK68))</f>
        <v/>
      </c>
      <c r="DG67" s="31">
        <f>IF(DJ$98=1,DJ68,DK68)</f>
        <v>113675</v>
      </c>
      <c r="DH67" s="32">
        <f>DL68</f>
        <v>294800</v>
      </c>
      <c r="DI67" s="33">
        <f t="shared" si="754"/>
        <v>-181125</v>
      </c>
      <c r="DJ67" s="30" t="str">
        <f>IF(DJ66="","",IF(DN$98=1,DN68,DO68))</f>
        <v/>
      </c>
      <c r="DK67" s="31">
        <f>IF(DN$98=1,DN68,DO68)</f>
        <v>129475</v>
      </c>
      <c r="DL67" s="32">
        <f>DP68</f>
        <v>310600</v>
      </c>
      <c r="DM67" s="33">
        <f t="shared" si="756"/>
        <v>-181125</v>
      </c>
      <c r="DN67" s="30" t="str">
        <f>IF(DN66="","",IF(DR$98=1,DR68,DS68))</f>
        <v/>
      </c>
      <c r="DO67" s="31">
        <f>IF(DR$98=1,DR68,DS68)</f>
        <v>124275</v>
      </c>
      <c r="DP67" s="32">
        <f>DT68</f>
        <v>305400</v>
      </c>
      <c r="DQ67" s="33">
        <f t="shared" si="758"/>
        <v>-181125</v>
      </c>
      <c r="DR67" s="30" t="str">
        <f>IF(DR66="","",IF(DV$98=1,DV68,DW68))</f>
        <v/>
      </c>
      <c r="DS67" s="31">
        <f>IF(DV$98=1,DV68,DW68)</f>
        <v>119075</v>
      </c>
      <c r="DT67" s="32">
        <f>DX68</f>
        <v>300200</v>
      </c>
      <c r="DU67" s="33">
        <f t="shared" si="760"/>
        <v>-181125</v>
      </c>
      <c r="DV67" s="30" t="str">
        <f>IF(DV66="","",IF(DZ$98=1,DZ68,EA68))</f>
        <v/>
      </c>
      <c r="DW67" s="31">
        <f>IF(DZ$98=1,DZ68,EA68)</f>
        <v>123875</v>
      </c>
      <c r="DX67" s="32">
        <f>EB68</f>
        <v>305000</v>
      </c>
      <c r="DY67" s="33">
        <f t="shared" si="762"/>
        <v>-181125</v>
      </c>
      <c r="DZ67" s="30" t="str">
        <f>IF(DZ66="","",IF(ED$98=1,ED68,EE68))</f>
        <v/>
      </c>
      <c r="EA67" s="31">
        <f>IF(ED$98=1,ED68,EE68)</f>
        <v>142675</v>
      </c>
      <c r="EB67" s="32">
        <f>EF68</f>
        <v>307800</v>
      </c>
      <c r="EC67" s="33">
        <f t="shared" si="764"/>
        <v>-165125</v>
      </c>
      <c r="ED67" s="30" t="str">
        <f>IF(ED66="","",IF(EH$98=1,EH68,EI68))</f>
        <v/>
      </c>
      <c r="EE67" s="31">
        <f>IF(EH$98=1,EH68,EI68)</f>
        <v>197475</v>
      </c>
      <c r="EF67" s="32">
        <f>EJ68</f>
        <v>324600</v>
      </c>
      <c r="EG67" s="33">
        <f t="shared" si="766"/>
        <v>-127125</v>
      </c>
      <c r="EH67" s="30" t="str">
        <f>IF(EH66="","",IF(EL$98=1,EL68,EM68))</f>
        <v/>
      </c>
      <c r="EI67" s="31">
        <f>IF(EL$98=1,EL68,EM68)</f>
        <v>182275</v>
      </c>
      <c r="EJ67" s="32">
        <f>EN68</f>
        <v>281400</v>
      </c>
      <c r="EK67" s="33">
        <f t="shared" si="768"/>
        <v>-99125</v>
      </c>
      <c r="EL67" s="30">
        <f>IF(EL66="","",IF(EP$98=1,EP68,EQ68))</f>
        <v>207659</v>
      </c>
      <c r="EM67" s="31">
        <f>IF(EP$98=1,EP68,EQ68)</f>
        <v>207659</v>
      </c>
      <c r="EN67" s="32">
        <f>ER68</f>
        <v>243200</v>
      </c>
      <c r="EO67" s="33">
        <f t="shared" si="770"/>
        <v>-35541</v>
      </c>
      <c r="EP67" s="34">
        <v>250000.0</v>
      </c>
      <c r="EQ67" s="31">
        <f>EP67</f>
        <v>250000</v>
      </c>
      <c r="ER67" s="32">
        <f>EP67</f>
        <v>250000</v>
      </c>
      <c r="ES67" s="33">
        <f t="shared" si="772"/>
        <v>0</v>
      </c>
    </row>
    <row r="68" ht="18.0" customHeight="1">
      <c r="A68" s="36" t="s">
        <v>70</v>
      </c>
      <c r="B68" s="39">
        <f t="shared" ref="B68:B71" si="963">IF(F$98=1,F68,IF(J$98=1,J68,IF(N$98=1,N68,IF(R$98=1,R68,IF(V$98=1,V68,IF(Z$98=1,Z68,IF(AD$98=1,AD68,IF(AH$98=1,AH68,IF(AL$98=1,AL68,IF(AP$98=1,AP68,IF(AT$98=1,AT68,IF(AX$98=1,AX68,IF(BB$98=1,BB68,IF(BF$98=1,BF68,IF(BJ$98=1,BJ68,IF(BN$98=1,BN68,IF(BR$98=1,BR68,IF(BV$98=1,BV68,IF(BZ$98=1,BZ68,IF(CD$98=1,CD68,IF(CH$98=1,CH68,IF(CL$98=1,CL68,IF(CP$98=1,CP68,IF(CT$98=1,CT68,IF(CX$98=1,CX68,IF(DB$98=1,DB68,IF(DF$98=1,DF68,IF(DJ$98=1,DJ68,IF(DN$98=1,DN68,IF(DR$98=1,DR68,IF(DV$98=1,DV68,IF(DZ$98=1,DZ68,IF(ED$98=1,ED68,IF(EH$98=1,EH68,IF(EL$98=1,EL68,IF(EP$98=1,EP68,""))))))))))))))))))))))))))))))))))))</f>
        <v>182275</v>
      </c>
      <c r="C68" s="39">
        <f t="shared" ref="C68:D68" si="926">G68</f>
        <v>853075</v>
      </c>
      <c r="D68" s="39">
        <f t="shared" si="926"/>
        <v>1034200</v>
      </c>
      <c r="E68" s="39">
        <f t="shared" si="700"/>
        <v>-181125</v>
      </c>
      <c r="F68" s="39" t="str">
        <f>IF(F66="","",F67+F66)</f>
        <v/>
      </c>
      <c r="G68" s="39">
        <f t="shared" ref="G68:H68" si="927">G67+G66</f>
        <v>853075</v>
      </c>
      <c r="H68" s="39">
        <f t="shared" si="927"/>
        <v>1034200</v>
      </c>
      <c r="I68" s="39">
        <f t="shared" si="702"/>
        <v>-181125</v>
      </c>
      <c r="J68" s="39" t="str">
        <f>IF(J66="","",J67+J66)</f>
        <v/>
      </c>
      <c r="K68" s="39">
        <f t="shared" ref="K68:L68" si="928">K67+K66</f>
        <v>808875</v>
      </c>
      <c r="L68" s="39">
        <f t="shared" si="928"/>
        <v>990000</v>
      </c>
      <c r="M68" s="39">
        <f t="shared" si="704"/>
        <v>-181125</v>
      </c>
      <c r="N68" s="39" t="str">
        <f>IF(N66="","",N67+N66)</f>
        <v/>
      </c>
      <c r="O68" s="39">
        <f t="shared" ref="O68:P68" si="929">O67+O66</f>
        <v>754675</v>
      </c>
      <c r="P68" s="39">
        <f t="shared" si="929"/>
        <v>935800</v>
      </c>
      <c r="Q68" s="39">
        <f t="shared" si="706"/>
        <v>-181125</v>
      </c>
      <c r="R68" s="39" t="str">
        <f>IF(R66="","",R67+R66)</f>
        <v/>
      </c>
      <c r="S68" s="39">
        <f t="shared" ref="S68:T68" si="930">S67+S66</f>
        <v>700475</v>
      </c>
      <c r="T68" s="39">
        <f t="shared" si="930"/>
        <v>881600</v>
      </c>
      <c r="U68" s="39">
        <f t="shared" si="708"/>
        <v>-181125</v>
      </c>
      <c r="V68" s="39" t="str">
        <f>IF(V66="","",V67+V66)</f>
        <v/>
      </c>
      <c r="W68" s="39">
        <f t="shared" ref="W68:X68" si="931">W67+W66</f>
        <v>674275</v>
      </c>
      <c r="X68" s="39">
        <f t="shared" si="931"/>
        <v>855400</v>
      </c>
      <c r="Y68" s="39">
        <f t="shared" si="710"/>
        <v>-181125</v>
      </c>
      <c r="Z68" s="39" t="str">
        <f>IF(Z66="","",Z67+Z66)</f>
        <v/>
      </c>
      <c r="AA68" s="39">
        <f t="shared" ref="AA68:AB68" si="932">AA67+AA66</f>
        <v>627075</v>
      </c>
      <c r="AB68" s="39">
        <f t="shared" si="932"/>
        <v>808200</v>
      </c>
      <c r="AC68" s="39">
        <f t="shared" si="712"/>
        <v>-181125</v>
      </c>
      <c r="AD68" s="39" t="str">
        <f>IF(AD66="","",AD67+AD66)</f>
        <v/>
      </c>
      <c r="AE68" s="39">
        <f t="shared" ref="AE68:AF68" si="933">AE67+AE66</f>
        <v>579875</v>
      </c>
      <c r="AF68" s="39">
        <f t="shared" si="933"/>
        <v>761000</v>
      </c>
      <c r="AG68" s="39">
        <f t="shared" si="714"/>
        <v>-181125</v>
      </c>
      <c r="AH68" s="39" t="str">
        <f>IF(AH66="","",AH67+AH66)</f>
        <v/>
      </c>
      <c r="AI68" s="39">
        <f t="shared" ref="AI68:AJ68" si="934">AI67+AI66</f>
        <v>542675</v>
      </c>
      <c r="AJ68" s="39">
        <f t="shared" si="934"/>
        <v>723800</v>
      </c>
      <c r="AK68" s="39">
        <f t="shared" si="716"/>
        <v>-181125</v>
      </c>
      <c r="AL68" s="39" t="str">
        <f>IF(AL66="","",AL67+AL66)</f>
        <v/>
      </c>
      <c r="AM68" s="39">
        <f t="shared" ref="AM68:AN68" si="935">AM67+AM66</f>
        <v>503475</v>
      </c>
      <c r="AN68" s="39">
        <f t="shared" si="935"/>
        <v>684600</v>
      </c>
      <c r="AO68" s="39">
        <f t="shared" si="718"/>
        <v>-181125</v>
      </c>
      <c r="AP68" s="39" t="str">
        <f>IF(AP66="","",AP67+AP66)</f>
        <v/>
      </c>
      <c r="AQ68" s="39">
        <f t="shared" ref="AQ68:AR68" si="936">AQ67+AQ66</f>
        <v>478275</v>
      </c>
      <c r="AR68" s="39">
        <f t="shared" si="936"/>
        <v>659400</v>
      </c>
      <c r="AS68" s="39">
        <f t="shared" si="720"/>
        <v>-181125</v>
      </c>
      <c r="AT68" s="39" t="str">
        <f>IF(AT66="","",AT67+AT66)</f>
        <v/>
      </c>
      <c r="AU68" s="39">
        <f t="shared" ref="AU68:AV68" si="937">AU67+AU66</f>
        <v>443075</v>
      </c>
      <c r="AV68" s="39">
        <f t="shared" si="937"/>
        <v>624200</v>
      </c>
      <c r="AW68" s="39">
        <f t="shared" si="722"/>
        <v>-181125</v>
      </c>
      <c r="AX68" s="39" t="str">
        <f>IF(AX66="","",AX67+AX66)</f>
        <v/>
      </c>
      <c r="AY68" s="39">
        <f t="shared" ref="AY68:AZ68" si="938">AY67+AY66</f>
        <v>402875</v>
      </c>
      <c r="AZ68" s="39">
        <f t="shared" si="938"/>
        <v>584000</v>
      </c>
      <c r="BA68" s="39">
        <f t="shared" si="724"/>
        <v>-181125</v>
      </c>
      <c r="BB68" s="39" t="str">
        <f>IF(BB66="","",BB67+BB66)</f>
        <v/>
      </c>
      <c r="BC68" s="39">
        <f t="shared" ref="BC68:BD68" si="939">BC67+BC66</f>
        <v>370675</v>
      </c>
      <c r="BD68" s="39">
        <f t="shared" si="939"/>
        <v>551800</v>
      </c>
      <c r="BE68" s="39">
        <f t="shared" si="726"/>
        <v>-181125</v>
      </c>
      <c r="BF68" s="39" t="str">
        <f>IF(BF66="","",BF67+BF66)</f>
        <v/>
      </c>
      <c r="BG68" s="39">
        <f t="shared" ref="BG68:BH68" si="940">BG67+BG66</f>
        <v>347475</v>
      </c>
      <c r="BH68" s="39">
        <f t="shared" si="940"/>
        <v>528600</v>
      </c>
      <c r="BI68" s="39">
        <f t="shared" si="728"/>
        <v>-181125</v>
      </c>
      <c r="BJ68" s="39" t="str">
        <f>IF(BJ66="","",BJ67+BJ66)</f>
        <v/>
      </c>
      <c r="BK68" s="39">
        <f t="shared" ref="BK68:BL68" si="941">BK67+BK66</f>
        <v>314275</v>
      </c>
      <c r="BL68" s="39">
        <f t="shared" si="941"/>
        <v>495400</v>
      </c>
      <c r="BM68" s="39">
        <f t="shared" si="730"/>
        <v>-181125</v>
      </c>
      <c r="BN68" s="39" t="str">
        <f>IF(BN66="","",BN67+BN66)</f>
        <v/>
      </c>
      <c r="BO68" s="39">
        <f t="shared" ref="BO68:BP68" si="942">BO67+BO66</f>
        <v>281075</v>
      </c>
      <c r="BP68" s="39">
        <f t="shared" si="942"/>
        <v>462200</v>
      </c>
      <c r="BQ68" s="39">
        <f t="shared" si="732"/>
        <v>-181125</v>
      </c>
      <c r="BR68" s="39" t="str">
        <f>IF(BR66="","",BR67+BR66)</f>
        <v/>
      </c>
      <c r="BS68" s="39">
        <f t="shared" ref="BS68:BT68" si="943">BS67+BS66</f>
        <v>275875</v>
      </c>
      <c r="BT68" s="39">
        <f t="shared" si="943"/>
        <v>457000</v>
      </c>
      <c r="BU68" s="39">
        <f t="shared" si="734"/>
        <v>-181125</v>
      </c>
      <c r="BV68" s="39" t="str">
        <f>IF(BV66="","",BV67+BV66)</f>
        <v/>
      </c>
      <c r="BW68" s="39">
        <f t="shared" ref="BW68:BX68" si="944">BW67+BW66</f>
        <v>249675</v>
      </c>
      <c r="BX68" s="39">
        <f t="shared" si="944"/>
        <v>430800</v>
      </c>
      <c r="BY68" s="39">
        <f t="shared" si="736"/>
        <v>-181125</v>
      </c>
      <c r="BZ68" s="39" t="str">
        <f>IF(BZ66="","",BZ67+BZ66)</f>
        <v/>
      </c>
      <c r="CA68" s="39">
        <f t="shared" ref="CA68:CB68" si="945">CA67+CA66</f>
        <v>223475</v>
      </c>
      <c r="CB68" s="39">
        <f t="shared" si="945"/>
        <v>404600</v>
      </c>
      <c r="CC68" s="39">
        <f t="shared" si="738"/>
        <v>-181125</v>
      </c>
      <c r="CD68" s="39" t="str">
        <f>IF(CD66="","",CD67+CD66)</f>
        <v/>
      </c>
      <c r="CE68" s="39">
        <f t="shared" ref="CE68:CF68" si="946">CE67+CE66</f>
        <v>207275</v>
      </c>
      <c r="CF68" s="39">
        <f t="shared" si="946"/>
        <v>388400</v>
      </c>
      <c r="CG68" s="39">
        <f t="shared" si="740"/>
        <v>-181125</v>
      </c>
      <c r="CH68" s="39" t="str">
        <f>IF(CH66="","",CH67+CH66)</f>
        <v/>
      </c>
      <c r="CI68" s="39">
        <f t="shared" ref="CI68:CJ68" si="947">CI67+CI66</f>
        <v>189075</v>
      </c>
      <c r="CJ68" s="39">
        <f t="shared" si="947"/>
        <v>370200</v>
      </c>
      <c r="CK68" s="39">
        <f t="shared" si="742"/>
        <v>-181125</v>
      </c>
      <c r="CL68" s="39" t="str">
        <f>IF(CL66="","",CL67+CL66)</f>
        <v/>
      </c>
      <c r="CM68" s="39">
        <f t="shared" ref="CM68:CN68" si="948">CM67+CM66</f>
        <v>184875</v>
      </c>
      <c r="CN68" s="39">
        <f t="shared" si="948"/>
        <v>366000</v>
      </c>
      <c r="CO68" s="39">
        <f t="shared" si="744"/>
        <v>-181125</v>
      </c>
      <c r="CP68" s="39" t="str">
        <f>IF(CP66="","",CP67+CP66)</f>
        <v/>
      </c>
      <c r="CQ68" s="39">
        <f t="shared" ref="CQ68:CR68" si="949">CQ67+CQ66</f>
        <v>170675</v>
      </c>
      <c r="CR68" s="39">
        <f t="shared" si="949"/>
        <v>351800</v>
      </c>
      <c r="CS68" s="39">
        <f t="shared" si="746"/>
        <v>-181125</v>
      </c>
      <c r="CT68" s="39" t="str">
        <f>IF(CT66="","",CT67+CT66)</f>
        <v/>
      </c>
      <c r="CU68" s="39">
        <f t="shared" ref="CU68:CV68" si="950">CU67+CU66</f>
        <v>151475</v>
      </c>
      <c r="CV68" s="39">
        <f t="shared" si="950"/>
        <v>332600</v>
      </c>
      <c r="CW68" s="39">
        <f t="shared" si="748"/>
        <v>-181125</v>
      </c>
      <c r="CX68" s="39" t="str">
        <f>IF(CX66="","",CX67+CX66)</f>
        <v/>
      </c>
      <c r="CY68" s="39">
        <f t="shared" ref="CY68:CZ68" si="951">CY67+CY66</f>
        <v>140275</v>
      </c>
      <c r="CZ68" s="39">
        <f t="shared" si="951"/>
        <v>321400</v>
      </c>
      <c r="DA68" s="39">
        <f t="shared" si="750"/>
        <v>-181125</v>
      </c>
      <c r="DB68" s="39" t="str">
        <f>IF(DB66="","",DB67+DB66)</f>
        <v/>
      </c>
      <c r="DC68" s="39">
        <f t="shared" ref="DC68:DD68" si="952">DC67+DC66</f>
        <v>138075</v>
      </c>
      <c r="DD68" s="39">
        <f t="shared" si="952"/>
        <v>319200</v>
      </c>
      <c r="DE68" s="39">
        <f t="shared" si="752"/>
        <v>-181125</v>
      </c>
      <c r="DF68" s="39" t="str">
        <f>IF(DF66="","",DF67+DF66)</f>
        <v/>
      </c>
      <c r="DG68" s="39">
        <f t="shared" ref="DG68:DH68" si="953">DG67+DG66</f>
        <v>125875</v>
      </c>
      <c r="DH68" s="39">
        <f t="shared" si="953"/>
        <v>307000</v>
      </c>
      <c r="DI68" s="39">
        <f t="shared" si="754"/>
        <v>-181125</v>
      </c>
      <c r="DJ68" s="39" t="str">
        <f>IF(DJ66="","",DJ67+DJ66)</f>
        <v/>
      </c>
      <c r="DK68" s="39">
        <f t="shared" ref="DK68:DL68" si="954">DK67+DK66</f>
        <v>113675</v>
      </c>
      <c r="DL68" s="39">
        <f t="shared" si="954"/>
        <v>294800</v>
      </c>
      <c r="DM68" s="39">
        <f t="shared" si="756"/>
        <v>-181125</v>
      </c>
      <c r="DN68" s="39" t="str">
        <f>IF(DN66="","",DN67+DN66)</f>
        <v/>
      </c>
      <c r="DO68" s="39">
        <f t="shared" ref="DO68:DP68" si="955">DO67+DO66</f>
        <v>129475</v>
      </c>
      <c r="DP68" s="39">
        <f t="shared" si="955"/>
        <v>310600</v>
      </c>
      <c r="DQ68" s="39">
        <f t="shared" si="758"/>
        <v>-181125</v>
      </c>
      <c r="DR68" s="39" t="str">
        <f>IF(DR66="","",DR67+DR66)</f>
        <v/>
      </c>
      <c r="DS68" s="39">
        <f t="shared" ref="DS68:DT68" si="956">DS67+DS66</f>
        <v>124275</v>
      </c>
      <c r="DT68" s="39">
        <f t="shared" si="956"/>
        <v>305400</v>
      </c>
      <c r="DU68" s="39">
        <f t="shared" si="760"/>
        <v>-181125</v>
      </c>
      <c r="DV68" s="39" t="str">
        <f>IF(DV66="","",DV67+DV66)</f>
        <v/>
      </c>
      <c r="DW68" s="39">
        <f t="shared" ref="DW68:DX68" si="957">DW67+DW66</f>
        <v>119075</v>
      </c>
      <c r="DX68" s="39">
        <f t="shared" si="957"/>
        <v>300200</v>
      </c>
      <c r="DY68" s="39">
        <f t="shared" si="762"/>
        <v>-181125</v>
      </c>
      <c r="DZ68" s="39" t="str">
        <f>IF(DZ66="","",DZ67+DZ66)</f>
        <v/>
      </c>
      <c r="EA68" s="39">
        <f t="shared" ref="EA68:EB68" si="958">EA67+EA66</f>
        <v>123875</v>
      </c>
      <c r="EB68" s="39">
        <f t="shared" si="958"/>
        <v>305000</v>
      </c>
      <c r="EC68" s="39">
        <f t="shared" si="764"/>
        <v>-181125</v>
      </c>
      <c r="ED68" s="39" t="str">
        <f>IF(ED66="","",ED67+ED66)</f>
        <v/>
      </c>
      <c r="EE68" s="39">
        <f t="shared" ref="EE68:EF68" si="959">EE67+EE66</f>
        <v>142675</v>
      </c>
      <c r="EF68" s="39">
        <f t="shared" si="959"/>
        <v>307800</v>
      </c>
      <c r="EG68" s="39">
        <f t="shared" si="766"/>
        <v>-165125</v>
      </c>
      <c r="EH68" s="39" t="str">
        <f>IF(EH66="","",EH67+EH66)</f>
        <v/>
      </c>
      <c r="EI68" s="39">
        <f t="shared" ref="EI68:EJ68" si="960">EI67+EI66</f>
        <v>197475</v>
      </c>
      <c r="EJ68" s="39">
        <f t="shared" si="960"/>
        <v>324600</v>
      </c>
      <c r="EK68" s="39">
        <f t="shared" si="768"/>
        <v>-127125</v>
      </c>
      <c r="EL68" s="39">
        <f>IF(EL66="","",EL67+EL66)</f>
        <v>182275</v>
      </c>
      <c r="EM68" s="39">
        <f t="shared" ref="EM68:EN68" si="961">EM67+EM66</f>
        <v>182275</v>
      </c>
      <c r="EN68" s="39">
        <f t="shared" si="961"/>
        <v>281400</v>
      </c>
      <c r="EO68" s="39">
        <f t="shared" si="770"/>
        <v>-99125</v>
      </c>
      <c r="EP68" s="39">
        <f>IF(EP66="","",EP67+EP66)</f>
        <v>207659</v>
      </c>
      <c r="EQ68" s="39">
        <f t="shared" ref="EQ68:ER68" si="962">EQ67+EQ66</f>
        <v>207659</v>
      </c>
      <c r="ER68" s="39">
        <f t="shared" si="962"/>
        <v>243200</v>
      </c>
      <c r="ES68" s="39">
        <f t="shared" si="772"/>
        <v>-35541</v>
      </c>
    </row>
    <row r="69" ht="18.0" customHeight="1">
      <c r="A69" s="2" t="s">
        <v>71</v>
      </c>
      <c r="B69" s="30">
        <f t="shared" si="963"/>
        <v>50000</v>
      </c>
      <c r="C69" s="31">
        <f t="shared" ref="C69:D69" si="964">G69</f>
        <v>50000</v>
      </c>
      <c r="D69" s="32">
        <f t="shared" si="964"/>
        <v>50000</v>
      </c>
      <c r="E69" s="33">
        <f t="shared" si="700"/>
        <v>0</v>
      </c>
      <c r="F69" s="34"/>
      <c r="G69" s="31">
        <f>IF(F$98=1,F69,H69)</f>
        <v>50000</v>
      </c>
      <c r="H69" s="35">
        <v>50000.0</v>
      </c>
      <c r="I69" s="33">
        <f t="shared" si="702"/>
        <v>0</v>
      </c>
      <c r="J69" s="34"/>
      <c r="K69" s="31">
        <f>IF(J$98=1,J69,L69)</f>
        <v>50000</v>
      </c>
      <c r="L69" s="35">
        <v>50000.0</v>
      </c>
      <c r="M69" s="33">
        <f t="shared" si="704"/>
        <v>0</v>
      </c>
      <c r="N69" s="34"/>
      <c r="O69" s="31">
        <f>IF(N$98=1,N69,P69)</f>
        <v>50000</v>
      </c>
      <c r="P69" s="35">
        <v>50000.0</v>
      </c>
      <c r="Q69" s="33">
        <f t="shared" si="706"/>
        <v>0</v>
      </c>
      <c r="R69" s="34"/>
      <c r="S69" s="31">
        <f>IF(R$98=1,R69,T69)</f>
        <v>50000</v>
      </c>
      <c r="T69" s="35">
        <v>50000.0</v>
      </c>
      <c r="U69" s="33">
        <f t="shared" si="708"/>
        <v>0</v>
      </c>
      <c r="V69" s="34"/>
      <c r="W69" s="31">
        <f>IF(V$98=1,V69,X69)</f>
        <v>50000</v>
      </c>
      <c r="X69" s="35">
        <v>50000.0</v>
      </c>
      <c r="Y69" s="33">
        <f t="shared" si="710"/>
        <v>0</v>
      </c>
      <c r="Z69" s="34"/>
      <c r="AA69" s="31">
        <f>IF(Z$98=1,Z69,AB69)</f>
        <v>50000</v>
      </c>
      <c r="AB69" s="35">
        <v>50000.0</v>
      </c>
      <c r="AC69" s="33">
        <f t="shared" si="712"/>
        <v>0</v>
      </c>
      <c r="AD69" s="34"/>
      <c r="AE69" s="31">
        <f>IF(AD$98=1,AD69,AF69)</f>
        <v>50000</v>
      </c>
      <c r="AF69" s="35">
        <v>50000.0</v>
      </c>
      <c r="AG69" s="33">
        <f t="shared" si="714"/>
        <v>0</v>
      </c>
      <c r="AH69" s="34"/>
      <c r="AI69" s="31">
        <f>IF(AH$98=1,AH69,AJ69)</f>
        <v>50000</v>
      </c>
      <c r="AJ69" s="35">
        <v>50000.0</v>
      </c>
      <c r="AK69" s="33">
        <f t="shared" si="716"/>
        <v>0</v>
      </c>
      <c r="AL69" s="34"/>
      <c r="AM69" s="31">
        <f>IF(AL$98=1,AL69,AN69)</f>
        <v>50000</v>
      </c>
      <c r="AN69" s="35">
        <v>50000.0</v>
      </c>
      <c r="AO69" s="33">
        <f t="shared" si="718"/>
        <v>0</v>
      </c>
      <c r="AP69" s="34"/>
      <c r="AQ69" s="31">
        <f>IF(AP$98=1,AP69,AR69)</f>
        <v>50000</v>
      </c>
      <c r="AR69" s="35">
        <v>50000.0</v>
      </c>
      <c r="AS69" s="33">
        <f t="shared" si="720"/>
        <v>0</v>
      </c>
      <c r="AT69" s="34"/>
      <c r="AU69" s="31">
        <f>IF(AT$98=1,AT69,AV69)</f>
        <v>50000</v>
      </c>
      <c r="AV69" s="35">
        <v>50000.0</v>
      </c>
      <c r="AW69" s="33">
        <f t="shared" si="722"/>
        <v>0</v>
      </c>
      <c r="AX69" s="34"/>
      <c r="AY69" s="31">
        <f>IF(AX$98=1,AX69,AZ69)</f>
        <v>50000</v>
      </c>
      <c r="AZ69" s="35">
        <v>50000.0</v>
      </c>
      <c r="BA69" s="33">
        <f t="shared" si="724"/>
        <v>0</v>
      </c>
      <c r="BB69" s="34"/>
      <c r="BC69" s="31">
        <f>IF(BB$98=1,BB69,BD69)</f>
        <v>50000</v>
      </c>
      <c r="BD69" s="35">
        <v>50000.0</v>
      </c>
      <c r="BE69" s="33">
        <f t="shared" si="726"/>
        <v>0</v>
      </c>
      <c r="BF69" s="34"/>
      <c r="BG69" s="31">
        <f>IF(BF$98=1,BF69,BH69)</f>
        <v>50000</v>
      </c>
      <c r="BH69" s="35">
        <v>50000.0</v>
      </c>
      <c r="BI69" s="33">
        <f t="shared" si="728"/>
        <v>0</v>
      </c>
      <c r="BJ69" s="34"/>
      <c r="BK69" s="31">
        <f>IF(BJ$98=1,BJ69,BL69)</f>
        <v>50000</v>
      </c>
      <c r="BL69" s="35">
        <v>50000.0</v>
      </c>
      <c r="BM69" s="33">
        <f t="shared" si="730"/>
        <v>0</v>
      </c>
      <c r="BN69" s="34"/>
      <c r="BO69" s="31">
        <f>IF(BN$98=1,BN69,BP69)</f>
        <v>50000</v>
      </c>
      <c r="BP69" s="35">
        <v>50000.0</v>
      </c>
      <c r="BQ69" s="33">
        <f t="shared" si="732"/>
        <v>0</v>
      </c>
      <c r="BR69" s="34"/>
      <c r="BS69" s="31">
        <f>IF(BR$98=1,BR69,BT69)</f>
        <v>50000</v>
      </c>
      <c r="BT69" s="35">
        <v>50000.0</v>
      </c>
      <c r="BU69" s="33">
        <f t="shared" si="734"/>
        <v>0</v>
      </c>
      <c r="BV69" s="34"/>
      <c r="BW69" s="31">
        <f>IF(BV$98=1,BV69,BX69)</f>
        <v>50000</v>
      </c>
      <c r="BX69" s="35">
        <v>50000.0</v>
      </c>
      <c r="BY69" s="33">
        <f t="shared" si="736"/>
        <v>0</v>
      </c>
      <c r="BZ69" s="34"/>
      <c r="CA69" s="31">
        <f>IF(BZ$98=1,BZ69,CB69)</f>
        <v>50000</v>
      </c>
      <c r="CB69" s="35">
        <v>50000.0</v>
      </c>
      <c r="CC69" s="33">
        <f t="shared" si="738"/>
        <v>0</v>
      </c>
      <c r="CD69" s="34"/>
      <c r="CE69" s="31">
        <f>IF(CD$98=1,CD69,CF69)</f>
        <v>50000</v>
      </c>
      <c r="CF69" s="35">
        <v>50000.0</v>
      </c>
      <c r="CG69" s="33">
        <f t="shared" si="740"/>
        <v>0</v>
      </c>
      <c r="CH69" s="34"/>
      <c r="CI69" s="31">
        <f>IF(CH$98=1,CH69,CJ69)</f>
        <v>50000</v>
      </c>
      <c r="CJ69" s="35">
        <v>50000.0</v>
      </c>
      <c r="CK69" s="33">
        <f t="shared" si="742"/>
        <v>0</v>
      </c>
      <c r="CL69" s="34"/>
      <c r="CM69" s="31">
        <f>IF(CL$98=1,CL69,CN69)</f>
        <v>50000</v>
      </c>
      <c r="CN69" s="35">
        <v>50000.0</v>
      </c>
      <c r="CO69" s="33">
        <f t="shared" si="744"/>
        <v>0</v>
      </c>
      <c r="CP69" s="34"/>
      <c r="CQ69" s="31">
        <f>IF(CP$98=1,CP69,CR69)</f>
        <v>50000</v>
      </c>
      <c r="CR69" s="35">
        <v>50000.0</v>
      </c>
      <c r="CS69" s="33">
        <f t="shared" si="746"/>
        <v>0</v>
      </c>
      <c r="CT69" s="34"/>
      <c r="CU69" s="31">
        <f>IF(CT$98=1,CT69,CV69)</f>
        <v>50000</v>
      </c>
      <c r="CV69" s="35">
        <v>50000.0</v>
      </c>
      <c r="CW69" s="33">
        <f t="shared" si="748"/>
        <v>0</v>
      </c>
      <c r="CX69" s="34"/>
      <c r="CY69" s="31">
        <f>IF(CX$98=1,CX69,CZ69)</f>
        <v>50000</v>
      </c>
      <c r="CZ69" s="35">
        <v>50000.0</v>
      </c>
      <c r="DA69" s="33">
        <f t="shared" si="750"/>
        <v>0</v>
      </c>
      <c r="DB69" s="34"/>
      <c r="DC69" s="31">
        <f>IF(DB$98=1,DB69,DD69)</f>
        <v>50000</v>
      </c>
      <c r="DD69" s="35">
        <v>50000.0</v>
      </c>
      <c r="DE69" s="33">
        <f t="shared" si="752"/>
        <v>0</v>
      </c>
      <c r="DF69" s="34"/>
      <c r="DG69" s="31">
        <f>IF(DF$98=1,DF69,DH69)</f>
        <v>50000</v>
      </c>
      <c r="DH69" s="35">
        <v>50000.0</v>
      </c>
      <c r="DI69" s="33">
        <f t="shared" si="754"/>
        <v>0</v>
      </c>
      <c r="DJ69" s="34"/>
      <c r="DK69" s="31">
        <f>IF(DJ$98=1,DJ69,DL69)</f>
        <v>50000</v>
      </c>
      <c r="DL69" s="35">
        <v>50000.0</v>
      </c>
      <c r="DM69" s="33">
        <f t="shared" si="756"/>
        <v>0</v>
      </c>
      <c r="DN69" s="34"/>
      <c r="DO69" s="31">
        <f>IF(DN$98=1,DN69,DP69)</f>
        <v>50000</v>
      </c>
      <c r="DP69" s="35">
        <v>50000.0</v>
      </c>
      <c r="DQ69" s="33">
        <f t="shared" si="758"/>
        <v>0</v>
      </c>
      <c r="DR69" s="34"/>
      <c r="DS69" s="31">
        <f>IF(DR$98=1,DR69,DT69)</f>
        <v>50000</v>
      </c>
      <c r="DT69" s="35">
        <v>50000.0</v>
      </c>
      <c r="DU69" s="33">
        <f t="shared" si="760"/>
        <v>0</v>
      </c>
      <c r="DV69" s="34"/>
      <c r="DW69" s="31">
        <f>IF(DV$98=1,DV69,DX69)</f>
        <v>50000</v>
      </c>
      <c r="DX69" s="35">
        <v>50000.0</v>
      </c>
      <c r="DY69" s="33">
        <f t="shared" si="762"/>
        <v>0</v>
      </c>
      <c r="DZ69" s="34"/>
      <c r="EA69" s="31">
        <f>IF(DZ$98=1,DZ69,EB69)</f>
        <v>50000</v>
      </c>
      <c r="EB69" s="35">
        <v>50000.0</v>
      </c>
      <c r="EC69" s="33">
        <f t="shared" si="764"/>
        <v>0</v>
      </c>
      <c r="ED69" s="34"/>
      <c r="EE69" s="31">
        <f>IF(ED$98=1,ED69,EF69)</f>
        <v>50000</v>
      </c>
      <c r="EF69" s="35">
        <v>50000.0</v>
      </c>
      <c r="EG69" s="33">
        <f t="shared" si="766"/>
        <v>0</v>
      </c>
      <c r="EH69" s="34"/>
      <c r="EI69" s="31">
        <f>IF(EH$98=1,EH69,EJ69)</f>
        <v>50000</v>
      </c>
      <c r="EJ69" s="35">
        <v>50000.0</v>
      </c>
      <c r="EK69" s="33">
        <f t="shared" si="768"/>
        <v>0</v>
      </c>
      <c r="EL69" s="34">
        <v>50000.0</v>
      </c>
      <c r="EM69" s="31">
        <f>IF(EL$98=1,EL69,EN69)</f>
        <v>50000</v>
      </c>
      <c r="EN69" s="35">
        <v>50000.0</v>
      </c>
      <c r="EO69" s="33">
        <f t="shared" si="770"/>
        <v>0</v>
      </c>
      <c r="EP69" s="34">
        <v>50000.0</v>
      </c>
      <c r="EQ69" s="31">
        <f>IF(EP$98=1,EP69,ER69)</f>
        <v>50000</v>
      </c>
      <c r="ER69" s="35">
        <v>50000.0</v>
      </c>
      <c r="ES69" s="33">
        <f t="shared" si="772"/>
        <v>0</v>
      </c>
    </row>
    <row r="70" ht="18.0" customHeight="1">
      <c r="A70" s="36" t="s">
        <v>72</v>
      </c>
      <c r="B70" s="39">
        <f t="shared" si="963"/>
        <v>132275</v>
      </c>
      <c r="C70" s="39">
        <f t="shared" ref="C70:D70" si="965">G70</f>
        <v>803075</v>
      </c>
      <c r="D70" s="39">
        <f t="shared" si="965"/>
        <v>984200</v>
      </c>
      <c r="E70" s="39">
        <f t="shared" si="700"/>
        <v>-181125</v>
      </c>
      <c r="F70" s="39" t="str">
        <f t="shared" ref="F70:H70" si="966">IF(F68="","",F68-F69)</f>
        <v/>
      </c>
      <c r="G70" s="39">
        <f t="shared" si="966"/>
        <v>803075</v>
      </c>
      <c r="H70" s="39">
        <f t="shared" si="966"/>
        <v>984200</v>
      </c>
      <c r="I70" s="39">
        <f t="shared" si="702"/>
        <v>-181125</v>
      </c>
      <c r="J70" s="39" t="str">
        <f t="shared" ref="J70:L70" si="967">IF(J68="","",J68-J69)</f>
        <v/>
      </c>
      <c r="K70" s="39">
        <f t="shared" si="967"/>
        <v>758875</v>
      </c>
      <c r="L70" s="39">
        <f t="shared" si="967"/>
        <v>940000</v>
      </c>
      <c r="M70" s="39">
        <f t="shared" si="704"/>
        <v>-181125</v>
      </c>
      <c r="N70" s="39" t="str">
        <f t="shared" ref="N70:P70" si="968">IF(N68="","",N68-N69)</f>
        <v/>
      </c>
      <c r="O70" s="39">
        <f t="shared" si="968"/>
        <v>704675</v>
      </c>
      <c r="P70" s="39">
        <f t="shared" si="968"/>
        <v>885800</v>
      </c>
      <c r="Q70" s="39">
        <f t="shared" si="706"/>
        <v>-181125</v>
      </c>
      <c r="R70" s="39" t="str">
        <f t="shared" ref="R70:T70" si="969">IF(R68="","",R68-R69)</f>
        <v/>
      </c>
      <c r="S70" s="39">
        <f t="shared" si="969"/>
        <v>650475</v>
      </c>
      <c r="T70" s="39">
        <f t="shared" si="969"/>
        <v>831600</v>
      </c>
      <c r="U70" s="39">
        <f t="shared" si="708"/>
        <v>-181125</v>
      </c>
      <c r="V70" s="39" t="str">
        <f t="shared" ref="V70:X70" si="970">IF(V68="","",V68-V69)</f>
        <v/>
      </c>
      <c r="W70" s="39">
        <f t="shared" si="970"/>
        <v>624275</v>
      </c>
      <c r="X70" s="39">
        <f t="shared" si="970"/>
        <v>805400</v>
      </c>
      <c r="Y70" s="39">
        <f t="shared" si="710"/>
        <v>-181125</v>
      </c>
      <c r="Z70" s="39" t="str">
        <f t="shared" ref="Z70:AB70" si="971">IF(Z68="","",Z68-Z69)</f>
        <v/>
      </c>
      <c r="AA70" s="39">
        <f t="shared" si="971"/>
        <v>577075</v>
      </c>
      <c r="AB70" s="39">
        <f t="shared" si="971"/>
        <v>758200</v>
      </c>
      <c r="AC70" s="39">
        <f t="shared" si="712"/>
        <v>-181125</v>
      </c>
      <c r="AD70" s="39" t="str">
        <f t="shared" ref="AD70:AF70" si="972">IF(AD68="","",AD68-AD69)</f>
        <v/>
      </c>
      <c r="AE70" s="39">
        <f t="shared" si="972"/>
        <v>529875</v>
      </c>
      <c r="AF70" s="39">
        <f t="shared" si="972"/>
        <v>711000</v>
      </c>
      <c r="AG70" s="39">
        <f t="shared" si="714"/>
        <v>-181125</v>
      </c>
      <c r="AH70" s="39" t="str">
        <f t="shared" ref="AH70:AJ70" si="973">IF(AH68="","",AH68-AH69)</f>
        <v/>
      </c>
      <c r="AI70" s="39">
        <f t="shared" si="973"/>
        <v>492675</v>
      </c>
      <c r="AJ70" s="39">
        <f t="shared" si="973"/>
        <v>673800</v>
      </c>
      <c r="AK70" s="39">
        <f t="shared" si="716"/>
        <v>-181125</v>
      </c>
      <c r="AL70" s="39" t="str">
        <f t="shared" ref="AL70:AN70" si="974">IF(AL68="","",AL68-AL69)</f>
        <v/>
      </c>
      <c r="AM70" s="39">
        <f t="shared" si="974"/>
        <v>453475</v>
      </c>
      <c r="AN70" s="39">
        <f t="shared" si="974"/>
        <v>634600</v>
      </c>
      <c r="AO70" s="39">
        <f t="shared" si="718"/>
        <v>-181125</v>
      </c>
      <c r="AP70" s="39" t="str">
        <f t="shared" ref="AP70:AR70" si="975">IF(AP68="","",AP68-AP69)</f>
        <v/>
      </c>
      <c r="AQ70" s="39">
        <f t="shared" si="975"/>
        <v>428275</v>
      </c>
      <c r="AR70" s="39">
        <f t="shared" si="975"/>
        <v>609400</v>
      </c>
      <c r="AS70" s="39">
        <f t="shared" si="720"/>
        <v>-181125</v>
      </c>
      <c r="AT70" s="39" t="str">
        <f t="shared" ref="AT70:AV70" si="976">IF(AT68="","",AT68-AT69)</f>
        <v/>
      </c>
      <c r="AU70" s="39">
        <f t="shared" si="976"/>
        <v>393075</v>
      </c>
      <c r="AV70" s="39">
        <f t="shared" si="976"/>
        <v>574200</v>
      </c>
      <c r="AW70" s="39">
        <f t="shared" si="722"/>
        <v>-181125</v>
      </c>
      <c r="AX70" s="39" t="str">
        <f t="shared" ref="AX70:AZ70" si="977">IF(AX68="","",AX68-AX69)</f>
        <v/>
      </c>
      <c r="AY70" s="39">
        <f t="shared" si="977"/>
        <v>352875</v>
      </c>
      <c r="AZ70" s="39">
        <f t="shared" si="977"/>
        <v>534000</v>
      </c>
      <c r="BA70" s="39">
        <f t="shared" si="724"/>
        <v>-181125</v>
      </c>
      <c r="BB70" s="39" t="str">
        <f t="shared" ref="BB70:BD70" si="978">IF(BB68="","",BB68-BB69)</f>
        <v/>
      </c>
      <c r="BC70" s="39">
        <f t="shared" si="978"/>
        <v>320675</v>
      </c>
      <c r="BD70" s="39">
        <f t="shared" si="978"/>
        <v>501800</v>
      </c>
      <c r="BE70" s="39">
        <f t="shared" si="726"/>
        <v>-181125</v>
      </c>
      <c r="BF70" s="39" t="str">
        <f t="shared" ref="BF70:BH70" si="979">IF(BF68="","",BF68-BF69)</f>
        <v/>
      </c>
      <c r="BG70" s="39">
        <f t="shared" si="979"/>
        <v>297475</v>
      </c>
      <c r="BH70" s="39">
        <f t="shared" si="979"/>
        <v>478600</v>
      </c>
      <c r="BI70" s="39">
        <f t="shared" si="728"/>
        <v>-181125</v>
      </c>
      <c r="BJ70" s="39" t="str">
        <f t="shared" ref="BJ70:BL70" si="980">IF(BJ68="","",BJ68-BJ69)</f>
        <v/>
      </c>
      <c r="BK70" s="39">
        <f t="shared" si="980"/>
        <v>264275</v>
      </c>
      <c r="BL70" s="39">
        <f t="shared" si="980"/>
        <v>445400</v>
      </c>
      <c r="BM70" s="39">
        <f t="shared" si="730"/>
        <v>-181125</v>
      </c>
      <c r="BN70" s="39" t="str">
        <f t="shared" ref="BN70:BP70" si="981">IF(BN68="","",BN68-BN69)</f>
        <v/>
      </c>
      <c r="BO70" s="39">
        <f t="shared" si="981"/>
        <v>231075</v>
      </c>
      <c r="BP70" s="39">
        <f t="shared" si="981"/>
        <v>412200</v>
      </c>
      <c r="BQ70" s="39">
        <f t="shared" si="732"/>
        <v>-181125</v>
      </c>
      <c r="BR70" s="39" t="str">
        <f t="shared" ref="BR70:BT70" si="982">IF(BR68="","",BR68-BR69)</f>
        <v/>
      </c>
      <c r="BS70" s="39">
        <f t="shared" si="982"/>
        <v>225875</v>
      </c>
      <c r="BT70" s="39">
        <f t="shared" si="982"/>
        <v>407000</v>
      </c>
      <c r="BU70" s="39">
        <f t="shared" si="734"/>
        <v>-181125</v>
      </c>
      <c r="BV70" s="39" t="str">
        <f t="shared" ref="BV70:BX70" si="983">IF(BV68="","",BV68-BV69)</f>
        <v/>
      </c>
      <c r="BW70" s="39">
        <f t="shared" si="983"/>
        <v>199675</v>
      </c>
      <c r="BX70" s="39">
        <f t="shared" si="983"/>
        <v>380800</v>
      </c>
      <c r="BY70" s="39">
        <f t="shared" si="736"/>
        <v>-181125</v>
      </c>
      <c r="BZ70" s="39" t="str">
        <f t="shared" ref="BZ70:CB70" si="984">IF(BZ68="","",BZ68-BZ69)</f>
        <v/>
      </c>
      <c r="CA70" s="39">
        <f t="shared" si="984"/>
        <v>173475</v>
      </c>
      <c r="CB70" s="39">
        <f t="shared" si="984"/>
        <v>354600</v>
      </c>
      <c r="CC70" s="39">
        <f t="shared" si="738"/>
        <v>-181125</v>
      </c>
      <c r="CD70" s="39" t="str">
        <f t="shared" ref="CD70:CF70" si="985">IF(CD68="","",CD68-CD69)</f>
        <v/>
      </c>
      <c r="CE70" s="39">
        <f t="shared" si="985"/>
        <v>157275</v>
      </c>
      <c r="CF70" s="39">
        <f t="shared" si="985"/>
        <v>338400</v>
      </c>
      <c r="CG70" s="39">
        <f t="shared" si="740"/>
        <v>-181125</v>
      </c>
      <c r="CH70" s="39" t="str">
        <f t="shared" ref="CH70:CJ70" si="986">IF(CH68="","",CH68-CH69)</f>
        <v/>
      </c>
      <c r="CI70" s="39">
        <f t="shared" si="986"/>
        <v>139075</v>
      </c>
      <c r="CJ70" s="39">
        <f t="shared" si="986"/>
        <v>320200</v>
      </c>
      <c r="CK70" s="39">
        <f t="shared" si="742"/>
        <v>-181125</v>
      </c>
      <c r="CL70" s="39" t="str">
        <f t="shared" ref="CL70:CN70" si="987">IF(CL68="","",CL68-CL69)</f>
        <v/>
      </c>
      <c r="CM70" s="39">
        <f t="shared" si="987"/>
        <v>134875</v>
      </c>
      <c r="CN70" s="39">
        <f t="shared" si="987"/>
        <v>316000</v>
      </c>
      <c r="CO70" s="39">
        <f t="shared" si="744"/>
        <v>-181125</v>
      </c>
      <c r="CP70" s="39" t="str">
        <f t="shared" ref="CP70:CR70" si="988">IF(CP68="","",CP68-CP69)</f>
        <v/>
      </c>
      <c r="CQ70" s="39">
        <f t="shared" si="988"/>
        <v>120675</v>
      </c>
      <c r="CR70" s="39">
        <f t="shared" si="988"/>
        <v>301800</v>
      </c>
      <c r="CS70" s="39">
        <f t="shared" si="746"/>
        <v>-181125</v>
      </c>
      <c r="CT70" s="39" t="str">
        <f t="shared" ref="CT70:CV70" si="989">IF(CT68="","",CT68-CT69)</f>
        <v/>
      </c>
      <c r="CU70" s="39">
        <f t="shared" si="989"/>
        <v>101475</v>
      </c>
      <c r="CV70" s="39">
        <f t="shared" si="989"/>
        <v>282600</v>
      </c>
      <c r="CW70" s="39">
        <f t="shared" si="748"/>
        <v>-181125</v>
      </c>
      <c r="CX70" s="39" t="str">
        <f t="shared" ref="CX70:CZ70" si="990">IF(CX68="","",CX68-CX69)</f>
        <v/>
      </c>
      <c r="CY70" s="39">
        <f t="shared" si="990"/>
        <v>90275</v>
      </c>
      <c r="CZ70" s="39">
        <f t="shared" si="990"/>
        <v>271400</v>
      </c>
      <c r="DA70" s="39">
        <f t="shared" si="750"/>
        <v>-181125</v>
      </c>
      <c r="DB70" s="39" t="str">
        <f t="shared" ref="DB70:DD70" si="991">IF(DB68="","",DB68-DB69)</f>
        <v/>
      </c>
      <c r="DC70" s="39">
        <f t="shared" si="991"/>
        <v>88075</v>
      </c>
      <c r="DD70" s="39">
        <f t="shared" si="991"/>
        <v>269200</v>
      </c>
      <c r="DE70" s="39">
        <f t="shared" si="752"/>
        <v>-181125</v>
      </c>
      <c r="DF70" s="39" t="str">
        <f t="shared" ref="DF70:DH70" si="992">IF(DF68="","",DF68-DF69)</f>
        <v/>
      </c>
      <c r="DG70" s="39">
        <f t="shared" si="992"/>
        <v>75875</v>
      </c>
      <c r="DH70" s="39">
        <f t="shared" si="992"/>
        <v>257000</v>
      </c>
      <c r="DI70" s="39">
        <f t="shared" si="754"/>
        <v>-181125</v>
      </c>
      <c r="DJ70" s="39" t="str">
        <f t="shared" ref="DJ70:DL70" si="993">IF(DJ68="","",DJ68-DJ69)</f>
        <v/>
      </c>
      <c r="DK70" s="39">
        <f t="shared" si="993"/>
        <v>63675</v>
      </c>
      <c r="DL70" s="39">
        <f t="shared" si="993"/>
        <v>244800</v>
      </c>
      <c r="DM70" s="39">
        <f t="shared" si="756"/>
        <v>-181125</v>
      </c>
      <c r="DN70" s="39" t="str">
        <f t="shared" ref="DN70:DP70" si="994">IF(DN68="","",DN68-DN69)</f>
        <v/>
      </c>
      <c r="DO70" s="39">
        <f t="shared" si="994"/>
        <v>79475</v>
      </c>
      <c r="DP70" s="39">
        <f t="shared" si="994"/>
        <v>260600</v>
      </c>
      <c r="DQ70" s="39">
        <f t="shared" si="758"/>
        <v>-181125</v>
      </c>
      <c r="DR70" s="39" t="str">
        <f t="shared" ref="DR70:DT70" si="995">IF(DR68="","",DR68-DR69)</f>
        <v/>
      </c>
      <c r="DS70" s="39">
        <f t="shared" si="995"/>
        <v>74275</v>
      </c>
      <c r="DT70" s="39">
        <f t="shared" si="995"/>
        <v>255400</v>
      </c>
      <c r="DU70" s="39">
        <f t="shared" si="760"/>
        <v>-181125</v>
      </c>
      <c r="DV70" s="39" t="str">
        <f t="shared" ref="DV70:DX70" si="996">IF(DV68="","",DV68-DV69)</f>
        <v/>
      </c>
      <c r="DW70" s="39">
        <f t="shared" si="996"/>
        <v>69075</v>
      </c>
      <c r="DX70" s="39">
        <f t="shared" si="996"/>
        <v>250200</v>
      </c>
      <c r="DY70" s="39">
        <f t="shared" si="762"/>
        <v>-181125</v>
      </c>
      <c r="DZ70" s="39" t="str">
        <f t="shared" ref="DZ70:EB70" si="997">IF(DZ68="","",DZ68-DZ69)</f>
        <v/>
      </c>
      <c r="EA70" s="39">
        <f t="shared" si="997"/>
        <v>73875</v>
      </c>
      <c r="EB70" s="39">
        <f t="shared" si="997"/>
        <v>255000</v>
      </c>
      <c r="EC70" s="39">
        <f t="shared" si="764"/>
        <v>-181125</v>
      </c>
      <c r="ED70" s="39" t="str">
        <f t="shared" ref="ED70:EF70" si="998">IF(ED68="","",ED68-ED69)</f>
        <v/>
      </c>
      <c r="EE70" s="39">
        <f t="shared" si="998"/>
        <v>92675</v>
      </c>
      <c r="EF70" s="39">
        <f t="shared" si="998"/>
        <v>257800</v>
      </c>
      <c r="EG70" s="39">
        <f t="shared" si="766"/>
        <v>-165125</v>
      </c>
      <c r="EH70" s="39" t="str">
        <f t="shared" ref="EH70:EJ70" si="999">IF(EH68="","",EH68-EH69)</f>
        <v/>
      </c>
      <c r="EI70" s="39">
        <f t="shared" si="999"/>
        <v>147475</v>
      </c>
      <c r="EJ70" s="39">
        <f t="shared" si="999"/>
        <v>274600</v>
      </c>
      <c r="EK70" s="39">
        <f t="shared" si="768"/>
        <v>-127125</v>
      </c>
      <c r="EL70" s="39">
        <f t="shared" ref="EL70:EN70" si="1000">IF(EL68="","",EL68-EL69)</f>
        <v>132275</v>
      </c>
      <c r="EM70" s="39">
        <f t="shared" si="1000"/>
        <v>132275</v>
      </c>
      <c r="EN70" s="39">
        <f t="shared" si="1000"/>
        <v>231400</v>
      </c>
      <c r="EO70" s="39">
        <f t="shared" si="770"/>
        <v>-99125</v>
      </c>
      <c r="EP70" s="39">
        <f t="shared" ref="EP70:ER70" si="1001">IF(EP68="","",EP68-EP69)</f>
        <v>157659</v>
      </c>
      <c r="EQ70" s="39">
        <f t="shared" si="1001"/>
        <v>157659</v>
      </c>
      <c r="ER70" s="39">
        <f t="shared" si="1001"/>
        <v>193200</v>
      </c>
      <c r="ES70" s="39">
        <f t="shared" si="772"/>
        <v>-35541</v>
      </c>
    </row>
    <row r="71" ht="18.0" customHeight="1">
      <c r="A71" s="2" t="s">
        <v>73</v>
      </c>
      <c r="B71" s="40" t="str">
        <f t="shared" si="963"/>
        <v>OK</v>
      </c>
      <c r="C71" s="40" t="str">
        <f t="shared" ref="C71:D71" si="1002">G71</f>
        <v>OK</v>
      </c>
      <c r="D71" s="40" t="str">
        <f t="shared" si="1002"/>
        <v>OK</v>
      </c>
      <c r="E71" s="40"/>
      <c r="F71" s="40" t="str">
        <f t="shared" ref="F71:H71" si="1003">IF(F70="","",IF(F70&lt;0,"ACTION","OK"))</f>
        <v/>
      </c>
      <c r="G71" s="40" t="str">
        <f t="shared" si="1003"/>
        <v>OK</v>
      </c>
      <c r="H71" s="40" t="str">
        <f t="shared" si="1003"/>
        <v>OK</v>
      </c>
      <c r="I71" s="40"/>
      <c r="J71" s="40" t="str">
        <f t="shared" ref="J71:L71" si="1004">IF(J70="","",IF(J70&lt;0,"ACTION","OK"))</f>
        <v/>
      </c>
      <c r="K71" s="40" t="str">
        <f t="shared" si="1004"/>
        <v>OK</v>
      </c>
      <c r="L71" s="40" t="str">
        <f t="shared" si="1004"/>
        <v>OK</v>
      </c>
      <c r="M71" s="40"/>
      <c r="N71" s="40" t="str">
        <f t="shared" ref="N71:P71" si="1005">IF(N70="","",IF(N70&lt;0,"ACTION","OK"))</f>
        <v/>
      </c>
      <c r="O71" s="40" t="str">
        <f t="shared" si="1005"/>
        <v>OK</v>
      </c>
      <c r="P71" s="40" t="str">
        <f t="shared" si="1005"/>
        <v>OK</v>
      </c>
      <c r="Q71" s="40"/>
      <c r="R71" s="40" t="str">
        <f t="shared" ref="R71:T71" si="1006">IF(R70="","",IF(R70&lt;0,"ACTION","OK"))</f>
        <v/>
      </c>
      <c r="S71" s="40" t="str">
        <f t="shared" si="1006"/>
        <v>OK</v>
      </c>
      <c r="T71" s="40" t="str">
        <f t="shared" si="1006"/>
        <v>OK</v>
      </c>
      <c r="U71" s="40"/>
      <c r="V71" s="40" t="str">
        <f t="shared" ref="V71:X71" si="1007">IF(V70="","",IF(V70&lt;0,"ACTION","OK"))</f>
        <v/>
      </c>
      <c r="W71" s="40" t="str">
        <f t="shared" si="1007"/>
        <v>OK</v>
      </c>
      <c r="X71" s="40" t="str">
        <f t="shared" si="1007"/>
        <v>OK</v>
      </c>
      <c r="Y71" s="40"/>
      <c r="Z71" s="40" t="str">
        <f t="shared" ref="Z71:AB71" si="1008">IF(Z70="","",IF(Z70&lt;0,"ACTION","OK"))</f>
        <v/>
      </c>
      <c r="AA71" s="40" t="str">
        <f t="shared" si="1008"/>
        <v>OK</v>
      </c>
      <c r="AB71" s="40" t="str">
        <f t="shared" si="1008"/>
        <v>OK</v>
      </c>
      <c r="AC71" s="40"/>
      <c r="AD71" s="40" t="str">
        <f t="shared" ref="AD71:AF71" si="1009">IF(AD70="","",IF(AD70&lt;0,"ACTION","OK"))</f>
        <v/>
      </c>
      <c r="AE71" s="40" t="str">
        <f t="shared" si="1009"/>
        <v>OK</v>
      </c>
      <c r="AF71" s="40" t="str">
        <f t="shared" si="1009"/>
        <v>OK</v>
      </c>
      <c r="AG71" s="40"/>
      <c r="AH71" s="40" t="str">
        <f t="shared" ref="AH71:AJ71" si="1010">IF(AH70="","",IF(AH70&lt;0,"ACTION","OK"))</f>
        <v/>
      </c>
      <c r="AI71" s="40" t="str">
        <f t="shared" si="1010"/>
        <v>OK</v>
      </c>
      <c r="AJ71" s="40" t="str">
        <f t="shared" si="1010"/>
        <v>OK</v>
      </c>
      <c r="AK71" s="40"/>
      <c r="AL71" s="40" t="str">
        <f t="shared" ref="AL71:AN71" si="1011">IF(AL70="","",IF(AL70&lt;0,"ACTION","OK"))</f>
        <v/>
      </c>
      <c r="AM71" s="40" t="str">
        <f t="shared" si="1011"/>
        <v>OK</v>
      </c>
      <c r="AN71" s="40" t="str">
        <f t="shared" si="1011"/>
        <v>OK</v>
      </c>
      <c r="AO71" s="40"/>
      <c r="AP71" s="40" t="str">
        <f t="shared" ref="AP71:AR71" si="1012">IF(AP70="","",IF(AP70&lt;0,"ACTION","OK"))</f>
        <v/>
      </c>
      <c r="AQ71" s="40" t="str">
        <f t="shared" si="1012"/>
        <v>OK</v>
      </c>
      <c r="AR71" s="40" t="str">
        <f t="shared" si="1012"/>
        <v>OK</v>
      </c>
      <c r="AS71" s="40"/>
      <c r="AT71" s="40" t="str">
        <f t="shared" ref="AT71:AV71" si="1013">IF(AT70="","",IF(AT70&lt;0,"ACTION","OK"))</f>
        <v/>
      </c>
      <c r="AU71" s="40" t="str">
        <f t="shared" si="1013"/>
        <v>OK</v>
      </c>
      <c r="AV71" s="40" t="str">
        <f t="shared" si="1013"/>
        <v>OK</v>
      </c>
      <c r="AW71" s="40"/>
      <c r="AX71" s="40" t="str">
        <f t="shared" ref="AX71:AZ71" si="1014">IF(AX70="","",IF(AX70&lt;0,"ACTION","OK"))</f>
        <v/>
      </c>
      <c r="AY71" s="40" t="str">
        <f t="shared" si="1014"/>
        <v>OK</v>
      </c>
      <c r="AZ71" s="40" t="str">
        <f t="shared" si="1014"/>
        <v>OK</v>
      </c>
      <c r="BA71" s="40"/>
      <c r="BB71" s="40" t="str">
        <f t="shared" ref="BB71:BD71" si="1015">IF(BB70="","",IF(BB70&lt;0,"ACTION","OK"))</f>
        <v/>
      </c>
      <c r="BC71" s="40" t="str">
        <f t="shared" si="1015"/>
        <v>OK</v>
      </c>
      <c r="BD71" s="40" t="str">
        <f t="shared" si="1015"/>
        <v>OK</v>
      </c>
      <c r="BE71" s="40"/>
      <c r="BF71" s="40" t="str">
        <f t="shared" ref="BF71:BH71" si="1016">IF(BF70="","",IF(BF70&lt;0,"ACTION","OK"))</f>
        <v/>
      </c>
      <c r="BG71" s="40" t="str">
        <f t="shared" si="1016"/>
        <v>OK</v>
      </c>
      <c r="BH71" s="40" t="str">
        <f t="shared" si="1016"/>
        <v>OK</v>
      </c>
      <c r="BI71" s="40"/>
      <c r="BJ71" s="40" t="str">
        <f t="shared" ref="BJ71:BL71" si="1017">IF(BJ70="","",IF(BJ70&lt;0,"ACTION","OK"))</f>
        <v/>
      </c>
      <c r="BK71" s="40" t="str">
        <f t="shared" si="1017"/>
        <v>OK</v>
      </c>
      <c r="BL71" s="40" t="str">
        <f t="shared" si="1017"/>
        <v>OK</v>
      </c>
      <c r="BM71" s="40"/>
      <c r="BN71" s="40" t="str">
        <f t="shared" ref="BN71:BP71" si="1018">IF(BN70="","",IF(BN70&lt;0,"ACTION","OK"))</f>
        <v/>
      </c>
      <c r="BO71" s="40" t="str">
        <f t="shared" si="1018"/>
        <v>OK</v>
      </c>
      <c r="BP71" s="40" t="str">
        <f t="shared" si="1018"/>
        <v>OK</v>
      </c>
      <c r="BQ71" s="40"/>
      <c r="BR71" s="40" t="str">
        <f t="shared" ref="BR71:BT71" si="1019">IF(BR70="","",IF(BR70&lt;0,"ACTION","OK"))</f>
        <v/>
      </c>
      <c r="BS71" s="40" t="str">
        <f t="shared" si="1019"/>
        <v>OK</v>
      </c>
      <c r="BT71" s="40" t="str">
        <f t="shared" si="1019"/>
        <v>OK</v>
      </c>
      <c r="BU71" s="40"/>
      <c r="BV71" s="40" t="str">
        <f t="shared" ref="BV71:BX71" si="1020">IF(BV70="","",IF(BV70&lt;0,"ACTION","OK"))</f>
        <v/>
      </c>
      <c r="BW71" s="40" t="str">
        <f t="shared" si="1020"/>
        <v>OK</v>
      </c>
      <c r="BX71" s="40" t="str">
        <f t="shared" si="1020"/>
        <v>OK</v>
      </c>
      <c r="BY71" s="40"/>
      <c r="BZ71" s="40" t="str">
        <f t="shared" ref="BZ71:CB71" si="1021">IF(BZ70="","",IF(BZ70&lt;0,"ACTION","OK"))</f>
        <v/>
      </c>
      <c r="CA71" s="40" t="str">
        <f t="shared" si="1021"/>
        <v>OK</v>
      </c>
      <c r="CB71" s="40" t="str">
        <f t="shared" si="1021"/>
        <v>OK</v>
      </c>
      <c r="CC71" s="40"/>
      <c r="CD71" s="40" t="str">
        <f t="shared" ref="CD71:CF71" si="1022">IF(CD70="","",IF(CD70&lt;0,"ACTION","OK"))</f>
        <v/>
      </c>
      <c r="CE71" s="40" t="str">
        <f t="shared" si="1022"/>
        <v>OK</v>
      </c>
      <c r="CF71" s="40" t="str">
        <f t="shared" si="1022"/>
        <v>OK</v>
      </c>
      <c r="CG71" s="40"/>
      <c r="CH71" s="40" t="str">
        <f t="shared" ref="CH71:CJ71" si="1023">IF(CH70="","",IF(CH70&lt;0,"ACTION","OK"))</f>
        <v/>
      </c>
      <c r="CI71" s="40" t="str">
        <f t="shared" si="1023"/>
        <v>OK</v>
      </c>
      <c r="CJ71" s="40" t="str">
        <f t="shared" si="1023"/>
        <v>OK</v>
      </c>
      <c r="CK71" s="40"/>
      <c r="CL71" s="40" t="str">
        <f t="shared" ref="CL71:CN71" si="1024">IF(CL70="","",IF(CL70&lt;0,"ACTION","OK"))</f>
        <v/>
      </c>
      <c r="CM71" s="40" t="str">
        <f t="shared" si="1024"/>
        <v>OK</v>
      </c>
      <c r="CN71" s="40" t="str">
        <f t="shared" si="1024"/>
        <v>OK</v>
      </c>
      <c r="CO71" s="40"/>
      <c r="CP71" s="40" t="str">
        <f t="shared" ref="CP71:CR71" si="1025">IF(CP70="","",IF(CP70&lt;0,"ACTION","OK"))</f>
        <v/>
      </c>
      <c r="CQ71" s="40" t="str">
        <f t="shared" si="1025"/>
        <v>OK</v>
      </c>
      <c r="CR71" s="40" t="str">
        <f t="shared" si="1025"/>
        <v>OK</v>
      </c>
      <c r="CS71" s="40"/>
      <c r="CT71" s="40" t="str">
        <f t="shared" ref="CT71:CV71" si="1026">IF(CT70="","",IF(CT70&lt;0,"ACTION","OK"))</f>
        <v/>
      </c>
      <c r="CU71" s="40" t="str">
        <f t="shared" si="1026"/>
        <v>OK</v>
      </c>
      <c r="CV71" s="40" t="str">
        <f t="shared" si="1026"/>
        <v>OK</v>
      </c>
      <c r="CW71" s="40"/>
      <c r="CX71" s="40" t="str">
        <f t="shared" ref="CX71:CZ71" si="1027">IF(CX70="","",IF(CX70&lt;0,"ACTION","OK"))</f>
        <v/>
      </c>
      <c r="CY71" s="40" t="str">
        <f t="shared" si="1027"/>
        <v>OK</v>
      </c>
      <c r="CZ71" s="40" t="str">
        <f t="shared" si="1027"/>
        <v>OK</v>
      </c>
      <c r="DA71" s="40"/>
      <c r="DB71" s="40" t="str">
        <f t="shared" ref="DB71:DD71" si="1028">IF(DB70="","",IF(DB70&lt;0,"ACTION","OK"))</f>
        <v/>
      </c>
      <c r="DC71" s="40" t="str">
        <f t="shared" si="1028"/>
        <v>OK</v>
      </c>
      <c r="DD71" s="40" t="str">
        <f t="shared" si="1028"/>
        <v>OK</v>
      </c>
      <c r="DE71" s="40"/>
      <c r="DF71" s="40" t="str">
        <f t="shared" ref="DF71:DH71" si="1029">IF(DF70="","",IF(DF70&lt;0,"ACTION","OK"))</f>
        <v/>
      </c>
      <c r="DG71" s="40" t="str">
        <f t="shared" si="1029"/>
        <v>OK</v>
      </c>
      <c r="DH71" s="40" t="str">
        <f t="shared" si="1029"/>
        <v>OK</v>
      </c>
      <c r="DI71" s="40"/>
      <c r="DJ71" s="40" t="str">
        <f t="shared" ref="DJ71:DL71" si="1030">IF(DJ70="","",IF(DJ70&lt;0,"ACTION","OK"))</f>
        <v/>
      </c>
      <c r="DK71" s="40" t="str">
        <f t="shared" si="1030"/>
        <v>OK</v>
      </c>
      <c r="DL71" s="40" t="str">
        <f t="shared" si="1030"/>
        <v>OK</v>
      </c>
      <c r="DM71" s="40"/>
      <c r="DN71" s="40" t="str">
        <f t="shared" ref="DN71:DP71" si="1031">IF(DN70="","",IF(DN70&lt;0,"ACTION","OK"))</f>
        <v/>
      </c>
      <c r="DO71" s="40" t="str">
        <f t="shared" si="1031"/>
        <v>OK</v>
      </c>
      <c r="DP71" s="40" t="str">
        <f t="shared" si="1031"/>
        <v>OK</v>
      </c>
      <c r="DQ71" s="40"/>
      <c r="DR71" s="40" t="str">
        <f t="shared" ref="DR71:DT71" si="1032">IF(DR70="","",IF(DR70&lt;0,"ACTION","OK"))</f>
        <v/>
      </c>
      <c r="DS71" s="40" t="str">
        <f t="shared" si="1032"/>
        <v>OK</v>
      </c>
      <c r="DT71" s="40" t="str">
        <f t="shared" si="1032"/>
        <v>OK</v>
      </c>
      <c r="DU71" s="40"/>
      <c r="DV71" s="40" t="str">
        <f t="shared" ref="DV71:DX71" si="1033">IF(DV70="","",IF(DV70&lt;0,"ACTION","OK"))</f>
        <v/>
      </c>
      <c r="DW71" s="40" t="str">
        <f t="shared" si="1033"/>
        <v>OK</v>
      </c>
      <c r="DX71" s="40" t="str">
        <f t="shared" si="1033"/>
        <v>OK</v>
      </c>
      <c r="DY71" s="40"/>
      <c r="DZ71" s="40" t="str">
        <f t="shared" ref="DZ71:EB71" si="1034">IF(DZ70="","",IF(DZ70&lt;0,"ACTION","OK"))</f>
        <v/>
      </c>
      <c r="EA71" s="40" t="str">
        <f t="shared" si="1034"/>
        <v>OK</v>
      </c>
      <c r="EB71" s="40" t="str">
        <f t="shared" si="1034"/>
        <v>OK</v>
      </c>
      <c r="EC71" s="40"/>
      <c r="ED71" s="40" t="str">
        <f t="shared" ref="ED71:EF71" si="1035">IF(ED70="","",IF(ED70&lt;0,"ACTION","OK"))</f>
        <v/>
      </c>
      <c r="EE71" s="40" t="str">
        <f t="shared" si="1035"/>
        <v>OK</v>
      </c>
      <c r="EF71" s="40" t="str">
        <f t="shared" si="1035"/>
        <v>OK</v>
      </c>
      <c r="EG71" s="40"/>
      <c r="EH71" s="40" t="str">
        <f t="shared" ref="EH71:EJ71" si="1036">IF(EH70="","",IF(EH70&lt;0,"ACTION","OK"))</f>
        <v/>
      </c>
      <c r="EI71" s="40" t="str">
        <f t="shared" si="1036"/>
        <v>OK</v>
      </c>
      <c r="EJ71" s="40" t="str">
        <f t="shared" si="1036"/>
        <v>OK</v>
      </c>
      <c r="EK71" s="40"/>
      <c r="EL71" s="40" t="str">
        <f t="shared" ref="EL71:EN71" si="1037">IF(EL70="","",IF(EL70&lt;0,"ACTION","OK"))</f>
        <v>OK</v>
      </c>
      <c r="EM71" s="40" t="str">
        <f t="shared" si="1037"/>
        <v>OK</v>
      </c>
      <c r="EN71" s="40" t="str">
        <f t="shared" si="1037"/>
        <v>OK</v>
      </c>
      <c r="EO71" s="40"/>
      <c r="EP71" s="40" t="str">
        <f t="shared" ref="EP71:ER71" si="1038">IF(EP70="","",IF(EP70&lt;0,"ACTION","OK"))</f>
        <v>OK</v>
      </c>
      <c r="EQ71" s="40" t="str">
        <f t="shared" si="1038"/>
        <v>OK</v>
      </c>
      <c r="ER71" s="40" t="str">
        <f t="shared" si="1038"/>
        <v>OK</v>
      </c>
      <c r="ES71" s="40"/>
    </row>
    <row r="72" ht="18.0" hidden="1" customHeight="1">
      <c r="A72" s="2" t="s">
        <v>74</v>
      </c>
      <c r="B72" s="41"/>
      <c r="C72" s="41"/>
      <c r="D72" s="41"/>
      <c r="E72" s="41" t="str">
        <f t="shared" ref="E72:E73" si="1075">IFERROR(IF(OR(C72="",D72=""),"",C72-D72),"")</f>
        <v/>
      </c>
      <c r="F72" s="41" t="str">
        <f>IF(F21="","",MAX(0,J72+J73-J26))</f>
        <v/>
      </c>
      <c r="G72" s="41">
        <f t="shared" ref="G72:H72" si="1039">MAX(0,K72+K73-K26)</f>
        <v>0</v>
      </c>
      <c r="H72" s="41">
        <f t="shared" si="1039"/>
        <v>0</v>
      </c>
      <c r="I72" s="41">
        <f t="shared" ref="I72:I73" si="1077">IFERROR(IF(OR(G72="",H72=""),"",G72-H72),"")</f>
        <v>0</v>
      </c>
      <c r="J72" s="41" t="str">
        <f>IF(J21="","",MAX(0,N72+N73-N26))</f>
        <v/>
      </c>
      <c r="K72" s="41">
        <f t="shared" ref="K72:L72" si="1040">MAX(0,O72+O73-O26)</f>
        <v>0</v>
      </c>
      <c r="L72" s="41">
        <f t="shared" si="1040"/>
        <v>0</v>
      </c>
      <c r="M72" s="41">
        <f t="shared" ref="M72:M73" si="1079">IFERROR(IF(OR(K72="",L72=""),"",K72-L72),"")</f>
        <v>0</v>
      </c>
      <c r="N72" s="41" t="str">
        <f>IF(N21="","",MAX(0,R72+R73-R26))</f>
        <v/>
      </c>
      <c r="O72" s="41">
        <f t="shared" ref="O72:P72" si="1041">MAX(0,S72+S73-S26)</f>
        <v>0</v>
      </c>
      <c r="P72" s="41">
        <f t="shared" si="1041"/>
        <v>0</v>
      </c>
      <c r="Q72" s="41">
        <f t="shared" ref="Q72:Q73" si="1081">IFERROR(IF(OR(O72="",P72=""),"",O72-P72),"")</f>
        <v>0</v>
      </c>
      <c r="R72" s="41" t="str">
        <f>IF(R21="","",MAX(0,V72+V73-V26))</f>
        <v/>
      </c>
      <c r="S72" s="41">
        <f t="shared" ref="S72:T72" si="1042">MAX(0,W72+W73-W26)</f>
        <v>0</v>
      </c>
      <c r="T72" s="41">
        <f t="shared" si="1042"/>
        <v>0</v>
      </c>
      <c r="U72" s="41">
        <f t="shared" ref="U72:U73" si="1083">IFERROR(IF(OR(S72="",T72=""),"",S72-T72),"")</f>
        <v>0</v>
      </c>
      <c r="V72" s="41" t="str">
        <f>IF(V21="","",MAX(0,Z72+Z73-Z26))</f>
        <v/>
      </c>
      <c r="W72" s="41">
        <f t="shared" ref="W72:X72" si="1043">MAX(0,AA72+AA73-AA26)</f>
        <v>0</v>
      </c>
      <c r="X72" s="41">
        <f t="shared" si="1043"/>
        <v>0</v>
      </c>
      <c r="Y72" s="41">
        <f t="shared" ref="Y72:Y73" si="1085">IFERROR(IF(OR(W72="",X72=""),"",W72-X72),"")</f>
        <v>0</v>
      </c>
      <c r="Z72" s="41" t="str">
        <f>IF(Z21="","",MAX(0,AD72+AD73-AD26))</f>
        <v/>
      </c>
      <c r="AA72" s="41">
        <f t="shared" ref="AA72:AB72" si="1044">MAX(0,AE72+AE73-AE26)</f>
        <v>0</v>
      </c>
      <c r="AB72" s="41">
        <f t="shared" si="1044"/>
        <v>0</v>
      </c>
      <c r="AC72" s="41">
        <f t="shared" ref="AC72:AC73" si="1087">IFERROR(IF(OR(AA72="",AB72=""),"",AA72-AB72),"")</f>
        <v>0</v>
      </c>
      <c r="AD72" s="41" t="str">
        <f>IF(AD21="","",MAX(0,AH72+AH73-AH26))</f>
        <v/>
      </c>
      <c r="AE72" s="41">
        <f t="shared" ref="AE72:AF72" si="1045">MAX(0,AI72+AI73-AI26)</f>
        <v>0</v>
      </c>
      <c r="AF72" s="41">
        <f t="shared" si="1045"/>
        <v>0</v>
      </c>
      <c r="AG72" s="41">
        <f t="shared" ref="AG72:AG73" si="1089">IFERROR(IF(OR(AE72="",AF72=""),"",AE72-AF72),"")</f>
        <v>0</v>
      </c>
      <c r="AH72" s="41" t="str">
        <f>IF(AH21="","",MAX(0,AL72+AL73-AL26))</f>
        <v/>
      </c>
      <c r="AI72" s="41">
        <f t="shared" ref="AI72:AJ72" si="1046">MAX(0,AM72+AM73-AM26)</f>
        <v>0</v>
      </c>
      <c r="AJ72" s="41">
        <f t="shared" si="1046"/>
        <v>0</v>
      </c>
      <c r="AK72" s="41">
        <f t="shared" ref="AK72:AK73" si="1091">IFERROR(IF(OR(AI72="",AJ72=""),"",AI72-AJ72),"")</f>
        <v>0</v>
      </c>
      <c r="AL72" s="41" t="str">
        <f>IF(AL21="","",MAX(0,AP72+AP73-AP26))</f>
        <v/>
      </c>
      <c r="AM72" s="41">
        <f t="shared" ref="AM72:AN72" si="1047">MAX(0,AQ72+AQ73-AQ26)</f>
        <v>0</v>
      </c>
      <c r="AN72" s="41">
        <f t="shared" si="1047"/>
        <v>0</v>
      </c>
      <c r="AO72" s="41">
        <f t="shared" ref="AO72:AO73" si="1093">IFERROR(IF(OR(AM72="",AN72=""),"",AM72-AN72),"")</f>
        <v>0</v>
      </c>
      <c r="AP72" s="41" t="str">
        <f>IF(AP21="","",MAX(0,AT72+AT73-AT26))</f>
        <v/>
      </c>
      <c r="AQ72" s="41">
        <f t="shared" ref="AQ72:AR72" si="1048">MAX(0,AU72+AU73-AU26)</f>
        <v>0</v>
      </c>
      <c r="AR72" s="41">
        <f t="shared" si="1048"/>
        <v>0</v>
      </c>
      <c r="AS72" s="41">
        <f t="shared" ref="AS72:AS73" si="1095">IFERROR(IF(OR(AQ72="",AR72=""),"",AQ72-AR72),"")</f>
        <v>0</v>
      </c>
      <c r="AT72" s="41" t="str">
        <f>IF(AT21="","",MAX(0,AX72+AX73-AX26))</f>
        <v/>
      </c>
      <c r="AU72" s="41">
        <f t="shared" ref="AU72:AV72" si="1049">MAX(0,AY72+AY73-AY26)</f>
        <v>0</v>
      </c>
      <c r="AV72" s="41">
        <f t="shared" si="1049"/>
        <v>0</v>
      </c>
      <c r="AW72" s="41">
        <f t="shared" ref="AW72:AW73" si="1097">IFERROR(IF(OR(AU72="",AV72=""),"",AU72-AV72),"")</f>
        <v>0</v>
      </c>
      <c r="AX72" s="41" t="str">
        <f>IF(AX21="","",MAX(0,BB72+BB73-BB26))</f>
        <v/>
      </c>
      <c r="AY72" s="41">
        <f t="shared" ref="AY72:AZ72" si="1050">MAX(0,BC72+BC73-BC26)</f>
        <v>0</v>
      </c>
      <c r="AZ72" s="41">
        <f t="shared" si="1050"/>
        <v>0</v>
      </c>
      <c r="BA72" s="41">
        <f t="shared" ref="BA72:BA73" si="1099">IFERROR(IF(OR(AY72="",AZ72=""),"",AY72-AZ72),"")</f>
        <v>0</v>
      </c>
      <c r="BB72" s="41" t="str">
        <f>IF(BB21="","",MAX(0,BF72+BF73-BF26))</f>
        <v/>
      </c>
      <c r="BC72" s="41">
        <f t="shared" ref="BC72:BD72" si="1051">MAX(0,BG72+BG73-BG26)</f>
        <v>0</v>
      </c>
      <c r="BD72" s="41">
        <f t="shared" si="1051"/>
        <v>0</v>
      </c>
      <c r="BE72" s="41">
        <f t="shared" ref="BE72:BE73" si="1101">IFERROR(IF(OR(BC72="",BD72=""),"",BC72-BD72),"")</f>
        <v>0</v>
      </c>
      <c r="BF72" s="41" t="str">
        <f>IF(BF21="","",MAX(0,BJ72+BJ73-BJ26))</f>
        <v/>
      </c>
      <c r="BG72" s="41">
        <f t="shared" ref="BG72:BH72" si="1052">MAX(0,BK72+BK73-BK26)</f>
        <v>0</v>
      </c>
      <c r="BH72" s="41">
        <f t="shared" si="1052"/>
        <v>0</v>
      </c>
      <c r="BI72" s="41">
        <f t="shared" ref="BI72:BI73" si="1103">IFERROR(IF(OR(BG72="",BH72=""),"",BG72-BH72),"")</f>
        <v>0</v>
      </c>
      <c r="BJ72" s="41" t="str">
        <f>IF(BJ21="","",MAX(0,BN72+BN73-BN26))</f>
        <v/>
      </c>
      <c r="BK72" s="41">
        <f t="shared" ref="BK72:BL72" si="1053">MAX(0,BO72+BO73-BO26)</f>
        <v>0</v>
      </c>
      <c r="BL72" s="41">
        <f t="shared" si="1053"/>
        <v>0</v>
      </c>
      <c r="BM72" s="41">
        <f t="shared" ref="BM72:BM73" si="1105">IFERROR(IF(OR(BK72="",BL72=""),"",BK72-BL72),"")</f>
        <v>0</v>
      </c>
      <c r="BN72" s="41" t="str">
        <f>IF(BN21="","",MAX(0,BR72+BR73-BR26))</f>
        <v/>
      </c>
      <c r="BO72" s="41">
        <f t="shared" ref="BO72:BP72" si="1054">MAX(0,BS72+BS73-BS26)</f>
        <v>0</v>
      </c>
      <c r="BP72" s="41">
        <f t="shared" si="1054"/>
        <v>0</v>
      </c>
      <c r="BQ72" s="41">
        <f t="shared" ref="BQ72:BQ73" si="1107">IFERROR(IF(OR(BO72="",BP72=""),"",BO72-BP72),"")</f>
        <v>0</v>
      </c>
      <c r="BR72" s="41" t="str">
        <f>IF(BR21="","",MAX(0,BV72+BV73-BV26))</f>
        <v/>
      </c>
      <c r="BS72" s="41">
        <f t="shared" ref="BS72:BT72" si="1055">MAX(0,BW72+BW73-BW26)</f>
        <v>0</v>
      </c>
      <c r="BT72" s="41">
        <f t="shared" si="1055"/>
        <v>0</v>
      </c>
      <c r="BU72" s="41">
        <f t="shared" ref="BU72:BU73" si="1109">IFERROR(IF(OR(BS72="",BT72=""),"",BS72-BT72),"")</f>
        <v>0</v>
      </c>
      <c r="BV72" s="41" t="str">
        <f>IF(BV21="","",MAX(0,BZ72+BZ73-BZ26))</f>
        <v/>
      </c>
      <c r="BW72" s="41">
        <f t="shared" ref="BW72:BX72" si="1056">MAX(0,CA72+CA73-CA26)</f>
        <v>0</v>
      </c>
      <c r="BX72" s="41">
        <f t="shared" si="1056"/>
        <v>0</v>
      </c>
      <c r="BY72" s="41">
        <f t="shared" ref="BY72:BY73" si="1111">IFERROR(IF(OR(BW72="",BX72=""),"",BW72-BX72),"")</f>
        <v>0</v>
      </c>
      <c r="BZ72" s="41" t="str">
        <f>IF(BZ21="","",MAX(0,CD72+CD73-CD26))</f>
        <v/>
      </c>
      <c r="CA72" s="41">
        <f t="shared" ref="CA72:CB72" si="1057">MAX(0,CE72+CE73-CE26)</f>
        <v>0</v>
      </c>
      <c r="CB72" s="41">
        <f t="shared" si="1057"/>
        <v>0</v>
      </c>
      <c r="CC72" s="41">
        <f t="shared" ref="CC72:CC73" si="1113">IFERROR(IF(OR(CA72="",CB72=""),"",CA72-CB72),"")</f>
        <v>0</v>
      </c>
      <c r="CD72" s="41" t="str">
        <f>IF(CD21="","",MAX(0,CH72+CH73-CH26))</f>
        <v/>
      </c>
      <c r="CE72" s="41">
        <f t="shared" ref="CE72:CF72" si="1058">MAX(0,CI72+CI73-CI26)</f>
        <v>0</v>
      </c>
      <c r="CF72" s="41">
        <f t="shared" si="1058"/>
        <v>0</v>
      </c>
      <c r="CG72" s="41">
        <f t="shared" ref="CG72:CG73" si="1115">IFERROR(IF(OR(CE72="",CF72=""),"",CE72-CF72),"")</f>
        <v>0</v>
      </c>
      <c r="CH72" s="41" t="str">
        <f>IF(CH21="","",MAX(0,CL72+CL73-CL26))</f>
        <v/>
      </c>
      <c r="CI72" s="41">
        <f t="shared" ref="CI72:CJ72" si="1059">MAX(0,CM72+CM73-CM26)</f>
        <v>0</v>
      </c>
      <c r="CJ72" s="41">
        <f t="shared" si="1059"/>
        <v>0</v>
      </c>
      <c r="CK72" s="41">
        <f t="shared" ref="CK72:CK73" si="1117">IFERROR(IF(OR(CI72="",CJ72=""),"",CI72-CJ72),"")</f>
        <v>0</v>
      </c>
      <c r="CL72" s="41" t="str">
        <f>IF(CL21="","",MAX(0,CP72+CP73-CP26))</f>
        <v/>
      </c>
      <c r="CM72" s="41">
        <f t="shared" ref="CM72:CN72" si="1060">MAX(0,CQ72+CQ73-CQ26)</f>
        <v>0</v>
      </c>
      <c r="CN72" s="41">
        <f t="shared" si="1060"/>
        <v>0</v>
      </c>
      <c r="CO72" s="41">
        <f t="shared" ref="CO72:CO73" si="1119">IFERROR(IF(OR(CM72="",CN72=""),"",CM72-CN72),"")</f>
        <v>0</v>
      </c>
      <c r="CP72" s="41" t="str">
        <f>IF(CP21="","",MAX(0,CT72+CT73-CT26))</f>
        <v/>
      </c>
      <c r="CQ72" s="41">
        <f t="shared" ref="CQ72:CR72" si="1061">MAX(0,CU72+CU73-CU26)</f>
        <v>0</v>
      </c>
      <c r="CR72" s="41">
        <f t="shared" si="1061"/>
        <v>0</v>
      </c>
      <c r="CS72" s="41">
        <f t="shared" ref="CS72:CS73" si="1121">IFERROR(IF(OR(CQ72="",CR72=""),"",CQ72-CR72),"")</f>
        <v>0</v>
      </c>
      <c r="CT72" s="41" t="str">
        <f>IF(CT21="","",MAX(0,CX72+CX73-CX26))</f>
        <v/>
      </c>
      <c r="CU72" s="41">
        <f t="shared" ref="CU72:CV72" si="1062">MAX(0,CY72+CY73-CY26)</f>
        <v>0</v>
      </c>
      <c r="CV72" s="41">
        <f t="shared" si="1062"/>
        <v>0</v>
      </c>
      <c r="CW72" s="41">
        <f t="shared" ref="CW72:CW73" si="1123">IFERROR(IF(OR(CU72="",CV72=""),"",CU72-CV72),"")</f>
        <v>0</v>
      </c>
      <c r="CX72" s="41" t="str">
        <f>IF(CX21="","",MAX(0,DB72+DB73-DB26))</f>
        <v/>
      </c>
      <c r="CY72" s="41">
        <f t="shared" ref="CY72:CZ72" si="1063">MAX(0,DC72+DC73-DC26)</f>
        <v>0</v>
      </c>
      <c r="CZ72" s="41">
        <f t="shared" si="1063"/>
        <v>0</v>
      </c>
      <c r="DA72" s="41">
        <f t="shared" ref="DA72:DA73" si="1125">IFERROR(IF(OR(CY72="",CZ72=""),"",CY72-CZ72),"")</f>
        <v>0</v>
      </c>
      <c r="DB72" s="41" t="str">
        <f>IF(DB21="","",MAX(0,DF72+DF73-DF26))</f>
        <v/>
      </c>
      <c r="DC72" s="41">
        <f t="shared" ref="DC72:DD72" si="1064">MAX(0,DG72+DG73-DG26)</f>
        <v>0</v>
      </c>
      <c r="DD72" s="41">
        <f t="shared" si="1064"/>
        <v>0</v>
      </c>
      <c r="DE72" s="41">
        <f t="shared" ref="DE72:DE73" si="1127">IFERROR(IF(OR(DC72="",DD72=""),"",DC72-DD72),"")</f>
        <v>0</v>
      </c>
      <c r="DF72" s="41" t="str">
        <f>IF(DF21="","",MAX(0,DJ72+DJ73-DJ26))</f>
        <v/>
      </c>
      <c r="DG72" s="41">
        <f t="shared" ref="DG72:DH72" si="1065">MAX(0,DK72+DK73-DK26)</f>
        <v>0</v>
      </c>
      <c r="DH72" s="41">
        <f t="shared" si="1065"/>
        <v>0</v>
      </c>
      <c r="DI72" s="41">
        <f t="shared" ref="DI72:DI73" si="1129">IFERROR(IF(OR(DG72="",DH72=""),"",DG72-DH72),"")</f>
        <v>0</v>
      </c>
      <c r="DJ72" s="41" t="str">
        <f>IF(DJ21="","",MAX(0,DN72+DN73-DN26))</f>
        <v/>
      </c>
      <c r="DK72" s="41">
        <f t="shared" ref="DK72:DL72" si="1066">MAX(0,DO72+DO73-DO26)</f>
        <v>0</v>
      </c>
      <c r="DL72" s="41">
        <f t="shared" si="1066"/>
        <v>0</v>
      </c>
      <c r="DM72" s="41">
        <f t="shared" ref="DM72:DM73" si="1131">IFERROR(IF(OR(DK72="",DL72=""),"",DK72-DL72),"")</f>
        <v>0</v>
      </c>
      <c r="DN72" s="41" t="str">
        <f>IF(DN21="","",MAX(0,DR72+DR73-DR26))</f>
        <v/>
      </c>
      <c r="DO72" s="41">
        <f t="shared" ref="DO72:DP72" si="1067">MAX(0,DS72+DS73-DS26)</f>
        <v>0</v>
      </c>
      <c r="DP72" s="41">
        <f t="shared" si="1067"/>
        <v>0</v>
      </c>
      <c r="DQ72" s="41">
        <f t="shared" ref="DQ72:DQ73" si="1133">IFERROR(IF(OR(DO72="",DP72=""),"",DO72-DP72),"")</f>
        <v>0</v>
      </c>
      <c r="DR72" s="41" t="str">
        <f>IF(DR21="","",MAX(0,DV72+DV73-DV26))</f>
        <v/>
      </c>
      <c r="DS72" s="41">
        <f t="shared" ref="DS72:DT72" si="1068">MAX(0,DW72+DW73-DW26)</f>
        <v>0</v>
      </c>
      <c r="DT72" s="41">
        <f t="shared" si="1068"/>
        <v>0</v>
      </c>
      <c r="DU72" s="41">
        <f t="shared" ref="DU72:DU73" si="1135">IFERROR(IF(OR(DS72="",DT72=""),"",DS72-DT72),"")</f>
        <v>0</v>
      </c>
      <c r="DV72" s="41" t="str">
        <f>IF(DV21="","",MAX(0,DZ72+DZ73-DZ26))</f>
        <v/>
      </c>
      <c r="DW72" s="41">
        <f t="shared" ref="DW72:DX72" si="1069">MAX(0,EA72+EA73-EA26)</f>
        <v>0</v>
      </c>
      <c r="DX72" s="41">
        <f t="shared" si="1069"/>
        <v>0</v>
      </c>
      <c r="DY72" s="41">
        <f t="shared" ref="DY72:DY73" si="1137">IFERROR(IF(OR(DW72="",DX72=""),"",DW72-DX72),"")</f>
        <v>0</v>
      </c>
      <c r="DZ72" s="41" t="str">
        <f>IF(DZ21="","",MAX(0,ED72+ED73-ED26))</f>
        <v/>
      </c>
      <c r="EA72" s="41">
        <f t="shared" ref="EA72:EB72" si="1070">MAX(0,EE72+EE73-EE26)</f>
        <v>0</v>
      </c>
      <c r="EB72" s="41">
        <f t="shared" si="1070"/>
        <v>0</v>
      </c>
      <c r="EC72" s="41">
        <f t="shared" ref="EC72:EC73" si="1139">IFERROR(IF(OR(EA72="",EB72=""),"",EA72-EB72),"")</f>
        <v>0</v>
      </c>
      <c r="ED72" s="41" t="str">
        <f>IF(ED21="","",MAX(0,EH72+EH73-EH26))</f>
        <v/>
      </c>
      <c r="EE72" s="41">
        <f t="shared" ref="EE72:EF72" si="1071">MAX(0,EI72+EI73-EI26)</f>
        <v>0</v>
      </c>
      <c r="EF72" s="41">
        <f t="shared" si="1071"/>
        <v>0</v>
      </c>
      <c r="EG72" s="41">
        <f t="shared" ref="EG72:EG73" si="1141">IFERROR(IF(OR(EE72="",EF72=""),"",EE72-EF72),"")</f>
        <v>0</v>
      </c>
      <c r="EH72" s="41" t="str">
        <f>IF(EH21="","",MAX(0,EL72+EL73-EL26))</f>
        <v/>
      </c>
      <c r="EI72" s="41">
        <f t="shared" ref="EI72:EJ72" si="1072">MAX(0,EM72+EM73-EM26)</f>
        <v>0</v>
      </c>
      <c r="EJ72" s="41">
        <f t="shared" si="1072"/>
        <v>0</v>
      </c>
      <c r="EK72" s="41">
        <f t="shared" ref="EK72:EK73" si="1143">IFERROR(IF(OR(EI72="",EJ72=""),"",EI72-EJ72),"")</f>
        <v>0</v>
      </c>
      <c r="EL72" s="41">
        <f>IF(EL21="","",MAX(0,EP72+EP73-EP26))</f>
        <v>15000</v>
      </c>
      <c r="EM72" s="41">
        <f t="shared" ref="EM72:EN72" si="1073">MAX(0,EQ72+EQ73-EQ26)</f>
        <v>15000</v>
      </c>
      <c r="EN72" s="41">
        <f t="shared" si="1073"/>
        <v>0</v>
      </c>
      <c r="EO72" s="41">
        <f t="shared" ref="EO72:EO73" si="1145">IFERROR(IF(OR(EM72="",EN72=""),"",EM72-EN72),"")</f>
        <v>15000</v>
      </c>
      <c r="EP72" s="41">
        <f t="shared" ref="EP72:ER72" si="1074">$EP$79*EP13</f>
        <v>25000</v>
      </c>
      <c r="EQ72" s="41">
        <f t="shared" si="1074"/>
        <v>25000</v>
      </c>
      <c r="ER72" s="41">
        <f t="shared" si="1074"/>
        <v>40000</v>
      </c>
      <c r="ES72" s="41">
        <f t="shared" ref="ES72:ES73" si="1147">IFERROR(IF(OR(EQ72="",ER72=""),"",EQ72-ER72),"")</f>
        <v>-15000</v>
      </c>
    </row>
    <row r="73" ht="18.0" hidden="1" customHeight="1">
      <c r="A73" s="2" t="s">
        <v>75</v>
      </c>
      <c r="B73" s="41"/>
      <c r="C73" s="41"/>
      <c r="D73" s="41"/>
      <c r="E73" s="41" t="str">
        <f t="shared" si="1075"/>
        <v/>
      </c>
      <c r="F73" s="41">
        <f t="shared" ref="F73:H73" si="1076">ROUND(SUM(IF(AND(EP$12&lt;&gt;"",EP$14&lt;&gt;""),IF(EOMONTH($EP$3+INT((DAY(EOMONTH($EP$3,0))-1)/2)+EP$14,0)=EOMONTH($F$3,0),EP$12*EP$13,0),0),IF(AND(EL$12&lt;&gt;"",EL$14&lt;&gt;""),IF(EOMONTH($EL$3+INT((DAY(EOMONTH($EL$3,0))-1)/2)+EL$14,0)=EOMONTH($F$3,0),EL$12*EL$13,0),0),IF(AND(EH$12&lt;&gt;"",EH$14&lt;&gt;""),IF(EOMONTH($EH$3+INT((DAY(EOMONTH($EH$3,0))-1)/2)+EH$14,0)=EOMONTH($F$3,0),EH$12*EH$13,0),0),IF(AND(ED$12&lt;&gt;"",ED$14&lt;&gt;""),IF(EOMONTH($ED$3+INT((DAY(EOMONTH($ED$3,0))-1)/2)+ED$14,0)=EOMONTH($F$3,0),ED$12*ED$13,0),0),IF(AND(DZ$12&lt;&gt;"",DZ$14&lt;&gt;""),IF(EOMONTH($DZ$3+INT((DAY(EOMONTH($DZ$3,0))-1)/2)+DZ$14,0)=EOMONTH($F$3,0),DZ$12*DZ$13,0),0),IF(AND(DV$12&lt;&gt;"",DV$14&lt;&gt;""),IF(EOMONTH($DV$3+INT((DAY(EOMONTH($DV$3,0))-1)/2)+DV$14,0)=EOMONTH($F$3,0),DV$12*DV$13,0),0),IF(AND(DR$12&lt;&gt;"",DR$14&lt;&gt;""),IF(EOMONTH($DR$3+INT((DAY(EOMONTH($DR$3,0))-1)/2)+DR$14,0)=EOMONTH($F$3,0),DR$12*DR$13,0),0),IF(AND(DN$12&lt;&gt;"",DN$14&lt;&gt;""),IF(EOMONTH($DN$3+INT((DAY(EOMONTH($DN$3,0))-1)/2)+DN$14,0)=EOMONTH($F$3,0),DN$12*DN$13,0),0),IF(AND(DJ$12&lt;&gt;"",DJ$14&lt;&gt;""),IF(EOMONTH($DJ$3+INT((DAY(EOMONTH($DJ$3,0))-1)/2)+DJ$14,0)=EOMONTH($F$3,0),DJ$12*DJ$13,0),0),IF(AND(DF$12&lt;&gt;"",DF$14&lt;&gt;""),IF(EOMONTH($DF$3+INT((DAY(EOMONTH($DF$3,0))-1)/2)+DF$14,0)=EOMONTH($F$3,0),DF$12*DF$13,0),0),IF(AND(DB$12&lt;&gt;"",DB$14&lt;&gt;""),IF(EOMONTH($DB$3+INT((DAY(EOMONTH($DB$3,0))-1)/2)+DB$14,0)=EOMONTH($F$3,0),DB$12*DB$13,0),0),IF(AND(CX$12&lt;&gt;"",CX$14&lt;&gt;""),IF(EOMONTH($CX$3+INT((DAY(EOMONTH($CX$3,0))-1)/2)+CX$14,0)=EOMONTH($F$3,0),CX$12*CX$13,0),0),IF(AND(CT$12&lt;&gt;"",CT$14&lt;&gt;""),IF(EOMONTH($CT$3+INT((DAY(EOMONTH($CT$3,0))-1)/2)+CT$14,0)=EOMONTH($F$3,0),CT$12*CT$13,0),0),IF(AND(CP$12&lt;&gt;"",CP$14&lt;&gt;""),IF(EOMONTH($CP$3+INT((DAY(EOMONTH($CP$3,0))-1)/2)+CP$14,0)=EOMONTH($F$3,0),CP$12*CP$13,0),0),IF(AND(CL$12&lt;&gt;"",CL$14&lt;&gt;""),IF(EOMONTH($CL$3+INT((DAY(EOMONTH($CL$3,0))-1)/2)+CL$14,0)=EOMONTH($F$3,0),CL$12*CL$13,0),0),IF(AND(CH$12&lt;&gt;"",CH$14&lt;&gt;""),IF(EOMONTH($CH$3+INT((DAY(EOMONTH($CH$3,0))-1)/2)+CH$14,0)=EOMONTH($F$3,0),CH$12*CH$13,0),0),IF(AND(CD$12&lt;&gt;"",CD$14&lt;&gt;""),IF(EOMONTH($CD$3+INT((DAY(EOMONTH($CD$3,0))-1)/2)+CD$14,0)=EOMONTH($F$3,0),CD$12*CD$13,0),0),IF(AND(BZ$12&lt;&gt;"",BZ$14&lt;&gt;""),IF(EOMONTH($BZ$3+INT((DAY(EOMONTH($BZ$3,0))-1)/2)+BZ$14,0)=EOMONTH($F$3,0),BZ$12*BZ$13,0),0),IF(AND(BV$12&lt;&gt;"",BV$14&lt;&gt;""),IF(EOMONTH($BV$3+INT((DAY(EOMONTH($BV$3,0))-1)/2)+BV$14,0)=EOMONTH($F$3,0),BV$12*BV$13,0),0),IF(AND(BR$12&lt;&gt;"",BR$14&lt;&gt;""),IF(EOMONTH($BR$3+INT((DAY(EOMONTH($BR$3,0))-1)/2)+BR$14,0)=EOMONTH($F$3,0),BR$12*BR$13,0),0),IF(AND(BN$12&lt;&gt;"",BN$14&lt;&gt;""),IF(EOMONTH($BN$3+INT((DAY(EOMONTH($BN$3,0))-1)/2)+BN$14,0)=EOMONTH($F$3,0),BN$12*BN$13,0),0),IF(AND(BJ$12&lt;&gt;"",BJ$14&lt;&gt;""),IF(EOMONTH($BJ$3+INT((DAY(EOMONTH($BJ$3,0))-1)/2)+BJ$14,0)=EOMONTH($F$3,0),BJ$12*BJ$13,0),0),IF(AND(BF$12&lt;&gt;"",BF$14&lt;&gt;""),IF(EOMONTH($BF$3+INT((DAY(EOMONTH($BF$3,0))-1)/2)+BF$14,0)=EOMONTH($F$3,0),BF$12*BF$13,0),0),IF(AND(BB$12&lt;&gt;"",BB$14&lt;&gt;""),IF(EOMONTH($BB$3+INT((DAY(EOMONTH($BB$3,0))-1)/2)+BB$14,0)=EOMONTH($F$3,0),BB$12*BB$13,0),0),IF(AND(AX$12&lt;&gt;"",AX$14&lt;&gt;""),IF(EOMONTH($AX$3+INT((DAY(EOMONTH($AX$3,0))-1)/2)+AX$14,0)=EOMONTH($F$3,0),AX$12*AX$13,0),0),IF(AND(AT$12&lt;&gt;"",AT$14&lt;&gt;""),IF(EOMONTH($AT$3+INT((DAY(EOMONTH($AT$3,0))-1)/2)+AT$14,0)=EOMONTH($F$3,0),AT$12*AT$13,0),0),IF(AND(AP$12&lt;&gt;"",AP$14&lt;&gt;""),IF(EOMONTH($AP$3+INT((DAY(EOMONTH($AP$3,0))-1)/2)+AP$14,0)=EOMONTH($F$3,0),AP$12*AP$13,0),0),IF(AND(AL$12&lt;&gt;"",AL$14&lt;&gt;""),IF(EOMONTH($AL$3+INT((DAY(EOMONTH($AL$3,0))-1)/2)+AL$14,0)=EOMONTH($F$3,0),AL$12*AL$13,0),0),IF(AND(AH$12&lt;&gt;"",AH$14&lt;&gt;""),IF(EOMONTH($AH$3+INT((DAY(EOMONTH($AH$3,0))-1)/2)+AH$14,0)=EOMONTH($F$3,0),AH$12*AH$13,0),0),IF(AND(AD$12&lt;&gt;"",AD$14&lt;&gt;""),IF(EOMONTH($AD$3+INT((DAY(EOMONTH($AD$3,0))-1)/2)+AD$14,0)=EOMONTH($F$3,0),AD$12*AD$13,0),0),IF(AND(Z$12&lt;&gt;"",Z$14&lt;&gt;""),IF(EOMONTH($Z$3+INT((DAY(EOMONTH($Z$3,0))-1)/2)+Z$14,0)=EOMONTH($F$3,0),Z$12*Z$13,0),0),IF(AND(V$12&lt;&gt;"",V$14&lt;&gt;""),IF(EOMONTH($V$3+INT((DAY(EOMONTH($V$3,0))-1)/2)+V$14,0)=EOMONTH($F$3,0),V$12*V$13,0),0),IF(AND(R$12&lt;&gt;"",R$14&lt;&gt;""),IF(EOMONTH($R$3+INT((DAY(EOMONTH($R$3,0))-1)/2)+R$14,0)=EOMONTH($F$3,0),R$12*R$13,0),0),IF(AND(N$12&lt;&gt;"",N$14&lt;&gt;""),IF(EOMONTH($N$3+INT((DAY(EOMONTH($N$3,0))-1)/2)+N$14,0)=EOMONTH($F$3,0),N$12*N$13,0),0),IF(AND(J$12&lt;&gt;"",J$14&lt;&gt;""),IF(EOMONTH($J$3+INT((DAY(EOMONTH($J$3,0))-1)/2)+J$14,0)=EOMONTH($F$3,0),J$12*J$13,0),0),IF(AND(F$12&lt;&gt;"",F$14&lt;&gt;""),IF(EOMONTH($F$3+INT((DAY(EOMONTH($F$3,0))-1)/2)+F$14,0)=EOMONTH($F$3,0),F$12*F$13,0),0),IF($EP$75="",0,IF(EOMONTH($EP$75+EP$14,0)=EOMONTH($F$3,0),$EP$77*EP$13,0))),0)</f>
        <v>0</v>
      </c>
      <c r="G73" s="41">
        <f t="shared" si="1076"/>
        <v>144000</v>
      </c>
      <c r="H73" s="41">
        <f t="shared" si="1076"/>
        <v>144000</v>
      </c>
      <c r="I73" s="41">
        <f t="shared" si="1077"/>
        <v>0</v>
      </c>
      <c r="J73" s="41">
        <f t="shared" ref="J73:L73" si="1078">ROUND(SUM(IF(AND(EP$12&lt;&gt;"",EP$14&lt;&gt;""),IF(EOMONTH($EP$3+INT((DAY(EOMONTH($EP$3,0))-1)/2)+EP$14,0)=EOMONTH($J$3,0),EP$12*EP$13,0),0),IF(AND(EL$12&lt;&gt;"",EL$14&lt;&gt;""),IF(EOMONTH($EL$3+INT((DAY(EOMONTH($EL$3,0))-1)/2)+EL$14,0)=EOMONTH($J$3,0),EL$12*EL$13,0),0),IF(AND(EH$12&lt;&gt;"",EH$14&lt;&gt;""),IF(EOMONTH($EH$3+INT((DAY(EOMONTH($EH$3,0))-1)/2)+EH$14,0)=EOMONTH($J$3,0),EH$12*EH$13,0),0),IF(AND(ED$12&lt;&gt;"",ED$14&lt;&gt;""),IF(EOMONTH($ED$3+INT((DAY(EOMONTH($ED$3,0))-1)/2)+ED$14,0)=EOMONTH($J$3,0),ED$12*ED$13,0),0),IF(AND(DZ$12&lt;&gt;"",DZ$14&lt;&gt;""),IF(EOMONTH($DZ$3+INT((DAY(EOMONTH($DZ$3,0))-1)/2)+DZ$14,0)=EOMONTH($J$3,0),DZ$12*DZ$13,0),0),IF(AND(DV$12&lt;&gt;"",DV$14&lt;&gt;""),IF(EOMONTH($DV$3+INT((DAY(EOMONTH($DV$3,0))-1)/2)+DV$14,0)=EOMONTH($J$3,0),DV$12*DV$13,0),0),IF(AND(DR$12&lt;&gt;"",DR$14&lt;&gt;""),IF(EOMONTH($DR$3+INT((DAY(EOMONTH($DR$3,0))-1)/2)+DR$14,0)=EOMONTH($J$3,0),DR$12*DR$13,0),0),IF(AND(DN$12&lt;&gt;"",DN$14&lt;&gt;""),IF(EOMONTH($DN$3+INT((DAY(EOMONTH($DN$3,0))-1)/2)+DN$14,0)=EOMONTH($J$3,0),DN$12*DN$13,0),0),IF(AND(DJ$12&lt;&gt;"",DJ$14&lt;&gt;""),IF(EOMONTH($DJ$3+INT((DAY(EOMONTH($DJ$3,0))-1)/2)+DJ$14,0)=EOMONTH($J$3,0),DJ$12*DJ$13,0),0),IF(AND(DF$12&lt;&gt;"",DF$14&lt;&gt;""),IF(EOMONTH($DF$3+INT((DAY(EOMONTH($DF$3,0))-1)/2)+DF$14,0)=EOMONTH($J$3,0),DF$12*DF$13,0),0),IF(AND(DB$12&lt;&gt;"",DB$14&lt;&gt;""),IF(EOMONTH($DB$3+INT((DAY(EOMONTH($DB$3,0))-1)/2)+DB$14,0)=EOMONTH($J$3,0),DB$12*DB$13,0),0),IF(AND(CX$12&lt;&gt;"",CX$14&lt;&gt;""),IF(EOMONTH($CX$3+INT((DAY(EOMONTH($CX$3,0))-1)/2)+CX$14,0)=EOMONTH($J$3,0),CX$12*CX$13,0),0),IF(AND(CT$12&lt;&gt;"",CT$14&lt;&gt;""),IF(EOMONTH($CT$3+INT((DAY(EOMONTH($CT$3,0))-1)/2)+CT$14,0)=EOMONTH($J$3,0),CT$12*CT$13,0),0),IF(AND(CP$12&lt;&gt;"",CP$14&lt;&gt;""),IF(EOMONTH($CP$3+INT((DAY(EOMONTH($CP$3,0))-1)/2)+CP$14,0)=EOMONTH($J$3,0),CP$12*CP$13,0),0),IF(AND(CL$12&lt;&gt;"",CL$14&lt;&gt;""),IF(EOMONTH($CL$3+INT((DAY(EOMONTH($CL$3,0))-1)/2)+CL$14,0)=EOMONTH($J$3,0),CL$12*CL$13,0),0),IF(AND(CH$12&lt;&gt;"",CH$14&lt;&gt;""),IF(EOMONTH($CH$3+INT((DAY(EOMONTH($CH$3,0))-1)/2)+CH$14,0)=EOMONTH($J$3,0),CH$12*CH$13,0),0),IF(AND(CD$12&lt;&gt;"",CD$14&lt;&gt;""),IF(EOMONTH($CD$3+INT((DAY(EOMONTH($CD$3,0))-1)/2)+CD$14,0)=EOMONTH($J$3,0),CD$12*CD$13,0),0),IF(AND(BZ$12&lt;&gt;"",BZ$14&lt;&gt;""),IF(EOMONTH($BZ$3+INT((DAY(EOMONTH($BZ$3,0))-1)/2)+BZ$14,0)=EOMONTH($J$3,0),BZ$12*BZ$13,0),0),IF(AND(BV$12&lt;&gt;"",BV$14&lt;&gt;""),IF(EOMONTH($BV$3+INT((DAY(EOMONTH($BV$3,0))-1)/2)+BV$14,0)=EOMONTH($J$3,0),BV$12*BV$13,0),0),IF(AND(BR$12&lt;&gt;"",BR$14&lt;&gt;""),IF(EOMONTH($BR$3+INT((DAY(EOMONTH($BR$3,0))-1)/2)+BR$14,0)=EOMONTH($J$3,0),BR$12*BR$13,0),0),IF(AND(BN$12&lt;&gt;"",BN$14&lt;&gt;""),IF(EOMONTH($BN$3+INT((DAY(EOMONTH($BN$3,0))-1)/2)+BN$14,0)=EOMONTH($J$3,0),BN$12*BN$13,0),0),IF(AND(BJ$12&lt;&gt;"",BJ$14&lt;&gt;""),IF(EOMONTH($BJ$3+INT((DAY(EOMONTH($BJ$3,0))-1)/2)+BJ$14,0)=EOMONTH($J$3,0),BJ$12*BJ$13,0),0),IF(AND(BF$12&lt;&gt;"",BF$14&lt;&gt;""),IF(EOMONTH($BF$3+INT((DAY(EOMONTH($BF$3,0))-1)/2)+BF$14,0)=EOMONTH($J$3,0),BF$12*BF$13,0),0),IF(AND(BB$12&lt;&gt;"",BB$14&lt;&gt;""),IF(EOMONTH($BB$3+INT((DAY(EOMONTH($BB$3,0))-1)/2)+BB$14,0)=EOMONTH($J$3,0),BB$12*BB$13,0),0),IF(AND(AX$12&lt;&gt;"",AX$14&lt;&gt;""),IF(EOMONTH($AX$3+INT((DAY(EOMONTH($AX$3,0))-1)/2)+AX$14,0)=EOMONTH($J$3,0),AX$12*AX$13,0),0),IF(AND(AT$12&lt;&gt;"",AT$14&lt;&gt;""),IF(EOMONTH($AT$3+INT((DAY(EOMONTH($AT$3,0))-1)/2)+AT$14,0)=EOMONTH($J$3,0),AT$12*AT$13,0),0),IF(AND(AP$12&lt;&gt;"",AP$14&lt;&gt;""),IF(EOMONTH($AP$3+INT((DAY(EOMONTH($AP$3,0))-1)/2)+AP$14,0)=EOMONTH($J$3,0),AP$12*AP$13,0),0),IF(AND(AL$12&lt;&gt;"",AL$14&lt;&gt;""),IF(EOMONTH($AL$3+INT((DAY(EOMONTH($AL$3,0))-1)/2)+AL$14,0)=EOMONTH($J$3,0),AL$12*AL$13,0),0),IF(AND(AH$12&lt;&gt;"",AH$14&lt;&gt;""),IF(EOMONTH($AH$3+INT((DAY(EOMONTH($AH$3,0))-1)/2)+AH$14,0)=EOMONTH($J$3,0),AH$12*AH$13,0),0),IF(AND(AD$12&lt;&gt;"",AD$14&lt;&gt;""),IF(EOMONTH($AD$3+INT((DAY(EOMONTH($AD$3,0))-1)/2)+AD$14,0)=EOMONTH($J$3,0),AD$12*AD$13,0),0),IF(AND(Z$12&lt;&gt;"",Z$14&lt;&gt;""),IF(EOMONTH($Z$3+INT((DAY(EOMONTH($Z$3,0))-1)/2)+Z$14,0)=EOMONTH($J$3,0),Z$12*Z$13,0),0),IF(AND(V$12&lt;&gt;"",V$14&lt;&gt;""),IF(EOMONTH($V$3+INT((DAY(EOMONTH($V$3,0))-1)/2)+V$14,0)=EOMONTH($J$3,0),V$12*V$13,0),0),IF(AND(R$12&lt;&gt;"",R$14&lt;&gt;""),IF(EOMONTH($R$3+INT((DAY(EOMONTH($R$3,0))-1)/2)+R$14,0)=EOMONTH($J$3,0),R$12*R$13,0),0),IF(AND(N$12&lt;&gt;"",N$14&lt;&gt;""),IF(EOMONTH($N$3+INT((DAY(EOMONTH($N$3,0))-1)/2)+N$14,0)=EOMONTH($J$3,0),N$12*N$13,0),0),IF(AND(J$12&lt;&gt;"",J$14&lt;&gt;""),IF(EOMONTH($J$3+INT((DAY(EOMONTH($J$3,0))-1)/2)+J$14,0)=EOMONTH($J$3,0),J$12*J$13,0),0),IF(AND(F$12&lt;&gt;"",F$14&lt;&gt;""),IF(EOMONTH($F$3+INT((DAY(EOMONTH($F$3,0))-1)/2)+F$14,0)=EOMONTH($J$3,0),F$12*F$13,0),0),IF($EP$75="",0,IF(EOMONTH($EP$75+EP$14,0)=EOMONTH($J$3,0),$EP$77*EP$13,0))),0)</f>
        <v>0</v>
      </c>
      <c r="K73" s="41">
        <f t="shared" si="1078"/>
        <v>144000</v>
      </c>
      <c r="L73" s="41">
        <f t="shared" si="1078"/>
        <v>144000</v>
      </c>
      <c r="M73" s="41">
        <f t="shared" si="1079"/>
        <v>0</v>
      </c>
      <c r="N73" s="41">
        <f t="shared" ref="N73:P73" si="1080">ROUND(SUM(IF(AND(EP$12&lt;&gt;"",EP$14&lt;&gt;""),IF(EOMONTH($EP$3+INT((DAY(EOMONTH($EP$3,0))-1)/2)+EP$14,0)=EOMONTH($N$3,0),EP$12*EP$13,0),0),IF(AND(EL$12&lt;&gt;"",EL$14&lt;&gt;""),IF(EOMONTH($EL$3+INT((DAY(EOMONTH($EL$3,0))-1)/2)+EL$14,0)=EOMONTH($N$3,0),EL$12*EL$13,0),0),IF(AND(EH$12&lt;&gt;"",EH$14&lt;&gt;""),IF(EOMONTH($EH$3+INT((DAY(EOMONTH($EH$3,0))-1)/2)+EH$14,0)=EOMONTH($N$3,0),EH$12*EH$13,0),0),IF(AND(ED$12&lt;&gt;"",ED$14&lt;&gt;""),IF(EOMONTH($ED$3+INT((DAY(EOMONTH($ED$3,0))-1)/2)+ED$14,0)=EOMONTH($N$3,0),ED$12*ED$13,0),0),IF(AND(DZ$12&lt;&gt;"",DZ$14&lt;&gt;""),IF(EOMONTH($DZ$3+INT((DAY(EOMONTH($DZ$3,0))-1)/2)+DZ$14,0)=EOMONTH($N$3,0),DZ$12*DZ$13,0),0),IF(AND(DV$12&lt;&gt;"",DV$14&lt;&gt;""),IF(EOMONTH($DV$3+INT((DAY(EOMONTH($DV$3,0))-1)/2)+DV$14,0)=EOMONTH($N$3,0),DV$12*DV$13,0),0),IF(AND(DR$12&lt;&gt;"",DR$14&lt;&gt;""),IF(EOMONTH($DR$3+INT((DAY(EOMONTH($DR$3,0))-1)/2)+DR$14,0)=EOMONTH($N$3,0),DR$12*DR$13,0),0),IF(AND(DN$12&lt;&gt;"",DN$14&lt;&gt;""),IF(EOMONTH($DN$3+INT((DAY(EOMONTH($DN$3,0))-1)/2)+DN$14,0)=EOMONTH($N$3,0),DN$12*DN$13,0),0),IF(AND(DJ$12&lt;&gt;"",DJ$14&lt;&gt;""),IF(EOMONTH($DJ$3+INT((DAY(EOMONTH($DJ$3,0))-1)/2)+DJ$14,0)=EOMONTH($N$3,0),DJ$12*DJ$13,0),0),IF(AND(DF$12&lt;&gt;"",DF$14&lt;&gt;""),IF(EOMONTH($DF$3+INT((DAY(EOMONTH($DF$3,0))-1)/2)+DF$14,0)=EOMONTH($N$3,0),DF$12*DF$13,0),0),IF(AND(DB$12&lt;&gt;"",DB$14&lt;&gt;""),IF(EOMONTH($DB$3+INT((DAY(EOMONTH($DB$3,0))-1)/2)+DB$14,0)=EOMONTH($N$3,0),DB$12*DB$13,0),0),IF(AND(CX$12&lt;&gt;"",CX$14&lt;&gt;""),IF(EOMONTH($CX$3+INT((DAY(EOMONTH($CX$3,0))-1)/2)+CX$14,0)=EOMONTH($N$3,0),CX$12*CX$13,0),0),IF(AND(CT$12&lt;&gt;"",CT$14&lt;&gt;""),IF(EOMONTH($CT$3+INT((DAY(EOMONTH($CT$3,0))-1)/2)+CT$14,0)=EOMONTH($N$3,0),CT$12*CT$13,0),0),IF(AND(CP$12&lt;&gt;"",CP$14&lt;&gt;""),IF(EOMONTH($CP$3+INT((DAY(EOMONTH($CP$3,0))-1)/2)+CP$14,0)=EOMONTH($N$3,0),CP$12*CP$13,0),0),IF(AND(CL$12&lt;&gt;"",CL$14&lt;&gt;""),IF(EOMONTH($CL$3+INT((DAY(EOMONTH($CL$3,0))-1)/2)+CL$14,0)=EOMONTH($N$3,0),CL$12*CL$13,0),0),IF(AND(CH$12&lt;&gt;"",CH$14&lt;&gt;""),IF(EOMONTH($CH$3+INT((DAY(EOMONTH($CH$3,0))-1)/2)+CH$14,0)=EOMONTH($N$3,0),CH$12*CH$13,0),0),IF(AND(CD$12&lt;&gt;"",CD$14&lt;&gt;""),IF(EOMONTH($CD$3+INT((DAY(EOMONTH($CD$3,0))-1)/2)+CD$14,0)=EOMONTH($N$3,0),CD$12*CD$13,0),0),IF(AND(BZ$12&lt;&gt;"",BZ$14&lt;&gt;""),IF(EOMONTH($BZ$3+INT((DAY(EOMONTH($BZ$3,0))-1)/2)+BZ$14,0)=EOMONTH($N$3,0),BZ$12*BZ$13,0),0),IF(AND(BV$12&lt;&gt;"",BV$14&lt;&gt;""),IF(EOMONTH($BV$3+INT((DAY(EOMONTH($BV$3,0))-1)/2)+BV$14,0)=EOMONTH($N$3,0),BV$12*BV$13,0),0),IF(AND(BR$12&lt;&gt;"",BR$14&lt;&gt;""),IF(EOMONTH($BR$3+INT((DAY(EOMONTH($BR$3,0))-1)/2)+BR$14,0)=EOMONTH($N$3,0),BR$12*BR$13,0),0),IF(AND(BN$12&lt;&gt;"",BN$14&lt;&gt;""),IF(EOMONTH($BN$3+INT((DAY(EOMONTH($BN$3,0))-1)/2)+BN$14,0)=EOMONTH($N$3,0),BN$12*BN$13,0),0),IF(AND(BJ$12&lt;&gt;"",BJ$14&lt;&gt;""),IF(EOMONTH($BJ$3+INT((DAY(EOMONTH($BJ$3,0))-1)/2)+BJ$14,0)=EOMONTH($N$3,0),BJ$12*BJ$13,0),0),IF(AND(BF$12&lt;&gt;"",BF$14&lt;&gt;""),IF(EOMONTH($BF$3+INT((DAY(EOMONTH($BF$3,0))-1)/2)+BF$14,0)=EOMONTH($N$3,0),BF$12*BF$13,0),0),IF(AND(BB$12&lt;&gt;"",BB$14&lt;&gt;""),IF(EOMONTH($BB$3+INT((DAY(EOMONTH($BB$3,0))-1)/2)+BB$14,0)=EOMONTH($N$3,0),BB$12*BB$13,0),0),IF(AND(AX$12&lt;&gt;"",AX$14&lt;&gt;""),IF(EOMONTH($AX$3+INT((DAY(EOMONTH($AX$3,0))-1)/2)+AX$14,0)=EOMONTH($N$3,0),AX$12*AX$13,0),0),IF(AND(AT$12&lt;&gt;"",AT$14&lt;&gt;""),IF(EOMONTH($AT$3+INT((DAY(EOMONTH($AT$3,0))-1)/2)+AT$14,0)=EOMONTH($N$3,0),AT$12*AT$13,0),0),IF(AND(AP$12&lt;&gt;"",AP$14&lt;&gt;""),IF(EOMONTH($AP$3+INT((DAY(EOMONTH($AP$3,0))-1)/2)+AP$14,0)=EOMONTH($N$3,0),AP$12*AP$13,0),0),IF(AND(AL$12&lt;&gt;"",AL$14&lt;&gt;""),IF(EOMONTH($AL$3+INT((DAY(EOMONTH($AL$3,0))-1)/2)+AL$14,0)=EOMONTH($N$3,0),AL$12*AL$13,0),0),IF(AND(AH$12&lt;&gt;"",AH$14&lt;&gt;""),IF(EOMONTH($AH$3+INT((DAY(EOMONTH($AH$3,0))-1)/2)+AH$14,0)=EOMONTH($N$3,0),AH$12*AH$13,0),0),IF(AND(AD$12&lt;&gt;"",AD$14&lt;&gt;""),IF(EOMONTH($AD$3+INT((DAY(EOMONTH($AD$3,0))-1)/2)+AD$14,0)=EOMONTH($N$3,0),AD$12*AD$13,0),0),IF(AND(Z$12&lt;&gt;"",Z$14&lt;&gt;""),IF(EOMONTH($Z$3+INT((DAY(EOMONTH($Z$3,0))-1)/2)+Z$14,0)=EOMONTH($N$3,0),Z$12*Z$13,0),0),IF(AND(V$12&lt;&gt;"",V$14&lt;&gt;""),IF(EOMONTH($V$3+INT((DAY(EOMONTH($V$3,0))-1)/2)+V$14,0)=EOMONTH($N$3,0),V$12*V$13,0),0),IF(AND(R$12&lt;&gt;"",R$14&lt;&gt;""),IF(EOMONTH($R$3+INT((DAY(EOMONTH($R$3,0))-1)/2)+R$14,0)=EOMONTH($N$3,0),R$12*R$13,0),0),IF(AND(N$12&lt;&gt;"",N$14&lt;&gt;""),IF(EOMONTH($N$3+INT((DAY(EOMONTH($N$3,0))-1)/2)+N$14,0)=EOMONTH($N$3,0),N$12*N$13,0),0),IF(AND(J$12&lt;&gt;"",J$14&lt;&gt;""),IF(EOMONTH($J$3+INT((DAY(EOMONTH($J$3,0))-1)/2)+J$14,0)=EOMONTH($N$3,0),J$12*J$13,0),0),IF(AND(F$12&lt;&gt;"",F$14&lt;&gt;""),IF(EOMONTH($F$3+INT((DAY(EOMONTH($F$3,0))-1)/2)+F$14,0)=EOMONTH($N$3,0),F$12*F$13,0),0),IF($EP$75="",0,IF(EOMONTH($EP$75+EP$14,0)=EOMONTH($N$3,0),$EP$77*EP$13,0))),0)</f>
        <v>0</v>
      </c>
      <c r="O73" s="41">
        <f t="shared" si="1080"/>
        <v>144000</v>
      </c>
      <c r="P73" s="41">
        <f t="shared" si="1080"/>
        <v>144000</v>
      </c>
      <c r="Q73" s="41">
        <f t="shared" si="1081"/>
        <v>0</v>
      </c>
      <c r="R73" s="41">
        <f t="shared" ref="R73:T73" si="1082">ROUND(SUM(IF(AND(EP$12&lt;&gt;"",EP$14&lt;&gt;""),IF(EOMONTH($EP$3+INT((DAY(EOMONTH($EP$3,0))-1)/2)+EP$14,0)=EOMONTH($R$3,0),EP$12*EP$13,0),0),IF(AND(EL$12&lt;&gt;"",EL$14&lt;&gt;""),IF(EOMONTH($EL$3+INT((DAY(EOMONTH($EL$3,0))-1)/2)+EL$14,0)=EOMONTH($R$3,0),EL$12*EL$13,0),0),IF(AND(EH$12&lt;&gt;"",EH$14&lt;&gt;""),IF(EOMONTH($EH$3+INT((DAY(EOMONTH($EH$3,0))-1)/2)+EH$14,0)=EOMONTH($R$3,0),EH$12*EH$13,0),0),IF(AND(ED$12&lt;&gt;"",ED$14&lt;&gt;""),IF(EOMONTH($ED$3+INT((DAY(EOMONTH($ED$3,0))-1)/2)+ED$14,0)=EOMONTH($R$3,0),ED$12*ED$13,0),0),IF(AND(DZ$12&lt;&gt;"",DZ$14&lt;&gt;""),IF(EOMONTH($DZ$3+INT((DAY(EOMONTH($DZ$3,0))-1)/2)+DZ$14,0)=EOMONTH($R$3,0),DZ$12*DZ$13,0),0),IF(AND(DV$12&lt;&gt;"",DV$14&lt;&gt;""),IF(EOMONTH($DV$3+INT((DAY(EOMONTH($DV$3,0))-1)/2)+DV$14,0)=EOMONTH($R$3,0),DV$12*DV$13,0),0),IF(AND(DR$12&lt;&gt;"",DR$14&lt;&gt;""),IF(EOMONTH($DR$3+INT((DAY(EOMONTH($DR$3,0))-1)/2)+DR$14,0)=EOMONTH($R$3,0),DR$12*DR$13,0),0),IF(AND(DN$12&lt;&gt;"",DN$14&lt;&gt;""),IF(EOMONTH($DN$3+INT((DAY(EOMONTH($DN$3,0))-1)/2)+DN$14,0)=EOMONTH($R$3,0),DN$12*DN$13,0),0),IF(AND(DJ$12&lt;&gt;"",DJ$14&lt;&gt;""),IF(EOMONTH($DJ$3+INT((DAY(EOMONTH($DJ$3,0))-1)/2)+DJ$14,0)=EOMONTH($R$3,0),DJ$12*DJ$13,0),0),IF(AND(DF$12&lt;&gt;"",DF$14&lt;&gt;""),IF(EOMONTH($DF$3+INT((DAY(EOMONTH($DF$3,0))-1)/2)+DF$14,0)=EOMONTH($R$3,0),DF$12*DF$13,0),0),IF(AND(DB$12&lt;&gt;"",DB$14&lt;&gt;""),IF(EOMONTH($DB$3+INT((DAY(EOMONTH($DB$3,0))-1)/2)+DB$14,0)=EOMONTH($R$3,0),DB$12*DB$13,0),0),IF(AND(CX$12&lt;&gt;"",CX$14&lt;&gt;""),IF(EOMONTH($CX$3+INT((DAY(EOMONTH($CX$3,0))-1)/2)+CX$14,0)=EOMONTH($R$3,0),CX$12*CX$13,0),0),IF(AND(CT$12&lt;&gt;"",CT$14&lt;&gt;""),IF(EOMONTH($CT$3+INT((DAY(EOMONTH($CT$3,0))-1)/2)+CT$14,0)=EOMONTH($R$3,0),CT$12*CT$13,0),0),IF(AND(CP$12&lt;&gt;"",CP$14&lt;&gt;""),IF(EOMONTH($CP$3+INT((DAY(EOMONTH($CP$3,0))-1)/2)+CP$14,0)=EOMONTH($R$3,0),CP$12*CP$13,0),0),IF(AND(CL$12&lt;&gt;"",CL$14&lt;&gt;""),IF(EOMONTH($CL$3+INT((DAY(EOMONTH($CL$3,0))-1)/2)+CL$14,0)=EOMONTH($R$3,0),CL$12*CL$13,0),0),IF(AND(CH$12&lt;&gt;"",CH$14&lt;&gt;""),IF(EOMONTH($CH$3+INT((DAY(EOMONTH($CH$3,0))-1)/2)+CH$14,0)=EOMONTH($R$3,0),CH$12*CH$13,0),0),IF(AND(CD$12&lt;&gt;"",CD$14&lt;&gt;""),IF(EOMONTH($CD$3+INT((DAY(EOMONTH($CD$3,0))-1)/2)+CD$14,0)=EOMONTH($R$3,0),CD$12*CD$13,0),0),IF(AND(BZ$12&lt;&gt;"",BZ$14&lt;&gt;""),IF(EOMONTH($BZ$3+INT((DAY(EOMONTH($BZ$3,0))-1)/2)+BZ$14,0)=EOMONTH($R$3,0),BZ$12*BZ$13,0),0),IF(AND(BV$12&lt;&gt;"",BV$14&lt;&gt;""),IF(EOMONTH($BV$3+INT((DAY(EOMONTH($BV$3,0))-1)/2)+BV$14,0)=EOMONTH($R$3,0),BV$12*BV$13,0),0),IF(AND(BR$12&lt;&gt;"",BR$14&lt;&gt;""),IF(EOMONTH($BR$3+INT((DAY(EOMONTH($BR$3,0))-1)/2)+BR$14,0)=EOMONTH($R$3,0),BR$12*BR$13,0),0),IF(AND(BN$12&lt;&gt;"",BN$14&lt;&gt;""),IF(EOMONTH($BN$3+INT((DAY(EOMONTH($BN$3,0))-1)/2)+BN$14,0)=EOMONTH($R$3,0),BN$12*BN$13,0),0),IF(AND(BJ$12&lt;&gt;"",BJ$14&lt;&gt;""),IF(EOMONTH($BJ$3+INT((DAY(EOMONTH($BJ$3,0))-1)/2)+BJ$14,0)=EOMONTH($R$3,0),BJ$12*BJ$13,0),0),IF(AND(BF$12&lt;&gt;"",BF$14&lt;&gt;""),IF(EOMONTH($BF$3+INT((DAY(EOMONTH($BF$3,0))-1)/2)+BF$14,0)=EOMONTH($R$3,0),BF$12*BF$13,0),0),IF(AND(BB$12&lt;&gt;"",BB$14&lt;&gt;""),IF(EOMONTH($BB$3+INT((DAY(EOMONTH($BB$3,0))-1)/2)+BB$14,0)=EOMONTH($R$3,0),BB$12*BB$13,0),0),IF(AND(AX$12&lt;&gt;"",AX$14&lt;&gt;""),IF(EOMONTH($AX$3+INT((DAY(EOMONTH($AX$3,0))-1)/2)+AX$14,0)=EOMONTH($R$3,0),AX$12*AX$13,0),0),IF(AND(AT$12&lt;&gt;"",AT$14&lt;&gt;""),IF(EOMONTH($AT$3+INT((DAY(EOMONTH($AT$3,0))-1)/2)+AT$14,0)=EOMONTH($R$3,0),AT$12*AT$13,0),0),IF(AND(AP$12&lt;&gt;"",AP$14&lt;&gt;""),IF(EOMONTH($AP$3+INT((DAY(EOMONTH($AP$3,0))-1)/2)+AP$14,0)=EOMONTH($R$3,0),AP$12*AP$13,0),0),IF(AND(AL$12&lt;&gt;"",AL$14&lt;&gt;""),IF(EOMONTH($AL$3+INT((DAY(EOMONTH($AL$3,0))-1)/2)+AL$14,0)=EOMONTH($R$3,0),AL$12*AL$13,0),0),IF(AND(AH$12&lt;&gt;"",AH$14&lt;&gt;""),IF(EOMONTH($AH$3+INT((DAY(EOMONTH($AH$3,0))-1)/2)+AH$14,0)=EOMONTH($R$3,0),AH$12*AH$13,0),0),IF(AND(AD$12&lt;&gt;"",AD$14&lt;&gt;""),IF(EOMONTH($AD$3+INT((DAY(EOMONTH($AD$3,0))-1)/2)+AD$14,0)=EOMONTH($R$3,0),AD$12*AD$13,0),0),IF(AND(Z$12&lt;&gt;"",Z$14&lt;&gt;""),IF(EOMONTH($Z$3+INT((DAY(EOMONTH($Z$3,0))-1)/2)+Z$14,0)=EOMONTH($R$3,0),Z$12*Z$13,0),0),IF(AND(V$12&lt;&gt;"",V$14&lt;&gt;""),IF(EOMONTH($V$3+INT((DAY(EOMONTH($V$3,0))-1)/2)+V$14,0)=EOMONTH($R$3,0),V$12*V$13,0),0),IF(AND(R$12&lt;&gt;"",R$14&lt;&gt;""),IF(EOMONTH($R$3+INT((DAY(EOMONTH($R$3,0))-1)/2)+R$14,0)=EOMONTH($R$3,0),R$12*R$13,0),0),IF(AND(N$12&lt;&gt;"",N$14&lt;&gt;""),IF(EOMONTH($N$3+INT((DAY(EOMONTH($N$3,0))-1)/2)+N$14,0)=EOMONTH($R$3,0),N$12*N$13,0),0),IF(AND(J$12&lt;&gt;"",J$14&lt;&gt;""),IF(EOMONTH($J$3+INT((DAY(EOMONTH($J$3,0))-1)/2)+J$14,0)=EOMONTH($R$3,0),J$12*J$13,0),0),IF(AND(F$12&lt;&gt;"",F$14&lt;&gt;""),IF(EOMONTH($F$3+INT((DAY(EOMONTH($F$3,0))-1)/2)+F$14,0)=EOMONTH($R$3,0),F$12*F$13,0),0),IF($EP$75="",0,IF(EOMONTH($EP$75+EP$14,0)=EOMONTH($R$3,0),$EP$77*EP$13,0))),0)</f>
        <v>0</v>
      </c>
      <c r="S73" s="41">
        <f t="shared" si="1082"/>
        <v>144000</v>
      </c>
      <c r="T73" s="41">
        <f t="shared" si="1082"/>
        <v>144000</v>
      </c>
      <c r="U73" s="41">
        <f t="shared" si="1083"/>
        <v>0</v>
      </c>
      <c r="V73" s="41">
        <f t="shared" ref="V73:X73" si="1084">ROUND(SUM(IF(AND(EP$12&lt;&gt;"",EP$14&lt;&gt;""),IF(EOMONTH($EP$3+INT((DAY(EOMONTH($EP$3,0))-1)/2)+EP$14,0)=EOMONTH($V$3,0),EP$12*EP$13,0),0),IF(AND(EL$12&lt;&gt;"",EL$14&lt;&gt;""),IF(EOMONTH($EL$3+INT((DAY(EOMONTH($EL$3,0))-1)/2)+EL$14,0)=EOMONTH($V$3,0),EL$12*EL$13,0),0),IF(AND(EH$12&lt;&gt;"",EH$14&lt;&gt;""),IF(EOMONTH($EH$3+INT((DAY(EOMONTH($EH$3,0))-1)/2)+EH$14,0)=EOMONTH($V$3,0),EH$12*EH$13,0),0),IF(AND(ED$12&lt;&gt;"",ED$14&lt;&gt;""),IF(EOMONTH($ED$3+INT((DAY(EOMONTH($ED$3,0))-1)/2)+ED$14,0)=EOMONTH($V$3,0),ED$12*ED$13,0),0),IF(AND(DZ$12&lt;&gt;"",DZ$14&lt;&gt;""),IF(EOMONTH($DZ$3+INT((DAY(EOMONTH($DZ$3,0))-1)/2)+DZ$14,0)=EOMONTH($V$3,0),DZ$12*DZ$13,0),0),IF(AND(DV$12&lt;&gt;"",DV$14&lt;&gt;""),IF(EOMONTH($DV$3+INT((DAY(EOMONTH($DV$3,0))-1)/2)+DV$14,0)=EOMONTH($V$3,0),DV$12*DV$13,0),0),IF(AND(DR$12&lt;&gt;"",DR$14&lt;&gt;""),IF(EOMONTH($DR$3+INT((DAY(EOMONTH($DR$3,0))-1)/2)+DR$14,0)=EOMONTH($V$3,0),DR$12*DR$13,0),0),IF(AND(DN$12&lt;&gt;"",DN$14&lt;&gt;""),IF(EOMONTH($DN$3+INT((DAY(EOMONTH($DN$3,0))-1)/2)+DN$14,0)=EOMONTH($V$3,0),DN$12*DN$13,0),0),IF(AND(DJ$12&lt;&gt;"",DJ$14&lt;&gt;""),IF(EOMONTH($DJ$3+INT((DAY(EOMONTH($DJ$3,0))-1)/2)+DJ$14,0)=EOMONTH($V$3,0),DJ$12*DJ$13,0),0),IF(AND(DF$12&lt;&gt;"",DF$14&lt;&gt;""),IF(EOMONTH($DF$3+INT((DAY(EOMONTH($DF$3,0))-1)/2)+DF$14,0)=EOMONTH($V$3,0),DF$12*DF$13,0),0),IF(AND(DB$12&lt;&gt;"",DB$14&lt;&gt;""),IF(EOMONTH($DB$3+INT((DAY(EOMONTH($DB$3,0))-1)/2)+DB$14,0)=EOMONTH($V$3,0),DB$12*DB$13,0),0),IF(AND(CX$12&lt;&gt;"",CX$14&lt;&gt;""),IF(EOMONTH($CX$3+INT((DAY(EOMONTH($CX$3,0))-1)/2)+CX$14,0)=EOMONTH($V$3,0),CX$12*CX$13,0),0),IF(AND(CT$12&lt;&gt;"",CT$14&lt;&gt;""),IF(EOMONTH($CT$3+INT((DAY(EOMONTH($CT$3,0))-1)/2)+CT$14,0)=EOMONTH($V$3,0),CT$12*CT$13,0),0),IF(AND(CP$12&lt;&gt;"",CP$14&lt;&gt;""),IF(EOMONTH($CP$3+INT((DAY(EOMONTH($CP$3,0))-1)/2)+CP$14,0)=EOMONTH($V$3,0),CP$12*CP$13,0),0),IF(AND(CL$12&lt;&gt;"",CL$14&lt;&gt;""),IF(EOMONTH($CL$3+INT((DAY(EOMONTH($CL$3,0))-1)/2)+CL$14,0)=EOMONTH($V$3,0),CL$12*CL$13,0),0),IF(AND(CH$12&lt;&gt;"",CH$14&lt;&gt;""),IF(EOMONTH($CH$3+INT((DAY(EOMONTH($CH$3,0))-1)/2)+CH$14,0)=EOMONTH($V$3,0),CH$12*CH$13,0),0),IF(AND(CD$12&lt;&gt;"",CD$14&lt;&gt;""),IF(EOMONTH($CD$3+INT((DAY(EOMONTH($CD$3,0))-1)/2)+CD$14,0)=EOMONTH($V$3,0),CD$12*CD$13,0),0),IF(AND(BZ$12&lt;&gt;"",BZ$14&lt;&gt;""),IF(EOMONTH($BZ$3+INT((DAY(EOMONTH($BZ$3,0))-1)/2)+BZ$14,0)=EOMONTH($V$3,0),BZ$12*BZ$13,0),0),IF(AND(BV$12&lt;&gt;"",BV$14&lt;&gt;""),IF(EOMONTH($BV$3+INT((DAY(EOMONTH($BV$3,0))-1)/2)+BV$14,0)=EOMONTH($V$3,0),BV$12*BV$13,0),0),IF(AND(BR$12&lt;&gt;"",BR$14&lt;&gt;""),IF(EOMONTH($BR$3+INT((DAY(EOMONTH($BR$3,0))-1)/2)+BR$14,0)=EOMONTH($V$3,0),BR$12*BR$13,0),0),IF(AND(BN$12&lt;&gt;"",BN$14&lt;&gt;""),IF(EOMONTH($BN$3+INT((DAY(EOMONTH($BN$3,0))-1)/2)+BN$14,0)=EOMONTH($V$3,0),BN$12*BN$13,0),0),IF(AND(BJ$12&lt;&gt;"",BJ$14&lt;&gt;""),IF(EOMONTH($BJ$3+INT((DAY(EOMONTH($BJ$3,0))-1)/2)+BJ$14,0)=EOMONTH($V$3,0),BJ$12*BJ$13,0),0),IF(AND(BF$12&lt;&gt;"",BF$14&lt;&gt;""),IF(EOMONTH($BF$3+INT((DAY(EOMONTH($BF$3,0))-1)/2)+BF$14,0)=EOMONTH($V$3,0),BF$12*BF$13,0),0),IF(AND(BB$12&lt;&gt;"",BB$14&lt;&gt;""),IF(EOMONTH($BB$3+INT((DAY(EOMONTH($BB$3,0))-1)/2)+BB$14,0)=EOMONTH($V$3,0),BB$12*BB$13,0),0),IF(AND(AX$12&lt;&gt;"",AX$14&lt;&gt;""),IF(EOMONTH($AX$3+INT((DAY(EOMONTH($AX$3,0))-1)/2)+AX$14,0)=EOMONTH($V$3,0),AX$12*AX$13,0),0),IF(AND(AT$12&lt;&gt;"",AT$14&lt;&gt;""),IF(EOMONTH($AT$3+INT((DAY(EOMONTH($AT$3,0))-1)/2)+AT$14,0)=EOMONTH($V$3,0),AT$12*AT$13,0),0),IF(AND(AP$12&lt;&gt;"",AP$14&lt;&gt;""),IF(EOMONTH($AP$3+INT((DAY(EOMONTH($AP$3,0))-1)/2)+AP$14,0)=EOMONTH($V$3,0),AP$12*AP$13,0),0),IF(AND(AL$12&lt;&gt;"",AL$14&lt;&gt;""),IF(EOMONTH($AL$3+INT((DAY(EOMONTH($AL$3,0))-1)/2)+AL$14,0)=EOMONTH($V$3,0),AL$12*AL$13,0),0),IF(AND(AH$12&lt;&gt;"",AH$14&lt;&gt;""),IF(EOMONTH($AH$3+INT((DAY(EOMONTH($AH$3,0))-1)/2)+AH$14,0)=EOMONTH($V$3,0),AH$12*AH$13,0),0),IF(AND(AD$12&lt;&gt;"",AD$14&lt;&gt;""),IF(EOMONTH($AD$3+INT((DAY(EOMONTH($AD$3,0))-1)/2)+AD$14,0)=EOMONTH($V$3,0),AD$12*AD$13,0),0),IF(AND(Z$12&lt;&gt;"",Z$14&lt;&gt;""),IF(EOMONTH($Z$3+INT((DAY(EOMONTH($Z$3,0))-1)/2)+Z$14,0)=EOMONTH($V$3,0),Z$12*Z$13,0),0),IF(AND(V$12&lt;&gt;"",V$14&lt;&gt;""),IF(EOMONTH($V$3+INT((DAY(EOMONTH($V$3,0))-1)/2)+V$14,0)=EOMONTH($V$3,0),V$12*V$13,0),0),IF(AND(R$12&lt;&gt;"",R$14&lt;&gt;""),IF(EOMONTH($R$3+INT((DAY(EOMONTH($R$3,0))-1)/2)+R$14,0)=EOMONTH($V$3,0),R$12*R$13,0),0),IF(AND(N$12&lt;&gt;"",N$14&lt;&gt;""),IF(EOMONTH($N$3+INT((DAY(EOMONTH($N$3,0))-1)/2)+N$14,0)=EOMONTH($V$3,0),N$12*N$13,0),0),IF(AND(J$12&lt;&gt;"",J$14&lt;&gt;""),IF(EOMONTH($J$3+INT((DAY(EOMONTH($J$3,0))-1)/2)+J$14,0)=EOMONTH($V$3,0),J$12*J$13,0),0),IF(AND(F$12&lt;&gt;"",F$14&lt;&gt;""),IF(EOMONTH($F$3+INT((DAY(EOMONTH($F$3,0))-1)/2)+F$14,0)=EOMONTH($V$3,0),F$12*F$13,0),0),IF($EP$75="",0,IF(EOMONTH($EP$75+EP$14,0)=EOMONTH($V$3,0),$EP$77*EP$13,0))),0)</f>
        <v>0</v>
      </c>
      <c r="W73" s="41">
        <f t="shared" si="1084"/>
        <v>136000</v>
      </c>
      <c r="X73" s="41">
        <f t="shared" si="1084"/>
        <v>136000</v>
      </c>
      <c r="Y73" s="41">
        <f t="shared" si="1085"/>
        <v>0</v>
      </c>
      <c r="Z73" s="41">
        <f t="shared" ref="Z73:AB73" si="1086">ROUND(SUM(IF(AND(EP$12&lt;&gt;"",EP$14&lt;&gt;""),IF(EOMONTH($EP$3+INT((DAY(EOMONTH($EP$3,0))-1)/2)+EP$14,0)=EOMONTH($Z$3,0),EP$12*EP$13,0),0),IF(AND(EL$12&lt;&gt;"",EL$14&lt;&gt;""),IF(EOMONTH($EL$3+INT((DAY(EOMONTH($EL$3,0))-1)/2)+EL$14,0)=EOMONTH($Z$3,0),EL$12*EL$13,0),0),IF(AND(EH$12&lt;&gt;"",EH$14&lt;&gt;""),IF(EOMONTH($EH$3+INT((DAY(EOMONTH($EH$3,0))-1)/2)+EH$14,0)=EOMONTH($Z$3,0),EH$12*EH$13,0),0),IF(AND(ED$12&lt;&gt;"",ED$14&lt;&gt;""),IF(EOMONTH($ED$3+INT((DAY(EOMONTH($ED$3,0))-1)/2)+ED$14,0)=EOMONTH($Z$3,0),ED$12*ED$13,0),0),IF(AND(DZ$12&lt;&gt;"",DZ$14&lt;&gt;""),IF(EOMONTH($DZ$3+INT((DAY(EOMONTH($DZ$3,0))-1)/2)+DZ$14,0)=EOMONTH($Z$3,0),DZ$12*DZ$13,0),0),IF(AND(DV$12&lt;&gt;"",DV$14&lt;&gt;""),IF(EOMONTH($DV$3+INT((DAY(EOMONTH($DV$3,0))-1)/2)+DV$14,0)=EOMONTH($Z$3,0),DV$12*DV$13,0),0),IF(AND(DR$12&lt;&gt;"",DR$14&lt;&gt;""),IF(EOMONTH($DR$3+INT((DAY(EOMONTH($DR$3,0))-1)/2)+DR$14,0)=EOMONTH($Z$3,0),DR$12*DR$13,0),0),IF(AND(DN$12&lt;&gt;"",DN$14&lt;&gt;""),IF(EOMONTH($DN$3+INT((DAY(EOMONTH($DN$3,0))-1)/2)+DN$14,0)=EOMONTH($Z$3,0),DN$12*DN$13,0),0),IF(AND(DJ$12&lt;&gt;"",DJ$14&lt;&gt;""),IF(EOMONTH($DJ$3+INT((DAY(EOMONTH($DJ$3,0))-1)/2)+DJ$14,0)=EOMONTH($Z$3,0),DJ$12*DJ$13,0),0),IF(AND(DF$12&lt;&gt;"",DF$14&lt;&gt;""),IF(EOMONTH($DF$3+INT((DAY(EOMONTH($DF$3,0))-1)/2)+DF$14,0)=EOMONTH($Z$3,0),DF$12*DF$13,0),0),IF(AND(DB$12&lt;&gt;"",DB$14&lt;&gt;""),IF(EOMONTH($DB$3+INT((DAY(EOMONTH($DB$3,0))-1)/2)+DB$14,0)=EOMONTH($Z$3,0),DB$12*DB$13,0),0),IF(AND(CX$12&lt;&gt;"",CX$14&lt;&gt;""),IF(EOMONTH($CX$3+INT((DAY(EOMONTH($CX$3,0))-1)/2)+CX$14,0)=EOMONTH($Z$3,0),CX$12*CX$13,0),0),IF(AND(CT$12&lt;&gt;"",CT$14&lt;&gt;""),IF(EOMONTH($CT$3+INT((DAY(EOMONTH($CT$3,0))-1)/2)+CT$14,0)=EOMONTH($Z$3,0),CT$12*CT$13,0),0),IF(AND(CP$12&lt;&gt;"",CP$14&lt;&gt;""),IF(EOMONTH($CP$3+INT((DAY(EOMONTH($CP$3,0))-1)/2)+CP$14,0)=EOMONTH($Z$3,0),CP$12*CP$13,0),0),IF(AND(CL$12&lt;&gt;"",CL$14&lt;&gt;""),IF(EOMONTH($CL$3+INT((DAY(EOMONTH($CL$3,0))-1)/2)+CL$14,0)=EOMONTH($Z$3,0),CL$12*CL$13,0),0),IF(AND(CH$12&lt;&gt;"",CH$14&lt;&gt;""),IF(EOMONTH($CH$3+INT((DAY(EOMONTH($CH$3,0))-1)/2)+CH$14,0)=EOMONTH($Z$3,0),CH$12*CH$13,0),0),IF(AND(CD$12&lt;&gt;"",CD$14&lt;&gt;""),IF(EOMONTH($CD$3+INT((DAY(EOMONTH($CD$3,0))-1)/2)+CD$14,0)=EOMONTH($Z$3,0),CD$12*CD$13,0),0),IF(AND(BZ$12&lt;&gt;"",BZ$14&lt;&gt;""),IF(EOMONTH($BZ$3+INT((DAY(EOMONTH($BZ$3,0))-1)/2)+BZ$14,0)=EOMONTH($Z$3,0),BZ$12*BZ$13,0),0),IF(AND(BV$12&lt;&gt;"",BV$14&lt;&gt;""),IF(EOMONTH($BV$3+INT((DAY(EOMONTH($BV$3,0))-1)/2)+BV$14,0)=EOMONTH($Z$3,0),BV$12*BV$13,0),0),IF(AND(BR$12&lt;&gt;"",BR$14&lt;&gt;""),IF(EOMONTH($BR$3+INT((DAY(EOMONTH($BR$3,0))-1)/2)+BR$14,0)=EOMONTH($Z$3,0),BR$12*BR$13,0),0),IF(AND(BN$12&lt;&gt;"",BN$14&lt;&gt;""),IF(EOMONTH($BN$3+INT((DAY(EOMONTH($BN$3,0))-1)/2)+BN$14,0)=EOMONTH($Z$3,0),BN$12*BN$13,0),0),IF(AND(BJ$12&lt;&gt;"",BJ$14&lt;&gt;""),IF(EOMONTH($BJ$3+INT((DAY(EOMONTH($BJ$3,0))-1)/2)+BJ$14,0)=EOMONTH($Z$3,0),BJ$12*BJ$13,0),0),IF(AND(BF$12&lt;&gt;"",BF$14&lt;&gt;""),IF(EOMONTH($BF$3+INT((DAY(EOMONTH($BF$3,0))-1)/2)+BF$14,0)=EOMONTH($Z$3,0),BF$12*BF$13,0),0),IF(AND(BB$12&lt;&gt;"",BB$14&lt;&gt;""),IF(EOMONTH($BB$3+INT((DAY(EOMONTH($BB$3,0))-1)/2)+BB$14,0)=EOMONTH($Z$3,0),BB$12*BB$13,0),0),IF(AND(AX$12&lt;&gt;"",AX$14&lt;&gt;""),IF(EOMONTH($AX$3+INT((DAY(EOMONTH($AX$3,0))-1)/2)+AX$14,0)=EOMONTH($Z$3,0),AX$12*AX$13,0),0),IF(AND(AT$12&lt;&gt;"",AT$14&lt;&gt;""),IF(EOMONTH($AT$3+INT((DAY(EOMONTH($AT$3,0))-1)/2)+AT$14,0)=EOMONTH($Z$3,0),AT$12*AT$13,0),0),IF(AND(AP$12&lt;&gt;"",AP$14&lt;&gt;""),IF(EOMONTH($AP$3+INT((DAY(EOMONTH($AP$3,0))-1)/2)+AP$14,0)=EOMONTH($Z$3,0),AP$12*AP$13,0),0),IF(AND(AL$12&lt;&gt;"",AL$14&lt;&gt;""),IF(EOMONTH($AL$3+INT((DAY(EOMONTH($AL$3,0))-1)/2)+AL$14,0)=EOMONTH($Z$3,0),AL$12*AL$13,0),0),IF(AND(AH$12&lt;&gt;"",AH$14&lt;&gt;""),IF(EOMONTH($AH$3+INT((DAY(EOMONTH($AH$3,0))-1)/2)+AH$14,0)=EOMONTH($Z$3,0),AH$12*AH$13,0),0),IF(AND(AD$12&lt;&gt;"",AD$14&lt;&gt;""),IF(EOMONTH($AD$3+INT((DAY(EOMONTH($AD$3,0))-1)/2)+AD$14,0)=EOMONTH($Z$3,0),AD$12*AD$13,0),0),IF(AND(Z$12&lt;&gt;"",Z$14&lt;&gt;""),IF(EOMONTH($Z$3+INT((DAY(EOMONTH($Z$3,0))-1)/2)+Z$14,0)=EOMONTH($Z$3,0),Z$12*Z$13,0),0),IF(AND(V$12&lt;&gt;"",V$14&lt;&gt;""),IF(EOMONTH($V$3+INT((DAY(EOMONTH($V$3,0))-1)/2)+V$14,0)=EOMONTH($Z$3,0),V$12*V$13,0),0),IF(AND(R$12&lt;&gt;"",R$14&lt;&gt;""),IF(EOMONTH($R$3+INT((DAY(EOMONTH($R$3,0))-1)/2)+R$14,0)=EOMONTH($Z$3,0),R$12*R$13,0),0),IF(AND(N$12&lt;&gt;"",N$14&lt;&gt;""),IF(EOMONTH($N$3+INT((DAY(EOMONTH($N$3,0))-1)/2)+N$14,0)=EOMONTH($Z$3,0),N$12*N$13,0),0),IF(AND(J$12&lt;&gt;"",J$14&lt;&gt;""),IF(EOMONTH($J$3+INT((DAY(EOMONTH($J$3,0))-1)/2)+J$14,0)=EOMONTH($Z$3,0),J$12*J$13,0),0),IF(AND(F$12&lt;&gt;"",F$14&lt;&gt;""),IF(EOMONTH($F$3+INT((DAY(EOMONTH($F$3,0))-1)/2)+F$14,0)=EOMONTH($Z$3,0),F$12*F$13,0),0),IF($EP$75="",0,IF(EOMONTH($EP$75+EP$14,0)=EOMONTH($Z$3,0),$EP$77*EP$13,0))),0)</f>
        <v>0</v>
      </c>
      <c r="AA73" s="41">
        <f t="shared" si="1086"/>
        <v>136000</v>
      </c>
      <c r="AB73" s="41">
        <f t="shared" si="1086"/>
        <v>136000</v>
      </c>
      <c r="AC73" s="41">
        <f t="shared" si="1087"/>
        <v>0</v>
      </c>
      <c r="AD73" s="41">
        <f t="shared" ref="AD73:AF73" si="1088">ROUND(SUM(IF(AND(EP$12&lt;&gt;"",EP$14&lt;&gt;""),IF(EOMONTH($EP$3+INT((DAY(EOMONTH($EP$3,0))-1)/2)+EP$14,0)=EOMONTH($AD$3,0),EP$12*EP$13,0),0),IF(AND(EL$12&lt;&gt;"",EL$14&lt;&gt;""),IF(EOMONTH($EL$3+INT((DAY(EOMONTH($EL$3,0))-1)/2)+EL$14,0)=EOMONTH($AD$3,0),EL$12*EL$13,0),0),IF(AND(EH$12&lt;&gt;"",EH$14&lt;&gt;""),IF(EOMONTH($EH$3+INT((DAY(EOMONTH($EH$3,0))-1)/2)+EH$14,0)=EOMONTH($AD$3,0),EH$12*EH$13,0),0),IF(AND(ED$12&lt;&gt;"",ED$14&lt;&gt;""),IF(EOMONTH($ED$3+INT((DAY(EOMONTH($ED$3,0))-1)/2)+ED$14,0)=EOMONTH($AD$3,0),ED$12*ED$13,0),0),IF(AND(DZ$12&lt;&gt;"",DZ$14&lt;&gt;""),IF(EOMONTH($DZ$3+INT((DAY(EOMONTH($DZ$3,0))-1)/2)+DZ$14,0)=EOMONTH($AD$3,0),DZ$12*DZ$13,0),0),IF(AND(DV$12&lt;&gt;"",DV$14&lt;&gt;""),IF(EOMONTH($DV$3+INT((DAY(EOMONTH($DV$3,0))-1)/2)+DV$14,0)=EOMONTH($AD$3,0),DV$12*DV$13,0),0),IF(AND(DR$12&lt;&gt;"",DR$14&lt;&gt;""),IF(EOMONTH($DR$3+INT((DAY(EOMONTH($DR$3,0))-1)/2)+DR$14,0)=EOMONTH($AD$3,0),DR$12*DR$13,0),0),IF(AND(DN$12&lt;&gt;"",DN$14&lt;&gt;""),IF(EOMONTH($DN$3+INT((DAY(EOMONTH($DN$3,0))-1)/2)+DN$14,0)=EOMONTH($AD$3,0),DN$12*DN$13,0),0),IF(AND(DJ$12&lt;&gt;"",DJ$14&lt;&gt;""),IF(EOMONTH($DJ$3+INT((DAY(EOMONTH($DJ$3,0))-1)/2)+DJ$14,0)=EOMONTH($AD$3,0),DJ$12*DJ$13,0),0),IF(AND(DF$12&lt;&gt;"",DF$14&lt;&gt;""),IF(EOMONTH($DF$3+INT((DAY(EOMONTH($DF$3,0))-1)/2)+DF$14,0)=EOMONTH($AD$3,0),DF$12*DF$13,0),0),IF(AND(DB$12&lt;&gt;"",DB$14&lt;&gt;""),IF(EOMONTH($DB$3+INT((DAY(EOMONTH($DB$3,0))-1)/2)+DB$14,0)=EOMONTH($AD$3,0),DB$12*DB$13,0),0),IF(AND(CX$12&lt;&gt;"",CX$14&lt;&gt;""),IF(EOMONTH($CX$3+INT((DAY(EOMONTH($CX$3,0))-1)/2)+CX$14,0)=EOMONTH($AD$3,0),CX$12*CX$13,0),0),IF(AND(CT$12&lt;&gt;"",CT$14&lt;&gt;""),IF(EOMONTH($CT$3+INT((DAY(EOMONTH($CT$3,0))-1)/2)+CT$14,0)=EOMONTH($AD$3,0),CT$12*CT$13,0),0),IF(AND(CP$12&lt;&gt;"",CP$14&lt;&gt;""),IF(EOMONTH($CP$3+INT((DAY(EOMONTH($CP$3,0))-1)/2)+CP$14,0)=EOMONTH($AD$3,0),CP$12*CP$13,0),0),IF(AND(CL$12&lt;&gt;"",CL$14&lt;&gt;""),IF(EOMONTH($CL$3+INT((DAY(EOMONTH($CL$3,0))-1)/2)+CL$14,0)=EOMONTH($AD$3,0),CL$12*CL$13,0),0),IF(AND(CH$12&lt;&gt;"",CH$14&lt;&gt;""),IF(EOMONTH($CH$3+INT((DAY(EOMONTH($CH$3,0))-1)/2)+CH$14,0)=EOMONTH($AD$3,0),CH$12*CH$13,0),0),IF(AND(CD$12&lt;&gt;"",CD$14&lt;&gt;""),IF(EOMONTH($CD$3+INT((DAY(EOMONTH($CD$3,0))-1)/2)+CD$14,0)=EOMONTH($AD$3,0),CD$12*CD$13,0),0),IF(AND(BZ$12&lt;&gt;"",BZ$14&lt;&gt;""),IF(EOMONTH($BZ$3+INT((DAY(EOMONTH($BZ$3,0))-1)/2)+BZ$14,0)=EOMONTH($AD$3,0),BZ$12*BZ$13,0),0),IF(AND(BV$12&lt;&gt;"",BV$14&lt;&gt;""),IF(EOMONTH($BV$3+INT((DAY(EOMONTH($BV$3,0))-1)/2)+BV$14,0)=EOMONTH($AD$3,0),BV$12*BV$13,0),0),IF(AND(BR$12&lt;&gt;"",BR$14&lt;&gt;""),IF(EOMONTH($BR$3+INT((DAY(EOMONTH($BR$3,0))-1)/2)+BR$14,0)=EOMONTH($AD$3,0),BR$12*BR$13,0),0),IF(AND(BN$12&lt;&gt;"",BN$14&lt;&gt;""),IF(EOMONTH($BN$3+INT((DAY(EOMONTH($BN$3,0))-1)/2)+BN$14,0)=EOMONTH($AD$3,0),BN$12*BN$13,0),0),IF(AND(BJ$12&lt;&gt;"",BJ$14&lt;&gt;""),IF(EOMONTH($BJ$3+INT((DAY(EOMONTH($BJ$3,0))-1)/2)+BJ$14,0)=EOMONTH($AD$3,0),BJ$12*BJ$13,0),0),IF(AND(BF$12&lt;&gt;"",BF$14&lt;&gt;""),IF(EOMONTH($BF$3+INT((DAY(EOMONTH($BF$3,0))-1)/2)+BF$14,0)=EOMONTH($AD$3,0),BF$12*BF$13,0),0),IF(AND(BB$12&lt;&gt;"",BB$14&lt;&gt;""),IF(EOMONTH($BB$3+INT((DAY(EOMONTH($BB$3,0))-1)/2)+BB$14,0)=EOMONTH($AD$3,0),BB$12*BB$13,0),0),IF(AND(AX$12&lt;&gt;"",AX$14&lt;&gt;""),IF(EOMONTH($AX$3+INT((DAY(EOMONTH($AX$3,0))-1)/2)+AX$14,0)=EOMONTH($AD$3,0),AX$12*AX$13,0),0),IF(AND(AT$12&lt;&gt;"",AT$14&lt;&gt;""),IF(EOMONTH($AT$3+INT((DAY(EOMONTH($AT$3,0))-1)/2)+AT$14,0)=EOMONTH($AD$3,0),AT$12*AT$13,0),0),IF(AND(AP$12&lt;&gt;"",AP$14&lt;&gt;""),IF(EOMONTH($AP$3+INT((DAY(EOMONTH($AP$3,0))-1)/2)+AP$14,0)=EOMONTH($AD$3,0),AP$12*AP$13,0),0),IF(AND(AL$12&lt;&gt;"",AL$14&lt;&gt;""),IF(EOMONTH($AL$3+INT((DAY(EOMONTH($AL$3,0))-1)/2)+AL$14,0)=EOMONTH($AD$3,0),AL$12*AL$13,0),0),IF(AND(AH$12&lt;&gt;"",AH$14&lt;&gt;""),IF(EOMONTH($AH$3+INT((DAY(EOMONTH($AH$3,0))-1)/2)+AH$14,0)=EOMONTH($AD$3,0),AH$12*AH$13,0),0),IF(AND(AD$12&lt;&gt;"",AD$14&lt;&gt;""),IF(EOMONTH($AD$3+INT((DAY(EOMONTH($AD$3,0))-1)/2)+AD$14,0)=EOMONTH($AD$3,0),AD$12*AD$13,0),0),IF(AND(Z$12&lt;&gt;"",Z$14&lt;&gt;""),IF(EOMONTH($Z$3+INT((DAY(EOMONTH($Z$3,0))-1)/2)+Z$14,0)=EOMONTH($AD$3,0),Z$12*Z$13,0),0),IF(AND(V$12&lt;&gt;"",V$14&lt;&gt;""),IF(EOMONTH($V$3+INT((DAY(EOMONTH($V$3,0))-1)/2)+V$14,0)=EOMONTH($AD$3,0),V$12*V$13,0),0),IF(AND(R$12&lt;&gt;"",R$14&lt;&gt;""),IF(EOMONTH($R$3+INT((DAY(EOMONTH($R$3,0))-1)/2)+R$14,0)=EOMONTH($AD$3,0),R$12*R$13,0),0),IF(AND(N$12&lt;&gt;"",N$14&lt;&gt;""),IF(EOMONTH($N$3+INT((DAY(EOMONTH($N$3,0))-1)/2)+N$14,0)=EOMONTH($AD$3,0),N$12*N$13,0),0),IF(AND(J$12&lt;&gt;"",J$14&lt;&gt;""),IF(EOMONTH($J$3+INT((DAY(EOMONTH($J$3,0))-1)/2)+J$14,0)=EOMONTH($AD$3,0),J$12*J$13,0),0),IF(AND(F$12&lt;&gt;"",F$14&lt;&gt;""),IF(EOMONTH($F$3+INT((DAY(EOMONTH($F$3,0))-1)/2)+F$14,0)=EOMONTH($AD$3,0),F$12*F$13,0),0),IF($EP$75="",0,IF(EOMONTH($EP$75+EP$14,0)=EOMONTH($AD$3,0),$EP$77*EP$13,0))),0)</f>
        <v>0</v>
      </c>
      <c r="AE73" s="41">
        <f t="shared" si="1088"/>
        <v>136000</v>
      </c>
      <c r="AF73" s="41">
        <f t="shared" si="1088"/>
        <v>136000</v>
      </c>
      <c r="AG73" s="41">
        <f t="shared" si="1089"/>
        <v>0</v>
      </c>
      <c r="AH73" s="41">
        <f t="shared" ref="AH73:AJ73" si="1090">ROUND(SUM(IF(AND(EP$12&lt;&gt;"",EP$14&lt;&gt;""),IF(EOMONTH($EP$3+INT((DAY(EOMONTH($EP$3,0))-1)/2)+EP$14,0)=EOMONTH($AH$3,0),EP$12*EP$13,0),0),IF(AND(EL$12&lt;&gt;"",EL$14&lt;&gt;""),IF(EOMONTH($EL$3+INT((DAY(EOMONTH($EL$3,0))-1)/2)+EL$14,0)=EOMONTH($AH$3,0),EL$12*EL$13,0),0),IF(AND(EH$12&lt;&gt;"",EH$14&lt;&gt;""),IF(EOMONTH($EH$3+INT((DAY(EOMONTH($EH$3,0))-1)/2)+EH$14,0)=EOMONTH($AH$3,0),EH$12*EH$13,0),0),IF(AND(ED$12&lt;&gt;"",ED$14&lt;&gt;""),IF(EOMONTH($ED$3+INT((DAY(EOMONTH($ED$3,0))-1)/2)+ED$14,0)=EOMONTH($AH$3,0),ED$12*ED$13,0),0),IF(AND(DZ$12&lt;&gt;"",DZ$14&lt;&gt;""),IF(EOMONTH($DZ$3+INT((DAY(EOMONTH($DZ$3,0))-1)/2)+DZ$14,0)=EOMONTH($AH$3,0),DZ$12*DZ$13,0),0),IF(AND(DV$12&lt;&gt;"",DV$14&lt;&gt;""),IF(EOMONTH($DV$3+INT((DAY(EOMONTH($DV$3,0))-1)/2)+DV$14,0)=EOMONTH($AH$3,0),DV$12*DV$13,0),0),IF(AND(DR$12&lt;&gt;"",DR$14&lt;&gt;""),IF(EOMONTH($DR$3+INT((DAY(EOMONTH($DR$3,0))-1)/2)+DR$14,0)=EOMONTH($AH$3,0),DR$12*DR$13,0),0),IF(AND(DN$12&lt;&gt;"",DN$14&lt;&gt;""),IF(EOMONTH($DN$3+INT((DAY(EOMONTH($DN$3,0))-1)/2)+DN$14,0)=EOMONTH($AH$3,0),DN$12*DN$13,0),0),IF(AND(DJ$12&lt;&gt;"",DJ$14&lt;&gt;""),IF(EOMONTH($DJ$3+INT((DAY(EOMONTH($DJ$3,0))-1)/2)+DJ$14,0)=EOMONTH($AH$3,0),DJ$12*DJ$13,0),0),IF(AND(DF$12&lt;&gt;"",DF$14&lt;&gt;""),IF(EOMONTH($DF$3+INT((DAY(EOMONTH($DF$3,0))-1)/2)+DF$14,0)=EOMONTH($AH$3,0),DF$12*DF$13,0),0),IF(AND(DB$12&lt;&gt;"",DB$14&lt;&gt;""),IF(EOMONTH($DB$3+INT((DAY(EOMONTH($DB$3,0))-1)/2)+DB$14,0)=EOMONTH($AH$3,0),DB$12*DB$13,0),0),IF(AND(CX$12&lt;&gt;"",CX$14&lt;&gt;""),IF(EOMONTH($CX$3+INT((DAY(EOMONTH($CX$3,0))-1)/2)+CX$14,0)=EOMONTH($AH$3,0),CX$12*CX$13,0),0),IF(AND(CT$12&lt;&gt;"",CT$14&lt;&gt;""),IF(EOMONTH($CT$3+INT((DAY(EOMONTH($CT$3,0))-1)/2)+CT$14,0)=EOMONTH($AH$3,0),CT$12*CT$13,0),0),IF(AND(CP$12&lt;&gt;"",CP$14&lt;&gt;""),IF(EOMONTH($CP$3+INT((DAY(EOMONTH($CP$3,0))-1)/2)+CP$14,0)=EOMONTH($AH$3,0),CP$12*CP$13,0),0),IF(AND(CL$12&lt;&gt;"",CL$14&lt;&gt;""),IF(EOMONTH($CL$3+INT((DAY(EOMONTH($CL$3,0))-1)/2)+CL$14,0)=EOMONTH($AH$3,0),CL$12*CL$13,0),0),IF(AND(CH$12&lt;&gt;"",CH$14&lt;&gt;""),IF(EOMONTH($CH$3+INT((DAY(EOMONTH($CH$3,0))-1)/2)+CH$14,0)=EOMONTH($AH$3,0),CH$12*CH$13,0),0),IF(AND(CD$12&lt;&gt;"",CD$14&lt;&gt;""),IF(EOMONTH($CD$3+INT((DAY(EOMONTH($CD$3,0))-1)/2)+CD$14,0)=EOMONTH($AH$3,0),CD$12*CD$13,0),0),IF(AND(BZ$12&lt;&gt;"",BZ$14&lt;&gt;""),IF(EOMONTH($BZ$3+INT((DAY(EOMONTH($BZ$3,0))-1)/2)+BZ$14,0)=EOMONTH($AH$3,0),BZ$12*BZ$13,0),0),IF(AND(BV$12&lt;&gt;"",BV$14&lt;&gt;""),IF(EOMONTH($BV$3+INT((DAY(EOMONTH($BV$3,0))-1)/2)+BV$14,0)=EOMONTH($AH$3,0),BV$12*BV$13,0),0),IF(AND(BR$12&lt;&gt;"",BR$14&lt;&gt;""),IF(EOMONTH($BR$3+INT((DAY(EOMONTH($BR$3,0))-1)/2)+BR$14,0)=EOMONTH($AH$3,0),BR$12*BR$13,0),0),IF(AND(BN$12&lt;&gt;"",BN$14&lt;&gt;""),IF(EOMONTH($BN$3+INT((DAY(EOMONTH($BN$3,0))-1)/2)+BN$14,0)=EOMONTH($AH$3,0),BN$12*BN$13,0),0),IF(AND(BJ$12&lt;&gt;"",BJ$14&lt;&gt;""),IF(EOMONTH($BJ$3+INT((DAY(EOMONTH($BJ$3,0))-1)/2)+BJ$14,0)=EOMONTH($AH$3,0),BJ$12*BJ$13,0),0),IF(AND(BF$12&lt;&gt;"",BF$14&lt;&gt;""),IF(EOMONTH($BF$3+INT((DAY(EOMONTH($BF$3,0))-1)/2)+BF$14,0)=EOMONTH($AH$3,0),BF$12*BF$13,0),0),IF(AND(BB$12&lt;&gt;"",BB$14&lt;&gt;""),IF(EOMONTH($BB$3+INT((DAY(EOMONTH($BB$3,0))-1)/2)+BB$14,0)=EOMONTH($AH$3,0),BB$12*BB$13,0),0),IF(AND(AX$12&lt;&gt;"",AX$14&lt;&gt;""),IF(EOMONTH($AX$3+INT((DAY(EOMONTH($AX$3,0))-1)/2)+AX$14,0)=EOMONTH($AH$3,0),AX$12*AX$13,0),0),IF(AND(AT$12&lt;&gt;"",AT$14&lt;&gt;""),IF(EOMONTH($AT$3+INT((DAY(EOMONTH($AT$3,0))-1)/2)+AT$14,0)=EOMONTH($AH$3,0),AT$12*AT$13,0),0),IF(AND(AP$12&lt;&gt;"",AP$14&lt;&gt;""),IF(EOMONTH($AP$3+INT((DAY(EOMONTH($AP$3,0))-1)/2)+AP$14,0)=EOMONTH($AH$3,0),AP$12*AP$13,0),0),IF(AND(AL$12&lt;&gt;"",AL$14&lt;&gt;""),IF(EOMONTH($AL$3+INT((DAY(EOMONTH($AL$3,0))-1)/2)+AL$14,0)=EOMONTH($AH$3,0),AL$12*AL$13,0),0),IF(AND(AH$12&lt;&gt;"",AH$14&lt;&gt;""),IF(EOMONTH($AH$3+INT((DAY(EOMONTH($AH$3,0))-1)/2)+AH$14,0)=EOMONTH($AH$3,0),AH$12*AH$13,0),0),IF(AND(AD$12&lt;&gt;"",AD$14&lt;&gt;""),IF(EOMONTH($AD$3+INT((DAY(EOMONTH($AD$3,0))-1)/2)+AD$14,0)=EOMONTH($AH$3,0),AD$12*AD$13,0),0),IF(AND(Z$12&lt;&gt;"",Z$14&lt;&gt;""),IF(EOMONTH($Z$3+INT((DAY(EOMONTH($Z$3,0))-1)/2)+Z$14,0)=EOMONTH($AH$3,0),Z$12*Z$13,0),0),IF(AND(V$12&lt;&gt;"",V$14&lt;&gt;""),IF(EOMONTH($V$3+INT((DAY(EOMONTH($V$3,0))-1)/2)+V$14,0)=EOMONTH($AH$3,0),V$12*V$13,0),0),IF(AND(R$12&lt;&gt;"",R$14&lt;&gt;""),IF(EOMONTH($R$3+INT((DAY(EOMONTH($R$3,0))-1)/2)+R$14,0)=EOMONTH($AH$3,0),R$12*R$13,0),0),IF(AND(N$12&lt;&gt;"",N$14&lt;&gt;""),IF(EOMONTH($N$3+INT((DAY(EOMONTH($N$3,0))-1)/2)+N$14,0)=EOMONTH($AH$3,0),N$12*N$13,0),0),IF(AND(J$12&lt;&gt;"",J$14&lt;&gt;""),IF(EOMONTH($J$3+INT((DAY(EOMONTH($J$3,0))-1)/2)+J$14,0)=EOMONTH($AH$3,0),J$12*J$13,0),0),IF(AND(F$12&lt;&gt;"",F$14&lt;&gt;""),IF(EOMONTH($F$3+INT((DAY(EOMONTH($F$3,0))-1)/2)+F$14,0)=EOMONTH($AH$3,0),F$12*F$13,0),0),IF($EP$75="",0,IF(EOMONTH($EP$75+EP$14,0)=EOMONTH($AH$3,0),$EP$77*EP$13,0))),0)</f>
        <v>0</v>
      </c>
      <c r="AI73" s="41">
        <f t="shared" si="1090"/>
        <v>136000</v>
      </c>
      <c r="AJ73" s="41">
        <f t="shared" si="1090"/>
        <v>136000</v>
      </c>
      <c r="AK73" s="41">
        <f t="shared" si="1091"/>
        <v>0</v>
      </c>
      <c r="AL73" s="41">
        <f t="shared" ref="AL73:AN73" si="1092">ROUND(SUM(IF(AND(EP$12&lt;&gt;"",EP$14&lt;&gt;""),IF(EOMONTH($EP$3+INT((DAY(EOMONTH($EP$3,0))-1)/2)+EP$14,0)=EOMONTH($AL$3,0),EP$12*EP$13,0),0),IF(AND(EL$12&lt;&gt;"",EL$14&lt;&gt;""),IF(EOMONTH($EL$3+INT((DAY(EOMONTH($EL$3,0))-1)/2)+EL$14,0)=EOMONTH($AL$3,0),EL$12*EL$13,0),0),IF(AND(EH$12&lt;&gt;"",EH$14&lt;&gt;""),IF(EOMONTH($EH$3+INT((DAY(EOMONTH($EH$3,0))-1)/2)+EH$14,0)=EOMONTH($AL$3,0),EH$12*EH$13,0),0),IF(AND(ED$12&lt;&gt;"",ED$14&lt;&gt;""),IF(EOMONTH($ED$3+INT((DAY(EOMONTH($ED$3,0))-1)/2)+ED$14,0)=EOMONTH($AL$3,0),ED$12*ED$13,0),0),IF(AND(DZ$12&lt;&gt;"",DZ$14&lt;&gt;""),IF(EOMONTH($DZ$3+INT((DAY(EOMONTH($DZ$3,0))-1)/2)+DZ$14,0)=EOMONTH($AL$3,0),DZ$12*DZ$13,0),0),IF(AND(DV$12&lt;&gt;"",DV$14&lt;&gt;""),IF(EOMONTH($DV$3+INT((DAY(EOMONTH($DV$3,0))-1)/2)+DV$14,0)=EOMONTH($AL$3,0),DV$12*DV$13,0),0),IF(AND(DR$12&lt;&gt;"",DR$14&lt;&gt;""),IF(EOMONTH($DR$3+INT((DAY(EOMONTH($DR$3,0))-1)/2)+DR$14,0)=EOMONTH($AL$3,0),DR$12*DR$13,0),0),IF(AND(DN$12&lt;&gt;"",DN$14&lt;&gt;""),IF(EOMONTH($DN$3+INT((DAY(EOMONTH($DN$3,0))-1)/2)+DN$14,0)=EOMONTH($AL$3,0),DN$12*DN$13,0),0),IF(AND(DJ$12&lt;&gt;"",DJ$14&lt;&gt;""),IF(EOMONTH($DJ$3+INT((DAY(EOMONTH($DJ$3,0))-1)/2)+DJ$14,0)=EOMONTH($AL$3,0),DJ$12*DJ$13,0),0),IF(AND(DF$12&lt;&gt;"",DF$14&lt;&gt;""),IF(EOMONTH($DF$3+INT((DAY(EOMONTH($DF$3,0))-1)/2)+DF$14,0)=EOMONTH($AL$3,0),DF$12*DF$13,0),0),IF(AND(DB$12&lt;&gt;"",DB$14&lt;&gt;""),IF(EOMONTH($DB$3+INT((DAY(EOMONTH($DB$3,0))-1)/2)+DB$14,0)=EOMONTH($AL$3,0),DB$12*DB$13,0),0),IF(AND(CX$12&lt;&gt;"",CX$14&lt;&gt;""),IF(EOMONTH($CX$3+INT((DAY(EOMONTH($CX$3,0))-1)/2)+CX$14,0)=EOMONTH($AL$3,0),CX$12*CX$13,0),0),IF(AND(CT$12&lt;&gt;"",CT$14&lt;&gt;""),IF(EOMONTH($CT$3+INT((DAY(EOMONTH($CT$3,0))-1)/2)+CT$14,0)=EOMONTH($AL$3,0),CT$12*CT$13,0),0),IF(AND(CP$12&lt;&gt;"",CP$14&lt;&gt;""),IF(EOMONTH($CP$3+INT((DAY(EOMONTH($CP$3,0))-1)/2)+CP$14,0)=EOMONTH($AL$3,0),CP$12*CP$13,0),0),IF(AND(CL$12&lt;&gt;"",CL$14&lt;&gt;""),IF(EOMONTH($CL$3+INT((DAY(EOMONTH($CL$3,0))-1)/2)+CL$14,0)=EOMONTH($AL$3,0),CL$12*CL$13,0),0),IF(AND(CH$12&lt;&gt;"",CH$14&lt;&gt;""),IF(EOMONTH($CH$3+INT((DAY(EOMONTH($CH$3,0))-1)/2)+CH$14,0)=EOMONTH($AL$3,0),CH$12*CH$13,0),0),IF(AND(CD$12&lt;&gt;"",CD$14&lt;&gt;""),IF(EOMONTH($CD$3+INT((DAY(EOMONTH($CD$3,0))-1)/2)+CD$14,0)=EOMONTH($AL$3,0),CD$12*CD$13,0),0),IF(AND(BZ$12&lt;&gt;"",BZ$14&lt;&gt;""),IF(EOMONTH($BZ$3+INT((DAY(EOMONTH($BZ$3,0))-1)/2)+BZ$14,0)=EOMONTH($AL$3,0),BZ$12*BZ$13,0),0),IF(AND(BV$12&lt;&gt;"",BV$14&lt;&gt;""),IF(EOMONTH($BV$3+INT((DAY(EOMONTH($BV$3,0))-1)/2)+BV$14,0)=EOMONTH($AL$3,0),BV$12*BV$13,0),0),IF(AND(BR$12&lt;&gt;"",BR$14&lt;&gt;""),IF(EOMONTH($BR$3+INT((DAY(EOMONTH($BR$3,0))-1)/2)+BR$14,0)=EOMONTH($AL$3,0),BR$12*BR$13,0),0),IF(AND(BN$12&lt;&gt;"",BN$14&lt;&gt;""),IF(EOMONTH($BN$3+INT((DAY(EOMONTH($BN$3,0))-1)/2)+BN$14,0)=EOMONTH($AL$3,0),BN$12*BN$13,0),0),IF(AND(BJ$12&lt;&gt;"",BJ$14&lt;&gt;""),IF(EOMONTH($BJ$3+INT((DAY(EOMONTH($BJ$3,0))-1)/2)+BJ$14,0)=EOMONTH($AL$3,0),BJ$12*BJ$13,0),0),IF(AND(BF$12&lt;&gt;"",BF$14&lt;&gt;""),IF(EOMONTH($BF$3+INT((DAY(EOMONTH($BF$3,0))-1)/2)+BF$14,0)=EOMONTH($AL$3,0),BF$12*BF$13,0),0),IF(AND(BB$12&lt;&gt;"",BB$14&lt;&gt;""),IF(EOMONTH($BB$3+INT((DAY(EOMONTH($BB$3,0))-1)/2)+BB$14,0)=EOMONTH($AL$3,0),BB$12*BB$13,0),0),IF(AND(AX$12&lt;&gt;"",AX$14&lt;&gt;""),IF(EOMONTH($AX$3+INT((DAY(EOMONTH($AX$3,0))-1)/2)+AX$14,0)=EOMONTH($AL$3,0),AX$12*AX$13,0),0),IF(AND(AT$12&lt;&gt;"",AT$14&lt;&gt;""),IF(EOMONTH($AT$3+INT((DAY(EOMONTH($AT$3,0))-1)/2)+AT$14,0)=EOMONTH($AL$3,0),AT$12*AT$13,0),0),IF(AND(AP$12&lt;&gt;"",AP$14&lt;&gt;""),IF(EOMONTH($AP$3+INT((DAY(EOMONTH($AP$3,0))-1)/2)+AP$14,0)=EOMONTH($AL$3,0),AP$12*AP$13,0),0),IF(AND(AL$12&lt;&gt;"",AL$14&lt;&gt;""),IF(EOMONTH($AL$3+INT((DAY(EOMONTH($AL$3,0))-1)/2)+AL$14,0)=EOMONTH($AL$3,0),AL$12*AL$13,0),0),IF(AND(AH$12&lt;&gt;"",AH$14&lt;&gt;""),IF(EOMONTH($AH$3+INT((DAY(EOMONTH($AH$3,0))-1)/2)+AH$14,0)=EOMONTH($AL$3,0),AH$12*AH$13,0),0),IF(AND(AD$12&lt;&gt;"",AD$14&lt;&gt;""),IF(EOMONTH($AD$3+INT((DAY(EOMONTH($AD$3,0))-1)/2)+AD$14,0)=EOMONTH($AL$3,0),AD$12*AD$13,0),0),IF(AND(Z$12&lt;&gt;"",Z$14&lt;&gt;""),IF(EOMONTH($Z$3+INT((DAY(EOMONTH($Z$3,0))-1)/2)+Z$14,0)=EOMONTH($AL$3,0),Z$12*Z$13,0),0),IF(AND(V$12&lt;&gt;"",V$14&lt;&gt;""),IF(EOMONTH($V$3+INT((DAY(EOMONTH($V$3,0))-1)/2)+V$14,0)=EOMONTH($AL$3,0),V$12*V$13,0),0),IF(AND(R$12&lt;&gt;"",R$14&lt;&gt;""),IF(EOMONTH($R$3+INT((DAY(EOMONTH($R$3,0))-1)/2)+R$14,0)=EOMONTH($AL$3,0),R$12*R$13,0),0),IF(AND(N$12&lt;&gt;"",N$14&lt;&gt;""),IF(EOMONTH($N$3+INT((DAY(EOMONTH($N$3,0))-1)/2)+N$14,0)=EOMONTH($AL$3,0),N$12*N$13,0),0),IF(AND(J$12&lt;&gt;"",J$14&lt;&gt;""),IF(EOMONTH($J$3+INT((DAY(EOMONTH($J$3,0))-1)/2)+J$14,0)=EOMONTH($AL$3,0),J$12*J$13,0),0),IF(AND(F$12&lt;&gt;"",F$14&lt;&gt;""),IF(EOMONTH($F$3+INT((DAY(EOMONTH($F$3,0))-1)/2)+F$14,0)=EOMONTH($AL$3,0),F$12*F$13,0),0),IF($EP$75="",0,IF(EOMONTH($EP$75+EP$14,0)=EOMONTH($AL$3,0),$EP$77*EP$13,0))),0)</f>
        <v>0</v>
      </c>
      <c r="AM73" s="41">
        <f t="shared" si="1092"/>
        <v>128000</v>
      </c>
      <c r="AN73" s="41">
        <f t="shared" si="1092"/>
        <v>128000</v>
      </c>
      <c r="AO73" s="41">
        <f t="shared" si="1093"/>
        <v>0</v>
      </c>
      <c r="AP73" s="41">
        <f t="shared" ref="AP73:AR73" si="1094">ROUND(SUM(IF(AND(EP$12&lt;&gt;"",EP$14&lt;&gt;""),IF(EOMONTH($EP$3+INT((DAY(EOMONTH($EP$3,0))-1)/2)+EP$14,0)=EOMONTH($AP$3,0),EP$12*EP$13,0),0),IF(AND(EL$12&lt;&gt;"",EL$14&lt;&gt;""),IF(EOMONTH($EL$3+INT((DAY(EOMONTH($EL$3,0))-1)/2)+EL$14,0)=EOMONTH($AP$3,0),EL$12*EL$13,0),0),IF(AND(EH$12&lt;&gt;"",EH$14&lt;&gt;""),IF(EOMONTH($EH$3+INT((DAY(EOMONTH($EH$3,0))-1)/2)+EH$14,0)=EOMONTH($AP$3,0),EH$12*EH$13,0),0),IF(AND(ED$12&lt;&gt;"",ED$14&lt;&gt;""),IF(EOMONTH($ED$3+INT((DAY(EOMONTH($ED$3,0))-1)/2)+ED$14,0)=EOMONTH($AP$3,0),ED$12*ED$13,0),0),IF(AND(DZ$12&lt;&gt;"",DZ$14&lt;&gt;""),IF(EOMONTH($DZ$3+INT((DAY(EOMONTH($DZ$3,0))-1)/2)+DZ$14,0)=EOMONTH($AP$3,0),DZ$12*DZ$13,0),0),IF(AND(DV$12&lt;&gt;"",DV$14&lt;&gt;""),IF(EOMONTH($DV$3+INT((DAY(EOMONTH($DV$3,0))-1)/2)+DV$14,0)=EOMONTH($AP$3,0),DV$12*DV$13,0),0),IF(AND(DR$12&lt;&gt;"",DR$14&lt;&gt;""),IF(EOMONTH($DR$3+INT((DAY(EOMONTH($DR$3,0))-1)/2)+DR$14,0)=EOMONTH($AP$3,0),DR$12*DR$13,0),0),IF(AND(DN$12&lt;&gt;"",DN$14&lt;&gt;""),IF(EOMONTH($DN$3+INT((DAY(EOMONTH($DN$3,0))-1)/2)+DN$14,0)=EOMONTH($AP$3,0),DN$12*DN$13,0),0),IF(AND(DJ$12&lt;&gt;"",DJ$14&lt;&gt;""),IF(EOMONTH($DJ$3+INT((DAY(EOMONTH($DJ$3,0))-1)/2)+DJ$14,0)=EOMONTH($AP$3,0),DJ$12*DJ$13,0),0),IF(AND(DF$12&lt;&gt;"",DF$14&lt;&gt;""),IF(EOMONTH($DF$3+INT((DAY(EOMONTH($DF$3,0))-1)/2)+DF$14,0)=EOMONTH($AP$3,0),DF$12*DF$13,0),0),IF(AND(DB$12&lt;&gt;"",DB$14&lt;&gt;""),IF(EOMONTH($DB$3+INT((DAY(EOMONTH($DB$3,0))-1)/2)+DB$14,0)=EOMONTH($AP$3,0),DB$12*DB$13,0),0),IF(AND(CX$12&lt;&gt;"",CX$14&lt;&gt;""),IF(EOMONTH($CX$3+INT((DAY(EOMONTH($CX$3,0))-1)/2)+CX$14,0)=EOMONTH($AP$3,0),CX$12*CX$13,0),0),IF(AND(CT$12&lt;&gt;"",CT$14&lt;&gt;""),IF(EOMONTH($CT$3+INT((DAY(EOMONTH($CT$3,0))-1)/2)+CT$14,0)=EOMONTH($AP$3,0),CT$12*CT$13,0),0),IF(AND(CP$12&lt;&gt;"",CP$14&lt;&gt;""),IF(EOMONTH($CP$3+INT((DAY(EOMONTH($CP$3,0))-1)/2)+CP$14,0)=EOMONTH($AP$3,0),CP$12*CP$13,0),0),IF(AND(CL$12&lt;&gt;"",CL$14&lt;&gt;""),IF(EOMONTH($CL$3+INT((DAY(EOMONTH($CL$3,0))-1)/2)+CL$14,0)=EOMONTH($AP$3,0),CL$12*CL$13,0),0),IF(AND(CH$12&lt;&gt;"",CH$14&lt;&gt;""),IF(EOMONTH($CH$3+INT((DAY(EOMONTH($CH$3,0))-1)/2)+CH$14,0)=EOMONTH($AP$3,0),CH$12*CH$13,0),0),IF(AND(CD$12&lt;&gt;"",CD$14&lt;&gt;""),IF(EOMONTH($CD$3+INT((DAY(EOMONTH($CD$3,0))-1)/2)+CD$14,0)=EOMONTH($AP$3,0),CD$12*CD$13,0),0),IF(AND(BZ$12&lt;&gt;"",BZ$14&lt;&gt;""),IF(EOMONTH($BZ$3+INT((DAY(EOMONTH($BZ$3,0))-1)/2)+BZ$14,0)=EOMONTH($AP$3,0),BZ$12*BZ$13,0),0),IF(AND(BV$12&lt;&gt;"",BV$14&lt;&gt;""),IF(EOMONTH($BV$3+INT((DAY(EOMONTH($BV$3,0))-1)/2)+BV$14,0)=EOMONTH($AP$3,0),BV$12*BV$13,0),0),IF(AND(BR$12&lt;&gt;"",BR$14&lt;&gt;""),IF(EOMONTH($BR$3+INT((DAY(EOMONTH($BR$3,0))-1)/2)+BR$14,0)=EOMONTH($AP$3,0),BR$12*BR$13,0),0),IF(AND(BN$12&lt;&gt;"",BN$14&lt;&gt;""),IF(EOMONTH($BN$3+INT((DAY(EOMONTH($BN$3,0))-1)/2)+BN$14,0)=EOMONTH($AP$3,0),BN$12*BN$13,0),0),IF(AND(BJ$12&lt;&gt;"",BJ$14&lt;&gt;""),IF(EOMONTH($BJ$3+INT((DAY(EOMONTH($BJ$3,0))-1)/2)+BJ$14,0)=EOMONTH($AP$3,0),BJ$12*BJ$13,0),0),IF(AND(BF$12&lt;&gt;"",BF$14&lt;&gt;""),IF(EOMONTH($BF$3+INT((DAY(EOMONTH($BF$3,0))-1)/2)+BF$14,0)=EOMONTH($AP$3,0),BF$12*BF$13,0),0),IF(AND(BB$12&lt;&gt;"",BB$14&lt;&gt;""),IF(EOMONTH($BB$3+INT((DAY(EOMONTH($BB$3,0))-1)/2)+BB$14,0)=EOMONTH($AP$3,0),BB$12*BB$13,0),0),IF(AND(AX$12&lt;&gt;"",AX$14&lt;&gt;""),IF(EOMONTH($AX$3+INT((DAY(EOMONTH($AX$3,0))-1)/2)+AX$14,0)=EOMONTH($AP$3,0),AX$12*AX$13,0),0),IF(AND(AT$12&lt;&gt;"",AT$14&lt;&gt;""),IF(EOMONTH($AT$3+INT((DAY(EOMONTH($AT$3,0))-1)/2)+AT$14,0)=EOMONTH($AP$3,0),AT$12*AT$13,0),0),IF(AND(AP$12&lt;&gt;"",AP$14&lt;&gt;""),IF(EOMONTH($AP$3+INT((DAY(EOMONTH($AP$3,0))-1)/2)+AP$14,0)=EOMONTH($AP$3,0),AP$12*AP$13,0),0),IF(AND(AL$12&lt;&gt;"",AL$14&lt;&gt;""),IF(EOMONTH($AL$3+INT((DAY(EOMONTH($AL$3,0))-1)/2)+AL$14,0)=EOMONTH($AP$3,0),AL$12*AL$13,0),0),IF(AND(AH$12&lt;&gt;"",AH$14&lt;&gt;""),IF(EOMONTH($AH$3+INT((DAY(EOMONTH($AH$3,0))-1)/2)+AH$14,0)=EOMONTH($AP$3,0),AH$12*AH$13,0),0),IF(AND(AD$12&lt;&gt;"",AD$14&lt;&gt;""),IF(EOMONTH($AD$3+INT((DAY(EOMONTH($AD$3,0))-1)/2)+AD$14,0)=EOMONTH($AP$3,0),AD$12*AD$13,0),0),IF(AND(Z$12&lt;&gt;"",Z$14&lt;&gt;""),IF(EOMONTH($Z$3+INT((DAY(EOMONTH($Z$3,0))-1)/2)+Z$14,0)=EOMONTH($AP$3,0),Z$12*Z$13,0),0),IF(AND(V$12&lt;&gt;"",V$14&lt;&gt;""),IF(EOMONTH($V$3+INT((DAY(EOMONTH($V$3,0))-1)/2)+V$14,0)=EOMONTH($AP$3,0),V$12*V$13,0),0),IF(AND(R$12&lt;&gt;"",R$14&lt;&gt;""),IF(EOMONTH($R$3+INT((DAY(EOMONTH($R$3,0))-1)/2)+R$14,0)=EOMONTH($AP$3,0),R$12*R$13,0),0),IF(AND(N$12&lt;&gt;"",N$14&lt;&gt;""),IF(EOMONTH($N$3+INT((DAY(EOMONTH($N$3,0))-1)/2)+N$14,0)=EOMONTH($AP$3,0),N$12*N$13,0),0),IF(AND(J$12&lt;&gt;"",J$14&lt;&gt;""),IF(EOMONTH($J$3+INT((DAY(EOMONTH($J$3,0))-1)/2)+J$14,0)=EOMONTH($AP$3,0),J$12*J$13,0),0),IF(AND(F$12&lt;&gt;"",F$14&lt;&gt;""),IF(EOMONTH($F$3+INT((DAY(EOMONTH($F$3,0))-1)/2)+F$14,0)=EOMONTH($AP$3,0),F$12*F$13,0),0),IF($EP$75="",0,IF(EOMONTH($EP$75+EP$14,0)=EOMONTH($AP$3,0),$EP$77*EP$13,0))),0)</f>
        <v>0</v>
      </c>
      <c r="AQ73" s="41">
        <f t="shared" si="1094"/>
        <v>128000</v>
      </c>
      <c r="AR73" s="41">
        <f t="shared" si="1094"/>
        <v>128000</v>
      </c>
      <c r="AS73" s="41">
        <f t="shared" si="1095"/>
        <v>0</v>
      </c>
      <c r="AT73" s="41">
        <f t="shared" ref="AT73:AV73" si="1096">ROUND(SUM(IF(AND(EP$12&lt;&gt;"",EP$14&lt;&gt;""),IF(EOMONTH($EP$3+INT((DAY(EOMONTH($EP$3,0))-1)/2)+EP$14,0)=EOMONTH($AT$3,0),EP$12*EP$13,0),0),IF(AND(EL$12&lt;&gt;"",EL$14&lt;&gt;""),IF(EOMONTH($EL$3+INT((DAY(EOMONTH($EL$3,0))-1)/2)+EL$14,0)=EOMONTH($AT$3,0),EL$12*EL$13,0),0),IF(AND(EH$12&lt;&gt;"",EH$14&lt;&gt;""),IF(EOMONTH($EH$3+INT((DAY(EOMONTH($EH$3,0))-1)/2)+EH$14,0)=EOMONTH($AT$3,0),EH$12*EH$13,0),0),IF(AND(ED$12&lt;&gt;"",ED$14&lt;&gt;""),IF(EOMONTH($ED$3+INT((DAY(EOMONTH($ED$3,0))-1)/2)+ED$14,0)=EOMONTH($AT$3,0),ED$12*ED$13,0),0),IF(AND(DZ$12&lt;&gt;"",DZ$14&lt;&gt;""),IF(EOMONTH($DZ$3+INT((DAY(EOMONTH($DZ$3,0))-1)/2)+DZ$14,0)=EOMONTH($AT$3,0),DZ$12*DZ$13,0),0),IF(AND(DV$12&lt;&gt;"",DV$14&lt;&gt;""),IF(EOMONTH($DV$3+INT((DAY(EOMONTH($DV$3,0))-1)/2)+DV$14,0)=EOMONTH($AT$3,0),DV$12*DV$13,0),0),IF(AND(DR$12&lt;&gt;"",DR$14&lt;&gt;""),IF(EOMONTH($DR$3+INT((DAY(EOMONTH($DR$3,0))-1)/2)+DR$14,0)=EOMONTH($AT$3,0),DR$12*DR$13,0),0),IF(AND(DN$12&lt;&gt;"",DN$14&lt;&gt;""),IF(EOMONTH($DN$3+INT((DAY(EOMONTH($DN$3,0))-1)/2)+DN$14,0)=EOMONTH($AT$3,0),DN$12*DN$13,0),0),IF(AND(DJ$12&lt;&gt;"",DJ$14&lt;&gt;""),IF(EOMONTH($DJ$3+INT((DAY(EOMONTH($DJ$3,0))-1)/2)+DJ$14,0)=EOMONTH($AT$3,0),DJ$12*DJ$13,0),0),IF(AND(DF$12&lt;&gt;"",DF$14&lt;&gt;""),IF(EOMONTH($DF$3+INT((DAY(EOMONTH($DF$3,0))-1)/2)+DF$14,0)=EOMONTH($AT$3,0),DF$12*DF$13,0),0),IF(AND(DB$12&lt;&gt;"",DB$14&lt;&gt;""),IF(EOMONTH($DB$3+INT((DAY(EOMONTH($DB$3,0))-1)/2)+DB$14,0)=EOMONTH($AT$3,0),DB$12*DB$13,0),0),IF(AND(CX$12&lt;&gt;"",CX$14&lt;&gt;""),IF(EOMONTH($CX$3+INT((DAY(EOMONTH($CX$3,0))-1)/2)+CX$14,0)=EOMONTH($AT$3,0),CX$12*CX$13,0),0),IF(AND(CT$12&lt;&gt;"",CT$14&lt;&gt;""),IF(EOMONTH($CT$3+INT((DAY(EOMONTH($CT$3,0))-1)/2)+CT$14,0)=EOMONTH($AT$3,0),CT$12*CT$13,0),0),IF(AND(CP$12&lt;&gt;"",CP$14&lt;&gt;""),IF(EOMONTH($CP$3+INT((DAY(EOMONTH($CP$3,0))-1)/2)+CP$14,0)=EOMONTH($AT$3,0),CP$12*CP$13,0),0),IF(AND(CL$12&lt;&gt;"",CL$14&lt;&gt;""),IF(EOMONTH($CL$3+INT((DAY(EOMONTH($CL$3,0))-1)/2)+CL$14,0)=EOMONTH($AT$3,0),CL$12*CL$13,0),0),IF(AND(CH$12&lt;&gt;"",CH$14&lt;&gt;""),IF(EOMONTH($CH$3+INT((DAY(EOMONTH($CH$3,0))-1)/2)+CH$14,0)=EOMONTH($AT$3,0),CH$12*CH$13,0),0),IF(AND(CD$12&lt;&gt;"",CD$14&lt;&gt;""),IF(EOMONTH($CD$3+INT((DAY(EOMONTH($CD$3,0))-1)/2)+CD$14,0)=EOMONTH($AT$3,0),CD$12*CD$13,0),0),IF(AND(BZ$12&lt;&gt;"",BZ$14&lt;&gt;""),IF(EOMONTH($BZ$3+INT((DAY(EOMONTH($BZ$3,0))-1)/2)+BZ$14,0)=EOMONTH($AT$3,0),BZ$12*BZ$13,0),0),IF(AND(BV$12&lt;&gt;"",BV$14&lt;&gt;""),IF(EOMONTH($BV$3+INT((DAY(EOMONTH($BV$3,0))-1)/2)+BV$14,0)=EOMONTH($AT$3,0),BV$12*BV$13,0),0),IF(AND(BR$12&lt;&gt;"",BR$14&lt;&gt;""),IF(EOMONTH($BR$3+INT((DAY(EOMONTH($BR$3,0))-1)/2)+BR$14,0)=EOMONTH($AT$3,0),BR$12*BR$13,0),0),IF(AND(BN$12&lt;&gt;"",BN$14&lt;&gt;""),IF(EOMONTH($BN$3+INT((DAY(EOMONTH($BN$3,0))-1)/2)+BN$14,0)=EOMONTH($AT$3,0),BN$12*BN$13,0),0),IF(AND(BJ$12&lt;&gt;"",BJ$14&lt;&gt;""),IF(EOMONTH($BJ$3+INT((DAY(EOMONTH($BJ$3,0))-1)/2)+BJ$14,0)=EOMONTH($AT$3,0),BJ$12*BJ$13,0),0),IF(AND(BF$12&lt;&gt;"",BF$14&lt;&gt;""),IF(EOMONTH($BF$3+INT((DAY(EOMONTH($BF$3,0))-1)/2)+BF$14,0)=EOMONTH($AT$3,0),BF$12*BF$13,0),0),IF(AND(BB$12&lt;&gt;"",BB$14&lt;&gt;""),IF(EOMONTH($BB$3+INT((DAY(EOMONTH($BB$3,0))-1)/2)+BB$14,0)=EOMONTH($AT$3,0),BB$12*BB$13,0),0),IF(AND(AX$12&lt;&gt;"",AX$14&lt;&gt;""),IF(EOMONTH($AX$3+INT((DAY(EOMONTH($AX$3,0))-1)/2)+AX$14,0)=EOMONTH($AT$3,0),AX$12*AX$13,0),0),IF(AND(AT$12&lt;&gt;"",AT$14&lt;&gt;""),IF(EOMONTH($AT$3+INT((DAY(EOMONTH($AT$3,0))-1)/2)+AT$14,0)=EOMONTH($AT$3,0),AT$12*AT$13,0),0),IF(AND(AP$12&lt;&gt;"",AP$14&lt;&gt;""),IF(EOMONTH($AP$3+INT((DAY(EOMONTH($AP$3,0))-1)/2)+AP$14,0)=EOMONTH($AT$3,0),AP$12*AP$13,0),0),IF(AND(AL$12&lt;&gt;"",AL$14&lt;&gt;""),IF(EOMONTH($AL$3+INT((DAY(EOMONTH($AL$3,0))-1)/2)+AL$14,0)=EOMONTH($AT$3,0),AL$12*AL$13,0),0),IF(AND(AH$12&lt;&gt;"",AH$14&lt;&gt;""),IF(EOMONTH($AH$3+INT((DAY(EOMONTH($AH$3,0))-1)/2)+AH$14,0)=EOMONTH($AT$3,0),AH$12*AH$13,0),0),IF(AND(AD$12&lt;&gt;"",AD$14&lt;&gt;""),IF(EOMONTH($AD$3+INT((DAY(EOMONTH($AD$3,0))-1)/2)+AD$14,0)=EOMONTH($AT$3,0),AD$12*AD$13,0),0),IF(AND(Z$12&lt;&gt;"",Z$14&lt;&gt;""),IF(EOMONTH($Z$3+INT((DAY(EOMONTH($Z$3,0))-1)/2)+Z$14,0)=EOMONTH($AT$3,0),Z$12*Z$13,0),0),IF(AND(V$12&lt;&gt;"",V$14&lt;&gt;""),IF(EOMONTH($V$3+INT((DAY(EOMONTH($V$3,0))-1)/2)+V$14,0)=EOMONTH($AT$3,0),V$12*V$13,0),0),IF(AND(R$12&lt;&gt;"",R$14&lt;&gt;""),IF(EOMONTH($R$3+INT((DAY(EOMONTH($R$3,0))-1)/2)+R$14,0)=EOMONTH($AT$3,0),R$12*R$13,0),0),IF(AND(N$12&lt;&gt;"",N$14&lt;&gt;""),IF(EOMONTH($N$3+INT((DAY(EOMONTH($N$3,0))-1)/2)+N$14,0)=EOMONTH($AT$3,0),N$12*N$13,0),0),IF(AND(J$12&lt;&gt;"",J$14&lt;&gt;""),IF(EOMONTH($J$3+INT((DAY(EOMONTH($J$3,0))-1)/2)+J$14,0)=EOMONTH($AT$3,0),J$12*J$13,0),0),IF(AND(F$12&lt;&gt;"",F$14&lt;&gt;""),IF(EOMONTH($F$3+INT((DAY(EOMONTH($F$3,0))-1)/2)+F$14,0)=EOMONTH($AT$3,0),F$12*F$13,0),0),IF($EP$75="",0,IF(EOMONTH($EP$75+EP$14,0)=EOMONTH($AT$3,0),$EP$77*EP$13,0))),0)</f>
        <v>0</v>
      </c>
      <c r="AU73" s="41">
        <f t="shared" si="1096"/>
        <v>128000</v>
      </c>
      <c r="AV73" s="41">
        <f t="shared" si="1096"/>
        <v>128000</v>
      </c>
      <c r="AW73" s="41">
        <f t="shared" si="1097"/>
        <v>0</v>
      </c>
      <c r="AX73" s="41">
        <f t="shared" ref="AX73:AZ73" si="1098">ROUND(SUM(IF(AND(EP$12&lt;&gt;"",EP$14&lt;&gt;""),IF(EOMONTH($EP$3+INT((DAY(EOMONTH($EP$3,0))-1)/2)+EP$14,0)=EOMONTH($AX$3,0),EP$12*EP$13,0),0),IF(AND(EL$12&lt;&gt;"",EL$14&lt;&gt;""),IF(EOMONTH($EL$3+INT((DAY(EOMONTH($EL$3,0))-1)/2)+EL$14,0)=EOMONTH($AX$3,0),EL$12*EL$13,0),0),IF(AND(EH$12&lt;&gt;"",EH$14&lt;&gt;""),IF(EOMONTH($EH$3+INT((DAY(EOMONTH($EH$3,0))-1)/2)+EH$14,0)=EOMONTH($AX$3,0),EH$12*EH$13,0),0),IF(AND(ED$12&lt;&gt;"",ED$14&lt;&gt;""),IF(EOMONTH($ED$3+INT((DAY(EOMONTH($ED$3,0))-1)/2)+ED$14,0)=EOMONTH($AX$3,0),ED$12*ED$13,0),0),IF(AND(DZ$12&lt;&gt;"",DZ$14&lt;&gt;""),IF(EOMONTH($DZ$3+INT((DAY(EOMONTH($DZ$3,0))-1)/2)+DZ$14,0)=EOMONTH($AX$3,0),DZ$12*DZ$13,0),0),IF(AND(DV$12&lt;&gt;"",DV$14&lt;&gt;""),IF(EOMONTH($DV$3+INT((DAY(EOMONTH($DV$3,0))-1)/2)+DV$14,0)=EOMONTH($AX$3,0),DV$12*DV$13,0),0),IF(AND(DR$12&lt;&gt;"",DR$14&lt;&gt;""),IF(EOMONTH($DR$3+INT((DAY(EOMONTH($DR$3,0))-1)/2)+DR$14,0)=EOMONTH($AX$3,0),DR$12*DR$13,0),0),IF(AND(DN$12&lt;&gt;"",DN$14&lt;&gt;""),IF(EOMONTH($DN$3+INT((DAY(EOMONTH($DN$3,0))-1)/2)+DN$14,0)=EOMONTH($AX$3,0),DN$12*DN$13,0),0),IF(AND(DJ$12&lt;&gt;"",DJ$14&lt;&gt;""),IF(EOMONTH($DJ$3+INT((DAY(EOMONTH($DJ$3,0))-1)/2)+DJ$14,0)=EOMONTH($AX$3,0),DJ$12*DJ$13,0),0),IF(AND(DF$12&lt;&gt;"",DF$14&lt;&gt;""),IF(EOMONTH($DF$3+INT((DAY(EOMONTH($DF$3,0))-1)/2)+DF$14,0)=EOMONTH($AX$3,0),DF$12*DF$13,0),0),IF(AND(DB$12&lt;&gt;"",DB$14&lt;&gt;""),IF(EOMONTH($DB$3+INT((DAY(EOMONTH($DB$3,0))-1)/2)+DB$14,0)=EOMONTH($AX$3,0),DB$12*DB$13,0),0),IF(AND(CX$12&lt;&gt;"",CX$14&lt;&gt;""),IF(EOMONTH($CX$3+INT((DAY(EOMONTH($CX$3,0))-1)/2)+CX$14,0)=EOMONTH($AX$3,0),CX$12*CX$13,0),0),IF(AND(CT$12&lt;&gt;"",CT$14&lt;&gt;""),IF(EOMONTH($CT$3+INT((DAY(EOMONTH($CT$3,0))-1)/2)+CT$14,0)=EOMONTH($AX$3,0),CT$12*CT$13,0),0),IF(AND(CP$12&lt;&gt;"",CP$14&lt;&gt;""),IF(EOMONTH($CP$3+INT((DAY(EOMONTH($CP$3,0))-1)/2)+CP$14,0)=EOMONTH($AX$3,0),CP$12*CP$13,0),0),IF(AND(CL$12&lt;&gt;"",CL$14&lt;&gt;""),IF(EOMONTH($CL$3+INT((DAY(EOMONTH($CL$3,0))-1)/2)+CL$14,0)=EOMONTH($AX$3,0),CL$12*CL$13,0),0),IF(AND(CH$12&lt;&gt;"",CH$14&lt;&gt;""),IF(EOMONTH($CH$3+INT((DAY(EOMONTH($CH$3,0))-1)/2)+CH$14,0)=EOMONTH($AX$3,0),CH$12*CH$13,0),0),IF(AND(CD$12&lt;&gt;"",CD$14&lt;&gt;""),IF(EOMONTH($CD$3+INT((DAY(EOMONTH($CD$3,0))-1)/2)+CD$14,0)=EOMONTH($AX$3,0),CD$12*CD$13,0),0),IF(AND(BZ$12&lt;&gt;"",BZ$14&lt;&gt;""),IF(EOMONTH($BZ$3+INT((DAY(EOMONTH($BZ$3,0))-1)/2)+BZ$14,0)=EOMONTH($AX$3,0),BZ$12*BZ$13,0),0),IF(AND(BV$12&lt;&gt;"",BV$14&lt;&gt;""),IF(EOMONTH($BV$3+INT((DAY(EOMONTH($BV$3,0))-1)/2)+BV$14,0)=EOMONTH($AX$3,0),BV$12*BV$13,0),0),IF(AND(BR$12&lt;&gt;"",BR$14&lt;&gt;""),IF(EOMONTH($BR$3+INT((DAY(EOMONTH($BR$3,0))-1)/2)+BR$14,0)=EOMONTH($AX$3,0),BR$12*BR$13,0),0),IF(AND(BN$12&lt;&gt;"",BN$14&lt;&gt;""),IF(EOMONTH($BN$3+INT((DAY(EOMONTH($BN$3,0))-1)/2)+BN$14,0)=EOMONTH($AX$3,0),BN$12*BN$13,0),0),IF(AND(BJ$12&lt;&gt;"",BJ$14&lt;&gt;""),IF(EOMONTH($BJ$3+INT((DAY(EOMONTH($BJ$3,0))-1)/2)+BJ$14,0)=EOMONTH($AX$3,0),BJ$12*BJ$13,0),0),IF(AND(BF$12&lt;&gt;"",BF$14&lt;&gt;""),IF(EOMONTH($BF$3+INT((DAY(EOMONTH($BF$3,0))-1)/2)+BF$14,0)=EOMONTH($AX$3,0),BF$12*BF$13,0),0),IF(AND(BB$12&lt;&gt;"",BB$14&lt;&gt;""),IF(EOMONTH($BB$3+INT((DAY(EOMONTH($BB$3,0))-1)/2)+BB$14,0)=EOMONTH($AX$3,0),BB$12*BB$13,0),0),IF(AND(AX$12&lt;&gt;"",AX$14&lt;&gt;""),IF(EOMONTH($AX$3+INT((DAY(EOMONTH($AX$3,0))-1)/2)+AX$14,0)=EOMONTH($AX$3,0),AX$12*AX$13,0),0),IF(AND(AT$12&lt;&gt;"",AT$14&lt;&gt;""),IF(EOMONTH($AT$3+INT((DAY(EOMONTH($AT$3,0))-1)/2)+AT$14,0)=EOMONTH($AX$3,0),AT$12*AT$13,0),0),IF(AND(AP$12&lt;&gt;"",AP$14&lt;&gt;""),IF(EOMONTH($AP$3+INT((DAY(EOMONTH($AP$3,0))-1)/2)+AP$14,0)=EOMONTH($AX$3,0),AP$12*AP$13,0),0),IF(AND(AL$12&lt;&gt;"",AL$14&lt;&gt;""),IF(EOMONTH($AL$3+INT((DAY(EOMONTH($AL$3,0))-1)/2)+AL$14,0)=EOMONTH($AX$3,0),AL$12*AL$13,0),0),IF(AND(AH$12&lt;&gt;"",AH$14&lt;&gt;""),IF(EOMONTH($AH$3+INT((DAY(EOMONTH($AH$3,0))-1)/2)+AH$14,0)=EOMONTH($AX$3,0),AH$12*AH$13,0),0),IF(AND(AD$12&lt;&gt;"",AD$14&lt;&gt;""),IF(EOMONTH($AD$3+INT((DAY(EOMONTH($AD$3,0))-1)/2)+AD$14,0)=EOMONTH($AX$3,0),AD$12*AD$13,0),0),IF(AND(Z$12&lt;&gt;"",Z$14&lt;&gt;""),IF(EOMONTH($Z$3+INT((DAY(EOMONTH($Z$3,0))-1)/2)+Z$14,0)=EOMONTH($AX$3,0),Z$12*Z$13,0),0),IF(AND(V$12&lt;&gt;"",V$14&lt;&gt;""),IF(EOMONTH($V$3+INT((DAY(EOMONTH($V$3,0))-1)/2)+V$14,0)=EOMONTH($AX$3,0),V$12*V$13,0),0),IF(AND(R$12&lt;&gt;"",R$14&lt;&gt;""),IF(EOMONTH($R$3+INT((DAY(EOMONTH($R$3,0))-1)/2)+R$14,0)=EOMONTH($AX$3,0),R$12*R$13,0),0),IF(AND(N$12&lt;&gt;"",N$14&lt;&gt;""),IF(EOMONTH($N$3+INT((DAY(EOMONTH($N$3,0))-1)/2)+N$14,0)=EOMONTH($AX$3,0),N$12*N$13,0),0),IF(AND(J$12&lt;&gt;"",J$14&lt;&gt;""),IF(EOMONTH($J$3+INT((DAY(EOMONTH($J$3,0))-1)/2)+J$14,0)=EOMONTH($AX$3,0),J$12*J$13,0),0),IF(AND(F$12&lt;&gt;"",F$14&lt;&gt;""),IF(EOMONTH($F$3+INT((DAY(EOMONTH($F$3,0))-1)/2)+F$14,0)=EOMONTH($AX$3,0),F$12*F$13,0),0),IF($EP$75="",0,IF(EOMONTH($EP$75+EP$14,0)=EOMONTH($AX$3,0),$EP$77*EP$13,0))),0)</f>
        <v>0</v>
      </c>
      <c r="AY73" s="41">
        <f t="shared" si="1098"/>
        <v>128000</v>
      </c>
      <c r="AZ73" s="41">
        <f t="shared" si="1098"/>
        <v>128000</v>
      </c>
      <c r="BA73" s="41">
        <f t="shared" si="1099"/>
        <v>0</v>
      </c>
      <c r="BB73" s="41">
        <f t="shared" ref="BB73:BD73" si="1100">ROUND(SUM(IF(AND(EP$12&lt;&gt;"",EP$14&lt;&gt;""),IF(EOMONTH($EP$3+INT((DAY(EOMONTH($EP$3,0))-1)/2)+EP$14,0)=EOMONTH($BB$3,0),EP$12*EP$13,0),0),IF(AND(EL$12&lt;&gt;"",EL$14&lt;&gt;""),IF(EOMONTH($EL$3+INT((DAY(EOMONTH($EL$3,0))-1)/2)+EL$14,0)=EOMONTH($BB$3,0),EL$12*EL$13,0),0),IF(AND(EH$12&lt;&gt;"",EH$14&lt;&gt;""),IF(EOMONTH($EH$3+INT((DAY(EOMONTH($EH$3,0))-1)/2)+EH$14,0)=EOMONTH($BB$3,0),EH$12*EH$13,0),0),IF(AND(ED$12&lt;&gt;"",ED$14&lt;&gt;""),IF(EOMONTH($ED$3+INT((DAY(EOMONTH($ED$3,0))-1)/2)+ED$14,0)=EOMONTH($BB$3,0),ED$12*ED$13,0),0),IF(AND(DZ$12&lt;&gt;"",DZ$14&lt;&gt;""),IF(EOMONTH($DZ$3+INT((DAY(EOMONTH($DZ$3,0))-1)/2)+DZ$14,0)=EOMONTH($BB$3,0),DZ$12*DZ$13,0),0),IF(AND(DV$12&lt;&gt;"",DV$14&lt;&gt;""),IF(EOMONTH($DV$3+INT((DAY(EOMONTH($DV$3,0))-1)/2)+DV$14,0)=EOMONTH($BB$3,0),DV$12*DV$13,0),0),IF(AND(DR$12&lt;&gt;"",DR$14&lt;&gt;""),IF(EOMONTH($DR$3+INT((DAY(EOMONTH($DR$3,0))-1)/2)+DR$14,0)=EOMONTH($BB$3,0),DR$12*DR$13,0),0),IF(AND(DN$12&lt;&gt;"",DN$14&lt;&gt;""),IF(EOMONTH($DN$3+INT((DAY(EOMONTH($DN$3,0))-1)/2)+DN$14,0)=EOMONTH($BB$3,0),DN$12*DN$13,0),0),IF(AND(DJ$12&lt;&gt;"",DJ$14&lt;&gt;""),IF(EOMONTH($DJ$3+INT((DAY(EOMONTH($DJ$3,0))-1)/2)+DJ$14,0)=EOMONTH($BB$3,0),DJ$12*DJ$13,0),0),IF(AND(DF$12&lt;&gt;"",DF$14&lt;&gt;""),IF(EOMONTH($DF$3+INT((DAY(EOMONTH($DF$3,0))-1)/2)+DF$14,0)=EOMONTH($BB$3,0),DF$12*DF$13,0),0),IF(AND(DB$12&lt;&gt;"",DB$14&lt;&gt;""),IF(EOMONTH($DB$3+INT((DAY(EOMONTH($DB$3,0))-1)/2)+DB$14,0)=EOMONTH($BB$3,0),DB$12*DB$13,0),0),IF(AND(CX$12&lt;&gt;"",CX$14&lt;&gt;""),IF(EOMONTH($CX$3+INT((DAY(EOMONTH($CX$3,0))-1)/2)+CX$14,0)=EOMONTH($BB$3,0),CX$12*CX$13,0),0),IF(AND(CT$12&lt;&gt;"",CT$14&lt;&gt;""),IF(EOMONTH($CT$3+INT((DAY(EOMONTH($CT$3,0))-1)/2)+CT$14,0)=EOMONTH($BB$3,0),CT$12*CT$13,0),0),IF(AND(CP$12&lt;&gt;"",CP$14&lt;&gt;""),IF(EOMONTH($CP$3+INT((DAY(EOMONTH($CP$3,0))-1)/2)+CP$14,0)=EOMONTH($BB$3,0),CP$12*CP$13,0),0),IF(AND(CL$12&lt;&gt;"",CL$14&lt;&gt;""),IF(EOMONTH($CL$3+INT((DAY(EOMONTH($CL$3,0))-1)/2)+CL$14,0)=EOMONTH($BB$3,0),CL$12*CL$13,0),0),IF(AND(CH$12&lt;&gt;"",CH$14&lt;&gt;""),IF(EOMONTH($CH$3+INT((DAY(EOMONTH($CH$3,0))-1)/2)+CH$14,0)=EOMONTH($BB$3,0),CH$12*CH$13,0),0),IF(AND(CD$12&lt;&gt;"",CD$14&lt;&gt;""),IF(EOMONTH($CD$3+INT((DAY(EOMONTH($CD$3,0))-1)/2)+CD$14,0)=EOMONTH($BB$3,0),CD$12*CD$13,0),0),IF(AND(BZ$12&lt;&gt;"",BZ$14&lt;&gt;""),IF(EOMONTH($BZ$3+INT((DAY(EOMONTH($BZ$3,0))-1)/2)+BZ$14,0)=EOMONTH($BB$3,0),BZ$12*BZ$13,0),0),IF(AND(BV$12&lt;&gt;"",BV$14&lt;&gt;""),IF(EOMONTH($BV$3+INT((DAY(EOMONTH($BV$3,0))-1)/2)+BV$14,0)=EOMONTH($BB$3,0),BV$12*BV$13,0),0),IF(AND(BR$12&lt;&gt;"",BR$14&lt;&gt;""),IF(EOMONTH($BR$3+INT((DAY(EOMONTH($BR$3,0))-1)/2)+BR$14,0)=EOMONTH($BB$3,0),BR$12*BR$13,0),0),IF(AND(BN$12&lt;&gt;"",BN$14&lt;&gt;""),IF(EOMONTH($BN$3+INT((DAY(EOMONTH($BN$3,0))-1)/2)+BN$14,0)=EOMONTH($BB$3,0),BN$12*BN$13,0),0),IF(AND(BJ$12&lt;&gt;"",BJ$14&lt;&gt;""),IF(EOMONTH($BJ$3+INT((DAY(EOMONTH($BJ$3,0))-1)/2)+BJ$14,0)=EOMONTH($BB$3,0),BJ$12*BJ$13,0),0),IF(AND(BF$12&lt;&gt;"",BF$14&lt;&gt;""),IF(EOMONTH($BF$3+INT((DAY(EOMONTH($BF$3,0))-1)/2)+BF$14,0)=EOMONTH($BB$3,0),BF$12*BF$13,0),0),IF(AND(BB$12&lt;&gt;"",BB$14&lt;&gt;""),IF(EOMONTH($BB$3+INT((DAY(EOMONTH($BB$3,0))-1)/2)+BB$14,0)=EOMONTH($BB$3,0),BB$12*BB$13,0),0),IF(AND(AX$12&lt;&gt;"",AX$14&lt;&gt;""),IF(EOMONTH($AX$3+INT((DAY(EOMONTH($AX$3,0))-1)/2)+AX$14,0)=EOMONTH($BB$3,0),AX$12*AX$13,0),0),IF(AND(AT$12&lt;&gt;"",AT$14&lt;&gt;""),IF(EOMONTH($AT$3+INT((DAY(EOMONTH($AT$3,0))-1)/2)+AT$14,0)=EOMONTH($BB$3,0),AT$12*AT$13,0),0),IF(AND(AP$12&lt;&gt;"",AP$14&lt;&gt;""),IF(EOMONTH($AP$3+INT((DAY(EOMONTH($AP$3,0))-1)/2)+AP$14,0)=EOMONTH($BB$3,0),AP$12*AP$13,0),0),IF(AND(AL$12&lt;&gt;"",AL$14&lt;&gt;""),IF(EOMONTH($AL$3+INT((DAY(EOMONTH($AL$3,0))-1)/2)+AL$14,0)=EOMONTH($BB$3,0),AL$12*AL$13,0),0),IF(AND(AH$12&lt;&gt;"",AH$14&lt;&gt;""),IF(EOMONTH($AH$3+INT((DAY(EOMONTH($AH$3,0))-1)/2)+AH$14,0)=EOMONTH($BB$3,0),AH$12*AH$13,0),0),IF(AND(AD$12&lt;&gt;"",AD$14&lt;&gt;""),IF(EOMONTH($AD$3+INT((DAY(EOMONTH($AD$3,0))-1)/2)+AD$14,0)=EOMONTH($BB$3,0),AD$12*AD$13,0),0),IF(AND(Z$12&lt;&gt;"",Z$14&lt;&gt;""),IF(EOMONTH($Z$3+INT((DAY(EOMONTH($Z$3,0))-1)/2)+Z$14,0)=EOMONTH($BB$3,0),Z$12*Z$13,0),0),IF(AND(V$12&lt;&gt;"",V$14&lt;&gt;""),IF(EOMONTH($V$3+INT((DAY(EOMONTH($V$3,0))-1)/2)+V$14,0)=EOMONTH($BB$3,0),V$12*V$13,0),0),IF(AND(R$12&lt;&gt;"",R$14&lt;&gt;""),IF(EOMONTH($R$3+INT((DAY(EOMONTH($R$3,0))-1)/2)+R$14,0)=EOMONTH($BB$3,0),R$12*R$13,0),0),IF(AND(N$12&lt;&gt;"",N$14&lt;&gt;""),IF(EOMONTH($N$3+INT((DAY(EOMONTH($N$3,0))-1)/2)+N$14,0)=EOMONTH($BB$3,0),N$12*N$13,0),0),IF(AND(J$12&lt;&gt;"",J$14&lt;&gt;""),IF(EOMONTH($J$3+INT((DAY(EOMONTH($J$3,0))-1)/2)+J$14,0)=EOMONTH($BB$3,0),J$12*J$13,0),0),IF(AND(F$12&lt;&gt;"",F$14&lt;&gt;""),IF(EOMONTH($F$3+INT((DAY(EOMONTH($F$3,0))-1)/2)+F$14,0)=EOMONTH($BB$3,0),F$12*F$13,0),0),IF($EP$75="",0,IF(EOMONTH($EP$75+EP$14,0)=EOMONTH($BB$3,0),$EP$77*EP$13,0))),0)</f>
        <v>0</v>
      </c>
      <c r="BC73" s="41">
        <f t="shared" si="1100"/>
        <v>120000</v>
      </c>
      <c r="BD73" s="41">
        <f t="shared" si="1100"/>
        <v>120000</v>
      </c>
      <c r="BE73" s="41">
        <f t="shared" si="1101"/>
        <v>0</v>
      </c>
      <c r="BF73" s="41">
        <f t="shared" ref="BF73:BH73" si="1102">ROUND(SUM(IF(AND(EP$12&lt;&gt;"",EP$14&lt;&gt;""),IF(EOMONTH($EP$3+INT((DAY(EOMONTH($EP$3,0))-1)/2)+EP$14,0)=EOMONTH($BF$3,0),EP$12*EP$13,0),0),IF(AND(EL$12&lt;&gt;"",EL$14&lt;&gt;""),IF(EOMONTH($EL$3+INT((DAY(EOMONTH($EL$3,0))-1)/2)+EL$14,0)=EOMONTH($BF$3,0),EL$12*EL$13,0),0),IF(AND(EH$12&lt;&gt;"",EH$14&lt;&gt;""),IF(EOMONTH($EH$3+INT((DAY(EOMONTH($EH$3,0))-1)/2)+EH$14,0)=EOMONTH($BF$3,0),EH$12*EH$13,0),0),IF(AND(ED$12&lt;&gt;"",ED$14&lt;&gt;""),IF(EOMONTH($ED$3+INT((DAY(EOMONTH($ED$3,0))-1)/2)+ED$14,0)=EOMONTH($BF$3,0),ED$12*ED$13,0),0),IF(AND(DZ$12&lt;&gt;"",DZ$14&lt;&gt;""),IF(EOMONTH($DZ$3+INT((DAY(EOMONTH($DZ$3,0))-1)/2)+DZ$14,0)=EOMONTH($BF$3,0),DZ$12*DZ$13,0),0),IF(AND(DV$12&lt;&gt;"",DV$14&lt;&gt;""),IF(EOMONTH($DV$3+INT((DAY(EOMONTH($DV$3,0))-1)/2)+DV$14,0)=EOMONTH($BF$3,0),DV$12*DV$13,0),0),IF(AND(DR$12&lt;&gt;"",DR$14&lt;&gt;""),IF(EOMONTH($DR$3+INT((DAY(EOMONTH($DR$3,0))-1)/2)+DR$14,0)=EOMONTH($BF$3,0),DR$12*DR$13,0),0),IF(AND(DN$12&lt;&gt;"",DN$14&lt;&gt;""),IF(EOMONTH($DN$3+INT((DAY(EOMONTH($DN$3,0))-1)/2)+DN$14,0)=EOMONTH($BF$3,0),DN$12*DN$13,0),0),IF(AND(DJ$12&lt;&gt;"",DJ$14&lt;&gt;""),IF(EOMONTH($DJ$3+INT((DAY(EOMONTH($DJ$3,0))-1)/2)+DJ$14,0)=EOMONTH($BF$3,0),DJ$12*DJ$13,0),0),IF(AND(DF$12&lt;&gt;"",DF$14&lt;&gt;""),IF(EOMONTH($DF$3+INT((DAY(EOMONTH($DF$3,0))-1)/2)+DF$14,0)=EOMONTH($BF$3,0),DF$12*DF$13,0),0),IF(AND(DB$12&lt;&gt;"",DB$14&lt;&gt;""),IF(EOMONTH($DB$3+INT((DAY(EOMONTH($DB$3,0))-1)/2)+DB$14,0)=EOMONTH($BF$3,0),DB$12*DB$13,0),0),IF(AND(CX$12&lt;&gt;"",CX$14&lt;&gt;""),IF(EOMONTH($CX$3+INT((DAY(EOMONTH($CX$3,0))-1)/2)+CX$14,0)=EOMONTH($BF$3,0),CX$12*CX$13,0),0),IF(AND(CT$12&lt;&gt;"",CT$14&lt;&gt;""),IF(EOMONTH($CT$3+INT((DAY(EOMONTH($CT$3,0))-1)/2)+CT$14,0)=EOMONTH($BF$3,0),CT$12*CT$13,0),0),IF(AND(CP$12&lt;&gt;"",CP$14&lt;&gt;""),IF(EOMONTH($CP$3+INT((DAY(EOMONTH($CP$3,0))-1)/2)+CP$14,0)=EOMONTH($BF$3,0),CP$12*CP$13,0),0),IF(AND(CL$12&lt;&gt;"",CL$14&lt;&gt;""),IF(EOMONTH($CL$3+INT((DAY(EOMONTH($CL$3,0))-1)/2)+CL$14,0)=EOMONTH($BF$3,0),CL$12*CL$13,0),0),IF(AND(CH$12&lt;&gt;"",CH$14&lt;&gt;""),IF(EOMONTH($CH$3+INT((DAY(EOMONTH($CH$3,0))-1)/2)+CH$14,0)=EOMONTH($BF$3,0),CH$12*CH$13,0),0),IF(AND(CD$12&lt;&gt;"",CD$14&lt;&gt;""),IF(EOMONTH($CD$3+INT((DAY(EOMONTH($CD$3,0))-1)/2)+CD$14,0)=EOMONTH($BF$3,0),CD$12*CD$13,0),0),IF(AND(BZ$12&lt;&gt;"",BZ$14&lt;&gt;""),IF(EOMONTH($BZ$3+INT((DAY(EOMONTH($BZ$3,0))-1)/2)+BZ$14,0)=EOMONTH($BF$3,0),BZ$12*BZ$13,0),0),IF(AND(BV$12&lt;&gt;"",BV$14&lt;&gt;""),IF(EOMONTH($BV$3+INT((DAY(EOMONTH($BV$3,0))-1)/2)+BV$14,0)=EOMONTH($BF$3,0),BV$12*BV$13,0),0),IF(AND(BR$12&lt;&gt;"",BR$14&lt;&gt;""),IF(EOMONTH($BR$3+INT((DAY(EOMONTH($BR$3,0))-1)/2)+BR$14,0)=EOMONTH($BF$3,0),BR$12*BR$13,0),0),IF(AND(BN$12&lt;&gt;"",BN$14&lt;&gt;""),IF(EOMONTH($BN$3+INT((DAY(EOMONTH($BN$3,0))-1)/2)+BN$14,0)=EOMONTH($BF$3,0),BN$12*BN$13,0),0),IF(AND(BJ$12&lt;&gt;"",BJ$14&lt;&gt;""),IF(EOMONTH($BJ$3+INT((DAY(EOMONTH($BJ$3,0))-1)/2)+BJ$14,0)=EOMONTH($BF$3,0),BJ$12*BJ$13,0),0),IF(AND(BF$12&lt;&gt;"",BF$14&lt;&gt;""),IF(EOMONTH($BF$3+INT((DAY(EOMONTH($BF$3,0))-1)/2)+BF$14,0)=EOMONTH($BF$3,0),BF$12*BF$13,0),0),IF(AND(BB$12&lt;&gt;"",BB$14&lt;&gt;""),IF(EOMONTH($BB$3+INT((DAY(EOMONTH($BB$3,0))-1)/2)+BB$14,0)=EOMONTH($BF$3,0),BB$12*BB$13,0),0),IF(AND(AX$12&lt;&gt;"",AX$14&lt;&gt;""),IF(EOMONTH($AX$3+INT((DAY(EOMONTH($AX$3,0))-1)/2)+AX$14,0)=EOMONTH($BF$3,0),AX$12*AX$13,0),0),IF(AND(AT$12&lt;&gt;"",AT$14&lt;&gt;""),IF(EOMONTH($AT$3+INT((DAY(EOMONTH($AT$3,0))-1)/2)+AT$14,0)=EOMONTH($BF$3,0),AT$12*AT$13,0),0),IF(AND(AP$12&lt;&gt;"",AP$14&lt;&gt;""),IF(EOMONTH($AP$3+INT((DAY(EOMONTH($AP$3,0))-1)/2)+AP$14,0)=EOMONTH($BF$3,0),AP$12*AP$13,0),0),IF(AND(AL$12&lt;&gt;"",AL$14&lt;&gt;""),IF(EOMONTH($AL$3+INT((DAY(EOMONTH($AL$3,0))-1)/2)+AL$14,0)=EOMONTH($BF$3,0),AL$12*AL$13,0),0),IF(AND(AH$12&lt;&gt;"",AH$14&lt;&gt;""),IF(EOMONTH($AH$3+INT((DAY(EOMONTH($AH$3,0))-1)/2)+AH$14,0)=EOMONTH($BF$3,0),AH$12*AH$13,0),0),IF(AND(AD$12&lt;&gt;"",AD$14&lt;&gt;""),IF(EOMONTH($AD$3+INT((DAY(EOMONTH($AD$3,0))-1)/2)+AD$14,0)=EOMONTH($BF$3,0),AD$12*AD$13,0),0),IF(AND(Z$12&lt;&gt;"",Z$14&lt;&gt;""),IF(EOMONTH($Z$3+INT((DAY(EOMONTH($Z$3,0))-1)/2)+Z$14,0)=EOMONTH($BF$3,0),Z$12*Z$13,0),0),IF(AND(V$12&lt;&gt;"",V$14&lt;&gt;""),IF(EOMONTH($V$3+INT((DAY(EOMONTH($V$3,0))-1)/2)+V$14,0)=EOMONTH($BF$3,0),V$12*V$13,0),0),IF(AND(R$12&lt;&gt;"",R$14&lt;&gt;""),IF(EOMONTH($R$3+INT((DAY(EOMONTH($R$3,0))-1)/2)+R$14,0)=EOMONTH($BF$3,0),R$12*R$13,0),0),IF(AND(N$12&lt;&gt;"",N$14&lt;&gt;""),IF(EOMONTH($N$3+INT((DAY(EOMONTH($N$3,0))-1)/2)+N$14,0)=EOMONTH($BF$3,0),N$12*N$13,0),0),IF(AND(J$12&lt;&gt;"",J$14&lt;&gt;""),IF(EOMONTH($J$3+INT((DAY(EOMONTH($J$3,0))-1)/2)+J$14,0)=EOMONTH($BF$3,0),J$12*J$13,0),0),IF(AND(F$12&lt;&gt;"",F$14&lt;&gt;""),IF(EOMONTH($F$3+INT((DAY(EOMONTH($F$3,0))-1)/2)+F$14,0)=EOMONTH($BF$3,0),F$12*F$13,0),0),IF($EP$75="",0,IF(EOMONTH($EP$75+EP$14,0)=EOMONTH($BF$3,0),$EP$77*EP$13,0))),0)</f>
        <v>0</v>
      </c>
      <c r="BG73" s="41">
        <f t="shared" si="1102"/>
        <v>120000</v>
      </c>
      <c r="BH73" s="41">
        <f t="shared" si="1102"/>
        <v>120000</v>
      </c>
      <c r="BI73" s="41">
        <f t="shared" si="1103"/>
        <v>0</v>
      </c>
      <c r="BJ73" s="41">
        <f t="shared" ref="BJ73:BL73" si="1104">ROUND(SUM(IF(AND(EP$12&lt;&gt;"",EP$14&lt;&gt;""),IF(EOMONTH($EP$3+INT((DAY(EOMONTH($EP$3,0))-1)/2)+EP$14,0)=EOMONTH($BJ$3,0),EP$12*EP$13,0),0),IF(AND(EL$12&lt;&gt;"",EL$14&lt;&gt;""),IF(EOMONTH($EL$3+INT((DAY(EOMONTH($EL$3,0))-1)/2)+EL$14,0)=EOMONTH($BJ$3,0),EL$12*EL$13,0),0),IF(AND(EH$12&lt;&gt;"",EH$14&lt;&gt;""),IF(EOMONTH($EH$3+INT((DAY(EOMONTH($EH$3,0))-1)/2)+EH$14,0)=EOMONTH($BJ$3,0),EH$12*EH$13,0),0),IF(AND(ED$12&lt;&gt;"",ED$14&lt;&gt;""),IF(EOMONTH($ED$3+INT((DAY(EOMONTH($ED$3,0))-1)/2)+ED$14,0)=EOMONTH($BJ$3,0),ED$12*ED$13,0),0),IF(AND(DZ$12&lt;&gt;"",DZ$14&lt;&gt;""),IF(EOMONTH($DZ$3+INT((DAY(EOMONTH($DZ$3,0))-1)/2)+DZ$14,0)=EOMONTH($BJ$3,0),DZ$12*DZ$13,0),0),IF(AND(DV$12&lt;&gt;"",DV$14&lt;&gt;""),IF(EOMONTH($DV$3+INT((DAY(EOMONTH($DV$3,0))-1)/2)+DV$14,0)=EOMONTH($BJ$3,0),DV$12*DV$13,0),0),IF(AND(DR$12&lt;&gt;"",DR$14&lt;&gt;""),IF(EOMONTH($DR$3+INT((DAY(EOMONTH($DR$3,0))-1)/2)+DR$14,0)=EOMONTH($BJ$3,0),DR$12*DR$13,0),0),IF(AND(DN$12&lt;&gt;"",DN$14&lt;&gt;""),IF(EOMONTH($DN$3+INT((DAY(EOMONTH($DN$3,0))-1)/2)+DN$14,0)=EOMONTH($BJ$3,0),DN$12*DN$13,0),0),IF(AND(DJ$12&lt;&gt;"",DJ$14&lt;&gt;""),IF(EOMONTH($DJ$3+INT((DAY(EOMONTH($DJ$3,0))-1)/2)+DJ$14,0)=EOMONTH($BJ$3,0),DJ$12*DJ$13,0),0),IF(AND(DF$12&lt;&gt;"",DF$14&lt;&gt;""),IF(EOMONTH($DF$3+INT((DAY(EOMONTH($DF$3,0))-1)/2)+DF$14,0)=EOMONTH($BJ$3,0),DF$12*DF$13,0),0),IF(AND(DB$12&lt;&gt;"",DB$14&lt;&gt;""),IF(EOMONTH($DB$3+INT((DAY(EOMONTH($DB$3,0))-1)/2)+DB$14,0)=EOMONTH($BJ$3,0),DB$12*DB$13,0),0),IF(AND(CX$12&lt;&gt;"",CX$14&lt;&gt;""),IF(EOMONTH($CX$3+INT((DAY(EOMONTH($CX$3,0))-1)/2)+CX$14,0)=EOMONTH($BJ$3,0),CX$12*CX$13,0),0),IF(AND(CT$12&lt;&gt;"",CT$14&lt;&gt;""),IF(EOMONTH($CT$3+INT((DAY(EOMONTH($CT$3,0))-1)/2)+CT$14,0)=EOMONTH($BJ$3,0),CT$12*CT$13,0),0),IF(AND(CP$12&lt;&gt;"",CP$14&lt;&gt;""),IF(EOMONTH($CP$3+INT((DAY(EOMONTH($CP$3,0))-1)/2)+CP$14,0)=EOMONTH($BJ$3,0),CP$12*CP$13,0),0),IF(AND(CL$12&lt;&gt;"",CL$14&lt;&gt;""),IF(EOMONTH($CL$3+INT((DAY(EOMONTH($CL$3,0))-1)/2)+CL$14,0)=EOMONTH($BJ$3,0),CL$12*CL$13,0),0),IF(AND(CH$12&lt;&gt;"",CH$14&lt;&gt;""),IF(EOMONTH($CH$3+INT((DAY(EOMONTH($CH$3,0))-1)/2)+CH$14,0)=EOMONTH($BJ$3,0),CH$12*CH$13,0),0),IF(AND(CD$12&lt;&gt;"",CD$14&lt;&gt;""),IF(EOMONTH($CD$3+INT((DAY(EOMONTH($CD$3,0))-1)/2)+CD$14,0)=EOMONTH($BJ$3,0),CD$12*CD$13,0),0),IF(AND(BZ$12&lt;&gt;"",BZ$14&lt;&gt;""),IF(EOMONTH($BZ$3+INT((DAY(EOMONTH($BZ$3,0))-1)/2)+BZ$14,0)=EOMONTH($BJ$3,0),BZ$12*BZ$13,0),0),IF(AND(BV$12&lt;&gt;"",BV$14&lt;&gt;""),IF(EOMONTH($BV$3+INT((DAY(EOMONTH($BV$3,0))-1)/2)+BV$14,0)=EOMONTH($BJ$3,0),BV$12*BV$13,0),0),IF(AND(BR$12&lt;&gt;"",BR$14&lt;&gt;""),IF(EOMONTH($BR$3+INT((DAY(EOMONTH($BR$3,0))-1)/2)+BR$14,0)=EOMONTH($BJ$3,0),BR$12*BR$13,0),0),IF(AND(BN$12&lt;&gt;"",BN$14&lt;&gt;""),IF(EOMONTH($BN$3+INT((DAY(EOMONTH($BN$3,0))-1)/2)+BN$14,0)=EOMONTH($BJ$3,0),BN$12*BN$13,0),0),IF(AND(BJ$12&lt;&gt;"",BJ$14&lt;&gt;""),IF(EOMONTH($BJ$3+INT((DAY(EOMONTH($BJ$3,0))-1)/2)+BJ$14,0)=EOMONTH($BJ$3,0),BJ$12*BJ$13,0),0),IF(AND(BF$12&lt;&gt;"",BF$14&lt;&gt;""),IF(EOMONTH($BF$3+INT((DAY(EOMONTH($BF$3,0))-1)/2)+BF$14,0)=EOMONTH($BJ$3,0),BF$12*BF$13,0),0),IF(AND(BB$12&lt;&gt;"",BB$14&lt;&gt;""),IF(EOMONTH($BB$3+INT((DAY(EOMONTH($BB$3,0))-1)/2)+BB$14,0)=EOMONTH($BJ$3,0),BB$12*BB$13,0),0),IF(AND(AX$12&lt;&gt;"",AX$14&lt;&gt;""),IF(EOMONTH($AX$3+INT((DAY(EOMONTH($AX$3,0))-1)/2)+AX$14,0)=EOMONTH($BJ$3,0),AX$12*AX$13,0),0),IF(AND(AT$12&lt;&gt;"",AT$14&lt;&gt;""),IF(EOMONTH($AT$3+INT((DAY(EOMONTH($AT$3,0))-1)/2)+AT$14,0)=EOMONTH($BJ$3,0),AT$12*AT$13,0),0),IF(AND(AP$12&lt;&gt;"",AP$14&lt;&gt;""),IF(EOMONTH($AP$3+INT((DAY(EOMONTH($AP$3,0))-1)/2)+AP$14,0)=EOMONTH($BJ$3,0),AP$12*AP$13,0),0),IF(AND(AL$12&lt;&gt;"",AL$14&lt;&gt;""),IF(EOMONTH($AL$3+INT((DAY(EOMONTH($AL$3,0))-1)/2)+AL$14,0)=EOMONTH($BJ$3,0),AL$12*AL$13,0),0),IF(AND(AH$12&lt;&gt;"",AH$14&lt;&gt;""),IF(EOMONTH($AH$3+INT((DAY(EOMONTH($AH$3,0))-1)/2)+AH$14,0)=EOMONTH($BJ$3,0),AH$12*AH$13,0),0),IF(AND(AD$12&lt;&gt;"",AD$14&lt;&gt;""),IF(EOMONTH($AD$3+INT((DAY(EOMONTH($AD$3,0))-1)/2)+AD$14,0)=EOMONTH($BJ$3,0),AD$12*AD$13,0),0),IF(AND(Z$12&lt;&gt;"",Z$14&lt;&gt;""),IF(EOMONTH($Z$3+INT((DAY(EOMONTH($Z$3,0))-1)/2)+Z$14,0)=EOMONTH($BJ$3,0),Z$12*Z$13,0),0),IF(AND(V$12&lt;&gt;"",V$14&lt;&gt;""),IF(EOMONTH($V$3+INT((DAY(EOMONTH($V$3,0))-1)/2)+V$14,0)=EOMONTH($BJ$3,0),V$12*V$13,0),0),IF(AND(R$12&lt;&gt;"",R$14&lt;&gt;""),IF(EOMONTH($R$3+INT((DAY(EOMONTH($R$3,0))-1)/2)+R$14,0)=EOMONTH($BJ$3,0),R$12*R$13,0),0),IF(AND(N$12&lt;&gt;"",N$14&lt;&gt;""),IF(EOMONTH($N$3+INT((DAY(EOMONTH($N$3,0))-1)/2)+N$14,0)=EOMONTH($BJ$3,0),N$12*N$13,0),0),IF(AND(J$12&lt;&gt;"",J$14&lt;&gt;""),IF(EOMONTH($J$3+INT((DAY(EOMONTH($J$3,0))-1)/2)+J$14,0)=EOMONTH($BJ$3,0),J$12*J$13,0),0),IF(AND(F$12&lt;&gt;"",F$14&lt;&gt;""),IF(EOMONTH($F$3+INT((DAY(EOMONTH($F$3,0))-1)/2)+F$14,0)=EOMONTH($BJ$3,0),F$12*F$13,0),0),IF($EP$75="",0,IF(EOMONTH($EP$75+EP$14,0)=EOMONTH($BJ$3,0),$EP$77*EP$13,0))),0)</f>
        <v>0</v>
      </c>
      <c r="BK73" s="41">
        <f t="shared" si="1104"/>
        <v>120000</v>
      </c>
      <c r="BL73" s="41">
        <f t="shared" si="1104"/>
        <v>120000</v>
      </c>
      <c r="BM73" s="41">
        <f t="shared" si="1105"/>
        <v>0</v>
      </c>
      <c r="BN73" s="41">
        <f t="shared" ref="BN73:BP73" si="1106">ROUND(SUM(IF(AND(EP$12&lt;&gt;"",EP$14&lt;&gt;""),IF(EOMONTH($EP$3+INT((DAY(EOMONTH($EP$3,0))-1)/2)+EP$14,0)=EOMONTH($BN$3,0),EP$12*EP$13,0),0),IF(AND(EL$12&lt;&gt;"",EL$14&lt;&gt;""),IF(EOMONTH($EL$3+INT((DAY(EOMONTH($EL$3,0))-1)/2)+EL$14,0)=EOMONTH($BN$3,0),EL$12*EL$13,0),0),IF(AND(EH$12&lt;&gt;"",EH$14&lt;&gt;""),IF(EOMONTH($EH$3+INT((DAY(EOMONTH($EH$3,0))-1)/2)+EH$14,0)=EOMONTH($BN$3,0),EH$12*EH$13,0),0),IF(AND(ED$12&lt;&gt;"",ED$14&lt;&gt;""),IF(EOMONTH($ED$3+INT((DAY(EOMONTH($ED$3,0))-1)/2)+ED$14,0)=EOMONTH($BN$3,0),ED$12*ED$13,0),0),IF(AND(DZ$12&lt;&gt;"",DZ$14&lt;&gt;""),IF(EOMONTH($DZ$3+INT((DAY(EOMONTH($DZ$3,0))-1)/2)+DZ$14,0)=EOMONTH($BN$3,0),DZ$12*DZ$13,0),0),IF(AND(DV$12&lt;&gt;"",DV$14&lt;&gt;""),IF(EOMONTH($DV$3+INT((DAY(EOMONTH($DV$3,0))-1)/2)+DV$14,0)=EOMONTH($BN$3,0),DV$12*DV$13,0),0),IF(AND(DR$12&lt;&gt;"",DR$14&lt;&gt;""),IF(EOMONTH($DR$3+INT((DAY(EOMONTH($DR$3,0))-1)/2)+DR$14,0)=EOMONTH($BN$3,0),DR$12*DR$13,0),0),IF(AND(DN$12&lt;&gt;"",DN$14&lt;&gt;""),IF(EOMONTH($DN$3+INT((DAY(EOMONTH($DN$3,0))-1)/2)+DN$14,0)=EOMONTH($BN$3,0),DN$12*DN$13,0),0),IF(AND(DJ$12&lt;&gt;"",DJ$14&lt;&gt;""),IF(EOMONTH($DJ$3+INT((DAY(EOMONTH($DJ$3,0))-1)/2)+DJ$14,0)=EOMONTH($BN$3,0),DJ$12*DJ$13,0),0),IF(AND(DF$12&lt;&gt;"",DF$14&lt;&gt;""),IF(EOMONTH($DF$3+INT((DAY(EOMONTH($DF$3,0))-1)/2)+DF$14,0)=EOMONTH($BN$3,0),DF$12*DF$13,0),0),IF(AND(DB$12&lt;&gt;"",DB$14&lt;&gt;""),IF(EOMONTH($DB$3+INT((DAY(EOMONTH($DB$3,0))-1)/2)+DB$14,0)=EOMONTH($BN$3,0),DB$12*DB$13,0),0),IF(AND(CX$12&lt;&gt;"",CX$14&lt;&gt;""),IF(EOMONTH($CX$3+INT((DAY(EOMONTH($CX$3,0))-1)/2)+CX$14,0)=EOMONTH($BN$3,0),CX$12*CX$13,0),0),IF(AND(CT$12&lt;&gt;"",CT$14&lt;&gt;""),IF(EOMONTH($CT$3+INT((DAY(EOMONTH($CT$3,0))-1)/2)+CT$14,0)=EOMONTH($BN$3,0),CT$12*CT$13,0),0),IF(AND(CP$12&lt;&gt;"",CP$14&lt;&gt;""),IF(EOMONTH($CP$3+INT((DAY(EOMONTH($CP$3,0))-1)/2)+CP$14,0)=EOMONTH($BN$3,0),CP$12*CP$13,0),0),IF(AND(CL$12&lt;&gt;"",CL$14&lt;&gt;""),IF(EOMONTH($CL$3+INT((DAY(EOMONTH($CL$3,0))-1)/2)+CL$14,0)=EOMONTH($BN$3,0),CL$12*CL$13,0),0),IF(AND(CH$12&lt;&gt;"",CH$14&lt;&gt;""),IF(EOMONTH($CH$3+INT((DAY(EOMONTH($CH$3,0))-1)/2)+CH$14,0)=EOMONTH($BN$3,0),CH$12*CH$13,0),0),IF(AND(CD$12&lt;&gt;"",CD$14&lt;&gt;""),IF(EOMONTH($CD$3+INT((DAY(EOMONTH($CD$3,0))-1)/2)+CD$14,0)=EOMONTH($BN$3,0),CD$12*CD$13,0),0),IF(AND(BZ$12&lt;&gt;"",BZ$14&lt;&gt;""),IF(EOMONTH($BZ$3+INT((DAY(EOMONTH($BZ$3,0))-1)/2)+BZ$14,0)=EOMONTH($BN$3,0),BZ$12*BZ$13,0),0),IF(AND(BV$12&lt;&gt;"",BV$14&lt;&gt;""),IF(EOMONTH($BV$3+INT((DAY(EOMONTH($BV$3,0))-1)/2)+BV$14,0)=EOMONTH($BN$3,0),BV$12*BV$13,0),0),IF(AND(BR$12&lt;&gt;"",BR$14&lt;&gt;""),IF(EOMONTH($BR$3+INT((DAY(EOMONTH($BR$3,0))-1)/2)+BR$14,0)=EOMONTH($BN$3,0),BR$12*BR$13,0),0),IF(AND(BN$12&lt;&gt;"",BN$14&lt;&gt;""),IF(EOMONTH($BN$3+INT((DAY(EOMONTH($BN$3,0))-1)/2)+BN$14,0)=EOMONTH($BN$3,0),BN$12*BN$13,0),0),IF(AND(BJ$12&lt;&gt;"",BJ$14&lt;&gt;""),IF(EOMONTH($BJ$3+INT((DAY(EOMONTH($BJ$3,0))-1)/2)+BJ$14,0)=EOMONTH($BN$3,0),BJ$12*BJ$13,0),0),IF(AND(BF$12&lt;&gt;"",BF$14&lt;&gt;""),IF(EOMONTH($BF$3+INT((DAY(EOMONTH($BF$3,0))-1)/2)+BF$14,0)=EOMONTH($BN$3,0),BF$12*BF$13,0),0),IF(AND(BB$12&lt;&gt;"",BB$14&lt;&gt;""),IF(EOMONTH($BB$3+INT((DAY(EOMONTH($BB$3,0))-1)/2)+BB$14,0)=EOMONTH($BN$3,0),BB$12*BB$13,0),0),IF(AND(AX$12&lt;&gt;"",AX$14&lt;&gt;""),IF(EOMONTH($AX$3+INT((DAY(EOMONTH($AX$3,0))-1)/2)+AX$14,0)=EOMONTH($BN$3,0),AX$12*AX$13,0),0),IF(AND(AT$12&lt;&gt;"",AT$14&lt;&gt;""),IF(EOMONTH($AT$3+INT((DAY(EOMONTH($AT$3,0))-1)/2)+AT$14,0)=EOMONTH($BN$3,0),AT$12*AT$13,0),0),IF(AND(AP$12&lt;&gt;"",AP$14&lt;&gt;""),IF(EOMONTH($AP$3+INT((DAY(EOMONTH($AP$3,0))-1)/2)+AP$14,0)=EOMONTH($BN$3,0),AP$12*AP$13,0),0),IF(AND(AL$12&lt;&gt;"",AL$14&lt;&gt;""),IF(EOMONTH($AL$3+INT((DAY(EOMONTH($AL$3,0))-1)/2)+AL$14,0)=EOMONTH($BN$3,0),AL$12*AL$13,0),0),IF(AND(AH$12&lt;&gt;"",AH$14&lt;&gt;""),IF(EOMONTH($AH$3+INT((DAY(EOMONTH($AH$3,0))-1)/2)+AH$14,0)=EOMONTH($BN$3,0),AH$12*AH$13,0),0),IF(AND(AD$12&lt;&gt;"",AD$14&lt;&gt;""),IF(EOMONTH($AD$3+INT((DAY(EOMONTH($AD$3,0))-1)/2)+AD$14,0)=EOMONTH($BN$3,0),AD$12*AD$13,0),0),IF(AND(Z$12&lt;&gt;"",Z$14&lt;&gt;""),IF(EOMONTH($Z$3+INT((DAY(EOMONTH($Z$3,0))-1)/2)+Z$14,0)=EOMONTH($BN$3,0),Z$12*Z$13,0),0),IF(AND(V$12&lt;&gt;"",V$14&lt;&gt;""),IF(EOMONTH($V$3+INT((DAY(EOMONTH($V$3,0))-1)/2)+V$14,0)=EOMONTH($BN$3,0),V$12*V$13,0),0),IF(AND(R$12&lt;&gt;"",R$14&lt;&gt;""),IF(EOMONTH($R$3+INT((DAY(EOMONTH($R$3,0))-1)/2)+R$14,0)=EOMONTH($BN$3,0),R$12*R$13,0),0),IF(AND(N$12&lt;&gt;"",N$14&lt;&gt;""),IF(EOMONTH($N$3+INT((DAY(EOMONTH($N$3,0))-1)/2)+N$14,0)=EOMONTH($BN$3,0),N$12*N$13,0),0),IF(AND(J$12&lt;&gt;"",J$14&lt;&gt;""),IF(EOMONTH($J$3+INT((DAY(EOMONTH($J$3,0))-1)/2)+J$14,0)=EOMONTH($BN$3,0),J$12*J$13,0),0),IF(AND(F$12&lt;&gt;"",F$14&lt;&gt;""),IF(EOMONTH($F$3+INT((DAY(EOMONTH($F$3,0))-1)/2)+F$14,0)=EOMONTH($BN$3,0),F$12*F$13,0),0),IF($EP$75="",0,IF(EOMONTH($EP$75+EP$14,0)=EOMONTH($BN$3,0),$EP$77*EP$13,0))),0)</f>
        <v>0</v>
      </c>
      <c r="BO73" s="41">
        <f t="shared" si="1106"/>
        <v>120000</v>
      </c>
      <c r="BP73" s="41">
        <f t="shared" si="1106"/>
        <v>120000</v>
      </c>
      <c r="BQ73" s="41">
        <f t="shared" si="1107"/>
        <v>0</v>
      </c>
      <c r="BR73" s="41">
        <f t="shared" ref="BR73:BT73" si="1108">ROUND(SUM(IF(AND(EP$12&lt;&gt;"",EP$14&lt;&gt;""),IF(EOMONTH($EP$3+INT((DAY(EOMONTH($EP$3,0))-1)/2)+EP$14,0)=EOMONTH($BR$3,0),EP$12*EP$13,0),0),IF(AND(EL$12&lt;&gt;"",EL$14&lt;&gt;""),IF(EOMONTH($EL$3+INT((DAY(EOMONTH($EL$3,0))-1)/2)+EL$14,0)=EOMONTH($BR$3,0),EL$12*EL$13,0),0),IF(AND(EH$12&lt;&gt;"",EH$14&lt;&gt;""),IF(EOMONTH($EH$3+INT((DAY(EOMONTH($EH$3,0))-1)/2)+EH$14,0)=EOMONTH($BR$3,0),EH$12*EH$13,0),0),IF(AND(ED$12&lt;&gt;"",ED$14&lt;&gt;""),IF(EOMONTH($ED$3+INT((DAY(EOMONTH($ED$3,0))-1)/2)+ED$14,0)=EOMONTH($BR$3,0),ED$12*ED$13,0),0),IF(AND(DZ$12&lt;&gt;"",DZ$14&lt;&gt;""),IF(EOMONTH($DZ$3+INT((DAY(EOMONTH($DZ$3,0))-1)/2)+DZ$14,0)=EOMONTH($BR$3,0),DZ$12*DZ$13,0),0),IF(AND(DV$12&lt;&gt;"",DV$14&lt;&gt;""),IF(EOMONTH($DV$3+INT((DAY(EOMONTH($DV$3,0))-1)/2)+DV$14,0)=EOMONTH($BR$3,0),DV$12*DV$13,0),0),IF(AND(DR$12&lt;&gt;"",DR$14&lt;&gt;""),IF(EOMONTH($DR$3+INT((DAY(EOMONTH($DR$3,0))-1)/2)+DR$14,0)=EOMONTH($BR$3,0),DR$12*DR$13,0),0),IF(AND(DN$12&lt;&gt;"",DN$14&lt;&gt;""),IF(EOMONTH($DN$3+INT((DAY(EOMONTH($DN$3,0))-1)/2)+DN$14,0)=EOMONTH($BR$3,0),DN$12*DN$13,0),0),IF(AND(DJ$12&lt;&gt;"",DJ$14&lt;&gt;""),IF(EOMONTH($DJ$3+INT((DAY(EOMONTH($DJ$3,0))-1)/2)+DJ$14,0)=EOMONTH($BR$3,0),DJ$12*DJ$13,0),0),IF(AND(DF$12&lt;&gt;"",DF$14&lt;&gt;""),IF(EOMONTH($DF$3+INT((DAY(EOMONTH($DF$3,0))-1)/2)+DF$14,0)=EOMONTH($BR$3,0),DF$12*DF$13,0),0),IF(AND(DB$12&lt;&gt;"",DB$14&lt;&gt;""),IF(EOMONTH($DB$3+INT((DAY(EOMONTH($DB$3,0))-1)/2)+DB$14,0)=EOMONTH($BR$3,0),DB$12*DB$13,0),0),IF(AND(CX$12&lt;&gt;"",CX$14&lt;&gt;""),IF(EOMONTH($CX$3+INT((DAY(EOMONTH($CX$3,0))-1)/2)+CX$14,0)=EOMONTH($BR$3,0),CX$12*CX$13,0),0),IF(AND(CT$12&lt;&gt;"",CT$14&lt;&gt;""),IF(EOMONTH($CT$3+INT((DAY(EOMONTH($CT$3,0))-1)/2)+CT$14,0)=EOMONTH($BR$3,0),CT$12*CT$13,0),0),IF(AND(CP$12&lt;&gt;"",CP$14&lt;&gt;""),IF(EOMONTH($CP$3+INT((DAY(EOMONTH($CP$3,0))-1)/2)+CP$14,0)=EOMONTH($BR$3,0),CP$12*CP$13,0),0),IF(AND(CL$12&lt;&gt;"",CL$14&lt;&gt;""),IF(EOMONTH($CL$3+INT((DAY(EOMONTH($CL$3,0))-1)/2)+CL$14,0)=EOMONTH($BR$3,0),CL$12*CL$13,0),0),IF(AND(CH$12&lt;&gt;"",CH$14&lt;&gt;""),IF(EOMONTH($CH$3+INT((DAY(EOMONTH($CH$3,0))-1)/2)+CH$14,0)=EOMONTH($BR$3,0),CH$12*CH$13,0),0),IF(AND(CD$12&lt;&gt;"",CD$14&lt;&gt;""),IF(EOMONTH($CD$3+INT((DAY(EOMONTH($CD$3,0))-1)/2)+CD$14,0)=EOMONTH($BR$3,0),CD$12*CD$13,0),0),IF(AND(BZ$12&lt;&gt;"",BZ$14&lt;&gt;""),IF(EOMONTH($BZ$3+INT((DAY(EOMONTH($BZ$3,0))-1)/2)+BZ$14,0)=EOMONTH($BR$3,0),BZ$12*BZ$13,0),0),IF(AND(BV$12&lt;&gt;"",BV$14&lt;&gt;""),IF(EOMONTH($BV$3+INT((DAY(EOMONTH($BV$3,0))-1)/2)+BV$14,0)=EOMONTH($BR$3,0),BV$12*BV$13,0),0),IF(AND(BR$12&lt;&gt;"",BR$14&lt;&gt;""),IF(EOMONTH($BR$3+INT((DAY(EOMONTH($BR$3,0))-1)/2)+BR$14,0)=EOMONTH($BR$3,0),BR$12*BR$13,0),0),IF(AND(BN$12&lt;&gt;"",BN$14&lt;&gt;""),IF(EOMONTH($BN$3+INT((DAY(EOMONTH($BN$3,0))-1)/2)+BN$14,0)=EOMONTH($BR$3,0),BN$12*BN$13,0),0),IF(AND(BJ$12&lt;&gt;"",BJ$14&lt;&gt;""),IF(EOMONTH($BJ$3+INT((DAY(EOMONTH($BJ$3,0))-1)/2)+BJ$14,0)=EOMONTH($BR$3,0),BJ$12*BJ$13,0),0),IF(AND(BF$12&lt;&gt;"",BF$14&lt;&gt;""),IF(EOMONTH($BF$3+INT((DAY(EOMONTH($BF$3,0))-1)/2)+BF$14,0)=EOMONTH($BR$3,0),BF$12*BF$13,0),0),IF(AND(BB$12&lt;&gt;"",BB$14&lt;&gt;""),IF(EOMONTH($BB$3+INT((DAY(EOMONTH($BB$3,0))-1)/2)+BB$14,0)=EOMONTH($BR$3,0),BB$12*BB$13,0),0),IF(AND(AX$12&lt;&gt;"",AX$14&lt;&gt;""),IF(EOMONTH($AX$3+INT((DAY(EOMONTH($AX$3,0))-1)/2)+AX$14,0)=EOMONTH($BR$3,0),AX$12*AX$13,0),0),IF(AND(AT$12&lt;&gt;"",AT$14&lt;&gt;""),IF(EOMONTH($AT$3+INT((DAY(EOMONTH($AT$3,0))-1)/2)+AT$14,0)=EOMONTH($BR$3,0),AT$12*AT$13,0),0),IF(AND(AP$12&lt;&gt;"",AP$14&lt;&gt;""),IF(EOMONTH($AP$3+INT((DAY(EOMONTH($AP$3,0))-1)/2)+AP$14,0)=EOMONTH($BR$3,0),AP$12*AP$13,0),0),IF(AND(AL$12&lt;&gt;"",AL$14&lt;&gt;""),IF(EOMONTH($AL$3+INT((DAY(EOMONTH($AL$3,0))-1)/2)+AL$14,0)=EOMONTH($BR$3,0),AL$12*AL$13,0),0),IF(AND(AH$12&lt;&gt;"",AH$14&lt;&gt;""),IF(EOMONTH($AH$3+INT((DAY(EOMONTH($AH$3,0))-1)/2)+AH$14,0)=EOMONTH($BR$3,0),AH$12*AH$13,0),0),IF(AND(AD$12&lt;&gt;"",AD$14&lt;&gt;""),IF(EOMONTH($AD$3+INT((DAY(EOMONTH($AD$3,0))-1)/2)+AD$14,0)=EOMONTH($BR$3,0),AD$12*AD$13,0),0),IF(AND(Z$12&lt;&gt;"",Z$14&lt;&gt;""),IF(EOMONTH($Z$3+INT((DAY(EOMONTH($Z$3,0))-1)/2)+Z$14,0)=EOMONTH($BR$3,0),Z$12*Z$13,0),0),IF(AND(V$12&lt;&gt;"",V$14&lt;&gt;""),IF(EOMONTH($V$3+INT((DAY(EOMONTH($V$3,0))-1)/2)+V$14,0)=EOMONTH($BR$3,0),V$12*V$13,0),0),IF(AND(R$12&lt;&gt;"",R$14&lt;&gt;""),IF(EOMONTH($R$3+INT((DAY(EOMONTH($R$3,0))-1)/2)+R$14,0)=EOMONTH($BR$3,0),R$12*R$13,0),0),IF(AND(N$12&lt;&gt;"",N$14&lt;&gt;""),IF(EOMONTH($N$3+INT((DAY(EOMONTH($N$3,0))-1)/2)+N$14,0)=EOMONTH($BR$3,0),N$12*N$13,0),0),IF(AND(J$12&lt;&gt;"",J$14&lt;&gt;""),IF(EOMONTH($J$3+INT((DAY(EOMONTH($J$3,0))-1)/2)+J$14,0)=EOMONTH($BR$3,0),J$12*J$13,0),0),IF(AND(F$12&lt;&gt;"",F$14&lt;&gt;""),IF(EOMONTH($F$3+INT((DAY(EOMONTH($F$3,0))-1)/2)+F$14,0)=EOMONTH($BR$3,0),F$12*F$13,0),0),IF($EP$75="",0,IF(EOMONTH($EP$75+EP$14,0)=EOMONTH($BR$3,0),$EP$77*EP$13,0))),0)</f>
        <v>0</v>
      </c>
      <c r="BS73" s="41">
        <f t="shared" si="1108"/>
        <v>112000</v>
      </c>
      <c r="BT73" s="41">
        <f t="shared" si="1108"/>
        <v>112000</v>
      </c>
      <c r="BU73" s="41">
        <f t="shared" si="1109"/>
        <v>0</v>
      </c>
      <c r="BV73" s="41">
        <f t="shared" ref="BV73:BX73" si="1110">ROUND(SUM(IF(AND(EP$12&lt;&gt;"",EP$14&lt;&gt;""),IF(EOMONTH($EP$3+INT((DAY(EOMONTH($EP$3,0))-1)/2)+EP$14,0)=EOMONTH($BV$3,0),EP$12*EP$13,0),0),IF(AND(EL$12&lt;&gt;"",EL$14&lt;&gt;""),IF(EOMONTH($EL$3+INT((DAY(EOMONTH($EL$3,0))-1)/2)+EL$14,0)=EOMONTH($BV$3,0),EL$12*EL$13,0),0),IF(AND(EH$12&lt;&gt;"",EH$14&lt;&gt;""),IF(EOMONTH($EH$3+INT((DAY(EOMONTH($EH$3,0))-1)/2)+EH$14,0)=EOMONTH($BV$3,0),EH$12*EH$13,0),0),IF(AND(ED$12&lt;&gt;"",ED$14&lt;&gt;""),IF(EOMONTH($ED$3+INT((DAY(EOMONTH($ED$3,0))-1)/2)+ED$14,0)=EOMONTH($BV$3,0),ED$12*ED$13,0),0),IF(AND(DZ$12&lt;&gt;"",DZ$14&lt;&gt;""),IF(EOMONTH($DZ$3+INT((DAY(EOMONTH($DZ$3,0))-1)/2)+DZ$14,0)=EOMONTH($BV$3,0),DZ$12*DZ$13,0),0),IF(AND(DV$12&lt;&gt;"",DV$14&lt;&gt;""),IF(EOMONTH($DV$3+INT((DAY(EOMONTH($DV$3,0))-1)/2)+DV$14,0)=EOMONTH($BV$3,0),DV$12*DV$13,0),0),IF(AND(DR$12&lt;&gt;"",DR$14&lt;&gt;""),IF(EOMONTH($DR$3+INT((DAY(EOMONTH($DR$3,0))-1)/2)+DR$14,0)=EOMONTH($BV$3,0),DR$12*DR$13,0),0),IF(AND(DN$12&lt;&gt;"",DN$14&lt;&gt;""),IF(EOMONTH($DN$3+INT((DAY(EOMONTH($DN$3,0))-1)/2)+DN$14,0)=EOMONTH($BV$3,0),DN$12*DN$13,0),0),IF(AND(DJ$12&lt;&gt;"",DJ$14&lt;&gt;""),IF(EOMONTH($DJ$3+INT((DAY(EOMONTH($DJ$3,0))-1)/2)+DJ$14,0)=EOMONTH($BV$3,0),DJ$12*DJ$13,0),0),IF(AND(DF$12&lt;&gt;"",DF$14&lt;&gt;""),IF(EOMONTH($DF$3+INT((DAY(EOMONTH($DF$3,0))-1)/2)+DF$14,0)=EOMONTH($BV$3,0),DF$12*DF$13,0),0),IF(AND(DB$12&lt;&gt;"",DB$14&lt;&gt;""),IF(EOMONTH($DB$3+INT((DAY(EOMONTH($DB$3,0))-1)/2)+DB$14,0)=EOMONTH($BV$3,0),DB$12*DB$13,0),0),IF(AND(CX$12&lt;&gt;"",CX$14&lt;&gt;""),IF(EOMONTH($CX$3+INT((DAY(EOMONTH($CX$3,0))-1)/2)+CX$14,0)=EOMONTH($BV$3,0),CX$12*CX$13,0),0),IF(AND(CT$12&lt;&gt;"",CT$14&lt;&gt;""),IF(EOMONTH($CT$3+INT((DAY(EOMONTH($CT$3,0))-1)/2)+CT$14,0)=EOMONTH($BV$3,0),CT$12*CT$13,0),0),IF(AND(CP$12&lt;&gt;"",CP$14&lt;&gt;""),IF(EOMONTH($CP$3+INT((DAY(EOMONTH($CP$3,0))-1)/2)+CP$14,0)=EOMONTH($BV$3,0),CP$12*CP$13,0),0),IF(AND(CL$12&lt;&gt;"",CL$14&lt;&gt;""),IF(EOMONTH($CL$3+INT((DAY(EOMONTH($CL$3,0))-1)/2)+CL$14,0)=EOMONTH($BV$3,0),CL$12*CL$13,0),0),IF(AND(CH$12&lt;&gt;"",CH$14&lt;&gt;""),IF(EOMONTH($CH$3+INT((DAY(EOMONTH($CH$3,0))-1)/2)+CH$14,0)=EOMONTH($BV$3,0),CH$12*CH$13,0),0),IF(AND(CD$12&lt;&gt;"",CD$14&lt;&gt;""),IF(EOMONTH($CD$3+INT((DAY(EOMONTH($CD$3,0))-1)/2)+CD$14,0)=EOMONTH($BV$3,0),CD$12*CD$13,0),0),IF(AND(BZ$12&lt;&gt;"",BZ$14&lt;&gt;""),IF(EOMONTH($BZ$3+INT((DAY(EOMONTH($BZ$3,0))-1)/2)+BZ$14,0)=EOMONTH($BV$3,0),BZ$12*BZ$13,0),0),IF(AND(BV$12&lt;&gt;"",BV$14&lt;&gt;""),IF(EOMONTH($BV$3+INT((DAY(EOMONTH($BV$3,0))-1)/2)+BV$14,0)=EOMONTH($BV$3,0),BV$12*BV$13,0),0),IF(AND(BR$12&lt;&gt;"",BR$14&lt;&gt;""),IF(EOMONTH($BR$3+INT((DAY(EOMONTH($BR$3,0))-1)/2)+BR$14,0)=EOMONTH($BV$3,0),BR$12*BR$13,0),0),IF(AND(BN$12&lt;&gt;"",BN$14&lt;&gt;""),IF(EOMONTH($BN$3+INT((DAY(EOMONTH($BN$3,0))-1)/2)+BN$14,0)=EOMONTH($BV$3,0),BN$12*BN$13,0),0),IF(AND(BJ$12&lt;&gt;"",BJ$14&lt;&gt;""),IF(EOMONTH($BJ$3+INT((DAY(EOMONTH($BJ$3,0))-1)/2)+BJ$14,0)=EOMONTH($BV$3,0),BJ$12*BJ$13,0),0),IF(AND(BF$12&lt;&gt;"",BF$14&lt;&gt;""),IF(EOMONTH($BF$3+INT((DAY(EOMONTH($BF$3,0))-1)/2)+BF$14,0)=EOMONTH($BV$3,0),BF$12*BF$13,0),0),IF(AND(BB$12&lt;&gt;"",BB$14&lt;&gt;""),IF(EOMONTH($BB$3+INT((DAY(EOMONTH($BB$3,0))-1)/2)+BB$14,0)=EOMONTH($BV$3,0),BB$12*BB$13,0),0),IF(AND(AX$12&lt;&gt;"",AX$14&lt;&gt;""),IF(EOMONTH($AX$3+INT((DAY(EOMONTH($AX$3,0))-1)/2)+AX$14,0)=EOMONTH($BV$3,0),AX$12*AX$13,0),0),IF(AND(AT$12&lt;&gt;"",AT$14&lt;&gt;""),IF(EOMONTH($AT$3+INT((DAY(EOMONTH($AT$3,0))-1)/2)+AT$14,0)=EOMONTH($BV$3,0),AT$12*AT$13,0),0),IF(AND(AP$12&lt;&gt;"",AP$14&lt;&gt;""),IF(EOMONTH($AP$3+INT((DAY(EOMONTH($AP$3,0))-1)/2)+AP$14,0)=EOMONTH($BV$3,0),AP$12*AP$13,0),0),IF(AND(AL$12&lt;&gt;"",AL$14&lt;&gt;""),IF(EOMONTH($AL$3+INT((DAY(EOMONTH($AL$3,0))-1)/2)+AL$14,0)=EOMONTH($BV$3,0),AL$12*AL$13,0),0),IF(AND(AH$12&lt;&gt;"",AH$14&lt;&gt;""),IF(EOMONTH($AH$3+INT((DAY(EOMONTH($AH$3,0))-1)/2)+AH$14,0)=EOMONTH($BV$3,0),AH$12*AH$13,0),0),IF(AND(AD$12&lt;&gt;"",AD$14&lt;&gt;""),IF(EOMONTH($AD$3+INT((DAY(EOMONTH($AD$3,0))-1)/2)+AD$14,0)=EOMONTH($BV$3,0),AD$12*AD$13,0),0),IF(AND(Z$12&lt;&gt;"",Z$14&lt;&gt;""),IF(EOMONTH($Z$3+INT((DAY(EOMONTH($Z$3,0))-1)/2)+Z$14,0)=EOMONTH($BV$3,0),Z$12*Z$13,0),0),IF(AND(V$12&lt;&gt;"",V$14&lt;&gt;""),IF(EOMONTH($V$3+INT((DAY(EOMONTH($V$3,0))-1)/2)+V$14,0)=EOMONTH($BV$3,0),V$12*V$13,0),0),IF(AND(R$12&lt;&gt;"",R$14&lt;&gt;""),IF(EOMONTH($R$3+INT((DAY(EOMONTH($R$3,0))-1)/2)+R$14,0)=EOMONTH($BV$3,0),R$12*R$13,0),0),IF(AND(N$12&lt;&gt;"",N$14&lt;&gt;""),IF(EOMONTH($N$3+INT((DAY(EOMONTH($N$3,0))-1)/2)+N$14,0)=EOMONTH($BV$3,0),N$12*N$13,0),0),IF(AND(J$12&lt;&gt;"",J$14&lt;&gt;""),IF(EOMONTH($J$3+INT((DAY(EOMONTH($J$3,0))-1)/2)+J$14,0)=EOMONTH($BV$3,0),J$12*J$13,0),0),IF(AND(F$12&lt;&gt;"",F$14&lt;&gt;""),IF(EOMONTH($F$3+INT((DAY(EOMONTH($F$3,0))-1)/2)+F$14,0)=EOMONTH($BV$3,0),F$12*F$13,0),0),IF($EP$75="",0,IF(EOMONTH($EP$75+EP$14,0)=EOMONTH($BV$3,0),$EP$77*EP$13,0))),0)</f>
        <v>0</v>
      </c>
      <c r="BW73" s="41">
        <f t="shared" si="1110"/>
        <v>112000</v>
      </c>
      <c r="BX73" s="41">
        <f t="shared" si="1110"/>
        <v>112000</v>
      </c>
      <c r="BY73" s="41">
        <f t="shared" si="1111"/>
        <v>0</v>
      </c>
      <c r="BZ73" s="41">
        <f t="shared" ref="BZ73:CB73" si="1112">ROUND(SUM(IF(AND(EP$12&lt;&gt;"",EP$14&lt;&gt;""),IF(EOMONTH($EP$3+INT((DAY(EOMONTH($EP$3,0))-1)/2)+EP$14,0)=EOMONTH($BZ$3,0),EP$12*EP$13,0),0),IF(AND(EL$12&lt;&gt;"",EL$14&lt;&gt;""),IF(EOMONTH($EL$3+INT((DAY(EOMONTH($EL$3,0))-1)/2)+EL$14,0)=EOMONTH($BZ$3,0),EL$12*EL$13,0),0),IF(AND(EH$12&lt;&gt;"",EH$14&lt;&gt;""),IF(EOMONTH($EH$3+INT((DAY(EOMONTH($EH$3,0))-1)/2)+EH$14,0)=EOMONTH($BZ$3,0),EH$12*EH$13,0),0),IF(AND(ED$12&lt;&gt;"",ED$14&lt;&gt;""),IF(EOMONTH($ED$3+INT((DAY(EOMONTH($ED$3,0))-1)/2)+ED$14,0)=EOMONTH($BZ$3,0),ED$12*ED$13,0),0),IF(AND(DZ$12&lt;&gt;"",DZ$14&lt;&gt;""),IF(EOMONTH($DZ$3+INT((DAY(EOMONTH($DZ$3,0))-1)/2)+DZ$14,0)=EOMONTH($BZ$3,0),DZ$12*DZ$13,0),0),IF(AND(DV$12&lt;&gt;"",DV$14&lt;&gt;""),IF(EOMONTH($DV$3+INT((DAY(EOMONTH($DV$3,0))-1)/2)+DV$14,0)=EOMONTH($BZ$3,0),DV$12*DV$13,0),0),IF(AND(DR$12&lt;&gt;"",DR$14&lt;&gt;""),IF(EOMONTH($DR$3+INT((DAY(EOMONTH($DR$3,0))-1)/2)+DR$14,0)=EOMONTH($BZ$3,0),DR$12*DR$13,0),0),IF(AND(DN$12&lt;&gt;"",DN$14&lt;&gt;""),IF(EOMONTH($DN$3+INT((DAY(EOMONTH($DN$3,0))-1)/2)+DN$14,0)=EOMONTH($BZ$3,0),DN$12*DN$13,0),0),IF(AND(DJ$12&lt;&gt;"",DJ$14&lt;&gt;""),IF(EOMONTH($DJ$3+INT((DAY(EOMONTH($DJ$3,0))-1)/2)+DJ$14,0)=EOMONTH($BZ$3,0),DJ$12*DJ$13,0),0),IF(AND(DF$12&lt;&gt;"",DF$14&lt;&gt;""),IF(EOMONTH($DF$3+INT((DAY(EOMONTH($DF$3,0))-1)/2)+DF$14,0)=EOMONTH($BZ$3,0),DF$12*DF$13,0),0),IF(AND(DB$12&lt;&gt;"",DB$14&lt;&gt;""),IF(EOMONTH($DB$3+INT((DAY(EOMONTH($DB$3,0))-1)/2)+DB$14,0)=EOMONTH($BZ$3,0),DB$12*DB$13,0),0),IF(AND(CX$12&lt;&gt;"",CX$14&lt;&gt;""),IF(EOMONTH($CX$3+INT((DAY(EOMONTH($CX$3,0))-1)/2)+CX$14,0)=EOMONTH($BZ$3,0),CX$12*CX$13,0),0),IF(AND(CT$12&lt;&gt;"",CT$14&lt;&gt;""),IF(EOMONTH($CT$3+INT((DAY(EOMONTH($CT$3,0))-1)/2)+CT$14,0)=EOMONTH($BZ$3,0),CT$12*CT$13,0),0),IF(AND(CP$12&lt;&gt;"",CP$14&lt;&gt;""),IF(EOMONTH($CP$3+INT((DAY(EOMONTH($CP$3,0))-1)/2)+CP$14,0)=EOMONTH($BZ$3,0),CP$12*CP$13,0),0),IF(AND(CL$12&lt;&gt;"",CL$14&lt;&gt;""),IF(EOMONTH($CL$3+INT((DAY(EOMONTH($CL$3,0))-1)/2)+CL$14,0)=EOMONTH($BZ$3,0),CL$12*CL$13,0),0),IF(AND(CH$12&lt;&gt;"",CH$14&lt;&gt;""),IF(EOMONTH($CH$3+INT((DAY(EOMONTH($CH$3,0))-1)/2)+CH$14,0)=EOMONTH($BZ$3,0),CH$12*CH$13,0),0),IF(AND(CD$12&lt;&gt;"",CD$14&lt;&gt;""),IF(EOMONTH($CD$3+INT((DAY(EOMONTH($CD$3,0))-1)/2)+CD$14,0)=EOMONTH($BZ$3,0),CD$12*CD$13,0),0),IF(AND(BZ$12&lt;&gt;"",BZ$14&lt;&gt;""),IF(EOMONTH($BZ$3+INT((DAY(EOMONTH($BZ$3,0))-1)/2)+BZ$14,0)=EOMONTH($BZ$3,0),BZ$12*BZ$13,0),0),IF(AND(BV$12&lt;&gt;"",BV$14&lt;&gt;""),IF(EOMONTH($BV$3+INT((DAY(EOMONTH($BV$3,0))-1)/2)+BV$14,0)=EOMONTH($BZ$3,0),BV$12*BV$13,0),0),IF(AND(BR$12&lt;&gt;"",BR$14&lt;&gt;""),IF(EOMONTH($BR$3+INT((DAY(EOMONTH($BR$3,0))-1)/2)+BR$14,0)=EOMONTH($BZ$3,0),BR$12*BR$13,0),0),IF(AND(BN$12&lt;&gt;"",BN$14&lt;&gt;""),IF(EOMONTH($BN$3+INT((DAY(EOMONTH($BN$3,0))-1)/2)+BN$14,0)=EOMONTH($BZ$3,0),BN$12*BN$13,0),0),IF(AND(BJ$12&lt;&gt;"",BJ$14&lt;&gt;""),IF(EOMONTH($BJ$3+INT((DAY(EOMONTH($BJ$3,0))-1)/2)+BJ$14,0)=EOMONTH($BZ$3,0),BJ$12*BJ$13,0),0),IF(AND(BF$12&lt;&gt;"",BF$14&lt;&gt;""),IF(EOMONTH($BF$3+INT((DAY(EOMONTH($BF$3,0))-1)/2)+BF$14,0)=EOMONTH($BZ$3,0),BF$12*BF$13,0),0),IF(AND(BB$12&lt;&gt;"",BB$14&lt;&gt;""),IF(EOMONTH($BB$3+INT((DAY(EOMONTH($BB$3,0))-1)/2)+BB$14,0)=EOMONTH($BZ$3,0),BB$12*BB$13,0),0),IF(AND(AX$12&lt;&gt;"",AX$14&lt;&gt;""),IF(EOMONTH($AX$3+INT((DAY(EOMONTH($AX$3,0))-1)/2)+AX$14,0)=EOMONTH($BZ$3,0),AX$12*AX$13,0),0),IF(AND(AT$12&lt;&gt;"",AT$14&lt;&gt;""),IF(EOMONTH($AT$3+INT((DAY(EOMONTH($AT$3,0))-1)/2)+AT$14,0)=EOMONTH($BZ$3,0),AT$12*AT$13,0),0),IF(AND(AP$12&lt;&gt;"",AP$14&lt;&gt;""),IF(EOMONTH($AP$3+INT((DAY(EOMONTH($AP$3,0))-1)/2)+AP$14,0)=EOMONTH($BZ$3,0),AP$12*AP$13,0),0),IF(AND(AL$12&lt;&gt;"",AL$14&lt;&gt;""),IF(EOMONTH($AL$3+INT((DAY(EOMONTH($AL$3,0))-1)/2)+AL$14,0)=EOMONTH($BZ$3,0),AL$12*AL$13,0),0),IF(AND(AH$12&lt;&gt;"",AH$14&lt;&gt;""),IF(EOMONTH($AH$3+INT((DAY(EOMONTH($AH$3,0))-1)/2)+AH$14,0)=EOMONTH($BZ$3,0),AH$12*AH$13,0),0),IF(AND(AD$12&lt;&gt;"",AD$14&lt;&gt;""),IF(EOMONTH($AD$3+INT((DAY(EOMONTH($AD$3,0))-1)/2)+AD$14,0)=EOMONTH($BZ$3,0),AD$12*AD$13,0),0),IF(AND(Z$12&lt;&gt;"",Z$14&lt;&gt;""),IF(EOMONTH($Z$3+INT((DAY(EOMONTH($Z$3,0))-1)/2)+Z$14,0)=EOMONTH($BZ$3,0),Z$12*Z$13,0),0),IF(AND(V$12&lt;&gt;"",V$14&lt;&gt;""),IF(EOMONTH($V$3+INT((DAY(EOMONTH($V$3,0))-1)/2)+V$14,0)=EOMONTH($BZ$3,0),V$12*V$13,0),0),IF(AND(R$12&lt;&gt;"",R$14&lt;&gt;""),IF(EOMONTH($R$3+INT((DAY(EOMONTH($R$3,0))-1)/2)+R$14,0)=EOMONTH($BZ$3,0),R$12*R$13,0),0),IF(AND(N$12&lt;&gt;"",N$14&lt;&gt;""),IF(EOMONTH($N$3+INT((DAY(EOMONTH($N$3,0))-1)/2)+N$14,0)=EOMONTH($BZ$3,0),N$12*N$13,0),0),IF(AND(J$12&lt;&gt;"",J$14&lt;&gt;""),IF(EOMONTH($J$3+INT((DAY(EOMONTH($J$3,0))-1)/2)+J$14,0)=EOMONTH($BZ$3,0),J$12*J$13,0),0),IF(AND(F$12&lt;&gt;"",F$14&lt;&gt;""),IF(EOMONTH($F$3+INT((DAY(EOMONTH($F$3,0))-1)/2)+F$14,0)=EOMONTH($BZ$3,0),F$12*F$13,0),0),IF($EP$75="",0,IF(EOMONTH($EP$75+EP$14,0)=EOMONTH($BZ$3,0),$EP$77*EP$13,0))),0)</f>
        <v>0</v>
      </c>
      <c r="CA73" s="41">
        <f t="shared" si="1112"/>
        <v>112000</v>
      </c>
      <c r="CB73" s="41">
        <f t="shared" si="1112"/>
        <v>112000</v>
      </c>
      <c r="CC73" s="41">
        <f t="shared" si="1113"/>
        <v>0</v>
      </c>
      <c r="CD73" s="41">
        <f t="shared" ref="CD73:CF73" si="1114">ROUND(SUM(IF(AND(EP$12&lt;&gt;"",EP$14&lt;&gt;""),IF(EOMONTH($EP$3+INT((DAY(EOMONTH($EP$3,0))-1)/2)+EP$14,0)=EOMONTH($CD$3,0),EP$12*EP$13,0),0),IF(AND(EL$12&lt;&gt;"",EL$14&lt;&gt;""),IF(EOMONTH($EL$3+INT((DAY(EOMONTH($EL$3,0))-1)/2)+EL$14,0)=EOMONTH($CD$3,0),EL$12*EL$13,0),0),IF(AND(EH$12&lt;&gt;"",EH$14&lt;&gt;""),IF(EOMONTH($EH$3+INT((DAY(EOMONTH($EH$3,0))-1)/2)+EH$14,0)=EOMONTH($CD$3,0),EH$12*EH$13,0),0),IF(AND(ED$12&lt;&gt;"",ED$14&lt;&gt;""),IF(EOMONTH($ED$3+INT((DAY(EOMONTH($ED$3,0))-1)/2)+ED$14,0)=EOMONTH($CD$3,0),ED$12*ED$13,0),0),IF(AND(DZ$12&lt;&gt;"",DZ$14&lt;&gt;""),IF(EOMONTH($DZ$3+INT((DAY(EOMONTH($DZ$3,0))-1)/2)+DZ$14,0)=EOMONTH($CD$3,0),DZ$12*DZ$13,0),0),IF(AND(DV$12&lt;&gt;"",DV$14&lt;&gt;""),IF(EOMONTH($DV$3+INT((DAY(EOMONTH($DV$3,0))-1)/2)+DV$14,0)=EOMONTH($CD$3,0),DV$12*DV$13,0),0),IF(AND(DR$12&lt;&gt;"",DR$14&lt;&gt;""),IF(EOMONTH($DR$3+INT((DAY(EOMONTH($DR$3,0))-1)/2)+DR$14,0)=EOMONTH($CD$3,0),DR$12*DR$13,0),0),IF(AND(DN$12&lt;&gt;"",DN$14&lt;&gt;""),IF(EOMONTH($DN$3+INT((DAY(EOMONTH($DN$3,0))-1)/2)+DN$14,0)=EOMONTH($CD$3,0),DN$12*DN$13,0),0),IF(AND(DJ$12&lt;&gt;"",DJ$14&lt;&gt;""),IF(EOMONTH($DJ$3+INT((DAY(EOMONTH($DJ$3,0))-1)/2)+DJ$14,0)=EOMONTH($CD$3,0),DJ$12*DJ$13,0),0),IF(AND(DF$12&lt;&gt;"",DF$14&lt;&gt;""),IF(EOMONTH($DF$3+INT((DAY(EOMONTH($DF$3,0))-1)/2)+DF$14,0)=EOMONTH($CD$3,0),DF$12*DF$13,0),0),IF(AND(DB$12&lt;&gt;"",DB$14&lt;&gt;""),IF(EOMONTH($DB$3+INT((DAY(EOMONTH($DB$3,0))-1)/2)+DB$14,0)=EOMONTH($CD$3,0),DB$12*DB$13,0),0),IF(AND(CX$12&lt;&gt;"",CX$14&lt;&gt;""),IF(EOMONTH($CX$3+INT((DAY(EOMONTH($CX$3,0))-1)/2)+CX$14,0)=EOMONTH($CD$3,0),CX$12*CX$13,0),0),IF(AND(CT$12&lt;&gt;"",CT$14&lt;&gt;""),IF(EOMONTH($CT$3+INT((DAY(EOMONTH($CT$3,0))-1)/2)+CT$14,0)=EOMONTH($CD$3,0),CT$12*CT$13,0),0),IF(AND(CP$12&lt;&gt;"",CP$14&lt;&gt;""),IF(EOMONTH($CP$3+INT((DAY(EOMONTH($CP$3,0))-1)/2)+CP$14,0)=EOMONTH($CD$3,0),CP$12*CP$13,0),0),IF(AND(CL$12&lt;&gt;"",CL$14&lt;&gt;""),IF(EOMONTH($CL$3+INT((DAY(EOMONTH($CL$3,0))-1)/2)+CL$14,0)=EOMONTH($CD$3,0),CL$12*CL$13,0),0),IF(AND(CH$12&lt;&gt;"",CH$14&lt;&gt;""),IF(EOMONTH($CH$3+INT((DAY(EOMONTH($CH$3,0))-1)/2)+CH$14,0)=EOMONTH($CD$3,0),CH$12*CH$13,0),0),IF(AND(CD$12&lt;&gt;"",CD$14&lt;&gt;""),IF(EOMONTH($CD$3+INT((DAY(EOMONTH($CD$3,0))-1)/2)+CD$14,0)=EOMONTH($CD$3,0),CD$12*CD$13,0),0),IF(AND(BZ$12&lt;&gt;"",BZ$14&lt;&gt;""),IF(EOMONTH($BZ$3+INT((DAY(EOMONTH($BZ$3,0))-1)/2)+BZ$14,0)=EOMONTH($CD$3,0),BZ$12*BZ$13,0),0),IF(AND(BV$12&lt;&gt;"",BV$14&lt;&gt;""),IF(EOMONTH($BV$3+INT((DAY(EOMONTH($BV$3,0))-1)/2)+BV$14,0)=EOMONTH($CD$3,0),BV$12*BV$13,0),0),IF(AND(BR$12&lt;&gt;"",BR$14&lt;&gt;""),IF(EOMONTH($BR$3+INT((DAY(EOMONTH($BR$3,0))-1)/2)+BR$14,0)=EOMONTH($CD$3,0),BR$12*BR$13,0),0),IF(AND(BN$12&lt;&gt;"",BN$14&lt;&gt;""),IF(EOMONTH($BN$3+INT((DAY(EOMONTH($BN$3,0))-1)/2)+BN$14,0)=EOMONTH($CD$3,0),BN$12*BN$13,0),0),IF(AND(BJ$12&lt;&gt;"",BJ$14&lt;&gt;""),IF(EOMONTH($BJ$3+INT((DAY(EOMONTH($BJ$3,0))-1)/2)+BJ$14,0)=EOMONTH($CD$3,0),BJ$12*BJ$13,0),0),IF(AND(BF$12&lt;&gt;"",BF$14&lt;&gt;""),IF(EOMONTH($BF$3+INT((DAY(EOMONTH($BF$3,0))-1)/2)+BF$14,0)=EOMONTH($CD$3,0),BF$12*BF$13,0),0),IF(AND(BB$12&lt;&gt;"",BB$14&lt;&gt;""),IF(EOMONTH($BB$3+INT((DAY(EOMONTH($BB$3,0))-1)/2)+BB$14,0)=EOMONTH($CD$3,0),BB$12*BB$13,0),0),IF(AND(AX$12&lt;&gt;"",AX$14&lt;&gt;""),IF(EOMONTH($AX$3+INT((DAY(EOMONTH($AX$3,0))-1)/2)+AX$14,0)=EOMONTH($CD$3,0),AX$12*AX$13,0),0),IF(AND(AT$12&lt;&gt;"",AT$14&lt;&gt;""),IF(EOMONTH($AT$3+INT((DAY(EOMONTH($AT$3,0))-1)/2)+AT$14,0)=EOMONTH($CD$3,0),AT$12*AT$13,0),0),IF(AND(AP$12&lt;&gt;"",AP$14&lt;&gt;""),IF(EOMONTH($AP$3+INT((DAY(EOMONTH($AP$3,0))-1)/2)+AP$14,0)=EOMONTH($CD$3,0),AP$12*AP$13,0),0),IF(AND(AL$12&lt;&gt;"",AL$14&lt;&gt;""),IF(EOMONTH($AL$3+INT((DAY(EOMONTH($AL$3,0))-1)/2)+AL$14,0)=EOMONTH($CD$3,0),AL$12*AL$13,0),0),IF(AND(AH$12&lt;&gt;"",AH$14&lt;&gt;""),IF(EOMONTH($AH$3+INT((DAY(EOMONTH($AH$3,0))-1)/2)+AH$14,0)=EOMONTH($CD$3,0),AH$12*AH$13,0),0),IF(AND(AD$12&lt;&gt;"",AD$14&lt;&gt;""),IF(EOMONTH($AD$3+INT((DAY(EOMONTH($AD$3,0))-1)/2)+AD$14,0)=EOMONTH($CD$3,0),AD$12*AD$13,0),0),IF(AND(Z$12&lt;&gt;"",Z$14&lt;&gt;""),IF(EOMONTH($Z$3+INT((DAY(EOMONTH($Z$3,0))-1)/2)+Z$14,0)=EOMONTH($CD$3,0),Z$12*Z$13,0),0),IF(AND(V$12&lt;&gt;"",V$14&lt;&gt;""),IF(EOMONTH($V$3+INT((DAY(EOMONTH($V$3,0))-1)/2)+V$14,0)=EOMONTH($CD$3,0),V$12*V$13,0),0),IF(AND(R$12&lt;&gt;"",R$14&lt;&gt;""),IF(EOMONTH($R$3+INT((DAY(EOMONTH($R$3,0))-1)/2)+R$14,0)=EOMONTH($CD$3,0),R$12*R$13,0),0),IF(AND(N$12&lt;&gt;"",N$14&lt;&gt;""),IF(EOMONTH($N$3+INT((DAY(EOMONTH($N$3,0))-1)/2)+N$14,0)=EOMONTH($CD$3,0),N$12*N$13,0),0),IF(AND(J$12&lt;&gt;"",J$14&lt;&gt;""),IF(EOMONTH($J$3+INT((DAY(EOMONTH($J$3,0))-1)/2)+J$14,0)=EOMONTH($CD$3,0),J$12*J$13,0),0),IF(AND(F$12&lt;&gt;"",F$14&lt;&gt;""),IF(EOMONTH($F$3+INT((DAY(EOMONTH($F$3,0))-1)/2)+F$14,0)=EOMONTH($CD$3,0),F$12*F$13,0),0),IF($EP$75="",0,IF(EOMONTH($EP$75+EP$14,0)=EOMONTH($CD$3,0),$EP$77*EP$13,0))),0)</f>
        <v>0</v>
      </c>
      <c r="CE73" s="41">
        <f t="shared" si="1114"/>
        <v>112000</v>
      </c>
      <c r="CF73" s="41">
        <f t="shared" si="1114"/>
        <v>112000</v>
      </c>
      <c r="CG73" s="41">
        <f t="shared" si="1115"/>
        <v>0</v>
      </c>
      <c r="CH73" s="41">
        <f t="shared" ref="CH73:CJ73" si="1116">ROUND(SUM(IF(AND(EP$12&lt;&gt;"",EP$14&lt;&gt;""),IF(EOMONTH($EP$3+INT((DAY(EOMONTH($EP$3,0))-1)/2)+EP$14,0)=EOMONTH($CH$3,0),EP$12*EP$13,0),0),IF(AND(EL$12&lt;&gt;"",EL$14&lt;&gt;""),IF(EOMONTH($EL$3+INT((DAY(EOMONTH($EL$3,0))-1)/2)+EL$14,0)=EOMONTH($CH$3,0),EL$12*EL$13,0),0),IF(AND(EH$12&lt;&gt;"",EH$14&lt;&gt;""),IF(EOMONTH($EH$3+INT((DAY(EOMONTH($EH$3,0))-1)/2)+EH$14,0)=EOMONTH($CH$3,0),EH$12*EH$13,0),0),IF(AND(ED$12&lt;&gt;"",ED$14&lt;&gt;""),IF(EOMONTH($ED$3+INT((DAY(EOMONTH($ED$3,0))-1)/2)+ED$14,0)=EOMONTH($CH$3,0),ED$12*ED$13,0),0),IF(AND(DZ$12&lt;&gt;"",DZ$14&lt;&gt;""),IF(EOMONTH($DZ$3+INT((DAY(EOMONTH($DZ$3,0))-1)/2)+DZ$14,0)=EOMONTH($CH$3,0),DZ$12*DZ$13,0),0),IF(AND(DV$12&lt;&gt;"",DV$14&lt;&gt;""),IF(EOMONTH($DV$3+INT((DAY(EOMONTH($DV$3,0))-1)/2)+DV$14,0)=EOMONTH($CH$3,0),DV$12*DV$13,0),0),IF(AND(DR$12&lt;&gt;"",DR$14&lt;&gt;""),IF(EOMONTH($DR$3+INT((DAY(EOMONTH($DR$3,0))-1)/2)+DR$14,0)=EOMONTH($CH$3,0),DR$12*DR$13,0),0),IF(AND(DN$12&lt;&gt;"",DN$14&lt;&gt;""),IF(EOMONTH($DN$3+INT((DAY(EOMONTH($DN$3,0))-1)/2)+DN$14,0)=EOMONTH($CH$3,0),DN$12*DN$13,0),0),IF(AND(DJ$12&lt;&gt;"",DJ$14&lt;&gt;""),IF(EOMONTH($DJ$3+INT((DAY(EOMONTH($DJ$3,0))-1)/2)+DJ$14,0)=EOMONTH($CH$3,0),DJ$12*DJ$13,0),0),IF(AND(DF$12&lt;&gt;"",DF$14&lt;&gt;""),IF(EOMONTH($DF$3+INT((DAY(EOMONTH($DF$3,0))-1)/2)+DF$14,0)=EOMONTH($CH$3,0),DF$12*DF$13,0),0),IF(AND(DB$12&lt;&gt;"",DB$14&lt;&gt;""),IF(EOMONTH($DB$3+INT((DAY(EOMONTH($DB$3,0))-1)/2)+DB$14,0)=EOMONTH($CH$3,0),DB$12*DB$13,0),0),IF(AND(CX$12&lt;&gt;"",CX$14&lt;&gt;""),IF(EOMONTH($CX$3+INT((DAY(EOMONTH($CX$3,0))-1)/2)+CX$14,0)=EOMONTH($CH$3,0),CX$12*CX$13,0),0),IF(AND(CT$12&lt;&gt;"",CT$14&lt;&gt;""),IF(EOMONTH($CT$3+INT((DAY(EOMONTH($CT$3,0))-1)/2)+CT$14,0)=EOMONTH($CH$3,0),CT$12*CT$13,0),0),IF(AND(CP$12&lt;&gt;"",CP$14&lt;&gt;""),IF(EOMONTH($CP$3+INT((DAY(EOMONTH($CP$3,0))-1)/2)+CP$14,0)=EOMONTH($CH$3,0),CP$12*CP$13,0),0),IF(AND(CL$12&lt;&gt;"",CL$14&lt;&gt;""),IF(EOMONTH($CL$3+INT((DAY(EOMONTH($CL$3,0))-1)/2)+CL$14,0)=EOMONTH($CH$3,0),CL$12*CL$13,0),0),IF(AND(CH$12&lt;&gt;"",CH$14&lt;&gt;""),IF(EOMONTH($CH$3+INT((DAY(EOMONTH($CH$3,0))-1)/2)+CH$14,0)=EOMONTH($CH$3,0),CH$12*CH$13,0),0),IF(AND(CD$12&lt;&gt;"",CD$14&lt;&gt;""),IF(EOMONTH($CD$3+INT((DAY(EOMONTH($CD$3,0))-1)/2)+CD$14,0)=EOMONTH($CH$3,0),CD$12*CD$13,0),0),IF(AND(BZ$12&lt;&gt;"",BZ$14&lt;&gt;""),IF(EOMONTH($BZ$3+INT((DAY(EOMONTH($BZ$3,0))-1)/2)+BZ$14,0)=EOMONTH($CH$3,0),BZ$12*BZ$13,0),0),IF(AND(BV$12&lt;&gt;"",BV$14&lt;&gt;""),IF(EOMONTH($BV$3+INT((DAY(EOMONTH($BV$3,0))-1)/2)+BV$14,0)=EOMONTH($CH$3,0),BV$12*BV$13,0),0),IF(AND(BR$12&lt;&gt;"",BR$14&lt;&gt;""),IF(EOMONTH($BR$3+INT((DAY(EOMONTH($BR$3,0))-1)/2)+BR$14,0)=EOMONTH($CH$3,0),BR$12*BR$13,0),0),IF(AND(BN$12&lt;&gt;"",BN$14&lt;&gt;""),IF(EOMONTH($BN$3+INT((DAY(EOMONTH($BN$3,0))-1)/2)+BN$14,0)=EOMONTH($CH$3,0),BN$12*BN$13,0),0),IF(AND(BJ$12&lt;&gt;"",BJ$14&lt;&gt;""),IF(EOMONTH($BJ$3+INT((DAY(EOMONTH($BJ$3,0))-1)/2)+BJ$14,0)=EOMONTH($CH$3,0),BJ$12*BJ$13,0),0),IF(AND(BF$12&lt;&gt;"",BF$14&lt;&gt;""),IF(EOMONTH($BF$3+INT((DAY(EOMONTH($BF$3,0))-1)/2)+BF$14,0)=EOMONTH($CH$3,0),BF$12*BF$13,0),0),IF(AND(BB$12&lt;&gt;"",BB$14&lt;&gt;""),IF(EOMONTH($BB$3+INT((DAY(EOMONTH($BB$3,0))-1)/2)+BB$14,0)=EOMONTH($CH$3,0),BB$12*BB$13,0),0),IF(AND(AX$12&lt;&gt;"",AX$14&lt;&gt;""),IF(EOMONTH($AX$3+INT((DAY(EOMONTH($AX$3,0))-1)/2)+AX$14,0)=EOMONTH($CH$3,0),AX$12*AX$13,0),0),IF(AND(AT$12&lt;&gt;"",AT$14&lt;&gt;""),IF(EOMONTH($AT$3+INT((DAY(EOMONTH($AT$3,0))-1)/2)+AT$14,0)=EOMONTH($CH$3,0),AT$12*AT$13,0),0),IF(AND(AP$12&lt;&gt;"",AP$14&lt;&gt;""),IF(EOMONTH($AP$3+INT((DAY(EOMONTH($AP$3,0))-1)/2)+AP$14,0)=EOMONTH($CH$3,0),AP$12*AP$13,0),0),IF(AND(AL$12&lt;&gt;"",AL$14&lt;&gt;""),IF(EOMONTH($AL$3+INT((DAY(EOMONTH($AL$3,0))-1)/2)+AL$14,0)=EOMONTH($CH$3,0),AL$12*AL$13,0),0),IF(AND(AH$12&lt;&gt;"",AH$14&lt;&gt;""),IF(EOMONTH($AH$3+INT((DAY(EOMONTH($AH$3,0))-1)/2)+AH$14,0)=EOMONTH($CH$3,0),AH$12*AH$13,0),0),IF(AND(AD$12&lt;&gt;"",AD$14&lt;&gt;""),IF(EOMONTH($AD$3+INT((DAY(EOMONTH($AD$3,0))-1)/2)+AD$14,0)=EOMONTH($CH$3,0),AD$12*AD$13,0),0),IF(AND(Z$12&lt;&gt;"",Z$14&lt;&gt;""),IF(EOMONTH($Z$3+INT((DAY(EOMONTH($Z$3,0))-1)/2)+Z$14,0)=EOMONTH($CH$3,0),Z$12*Z$13,0),0),IF(AND(V$12&lt;&gt;"",V$14&lt;&gt;""),IF(EOMONTH($V$3+INT((DAY(EOMONTH($V$3,0))-1)/2)+V$14,0)=EOMONTH($CH$3,0),V$12*V$13,0),0),IF(AND(R$12&lt;&gt;"",R$14&lt;&gt;""),IF(EOMONTH($R$3+INT((DAY(EOMONTH($R$3,0))-1)/2)+R$14,0)=EOMONTH($CH$3,0),R$12*R$13,0),0),IF(AND(N$12&lt;&gt;"",N$14&lt;&gt;""),IF(EOMONTH($N$3+INT((DAY(EOMONTH($N$3,0))-1)/2)+N$14,0)=EOMONTH($CH$3,0),N$12*N$13,0),0),IF(AND(J$12&lt;&gt;"",J$14&lt;&gt;""),IF(EOMONTH($J$3+INT((DAY(EOMONTH($J$3,0))-1)/2)+J$14,0)=EOMONTH($CH$3,0),J$12*J$13,0),0),IF(AND(F$12&lt;&gt;"",F$14&lt;&gt;""),IF(EOMONTH($F$3+INT((DAY(EOMONTH($F$3,0))-1)/2)+F$14,0)=EOMONTH($CH$3,0),F$12*F$13,0),0),IF($EP$75="",0,IF(EOMONTH($EP$75+EP$14,0)=EOMONTH($CH$3,0),$EP$77*EP$13,0))),0)</f>
        <v>0</v>
      </c>
      <c r="CI73" s="41">
        <f t="shared" si="1116"/>
        <v>104000</v>
      </c>
      <c r="CJ73" s="41">
        <f t="shared" si="1116"/>
        <v>104000</v>
      </c>
      <c r="CK73" s="41">
        <f t="shared" si="1117"/>
        <v>0</v>
      </c>
      <c r="CL73" s="41">
        <f t="shared" ref="CL73:CN73" si="1118">ROUND(SUM(IF(AND(EP$12&lt;&gt;"",EP$14&lt;&gt;""),IF(EOMONTH($EP$3+INT((DAY(EOMONTH($EP$3,0))-1)/2)+EP$14,0)=EOMONTH($CL$3,0),EP$12*EP$13,0),0),IF(AND(EL$12&lt;&gt;"",EL$14&lt;&gt;""),IF(EOMONTH($EL$3+INT((DAY(EOMONTH($EL$3,0))-1)/2)+EL$14,0)=EOMONTH($CL$3,0),EL$12*EL$13,0),0),IF(AND(EH$12&lt;&gt;"",EH$14&lt;&gt;""),IF(EOMONTH($EH$3+INT((DAY(EOMONTH($EH$3,0))-1)/2)+EH$14,0)=EOMONTH($CL$3,0),EH$12*EH$13,0),0),IF(AND(ED$12&lt;&gt;"",ED$14&lt;&gt;""),IF(EOMONTH($ED$3+INT((DAY(EOMONTH($ED$3,0))-1)/2)+ED$14,0)=EOMONTH($CL$3,0),ED$12*ED$13,0),0),IF(AND(DZ$12&lt;&gt;"",DZ$14&lt;&gt;""),IF(EOMONTH($DZ$3+INT((DAY(EOMONTH($DZ$3,0))-1)/2)+DZ$14,0)=EOMONTH($CL$3,0),DZ$12*DZ$13,0),0),IF(AND(DV$12&lt;&gt;"",DV$14&lt;&gt;""),IF(EOMONTH($DV$3+INT((DAY(EOMONTH($DV$3,0))-1)/2)+DV$14,0)=EOMONTH($CL$3,0),DV$12*DV$13,0),0),IF(AND(DR$12&lt;&gt;"",DR$14&lt;&gt;""),IF(EOMONTH($DR$3+INT((DAY(EOMONTH($DR$3,0))-1)/2)+DR$14,0)=EOMONTH($CL$3,0),DR$12*DR$13,0),0),IF(AND(DN$12&lt;&gt;"",DN$14&lt;&gt;""),IF(EOMONTH($DN$3+INT((DAY(EOMONTH($DN$3,0))-1)/2)+DN$14,0)=EOMONTH($CL$3,0),DN$12*DN$13,0),0),IF(AND(DJ$12&lt;&gt;"",DJ$14&lt;&gt;""),IF(EOMONTH($DJ$3+INT((DAY(EOMONTH($DJ$3,0))-1)/2)+DJ$14,0)=EOMONTH($CL$3,0),DJ$12*DJ$13,0),0),IF(AND(DF$12&lt;&gt;"",DF$14&lt;&gt;""),IF(EOMONTH($DF$3+INT((DAY(EOMONTH($DF$3,0))-1)/2)+DF$14,0)=EOMONTH($CL$3,0),DF$12*DF$13,0),0),IF(AND(DB$12&lt;&gt;"",DB$14&lt;&gt;""),IF(EOMONTH($DB$3+INT((DAY(EOMONTH($DB$3,0))-1)/2)+DB$14,0)=EOMONTH($CL$3,0),DB$12*DB$13,0),0),IF(AND(CX$12&lt;&gt;"",CX$14&lt;&gt;""),IF(EOMONTH($CX$3+INT((DAY(EOMONTH($CX$3,0))-1)/2)+CX$14,0)=EOMONTH($CL$3,0),CX$12*CX$13,0),0),IF(AND(CT$12&lt;&gt;"",CT$14&lt;&gt;""),IF(EOMONTH($CT$3+INT((DAY(EOMONTH($CT$3,0))-1)/2)+CT$14,0)=EOMONTH($CL$3,0),CT$12*CT$13,0),0),IF(AND(CP$12&lt;&gt;"",CP$14&lt;&gt;""),IF(EOMONTH($CP$3+INT((DAY(EOMONTH($CP$3,0))-1)/2)+CP$14,0)=EOMONTH($CL$3,0),CP$12*CP$13,0),0),IF(AND(CL$12&lt;&gt;"",CL$14&lt;&gt;""),IF(EOMONTH($CL$3+INT((DAY(EOMONTH($CL$3,0))-1)/2)+CL$14,0)=EOMONTH($CL$3,0),CL$12*CL$13,0),0),IF(AND(CH$12&lt;&gt;"",CH$14&lt;&gt;""),IF(EOMONTH($CH$3+INT((DAY(EOMONTH($CH$3,0))-1)/2)+CH$14,0)=EOMONTH($CL$3,0),CH$12*CH$13,0),0),IF(AND(CD$12&lt;&gt;"",CD$14&lt;&gt;""),IF(EOMONTH($CD$3+INT((DAY(EOMONTH($CD$3,0))-1)/2)+CD$14,0)=EOMONTH($CL$3,0),CD$12*CD$13,0),0),IF(AND(BZ$12&lt;&gt;"",BZ$14&lt;&gt;""),IF(EOMONTH($BZ$3+INT((DAY(EOMONTH($BZ$3,0))-1)/2)+BZ$14,0)=EOMONTH($CL$3,0),BZ$12*BZ$13,0),0),IF(AND(BV$12&lt;&gt;"",BV$14&lt;&gt;""),IF(EOMONTH($BV$3+INT((DAY(EOMONTH($BV$3,0))-1)/2)+BV$14,0)=EOMONTH($CL$3,0),BV$12*BV$13,0),0),IF(AND(BR$12&lt;&gt;"",BR$14&lt;&gt;""),IF(EOMONTH($BR$3+INT((DAY(EOMONTH($BR$3,0))-1)/2)+BR$14,0)=EOMONTH($CL$3,0),BR$12*BR$13,0),0),IF(AND(BN$12&lt;&gt;"",BN$14&lt;&gt;""),IF(EOMONTH($BN$3+INT((DAY(EOMONTH($BN$3,0))-1)/2)+BN$14,0)=EOMONTH($CL$3,0),BN$12*BN$13,0),0),IF(AND(BJ$12&lt;&gt;"",BJ$14&lt;&gt;""),IF(EOMONTH($BJ$3+INT((DAY(EOMONTH($BJ$3,0))-1)/2)+BJ$14,0)=EOMONTH($CL$3,0),BJ$12*BJ$13,0),0),IF(AND(BF$12&lt;&gt;"",BF$14&lt;&gt;""),IF(EOMONTH($BF$3+INT((DAY(EOMONTH($BF$3,0))-1)/2)+BF$14,0)=EOMONTH($CL$3,0),BF$12*BF$13,0),0),IF(AND(BB$12&lt;&gt;"",BB$14&lt;&gt;""),IF(EOMONTH($BB$3+INT((DAY(EOMONTH($BB$3,0))-1)/2)+BB$14,0)=EOMONTH($CL$3,0),BB$12*BB$13,0),0),IF(AND(AX$12&lt;&gt;"",AX$14&lt;&gt;""),IF(EOMONTH($AX$3+INT((DAY(EOMONTH($AX$3,0))-1)/2)+AX$14,0)=EOMONTH($CL$3,0),AX$12*AX$13,0),0),IF(AND(AT$12&lt;&gt;"",AT$14&lt;&gt;""),IF(EOMONTH($AT$3+INT((DAY(EOMONTH($AT$3,0))-1)/2)+AT$14,0)=EOMONTH($CL$3,0),AT$12*AT$13,0),0),IF(AND(AP$12&lt;&gt;"",AP$14&lt;&gt;""),IF(EOMONTH($AP$3+INT((DAY(EOMONTH($AP$3,0))-1)/2)+AP$14,0)=EOMONTH($CL$3,0),AP$12*AP$13,0),0),IF(AND(AL$12&lt;&gt;"",AL$14&lt;&gt;""),IF(EOMONTH($AL$3+INT((DAY(EOMONTH($AL$3,0))-1)/2)+AL$14,0)=EOMONTH($CL$3,0),AL$12*AL$13,0),0),IF(AND(AH$12&lt;&gt;"",AH$14&lt;&gt;""),IF(EOMONTH($AH$3+INT((DAY(EOMONTH($AH$3,0))-1)/2)+AH$14,0)=EOMONTH($CL$3,0),AH$12*AH$13,0),0),IF(AND(AD$12&lt;&gt;"",AD$14&lt;&gt;""),IF(EOMONTH($AD$3+INT((DAY(EOMONTH($AD$3,0))-1)/2)+AD$14,0)=EOMONTH($CL$3,0),AD$12*AD$13,0),0),IF(AND(Z$12&lt;&gt;"",Z$14&lt;&gt;""),IF(EOMONTH($Z$3+INT((DAY(EOMONTH($Z$3,0))-1)/2)+Z$14,0)=EOMONTH($CL$3,0),Z$12*Z$13,0),0),IF(AND(V$12&lt;&gt;"",V$14&lt;&gt;""),IF(EOMONTH($V$3+INT((DAY(EOMONTH($V$3,0))-1)/2)+V$14,0)=EOMONTH($CL$3,0),V$12*V$13,0),0),IF(AND(R$12&lt;&gt;"",R$14&lt;&gt;""),IF(EOMONTH($R$3+INT((DAY(EOMONTH($R$3,0))-1)/2)+R$14,0)=EOMONTH($CL$3,0),R$12*R$13,0),0),IF(AND(N$12&lt;&gt;"",N$14&lt;&gt;""),IF(EOMONTH($N$3+INT((DAY(EOMONTH($N$3,0))-1)/2)+N$14,0)=EOMONTH($CL$3,0),N$12*N$13,0),0),IF(AND(J$12&lt;&gt;"",J$14&lt;&gt;""),IF(EOMONTH($J$3+INT((DAY(EOMONTH($J$3,0))-1)/2)+J$14,0)=EOMONTH($CL$3,0),J$12*J$13,0),0),IF(AND(F$12&lt;&gt;"",F$14&lt;&gt;""),IF(EOMONTH($F$3+INT((DAY(EOMONTH($F$3,0))-1)/2)+F$14,0)=EOMONTH($CL$3,0),F$12*F$13,0),0),IF($EP$75="",0,IF(EOMONTH($EP$75+EP$14,0)=EOMONTH($CL$3,0),$EP$77*EP$13,0))),0)</f>
        <v>0</v>
      </c>
      <c r="CM73" s="41">
        <f t="shared" si="1118"/>
        <v>104000</v>
      </c>
      <c r="CN73" s="41">
        <f t="shared" si="1118"/>
        <v>104000</v>
      </c>
      <c r="CO73" s="41">
        <f t="shared" si="1119"/>
        <v>0</v>
      </c>
      <c r="CP73" s="41">
        <f t="shared" ref="CP73:CR73" si="1120">ROUND(SUM(IF(AND(EP$12&lt;&gt;"",EP$14&lt;&gt;""),IF(EOMONTH($EP$3+INT((DAY(EOMONTH($EP$3,0))-1)/2)+EP$14,0)=EOMONTH($CP$3,0),EP$12*EP$13,0),0),IF(AND(EL$12&lt;&gt;"",EL$14&lt;&gt;""),IF(EOMONTH($EL$3+INT((DAY(EOMONTH($EL$3,0))-1)/2)+EL$14,0)=EOMONTH($CP$3,0),EL$12*EL$13,0),0),IF(AND(EH$12&lt;&gt;"",EH$14&lt;&gt;""),IF(EOMONTH($EH$3+INT((DAY(EOMONTH($EH$3,0))-1)/2)+EH$14,0)=EOMONTH($CP$3,0),EH$12*EH$13,0),0),IF(AND(ED$12&lt;&gt;"",ED$14&lt;&gt;""),IF(EOMONTH($ED$3+INT((DAY(EOMONTH($ED$3,0))-1)/2)+ED$14,0)=EOMONTH($CP$3,0),ED$12*ED$13,0),0),IF(AND(DZ$12&lt;&gt;"",DZ$14&lt;&gt;""),IF(EOMONTH($DZ$3+INT((DAY(EOMONTH($DZ$3,0))-1)/2)+DZ$14,0)=EOMONTH($CP$3,0),DZ$12*DZ$13,0),0),IF(AND(DV$12&lt;&gt;"",DV$14&lt;&gt;""),IF(EOMONTH($DV$3+INT((DAY(EOMONTH($DV$3,0))-1)/2)+DV$14,0)=EOMONTH($CP$3,0),DV$12*DV$13,0),0),IF(AND(DR$12&lt;&gt;"",DR$14&lt;&gt;""),IF(EOMONTH($DR$3+INT((DAY(EOMONTH($DR$3,0))-1)/2)+DR$14,0)=EOMONTH($CP$3,0),DR$12*DR$13,0),0),IF(AND(DN$12&lt;&gt;"",DN$14&lt;&gt;""),IF(EOMONTH($DN$3+INT((DAY(EOMONTH($DN$3,0))-1)/2)+DN$14,0)=EOMONTH($CP$3,0),DN$12*DN$13,0),0),IF(AND(DJ$12&lt;&gt;"",DJ$14&lt;&gt;""),IF(EOMONTH($DJ$3+INT((DAY(EOMONTH($DJ$3,0))-1)/2)+DJ$14,0)=EOMONTH($CP$3,0),DJ$12*DJ$13,0),0),IF(AND(DF$12&lt;&gt;"",DF$14&lt;&gt;""),IF(EOMONTH($DF$3+INT((DAY(EOMONTH($DF$3,0))-1)/2)+DF$14,0)=EOMONTH($CP$3,0),DF$12*DF$13,0),0),IF(AND(DB$12&lt;&gt;"",DB$14&lt;&gt;""),IF(EOMONTH($DB$3+INT((DAY(EOMONTH($DB$3,0))-1)/2)+DB$14,0)=EOMONTH($CP$3,0),DB$12*DB$13,0),0),IF(AND(CX$12&lt;&gt;"",CX$14&lt;&gt;""),IF(EOMONTH($CX$3+INT((DAY(EOMONTH($CX$3,0))-1)/2)+CX$14,0)=EOMONTH($CP$3,0),CX$12*CX$13,0),0),IF(AND(CT$12&lt;&gt;"",CT$14&lt;&gt;""),IF(EOMONTH($CT$3+INT((DAY(EOMONTH($CT$3,0))-1)/2)+CT$14,0)=EOMONTH($CP$3,0),CT$12*CT$13,0),0),IF(AND(CP$12&lt;&gt;"",CP$14&lt;&gt;""),IF(EOMONTH($CP$3+INT((DAY(EOMONTH($CP$3,0))-1)/2)+CP$14,0)=EOMONTH($CP$3,0),CP$12*CP$13,0),0),IF(AND(CL$12&lt;&gt;"",CL$14&lt;&gt;""),IF(EOMONTH($CL$3+INT((DAY(EOMONTH($CL$3,0))-1)/2)+CL$14,0)=EOMONTH($CP$3,0),CL$12*CL$13,0),0),IF(AND(CH$12&lt;&gt;"",CH$14&lt;&gt;""),IF(EOMONTH($CH$3+INT((DAY(EOMONTH($CH$3,0))-1)/2)+CH$14,0)=EOMONTH($CP$3,0),CH$12*CH$13,0),0),IF(AND(CD$12&lt;&gt;"",CD$14&lt;&gt;""),IF(EOMONTH($CD$3+INT((DAY(EOMONTH($CD$3,0))-1)/2)+CD$14,0)=EOMONTH($CP$3,0),CD$12*CD$13,0),0),IF(AND(BZ$12&lt;&gt;"",BZ$14&lt;&gt;""),IF(EOMONTH($BZ$3+INT((DAY(EOMONTH($BZ$3,0))-1)/2)+BZ$14,0)=EOMONTH($CP$3,0),BZ$12*BZ$13,0),0),IF(AND(BV$12&lt;&gt;"",BV$14&lt;&gt;""),IF(EOMONTH($BV$3+INT((DAY(EOMONTH($BV$3,0))-1)/2)+BV$14,0)=EOMONTH($CP$3,0),BV$12*BV$13,0),0),IF(AND(BR$12&lt;&gt;"",BR$14&lt;&gt;""),IF(EOMONTH($BR$3+INT((DAY(EOMONTH($BR$3,0))-1)/2)+BR$14,0)=EOMONTH($CP$3,0),BR$12*BR$13,0),0),IF(AND(BN$12&lt;&gt;"",BN$14&lt;&gt;""),IF(EOMONTH($BN$3+INT((DAY(EOMONTH($BN$3,0))-1)/2)+BN$14,0)=EOMONTH($CP$3,0),BN$12*BN$13,0),0),IF(AND(BJ$12&lt;&gt;"",BJ$14&lt;&gt;""),IF(EOMONTH($BJ$3+INT((DAY(EOMONTH($BJ$3,0))-1)/2)+BJ$14,0)=EOMONTH($CP$3,0),BJ$12*BJ$13,0),0),IF(AND(BF$12&lt;&gt;"",BF$14&lt;&gt;""),IF(EOMONTH($BF$3+INT((DAY(EOMONTH($BF$3,0))-1)/2)+BF$14,0)=EOMONTH($CP$3,0),BF$12*BF$13,0),0),IF(AND(BB$12&lt;&gt;"",BB$14&lt;&gt;""),IF(EOMONTH($BB$3+INT((DAY(EOMONTH($BB$3,0))-1)/2)+BB$14,0)=EOMONTH($CP$3,0),BB$12*BB$13,0),0),IF(AND(AX$12&lt;&gt;"",AX$14&lt;&gt;""),IF(EOMONTH($AX$3+INT((DAY(EOMONTH($AX$3,0))-1)/2)+AX$14,0)=EOMONTH($CP$3,0),AX$12*AX$13,0),0),IF(AND(AT$12&lt;&gt;"",AT$14&lt;&gt;""),IF(EOMONTH($AT$3+INT((DAY(EOMONTH($AT$3,0))-1)/2)+AT$14,0)=EOMONTH($CP$3,0),AT$12*AT$13,0),0),IF(AND(AP$12&lt;&gt;"",AP$14&lt;&gt;""),IF(EOMONTH($AP$3+INT((DAY(EOMONTH($AP$3,0))-1)/2)+AP$14,0)=EOMONTH($CP$3,0),AP$12*AP$13,0),0),IF(AND(AL$12&lt;&gt;"",AL$14&lt;&gt;""),IF(EOMONTH($AL$3+INT((DAY(EOMONTH($AL$3,0))-1)/2)+AL$14,0)=EOMONTH($CP$3,0),AL$12*AL$13,0),0),IF(AND(AH$12&lt;&gt;"",AH$14&lt;&gt;""),IF(EOMONTH($AH$3+INT((DAY(EOMONTH($AH$3,0))-1)/2)+AH$14,0)=EOMONTH($CP$3,0),AH$12*AH$13,0),0),IF(AND(AD$12&lt;&gt;"",AD$14&lt;&gt;""),IF(EOMONTH($AD$3+INT((DAY(EOMONTH($AD$3,0))-1)/2)+AD$14,0)=EOMONTH($CP$3,0),AD$12*AD$13,0),0),IF(AND(Z$12&lt;&gt;"",Z$14&lt;&gt;""),IF(EOMONTH($Z$3+INT((DAY(EOMONTH($Z$3,0))-1)/2)+Z$14,0)=EOMONTH($CP$3,0),Z$12*Z$13,0),0),IF(AND(V$12&lt;&gt;"",V$14&lt;&gt;""),IF(EOMONTH($V$3+INT((DAY(EOMONTH($V$3,0))-1)/2)+V$14,0)=EOMONTH($CP$3,0),V$12*V$13,0),0),IF(AND(R$12&lt;&gt;"",R$14&lt;&gt;""),IF(EOMONTH($R$3+INT((DAY(EOMONTH($R$3,0))-1)/2)+R$14,0)=EOMONTH($CP$3,0),R$12*R$13,0),0),IF(AND(N$12&lt;&gt;"",N$14&lt;&gt;""),IF(EOMONTH($N$3+INT((DAY(EOMONTH($N$3,0))-1)/2)+N$14,0)=EOMONTH($CP$3,0),N$12*N$13,0),0),IF(AND(J$12&lt;&gt;"",J$14&lt;&gt;""),IF(EOMONTH($J$3+INT((DAY(EOMONTH($J$3,0))-1)/2)+J$14,0)=EOMONTH($CP$3,0),J$12*J$13,0),0),IF(AND(F$12&lt;&gt;"",F$14&lt;&gt;""),IF(EOMONTH($F$3+INT((DAY(EOMONTH($F$3,0))-1)/2)+F$14,0)=EOMONTH($CP$3,0),F$12*F$13,0),0),IF($EP$75="",0,IF(EOMONTH($EP$75+EP$14,0)=EOMONTH($CP$3,0),$EP$77*EP$13,0))),0)</f>
        <v>0</v>
      </c>
      <c r="CQ73" s="41">
        <f t="shared" si="1120"/>
        <v>104000</v>
      </c>
      <c r="CR73" s="41">
        <f t="shared" si="1120"/>
        <v>104000</v>
      </c>
      <c r="CS73" s="41">
        <f t="shared" si="1121"/>
        <v>0</v>
      </c>
      <c r="CT73" s="41">
        <f t="shared" ref="CT73:CV73" si="1122">ROUND(SUM(IF(AND(EP$12&lt;&gt;"",EP$14&lt;&gt;""),IF(EOMONTH($EP$3+INT((DAY(EOMONTH($EP$3,0))-1)/2)+EP$14,0)=EOMONTH($CT$3,0),EP$12*EP$13,0),0),IF(AND(EL$12&lt;&gt;"",EL$14&lt;&gt;""),IF(EOMONTH($EL$3+INT((DAY(EOMONTH($EL$3,0))-1)/2)+EL$14,0)=EOMONTH($CT$3,0),EL$12*EL$13,0),0),IF(AND(EH$12&lt;&gt;"",EH$14&lt;&gt;""),IF(EOMONTH($EH$3+INT((DAY(EOMONTH($EH$3,0))-1)/2)+EH$14,0)=EOMONTH($CT$3,0),EH$12*EH$13,0),0),IF(AND(ED$12&lt;&gt;"",ED$14&lt;&gt;""),IF(EOMONTH($ED$3+INT((DAY(EOMONTH($ED$3,0))-1)/2)+ED$14,0)=EOMONTH($CT$3,0),ED$12*ED$13,0),0),IF(AND(DZ$12&lt;&gt;"",DZ$14&lt;&gt;""),IF(EOMONTH($DZ$3+INT((DAY(EOMONTH($DZ$3,0))-1)/2)+DZ$14,0)=EOMONTH($CT$3,0),DZ$12*DZ$13,0),0),IF(AND(DV$12&lt;&gt;"",DV$14&lt;&gt;""),IF(EOMONTH($DV$3+INT((DAY(EOMONTH($DV$3,0))-1)/2)+DV$14,0)=EOMONTH($CT$3,0),DV$12*DV$13,0),0),IF(AND(DR$12&lt;&gt;"",DR$14&lt;&gt;""),IF(EOMONTH($DR$3+INT((DAY(EOMONTH($DR$3,0))-1)/2)+DR$14,0)=EOMONTH($CT$3,0),DR$12*DR$13,0),0),IF(AND(DN$12&lt;&gt;"",DN$14&lt;&gt;""),IF(EOMONTH($DN$3+INT((DAY(EOMONTH($DN$3,0))-1)/2)+DN$14,0)=EOMONTH($CT$3,0),DN$12*DN$13,0),0),IF(AND(DJ$12&lt;&gt;"",DJ$14&lt;&gt;""),IF(EOMONTH($DJ$3+INT((DAY(EOMONTH($DJ$3,0))-1)/2)+DJ$14,0)=EOMONTH($CT$3,0),DJ$12*DJ$13,0),0),IF(AND(DF$12&lt;&gt;"",DF$14&lt;&gt;""),IF(EOMONTH($DF$3+INT((DAY(EOMONTH($DF$3,0))-1)/2)+DF$14,0)=EOMONTH($CT$3,0),DF$12*DF$13,0),0),IF(AND(DB$12&lt;&gt;"",DB$14&lt;&gt;""),IF(EOMONTH($DB$3+INT((DAY(EOMONTH($DB$3,0))-1)/2)+DB$14,0)=EOMONTH($CT$3,0),DB$12*DB$13,0),0),IF(AND(CX$12&lt;&gt;"",CX$14&lt;&gt;""),IF(EOMONTH($CX$3+INT((DAY(EOMONTH($CX$3,0))-1)/2)+CX$14,0)=EOMONTH($CT$3,0),CX$12*CX$13,0),0),IF(AND(CT$12&lt;&gt;"",CT$14&lt;&gt;""),IF(EOMONTH($CT$3+INT((DAY(EOMONTH($CT$3,0))-1)/2)+CT$14,0)=EOMONTH($CT$3,0),CT$12*CT$13,0),0),IF(AND(CP$12&lt;&gt;"",CP$14&lt;&gt;""),IF(EOMONTH($CP$3+INT((DAY(EOMONTH($CP$3,0))-1)/2)+CP$14,0)=EOMONTH($CT$3,0),CP$12*CP$13,0),0),IF(AND(CL$12&lt;&gt;"",CL$14&lt;&gt;""),IF(EOMONTH($CL$3+INT((DAY(EOMONTH($CL$3,0))-1)/2)+CL$14,0)=EOMONTH($CT$3,0),CL$12*CL$13,0),0),IF(AND(CH$12&lt;&gt;"",CH$14&lt;&gt;""),IF(EOMONTH($CH$3+INT((DAY(EOMONTH($CH$3,0))-1)/2)+CH$14,0)=EOMONTH($CT$3,0),CH$12*CH$13,0),0),IF(AND(CD$12&lt;&gt;"",CD$14&lt;&gt;""),IF(EOMONTH($CD$3+INT((DAY(EOMONTH($CD$3,0))-1)/2)+CD$14,0)=EOMONTH($CT$3,0),CD$12*CD$13,0),0),IF(AND(BZ$12&lt;&gt;"",BZ$14&lt;&gt;""),IF(EOMONTH($BZ$3+INT((DAY(EOMONTH($BZ$3,0))-1)/2)+BZ$14,0)=EOMONTH($CT$3,0),BZ$12*BZ$13,0),0),IF(AND(BV$12&lt;&gt;"",BV$14&lt;&gt;""),IF(EOMONTH($BV$3+INT((DAY(EOMONTH($BV$3,0))-1)/2)+BV$14,0)=EOMONTH($CT$3,0),BV$12*BV$13,0),0),IF(AND(BR$12&lt;&gt;"",BR$14&lt;&gt;""),IF(EOMONTH($BR$3+INT((DAY(EOMONTH($BR$3,0))-1)/2)+BR$14,0)=EOMONTH($CT$3,0),BR$12*BR$13,0),0),IF(AND(BN$12&lt;&gt;"",BN$14&lt;&gt;""),IF(EOMONTH($BN$3+INT((DAY(EOMONTH($BN$3,0))-1)/2)+BN$14,0)=EOMONTH($CT$3,0),BN$12*BN$13,0),0),IF(AND(BJ$12&lt;&gt;"",BJ$14&lt;&gt;""),IF(EOMONTH($BJ$3+INT((DAY(EOMONTH($BJ$3,0))-1)/2)+BJ$14,0)=EOMONTH($CT$3,0),BJ$12*BJ$13,0),0),IF(AND(BF$12&lt;&gt;"",BF$14&lt;&gt;""),IF(EOMONTH($BF$3+INT((DAY(EOMONTH($BF$3,0))-1)/2)+BF$14,0)=EOMONTH($CT$3,0),BF$12*BF$13,0),0),IF(AND(BB$12&lt;&gt;"",BB$14&lt;&gt;""),IF(EOMONTH($BB$3+INT((DAY(EOMONTH($BB$3,0))-1)/2)+BB$14,0)=EOMONTH($CT$3,0),BB$12*BB$13,0),0),IF(AND(AX$12&lt;&gt;"",AX$14&lt;&gt;""),IF(EOMONTH($AX$3+INT((DAY(EOMONTH($AX$3,0))-1)/2)+AX$14,0)=EOMONTH($CT$3,0),AX$12*AX$13,0),0),IF(AND(AT$12&lt;&gt;"",AT$14&lt;&gt;""),IF(EOMONTH($AT$3+INT((DAY(EOMONTH($AT$3,0))-1)/2)+AT$14,0)=EOMONTH($CT$3,0),AT$12*AT$13,0),0),IF(AND(AP$12&lt;&gt;"",AP$14&lt;&gt;""),IF(EOMONTH($AP$3+INT((DAY(EOMONTH($AP$3,0))-1)/2)+AP$14,0)=EOMONTH($CT$3,0),AP$12*AP$13,0),0),IF(AND(AL$12&lt;&gt;"",AL$14&lt;&gt;""),IF(EOMONTH($AL$3+INT((DAY(EOMONTH($AL$3,0))-1)/2)+AL$14,0)=EOMONTH($CT$3,0),AL$12*AL$13,0),0),IF(AND(AH$12&lt;&gt;"",AH$14&lt;&gt;""),IF(EOMONTH($AH$3+INT((DAY(EOMONTH($AH$3,0))-1)/2)+AH$14,0)=EOMONTH($CT$3,0),AH$12*AH$13,0),0),IF(AND(AD$12&lt;&gt;"",AD$14&lt;&gt;""),IF(EOMONTH($AD$3+INT((DAY(EOMONTH($AD$3,0))-1)/2)+AD$14,0)=EOMONTH($CT$3,0),AD$12*AD$13,0),0),IF(AND(Z$12&lt;&gt;"",Z$14&lt;&gt;""),IF(EOMONTH($Z$3+INT((DAY(EOMONTH($Z$3,0))-1)/2)+Z$14,0)=EOMONTH($CT$3,0),Z$12*Z$13,0),0),IF(AND(V$12&lt;&gt;"",V$14&lt;&gt;""),IF(EOMONTH($V$3+INT((DAY(EOMONTH($V$3,0))-1)/2)+V$14,0)=EOMONTH($CT$3,0),V$12*V$13,0),0),IF(AND(R$12&lt;&gt;"",R$14&lt;&gt;""),IF(EOMONTH($R$3+INT((DAY(EOMONTH($R$3,0))-1)/2)+R$14,0)=EOMONTH($CT$3,0),R$12*R$13,0),0),IF(AND(N$12&lt;&gt;"",N$14&lt;&gt;""),IF(EOMONTH($N$3+INT((DAY(EOMONTH($N$3,0))-1)/2)+N$14,0)=EOMONTH($CT$3,0),N$12*N$13,0),0),IF(AND(J$12&lt;&gt;"",J$14&lt;&gt;""),IF(EOMONTH($J$3+INT((DAY(EOMONTH($J$3,0))-1)/2)+J$14,0)=EOMONTH($CT$3,0),J$12*J$13,0),0),IF(AND(F$12&lt;&gt;"",F$14&lt;&gt;""),IF(EOMONTH($F$3+INT((DAY(EOMONTH($F$3,0))-1)/2)+F$14,0)=EOMONTH($CT$3,0),F$12*F$13,0),0),IF($EP$75="",0,IF(EOMONTH($EP$75+EP$14,0)=EOMONTH($CT$3,0),$EP$77*EP$13,0))),0)</f>
        <v>0</v>
      </c>
      <c r="CU73" s="41">
        <f t="shared" si="1122"/>
        <v>104000</v>
      </c>
      <c r="CV73" s="41">
        <f t="shared" si="1122"/>
        <v>104000</v>
      </c>
      <c r="CW73" s="41">
        <f t="shared" si="1123"/>
        <v>0</v>
      </c>
      <c r="CX73" s="41">
        <f t="shared" ref="CX73:CZ73" si="1124">ROUND(SUM(IF(AND(EP$12&lt;&gt;"",EP$14&lt;&gt;""),IF(EOMONTH($EP$3+INT((DAY(EOMONTH($EP$3,0))-1)/2)+EP$14,0)=EOMONTH($CX$3,0),EP$12*EP$13,0),0),IF(AND(EL$12&lt;&gt;"",EL$14&lt;&gt;""),IF(EOMONTH($EL$3+INT((DAY(EOMONTH($EL$3,0))-1)/2)+EL$14,0)=EOMONTH($CX$3,0),EL$12*EL$13,0),0),IF(AND(EH$12&lt;&gt;"",EH$14&lt;&gt;""),IF(EOMONTH($EH$3+INT((DAY(EOMONTH($EH$3,0))-1)/2)+EH$14,0)=EOMONTH($CX$3,0),EH$12*EH$13,0),0),IF(AND(ED$12&lt;&gt;"",ED$14&lt;&gt;""),IF(EOMONTH($ED$3+INT((DAY(EOMONTH($ED$3,0))-1)/2)+ED$14,0)=EOMONTH($CX$3,0),ED$12*ED$13,0),0),IF(AND(DZ$12&lt;&gt;"",DZ$14&lt;&gt;""),IF(EOMONTH($DZ$3+INT((DAY(EOMONTH($DZ$3,0))-1)/2)+DZ$14,0)=EOMONTH($CX$3,0),DZ$12*DZ$13,0),0),IF(AND(DV$12&lt;&gt;"",DV$14&lt;&gt;""),IF(EOMONTH($DV$3+INT((DAY(EOMONTH($DV$3,0))-1)/2)+DV$14,0)=EOMONTH($CX$3,0),DV$12*DV$13,0),0),IF(AND(DR$12&lt;&gt;"",DR$14&lt;&gt;""),IF(EOMONTH($DR$3+INT((DAY(EOMONTH($DR$3,0))-1)/2)+DR$14,0)=EOMONTH($CX$3,0),DR$12*DR$13,0),0),IF(AND(DN$12&lt;&gt;"",DN$14&lt;&gt;""),IF(EOMONTH($DN$3+INT((DAY(EOMONTH($DN$3,0))-1)/2)+DN$14,0)=EOMONTH($CX$3,0),DN$12*DN$13,0),0),IF(AND(DJ$12&lt;&gt;"",DJ$14&lt;&gt;""),IF(EOMONTH($DJ$3+INT((DAY(EOMONTH($DJ$3,0))-1)/2)+DJ$14,0)=EOMONTH($CX$3,0),DJ$12*DJ$13,0),0),IF(AND(DF$12&lt;&gt;"",DF$14&lt;&gt;""),IF(EOMONTH($DF$3+INT((DAY(EOMONTH($DF$3,0))-1)/2)+DF$14,0)=EOMONTH($CX$3,0),DF$12*DF$13,0),0),IF(AND(DB$12&lt;&gt;"",DB$14&lt;&gt;""),IF(EOMONTH($DB$3+INT((DAY(EOMONTH($DB$3,0))-1)/2)+DB$14,0)=EOMONTH($CX$3,0),DB$12*DB$13,0),0),IF(AND(CX$12&lt;&gt;"",CX$14&lt;&gt;""),IF(EOMONTH($CX$3+INT((DAY(EOMONTH($CX$3,0))-1)/2)+CX$14,0)=EOMONTH($CX$3,0),CX$12*CX$13,0),0),IF(AND(CT$12&lt;&gt;"",CT$14&lt;&gt;""),IF(EOMONTH($CT$3+INT((DAY(EOMONTH($CT$3,0))-1)/2)+CT$14,0)=EOMONTH($CX$3,0),CT$12*CT$13,0),0),IF(AND(CP$12&lt;&gt;"",CP$14&lt;&gt;""),IF(EOMONTH($CP$3+INT((DAY(EOMONTH($CP$3,0))-1)/2)+CP$14,0)=EOMONTH($CX$3,0),CP$12*CP$13,0),0),IF(AND(CL$12&lt;&gt;"",CL$14&lt;&gt;""),IF(EOMONTH($CL$3+INT((DAY(EOMONTH($CL$3,0))-1)/2)+CL$14,0)=EOMONTH($CX$3,0),CL$12*CL$13,0),0),IF(AND(CH$12&lt;&gt;"",CH$14&lt;&gt;""),IF(EOMONTH($CH$3+INT((DAY(EOMONTH($CH$3,0))-1)/2)+CH$14,0)=EOMONTH($CX$3,0),CH$12*CH$13,0),0),IF(AND(CD$12&lt;&gt;"",CD$14&lt;&gt;""),IF(EOMONTH($CD$3+INT((DAY(EOMONTH($CD$3,0))-1)/2)+CD$14,0)=EOMONTH($CX$3,0),CD$12*CD$13,0),0),IF(AND(BZ$12&lt;&gt;"",BZ$14&lt;&gt;""),IF(EOMONTH($BZ$3+INT((DAY(EOMONTH($BZ$3,0))-1)/2)+BZ$14,0)=EOMONTH($CX$3,0),BZ$12*BZ$13,0),0),IF(AND(BV$12&lt;&gt;"",BV$14&lt;&gt;""),IF(EOMONTH($BV$3+INT((DAY(EOMONTH($BV$3,0))-1)/2)+BV$14,0)=EOMONTH($CX$3,0),BV$12*BV$13,0),0),IF(AND(BR$12&lt;&gt;"",BR$14&lt;&gt;""),IF(EOMONTH($BR$3+INT((DAY(EOMONTH($BR$3,0))-1)/2)+BR$14,0)=EOMONTH($CX$3,0),BR$12*BR$13,0),0),IF(AND(BN$12&lt;&gt;"",BN$14&lt;&gt;""),IF(EOMONTH($BN$3+INT((DAY(EOMONTH($BN$3,0))-1)/2)+BN$14,0)=EOMONTH($CX$3,0),BN$12*BN$13,0),0),IF(AND(BJ$12&lt;&gt;"",BJ$14&lt;&gt;""),IF(EOMONTH($BJ$3+INT((DAY(EOMONTH($BJ$3,0))-1)/2)+BJ$14,0)=EOMONTH($CX$3,0),BJ$12*BJ$13,0),0),IF(AND(BF$12&lt;&gt;"",BF$14&lt;&gt;""),IF(EOMONTH($BF$3+INT((DAY(EOMONTH($BF$3,0))-1)/2)+BF$14,0)=EOMONTH($CX$3,0),BF$12*BF$13,0),0),IF(AND(BB$12&lt;&gt;"",BB$14&lt;&gt;""),IF(EOMONTH($BB$3+INT((DAY(EOMONTH($BB$3,0))-1)/2)+BB$14,0)=EOMONTH($CX$3,0),BB$12*BB$13,0),0),IF(AND(AX$12&lt;&gt;"",AX$14&lt;&gt;""),IF(EOMONTH($AX$3+INT((DAY(EOMONTH($AX$3,0))-1)/2)+AX$14,0)=EOMONTH($CX$3,0),AX$12*AX$13,0),0),IF(AND(AT$12&lt;&gt;"",AT$14&lt;&gt;""),IF(EOMONTH($AT$3+INT((DAY(EOMONTH($AT$3,0))-1)/2)+AT$14,0)=EOMONTH($CX$3,0),AT$12*AT$13,0),0),IF(AND(AP$12&lt;&gt;"",AP$14&lt;&gt;""),IF(EOMONTH($AP$3+INT((DAY(EOMONTH($AP$3,0))-1)/2)+AP$14,0)=EOMONTH($CX$3,0),AP$12*AP$13,0),0),IF(AND(AL$12&lt;&gt;"",AL$14&lt;&gt;""),IF(EOMONTH($AL$3+INT((DAY(EOMONTH($AL$3,0))-1)/2)+AL$14,0)=EOMONTH($CX$3,0),AL$12*AL$13,0),0),IF(AND(AH$12&lt;&gt;"",AH$14&lt;&gt;""),IF(EOMONTH($AH$3+INT((DAY(EOMONTH($AH$3,0))-1)/2)+AH$14,0)=EOMONTH($CX$3,0),AH$12*AH$13,0),0),IF(AND(AD$12&lt;&gt;"",AD$14&lt;&gt;""),IF(EOMONTH($AD$3+INT((DAY(EOMONTH($AD$3,0))-1)/2)+AD$14,0)=EOMONTH($CX$3,0),AD$12*AD$13,0),0),IF(AND(Z$12&lt;&gt;"",Z$14&lt;&gt;""),IF(EOMONTH($Z$3+INT((DAY(EOMONTH($Z$3,0))-1)/2)+Z$14,0)=EOMONTH($CX$3,0),Z$12*Z$13,0),0),IF(AND(V$12&lt;&gt;"",V$14&lt;&gt;""),IF(EOMONTH($V$3+INT((DAY(EOMONTH($V$3,0))-1)/2)+V$14,0)=EOMONTH($CX$3,0),V$12*V$13,0),0),IF(AND(R$12&lt;&gt;"",R$14&lt;&gt;""),IF(EOMONTH($R$3+INT((DAY(EOMONTH($R$3,0))-1)/2)+R$14,0)=EOMONTH($CX$3,0),R$12*R$13,0),0),IF(AND(N$12&lt;&gt;"",N$14&lt;&gt;""),IF(EOMONTH($N$3+INT((DAY(EOMONTH($N$3,0))-1)/2)+N$14,0)=EOMONTH($CX$3,0),N$12*N$13,0),0),IF(AND(J$12&lt;&gt;"",J$14&lt;&gt;""),IF(EOMONTH($J$3+INT((DAY(EOMONTH($J$3,0))-1)/2)+J$14,0)=EOMONTH($CX$3,0),J$12*J$13,0),0),IF(AND(F$12&lt;&gt;"",F$14&lt;&gt;""),IF(EOMONTH($F$3+INT((DAY(EOMONTH($F$3,0))-1)/2)+F$14,0)=EOMONTH($CX$3,0),F$12*F$13,0),0),IF($EP$75="",0,IF(EOMONTH($EP$75+EP$14,0)=EOMONTH($CX$3,0),$EP$77*EP$13,0))),0)</f>
        <v>0</v>
      </c>
      <c r="CY73" s="41">
        <f t="shared" si="1124"/>
        <v>96000</v>
      </c>
      <c r="CZ73" s="41">
        <f t="shared" si="1124"/>
        <v>96000</v>
      </c>
      <c r="DA73" s="41">
        <f t="shared" si="1125"/>
        <v>0</v>
      </c>
      <c r="DB73" s="41">
        <f t="shared" ref="DB73:DD73" si="1126">ROUND(SUM(IF(AND(EP$12&lt;&gt;"",EP$14&lt;&gt;""),IF(EOMONTH($EP$3+INT((DAY(EOMONTH($EP$3,0))-1)/2)+EP$14,0)=EOMONTH($DB$3,0),EP$12*EP$13,0),0),IF(AND(EL$12&lt;&gt;"",EL$14&lt;&gt;""),IF(EOMONTH($EL$3+INT((DAY(EOMONTH($EL$3,0))-1)/2)+EL$14,0)=EOMONTH($DB$3,0),EL$12*EL$13,0),0),IF(AND(EH$12&lt;&gt;"",EH$14&lt;&gt;""),IF(EOMONTH($EH$3+INT((DAY(EOMONTH($EH$3,0))-1)/2)+EH$14,0)=EOMONTH($DB$3,0),EH$12*EH$13,0),0),IF(AND(ED$12&lt;&gt;"",ED$14&lt;&gt;""),IF(EOMONTH($ED$3+INT((DAY(EOMONTH($ED$3,0))-1)/2)+ED$14,0)=EOMONTH($DB$3,0),ED$12*ED$13,0),0),IF(AND(DZ$12&lt;&gt;"",DZ$14&lt;&gt;""),IF(EOMONTH($DZ$3+INT((DAY(EOMONTH($DZ$3,0))-1)/2)+DZ$14,0)=EOMONTH($DB$3,0),DZ$12*DZ$13,0),0),IF(AND(DV$12&lt;&gt;"",DV$14&lt;&gt;""),IF(EOMONTH($DV$3+INT((DAY(EOMONTH($DV$3,0))-1)/2)+DV$14,0)=EOMONTH($DB$3,0),DV$12*DV$13,0),0),IF(AND(DR$12&lt;&gt;"",DR$14&lt;&gt;""),IF(EOMONTH($DR$3+INT((DAY(EOMONTH($DR$3,0))-1)/2)+DR$14,0)=EOMONTH($DB$3,0),DR$12*DR$13,0),0),IF(AND(DN$12&lt;&gt;"",DN$14&lt;&gt;""),IF(EOMONTH($DN$3+INT((DAY(EOMONTH($DN$3,0))-1)/2)+DN$14,0)=EOMONTH($DB$3,0),DN$12*DN$13,0),0),IF(AND(DJ$12&lt;&gt;"",DJ$14&lt;&gt;""),IF(EOMONTH($DJ$3+INT((DAY(EOMONTH($DJ$3,0))-1)/2)+DJ$14,0)=EOMONTH($DB$3,0),DJ$12*DJ$13,0),0),IF(AND(DF$12&lt;&gt;"",DF$14&lt;&gt;""),IF(EOMONTH($DF$3+INT((DAY(EOMONTH($DF$3,0))-1)/2)+DF$14,0)=EOMONTH($DB$3,0),DF$12*DF$13,0),0),IF(AND(DB$12&lt;&gt;"",DB$14&lt;&gt;""),IF(EOMONTH($DB$3+INT((DAY(EOMONTH($DB$3,0))-1)/2)+DB$14,0)=EOMONTH($DB$3,0),DB$12*DB$13,0),0),IF(AND(CX$12&lt;&gt;"",CX$14&lt;&gt;""),IF(EOMONTH($CX$3+INT((DAY(EOMONTH($CX$3,0))-1)/2)+CX$14,0)=EOMONTH($DB$3,0),CX$12*CX$13,0),0),IF(AND(CT$12&lt;&gt;"",CT$14&lt;&gt;""),IF(EOMONTH($CT$3+INT((DAY(EOMONTH($CT$3,0))-1)/2)+CT$14,0)=EOMONTH($DB$3,0),CT$12*CT$13,0),0),IF(AND(CP$12&lt;&gt;"",CP$14&lt;&gt;""),IF(EOMONTH($CP$3+INT((DAY(EOMONTH($CP$3,0))-1)/2)+CP$14,0)=EOMONTH($DB$3,0),CP$12*CP$13,0),0),IF(AND(CL$12&lt;&gt;"",CL$14&lt;&gt;""),IF(EOMONTH($CL$3+INT((DAY(EOMONTH($CL$3,0))-1)/2)+CL$14,0)=EOMONTH($DB$3,0),CL$12*CL$13,0),0),IF(AND(CH$12&lt;&gt;"",CH$14&lt;&gt;""),IF(EOMONTH($CH$3+INT((DAY(EOMONTH($CH$3,0))-1)/2)+CH$14,0)=EOMONTH($DB$3,0),CH$12*CH$13,0),0),IF(AND(CD$12&lt;&gt;"",CD$14&lt;&gt;""),IF(EOMONTH($CD$3+INT((DAY(EOMONTH($CD$3,0))-1)/2)+CD$14,0)=EOMONTH($DB$3,0),CD$12*CD$13,0),0),IF(AND(BZ$12&lt;&gt;"",BZ$14&lt;&gt;""),IF(EOMONTH($BZ$3+INT((DAY(EOMONTH($BZ$3,0))-1)/2)+BZ$14,0)=EOMONTH($DB$3,0),BZ$12*BZ$13,0),0),IF(AND(BV$12&lt;&gt;"",BV$14&lt;&gt;""),IF(EOMONTH($BV$3+INT((DAY(EOMONTH($BV$3,0))-1)/2)+BV$14,0)=EOMONTH($DB$3,0),BV$12*BV$13,0),0),IF(AND(BR$12&lt;&gt;"",BR$14&lt;&gt;""),IF(EOMONTH($BR$3+INT((DAY(EOMONTH($BR$3,0))-1)/2)+BR$14,0)=EOMONTH($DB$3,0),BR$12*BR$13,0),0),IF(AND(BN$12&lt;&gt;"",BN$14&lt;&gt;""),IF(EOMONTH($BN$3+INT((DAY(EOMONTH($BN$3,0))-1)/2)+BN$14,0)=EOMONTH($DB$3,0),BN$12*BN$13,0),0),IF(AND(BJ$12&lt;&gt;"",BJ$14&lt;&gt;""),IF(EOMONTH($BJ$3+INT((DAY(EOMONTH($BJ$3,0))-1)/2)+BJ$14,0)=EOMONTH($DB$3,0),BJ$12*BJ$13,0),0),IF(AND(BF$12&lt;&gt;"",BF$14&lt;&gt;""),IF(EOMONTH($BF$3+INT((DAY(EOMONTH($BF$3,0))-1)/2)+BF$14,0)=EOMONTH($DB$3,0),BF$12*BF$13,0),0),IF(AND(BB$12&lt;&gt;"",BB$14&lt;&gt;""),IF(EOMONTH($BB$3+INT((DAY(EOMONTH($BB$3,0))-1)/2)+BB$14,0)=EOMONTH($DB$3,0),BB$12*BB$13,0),0),IF(AND(AX$12&lt;&gt;"",AX$14&lt;&gt;""),IF(EOMONTH($AX$3+INT((DAY(EOMONTH($AX$3,0))-1)/2)+AX$14,0)=EOMONTH($DB$3,0),AX$12*AX$13,0),0),IF(AND(AT$12&lt;&gt;"",AT$14&lt;&gt;""),IF(EOMONTH($AT$3+INT((DAY(EOMONTH($AT$3,0))-1)/2)+AT$14,0)=EOMONTH($DB$3,0),AT$12*AT$13,0),0),IF(AND(AP$12&lt;&gt;"",AP$14&lt;&gt;""),IF(EOMONTH($AP$3+INT((DAY(EOMONTH($AP$3,0))-1)/2)+AP$14,0)=EOMONTH($DB$3,0),AP$12*AP$13,0),0),IF(AND(AL$12&lt;&gt;"",AL$14&lt;&gt;""),IF(EOMONTH($AL$3+INT((DAY(EOMONTH($AL$3,0))-1)/2)+AL$14,0)=EOMONTH($DB$3,0),AL$12*AL$13,0),0),IF(AND(AH$12&lt;&gt;"",AH$14&lt;&gt;""),IF(EOMONTH($AH$3+INT((DAY(EOMONTH($AH$3,0))-1)/2)+AH$14,0)=EOMONTH($DB$3,0),AH$12*AH$13,0),0),IF(AND(AD$12&lt;&gt;"",AD$14&lt;&gt;""),IF(EOMONTH($AD$3+INT((DAY(EOMONTH($AD$3,0))-1)/2)+AD$14,0)=EOMONTH($DB$3,0),AD$12*AD$13,0),0),IF(AND(Z$12&lt;&gt;"",Z$14&lt;&gt;""),IF(EOMONTH($Z$3+INT((DAY(EOMONTH($Z$3,0))-1)/2)+Z$14,0)=EOMONTH($DB$3,0),Z$12*Z$13,0),0),IF(AND(V$12&lt;&gt;"",V$14&lt;&gt;""),IF(EOMONTH($V$3+INT((DAY(EOMONTH($V$3,0))-1)/2)+V$14,0)=EOMONTH($DB$3,0),V$12*V$13,0),0),IF(AND(R$12&lt;&gt;"",R$14&lt;&gt;""),IF(EOMONTH($R$3+INT((DAY(EOMONTH($R$3,0))-1)/2)+R$14,0)=EOMONTH($DB$3,0),R$12*R$13,0),0),IF(AND(N$12&lt;&gt;"",N$14&lt;&gt;""),IF(EOMONTH($N$3+INT((DAY(EOMONTH($N$3,0))-1)/2)+N$14,0)=EOMONTH($DB$3,0),N$12*N$13,0),0),IF(AND(J$12&lt;&gt;"",J$14&lt;&gt;""),IF(EOMONTH($J$3+INT((DAY(EOMONTH($J$3,0))-1)/2)+J$14,0)=EOMONTH($DB$3,0),J$12*J$13,0),0),IF(AND(F$12&lt;&gt;"",F$14&lt;&gt;""),IF(EOMONTH($F$3+INT((DAY(EOMONTH($F$3,0))-1)/2)+F$14,0)=EOMONTH($DB$3,0),F$12*F$13,0),0),IF($EP$75="",0,IF(EOMONTH($EP$75+EP$14,0)=EOMONTH($DB$3,0),$EP$77*EP$13,0))),0)</f>
        <v>0</v>
      </c>
      <c r="DC73" s="41">
        <f t="shared" si="1126"/>
        <v>96000</v>
      </c>
      <c r="DD73" s="41">
        <f t="shared" si="1126"/>
        <v>96000</v>
      </c>
      <c r="DE73" s="41">
        <f t="shared" si="1127"/>
        <v>0</v>
      </c>
      <c r="DF73" s="41">
        <f t="shared" ref="DF73:DH73" si="1128">ROUND(SUM(IF(AND(EP$12&lt;&gt;"",EP$14&lt;&gt;""),IF(EOMONTH($EP$3+INT((DAY(EOMONTH($EP$3,0))-1)/2)+EP$14,0)=EOMONTH($DF$3,0),EP$12*EP$13,0),0),IF(AND(EL$12&lt;&gt;"",EL$14&lt;&gt;""),IF(EOMONTH($EL$3+INT((DAY(EOMONTH($EL$3,0))-1)/2)+EL$14,0)=EOMONTH($DF$3,0),EL$12*EL$13,0),0),IF(AND(EH$12&lt;&gt;"",EH$14&lt;&gt;""),IF(EOMONTH($EH$3+INT((DAY(EOMONTH($EH$3,0))-1)/2)+EH$14,0)=EOMONTH($DF$3,0),EH$12*EH$13,0),0),IF(AND(ED$12&lt;&gt;"",ED$14&lt;&gt;""),IF(EOMONTH($ED$3+INT((DAY(EOMONTH($ED$3,0))-1)/2)+ED$14,0)=EOMONTH($DF$3,0),ED$12*ED$13,0),0),IF(AND(DZ$12&lt;&gt;"",DZ$14&lt;&gt;""),IF(EOMONTH($DZ$3+INT((DAY(EOMONTH($DZ$3,0))-1)/2)+DZ$14,0)=EOMONTH($DF$3,0),DZ$12*DZ$13,0),0),IF(AND(DV$12&lt;&gt;"",DV$14&lt;&gt;""),IF(EOMONTH($DV$3+INT((DAY(EOMONTH($DV$3,0))-1)/2)+DV$14,0)=EOMONTH($DF$3,0),DV$12*DV$13,0),0),IF(AND(DR$12&lt;&gt;"",DR$14&lt;&gt;""),IF(EOMONTH($DR$3+INT((DAY(EOMONTH($DR$3,0))-1)/2)+DR$14,0)=EOMONTH($DF$3,0),DR$12*DR$13,0),0),IF(AND(DN$12&lt;&gt;"",DN$14&lt;&gt;""),IF(EOMONTH($DN$3+INT((DAY(EOMONTH($DN$3,0))-1)/2)+DN$14,0)=EOMONTH($DF$3,0),DN$12*DN$13,0),0),IF(AND(DJ$12&lt;&gt;"",DJ$14&lt;&gt;""),IF(EOMONTH($DJ$3+INT((DAY(EOMONTH($DJ$3,0))-1)/2)+DJ$14,0)=EOMONTH($DF$3,0),DJ$12*DJ$13,0),0),IF(AND(DF$12&lt;&gt;"",DF$14&lt;&gt;""),IF(EOMONTH($DF$3+INT((DAY(EOMONTH($DF$3,0))-1)/2)+DF$14,0)=EOMONTH($DF$3,0),DF$12*DF$13,0),0),IF(AND(DB$12&lt;&gt;"",DB$14&lt;&gt;""),IF(EOMONTH($DB$3+INT((DAY(EOMONTH($DB$3,0))-1)/2)+DB$14,0)=EOMONTH($DF$3,0),DB$12*DB$13,0),0),IF(AND(CX$12&lt;&gt;"",CX$14&lt;&gt;""),IF(EOMONTH($CX$3+INT((DAY(EOMONTH($CX$3,0))-1)/2)+CX$14,0)=EOMONTH($DF$3,0),CX$12*CX$13,0),0),IF(AND(CT$12&lt;&gt;"",CT$14&lt;&gt;""),IF(EOMONTH($CT$3+INT((DAY(EOMONTH($CT$3,0))-1)/2)+CT$14,0)=EOMONTH($DF$3,0),CT$12*CT$13,0),0),IF(AND(CP$12&lt;&gt;"",CP$14&lt;&gt;""),IF(EOMONTH($CP$3+INT((DAY(EOMONTH($CP$3,0))-1)/2)+CP$14,0)=EOMONTH($DF$3,0),CP$12*CP$13,0),0),IF(AND(CL$12&lt;&gt;"",CL$14&lt;&gt;""),IF(EOMONTH($CL$3+INT((DAY(EOMONTH($CL$3,0))-1)/2)+CL$14,0)=EOMONTH($DF$3,0),CL$12*CL$13,0),0),IF(AND(CH$12&lt;&gt;"",CH$14&lt;&gt;""),IF(EOMONTH($CH$3+INT((DAY(EOMONTH($CH$3,0))-1)/2)+CH$14,0)=EOMONTH($DF$3,0),CH$12*CH$13,0),0),IF(AND(CD$12&lt;&gt;"",CD$14&lt;&gt;""),IF(EOMONTH($CD$3+INT((DAY(EOMONTH($CD$3,0))-1)/2)+CD$14,0)=EOMONTH($DF$3,0),CD$12*CD$13,0),0),IF(AND(BZ$12&lt;&gt;"",BZ$14&lt;&gt;""),IF(EOMONTH($BZ$3+INT((DAY(EOMONTH($BZ$3,0))-1)/2)+BZ$14,0)=EOMONTH($DF$3,0),BZ$12*BZ$13,0),0),IF(AND(BV$12&lt;&gt;"",BV$14&lt;&gt;""),IF(EOMONTH($BV$3+INT((DAY(EOMONTH($BV$3,0))-1)/2)+BV$14,0)=EOMONTH($DF$3,0),BV$12*BV$13,0),0),IF(AND(BR$12&lt;&gt;"",BR$14&lt;&gt;""),IF(EOMONTH($BR$3+INT((DAY(EOMONTH($BR$3,0))-1)/2)+BR$14,0)=EOMONTH($DF$3,0),BR$12*BR$13,0),0),IF(AND(BN$12&lt;&gt;"",BN$14&lt;&gt;""),IF(EOMONTH($BN$3+INT((DAY(EOMONTH($BN$3,0))-1)/2)+BN$14,0)=EOMONTH($DF$3,0),BN$12*BN$13,0),0),IF(AND(BJ$12&lt;&gt;"",BJ$14&lt;&gt;""),IF(EOMONTH($BJ$3+INT((DAY(EOMONTH($BJ$3,0))-1)/2)+BJ$14,0)=EOMONTH($DF$3,0),BJ$12*BJ$13,0),0),IF(AND(BF$12&lt;&gt;"",BF$14&lt;&gt;""),IF(EOMONTH($BF$3+INT((DAY(EOMONTH($BF$3,0))-1)/2)+BF$14,0)=EOMONTH($DF$3,0),BF$12*BF$13,0),0),IF(AND(BB$12&lt;&gt;"",BB$14&lt;&gt;""),IF(EOMONTH($BB$3+INT((DAY(EOMONTH($BB$3,0))-1)/2)+BB$14,0)=EOMONTH($DF$3,0),BB$12*BB$13,0),0),IF(AND(AX$12&lt;&gt;"",AX$14&lt;&gt;""),IF(EOMONTH($AX$3+INT((DAY(EOMONTH($AX$3,0))-1)/2)+AX$14,0)=EOMONTH($DF$3,0),AX$12*AX$13,0),0),IF(AND(AT$12&lt;&gt;"",AT$14&lt;&gt;""),IF(EOMONTH($AT$3+INT((DAY(EOMONTH($AT$3,0))-1)/2)+AT$14,0)=EOMONTH($DF$3,0),AT$12*AT$13,0),0),IF(AND(AP$12&lt;&gt;"",AP$14&lt;&gt;""),IF(EOMONTH($AP$3+INT((DAY(EOMONTH($AP$3,0))-1)/2)+AP$14,0)=EOMONTH($DF$3,0),AP$12*AP$13,0),0),IF(AND(AL$12&lt;&gt;"",AL$14&lt;&gt;""),IF(EOMONTH($AL$3+INT((DAY(EOMONTH($AL$3,0))-1)/2)+AL$14,0)=EOMONTH($DF$3,0),AL$12*AL$13,0),0),IF(AND(AH$12&lt;&gt;"",AH$14&lt;&gt;""),IF(EOMONTH($AH$3+INT((DAY(EOMONTH($AH$3,0))-1)/2)+AH$14,0)=EOMONTH($DF$3,0),AH$12*AH$13,0),0),IF(AND(AD$12&lt;&gt;"",AD$14&lt;&gt;""),IF(EOMONTH($AD$3+INT((DAY(EOMONTH($AD$3,0))-1)/2)+AD$14,0)=EOMONTH($DF$3,0),AD$12*AD$13,0),0),IF(AND(Z$12&lt;&gt;"",Z$14&lt;&gt;""),IF(EOMONTH($Z$3+INT((DAY(EOMONTH($Z$3,0))-1)/2)+Z$14,0)=EOMONTH($DF$3,0),Z$12*Z$13,0),0),IF(AND(V$12&lt;&gt;"",V$14&lt;&gt;""),IF(EOMONTH($V$3+INT((DAY(EOMONTH($V$3,0))-1)/2)+V$14,0)=EOMONTH($DF$3,0),V$12*V$13,0),0),IF(AND(R$12&lt;&gt;"",R$14&lt;&gt;""),IF(EOMONTH($R$3+INT((DAY(EOMONTH($R$3,0))-1)/2)+R$14,0)=EOMONTH($DF$3,0),R$12*R$13,0),0),IF(AND(N$12&lt;&gt;"",N$14&lt;&gt;""),IF(EOMONTH($N$3+INT((DAY(EOMONTH($N$3,0))-1)/2)+N$14,0)=EOMONTH($DF$3,0),N$12*N$13,0),0),IF(AND(J$12&lt;&gt;"",J$14&lt;&gt;""),IF(EOMONTH($J$3+INT((DAY(EOMONTH($J$3,0))-1)/2)+J$14,0)=EOMONTH($DF$3,0),J$12*J$13,0),0),IF(AND(F$12&lt;&gt;"",F$14&lt;&gt;""),IF(EOMONTH($F$3+INT((DAY(EOMONTH($F$3,0))-1)/2)+F$14,0)=EOMONTH($DF$3,0),F$12*F$13,0),0),IF($EP$75="",0,IF(EOMONTH($EP$75+EP$14,0)=EOMONTH($DF$3,0),$EP$77*EP$13,0))),0)</f>
        <v>0</v>
      </c>
      <c r="DG73" s="41">
        <f t="shared" si="1128"/>
        <v>96000</v>
      </c>
      <c r="DH73" s="41">
        <f t="shared" si="1128"/>
        <v>96000</v>
      </c>
      <c r="DI73" s="41">
        <f t="shared" si="1129"/>
        <v>0</v>
      </c>
      <c r="DJ73" s="41">
        <f t="shared" ref="DJ73:DL73" si="1130">ROUND(SUM(IF(AND(EP$12&lt;&gt;"",EP$14&lt;&gt;""),IF(EOMONTH($EP$3+INT((DAY(EOMONTH($EP$3,0))-1)/2)+EP$14,0)=EOMONTH($DJ$3,0),EP$12*EP$13,0),0),IF(AND(EL$12&lt;&gt;"",EL$14&lt;&gt;""),IF(EOMONTH($EL$3+INT((DAY(EOMONTH($EL$3,0))-1)/2)+EL$14,0)=EOMONTH($DJ$3,0),EL$12*EL$13,0),0),IF(AND(EH$12&lt;&gt;"",EH$14&lt;&gt;""),IF(EOMONTH($EH$3+INT((DAY(EOMONTH($EH$3,0))-1)/2)+EH$14,0)=EOMONTH($DJ$3,0),EH$12*EH$13,0),0),IF(AND(ED$12&lt;&gt;"",ED$14&lt;&gt;""),IF(EOMONTH($ED$3+INT((DAY(EOMONTH($ED$3,0))-1)/2)+ED$14,0)=EOMONTH($DJ$3,0),ED$12*ED$13,0),0),IF(AND(DZ$12&lt;&gt;"",DZ$14&lt;&gt;""),IF(EOMONTH($DZ$3+INT((DAY(EOMONTH($DZ$3,0))-1)/2)+DZ$14,0)=EOMONTH($DJ$3,0),DZ$12*DZ$13,0),0),IF(AND(DV$12&lt;&gt;"",DV$14&lt;&gt;""),IF(EOMONTH($DV$3+INT((DAY(EOMONTH($DV$3,0))-1)/2)+DV$14,0)=EOMONTH($DJ$3,0),DV$12*DV$13,0),0),IF(AND(DR$12&lt;&gt;"",DR$14&lt;&gt;""),IF(EOMONTH($DR$3+INT((DAY(EOMONTH($DR$3,0))-1)/2)+DR$14,0)=EOMONTH($DJ$3,0),DR$12*DR$13,0),0),IF(AND(DN$12&lt;&gt;"",DN$14&lt;&gt;""),IF(EOMONTH($DN$3+INT((DAY(EOMONTH($DN$3,0))-1)/2)+DN$14,0)=EOMONTH($DJ$3,0),DN$12*DN$13,0),0),IF(AND(DJ$12&lt;&gt;"",DJ$14&lt;&gt;""),IF(EOMONTH($DJ$3+INT((DAY(EOMONTH($DJ$3,0))-1)/2)+DJ$14,0)=EOMONTH($DJ$3,0),DJ$12*DJ$13,0),0),IF(AND(DF$12&lt;&gt;"",DF$14&lt;&gt;""),IF(EOMONTH($DF$3+INT((DAY(EOMONTH($DF$3,0))-1)/2)+DF$14,0)=EOMONTH($DJ$3,0),DF$12*DF$13,0),0),IF(AND(DB$12&lt;&gt;"",DB$14&lt;&gt;""),IF(EOMONTH($DB$3+INT((DAY(EOMONTH($DB$3,0))-1)/2)+DB$14,0)=EOMONTH($DJ$3,0),DB$12*DB$13,0),0),IF(AND(CX$12&lt;&gt;"",CX$14&lt;&gt;""),IF(EOMONTH($CX$3+INT((DAY(EOMONTH($CX$3,0))-1)/2)+CX$14,0)=EOMONTH($DJ$3,0),CX$12*CX$13,0),0),IF(AND(CT$12&lt;&gt;"",CT$14&lt;&gt;""),IF(EOMONTH($CT$3+INT((DAY(EOMONTH($CT$3,0))-1)/2)+CT$14,0)=EOMONTH($DJ$3,0),CT$12*CT$13,0),0),IF(AND(CP$12&lt;&gt;"",CP$14&lt;&gt;""),IF(EOMONTH($CP$3+INT((DAY(EOMONTH($CP$3,0))-1)/2)+CP$14,0)=EOMONTH($DJ$3,0),CP$12*CP$13,0),0),IF(AND(CL$12&lt;&gt;"",CL$14&lt;&gt;""),IF(EOMONTH($CL$3+INT((DAY(EOMONTH($CL$3,0))-1)/2)+CL$14,0)=EOMONTH($DJ$3,0),CL$12*CL$13,0),0),IF(AND(CH$12&lt;&gt;"",CH$14&lt;&gt;""),IF(EOMONTH($CH$3+INT((DAY(EOMONTH($CH$3,0))-1)/2)+CH$14,0)=EOMONTH($DJ$3,0),CH$12*CH$13,0),0),IF(AND(CD$12&lt;&gt;"",CD$14&lt;&gt;""),IF(EOMONTH($CD$3+INT((DAY(EOMONTH($CD$3,0))-1)/2)+CD$14,0)=EOMONTH($DJ$3,0),CD$12*CD$13,0),0),IF(AND(BZ$12&lt;&gt;"",BZ$14&lt;&gt;""),IF(EOMONTH($BZ$3+INT((DAY(EOMONTH($BZ$3,0))-1)/2)+BZ$14,0)=EOMONTH($DJ$3,0),BZ$12*BZ$13,0),0),IF(AND(BV$12&lt;&gt;"",BV$14&lt;&gt;""),IF(EOMONTH($BV$3+INT((DAY(EOMONTH($BV$3,0))-1)/2)+BV$14,0)=EOMONTH($DJ$3,0),BV$12*BV$13,0),0),IF(AND(BR$12&lt;&gt;"",BR$14&lt;&gt;""),IF(EOMONTH($BR$3+INT((DAY(EOMONTH($BR$3,0))-1)/2)+BR$14,0)=EOMONTH($DJ$3,0),BR$12*BR$13,0),0),IF(AND(BN$12&lt;&gt;"",BN$14&lt;&gt;""),IF(EOMONTH($BN$3+INT((DAY(EOMONTH($BN$3,0))-1)/2)+BN$14,0)=EOMONTH($DJ$3,0),BN$12*BN$13,0),0),IF(AND(BJ$12&lt;&gt;"",BJ$14&lt;&gt;""),IF(EOMONTH($BJ$3+INT((DAY(EOMONTH($BJ$3,0))-1)/2)+BJ$14,0)=EOMONTH($DJ$3,0),BJ$12*BJ$13,0),0),IF(AND(BF$12&lt;&gt;"",BF$14&lt;&gt;""),IF(EOMONTH($BF$3+INT((DAY(EOMONTH($BF$3,0))-1)/2)+BF$14,0)=EOMONTH($DJ$3,0),BF$12*BF$13,0),0),IF(AND(BB$12&lt;&gt;"",BB$14&lt;&gt;""),IF(EOMONTH($BB$3+INT((DAY(EOMONTH($BB$3,0))-1)/2)+BB$14,0)=EOMONTH($DJ$3,0),BB$12*BB$13,0),0),IF(AND(AX$12&lt;&gt;"",AX$14&lt;&gt;""),IF(EOMONTH($AX$3+INT((DAY(EOMONTH($AX$3,0))-1)/2)+AX$14,0)=EOMONTH($DJ$3,0),AX$12*AX$13,0),0),IF(AND(AT$12&lt;&gt;"",AT$14&lt;&gt;""),IF(EOMONTH($AT$3+INT((DAY(EOMONTH($AT$3,0))-1)/2)+AT$14,0)=EOMONTH($DJ$3,0),AT$12*AT$13,0),0),IF(AND(AP$12&lt;&gt;"",AP$14&lt;&gt;""),IF(EOMONTH($AP$3+INT((DAY(EOMONTH($AP$3,0))-1)/2)+AP$14,0)=EOMONTH($DJ$3,0),AP$12*AP$13,0),0),IF(AND(AL$12&lt;&gt;"",AL$14&lt;&gt;""),IF(EOMONTH($AL$3+INT((DAY(EOMONTH($AL$3,0))-1)/2)+AL$14,0)=EOMONTH($DJ$3,0),AL$12*AL$13,0),0),IF(AND(AH$12&lt;&gt;"",AH$14&lt;&gt;""),IF(EOMONTH($AH$3+INT((DAY(EOMONTH($AH$3,0))-1)/2)+AH$14,0)=EOMONTH($DJ$3,0),AH$12*AH$13,0),0),IF(AND(AD$12&lt;&gt;"",AD$14&lt;&gt;""),IF(EOMONTH($AD$3+INT((DAY(EOMONTH($AD$3,0))-1)/2)+AD$14,0)=EOMONTH($DJ$3,0),AD$12*AD$13,0),0),IF(AND(Z$12&lt;&gt;"",Z$14&lt;&gt;""),IF(EOMONTH($Z$3+INT((DAY(EOMONTH($Z$3,0))-1)/2)+Z$14,0)=EOMONTH($DJ$3,0),Z$12*Z$13,0),0),IF(AND(V$12&lt;&gt;"",V$14&lt;&gt;""),IF(EOMONTH($V$3+INT((DAY(EOMONTH($V$3,0))-1)/2)+V$14,0)=EOMONTH($DJ$3,0),V$12*V$13,0),0),IF(AND(R$12&lt;&gt;"",R$14&lt;&gt;""),IF(EOMONTH($R$3+INT((DAY(EOMONTH($R$3,0))-1)/2)+R$14,0)=EOMONTH($DJ$3,0),R$12*R$13,0),0),IF(AND(N$12&lt;&gt;"",N$14&lt;&gt;""),IF(EOMONTH($N$3+INT((DAY(EOMONTH($N$3,0))-1)/2)+N$14,0)=EOMONTH($DJ$3,0),N$12*N$13,0),0),IF(AND(J$12&lt;&gt;"",J$14&lt;&gt;""),IF(EOMONTH($J$3+INT((DAY(EOMONTH($J$3,0))-1)/2)+J$14,0)=EOMONTH($DJ$3,0),J$12*J$13,0),0),IF(AND(F$12&lt;&gt;"",F$14&lt;&gt;""),IF(EOMONTH($F$3+INT((DAY(EOMONTH($F$3,0))-1)/2)+F$14,0)=EOMONTH($DJ$3,0),F$12*F$13,0),0),IF($EP$75="",0,IF(EOMONTH($EP$75+EP$14,0)=EOMONTH($DJ$3,0),$EP$77*EP$13,0))),0)</f>
        <v>0</v>
      </c>
      <c r="DK73" s="41">
        <f t="shared" si="1130"/>
        <v>96000</v>
      </c>
      <c r="DL73" s="41">
        <f t="shared" si="1130"/>
        <v>96000</v>
      </c>
      <c r="DM73" s="41">
        <f t="shared" si="1131"/>
        <v>0</v>
      </c>
      <c r="DN73" s="41">
        <f t="shared" ref="DN73:DP73" si="1132">ROUND(SUM(IF(AND(EP$12&lt;&gt;"",EP$14&lt;&gt;""),IF(EOMONTH($EP$3+INT((DAY(EOMONTH($EP$3,0))-1)/2)+EP$14,0)=EOMONTH($DN$3,0),EP$12*EP$13,0),0),IF(AND(EL$12&lt;&gt;"",EL$14&lt;&gt;""),IF(EOMONTH($EL$3+INT((DAY(EOMONTH($EL$3,0))-1)/2)+EL$14,0)=EOMONTH($DN$3,0),EL$12*EL$13,0),0),IF(AND(EH$12&lt;&gt;"",EH$14&lt;&gt;""),IF(EOMONTH($EH$3+INT((DAY(EOMONTH($EH$3,0))-1)/2)+EH$14,0)=EOMONTH($DN$3,0),EH$12*EH$13,0),0),IF(AND(ED$12&lt;&gt;"",ED$14&lt;&gt;""),IF(EOMONTH($ED$3+INT((DAY(EOMONTH($ED$3,0))-1)/2)+ED$14,0)=EOMONTH($DN$3,0),ED$12*ED$13,0),0),IF(AND(DZ$12&lt;&gt;"",DZ$14&lt;&gt;""),IF(EOMONTH($DZ$3+INT((DAY(EOMONTH($DZ$3,0))-1)/2)+DZ$14,0)=EOMONTH($DN$3,0),DZ$12*DZ$13,0),0),IF(AND(DV$12&lt;&gt;"",DV$14&lt;&gt;""),IF(EOMONTH($DV$3+INT((DAY(EOMONTH($DV$3,0))-1)/2)+DV$14,0)=EOMONTH($DN$3,0),DV$12*DV$13,0),0),IF(AND(DR$12&lt;&gt;"",DR$14&lt;&gt;""),IF(EOMONTH($DR$3+INT((DAY(EOMONTH($DR$3,0))-1)/2)+DR$14,0)=EOMONTH($DN$3,0),DR$12*DR$13,0),0),IF(AND(DN$12&lt;&gt;"",DN$14&lt;&gt;""),IF(EOMONTH($DN$3+INT((DAY(EOMONTH($DN$3,0))-1)/2)+DN$14,0)=EOMONTH($DN$3,0),DN$12*DN$13,0),0),IF(AND(DJ$12&lt;&gt;"",DJ$14&lt;&gt;""),IF(EOMONTH($DJ$3+INT((DAY(EOMONTH($DJ$3,0))-1)/2)+DJ$14,0)=EOMONTH($DN$3,0),DJ$12*DJ$13,0),0),IF(AND(DF$12&lt;&gt;"",DF$14&lt;&gt;""),IF(EOMONTH($DF$3+INT((DAY(EOMONTH($DF$3,0))-1)/2)+DF$14,0)=EOMONTH($DN$3,0),DF$12*DF$13,0),0),IF(AND(DB$12&lt;&gt;"",DB$14&lt;&gt;""),IF(EOMONTH($DB$3+INT((DAY(EOMONTH($DB$3,0))-1)/2)+DB$14,0)=EOMONTH($DN$3,0),DB$12*DB$13,0),0),IF(AND(CX$12&lt;&gt;"",CX$14&lt;&gt;""),IF(EOMONTH($CX$3+INT((DAY(EOMONTH($CX$3,0))-1)/2)+CX$14,0)=EOMONTH($DN$3,0),CX$12*CX$13,0),0),IF(AND(CT$12&lt;&gt;"",CT$14&lt;&gt;""),IF(EOMONTH($CT$3+INT((DAY(EOMONTH($CT$3,0))-1)/2)+CT$14,0)=EOMONTH($DN$3,0),CT$12*CT$13,0),0),IF(AND(CP$12&lt;&gt;"",CP$14&lt;&gt;""),IF(EOMONTH($CP$3+INT((DAY(EOMONTH($CP$3,0))-1)/2)+CP$14,0)=EOMONTH($DN$3,0),CP$12*CP$13,0),0),IF(AND(CL$12&lt;&gt;"",CL$14&lt;&gt;""),IF(EOMONTH($CL$3+INT((DAY(EOMONTH($CL$3,0))-1)/2)+CL$14,0)=EOMONTH($DN$3,0),CL$12*CL$13,0),0),IF(AND(CH$12&lt;&gt;"",CH$14&lt;&gt;""),IF(EOMONTH($CH$3+INT((DAY(EOMONTH($CH$3,0))-1)/2)+CH$14,0)=EOMONTH($DN$3,0),CH$12*CH$13,0),0),IF(AND(CD$12&lt;&gt;"",CD$14&lt;&gt;""),IF(EOMONTH($CD$3+INT((DAY(EOMONTH($CD$3,0))-1)/2)+CD$14,0)=EOMONTH($DN$3,0),CD$12*CD$13,0),0),IF(AND(BZ$12&lt;&gt;"",BZ$14&lt;&gt;""),IF(EOMONTH($BZ$3+INT((DAY(EOMONTH($BZ$3,0))-1)/2)+BZ$14,0)=EOMONTH($DN$3,0),BZ$12*BZ$13,0),0),IF(AND(BV$12&lt;&gt;"",BV$14&lt;&gt;""),IF(EOMONTH($BV$3+INT((DAY(EOMONTH($BV$3,0))-1)/2)+BV$14,0)=EOMONTH($DN$3,0),BV$12*BV$13,0),0),IF(AND(BR$12&lt;&gt;"",BR$14&lt;&gt;""),IF(EOMONTH($BR$3+INT((DAY(EOMONTH($BR$3,0))-1)/2)+BR$14,0)=EOMONTH($DN$3,0),BR$12*BR$13,0),0),IF(AND(BN$12&lt;&gt;"",BN$14&lt;&gt;""),IF(EOMONTH($BN$3+INT((DAY(EOMONTH($BN$3,0))-1)/2)+BN$14,0)=EOMONTH($DN$3,0),BN$12*BN$13,0),0),IF(AND(BJ$12&lt;&gt;"",BJ$14&lt;&gt;""),IF(EOMONTH($BJ$3+INT((DAY(EOMONTH($BJ$3,0))-1)/2)+BJ$14,0)=EOMONTH($DN$3,0),BJ$12*BJ$13,0),0),IF(AND(BF$12&lt;&gt;"",BF$14&lt;&gt;""),IF(EOMONTH($BF$3+INT((DAY(EOMONTH($BF$3,0))-1)/2)+BF$14,0)=EOMONTH($DN$3,0),BF$12*BF$13,0),0),IF(AND(BB$12&lt;&gt;"",BB$14&lt;&gt;""),IF(EOMONTH($BB$3+INT((DAY(EOMONTH($BB$3,0))-1)/2)+BB$14,0)=EOMONTH($DN$3,0),BB$12*BB$13,0),0),IF(AND(AX$12&lt;&gt;"",AX$14&lt;&gt;""),IF(EOMONTH($AX$3+INT((DAY(EOMONTH($AX$3,0))-1)/2)+AX$14,0)=EOMONTH($DN$3,0),AX$12*AX$13,0),0),IF(AND(AT$12&lt;&gt;"",AT$14&lt;&gt;""),IF(EOMONTH($AT$3+INT((DAY(EOMONTH($AT$3,0))-1)/2)+AT$14,0)=EOMONTH($DN$3,0),AT$12*AT$13,0),0),IF(AND(AP$12&lt;&gt;"",AP$14&lt;&gt;""),IF(EOMONTH($AP$3+INT((DAY(EOMONTH($AP$3,0))-1)/2)+AP$14,0)=EOMONTH($DN$3,0),AP$12*AP$13,0),0),IF(AND(AL$12&lt;&gt;"",AL$14&lt;&gt;""),IF(EOMONTH($AL$3+INT((DAY(EOMONTH($AL$3,0))-1)/2)+AL$14,0)=EOMONTH($DN$3,0),AL$12*AL$13,0),0),IF(AND(AH$12&lt;&gt;"",AH$14&lt;&gt;""),IF(EOMONTH($AH$3+INT((DAY(EOMONTH($AH$3,0))-1)/2)+AH$14,0)=EOMONTH($DN$3,0),AH$12*AH$13,0),0),IF(AND(AD$12&lt;&gt;"",AD$14&lt;&gt;""),IF(EOMONTH($AD$3+INT((DAY(EOMONTH($AD$3,0))-1)/2)+AD$14,0)=EOMONTH($DN$3,0),AD$12*AD$13,0),0),IF(AND(Z$12&lt;&gt;"",Z$14&lt;&gt;""),IF(EOMONTH($Z$3+INT((DAY(EOMONTH($Z$3,0))-1)/2)+Z$14,0)=EOMONTH($DN$3,0),Z$12*Z$13,0),0),IF(AND(V$12&lt;&gt;"",V$14&lt;&gt;""),IF(EOMONTH($V$3+INT((DAY(EOMONTH($V$3,0))-1)/2)+V$14,0)=EOMONTH($DN$3,0),V$12*V$13,0),0),IF(AND(R$12&lt;&gt;"",R$14&lt;&gt;""),IF(EOMONTH($R$3+INT((DAY(EOMONTH($R$3,0))-1)/2)+R$14,0)=EOMONTH($DN$3,0),R$12*R$13,0),0),IF(AND(N$12&lt;&gt;"",N$14&lt;&gt;""),IF(EOMONTH($N$3+INT((DAY(EOMONTH($N$3,0))-1)/2)+N$14,0)=EOMONTH($DN$3,0),N$12*N$13,0),0),IF(AND(J$12&lt;&gt;"",J$14&lt;&gt;""),IF(EOMONTH($J$3+INT((DAY(EOMONTH($J$3,0))-1)/2)+J$14,0)=EOMONTH($DN$3,0),J$12*J$13,0),0),IF(AND(F$12&lt;&gt;"",F$14&lt;&gt;""),IF(EOMONTH($F$3+INT((DAY(EOMONTH($F$3,0))-1)/2)+F$14,0)=EOMONTH($DN$3,0),F$12*F$13,0),0),IF($EP$75="",0,IF(EOMONTH($EP$75+EP$14,0)=EOMONTH($DN$3,0),$EP$77*EP$13,0))),0)</f>
        <v>0</v>
      </c>
      <c r="DO73" s="41">
        <f t="shared" si="1132"/>
        <v>88000</v>
      </c>
      <c r="DP73" s="41">
        <f t="shared" si="1132"/>
        <v>88000</v>
      </c>
      <c r="DQ73" s="41">
        <f t="shared" si="1133"/>
        <v>0</v>
      </c>
      <c r="DR73" s="41">
        <f t="shared" ref="DR73:DT73" si="1134">ROUND(SUM(IF(AND(EP$12&lt;&gt;"",EP$14&lt;&gt;""),IF(EOMONTH($EP$3+INT((DAY(EOMONTH($EP$3,0))-1)/2)+EP$14,0)=EOMONTH($DR$3,0),EP$12*EP$13,0),0),IF(AND(EL$12&lt;&gt;"",EL$14&lt;&gt;""),IF(EOMONTH($EL$3+INT((DAY(EOMONTH($EL$3,0))-1)/2)+EL$14,0)=EOMONTH($DR$3,0),EL$12*EL$13,0),0),IF(AND(EH$12&lt;&gt;"",EH$14&lt;&gt;""),IF(EOMONTH($EH$3+INT((DAY(EOMONTH($EH$3,0))-1)/2)+EH$14,0)=EOMONTH($DR$3,0),EH$12*EH$13,0),0),IF(AND(ED$12&lt;&gt;"",ED$14&lt;&gt;""),IF(EOMONTH($ED$3+INT((DAY(EOMONTH($ED$3,0))-1)/2)+ED$14,0)=EOMONTH($DR$3,0),ED$12*ED$13,0),0),IF(AND(DZ$12&lt;&gt;"",DZ$14&lt;&gt;""),IF(EOMONTH($DZ$3+INT((DAY(EOMONTH($DZ$3,0))-1)/2)+DZ$14,0)=EOMONTH($DR$3,0),DZ$12*DZ$13,0),0),IF(AND(DV$12&lt;&gt;"",DV$14&lt;&gt;""),IF(EOMONTH($DV$3+INT((DAY(EOMONTH($DV$3,0))-1)/2)+DV$14,0)=EOMONTH($DR$3,0),DV$12*DV$13,0),0),IF(AND(DR$12&lt;&gt;"",DR$14&lt;&gt;""),IF(EOMONTH($DR$3+INT((DAY(EOMONTH($DR$3,0))-1)/2)+DR$14,0)=EOMONTH($DR$3,0),DR$12*DR$13,0),0),IF(AND(DN$12&lt;&gt;"",DN$14&lt;&gt;""),IF(EOMONTH($DN$3+INT((DAY(EOMONTH($DN$3,0))-1)/2)+DN$14,0)=EOMONTH($DR$3,0),DN$12*DN$13,0),0),IF(AND(DJ$12&lt;&gt;"",DJ$14&lt;&gt;""),IF(EOMONTH($DJ$3+INT((DAY(EOMONTH($DJ$3,0))-1)/2)+DJ$14,0)=EOMONTH($DR$3,0),DJ$12*DJ$13,0),0),IF(AND(DF$12&lt;&gt;"",DF$14&lt;&gt;""),IF(EOMONTH($DF$3+INT((DAY(EOMONTH($DF$3,0))-1)/2)+DF$14,0)=EOMONTH($DR$3,0),DF$12*DF$13,0),0),IF(AND(DB$12&lt;&gt;"",DB$14&lt;&gt;""),IF(EOMONTH($DB$3+INT((DAY(EOMONTH($DB$3,0))-1)/2)+DB$14,0)=EOMONTH($DR$3,0),DB$12*DB$13,0),0),IF(AND(CX$12&lt;&gt;"",CX$14&lt;&gt;""),IF(EOMONTH($CX$3+INT((DAY(EOMONTH($CX$3,0))-1)/2)+CX$14,0)=EOMONTH($DR$3,0),CX$12*CX$13,0),0),IF(AND(CT$12&lt;&gt;"",CT$14&lt;&gt;""),IF(EOMONTH($CT$3+INT((DAY(EOMONTH($CT$3,0))-1)/2)+CT$14,0)=EOMONTH($DR$3,0),CT$12*CT$13,0),0),IF(AND(CP$12&lt;&gt;"",CP$14&lt;&gt;""),IF(EOMONTH($CP$3+INT((DAY(EOMONTH($CP$3,0))-1)/2)+CP$14,0)=EOMONTH($DR$3,0),CP$12*CP$13,0),0),IF(AND(CL$12&lt;&gt;"",CL$14&lt;&gt;""),IF(EOMONTH($CL$3+INT((DAY(EOMONTH($CL$3,0))-1)/2)+CL$14,0)=EOMONTH($DR$3,0),CL$12*CL$13,0),0),IF(AND(CH$12&lt;&gt;"",CH$14&lt;&gt;""),IF(EOMONTH($CH$3+INT((DAY(EOMONTH($CH$3,0))-1)/2)+CH$14,0)=EOMONTH($DR$3,0),CH$12*CH$13,0),0),IF(AND(CD$12&lt;&gt;"",CD$14&lt;&gt;""),IF(EOMONTH($CD$3+INT((DAY(EOMONTH($CD$3,0))-1)/2)+CD$14,0)=EOMONTH($DR$3,0),CD$12*CD$13,0),0),IF(AND(BZ$12&lt;&gt;"",BZ$14&lt;&gt;""),IF(EOMONTH($BZ$3+INT((DAY(EOMONTH($BZ$3,0))-1)/2)+BZ$14,0)=EOMONTH($DR$3,0),BZ$12*BZ$13,0),0),IF(AND(BV$12&lt;&gt;"",BV$14&lt;&gt;""),IF(EOMONTH($BV$3+INT((DAY(EOMONTH($BV$3,0))-1)/2)+BV$14,0)=EOMONTH($DR$3,0),BV$12*BV$13,0),0),IF(AND(BR$12&lt;&gt;"",BR$14&lt;&gt;""),IF(EOMONTH($BR$3+INT((DAY(EOMONTH($BR$3,0))-1)/2)+BR$14,0)=EOMONTH($DR$3,0),BR$12*BR$13,0),0),IF(AND(BN$12&lt;&gt;"",BN$14&lt;&gt;""),IF(EOMONTH($BN$3+INT((DAY(EOMONTH($BN$3,0))-1)/2)+BN$14,0)=EOMONTH($DR$3,0),BN$12*BN$13,0),0),IF(AND(BJ$12&lt;&gt;"",BJ$14&lt;&gt;""),IF(EOMONTH($BJ$3+INT((DAY(EOMONTH($BJ$3,0))-1)/2)+BJ$14,0)=EOMONTH($DR$3,0),BJ$12*BJ$13,0),0),IF(AND(BF$12&lt;&gt;"",BF$14&lt;&gt;""),IF(EOMONTH($BF$3+INT((DAY(EOMONTH($BF$3,0))-1)/2)+BF$14,0)=EOMONTH($DR$3,0),BF$12*BF$13,0),0),IF(AND(BB$12&lt;&gt;"",BB$14&lt;&gt;""),IF(EOMONTH($BB$3+INT((DAY(EOMONTH($BB$3,0))-1)/2)+BB$14,0)=EOMONTH($DR$3,0),BB$12*BB$13,0),0),IF(AND(AX$12&lt;&gt;"",AX$14&lt;&gt;""),IF(EOMONTH($AX$3+INT((DAY(EOMONTH($AX$3,0))-1)/2)+AX$14,0)=EOMONTH($DR$3,0),AX$12*AX$13,0),0),IF(AND(AT$12&lt;&gt;"",AT$14&lt;&gt;""),IF(EOMONTH($AT$3+INT((DAY(EOMONTH($AT$3,0))-1)/2)+AT$14,0)=EOMONTH($DR$3,0),AT$12*AT$13,0),0),IF(AND(AP$12&lt;&gt;"",AP$14&lt;&gt;""),IF(EOMONTH($AP$3+INT((DAY(EOMONTH($AP$3,0))-1)/2)+AP$14,0)=EOMONTH($DR$3,0),AP$12*AP$13,0),0),IF(AND(AL$12&lt;&gt;"",AL$14&lt;&gt;""),IF(EOMONTH($AL$3+INT((DAY(EOMONTH($AL$3,0))-1)/2)+AL$14,0)=EOMONTH($DR$3,0),AL$12*AL$13,0),0),IF(AND(AH$12&lt;&gt;"",AH$14&lt;&gt;""),IF(EOMONTH($AH$3+INT((DAY(EOMONTH($AH$3,0))-1)/2)+AH$14,0)=EOMONTH($DR$3,0),AH$12*AH$13,0),0),IF(AND(AD$12&lt;&gt;"",AD$14&lt;&gt;""),IF(EOMONTH($AD$3+INT((DAY(EOMONTH($AD$3,0))-1)/2)+AD$14,0)=EOMONTH($DR$3,0),AD$12*AD$13,0),0),IF(AND(Z$12&lt;&gt;"",Z$14&lt;&gt;""),IF(EOMONTH($Z$3+INT((DAY(EOMONTH($Z$3,0))-1)/2)+Z$14,0)=EOMONTH($DR$3,0),Z$12*Z$13,0),0),IF(AND(V$12&lt;&gt;"",V$14&lt;&gt;""),IF(EOMONTH($V$3+INT((DAY(EOMONTH($V$3,0))-1)/2)+V$14,0)=EOMONTH($DR$3,0),V$12*V$13,0),0),IF(AND(R$12&lt;&gt;"",R$14&lt;&gt;""),IF(EOMONTH($R$3+INT((DAY(EOMONTH($R$3,0))-1)/2)+R$14,0)=EOMONTH($DR$3,0),R$12*R$13,0),0),IF(AND(N$12&lt;&gt;"",N$14&lt;&gt;""),IF(EOMONTH($N$3+INT((DAY(EOMONTH($N$3,0))-1)/2)+N$14,0)=EOMONTH($DR$3,0),N$12*N$13,0),0),IF(AND(J$12&lt;&gt;"",J$14&lt;&gt;""),IF(EOMONTH($J$3+INT((DAY(EOMONTH($J$3,0))-1)/2)+J$14,0)=EOMONTH($DR$3,0),J$12*J$13,0),0),IF(AND(F$12&lt;&gt;"",F$14&lt;&gt;""),IF(EOMONTH($F$3+INT((DAY(EOMONTH($F$3,0))-1)/2)+F$14,0)=EOMONTH($DR$3,0),F$12*F$13,0),0),IF($EP$75="",0,IF(EOMONTH($EP$75+EP$14,0)=EOMONTH($DR$3,0),$EP$77*EP$13,0))),0)</f>
        <v>0</v>
      </c>
      <c r="DS73" s="41">
        <f t="shared" si="1134"/>
        <v>88000</v>
      </c>
      <c r="DT73" s="41">
        <f t="shared" si="1134"/>
        <v>88000</v>
      </c>
      <c r="DU73" s="41">
        <f t="shared" si="1135"/>
        <v>0</v>
      </c>
      <c r="DV73" s="41">
        <f t="shared" ref="DV73:DX73" si="1136">ROUND(SUM(IF(AND(EP$12&lt;&gt;"",EP$14&lt;&gt;""),IF(EOMONTH($EP$3+INT((DAY(EOMONTH($EP$3,0))-1)/2)+EP$14,0)=EOMONTH($DV$3,0),EP$12*EP$13,0),0),IF(AND(EL$12&lt;&gt;"",EL$14&lt;&gt;""),IF(EOMONTH($EL$3+INT((DAY(EOMONTH($EL$3,0))-1)/2)+EL$14,0)=EOMONTH($DV$3,0),EL$12*EL$13,0),0),IF(AND(EH$12&lt;&gt;"",EH$14&lt;&gt;""),IF(EOMONTH($EH$3+INT((DAY(EOMONTH($EH$3,0))-1)/2)+EH$14,0)=EOMONTH($DV$3,0),EH$12*EH$13,0),0),IF(AND(ED$12&lt;&gt;"",ED$14&lt;&gt;""),IF(EOMONTH($ED$3+INT((DAY(EOMONTH($ED$3,0))-1)/2)+ED$14,0)=EOMONTH($DV$3,0),ED$12*ED$13,0),0),IF(AND(DZ$12&lt;&gt;"",DZ$14&lt;&gt;""),IF(EOMONTH($DZ$3+INT((DAY(EOMONTH($DZ$3,0))-1)/2)+DZ$14,0)=EOMONTH($DV$3,0),DZ$12*DZ$13,0),0),IF(AND(DV$12&lt;&gt;"",DV$14&lt;&gt;""),IF(EOMONTH($DV$3+INT((DAY(EOMONTH($DV$3,0))-1)/2)+DV$14,0)=EOMONTH($DV$3,0),DV$12*DV$13,0),0),IF(AND(DR$12&lt;&gt;"",DR$14&lt;&gt;""),IF(EOMONTH($DR$3+INT((DAY(EOMONTH($DR$3,0))-1)/2)+DR$14,0)=EOMONTH($DV$3,0),DR$12*DR$13,0),0),IF(AND(DN$12&lt;&gt;"",DN$14&lt;&gt;""),IF(EOMONTH($DN$3+INT((DAY(EOMONTH($DN$3,0))-1)/2)+DN$14,0)=EOMONTH($DV$3,0),DN$12*DN$13,0),0),IF(AND(DJ$12&lt;&gt;"",DJ$14&lt;&gt;""),IF(EOMONTH($DJ$3+INT((DAY(EOMONTH($DJ$3,0))-1)/2)+DJ$14,0)=EOMONTH($DV$3,0),DJ$12*DJ$13,0),0),IF(AND(DF$12&lt;&gt;"",DF$14&lt;&gt;""),IF(EOMONTH($DF$3+INT((DAY(EOMONTH($DF$3,0))-1)/2)+DF$14,0)=EOMONTH($DV$3,0),DF$12*DF$13,0),0),IF(AND(DB$12&lt;&gt;"",DB$14&lt;&gt;""),IF(EOMONTH($DB$3+INT((DAY(EOMONTH($DB$3,0))-1)/2)+DB$14,0)=EOMONTH($DV$3,0),DB$12*DB$13,0),0),IF(AND(CX$12&lt;&gt;"",CX$14&lt;&gt;""),IF(EOMONTH($CX$3+INT((DAY(EOMONTH($CX$3,0))-1)/2)+CX$14,0)=EOMONTH($DV$3,0),CX$12*CX$13,0),0),IF(AND(CT$12&lt;&gt;"",CT$14&lt;&gt;""),IF(EOMONTH($CT$3+INT((DAY(EOMONTH($CT$3,0))-1)/2)+CT$14,0)=EOMONTH($DV$3,0),CT$12*CT$13,0),0),IF(AND(CP$12&lt;&gt;"",CP$14&lt;&gt;""),IF(EOMONTH($CP$3+INT((DAY(EOMONTH($CP$3,0))-1)/2)+CP$14,0)=EOMONTH($DV$3,0),CP$12*CP$13,0),0),IF(AND(CL$12&lt;&gt;"",CL$14&lt;&gt;""),IF(EOMONTH($CL$3+INT((DAY(EOMONTH($CL$3,0))-1)/2)+CL$14,0)=EOMONTH($DV$3,0),CL$12*CL$13,0),0),IF(AND(CH$12&lt;&gt;"",CH$14&lt;&gt;""),IF(EOMONTH($CH$3+INT((DAY(EOMONTH($CH$3,0))-1)/2)+CH$14,0)=EOMONTH($DV$3,0),CH$12*CH$13,0),0),IF(AND(CD$12&lt;&gt;"",CD$14&lt;&gt;""),IF(EOMONTH($CD$3+INT((DAY(EOMONTH($CD$3,0))-1)/2)+CD$14,0)=EOMONTH($DV$3,0),CD$12*CD$13,0),0),IF(AND(BZ$12&lt;&gt;"",BZ$14&lt;&gt;""),IF(EOMONTH($BZ$3+INT((DAY(EOMONTH($BZ$3,0))-1)/2)+BZ$14,0)=EOMONTH($DV$3,0),BZ$12*BZ$13,0),0),IF(AND(BV$12&lt;&gt;"",BV$14&lt;&gt;""),IF(EOMONTH($BV$3+INT((DAY(EOMONTH($BV$3,0))-1)/2)+BV$14,0)=EOMONTH($DV$3,0),BV$12*BV$13,0),0),IF(AND(BR$12&lt;&gt;"",BR$14&lt;&gt;""),IF(EOMONTH($BR$3+INT((DAY(EOMONTH($BR$3,0))-1)/2)+BR$14,0)=EOMONTH($DV$3,0),BR$12*BR$13,0),0),IF(AND(BN$12&lt;&gt;"",BN$14&lt;&gt;""),IF(EOMONTH($BN$3+INT((DAY(EOMONTH($BN$3,0))-1)/2)+BN$14,0)=EOMONTH($DV$3,0),BN$12*BN$13,0),0),IF(AND(BJ$12&lt;&gt;"",BJ$14&lt;&gt;""),IF(EOMONTH($BJ$3+INT((DAY(EOMONTH($BJ$3,0))-1)/2)+BJ$14,0)=EOMONTH($DV$3,0),BJ$12*BJ$13,0),0),IF(AND(BF$12&lt;&gt;"",BF$14&lt;&gt;""),IF(EOMONTH($BF$3+INT((DAY(EOMONTH($BF$3,0))-1)/2)+BF$14,0)=EOMONTH($DV$3,0),BF$12*BF$13,0),0),IF(AND(BB$12&lt;&gt;"",BB$14&lt;&gt;""),IF(EOMONTH($BB$3+INT((DAY(EOMONTH($BB$3,0))-1)/2)+BB$14,0)=EOMONTH($DV$3,0),BB$12*BB$13,0),0),IF(AND(AX$12&lt;&gt;"",AX$14&lt;&gt;""),IF(EOMONTH($AX$3+INT((DAY(EOMONTH($AX$3,0))-1)/2)+AX$14,0)=EOMONTH($DV$3,0),AX$12*AX$13,0),0),IF(AND(AT$12&lt;&gt;"",AT$14&lt;&gt;""),IF(EOMONTH($AT$3+INT((DAY(EOMONTH($AT$3,0))-1)/2)+AT$14,0)=EOMONTH($DV$3,0),AT$12*AT$13,0),0),IF(AND(AP$12&lt;&gt;"",AP$14&lt;&gt;""),IF(EOMONTH($AP$3+INT((DAY(EOMONTH($AP$3,0))-1)/2)+AP$14,0)=EOMONTH($DV$3,0),AP$12*AP$13,0),0),IF(AND(AL$12&lt;&gt;"",AL$14&lt;&gt;""),IF(EOMONTH($AL$3+INT((DAY(EOMONTH($AL$3,0))-1)/2)+AL$14,0)=EOMONTH($DV$3,0),AL$12*AL$13,0),0),IF(AND(AH$12&lt;&gt;"",AH$14&lt;&gt;""),IF(EOMONTH($AH$3+INT((DAY(EOMONTH($AH$3,0))-1)/2)+AH$14,0)=EOMONTH($DV$3,0),AH$12*AH$13,0),0),IF(AND(AD$12&lt;&gt;"",AD$14&lt;&gt;""),IF(EOMONTH($AD$3+INT((DAY(EOMONTH($AD$3,0))-1)/2)+AD$14,0)=EOMONTH($DV$3,0),AD$12*AD$13,0),0),IF(AND(Z$12&lt;&gt;"",Z$14&lt;&gt;""),IF(EOMONTH($Z$3+INT((DAY(EOMONTH($Z$3,0))-1)/2)+Z$14,0)=EOMONTH($DV$3,0),Z$12*Z$13,0),0),IF(AND(V$12&lt;&gt;"",V$14&lt;&gt;""),IF(EOMONTH($V$3+INT((DAY(EOMONTH($V$3,0))-1)/2)+V$14,0)=EOMONTH($DV$3,0),V$12*V$13,0),0),IF(AND(R$12&lt;&gt;"",R$14&lt;&gt;""),IF(EOMONTH($R$3+INT((DAY(EOMONTH($R$3,0))-1)/2)+R$14,0)=EOMONTH($DV$3,0),R$12*R$13,0),0),IF(AND(N$12&lt;&gt;"",N$14&lt;&gt;""),IF(EOMONTH($N$3+INT((DAY(EOMONTH($N$3,0))-1)/2)+N$14,0)=EOMONTH($DV$3,0),N$12*N$13,0),0),IF(AND(J$12&lt;&gt;"",J$14&lt;&gt;""),IF(EOMONTH($J$3+INT((DAY(EOMONTH($J$3,0))-1)/2)+J$14,0)=EOMONTH($DV$3,0),J$12*J$13,0),0),IF(AND(F$12&lt;&gt;"",F$14&lt;&gt;""),IF(EOMONTH($F$3+INT((DAY(EOMONTH($F$3,0))-1)/2)+F$14,0)=EOMONTH($DV$3,0),F$12*F$13,0),0),IF($EP$75="",0,IF(EOMONTH($EP$75+EP$14,0)=EOMONTH($DV$3,0),$EP$77*EP$13,0))),0)</f>
        <v>0</v>
      </c>
      <c r="DW73" s="41">
        <f t="shared" si="1136"/>
        <v>88000</v>
      </c>
      <c r="DX73" s="41">
        <f t="shared" si="1136"/>
        <v>88000</v>
      </c>
      <c r="DY73" s="41">
        <f t="shared" si="1137"/>
        <v>0</v>
      </c>
      <c r="DZ73" s="41">
        <f t="shared" ref="DZ73:EB73" si="1138">ROUND(SUM(IF(AND(EP$12&lt;&gt;"",EP$14&lt;&gt;""),IF(EOMONTH($EP$3+INT((DAY(EOMONTH($EP$3,0))-1)/2)+EP$14,0)=EOMONTH($DZ$3,0),EP$12*EP$13,0),0),IF(AND(EL$12&lt;&gt;"",EL$14&lt;&gt;""),IF(EOMONTH($EL$3+INT((DAY(EOMONTH($EL$3,0))-1)/2)+EL$14,0)=EOMONTH($DZ$3,0),EL$12*EL$13,0),0),IF(AND(EH$12&lt;&gt;"",EH$14&lt;&gt;""),IF(EOMONTH($EH$3+INT((DAY(EOMONTH($EH$3,0))-1)/2)+EH$14,0)=EOMONTH($DZ$3,0),EH$12*EH$13,0),0),IF(AND(ED$12&lt;&gt;"",ED$14&lt;&gt;""),IF(EOMONTH($ED$3+INT((DAY(EOMONTH($ED$3,0))-1)/2)+ED$14,0)=EOMONTH($DZ$3,0),ED$12*ED$13,0),0),IF(AND(DZ$12&lt;&gt;"",DZ$14&lt;&gt;""),IF(EOMONTH($DZ$3+INT((DAY(EOMONTH($DZ$3,0))-1)/2)+DZ$14,0)=EOMONTH($DZ$3,0),DZ$12*DZ$13,0),0),IF(AND(DV$12&lt;&gt;"",DV$14&lt;&gt;""),IF(EOMONTH($DV$3+INT((DAY(EOMONTH($DV$3,0))-1)/2)+DV$14,0)=EOMONTH($DZ$3,0),DV$12*DV$13,0),0),IF(AND(DR$12&lt;&gt;"",DR$14&lt;&gt;""),IF(EOMONTH($DR$3+INT((DAY(EOMONTH($DR$3,0))-1)/2)+DR$14,0)=EOMONTH($DZ$3,0),DR$12*DR$13,0),0),IF(AND(DN$12&lt;&gt;"",DN$14&lt;&gt;""),IF(EOMONTH($DN$3+INT((DAY(EOMONTH($DN$3,0))-1)/2)+DN$14,0)=EOMONTH($DZ$3,0),DN$12*DN$13,0),0),IF(AND(DJ$12&lt;&gt;"",DJ$14&lt;&gt;""),IF(EOMONTH($DJ$3+INT((DAY(EOMONTH($DJ$3,0))-1)/2)+DJ$14,0)=EOMONTH($DZ$3,0),DJ$12*DJ$13,0),0),IF(AND(DF$12&lt;&gt;"",DF$14&lt;&gt;""),IF(EOMONTH($DF$3+INT((DAY(EOMONTH($DF$3,0))-1)/2)+DF$14,0)=EOMONTH($DZ$3,0),DF$12*DF$13,0),0),IF(AND(DB$12&lt;&gt;"",DB$14&lt;&gt;""),IF(EOMONTH($DB$3+INT((DAY(EOMONTH($DB$3,0))-1)/2)+DB$14,0)=EOMONTH($DZ$3,0),DB$12*DB$13,0),0),IF(AND(CX$12&lt;&gt;"",CX$14&lt;&gt;""),IF(EOMONTH($CX$3+INT((DAY(EOMONTH($CX$3,0))-1)/2)+CX$14,0)=EOMONTH($DZ$3,0),CX$12*CX$13,0),0),IF(AND(CT$12&lt;&gt;"",CT$14&lt;&gt;""),IF(EOMONTH($CT$3+INT((DAY(EOMONTH($CT$3,0))-1)/2)+CT$14,0)=EOMONTH($DZ$3,0),CT$12*CT$13,0),0),IF(AND(CP$12&lt;&gt;"",CP$14&lt;&gt;""),IF(EOMONTH($CP$3+INT((DAY(EOMONTH($CP$3,0))-1)/2)+CP$14,0)=EOMONTH($DZ$3,0),CP$12*CP$13,0),0),IF(AND(CL$12&lt;&gt;"",CL$14&lt;&gt;""),IF(EOMONTH($CL$3+INT((DAY(EOMONTH($CL$3,0))-1)/2)+CL$14,0)=EOMONTH($DZ$3,0),CL$12*CL$13,0),0),IF(AND(CH$12&lt;&gt;"",CH$14&lt;&gt;""),IF(EOMONTH($CH$3+INT((DAY(EOMONTH($CH$3,0))-1)/2)+CH$14,0)=EOMONTH($DZ$3,0),CH$12*CH$13,0),0),IF(AND(CD$12&lt;&gt;"",CD$14&lt;&gt;""),IF(EOMONTH($CD$3+INT((DAY(EOMONTH($CD$3,0))-1)/2)+CD$14,0)=EOMONTH($DZ$3,0),CD$12*CD$13,0),0),IF(AND(BZ$12&lt;&gt;"",BZ$14&lt;&gt;""),IF(EOMONTH($BZ$3+INT((DAY(EOMONTH($BZ$3,0))-1)/2)+BZ$14,0)=EOMONTH($DZ$3,0),BZ$12*BZ$13,0),0),IF(AND(BV$12&lt;&gt;"",BV$14&lt;&gt;""),IF(EOMONTH($BV$3+INT((DAY(EOMONTH($BV$3,0))-1)/2)+BV$14,0)=EOMONTH($DZ$3,0),BV$12*BV$13,0),0),IF(AND(BR$12&lt;&gt;"",BR$14&lt;&gt;""),IF(EOMONTH($BR$3+INT((DAY(EOMONTH($BR$3,0))-1)/2)+BR$14,0)=EOMONTH($DZ$3,0),BR$12*BR$13,0),0),IF(AND(BN$12&lt;&gt;"",BN$14&lt;&gt;""),IF(EOMONTH($BN$3+INT((DAY(EOMONTH($BN$3,0))-1)/2)+BN$14,0)=EOMONTH($DZ$3,0),BN$12*BN$13,0),0),IF(AND(BJ$12&lt;&gt;"",BJ$14&lt;&gt;""),IF(EOMONTH($BJ$3+INT((DAY(EOMONTH($BJ$3,0))-1)/2)+BJ$14,0)=EOMONTH($DZ$3,0),BJ$12*BJ$13,0),0),IF(AND(BF$12&lt;&gt;"",BF$14&lt;&gt;""),IF(EOMONTH($BF$3+INT((DAY(EOMONTH($BF$3,0))-1)/2)+BF$14,0)=EOMONTH($DZ$3,0),BF$12*BF$13,0),0),IF(AND(BB$12&lt;&gt;"",BB$14&lt;&gt;""),IF(EOMONTH($BB$3+INT((DAY(EOMONTH($BB$3,0))-1)/2)+BB$14,0)=EOMONTH($DZ$3,0),BB$12*BB$13,0),0),IF(AND(AX$12&lt;&gt;"",AX$14&lt;&gt;""),IF(EOMONTH($AX$3+INT((DAY(EOMONTH($AX$3,0))-1)/2)+AX$14,0)=EOMONTH($DZ$3,0),AX$12*AX$13,0),0),IF(AND(AT$12&lt;&gt;"",AT$14&lt;&gt;""),IF(EOMONTH($AT$3+INT((DAY(EOMONTH($AT$3,0))-1)/2)+AT$14,0)=EOMONTH($DZ$3,0),AT$12*AT$13,0),0),IF(AND(AP$12&lt;&gt;"",AP$14&lt;&gt;""),IF(EOMONTH($AP$3+INT((DAY(EOMONTH($AP$3,0))-1)/2)+AP$14,0)=EOMONTH($DZ$3,0),AP$12*AP$13,0),0),IF(AND(AL$12&lt;&gt;"",AL$14&lt;&gt;""),IF(EOMONTH($AL$3+INT((DAY(EOMONTH($AL$3,0))-1)/2)+AL$14,0)=EOMONTH($DZ$3,0),AL$12*AL$13,0),0),IF(AND(AH$12&lt;&gt;"",AH$14&lt;&gt;""),IF(EOMONTH($AH$3+INT((DAY(EOMONTH($AH$3,0))-1)/2)+AH$14,0)=EOMONTH($DZ$3,0),AH$12*AH$13,0),0),IF(AND(AD$12&lt;&gt;"",AD$14&lt;&gt;""),IF(EOMONTH($AD$3+INT((DAY(EOMONTH($AD$3,0))-1)/2)+AD$14,0)=EOMONTH($DZ$3,0),AD$12*AD$13,0),0),IF(AND(Z$12&lt;&gt;"",Z$14&lt;&gt;""),IF(EOMONTH($Z$3+INT((DAY(EOMONTH($Z$3,0))-1)/2)+Z$14,0)=EOMONTH($DZ$3,0),Z$12*Z$13,0),0),IF(AND(V$12&lt;&gt;"",V$14&lt;&gt;""),IF(EOMONTH($V$3+INT((DAY(EOMONTH($V$3,0))-1)/2)+V$14,0)=EOMONTH($DZ$3,0),V$12*V$13,0),0),IF(AND(R$12&lt;&gt;"",R$14&lt;&gt;""),IF(EOMONTH($R$3+INT((DAY(EOMONTH($R$3,0))-1)/2)+R$14,0)=EOMONTH($DZ$3,0),R$12*R$13,0),0),IF(AND(N$12&lt;&gt;"",N$14&lt;&gt;""),IF(EOMONTH($N$3+INT((DAY(EOMONTH($N$3,0))-1)/2)+N$14,0)=EOMONTH($DZ$3,0),N$12*N$13,0),0),IF(AND(J$12&lt;&gt;"",J$14&lt;&gt;""),IF(EOMONTH($J$3+INT((DAY(EOMONTH($J$3,0))-1)/2)+J$14,0)=EOMONTH($DZ$3,0),J$12*J$13,0),0),IF(AND(F$12&lt;&gt;"",F$14&lt;&gt;""),IF(EOMONTH($F$3+INT((DAY(EOMONTH($F$3,0))-1)/2)+F$14,0)=EOMONTH($DZ$3,0),F$12*F$13,0),0),IF($EP$75="",0,IF(EOMONTH($EP$75+EP$14,0)=EOMONTH($DZ$3,0),$EP$77*EP$13,0))),0)</f>
        <v>0</v>
      </c>
      <c r="EA73" s="41">
        <f t="shared" si="1138"/>
        <v>88000</v>
      </c>
      <c r="EB73" s="41">
        <f t="shared" si="1138"/>
        <v>88000</v>
      </c>
      <c r="EC73" s="41">
        <f t="shared" si="1139"/>
        <v>0</v>
      </c>
      <c r="ED73" s="41">
        <f t="shared" ref="ED73:EF73" si="1140">ROUND(SUM(IF(AND(EP$12&lt;&gt;"",EP$14&lt;&gt;""),IF(EOMONTH($EP$3+INT((DAY(EOMONTH($EP$3,0))-1)/2)+EP$14,0)=EOMONTH($ED$3,0),EP$12*EP$13,0),0),IF(AND(EL$12&lt;&gt;"",EL$14&lt;&gt;""),IF(EOMONTH($EL$3+INT((DAY(EOMONTH($EL$3,0))-1)/2)+EL$14,0)=EOMONTH($ED$3,0),EL$12*EL$13,0),0),IF(AND(EH$12&lt;&gt;"",EH$14&lt;&gt;""),IF(EOMONTH($EH$3+INT((DAY(EOMONTH($EH$3,0))-1)/2)+EH$14,0)=EOMONTH($ED$3,0),EH$12*EH$13,0),0),IF(AND(ED$12&lt;&gt;"",ED$14&lt;&gt;""),IF(EOMONTH($ED$3+INT((DAY(EOMONTH($ED$3,0))-1)/2)+ED$14,0)=EOMONTH($ED$3,0),ED$12*ED$13,0),0),IF(AND(DZ$12&lt;&gt;"",DZ$14&lt;&gt;""),IF(EOMONTH($DZ$3+INT((DAY(EOMONTH($DZ$3,0))-1)/2)+DZ$14,0)=EOMONTH($ED$3,0),DZ$12*DZ$13,0),0),IF(AND(DV$12&lt;&gt;"",DV$14&lt;&gt;""),IF(EOMONTH($DV$3+INT((DAY(EOMONTH($DV$3,0))-1)/2)+DV$14,0)=EOMONTH($ED$3,0),DV$12*DV$13,0),0),IF(AND(DR$12&lt;&gt;"",DR$14&lt;&gt;""),IF(EOMONTH($DR$3+INT((DAY(EOMONTH($DR$3,0))-1)/2)+DR$14,0)=EOMONTH($ED$3,0),DR$12*DR$13,0),0),IF(AND(DN$12&lt;&gt;"",DN$14&lt;&gt;""),IF(EOMONTH($DN$3+INT((DAY(EOMONTH($DN$3,0))-1)/2)+DN$14,0)=EOMONTH($ED$3,0),DN$12*DN$13,0),0),IF(AND(DJ$12&lt;&gt;"",DJ$14&lt;&gt;""),IF(EOMONTH($DJ$3+INT((DAY(EOMONTH($DJ$3,0))-1)/2)+DJ$14,0)=EOMONTH($ED$3,0),DJ$12*DJ$13,0),0),IF(AND(DF$12&lt;&gt;"",DF$14&lt;&gt;""),IF(EOMONTH($DF$3+INT((DAY(EOMONTH($DF$3,0))-1)/2)+DF$14,0)=EOMONTH($ED$3,0),DF$12*DF$13,0),0),IF(AND(DB$12&lt;&gt;"",DB$14&lt;&gt;""),IF(EOMONTH($DB$3+INT((DAY(EOMONTH($DB$3,0))-1)/2)+DB$14,0)=EOMONTH($ED$3,0),DB$12*DB$13,0),0),IF(AND(CX$12&lt;&gt;"",CX$14&lt;&gt;""),IF(EOMONTH($CX$3+INT((DAY(EOMONTH($CX$3,0))-1)/2)+CX$14,0)=EOMONTH($ED$3,0),CX$12*CX$13,0),0),IF(AND(CT$12&lt;&gt;"",CT$14&lt;&gt;""),IF(EOMONTH($CT$3+INT((DAY(EOMONTH($CT$3,0))-1)/2)+CT$14,0)=EOMONTH($ED$3,0),CT$12*CT$13,0),0),IF(AND(CP$12&lt;&gt;"",CP$14&lt;&gt;""),IF(EOMONTH($CP$3+INT((DAY(EOMONTH($CP$3,0))-1)/2)+CP$14,0)=EOMONTH($ED$3,0),CP$12*CP$13,0),0),IF(AND(CL$12&lt;&gt;"",CL$14&lt;&gt;""),IF(EOMONTH($CL$3+INT((DAY(EOMONTH($CL$3,0))-1)/2)+CL$14,0)=EOMONTH($ED$3,0),CL$12*CL$13,0),0),IF(AND(CH$12&lt;&gt;"",CH$14&lt;&gt;""),IF(EOMONTH($CH$3+INT((DAY(EOMONTH($CH$3,0))-1)/2)+CH$14,0)=EOMONTH($ED$3,0),CH$12*CH$13,0),0),IF(AND(CD$12&lt;&gt;"",CD$14&lt;&gt;""),IF(EOMONTH($CD$3+INT((DAY(EOMONTH($CD$3,0))-1)/2)+CD$14,0)=EOMONTH($ED$3,0),CD$12*CD$13,0),0),IF(AND(BZ$12&lt;&gt;"",BZ$14&lt;&gt;""),IF(EOMONTH($BZ$3+INT((DAY(EOMONTH($BZ$3,0))-1)/2)+BZ$14,0)=EOMONTH($ED$3,0),BZ$12*BZ$13,0),0),IF(AND(BV$12&lt;&gt;"",BV$14&lt;&gt;""),IF(EOMONTH($BV$3+INT((DAY(EOMONTH($BV$3,0))-1)/2)+BV$14,0)=EOMONTH($ED$3,0),BV$12*BV$13,0),0),IF(AND(BR$12&lt;&gt;"",BR$14&lt;&gt;""),IF(EOMONTH($BR$3+INT((DAY(EOMONTH($BR$3,0))-1)/2)+BR$14,0)=EOMONTH($ED$3,0),BR$12*BR$13,0),0),IF(AND(BN$12&lt;&gt;"",BN$14&lt;&gt;""),IF(EOMONTH($BN$3+INT((DAY(EOMONTH($BN$3,0))-1)/2)+BN$14,0)=EOMONTH($ED$3,0),BN$12*BN$13,0),0),IF(AND(BJ$12&lt;&gt;"",BJ$14&lt;&gt;""),IF(EOMONTH($BJ$3+INT((DAY(EOMONTH($BJ$3,0))-1)/2)+BJ$14,0)=EOMONTH($ED$3,0),BJ$12*BJ$13,0),0),IF(AND(BF$12&lt;&gt;"",BF$14&lt;&gt;""),IF(EOMONTH($BF$3+INT((DAY(EOMONTH($BF$3,0))-1)/2)+BF$14,0)=EOMONTH($ED$3,0),BF$12*BF$13,0),0),IF(AND(BB$12&lt;&gt;"",BB$14&lt;&gt;""),IF(EOMONTH($BB$3+INT((DAY(EOMONTH($BB$3,0))-1)/2)+BB$14,0)=EOMONTH($ED$3,0),BB$12*BB$13,0),0),IF(AND(AX$12&lt;&gt;"",AX$14&lt;&gt;""),IF(EOMONTH($AX$3+INT((DAY(EOMONTH($AX$3,0))-1)/2)+AX$14,0)=EOMONTH($ED$3,0),AX$12*AX$13,0),0),IF(AND(AT$12&lt;&gt;"",AT$14&lt;&gt;""),IF(EOMONTH($AT$3+INT((DAY(EOMONTH($AT$3,0))-1)/2)+AT$14,0)=EOMONTH($ED$3,0),AT$12*AT$13,0),0),IF(AND(AP$12&lt;&gt;"",AP$14&lt;&gt;""),IF(EOMONTH($AP$3+INT((DAY(EOMONTH($AP$3,0))-1)/2)+AP$14,0)=EOMONTH($ED$3,0),AP$12*AP$13,0),0),IF(AND(AL$12&lt;&gt;"",AL$14&lt;&gt;""),IF(EOMONTH($AL$3+INT((DAY(EOMONTH($AL$3,0))-1)/2)+AL$14,0)=EOMONTH($ED$3,0),AL$12*AL$13,0),0),IF(AND(AH$12&lt;&gt;"",AH$14&lt;&gt;""),IF(EOMONTH($AH$3+INT((DAY(EOMONTH($AH$3,0))-1)/2)+AH$14,0)=EOMONTH($ED$3,0),AH$12*AH$13,0),0),IF(AND(AD$12&lt;&gt;"",AD$14&lt;&gt;""),IF(EOMONTH($AD$3+INT((DAY(EOMONTH($AD$3,0))-1)/2)+AD$14,0)=EOMONTH($ED$3,0),AD$12*AD$13,0),0),IF(AND(Z$12&lt;&gt;"",Z$14&lt;&gt;""),IF(EOMONTH($Z$3+INT((DAY(EOMONTH($Z$3,0))-1)/2)+Z$14,0)=EOMONTH($ED$3,0),Z$12*Z$13,0),0),IF(AND(V$12&lt;&gt;"",V$14&lt;&gt;""),IF(EOMONTH($V$3+INT((DAY(EOMONTH($V$3,0))-1)/2)+V$14,0)=EOMONTH($ED$3,0),V$12*V$13,0),0),IF(AND(R$12&lt;&gt;"",R$14&lt;&gt;""),IF(EOMONTH($R$3+INT((DAY(EOMONTH($R$3,0))-1)/2)+R$14,0)=EOMONTH($ED$3,0),R$12*R$13,0),0),IF(AND(N$12&lt;&gt;"",N$14&lt;&gt;""),IF(EOMONTH($N$3+INT((DAY(EOMONTH($N$3,0))-1)/2)+N$14,0)=EOMONTH($ED$3,0),N$12*N$13,0),0),IF(AND(J$12&lt;&gt;"",J$14&lt;&gt;""),IF(EOMONTH($J$3+INT((DAY(EOMONTH($J$3,0))-1)/2)+J$14,0)=EOMONTH($ED$3,0),J$12*J$13,0),0),IF(AND(F$12&lt;&gt;"",F$14&lt;&gt;""),IF(EOMONTH($F$3+INT((DAY(EOMONTH($F$3,0))-1)/2)+F$14,0)=EOMONTH($ED$3,0),F$12*F$13,0),0),IF($EP$75="",0,IF(EOMONTH($EP$75+EP$14,0)=EOMONTH($ED$3,0),$EP$77*EP$13,0))),0)</f>
        <v>0</v>
      </c>
      <c r="EE73" s="41">
        <f t="shared" si="1140"/>
        <v>64000</v>
      </c>
      <c r="EF73" s="41">
        <f t="shared" si="1140"/>
        <v>80000</v>
      </c>
      <c r="EG73" s="41">
        <f t="shared" si="1141"/>
        <v>-16000</v>
      </c>
      <c r="EH73" s="41">
        <f t="shared" ref="EH73:EJ73" si="1142">ROUND(SUM(IF(AND(EP$12&lt;&gt;"",EP$14&lt;&gt;""),IF(EOMONTH($EP$3+INT((DAY(EOMONTH($EP$3,0))-1)/2)+EP$14,0)=EOMONTH($EH$3,0),EP$12*EP$13,0),0),IF(AND(EL$12&lt;&gt;"",EL$14&lt;&gt;""),IF(EOMONTH($EL$3+INT((DAY(EOMONTH($EL$3,0))-1)/2)+EL$14,0)=EOMONTH($EH$3,0),EL$12*EL$13,0),0),IF(AND(EH$12&lt;&gt;"",EH$14&lt;&gt;""),IF(EOMONTH($EH$3+INT((DAY(EOMONTH($EH$3,0))-1)/2)+EH$14,0)=EOMONTH($EH$3,0),EH$12*EH$13,0),0),IF(AND(ED$12&lt;&gt;"",ED$14&lt;&gt;""),IF(EOMONTH($ED$3+INT((DAY(EOMONTH($ED$3,0))-1)/2)+ED$14,0)=EOMONTH($EH$3,0),ED$12*ED$13,0),0),IF(AND(DZ$12&lt;&gt;"",DZ$14&lt;&gt;""),IF(EOMONTH($DZ$3+INT((DAY(EOMONTH($DZ$3,0))-1)/2)+DZ$14,0)=EOMONTH($EH$3,0),DZ$12*DZ$13,0),0),IF(AND(DV$12&lt;&gt;"",DV$14&lt;&gt;""),IF(EOMONTH($DV$3+INT((DAY(EOMONTH($DV$3,0))-1)/2)+DV$14,0)=EOMONTH($EH$3,0),DV$12*DV$13,0),0),IF(AND(DR$12&lt;&gt;"",DR$14&lt;&gt;""),IF(EOMONTH($DR$3+INT((DAY(EOMONTH($DR$3,0))-1)/2)+DR$14,0)=EOMONTH($EH$3,0),DR$12*DR$13,0),0),IF(AND(DN$12&lt;&gt;"",DN$14&lt;&gt;""),IF(EOMONTH($DN$3+INT((DAY(EOMONTH($DN$3,0))-1)/2)+DN$14,0)=EOMONTH($EH$3,0),DN$12*DN$13,0),0),IF(AND(DJ$12&lt;&gt;"",DJ$14&lt;&gt;""),IF(EOMONTH($DJ$3+INT((DAY(EOMONTH($DJ$3,0))-1)/2)+DJ$14,0)=EOMONTH($EH$3,0),DJ$12*DJ$13,0),0),IF(AND(DF$12&lt;&gt;"",DF$14&lt;&gt;""),IF(EOMONTH($DF$3+INT((DAY(EOMONTH($DF$3,0))-1)/2)+DF$14,0)=EOMONTH($EH$3,0),DF$12*DF$13,0),0),IF(AND(DB$12&lt;&gt;"",DB$14&lt;&gt;""),IF(EOMONTH($DB$3+INT((DAY(EOMONTH($DB$3,0))-1)/2)+DB$14,0)=EOMONTH($EH$3,0),DB$12*DB$13,0),0),IF(AND(CX$12&lt;&gt;"",CX$14&lt;&gt;""),IF(EOMONTH($CX$3+INT((DAY(EOMONTH($CX$3,0))-1)/2)+CX$14,0)=EOMONTH($EH$3,0),CX$12*CX$13,0),0),IF(AND(CT$12&lt;&gt;"",CT$14&lt;&gt;""),IF(EOMONTH($CT$3+INT((DAY(EOMONTH($CT$3,0))-1)/2)+CT$14,0)=EOMONTH($EH$3,0),CT$12*CT$13,0),0),IF(AND(CP$12&lt;&gt;"",CP$14&lt;&gt;""),IF(EOMONTH($CP$3+INT((DAY(EOMONTH($CP$3,0))-1)/2)+CP$14,0)=EOMONTH($EH$3,0),CP$12*CP$13,0),0),IF(AND(CL$12&lt;&gt;"",CL$14&lt;&gt;""),IF(EOMONTH($CL$3+INT((DAY(EOMONTH($CL$3,0))-1)/2)+CL$14,0)=EOMONTH($EH$3,0),CL$12*CL$13,0),0),IF(AND(CH$12&lt;&gt;"",CH$14&lt;&gt;""),IF(EOMONTH($CH$3+INT((DAY(EOMONTH($CH$3,0))-1)/2)+CH$14,0)=EOMONTH($EH$3,0),CH$12*CH$13,0),0),IF(AND(CD$12&lt;&gt;"",CD$14&lt;&gt;""),IF(EOMONTH($CD$3+INT((DAY(EOMONTH($CD$3,0))-1)/2)+CD$14,0)=EOMONTH($EH$3,0),CD$12*CD$13,0),0),IF(AND(BZ$12&lt;&gt;"",BZ$14&lt;&gt;""),IF(EOMONTH($BZ$3+INT((DAY(EOMONTH($BZ$3,0))-1)/2)+BZ$14,0)=EOMONTH($EH$3,0),BZ$12*BZ$13,0),0),IF(AND(BV$12&lt;&gt;"",BV$14&lt;&gt;""),IF(EOMONTH($BV$3+INT((DAY(EOMONTH($BV$3,0))-1)/2)+BV$14,0)=EOMONTH($EH$3,0),BV$12*BV$13,0),0),IF(AND(BR$12&lt;&gt;"",BR$14&lt;&gt;""),IF(EOMONTH($BR$3+INT((DAY(EOMONTH($BR$3,0))-1)/2)+BR$14,0)=EOMONTH($EH$3,0),BR$12*BR$13,0),0),IF(AND(BN$12&lt;&gt;"",BN$14&lt;&gt;""),IF(EOMONTH($BN$3+INT((DAY(EOMONTH($BN$3,0))-1)/2)+BN$14,0)=EOMONTH($EH$3,0),BN$12*BN$13,0),0),IF(AND(BJ$12&lt;&gt;"",BJ$14&lt;&gt;""),IF(EOMONTH($BJ$3+INT((DAY(EOMONTH($BJ$3,0))-1)/2)+BJ$14,0)=EOMONTH($EH$3,0),BJ$12*BJ$13,0),0),IF(AND(BF$12&lt;&gt;"",BF$14&lt;&gt;""),IF(EOMONTH($BF$3+INT((DAY(EOMONTH($BF$3,0))-1)/2)+BF$14,0)=EOMONTH($EH$3,0),BF$12*BF$13,0),0),IF(AND(BB$12&lt;&gt;"",BB$14&lt;&gt;""),IF(EOMONTH($BB$3+INT((DAY(EOMONTH($BB$3,0))-1)/2)+BB$14,0)=EOMONTH($EH$3,0),BB$12*BB$13,0),0),IF(AND(AX$12&lt;&gt;"",AX$14&lt;&gt;""),IF(EOMONTH($AX$3+INT((DAY(EOMONTH($AX$3,0))-1)/2)+AX$14,0)=EOMONTH($EH$3,0),AX$12*AX$13,0),0),IF(AND(AT$12&lt;&gt;"",AT$14&lt;&gt;""),IF(EOMONTH($AT$3+INT((DAY(EOMONTH($AT$3,0))-1)/2)+AT$14,0)=EOMONTH($EH$3,0),AT$12*AT$13,0),0),IF(AND(AP$12&lt;&gt;"",AP$14&lt;&gt;""),IF(EOMONTH($AP$3+INT((DAY(EOMONTH($AP$3,0))-1)/2)+AP$14,0)=EOMONTH($EH$3,0),AP$12*AP$13,0),0),IF(AND(AL$12&lt;&gt;"",AL$14&lt;&gt;""),IF(EOMONTH($AL$3+INT((DAY(EOMONTH($AL$3,0))-1)/2)+AL$14,0)=EOMONTH($EH$3,0),AL$12*AL$13,0),0),IF(AND(AH$12&lt;&gt;"",AH$14&lt;&gt;""),IF(EOMONTH($AH$3+INT((DAY(EOMONTH($AH$3,0))-1)/2)+AH$14,0)=EOMONTH($EH$3,0),AH$12*AH$13,0),0),IF(AND(AD$12&lt;&gt;"",AD$14&lt;&gt;""),IF(EOMONTH($AD$3+INT((DAY(EOMONTH($AD$3,0))-1)/2)+AD$14,0)=EOMONTH($EH$3,0),AD$12*AD$13,0),0),IF(AND(Z$12&lt;&gt;"",Z$14&lt;&gt;""),IF(EOMONTH($Z$3+INT((DAY(EOMONTH($Z$3,0))-1)/2)+Z$14,0)=EOMONTH($EH$3,0),Z$12*Z$13,0),0),IF(AND(V$12&lt;&gt;"",V$14&lt;&gt;""),IF(EOMONTH($V$3+INT((DAY(EOMONTH($V$3,0))-1)/2)+V$14,0)=EOMONTH($EH$3,0),V$12*V$13,0),0),IF(AND(R$12&lt;&gt;"",R$14&lt;&gt;""),IF(EOMONTH($R$3+INT((DAY(EOMONTH($R$3,0))-1)/2)+R$14,0)=EOMONTH($EH$3,0),R$12*R$13,0),0),IF(AND(N$12&lt;&gt;"",N$14&lt;&gt;""),IF(EOMONTH($N$3+INT((DAY(EOMONTH($N$3,0))-1)/2)+N$14,0)=EOMONTH($EH$3,0),N$12*N$13,0),0),IF(AND(J$12&lt;&gt;"",J$14&lt;&gt;""),IF(EOMONTH($J$3+INT((DAY(EOMONTH($J$3,0))-1)/2)+J$14,0)=EOMONTH($EH$3,0),J$12*J$13,0),0),IF(AND(F$12&lt;&gt;"",F$14&lt;&gt;""),IF(EOMONTH($F$3+INT((DAY(EOMONTH($F$3,0))-1)/2)+F$14,0)=EOMONTH($EH$3,0),F$12*F$13,0),0),IF($EP$75="",0,IF(EOMONTH($EP$75+EP$14,0)=EOMONTH($EH$3,0),$EP$77*EP$13,0))),0)</f>
        <v>40000</v>
      </c>
      <c r="EI73" s="41">
        <f t="shared" si="1142"/>
        <v>40000</v>
      </c>
      <c r="EJ73" s="41">
        <f t="shared" si="1142"/>
        <v>80000</v>
      </c>
      <c r="EK73" s="41">
        <f t="shared" si="1143"/>
        <v>-40000</v>
      </c>
      <c r="EL73" s="41">
        <f t="shared" ref="EL73:EN73" si="1144">ROUND(SUM(IF(AND(EP$12&lt;&gt;"",EP$14&lt;&gt;""),IF(EOMONTH($EP$3+INT((DAY(EOMONTH($EP$3,0))-1)/2)+EP$14,0)=EOMONTH($EL$3,0),EP$12*EP$13,0),0),IF(AND(EL$12&lt;&gt;"",EL$14&lt;&gt;""),IF(EOMONTH($EL$3+INT((DAY(EOMONTH($EL$3,0))-1)/2)+EL$14,0)=EOMONTH($EL$3,0),EL$12*EL$13,0),0),IF(AND(EH$12&lt;&gt;"",EH$14&lt;&gt;""),IF(EOMONTH($EH$3+INT((DAY(EOMONTH($EH$3,0))-1)/2)+EH$14,0)=EOMONTH($EL$3,0),EH$12*EH$13,0),0),IF(AND(ED$12&lt;&gt;"",ED$14&lt;&gt;""),IF(EOMONTH($ED$3+INT((DAY(EOMONTH($ED$3,0))-1)/2)+ED$14,0)=EOMONTH($EL$3,0),ED$12*ED$13,0),0),IF(AND(DZ$12&lt;&gt;"",DZ$14&lt;&gt;""),IF(EOMONTH($DZ$3+INT((DAY(EOMONTH($DZ$3,0))-1)/2)+DZ$14,0)=EOMONTH($EL$3,0),DZ$12*DZ$13,0),0),IF(AND(DV$12&lt;&gt;"",DV$14&lt;&gt;""),IF(EOMONTH($DV$3+INT((DAY(EOMONTH($DV$3,0))-1)/2)+DV$14,0)=EOMONTH($EL$3,0),DV$12*DV$13,0),0),IF(AND(DR$12&lt;&gt;"",DR$14&lt;&gt;""),IF(EOMONTH($DR$3+INT((DAY(EOMONTH($DR$3,0))-1)/2)+DR$14,0)=EOMONTH($EL$3,0),DR$12*DR$13,0),0),IF(AND(DN$12&lt;&gt;"",DN$14&lt;&gt;""),IF(EOMONTH($DN$3+INT((DAY(EOMONTH($DN$3,0))-1)/2)+DN$14,0)=EOMONTH($EL$3,0),DN$12*DN$13,0),0),IF(AND(DJ$12&lt;&gt;"",DJ$14&lt;&gt;""),IF(EOMONTH($DJ$3+INT((DAY(EOMONTH($DJ$3,0))-1)/2)+DJ$14,0)=EOMONTH($EL$3,0),DJ$12*DJ$13,0),0),IF(AND(DF$12&lt;&gt;"",DF$14&lt;&gt;""),IF(EOMONTH($DF$3+INT((DAY(EOMONTH($DF$3,0))-1)/2)+DF$14,0)=EOMONTH($EL$3,0),DF$12*DF$13,0),0),IF(AND(DB$12&lt;&gt;"",DB$14&lt;&gt;""),IF(EOMONTH($DB$3+INT((DAY(EOMONTH($DB$3,0))-1)/2)+DB$14,0)=EOMONTH($EL$3,0),DB$12*DB$13,0),0),IF(AND(CX$12&lt;&gt;"",CX$14&lt;&gt;""),IF(EOMONTH($CX$3+INT((DAY(EOMONTH($CX$3,0))-1)/2)+CX$14,0)=EOMONTH($EL$3,0),CX$12*CX$13,0),0),IF(AND(CT$12&lt;&gt;"",CT$14&lt;&gt;""),IF(EOMONTH($CT$3+INT((DAY(EOMONTH($CT$3,0))-1)/2)+CT$14,0)=EOMONTH($EL$3,0),CT$12*CT$13,0),0),IF(AND(CP$12&lt;&gt;"",CP$14&lt;&gt;""),IF(EOMONTH($CP$3+INT((DAY(EOMONTH($CP$3,0))-1)/2)+CP$14,0)=EOMONTH($EL$3,0),CP$12*CP$13,0),0),IF(AND(CL$12&lt;&gt;"",CL$14&lt;&gt;""),IF(EOMONTH($CL$3+INT((DAY(EOMONTH($CL$3,0))-1)/2)+CL$14,0)=EOMONTH($EL$3,0),CL$12*CL$13,0),0),IF(AND(CH$12&lt;&gt;"",CH$14&lt;&gt;""),IF(EOMONTH($CH$3+INT((DAY(EOMONTH($CH$3,0))-1)/2)+CH$14,0)=EOMONTH($EL$3,0),CH$12*CH$13,0),0),IF(AND(CD$12&lt;&gt;"",CD$14&lt;&gt;""),IF(EOMONTH($CD$3+INT((DAY(EOMONTH($CD$3,0))-1)/2)+CD$14,0)=EOMONTH($EL$3,0),CD$12*CD$13,0),0),IF(AND(BZ$12&lt;&gt;"",BZ$14&lt;&gt;""),IF(EOMONTH($BZ$3+INT((DAY(EOMONTH($BZ$3,0))-1)/2)+BZ$14,0)=EOMONTH($EL$3,0),BZ$12*BZ$13,0),0),IF(AND(BV$12&lt;&gt;"",BV$14&lt;&gt;""),IF(EOMONTH($BV$3+INT((DAY(EOMONTH($BV$3,0))-1)/2)+BV$14,0)=EOMONTH($EL$3,0),BV$12*BV$13,0),0),IF(AND(BR$12&lt;&gt;"",BR$14&lt;&gt;""),IF(EOMONTH($BR$3+INT((DAY(EOMONTH($BR$3,0))-1)/2)+BR$14,0)=EOMONTH($EL$3,0),BR$12*BR$13,0),0),IF(AND(BN$12&lt;&gt;"",BN$14&lt;&gt;""),IF(EOMONTH($BN$3+INT((DAY(EOMONTH($BN$3,0))-1)/2)+BN$14,0)=EOMONTH($EL$3,0),BN$12*BN$13,0),0),IF(AND(BJ$12&lt;&gt;"",BJ$14&lt;&gt;""),IF(EOMONTH($BJ$3+INT((DAY(EOMONTH($BJ$3,0))-1)/2)+BJ$14,0)=EOMONTH($EL$3,0),BJ$12*BJ$13,0),0),IF(AND(BF$12&lt;&gt;"",BF$14&lt;&gt;""),IF(EOMONTH($BF$3+INT((DAY(EOMONTH($BF$3,0))-1)/2)+BF$14,0)=EOMONTH($EL$3,0),BF$12*BF$13,0),0),IF(AND(BB$12&lt;&gt;"",BB$14&lt;&gt;""),IF(EOMONTH($BB$3+INT((DAY(EOMONTH($BB$3,0))-1)/2)+BB$14,0)=EOMONTH($EL$3,0),BB$12*BB$13,0),0),IF(AND(AX$12&lt;&gt;"",AX$14&lt;&gt;""),IF(EOMONTH($AX$3+INT((DAY(EOMONTH($AX$3,0))-1)/2)+AX$14,0)=EOMONTH($EL$3,0),AX$12*AX$13,0),0),IF(AND(AT$12&lt;&gt;"",AT$14&lt;&gt;""),IF(EOMONTH($AT$3+INT((DAY(EOMONTH($AT$3,0))-1)/2)+AT$14,0)=EOMONTH($EL$3,0),AT$12*AT$13,0),0),IF(AND(AP$12&lt;&gt;"",AP$14&lt;&gt;""),IF(EOMONTH($AP$3+INT((DAY(EOMONTH($AP$3,0))-1)/2)+AP$14,0)=EOMONTH($EL$3,0),AP$12*AP$13,0),0),IF(AND(AL$12&lt;&gt;"",AL$14&lt;&gt;""),IF(EOMONTH($AL$3+INT((DAY(EOMONTH($AL$3,0))-1)/2)+AL$14,0)=EOMONTH($EL$3,0),AL$12*AL$13,0),0),IF(AND(AH$12&lt;&gt;"",AH$14&lt;&gt;""),IF(EOMONTH($AH$3+INT((DAY(EOMONTH($AH$3,0))-1)/2)+AH$14,0)=EOMONTH($EL$3,0),AH$12*AH$13,0),0),IF(AND(AD$12&lt;&gt;"",AD$14&lt;&gt;""),IF(EOMONTH($AD$3+INT((DAY(EOMONTH($AD$3,0))-1)/2)+AD$14,0)=EOMONTH($EL$3,0),AD$12*AD$13,0),0),IF(AND(Z$12&lt;&gt;"",Z$14&lt;&gt;""),IF(EOMONTH($Z$3+INT((DAY(EOMONTH($Z$3,0))-1)/2)+Z$14,0)=EOMONTH($EL$3,0),Z$12*Z$13,0),0),IF(AND(V$12&lt;&gt;"",V$14&lt;&gt;""),IF(EOMONTH($V$3+INT((DAY(EOMONTH($V$3,0))-1)/2)+V$14,0)=EOMONTH($EL$3,0),V$12*V$13,0),0),IF(AND(R$12&lt;&gt;"",R$14&lt;&gt;""),IF(EOMONTH($R$3+INT((DAY(EOMONTH($R$3,0))-1)/2)+R$14,0)=EOMONTH($EL$3,0),R$12*R$13,0),0),IF(AND(N$12&lt;&gt;"",N$14&lt;&gt;""),IF(EOMONTH($N$3+INT((DAY(EOMONTH($N$3,0))-1)/2)+N$14,0)=EOMONTH($EL$3,0),N$12*N$13,0),0),IF(AND(J$12&lt;&gt;"",J$14&lt;&gt;""),IF(EOMONTH($J$3+INT((DAY(EOMONTH($J$3,0))-1)/2)+J$14,0)=EOMONTH($EL$3,0),J$12*J$13,0),0),IF(AND(F$12&lt;&gt;"",F$14&lt;&gt;""),IF(EOMONTH($F$3+INT((DAY(EOMONTH($F$3,0))-1)/2)+F$14,0)=EOMONTH($EL$3,0),F$12*F$13,0),0),IF($EP$75="",0,IF(EOMONTH($EP$75+EP$14,0)=EOMONTH($EL$3,0),$EP$77*EP$13,0))),0)</f>
        <v>35000</v>
      </c>
      <c r="EM73" s="41">
        <f t="shared" si="1144"/>
        <v>35000</v>
      </c>
      <c r="EN73" s="41">
        <f t="shared" si="1144"/>
        <v>80000</v>
      </c>
      <c r="EO73" s="41">
        <f t="shared" si="1145"/>
        <v>-45000</v>
      </c>
      <c r="EP73" s="41">
        <f t="shared" ref="EP73:ER73" si="1146">ROUND(SUM(IF(AND(EP$12&lt;&gt;"",EP$14&lt;&gt;""),IF(EOMONTH($EP$3+INT((DAY(EOMONTH($EP$3,0))-1)/2)+EP$14,0)=EOMONTH($EP$3,0),EP$12*EP$13,0),0),IF(AND(EL$12&lt;&gt;"",EL$14&lt;&gt;""),IF(EOMONTH($EL$3+INT((DAY(EOMONTH($EL$3,0))-1)/2)+EL$14,0)=EOMONTH($EP$3,0),EL$12*EL$13,0),0),IF(AND(EH$12&lt;&gt;"",EH$14&lt;&gt;""),IF(EOMONTH($EH$3+INT((DAY(EOMONTH($EH$3,0))-1)/2)+EH$14,0)=EOMONTH($EP$3,0),EH$12*EH$13,0),0),IF(AND(ED$12&lt;&gt;"",ED$14&lt;&gt;""),IF(EOMONTH($ED$3+INT((DAY(EOMONTH($ED$3,0))-1)/2)+ED$14,0)=EOMONTH($EP$3,0),ED$12*ED$13,0),0),IF(AND(DZ$12&lt;&gt;"",DZ$14&lt;&gt;""),IF(EOMONTH($DZ$3+INT((DAY(EOMONTH($DZ$3,0))-1)/2)+DZ$14,0)=EOMONTH($EP$3,0),DZ$12*DZ$13,0),0),IF(AND(DV$12&lt;&gt;"",DV$14&lt;&gt;""),IF(EOMONTH($DV$3+INT((DAY(EOMONTH($DV$3,0))-1)/2)+DV$14,0)=EOMONTH($EP$3,0),DV$12*DV$13,0),0),IF(AND(DR$12&lt;&gt;"",DR$14&lt;&gt;""),IF(EOMONTH($DR$3+INT((DAY(EOMONTH($DR$3,0))-1)/2)+DR$14,0)=EOMONTH($EP$3,0),DR$12*DR$13,0),0),IF(AND(DN$12&lt;&gt;"",DN$14&lt;&gt;""),IF(EOMONTH($DN$3+INT((DAY(EOMONTH($DN$3,0))-1)/2)+DN$14,0)=EOMONTH($EP$3,0),DN$12*DN$13,0),0),IF(AND(DJ$12&lt;&gt;"",DJ$14&lt;&gt;""),IF(EOMONTH($DJ$3+INT((DAY(EOMONTH($DJ$3,0))-1)/2)+DJ$14,0)=EOMONTH($EP$3,0),DJ$12*DJ$13,0),0),IF(AND(DF$12&lt;&gt;"",DF$14&lt;&gt;""),IF(EOMONTH($DF$3+INT((DAY(EOMONTH($DF$3,0))-1)/2)+DF$14,0)=EOMONTH($EP$3,0),DF$12*DF$13,0),0),IF(AND(DB$12&lt;&gt;"",DB$14&lt;&gt;""),IF(EOMONTH($DB$3+INT((DAY(EOMONTH($DB$3,0))-1)/2)+DB$14,0)=EOMONTH($EP$3,0),DB$12*DB$13,0),0),IF(AND(CX$12&lt;&gt;"",CX$14&lt;&gt;""),IF(EOMONTH($CX$3+INT((DAY(EOMONTH($CX$3,0))-1)/2)+CX$14,0)=EOMONTH($EP$3,0),CX$12*CX$13,0),0),IF(AND(CT$12&lt;&gt;"",CT$14&lt;&gt;""),IF(EOMONTH($CT$3+INT((DAY(EOMONTH($CT$3,0))-1)/2)+CT$14,0)=EOMONTH($EP$3,0),CT$12*CT$13,0),0),IF(AND(CP$12&lt;&gt;"",CP$14&lt;&gt;""),IF(EOMONTH($CP$3+INT((DAY(EOMONTH($CP$3,0))-1)/2)+CP$14,0)=EOMONTH($EP$3,0),CP$12*CP$13,0),0),IF(AND(CL$12&lt;&gt;"",CL$14&lt;&gt;""),IF(EOMONTH($CL$3+INT((DAY(EOMONTH($CL$3,0))-1)/2)+CL$14,0)=EOMONTH($EP$3,0),CL$12*CL$13,0),0),IF(AND(CH$12&lt;&gt;"",CH$14&lt;&gt;""),IF(EOMONTH($CH$3+INT((DAY(EOMONTH($CH$3,0))-1)/2)+CH$14,0)=EOMONTH($EP$3,0),CH$12*CH$13,0),0),IF(AND(CD$12&lt;&gt;"",CD$14&lt;&gt;""),IF(EOMONTH($CD$3+INT((DAY(EOMONTH($CD$3,0))-1)/2)+CD$14,0)=EOMONTH($EP$3,0),CD$12*CD$13,0),0),IF(AND(BZ$12&lt;&gt;"",BZ$14&lt;&gt;""),IF(EOMONTH($BZ$3+INT((DAY(EOMONTH($BZ$3,0))-1)/2)+BZ$14,0)=EOMONTH($EP$3,0),BZ$12*BZ$13,0),0),IF(AND(BV$12&lt;&gt;"",BV$14&lt;&gt;""),IF(EOMONTH($BV$3+INT((DAY(EOMONTH($BV$3,0))-1)/2)+BV$14,0)=EOMONTH($EP$3,0),BV$12*BV$13,0),0),IF(AND(BR$12&lt;&gt;"",BR$14&lt;&gt;""),IF(EOMONTH($BR$3+INT((DAY(EOMONTH($BR$3,0))-1)/2)+BR$14,0)=EOMONTH($EP$3,0),BR$12*BR$13,0),0),IF(AND(BN$12&lt;&gt;"",BN$14&lt;&gt;""),IF(EOMONTH($BN$3+INT((DAY(EOMONTH($BN$3,0))-1)/2)+BN$14,0)=EOMONTH($EP$3,0),BN$12*BN$13,0),0),IF(AND(BJ$12&lt;&gt;"",BJ$14&lt;&gt;""),IF(EOMONTH($BJ$3+INT((DAY(EOMONTH($BJ$3,0))-1)/2)+BJ$14,0)=EOMONTH($EP$3,0),BJ$12*BJ$13,0),0),IF(AND(BF$12&lt;&gt;"",BF$14&lt;&gt;""),IF(EOMONTH($BF$3+INT((DAY(EOMONTH($BF$3,0))-1)/2)+BF$14,0)=EOMONTH($EP$3,0),BF$12*BF$13,0),0),IF(AND(BB$12&lt;&gt;"",BB$14&lt;&gt;""),IF(EOMONTH($BB$3+INT((DAY(EOMONTH($BB$3,0))-1)/2)+BB$14,0)=EOMONTH($EP$3,0),BB$12*BB$13,0),0),IF(AND(AX$12&lt;&gt;"",AX$14&lt;&gt;""),IF(EOMONTH($AX$3+INT((DAY(EOMONTH($AX$3,0))-1)/2)+AX$14,0)=EOMONTH($EP$3,0),AX$12*AX$13,0),0),IF(AND(AT$12&lt;&gt;"",AT$14&lt;&gt;""),IF(EOMONTH($AT$3+INT((DAY(EOMONTH($AT$3,0))-1)/2)+AT$14,0)=EOMONTH($EP$3,0),AT$12*AT$13,0),0),IF(AND(AP$12&lt;&gt;"",AP$14&lt;&gt;""),IF(EOMONTH($AP$3+INT((DAY(EOMONTH($AP$3,0))-1)/2)+AP$14,0)=EOMONTH($EP$3,0),AP$12*AP$13,0),0),IF(AND(AL$12&lt;&gt;"",AL$14&lt;&gt;""),IF(EOMONTH($AL$3+INT((DAY(EOMONTH($AL$3,0))-1)/2)+AL$14,0)=EOMONTH($EP$3,0),AL$12*AL$13,0),0),IF(AND(AH$12&lt;&gt;"",AH$14&lt;&gt;""),IF(EOMONTH($AH$3+INT((DAY(EOMONTH($AH$3,0))-1)/2)+AH$14,0)=EOMONTH($EP$3,0),AH$12*AH$13,0),0),IF(AND(AD$12&lt;&gt;"",AD$14&lt;&gt;""),IF(EOMONTH($AD$3+INT((DAY(EOMONTH($AD$3,0))-1)/2)+AD$14,0)=EOMONTH($EP$3,0),AD$12*AD$13,0),0),IF(AND(Z$12&lt;&gt;"",Z$14&lt;&gt;""),IF(EOMONTH($Z$3+INT((DAY(EOMONTH($Z$3,0))-1)/2)+Z$14,0)=EOMONTH($EP$3,0),Z$12*Z$13,0),0),IF(AND(V$12&lt;&gt;"",V$14&lt;&gt;""),IF(EOMONTH($V$3+INT((DAY(EOMONTH($V$3,0))-1)/2)+V$14,0)=EOMONTH($EP$3,0),V$12*V$13,0),0),IF(AND(R$12&lt;&gt;"",R$14&lt;&gt;""),IF(EOMONTH($R$3+INT((DAY(EOMONTH($R$3,0))-1)/2)+R$14,0)=EOMONTH($EP$3,0),R$12*R$13,0),0),IF(AND(N$12&lt;&gt;"",N$14&lt;&gt;""),IF(EOMONTH($N$3+INT((DAY(EOMONTH($N$3,0))-1)/2)+N$14,0)=EOMONTH($EP$3,0),N$12*N$13,0),0),IF(AND(J$12&lt;&gt;"",J$14&lt;&gt;""),IF(EOMONTH($J$3+INT((DAY(EOMONTH($J$3,0))-1)/2)+J$14,0)=EOMONTH($EP$3,0),J$12*J$13,0),0),IF(AND(F$12&lt;&gt;"",F$14&lt;&gt;""),IF(EOMONTH($F$3+INT((DAY(EOMONTH($F$3,0))-1)/2)+F$14,0)=EOMONTH($EP$3,0),F$12*F$13,0),0),IF($EP$75="",0,IF(EOMONTH($EP$75+EP$14,0)=EOMONTH($EP$3,0),$EP$77*EP$13,0))),0)</f>
        <v>50000</v>
      </c>
      <c r="EQ73" s="41">
        <f t="shared" si="1146"/>
        <v>50000</v>
      </c>
      <c r="ER73" s="41">
        <f t="shared" si="1146"/>
        <v>80000</v>
      </c>
      <c r="ES73" s="41">
        <f t="shared" si="1147"/>
        <v>-30000</v>
      </c>
    </row>
    <row r="74" ht="18.0" customHeight="1">
      <c r="A74" s="12" t="s">
        <v>76</v>
      </c>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c r="BL74" s="12"/>
      <c r="BM74" s="12"/>
      <c r="BN74" s="12"/>
      <c r="BO74" s="12"/>
      <c r="BP74" s="12"/>
      <c r="BQ74" s="12"/>
      <c r="BR74" s="12"/>
      <c r="BS74" s="12"/>
      <c r="BT74" s="12"/>
      <c r="BU74" s="12"/>
      <c r="BV74" s="12"/>
      <c r="BW74" s="12"/>
      <c r="BX74" s="12"/>
      <c r="BY74" s="12"/>
      <c r="BZ74" s="12"/>
      <c r="CA74" s="12"/>
      <c r="CB74" s="12"/>
      <c r="CC74" s="12"/>
      <c r="CD74" s="12"/>
      <c r="CE74" s="12"/>
      <c r="CF74" s="12"/>
      <c r="CG74" s="12"/>
      <c r="CH74" s="12"/>
      <c r="CI74" s="12"/>
      <c r="CJ74" s="12"/>
      <c r="CK74" s="12"/>
      <c r="CL74" s="12"/>
      <c r="CM74" s="12"/>
      <c r="CN74" s="12"/>
      <c r="CO74" s="12"/>
      <c r="CP74" s="12"/>
      <c r="CQ74" s="12"/>
      <c r="CR74" s="12"/>
      <c r="CS74" s="12"/>
      <c r="CT74" s="12"/>
      <c r="CU74" s="12"/>
      <c r="CV74" s="12"/>
      <c r="CW74" s="12"/>
      <c r="CX74" s="12"/>
      <c r="CY74" s="12"/>
      <c r="CZ74" s="12"/>
      <c r="DA74" s="12"/>
      <c r="DB74" s="12"/>
      <c r="DC74" s="12"/>
      <c r="DD74" s="12"/>
      <c r="DE74" s="12"/>
      <c r="DF74" s="12"/>
      <c r="DG74" s="12"/>
      <c r="DH74" s="12"/>
      <c r="DI74" s="12"/>
      <c r="DJ74" s="12"/>
      <c r="DK74" s="12"/>
      <c r="DL74" s="12"/>
      <c r="DM74" s="12"/>
      <c r="DN74" s="12"/>
      <c r="DO74" s="12"/>
      <c r="DP74" s="12"/>
      <c r="DQ74" s="12"/>
      <c r="DR74" s="12"/>
      <c r="DS74" s="12"/>
      <c r="DT74" s="12"/>
      <c r="DU74" s="12"/>
      <c r="DV74" s="12"/>
      <c r="DW74" s="12"/>
      <c r="DX74" s="12"/>
      <c r="DY74" s="12"/>
      <c r="DZ74" s="12"/>
      <c r="EA74" s="12"/>
      <c r="EB74" s="12"/>
      <c r="EC74" s="12"/>
      <c r="ED74" s="12"/>
      <c r="EE74" s="12"/>
      <c r="EF74" s="12"/>
      <c r="EG74" s="12"/>
      <c r="EH74" s="12"/>
      <c r="EI74" s="12"/>
      <c r="EJ74" s="12"/>
      <c r="EK74" s="12"/>
      <c r="EL74" s="12"/>
      <c r="EM74" s="12"/>
      <c r="EN74" s="12"/>
      <c r="EO74" s="12"/>
      <c r="EP74" s="12"/>
      <c r="EQ74" s="12"/>
      <c r="ER74" s="12"/>
      <c r="ES74" s="12"/>
    </row>
    <row r="75" ht="18.0" customHeight="1">
      <c r="A75" s="42" t="s">
        <v>77</v>
      </c>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c r="DT75" s="2"/>
      <c r="DU75" s="2"/>
      <c r="DV75" s="2"/>
      <c r="DW75" s="2"/>
      <c r="DX75" s="2"/>
      <c r="DY75" s="2"/>
      <c r="DZ75" s="2"/>
      <c r="EA75" s="2"/>
      <c r="EB75" s="2"/>
      <c r="EC75" s="2"/>
      <c r="ED75" s="2"/>
      <c r="EE75" s="2"/>
      <c r="EF75" s="2"/>
      <c r="EG75" s="2"/>
      <c r="EH75" s="2"/>
      <c r="EI75" s="2"/>
      <c r="EJ75" s="2"/>
      <c r="EK75" s="2"/>
      <c r="EL75" s="2"/>
      <c r="EM75" s="2"/>
      <c r="EN75" s="2"/>
      <c r="EO75" s="2"/>
      <c r="EP75" s="43">
        <v>46388.0</v>
      </c>
    </row>
    <row r="76" ht="18.0" customHeight="1">
      <c r="A76" s="42" t="s">
        <v>78</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c r="DT76" s="2"/>
      <c r="DU76" s="2"/>
      <c r="DV76" s="2"/>
      <c r="DW76" s="2"/>
      <c r="DX76" s="2"/>
      <c r="DY76" s="2"/>
      <c r="DZ76" s="2"/>
      <c r="EA76" s="2"/>
      <c r="EB76" s="2"/>
      <c r="EC76" s="2"/>
      <c r="ED76" s="2"/>
      <c r="EE76" s="2"/>
      <c r="EF76" s="2"/>
      <c r="EG76" s="2"/>
      <c r="EH76" s="2"/>
      <c r="EI76" s="2"/>
      <c r="EJ76" s="2"/>
      <c r="EK76" s="2"/>
      <c r="EL76" s="2"/>
      <c r="EM76" s="2"/>
      <c r="EN76" s="2"/>
      <c r="EO76" s="2"/>
      <c r="EP76" s="44">
        <v>40.0</v>
      </c>
    </row>
    <row r="77" ht="18.0" customHeight="1">
      <c r="A77" s="42" t="s">
        <v>79</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c r="ED77" s="2"/>
      <c r="EE77" s="2"/>
      <c r="EF77" s="2"/>
      <c r="EG77" s="2"/>
      <c r="EH77" s="2"/>
      <c r="EI77" s="2"/>
      <c r="EJ77" s="2"/>
      <c r="EK77" s="2"/>
      <c r="EL77" s="2"/>
      <c r="EM77" s="2"/>
      <c r="EN77" s="2"/>
      <c r="EO77" s="2"/>
      <c r="EP77" s="44">
        <v>10.0</v>
      </c>
    </row>
    <row r="78" ht="18.0" customHeight="1">
      <c r="A78" s="42" t="s">
        <v>80</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c r="ED78" s="2"/>
      <c r="EE78" s="2"/>
      <c r="EF78" s="2"/>
      <c r="EG78" s="2"/>
      <c r="EH78" s="2"/>
      <c r="EI78" s="2"/>
      <c r="EJ78" s="2"/>
      <c r="EK78" s="2"/>
      <c r="EL78" s="2"/>
      <c r="EM78" s="2"/>
      <c r="EN78" s="2"/>
      <c r="EO78" s="2"/>
      <c r="EP78" s="44">
        <v>10.0</v>
      </c>
    </row>
    <row r="79" ht="18.0" customHeight="1">
      <c r="A79" s="42" t="s">
        <v>21</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c r="DT79" s="2"/>
      <c r="DU79" s="2"/>
      <c r="DV79" s="2"/>
      <c r="DW79" s="2"/>
      <c r="DX79" s="2"/>
      <c r="DY79" s="2"/>
      <c r="DZ79" s="2"/>
      <c r="EA79" s="2"/>
      <c r="EB79" s="2"/>
      <c r="EC79" s="2"/>
      <c r="ED79" s="2"/>
      <c r="EE79" s="2"/>
      <c r="EF79" s="2"/>
      <c r="EG79" s="2"/>
      <c r="EH79" s="2"/>
      <c r="EI79" s="2"/>
      <c r="EJ79" s="2"/>
      <c r="EK79" s="2"/>
      <c r="EL79" s="2"/>
      <c r="EM79" s="2"/>
      <c r="EN79" s="2"/>
      <c r="EO79" s="2"/>
      <c r="EP79" s="44">
        <v>5.0</v>
      </c>
    </row>
    <row r="80" ht="18.0" customHeight="1">
      <c r="A80" s="12" t="s">
        <v>81</v>
      </c>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c r="BL80" s="12"/>
      <c r="BM80" s="12"/>
      <c r="BN80" s="12"/>
      <c r="BO80" s="12"/>
      <c r="BP80" s="12"/>
      <c r="BQ80" s="12"/>
      <c r="BR80" s="12"/>
      <c r="BS80" s="12"/>
      <c r="BT80" s="12"/>
      <c r="BU80" s="12"/>
      <c r="BV80" s="12"/>
      <c r="BW80" s="12"/>
      <c r="BX80" s="12"/>
      <c r="BY80" s="12"/>
      <c r="BZ80" s="12"/>
      <c r="CA80" s="12"/>
      <c r="CB80" s="12"/>
      <c r="CC80" s="12"/>
      <c r="CD80" s="12"/>
      <c r="CE80" s="12"/>
      <c r="CF80" s="12"/>
      <c r="CG80" s="12"/>
      <c r="CH80" s="12"/>
      <c r="CI80" s="12"/>
      <c r="CJ80" s="12"/>
      <c r="CK80" s="12"/>
      <c r="CL80" s="12"/>
      <c r="CM80" s="12"/>
      <c r="CN80" s="12"/>
      <c r="CO80" s="12"/>
      <c r="CP80" s="12"/>
      <c r="CQ80" s="12"/>
      <c r="CR80" s="12"/>
      <c r="CS80" s="12"/>
      <c r="CT80" s="12"/>
      <c r="CU80" s="12"/>
      <c r="CV80" s="12"/>
      <c r="CW80" s="12"/>
      <c r="CX80" s="12"/>
      <c r="CY80" s="12"/>
      <c r="CZ80" s="12"/>
      <c r="DA80" s="12"/>
      <c r="DB80" s="12"/>
      <c r="DC80" s="12"/>
      <c r="DD80" s="12"/>
      <c r="DE80" s="12"/>
      <c r="DF80" s="12"/>
      <c r="DG80" s="12"/>
      <c r="DH80" s="12"/>
      <c r="DI80" s="12"/>
      <c r="DJ80" s="12"/>
      <c r="DK80" s="12"/>
      <c r="DL80" s="12"/>
      <c r="DM80" s="12"/>
      <c r="DN80" s="12"/>
      <c r="DO80" s="12"/>
      <c r="DP80" s="12"/>
      <c r="DQ80" s="12"/>
      <c r="DR80" s="12"/>
      <c r="DS80" s="12"/>
      <c r="DT80" s="12"/>
      <c r="DU80" s="12"/>
      <c r="DV80" s="12"/>
      <c r="DW80" s="12"/>
      <c r="DX80" s="12"/>
      <c r="DY80" s="12"/>
      <c r="DZ80" s="12"/>
      <c r="EA80" s="12"/>
      <c r="EB80" s="12"/>
      <c r="EC80" s="12"/>
      <c r="ED80" s="12"/>
      <c r="EE80" s="12"/>
      <c r="EF80" s="12"/>
      <c r="EG80" s="12"/>
      <c r="EH80" s="12"/>
      <c r="EI80" s="12"/>
      <c r="EJ80" s="12"/>
      <c r="EK80" s="12"/>
      <c r="EL80" s="12"/>
      <c r="EM80" s="12"/>
      <c r="EN80" s="12"/>
      <c r="EO80" s="12"/>
      <c r="EP80" s="12"/>
      <c r="EQ80" s="12"/>
      <c r="ER80" s="12"/>
      <c r="ES80" s="12"/>
    </row>
    <row r="81" ht="18.0" customHeight="1">
      <c r="A81" s="42" t="s">
        <v>82</v>
      </c>
      <c r="B81" s="40" t="str">
        <f>IF(AND(AND(EQ8&gt;=0,EQ11&gt;=0,EQ14&gt;=0,EQ23&gt;=0),AND(ER8&gt;=0,ER11&gt;=0,ER14&gt;=0,ER23&gt;=0),AND(EM8&gt;=0,EM11&gt;=0,EM14&gt;=0,EM23&gt;=0),AND(EN8&gt;=0,EN11&gt;=0,EN14&gt;=0,EN23&gt;=0),AND(EI8&gt;=0,EI11&gt;=0,EI14&gt;=0,EI23&gt;=0),AND(EJ8&gt;=0,EJ11&gt;=0,EJ14&gt;=0,EJ23&gt;=0),AND(EE8&gt;=0,EE11&gt;=0,EE14&gt;=0,EE23&gt;=0),AND(EF8&gt;=0,EF11&gt;=0,EF14&gt;=0,EF23&gt;=0),AND(EA8&gt;=0,EA11&gt;=0,EA14&gt;=0,EA23&gt;=0),AND(EB8&gt;=0,EB11&gt;=0,EB14&gt;=0,EB23&gt;=0),AND(DW8&gt;=0,DW11&gt;=0,DW14&gt;=0,DW23&gt;=0),AND(DX8&gt;=0,DX11&gt;=0,DX14&gt;=0,DX23&gt;=0),AND(DS8&gt;=0,DS11&gt;=0,DS14&gt;=0,DS23&gt;=0),AND(DT8&gt;=0,DT11&gt;=0,DT14&gt;=0,DT23&gt;=0),AND(DO8&gt;=0,DO11&gt;=0,DO14&gt;=0,DO23&gt;=0),AND(DP8&gt;=0,DP11&gt;=0,DP14&gt;=0,DP23&gt;=0),AND(DK8&gt;=0,DK11&gt;=0,DK14&gt;=0,DK23&gt;=0),AND(DL8&gt;=0,DL11&gt;=0,DL14&gt;=0,DL23&gt;=0),AND(DG8&gt;=0,DG11&gt;=0,DG14&gt;=0,DG23&gt;=0),AND(DH8&gt;=0,DH11&gt;=0,DH14&gt;=0,DH23&gt;=0),AND(DC8&gt;=0,DC11&gt;=0,DC14&gt;=0,DC23&gt;=0),AND(DD8&gt;=0,DD11&gt;=0,DD14&gt;=0,DD23&gt;=0),AND(CY8&gt;=0,CY11&gt;=0,CY14&gt;=0,CY23&gt;=0),AND(CZ8&gt;=0,CZ11&gt;=0,CZ14&gt;=0,CZ23&gt;=0),AND(CU8&gt;=0,CU11&gt;=0,CU14&gt;=0,CU23&gt;=0),AND(CV8&gt;=0,CV11&gt;=0,CV14&gt;=0,CV23&gt;=0),AND(CQ8&gt;=0,CQ11&gt;=0,CQ14&gt;=0,CQ23&gt;=0),AND(CR8&gt;=0,CR11&gt;=0,CR14&gt;=0,CR23&gt;=0),AND(CM8&gt;=0,CM11&gt;=0,CM14&gt;=0,CM23&gt;=0),AND(CN8&gt;=0,CN11&gt;=0,CN14&gt;=0,CN23&gt;=0),AND(CI8&gt;=0,CI11&gt;=0,CI14&gt;=0,CI23&gt;=0),AND(CJ8&gt;=0,CJ11&gt;=0,CJ14&gt;=0,CJ23&gt;=0),AND(CE8&gt;=0,CE11&gt;=0,CE14&gt;=0,CE23&gt;=0),AND(CF8&gt;=0,CF11&gt;=0,CF14&gt;=0,CF23&gt;=0),AND(CA8&gt;=0,CA11&gt;=0,CA14&gt;=0,CA23&gt;=0),AND(CB8&gt;=0,CB11&gt;=0,CB14&gt;=0,CB23&gt;=0),AND(BW8&gt;=0,BW11&gt;=0,BW14&gt;=0,BW23&gt;=0),AND(BX8&gt;=0,BX11&gt;=0,BX14&gt;=0,BX23&gt;=0),AND(BS8&gt;=0,BS11&gt;=0,BS14&gt;=0,BS23&gt;=0),AND(BT8&gt;=0,BT11&gt;=0,BT14&gt;=0,BT23&gt;=0),AND(BO8&gt;=0,BO11&gt;=0,BO14&gt;=0,BO23&gt;=0),AND(BP8&gt;=0,BP11&gt;=0,BP14&gt;=0,BP23&gt;=0),AND(BK8&gt;=0,BK11&gt;=0,BK14&gt;=0,BK23&gt;=0),AND(BL8&gt;=0,BL11&gt;=0,BL14&gt;=0,BL23&gt;=0),AND(BG8&gt;=0,BG11&gt;=0,BG14&gt;=0,BG23&gt;=0),AND(BH8&gt;=0,BH11&gt;=0,BH14&gt;=0,BH23&gt;=0),AND(BC8&gt;=0,BC11&gt;=0,BC14&gt;=0,BC23&gt;=0),AND(BD8&gt;=0,BD11&gt;=0,BD14&gt;=0,BD23&gt;=0),AND(AY8&gt;=0,AY11&gt;=0,AY14&gt;=0,AY23&gt;=0),AND(AZ8&gt;=0,AZ11&gt;=0,AZ14&gt;=0,AZ23&gt;=0),AND(AU8&gt;=0,AU11&gt;=0,AU14&gt;=0,AU23&gt;=0),AND(AV8&gt;=0,AV11&gt;=0,AV14&gt;=0,AV23&gt;=0),AND(AQ8&gt;=0,AQ11&gt;=0,AQ14&gt;=0,AQ23&gt;=0),AND(AR8&gt;=0,AR11&gt;=0,AR14&gt;=0,AR23&gt;=0),AND(AM8&gt;=0,AM11&gt;=0,AM14&gt;=0,AM23&gt;=0),AND(AN8&gt;=0,AN11&gt;=0,AN14&gt;=0,AN23&gt;=0),AND(AI8&gt;=0,AI11&gt;=0,AI14&gt;=0,AI23&gt;=0),AND(AJ8&gt;=0,AJ11&gt;=0,AJ14&gt;=0,AJ23&gt;=0),AND(AE8&gt;=0,AE11&gt;=0,AE14&gt;=0,AE23&gt;=0),AND(AF8&gt;=0,AF11&gt;=0,AF14&gt;=0,AF23&gt;=0),AND(AA8&gt;=0,AA11&gt;=0,AA14&gt;=0,AA23&gt;=0),AND(AB8&gt;=0,AB11&gt;=0,AB14&gt;=0,AB23&gt;=0),AND(W8&gt;=0,W11&gt;=0,W14&gt;=0,W23&gt;=0),AND(X8&gt;=0,X11&gt;=0,X14&gt;=0,X23&gt;=0),AND(S8&gt;=0,S11&gt;=0,S14&gt;=0,S23&gt;=0),AND(T8&gt;=0,T11&gt;=0,T14&gt;=0,T23&gt;=0),AND(O8&gt;=0,O11&gt;=0,O14&gt;=0,O23&gt;=0),AND(P8&gt;=0,P11&gt;=0,P14&gt;=0,P23&gt;=0),AND(K8&gt;=0,K11&gt;=0,K14&gt;=0,K23&gt;=0),AND(L8&gt;=0,L11&gt;=0,L14&gt;=0,L23&gt;=0),AND(G8&gt;=0,G11&gt;=0,G14&gt;=0,G23&gt;=0),AND(H8&gt;=0,H11&gt;=0,H14&gt;=0,H23&gt;=0)),"OK","CHECK")</f>
        <v>OK</v>
      </c>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c r="DT81" s="2"/>
      <c r="DU81" s="2"/>
      <c r="DV81" s="2"/>
      <c r="DW81" s="2"/>
      <c r="DX81" s="2"/>
      <c r="DY81" s="2"/>
      <c r="DZ81" s="2"/>
      <c r="EA81" s="2"/>
      <c r="EB81" s="2"/>
      <c r="EC81" s="2"/>
      <c r="ED81" s="2"/>
      <c r="EE81" s="2"/>
      <c r="EF81" s="2"/>
      <c r="EG81" s="2"/>
      <c r="EH81" s="2"/>
      <c r="EI81" s="2"/>
      <c r="EJ81" s="2"/>
      <c r="EK81" s="2"/>
      <c r="EL81" s="2"/>
      <c r="EM81" s="2"/>
      <c r="EN81" s="2"/>
      <c r="EO81" s="2"/>
      <c r="EP81" s="2"/>
      <c r="EQ81" s="2"/>
      <c r="ER81" s="2"/>
      <c r="ES81" s="2"/>
    </row>
    <row r="82" ht="18.0" customHeight="1">
      <c r="A82" s="42" t="s">
        <v>83</v>
      </c>
      <c r="B82" s="40" t="str">
        <f>IF(AND(AND(EQ7&gt;=0,EQ7&lt;=1,EQ10&gt;=0,EQ10&lt;=1),AND(ER7&gt;=0,ER7&lt;=1,ER10&gt;=0,ER10&lt;=1),AND(EM7&gt;=0,EM7&lt;=1,EM10&gt;=0,EM10&lt;=1),AND(EN7&gt;=0,EN7&lt;=1,EN10&gt;=0,EN10&lt;=1),AND(EI7&gt;=0,EI7&lt;=1,EI10&gt;=0,EI10&lt;=1),AND(EJ7&gt;=0,EJ7&lt;=1,EJ10&gt;=0,EJ10&lt;=1),AND(EE7&gt;=0,EE7&lt;=1,EE10&gt;=0,EE10&lt;=1),AND(EF7&gt;=0,EF7&lt;=1,EF10&gt;=0,EF10&lt;=1),AND(EA7&gt;=0,EA7&lt;=1,EA10&gt;=0,EA10&lt;=1),AND(EB7&gt;=0,EB7&lt;=1,EB10&gt;=0,EB10&lt;=1),AND(DW7&gt;=0,DW7&lt;=1,DW10&gt;=0,DW10&lt;=1),AND(DX7&gt;=0,DX7&lt;=1,DX10&gt;=0,DX10&lt;=1),AND(DS7&gt;=0,DS7&lt;=1,DS10&gt;=0,DS10&lt;=1),AND(DT7&gt;=0,DT7&lt;=1,DT10&gt;=0,DT10&lt;=1),AND(DO7&gt;=0,DO7&lt;=1,DO10&gt;=0,DO10&lt;=1),AND(DP7&gt;=0,DP7&lt;=1,DP10&gt;=0,DP10&lt;=1),AND(DK7&gt;=0,DK7&lt;=1,DK10&gt;=0,DK10&lt;=1),AND(DL7&gt;=0,DL7&lt;=1,DL10&gt;=0,DL10&lt;=1),AND(DG7&gt;=0,DG7&lt;=1,DG10&gt;=0,DG10&lt;=1),AND(DH7&gt;=0,DH7&lt;=1,DH10&gt;=0,DH10&lt;=1),AND(DC7&gt;=0,DC7&lt;=1,DC10&gt;=0,DC10&lt;=1),AND(DD7&gt;=0,DD7&lt;=1,DD10&gt;=0,DD10&lt;=1),AND(CY7&gt;=0,CY7&lt;=1,CY10&gt;=0,CY10&lt;=1),AND(CZ7&gt;=0,CZ7&lt;=1,CZ10&gt;=0,CZ10&lt;=1),AND(CU7&gt;=0,CU7&lt;=1,CU10&gt;=0,CU10&lt;=1),AND(CV7&gt;=0,CV7&lt;=1,CV10&gt;=0,CV10&lt;=1),AND(CQ7&gt;=0,CQ7&lt;=1,CQ10&gt;=0,CQ10&lt;=1),AND(CR7&gt;=0,CR7&lt;=1,CR10&gt;=0,CR10&lt;=1),AND(CM7&gt;=0,CM7&lt;=1,CM10&gt;=0,CM10&lt;=1),AND(CN7&gt;=0,CN7&lt;=1,CN10&gt;=0,CN10&lt;=1),AND(CI7&gt;=0,CI7&lt;=1,CI10&gt;=0,CI10&lt;=1),AND(CJ7&gt;=0,CJ7&lt;=1,CJ10&gt;=0,CJ10&lt;=1),AND(CE7&gt;=0,CE7&lt;=1,CE10&gt;=0,CE10&lt;=1),AND(CF7&gt;=0,CF7&lt;=1,CF10&gt;=0,CF10&lt;=1),AND(CA7&gt;=0,CA7&lt;=1,CA10&gt;=0,CA10&lt;=1),AND(CB7&gt;=0,CB7&lt;=1,CB10&gt;=0,CB10&lt;=1),AND(BW7&gt;=0,BW7&lt;=1,BW10&gt;=0,BW10&lt;=1),AND(BX7&gt;=0,BX7&lt;=1,BX10&gt;=0,BX10&lt;=1),AND(BS7&gt;=0,BS7&lt;=1,BS10&gt;=0,BS10&lt;=1),AND(BT7&gt;=0,BT7&lt;=1,BT10&gt;=0,BT10&lt;=1),AND(BO7&gt;=0,BO7&lt;=1,BO10&gt;=0,BO10&lt;=1),AND(BP7&gt;=0,BP7&lt;=1,BP10&gt;=0,BP10&lt;=1),AND(BK7&gt;=0,BK7&lt;=1,BK10&gt;=0,BK10&lt;=1),AND(BL7&gt;=0,BL7&lt;=1,BL10&gt;=0,BL10&lt;=1),AND(BG7&gt;=0,BG7&lt;=1,BG10&gt;=0,BG10&lt;=1),AND(BH7&gt;=0,BH7&lt;=1,BH10&gt;=0,BH10&lt;=1),AND(BC7&gt;=0,BC7&lt;=1,BC10&gt;=0,BC10&lt;=1),AND(BD7&gt;=0,BD7&lt;=1,BD10&gt;=0,BD10&lt;=1),AND(AY7&gt;=0,AY7&lt;=1,AY10&gt;=0,AY10&lt;=1),AND(AZ7&gt;=0,AZ7&lt;=1,AZ10&gt;=0,AZ10&lt;=1),AND(AU7&gt;=0,AU7&lt;=1,AU10&gt;=0,AU10&lt;=1),AND(AV7&gt;=0,AV7&lt;=1,AV10&gt;=0,AV10&lt;=1),AND(AQ7&gt;=0,AQ7&lt;=1,AQ10&gt;=0,AQ10&lt;=1),AND(AR7&gt;=0,AR7&lt;=1,AR10&gt;=0,AR10&lt;=1),AND(AM7&gt;=0,AM7&lt;=1,AM10&gt;=0,AM10&lt;=1),AND(AN7&gt;=0,AN7&lt;=1,AN10&gt;=0,AN10&lt;=1),AND(AI7&gt;=0,AI7&lt;=1,AI10&gt;=0,AI10&lt;=1),AND(AJ7&gt;=0,AJ7&lt;=1,AJ10&gt;=0,AJ10&lt;=1),AND(AE7&gt;=0,AE7&lt;=1,AE10&gt;=0,AE10&lt;=1),AND(AF7&gt;=0,AF7&lt;=1,AF10&gt;=0,AF10&lt;=1),AND(AA7&gt;=0,AA7&lt;=1,AA10&gt;=0,AA10&lt;=1),AND(AB7&gt;=0,AB7&lt;=1,AB10&gt;=0,AB10&lt;=1),AND(W7&gt;=0,W7&lt;=1,W10&gt;=0,W10&lt;=1),AND(X7&gt;=0,X7&lt;=1,X10&gt;=0,X10&lt;=1),AND(S7&gt;=0,S7&lt;=1,S10&gt;=0,S10&lt;=1),AND(T7&gt;=0,T7&lt;=1,T10&gt;=0,T10&lt;=1),AND(O7&gt;=0,O7&lt;=1,O10&gt;=0,O10&lt;=1),AND(P7&gt;=0,P7&lt;=1,P10&gt;=0,P10&lt;=1),AND(K7&gt;=0,K7&lt;=1,K10&gt;=0,K10&lt;=1),AND(L7&gt;=0,L7&lt;=1,L10&gt;=0,L10&lt;=1),AND(G7&gt;=0,G7&lt;=1,G10&gt;=0,G10&lt;=1),AND(H7&gt;=0,H7&lt;=1,H10&gt;=0,H10&lt;=1)),"OK","CHECK")</f>
        <v>OK</v>
      </c>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c r="DT82" s="2"/>
      <c r="DU82" s="2"/>
      <c r="DV82" s="2"/>
      <c r="DW82" s="2"/>
      <c r="DX82" s="2"/>
      <c r="DY82" s="2"/>
      <c r="DZ82" s="2"/>
      <c r="EA82" s="2"/>
      <c r="EB82" s="2"/>
      <c r="EC82" s="2"/>
      <c r="ED82" s="2"/>
      <c r="EE82" s="2"/>
      <c r="EF82" s="2"/>
      <c r="EG82" s="2"/>
      <c r="EH82" s="2"/>
      <c r="EI82" s="2"/>
      <c r="EJ82" s="2"/>
      <c r="EK82" s="2"/>
      <c r="EL82" s="2"/>
      <c r="EM82" s="2"/>
      <c r="EN82" s="2"/>
      <c r="EO82" s="2"/>
      <c r="EP82" s="2"/>
      <c r="EQ82" s="2"/>
      <c r="ER82" s="2"/>
      <c r="ES82" s="2"/>
    </row>
    <row r="83" ht="18.0" customHeight="1">
      <c r="A83" s="42" t="s">
        <v>84</v>
      </c>
      <c r="B83" s="40" t="str">
        <f>IF(AND(ISNUMBER($EP$75),COUNT($EP$76:$EP$79)=4,MIN($EP$76:$EP$79)&gt;=0,MIN(EQ6,EQ13,EQ15,EQ16,EQ18,EQ28,EQ30,EQ31,EQ32,EQ33,EQ38,EQ39,EQ40,EQ41,EQ42,EQ43,EQ44,EQ45,EQ46,EQ47,EQ48,EQ49,EQ50,EQ51,EQ52,EQ60,EQ61,EQ62,EQ63,EQ64,EQ69)&gt;=0,MIN(ER6,ER13,ER15,ER16,ER18,ER28,ER30,ER31,ER32,ER33,ER38,ER39,ER40,ER41,ER42,ER43,ER44,ER45,ER46,ER47,ER48,ER49,ER50,ER51,ER52,ER60,ER61,ER62,ER63,ER64,ER69)&gt;=0,MIN(EM6,EM13,EM15,EM16,EM18,EM28,EM30,EM31,EM32,EM33,EM38,EM39,EM40,EM41,EM42,EM43,EM44,EM45,EM46,EM47,EM48,EM49,EM50,EM51,EM52,EM60,EM61,EM62,EM63,EM64,EM69)&gt;=0,MIN(EN6,EN13,EN15,EN16,EN18,EN28,EN30,EN31,EN32,EN33,EN38,EN39,EN40,EN41,EN42,EN43,EN44,EN45,EN46,EN47,EN48,EN49,EN50,EN51,EN52,EN60,EN61,EN62,EN63,EN64,EN69)&gt;=0,MIN(EI6,EI13,EI15,EI16,EI18,EI28,EI30,EI31,EI32,EI33,EI38,EI39,EI40,EI41,EI42,EI43,EI44,EI45,EI46,EI47,EI48,EI49,EI50,EI51,EI52,EI60,EI61,EI62,EI63,EI64,EI69)&gt;=0,MIN(EJ6,EJ13,EJ15,EJ16,EJ18,EJ28,EJ30,EJ31,EJ32,EJ33,EJ38,EJ39,EJ40,EJ41,EJ42,EJ43,EJ44,EJ45,EJ46,EJ47,EJ48,EJ49,EJ50,EJ51,EJ52,EJ60,EJ61,EJ62,EJ63,EJ64,EJ69)&gt;=0,MIN(EE6,EE13,EE15,EE16,EE18,EE28,EE30,EE31,EE32,EE33,EE38,EE39,EE40,EE41,EE42,EE43,EE44,EE45,EE46,EE47,EE48,EE49,EE50,EE51,EE52,EE60,EE61,EE62,EE63,EE64,EE69)&gt;=0,MIN(EF6,EF13,EF15,EF16,EF18,EF28,EF30,EF31,EF32,EF33,EF38,EF39,EF40,EF41,EF42,EF43,EF44,EF45,EF46,EF47,EF48,EF49,EF50,EF51,EF52,EF60,EF61,EF62,EF63,EF64,EF69)&gt;=0,MIN(EA6,EA13,EA15,EA16,EA18,EA28,EA30,EA31,EA32,EA33,EA38,EA39,EA40,EA41,EA42,EA43,EA44,EA45,EA46,EA47,EA48,EA49,EA50,EA51,EA52,EA60,EA61,EA62,EA63,EA64,EA69)&gt;=0,MIN(EB6,EB13,EB15,EB16,EB18,EB28,EB30,EB31,EB32,EB33,EB38,EB39,EB40,EB41,EB42,EB43,EB44,EB45,EB46,EB47,EB48,EB49,EB50,EB51,EB52,EB60,EB61,EB62,EB63,EB64,EB69)&gt;=0,MIN(DW6,DW13,DW15,DW16,DW18,DW28,DW30,DW31,DW32,DW33,DW38,DW39,DW40,DW41,DW42,DW43,DW44,DW45,DW46,DW47,DW48,DW49,DW50,DW51,DW52,DW60,DW61,DW62,DW63,DW64,DW69)&gt;=0,MIN(DX6,DX13,DX15,DX16,DX18,DX28,DX30,DX31,DX32,DX33,DX38,DX39,DX40,DX41,DX42,DX43,DX44,DX45,DX46,DX47,DX48,DX49,DX50,DX51,DX52,DX60,DX61,DX62,DX63,DX64,DX69)&gt;=0,MIN(DS6,DS13,DS15,DS16,DS18,DS28,DS30,DS31,DS32,DS33,DS38,DS39,DS40,DS41,DS42,DS43,DS44,DS45,DS46,DS47,DS48,DS49,DS50,DS51,DS52,DS60,DS61,DS62,DS63,DS64,DS69)&gt;=0,MIN(DT6,DT13,DT15,DT16,DT18,DT28,DT30,DT31,DT32,DT33,DT38,DT39,DT40,DT41,DT42,DT43,DT44,DT45,DT46,DT47,DT48,DT49,DT50,DT51,DT52,DT60,DT61,DT62,DT63,DT64,DT69)&gt;=0,MIN(DO6,DO13,DO15,DO16,DO18,DO28,DO30,DO31,DO32,DO33,DO38,DO39,DO40,DO41,DO42,DO43,DO44,DO45,DO46,DO47,DO48,DO49,DO50,DO51,DO52,DO60,DO61,DO62,DO63,DO64,DO69)&gt;=0,MIN(DP6,DP13,DP15,DP16,DP18,DP28,DP30,DP31,DP32,DP33,DP38,DP39,DP40,DP41,DP42,DP43,DP44,DP45,DP46,DP47,DP48,DP49,DP50,DP51,DP52,DP60,DP61,DP62,DP63,DP64,DP69)&gt;=0,MIN(DK6,DK13,DK15,DK16,DK18,DK28,DK30,DK31,DK32,DK33,DK38,DK39,DK40,DK41,DK42,DK43,DK44,DK45,DK46,DK47,DK48,DK49,DK50,DK51,DK52,DK60,DK61,DK62,DK63,DK64,DK69)&gt;=0,MIN(DL6,DL13,DL15,DL16,DL18,DL28,DL30,DL31,DL32,DL33,DL38,DL39,DL40,DL41,DL42,DL43,DL44,DL45,DL46,DL47,DL48,DL49,DL50,DL51,DL52,DL60,DL61,DL62,DL63,DL64,DL69)&gt;=0,MIN(DG6,DG13,DG15,DG16,DG18,DG28,DG30,DG31,DG32,DG33,DG38,DG39,DG40,DG41,DG42,DG43,DG44,DG45,DG46,DG47,DG48,DG49,DG50,DG51,DG52,DG60,DG61,DG62,DG63,DG64,DG69)&gt;=0,MIN(DH6,DH13,DH15,DH16,DH18,DH28,DH30,DH31,DH32,DH33,DH38,DH39,DH40,DH41,DH42,DH43,DH44,DH45,DH46,DH47,DH48,DH49,DH50,DH51,DH52,DH60,DH61,DH62,DH63,DH64,DH69)&gt;=0,MIN(DC6,DC13,DC15,DC16,DC18,DC28,DC30,DC31,DC32,DC33,DC38,DC39,DC40,DC41,DC42,DC43,DC44,DC45,DC46,DC47,DC48,DC49,DC50,DC51,DC52,DC60,DC61,DC62,DC63,DC64,DC69)&gt;=0,MIN(DD6,DD13,DD15,DD16,DD18,DD28,DD30,DD31,DD32,DD33,DD38,DD39,DD40,DD41,DD42,DD43,DD44,DD45,DD46,DD47,DD48,DD49,DD50,DD51,DD52,DD60,DD61,DD62,DD63,DD64,DD69)&gt;=0,MIN(CY6,CY13,CY15,CY16,CY18,CY28,CY30,CY31,CY32,CY33,CY38,CY39,CY40,CY41,CY42,CY43,CY44,CY45,CY46,CY47,CY48,CY49,CY50,CY51,CY52,CY60,CY61,CY62,CY63,CY64,CY69)&gt;=0,MIN(CZ6,CZ13,CZ15,CZ16,CZ18,CZ28,CZ30,CZ31,CZ32,CZ33,CZ38,CZ39,CZ40,CZ41,CZ42,CZ43,CZ44,CZ45,CZ46,CZ47,CZ48,CZ49,CZ50,CZ51,CZ52,CZ60,CZ61,CZ62,CZ63,CZ64,CZ69)&gt;=0,MIN(CU6,CU13,CU15,CU16,CU18,CU28,CU30,CU31,CU32,CU33,CU38,CU39,CU40,CU41,CU42,CU43,CU44,CU45,CU46,CU47,CU48,CU49,CU50,CU51,CU52,CU60,CU61,CU62,CU63,CU64,CU69)&gt;=0,MIN(CV6,CV13,CV15,CV16,CV18,CV28,CV30,CV31,CV32,CV33,CV38,CV39,CV40,CV41,CV42,CV43,CV44,CV45,CV46,CV47,CV48,CV49,CV50,CV51,CV52,CV60,CV61,CV62,CV63,CV64,CV69)&gt;=0,MIN(CQ6,CQ13,CQ15,CQ16,CQ18,CQ28,CQ30,CQ31,CQ32,CQ33,CQ38,CQ39,CQ40,CQ41,CQ42,CQ43,CQ44,CQ45,CQ46,CQ47,CQ48,CQ49,CQ50,CQ51,CQ52,CQ60,CQ61,CQ62,CQ63,CQ64,CQ69)&gt;=0,MIN(CR6,CR13,CR15,CR16,CR18,CR28,CR30,CR31,CR32,CR33,CR38,CR39,CR40,CR41,CR42,CR43,CR44,CR45,CR46,CR47,CR48,CR49,CR50,CR51,CR52,CR60,CR61,CR62,CR63,CR64,CR69)&gt;=0,MIN(CM6,CM13,CM15,CM16,CM18,CM28,CM30,CM31,CM32,CM33,CM38,CM39,CM40,CM41,CM42,CM43,CM44,CM45,CM46,CM47,CM48,CM49,CM50,CM51,CM52,CM60,CM61,CM62,CM63,CM64,CM69)&gt;=0,MIN(CN6,CN13,CN15,CN16,CN18,CN28,CN30,CN31,CN32,CN33,CN38,CN39,CN40,CN41,CN42,CN43,CN44,CN45,CN46,CN47,CN48,CN49,CN50,CN51,CN52,CN60,CN61,CN62,CN63,CN64,CN69)&gt;=0,MIN(CI6,CI13,CI15,CI16,CI18,CI28,CI30,CI31,CI32,CI33,CI38,CI39,CI40,CI41,CI42,CI43,CI44,CI45,CI46,CI47,CI48,CI49,CI50,CI51,CI52,CI60,CI61,CI62,CI63,CI64,CI69)&gt;=0,MIN(CJ6,CJ13,CJ15,CJ16,CJ18,CJ28,CJ30,CJ31,CJ32,CJ33,CJ38,CJ39,CJ40,CJ41,CJ42,CJ43,CJ44,CJ45,CJ46,CJ47,CJ48,CJ49,CJ50,CJ51,CJ52,CJ60,CJ61,CJ62,CJ63,CJ64,CJ69)&gt;=0,MIN(CE6,CE13,CE15,CE16,CE18,CE28,CE30,CE31,CE32,CE33,CE38,CE39,CE40,CE41,CE42,CE43,CE44,CE45,CE46,CE47,CE48,CE49,CE50,CE51,CE52,CE60,CE61,CE62,CE63,CE64,CE69)&gt;=0,MIN(CF6,CF13,CF15,CF16,CF18,CF28,CF30,CF31,CF32,CF33,CF38,CF39,CF40,CF41,CF42,CF43,CF44,CF45,CF46,CF47,CF48,CF49,CF50,CF51,CF52,CF60,CF61,CF62,CF63,CF64,CF69)&gt;=0,MIN(CA6,CA13,CA15,CA16,CA18,CA28,CA30,CA31,CA32,CA33,CA38,CA39,CA40,CA41,CA42,CA43,CA44,CA45,CA46,CA47,CA48,CA49,CA50,CA51,CA52,CA60,CA61,CA62,CA63,CA64,CA69)&gt;=0,MIN(CB6,CB13,CB15,CB16,CB18,CB28,CB30,CB31,CB32,CB33,CB38,CB39,CB40,CB41,CB42,CB43,CB44,CB45,CB46,CB47,CB48,CB49,CB50,CB51,CB52,CB60,CB61,CB62,CB63,CB64,CB69)&gt;=0,MIN(BW6,BW13,BW15,BW16,BW18,BW28,BW30,BW31,BW32,BW33,BW38,BW39,BW40,BW41,BW42,BW43,BW44,BW45,BW46,BW47,BW48,BW49,BW50,BW51,BW52,BW60,BW61,BW62,BW63,BW64,BW69)&gt;=0,MIN(BX6,BX13,BX15,BX16,BX18,BX28,BX30,BX31,BX32,BX33,BX38,BX39,BX40,BX41,BX42,BX43,BX44,BX45,BX46,BX47,BX48,BX49,BX50,BX51,BX52,BX60,BX61,BX62,BX63,BX64,BX69)&gt;=0,MIN(BS6,BS13,BS15,BS16,BS18,BS28,BS30,BS31,BS32,BS33,BS38,BS39,BS40,BS41,BS42,BS43,BS44,BS45,BS46,BS47,BS48,BS49,BS50,BS51,BS52,BS60,BS61,BS62,BS63,BS64,BS69)&gt;=0,MIN(BT6,BT13,BT15,BT16,BT18,BT28,BT30,BT31,BT32,BT33,BT38,BT39,BT40,BT41,BT42,BT43,BT44,BT45,BT46,BT47,BT48,BT49,BT50,BT51,BT52,BT60,BT61,BT62,BT63,BT64,BT69)&gt;=0,MIN(BO6,BO13,BO15,BO16,BO18,BO28,BO30,BO31,BO32,BO33,BO38,BO39,BO40,BO41,BO42,BO43,BO44,BO45,BO46,BO47,BO48,BO49,BO50,BO51,BO52,BO60,BO61,BO62,BO63,BO64,BO69)&gt;=0,MIN(BP6,BP13,BP15,BP16,BP18,BP28,BP30,BP31,BP32,BP33,BP38,BP39,BP40,BP41,BP42,BP43,BP44,BP45,BP46,BP47,BP48,BP49,BP50,BP51,BP52,BP60,BP61,BP62,BP63,BP64,BP69)&gt;=0,MIN(BK6,BK13,BK15,BK16,BK18,BK28,BK30,BK31,BK32,BK33,BK38,BK39,BK40,BK41,BK42,BK43,BK44,BK45,BK46,BK47,BK48,BK49,BK50,BK51,BK52,BK60,BK61,BK62,BK63,BK64,BK69)&gt;=0,MIN(BL6,BL13,BL15,BL16,BL18,BL28,BL30,BL31,BL32,BL33,BL38,BL39,BL40,BL41,BL42,BL43,BL44,BL45,BL46,BL47,BL48,BL49,BL50,BL51,BL52,BL60,BL61,BL62,BL63,BL64,BL69)&gt;=0,MIN(BG6,BG13,BG15,BG16,BG18,BG28,BG30,BG31,BG32,BG33,BG38,BG39,BG40,BG41,BG42,BG43,BG44,BG45,BG46,BG47,BG48,BG49,BG50,BG51,BG52,BG60,BG61,BG62,BG63,BG64,BG69)&gt;=0,MIN(BH6,BH13,BH15,BH16,BH18,BH28,BH30,BH31,BH32,BH33,BH38,BH39,BH40,BH41,BH42,BH43,BH44,BH45,BH46,BH47,BH48,BH49,BH50,BH51,BH52,BH60,BH61,BH62,BH63,BH64,BH69)&gt;=0,MIN(BC6,BC13,BC15,BC16,BC18,BC28,BC30,BC31,BC32,BC33,BC38,BC39,BC40,BC41,BC42,BC43,BC44,BC45,BC46,BC47,BC48,BC49,BC50,BC51,BC52,BC60,BC61,BC62,BC63,BC64,BC69)&gt;=0,MIN(BD6,BD13,BD15,BD16,BD18,BD28,BD30,BD31,BD32,BD33,BD38,BD39,BD40,BD41,BD42,BD43,BD44,BD45,BD46,BD47,BD48,BD49,BD50,BD51,BD52,BD60,BD61,BD62,BD63,BD64,BD69)&gt;=0,MIN(AY6,AY13,AY15,AY16,AY18,AY28,AY30,AY31,AY32,AY33,AY38,AY39,AY40,AY41,AY42,AY43,AY44,AY45,AY46,AY47,AY48,AY49,AY50,AY51,AY52,AY60,AY61,AY62,AY63,AY64,AY69)&gt;=0,MIN(AZ6,AZ13,AZ15,AZ16,AZ18,AZ28,AZ30,AZ31,AZ32,AZ33,AZ38,AZ39,AZ40,AZ41,AZ42,AZ43,AZ44,AZ45,AZ46,AZ47,AZ48,AZ49,AZ50,AZ51,AZ52,AZ60,AZ61,AZ62,AZ63,AZ64,AZ69)&gt;=0,MIN(AU6,AU13,AU15,AU16,AU18,AU28,AU30,AU31,AU32,AU33,AU38,AU39,AU40,AU41,AU42,AU43,AU44,AU45,AU46,AU47,AU48,AU49,AU50,AU51,AU52,AU60,AU61,AU62,AU63,AU64,AU69)&gt;=0,MIN(AV6,AV13,AV15,AV16,AV18,AV28,AV30,AV31,AV32,AV33,AV38,AV39,AV40,AV41,AV42,AV43,AV44,AV45,AV46,AV47,AV48,AV49,AV50,AV51,AV52,AV60,AV61,AV62,AV63,AV64,AV69)&gt;=0,MIN(AQ6,AQ13,AQ15,AQ16,AQ18,AQ28,AQ30,AQ31,AQ32,AQ33,AQ38,AQ39,AQ40,AQ41,AQ42,AQ43,AQ44,AQ45,AQ46,AQ47,AQ48,AQ49,AQ50,AQ51,AQ52,AQ60,AQ61,AQ62,AQ63,AQ64,AQ69)&gt;=0,MIN(AR6,AR13,AR15,AR16,AR18,AR28,AR30,AR31,AR32,AR33,AR38,AR39,AR40,AR41,AR42,AR43,AR44,AR45,AR46,AR47,AR48,AR49,AR50,AR51,AR52,AR60,AR61,AR62,AR63,AR64,AR69)&gt;=0,MIN(AM6,AM13,AM15,AM16,AM18,AM28,AM30,AM31,AM32,AM33,AM38,AM39,AM40,AM41,AM42,AM43,AM44,AM45,AM46,AM47,AM48,AM49,AM50,AM51,AM52,AM60,AM61,AM62,AM63,AM64,AM69)&gt;=0,MIN(AN6,AN13,AN15,AN16,AN18,AN28,AN30,AN31,AN32,AN33,AN38,AN39,AN40,AN41,AN42,AN43,AN44,AN45,AN46,AN47,AN48,AN49,AN50,AN51,AN52,AN60,AN61,AN62,AN63,AN64,AN69)&gt;=0,MIN(AI6,AI13,AI15,AI16,AI18,AI28,AI30,AI31,AI32,AI33,AI38,AI39,AI40,AI41,AI42,AI43,AI44,AI45,AI46,AI47,AI48,AI49,AI50,AI51,AI52,AI60,AI61,AI62,AI63,AI64,AI69)&gt;=0,MIN(AJ6,AJ13,AJ15,AJ16,AJ18,AJ28,AJ30,AJ31,AJ32,AJ33,AJ38,AJ39,AJ40,AJ41,AJ42,AJ43,AJ44,AJ45,AJ46,AJ47,AJ48,AJ49,AJ50,AJ51,AJ52,AJ60,AJ61,AJ62,AJ63,AJ64,AJ69)&gt;=0,MIN(AE6,AE13,AE15,AE16,AE18,AE28,AE30,AE31,AE32,AE33,AE38,AE39,AE40,AE41,AE42,AE43,AE44,AE45,AE46,AE47,AE48,AE49,AE50,AE51,AE52,AE60,AE61,AE62,AE63,AE64,AE69)&gt;=0,MIN(AF6,AF13,AF15,AF16,AF18,AF28,AF30,AF31,AF32,AF33,AF38,AF39,AF40,AF41,AF42,AF43,AF44,AF45,AF46,AF47,AF48,AF49,AF50,AF51,AF52,AF60,AF61,AF62,AF63,AF64,AF69)&gt;=0,MIN(AA6,AA13,AA15,AA16,AA18,AA28,AA30,AA31,AA32,AA33,AA38,AA39,AA40,AA41,AA42,AA43,AA44,AA45,AA46,AA47,AA48,AA49,AA50,AA51,AA52,AA60,AA61,AA62,AA63,AA64,AA69)&gt;=0,MIN(AB6,AB13,AB15,AB16,AB18,AB28,AB30,AB31,AB32,AB33,AB38,AB39,AB40,AB41,AB42,AB43,AB44,AB45,AB46,AB47,AB48,AB49,AB50,AB51,AB52,AB60,AB61,AB62,AB63,AB64,AB69)&gt;=0,MIN(W6,W13,W15,W16,W18,W28,W30,W31,W32,W33,W38,W39,W40,W41,W42,W43,W44,W45,W46,W47,W48,W49,W50,W51,W52,W60,W61,W62,W63,W64,W69)&gt;=0,MIN(X6,X13,X15,X16,X18,X28,X30,X31,X32,X33,X38,X39,X40,X41,X42,X43,X44,X45,X46,X47,X48,X49,X50,X51,X52,X60,X61,X62,X63,X64,X69)&gt;=0,MIN(S6,S13,S15,S16,S18,S28,S30,S31,S32,S33,S38,S39,S40,S41,S42,S43,S44,S45,S46,S47,S48,S49,S50,S51,S52,S60,S61,S62,S63,S64,S69)&gt;=0,MIN(T6,T13,T15,T16,T18,T28,T30,T31,T32,T33,T38,T39,T40,T41,T42,T43,T44,T45,T46,T47,T48,T49,T50,T51,T52,T60,T61,T62,T63,T64,T69)&gt;=0,MIN(O6,O13,O15,O16,O18,O28,O30,O31,O32,O33,O38,O39,O40,O41,O42,O43,O44,O45,O46,O47,O48,O49,O50,O51,O52,O60,O61,O62,O63,O64,O69)&gt;=0,MIN(P6,P13,P15,P16,P18,P28,P30,P31,P32,P33,P38,P39,P40,P41,P42,P43,P44,P45,P46,P47,P48,P49,P50,P51,P52,P60,P61,P62,P63,P64,P69)&gt;=0,MIN(K6,K13,K15,K16,K18,K28,K30,K31,K32,K33,K38,K39,K40,K41,K42,K43,K44,K45,K46,K47,K48,K49,K50,K51,K52,K60,K61,K62,K63,K64,K69)&gt;=0,MIN(L6,L13,L15,L16,L18,L28,L30,L31,L32,L33,L38,L39,L40,L41,L42,L43,L44,L45,L46,L47,L48,L49,L50,L51,L52,L60,L61,L62,L63,L64,L69)&gt;=0,MIN(G6,G13,G15,G16,G18,G28,G30,G31,G32,G33,G38,G39,G40,G41,G42,G43,G44,G45,G46,G47,G48,G49,G50,G51,G52,G60,G61,G62,G63,G64,G69)&gt;=0,MIN(H6,H13,H15,H16,H18,H28,H30,H31,H32,H33,H38,H39,H40,H41,H42,H43,H44,H45,H46,H47,H48,H49,H50,H51,H52,H60,H61,H62,H63,H64,H69)&gt;=0),"OK","CHECK")</f>
        <v>OK</v>
      </c>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c r="ED83" s="2"/>
      <c r="EE83" s="2"/>
      <c r="EF83" s="2"/>
      <c r="EG83" s="2"/>
      <c r="EH83" s="2"/>
      <c r="EI83" s="2"/>
      <c r="EJ83" s="2"/>
      <c r="EK83" s="2"/>
      <c r="EL83" s="2"/>
      <c r="EM83" s="2"/>
      <c r="EN83" s="2"/>
      <c r="EO83" s="2"/>
      <c r="EP83" s="2"/>
      <c r="EQ83" s="2"/>
      <c r="ER83" s="2"/>
      <c r="ES83" s="2"/>
    </row>
    <row r="84" ht="18.0" customHeight="1">
      <c r="A84" s="42" t="s">
        <v>85</v>
      </c>
      <c r="B84" s="40" t="str">
        <f>IF(AND(OR(AND(EP$57="",COUNT(EP6,EP8,EP9,EP11,EP12,EP13,EP14,EP15,EP16,EP18,EP21,EP23,EP28,EP30,EP31,EP32,EP33,EP38,EP39,EP40,EP41,EP42,EP43,EP44,EP45,EP46,EP47,EP48,EP49,EP50,EP51,EP52,EP57,EP60,EP61,EP62,EP63,EP64,EP69)=0),AND(EP$57&lt;&gt;"",COUNT(EP6,EP8,EP9,EP11,EP12,EP13,EP14,EP15,EP16,EP18,EP21,EP23,EP28,EP30,EP31,EP32,EP33,EP38,EP39,EP40,EP41,EP42,EP43,EP44,EP45,EP46,EP47,EP48,EP49,EP50,EP51,EP52,EP57,EP60,EP61,EP62,EP63,EP64,EP69)=39)),OR(AND(EL$57="",COUNT(EL6,EL8,EL9,EL11,EL12,EL13,EL14,EL15,EL16,EL18,EL21,EL23,EL28,EL30,EL31,EL32,EL33,EL38,EL39,EL40,EL41,EL42,EL43,EL44,EL45,EL46,EL47,EL48,EL49,EL50,EL51,EL52,EL57,EL60,EL61,EL62,EL63,EL64,EL69)=0),AND(EL$57&lt;&gt;"",COUNT(EL6,EL8,EL9,EL11,EL12,EL13,EL14,EL15,EL16,EL18,EL21,EL23,EL28,EL30,EL31,EL32,EL33,EL38,EL39,EL40,EL41,EL42,EL43,EL44,EL45,EL46,EL47,EL48,EL49,EL50,EL51,EL52,EL57,EL60,EL61,EL62,EL63,EL64,EL69)=39)),OR(AND(EH$57="",COUNT(EH6,EH8,EH9,EH11,EH12,EH13,EH14,EH15,EH16,EH18,EH21,EH23,EH28,EH30,EH31,EH32,EH33,EH38,EH39,EH40,EH41,EH42,EH43,EH44,EH45,EH46,EH47,EH48,EH49,EH50,EH51,EH52,EH57,EH60,EH61,EH62,EH63,EH64,EH69)=0),AND(EH$57&lt;&gt;"",COUNT(EH6,EH8,EH9,EH11,EH12,EH13,EH14,EH15,EH16,EH18,EH21,EH23,EH28,EH30,EH31,EH32,EH33,EH38,EH39,EH40,EH41,EH42,EH43,EH44,EH45,EH46,EH47,EH48,EH49,EH50,EH51,EH52,EH57,EH60,EH61,EH62,EH63,EH64,EH69)=39)),OR(AND(ED$57="",COUNT(ED6,ED8,ED9,ED11,ED12,ED13,ED14,ED15,ED16,ED18,ED21,ED23,ED28,ED30,ED31,ED32,ED33,ED38,ED39,ED40,ED41,ED42,ED43,ED44,ED45,ED46,ED47,ED48,ED49,ED50,ED51,ED52,ED57,ED60,ED61,ED62,ED63,ED64,ED69)=0),AND(ED$57&lt;&gt;"",COUNT(ED6,ED8,ED9,ED11,ED12,ED13,ED14,ED15,ED16,ED18,ED21,ED23,ED28,ED30,ED31,ED32,ED33,ED38,ED39,ED40,ED41,ED42,ED43,ED44,ED45,ED46,ED47,ED48,ED49,ED50,ED51,ED52,ED57,ED60,ED61,ED62,ED63,ED64,ED69)=39)),OR(AND(DZ$57="",COUNT(DZ6,DZ8,DZ9,DZ11,DZ12,DZ13,DZ14,DZ15,DZ16,DZ18,DZ21,DZ23,DZ28,DZ30,DZ31,DZ32,DZ33,DZ38,DZ39,DZ40,DZ41,DZ42,DZ43,DZ44,DZ45,DZ46,DZ47,DZ48,DZ49,DZ50,DZ51,DZ52,DZ57,DZ60,DZ61,DZ62,DZ63,DZ64,DZ69)=0),AND(DZ$57&lt;&gt;"",COUNT(DZ6,DZ8,DZ9,DZ11,DZ12,DZ13,DZ14,DZ15,DZ16,DZ18,DZ21,DZ23,DZ28,DZ30,DZ31,DZ32,DZ33,DZ38,DZ39,DZ40,DZ41,DZ42,DZ43,DZ44,DZ45,DZ46,DZ47,DZ48,DZ49,DZ50,DZ51,DZ52,DZ57,DZ60,DZ61,DZ62,DZ63,DZ64,DZ69)=39)),OR(AND(DV$57="",COUNT(DV6,DV8,DV9,DV11,DV12,DV13,DV14,DV15,DV16,DV18,DV21,DV23,DV28,DV30,DV31,DV32,DV33,DV38,DV39,DV40,DV41,DV42,DV43,DV44,DV45,DV46,DV47,DV48,DV49,DV50,DV51,DV52,DV57,DV60,DV61,DV62,DV63,DV64,DV69)=0),AND(DV$57&lt;&gt;"",COUNT(DV6,DV8,DV9,DV11,DV12,DV13,DV14,DV15,DV16,DV18,DV21,DV23,DV28,DV30,DV31,DV32,DV33,DV38,DV39,DV40,DV41,DV42,DV43,DV44,DV45,DV46,DV47,DV48,DV49,DV50,DV51,DV52,DV57,DV60,DV61,DV62,DV63,DV64,DV69)=39)),OR(AND(DR$57="",COUNT(DR6,DR8,DR9,DR11,DR12,DR13,DR14,DR15,DR16,DR18,DR21,DR23,DR28,DR30,DR31,DR32,DR33,DR38,DR39,DR40,DR41,DR42,DR43,DR44,DR45,DR46,DR47,DR48,DR49,DR50,DR51,DR52,DR57,DR60,DR61,DR62,DR63,DR64,DR69)=0),AND(DR$57&lt;&gt;"",COUNT(DR6,DR8,DR9,DR11,DR12,DR13,DR14,DR15,DR16,DR18,DR21,DR23,DR28,DR30,DR31,DR32,DR33,DR38,DR39,DR40,DR41,DR42,DR43,DR44,DR45,DR46,DR47,DR48,DR49,DR50,DR51,DR52,DR57,DR60,DR61,DR62,DR63,DR64,DR69)=39)),OR(AND(DN$57="",COUNT(DN6,DN8,DN9,DN11,DN12,DN13,DN14,DN15,DN16,DN18,DN21,DN23,DN28,DN30,DN31,DN32,DN33,DN38,DN39,DN40,DN41,DN42,DN43,DN44,DN45,DN46,DN47,DN48,DN49,DN50,DN51,DN52,DN57,DN60,DN61,DN62,DN63,DN64,DN69)=0),AND(DN$57&lt;&gt;"",COUNT(DN6,DN8,DN9,DN11,DN12,DN13,DN14,DN15,DN16,DN18,DN21,DN23,DN28,DN30,DN31,DN32,DN33,DN38,DN39,DN40,DN41,DN42,DN43,DN44,DN45,DN46,DN47,DN48,DN49,DN50,DN51,DN52,DN57,DN60,DN61,DN62,DN63,DN64,DN69)=39)),OR(AND(DJ$57="",COUNT(DJ6,DJ8,DJ9,DJ11,DJ12,DJ13,DJ14,DJ15,DJ16,DJ18,DJ21,DJ23,DJ28,DJ30,DJ31,DJ32,DJ33,DJ38,DJ39,DJ40,DJ41,DJ42,DJ43,DJ44,DJ45,DJ46,DJ47,DJ48,DJ49,DJ50,DJ51,DJ52,DJ57,DJ60,DJ61,DJ62,DJ63,DJ64,DJ69)=0),AND(DJ$57&lt;&gt;"",COUNT(DJ6,DJ8,DJ9,DJ11,DJ12,DJ13,DJ14,DJ15,DJ16,DJ18,DJ21,DJ23,DJ28,DJ30,DJ31,DJ32,DJ33,DJ38,DJ39,DJ40,DJ41,DJ42,DJ43,DJ44,DJ45,DJ46,DJ47,DJ48,DJ49,DJ50,DJ51,DJ52,DJ57,DJ60,DJ61,DJ62,DJ63,DJ64,DJ69)=39)),OR(AND(DF$57="",COUNT(DF6,DF8,DF9,DF11,DF12,DF13,DF14,DF15,DF16,DF18,DF21,DF23,DF28,DF30,DF31,DF32,DF33,DF38,DF39,DF40,DF41,DF42,DF43,DF44,DF45,DF46,DF47,DF48,DF49,DF50,DF51,DF52,DF57,DF60,DF61,DF62,DF63,DF64,DF69)=0),AND(DF$57&lt;&gt;"",COUNT(DF6,DF8,DF9,DF11,DF12,DF13,DF14,DF15,DF16,DF18,DF21,DF23,DF28,DF30,DF31,DF32,DF33,DF38,DF39,DF40,DF41,DF42,DF43,DF44,DF45,DF46,DF47,DF48,DF49,DF50,DF51,DF52,DF57,DF60,DF61,DF62,DF63,DF64,DF69)=39)),OR(AND(DB$57="",COUNT(DB6,DB8,DB9,DB11,DB12,DB13,DB14,DB15,DB16,DB18,DB21,DB23,DB28,DB30,DB31,DB32,DB33,DB38,DB39,DB40,DB41,DB42,DB43,DB44,DB45,DB46,DB47,DB48,DB49,DB50,DB51,DB52,DB57,DB60,DB61,DB62,DB63,DB64,DB69)=0),AND(DB$57&lt;&gt;"",COUNT(DB6,DB8,DB9,DB11,DB12,DB13,DB14,DB15,DB16,DB18,DB21,DB23,DB28,DB30,DB31,DB32,DB33,DB38,DB39,DB40,DB41,DB42,DB43,DB44,DB45,DB46,DB47,DB48,DB49,DB50,DB51,DB52,DB57,DB60,DB61,DB62,DB63,DB64,DB69)=39)),OR(AND(CX$57="",COUNT(CX6,CX8,CX9,CX11,CX12,CX13,CX14,CX15,CX16,CX18,CX21,CX23,CX28,CX30,CX31,CX32,CX33,CX38,CX39,CX40,CX41,CX42,CX43,CX44,CX45,CX46,CX47,CX48,CX49,CX50,CX51,CX52,CX57,CX60,CX61,CX62,CX63,CX64,CX69)=0),AND(CX$57&lt;&gt;"",COUNT(CX6,CX8,CX9,CX11,CX12,CX13,CX14,CX15,CX16,CX18,CX21,CX23,CX28,CX30,CX31,CX32,CX33,CX38,CX39,CX40,CX41,CX42,CX43,CX44,CX45,CX46,CX47,CX48,CX49,CX50,CX51,CX52,CX57,CX60,CX61,CX62,CX63,CX64,CX69)=39)),OR(AND(CT$57="",COUNT(CT6,CT8,CT9,CT11,CT12,CT13,CT14,CT15,CT16,CT18,CT21,CT23,CT28,CT30,CT31,CT32,CT33,CT38,CT39,CT40,CT41,CT42,CT43,CT44,CT45,CT46,CT47,CT48,CT49,CT50,CT51,CT52,CT57,CT60,CT61,CT62,CT63,CT64,CT69)=0),AND(CT$57&lt;&gt;"",COUNT(CT6,CT8,CT9,CT11,CT12,CT13,CT14,CT15,CT16,CT18,CT21,CT23,CT28,CT30,CT31,CT32,CT33,CT38,CT39,CT40,CT41,CT42,CT43,CT44,CT45,CT46,CT47,CT48,CT49,CT50,CT51,CT52,CT57,CT60,CT61,CT62,CT63,CT64,CT69)=39)),OR(AND(CP$57="",COUNT(CP6,CP8,CP9,CP11,CP12,CP13,CP14,CP15,CP16,CP18,CP21,CP23,CP28,CP30,CP31,CP32,CP33,CP38,CP39,CP40,CP41,CP42,CP43,CP44,CP45,CP46,CP47,CP48,CP49,CP50,CP51,CP52,CP57,CP60,CP61,CP62,CP63,CP64,CP69)=0),AND(CP$57&lt;&gt;"",COUNT(CP6,CP8,CP9,CP11,CP12,CP13,CP14,CP15,CP16,CP18,CP21,CP23,CP28,CP30,CP31,CP32,CP33,CP38,CP39,CP40,CP41,CP42,CP43,CP44,CP45,CP46,CP47,CP48,CP49,CP50,CP51,CP52,CP57,CP60,CP61,CP62,CP63,CP64,CP69)=39)),OR(AND(CL$57="",COUNT(CL6,CL8,CL9,CL11,CL12,CL13,CL14,CL15,CL16,CL18,CL21,CL23,CL28,CL30,CL31,CL32,CL33,CL38,CL39,CL40,CL41,CL42,CL43,CL44,CL45,CL46,CL47,CL48,CL49,CL50,CL51,CL52,CL57,CL60,CL61,CL62,CL63,CL64,CL69)=0),AND(CL$57&lt;&gt;"",COUNT(CL6,CL8,CL9,CL11,CL12,CL13,CL14,CL15,CL16,CL18,CL21,CL23,CL28,CL30,CL31,CL32,CL33,CL38,CL39,CL40,CL41,CL42,CL43,CL44,CL45,CL46,CL47,CL48,CL49,CL50,CL51,CL52,CL57,CL60,CL61,CL62,CL63,CL64,CL69)=39)),OR(AND(CH$57="",COUNT(CH6,CH8,CH9,CH11,CH12,CH13,CH14,CH15,CH16,CH18,CH21,CH23,CH28,CH30,CH31,CH32,CH33,CH38,CH39,CH40,CH41,CH42,CH43,CH44,CH45,CH46,CH47,CH48,CH49,CH50,CH51,CH52,CH57,CH60,CH61,CH62,CH63,CH64,CH69)=0),AND(CH$57&lt;&gt;"",COUNT(CH6,CH8,CH9,CH11,CH12,CH13,CH14,CH15,CH16,CH18,CH21,CH23,CH28,CH30,CH31,CH32,CH33,CH38,CH39,CH40,CH41,CH42,CH43,CH44,CH45,CH46,CH47,CH48,CH49,CH50,CH51,CH52,CH57,CH60,CH61,CH62,CH63,CH64,CH69)=39)),OR(AND(CD$57="",COUNT(CD6,CD8,CD9,CD11,CD12,CD13,CD14,CD15,CD16,CD18,CD21,CD23,CD28,CD30,CD31,CD32,CD33,CD38,CD39,CD40,CD41,CD42,CD43,CD44,CD45,CD46,CD47,CD48,CD49,CD50,CD51,CD52,CD57,CD60,CD61,CD62,CD63,CD64,CD69)=0),AND(CD$57&lt;&gt;"",COUNT(CD6,CD8,CD9,CD11,CD12,CD13,CD14,CD15,CD16,CD18,CD21,CD23,CD28,CD30,CD31,CD32,CD33,CD38,CD39,CD40,CD41,CD42,CD43,CD44,CD45,CD46,CD47,CD48,CD49,CD50,CD51,CD52,CD57,CD60,CD61,CD62,CD63,CD64,CD69)=39)),OR(AND(BZ$57="",COUNT(BZ6,BZ8,BZ9,BZ11,BZ12,BZ13,BZ14,BZ15,BZ16,BZ18,BZ21,BZ23,BZ28,BZ30,BZ31,BZ32,BZ33,BZ38,BZ39,BZ40,BZ41,BZ42,BZ43,BZ44,BZ45,BZ46,BZ47,BZ48,BZ49,BZ50,BZ51,BZ52,BZ57,BZ60,BZ61,BZ62,BZ63,BZ64,BZ69)=0),AND(BZ$57&lt;&gt;"",COUNT(BZ6,BZ8,BZ9,BZ11,BZ12,BZ13,BZ14,BZ15,BZ16,BZ18,BZ21,BZ23,BZ28,BZ30,BZ31,BZ32,BZ33,BZ38,BZ39,BZ40,BZ41,BZ42,BZ43,BZ44,BZ45,BZ46,BZ47,BZ48,BZ49,BZ50,BZ51,BZ52,BZ57,BZ60,BZ61,BZ62,BZ63,BZ64,BZ69)=39)),OR(AND(BV$57="",COUNT(BV6,BV8,BV9,BV11,BV12,BV13,BV14,BV15,BV16,BV18,BV21,BV23,BV28,BV30,BV31,BV32,BV33,BV38,BV39,BV40,BV41,BV42,BV43,BV44,BV45,BV46,BV47,BV48,BV49,BV50,BV51,BV52,BV57,BV60,BV61,BV62,BV63,BV64,BV69)=0),AND(BV$57&lt;&gt;"",COUNT(BV6,BV8,BV9,BV11,BV12,BV13,BV14,BV15,BV16,BV18,BV21,BV23,BV28,BV30,BV31,BV32,BV33,BV38,BV39,BV40,BV41,BV42,BV43,BV44,BV45,BV46,BV47,BV48,BV49,BV50,BV51,BV52,BV57,BV60,BV61,BV62,BV63,BV64,BV69)=39)),OR(AND(BR$57="",COUNT(BR6,BR8,BR9,BR11,BR12,BR13,BR14,BR15,BR16,BR18,BR21,BR23,BR28,BR30,BR31,BR32,BR33,BR38,BR39,BR40,BR41,BR42,BR43,BR44,BR45,BR46,BR47,BR48,BR49,BR50,BR51,BR52,BR57,BR60,BR61,BR62,BR63,BR64,BR69)=0),AND(BR$57&lt;&gt;"",COUNT(BR6,BR8,BR9,BR11,BR12,BR13,BR14,BR15,BR16,BR18,BR21,BR23,BR28,BR30,BR31,BR32,BR33,BR38,BR39,BR40,BR41,BR42,BR43,BR44,BR45,BR46,BR47,BR48,BR49,BR50,BR51,BR52,BR57,BR60,BR61,BR62,BR63,BR64,BR69)=39)),OR(AND(BN$57="",COUNT(BN6,BN8,BN9,BN11,BN12,BN13,BN14,BN15,BN16,BN18,BN21,BN23,BN28,BN30,BN31,BN32,BN33,BN38,BN39,BN40,BN41,BN42,BN43,BN44,BN45,BN46,BN47,BN48,BN49,BN50,BN51,BN52,BN57,BN60,BN61,BN62,BN63,BN64,BN69)=0),AND(BN$57&lt;&gt;"",COUNT(BN6,BN8,BN9,BN11,BN12,BN13,BN14,BN15,BN16,BN18,BN21,BN23,BN28,BN30,BN31,BN32,BN33,BN38,BN39,BN40,BN41,BN42,BN43,BN44,BN45,BN46,BN47,BN48,BN49,BN50,BN51,BN52,BN57,BN60,BN61,BN62,BN63,BN64,BN69)=39)),OR(AND(BJ$57="",COUNT(BJ6,BJ8,BJ9,BJ11,BJ12,BJ13,BJ14,BJ15,BJ16,BJ18,BJ21,BJ23,BJ28,BJ30,BJ31,BJ32,BJ33,BJ38,BJ39,BJ40,BJ41,BJ42,BJ43,BJ44,BJ45,BJ46,BJ47,BJ48,BJ49,BJ50,BJ51,BJ52,BJ57,BJ60,BJ61,BJ62,BJ63,BJ64,BJ69)=0),AND(BJ$57&lt;&gt;"",COUNT(BJ6,BJ8,BJ9,BJ11,BJ12,BJ13,BJ14,BJ15,BJ16,BJ18,BJ21,BJ23,BJ28,BJ30,BJ31,BJ32,BJ33,BJ38,BJ39,BJ40,BJ41,BJ42,BJ43,BJ44,BJ45,BJ46,BJ47,BJ48,BJ49,BJ50,BJ51,BJ52,BJ57,BJ60,BJ61,BJ62,BJ63,BJ64,BJ69)=39)),OR(AND(BF$57="",COUNT(BF6,BF8,BF9,BF11,BF12,BF13,BF14,BF15,BF16,BF18,BF21,BF23,BF28,BF30,BF31,BF32,BF33,BF38,BF39,BF40,BF41,BF42,BF43,BF44,BF45,BF46,BF47,BF48,BF49,BF50,BF51,BF52,BF57,BF60,BF61,BF62,BF63,BF64,BF69)=0),AND(BF$57&lt;&gt;"",COUNT(BF6,BF8,BF9,BF11,BF12,BF13,BF14,BF15,BF16,BF18,BF21,BF23,BF28,BF30,BF31,BF32,BF33,BF38,BF39,BF40,BF41,BF42,BF43,BF44,BF45,BF46,BF47,BF48,BF49,BF50,BF51,BF52,BF57,BF60,BF61,BF62,BF63,BF64,BF69)=39)),OR(AND(BB$57="",COUNT(BB6,BB8,BB9,BB11,BB12,BB13,BB14,BB15,BB16,BB18,BB21,BB23,BB28,BB30,BB31,BB32,BB33,BB38,BB39,BB40,BB41,BB42,BB43,BB44,BB45,BB46,BB47,BB48,BB49,BB50,BB51,BB52,BB57,BB60,BB61,BB62,BB63,BB64,BB69)=0),AND(BB$57&lt;&gt;"",COUNT(BB6,BB8,BB9,BB11,BB12,BB13,BB14,BB15,BB16,BB18,BB21,BB23,BB28,BB30,BB31,BB32,BB33,BB38,BB39,BB40,BB41,BB42,BB43,BB44,BB45,BB46,BB47,BB48,BB49,BB50,BB51,BB52,BB57,BB60,BB61,BB62,BB63,BB64,BB69)=39)),OR(AND(AX$57="",COUNT(AX6,AX8,AX9,AX11,AX12,AX13,AX14,AX15,AX16,AX18,AX21,AX23,AX28,AX30,AX31,AX32,AX33,AX38,AX39,AX40,AX41,AX42,AX43,AX44,AX45,AX46,AX47,AX48,AX49,AX50,AX51,AX52,AX57,AX60,AX61,AX62,AX63,AX64,AX69)=0),AND(AX$57&lt;&gt;"",COUNT(AX6,AX8,AX9,AX11,AX12,AX13,AX14,AX15,AX16,AX18,AX21,AX23,AX28,AX30,AX31,AX32,AX33,AX38,AX39,AX40,AX41,AX42,AX43,AX44,AX45,AX46,AX47,AX48,AX49,AX50,AX51,AX52,AX57,AX60,AX61,AX62,AX63,AX64,AX69)=39)),OR(AND(AT$57="",COUNT(AT6,AT8,AT9,AT11,AT12,AT13,AT14,AT15,AT16,AT18,AT21,AT23,AT28,AT30,AT31,AT32,AT33,AT38,AT39,AT40,AT41,AT42,AT43,AT44,AT45,AT46,AT47,AT48,AT49,AT50,AT51,AT52,AT57,AT60,AT61,AT62,AT63,AT64,AT69)=0),AND(AT$57&lt;&gt;"",COUNT(AT6,AT8,AT9,AT11,AT12,AT13,AT14,AT15,AT16,AT18,AT21,AT23,AT28,AT30,AT31,AT32,AT33,AT38,AT39,AT40,AT41,AT42,AT43,AT44,AT45,AT46,AT47,AT48,AT49,AT50,AT51,AT52,AT57,AT60,AT61,AT62,AT63,AT64,AT69)=39)),OR(AND(AP$57="",COUNT(AP6,AP8,AP9,AP11,AP12,AP13,AP14,AP15,AP16,AP18,AP21,AP23,AP28,AP30,AP31,AP32,AP33,AP38,AP39,AP40,AP41,AP42,AP43,AP44,AP45,AP46,AP47,AP48,AP49,AP50,AP51,AP52,AP57,AP60,AP61,AP62,AP63,AP64,AP69)=0),AND(AP$57&lt;&gt;"",COUNT(AP6,AP8,AP9,AP11,AP12,AP13,AP14,AP15,AP16,AP18,AP21,AP23,AP28,AP30,AP31,AP32,AP33,AP38,AP39,AP40,AP41,AP42,AP43,AP44,AP45,AP46,AP47,AP48,AP49,AP50,AP51,AP52,AP57,AP60,AP61,AP62,AP63,AP64,AP69)=39)),OR(AND(AL$57="",COUNT(AL6,AL8,AL9,AL11,AL12,AL13,AL14,AL15,AL16,AL18,AL21,AL23,AL28,AL30,AL31,AL32,AL33,AL38,AL39,AL40,AL41,AL42,AL43,AL44,AL45,AL46,AL47,AL48,AL49,AL50,AL51,AL52,AL57,AL60,AL61,AL62,AL63,AL64,AL69)=0),AND(AL$57&lt;&gt;"",COUNT(AL6,AL8,AL9,AL11,AL12,AL13,AL14,AL15,AL16,AL18,AL21,AL23,AL28,AL30,AL31,AL32,AL33,AL38,AL39,AL40,AL41,AL42,AL43,AL44,AL45,AL46,AL47,AL48,AL49,AL50,AL51,AL52,AL57,AL60,AL61,AL62,AL63,AL64,AL69)=39)),OR(AND(AH$57="",COUNT(AH6,AH8,AH9,AH11,AH12,AH13,AH14,AH15,AH16,AH18,AH21,AH23,AH28,AH30,AH31,AH32,AH33,AH38,AH39,AH40,AH41,AH42,AH43,AH44,AH45,AH46,AH47,AH48,AH49,AH50,AH51,AH52,AH57,AH60,AH61,AH62,AH63,AH64,AH69)=0),AND(AH$57&lt;&gt;"",COUNT(AH6,AH8,AH9,AH11,AH12,AH13,AH14,AH15,AH16,AH18,AH21,AH23,AH28,AH30,AH31,AH32,AH33,AH38,AH39,AH40,AH41,AH42,AH43,AH44,AH45,AH46,AH47,AH48,AH49,AH50,AH51,AH52,AH57,AH60,AH61,AH62,AH63,AH64,AH69)=39)),OR(AND(AD$57="",COUNT(AD6,AD8,AD9,AD11,AD12,AD13,AD14,AD15,AD16,AD18,AD21,AD23,AD28,AD30,AD31,AD32,AD33,AD38,AD39,AD40,AD41,AD42,AD43,AD44,AD45,AD46,AD47,AD48,AD49,AD50,AD51,AD52,AD57,AD60,AD61,AD62,AD63,AD64,AD69)=0),AND(AD$57&lt;&gt;"",COUNT(AD6,AD8,AD9,AD11,AD12,AD13,AD14,AD15,AD16,AD18,AD21,AD23,AD28,AD30,AD31,AD32,AD33,AD38,AD39,AD40,AD41,AD42,AD43,AD44,AD45,AD46,AD47,AD48,AD49,AD50,AD51,AD52,AD57,AD60,AD61,AD62,AD63,AD64,AD69)=39)),OR(AND(Z$57="",COUNT(Z6,Z8,Z9,Z11,Z12,Z13,Z14,Z15,Z16,Z18,Z21,Z23,Z28,Z30,Z31,Z32,Z33,Z38,Z39,Z40,Z41,Z42,Z43,Z44,Z45,Z46,Z47,Z48,Z49,Z50,Z51,Z52,Z57,Z60,Z61,Z62,Z63,Z64,Z69)=0),AND(Z$57&lt;&gt;"",COUNT(Z6,Z8,Z9,Z11,Z12,Z13,Z14,Z15,Z16,Z18,Z21,Z23,Z28,Z30,Z31,Z32,Z33,Z38,Z39,Z40,Z41,Z42,Z43,Z44,Z45,Z46,Z47,Z48,Z49,Z50,Z51,Z52,Z57,Z60,Z61,Z62,Z63,Z64,Z69)=39)),OR(AND(V$57="",COUNT(V6,V8,V9,V11,V12,V13,V14,V15,V16,V18,V21,V23,V28,V30,V31,V32,V33,V38,V39,V40,V41,V42,V43,V44,V45,V46,V47,V48,V49,V50,V51,V52,V57,V60,V61,V62,V63,V64,V69)=0),AND(V$57&lt;&gt;"",COUNT(V6,V8,V9,V11,V12,V13,V14,V15,V16,V18,V21,V23,V28,V30,V31,V32,V33,V38,V39,V40,V41,V42,V43,V44,V45,V46,V47,V48,V49,V50,V51,V52,V57,V60,V61,V62,V63,V64,V69)=39)),OR(AND(R$57="",COUNT(R6,R8,R9,R11,R12,R13,R14,R15,R16,R18,R21,R23,R28,R30,R31,R32,R33,R38,R39,R40,R41,R42,R43,R44,R45,R46,R47,R48,R49,R50,R51,R52,R57,R60,R61,R62,R63,R64,R69)=0),AND(R$57&lt;&gt;"",COUNT(R6,R8,R9,R11,R12,R13,R14,R15,R16,R18,R21,R23,R28,R30,R31,R32,R33,R38,R39,R40,R41,R42,R43,R44,R45,R46,R47,R48,R49,R50,R51,R52,R57,R60,R61,R62,R63,R64,R69)=39)),OR(AND(N$57="",COUNT(N6,N8,N9,N11,N12,N13,N14,N15,N16,N18,N21,N23,N28,N30,N31,N32,N33,N38,N39,N40,N41,N42,N43,N44,N45,N46,N47,N48,N49,N50,N51,N52,N57,N60,N61,N62,N63,N64,N69)=0),AND(N$57&lt;&gt;"",COUNT(N6,N8,N9,N11,N12,N13,N14,N15,N16,N18,N21,N23,N28,N30,N31,N32,N33,N38,N39,N40,N41,N42,N43,N44,N45,N46,N47,N48,N49,N50,N51,N52,N57,N60,N61,N62,N63,N64,N69)=39)),OR(AND(J$57="",COUNT(J6,J8,J9,J11,J12,J13,J14,J15,J16,J18,J21,J23,J28,J30,J31,J32,J33,J38,J39,J40,J41,J42,J43,J44,J45,J46,J47,J48,J49,J50,J51,J52,J57,J60,J61,J62,J63,J64,J69)=0),AND(J$57&lt;&gt;"",COUNT(J6,J8,J9,J11,J12,J13,J14,J15,J16,J18,J21,J23,J28,J30,J31,J32,J33,J38,J39,J40,J41,J42,J43,J44,J45,J46,J47,J48,J49,J50,J51,J52,J57,J60,J61,J62,J63,J64,J69)=39)),OR(AND(F$57="",COUNT(F6,F8,F9,F11,F12,F13,F14,F15,F16,F18,F21,F23,F28,F30,F31,F32,F33,F38,F39,F40,F41,F42,F43,F44,F45,F46,F47,F48,F49,F50,F51,F52,F57,F60,F61,F62,F63,F64,F69)=0),AND(F$57&lt;&gt;"",COUNT(F6,F8,F9,F11,F12,F13,F14,F15,F16,F18,F21,F23,F28,F30,F31,F32,F33,F38,F39,F40,F41,F42,F43,F44,F45,F46,F47,F48,F49,F50,F51,F52,F57,F60,F61,F62,F63,F64,F69)=39)),OR(EL97&lt;&gt;1,EP97=1),OR(EH97&lt;&gt;1,EL97=1),OR(ED97&lt;&gt;1,EH97=1),OR(DZ97&lt;&gt;1,ED97=1),OR(DV97&lt;&gt;1,DZ97=1),OR(DR97&lt;&gt;1,DV97=1),OR(DN97&lt;&gt;1,DR97=1),OR(DJ97&lt;&gt;1,DN97=1),OR(DF97&lt;&gt;1,DJ97=1),OR(DB97&lt;&gt;1,DF97=1),OR(CX97&lt;&gt;1,DB97=1),OR(CT97&lt;&gt;1,CX97=1),OR(CP97&lt;&gt;1,CT97=1),OR(CL97&lt;&gt;1,CP97=1),OR(CH97&lt;&gt;1,CL97=1),OR(CD97&lt;&gt;1,CH97=1),OR(BZ97&lt;&gt;1,CD97=1),OR(BV97&lt;&gt;1,BZ97=1),OR(BR97&lt;&gt;1,BV97=1),OR(BN97&lt;&gt;1,BR97=1),OR(BJ97&lt;&gt;1,BN97=1),OR(BF97&lt;&gt;1,BJ97=1),OR(BB97&lt;&gt;1,BF97=1),OR(AX97&lt;&gt;1,BB97=1),OR(AT97&lt;&gt;1,AX97=1),OR(AP97&lt;&gt;1,AT97=1),OR(AL97&lt;&gt;1,AP97=1),OR(AH97&lt;&gt;1,AL97=1),OR(AD97&lt;&gt;1,AH97=1),OR(Z97&lt;&gt;1,AD97=1),OR(V97&lt;&gt;1,Z97=1),OR(R97&lt;&gt;1,V97=1),OR(N97&lt;&gt;1,R97=1),OR(J97&lt;&gt;1,N97=1),OR(F97&lt;&gt;1,J97=1)),"OK","CHECK")</f>
        <v>OK</v>
      </c>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c r="DT84" s="2"/>
      <c r="DU84" s="2"/>
      <c r="DV84" s="2"/>
      <c r="DW84" s="2"/>
      <c r="DX84" s="2"/>
      <c r="DY84" s="2"/>
      <c r="DZ84" s="2"/>
      <c r="EA84" s="2"/>
      <c r="EB84" s="2"/>
      <c r="EC84" s="2"/>
      <c r="ED84" s="2"/>
      <c r="EE84" s="2"/>
      <c r="EF84" s="2"/>
      <c r="EG84" s="2"/>
      <c r="EH84" s="2"/>
      <c r="EI84" s="2"/>
      <c r="EJ84" s="2"/>
      <c r="EK84" s="2"/>
      <c r="EL84" s="2"/>
      <c r="EM84" s="2"/>
      <c r="EN84" s="2"/>
      <c r="EO84" s="2"/>
      <c r="EP84" s="2"/>
      <c r="EQ84" s="2"/>
      <c r="ER84" s="2"/>
      <c r="ES84" s="2"/>
    </row>
    <row r="85" ht="18.0" customHeight="1">
      <c r="A85" s="42" t="s">
        <v>86</v>
      </c>
      <c r="B85" s="40" t="str">
        <f>IF(AND(ABS(EQ17-EQ15*EQ16)&lt;0.01,ABS(ER17-ER15*ER16)&lt;0.01,ABS(EM17-EM15*EM16)&lt;0.01,ABS(EN17-EN15*EN16)&lt;0.01,ABS(EI17-EI15*EI16)&lt;0.01,ABS(EJ17-EJ15*EJ16)&lt;0.01,ABS(EE17-EE15*EE16)&lt;0.01,ABS(EF17-EF15*EF16)&lt;0.01,ABS(EA17-EA15*EA16)&lt;0.01,ABS(EB17-EB15*EB16)&lt;0.01,ABS(DW17-DW15*DW16)&lt;0.01,ABS(DX17-DX15*DX16)&lt;0.01,ABS(DS17-DS15*DS16)&lt;0.01,ABS(DT17-DT15*DT16)&lt;0.01,ABS(DO17-DO15*DO16)&lt;0.01,ABS(DP17-DP15*DP16)&lt;0.01,ABS(DK17-DK15*DK16)&lt;0.01,ABS(DL17-DL15*DL16)&lt;0.01,ABS(DG17-DG15*DG16)&lt;0.01,ABS(DH17-DH15*DH16)&lt;0.01,ABS(DC17-DC15*DC16)&lt;0.01,ABS(DD17-DD15*DD16)&lt;0.01,ABS(CY17-CY15*CY16)&lt;0.01,ABS(CZ17-CZ15*CZ16)&lt;0.01,ABS(CU17-CU15*CU16)&lt;0.01,ABS(CV17-CV15*CV16)&lt;0.01,ABS(CQ17-CQ15*CQ16)&lt;0.01,ABS(CR17-CR15*CR16)&lt;0.01,ABS(CM17-CM15*CM16)&lt;0.01,ABS(CN17-CN15*CN16)&lt;0.01,ABS(CI17-CI15*CI16)&lt;0.01,ABS(CJ17-CJ15*CJ16)&lt;0.01,ABS(CE17-CE15*CE16)&lt;0.01,ABS(CF17-CF15*CF16)&lt;0.01,ABS(CA17-CA15*CA16)&lt;0.01,ABS(CB17-CB15*CB16)&lt;0.01,ABS(BW17-BW15*BW16)&lt;0.01,ABS(BX17-BX15*BX16)&lt;0.01,ABS(BS17-BS15*BS16)&lt;0.01,ABS(BT17-BT15*BT16)&lt;0.01,ABS(BO17-BO15*BO16)&lt;0.01,ABS(BP17-BP15*BP16)&lt;0.01,ABS(BK17-BK15*BK16)&lt;0.01,ABS(BL17-BL15*BL16)&lt;0.01,ABS(BG17-BG15*BG16)&lt;0.01,ABS(BH17-BH15*BH16)&lt;0.01,ABS(BC17-BC15*BC16)&lt;0.01,ABS(BD17-BD15*BD16)&lt;0.01,ABS(AY17-AY15*AY16)&lt;0.01,ABS(AZ17-AZ15*AZ16)&lt;0.01,ABS(AU17-AU15*AU16)&lt;0.01,ABS(AV17-AV15*AV16)&lt;0.01,ABS(AQ17-AQ15*AQ16)&lt;0.01,ABS(AR17-AR15*AR16)&lt;0.01,ABS(AM17-AM15*AM16)&lt;0.01,ABS(AN17-AN15*AN16)&lt;0.01,ABS(AI17-AI15*AI16)&lt;0.01,ABS(AJ17-AJ15*AJ16)&lt;0.01,ABS(AE17-AE15*AE16)&lt;0.01,ABS(AF17-AF15*AF16)&lt;0.01,ABS(AA17-AA15*AA16)&lt;0.01,ABS(AB17-AB15*AB16)&lt;0.01,ABS(W17-W15*W16)&lt;0.01,ABS(X17-X15*X16)&lt;0.01,ABS(S17-S15*S16)&lt;0.01,ABS(T17-T15*T16)&lt;0.01,ABS(O17-O15*O16)&lt;0.01,ABS(P17-P15*P16)&lt;0.01,ABS(K17-K15*K16)&lt;0.01,ABS(L17-L15*L16)&lt;0.01,ABS(G17-G15*G16)&lt;0.01,ABS(H17-H15*H16)&lt;0.01),"OK","CHECK")</f>
        <v>OK</v>
      </c>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c r="CG85" s="2"/>
      <c r="CH85" s="2"/>
      <c r="CI85" s="2"/>
      <c r="CJ85" s="2"/>
      <c r="CK85" s="2"/>
      <c r="CL85" s="2"/>
      <c r="CM85" s="2"/>
      <c r="CN85" s="2"/>
      <c r="CO85" s="2"/>
      <c r="CP85" s="2"/>
      <c r="CQ85" s="2"/>
      <c r="CR85" s="2"/>
      <c r="CS85" s="2"/>
      <c r="CT85" s="2"/>
      <c r="CU85" s="2"/>
      <c r="CV85" s="2"/>
      <c r="CW85" s="2"/>
      <c r="CX85" s="2"/>
      <c r="CY85" s="2"/>
      <c r="CZ85" s="2"/>
      <c r="DA85" s="2"/>
      <c r="DB85" s="2"/>
      <c r="DC85" s="2"/>
      <c r="DD85" s="2"/>
      <c r="DE85" s="2"/>
      <c r="DF85" s="2"/>
      <c r="DG85" s="2"/>
      <c r="DH85" s="2"/>
      <c r="DI85" s="2"/>
      <c r="DJ85" s="2"/>
      <c r="DK85" s="2"/>
      <c r="DL85" s="2"/>
      <c r="DM85" s="2"/>
      <c r="DN85" s="2"/>
      <c r="DO85" s="2"/>
      <c r="DP85" s="2"/>
      <c r="DQ85" s="2"/>
      <c r="DR85" s="2"/>
      <c r="DS85" s="2"/>
      <c r="DT85" s="2"/>
      <c r="DU85" s="2"/>
      <c r="DV85" s="2"/>
      <c r="DW85" s="2"/>
      <c r="DX85" s="2"/>
      <c r="DY85" s="2"/>
      <c r="DZ85" s="2"/>
      <c r="EA85" s="2"/>
      <c r="EB85" s="2"/>
      <c r="EC85" s="2"/>
      <c r="ED85" s="2"/>
      <c r="EE85" s="2"/>
      <c r="EF85" s="2"/>
      <c r="EG85" s="2"/>
      <c r="EH85" s="2"/>
      <c r="EI85" s="2"/>
      <c r="EJ85" s="2"/>
      <c r="EK85" s="2"/>
      <c r="EL85" s="2"/>
      <c r="EM85" s="2"/>
      <c r="EN85" s="2"/>
      <c r="EO85" s="2"/>
      <c r="EP85" s="2"/>
      <c r="EQ85" s="2"/>
      <c r="ER85" s="2"/>
      <c r="ES85" s="2"/>
    </row>
    <row r="86" ht="18.0" customHeight="1">
      <c r="A86" s="42" t="s">
        <v>87</v>
      </c>
      <c r="B86" s="40" t="str">
        <f>IF(AND(EQ21&lt;=EQ17,ER21&lt;=ER17,EM21&lt;=EM17,EN21&lt;=EN17,EI21&lt;=EI17,EJ21&lt;=EJ17,EE21&lt;=EE17,EF21&lt;=EF17,EA21&lt;=EA17,EB21&lt;=EB17,DW21&lt;=DW17,DX21&lt;=DX17,DS21&lt;=DS17,DT21&lt;=DT17,DO21&lt;=DO17,DP21&lt;=DP17,DK21&lt;=DK17,DL21&lt;=DL17,DG21&lt;=DG17,DH21&lt;=DH17,DC21&lt;=DC17,DD21&lt;=DD17,CY21&lt;=CY17,CZ21&lt;=CZ17,CU21&lt;=CU17,CV21&lt;=CV17,CQ21&lt;=CQ17,CR21&lt;=CR17,CM21&lt;=CM17,CN21&lt;=CN17,CI21&lt;=CI17,CJ21&lt;=CJ17,CE21&lt;=CE17,CF21&lt;=CF17,CA21&lt;=CA17,CB21&lt;=CB17,BW21&lt;=BW17,BX21&lt;=BX17,BS21&lt;=BS17,BT21&lt;=BT17,BO21&lt;=BO17,BP21&lt;=BP17,BK21&lt;=BK17,BL21&lt;=BL17,BG21&lt;=BG17,BH21&lt;=BH17,BC21&lt;=BC17,BD21&lt;=BD17,AY21&lt;=AY17,AZ21&lt;=AZ17,AU21&lt;=AU17,AV21&lt;=AV17,AQ21&lt;=AQ17,AR21&lt;=AR17,AM21&lt;=AM17,AN21&lt;=AN17,AI21&lt;=AI17,AJ21&lt;=AJ17,AE21&lt;=AE17,AF21&lt;=AF17,AA21&lt;=AA17,AB21&lt;=AB17,W21&lt;=W17,X21&lt;=X17,S21&lt;=S17,T21&lt;=T17,O21&lt;=O17,P21&lt;=P17,K21&lt;=K17,L21&lt;=L17,G21&lt;=G17,H21&lt;=H17),"OK","CHECK")</f>
        <v>OK</v>
      </c>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c r="BR86" s="2"/>
      <c r="BS86" s="2"/>
      <c r="BT86" s="2"/>
      <c r="BU86" s="2"/>
      <c r="BV86" s="2"/>
      <c r="BW86" s="2"/>
      <c r="BX86" s="2"/>
      <c r="BY86" s="2"/>
      <c r="BZ86" s="2"/>
      <c r="CA86" s="2"/>
      <c r="CB86" s="2"/>
      <c r="CC86" s="2"/>
      <c r="CD86" s="2"/>
      <c r="CE86" s="2"/>
      <c r="CF86" s="2"/>
      <c r="CG86" s="2"/>
      <c r="CH86" s="2"/>
      <c r="CI86" s="2"/>
      <c r="CJ86" s="2"/>
      <c r="CK86" s="2"/>
      <c r="CL86" s="2"/>
      <c r="CM86" s="2"/>
      <c r="CN86" s="2"/>
      <c r="CO86" s="2"/>
      <c r="CP86" s="2"/>
      <c r="CQ86" s="2"/>
      <c r="CR86" s="2"/>
      <c r="CS86" s="2"/>
      <c r="CT86" s="2"/>
      <c r="CU86" s="2"/>
      <c r="CV86" s="2"/>
      <c r="CW86" s="2"/>
      <c r="CX86" s="2"/>
      <c r="CY86" s="2"/>
      <c r="CZ86" s="2"/>
      <c r="DA86" s="2"/>
      <c r="DB86" s="2"/>
      <c r="DC86" s="2"/>
      <c r="DD86" s="2"/>
      <c r="DE86" s="2"/>
      <c r="DF86" s="2"/>
      <c r="DG86" s="2"/>
      <c r="DH86" s="2"/>
      <c r="DI86" s="2"/>
      <c r="DJ86" s="2"/>
      <c r="DK86" s="2"/>
      <c r="DL86" s="2"/>
      <c r="DM86" s="2"/>
      <c r="DN86" s="2"/>
      <c r="DO86" s="2"/>
      <c r="DP86" s="2"/>
      <c r="DQ86" s="2"/>
      <c r="DR86" s="2"/>
      <c r="DS86" s="2"/>
      <c r="DT86" s="2"/>
      <c r="DU86" s="2"/>
      <c r="DV86" s="2"/>
      <c r="DW86" s="2"/>
      <c r="DX86" s="2"/>
      <c r="DY86" s="2"/>
      <c r="DZ86" s="2"/>
      <c r="EA86" s="2"/>
      <c r="EB86" s="2"/>
      <c r="EC86" s="2"/>
      <c r="ED86" s="2"/>
      <c r="EE86" s="2"/>
      <c r="EF86" s="2"/>
      <c r="EG86" s="2"/>
      <c r="EH86" s="2"/>
      <c r="EI86" s="2"/>
      <c r="EJ86" s="2"/>
      <c r="EK86" s="2"/>
      <c r="EL86" s="2"/>
      <c r="EM86" s="2"/>
      <c r="EN86" s="2"/>
      <c r="EO86" s="2"/>
      <c r="EP86" s="2"/>
      <c r="EQ86" s="2"/>
      <c r="ER86" s="2"/>
      <c r="ES86" s="2"/>
    </row>
    <row r="87" ht="18.0" customHeight="1">
      <c r="A87" s="42" t="s">
        <v>88</v>
      </c>
      <c r="B87" s="40" t="str">
        <f>IF(AND(ABS(EQ22-MAX(0,EQ19+EQ20-EQ21))&lt;0.01,ABS(ER22-MAX(0,ER19+ER20-ER21))&lt;0.01,ABS(EM22-MAX(0,EM19+EM20-EM21))&lt;0.01,ABS(EN22-MAX(0,EN19+EN20-EN21))&lt;0.01,ABS(EI22-MAX(0,EI19+EI20-EI21))&lt;0.01,ABS(EJ22-MAX(0,EJ19+EJ20-EJ21))&lt;0.01,ABS(EE22-MAX(0,EE19+EE20-EE21))&lt;0.01,ABS(EF22-MAX(0,EF19+EF20-EF21))&lt;0.01,ABS(EA22-MAX(0,EA19+EA20-EA21))&lt;0.01,ABS(EB22-MAX(0,EB19+EB20-EB21))&lt;0.01,ABS(DW22-MAX(0,DW19+DW20-DW21))&lt;0.01,ABS(DX22-MAX(0,DX19+DX20-DX21))&lt;0.01,ABS(DS22-MAX(0,DS19+DS20-DS21))&lt;0.01,ABS(DT22-MAX(0,DT19+DT20-DT21))&lt;0.01,ABS(DO22-MAX(0,DO19+DO20-DO21))&lt;0.01,ABS(DP22-MAX(0,DP19+DP20-DP21))&lt;0.01,ABS(DK22-MAX(0,DK19+DK20-DK21))&lt;0.01,ABS(DL22-MAX(0,DL19+DL20-DL21))&lt;0.01,ABS(DG22-MAX(0,DG19+DG20-DG21))&lt;0.01,ABS(DH22-MAX(0,DH19+DH20-DH21))&lt;0.01,ABS(DC22-MAX(0,DC19+DC20-DC21))&lt;0.01,ABS(DD22-MAX(0,DD19+DD20-DD21))&lt;0.01,ABS(CY22-MAX(0,CY19+CY20-CY21))&lt;0.01,ABS(CZ22-MAX(0,CZ19+CZ20-CZ21))&lt;0.01,ABS(CU22-MAX(0,CU19+CU20-CU21))&lt;0.01,ABS(CV22-MAX(0,CV19+CV20-CV21))&lt;0.01,ABS(CQ22-MAX(0,CQ19+CQ20-CQ21))&lt;0.01,ABS(CR22-MAX(0,CR19+CR20-CR21))&lt;0.01,ABS(CM22-MAX(0,CM19+CM20-CM21))&lt;0.01,ABS(CN22-MAX(0,CN19+CN20-CN21))&lt;0.01,ABS(CI22-MAX(0,CI19+CI20-CI21))&lt;0.01,ABS(CJ22-MAX(0,CJ19+CJ20-CJ21))&lt;0.01,ABS(CE22-MAX(0,CE19+CE20-CE21))&lt;0.01,ABS(CF22-MAX(0,CF19+CF20-CF21))&lt;0.01,ABS(CA22-MAX(0,CA19+CA20-CA21))&lt;0.01,ABS(CB22-MAX(0,CB19+CB20-CB21))&lt;0.01,ABS(BW22-MAX(0,BW19+BW20-BW21))&lt;0.01,ABS(BX22-MAX(0,BX19+BX20-BX21))&lt;0.01,ABS(BS22-MAX(0,BS19+BS20-BS21))&lt;0.01,ABS(BT22-MAX(0,BT19+BT20-BT21))&lt;0.01,ABS(BO22-MAX(0,BO19+BO20-BO21))&lt;0.01,ABS(BP22-MAX(0,BP19+BP20-BP21))&lt;0.01,ABS(BK22-MAX(0,BK19+BK20-BK21))&lt;0.01,ABS(BL22-MAX(0,BL19+BL20-BL21))&lt;0.01,ABS(BG22-MAX(0,BG19+BG20-BG21))&lt;0.01,ABS(BH22-MAX(0,BH19+BH20-BH21))&lt;0.01,ABS(BC22-MAX(0,BC19+BC20-BC21))&lt;0.01,ABS(BD22-MAX(0,BD19+BD20-BD21))&lt;0.01,ABS(AY22-MAX(0,AY19+AY20-AY21))&lt;0.01,ABS(AZ22-MAX(0,AZ19+AZ20-AZ21))&lt;0.01,ABS(AU22-MAX(0,AU19+AU20-AU21))&lt;0.01,ABS(AV22-MAX(0,AV19+AV20-AV21))&lt;0.01,ABS(AQ22-MAX(0,AQ19+AQ20-AQ21))&lt;0.01,ABS(AR22-MAX(0,AR19+AR20-AR21))&lt;0.01,ABS(AM22-MAX(0,AM19+AM20-AM21))&lt;0.01,ABS(AN22-MAX(0,AN19+AN20-AN21))&lt;0.01,ABS(AI22-MAX(0,AI19+AI20-AI21))&lt;0.01,ABS(AJ22-MAX(0,AJ19+AJ20-AJ21))&lt;0.01,ABS(AE22-MAX(0,AE19+AE20-AE21))&lt;0.01,ABS(AF22-MAX(0,AF19+AF20-AF21))&lt;0.01,ABS(AA22-MAX(0,AA19+AA20-AA21))&lt;0.01,ABS(AB22-MAX(0,AB19+AB20-AB21))&lt;0.01,ABS(W22-MAX(0,W19+W20-W21))&lt;0.01,ABS(X22-MAX(0,X19+X20-X21))&lt;0.01,ABS(S22-MAX(0,S19+S20-S21))&lt;0.01,ABS(T22-MAX(0,T19+T20-T21))&lt;0.01,ABS(O22-MAX(0,O19+O20-O21))&lt;0.01,ABS(P22-MAX(0,P19+P20-P21))&lt;0.01,ABS(K22-MAX(0,K19+K20-K21))&lt;0.01,ABS(L22-MAX(0,L19+L20-L21))&lt;0.01,ABS(G22-MAX(0,G19+G20-G21))&lt;0.01,ABS(H22-MAX(0,H19+H20-H21))&lt;0.01),"OK","CHECK")</f>
        <v>OK</v>
      </c>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c r="DJ87" s="2"/>
      <c r="DK87" s="2"/>
      <c r="DL87" s="2"/>
      <c r="DM87" s="2"/>
      <c r="DN87" s="2"/>
      <c r="DO87" s="2"/>
      <c r="DP87" s="2"/>
      <c r="DQ87" s="2"/>
      <c r="DR87" s="2"/>
      <c r="DS87" s="2"/>
      <c r="DT87" s="2"/>
      <c r="DU87" s="2"/>
      <c r="DV87" s="2"/>
      <c r="DW87" s="2"/>
      <c r="DX87" s="2"/>
      <c r="DY87" s="2"/>
      <c r="DZ87" s="2"/>
      <c r="EA87" s="2"/>
      <c r="EB87" s="2"/>
      <c r="EC87" s="2"/>
      <c r="ED87" s="2"/>
      <c r="EE87" s="2"/>
      <c r="EF87" s="2"/>
      <c r="EG87" s="2"/>
      <c r="EH87" s="2"/>
      <c r="EI87" s="2"/>
      <c r="EJ87" s="2"/>
      <c r="EK87" s="2"/>
      <c r="EL87" s="2"/>
      <c r="EM87" s="2"/>
      <c r="EN87" s="2"/>
      <c r="EO87" s="2"/>
      <c r="EP87" s="2"/>
      <c r="EQ87" s="2"/>
      <c r="ER87" s="2"/>
      <c r="ES87" s="2"/>
    </row>
    <row r="88" ht="18.0" customHeight="1">
      <c r="A88" s="42" t="s">
        <v>89</v>
      </c>
      <c r="B88" s="40" t="str">
        <f>IF(AND(ABS(EQ26-IF((EQ19+EQ20)=0,0,ROUND(EQ21*(EQ72+EQ73)/(EQ19+EQ20),0)))&lt;0.01,ABS(ER26-IF((ER19+ER20)=0,0,ROUND(ER21*(ER72+ER73)/(ER19+ER20),0)))&lt;0.01,ABS(EM26-IF((EM19+EM20)=0,0,ROUND(EM21*(EM72+EM73)/(EM19+EM20),0)))&lt;0.01,ABS(EM72-MAX(0,EQ72+EQ73-EQ26))&lt;0.01,ABS(EN26-IF((EN19+EN20)=0,0,ROUND(EN21*(EN72+EN73)/(EN19+EN20),0)))&lt;0.01,ABS(EN72-MAX(0,ER72+ER73-ER26))&lt;0.01,ABS(EI26-IF((EI19+EI20)=0,0,ROUND(EI21*(EI72+EI73)/(EI19+EI20),0)))&lt;0.01,ABS(EI72-MAX(0,EM72+EM73-EM26))&lt;0.01,ABS(EJ26-IF((EJ19+EJ20)=0,0,ROUND(EJ21*(EJ72+EJ73)/(EJ19+EJ20),0)))&lt;0.01,ABS(EJ72-MAX(0,EN72+EN73-EN26))&lt;0.01,ABS(EE26-IF((EE19+EE20)=0,0,ROUND(EE21*(EE72+EE73)/(EE19+EE20),0)))&lt;0.01,ABS(EE72-MAX(0,EI72+EI73-EI26))&lt;0.01,ABS(EF26-IF((EF19+EF20)=0,0,ROUND(EF21*(EF72+EF73)/(EF19+EF20),0)))&lt;0.01,ABS(EF72-MAX(0,EJ72+EJ73-EJ26))&lt;0.01,ABS(EA26-IF((EA19+EA20)=0,0,ROUND(EA21*(EA72+EA73)/(EA19+EA20),0)))&lt;0.01,ABS(EA72-MAX(0,EE72+EE73-EE26))&lt;0.01,ABS(EB26-IF((EB19+EB20)=0,0,ROUND(EB21*(EB72+EB73)/(EB19+EB20),0)))&lt;0.01,ABS(EB72-MAX(0,EF72+EF73-EF26))&lt;0.01,ABS(DW26-IF((DW19+DW20)=0,0,ROUND(DW21*(DW72+DW73)/(DW19+DW20),0)))&lt;0.01,ABS(DW72-MAX(0,EA72+EA73-EA26))&lt;0.01,ABS(DX26-IF((DX19+DX20)=0,0,ROUND(DX21*(DX72+DX73)/(DX19+DX20),0)))&lt;0.01,ABS(DX72-MAX(0,EB72+EB73-EB26))&lt;0.01,ABS(DS26-IF((DS19+DS20)=0,0,ROUND(DS21*(DS72+DS73)/(DS19+DS20),0)))&lt;0.01,ABS(DS72-MAX(0,DW72+DW73-DW26))&lt;0.01,ABS(DT26-IF((DT19+DT20)=0,0,ROUND(DT21*(DT72+DT73)/(DT19+DT20),0)))&lt;0.01,ABS(DT72-MAX(0,DX72+DX73-DX26))&lt;0.01,ABS(DO26-IF((DO19+DO20)=0,0,ROUND(DO21*(DO72+DO73)/(DO19+DO20),0)))&lt;0.01,ABS(DO72-MAX(0,DS72+DS73-DS26))&lt;0.01,ABS(DP26-IF((DP19+DP20)=0,0,ROUND(DP21*(DP72+DP73)/(DP19+DP20),0)))&lt;0.01,ABS(DP72-MAX(0,DT72+DT73-DT26))&lt;0.01,ABS(DK26-IF((DK19+DK20)=0,0,ROUND(DK21*(DK72+DK73)/(DK19+DK20),0)))&lt;0.01,ABS(DK72-MAX(0,DO72+DO73-DO26))&lt;0.01,ABS(DL26-IF((DL19+DL20)=0,0,ROUND(DL21*(DL72+DL73)/(DL19+DL20),0)))&lt;0.01,ABS(DL72-MAX(0,DP72+DP73-DP26))&lt;0.01,ABS(DG26-IF((DG19+DG20)=0,0,ROUND(DG21*(DG72+DG73)/(DG19+DG20),0)))&lt;0.01,ABS(DG72-MAX(0,DK72+DK73-DK26))&lt;0.01,ABS(DH26-IF((DH19+DH20)=0,0,ROUND(DH21*(DH72+DH73)/(DH19+DH20),0)))&lt;0.01,ABS(DH72-MAX(0,DL72+DL73-DL26))&lt;0.01,ABS(DC26-IF((DC19+DC20)=0,0,ROUND(DC21*(DC72+DC73)/(DC19+DC20),0)))&lt;0.01,ABS(DC72-MAX(0,DG72+DG73-DG26))&lt;0.01,ABS(DD26-IF((DD19+DD20)=0,0,ROUND(DD21*(DD72+DD73)/(DD19+DD20),0)))&lt;0.01,ABS(DD72-MAX(0,DH72+DH73-DH26))&lt;0.01,ABS(CY26-IF((CY19+CY20)=0,0,ROUND(CY21*(CY72+CY73)/(CY19+CY20),0)))&lt;0.01,ABS(CY72-MAX(0,DC72+DC73-DC26))&lt;0.01,ABS(CZ26-IF((CZ19+CZ20)=0,0,ROUND(CZ21*(CZ72+CZ73)/(CZ19+CZ20),0)))&lt;0.01,ABS(CZ72-MAX(0,DD72+DD73-DD26))&lt;0.01,ABS(CU26-IF((CU19+CU20)=0,0,ROUND(CU21*(CU72+CU73)/(CU19+CU20),0)))&lt;0.01,ABS(CU72-MAX(0,CY72+CY73-CY26))&lt;0.01,ABS(CV26-IF((CV19+CV20)=0,0,ROUND(CV21*(CV72+CV73)/(CV19+CV20),0)))&lt;0.01,ABS(CV72-MAX(0,CZ72+CZ73-CZ26))&lt;0.01,ABS(CQ26-IF((CQ19+CQ20)=0,0,ROUND(CQ21*(CQ72+CQ73)/(CQ19+CQ20),0)))&lt;0.01,ABS(CQ72-MAX(0,CU72+CU73-CU26))&lt;0.01,ABS(CR26-IF((CR19+CR20)=0,0,ROUND(CR21*(CR72+CR73)/(CR19+CR20),0)))&lt;0.01,ABS(CR72-MAX(0,CV72+CV73-CV26))&lt;0.01,ABS(CM26-IF((CM19+CM20)=0,0,ROUND(CM21*(CM72+CM73)/(CM19+CM20),0)))&lt;0.01,ABS(CM72-MAX(0,CQ72+CQ73-CQ26))&lt;0.01,ABS(CN26-IF((CN19+CN20)=0,0,ROUND(CN21*(CN72+CN73)/(CN19+CN20),0)))&lt;0.01,ABS(CN72-MAX(0,CR72+CR73-CR26))&lt;0.01,ABS(CI26-IF((CI19+CI20)=0,0,ROUND(CI21*(CI72+CI73)/(CI19+CI20),0)))&lt;0.01,ABS(CI72-MAX(0,CM72+CM73-CM26))&lt;0.01,ABS(CJ26-IF((CJ19+CJ20)=0,0,ROUND(CJ21*(CJ72+CJ73)/(CJ19+CJ20),0)))&lt;0.01,ABS(CJ72-MAX(0,CN72+CN73-CN26))&lt;0.01,ABS(CE26-IF((CE19+CE20)=0,0,ROUND(CE21*(CE72+CE73)/(CE19+CE20),0)))&lt;0.01,ABS(CE72-MAX(0,CI72+CI73-CI26))&lt;0.01,ABS(CF26-IF((CF19+CF20)=0,0,ROUND(CF21*(CF72+CF73)/(CF19+CF20),0)))&lt;0.01,ABS(CF72-MAX(0,CJ72+CJ73-CJ26))&lt;0.01,ABS(CA26-IF((CA19+CA20)=0,0,ROUND(CA21*(CA72+CA73)/(CA19+CA20),0)))&lt;0.01,ABS(CA72-MAX(0,CE72+CE73-CE26))&lt;0.01,ABS(CB26-IF((CB19+CB20)=0,0,ROUND(CB21*(CB72+CB73)/(CB19+CB20),0)))&lt;0.01,ABS(CB72-MAX(0,CF72+CF73-CF26))&lt;0.01,ABS(BW26-IF((BW19+BW20)=0,0,ROUND(BW21*(BW72+BW73)/(BW19+BW20),0)))&lt;0.01,ABS(BW72-MAX(0,CA72+CA73-CA26))&lt;0.01,ABS(BX26-IF((BX19+BX20)=0,0,ROUND(BX21*(BX72+BX73)/(BX19+BX20),0)))&lt;0.01,ABS(BX72-MAX(0,CB72+CB73-CB26))&lt;0.01,ABS(BS26-IF((BS19+BS20)=0,0,ROUND(BS21*(BS72+BS73)/(BS19+BS20),0)))&lt;0.01,ABS(BS72-MAX(0,BW72+BW73-BW26))&lt;0.01,ABS(BT26-IF((BT19+BT20)=0,0,ROUND(BT21*(BT72+BT73)/(BT19+BT20),0)))&lt;0.01,ABS(BT72-MAX(0,BX72+BX73-BX26))&lt;0.01,ABS(BO26-IF((BO19+BO20)=0,0,ROUND(BO21*(BO72+BO73)/(BO19+BO20),0)))&lt;0.01,ABS(BO72-MAX(0,BS72+BS73-BS26))&lt;0.01,ABS(BP26-IF((BP19+BP20)=0,0,ROUND(BP21*(BP72+BP73)/(BP19+BP20),0)))&lt;0.01,ABS(BP72-MAX(0,BT72+BT73-BT26))&lt;0.01,ABS(BK26-IF((BK19+BK20)=0,0,ROUND(BK21*(BK72+BK73)/(BK19+BK20),0)))&lt;0.01,ABS(BK72-MAX(0,BO72+BO73-BO26))&lt;0.01,ABS(BL26-IF((BL19+BL20)=0,0,ROUND(BL21*(BL72+BL73)/(BL19+BL20),0)))&lt;0.01,ABS(BL72-MAX(0,BP72+BP73-BP26))&lt;0.01,ABS(BG26-IF((BG19+BG20)=0,0,ROUND(BG21*(BG72+BG73)/(BG19+BG20),0)))&lt;0.01,ABS(BG72-MAX(0,BK72+BK73-BK26))&lt;0.01,ABS(BH26-IF((BH19+BH20)=0,0,ROUND(BH21*(BH72+BH73)/(BH19+BH20),0)))&lt;0.01,ABS(BH72-MAX(0,BL72+BL73-BL26))&lt;0.01,ABS(BC26-IF((BC19+BC20)=0,0,ROUND(BC21*(BC72+BC73)/(BC19+BC20),0)))&lt;0.01,ABS(BC72-MAX(0,BG72+BG73-BG26))&lt;0.01,ABS(BD26-IF((BD19+BD20)=0,0,ROUND(BD21*(BD72+BD73)/(BD19+BD20),0)))&lt;0.01,ABS(BD72-MAX(0,BH72+BH73-BH26))&lt;0.01,ABS(AY26-IF((AY19+AY20)=0,0,ROUND(AY21*(AY72+AY73)/(AY19+AY20),0)))&lt;0.01,ABS(AY72-MAX(0,BC72+BC73-BC26))&lt;0.01,ABS(AZ26-IF((AZ19+AZ20)=0,0,ROUND(AZ21*(AZ72+AZ73)/(AZ19+AZ20),0)))&lt;0.01,ABS(AZ72-MAX(0,BD72+BD73-BD26))&lt;0.01,ABS(AU26-IF((AU19+AU20)=0,0,ROUND(AU21*(AU72+AU73)/(AU19+AU20),0)))&lt;0.01,ABS(AU72-MAX(0,AY72+AY73-AY26))&lt;0.01,ABS(AV26-IF((AV19+AV20)=0,0,ROUND(AV21*(AV72+AV73)/(AV19+AV20),0)))&lt;0.01,ABS(AV72-MAX(0,AZ72+AZ73-AZ26))&lt;0.01,ABS(AQ26-IF((AQ19+AQ20)=0,0,ROUND(AQ21*(AQ72+AQ73)/(AQ19+AQ20),0)))&lt;0.01,ABS(AQ72-MAX(0,AU72+AU73-AU26))&lt;0.01,ABS(AR26-IF((AR19+AR20)=0,0,ROUND(AR21*(AR72+AR73)/(AR19+AR20),0)))&lt;0.01,ABS(AR72-MAX(0,AV72+AV73-AV26))&lt;0.01,ABS(AM26-IF((AM19+AM20)=0,0,ROUND(AM21*(AM72+AM73)/(AM19+AM20),0)))&lt;0.01,ABS(AM72-MAX(0,AQ72+AQ73-AQ26))&lt;0.01,ABS(AN26-IF((AN19+AN20)=0,0,ROUND(AN21*(AN72+AN73)/(AN19+AN20),0)))&lt;0.01,ABS(AN72-MAX(0,AR72+AR73-AR26))&lt;0.01,ABS(AI26-IF((AI19+AI20)=0,0,ROUND(AI21*(AI72+AI73)/(AI19+AI20),0)))&lt;0.01,ABS(AI72-MAX(0,AM72+AM73-AM26))&lt;0.01,ABS(AJ26-IF((AJ19+AJ20)=0,0,ROUND(AJ21*(AJ72+AJ73)/(AJ19+AJ20),0)))&lt;0.01,ABS(AJ72-MAX(0,AN72+AN73-AN26))&lt;0.01,ABS(AE26-IF((AE19+AE20)=0,0,ROUND(AE21*(AE72+AE73)/(AE19+AE20),0)))&lt;0.01,ABS(AE72-MAX(0,AI72+AI73-AI26))&lt;0.01,ABS(AF26-IF((AF19+AF20)=0,0,ROUND(AF21*(AF72+AF73)/(AF19+AF20),0)))&lt;0.01,ABS(AF72-MAX(0,AJ72+AJ73-AJ26))&lt;0.01,ABS(AA26-IF((AA19+AA20)=0,0,ROUND(AA21*(AA72+AA73)/(AA19+AA20),0)))&lt;0.01,ABS(AA72-MAX(0,AE72+AE73-AE26))&lt;0.01,ABS(AB26-IF((AB19+AB20)=0,0,ROUND(AB21*(AB72+AB73)/(AB19+AB20),0)))&lt;0.01,ABS(AB72-MAX(0,AF72+AF73-AF26))&lt;0.01,ABS(W26-IF((W19+W20)=0,0,ROUND(W21*(W72+W73)/(W19+W20),0)))&lt;0.01,ABS(W72-MAX(0,AA72+AA73-AA26))&lt;0.01,ABS(X26-IF((X19+X20)=0,0,ROUND(X21*(X72+X73)/(X19+X20),0)))&lt;0.01,ABS(X72-MAX(0,AB72+AB73-AB26))&lt;0.01,ABS(S26-IF((S19+S20)=0,0,ROUND(S21*(S72+S73)/(S19+S20),0)))&lt;0.01,ABS(S72-MAX(0,W72+W73-W26))&lt;0.01,ABS(T26-IF((T19+T20)=0,0,ROUND(T21*(T72+T73)/(T19+T20),0)))&lt;0.01,ABS(T72-MAX(0,X72+X73-X26))&lt;0.01,ABS(O26-IF((O19+O20)=0,0,ROUND(O21*(O72+O73)/(O19+O20),0)))&lt;0.01,ABS(O72-MAX(0,S72+S73-S26))&lt;0.01,ABS(P26-IF((P19+P20)=0,0,ROUND(P21*(P72+P73)/(P19+P20),0)))&lt;0.01,ABS(P72-MAX(0,T72+T73-T26))&lt;0.01,ABS(K26-IF((K19+K20)=0,0,ROUND(K21*(K72+K73)/(K19+K20),0)))&lt;0.01,ABS(K72-MAX(0,O72+O73-O26))&lt;0.01,ABS(L26-IF((L19+L20)=0,0,ROUND(L21*(L72+L73)/(L19+L20),0)))&lt;0.01,ABS(L72-MAX(0,P72+P73-P26))&lt;0.01,ABS(G26-IF((G19+G20)=0,0,ROUND(G21*(G72+G73)/(G19+G20),0)))&lt;0.01,ABS(G72-MAX(0,K72+K73-K26))&lt;0.01,ABS(H26-IF((H19+H20)=0,0,ROUND(H21*(H72+H73)/(H19+H20),0)))&lt;0.01,ABS(H72-MAX(0,L72+L73-L26))&lt;0.01),"OK","CHECK")</f>
        <v>OK</v>
      </c>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c r="CF88" s="2"/>
      <c r="CG88" s="2"/>
      <c r="CH88" s="2"/>
      <c r="CI88" s="2"/>
      <c r="CJ88" s="2"/>
      <c r="CK88" s="2"/>
      <c r="CL88" s="2"/>
      <c r="CM88" s="2"/>
      <c r="CN88" s="2"/>
      <c r="CO88" s="2"/>
      <c r="CP88" s="2"/>
      <c r="CQ88" s="2"/>
      <c r="CR88" s="2"/>
      <c r="CS88" s="2"/>
      <c r="CT88" s="2"/>
      <c r="CU88" s="2"/>
      <c r="CV88" s="2"/>
      <c r="CW88" s="2"/>
      <c r="CX88" s="2"/>
      <c r="CY88" s="2"/>
      <c r="CZ88" s="2"/>
      <c r="DA88" s="2"/>
      <c r="DB88" s="2"/>
      <c r="DC88" s="2"/>
      <c r="DD88" s="2"/>
      <c r="DE88" s="2"/>
      <c r="DF88" s="2"/>
      <c r="DG88" s="2"/>
      <c r="DH88" s="2"/>
      <c r="DI88" s="2"/>
      <c r="DJ88" s="2"/>
      <c r="DK88" s="2"/>
      <c r="DL88" s="2"/>
      <c r="DM88" s="2"/>
      <c r="DN88" s="2"/>
      <c r="DO88" s="2"/>
      <c r="DP88" s="2"/>
      <c r="DQ88" s="2"/>
      <c r="DR88" s="2"/>
      <c r="DS88" s="2"/>
      <c r="DT88" s="2"/>
      <c r="DU88" s="2"/>
      <c r="DV88" s="2"/>
      <c r="DW88" s="2"/>
      <c r="DX88" s="2"/>
      <c r="DY88" s="2"/>
      <c r="DZ88" s="2"/>
      <c r="EA88" s="2"/>
      <c r="EB88" s="2"/>
      <c r="EC88" s="2"/>
      <c r="ED88" s="2"/>
      <c r="EE88" s="2"/>
      <c r="EF88" s="2"/>
      <c r="EG88" s="2"/>
      <c r="EH88" s="2"/>
      <c r="EI88" s="2"/>
      <c r="EJ88" s="2"/>
      <c r="EK88" s="2"/>
      <c r="EL88" s="2"/>
      <c r="EM88" s="2"/>
      <c r="EN88" s="2"/>
      <c r="EO88" s="2"/>
      <c r="EP88" s="2"/>
      <c r="EQ88" s="2"/>
      <c r="ER88" s="2"/>
      <c r="ES88" s="2"/>
    </row>
    <row r="89" ht="18.0" customHeight="1">
      <c r="A89" s="42" t="s">
        <v>90</v>
      </c>
      <c r="B89" s="40" t="str">
        <f>IF(AND(ABS(EQ34-SUM(EQ28:EQ33))&lt;0.01,ABS(ER34-SUM(ER28:ER33))&lt;0.01,ABS(EM34-SUM(EM28:EM33))&lt;0.01,ABS(EN34-SUM(EN28:EN33))&lt;0.01,ABS(EI34-SUM(EI28:EI33))&lt;0.01,ABS(EJ34-SUM(EJ28:EJ33))&lt;0.01,ABS(EE34-SUM(EE28:EE33))&lt;0.01,ABS(EF34-SUM(EF28:EF33))&lt;0.01,ABS(EA34-SUM(EA28:EA33))&lt;0.01,ABS(EB34-SUM(EB28:EB33))&lt;0.01,ABS(DW34-SUM(DW28:DW33))&lt;0.01,ABS(DX34-SUM(DX28:DX33))&lt;0.01,ABS(DS34-SUM(DS28:DS33))&lt;0.01,ABS(DT34-SUM(DT28:DT33))&lt;0.01,ABS(DO34-SUM(DO28:DO33))&lt;0.01,ABS(DP34-SUM(DP28:DP33))&lt;0.01,ABS(DK34-SUM(DK28:DK33))&lt;0.01,ABS(DL34-SUM(DL28:DL33))&lt;0.01,ABS(DG34-SUM(DG28:DG33))&lt;0.01,ABS(DH34-SUM(DH28:DH33))&lt;0.01,ABS(DC34-SUM(DC28:DC33))&lt;0.01,ABS(DD34-SUM(DD28:DD33))&lt;0.01,ABS(CY34-SUM(CY28:CY33))&lt;0.01,ABS(CZ34-SUM(CZ28:CZ33))&lt;0.01,ABS(CU34-SUM(CU28:CU33))&lt;0.01,ABS(CV34-SUM(CV28:CV33))&lt;0.01,ABS(CQ34-SUM(CQ28:CQ33))&lt;0.01,ABS(CR34-SUM(CR28:CR33))&lt;0.01,ABS(CM34-SUM(CM28:CM33))&lt;0.01,ABS(CN34-SUM(CN28:CN33))&lt;0.01,ABS(CI34-SUM(CI28:CI33))&lt;0.01,ABS(CJ34-SUM(CJ28:CJ33))&lt;0.01,ABS(CE34-SUM(CE28:CE33))&lt;0.01,ABS(CF34-SUM(CF28:CF33))&lt;0.01,ABS(CA34-SUM(CA28:CA33))&lt;0.01,ABS(CB34-SUM(CB28:CB33))&lt;0.01,ABS(BW34-SUM(BW28:BW33))&lt;0.01,ABS(BX34-SUM(BX28:BX33))&lt;0.01,ABS(BS34-SUM(BS28:BS33))&lt;0.01,ABS(BT34-SUM(BT28:BT33))&lt;0.01,ABS(BO34-SUM(BO28:BO33))&lt;0.01,ABS(BP34-SUM(BP28:BP33))&lt;0.01,ABS(BK34-SUM(BK28:BK33))&lt;0.01,ABS(BL34-SUM(BL28:BL33))&lt;0.01,ABS(BG34-SUM(BG28:BG33))&lt;0.01,ABS(BH34-SUM(BH28:BH33))&lt;0.01,ABS(BC34-SUM(BC28:BC33))&lt;0.01,ABS(BD34-SUM(BD28:BD33))&lt;0.01,ABS(AY34-SUM(AY28:AY33))&lt;0.01,ABS(AZ34-SUM(AZ28:AZ33))&lt;0.01,ABS(AU34-SUM(AU28:AU33))&lt;0.01,ABS(AV34-SUM(AV28:AV33))&lt;0.01,ABS(AQ34-SUM(AQ28:AQ33))&lt;0.01,ABS(AR34-SUM(AR28:AR33))&lt;0.01,ABS(AM34-SUM(AM28:AM33))&lt;0.01,ABS(AN34-SUM(AN28:AN33))&lt;0.01,ABS(AI34-SUM(AI28:AI33))&lt;0.01,ABS(AJ34-SUM(AJ28:AJ33))&lt;0.01,ABS(AE34-SUM(AE28:AE33))&lt;0.01,ABS(AF34-SUM(AF28:AF33))&lt;0.01,ABS(AA34-SUM(AA28:AA33))&lt;0.01,ABS(AB34-SUM(AB28:AB33))&lt;0.01,ABS(W34-SUM(W28:W33))&lt;0.01,ABS(X34-SUM(X28:X33))&lt;0.01,ABS(S34-SUM(S28:S33))&lt;0.01,ABS(T34-SUM(T28:T33))&lt;0.01,ABS(O34-SUM(O28:O33))&lt;0.01,ABS(P34-SUM(P28:P33))&lt;0.01,ABS(K34-SUM(K28:K33))&lt;0.01,ABS(L34-SUM(L28:L33))&lt;0.01,ABS(G34-SUM(G28:G33))&lt;0.01,ABS(H34-SUM(H28:H33))&lt;0.01),"OK","CHECK")</f>
        <v>OK</v>
      </c>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c r="CF89" s="2"/>
      <c r="CG89" s="2"/>
      <c r="CH89" s="2"/>
      <c r="CI89" s="2"/>
      <c r="CJ89" s="2"/>
      <c r="CK89" s="2"/>
      <c r="CL89" s="2"/>
      <c r="CM89" s="2"/>
      <c r="CN89" s="2"/>
      <c r="CO89" s="2"/>
      <c r="CP89" s="2"/>
      <c r="CQ89" s="2"/>
      <c r="CR89" s="2"/>
      <c r="CS89" s="2"/>
      <c r="CT89" s="2"/>
      <c r="CU89" s="2"/>
      <c r="CV89" s="2"/>
      <c r="CW89" s="2"/>
      <c r="CX89" s="2"/>
      <c r="CY89" s="2"/>
      <c r="CZ89" s="2"/>
      <c r="DA89" s="2"/>
      <c r="DB89" s="2"/>
      <c r="DC89" s="2"/>
      <c r="DD89" s="2"/>
      <c r="DE89" s="2"/>
      <c r="DF89" s="2"/>
      <c r="DG89" s="2"/>
      <c r="DH89" s="2"/>
      <c r="DI89" s="2"/>
      <c r="DJ89" s="2"/>
      <c r="DK89" s="2"/>
      <c r="DL89" s="2"/>
      <c r="DM89" s="2"/>
      <c r="DN89" s="2"/>
      <c r="DO89" s="2"/>
      <c r="DP89" s="2"/>
      <c r="DQ89" s="2"/>
      <c r="DR89" s="2"/>
      <c r="DS89" s="2"/>
      <c r="DT89" s="2"/>
      <c r="DU89" s="2"/>
      <c r="DV89" s="2"/>
      <c r="DW89" s="2"/>
      <c r="DX89" s="2"/>
      <c r="DY89" s="2"/>
      <c r="DZ89" s="2"/>
      <c r="EA89" s="2"/>
      <c r="EB89" s="2"/>
      <c r="EC89" s="2"/>
      <c r="ED89" s="2"/>
      <c r="EE89" s="2"/>
      <c r="EF89" s="2"/>
      <c r="EG89" s="2"/>
      <c r="EH89" s="2"/>
      <c r="EI89" s="2"/>
      <c r="EJ89" s="2"/>
      <c r="EK89" s="2"/>
      <c r="EL89" s="2"/>
      <c r="EM89" s="2"/>
      <c r="EN89" s="2"/>
      <c r="EO89" s="2"/>
      <c r="EP89" s="2"/>
      <c r="EQ89" s="2"/>
      <c r="ER89" s="2"/>
      <c r="ES89" s="2"/>
    </row>
    <row r="90" ht="18.0" customHeight="1">
      <c r="A90" s="42" t="s">
        <v>91</v>
      </c>
      <c r="B90" s="40" t="str">
        <f>IF(AND(ABS(EQ53-SUM(EQ38:EQ52))&lt;0.01,ABS(ER53-SUM(ER38:ER52))&lt;0.01,ABS(EM53-SUM(EM38:EM52))&lt;0.01,ABS(EN53-SUM(EN38:EN52))&lt;0.01,ABS(EI53-SUM(EI38:EI52))&lt;0.01,ABS(EJ53-SUM(EJ38:EJ52))&lt;0.01,ABS(EE53-SUM(EE38:EE52))&lt;0.01,ABS(EF53-SUM(EF38:EF52))&lt;0.01,ABS(EA53-SUM(EA38:EA52))&lt;0.01,ABS(EB53-SUM(EB38:EB52))&lt;0.01,ABS(DW53-SUM(DW38:DW52))&lt;0.01,ABS(DX53-SUM(DX38:DX52))&lt;0.01,ABS(DS53-SUM(DS38:DS52))&lt;0.01,ABS(DT53-SUM(DT38:DT52))&lt;0.01,ABS(DO53-SUM(DO38:DO52))&lt;0.01,ABS(DP53-SUM(DP38:DP52))&lt;0.01,ABS(DK53-SUM(DK38:DK52))&lt;0.01,ABS(DL53-SUM(DL38:DL52))&lt;0.01,ABS(DG53-SUM(DG38:DG52))&lt;0.01,ABS(DH53-SUM(DH38:DH52))&lt;0.01,ABS(DC53-SUM(DC38:DC52))&lt;0.01,ABS(DD53-SUM(DD38:DD52))&lt;0.01,ABS(CY53-SUM(CY38:CY52))&lt;0.01,ABS(CZ53-SUM(CZ38:CZ52))&lt;0.01,ABS(CU53-SUM(CU38:CU52))&lt;0.01,ABS(CV53-SUM(CV38:CV52))&lt;0.01,ABS(CQ53-SUM(CQ38:CQ52))&lt;0.01,ABS(CR53-SUM(CR38:CR52))&lt;0.01,ABS(CM53-SUM(CM38:CM52))&lt;0.01,ABS(CN53-SUM(CN38:CN52))&lt;0.01,ABS(CI53-SUM(CI38:CI52))&lt;0.01,ABS(CJ53-SUM(CJ38:CJ52))&lt;0.01,ABS(CE53-SUM(CE38:CE52))&lt;0.01,ABS(CF53-SUM(CF38:CF52))&lt;0.01,ABS(CA53-SUM(CA38:CA52))&lt;0.01,ABS(CB53-SUM(CB38:CB52))&lt;0.01,ABS(BW53-SUM(BW38:BW52))&lt;0.01,ABS(BX53-SUM(BX38:BX52))&lt;0.01,ABS(BS53-SUM(BS38:BS52))&lt;0.01,ABS(BT53-SUM(BT38:BT52))&lt;0.01,ABS(BO53-SUM(BO38:BO52))&lt;0.01,ABS(BP53-SUM(BP38:BP52))&lt;0.01,ABS(BK53-SUM(BK38:BK52))&lt;0.01,ABS(BL53-SUM(BL38:BL52))&lt;0.01,ABS(BG53-SUM(BG38:BG52))&lt;0.01,ABS(BH53-SUM(BH38:BH52))&lt;0.01,ABS(BC53-SUM(BC38:BC52))&lt;0.01,ABS(BD53-SUM(BD38:BD52))&lt;0.01,ABS(AY53-SUM(AY38:AY52))&lt;0.01,ABS(AZ53-SUM(AZ38:AZ52))&lt;0.01,ABS(AU53-SUM(AU38:AU52))&lt;0.01,ABS(AV53-SUM(AV38:AV52))&lt;0.01,ABS(AQ53-SUM(AQ38:AQ52))&lt;0.01,ABS(AR53-SUM(AR38:AR52))&lt;0.01,ABS(AM53-SUM(AM38:AM52))&lt;0.01,ABS(AN53-SUM(AN38:AN52))&lt;0.01,ABS(AI53-SUM(AI38:AI52))&lt;0.01,ABS(AJ53-SUM(AJ38:AJ52))&lt;0.01,ABS(AE53-SUM(AE38:AE52))&lt;0.01,ABS(AF53-SUM(AF38:AF52))&lt;0.01,ABS(AA53-SUM(AA38:AA52))&lt;0.01,ABS(AB53-SUM(AB38:AB52))&lt;0.01,ABS(W53-SUM(W38:W52))&lt;0.01,ABS(X53-SUM(X38:X52))&lt;0.01,ABS(S53-SUM(S38:S52))&lt;0.01,ABS(T53-SUM(T38:T52))&lt;0.01,ABS(O53-SUM(O38:O52))&lt;0.01,ABS(P53-SUM(P38:P52))&lt;0.01,ABS(K53-SUM(K38:K52))&lt;0.01,ABS(L53-SUM(L38:L52))&lt;0.01,ABS(G53-SUM(G38:G52))&lt;0.01,ABS(H53-SUM(H38:H52))&lt;0.01),"OK","CHECK")</f>
        <v>OK</v>
      </c>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c r="DJ90" s="2"/>
      <c r="DK90" s="2"/>
      <c r="DL90" s="2"/>
      <c r="DM90" s="2"/>
      <c r="DN90" s="2"/>
      <c r="DO90" s="2"/>
      <c r="DP90" s="2"/>
      <c r="DQ90" s="2"/>
      <c r="DR90" s="2"/>
      <c r="DS90" s="2"/>
      <c r="DT90" s="2"/>
      <c r="DU90" s="2"/>
      <c r="DV90" s="2"/>
      <c r="DW90" s="2"/>
      <c r="DX90" s="2"/>
      <c r="DY90" s="2"/>
      <c r="DZ90" s="2"/>
      <c r="EA90" s="2"/>
      <c r="EB90" s="2"/>
      <c r="EC90" s="2"/>
      <c r="ED90" s="2"/>
      <c r="EE90" s="2"/>
      <c r="EF90" s="2"/>
      <c r="EG90" s="2"/>
      <c r="EH90" s="2"/>
      <c r="EI90" s="2"/>
      <c r="EJ90" s="2"/>
      <c r="EK90" s="2"/>
      <c r="EL90" s="2"/>
      <c r="EM90" s="2"/>
      <c r="EN90" s="2"/>
      <c r="EO90" s="2"/>
      <c r="EP90" s="2"/>
      <c r="EQ90" s="2"/>
      <c r="ER90" s="2"/>
      <c r="ES90" s="2"/>
    </row>
    <row r="91" ht="18.0" customHeight="1">
      <c r="A91" s="42" t="s">
        <v>92</v>
      </c>
      <c r="B91" s="40" t="str">
        <f>IF(AND(ABS(EQ55-(EQ36-EQ53))&lt;0.01,ABS(ER55-(ER36-ER53))&lt;0.01,ABS(EM55-(EM36-EM53))&lt;0.01,ABS(EN55-(EN36-EN53))&lt;0.01,ABS(EI55-(EI36-EI53))&lt;0.01,ABS(EJ55-(EJ36-EJ53))&lt;0.01,ABS(EE55-(EE36-EE53))&lt;0.01,ABS(EF55-(EF36-EF53))&lt;0.01,ABS(EA55-(EA36-EA53))&lt;0.01,ABS(EB55-(EB36-EB53))&lt;0.01,ABS(DW55-(DW36-DW53))&lt;0.01,ABS(DX55-(DX36-DX53))&lt;0.01,ABS(DS55-(DS36-DS53))&lt;0.01,ABS(DT55-(DT36-DT53))&lt;0.01,ABS(DO55-(DO36-DO53))&lt;0.01,ABS(DP55-(DP36-DP53))&lt;0.01,ABS(DK55-(DK36-DK53))&lt;0.01,ABS(DL55-(DL36-DL53))&lt;0.01,ABS(DG55-(DG36-DG53))&lt;0.01,ABS(DH55-(DH36-DH53))&lt;0.01,ABS(DC55-(DC36-DC53))&lt;0.01,ABS(DD55-(DD36-DD53))&lt;0.01,ABS(CY55-(CY36-CY53))&lt;0.01,ABS(CZ55-(CZ36-CZ53))&lt;0.01,ABS(CU55-(CU36-CU53))&lt;0.01,ABS(CV55-(CV36-CV53))&lt;0.01,ABS(CQ55-(CQ36-CQ53))&lt;0.01,ABS(CR55-(CR36-CR53))&lt;0.01,ABS(CM55-(CM36-CM53))&lt;0.01,ABS(CN55-(CN36-CN53))&lt;0.01,ABS(CI55-(CI36-CI53))&lt;0.01,ABS(CJ55-(CJ36-CJ53))&lt;0.01,ABS(CE55-(CE36-CE53))&lt;0.01,ABS(CF55-(CF36-CF53))&lt;0.01,ABS(CA55-(CA36-CA53))&lt;0.01,ABS(CB55-(CB36-CB53))&lt;0.01,ABS(BW55-(BW36-BW53))&lt;0.01,ABS(BX55-(BX36-BX53))&lt;0.01,ABS(BS55-(BS36-BS53))&lt;0.01,ABS(BT55-(BT36-BT53))&lt;0.01,ABS(BO55-(BO36-BO53))&lt;0.01,ABS(BP55-(BP36-BP53))&lt;0.01,ABS(BK55-(BK36-BK53))&lt;0.01,ABS(BL55-(BL36-BL53))&lt;0.01,ABS(BG55-(BG36-BG53))&lt;0.01,ABS(BH55-(BH36-BH53))&lt;0.01,ABS(BC55-(BC36-BC53))&lt;0.01,ABS(BD55-(BD36-BD53))&lt;0.01,ABS(AY55-(AY36-AY53))&lt;0.01,ABS(AZ55-(AZ36-AZ53))&lt;0.01,ABS(AU55-(AU36-AU53))&lt;0.01,ABS(AV55-(AV36-AV53))&lt;0.01,ABS(AQ55-(AQ36-AQ53))&lt;0.01,ABS(AR55-(AR36-AR53))&lt;0.01,ABS(AM55-(AM36-AM53))&lt;0.01,ABS(AN55-(AN36-AN53))&lt;0.01,ABS(AI55-(AI36-AI53))&lt;0.01,ABS(AJ55-(AJ36-AJ53))&lt;0.01,ABS(AE55-(AE36-AE53))&lt;0.01,ABS(AF55-(AF36-AF53))&lt;0.01,ABS(AA55-(AA36-AA53))&lt;0.01,ABS(AB55-(AB36-AB53))&lt;0.01,ABS(W55-(W36-W53))&lt;0.01,ABS(X55-(X36-X53))&lt;0.01,ABS(S55-(S36-S53))&lt;0.01,ABS(T55-(T36-T53))&lt;0.01,ABS(O55-(O36-O53))&lt;0.01,ABS(P55-(P36-P53))&lt;0.01,ABS(K55-(K36-K53))&lt;0.01,ABS(L55-(L36-L53))&lt;0.01,ABS(G55-(G36-G53))&lt;0.01,ABS(H55-(H36-H53))&lt;0.01),"OK","CHECK")</f>
        <v>OK</v>
      </c>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c r="BV91" s="2"/>
      <c r="BW91" s="2"/>
      <c r="BX91" s="2"/>
      <c r="BY91" s="2"/>
      <c r="BZ91" s="2"/>
      <c r="CA91" s="2"/>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c r="ED91" s="2"/>
      <c r="EE91" s="2"/>
      <c r="EF91" s="2"/>
      <c r="EG91" s="2"/>
      <c r="EH91" s="2"/>
      <c r="EI91" s="2"/>
      <c r="EJ91" s="2"/>
      <c r="EK91" s="2"/>
      <c r="EL91" s="2"/>
      <c r="EM91" s="2"/>
      <c r="EN91" s="2"/>
      <c r="EO91" s="2"/>
      <c r="EP91" s="2"/>
      <c r="EQ91" s="2"/>
      <c r="ER91" s="2"/>
      <c r="ES91" s="2"/>
    </row>
    <row r="92" ht="18.0" customHeight="1">
      <c r="A92" s="42" t="s">
        <v>93</v>
      </c>
      <c r="B92" s="40" t="str">
        <f>IF(AND(ABS(EQ66-(SUM(EQ57,EQ60)-SUM(EQ58,EQ59,EQ65)))&lt;0.01,ABS(ER66-(SUM(ER57,ER60)-SUM(ER58,ER59,ER65)))&lt;0.01,ABS(EM66-(SUM(EM57,EM60)-SUM(EM58,EM59,EM65)))&lt;0.01,ABS(EN66-(SUM(EN57,EN60)-SUM(EN58,EN59,EN65)))&lt;0.01,ABS(EI66-(SUM(EI57,EI60)-SUM(EI58,EI59,EI65)))&lt;0.01,ABS(EJ66-(SUM(EJ57,EJ60)-SUM(EJ58,EJ59,EJ65)))&lt;0.01,ABS(EE66-(SUM(EE57,EE60)-SUM(EE58,EE59,EE65)))&lt;0.01,ABS(EF66-(SUM(EF57,EF60)-SUM(EF58,EF59,EF65)))&lt;0.01,ABS(EA66-(SUM(EA57,EA60)-SUM(EA58,EA59,EA65)))&lt;0.01,ABS(EB66-(SUM(EB57,EB60)-SUM(EB58,EB59,EB65)))&lt;0.01,ABS(DW66-(SUM(DW57,DW60)-SUM(DW58,DW59,DW65)))&lt;0.01,ABS(DX66-(SUM(DX57,DX60)-SUM(DX58,DX59,DX65)))&lt;0.01,ABS(DS66-(SUM(DS57,DS60)-SUM(DS58,DS59,DS65)))&lt;0.01,ABS(DT66-(SUM(DT57,DT60)-SUM(DT58,DT59,DT65)))&lt;0.01,ABS(DO66-(SUM(DO57,DO60)-SUM(DO58,DO59,DO65)))&lt;0.01,ABS(DP66-(SUM(DP57,DP60)-SUM(DP58,DP59,DP65)))&lt;0.01,ABS(DK66-(SUM(DK57,DK60)-SUM(DK58,DK59,DK65)))&lt;0.01,ABS(DL66-(SUM(DL57,DL60)-SUM(DL58,DL59,DL65)))&lt;0.01,ABS(DG66-(SUM(DG57,DG60)-SUM(DG58,DG59,DG65)))&lt;0.01,ABS(DH66-(SUM(DH57,DH60)-SUM(DH58,DH59,DH65)))&lt;0.01,ABS(DC66-(SUM(DC57,DC60)-SUM(DC58,DC59,DC65)))&lt;0.01,ABS(DD66-(SUM(DD57,DD60)-SUM(DD58,DD59,DD65)))&lt;0.01,ABS(CY66-(SUM(CY57,CY60)-SUM(CY58,CY59,CY65)))&lt;0.01,ABS(CZ66-(SUM(CZ57,CZ60)-SUM(CZ58,CZ59,CZ65)))&lt;0.01,ABS(CU66-(SUM(CU57,CU60)-SUM(CU58,CU59,CU65)))&lt;0.01,ABS(CV66-(SUM(CV57,CV60)-SUM(CV58,CV59,CV65)))&lt;0.01,ABS(CQ66-(SUM(CQ57,CQ60)-SUM(CQ58,CQ59,CQ65)))&lt;0.01,ABS(CR66-(SUM(CR57,CR60)-SUM(CR58,CR59,CR65)))&lt;0.01,ABS(CM66-(SUM(CM57,CM60)-SUM(CM58,CM59,CM65)))&lt;0.01,ABS(CN66-(SUM(CN57,CN60)-SUM(CN58,CN59,CN65)))&lt;0.01,ABS(CI66-(SUM(CI57,CI60)-SUM(CI58,CI59,CI65)))&lt;0.01,ABS(CJ66-(SUM(CJ57,CJ60)-SUM(CJ58,CJ59,CJ65)))&lt;0.01,ABS(CE66-(SUM(CE57,CE60)-SUM(CE58,CE59,CE65)))&lt;0.01,ABS(CF66-(SUM(CF57,CF60)-SUM(CF58,CF59,CF65)))&lt;0.01,ABS(CA66-(SUM(CA57,CA60)-SUM(CA58,CA59,CA65)))&lt;0.01,ABS(CB66-(SUM(CB57,CB60)-SUM(CB58,CB59,CB65)))&lt;0.01,ABS(BW66-(SUM(BW57,BW60)-SUM(BW58,BW59,BW65)))&lt;0.01,ABS(BX66-(SUM(BX57,BX60)-SUM(BX58,BX59,BX65)))&lt;0.01,ABS(BS66-(SUM(BS57,BS60)-SUM(BS58,BS59,BS65)))&lt;0.01,ABS(BT66-(SUM(BT57,BT60)-SUM(BT58,BT59,BT65)))&lt;0.01,ABS(BO66-(SUM(BO57,BO60)-SUM(BO58,BO59,BO65)))&lt;0.01,ABS(BP66-(SUM(BP57,BP60)-SUM(BP58,BP59,BP65)))&lt;0.01,ABS(BK66-(SUM(BK57,BK60)-SUM(BK58,BK59,BK65)))&lt;0.01,ABS(BL66-(SUM(BL57,BL60)-SUM(BL58,BL59,BL65)))&lt;0.01,ABS(BG66-(SUM(BG57,BG60)-SUM(BG58,BG59,BG65)))&lt;0.01,ABS(BH66-(SUM(BH57,BH60)-SUM(BH58,BH59,BH65)))&lt;0.01,ABS(BC66-(SUM(BC57,BC60)-SUM(BC58,BC59,BC65)))&lt;0.01,ABS(BD66-(SUM(BD57,BD60)-SUM(BD58,BD59,BD65)))&lt;0.01,ABS(AY66-(SUM(AY57,AY60)-SUM(AY58,AY59,AY65)))&lt;0.01,ABS(AZ66-(SUM(AZ57,AZ60)-SUM(AZ58,AZ59,AZ65)))&lt;0.01,ABS(AU66-(SUM(AU57,AU60)-SUM(AU58,AU59,AU65)))&lt;0.01,ABS(AV66-(SUM(AV57,AV60)-SUM(AV58,AV59,AV65)))&lt;0.01,ABS(AQ66-(SUM(AQ57,AQ60)-SUM(AQ58,AQ59,AQ65)))&lt;0.01,ABS(AR66-(SUM(AR57,AR60)-SUM(AR58,AR59,AR65)))&lt;0.01,ABS(AM66-(SUM(AM57,AM60)-SUM(AM58,AM59,AM65)))&lt;0.01,ABS(AN66-(SUM(AN57,AN60)-SUM(AN58,AN59,AN65)))&lt;0.01,ABS(AI66-(SUM(AI57,AI60)-SUM(AI58,AI59,AI65)))&lt;0.01,ABS(AJ66-(SUM(AJ57,AJ60)-SUM(AJ58,AJ59,AJ65)))&lt;0.01,ABS(AE66-(SUM(AE57,AE60)-SUM(AE58,AE59,AE65)))&lt;0.01,ABS(AF66-(SUM(AF57,AF60)-SUM(AF58,AF59,AF65)))&lt;0.01,ABS(AA66-(SUM(AA57,AA60)-SUM(AA58,AA59,AA65)))&lt;0.01,ABS(AB66-(SUM(AB57,AB60)-SUM(AB58,AB59,AB65)))&lt;0.01,ABS(W66-(SUM(W57,W60)-SUM(W58,W59,W65)))&lt;0.01,ABS(X66-(SUM(X57,X60)-SUM(X58,X59,X65)))&lt;0.01,ABS(S66-(SUM(S57,S60)-SUM(S58,S59,S65)))&lt;0.01,ABS(T66-(SUM(T57,T60)-SUM(T58,T59,T65)))&lt;0.01,ABS(O66-(SUM(O57,O60)-SUM(O58,O59,O65)))&lt;0.01,ABS(P66-(SUM(P57,P60)-SUM(P58,P59,P65)))&lt;0.01,ABS(K66-(SUM(K57,K60)-SUM(K58,K59,K65)))&lt;0.01,ABS(L66-(SUM(L57,L60)-SUM(L58,L59,L65)))&lt;0.01,ABS(G66-(SUM(G57,G60)-SUM(G58,G59,G65)))&lt;0.01,ABS(H66-(SUM(H57,H60)-SUM(H58,H59,H65)))&lt;0.01),"OK","CHECK")</f>
        <v>OK</v>
      </c>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c r="ED92" s="2"/>
      <c r="EE92" s="2"/>
      <c r="EF92" s="2"/>
      <c r="EG92" s="2"/>
      <c r="EH92" s="2"/>
      <c r="EI92" s="2"/>
      <c r="EJ92" s="2"/>
      <c r="EK92" s="2"/>
      <c r="EL92" s="2"/>
      <c r="EM92" s="2"/>
      <c r="EN92" s="2"/>
      <c r="EO92" s="2"/>
      <c r="EP92" s="2"/>
      <c r="EQ92" s="2"/>
      <c r="ER92" s="2"/>
      <c r="ES92" s="2"/>
    </row>
    <row r="93" ht="18.0" customHeight="1">
      <c r="A93" s="42" t="s">
        <v>94</v>
      </c>
      <c r="B93" s="40" t="str">
        <f>IF(AND(ABS(EQ68-(EQ67+EQ66))&lt;0.01,ABS(ER68-(ER67+ER66))&lt;0.01,ABS(EM68-(EM67+EM66))&lt;0.01,ABS(EN68-(EN67+EN66))&lt;0.01,ABS(EI68-(EI67+EI66))&lt;0.01,ABS(EJ68-(EJ67+EJ66))&lt;0.01,ABS(EE68-(EE67+EE66))&lt;0.01,ABS(EF68-(EF67+EF66))&lt;0.01,ABS(EA68-(EA67+EA66))&lt;0.01,ABS(EB68-(EB67+EB66))&lt;0.01,ABS(DW68-(DW67+DW66))&lt;0.01,ABS(DX68-(DX67+DX66))&lt;0.01,ABS(DS68-(DS67+DS66))&lt;0.01,ABS(DT68-(DT67+DT66))&lt;0.01,ABS(DO68-(DO67+DO66))&lt;0.01,ABS(DP68-(DP67+DP66))&lt;0.01,ABS(DK68-(DK67+DK66))&lt;0.01,ABS(DL68-(DL67+DL66))&lt;0.01,ABS(DG68-(DG67+DG66))&lt;0.01,ABS(DH68-(DH67+DH66))&lt;0.01,ABS(DC68-(DC67+DC66))&lt;0.01,ABS(DD68-(DD67+DD66))&lt;0.01,ABS(CY68-(CY67+CY66))&lt;0.01,ABS(CZ68-(CZ67+CZ66))&lt;0.01,ABS(CU68-(CU67+CU66))&lt;0.01,ABS(CV68-(CV67+CV66))&lt;0.01,ABS(CQ68-(CQ67+CQ66))&lt;0.01,ABS(CR68-(CR67+CR66))&lt;0.01,ABS(CM68-(CM67+CM66))&lt;0.01,ABS(CN68-(CN67+CN66))&lt;0.01,ABS(CI68-(CI67+CI66))&lt;0.01,ABS(CJ68-(CJ67+CJ66))&lt;0.01,ABS(CE68-(CE67+CE66))&lt;0.01,ABS(CF68-(CF67+CF66))&lt;0.01,ABS(CA68-(CA67+CA66))&lt;0.01,ABS(CB68-(CB67+CB66))&lt;0.01,ABS(BW68-(BW67+BW66))&lt;0.01,ABS(BX68-(BX67+BX66))&lt;0.01,ABS(BS68-(BS67+BS66))&lt;0.01,ABS(BT68-(BT67+BT66))&lt;0.01,ABS(BO68-(BO67+BO66))&lt;0.01,ABS(BP68-(BP67+BP66))&lt;0.01,ABS(BK68-(BK67+BK66))&lt;0.01,ABS(BL68-(BL67+BL66))&lt;0.01,ABS(BG68-(BG67+BG66))&lt;0.01,ABS(BH68-(BH67+BH66))&lt;0.01,ABS(BC68-(BC67+BC66))&lt;0.01,ABS(BD68-(BD67+BD66))&lt;0.01,ABS(AY68-(AY67+AY66))&lt;0.01,ABS(AZ68-(AZ67+AZ66))&lt;0.01,ABS(AU68-(AU67+AU66))&lt;0.01,ABS(AV68-(AV67+AV66))&lt;0.01,ABS(AQ68-(AQ67+AQ66))&lt;0.01,ABS(AR68-(AR67+AR66))&lt;0.01,ABS(AM68-(AM67+AM66))&lt;0.01,ABS(AN68-(AN67+AN66))&lt;0.01,ABS(AI68-(AI67+AI66))&lt;0.01,ABS(AJ68-(AJ67+AJ66))&lt;0.01,ABS(AE68-(AE67+AE66))&lt;0.01,ABS(AF68-(AF67+AF66))&lt;0.01,ABS(AA68-(AA67+AA66))&lt;0.01,ABS(AB68-(AB67+AB66))&lt;0.01,ABS(W68-(W67+W66))&lt;0.01,ABS(X68-(X67+X66))&lt;0.01,ABS(S68-(S67+S66))&lt;0.01,ABS(T68-(T67+T66))&lt;0.01,ABS(O68-(O67+O66))&lt;0.01,ABS(P68-(P67+P66))&lt;0.01,ABS(K68-(K67+K66))&lt;0.01,ABS(L68-(L67+L66))&lt;0.01,ABS(G68-(G67+G66))&lt;0.01,ABS(H68-(H67+H66))&lt;0.01),"OK","CHECK")</f>
        <v>OK</v>
      </c>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c r="ED93" s="2"/>
      <c r="EE93" s="2"/>
      <c r="EF93" s="2"/>
      <c r="EG93" s="2"/>
      <c r="EH93" s="2"/>
      <c r="EI93" s="2"/>
      <c r="EJ93" s="2"/>
      <c r="EK93" s="2"/>
      <c r="EL93" s="2"/>
      <c r="EM93" s="2"/>
      <c r="EN93" s="2"/>
      <c r="EO93" s="2"/>
      <c r="EP93" s="2"/>
      <c r="EQ93" s="2"/>
      <c r="ER93" s="2"/>
      <c r="ES93" s="2"/>
    </row>
    <row r="94" ht="18.0" customHeight="1">
      <c r="A94" s="42" t="s">
        <v>95</v>
      </c>
      <c r="B94" s="40" t="str">
        <f>IF(AND(ABS(EQ24-SUM(EQ8,EQ11,EQ14,EQ23))&lt;0.01,ABS(ER24-SUM(ER8,ER11,ER14,ER23))&lt;0.01,ABS(EM24-SUM(EM8,EM11,EM14,EM23))&lt;0.01,ABS(EN24-SUM(EN8,EN11,EN14,EN23))&lt;0.01,ABS(EI24-SUM(EI8,EI11,EI14,EI23))&lt;0.01,ABS(EJ24-SUM(EJ8,EJ11,EJ14,EJ23))&lt;0.01,ABS(EE24-SUM(EE8,EE11,EE14,EE23))&lt;0.01,ABS(EF24-SUM(EF8,EF11,EF14,EF23))&lt;0.01,ABS(EA24-SUM(EA8,EA11,EA14,EA23))&lt;0.01,ABS(EB24-SUM(EB8,EB11,EB14,EB23))&lt;0.01,ABS(DW24-SUM(DW8,DW11,DW14,DW23))&lt;0.01,ABS(DX24-SUM(DX8,DX11,DX14,DX23))&lt;0.01,ABS(DS24-SUM(DS8,DS11,DS14,DS23))&lt;0.01,ABS(DT24-SUM(DT8,DT11,DT14,DT23))&lt;0.01,ABS(DO24-SUM(DO8,DO11,DO14,DO23))&lt;0.01,ABS(DP24-SUM(DP8,DP11,DP14,DP23))&lt;0.01,ABS(DK24-SUM(DK8,DK11,DK14,DK23))&lt;0.01,ABS(DL24-SUM(DL8,DL11,DL14,DL23))&lt;0.01,ABS(DG24-SUM(DG8,DG11,DG14,DG23))&lt;0.01,ABS(DH24-SUM(DH8,DH11,DH14,DH23))&lt;0.01,ABS(DC24-SUM(DC8,DC11,DC14,DC23))&lt;0.01,ABS(DD24-SUM(DD8,DD11,DD14,DD23))&lt;0.01,ABS(CY24-SUM(CY8,CY11,CY14,CY23))&lt;0.01,ABS(CZ24-SUM(CZ8,CZ11,CZ14,CZ23))&lt;0.01,ABS(CU24-SUM(CU8,CU11,CU14,CU23))&lt;0.01,ABS(CV24-SUM(CV8,CV11,CV14,CV23))&lt;0.01,ABS(CQ24-SUM(CQ8,CQ11,CQ14,CQ23))&lt;0.01,ABS(CR24-SUM(CR8,CR11,CR14,CR23))&lt;0.01,ABS(CM24-SUM(CM8,CM11,CM14,CM23))&lt;0.01,ABS(CN24-SUM(CN8,CN11,CN14,CN23))&lt;0.01,ABS(CI24-SUM(CI8,CI11,CI14,CI23))&lt;0.01,ABS(CJ24-SUM(CJ8,CJ11,CJ14,CJ23))&lt;0.01,ABS(CE24-SUM(CE8,CE11,CE14,CE23))&lt;0.01,ABS(CF24-SUM(CF8,CF11,CF14,CF23))&lt;0.01,ABS(CA24-SUM(CA8,CA11,CA14,CA23))&lt;0.01,ABS(CB24-SUM(CB8,CB11,CB14,CB23))&lt;0.01,ABS(BW24-SUM(BW8,BW11,BW14,BW23))&lt;0.01,ABS(BX24-SUM(BX8,BX11,BX14,BX23))&lt;0.01,ABS(BS24-SUM(BS8,BS11,BS14,BS23))&lt;0.01,ABS(BT24-SUM(BT8,BT11,BT14,BT23))&lt;0.01,ABS(BO24-SUM(BO8,BO11,BO14,BO23))&lt;0.01,ABS(BP24-SUM(BP8,BP11,BP14,BP23))&lt;0.01,ABS(BK24-SUM(BK8,BK11,BK14,BK23))&lt;0.01,ABS(BL24-SUM(BL8,BL11,BL14,BL23))&lt;0.01,ABS(BG24-SUM(BG8,BG11,BG14,BG23))&lt;0.01,ABS(BH24-SUM(BH8,BH11,BH14,BH23))&lt;0.01,ABS(BC24-SUM(BC8,BC11,BC14,BC23))&lt;0.01,ABS(BD24-SUM(BD8,BD11,BD14,BD23))&lt;0.01,ABS(AY24-SUM(AY8,AY11,AY14,AY23))&lt;0.01,ABS(AZ24-SUM(AZ8,AZ11,AZ14,AZ23))&lt;0.01,ABS(AU24-SUM(AU8,AU11,AU14,AU23))&lt;0.01,ABS(AV24-SUM(AV8,AV11,AV14,AV23))&lt;0.01,ABS(AQ24-SUM(AQ8,AQ11,AQ14,AQ23))&lt;0.01,ABS(AR24-SUM(AR8,AR11,AR14,AR23))&lt;0.01,ABS(AM24-SUM(AM8,AM11,AM14,AM23))&lt;0.01,ABS(AN24-SUM(AN8,AN11,AN14,AN23))&lt;0.01,ABS(AI24-SUM(AI8,AI11,AI14,AI23))&lt;0.01,ABS(AJ24-SUM(AJ8,AJ11,AJ14,AJ23))&lt;0.01,ABS(AE24-SUM(AE8,AE11,AE14,AE23))&lt;0.01,ABS(AF24-SUM(AF8,AF11,AF14,AF23))&lt;0.01,ABS(AA24-SUM(AA8,AA11,AA14,AA23))&lt;0.01,ABS(AB24-SUM(AB8,AB11,AB14,AB23))&lt;0.01,ABS(W24-SUM(W8,W11,W14,W23))&lt;0.01,ABS(X24-SUM(X8,X11,X14,X23))&lt;0.01,ABS(S24-SUM(S8,S11,S14,S23))&lt;0.01,ABS(T24-SUM(T8,T11,T14,T23))&lt;0.01,ABS(O24-SUM(O8,O11,O14,O23))&lt;0.01,ABS(P24-SUM(P8,P11,P14,P23))&lt;0.01,ABS(K24-SUM(K8,K11,K14,K23))&lt;0.01,ABS(L24-SUM(L8,L11,L14,L23))&lt;0.01,ABS(G24-SUM(G8,G11,G14,G23))&lt;0.01,ABS(H24-SUM(H8,H11,H14,H23))&lt;0.01),"OK","CHECK")</f>
        <v>OK</v>
      </c>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c r="BV94" s="2"/>
      <c r="BW94" s="2"/>
      <c r="BX94" s="2"/>
      <c r="BY94" s="2"/>
      <c r="BZ94" s="2"/>
      <c r="CA94" s="2"/>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c r="ED94" s="2"/>
      <c r="EE94" s="2"/>
      <c r="EF94" s="2"/>
      <c r="EG94" s="2"/>
      <c r="EH94" s="2"/>
      <c r="EI94" s="2"/>
      <c r="EJ94" s="2"/>
      <c r="EK94" s="2"/>
      <c r="EL94" s="2"/>
      <c r="EM94" s="2"/>
      <c r="EN94" s="2"/>
      <c r="EO94" s="2"/>
      <c r="EP94" s="2"/>
      <c r="EQ94" s="2"/>
      <c r="ER94" s="2"/>
      <c r="ES94" s="2"/>
    </row>
    <row r="95" ht="18.0" customHeight="1">
      <c r="A95" s="42" t="s">
        <v>96</v>
      </c>
      <c r="B95" s="40" t="str">
        <f>IF(SUMPRODUCT(--ISERROR(B3:ES73))=0,"OK","CHECK")</f>
        <v>OK</v>
      </c>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c r="BV95" s="2"/>
      <c r="BW95" s="2"/>
      <c r="BX95" s="2"/>
      <c r="BY95" s="2"/>
      <c r="BZ95" s="2"/>
      <c r="CA95" s="2"/>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c r="ED95" s="2"/>
      <c r="EE95" s="2"/>
      <c r="EF95" s="2"/>
      <c r="EG95" s="2"/>
      <c r="EH95" s="2"/>
      <c r="EI95" s="2"/>
      <c r="EJ95" s="2"/>
      <c r="EK95" s="2"/>
      <c r="EL95" s="2"/>
      <c r="EM95" s="2"/>
      <c r="EN95" s="2"/>
      <c r="EO95" s="2"/>
      <c r="EP95" s="2"/>
      <c r="EQ95" s="2"/>
      <c r="ER95" s="2"/>
      <c r="ES95" s="2"/>
    </row>
    <row r="96" ht="18.0" customHeight="1">
      <c r="A96" s="42" t="s">
        <v>97</v>
      </c>
      <c r="B96" s="40" t="str">
        <f>IF($EP$75="","NOT STARTED",IF(COUNTIF(B81:B95,"OK")=15,"PASS","CHECK"))</f>
        <v>PASS</v>
      </c>
      <c r="C96" s="36"/>
      <c r="D96" s="36"/>
      <c r="E96" s="36"/>
      <c r="F96" s="36"/>
      <c r="G96" s="36"/>
      <c r="H96" s="36"/>
      <c r="I96" s="36"/>
      <c r="J96" s="36"/>
      <c r="K96" s="36"/>
      <c r="L96" s="36"/>
      <c r="M96" s="36"/>
      <c r="N96" s="36"/>
      <c r="O96" s="36"/>
      <c r="P96" s="36"/>
      <c r="Q96" s="36"/>
      <c r="R96" s="36"/>
      <c r="S96" s="36"/>
      <c r="T96" s="36"/>
      <c r="U96" s="36"/>
      <c r="V96" s="36"/>
      <c r="W96" s="36"/>
      <c r="X96" s="36"/>
      <c r="Y96" s="36"/>
      <c r="Z96" s="36"/>
      <c r="AA96" s="36"/>
      <c r="AB96" s="36"/>
      <c r="AC96" s="36"/>
      <c r="AD96" s="36"/>
      <c r="AE96" s="36"/>
      <c r="AF96" s="36"/>
      <c r="AG96" s="36"/>
      <c r="AH96" s="36"/>
      <c r="AI96" s="36"/>
      <c r="AJ96" s="36"/>
      <c r="AK96" s="36"/>
      <c r="AL96" s="36"/>
      <c r="AM96" s="36"/>
      <c r="AN96" s="36"/>
      <c r="AO96" s="36"/>
      <c r="AP96" s="36"/>
      <c r="AQ96" s="36"/>
      <c r="AR96" s="36"/>
      <c r="AS96" s="36"/>
      <c r="AT96" s="36"/>
      <c r="AU96" s="36"/>
      <c r="AV96" s="36"/>
      <c r="AW96" s="36"/>
      <c r="AX96" s="36"/>
      <c r="AY96" s="36"/>
      <c r="AZ96" s="36"/>
      <c r="BA96" s="36"/>
      <c r="BB96" s="36"/>
      <c r="BC96" s="36"/>
      <c r="BD96" s="36"/>
      <c r="BE96" s="36"/>
      <c r="BF96" s="36"/>
      <c r="BG96" s="36"/>
      <c r="BH96" s="36"/>
      <c r="BI96" s="36"/>
      <c r="BJ96" s="36"/>
      <c r="BK96" s="36"/>
      <c r="BL96" s="36"/>
      <c r="BM96" s="36"/>
      <c r="BN96" s="36"/>
      <c r="BO96" s="36"/>
      <c r="BP96" s="36"/>
      <c r="BQ96" s="36"/>
      <c r="BR96" s="36"/>
      <c r="BS96" s="36"/>
      <c r="BT96" s="36"/>
      <c r="BU96" s="36"/>
      <c r="BV96" s="36"/>
      <c r="BW96" s="36"/>
      <c r="BX96" s="36"/>
      <c r="BY96" s="36"/>
      <c r="BZ96" s="36"/>
      <c r="CA96" s="36"/>
      <c r="CB96" s="36"/>
      <c r="CC96" s="36"/>
      <c r="CD96" s="36"/>
      <c r="CE96" s="36"/>
      <c r="CF96" s="36"/>
      <c r="CG96" s="36"/>
      <c r="CH96" s="36"/>
      <c r="CI96" s="36"/>
      <c r="CJ96" s="36"/>
      <c r="CK96" s="36"/>
      <c r="CL96" s="36"/>
      <c r="CM96" s="36"/>
      <c r="CN96" s="36"/>
      <c r="CO96" s="36"/>
      <c r="CP96" s="36"/>
      <c r="CQ96" s="36"/>
      <c r="CR96" s="36"/>
      <c r="CS96" s="36"/>
      <c r="CT96" s="36"/>
      <c r="CU96" s="36"/>
      <c r="CV96" s="36"/>
      <c r="CW96" s="36"/>
      <c r="CX96" s="36"/>
      <c r="CY96" s="36"/>
      <c r="CZ96" s="36"/>
      <c r="DA96" s="36"/>
      <c r="DB96" s="36"/>
      <c r="DC96" s="36"/>
      <c r="DD96" s="36"/>
      <c r="DE96" s="36"/>
      <c r="DF96" s="36"/>
      <c r="DG96" s="36"/>
      <c r="DH96" s="36"/>
      <c r="DI96" s="36"/>
      <c r="DJ96" s="36"/>
      <c r="DK96" s="36"/>
      <c r="DL96" s="36"/>
      <c r="DM96" s="36"/>
      <c r="DN96" s="36"/>
      <c r="DO96" s="36"/>
      <c r="DP96" s="36"/>
      <c r="DQ96" s="36"/>
      <c r="DR96" s="36"/>
      <c r="DS96" s="36"/>
      <c r="DT96" s="36"/>
      <c r="DU96" s="36"/>
      <c r="DV96" s="36"/>
      <c r="DW96" s="36"/>
      <c r="DX96" s="36"/>
      <c r="DY96" s="36"/>
      <c r="DZ96" s="36"/>
      <c r="EA96" s="36"/>
      <c r="EB96" s="36"/>
      <c r="EC96" s="36"/>
      <c r="ED96" s="36"/>
      <c r="EE96" s="36"/>
      <c r="EF96" s="36"/>
      <c r="EG96" s="36"/>
      <c r="EH96" s="36"/>
      <c r="EI96" s="36"/>
      <c r="EJ96" s="36"/>
      <c r="EK96" s="36"/>
      <c r="EL96" s="36"/>
      <c r="EM96" s="36"/>
      <c r="EN96" s="36"/>
      <c r="EO96" s="36"/>
      <c r="EP96" s="36"/>
      <c r="EQ96" s="36"/>
      <c r="ER96" s="36"/>
      <c r="ES96" s="36"/>
    </row>
    <row r="97" ht="18.0" hidden="1" customHeight="1">
      <c r="A97" s="2" t="s">
        <v>98</v>
      </c>
      <c r="B97" s="2"/>
      <c r="C97" s="2"/>
      <c r="D97" s="2"/>
      <c r="E97" s="2"/>
      <c r="F97" s="2">
        <f>IF(AND(F$57&lt;&gt;"",COUNT(F6,F8,F9,F11,F12,F13,F14,F15,F16,F18,F21,F23,F28,F30,F31,F32,F33,F38,F39,F40,F41,F42,F43,F44,F45,F46,F47,F48,F49,F50,F51,F52,F57,F60,F61,F62,F63,F64,F69)=39),1,0)</f>
        <v>0</v>
      </c>
      <c r="G97" s="2"/>
      <c r="H97" s="2"/>
      <c r="I97" s="2"/>
      <c r="J97" s="2">
        <f>IF(AND(J$57&lt;&gt;"",COUNT(J6,J8,J9,J11,J12,J13,J14,J15,J16,J18,J21,J23,J28,J30,J31,J32,J33,J38,J39,J40,J41,J42,J43,J44,J45,J46,J47,J48,J49,J50,J51,J52,J57,J60,J61,J62,J63,J64,J69)=39),1,0)</f>
        <v>0</v>
      </c>
      <c r="K97" s="2"/>
      <c r="L97" s="2"/>
      <c r="M97" s="2"/>
      <c r="N97" s="2">
        <f>IF(AND(N$57&lt;&gt;"",COUNT(N6,N8,N9,N11,N12,N13,N14,N15,N16,N18,N21,N23,N28,N30,N31,N32,N33,N38,N39,N40,N41,N42,N43,N44,N45,N46,N47,N48,N49,N50,N51,N52,N57,N60,N61,N62,N63,N64,N69)=39),1,0)</f>
        <v>0</v>
      </c>
      <c r="O97" s="2"/>
      <c r="P97" s="2"/>
      <c r="Q97" s="2"/>
      <c r="R97" s="2">
        <f>IF(AND(R$57&lt;&gt;"",COUNT(R6,R8,R9,R11,R12,R13,R14,R15,R16,R18,R21,R23,R28,R30,R31,R32,R33,R38,R39,R40,R41,R42,R43,R44,R45,R46,R47,R48,R49,R50,R51,R52,R57,R60,R61,R62,R63,R64,R69)=39),1,0)</f>
        <v>0</v>
      </c>
      <c r="S97" s="2"/>
      <c r="T97" s="2"/>
      <c r="U97" s="2"/>
      <c r="V97" s="2">
        <f>IF(AND(V$57&lt;&gt;"",COUNT(V6,V8,V9,V11,V12,V13,V14,V15,V16,V18,V21,V23,V28,V30,V31,V32,V33,V38,V39,V40,V41,V42,V43,V44,V45,V46,V47,V48,V49,V50,V51,V52,V57,V60,V61,V62,V63,V64,V69)=39),1,0)</f>
        <v>0</v>
      </c>
      <c r="W97" s="2"/>
      <c r="X97" s="2"/>
      <c r="Y97" s="2"/>
      <c r="Z97" s="2">
        <f>IF(AND(Z$57&lt;&gt;"",COUNT(Z6,Z8,Z9,Z11,Z12,Z13,Z14,Z15,Z16,Z18,Z21,Z23,Z28,Z30,Z31,Z32,Z33,Z38,Z39,Z40,Z41,Z42,Z43,Z44,Z45,Z46,Z47,Z48,Z49,Z50,Z51,Z52,Z57,Z60,Z61,Z62,Z63,Z64,Z69)=39),1,0)</f>
        <v>0</v>
      </c>
      <c r="AA97" s="2"/>
      <c r="AB97" s="2"/>
      <c r="AC97" s="2"/>
      <c r="AD97" s="2">
        <f>IF(AND(AD$57&lt;&gt;"",COUNT(AD6,AD8,AD9,AD11,AD12,AD13,AD14,AD15,AD16,AD18,AD21,AD23,AD28,AD30,AD31,AD32,AD33,AD38,AD39,AD40,AD41,AD42,AD43,AD44,AD45,AD46,AD47,AD48,AD49,AD50,AD51,AD52,AD57,AD60,AD61,AD62,AD63,AD64,AD69)=39),1,0)</f>
        <v>0</v>
      </c>
      <c r="AE97" s="2"/>
      <c r="AF97" s="2"/>
      <c r="AG97" s="2"/>
      <c r="AH97" s="2">
        <f>IF(AND(AH$57&lt;&gt;"",COUNT(AH6,AH8,AH9,AH11,AH12,AH13,AH14,AH15,AH16,AH18,AH21,AH23,AH28,AH30,AH31,AH32,AH33,AH38,AH39,AH40,AH41,AH42,AH43,AH44,AH45,AH46,AH47,AH48,AH49,AH50,AH51,AH52,AH57,AH60,AH61,AH62,AH63,AH64,AH69)=39),1,0)</f>
        <v>0</v>
      </c>
      <c r="AI97" s="2"/>
      <c r="AJ97" s="2"/>
      <c r="AK97" s="2"/>
      <c r="AL97" s="2">
        <f>IF(AND(AL$57&lt;&gt;"",COUNT(AL6,AL8,AL9,AL11,AL12,AL13,AL14,AL15,AL16,AL18,AL21,AL23,AL28,AL30,AL31,AL32,AL33,AL38,AL39,AL40,AL41,AL42,AL43,AL44,AL45,AL46,AL47,AL48,AL49,AL50,AL51,AL52,AL57,AL60,AL61,AL62,AL63,AL64,AL69)=39),1,0)</f>
        <v>0</v>
      </c>
      <c r="AM97" s="2"/>
      <c r="AN97" s="2"/>
      <c r="AO97" s="2"/>
      <c r="AP97" s="2">
        <f>IF(AND(AP$57&lt;&gt;"",COUNT(AP6,AP8,AP9,AP11,AP12,AP13,AP14,AP15,AP16,AP18,AP21,AP23,AP28,AP30,AP31,AP32,AP33,AP38,AP39,AP40,AP41,AP42,AP43,AP44,AP45,AP46,AP47,AP48,AP49,AP50,AP51,AP52,AP57,AP60,AP61,AP62,AP63,AP64,AP69)=39),1,0)</f>
        <v>0</v>
      </c>
      <c r="AQ97" s="2"/>
      <c r="AR97" s="2"/>
      <c r="AS97" s="2"/>
      <c r="AT97" s="2">
        <f>IF(AND(AT$57&lt;&gt;"",COUNT(AT6,AT8,AT9,AT11,AT12,AT13,AT14,AT15,AT16,AT18,AT21,AT23,AT28,AT30,AT31,AT32,AT33,AT38,AT39,AT40,AT41,AT42,AT43,AT44,AT45,AT46,AT47,AT48,AT49,AT50,AT51,AT52,AT57,AT60,AT61,AT62,AT63,AT64,AT69)=39),1,0)</f>
        <v>0</v>
      </c>
      <c r="AU97" s="2"/>
      <c r="AV97" s="2"/>
      <c r="AW97" s="2"/>
      <c r="AX97" s="2">
        <f>IF(AND(AX$57&lt;&gt;"",COUNT(AX6,AX8,AX9,AX11,AX12,AX13,AX14,AX15,AX16,AX18,AX21,AX23,AX28,AX30,AX31,AX32,AX33,AX38,AX39,AX40,AX41,AX42,AX43,AX44,AX45,AX46,AX47,AX48,AX49,AX50,AX51,AX52,AX57,AX60,AX61,AX62,AX63,AX64,AX69)=39),1,0)</f>
        <v>0</v>
      </c>
      <c r="AY97" s="2"/>
      <c r="AZ97" s="2"/>
      <c r="BA97" s="2"/>
      <c r="BB97" s="2">
        <f>IF(AND(BB$57&lt;&gt;"",COUNT(BB6,BB8,BB9,BB11,BB12,BB13,BB14,BB15,BB16,BB18,BB21,BB23,BB28,BB30,BB31,BB32,BB33,BB38,BB39,BB40,BB41,BB42,BB43,BB44,BB45,BB46,BB47,BB48,BB49,BB50,BB51,BB52,BB57,BB60,BB61,BB62,BB63,BB64,BB69)=39),1,0)</f>
        <v>0</v>
      </c>
      <c r="BC97" s="2"/>
      <c r="BD97" s="2"/>
      <c r="BE97" s="2"/>
      <c r="BF97" s="2">
        <f>IF(AND(BF$57&lt;&gt;"",COUNT(BF6,BF8,BF9,BF11,BF12,BF13,BF14,BF15,BF16,BF18,BF21,BF23,BF28,BF30,BF31,BF32,BF33,BF38,BF39,BF40,BF41,BF42,BF43,BF44,BF45,BF46,BF47,BF48,BF49,BF50,BF51,BF52,BF57,BF60,BF61,BF62,BF63,BF64,BF69)=39),1,0)</f>
        <v>0</v>
      </c>
      <c r="BG97" s="2"/>
      <c r="BH97" s="2"/>
      <c r="BI97" s="2"/>
      <c r="BJ97" s="2">
        <f>IF(AND(BJ$57&lt;&gt;"",COUNT(BJ6,BJ8,BJ9,BJ11,BJ12,BJ13,BJ14,BJ15,BJ16,BJ18,BJ21,BJ23,BJ28,BJ30,BJ31,BJ32,BJ33,BJ38,BJ39,BJ40,BJ41,BJ42,BJ43,BJ44,BJ45,BJ46,BJ47,BJ48,BJ49,BJ50,BJ51,BJ52,BJ57,BJ60,BJ61,BJ62,BJ63,BJ64,BJ69)=39),1,0)</f>
        <v>0</v>
      </c>
      <c r="BK97" s="2"/>
      <c r="BL97" s="2"/>
      <c r="BM97" s="2"/>
      <c r="BN97" s="2">
        <f>IF(AND(BN$57&lt;&gt;"",COUNT(BN6,BN8,BN9,BN11,BN12,BN13,BN14,BN15,BN16,BN18,BN21,BN23,BN28,BN30,BN31,BN32,BN33,BN38,BN39,BN40,BN41,BN42,BN43,BN44,BN45,BN46,BN47,BN48,BN49,BN50,BN51,BN52,BN57,BN60,BN61,BN62,BN63,BN64,BN69)=39),1,0)</f>
        <v>0</v>
      </c>
      <c r="BO97" s="2"/>
      <c r="BP97" s="2"/>
      <c r="BQ97" s="2"/>
      <c r="BR97" s="2">
        <f>IF(AND(BR$57&lt;&gt;"",COUNT(BR6,BR8,BR9,BR11,BR12,BR13,BR14,BR15,BR16,BR18,BR21,BR23,BR28,BR30,BR31,BR32,BR33,BR38,BR39,BR40,BR41,BR42,BR43,BR44,BR45,BR46,BR47,BR48,BR49,BR50,BR51,BR52,BR57,BR60,BR61,BR62,BR63,BR64,BR69)=39),1,0)</f>
        <v>0</v>
      </c>
      <c r="BS97" s="2"/>
      <c r="BT97" s="2"/>
      <c r="BU97" s="2"/>
      <c r="BV97" s="2">
        <f>IF(AND(BV$57&lt;&gt;"",COUNT(BV6,BV8,BV9,BV11,BV12,BV13,BV14,BV15,BV16,BV18,BV21,BV23,BV28,BV30,BV31,BV32,BV33,BV38,BV39,BV40,BV41,BV42,BV43,BV44,BV45,BV46,BV47,BV48,BV49,BV50,BV51,BV52,BV57,BV60,BV61,BV62,BV63,BV64,BV69)=39),1,0)</f>
        <v>0</v>
      </c>
      <c r="BW97" s="2"/>
      <c r="BX97" s="2"/>
      <c r="BY97" s="2"/>
      <c r="BZ97" s="2">
        <f>IF(AND(BZ$57&lt;&gt;"",COUNT(BZ6,BZ8,BZ9,BZ11,BZ12,BZ13,BZ14,BZ15,BZ16,BZ18,BZ21,BZ23,BZ28,BZ30,BZ31,BZ32,BZ33,BZ38,BZ39,BZ40,BZ41,BZ42,BZ43,BZ44,BZ45,BZ46,BZ47,BZ48,BZ49,BZ50,BZ51,BZ52,BZ57,BZ60,BZ61,BZ62,BZ63,BZ64,BZ69)=39),1,0)</f>
        <v>0</v>
      </c>
      <c r="CA97" s="2"/>
      <c r="CB97" s="2"/>
      <c r="CC97" s="2"/>
      <c r="CD97" s="2">
        <f>IF(AND(CD$57&lt;&gt;"",COUNT(CD6,CD8,CD9,CD11,CD12,CD13,CD14,CD15,CD16,CD18,CD21,CD23,CD28,CD30,CD31,CD32,CD33,CD38,CD39,CD40,CD41,CD42,CD43,CD44,CD45,CD46,CD47,CD48,CD49,CD50,CD51,CD52,CD57,CD60,CD61,CD62,CD63,CD64,CD69)=39),1,0)</f>
        <v>0</v>
      </c>
      <c r="CE97" s="2"/>
      <c r="CF97" s="2"/>
      <c r="CG97" s="2"/>
      <c r="CH97" s="2">
        <f>IF(AND(CH$57&lt;&gt;"",COUNT(CH6,CH8,CH9,CH11,CH12,CH13,CH14,CH15,CH16,CH18,CH21,CH23,CH28,CH30,CH31,CH32,CH33,CH38,CH39,CH40,CH41,CH42,CH43,CH44,CH45,CH46,CH47,CH48,CH49,CH50,CH51,CH52,CH57,CH60,CH61,CH62,CH63,CH64,CH69)=39),1,0)</f>
        <v>0</v>
      </c>
      <c r="CI97" s="2"/>
      <c r="CJ97" s="2"/>
      <c r="CK97" s="2"/>
      <c r="CL97" s="2">
        <f>IF(AND(CL$57&lt;&gt;"",COUNT(CL6,CL8,CL9,CL11,CL12,CL13,CL14,CL15,CL16,CL18,CL21,CL23,CL28,CL30,CL31,CL32,CL33,CL38,CL39,CL40,CL41,CL42,CL43,CL44,CL45,CL46,CL47,CL48,CL49,CL50,CL51,CL52,CL57,CL60,CL61,CL62,CL63,CL64,CL69)=39),1,0)</f>
        <v>0</v>
      </c>
      <c r="CM97" s="2"/>
      <c r="CN97" s="2"/>
      <c r="CO97" s="2"/>
      <c r="CP97" s="2">
        <f>IF(AND(CP$57&lt;&gt;"",COUNT(CP6,CP8,CP9,CP11,CP12,CP13,CP14,CP15,CP16,CP18,CP21,CP23,CP28,CP30,CP31,CP32,CP33,CP38,CP39,CP40,CP41,CP42,CP43,CP44,CP45,CP46,CP47,CP48,CP49,CP50,CP51,CP52,CP57,CP60,CP61,CP62,CP63,CP64,CP69)=39),1,0)</f>
        <v>0</v>
      </c>
      <c r="CQ97" s="2"/>
      <c r="CR97" s="2"/>
      <c r="CS97" s="2"/>
      <c r="CT97" s="2">
        <f>IF(AND(CT$57&lt;&gt;"",COUNT(CT6,CT8,CT9,CT11,CT12,CT13,CT14,CT15,CT16,CT18,CT21,CT23,CT28,CT30,CT31,CT32,CT33,CT38,CT39,CT40,CT41,CT42,CT43,CT44,CT45,CT46,CT47,CT48,CT49,CT50,CT51,CT52,CT57,CT60,CT61,CT62,CT63,CT64,CT69)=39),1,0)</f>
        <v>0</v>
      </c>
      <c r="CU97" s="2"/>
      <c r="CV97" s="2"/>
      <c r="CW97" s="2"/>
      <c r="CX97" s="2">
        <f>IF(AND(CX$57&lt;&gt;"",COUNT(CX6,CX8,CX9,CX11,CX12,CX13,CX14,CX15,CX16,CX18,CX21,CX23,CX28,CX30,CX31,CX32,CX33,CX38,CX39,CX40,CX41,CX42,CX43,CX44,CX45,CX46,CX47,CX48,CX49,CX50,CX51,CX52,CX57,CX60,CX61,CX62,CX63,CX64,CX69)=39),1,0)</f>
        <v>0</v>
      </c>
      <c r="CY97" s="2"/>
      <c r="CZ97" s="2"/>
      <c r="DA97" s="2"/>
      <c r="DB97" s="2">
        <f>IF(AND(DB$57&lt;&gt;"",COUNT(DB6,DB8,DB9,DB11,DB12,DB13,DB14,DB15,DB16,DB18,DB21,DB23,DB28,DB30,DB31,DB32,DB33,DB38,DB39,DB40,DB41,DB42,DB43,DB44,DB45,DB46,DB47,DB48,DB49,DB50,DB51,DB52,DB57,DB60,DB61,DB62,DB63,DB64,DB69)=39),1,0)</f>
        <v>0</v>
      </c>
      <c r="DC97" s="2"/>
      <c r="DD97" s="2"/>
      <c r="DE97" s="2"/>
      <c r="DF97" s="2">
        <f>IF(AND(DF$57&lt;&gt;"",COUNT(DF6,DF8,DF9,DF11,DF12,DF13,DF14,DF15,DF16,DF18,DF21,DF23,DF28,DF30,DF31,DF32,DF33,DF38,DF39,DF40,DF41,DF42,DF43,DF44,DF45,DF46,DF47,DF48,DF49,DF50,DF51,DF52,DF57,DF60,DF61,DF62,DF63,DF64,DF69)=39),1,0)</f>
        <v>0</v>
      </c>
      <c r="DG97" s="2"/>
      <c r="DH97" s="2"/>
      <c r="DI97" s="2"/>
      <c r="DJ97" s="2">
        <f>IF(AND(DJ$57&lt;&gt;"",COUNT(DJ6,DJ8,DJ9,DJ11,DJ12,DJ13,DJ14,DJ15,DJ16,DJ18,DJ21,DJ23,DJ28,DJ30,DJ31,DJ32,DJ33,DJ38,DJ39,DJ40,DJ41,DJ42,DJ43,DJ44,DJ45,DJ46,DJ47,DJ48,DJ49,DJ50,DJ51,DJ52,DJ57,DJ60,DJ61,DJ62,DJ63,DJ64,DJ69)=39),1,0)</f>
        <v>0</v>
      </c>
      <c r="DK97" s="2"/>
      <c r="DL97" s="2"/>
      <c r="DM97" s="2"/>
      <c r="DN97" s="2">
        <f>IF(AND(DN$57&lt;&gt;"",COUNT(DN6,DN8,DN9,DN11,DN12,DN13,DN14,DN15,DN16,DN18,DN21,DN23,DN28,DN30,DN31,DN32,DN33,DN38,DN39,DN40,DN41,DN42,DN43,DN44,DN45,DN46,DN47,DN48,DN49,DN50,DN51,DN52,DN57,DN60,DN61,DN62,DN63,DN64,DN69)=39),1,0)</f>
        <v>0</v>
      </c>
      <c r="DO97" s="2"/>
      <c r="DP97" s="2"/>
      <c r="DQ97" s="2"/>
      <c r="DR97" s="2">
        <f>IF(AND(DR$57&lt;&gt;"",COUNT(DR6,DR8,DR9,DR11,DR12,DR13,DR14,DR15,DR16,DR18,DR21,DR23,DR28,DR30,DR31,DR32,DR33,DR38,DR39,DR40,DR41,DR42,DR43,DR44,DR45,DR46,DR47,DR48,DR49,DR50,DR51,DR52,DR57,DR60,DR61,DR62,DR63,DR64,DR69)=39),1,0)</f>
        <v>0</v>
      </c>
      <c r="DS97" s="2"/>
      <c r="DT97" s="2"/>
      <c r="DU97" s="2"/>
      <c r="DV97" s="2">
        <f>IF(AND(DV$57&lt;&gt;"",COUNT(DV6,DV8,DV9,DV11,DV12,DV13,DV14,DV15,DV16,DV18,DV21,DV23,DV28,DV30,DV31,DV32,DV33,DV38,DV39,DV40,DV41,DV42,DV43,DV44,DV45,DV46,DV47,DV48,DV49,DV50,DV51,DV52,DV57,DV60,DV61,DV62,DV63,DV64,DV69)=39),1,0)</f>
        <v>0</v>
      </c>
      <c r="DW97" s="2"/>
      <c r="DX97" s="2"/>
      <c r="DY97" s="2"/>
      <c r="DZ97" s="2">
        <f>IF(AND(DZ$57&lt;&gt;"",COUNT(DZ6,DZ8,DZ9,DZ11,DZ12,DZ13,DZ14,DZ15,DZ16,DZ18,DZ21,DZ23,DZ28,DZ30,DZ31,DZ32,DZ33,DZ38,DZ39,DZ40,DZ41,DZ42,DZ43,DZ44,DZ45,DZ46,DZ47,DZ48,DZ49,DZ50,DZ51,DZ52,DZ57,DZ60,DZ61,DZ62,DZ63,DZ64,DZ69)=39),1,0)</f>
        <v>0</v>
      </c>
      <c r="EA97" s="2"/>
      <c r="EB97" s="2"/>
      <c r="EC97" s="2"/>
      <c r="ED97" s="2">
        <f>IF(AND(ED$57&lt;&gt;"",COUNT(ED6,ED8,ED9,ED11,ED12,ED13,ED14,ED15,ED16,ED18,ED21,ED23,ED28,ED30,ED31,ED32,ED33,ED38,ED39,ED40,ED41,ED42,ED43,ED44,ED45,ED46,ED47,ED48,ED49,ED50,ED51,ED52,ED57,ED60,ED61,ED62,ED63,ED64,ED69)=39),1,0)</f>
        <v>0</v>
      </c>
      <c r="EE97" s="2"/>
      <c r="EF97" s="2"/>
      <c r="EG97" s="2"/>
      <c r="EH97" s="2">
        <f>IF(AND(EH$57&lt;&gt;"",COUNT(EH6,EH8,EH9,EH11,EH12,EH13,EH14,EH15,EH16,EH18,EH21,EH23,EH28,EH30,EH31,EH32,EH33,EH38,EH39,EH40,EH41,EH42,EH43,EH44,EH45,EH46,EH47,EH48,EH49,EH50,EH51,EH52,EH57,EH60,EH61,EH62,EH63,EH64,EH69)=39),1,0)</f>
        <v>0</v>
      </c>
      <c r="EI97" s="2"/>
      <c r="EJ97" s="2"/>
      <c r="EK97" s="2"/>
      <c r="EL97" s="2">
        <f>IF(AND(EL$57&lt;&gt;"",COUNT(EL6,EL8,EL9,EL11,EL12,EL13,EL14,EL15,EL16,EL18,EL21,EL23,EL28,EL30,EL31,EL32,EL33,EL38,EL39,EL40,EL41,EL42,EL43,EL44,EL45,EL46,EL47,EL48,EL49,EL50,EL51,EL52,EL57,EL60,EL61,EL62,EL63,EL64,EL69)=39),1,0)</f>
        <v>1</v>
      </c>
      <c r="EM97" s="2"/>
      <c r="EN97" s="2"/>
      <c r="EO97" s="2"/>
      <c r="EP97" s="2">
        <f>IF(AND(EP$57&lt;&gt;"",COUNT(EP6,EP8,EP9,EP11,EP12,EP13,EP14,EP15,EP16,EP18,EP21,EP23,EP28,EP30,EP31,EP32,EP33,EP38,EP39,EP40,EP41,EP42,EP43,EP44,EP45,EP46,EP47,EP48,EP49,EP50,EP51,EP52,EP57,EP60,EP61,EP62,EP63,EP64,EP69)=39),1,0)</f>
        <v>1</v>
      </c>
      <c r="EQ97" s="2"/>
      <c r="ER97" s="2"/>
      <c r="ES97" s="2"/>
    </row>
    <row r="98" ht="18.0" hidden="1" customHeight="1">
      <c r="A98" s="2" t="s">
        <v>99</v>
      </c>
      <c r="B98" s="2"/>
      <c r="C98" s="2"/>
      <c r="D98" s="2"/>
      <c r="E98" s="2"/>
      <c r="F98" s="2">
        <f>IF(AND(J98=1,F97=1),1,0)</f>
        <v>0</v>
      </c>
      <c r="G98" s="2"/>
      <c r="H98" s="2"/>
      <c r="I98" s="2"/>
      <c r="J98" s="2">
        <f>IF(AND(N98=1,J97=1),1,0)</f>
        <v>0</v>
      </c>
      <c r="K98" s="2"/>
      <c r="L98" s="2"/>
      <c r="M98" s="2"/>
      <c r="N98" s="2">
        <f>IF(AND(R98=1,N97=1),1,0)</f>
        <v>0</v>
      </c>
      <c r="O98" s="2"/>
      <c r="P98" s="2"/>
      <c r="Q98" s="2"/>
      <c r="R98" s="2">
        <f>IF(AND(V98=1,R97=1),1,0)</f>
        <v>0</v>
      </c>
      <c r="S98" s="2"/>
      <c r="T98" s="2"/>
      <c r="U98" s="2"/>
      <c r="V98" s="2">
        <f>IF(AND(Z98=1,V97=1),1,0)</f>
        <v>0</v>
      </c>
      <c r="W98" s="2"/>
      <c r="X98" s="2"/>
      <c r="Y98" s="2"/>
      <c r="Z98" s="2">
        <f>IF(AND(AD98=1,Z97=1),1,0)</f>
        <v>0</v>
      </c>
      <c r="AA98" s="2"/>
      <c r="AB98" s="2"/>
      <c r="AC98" s="2"/>
      <c r="AD98" s="2">
        <f>IF(AND(AH98=1,AD97=1),1,0)</f>
        <v>0</v>
      </c>
      <c r="AE98" s="2"/>
      <c r="AF98" s="2"/>
      <c r="AG98" s="2"/>
      <c r="AH98" s="2">
        <f>IF(AND(AL98=1,AH97=1),1,0)</f>
        <v>0</v>
      </c>
      <c r="AI98" s="2"/>
      <c r="AJ98" s="2"/>
      <c r="AK98" s="2"/>
      <c r="AL98" s="2">
        <f>IF(AND(AP98=1,AL97=1),1,0)</f>
        <v>0</v>
      </c>
      <c r="AM98" s="2"/>
      <c r="AN98" s="2"/>
      <c r="AO98" s="2"/>
      <c r="AP98" s="2">
        <f>IF(AND(AT98=1,AP97=1),1,0)</f>
        <v>0</v>
      </c>
      <c r="AQ98" s="2"/>
      <c r="AR98" s="2"/>
      <c r="AS98" s="2"/>
      <c r="AT98" s="2">
        <f>IF(AND(AX98=1,AT97=1),1,0)</f>
        <v>0</v>
      </c>
      <c r="AU98" s="2"/>
      <c r="AV98" s="2"/>
      <c r="AW98" s="2"/>
      <c r="AX98" s="2">
        <f>IF(AND(BB98=1,AX97=1),1,0)</f>
        <v>0</v>
      </c>
      <c r="AY98" s="2"/>
      <c r="AZ98" s="2"/>
      <c r="BA98" s="2"/>
      <c r="BB98" s="2">
        <f>IF(AND(BF98=1,BB97=1),1,0)</f>
        <v>0</v>
      </c>
      <c r="BC98" s="2"/>
      <c r="BD98" s="2"/>
      <c r="BE98" s="2"/>
      <c r="BF98" s="2">
        <f>IF(AND(BJ98=1,BF97=1),1,0)</f>
        <v>0</v>
      </c>
      <c r="BG98" s="2"/>
      <c r="BH98" s="2"/>
      <c r="BI98" s="2"/>
      <c r="BJ98" s="2">
        <f>IF(AND(BN98=1,BJ97=1),1,0)</f>
        <v>0</v>
      </c>
      <c r="BK98" s="2"/>
      <c r="BL98" s="2"/>
      <c r="BM98" s="2"/>
      <c r="BN98" s="2">
        <f>IF(AND(BR98=1,BN97=1),1,0)</f>
        <v>0</v>
      </c>
      <c r="BO98" s="2"/>
      <c r="BP98" s="2"/>
      <c r="BQ98" s="2"/>
      <c r="BR98" s="2">
        <f>IF(AND(BV98=1,BR97=1),1,0)</f>
        <v>0</v>
      </c>
      <c r="BS98" s="2"/>
      <c r="BT98" s="2"/>
      <c r="BU98" s="2"/>
      <c r="BV98" s="2">
        <f>IF(AND(BZ98=1,BV97=1),1,0)</f>
        <v>0</v>
      </c>
      <c r="BW98" s="2"/>
      <c r="BX98" s="2"/>
      <c r="BY98" s="2"/>
      <c r="BZ98" s="2">
        <f>IF(AND(CD98=1,BZ97=1),1,0)</f>
        <v>0</v>
      </c>
      <c r="CA98" s="2"/>
      <c r="CB98" s="2"/>
      <c r="CC98" s="2"/>
      <c r="CD98" s="2">
        <f>IF(AND(CH98=1,CD97=1),1,0)</f>
        <v>0</v>
      </c>
      <c r="CE98" s="2"/>
      <c r="CF98" s="2"/>
      <c r="CG98" s="2"/>
      <c r="CH98" s="2">
        <f>IF(AND(CL98=1,CH97=1),1,0)</f>
        <v>0</v>
      </c>
      <c r="CI98" s="2"/>
      <c r="CJ98" s="2"/>
      <c r="CK98" s="2"/>
      <c r="CL98" s="2">
        <f>IF(AND(CP98=1,CL97=1),1,0)</f>
        <v>0</v>
      </c>
      <c r="CM98" s="2"/>
      <c r="CN98" s="2"/>
      <c r="CO98" s="2"/>
      <c r="CP98" s="2">
        <f>IF(AND(CT98=1,CP97=1),1,0)</f>
        <v>0</v>
      </c>
      <c r="CQ98" s="2"/>
      <c r="CR98" s="2"/>
      <c r="CS98" s="2"/>
      <c r="CT98" s="2">
        <f>IF(AND(CX98=1,CT97=1),1,0)</f>
        <v>0</v>
      </c>
      <c r="CU98" s="2"/>
      <c r="CV98" s="2"/>
      <c r="CW98" s="2"/>
      <c r="CX98" s="2">
        <f>IF(AND(DB98=1,CX97=1),1,0)</f>
        <v>0</v>
      </c>
      <c r="CY98" s="2"/>
      <c r="CZ98" s="2"/>
      <c r="DA98" s="2"/>
      <c r="DB98" s="2">
        <f>IF(AND(DF98=1,DB97=1),1,0)</f>
        <v>0</v>
      </c>
      <c r="DC98" s="2"/>
      <c r="DD98" s="2"/>
      <c r="DE98" s="2"/>
      <c r="DF98" s="2">
        <f>IF(AND(DJ98=1,DF97=1),1,0)</f>
        <v>0</v>
      </c>
      <c r="DG98" s="2"/>
      <c r="DH98" s="2"/>
      <c r="DI98" s="2"/>
      <c r="DJ98" s="2">
        <f>IF(AND(DN98=1,DJ97=1),1,0)</f>
        <v>0</v>
      </c>
      <c r="DK98" s="2"/>
      <c r="DL98" s="2"/>
      <c r="DM98" s="2"/>
      <c r="DN98" s="2">
        <f>IF(AND(DR98=1,DN97=1),1,0)</f>
        <v>0</v>
      </c>
      <c r="DO98" s="2"/>
      <c r="DP98" s="2"/>
      <c r="DQ98" s="2"/>
      <c r="DR98" s="2">
        <f>IF(AND(DV98=1,DR97=1),1,0)</f>
        <v>0</v>
      </c>
      <c r="DS98" s="2"/>
      <c r="DT98" s="2"/>
      <c r="DU98" s="2"/>
      <c r="DV98" s="2">
        <f>IF(AND(DZ98=1,DV97=1),1,0)</f>
        <v>0</v>
      </c>
      <c r="DW98" s="2"/>
      <c r="DX98" s="2"/>
      <c r="DY98" s="2"/>
      <c r="DZ98" s="2">
        <f>IF(AND(ED98=1,DZ97=1),1,0)</f>
        <v>0</v>
      </c>
      <c r="EA98" s="2"/>
      <c r="EB98" s="2"/>
      <c r="EC98" s="2"/>
      <c r="ED98" s="2">
        <f>IF(AND(EH98=1,ED97=1),1,0)</f>
        <v>0</v>
      </c>
      <c r="EE98" s="2"/>
      <c r="EF98" s="2"/>
      <c r="EG98" s="2"/>
      <c r="EH98" s="2">
        <f>IF(AND(EL98=1,EH97=1),1,0)</f>
        <v>0</v>
      </c>
      <c r="EI98" s="2"/>
      <c r="EJ98" s="2"/>
      <c r="EK98" s="2"/>
      <c r="EL98" s="2">
        <f>IF(AND(EP98=1,EL97=1),1,0)</f>
        <v>1</v>
      </c>
      <c r="EM98" s="2"/>
      <c r="EN98" s="2"/>
      <c r="EO98" s="2"/>
      <c r="EP98" s="2">
        <f>EP97</f>
        <v>1</v>
      </c>
      <c r="EQ98" s="2"/>
      <c r="ER98" s="2"/>
      <c r="ES98" s="2"/>
    </row>
  </sheetData>
  <mergeCells count="43">
    <mergeCell ref="DV3:DY3"/>
    <mergeCell ref="DR3:DU3"/>
    <mergeCell ref="EP75:ES75"/>
    <mergeCell ref="EP76:ES76"/>
    <mergeCell ref="EP77:ES77"/>
    <mergeCell ref="EP78:ES78"/>
    <mergeCell ref="EP79:ES79"/>
    <mergeCell ref="DN3:DQ3"/>
    <mergeCell ref="DJ3:DM3"/>
    <mergeCell ref="DF3:DI3"/>
    <mergeCell ref="DB3:DE3"/>
    <mergeCell ref="CX3:DA3"/>
    <mergeCell ref="CT3:CW3"/>
    <mergeCell ref="CP3:CS3"/>
    <mergeCell ref="CL3:CO3"/>
    <mergeCell ref="CH3:CK3"/>
    <mergeCell ref="CD3:CG3"/>
    <mergeCell ref="BZ3:CC3"/>
    <mergeCell ref="BV3:BY3"/>
    <mergeCell ref="N3:Q3"/>
    <mergeCell ref="J3:M3"/>
    <mergeCell ref="A3:A4"/>
    <mergeCell ref="B3:E3"/>
    <mergeCell ref="EP3:ES3"/>
    <mergeCell ref="EL3:EO3"/>
    <mergeCell ref="EH3:EK3"/>
    <mergeCell ref="ED3:EG3"/>
    <mergeCell ref="DZ3:EC3"/>
    <mergeCell ref="F3:I3"/>
    <mergeCell ref="BR3:BU3"/>
    <mergeCell ref="BN3:BQ3"/>
    <mergeCell ref="BJ3:BM3"/>
    <mergeCell ref="BF3:BI3"/>
    <mergeCell ref="BB3:BE3"/>
    <mergeCell ref="AX3:BA3"/>
    <mergeCell ref="AT3:AW3"/>
    <mergeCell ref="AP3:AS3"/>
    <mergeCell ref="AL3:AO3"/>
    <mergeCell ref="AH3:AK3"/>
    <mergeCell ref="AD3:AG3"/>
    <mergeCell ref="Z3:AC3"/>
    <mergeCell ref="V3:Y3"/>
    <mergeCell ref="R3:U3"/>
  </mergeCells>
  <conditionalFormatting sqref="B70:ES70">
    <cfRule type="cellIs" dxfId="0" priority="1" stopIfTrue="1" operator="lessThan">
      <formula>0</formula>
    </cfRule>
  </conditionalFormatting>
  <conditionalFormatting sqref="B71:ES71">
    <cfRule type="containsText" dxfId="0" priority="2" stopIfTrue="1" operator="containsText" text="ACTION">
      <formula>NOT(ISERROR(SEARCH(("ACTION"),(B71))))</formula>
    </cfRule>
  </conditionalFormatting>
  <dataValidations>
    <dataValidation type="decimal" operator="greaterThanOrEqual" allowBlank="1" showErrorMessage="1" sqref="F6 H6 J6 L6 N6 P6 R6 T6 V6 X6 Z6 AB6 AD6 AF6 AH6 AJ6 AL6 AN6 AP6 AR6 AT6 AV6 AX6 AZ6 BB6 BD6 BF6 BH6 BJ6 BL6 BN6 BP6 BR6 BT6 BV6 BX6 BZ6 CB6 CD6 CF6 CH6 CJ6 CL6 CN6 CP6 CR6 CT6 CV6 CX6 CZ6 DB6 DD6 DF6 DH6 DJ6 DL6 DN6 DP6 DR6 DT6 DV6 DX6 DZ6 EB6 ED6 EF6 EH6 EJ6 EL6 EN6 EP6 ER6 H8 L8 P8 T8 X8 AB8 AF8 AJ8 AN8 AR8 AV8 AZ8 BD8 BH8 BL8 BP8 BT8 BX8 CB8 CF8 CJ8 CN8 CR8 CV8 CZ8 DD8 DH8 DL8 DP8 DT8 DX8 EB8 EF8 EJ8 EN8 ER8 F8:F9 J8:J9 N8:N9 R8:R9 V8:V9 Z8:Z9 AD8:AD9 AH8:AH9 AL8:AL9 AP8:AP9 AT8:AT9 AX8:AX9 BB8:BB9 BF8:BF9 BJ8:BJ9 BN8:BN9 BR8:BR9 BV8:BV9 BZ8:BZ9 CD8:CD9 CH8:CH9 CL8:CL9 CP8:CP9 CT8:CT9 CX8:CX9 DB8:DB9 DF8:DF9 DJ8:DJ9 DN8:DN9 DR8:DR9 DV8:DV9 DZ8:DZ9 ED8:ED9 EH8:EH9 EL8:EL9 EP8:EP9 H11 L11 P11 T11 X11 AB11 AF11 AJ11 AN11 AR11 AV11 AZ11 BD11 BH11 BL11 BP11 BT11 BX11 CB11 CF11 CJ11 CN11 CR11 CV11 CZ11 DD11 DH11 DL11 DP11 DT11 DX11 EB11 EF11 EJ11 EN11 ER11 F11:F16 H13:H16 J11:J16 L13:L16 N11:N16 P13:P16 R11:R16 T13:T16 V11:V16 X13:X16 Z11:Z16 AB13:AB16 AD11:AD16 AF13:AF16 AH11:AH16 AJ13:AJ16 AL11:AL16 AN13:AN16 AP11:AP16 AR13:AR16 AT11:AT16 AV13:AV16 AX11:AX16 AZ13:AZ16 BB11:BB16 BD13:BD16 BF11:BF16 BH13:BH16 BJ11:BJ16 BL13:BL16 BN11:BN16 BP13:BP16 BR11:BR16 BT13:BT16 BV11:BV16 BX13:BX16 BZ11:BZ16 CB13:CB16 CD11:CD16 CF13:CF16 CH11:CH16 CJ13:CJ16 CL11:CL16 CN13:CN16 CP11:CP16 CR13:CR16 CT11:CT16 CV13:CV16 CX11:CX16 CZ13:CZ16 DB11:DB16 DD13:DD16 DF11:DF16 DH13:DH16 DJ11:DJ16 DL13:DL16 DN11:DN16 DP13:DP16 DR11:DR16 DT13:DT16 DV11:DV16 DX13:DX16 DZ11:DZ16 EB13:EB16 ED11:ED16 EF13:EF16 EH11:EH16 EJ13:EJ16 EL11:EL16 EN13:EN16 EP11:EP16 ER13:ER16 F18 H18 J18 L18 N18 P18 R18 T18 V18 X18 Z18 AB18 AD18 AF18 AH18 AJ18 AL18 AN18 AP18 AR18 AT18 AV18 AX18 AZ18 BB18 BD18 BF18 BH18 BJ18 BL18 BN18 BP18 BR18 BT18 BV18 BX18 BZ18 CB18 CD18 CF18 CH18 CJ18 CL18 CN18 CP18 CR18 CT18 CV18 CX18 CZ18 DB18 DD18 DF18 DH18 DJ18 DL18 DN18 DP18 DR18 DT18 DV18 DX18 DZ18 EB18 ED18 EF18 EH18 EJ18 EL18 EN18 EP18 ER18 F21 J21 N21 R21 V21 Z21 AD21 AH21 AL21 AP21 AT21 AX21 BB21 BF21 BJ21 BN21 BR21 BV21 BZ21 CD21 CH21 CL21 CP21 CT21 CX21 DB21 DF21 DJ21 DN21 DR21 DV21 DZ21 ED21 EH21 EL21 EP21 F23 H23 J23 L23 N23 P23 R23 T23 V23 X23 Z23 AB23 AD23 AF23 AH23 AJ23 AL23 AN23 AP23 AR23 AT23 AV23 AX23 AZ23 BB23 BD23 BF23 BH23 BJ23 BL23 BN23 BP23 BR23 BT23 BV23 BX23 BZ23 CB23 CD23 CF23 CH23 CJ23 CL23 CN23 CP23 CR23 CT23 CV23 CX23 CZ23 DB23 DD23 DF23 DH23 DJ23 DL23 DN23 DP23 DR23 DT23 DV23 DX23 DZ23 EB23 ED23 EF23 EH23 EJ23 EL23 EN23 EP23 ER23 F28 H28 J28 L28 N28 P28 R28 T28 V28 X28 Z28 AB28 AD28 AF28 AH28 AJ28 AL28 AN28 AP28 AR28 AT28 AV28 AX28 AZ28 BB28 BD28 BF28 BH28 BJ28 BL28 BN28 BP28 BR28 BT28 BV28 BX28 BZ28 CB28 CD28 CF28 CH28 CJ28 CL28 CN28 CP28 CR28 CT28 CV28 CX28 CZ28 DB28 DD28 DF28 DH28 DJ28 DL28 DN28 DP28 DR28 DT28 DV28 DX28 DZ28 EB28 ED28 EF28 EH28 EJ28 EL28 EN28 EP28 ER28 F30:F33 H30:H33 J30:J33 L30:L33 N30:N33 P30:P33 R30:R33 T30:T33 V30:V33 X30:X33 Z30:Z33 AB30:AB33 AD30:AD33 AF30:AF33 AH30:AH33 AJ30:AJ33 AL30:AL33 AN30:AN33 AP30:AP33 AR30:AR33 AT30:AT33 AV30:AV33 AX30:AX33 AZ30:AZ33 BB30:BB33 BD30:BD33 BF30:BF33 BH30:BH33 BJ30:BJ33 BL30:BL33 BN30:BN33 BP30:BP33 BR30:BR33 BT30:BT33 BV30:BV33 BX30:BX33 BZ30:BZ33 CB30:CB33 CD30:CD33 CF30:CF33 CH30:CH33 CJ30:CJ33 CL30:CL33 CN30:CN33 CP30:CP33 CR30:CR33 CT30:CT33 CV30:CV33 CX30:CX33 CZ30:CZ33 DB30:DB33 DD30:DD33 DF30:DF33 DH30:DH33 DJ30:DJ33 DL30:DL33 DN30:DN33 DP30:DP33 DR30:DR33 DT30:DT33 DV30:DV33 DX30:DX33 DZ30:DZ33 EB30:EB33 ED30:ED33 EF30:EF33 EH30:EH33 EJ30:EJ33 EL30:EL33 EN30:EN33 EP30:EP33 ER30:ER33 F38:F52 H38:H52 J38:J52 L38:L52 N38:N52 P38:P52 R38:R52 T38:T52 V38:V52 X38:X52 Z38:Z52 AB38:AB52 AD38:AD52 AF38:AF52 AH38:AH52 AJ38:AJ52 AL38:AL52 AN38:AN52 AP38:AP52 AR38:AR52 AT38:AT52 AV38:AV52 AX38:AX52 AZ38:AZ52 BB38:BB52 BD38:BD52 BF38:BF52 BH38:BH52 BJ38:BJ52 BL38:BL52 BN38:BN52 BP38:BP52 BR38:BR52 BT38:BT52 BV38:BV52 BX38:BX52 BZ38:BZ52 CB38:CB52 CD38:CD52 CF38:CF52 CH38:CH52 CJ38:CJ52 CL38:CL52 CN38:CN52 CP38:CP52 CR38:CR52 CT38:CT52 CV38:CV52 CX38:CX52 CZ38:CZ52 DB38:DB52 DD38:DD52 DF38:DF52 DH38:DH52 DJ38:DJ52 DL38:DL52 DN38:DN52 DP38:DP52 DR38:DR52 DT38:DT52 DV38:DV52 DX38:DX52 DZ38:DZ52 EB38:EB52 ED38:ED52 EF38:EF52 EH38:EH52 EJ38:EJ52 EL38:EL52 EN38:EN52 EP38:EP52 ER38:ER52 F57 J57 N57 R57 V57 Z57 AD57 AH57 AL57 AP57 AT57 AX57 BB57 BF57 BJ57 BN57 BR57 BV57 BZ57 CD57 CH57 CL57 CP57 CT57 CX57 DB57 DF57 DJ57 DN57 DR57 DV57 DZ57 ED57 EH57 EL57 EP57 F60:F64 H60:H64 J60:J64 L60:L64 N60:N64 P60:P64 R60:R64 T60:T64 V60:V64 X60:X64 Z60:Z64 AB60:AB64 AD60:AD64 AF60:AF64 AH60:AH64 AJ60:AJ64 AL60:AL64 AN60:AN64 AP60:AP64 AR60:AR64 AT60:AT64 AV60:AV64 AX60:AX64 AZ60:AZ64 BB60:BB64 BD60:BD64 BF60:BF64 BH60:BH64 BJ60:BJ64 BL60:BL64 BN60:BN64 BP60:BP64 BR60:BR64 BT60:BT64 BV60:BV64 BX60:BX64 BZ60:BZ64 CB60:CB64 CD60:CD64 CF60:CF64 CH60:CH64 CJ60:CJ64 CL60:CL64 CN60:CN64 CP60:CP64 CR60:CR64 CT60:CT64 CV60:CV64 CX60:CX64 CZ60:CZ64 DB60:DB64 DD60:DD64 DF60:DF64 DH60:DH64 DJ60:DJ64 DL60:DL64 DN60:DN64 DP60:DP64 DR60:DR64 DT60:DT64 DV60:DV64 DX60:DX64 DZ60:DZ64 EB60:EB64 ED60:ED64 EF60:EF64 EH60:EH64 EJ60:EJ64 EL60:EL64 EN60:EN64 EP60:EP64 ER60:ER64 F69 H69 J69 L69 N69 P69 R69 T69 V69 X69 Z69 AB69 AD69 AF69 AH69 AJ69 AL69 AN69 AP69 AR69 AT69 AV69 AX69 AZ69 BB69 BD69 BF69 BH69 BJ69 BL69 BN69 BP69 BR69 BT69 BV69 BX69 BZ69 CB69 CD69 CF69 CH69 CJ69 CL69 CN69 CP69 CR69 CT69 CV69 CX69 CZ69 DB69 DD69 DF69 DH69 DJ69 DL69 DN69 DP69 DR69 DT69 DV69 DX69 DZ69 EB69 ED69 EF69 EH69 EJ69 EL69 EN69 EP69 ER69 EP76:EP79">
      <formula1>0.0</formula1>
    </dataValidation>
    <dataValidation type="decimal" allowBlank="1" showErrorMessage="1" sqref="H7 L7 P7 T7 X7 AB7 AF7 AJ7 AN7 AR7 AV7 AZ7 BD7 BH7 BL7 BP7 BT7 BX7 CB7 CF7 CJ7 CN7 CR7 CV7 CZ7 DD7 DH7 DL7 DP7 DT7 DX7 EB7 EF7 EJ7 EN7 ER7 H10 L10 P10 T10 X10 AB10 AF10 AJ10 AN10 AR10 AV10 AZ10 BD10 BH10 BL10 BP10 BT10 BX10 CB10 CF10 CJ10 CN10 CR10 CV10 CZ10 DD10 DH10 DL10 DP10 DT10 DX10 EB10 EF10 EJ10 EN10 ER10">
      <formula1>0.0</formula1>
      <formula2>1.0</formula2>
    </dataValidation>
  </dataValidations>
  <drawing r:id="rId1"/>
</worksheet>
</file>